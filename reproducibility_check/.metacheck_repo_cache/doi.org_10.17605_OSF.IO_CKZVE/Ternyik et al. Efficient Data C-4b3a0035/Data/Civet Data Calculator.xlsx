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Me\Google Drive\University\4th Year\MammalWeb\Data\X. South Africa Updated\Civet\"/>
    </mc:Choice>
  </mc:AlternateContent>
  <xr:revisionPtr revIDLastSave="0" documentId="13_ncr:1_{547F4888-AA12-4DF3-AF5E-5EE2D01F58D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jWE1Jo0S4wg5sYmjXUa5PJIPjlpQ=="/>
    </ext>
  </extLst>
</workbook>
</file>

<file path=xl/calcChain.xml><?xml version="1.0" encoding="utf-8"?>
<calcChain xmlns="http://schemas.openxmlformats.org/spreadsheetml/2006/main">
  <c r="R2" i="1" l="1"/>
  <c r="S2" i="1"/>
  <c r="Q2" i="1"/>
  <c r="P2" i="1"/>
  <c r="P225" i="1"/>
  <c r="L225" i="1"/>
  <c r="K225" i="1"/>
  <c r="M225" i="1" s="1"/>
  <c r="N225" i="1" s="1"/>
  <c r="Q225" i="1" s="1"/>
  <c r="R225" i="1" s="1"/>
  <c r="S225" i="1" s="1"/>
  <c r="T225" i="1" s="1"/>
  <c r="E225" i="1"/>
  <c r="D225" i="1"/>
  <c r="F225" i="1" s="1"/>
  <c r="P153" i="1"/>
  <c r="L153" i="1"/>
  <c r="K153" i="1"/>
  <c r="E153" i="1"/>
  <c r="D153" i="1"/>
  <c r="F153" i="1" s="1"/>
  <c r="P152" i="1"/>
  <c r="L152" i="1"/>
  <c r="M152" i="1" s="1"/>
  <c r="N152" i="1" s="1"/>
  <c r="Q152" i="1" s="1"/>
  <c r="R152" i="1" s="1"/>
  <c r="S152" i="1" s="1"/>
  <c r="T152" i="1" s="1"/>
  <c r="K152" i="1"/>
  <c r="E152" i="1"/>
  <c r="D152" i="1"/>
  <c r="F152" i="1" s="1"/>
  <c r="P96" i="1"/>
  <c r="L96" i="1"/>
  <c r="K96" i="1"/>
  <c r="E96" i="1"/>
  <c r="D96" i="1"/>
  <c r="P29" i="1"/>
  <c r="L29" i="1"/>
  <c r="M29" i="1" s="1"/>
  <c r="N29" i="1" s="1"/>
  <c r="Q29" i="1" s="1"/>
  <c r="R29" i="1" s="1"/>
  <c r="S29" i="1" s="1"/>
  <c r="T29" i="1" s="1"/>
  <c r="K29" i="1"/>
  <c r="E29" i="1"/>
  <c r="D29" i="1"/>
  <c r="P107" i="1"/>
  <c r="L107" i="1"/>
  <c r="K107" i="1"/>
  <c r="E107" i="1"/>
  <c r="D107" i="1"/>
  <c r="P160" i="1"/>
  <c r="L160" i="1"/>
  <c r="K160" i="1"/>
  <c r="M160" i="1" s="1"/>
  <c r="N160" i="1" s="1"/>
  <c r="Q160" i="1" s="1"/>
  <c r="R160" i="1" s="1"/>
  <c r="S160" i="1" s="1"/>
  <c r="T160" i="1" s="1"/>
  <c r="E160" i="1"/>
  <c r="D160" i="1"/>
  <c r="Q16" i="1"/>
  <c r="R16" i="1" s="1"/>
  <c r="S16" i="1" s="1"/>
  <c r="T16" i="1" s="1"/>
  <c r="P16" i="1"/>
  <c r="L16" i="1"/>
  <c r="M16" i="1" s="1"/>
  <c r="N16" i="1" s="1"/>
  <c r="K16" i="1"/>
  <c r="E16" i="1"/>
  <c r="D16" i="1"/>
  <c r="F16" i="1" s="1"/>
  <c r="P73" i="1"/>
  <c r="L73" i="1"/>
  <c r="K73" i="1"/>
  <c r="E73" i="1"/>
  <c r="D73" i="1"/>
  <c r="F73" i="1" s="1"/>
  <c r="P108" i="1"/>
  <c r="L108" i="1"/>
  <c r="M108" i="1" s="1"/>
  <c r="N108" i="1" s="1"/>
  <c r="Q108" i="1" s="1"/>
  <c r="R108" i="1" s="1"/>
  <c r="S108" i="1" s="1"/>
  <c r="T108" i="1" s="1"/>
  <c r="K108" i="1"/>
  <c r="F108" i="1"/>
  <c r="E108" i="1"/>
  <c r="D108" i="1"/>
  <c r="P163" i="1"/>
  <c r="L163" i="1"/>
  <c r="K163" i="1"/>
  <c r="E163" i="1"/>
  <c r="D163" i="1"/>
  <c r="P248" i="1"/>
  <c r="L248" i="1"/>
  <c r="K248" i="1"/>
  <c r="M248" i="1" s="1"/>
  <c r="N248" i="1" s="1"/>
  <c r="Q248" i="1" s="1"/>
  <c r="R248" i="1" s="1"/>
  <c r="S248" i="1" s="1"/>
  <c r="T248" i="1" s="1"/>
  <c r="E248" i="1"/>
  <c r="D248" i="1"/>
  <c r="F248" i="1" s="1"/>
  <c r="P25" i="1"/>
  <c r="L25" i="1"/>
  <c r="M25" i="1" s="1"/>
  <c r="N25" i="1" s="1"/>
  <c r="Q25" i="1" s="1"/>
  <c r="R25" i="1" s="1"/>
  <c r="S25" i="1" s="1"/>
  <c r="T25" i="1" s="1"/>
  <c r="K25" i="1"/>
  <c r="E25" i="1"/>
  <c r="D25" i="1"/>
  <c r="P186" i="1"/>
  <c r="L186" i="1"/>
  <c r="K186" i="1"/>
  <c r="M186" i="1" s="1"/>
  <c r="N186" i="1" s="1"/>
  <c r="Q186" i="1" s="1"/>
  <c r="R186" i="1" s="1"/>
  <c r="S186" i="1" s="1"/>
  <c r="T186" i="1" s="1"/>
  <c r="E186" i="1"/>
  <c r="D186" i="1"/>
  <c r="P61" i="1"/>
  <c r="L61" i="1"/>
  <c r="K61" i="1"/>
  <c r="M61" i="1" s="1"/>
  <c r="N61" i="1" s="1"/>
  <c r="Q61" i="1" s="1"/>
  <c r="R61" i="1" s="1"/>
  <c r="S61" i="1" s="1"/>
  <c r="T61" i="1" s="1"/>
  <c r="E61" i="1"/>
  <c r="D61" i="1"/>
  <c r="P106" i="1"/>
  <c r="L106" i="1"/>
  <c r="K106" i="1"/>
  <c r="E106" i="1"/>
  <c r="D106" i="1"/>
  <c r="P109" i="1"/>
  <c r="L109" i="1"/>
  <c r="K109" i="1"/>
  <c r="M109" i="1" s="1"/>
  <c r="N109" i="1" s="1"/>
  <c r="Q109" i="1" s="1"/>
  <c r="R109" i="1" s="1"/>
  <c r="S109" i="1" s="1"/>
  <c r="T109" i="1" s="1"/>
  <c r="E109" i="1"/>
  <c r="D109" i="1"/>
  <c r="P136" i="1"/>
  <c r="L136" i="1"/>
  <c r="K136" i="1"/>
  <c r="M136" i="1" s="1"/>
  <c r="N136" i="1" s="1"/>
  <c r="Q136" i="1" s="1"/>
  <c r="R136" i="1" s="1"/>
  <c r="S136" i="1" s="1"/>
  <c r="T136" i="1" s="1"/>
  <c r="F136" i="1"/>
  <c r="E136" i="1"/>
  <c r="D136" i="1"/>
  <c r="P90" i="1"/>
  <c r="L90" i="1"/>
  <c r="K90" i="1"/>
  <c r="M90" i="1" s="1"/>
  <c r="N90" i="1" s="1"/>
  <c r="Q90" i="1" s="1"/>
  <c r="R90" i="1" s="1"/>
  <c r="S90" i="1" s="1"/>
  <c r="T90" i="1" s="1"/>
  <c r="E90" i="1"/>
  <c r="D90" i="1"/>
  <c r="F90" i="1" s="1"/>
  <c r="P242" i="1"/>
  <c r="M242" i="1"/>
  <c r="N242" i="1" s="1"/>
  <c r="Q242" i="1" s="1"/>
  <c r="L242" i="1"/>
  <c r="K242" i="1"/>
  <c r="E242" i="1"/>
  <c r="D242" i="1"/>
  <c r="P191" i="1"/>
  <c r="L191" i="1"/>
  <c r="M191" i="1" s="1"/>
  <c r="N191" i="1" s="1"/>
  <c r="Q191" i="1" s="1"/>
  <c r="R191" i="1" s="1"/>
  <c r="S191" i="1" s="1"/>
  <c r="T191" i="1" s="1"/>
  <c r="K191" i="1"/>
  <c r="E191" i="1"/>
  <c r="D191" i="1"/>
  <c r="P135" i="1"/>
  <c r="L135" i="1"/>
  <c r="K135" i="1"/>
  <c r="E135" i="1"/>
  <c r="D135" i="1"/>
  <c r="F135" i="1" s="1"/>
  <c r="P161" i="1"/>
  <c r="N161" i="1"/>
  <c r="Q161" i="1" s="1"/>
  <c r="R161" i="1" s="1"/>
  <c r="S161" i="1" s="1"/>
  <c r="T161" i="1" s="1"/>
  <c r="M161" i="1"/>
  <c r="L161" i="1"/>
  <c r="K161" i="1"/>
  <c r="E161" i="1"/>
  <c r="D161" i="1"/>
  <c r="P168" i="1"/>
  <c r="L168" i="1"/>
  <c r="K168" i="1"/>
  <c r="E168" i="1"/>
  <c r="D168" i="1"/>
  <c r="P24" i="1"/>
  <c r="L24" i="1"/>
  <c r="K24" i="1"/>
  <c r="M24" i="1" s="1"/>
  <c r="N24" i="1" s="1"/>
  <c r="Q24" i="1" s="1"/>
  <c r="R24" i="1" s="1"/>
  <c r="S24" i="1" s="1"/>
  <c r="T24" i="1" s="1"/>
  <c r="E24" i="1"/>
  <c r="D24" i="1"/>
  <c r="F24" i="1" s="1"/>
  <c r="P166" i="1"/>
  <c r="L166" i="1"/>
  <c r="K166" i="1"/>
  <c r="M166" i="1" s="1"/>
  <c r="N166" i="1" s="1"/>
  <c r="Q166" i="1" s="1"/>
  <c r="R166" i="1" s="1"/>
  <c r="S166" i="1" s="1"/>
  <c r="T166" i="1" s="1"/>
  <c r="F166" i="1"/>
  <c r="E166" i="1"/>
  <c r="D166" i="1"/>
  <c r="P94" i="1"/>
  <c r="L94" i="1"/>
  <c r="K94" i="1"/>
  <c r="M94" i="1" s="1"/>
  <c r="N94" i="1" s="1"/>
  <c r="Q94" i="1" s="1"/>
  <c r="R94" i="1" s="1"/>
  <c r="S94" i="1" s="1"/>
  <c r="T94" i="1" s="1"/>
  <c r="E94" i="1"/>
  <c r="D94" i="1"/>
  <c r="F94" i="1" s="1"/>
  <c r="Q157" i="1"/>
  <c r="R157" i="1" s="1"/>
  <c r="S157" i="1" s="1"/>
  <c r="T157" i="1" s="1"/>
  <c r="P157" i="1"/>
  <c r="L157" i="1"/>
  <c r="K157" i="1"/>
  <c r="M157" i="1" s="1"/>
  <c r="N157" i="1" s="1"/>
  <c r="E157" i="1"/>
  <c r="D157" i="1"/>
  <c r="P117" i="1"/>
  <c r="L117" i="1"/>
  <c r="K117" i="1"/>
  <c r="E117" i="1"/>
  <c r="D117" i="1"/>
  <c r="P70" i="1"/>
  <c r="L70" i="1"/>
  <c r="K70" i="1"/>
  <c r="E70" i="1"/>
  <c r="D70" i="1"/>
  <c r="F70" i="1" s="1"/>
  <c r="P185" i="1"/>
  <c r="L185" i="1"/>
  <c r="K185" i="1"/>
  <c r="M185" i="1" s="1"/>
  <c r="N185" i="1" s="1"/>
  <c r="Q185" i="1" s="1"/>
  <c r="R185" i="1" s="1"/>
  <c r="S185" i="1" s="1"/>
  <c r="T185" i="1" s="1"/>
  <c r="E185" i="1"/>
  <c r="D185" i="1"/>
  <c r="P62" i="1"/>
  <c r="L62" i="1"/>
  <c r="K62" i="1"/>
  <c r="M62" i="1" s="1"/>
  <c r="N62" i="1" s="1"/>
  <c r="Q62" i="1" s="1"/>
  <c r="R62" i="1" s="1"/>
  <c r="S62" i="1" s="1"/>
  <c r="T62" i="1" s="1"/>
  <c r="E62" i="1"/>
  <c r="D62" i="1"/>
  <c r="F62" i="1" s="1"/>
  <c r="P11" i="1"/>
  <c r="M11" i="1"/>
  <c r="N11" i="1" s="1"/>
  <c r="Q11" i="1" s="1"/>
  <c r="L11" i="1"/>
  <c r="K11" i="1"/>
  <c r="E11" i="1"/>
  <c r="D11" i="1"/>
  <c r="P167" i="1"/>
  <c r="L167" i="1"/>
  <c r="K167" i="1"/>
  <c r="E167" i="1"/>
  <c r="D167" i="1"/>
  <c r="F167" i="1" s="1"/>
  <c r="R142" i="1"/>
  <c r="S142" i="1" s="1"/>
  <c r="T142" i="1" s="1"/>
  <c r="P142" i="1"/>
  <c r="M142" i="1"/>
  <c r="N142" i="1" s="1"/>
  <c r="Q142" i="1" s="1"/>
  <c r="L142" i="1"/>
  <c r="K142" i="1"/>
  <c r="E142" i="1"/>
  <c r="D142" i="1"/>
  <c r="P110" i="1"/>
  <c r="L110" i="1"/>
  <c r="K110" i="1"/>
  <c r="E110" i="1"/>
  <c r="D110" i="1"/>
  <c r="P34" i="1"/>
  <c r="L34" i="1"/>
  <c r="K34" i="1"/>
  <c r="M34" i="1" s="1"/>
  <c r="N34" i="1" s="1"/>
  <c r="Q34" i="1" s="1"/>
  <c r="R34" i="1" s="1"/>
  <c r="S34" i="1" s="1"/>
  <c r="T34" i="1" s="1"/>
  <c r="E34" i="1"/>
  <c r="D34" i="1"/>
  <c r="P74" i="1"/>
  <c r="M74" i="1"/>
  <c r="N74" i="1" s="1"/>
  <c r="Q74" i="1" s="1"/>
  <c r="R74" i="1" s="1"/>
  <c r="S74" i="1" s="1"/>
  <c r="T74" i="1" s="1"/>
  <c r="L74" i="1"/>
  <c r="K74" i="1"/>
  <c r="E74" i="1"/>
  <c r="D74" i="1"/>
  <c r="P77" i="1"/>
  <c r="L77" i="1"/>
  <c r="K77" i="1"/>
  <c r="E77" i="1"/>
  <c r="D77" i="1"/>
  <c r="P226" i="1"/>
  <c r="L226" i="1"/>
  <c r="K226" i="1"/>
  <c r="M226" i="1" s="1"/>
  <c r="N226" i="1" s="1"/>
  <c r="Q226" i="1" s="1"/>
  <c r="E226" i="1"/>
  <c r="F226" i="1" s="1"/>
  <c r="D226" i="1"/>
  <c r="P127" i="1"/>
  <c r="L127" i="1"/>
  <c r="M127" i="1" s="1"/>
  <c r="N127" i="1" s="1"/>
  <c r="Q127" i="1" s="1"/>
  <c r="K127" i="1"/>
  <c r="E127" i="1"/>
  <c r="D127" i="1"/>
  <c r="F127" i="1" s="1"/>
  <c r="P100" i="1"/>
  <c r="L100" i="1"/>
  <c r="K100" i="1"/>
  <c r="F100" i="1"/>
  <c r="E100" i="1"/>
  <c r="D100" i="1"/>
  <c r="P21" i="1"/>
  <c r="L21" i="1"/>
  <c r="K21" i="1"/>
  <c r="M21" i="1" s="1"/>
  <c r="N21" i="1" s="1"/>
  <c r="Q21" i="1" s="1"/>
  <c r="R21" i="1" s="1"/>
  <c r="S21" i="1" s="1"/>
  <c r="T21" i="1" s="1"/>
  <c r="E21" i="1"/>
  <c r="D21" i="1"/>
  <c r="F21" i="1" s="1"/>
  <c r="P103" i="1"/>
  <c r="L103" i="1"/>
  <c r="K103" i="1"/>
  <c r="M103" i="1" s="1"/>
  <c r="N103" i="1" s="1"/>
  <c r="Q103" i="1" s="1"/>
  <c r="R103" i="1" s="1"/>
  <c r="S103" i="1" s="1"/>
  <c r="T103" i="1" s="1"/>
  <c r="E103" i="1"/>
  <c r="D103" i="1"/>
  <c r="F103" i="1" s="1"/>
  <c r="P19" i="1"/>
  <c r="L19" i="1"/>
  <c r="K19" i="1"/>
  <c r="E19" i="1"/>
  <c r="D19" i="1"/>
  <c r="P101" i="1"/>
  <c r="L101" i="1"/>
  <c r="M101" i="1" s="1"/>
  <c r="N101" i="1" s="1"/>
  <c r="Q101" i="1" s="1"/>
  <c r="R101" i="1" s="1"/>
  <c r="S101" i="1" s="1"/>
  <c r="T101" i="1" s="1"/>
  <c r="K101" i="1"/>
  <c r="E101" i="1"/>
  <c r="D101" i="1"/>
  <c r="P196" i="1"/>
  <c r="L196" i="1"/>
  <c r="K196" i="1"/>
  <c r="E196" i="1"/>
  <c r="D196" i="1"/>
  <c r="P158" i="1"/>
  <c r="M158" i="1"/>
  <c r="N158" i="1" s="1"/>
  <c r="Q158" i="1" s="1"/>
  <c r="L158" i="1"/>
  <c r="K158" i="1"/>
  <c r="E158" i="1"/>
  <c r="D158" i="1"/>
  <c r="F158" i="1" s="1"/>
  <c r="P144" i="1"/>
  <c r="M144" i="1"/>
  <c r="N144" i="1" s="1"/>
  <c r="Q144" i="1" s="1"/>
  <c r="R144" i="1" s="1"/>
  <c r="S144" i="1" s="1"/>
  <c r="T144" i="1" s="1"/>
  <c r="L144" i="1"/>
  <c r="K144" i="1"/>
  <c r="E144" i="1"/>
  <c r="D144" i="1"/>
  <c r="F144" i="1" s="1"/>
  <c r="P58" i="1"/>
  <c r="M58" i="1"/>
  <c r="N58" i="1" s="1"/>
  <c r="Q58" i="1" s="1"/>
  <c r="L58" i="1"/>
  <c r="K58" i="1"/>
  <c r="F58" i="1"/>
  <c r="E58" i="1"/>
  <c r="D58" i="1"/>
  <c r="P132" i="1"/>
  <c r="L132" i="1"/>
  <c r="K132" i="1"/>
  <c r="M132" i="1" s="1"/>
  <c r="N132" i="1" s="1"/>
  <c r="Q132" i="1" s="1"/>
  <c r="R132" i="1" s="1"/>
  <c r="S132" i="1" s="1"/>
  <c r="T132" i="1" s="1"/>
  <c r="E132" i="1"/>
  <c r="D132" i="1"/>
  <c r="P147" i="1"/>
  <c r="L147" i="1"/>
  <c r="K147" i="1"/>
  <c r="M147" i="1" s="1"/>
  <c r="N147" i="1" s="1"/>
  <c r="Q147" i="1" s="1"/>
  <c r="R147" i="1" s="1"/>
  <c r="S147" i="1" s="1"/>
  <c r="T147" i="1" s="1"/>
  <c r="E147" i="1"/>
  <c r="D147" i="1"/>
  <c r="F147" i="1" s="1"/>
  <c r="L2" i="1"/>
  <c r="K2" i="1"/>
  <c r="E2" i="1"/>
  <c r="D2" i="1"/>
  <c r="P233" i="1"/>
  <c r="L233" i="1"/>
  <c r="K233" i="1"/>
  <c r="M233" i="1" s="1"/>
  <c r="N233" i="1" s="1"/>
  <c r="Q233" i="1" s="1"/>
  <c r="R233" i="1" s="1"/>
  <c r="S233" i="1" s="1"/>
  <c r="T233" i="1" s="1"/>
  <c r="E233" i="1"/>
  <c r="D233" i="1"/>
  <c r="P154" i="1"/>
  <c r="L154" i="1"/>
  <c r="K154" i="1"/>
  <c r="M154" i="1" s="1"/>
  <c r="N154" i="1" s="1"/>
  <c r="Q154" i="1" s="1"/>
  <c r="E154" i="1"/>
  <c r="D154" i="1"/>
  <c r="P207" i="1"/>
  <c r="L207" i="1"/>
  <c r="K207" i="1"/>
  <c r="E207" i="1"/>
  <c r="D207" i="1"/>
  <c r="P71" i="1"/>
  <c r="L71" i="1"/>
  <c r="K71" i="1"/>
  <c r="M71" i="1" s="1"/>
  <c r="N71" i="1" s="1"/>
  <c r="Q71" i="1" s="1"/>
  <c r="R71" i="1" s="1"/>
  <c r="S71" i="1" s="1"/>
  <c r="T71" i="1" s="1"/>
  <c r="E71" i="1"/>
  <c r="D71" i="1"/>
  <c r="F71" i="1" s="1"/>
  <c r="P78" i="1"/>
  <c r="L78" i="1"/>
  <c r="K78" i="1"/>
  <c r="M78" i="1" s="1"/>
  <c r="N78" i="1" s="1"/>
  <c r="Q78" i="1" s="1"/>
  <c r="E78" i="1"/>
  <c r="D78" i="1"/>
  <c r="P184" i="1"/>
  <c r="L184" i="1"/>
  <c r="K184" i="1"/>
  <c r="E184" i="1"/>
  <c r="D184" i="1"/>
  <c r="F184" i="1" s="1"/>
  <c r="P22" i="1"/>
  <c r="L22" i="1"/>
  <c r="M22" i="1" s="1"/>
  <c r="N22" i="1" s="1"/>
  <c r="Q22" i="1" s="1"/>
  <c r="R22" i="1" s="1"/>
  <c r="S22" i="1" s="1"/>
  <c r="T22" i="1" s="1"/>
  <c r="K22" i="1"/>
  <c r="E22" i="1"/>
  <c r="D22" i="1"/>
  <c r="P102" i="1"/>
  <c r="L102" i="1"/>
  <c r="K102" i="1"/>
  <c r="M102" i="1" s="1"/>
  <c r="N102" i="1" s="1"/>
  <c r="Q102" i="1" s="1"/>
  <c r="R102" i="1" s="1"/>
  <c r="S102" i="1" s="1"/>
  <c r="T102" i="1" s="1"/>
  <c r="E102" i="1"/>
  <c r="D102" i="1"/>
  <c r="P91" i="1"/>
  <c r="L91" i="1"/>
  <c r="K91" i="1"/>
  <c r="E91" i="1"/>
  <c r="D91" i="1"/>
  <c r="P104" i="1"/>
  <c r="L104" i="1"/>
  <c r="K104" i="1"/>
  <c r="E104" i="1"/>
  <c r="D104" i="1"/>
  <c r="P3" i="1"/>
  <c r="L3" i="1"/>
  <c r="K3" i="1"/>
  <c r="E3" i="1"/>
  <c r="D3" i="1"/>
  <c r="P173" i="1"/>
  <c r="M173" i="1"/>
  <c r="N173" i="1" s="1"/>
  <c r="Q173" i="1" s="1"/>
  <c r="R173" i="1" s="1"/>
  <c r="S173" i="1" s="1"/>
  <c r="T173" i="1" s="1"/>
  <c r="L173" i="1"/>
  <c r="K173" i="1"/>
  <c r="E173" i="1"/>
  <c r="D173" i="1"/>
  <c r="F173" i="1" s="1"/>
  <c r="P252" i="1"/>
  <c r="M252" i="1"/>
  <c r="N252" i="1" s="1"/>
  <c r="Q252" i="1" s="1"/>
  <c r="L252" i="1"/>
  <c r="K252" i="1"/>
  <c r="E252" i="1"/>
  <c r="D252" i="1"/>
  <c r="P241" i="1"/>
  <c r="L241" i="1"/>
  <c r="K241" i="1"/>
  <c r="M241" i="1" s="1"/>
  <c r="N241" i="1" s="1"/>
  <c r="Q241" i="1" s="1"/>
  <c r="R241" i="1" s="1"/>
  <c r="S241" i="1" s="1"/>
  <c r="T241" i="1" s="1"/>
  <c r="E241" i="1"/>
  <c r="D241" i="1"/>
  <c r="F241" i="1" s="1"/>
  <c r="P140" i="1"/>
  <c r="L140" i="1"/>
  <c r="K140" i="1"/>
  <c r="E140" i="1"/>
  <c r="D140" i="1"/>
  <c r="T203" i="1"/>
  <c r="P203" i="1"/>
  <c r="M203" i="1"/>
  <c r="N203" i="1" s="1"/>
  <c r="Q203" i="1" s="1"/>
  <c r="R203" i="1" s="1"/>
  <c r="S203" i="1" s="1"/>
  <c r="L203" i="1"/>
  <c r="K203" i="1"/>
  <c r="E203" i="1"/>
  <c r="D203" i="1"/>
  <c r="F203" i="1" s="1"/>
  <c r="P124" i="1"/>
  <c r="L124" i="1"/>
  <c r="K124" i="1"/>
  <c r="E124" i="1"/>
  <c r="D124" i="1"/>
  <c r="P15" i="1"/>
  <c r="L15" i="1"/>
  <c r="K15" i="1"/>
  <c r="M15" i="1" s="1"/>
  <c r="N15" i="1" s="1"/>
  <c r="Q15" i="1" s="1"/>
  <c r="R15" i="1" s="1"/>
  <c r="S15" i="1" s="1"/>
  <c r="T15" i="1" s="1"/>
  <c r="E15" i="1"/>
  <c r="D15" i="1"/>
  <c r="P205" i="1"/>
  <c r="L205" i="1"/>
  <c r="K205" i="1"/>
  <c r="E205" i="1"/>
  <c r="D205" i="1"/>
  <c r="P8" i="1"/>
  <c r="L8" i="1"/>
  <c r="K8" i="1"/>
  <c r="M8" i="1" s="1"/>
  <c r="N8" i="1" s="1"/>
  <c r="Q8" i="1" s="1"/>
  <c r="R8" i="1" s="1"/>
  <c r="S8" i="1" s="1"/>
  <c r="T8" i="1" s="1"/>
  <c r="E8" i="1"/>
  <c r="D8" i="1"/>
  <c r="P192" i="1"/>
  <c r="L192" i="1"/>
  <c r="K192" i="1"/>
  <c r="M192" i="1" s="1"/>
  <c r="N192" i="1" s="1"/>
  <c r="Q192" i="1" s="1"/>
  <c r="E192" i="1"/>
  <c r="D192" i="1"/>
  <c r="Q26" i="1"/>
  <c r="R26" i="1" s="1"/>
  <c r="S26" i="1" s="1"/>
  <c r="T26" i="1" s="1"/>
  <c r="P26" i="1"/>
  <c r="L26" i="1"/>
  <c r="K26" i="1"/>
  <c r="M26" i="1" s="1"/>
  <c r="N26" i="1" s="1"/>
  <c r="E26" i="1"/>
  <c r="D26" i="1"/>
  <c r="R53" i="1"/>
  <c r="S53" i="1" s="1"/>
  <c r="T53" i="1" s="1"/>
  <c r="P53" i="1"/>
  <c r="L53" i="1"/>
  <c r="M53" i="1" s="1"/>
  <c r="N53" i="1" s="1"/>
  <c r="Q53" i="1" s="1"/>
  <c r="K53" i="1"/>
  <c r="E53" i="1"/>
  <c r="D53" i="1"/>
  <c r="P263" i="1"/>
  <c r="L263" i="1"/>
  <c r="K263" i="1"/>
  <c r="M263" i="1" s="1"/>
  <c r="N263" i="1" s="1"/>
  <c r="Q263" i="1" s="1"/>
  <c r="R263" i="1" s="1"/>
  <c r="S263" i="1" s="1"/>
  <c r="T263" i="1" s="1"/>
  <c r="E263" i="1"/>
  <c r="D263" i="1"/>
  <c r="P210" i="1"/>
  <c r="L210" i="1"/>
  <c r="K210" i="1"/>
  <c r="M210" i="1" s="1"/>
  <c r="N210" i="1" s="1"/>
  <c r="Q210" i="1" s="1"/>
  <c r="R210" i="1" s="1"/>
  <c r="S210" i="1" s="1"/>
  <c r="T210" i="1" s="1"/>
  <c r="E210" i="1"/>
  <c r="D210" i="1"/>
  <c r="P63" i="1"/>
  <c r="L63" i="1"/>
  <c r="K63" i="1"/>
  <c r="E63" i="1"/>
  <c r="D63" i="1"/>
  <c r="P162" i="1"/>
  <c r="L162" i="1"/>
  <c r="K162" i="1"/>
  <c r="E162" i="1"/>
  <c r="D162" i="1"/>
  <c r="P133" i="1"/>
  <c r="L133" i="1"/>
  <c r="K133" i="1"/>
  <c r="M133" i="1" s="1"/>
  <c r="N133" i="1" s="1"/>
  <c r="Q133" i="1" s="1"/>
  <c r="R133" i="1" s="1"/>
  <c r="S133" i="1" s="1"/>
  <c r="T133" i="1" s="1"/>
  <c r="E133" i="1"/>
  <c r="D133" i="1"/>
  <c r="F133" i="1" s="1"/>
  <c r="P50" i="1"/>
  <c r="M50" i="1"/>
  <c r="N50" i="1" s="1"/>
  <c r="Q50" i="1" s="1"/>
  <c r="L50" i="1"/>
  <c r="K50" i="1"/>
  <c r="E50" i="1"/>
  <c r="D50" i="1"/>
  <c r="P30" i="1"/>
  <c r="L30" i="1"/>
  <c r="K30" i="1"/>
  <c r="M30" i="1" s="1"/>
  <c r="N30" i="1" s="1"/>
  <c r="Q30" i="1" s="1"/>
  <c r="R30" i="1" s="1"/>
  <c r="S30" i="1" s="1"/>
  <c r="T30" i="1" s="1"/>
  <c r="E30" i="1"/>
  <c r="D30" i="1"/>
  <c r="P59" i="1"/>
  <c r="L59" i="1"/>
  <c r="M59" i="1" s="1"/>
  <c r="N59" i="1" s="1"/>
  <c r="Q59" i="1" s="1"/>
  <c r="R59" i="1" s="1"/>
  <c r="S59" i="1" s="1"/>
  <c r="T59" i="1" s="1"/>
  <c r="K59" i="1"/>
  <c r="E59" i="1"/>
  <c r="D59" i="1"/>
  <c r="P251" i="1"/>
  <c r="L251" i="1"/>
  <c r="K251" i="1"/>
  <c r="M251" i="1" s="1"/>
  <c r="N251" i="1" s="1"/>
  <c r="Q251" i="1" s="1"/>
  <c r="R251" i="1" s="1"/>
  <c r="S251" i="1" s="1"/>
  <c r="T251" i="1" s="1"/>
  <c r="E251" i="1"/>
  <c r="D251" i="1"/>
  <c r="F251" i="1" s="1"/>
  <c r="P105" i="1"/>
  <c r="L105" i="1"/>
  <c r="K105" i="1"/>
  <c r="E105" i="1"/>
  <c r="D105" i="1"/>
  <c r="P31" i="1"/>
  <c r="L31" i="1"/>
  <c r="K31" i="1"/>
  <c r="M31" i="1" s="1"/>
  <c r="N31" i="1" s="1"/>
  <c r="Q31" i="1" s="1"/>
  <c r="R31" i="1" s="1"/>
  <c r="S31" i="1" s="1"/>
  <c r="T31" i="1" s="1"/>
  <c r="E31" i="1"/>
  <c r="D31" i="1"/>
  <c r="P52" i="1"/>
  <c r="L52" i="1"/>
  <c r="K52" i="1"/>
  <c r="E52" i="1"/>
  <c r="D52" i="1"/>
  <c r="P177" i="1"/>
  <c r="L177" i="1"/>
  <c r="K177" i="1"/>
  <c r="M177" i="1" s="1"/>
  <c r="N177" i="1" s="1"/>
  <c r="Q177" i="1" s="1"/>
  <c r="E177" i="1"/>
  <c r="D177" i="1"/>
  <c r="F177" i="1" s="1"/>
  <c r="P43" i="1"/>
  <c r="M43" i="1"/>
  <c r="N43" i="1" s="1"/>
  <c r="Q43" i="1" s="1"/>
  <c r="R43" i="1" s="1"/>
  <c r="S43" i="1" s="1"/>
  <c r="T43" i="1" s="1"/>
  <c r="L43" i="1"/>
  <c r="K43" i="1"/>
  <c r="E43" i="1"/>
  <c r="D43" i="1"/>
  <c r="P114" i="1"/>
  <c r="L114" i="1"/>
  <c r="K114" i="1"/>
  <c r="F114" i="1"/>
  <c r="E114" i="1"/>
  <c r="D114" i="1"/>
  <c r="P234" i="1"/>
  <c r="L234" i="1"/>
  <c r="M234" i="1" s="1"/>
  <c r="N234" i="1" s="1"/>
  <c r="Q234" i="1" s="1"/>
  <c r="R234" i="1" s="1"/>
  <c r="S234" i="1" s="1"/>
  <c r="T234" i="1" s="1"/>
  <c r="K234" i="1"/>
  <c r="E234" i="1"/>
  <c r="D234" i="1"/>
  <c r="P229" i="1"/>
  <c r="L229" i="1"/>
  <c r="M229" i="1" s="1"/>
  <c r="N229" i="1" s="1"/>
  <c r="Q229" i="1" s="1"/>
  <c r="K229" i="1"/>
  <c r="E229" i="1"/>
  <c r="D229" i="1"/>
  <c r="F229" i="1" s="1"/>
  <c r="P180" i="1"/>
  <c r="L180" i="1"/>
  <c r="K180" i="1"/>
  <c r="E180" i="1"/>
  <c r="D180" i="1"/>
  <c r="P23" i="1"/>
  <c r="L23" i="1"/>
  <c r="M23" i="1" s="1"/>
  <c r="N23" i="1" s="1"/>
  <c r="Q23" i="1" s="1"/>
  <c r="R23" i="1" s="1"/>
  <c r="S23" i="1" s="1"/>
  <c r="T23" i="1" s="1"/>
  <c r="K23" i="1"/>
  <c r="E23" i="1"/>
  <c r="F23" i="1" s="1"/>
  <c r="D23" i="1"/>
  <c r="P155" i="1"/>
  <c r="L155" i="1"/>
  <c r="M155" i="1" s="1"/>
  <c r="N155" i="1" s="1"/>
  <c r="Q155" i="1" s="1"/>
  <c r="K155" i="1"/>
  <c r="E155" i="1"/>
  <c r="D155" i="1"/>
  <c r="P145" i="1"/>
  <c r="L145" i="1"/>
  <c r="K145" i="1"/>
  <c r="M145" i="1" s="1"/>
  <c r="N145" i="1" s="1"/>
  <c r="Q145" i="1" s="1"/>
  <c r="F145" i="1"/>
  <c r="E145" i="1"/>
  <c r="D145" i="1"/>
  <c r="P245" i="1"/>
  <c r="L245" i="1"/>
  <c r="K245" i="1"/>
  <c r="M245" i="1" s="1"/>
  <c r="N245" i="1" s="1"/>
  <c r="Q245" i="1" s="1"/>
  <c r="R245" i="1" s="1"/>
  <c r="S245" i="1" s="1"/>
  <c r="T245" i="1" s="1"/>
  <c r="E245" i="1"/>
  <c r="D245" i="1"/>
  <c r="P79" i="1"/>
  <c r="L79" i="1"/>
  <c r="K79" i="1"/>
  <c r="M79" i="1" s="1"/>
  <c r="N79" i="1" s="1"/>
  <c r="Q79" i="1" s="1"/>
  <c r="R79" i="1" s="1"/>
  <c r="S79" i="1" s="1"/>
  <c r="T79" i="1" s="1"/>
  <c r="E79" i="1"/>
  <c r="D79" i="1"/>
  <c r="F79" i="1" s="1"/>
  <c r="P17" i="1"/>
  <c r="L17" i="1"/>
  <c r="K17" i="1"/>
  <c r="E17" i="1"/>
  <c r="D17" i="1"/>
  <c r="P232" i="1"/>
  <c r="L232" i="1"/>
  <c r="K232" i="1"/>
  <c r="E232" i="1"/>
  <c r="D232" i="1"/>
  <c r="F232" i="1" s="1"/>
  <c r="P258" i="1"/>
  <c r="L258" i="1"/>
  <c r="K258" i="1"/>
  <c r="M258" i="1" s="1"/>
  <c r="N258" i="1" s="1"/>
  <c r="Q258" i="1" s="1"/>
  <c r="E258" i="1"/>
  <c r="D258" i="1"/>
  <c r="S208" i="1"/>
  <c r="T208" i="1" s="1"/>
  <c r="P208" i="1"/>
  <c r="M208" i="1"/>
  <c r="N208" i="1" s="1"/>
  <c r="Q208" i="1" s="1"/>
  <c r="R208" i="1" s="1"/>
  <c r="L208" i="1"/>
  <c r="K208" i="1"/>
  <c r="E208" i="1"/>
  <c r="D208" i="1"/>
  <c r="P95" i="1"/>
  <c r="L95" i="1"/>
  <c r="M95" i="1" s="1"/>
  <c r="N95" i="1" s="1"/>
  <c r="Q95" i="1" s="1"/>
  <c r="R95" i="1" s="1"/>
  <c r="S95" i="1" s="1"/>
  <c r="T95" i="1" s="1"/>
  <c r="K95" i="1"/>
  <c r="E95" i="1"/>
  <c r="D95" i="1"/>
  <c r="P253" i="1"/>
  <c r="L253" i="1"/>
  <c r="K253" i="1"/>
  <c r="M253" i="1" s="1"/>
  <c r="N253" i="1" s="1"/>
  <c r="Q253" i="1" s="1"/>
  <c r="E253" i="1"/>
  <c r="D253" i="1"/>
  <c r="F253" i="1" s="1"/>
  <c r="P159" i="1"/>
  <c r="L159" i="1"/>
  <c r="K159" i="1"/>
  <c r="M159" i="1" s="1"/>
  <c r="N159" i="1" s="1"/>
  <c r="Q159" i="1" s="1"/>
  <c r="R159" i="1" s="1"/>
  <c r="S159" i="1" s="1"/>
  <c r="T159" i="1" s="1"/>
  <c r="E159" i="1"/>
  <c r="D159" i="1"/>
  <c r="F159" i="1" s="1"/>
  <c r="P85" i="1"/>
  <c r="L85" i="1"/>
  <c r="K85" i="1"/>
  <c r="M85" i="1" s="1"/>
  <c r="N85" i="1" s="1"/>
  <c r="Q85" i="1" s="1"/>
  <c r="E85" i="1"/>
  <c r="D85" i="1"/>
  <c r="F85" i="1" s="1"/>
  <c r="P84" i="1"/>
  <c r="N84" i="1"/>
  <c r="Q84" i="1" s="1"/>
  <c r="M84" i="1"/>
  <c r="L84" i="1"/>
  <c r="K84" i="1"/>
  <c r="E84" i="1"/>
  <c r="D84" i="1"/>
  <c r="P164" i="1"/>
  <c r="L164" i="1"/>
  <c r="K164" i="1"/>
  <c r="E164" i="1"/>
  <c r="D164" i="1"/>
  <c r="P130" i="1"/>
  <c r="L130" i="1"/>
  <c r="K130" i="1"/>
  <c r="E130" i="1"/>
  <c r="D130" i="1"/>
  <c r="P235" i="1"/>
  <c r="M235" i="1"/>
  <c r="N235" i="1" s="1"/>
  <c r="Q235" i="1" s="1"/>
  <c r="L235" i="1"/>
  <c r="K235" i="1"/>
  <c r="E235" i="1"/>
  <c r="F235" i="1" s="1"/>
  <c r="D235" i="1"/>
  <c r="P86" i="1"/>
  <c r="L86" i="1"/>
  <c r="K86" i="1"/>
  <c r="E86" i="1"/>
  <c r="D86" i="1"/>
  <c r="P198" i="1"/>
  <c r="L198" i="1"/>
  <c r="K198" i="1"/>
  <c r="M198" i="1" s="1"/>
  <c r="N198" i="1" s="1"/>
  <c r="Q198" i="1" s="1"/>
  <c r="R198" i="1" s="1"/>
  <c r="S198" i="1" s="1"/>
  <c r="T198" i="1" s="1"/>
  <c r="E198" i="1"/>
  <c r="D198" i="1"/>
  <c r="F198" i="1" s="1"/>
  <c r="P33" i="1"/>
  <c r="L33" i="1"/>
  <c r="K33" i="1"/>
  <c r="M33" i="1" s="1"/>
  <c r="N33" i="1" s="1"/>
  <c r="Q33" i="1" s="1"/>
  <c r="R33" i="1" s="1"/>
  <c r="S33" i="1" s="1"/>
  <c r="T33" i="1" s="1"/>
  <c r="E33" i="1"/>
  <c r="D33" i="1"/>
  <c r="F33" i="1" s="1"/>
  <c r="P178" i="1"/>
  <c r="L178" i="1"/>
  <c r="K178" i="1"/>
  <c r="M178" i="1" s="1"/>
  <c r="N178" i="1" s="1"/>
  <c r="Q178" i="1" s="1"/>
  <c r="E178" i="1"/>
  <c r="D178" i="1"/>
  <c r="P143" i="1"/>
  <c r="L143" i="1"/>
  <c r="K143" i="1"/>
  <c r="E143" i="1"/>
  <c r="D143" i="1"/>
  <c r="P14" i="1"/>
  <c r="L14" i="1"/>
  <c r="K14" i="1"/>
  <c r="E14" i="1"/>
  <c r="D14" i="1"/>
  <c r="F14" i="1" s="1"/>
  <c r="P72" i="1"/>
  <c r="L72" i="1"/>
  <c r="K72" i="1"/>
  <c r="M72" i="1" s="1"/>
  <c r="N72" i="1" s="1"/>
  <c r="Q72" i="1" s="1"/>
  <c r="E72" i="1"/>
  <c r="D72" i="1"/>
  <c r="S20" i="1"/>
  <c r="T20" i="1" s="1"/>
  <c r="P20" i="1"/>
  <c r="M20" i="1"/>
  <c r="N20" i="1" s="1"/>
  <c r="Q20" i="1" s="1"/>
  <c r="R20" i="1" s="1"/>
  <c r="L20" i="1"/>
  <c r="K20" i="1"/>
  <c r="E20" i="1"/>
  <c r="D20" i="1"/>
  <c r="P174" i="1"/>
  <c r="L174" i="1"/>
  <c r="K174" i="1"/>
  <c r="E174" i="1"/>
  <c r="D174" i="1"/>
  <c r="P148" i="1"/>
  <c r="L148" i="1"/>
  <c r="K148" i="1"/>
  <c r="M148" i="1" s="1"/>
  <c r="N148" i="1" s="1"/>
  <c r="Q148" i="1" s="1"/>
  <c r="R148" i="1" s="1"/>
  <c r="S148" i="1" s="1"/>
  <c r="T148" i="1" s="1"/>
  <c r="E148" i="1"/>
  <c r="D148" i="1"/>
  <c r="F148" i="1" s="1"/>
  <c r="P38" i="1"/>
  <c r="L38" i="1"/>
  <c r="K38" i="1"/>
  <c r="M38" i="1" s="1"/>
  <c r="N38" i="1" s="1"/>
  <c r="Q38" i="1" s="1"/>
  <c r="E38" i="1"/>
  <c r="F38" i="1" s="1"/>
  <c r="D38" i="1"/>
  <c r="P190" i="1"/>
  <c r="L190" i="1"/>
  <c r="K190" i="1"/>
  <c r="M190" i="1" s="1"/>
  <c r="N190" i="1" s="1"/>
  <c r="Q190" i="1" s="1"/>
  <c r="R190" i="1" s="1"/>
  <c r="S190" i="1" s="1"/>
  <c r="T190" i="1" s="1"/>
  <c r="E190" i="1"/>
  <c r="D190" i="1"/>
  <c r="F190" i="1" s="1"/>
  <c r="P195" i="1"/>
  <c r="N195" i="1"/>
  <c r="Q195" i="1" s="1"/>
  <c r="R195" i="1" s="1"/>
  <c r="S195" i="1" s="1"/>
  <c r="T195" i="1" s="1"/>
  <c r="L195" i="1"/>
  <c r="K195" i="1"/>
  <c r="M195" i="1" s="1"/>
  <c r="E195" i="1"/>
  <c r="F195" i="1" s="1"/>
  <c r="D195" i="1"/>
  <c r="P47" i="1"/>
  <c r="L47" i="1"/>
  <c r="K47" i="1"/>
  <c r="M47" i="1" s="1"/>
  <c r="N47" i="1" s="1"/>
  <c r="Q47" i="1" s="1"/>
  <c r="R47" i="1" s="1"/>
  <c r="S47" i="1" s="1"/>
  <c r="T47" i="1" s="1"/>
  <c r="E47" i="1"/>
  <c r="D47" i="1"/>
  <c r="F47" i="1" s="1"/>
  <c r="P55" i="1"/>
  <c r="L55" i="1"/>
  <c r="K55" i="1"/>
  <c r="M55" i="1" s="1"/>
  <c r="N55" i="1" s="1"/>
  <c r="Q55" i="1" s="1"/>
  <c r="E55" i="1"/>
  <c r="F55" i="1" s="1"/>
  <c r="D55" i="1"/>
  <c r="P27" i="1"/>
  <c r="L27" i="1"/>
  <c r="K27" i="1"/>
  <c r="M27" i="1" s="1"/>
  <c r="N27" i="1" s="1"/>
  <c r="Q27" i="1" s="1"/>
  <c r="R27" i="1" s="1"/>
  <c r="S27" i="1" s="1"/>
  <c r="T27" i="1" s="1"/>
  <c r="E27" i="1"/>
  <c r="D27" i="1"/>
  <c r="F27" i="1" s="1"/>
  <c r="P9" i="1"/>
  <c r="N9" i="1"/>
  <c r="Q9" i="1" s="1"/>
  <c r="R9" i="1" s="1"/>
  <c r="S9" i="1" s="1"/>
  <c r="T9" i="1" s="1"/>
  <c r="L9" i="1"/>
  <c r="K9" i="1"/>
  <c r="M9" i="1" s="1"/>
  <c r="E9" i="1"/>
  <c r="F9" i="1" s="1"/>
  <c r="D9" i="1"/>
  <c r="P32" i="1"/>
  <c r="L32" i="1"/>
  <c r="M32" i="1" s="1"/>
  <c r="N32" i="1" s="1"/>
  <c r="Q32" i="1" s="1"/>
  <c r="R32" i="1" s="1"/>
  <c r="S32" i="1" s="1"/>
  <c r="T32" i="1" s="1"/>
  <c r="K32" i="1"/>
  <c r="E32" i="1"/>
  <c r="D32" i="1"/>
  <c r="P126" i="1"/>
  <c r="L126" i="1"/>
  <c r="K126" i="1"/>
  <c r="E126" i="1"/>
  <c r="F126" i="1" s="1"/>
  <c r="D126" i="1"/>
  <c r="P120" i="1"/>
  <c r="L120" i="1"/>
  <c r="K120" i="1"/>
  <c r="E120" i="1"/>
  <c r="D120" i="1"/>
  <c r="P204" i="1"/>
  <c r="L204" i="1"/>
  <c r="K204" i="1"/>
  <c r="E204" i="1"/>
  <c r="D204" i="1"/>
  <c r="P171" i="1"/>
  <c r="M171" i="1"/>
  <c r="N171" i="1" s="1"/>
  <c r="Q171" i="1" s="1"/>
  <c r="L171" i="1"/>
  <c r="K171" i="1"/>
  <c r="E171" i="1"/>
  <c r="D171" i="1"/>
  <c r="F171" i="1" s="1"/>
  <c r="P123" i="1"/>
  <c r="L123" i="1"/>
  <c r="K123" i="1"/>
  <c r="E123" i="1"/>
  <c r="D123" i="1"/>
  <c r="F123" i="1" s="1"/>
  <c r="P176" i="1"/>
  <c r="L176" i="1"/>
  <c r="K176" i="1"/>
  <c r="E176" i="1"/>
  <c r="D176" i="1"/>
  <c r="F176" i="1" s="1"/>
  <c r="P250" i="1"/>
  <c r="L250" i="1"/>
  <c r="K250" i="1"/>
  <c r="M250" i="1" s="1"/>
  <c r="N250" i="1" s="1"/>
  <c r="Q250" i="1" s="1"/>
  <c r="E250" i="1"/>
  <c r="F250" i="1" s="1"/>
  <c r="D250" i="1"/>
  <c r="P211" i="1"/>
  <c r="L211" i="1"/>
  <c r="K211" i="1"/>
  <c r="M211" i="1" s="1"/>
  <c r="N211" i="1" s="1"/>
  <c r="Q211" i="1" s="1"/>
  <c r="R211" i="1" s="1"/>
  <c r="S211" i="1" s="1"/>
  <c r="T211" i="1" s="1"/>
  <c r="E211" i="1"/>
  <c r="D211" i="1"/>
  <c r="F211" i="1" s="1"/>
  <c r="P125" i="1"/>
  <c r="L125" i="1"/>
  <c r="K125" i="1"/>
  <c r="M125" i="1" s="1"/>
  <c r="N125" i="1" s="1"/>
  <c r="Q125" i="1" s="1"/>
  <c r="R125" i="1" s="1"/>
  <c r="S125" i="1" s="1"/>
  <c r="T125" i="1" s="1"/>
  <c r="E125" i="1"/>
  <c r="D125" i="1"/>
  <c r="F125" i="1" s="1"/>
  <c r="P37" i="1"/>
  <c r="L37" i="1"/>
  <c r="K37" i="1"/>
  <c r="E37" i="1"/>
  <c r="D37" i="1"/>
  <c r="F37" i="1" s="1"/>
  <c r="P13" i="1"/>
  <c r="L13" i="1"/>
  <c r="K13" i="1"/>
  <c r="E13" i="1"/>
  <c r="D13" i="1"/>
  <c r="F13" i="1" s="1"/>
  <c r="P48" i="1"/>
  <c r="M48" i="1"/>
  <c r="N48" i="1" s="1"/>
  <c r="Q48" i="1" s="1"/>
  <c r="R48" i="1" s="1"/>
  <c r="S48" i="1" s="1"/>
  <c r="T48" i="1" s="1"/>
  <c r="L48" i="1"/>
  <c r="K48" i="1"/>
  <c r="E48" i="1"/>
  <c r="D48" i="1"/>
  <c r="F48" i="1" s="1"/>
  <c r="P156" i="1"/>
  <c r="L156" i="1"/>
  <c r="K156" i="1"/>
  <c r="E156" i="1"/>
  <c r="D156" i="1"/>
  <c r="F156" i="1" s="1"/>
  <c r="P146" i="1"/>
  <c r="L146" i="1"/>
  <c r="K146" i="1"/>
  <c r="E146" i="1"/>
  <c r="F146" i="1" s="1"/>
  <c r="D146" i="1"/>
  <c r="P141" i="1"/>
  <c r="L141" i="1"/>
  <c r="K141" i="1"/>
  <c r="M141" i="1" s="1"/>
  <c r="N141" i="1" s="1"/>
  <c r="Q141" i="1" s="1"/>
  <c r="R141" i="1" s="1"/>
  <c r="S141" i="1" s="1"/>
  <c r="T141" i="1" s="1"/>
  <c r="E141" i="1"/>
  <c r="D141" i="1"/>
  <c r="P51" i="1"/>
  <c r="L51" i="1"/>
  <c r="M51" i="1" s="1"/>
  <c r="N51" i="1" s="1"/>
  <c r="Q51" i="1" s="1"/>
  <c r="R51" i="1" s="1"/>
  <c r="S51" i="1" s="1"/>
  <c r="T51" i="1" s="1"/>
  <c r="K51" i="1"/>
  <c r="E51" i="1"/>
  <c r="D51" i="1"/>
  <c r="F51" i="1" s="1"/>
  <c r="P264" i="1"/>
  <c r="L264" i="1"/>
  <c r="K264" i="1"/>
  <c r="E264" i="1"/>
  <c r="D264" i="1"/>
  <c r="F264" i="1" s="1"/>
  <c r="P12" i="1"/>
  <c r="L12" i="1"/>
  <c r="K12" i="1"/>
  <c r="E12" i="1"/>
  <c r="D12" i="1"/>
  <c r="F12" i="1" s="1"/>
  <c r="P240" i="1"/>
  <c r="L240" i="1"/>
  <c r="K240" i="1"/>
  <c r="E240" i="1"/>
  <c r="D240" i="1"/>
  <c r="F240" i="1" s="1"/>
  <c r="P134" i="1"/>
  <c r="L134" i="1"/>
  <c r="M134" i="1" s="1"/>
  <c r="N134" i="1" s="1"/>
  <c r="Q134" i="1" s="1"/>
  <c r="R134" i="1" s="1"/>
  <c r="S134" i="1" s="1"/>
  <c r="T134" i="1" s="1"/>
  <c r="K134" i="1"/>
  <c r="F134" i="1"/>
  <c r="E134" i="1"/>
  <c r="D134" i="1"/>
  <c r="P75" i="1"/>
  <c r="L75" i="1"/>
  <c r="K75" i="1"/>
  <c r="E75" i="1"/>
  <c r="D75" i="1"/>
  <c r="P115" i="1"/>
  <c r="L115" i="1"/>
  <c r="M115" i="1" s="1"/>
  <c r="N115" i="1" s="1"/>
  <c r="Q115" i="1" s="1"/>
  <c r="K115" i="1"/>
  <c r="E115" i="1"/>
  <c r="D115" i="1"/>
  <c r="F115" i="1" s="1"/>
  <c r="P193" i="1"/>
  <c r="L193" i="1"/>
  <c r="K193" i="1"/>
  <c r="E193" i="1"/>
  <c r="F193" i="1" s="1"/>
  <c r="D193" i="1"/>
  <c r="P201" i="1"/>
  <c r="L201" i="1"/>
  <c r="M201" i="1" s="1"/>
  <c r="N201" i="1" s="1"/>
  <c r="Q201" i="1" s="1"/>
  <c r="R201" i="1" s="1"/>
  <c r="S201" i="1" s="1"/>
  <c r="T201" i="1" s="1"/>
  <c r="K201" i="1"/>
  <c r="E201" i="1"/>
  <c r="D201" i="1"/>
  <c r="P215" i="1"/>
  <c r="L215" i="1"/>
  <c r="K215" i="1"/>
  <c r="E215" i="1"/>
  <c r="D215" i="1"/>
  <c r="F215" i="1" s="1"/>
  <c r="P259" i="1"/>
  <c r="L259" i="1"/>
  <c r="M259" i="1" s="1"/>
  <c r="N259" i="1" s="1"/>
  <c r="Q259" i="1" s="1"/>
  <c r="R259" i="1" s="1"/>
  <c r="S259" i="1" s="1"/>
  <c r="T259" i="1" s="1"/>
  <c r="K259" i="1"/>
  <c r="E259" i="1"/>
  <c r="F259" i="1" s="1"/>
  <c r="D259" i="1"/>
  <c r="P44" i="1"/>
  <c r="L44" i="1"/>
  <c r="M44" i="1" s="1"/>
  <c r="N44" i="1" s="1"/>
  <c r="Q44" i="1" s="1"/>
  <c r="R44" i="1" s="1"/>
  <c r="S44" i="1" s="1"/>
  <c r="T44" i="1" s="1"/>
  <c r="K44" i="1"/>
  <c r="E44" i="1"/>
  <c r="D44" i="1"/>
  <c r="P137" i="1"/>
  <c r="L137" i="1"/>
  <c r="M137" i="1" s="1"/>
  <c r="N137" i="1" s="1"/>
  <c r="Q137" i="1" s="1"/>
  <c r="K137" i="1"/>
  <c r="E137" i="1"/>
  <c r="F137" i="1" s="1"/>
  <c r="D137" i="1"/>
  <c r="P175" i="1"/>
  <c r="L175" i="1"/>
  <c r="K175" i="1"/>
  <c r="E175" i="1"/>
  <c r="D175" i="1"/>
  <c r="P209" i="1"/>
  <c r="L209" i="1"/>
  <c r="M209" i="1" s="1"/>
  <c r="N209" i="1" s="1"/>
  <c r="Q209" i="1" s="1"/>
  <c r="R209" i="1" s="1"/>
  <c r="S209" i="1" s="1"/>
  <c r="T209" i="1" s="1"/>
  <c r="K209" i="1"/>
  <c r="F209" i="1"/>
  <c r="E209" i="1"/>
  <c r="D209" i="1"/>
  <c r="P60" i="1"/>
  <c r="L60" i="1"/>
  <c r="M60" i="1" s="1"/>
  <c r="N60" i="1" s="1"/>
  <c r="Q60" i="1" s="1"/>
  <c r="R60" i="1" s="1"/>
  <c r="S60" i="1" s="1"/>
  <c r="T60" i="1" s="1"/>
  <c r="K60" i="1"/>
  <c r="E60" i="1"/>
  <c r="D60" i="1"/>
  <c r="P230" i="1"/>
  <c r="L230" i="1"/>
  <c r="K230" i="1"/>
  <c r="M230" i="1" s="1"/>
  <c r="N230" i="1" s="1"/>
  <c r="Q230" i="1" s="1"/>
  <c r="R230" i="1" s="1"/>
  <c r="S230" i="1" s="1"/>
  <c r="T230" i="1" s="1"/>
  <c r="E230" i="1"/>
  <c r="D230" i="1"/>
  <c r="F230" i="1" s="1"/>
  <c r="P54" i="1"/>
  <c r="L54" i="1"/>
  <c r="K54" i="1"/>
  <c r="M54" i="1" s="1"/>
  <c r="N54" i="1" s="1"/>
  <c r="Q54" i="1" s="1"/>
  <c r="R54" i="1" s="1"/>
  <c r="S54" i="1" s="1"/>
  <c r="T54" i="1" s="1"/>
  <c r="E54" i="1"/>
  <c r="D54" i="1"/>
  <c r="F54" i="1" s="1"/>
  <c r="P254" i="1"/>
  <c r="L254" i="1"/>
  <c r="K254" i="1"/>
  <c r="E254" i="1"/>
  <c r="D254" i="1"/>
  <c r="P246" i="1"/>
  <c r="L246" i="1"/>
  <c r="M246" i="1" s="1"/>
  <c r="N246" i="1" s="1"/>
  <c r="Q246" i="1" s="1"/>
  <c r="R246" i="1" s="1"/>
  <c r="S246" i="1" s="1"/>
  <c r="T246" i="1" s="1"/>
  <c r="K246" i="1"/>
  <c r="F246" i="1"/>
  <c r="E246" i="1"/>
  <c r="D246" i="1"/>
  <c r="P80" i="1"/>
  <c r="L80" i="1"/>
  <c r="K80" i="1"/>
  <c r="E80" i="1"/>
  <c r="D80" i="1"/>
  <c r="P179" i="1"/>
  <c r="M179" i="1"/>
  <c r="N179" i="1" s="1"/>
  <c r="Q179" i="1" s="1"/>
  <c r="L179" i="1"/>
  <c r="K179" i="1"/>
  <c r="E179" i="1"/>
  <c r="D179" i="1"/>
  <c r="F179" i="1" s="1"/>
  <c r="Q18" i="1"/>
  <c r="R18" i="1" s="1"/>
  <c r="S18" i="1" s="1"/>
  <c r="T18" i="1" s="1"/>
  <c r="P18" i="1"/>
  <c r="L18" i="1"/>
  <c r="K18" i="1"/>
  <c r="M18" i="1" s="1"/>
  <c r="N18" i="1" s="1"/>
  <c r="E18" i="1"/>
  <c r="D18" i="1"/>
  <c r="P118" i="1"/>
  <c r="L118" i="1"/>
  <c r="M118" i="1" s="1"/>
  <c r="N118" i="1" s="1"/>
  <c r="Q118" i="1" s="1"/>
  <c r="R118" i="1" s="1"/>
  <c r="S118" i="1" s="1"/>
  <c r="T118" i="1" s="1"/>
  <c r="K118" i="1"/>
  <c r="E118" i="1"/>
  <c r="D118" i="1"/>
  <c r="F118" i="1" s="1"/>
  <c r="P49" i="1"/>
  <c r="L49" i="1"/>
  <c r="K49" i="1"/>
  <c r="E49" i="1"/>
  <c r="D49" i="1"/>
  <c r="P231" i="1"/>
  <c r="L231" i="1"/>
  <c r="M231" i="1" s="1"/>
  <c r="N231" i="1" s="1"/>
  <c r="Q231" i="1" s="1"/>
  <c r="R231" i="1" s="1"/>
  <c r="S231" i="1" s="1"/>
  <c r="T231" i="1" s="1"/>
  <c r="K231" i="1"/>
  <c r="F231" i="1"/>
  <c r="E231" i="1"/>
  <c r="D231" i="1"/>
  <c r="P194" i="1"/>
  <c r="L194" i="1"/>
  <c r="K194" i="1"/>
  <c r="M194" i="1" s="1"/>
  <c r="N194" i="1" s="1"/>
  <c r="Q194" i="1" s="1"/>
  <c r="E194" i="1"/>
  <c r="D194" i="1"/>
  <c r="P92" i="1"/>
  <c r="L92" i="1"/>
  <c r="K92" i="1"/>
  <c r="F92" i="1"/>
  <c r="E92" i="1"/>
  <c r="D92" i="1"/>
  <c r="P122" i="1"/>
  <c r="L122" i="1"/>
  <c r="K122" i="1"/>
  <c r="M122" i="1" s="1"/>
  <c r="N122" i="1" s="1"/>
  <c r="Q122" i="1" s="1"/>
  <c r="R122" i="1" s="1"/>
  <c r="S122" i="1" s="1"/>
  <c r="T122" i="1" s="1"/>
  <c r="E122" i="1"/>
  <c r="D122" i="1"/>
  <c r="F122" i="1" s="1"/>
  <c r="P206" i="1"/>
  <c r="L206" i="1"/>
  <c r="K206" i="1"/>
  <c r="M206" i="1" s="1"/>
  <c r="N206" i="1" s="1"/>
  <c r="Q206" i="1" s="1"/>
  <c r="R206" i="1" s="1"/>
  <c r="S206" i="1" s="1"/>
  <c r="T206" i="1" s="1"/>
  <c r="E206" i="1"/>
  <c r="D206" i="1"/>
  <c r="F206" i="1" s="1"/>
  <c r="P131" i="1"/>
  <c r="L131" i="1"/>
  <c r="K131" i="1"/>
  <c r="M131" i="1" s="1"/>
  <c r="N131" i="1" s="1"/>
  <c r="Q131" i="1" s="1"/>
  <c r="R131" i="1" s="1"/>
  <c r="S131" i="1" s="1"/>
  <c r="T131" i="1" s="1"/>
  <c r="E131" i="1"/>
  <c r="D131" i="1"/>
  <c r="F131" i="1" s="1"/>
  <c r="P165" i="1"/>
  <c r="M165" i="1"/>
  <c r="N165" i="1" s="1"/>
  <c r="Q165" i="1" s="1"/>
  <c r="R165" i="1" s="1"/>
  <c r="S165" i="1" s="1"/>
  <c r="T165" i="1" s="1"/>
  <c r="L165" i="1"/>
  <c r="K165" i="1"/>
  <c r="E165" i="1"/>
  <c r="D165" i="1"/>
  <c r="F165" i="1" s="1"/>
  <c r="P149" i="1"/>
  <c r="L149" i="1"/>
  <c r="K149" i="1"/>
  <c r="E149" i="1"/>
  <c r="D149" i="1"/>
  <c r="P10" i="1"/>
  <c r="L10" i="1"/>
  <c r="M10" i="1" s="1"/>
  <c r="N10" i="1" s="1"/>
  <c r="Q10" i="1" s="1"/>
  <c r="R10" i="1" s="1"/>
  <c r="S10" i="1" s="1"/>
  <c r="T10" i="1" s="1"/>
  <c r="K10" i="1"/>
  <c r="E10" i="1"/>
  <c r="D10" i="1"/>
  <c r="P239" i="1"/>
  <c r="L239" i="1"/>
  <c r="M239" i="1" s="1"/>
  <c r="N239" i="1" s="1"/>
  <c r="Q239" i="1" s="1"/>
  <c r="K239" i="1"/>
  <c r="E239" i="1"/>
  <c r="D239" i="1"/>
  <c r="P69" i="1"/>
  <c r="L69" i="1"/>
  <c r="M69" i="1" s="1"/>
  <c r="N69" i="1" s="1"/>
  <c r="Q69" i="1" s="1"/>
  <c r="R69" i="1" s="1"/>
  <c r="S69" i="1" s="1"/>
  <c r="T69" i="1" s="1"/>
  <c r="K69" i="1"/>
  <c r="E69" i="1"/>
  <c r="D69" i="1"/>
  <c r="P138" i="1"/>
  <c r="L138" i="1"/>
  <c r="M138" i="1" s="1"/>
  <c r="N138" i="1" s="1"/>
  <c r="Q138" i="1" s="1"/>
  <c r="R138" i="1" s="1"/>
  <c r="S138" i="1" s="1"/>
  <c r="T138" i="1" s="1"/>
  <c r="K138" i="1"/>
  <c r="E138" i="1"/>
  <c r="D138" i="1"/>
  <c r="P212" i="1"/>
  <c r="L212" i="1"/>
  <c r="K212" i="1"/>
  <c r="M212" i="1" s="1"/>
  <c r="N212" i="1" s="1"/>
  <c r="Q212" i="1" s="1"/>
  <c r="R212" i="1" s="1"/>
  <c r="S212" i="1" s="1"/>
  <c r="T212" i="1" s="1"/>
  <c r="E212" i="1"/>
  <c r="D212" i="1"/>
  <c r="F212" i="1" s="1"/>
  <c r="Q172" i="1"/>
  <c r="P172" i="1"/>
  <c r="L172" i="1"/>
  <c r="M172" i="1" s="1"/>
  <c r="N172" i="1" s="1"/>
  <c r="K172" i="1"/>
  <c r="E172" i="1"/>
  <c r="D172" i="1"/>
  <c r="F172" i="1" s="1"/>
  <c r="P202" i="1"/>
  <c r="M202" i="1"/>
  <c r="N202" i="1" s="1"/>
  <c r="Q202" i="1" s="1"/>
  <c r="R202" i="1" s="1"/>
  <c r="S202" i="1" s="1"/>
  <c r="T202" i="1" s="1"/>
  <c r="L202" i="1"/>
  <c r="K202" i="1"/>
  <c r="E202" i="1"/>
  <c r="D202" i="1"/>
  <c r="P116" i="1"/>
  <c r="L116" i="1"/>
  <c r="M116" i="1" s="1"/>
  <c r="N116" i="1" s="1"/>
  <c r="Q116" i="1" s="1"/>
  <c r="R116" i="1" s="1"/>
  <c r="S116" i="1" s="1"/>
  <c r="T116" i="1" s="1"/>
  <c r="K116" i="1"/>
  <c r="E116" i="1"/>
  <c r="D116" i="1"/>
  <c r="P39" i="1"/>
  <c r="L39" i="1"/>
  <c r="M39" i="1" s="1"/>
  <c r="N39" i="1" s="1"/>
  <c r="Q39" i="1" s="1"/>
  <c r="K39" i="1"/>
  <c r="E39" i="1"/>
  <c r="F39" i="1" s="1"/>
  <c r="D39" i="1"/>
  <c r="P181" i="1"/>
  <c r="L181" i="1"/>
  <c r="M181" i="1" s="1"/>
  <c r="N181" i="1" s="1"/>
  <c r="Q181" i="1" s="1"/>
  <c r="R181" i="1" s="1"/>
  <c r="S181" i="1" s="1"/>
  <c r="T181" i="1" s="1"/>
  <c r="K181" i="1"/>
  <c r="E181" i="1"/>
  <c r="D181" i="1"/>
  <c r="F181" i="1" s="1"/>
  <c r="P121" i="1"/>
  <c r="L121" i="1"/>
  <c r="K121" i="1"/>
  <c r="M121" i="1" s="1"/>
  <c r="N121" i="1" s="1"/>
  <c r="Q121" i="1" s="1"/>
  <c r="R121" i="1" s="1"/>
  <c r="S121" i="1" s="1"/>
  <c r="T121" i="1" s="1"/>
  <c r="E121" i="1"/>
  <c r="D121" i="1"/>
  <c r="P5" i="1"/>
  <c r="L5" i="1"/>
  <c r="K5" i="1"/>
  <c r="E5" i="1"/>
  <c r="D5" i="1"/>
  <c r="P188" i="1"/>
  <c r="L188" i="1"/>
  <c r="M188" i="1" s="1"/>
  <c r="N188" i="1" s="1"/>
  <c r="Q188" i="1" s="1"/>
  <c r="R188" i="1" s="1"/>
  <c r="S188" i="1" s="1"/>
  <c r="T188" i="1" s="1"/>
  <c r="K188" i="1"/>
  <c r="E188" i="1"/>
  <c r="D188" i="1"/>
  <c r="F188" i="1" s="1"/>
  <c r="P238" i="1"/>
  <c r="L238" i="1"/>
  <c r="K238" i="1"/>
  <c r="E238" i="1"/>
  <c r="D238" i="1"/>
  <c r="P7" i="1"/>
  <c r="L7" i="1"/>
  <c r="K7" i="1"/>
  <c r="M7" i="1" s="1"/>
  <c r="N7" i="1" s="1"/>
  <c r="Q7" i="1" s="1"/>
  <c r="R7" i="1" s="1"/>
  <c r="S7" i="1" s="1"/>
  <c r="T7" i="1" s="1"/>
  <c r="F7" i="1"/>
  <c r="E7" i="1"/>
  <c r="D7" i="1"/>
  <c r="P45" i="1"/>
  <c r="L45" i="1"/>
  <c r="K45" i="1"/>
  <c r="E45" i="1"/>
  <c r="D45" i="1"/>
  <c r="F45" i="1" s="1"/>
  <c r="P255" i="1"/>
  <c r="L255" i="1"/>
  <c r="K255" i="1"/>
  <c r="E255" i="1"/>
  <c r="D255" i="1"/>
  <c r="F255" i="1" s="1"/>
  <c r="P221" i="1"/>
  <c r="L221" i="1"/>
  <c r="M221" i="1" s="1"/>
  <c r="N221" i="1" s="1"/>
  <c r="Q221" i="1" s="1"/>
  <c r="R221" i="1" s="1"/>
  <c r="S221" i="1" s="1"/>
  <c r="T221" i="1" s="1"/>
  <c r="K221" i="1"/>
  <c r="E221" i="1"/>
  <c r="D221" i="1"/>
  <c r="P93" i="1"/>
  <c r="L93" i="1"/>
  <c r="K93" i="1"/>
  <c r="M93" i="1" s="1"/>
  <c r="N93" i="1" s="1"/>
  <c r="Q93" i="1" s="1"/>
  <c r="R93" i="1" s="1"/>
  <c r="S93" i="1" s="1"/>
  <c r="T93" i="1" s="1"/>
  <c r="E93" i="1"/>
  <c r="D93" i="1"/>
  <c r="P68" i="1"/>
  <c r="L68" i="1"/>
  <c r="M68" i="1" s="1"/>
  <c r="N68" i="1" s="1"/>
  <c r="Q68" i="1" s="1"/>
  <c r="R68" i="1" s="1"/>
  <c r="S68" i="1" s="1"/>
  <c r="T68" i="1" s="1"/>
  <c r="K68" i="1"/>
  <c r="E68" i="1"/>
  <c r="D68" i="1"/>
  <c r="P260" i="1"/>
  <c r="L260" i="1"/>
  <c r="K260" i="1"/>
  <c r="E260" i="1"/>
  <c r="D260" i="1"/>
  <c r="P243" i="1"/>
  <c r="L243" i="1"/>
  <c r="K243" i="1"/>
  <c r="E243" i="1"/>
  <c r="D243" i="1"/>
  <c r="P265" i="1"/>
  <c r="L265" i="1"/>
  <c r="K265" i="1"/>
  <c r="M265" i="1" s="1"/>
  <c r="N265" i="1" s="1"/>
  <c r="Q265" i="1" s="1"/>
  <c r="R265" i="1" s="1"/>
  <c r="S265" i="1" s="1"/>
  <c r="T265" i="1" s="1"/>
  <c r="E265" i="1"/>
  <c r="D265" i="1"/>
  <c r="P236" i="1"/>
  <c r="L236" i="1"/>
  <c r="K236" i="1"/>
  <c r="M236" i="1" s="1"/>
  <c r="N236" i="1" s="1"/>
  <c r="Q236" i="1" s="1"/>
  <c r="R236" i="1" s="1"/>
  <c r="S236" i="1" s="1"/>
  <c r="T236" i="1" s="1"/>
  <c r="E236" i="1"/>
  <c r="D236" i="1"/>
  <c r="F236" i="1" s="1"/>
  <c r="Q139" i="1"/>
  <c r="P139" i="1"/>
  <c r="L139" i="1"/>
  <c r="M139" i="1" s="1"/>
  <c r="N139" i="1" s="1"/>
  <c r="K139" i="1"/>
  <c r="E139" i="1"/>
  <c r="D139" i="1"/>
  <c r="F139" i="1" s="1"/>
  <c r="P64" i="1"/>
  <c r="L64" i="1"/>
  <c r="M64" i="1" s="1"/>
  <c r="N64" i="1" s="1"/>
  <c r="Q64" i="1" s="1"/>
  <c r="R64" i="1" s="1"/>
  <c r="S64" i="1" s="1"/>
  <c r="T64" i="1" s="1"/>
  <c r="K64" i="1"/>
  <c r="E64" i="1"/>
  <c r="D64" i="1"/>
  <c r="F64" i="1" s="1"/>
  <c r="P81" i="1"/>
  <c r="L81" i="1"/>
  <c r="K81" i="1"/>
  <c r="E81" i="1"/>
  <c r="D81" i="1"/>
  <c r="P213" i="1"/>
  <c r="L213" i="1"/>
  <c r="M213" i="1" s="1"/>
  <c r="N213" i="1" s="1"/>
  <c r="Q213" i="1" s="1"/>
  <c r="R213" i="1" s="1"/>
  <c r="S213" i="1" s="1"/>
  <c r="T213" i="1" s="1"/>
  <c r="K213" i="1"/>
  <c r="E213" i="1"/>
  <c r="D213" i="1"/>
  <c r="P197" i="1"/>
  <c r="L197" i="1"/>
  <c r="M197" i="1" s="1"/>
  <c r="N197" i="1" s="1"/>
  <c r="Q197" i="1" s="1"/>
  <c r="K197" i="1"/>
  <c r="E197" i="1"/>
  <c r="F197" i="1" s="1"/>
  <c r="D197" i="1"/>
  <c r="P150" i="1"/>
  <c r="L150" i="1"/>
  <c r="M150" i="1" s="1"/>
  <c r="N150" i="1" s="1"/>
  <c r="Q150" i="1" s="1"/>
  <c r="R150" i="1" s="1"/>
  <c r="S150" i="1" s="1"/>
  <c r="T150" i="1" s="1"/>
  <c r="K150" i="1"/>
  <c r="E150" i="1"/>
  <c r="D150" i="1"/>
  <c r="P216" i="1"/>
  <c r="L216" i="1"/>
  <c r="K216" i="1"/>
  <c r="M216" i="1" s="1"/>
  <c r="N216" i="1" s="1"/>
  <c r="Q216" i="1" s="1"/>
  <c r="R216" i="1" s="1"/>
  <c r="S216" i="1" s="1"/>
  <c r="T216" i="1" s="1"/>
  <c r="F216" i="1"/>
  <c r="E216" i="1"/>
  <c r="D216" i="1"/>
  <c r="P87" i="1"/>
  <c r="L87" i="1"/>
  <c r="K87" i="1"/>
  <c r="M87" i="1" s="1"/>
  <c r="N87" i="1" s="1"/>
  <c r="Q87" i="1" s="1"/>
  <c r="R87" i="1" s="1"/>
  <c r="S87" i="1" s="1"/>
  <c r="T87" i="1" s="1"/>
  <c r="E87" i="1"/>
  <c r="D87" i="1"/>
  <c r="F87" i="1" s="1"/>
  <c r="P97" i="1"/>
  <c r="L97" i="1"/>
  <c r="K97" i="1"/>
  <c r="E97" i="1"/>
  <c r="D97" i="1"/>
  <c r="F97" i="1" s="1"/>
  <c r="P222" i="1"/>
  <c r="L222" i="1"/>
  <c r="K222" i="1"/>
  <c r="M222" i="1" s="1"/>
  <c r="N222" i="1" s="1"/>
  <c r="Q222" i="1" s="1"/>
  <c r="R222" i="1" s="1"/>
  <c r="S222" i="1" s="1"/>
  <c r="T222" i="1" s="1"/>
  <c r="E222" i="1"/>
  <c r="D222" i="1"/>
  <c r="F222" i="1" s="1"/>
  <c r="R228" i="1"/>
  <c r="S228" i="1" s="1"/>
  <c r="T228" i="1" s="1"/>
  <c r="P228" i="1"/>
  <c r="M228" i="1"/>
  <c r="N228" i="1" s="1"/>
  <c r="Q228" i="1" s="1"/>
  <c r="L228" i="1"/>
  <c r="K228" i="1"/>
  <c r="E228" i="1"/>
  <c r="F228" i="1" s="1"/>
  <c r="D228" i="1"/>
  <c r="P261" i="1"/>
  <c r="L261" i="1"/>
  <c r="M261" i="1" s="1"/>
  <c r="N261" i="1" s="1"/>
  <c r="Q261" i="1" s="1"/>
  <c r="K261" i="1"/>
  <c r="F261" i="1"/>
  <c r="E261" i="1"/>
  <c r="D261" i="1"/>
  <c r="P41" i="1"/>
  <c r="L41" i="1"/>
  <c r="M41" i="1" s="1"/>
  <c r="N41" i="1" s="1"/>
  <c r="Q41" i="1" s="1"/>
  <c r="R41" i="1" s="1"/>
  <c r="S41" i="1" s="1"/>
  <c r="T41" i="1" s="1"/>
  <c r="K41" i="1"/>
  <c r="E41" i="1"/>
  <c r="D41" i="1"/>
  <c r="P151" i="1"/>
  <c r="L151" i="1"/>
  <c r="M151" i="1" s="1"/>
  <c r="N151" i="1" s="1"/>
  <c r="Q151" i="1" s="1"/>
  <c r="R151" i="1" s="1"/>
  <c r="S151" i="1" s="1"/>
  <c r="T151" i="1" s="1"/>
  <c r="K151" i="1"/>
  <c r="E151" i="1"/>
  <c r="D151" i="1"/>
  <c r="P217" i="1"/>
  <c r="L217" i="1"/>
  <c r="K217" i="1"/>
  <c r="E217" i="1"/>
  <c r="D217" i="1"/>
  <c r="F217" i="1" s="1"/>
  <c r="P219" i="1"/>
  <c r="L219" i="1"/>
  <c r="K219" i="1"/>
  <c r="E219" i="1"/>
  <c r="D219" i="1"/>
  <c r="P183" i="1"/>
  <c r="L183" i="1"/>
  <c r="K183" i="1"/>
  <c r="M183" i="1" s="1"/>
  <c r="N183" i="1" s="1"/>
  <c r="Q183" i="1" s="1"/>
  <c r="R183" i="1" s="1"/>
  <c r="S183" i="1" s="1"/>
  <c r="T183" i="1" s="1"/>
  <c r="E183" i="1"/>
  <c r="D183" i="1"/>
  <c r="P35" i="1"/>
  <c r="M35" i="1"/>
  <c r="N35" i="1" s="1"/>
  <c r="Q35" i="1" s="1"/>
  <c r="L35" i="1"/>
  <c r="K35" i="1"/>
  <c r="E35" i="1"/>
  <c r="D35" i="1"/>
  <c r="F35" i="1" s="1"/>
  <c r="P256" i="1"/>
  <c r="L256" i="1"/>
  <c r="K256" i="1"/>
  <c r="E256" i="1"/>
  <c r="D256" i="1"/>
  <c r="P170" i="1"/>
  <c r="L170" i="1"/>
  <c r="K170" i="1"/>
  <c r="M170" i="1" s="1"/>
  <c r="N170" i="1" s="1"/>
  <c r="Q170" i="1" s="1"/>
  <c r="R170" i="1" s="1"/>
  <c r="S170" i="1" s="1"/>
  <c r="T170" i="1" s="1"/>
  <c r="E170" i="1"/>
  <c r="D170" i="1"/>
  <c r="P244" i="1"/>
  <c r="L244" i="1"/>
  <c r="K244" i="1"/>
  <c r="M244" i="1" s="1"/>
  <c r="N244" i="1" s="1"/>
  <c r="Q244" i="1" s="1"/>
  <c r="E244" i="1"/>
  <c r="D244" i="1"/>
  <c r="Q88" i="1"/>
  <c r="R88" i="1" s="1"/>
  <c r="S88" i="1" s="1"/>
  <c r="T88" i="1" s="1"/>
  <c r="P88" i="1"/>
  <c r="M88" i="1"/>
  <c r="N88" i="1" s="1"/>
  <c r="L88" i="1"/>
  <c r="K88" i="1"/>
  <c r="E88" i="1"/>
  <c r="D88" i="1"/>
  <c r="F88" i="1" s="1"/>
  <c r="P227" i="1"/>
  <c r="M227" i="1"/>
  <c r="N227" i="1" s="1"/>
  <c r="Q227" i="1" s="1"/>
  <c r="R227" i="1" s="1"/>
  <c r="S227" i="1" s="1"/>
  <c r="T227" i="1" s="1"/>
  <c r="L227" i="1"/>
  <c r="K227" i="1"/>
  <c r="E227" i="1"/>
  <c r="D227" i="1"/>
  <c r="P182" i="1"/>
  <c r="L182" i="1"/>
  <c r="K182" i="1"/>
  <c r="E182" i="1"/>
  <c r="D182" i="1"/>
  <c r="P65" i="1"/>
  <c r="L65" i="1"/>
  <c r="K65" i="1"/>
  <c r="E65" i="1"/>
  <c r="D65" i="1"/>
  <c r="P67" i="1"/>
  <c r="M67" i="1"/>
  <c r="N67" i="1" s="1"/>
  <c r="Q67" i="1" s="1"/>
  <c r="R67" i="1" s="1"/>
  <c r="S67" i="1" s="1"/>
  <c r="T67" i="1" s="1"/>
  <c r="L67" i="1"/>
  <c r="K67" i="1"/>
  <c r="E67" i="1"/>
  <c r="D67" i="1"/>
  <c r="P187" i="1"/>
  <c r="L187" i="1"/>
  <c r="K187" i="1"/>
  <c r="E187" i="1"/>
  <c r="D187" i="1"/>
  <c r="P200" i="1"/>
  <c r="L200" i="1"/>
  <c r="K200" i="1"/>
  <c r="M200" i="1" s="1"/>
  <c r="N200" i="1" s="1"/>
  <c r="Q200" i="1" s="1"/>
  <c r="R200" i="1" s="1"/>
  <c r="S200" i="1" s="1"/>
  <c r="T200" i="1" s="1"/>
  <c r="E200" i="1"/>
  <c r="D200" i="1"/>
  <c r="P56" i="1"/>
  <c r="L56" i="1"/>
  <c r="K56" i="1"/>
  <c r="E56" i="1"/>
  <c r="D56" i="1"/>
  <c r="P111" i="1"/>
  <c r="M111" i="1"/>
  <c r="N111" i="1" s="1"/>
  <c r="Q111" i="1" s="1"/>
  <c r="R111" i="1" s="1"/>
  <c r="S111" i="1" s="1"/>
  <c r="T111" i="1" s="1"/>
  <c r="L111" i="1"/>
  <c r="K111" i="1"/>
  <c r="E111" i="1"/>
  <c r="D111" i="1"/>
  <c r="P214" i="1"/>
  <c r="L214" i="1"/>
  <c r="K214" i="1"/>
  <c r="M214" i="1" s="1"/>
  <c r="N214" i="1" s="1"/>
  <c r="Q214" i="1" s="1"/>
  <c r="R214" i="1" s="1"/>
  <c r="S214" i="1" s="1"/>
  <c r="T214" i="1" s="1"/>
  <c r="E214" i="1"/>
  <c r="D214" i="1"/>
  <c r="P247" i="1"/>
  <c r="L247" i="1"/>
  <c r="K247" i="1"/>
  <c r="M247" i="1" s="1"/>
  <c r="N247" i="1" s="1"/>
  <c r="Q247" i="1" s="1"/>
  <c r="E247" i="1"/>
  <c r="D247" i="1"/>
  <c r="P128" i="1"/>
  <c r="L128" i="1"/>
  <c r="K128" i="1"/>
  <c r="E128" i="1"/>
  <c r="D128" i="1"/>
  <c r="P40" i="1"/>
  <c r="L40" i="1"/>
  <c r="K40" i="1"/>
  <c r="M40" i="1" s="1"/>
  <c r="N40" i="1" s="1"/>
  <c r="Q40" i="1" s="1"/>
  <c r="R40" i="1" s="1"/>
  <c r="S40" i="1" s="1"/>
  <c r="T40" i="1" s="1"/>
  <c r="E40" i="1"/>
  <c r="D40" i="1"/>
  <c r="P98" i="1"/>
  <c r="L98" i="1"/>
  <c r="K98" i="1"/>
  <c r="M98" i="1" s="1"/>
  <c r="N98" i="1" s="1"/>
  <c r="Q98" i="1" s="1"/>
  <c r="E98" i="1"/>
  <c r="D98" i="1"/>
  <c r="Q99" i="1"/>
  <c r="R99" i="1" s="1"/>
  <c r="S99" i="1" s="1"/>
  <c r="T99" i="1" s="1"/>
  <c r="P99" i="1"/>
  <c r="M99" i="1"/>
  <c r="N99" i="1" s="1"/>
  <c r="L99" i="1"/>
  <c r="K99" i="1"/>
  <c r="E99" i="1"/>
  <c r="D99" i="1"/>
  <c r="P129" i="1"/>
  <c r="L129" i="1"/>
  <c r="K129" i="1"/>
  <c r="E129" i="1"/>
  <c r="D129" i="1"/>
  <c r="P83" i="1"/>
  <c r="L83" i="1"/>
  <c r="K83" i="1"/>
  <c r="M83" i="1" s="1"/>
  <c r="N83" i="1" s="1"/>
  <c r="Q83" i="1" s="1"/>
  <c r="R83" i="1" s="1"/>
  <c r="S83" i="1" s="1"/>
  <c r="T83" i="1" s="1"/>
  <c r="E83" i="1"/>
  <c r="D83" i="1"/>
  <c r="P237" i="1"/>
  <c r="L237" i="1"/>
  <c r="K237" i="1"/>
  <c r="M237" i="1" s="1"/>
  <c r="N237" i="1" s="1"/>
  <c r="Q237" i="1" s="1"/>
  <c r="R237" i="1" s="1"/>
  <c r="S237" i="1" s="1"/>
  <c r="T237" i="1" s="1"/>
  <c r="E237" i="1"/>
  <c r="D237" i="1"/>
  <c r="P266" i="1"/>
  <c r="L266" i="1"/>
  <c r="K266" i="1"/>
  <c r="E266" i="1"/>
  <c r="D266" i="1"/>
  <c r="F266" i="1" s="1"/>
  <c r="P223" i="1"/>
  <c r="L223" i="1"/>
  <c r="K223" i="1"/>
  <c r="M223" i="1" s="1"/>
  <c r="N223" i="1" s="1"/>
  <c r="Q223" i="1" s="1"/>
  <c r="R223" i="1" s="1"/>
  <c r="S223" i="1" s="1"/>
  <c r="T223" i="1" s="1"/>
  <c r="F223" i="1"/>
  <c r="E223" i="1"/>
  <c r="D223" i="1"/>
  <c r="P169" i="1"/>
  <c r="L169" i="1"/>
  <c r="M169" i="1" s="1"/>
  <c r="N169" i="1" s="1"/>
  <c r="Q169" i="1" s="1"/>
  <c r="R169" i="1" s="1"/>
  <c r="S169" i="1" s="1"/>
  <c r="T169" i="1" s="1"/>
  <c r="K169" i="1"/>
  <c r="E169" i="1"/>
  <c r="D169" i="1"/>
  <c r="P66" i="1"/>
  <c r="L66" i="1"/>
  <c r="K66" i="1"/>
  <c r="M66" i="1" s="1"/>
  <c r="N66" i="1" s="1"/>
  <c r="Q66" i="1" s="1"/>
  <c r="R66" i="1" s="1"/>
  <c r="S66" i="1" s="1"/>
  <c r="T66" i="1" s="1"/>
  <c r="E66" i="1"/>
  <c r="D66" i="1"/>
  <c r="F66" i="1" s="1"/>
  <c r="P82" i="1"/>
  <c r="L82" i="1"/>
  <c r="K82" i="1"/>
  <c r="E82" i="1"/>
  <c r="D82" i="1"/>
  <c r="P199" i="1"/>
  <c r="L199" i="1"/>
  <c r="K199" i="1"/>
  <c r="M199" i="1" s="1"/>
  <c r="N199" i="1" s="1"/>
  <c r="Q199" i="1" s="1"/>
  <c r="R199" i="1" s="1"/>
  <c r="S199" i="1" s="1"/>
  <c r="T199" i="1" s="1"/>
  <c r="F199" i="1"/>
  <c r="E199" i="1"/>
  <c r="D199" i="1"/>
  <c r="P220" i="1"/>
  <c r="L220" i="1"/>
  <c r="M220" i="1" s="1"/>
  <c r="N220" i="1" s="1"/>
  <c r="Q220" i="1" s="1"/>
  <c r="R220" i="1" s="1"/>
  <c r="S220" i="1" s="1"/>
  <c r="T220" i="1" s="1"/>
  <c r="K220" i="1"/>
  <c r="E220" i="1"/>
  <c r="D220" i="1"/>
  <c r="P112" i="1"/>
  <c r="L112" i="1"/>
  <c r="K112" i="1"/>
  <c r="E112" i="1"/>
  <c r="D112" i="1"/>
  <c r="P4" i="1"/>
  <c r="L4" i="1"/>
  <c r="M4" i="1" s="1"/>
  <c r="N4" i="1" s="1"/>
  <c r="Q4" i="1" s="1"/>
  <c r="R4" i="1" s="1"/>
  <c r="S4" i="1" s="1"/>
  <c r="T4" i="1" s="1"/>
  <c r="K4" i="1"/>
  <c r="E4" i="1"/>
  <c r="D4" i="1"/>
  <c r="P262" i="1"/>
  <c r="L262" i="1"/>
  <c r="K262" i="1"/>
  <c r="M262" i="1" s="1"/>
  <c r="N262" i="1" s="1"/>
  <c r="Q262" i="1" s="1"/>
  <c r="R262" i="1" s="1"/>
  <c r="S262" i="1" s="1"/>
  <c r="T262" i="1" s="1"/>
  <c r="E262" i="1"/>
  <c r="D262" i="1"/>
  <c r="F262" i="1" s="1"/>
  <c r="P249" i="1"/>
  <c r="L249" i="1"/>
  <c r="K249" i="1"/>
  <c r="E249" i="1"/>
  <c r="D249" i="1"/>
  <c r="F249" i="1" s="1"/>
  <c r="P36" i="1"/>
  <c r="L36" i="1"/>
  <c r="K36" i="1"/>
  <c r="M36" i="1" s="1"/>
  <c r="N36" i="1" s="1"/>
  <c r="Q36" i="1" s="1"/>
  <c r="R36" i="1" s="1"/>
  <c r="S36" i="1" s="1"/>
  <c r="T36" i="1" s="1"/>
  <c r="E36" i="1"/>
  <c r="D36" i="1"/>
  <c r="P224" i="1"/>
  <c r="L224" i="1"/>
  <c r="K224" i="1"/>
  <c r="M224" i="1" s="1"/>
  <c r="N224" i="1" s="1"/>
  <c r="Q224" i="1" s="1"/>
  <c r="R224" i="1" s="1"/>
  <c r="S224" i="1" s="1"/>
  <c r="T224" i="1" s="1"/>
  <c r="E224" i="1"/>
  <c r="D224" i="1"/>
  <c r="P113" i="1"/>
  <c r="M113" i="1"/>
  <c r="N113" i="1" s="1"/>
  <c r="Q113" i="1" s="1"/>
  <c r="L113" i="1"/>
  <c r="K113" i="1"/>
  <c r="E113" i="1"/>
  <c r="F113" i="1" s="1"/>
  <c r="D113" i="1"/>
  <c r="P76" i="1"/>
  <c r="M76" i="1"/>
  <c r="N76" i="1" s="1"/>
  <c r="Q76" i="1" s="1"/>
  <c r="L76" i="1"/>
  <c r="K76" i="1"/>
  <c r="E76" i="1"/>
  <c r="D76" i="1"/>
  <c r="F76" i="1" s="1"/>
  <c r="P119" i="1"/>
  <c r="M119" i="1"/>
  <c r="N119" i="1" s="1"/>
  <c r="Q119" i="1" s="1"/>
  <c r="R119" i="1" s="1"/>
  <c r="S119" i="1" s="1"/>
  <c r="T119" i="1" s="1"/>
  <c r="L119" i="1"/>
  <c r="K119" i="1"/>
  <c r="F119" i="1"/>
  <c r="E119" i="1"/>
  <c r="D119" i="1"/>
  <c r="P218" i="1"/>
  <c r="L218" i="1"/>
  <c r="K218" i="1"/>
  <c r="M218" i="1" s="1"/>
  <c r="N218" i="1" s="1"/>
  <c r="Q218" i="1" s="1"/>
  <c r="R218" i="1" s="1"/>
  <c r="S218" i="1" s="1"/>
  <c r="T218" i="1" s="1"/>
  <c r="E218" i="1"/>
  <c r="D218" i="1"/>
  <c r="P189" i="1"/>
  <c r="L189" i="1"/>
  <c r="M189" i="1" s="1"/>
  <c r="N189" i="1" s="1"/>
  <c r="Q189" i="1" s="1"/>
  <c r="R189" i="1" s="1"/>
  <c r="S189" i="1" s="1"/>
  <c r="T189" i="1" s="1"/>
  <c r="K189" i="1"/>
  <c r="E189" i="1"/>
  <c r="D189" i="1"/>
  <c r="P89" i="1"/>
  <c r="L89" i="1"/>
  <c r="M89" i="1" s="1"/>
  <c r="N89" i="1" s="1"/>
  <c r="Q89" i="1" s="1"/>
  <c r="K89" i="1"/>
  <c r="E89" i="1"/>
  <c r="D89" i="1"/>
  <c r="F89" i="1" s="1"/>
  <c r="P28" i="1"/>
  <c r="M28" i="1"/>
  <c r="N28" i="1" s="1"/>
  <c r="Q28" i="1" s="1"/>
  <c r="R28" i="1" s="1"/>
  <c r="S28" i="1" s="1"/>
  <c r="T28" i="1" s="1"/>
  <c r="L28" i="1"/>
  <c r="K28" i="1"/>
  <c r="E28" i="1"/>
  <c r="D28" i="1"/>
  <c r="P57" i="1"/>
  <c r="L57" i="1"/>
  <c r="M57" i="1" s="1"/>
  <c r="N57" i="1" s="1"/>
  <c r="Q57" i="1" s="1"/>
  <c r="R57" i="1" s="1"/>
  <c r="S57" i="1" s="1"/>
  <c r="T57" i="1" s="1"/>
  <c r="K57" i="1"/>
  <c r="E57" i="1"/>
  <c r="D57" i="1"/>
  <c r="P42" i="1"/>
  <c r="M42" i="1"/>
  <c r="N42" i="1" s="1"/>
  <c r="Q42" i="1" s="1"/>
  <c r="R42" i="1" s="1"/>
  <c r="S42" i="1" s="1"/>
  <c r="T42" i="1" s="1"/>
  <c r="L42" i="1"/>
  <c r="K42" i="1"/>
  <c r="E42" i="1"/>
  <c r="D42" i="1"/>
  <c r="P46" i="1"/>
  <c r="L46" i="1"/>
  <c r="M46" i="1" s="1"/>
  <c r="N46" i="1" s="1"/>
  <c r="Q46" i="1" s="1"/>
  <c r="K46" i="1"/>
  <c r="E46" i="1"/>
  <c r="D46" i="1"/>
  <c r="P257" i="1"/>
  <c r="L257" i="1"/>
  <c r="K257" i="1"/>
  <c r="M257" i="1" s="1"/>
  <c r="N257" i="1" s="1"/>
  <c r="Q257" i="1" s="1"/>
  <c r="R257" i="1" s="1"/>
  <c r="S257" i="1" s="1"/>
  <c r="T257" i="1" s="1"/>
  <c r="E257" i="1"/>
  <c r="D257" i="1"/>
  <c r="P6" i="1"/>
  <c r="L6" i="1"/>
  <c r="K6" i="1"/>
  <c r="E6" i="1"/>
  <c r="D6" i="1"/>
  <c r="F6" i="1" l="1"/>
  <c r="F42" i="1"/>
  <c r="F247" i="1"/>
  <c r="M187" i="1"/>
  <c r="N187" i="1" s="1"/>
  <c r="Q187" i="1" s="1"/>
  <c r="R187" i="1" s="1"/>
  <c r="S187" i="1" s="1"/>
  <c r="T187" i="1" s="1"/>
  <c r="M182" i="1"/>
  <c r="N182" i="1" s="1"/>
  <c r="Q182" i="1" s="1"/>
  <c r="R182" i="1" s="1"/>
  <c r="S182" i="1" s="1"/>
  <c r="T182" i="1" s="1"/>
  <c r="F260" i="1"/>
  <c r="M45" i="1"/>
  <c r="N45" i="1" s="1"/>
  <c r="Q45" i="1" s="1"/>
  <c r="R45" i="1" s="1"/>
  <c r="S45" i="1" s="1"/>
  <c r="T45" i="1" s="1"/>
  <c r="F194" i="1"/>
  <c r="F18" i="1"/>
  <c r="M80" i="1"/>
  <c r="N80" i="1" s="1"/>
  <c r="Q80" i="1" s="1"/>
  <c r="R80" i="1" s="1"/>
  <c r="S80" i="1" s="1"/>
  <c r="T80" i="1" s="1"/>
  <c r="F141" i="1"/>
  <c r="M176" i="1"/>
  <c r="N176" i="1" s="1"/>
  <c r="Q176" i="1" s="1"/>
  <c r="R176" i="1" s="1"/>
  <c r="S176" i="1" s="1"/>
  <c r="T176" i="1" s="1"/>
  <c r="M204" i="1"/>
  <c r="N204" i="1" s="1"/>
  <c r="Q204" i="1" s="1"/>
  <c r="R204" i="1" s="1"/>
  <c r="S204" i="1" s="1"/>
  <c r="T204" i="1" s="1"/>
  <c r="F72" i="1"/>
  <c r="M14" i="1"/>
  <c r="N14" i="1" s="1"/>
  <c r="Q14" i="1" s="1"/>
  <c r="R14" i="1" s="1"/>
  <c r="S14" i="1" s="1"/>
  <c r="T14" i="1" s="1"/>
  <c r="F178" i="1"/>
  <c r="M130" i="1"/>
  <c r="N130" i="1" s="1"/>
  <c r="Q130" i="1" s="1"/>
  <c r="R130" i="1" s="1"/>
  <c r="S130" i="1" s="1"/>
  <c r="T130" i="1" s="1"/>
  <c r="F258" i="1"/>
  <c r="M232" i="1"/>
  <c r="N232" i="1" s="1"/>
  <c r="Q232" i="1" s="1"/>
  <c r="R232" i="1" s="1"/>
  <c r="S232" i="1" s="1"/>
  <c r="T232" i="1" s="1"/>
  <c r="M114" i="1"/>
  <c r="N114" i="1" s="1"/>
  <c r="Q114" i="1" s="1"/>
  <c r="R114" i="1" s="1"/>
  <c r="S114" i="1" s="1"/>
  <c r="T114" i="1" s="1"/>
  <c r="F26" i="1"/>
  <c r="M196" i="1"/>
  <c r="N196" i="1" s="1"/>
  <c r="Q196" i="1" s="1"/>
  <c r="R196" i="1" s="1"/>
  <c r="S196" i="1" s="1"/>
  <c r="T196" i="1" s="1"/>
  <c r="F11" i="1"/>
  <c r="M70" i="1"/>
  <c r="N70" i="1" s="1"/>
  <c r="Q70" i="1" s="1"/>
  <c r="R70" i="1" s="1"/>
  <c r="S70" i="1" s="1"/>
  <c r="T70" i="1" s="1"/>
  <c r="F157" i="1"/>
  <c r="F163" i="1"/>
  <c r="M73" i="1"/>
  <c r="N73" i="1" s="1"/>
  <c r="Q73" i="1" s="1"/>
  <c r="R73" i="1" s="1"/>
  <c r="S73" i="1" s="1"/>
  <c r="T73" i="1" s="1"/>
  <c r="F160" i="1"/>
  <c r="F107" i="1"/>
  <c r="M153" i="1"/>
  <c r="N153" i="1" s="1"/>
  <c r="Q153" i="1" s="1"/>
  <c r="R153" i="1" s="1"/>
  <c r="S153" i="1" s="1"/>
  <c r="T153" i="1" s="1"/>
  <c r="R98" i="1"/>
  <c r="S98" i="1" s="1"/>
  <c r="T98" i="1" s="1"/>
  <c r="R247" i="1"/>
  <c r="S247" i="1" s="1"/>
  <c r="T247" i="1" s="1"/>
  <c r="R244" i="1"/>
  <c r="S244" i="1" s="1"/>
  <c r="T244" i="1" s="1"/>
  <c r="M97" i="1"/>
  <c r="N97" i="1" s="1"/>
  <c r="Q97" i="1" s="1"/>
  <c r="R97" i="1" s="1"/>
  <c r="S97" i="1" s="1"/>
  <c r="T97" i="1" s="1"/>
  <c r="M5" i="1"/>
  <c r="N5" i="1" s="1"/>
  <c r="Q5" i="1" s="1"/>
  <c r="R5" i="1" s="1"/>
  <c r="S5" i="1" s="1"/>
  <c r="T5" i="1" s="1"/>
  <c r="R194" i="1"/>
  <c r="S194" i="1" s="1"/>
  <c r="T194" i="1" s="1"/>
  <c r="M12" i="1"/>
  <c r="N12" i="1" s="1"/>
  <c r="Q12" i="1" s="1"/>
  <c r="R12" i="1" s="1"/>
  <c r="S12" i="1" s="1"/>
  <c r="T12" i="1" s="1"/>
  <c r="M146" i="1"/>
  <c r="N146" i="1" s="1"/>
  <c r="Q146" i="1" s="1"/>
  <c r="R146" i="1" s="1"/>
  <c r="S146" i="1" s="1"/>
  <c r="T146" i="1" s="1"/>
  <c r="R250" i="1"/>
  <c r="S250" i="1" s="1"/>
  <c r="T250" i="1" s="1"/>
  <c r="R55" i="1"/>
  <c r="S55" i="1" s="1"/>
  <c r="T55" i="1" s="1"/>
  <c r="R38" i="1"/>
  <c r="S38" i="1" s="1"/>
  <c r="T38" i="1" s="1"/>
  <c r="F20" i="1"/>
  <c r="R72" i="1"/>
  <c r="S72" i="1" s="1"/>
  <c r="T72" i="1" s="1"/>
  <c r="R178" i="1"/>
  <c r="S178" i="1" s="1"/>
  <c r="T178" i="1" s="1"/>
  <c r="R85" i="1"/>
  <c r="S85" i="1" s="1"/>
  <c r="T85" i="1" s="1"/>
  <c r="F208" i="1"/>
  <c r="R154" i="1"/>
  <c r="S154" i="1" s="1"/>
  <c r="T154" i="1" s="1"/>
  <c r="M135" i="1"/>
  <c r="N135" i="1" s="1"/>
  <c r="Q135" i="1" s="1"/>
  <c r="R135" i="1" s="1"/>
  <c r="S135" i="1" s="1"/>
  <c r="T135" i="1" s="1"/>
  <c r="F242" i="1"/>
  <c r="M107" i="1"/>
  <c r="N107" i="1" s="1"/>
  <c r="Q107" i="1" s="1"/>
  <c r="R107" i="1" s="1"/>
  <c r="S107" i="1" s="1"/>
  <c r="T107" i="1" s="1"/>
  <c r="F96" i="1"/>
  <c r="F112" i="1"/>
  <c r="M6" i="1"/>
  <c r="N6" i="1" s="1"/>
  <c r="Q6" i="1" s="1"/>
  <c r="R6" i="1" s="1"/>
  <c r="S6" i="1" s="1"/>
  <c r="T6" i="1" s="1"/>
  <c r="F46" i="1"/>
  <c r="F28" i="1"/>
  <c r="M112" i="1"/>
  <c r="N112" i="1" s="1"/>
  <c r="Q112" i="1" s="1"/>
  <c r="R112" i="1" s="1"/>
  <c r="S112" i="1" s="1"/>
  <c r="T112" i="1" s="1"/>
  <c r="F111" i="1"/>
  <c r="F67" i="1"/>
  <c r="M65" i="1"/>
  <c r="N65" i="1" s="1"/>
  <c r="Q65" i="1" s="1"/>
  <c r="R65" i="1" s="1"/>
  <c r="S65" i="1" s="1"/>
  <c r="T65" i="1" s="1"/>
  <c r="M217" i="1"/>
  <c r="N217" i="1" s="1"/>
  <c r="Q217" i="1" s="1"/>
  <c r="R217" i="1" s="1"/>
  <c r="S217" i="1" s="1"/>
  <c r="T217" i="1" s="1"/>
  <c r="F150" i="1"/>
  <c r="F81" i="1"/>
  <c r="M260" i="1"/>
  <c r="N260" i="1" s="1"/>
  <c r="Q260" i="1" s="1"/>
  <c r="R260" i="1" s="1"/>
  <c r="S260" i="1" s="1"/>
  <c r="T260" i="1" s="1"/>
  <c r="M255" i="1"/>
  <c r="N255" i="1" s="1"/>
  <c r="Q255" i="1" s="1"/>
  <c r="R255" i="1" s="1"/>
  <c r="S255" i="1" s="1"/>
  <c r="T255" i="1" s="1"/>
  <c r="F238" i="1"/>
  <c r="F202" i="1"/>
  <c r="M254" i="1"/>
  <c r="N254" i="1" s="1"/>
  <c r="Q254" i="1" s="1"/>
  <c r="R254" i="1" s="1"/>
  <c r="S254" i="1" s="1"/>
  <c r="T254" i="1" s="1"/>
  <c r="F175" i="1"/>
  <c r="M215" i="1"/>
  <c r="N215" i="1" s="1"/>
  <c r="Q215" i="1" s="1"/>
  <c r="R215" i="1" s="1"/>
  <c r="S215" i="1" s="1"/>
  <c r="T215" i="1" s="1"/>
  <c r="M13" i="1"/>
  <c r="N13" i="1" s="1"/>
  <c r="Q13" i="1" s="1"/>
  <c r="R13" i="1" s="1"/>
  <c r="S13" i="1" s="1"/>
  <c r="T13" i="1" s="1"/>
  <c r="M37" i="1"/>
  <c r="N37" i="1" s="1"/>
  <c r="Q37" i="1" s="1"/>
  <c r="R37" i="1" s="1"/>
  <c r="S37" i="1" s="1"/>
  <c r="T37" i="1" s="1"/>
  <c r="F120" i="1"/>
  <c r="F86" i="1"/>
  <c r="F43" i="1"/>
  <c r="F30" i="1"/>
  <c r="M140" i="1"/>
  <c r="N140" i="1" s="1"/>
  <c r="Q140" i="1" s="1"/>
  <c r="R140" i="1" s="1"/>
  <c r="S140" i="1" s="1"/>
  <c r="T140" i="1" s="1"/>
  <c r="M91" i="1"/>
  <c r="N91" i="1" s="1"/>
  <c r="Q91" i="1" s="1"/>
  <c r="R91" i="1" s="1"/>
  <c r="S91" i="1" s="1"/>
  <c r="T91" i="1" s="1"/>
  <c r="F207" i="1"/>
  <c r="M19" i="1"/>
  <c r="N19" i="1" s="1"/>
  <c r="Q19" i="1" s="1"/>
  <c r="R19" i="1" s="1"/>
  <c r="S19" i="1" s="1"/>
  <c r="T19" i="1" s="1"/>
  <c r="F168" i="1"/>
  <c r="F106" i="1"/>
  <c r="M163" i="1"/>
  <c r="N163" i="1" s="1"/>
  <c r="Q163" i="1" s="1"/>
  <c r="R163" i="1" s="1"/>
  <c r="S163" i="1" s="1"/>
  <c r="T163" i="1" s="1"/>
  <c r="R89" i="1"/>
  <c r="S89" i="1" s="1"/>
  <c r="T89" i="1" s="1"/>
  <c r="F36" i="1"/>
  <c r="M249" i="1"/>
  <c r="N249" i="1" s="1"/>
  <c r="Q249" i="1" s="1"/>
  <c r="R249" i="1" s="1"/>
  <c r="S249" i="1" s="1"/>
  <c r="T249" i="1" s="1"/>
  <c r="F4" i="1"/>
  <c r="M82" i="1"/>
  <c r="N82" i="1" s="1"/>
  <c r="Q82" i="1" s="1"/>
  <c r="R82" i="1" s="1"/>
  <c r="S82" i="1" s="1"/>
  <c r="T82" i="1" s="1"/>
  <c r="M266" i="1"/>
  <c r="N266" i="1" s="1"/>
  <c r="Q266" i="1" s="1"/>
  <c r="R266" i="1" s="1"/>
  <c r="S266" i="1" s="1"/>
  <c r="T266" i="1" s="1"/>
  <c r="M56" i="1"/>
  <c r="N56" i="1" s="1"/>
  <c r="Q56" i="1" s="1"/>
  <c r="R56" i="1" s="1"/>
  <c r="S56" i="1" s="1"/>
  <c r="T56" i="1" s="1"/>
  <c r="F219" i="1"/>
  <c r="F41" i="1"/>
  <c r="R197" i="1"/>
  <c r="S197" i="1" s="1"/>
  <c r="T197" i="1" s="1"/>
  <c r="F93" i="1"/>
  <c r="F121" i="1"/>
  <c r="R39" i="1"/>
  <c r="S39" i="1" s="1"/>
  <c r="T39" i="1" s="1"/>
  <c r="F69" i="1"/>
  <c r="R239" i="1"/>
  <c r="S239" i="1" s="1"/>
  <c r="T239" i="1" s="1"/>
  <c r="F49" i="1"/>
  <c r="R179" i="1"/>
  <c r="S179" i="1" s="1"/>
  <c r="T179" i="1" s="1"/>
  <c r="R137" i="1"/>
  <c r="S137" i="1" s="1"/>
  <c r="T137" i="1" s="1"/>
  <c r="R115" i="1"/>
  <c r="S115" i="1" s="1"/>
  <c r="T115" i="1" s="1"/>
  <c r="M240" i="1"/>
  <c r="N240" i="1" s="1"/>
  <c r="Q240" i="1" s="1"/>
  <c r="R240" i="1" s="1"/>
  <c r="S240" i="1" s="1"/>
  <c r="T240" i="1" s="1"/>
  <c r="R171" i="1"/>
  <c r="S171" i="1" s="1"/>
  <c r="T171" i="1" s="1"/>
  <c r="F174" i="1"/>
  <c r="M143" i="1"/>
  <c r="N143" i="1" s="1"/>
  <c r="Q143" i="1" s="1"/>
  <c r="R143" i="1" s="1"/>
  <c r="S143" i="1" s="1"/>
  <c r="T143" i="1" s="1"/>
  <c r="R235" i="1"/>
  <c r="S235" i="1" s="1"/>
  <c r="T235" i="1" s="1"/>
  <c r="M17" i="1"/>
  <c r="N17" i="1" s="1"/>
  <c r="Q17" i="1" s="1"/>
  <c r="R17" i="1" s="1"/>
  <c r="S17" i="1" s="1"/>
  <c r="T17" i="1" s="1"/>
  <c r="F245" i="1"/>
  <c r="R155" i="1"/>
  <c r="S155" i="1" s="1"/>
  <c r="T155" i="1" s="1"/>
  <c r="R229" i="1"/>
  <c r="S229" i="1" s="1"/>
  <c r="T229" i="1" s="1"/>
  <c r="M105" i="1"/>
  <c r="N105" i="1" s="1"/>
  <c r="Q105" i="1" s="1"/>
  <c r="R105" i="1" s="1"/>
  <c r="S105" i="1" s="1"/>
  <c r="T105" i="1" s="1"/>
  <c r="M63" i="1"/>
  <c r="N63" i="1" s="1"/>
  <c r="Q63" i="1" s="1"/>
  <c r="R63" i="1" s="1"/>
  <c r="S63" i="1" s="1"/>
  <c r="T63" i="1" s="1"/>
  <c r="F263" i="1"/>
  <c r="F8" i="1"/>
  <c r="M184" i="1"/>
  <c r="N184" i="1" s="1"/>
  <c r="Q184" i="1" s="1"/>
  <c r="R184" i="1" s="1"/>
  <c r="S184" i="1" s="1"/>
  <c r="T184" i="1" s="1"/>
  <c r="M2" i="1"/>
  <c r="N2" i="1" s="1"/>
  <c r="T2" i="1" s="1"/>
  <c r="F132" i="1"/>
  <c r="R158" i="1"/>
  <c r="S158" i="1" s="1"/>
  <c r="T158" i="1" s="1"/>
  <c r="F101" i="1"/>
  <c r="R127" i="1"/>
  <c r="S127" i="1" s="1"/>
  <c r="T127" i="1" s="1"/>
  <c r="F110" i="1"/>
  <c r="M167" i="1"/>
  <c r="N167" i="1" s="1"/>
  <c r="Q167" i="1" s="1"/>
  <c r="R167" i="1" s="1"/>
  <c r="S167" i="1" s="1"/>
  <c r="T167" i="1" s="1"/>
  <c r="R11" i="1"/>
  <c r="S11" i="1" s="1"/>
  <c r="T11" i="1" s="1"/>
  <c r="M117" i="1"/>
  <c r="N117" i="1" s="1"/>
  <c r="Q117" i="1" s="1"/>
  <c r="R117" i="1" s="1"/>
  <c r="S117" i="1" s="1"/>
  <c r="T117" i="1" s="1"/>
  <c r="M96" i="1"/>
  <c r="N96" i="1" s="1"/>
  <c r="Q96" i="1" s="1"/>
  <c r="R96" i="1" s="1"/>
  <c r="S96" i="1" s="1"/>
  <c r="T96" i="1" s="1"/>
  <c r="F257" i="1"/>
  <c r="R113" i="1"/>
  <c r="S113" i="1" s="1"/>
  <c r="T113" i="1" s="1"/>
  <c r="F83" i="1"/>
  <c r="F40" i="1"/>
  <c r="M128" i="1"/>
  <c r="N128" i="1" s="1"/>
  <c r="Q128" i="1" s="1"/>
  <c r="R128" i="1" s="1"/>
  <c r="S128" i="1" s="1"/>
  <c r="T128" i="1" s="1"/>
  <c r="R35" i="1"/>
  <c r="S35" i="1" s="1"/>
  <c r="T35" i="1" s="1"/>
  <c r="R145" i="1"/>
  <c r="S145" i="1" s="1"/>
  <c r="T145" i="1" s="1"/>
  <c r="R242" i="1"/>
  <c r="S242" i="1" s="1"/>
  <c r="T242" i="1" s="1"/>
  <c r="R46" i="1"/>
  <c r="S46" i="1" s="1"/>
  <c r="T46" i="1" s="1"/>
  <c r="F57" i="1"/>
  <c r="F189" i="1"/>
  <c r="R76" i="1"/>
  <c r="S76" i="1" s="1"/>
  <c r="T76" i="1" s="1"/>
  <c r="F220" i="1"/>
  <c r="M129" i="1"/>
  <c r="N129" i="1" s="1"/>
  <c r="Q129" i="1" s="1"/>
  <c r="R129" i="1" s="1"/>
  <c r="S129" i="1" s="1"/>
  <c r="T129" i="1" s="1"/>
  <c r="F182" i="1"/>
  <c r="M256" i="1"/>
  <c r="N256" i="1" s="1"/>
  <c r="Q256" i="1" s="1"/>
  <c r="R256" i="1" s="1"/>
  <c r="S256" i="1" s="1"/>
  <c r="T256" i="1" s="1"/>
  <c r="M219" i="1"/>
  <c r="N219" i="1" s="1"/>
  <c r="Q219" i="1" s="1"/>
  <c r="R219" i="1" s="1"/>
  <c r="S219" i="1" s="1"/>
  <c r="T219" i="1" s="1"/>
  <c r="F151" i="1"/>
  <c r="R261" i="1"/>
  <c r="S261" i="1" s="1"/>
  <c r="T261" i="1" s="1"/>
  <c r="F213" i="1"/>
  <c r="M81" i="1"/>
  <c r="N81" i="1" s="1"/>
  <c r="Q81" i="1" s="1"/>
  <c r="R81" i="1" s="1"/>
  <c r="S81" i="1" s="1"/>
  <c r="T81" i="1" s="1"/>
  <c r="R139" i="1"/>
  <c r="S139" i="1" s="1"/>
  <c r="T139" i="1" s="1"/>
  <c r="F265" i="1"/>
  <c r="M243" i="1"/>
  <c r="N243" i="1" s="1"/>
  <c r="Q243" i="1" s="1"/>
  <c r="R243" i="1" s="1"/>
  <c r="S243" i="1" s="1"/>
  <c r="T243" i="1" s="1"/>
  <c r="F68" i="1"/>
  <c r="M238" i="1"/>
  <c r="N238" i="1" s="1"/>
  <c r="Q238" i="1" s="1"/>
  <c r="R238" i="1" s="1"/>
  <c r="S238" i="1" s="1"/>
  <c r="T238" i="1" s="1"/>
  <c r="R172" i="1"/>
  <c r="S172" i="1" s="1"/>
  <c r="T172" i="1" s="1"/>
  <c r="F10" i="1"/>
  <c r="M92" i="1"/>
  <c r="N92" i="1" s="1"/>
  <c r="Q92" i="1" s="1"/>
  <c r="R92" i="1" s="1"/>
  <c r="S92" i="1" s="1"/>
  <c r="T92" i="1" s="1"/>
  <c r="M49" i="1"/>
  <c r="N49" i="1" s="1"/>
  <c r="Q49" i="1" s="1"/>
  <c r="R49" i="1" s="1"/>
  <c r="S49" i="1" s="1"/>
  <c r="T49" i="1" s="1"/>
  <c r="F80" i="1"/>
  <c r="F60" i="1"/>
  <c r="M175" i="1"/>
  <c r="N175" i="1" s="1"/>
  <c r="Q175" i="1" s="1"/>
  <c r="R175" i="1" s="1"/>
  <c r="S175" i="1" s="1"/>
  <c r="T175" i="1" s="1"/>
  <c r="F44" i="1"/>
  <c r="F201" i="1"/>
  <c r="M193" i="1"/>
  <c r="N193" i="1" s="1"/>
  <c r="Q193" i="1" s="1"/>
  <c r="R193" i="1" s="1"/>
  <c r="S193" i="1" s="1"/>
  <c r="T193" i="1" s="1"/>
  <c r="F75" i="1"/>
  <c r="F204" i="1"/>
  <c r="M120" i="1"/>
  <c r="N120" i="1" s="1"/>
  <c r="Q120" i="1" s="1"/>
  <c r="R120" i="1" s="1"/>
  <c r="S120" i="1" s="1"/>
  <c r="T120" i="1" s="1"/>
  <c r="F32" i="1"/>
  <c r="M174" i="1"/>
  <c r="N174" i="1" s="1"/>
  <c r="Q174" i="1" s="1"/>
  <c r="R174" i="1" s="1"/>
  <c r="S174" i="1" s="1"/>
  <c r="T174" i="1" s="1"/>
  <c r="M86" i="1"/>
  <c r="N86" i="1" s="1"/>
  <c r="Q86" i="1" s="1"/>
  <c r="R86" i="1" s="1"/>
  <c r="S86" i="1" s="1"/>
  <c r="T86" i="1" s="1"/>
  <c r="M164" i="1"/>
  <c r="N164" i="1" s="1"/>
  <c r="Q164" i="1" s="1"/>
  <c r="R164" i="1" s="1"/>
  <c r="S164" i="1" s="1"/>
  <c r="T164" i="1" s="1"/>
  <c r="M180" i="1"/>
  <c r="N180" i="1" s="1"/>
  <c r="Q180" i="1" s="1"/>
  <c r="R180" i="1" s="1"/>
  <c r="S180" i="1" s="1"/>
  <c r="T180" i="1" s="1"/>
  <c r="M124" i="1"/>
  <c r="N124" i="1" s="1"/>
  <c r="Q124" i="1" s="1"/>
  <c r="R124" i="1" s="1"/>
  <c r="S124" i="1" s="1"/>
  <c r="T124" i="1" s="1"/>
  <c r="M104" i="1"/>
  <c r="N104" i="1" s="1"/>
  <c r="Q104" i="1" s="1"/>
  <c r="R104" i="1" s="1"/>
  <c r="S104" i="1" s="1"/>
  <c r="T104" i="1" s="1"/>
  <c r="F102" i="1"/>
  <c r="M207" i="1"/>
  <c r="N207" i="1" s="1"/>
  <c r="Q207" i="1" s="1"/>
  <c r="R207" i="1" s="1"/>
  <c r="S207" i="1" s="1"/>
  <c r="T207" i="1" s="1"/>
  <c r="M100" i="1"/>
  <c r="N100" i="1" s="1"/>
  <c r="Q100" i="1" s="1"/>
  <c r="R100" i="1" s="1"/>
  <c r="S100" i="1" s="1"/>
  <c r="T100" i="1" s="1"/>
  <c r="M168" i="1"/>
  <c r="N168" i="1" s="1"/>
  <c r="Q168" i="1" s="1"/>
  <c r="R168" i="1" s="1"/>
  <c r="S168" i="1" s="1"/>
  <c r="T168" i="1" s="1"/>
  <c r="M106" i="1"/>
  <c r="N106" i="1" s="1"/>
  <c r="Q106" i="1" s="1"/>
  <c r="R106" i="1" s="1"/>
  <c r="S106" i="1" s="1"/>
  <c r="T106" i="1" s="1"/>
  <c r="F186" i="1"/>
  <c r="F82" i="1"/>
  <c r="F128" i="1"/>
  <c r="F65" i="1"/>
  <c r="F183" i="1"/>
  <c r="F218" i="1"/>
  <c r="F237" i="1"/>
  <c r="F214" i="1"/>
  <c r="F227" i="1"/>
  <c r="F224" i="1"/>
  <c r="F129" i="1"/>
  <c r="F56" i="1"/>
  <c r="F244" i="1"/>
  <c r="F169" i="1"/>
  <c r="F99" i="1"/>
  <c r="F200" i="1"/>
  <c r="F170" i="1"/>
  <c r="F98" i="1"/>
  <c r="F187" i="1"/>
  <c r="F256" i="1"/>
  <c r="F138" i="1"/>
  <c r="F5" i="1"/>
  <c r="F221" i="1"/>
  <c r="F116" i="1"/>
  <c r="F149" i="1"/>
  <c r="F254" i="1"/>
  <c r="F243" i="1"/>
  <c r="F239" i="1"/>
  <c r="M149" i="1"/>
  <c r="N149" i="1" s="1"/>
  <c r="Q149" i="1" s="1"/>
  <c r="R149" i="1" s="1"/>
  <c r="S149" i="1" s="1"/>
  <c r="T149" i="1" s="1"/>
  <c r="R258" i="1"/>
  <c r="S258" i="1" s="1"/>
  <c r="T258" i="1" s="1"/>
  <c r="R58" i="1"/>
  <c r="S58" i="1" s="1"/>
  <c r="T58" i="1" s="1"/>
  <c r="M264" i="1"/>
  <c r="N264" i="1" s="1"/>
  <c r="Q264" i="1" s="1"/>
  <c r="R264" i="1" s="1"/>
  <c r="S264" i="1" s="1"/>
  <c r="T264" i="1" s="1"/>
  <c r="M126" i="1"/>
  <c r="N126" i="1" s="1"/>
  <c r="Q126" i="1" s="1"/>
  <c r="R126" i="1" s="1"/>
  <c r="S126" i="1" s="1"/>
  <c r="T126" i="1" s="1"/>
  <c r="R253" i="1"/>
  <c r="S253" i="1" s="1"/>
  <c r="T253" i="1" s="1"/>
  <c r="R177" i="1"/>
  <c r="S177" i="1" s="1"/>
  <c r="T177" i="1" s="1"/>
  <c r="R50" i="1"/>
  <c r="S50" i="1" s="1"/>
  <c r="T50" i="1" s="1"/>
  <c r="M205" i="1"/>
  <c r="N205" i="1" s="1"/>
  <c r="Q205" i="1" s="1"/>
  <c r="R205" i="1" s="1"/>
  <c r="S205" i="1" s="1"/>
  <c r="T205" i="1" s="1"/>
  <c r="M156" i="1"/>
  <c r="N156" i="1" s="1"/>
  <c r="Q156" i="1" s="1"/>
  <c r="R156" i="1" s="1"/>
  <c r="S156" i="1" s="1"/>
  <c r="T156" i="1" s="1"/>
  <c r="R84" i="1"/>
  <c r="S84" i="1" s="1"/>
  <c r="T84" i="1" s="1"/>
  <c r="M162" i="1"/>
  <c r="N162" i="1" s="1"/>
  <c r="Q162" i="1" s="1"/>
  <c r="R162" i="1" s="1"/>
  <c r="S162" i="1" s="1"/>
  <c r="T162" i="1" s="1"/>
  <c r="R78" i="1"/>
  <c r="S78" i="1" s="1"/>
  <c r="T78" i="1" s="1"/>
  <c r="M52" i="1"/>
  <c r="N52" i="1" s="1"/>
  <c r="Q52" i="1" s="1"/>
  <c r="R52" i="1" s="1"/>
  <c r="S52" i="1" s="1"/>
  <c r="T52" i="1" s="1"/>
  <c r="R252" i="1"/>
  <c r="S252" i="1" s="1"/>
  <c r="T252" i="1" s="1"/>
  <c r="M75" i="1"/>
  <c r="N75" i="1" s="1"/>
  <c r="Q75" i="1" s="1"/>
  <c r="R75" i="1" s="1"/>
  <c r="S75" i="1" s="1"/>
  <c r="T75" i="1" s="1"/>
  <c r="M123" i="1"/>
  <c r="N123" i="1" s="1"/>
  <c r="Q123" i="1" s="1"/>
  <c r="R123" i="1" s="1"/>
  <c r="S123" i="1" s="1"/>
  <c r="T123" i="1" s="1"/>
  <c r="F164" i="1"/>
  <c r="R192" i="1"/>
  <c r="S192" i="1" s="1"/>
  <c r="T192" i="1" s="1"/>
  <c r="M3" i="1"/>
  <c r="N3" i="1" s="1"/>
  <c r="Q3" i="1" s="1"/>
  <c r="R3" i="1" s="1"/>
  <c r="S3" i="1" s="1"/>
  <c r="T3" i="1" s="1"/>
  <c r="F155" i="1"/>
  <c r="F59" i="1"/>
  <c r="F53" i="1"/>
  <c r="F140" i="1"/>
  <c r="F22" i="1"/>
  <c r="F142" i="1"/>
  <c r="F84" i="1"/>
  <c r="F234" i="1"/>
  <c r="F50" i="1"/>
  <c r="F192" i="1"/>
  <c r="F252" i="1"/>
  <c r="F78" i="1"/>
  <c r="M77" i="1"/>
  <c r="N77" i="1" s="1"/>
  <c r="Q77" i="1" s="1"/>
  <c r="R77" i="1" s="1"/>
  <c r="S77" i="1" s="1"/>
  <c r="T77" i="1" s="1"/>
  <c r="F95" i="1"/>
  <c r="F52" i="1"/>
  <c r="F162" i="1"/>
  <c r="F205" i="1"/>
  <c r="F3" i="1"/>
  <c r="F130" i="1"/>
  <c r="F180" i="1"/>
  <c r="F31" i="1"/>
  <c r="F63" i="1"/>
  <c r="F15" i="1"/>
  <c r="F104" i="1"/>
  <c r="F233" i="1"/>
  <c r="F74" i="1"/>
  <c r="M110" i="1"/>
  <c r="N110" i="1" s="1"/>
  <c r="Q110" i="1" s="1"/>
  <c r="R110" i="1" s="1"/>
  <c r="S110" i="1" s="1"/>
  <c r="T110" i="1" s="1"/>
  <c r="F143" i="1"/>
  <c r="F17" i="1"/>
  <c r="F105" i="1"/>
  <c r="F210" i="1"/>
  <c r="F124" i="1"/>
  <c r="F91" i="1"/>
  <c r="F2" i="1"/>
  <c r="R226" i="1"/>
  <c r="S226" i="1" s="1"/>
  <c r="T226" i="1" s="1"/>
  <c r="F196" i="1"/>
  <c r="F185" i="1"/>
  <c r="F25" i="1"/>
  <c r="F34" i="1"/>
  <c r="F161" i="1"/>
  <c r="F109" i="1"/>
  <c r="F154" i="1"/>
  <c r="F77" i="1"/>
  <c r="F191" i="1"/>
  <c r="F29" i="1"/>
  <c r="F19" i="1"/>
  <c r="F117" i="1"/>
  <c r="F61" i="1"/>
</calcChain>
</file>

<file path=xl/sharedStrings.xml><?xml version="1.0" encoding="utf-8"?>
<sst xmlns="http://schemas.openxmlformats.org/spreadsheetml/2006/main" count="1087" uniqueCount="572">
  <si>
    <t>placeID</t>
  </si>
  <si>
    <t>fileID</t>
  </si>
  <si>
    <t>datetime</t>
  </si>
  <si>
    <t>Date(rad)</t>
  </si>
  <si>
    <t>Time(rad)</t>
  </si>
  <si>
    <t>time</t>
  </si>
  <si>
    <t>ExifImageHeight</t>
  </si>
  <si>
    <t>ExifImageWidth</t>
  </si>
  <si>
    <t>Xobj(px)</t>
  </si>
  <si>
    <t>Yobj(px)</t>
  </si>
  <si>
    <t>XSensor(mm)</t>
  </si>
  <si>
    <t>YSensor(mm)</t>
  </si>
  <si>
    <t>LengthSensor(mm)</t>
  </si>
  <si>
    <t>distance</t>
  </si>
  <si>
    <t>DistanceFromEdgeTo Obj(px)</t>
  </si>
  <si>
    <t>DistanceFromMidToObj(px)</t>
  </si>
  <si>
    <t>DistanceFromMidToSide(m)</t>
  </si>
  <si>
    <t>DistanceFromMidToObj(m)</t>
  </si>
  <si>
    <t>Deg</t>
  </si>
  <si>
    <t>absangle</t>
  </si>
  <si>
    <t>MAPP4</t>
  </si>
  <si>
    <t>IMG_0152_grid_compass.JPG</t>
  </si>
  <si>
    <t>2019:06:06 00:45:49</t>
  </si>
  <si>
    <t>HAPP17</t>
  </si>
  <si>
    <t>IMG_0402_grid_compass.JPG</t>
  </si>
  <si>
    <t>2019:08:28 22:07:50</t>
  </si>
  <si>
    <t>HAPP20</t>
  </si>
  <si>
    <t>IMG_0890_grid_compass.JPG</t>
  </si>
  <si>
    <t>2019:06:26 00:56:32</t>
  </si>
  <si>
    <t>IMG_0881_grid_compass.JPG</t>
  </si>
  <si>
    <t>2019:06:25 21:59:26</t>
  </si>
  <si>
    <t>IMG_2458_grid_compass.JPG</t>
  </si>
  <si>
    <t>2019:06:28 19:47:40</t>
  </si>
  <si>
    <t>MOPP14</t>
  </si>
  <si>
    <t>IMG_2822_grid_compass.JPG</t>
  </si>
  <si>
    <t>2019:06:24 23:15:38</t>
  </si>
  <si>
    <t>IMG_4308_grid_compass.JPG</t>
  </si>
  <si>
    <t>2019:07:03 02:38:02</t>
  </si>
  <si>
    <t>IMG_1730_grid_compass.JPG</t>
  </si>
  <si>
    <t>2019:08:10 03:29:21</t>
  </si>
  <si>
    <t>SHPP9</t>
  </si>
  <si>
    <t>IMG_0044_grid_compass.JPG</t>
  </si>
  <si>
    <t>2019:08:24 01:33:48</t>
  </si>
  <si>
    <t>DEPP6</t>
  </si>
  <si>
    <t>IMG_0852_grid_compass.JPG</t>
  </si>
  <si>
    <t>2019:07:14 04:31:17</t>
  </si>
  <si>
    <t>IMG_3716_grid_compass.JPG</t>
  </si>
  <si>
    <t>2019:07:02 00:43:13</t>
  </si>
  <si>
    <t>DEPP7</t>
  </si>
  <si>
    <t>IMG_0528_grid_compass.JPG</t>
  </si>
  <si>
    <t>2019:07:10 01:08:42</t>
  </si>
  <si>
    <t>IMG_0060_grid_compass.JPG</t>
  </si>
  <si>
    <t>2019:08:24 01:34:50</t>
  </si>
  <si>
    <t>IMG_0246_grid_compass.JPG</t>
  </si>
  <si>
    <t>2019:06:25 00:34:52</t>
  </si>
  <si>
    <t>IMG_1199_grid_compass.JPG</t>
  </si>
  <si>
    <t>2019:08:28 02:56:24</t>
  </si>
  <si>
    <t>IMG_1739_grid_compass.JPG</t>
  </si>
  <si>
    <t>2019:08:29 03:56:12</t>
  </si>
  <si>
    <t>IMG_0146_grid_compass.JPG</t>
  </si>
  <si>
    <t>2019:06:06 00:45:32</t>
  </si>
  <si>
    <t>ear length</t>
  </si>
  <si>
    <t>5cm</t>
  </si>
  <si>
    <t>IMG_0525_grid_compass_1.JPG</t>
  </si>
  <si>
    <t>2019:07:10 01:08:41</t>
  </si>
  <si>
    <t>IMG_0050_grid_compass_2.JPG</t>
  </si>
  <si>
    <t>2019:08:24 01:34:13</t>
  </si>
  <si>
    <t>GIPP22</t>
  </si>
  <si>
    <t>IMG_0170_grid_compass.JPG</t>
  </si>
  <si>
    <t>2019:08:11 05:24:08</t>
  </si>
  <si>
    <t>IMG_4251_grid_compass.JPG</t>
  </si>
  <si>
    <t>2019:07:02 19:55:09</t>
  </si>
  <si>
    <t>IMG_2906_grid_compass.JPG</t>
  </si>
  <si>
    <t>2019:06:29 23:46:48</t>
  </si>
  <si>
    <t>IMG_0242_grid_compass (2).JPG</t>
  </si>
  <si>
    <t>2019:08:08 00:18:46</t>
  </si>
  <si>
    <t>IMG_0058_grid_compass.JPG</t>
  </si>
  <si>
    <t>2019:08:24 01:34:49</t>
  </si>
  <si>
    <t>IMG_2268_grid_compass.JPG</t>
  </si>
  <si>
    <t>2019:08:29 22:35:44</t>
  </si>
  <si>
    <t>IMG_0336_grid_compass.JPG</t>
  </si>
  <si>
    <t>2019:08:27 00:39:06</t>
  </si>
  <si>
    <t>IMG_4254_grid_compass.JPG</t>
  </si>
  <si>
    <t>2019:07:02 19:55:10</t>
  </si>
  <si>
    <t>IMG_0462_grid_compass.JPG</t>
  </si>
  <si>
    <t>2019:07:23 20:45:29</t>
  </si>
  <si>
    <t>IMG_0342_grid_compass.JPG</t>
  </si>
  <si>
    <t>2019:07:08 22:27:16</t>
  </si>
  <si>
    <t>IMG_0339_grid_compass.JPG</t>
  </si>
  <si>
    <t>2019:07:08 22:27:15</t>
  </si>
  <si>
    <t>IMG_0876_grid_compass.JPG</t>
  </si>
  <si>
    <t>2019:06:25 19:26:40</t>
  </si>
  <si>
    <t>IMG_0458_grid_compass.JPG</t>
  </si>
  <si>
    <t>2019:07:23 20:45:28</t>
  </si>
  <si>
    <t>IMG_1196_grid_compass.JPG</t>
  </si>
  <si>
    <t>2019:08:28 02:56:23</t>
  </si>
  <si>
    <t>IMG_4325_grid_compass.JPG</t>
  </si>
  <si>
    <t>2019:08:14 04:00:51</t>
  </si>
  <si>
    <t>IMG_0523_grid_compass_1.JPG</t>
  </si>
  <si>
    <t>2019:07:10 01:08:40</t>
  </si>
  <si>
    <t>IMG_2456_grid_compass.JPG</t>
  </si>
  <si>
    <t>2019:06:28 19:47:39</t>
  </si>
  <si>
    <t>IMG_0172_grid_compass.JPG</t>
  </si>
  <si>
    <t>2019:08:11 05:24:09</t>
  </si>
  <si>
    <t>IMG_1676_grid_compass.JPG</t>
  </si>
  <si>
    <t>2019:08:09 22:08:30</t>
  </si>
  <si>
    <t>IMG_2910_grid_compass.JPG</t>
  </si>
  <si>
    <t>2019:06:29 23:46:49</t>
  </si>
  <si>
    <t>HAPP13</t>
  </si>
  <si>
    <t>IMG_0635_grid_compass.JPG</t>
  </si>
  <si>
    <t>2019:06:29 21:33:36</t>
  </si>
  <si>
    <t>IMG_1664_grid_compass.JPG</t>
  </si>
  <si>
    <t>2019:08:09 22:04:54</t>
  </si>
  <si>
    <t>IMG_2696_grid_compass.JPG</t>
  </si>
  <si>
    <t>2019:08:25 20:02:57</t>
  </si>
  <si>
    <t>IMG_4305_grid_compass.JPG</t>
  </si>
  <si>
    <t>2019:07:03 02:38:01</t>
  </si>
  <si>
    <t>IMG_1187_grid_compass.JPG</t>
  </si>
  <si>
    <t>2019:08:28 02:13:31</t>
  </si>
  <si>
    <t>IMG_0244_grid_compass.JPG</t>
  </si>
  <si>
    <t>2019:08:08 00:18:47</t>
  </si>
  <si>
    <t>IMG_0400_grid_compass_1.JPG</t>
  </si>
  <si>
    <t>2019:08:28 22:07:49</t>
  </si>
  <si>
    <t>IMG_0242_grid_compass.JPG</t>
  </si>
  <si>
    <t>2019:06:25 00:34:51</t>
  </si>
  <si>
    <t>IMG_1667_grid_compass.JPG</t>
  </si>
  <si>
    <t>2019:08:09 22:04:55</t>
  </si>
  <si>
    <t>IMG_0047_grid_compass.JPG</t>
  </si>
  <si>
    <t>2019:08:24 01:33:49</t>
  </si>
  <si>
    <t>IMG_0576_grid_compass.JPG</t>
  </si>
  <si>
    <t>2019:08:18 05:36:38</t>
  </si>
  <si>
    <t>IMG_4240_grid_compass.JPG</t>
  </si>
  <si>
    <t>2019:07:29 19:01:03</t>
  </si>
  <si>
    <t>IMG_0878_grid_compass.JPG</t>
  </si>
  <si>
    <t>2019:06:25 21:59:25</t>
  </si>
  <si>
    <t>IMG_1736_grid_compass.JPG</t>
  </si>
  <si>
    <t>2019:08:29 03:56:11</t>
  </si>
  <si>
    <t>IMG_2699_grid_compass.JPG</t>
  </si>
  <si>
    <t>2019:08:25 20:02:58</t>
  </si>
  <si>
    <t>IMG_0056_grid_compass_1.JPG</t>
  </si>
  <si>
    <t>2019:08:24 01:34:48</t>
  </si>
  <si>
    <t>IMG_0337_grid_compass.JPG</t>
  </si>
  <si>
    <t>2019:07:08 22:27:14</t>
  </si>
  <si>
    <t>IMG_4303_grid_compass.JPG</t>
  </si>
  <si>
    <t>2019:07:03 02:38:00</t>
  </si>
  <si>
    <t>IMG_0573_grid_compass.JPG</t>
  </si>
  <si>
    <t>2019:08:18 05:36:37</t>
  </si>
  <si>
    <t>IMG_4238_grid_compass.JPG</t>
  </si>
  <si>
    <t>2019:07:29 19:01:02</t>
  </si>
  <si>
    <t>IMG_2258_grid_compass.JPG</t>
  </si>
  <si>
    <t>2019:08:10 23:33:18</t>
  </si>
  <si>
    <t>IMG_4322_grid_compass.JPG</t>
  </si>
  <si>
    <t>2019:08:14 04:00:50</t>
  </si>
  <si>
    <t>IMG_4249_grid_compass.JPG</t>
  </si>
  <si>
    <t>2019:07:02 19:55:08</t>
  </si>
  <si>
    <t>IMG_0632_grid_compass_1.JPG</t>
  </si>
  <si>
    <t>2019:06:29 21:33:35</t>
  </si>
  <si>
    <t>IMG_2322_grid_compass.JPG</t>
  </si>
  <si>
    <t>2019:07:26 23:49:01</t>
  </si>
  <si>
    <t>IMG_0332_grid_compass.JPG</t>
  </si>
  <si>
    <t>2019:08:27 00:39:05</t>
  </si>
  <si>
    <t>IMG_2264_grid_compass.JPG</t>
  </si>
  <si>
    <t>2019:08:29 22:35:43</t>
  </si>
  <si>
    <t>IMG_1184_grid_compass.JPG</t>
  </si>
  <si>
    <t>2019:08:28 02:13:30</t>
  </si>
  <si>
    <t>IMG_1728_grid_compass.JPG</t>
  </si>
  <si>
    <t>2019:08:29 03:07:20</t>
  </si>
  <si>
    <t>IMG_2942_grid_compass.JPG</t>
  </si>
  <si>
    <t>2019:06:30 01:46:27</t>
  </si>
  <si>
    <t>IMG_1114_grid_compass.JPG</t>
  </si>
  <si>
    <t>2019:07:03 21:39:24</t>
  </si>
  <si>
    <t>IMG_0053_grid_compass.JPG</t>
  </si>
  <si>
    <t>2019:08:24 01:34:14</t>
  </si>
  <si>
    <t>IMG_0398_grid_compass_1.JPG</t>
  </si>
  <si>
    <t>2019:08:28 22:07:48</t>
  </si>
  <si>
    <t>IMG_0888_grid_compass.JPG</t>
  </si>
  <si>
    <t>2019:06:26 00:53:28</t>
  </si>
  <si>
    <t>IMG_0155_grid_compass.JPG</t>
  </si>
  <si>
    <t>2019:06:06 00:45:50</t>
  </si>
  <si>
    <t>IMG_0361_grid_compass.JPG</t>
  </si>
  <si>
    <t>2019:08:27 01:37:17</t>
  </si>
  <si>
    <t>IMG_1680_grid_compass.JPG</t>
  </si>
  <si>
    <t>2019:08:09 22:08:31</t>
  </si>
  <si>
    <t>IMG_0149_grid_compass.JPG</t>
  </si>
  <si>
    <t>2019:06:06 00:45:33</t>
  </si>
  <si>
    <t>HAPP18</t>
  </si>
  <si>
    <t>IMG_1055_grid_compass.JPG</t>
  </si>
  <si>
    <t>2019:07:18 21:10:56</t>
  </si>
  <si>
    <t>IMG_1656_grid_compass.JPG</t>
  </si>
  <si>
    <t>2019:08:09 22:02:05</t>
  </si>
  <si>
    <t>IMG_0872_grid_compass.JPG</t>
  </si>
  <si>
    <t>2019:06:25 19:26:39</t>
  </si>
  <si>
    <t>DEPP1</t>
  </si>
  <si>
    <t>IMG_0054_grid_compass.JPG</t>
  </si>
  <si>
    <t>2019:07:13 06:47:44</t>
  </si>
  <si>
    <t>IMG_2789_grid_compass.JPG</t>
  </si>
  <si>
    <t>2019:08:12 00:52:18</t>
  </si>
  <si>
    <t>IMG_0209_grid_compass.JPG</t>
  </si>
  <si>
    <t>2019:08:09 00:27:47</t>
  </si>
  <si>
    <t>IMG_4320_grid_compass.JPG</t>
  </si>
  <si>
    <t>2019:08:14 03:36:16</t>
  </si>
  <si>
    <t>IMG_2319_grid_compass.JPG</t>
  </si>
  <si>
    <t>2019:07:26 23:49:00</t>
  </si>
  <si>
    <t>IMG_2945_grid_compass.JPG</t>
  </si>
  <si>
    <t>2019:06:30 01:46:28</t>
  </si>
  <si>
    <t>IMG_0363_grid_compass.JPG</t>
  </si>
  <si>
    <t>2019:08:27 01:37:18</t>
  </si>
  <si>
    <t>HAPP15</t>
  </si>
  <si>
    <t>IMG_2676_grid_compass.JPG</t>
  </si>
  <si>
    <t>2019:06:07 23:05:48</t>
  </si>
  <si>
    <t>IMG_3504_grid_compass.JPG</t>
  </si>
  <si>
    <t>2019:07:29 02:12:25</t>
  </si>
  <si>
    <t>IMG_0215_grid_compass_1.JPG</t>
  </si>
  <si>
    <t>2019:08:07 22:16:39</t>
  </si>
  <si>
    <t>HAPP23</t>
  </si>
  <si>
    <t>IMG_0203_grid_compass.JPG</t>
  </si>
  <si>
    <t>2019:07:24 18:59:57</t>
  </si>
  <si>
    <t>IMG_4218_grid_compass.JPG</t>
  </si>
  <si>
    <t>2019:08:14 00:20:56</t>
  </si>
  <si>
    <t>GIPP21</t>
  </si>
  <si>
    <t>IMG_0320_grid.JPG</t>
  </si>
  <si>
    <t>2019:07:19 01:38:33</t>
  </si>
  <si>
    <t>IMG_1112_grid_compass.JPG</t>
  </si>
  <si>
    <t>2019:07:03 21:39:23</t>
  </si>
  <si>
    <t>IMG_0271_grid_compass.JPG</t>
  </si>
  <si>
    <t>2019:08:10 22:52:45</t>
  </si>
  <si>
    <t>IMG_0302_grid_compass.JPG</t>
  </si>
  <si>
    <t>2019:08:26 20:39:05</t>
  </si>
  <si>
    <t>IMG_1300_grid_compass.JPG</t>
  </si>
  <si>
    <t>2019:06:26 21:48:12</t>
  </si>
  <si>
    <t>IMG_0850_grid_compass.JPG</t>
  </si>
  <si>
    <t>2019:07:14 04:31:16</t>
  </si>
  <si>
    <t>IMG_0942_grid_compass.JPG</t>
  </si>
  <si>
    <t>2019:06:14 04:20:59</t>
  </si>
  <si>
    <t>IMG_1072_grid_compass.JPG</t>
  </si>
  <si>
    <t>2019:08:09 02:41:45</t>
  </si>
  <si>
    <t>IMG_0744_grid_compass.JPG</t>
  </si>
  <si>
    <t>2019:07:02 04:56:41</t>
  </si>
  <si>
    <t>IMG_1193_grid_compass.JPG</t>
  </si>
  <si>
    <t>2019:08:28 02:56:15</t>
  </si>
  <si>
    <t>IMG_1692_grid_compass.JPG</t>
  </si>
  <si>
    <t>2019:08:28 21:16:38</t>
  </si>
  <si>
    <t>IMG_1940_grid_compass.JPG</t>
  </si>
  <si>
    <t>2019:06:27 20:23:10</t>
  </si>
  <si>
    <t>IMG_0300_grid_compass.JPG</t>
  </si>
  <si>
    <t>2019:08:26 20:38:52</t>
  </si>
  <si>
    <t>IMG_2496_grid_compass.JPG</t>
  </si>
  <si>
    <t>2019:06:28 23:46:25</t>
  </si>
  <si>
    <t>IMG_4224_grid_compass.JPG</t>
  </si>
  <si>
    <t>2019:08:14 00:23:34</t>
  </si>
  <si>
    <t>IMG_1063_grid_compass.JPG</t>
  </si>
  <si>
    <t>2019:08:09 02:32:11</t>
  </si>
  <si>
    <t>IMG_2317_grid_compass.JPG</t>
  </si>
  <si>
    <t>2019:07:26 23:48:59</t>
  </si>
  <si>
    <t>IMG_0886_grid_compass.JPG</t>
  </si>
  <si>
    <t>2019:06:26 00:53:27</t>
  </si>
  <si>
    <t>IMG_1725_grid_compass.JPG</t>
  </si>
  <si>
    <t>2019:08:29 03:07:19</t>
  </si>
  <si>
    <t>IMG_0571_grid_compass.JPG</t>
  </si>
  <si>
    <t>2019:08:18 05:36:36</t>
  </si>
  <si>
    <t>IMG_2786_grid.JPG</t>
  </si>
  <si>
    <t>2019:08:12 00:52:17</t>
  </si>
  <si>
    <t>IMG_2250_grid_compass.JPG</t>
  </si>
  <si>
    <t>2019:08:10 20:34:56</t>
  </si>
  <si>
    <t>IMG_0052_grid_compass.JPG</t>
  </si>
  <si>
    <t>2019:07:13 06:47:43</t>
  </si>
  <si>
    <t>IMG_0198_grid_compass.JPG</t>
  </si>
  <si>
    <t>2019:06:30 23:12:38</t>
  </si>
  <si>
    <t>IMG_0924_grid_compass.JPG</t>
  </si>
  <si>
    <t>2019:07:24 22:05:04</t>
  </si>
  <si>
    <t>IMG_0366_grid_compass.JPG</t>
  </si>
  <si>
    <t>2019:08:27 01:37:19</t>
  </si>
  <si>
    <t>DEPP2</t>
  </si>
  <si>
    <t>IMG_0011_grid_compass.JPG</t>
  </si>
  <si>
    <t>2019:06:10 22:29:48</t>
  </si>
  <si>
    <t>IMG_2243_grid_compass.JPG</t>
  </si>
  <si>
    <t>2019:08:29 20:18:37</t>
  </si>
  <si>
    <t>IMG_1306_grid_compass.JPG</t>
  </si>
  <si>
    <t>2019:06:26 22:06:38</t>
  </si>
  <si>
    <t>IMG_2376_grid.JPG</t>
  </si>
  <si>
    <t>2019:07:27 03:17:27</t>
  </si>
  <si>
    <t>IMG_2712_grid_compass.JPG</t>
  </si>
  <si>
    <t>2019:07:27 20:47:30</t>
  </si>
  <si>
    <t>IMG_4260_grid_compass.JPG</t>
  </si>
  <si>
    <t>2019:07:29 21:05:19</t>
  </si>
  <si>
    <t>IMG_1298_grid_compass.JPG</t>
  </si>
  <si>
    <t>2019:06:26 21:48:11</t>
  </si>
  <si>
    <t>IMG_0320_grid_compass.JPG</t>
  </si>
  <si>
    <t>2019:06:11 01:39:55</t>
  </si>
  <si>
    <t>IMG_0866_grid_compass.JPG</t>
  </si>
  <si>
    <t>2019:06:25 19:23:54</t>
  </si>
  <si>
    <t>LAPP25</t>
  </si>
  <si>
    <t>IMG_0336_grid_compass (2).JPG</t>
  </si>
  <si>
    <t>2019:07:20 02:57:17</t>
  </si>
  <si>
    <t>IMG_4318_grid_compass.JPG</t>
  </si>
  <si>
    <t>2019:08:14 03:36:15</t>
  </si>
  <si>
    <t>IMG_1202_grid_compass.JPG</t>
  </si>
  <si>
    <t>2019:08:28 02:56:32</t>
  </si>
  <si>
    <t>IMG_1065_grid.JPG</t>
  </si>
  <si>
    <t>2019:08:09 02:32:12</t>
  </si>
  <si>
    <t>IMG_0323_grid.JPG</t>
  </si>
  <si>
    <t>2019:07:19 01:38:34</t>
  </si>
  <si>
    <t>IMG_0206_grid_compass.JPG</t>
  </si>
  <si>
    <t>2019:08:09 00:27:46</t>
  </si>
  <si>
    <t>IMG_3491_grid_compass.JPG</t>
  </si>
  <si>
    <t>2019:08:13 03:43:07</t>
  </si>
  <si>
    <t>IMG_1052_grid_compass.JPG</t>
  </si>
  <si>
    <t>2019:07:18 21:10:55</t>
  </si>
  <si>
    <t>IMG_0338_grid_compass.JPG</t>
  </si>
  <si>
    <t>2019:07:20 02:57:31</t>
  </si>
  <si>
    <t>IMG_0234_grid_compass.JPG</t>
  </si>
  <si>
    <t>2019:06:25 00:31:14</t>
  </si>
  <si>
    <t>IMG_2673_grid_compass.JPG</t>
  </si>
  <si>
    <t>2019:06:07 23:05:47</t>
  </si>
  <si>
    <t>IMG_2819_grid_compass.JPG</t>
  </si>
  <si>
    <t>2019:06:24 23:15:25</t>
  </si>
  <si>
    <t>IMG_1942_grid_compass.JPG</t>
  </si>
  <si>
    <t>2019:06:27 20:23:11</t>
  </si>
  <si>
    <t>IMG_0893_grid_compass.JPG</t>
  </si>
  <si>
    <t>2019:06:26 00:56:33</t>
  </si>
  <si>
    <t>IMG_0273_grid_compass.JPG</t>
  </si>
  <si>
    <t>2019:08:10 22:52:46</t>
  </si>
  <si>
    <t>IMG_1732_grid_compass.JPG</t>
  </si>
  <si>
    <t>2019:08:10 03:29:22</t>
  </si>
  <si>
    <t>IMG_0868_grid_compass.JPG</t>
  </si>
  <si>
    <t>2019:06:25 19:23:55</t>
  </si>
  <si>
    <t>IMG_3501_grid_compass.JPG</t>
  </si>
  <si>
    <t>2019:07:29 02:12:24</t>
  </si>
  <si>
    <t>IMG_1061_grid_compass.JPG</t>
  </si>
  <si>
    <t>2019:08:09 02:32:04</t>
  </si>
  <si>
    <t>IMG_0502_grid_compass_1.JPG</t>
  </si>
  <si>
    <t>2019:06:16 05:09:40</t>
  </si>
  <si>
    <t>IMG_3330_grid_compass.JPG</t>
  </si>
  <si>
    <t>2019:06:30 21:24:12</t>
  </si>
  <si>
    <t>IMG_0323_grid_compass.JPG</t>
  </si>
  <si>
    <t>2019:06:11 01:39:56</t>
  </si>
  <si>
    <t>SHPP10</t>
  </si>
  <si>
    <t>IMG_0354_grid_compass.JPG</t>
  </si>
  <si>
    <t>2019:07:27 20:18:16</t>
  </si>
  <si>
    <t>IMG_1070_grid_compass.JPG</t>
  </si>
  <si>
    <t>2019:08:09 02:41:44</t>
  </si>
  <si>
    <t>IMG_0236_grid_compass.JPG</t>
  </si>
  <si>
    <t>2019:06:25 00:31:21</t>
  </si>
  <si>
    <t>IMG_2261_grid_compass.JPG</t>
  </si>
  <si>
    <t>2019:08:10 23:33:19</t>
  </si>
  <si>
    <t>IMG_4302_grid_compass.JPG</t>
  </si>
  <si>
    <t>2019:07:03 02:33:14</t>
  </si>
  <si>
    <t>IMG_0330_grid_compass.JPG</t>
  </si>
  <si>
    <t>2019:08:27 00:38:58</t>
  </si>
  <si>
    <t>IMG_0200_grid_compass.JPG</t>
  </si>
  <si>
    <t>2019:07:24 18:59:56</t>
  </si>
  <si>
    <t>IMG_0212_grid_compass.JPG</t>
  </si>
  <si>
    <t>2019:08:07 22:16:38</t>
  </si>
  <si>
    <t>IMG_4297_grid_compass.JPG</t>
  </si>
  <si>
    <t>2019:07:03 02:33:12</t>
  </si>
  <si>
    <t>IMG_4299_grid_compass.JPG</t>
  </si>
  <si>
    <t>2019:07:03 02:33:13</t>
  </si>
  <si>
    <t>IMG_4272_grid_compass.JPG</t>
  </si>
  <si>
    <t>2019:07:30 00:26:47</t>
  </si>
  <si>
    <t>IMG_1689_grid_compass.JPG</t>
  </si>
  <si>
    <t>2019:08:28 21:16:37</t>
  </si>
  <si>
    <t>IMG_1168_grid_compass_1.JPG</t>
  </si>
  <si>
    <t>2019:07:07 22:50:22</t>
  </si>
  <si>
    <t>IMG_4221_grid_compass.JPG</t>
  </si>
  <si>
    <t>2019:08:14 00:23:33</t>
  </si>
  <si>
    <t>IMG_1723_grid_compass.JPG</t>
  </si>
  <si>
    <t>2019:08:29 03:07:18</t>
  </si>
  <si>
    <t>IMG_0305_grid_compass.JPG</t>
  </si>
  <si>
    <t>2019:08:26 20:39:06</t>
  </si>
  <si>
    <t>IMG_0938_grid_compass_1.JPG</t>
  </si>
  <si>
    <t>2019:06:14 04:20:58</t>
  </si>
  <si>
    <t>IMG_0741_grid_compass.JPG</t>
  </si>
  <si>
    <t>2019:07:02 04:56:40</t>
  </si>
  <si>
    <t>IMG_1190_grid_compass.JPG</t>
  </si>
  <si>
    <t>2019:08:28 02:56:14</t>
  </si>
  <si>
    <t>IMG_2709_grid_compass.JPG</t>
  </si>
  <si>
    <t>2019:07:27 20:47:29</t>
  </si>
  <si>
    <t>IMG_4257_grid_compass.JPG</t>
  </si>
  <si>
    <t>2019:07:29 21:05:18</t>
  </si>
  <si>
    <t>IMG_0510_grid_compass.JPG</t>
  </si>
  <si>
    <t>2019:06:16 05:09:53</t>
  </si>
  <si>
    <t>IMG_1652_grid_compass.JPG</t>
  </si>
  <si>
    <t>2019:08:09 22:02:04</t>
  </si>
  <si>
    <t>IMG_0296_grid_compass.JPG</t>
  </si>
  <si>
    <t>2019:08:26 20:38:51</t>
  </si>
  <si>
    <t>IMG_0328_grid_compass.JPG</t>
  </si>
  <si>
    <t>2019:08:27 00:38:57</t>
  </si>
  <si>
    <t>IMG_0050_grid_compass.JPG</t>
  </si>
  <si>
    <t>2019:07:13 06:47:42</t>
  </si>
  <si>
    <t>IMG_0884_grid_compass.JPG</t>
  </si>
  <si>
    <t>2019:06:26 00:53:26</t>
  </si>
  <si>
    <t>IMG_1068_grid.JPG</t>
  </si>
  <si>
    <t>2019:08:09 02:32:13</t>
  </si>
  <si>
    <t>IMG_1310_grid_compass_1.JPG</t>
  </si>
  <si>
    <t>2019:06:26 22:10:23</t>
  </si>
  <si>
    <t>IMG_0232_grid_compass.JPG</t>
  </si>
  <si>
    <t>2019:06:25 00:31:13</t>
  </si>
  <si>
    <t>IMG_0366_grid_compass (2).JPG</t>
  </si>
  <si>
    <t>2019:07:08 23:15:54</t>
  </si>
  <si>
    <t>IMG_1205_grid_compass.JPG</t>
  </si>
  <si>
    <t>2019:08:28 02:56:33</t>
  </si>
  <si>
    <t>IMG_2493_grid_compass.JPG</t>
  </si>
  <si>
    <t>2019:06:28 23:46:24</t>
  </si>
  <si>
    <t>IMG_0230_grid_compass.JPG</t>
  </si>
  <si>
    <t>2019:06:25 00:31:12</t>
  </si>
  <si>
    <t>IMG_1304_grid_compass.JPG</t>
  </si>
  <si>
    <t>2019:06:26 22:06:37</t>
  </si>
  <si>
    <t>IMG_0921_grid_compass.JPG</t>
  </si>
  <si>
    <t>2019:07:24 22:05:03</t>
  </si>
  <si>
    <t>IMG_0272_grid_compass.JPG</t>
  </si>
  <si>
    <t>2019:08:01 19:22:42</t>
  </si>
  <si>
    <t>IMG_2508_grid_compass.JPG</t>
  </si>
  <si>
    <t>2019:06:29 01:35:05</t>
  </si>
  <si>
    <t>IMG_4316_grid_compass.JPG</t>
  </si>
  <si>
    <t>2019:08:14 03:36:14</t>
  </si>
  <si>
    <t>IMG_2240_grid_compass.JPG</t>
  </si>
  <si>
    <t>2019:08:29 20:18:36</t>
  </si>
  <si>
    <t>IMG_1312_grid.JPG</t>
  </si>
  <si>
    <t>2019:06:26 22:10:24</t>
  </si>
  <si>
    <t>IMG_2816_grid_compass.JPG</t>
  </si>
  <si>
    <t>2019:06:24 23:15:24</t>
  </si>
  <si>
    <t>IMG_2246_grid_compass.JPG</t>
  </si>
  <si>
    <t>2019:08:10 20:34:55</t>
  </si>
  <si>
    <t>IMG_2671_grid_compass.JPG</t>
  </si>
  <si>
    <t>2019:06:07 23:05:46</t>
  </si>
  <si>
    <t>IMG_4214_grid_compass.JPG</t>
  </si>
  <si>
    <t>2019:08:14 00:20:55</t>
  </si>
  <si>
    <t>IMG_0014_grid_compass.JPG</t>
  </si>
  <si>
    <t>2019:06:11 05:19:18</t>
  </si>
  <si>
    <t>IMG_0332_grid_compass (2).JPG</t>
  </si>
  <si>
    <t>2019:07:20 02:57:16</t>
  </si>
  <si>
    <t>IMG_3488_grid_compass.JPG</t>
  </si>
  <si>
    <t>2019:08:13 03:43:06</t>
  </si>
  <si>
    <t>IMG_2372_grid.JPG</t>
  </si>
  <si>
    <t>2019:07:27 03:17:26</t>
  </si>
  <si>
    <t>IMG_0368_grid_compass.JPG</t>
  </si>
  <si>
    <t>2019:08:27 01:37:47</t>
  </si>
  <si>
    <t>IMG_1687_grid_compass.JPG</t>
  </si>
  <si>
    <t>2019:08:28 21:16:36</t>
  </si>
  <si>
    <t>IMG_1058_grid_compass.JPG</t>
  </si>
  <si>
    <t>2019:08:09 02:32:03</t>
  </si>
  <si>
    <t>IMG_0089_grid_compass.JPG</t>
  </si>
  <si>
    <t>2019:06:01 02:59:23</t>
  </si>
  <si>
    <t>IMG_0363_grid_compass (2).JPG</t>
  </si>
  <si>
    <t>2019:07:08 23:15:53</t>
  </si>
  <si>
    <t>IMG_4314_grid_compass.JPG</t>
  </si>
  <si>
    <t>2019:07:03 03:20:53</t>
  </si>
  <si>
    <t>IMG_0360_grid_compass.JPG</t>
  </si>
  <si>
    <t>2019:07:08 23:10:03</t>
  </si>
  <si>
    <t>IMG_0507_grid_compass.JPG</t>
  </si>
  <si>
    <t>2019:06:16 05:09:52</t>
  </si>
  <si>
    <t>IMG_1670_grid_compass.JPG</t>
  </si>
  <si>
    <t>2019:08:09 22:05:03</t>
  </si>
  <si>
    <t>IMG_0739_grid_compass.JPG</t>
  </si>
  <si>
    <t>2019:07:02 04:56:39</t>
  </si>
  <si>
    <t>IMG_3328_grid_compass.JPG</t>
  </si>
  <si>
    <t>2019:06:30 21:24:11</t>
  </si>
  <si>
    <t>IMG_4219_grid_compass.JPG</t>
  </si>
  <si>
    <t>2019:08:14 00:23:32</t>
  </si>
  <si>
    <t>IMG_4255_grid_compass.JPG</t>
  </si>
  <si>
    <t>2019:07:29 21:05:17</t>
  </si>
  <si>
    <t>IMG_0326_grid_compass.JPG</t>
  </si>
  <si>
    <t>2019:08:27 00:38:56</t>
  </si>
  <si>
    <t>IMG_0086_grid_compass.JPG</t>
  </si>
  <si>
    <t>2019:06:01 02:59:22</t>
  </si>
  <si>
    <t>Shoulder height</t>
  </si>
  <si>
    <t>40 cm</t>
  </si>
  <si>
    <t>IMG_3499_grid_compass.JPG</t>
  </si>
  <si>
    <t>2019:07:29 02:12:23</t>
  </si>
  <si>
    <t>IMG_0919_grid_compass.JPG</t>
  </si>
  <si>
    <t>2019:07:24 22:05:02</t>
  </si>
  <si>
    <t>IMG_2491_grid_compass.JPG</t>
  </si>
  <si>
    <t>2019:06:28 23:46:23</t>
  </si>
  <si>
    <t>IMG_2707_grid_compass.JPG</t>
  </si>
  <si>
    <t>2019:07:27 20:47:28</t>
  </si>
  <si>
    <t>IMG_4270_grid_compass.JPG</t>
  </si>
  <si>
    <t>2019:07:30 00:26:46</t>
  </si>
  <si>
    <t>IMG_0276_grid_compass.JPG</t>
  </si>
  <si>
    <t>2019:08:10 22:52:47</t>
  </si>
  <si>
    <t>IMG_0357_grid_compass.JPG</t>
  </si>
  <si>
    <t>2019:07:08 23:10:02</t>
  </si>
  <si>
    <t>IMG_0500_grid_compass.JPG</t>
  </si>
  <si>
    <t>2019:06:16 05:09:39</t>
  </si>
  <si>
    <t>IMG_0361_grid_compass (2).JPG</t>
  </si>
  <si>
    <t>2019:07:08 23:15:52</t>
  </si>
  <si>
    <t>IMG_0505_grid_compass.JPG</t>
  </si>
  <si>
    <t>2019:06:16 05:09:51</t>
  </si>
  <si>
    <t>IMG_0355_grid_compass.JPG</t>
  </si>
  <si>
    <t>2019:07:08 23:10:01</t>
  </si>
  <si>
    <t>IMG_0341_grid_compass.JPG</t>
  </si>
  <si>
    <t>2019:07:20 02:57:32</t>
  </si>
  <si>
    <t>IMG_2693_grid_compass.JPG</t>
  </si>
  <si>
    <t>2019:08:25 20:02:47</t>
  </si>
  <si>
    <t>IMG_3720_grid_compass.JPG</t>
  </si>
  <si>
    <t>2019:07:02 00:43:14</t>
  </si>
  <si>
    <t>IMG_0195_grid_compass.JPG</t>
  </si>
  <si>
    <t>2019:06:30 23:12:37</t>
  </si>
  <si>
    <t>IMG_0240_grid_compass.JPG</t>
  </si>
  <si>
    <t>2019:06:25 00:31:22</t>
  </si>
  <si>
    <t>IMG_0522_grid_compass_1.JPG</t>
  </si>
  <si>
    <t>2019:07:10 01:08:35</t>
  </si>
  <si>
    <t>IMG_0350_grid_compass.JPG</t>
  </si>
  <si>
    <t>2019:07:27 20:18:15</t>
  </si>
  <si>
    <t>IMG_0219_grid.JPG</t>
  </si>
  <si>
    <t>2019:08:07 22:16:45</t>
  </si>
  <si>
    <t>IMG_0008_grid_compass.JPG</t>
  </si>
  <si>
    <t>2019:06:10 22:29:47</t>
  </si>
  <si>
    <t>IMG_2505_grid_compass.JPG</t>
  </si>
  <si>
    <t>2019:06:29 01:35:04</t>
  </si>
  <si>
    <t>IMG_1672_grid_compass.JPG</t>
  </si>
  <si>
    <t>2019:08:09 22:05:04</t>
  </si>
  <si>
    <t>IMG_3326_grid_compass.JPG</t>
  </si>
  <si>
    <t>2019:06:30 21:24:10</t>
  </si>
  <si>
    <t>IMG_0848_grid_compass.JPG</t>
  </si>
  <si>
    <t>2019:07:14 04:31:15</t>
  </si>
  <si>
    <t>IMG_4268_grid_compass.JPG</t>
  </si>
  <si>
    <t>2019:07:30 00:26:45</t>
  </si>
  <si>
    <t>IMG_1166_grid_compass_1.JPG</t>
  </si>
  <si>
    <t>2019:07:07 22:50:21</t>
  </si>
  <si>
    <t>IMG_0217_grid.JPG</t>
  </si>
  <si>
    <t>2019:08:07 22:16:44</t>
  </si>
  <si>
    <t>IMG_0512_grid_compass.JPG</t>
  </si>
  <si>
    <t>2019:06:16 05:11:10</t>
  </si>
  <si>
    <t>IMG_0222_grid.JPG</t>
  </si>
  <si>
    <t>2019:08:07 22:16:46</t>
  </si>
  <si>
    <t>IMG_0113_grid_compass_1.JPG</t>
  </si>
  <si>
    <t>2019:07:31 00:31:04</t>
  </si>
  <si>
    <t>IMG_0926_grid_compass.JPG</t>
  </si>
  <si>
    <t>2019:07:24 22:05:12</t>
  </si>
  <si>
    <t>IMG_1734_grid.JPG</t>
  </si>
  <si>
    <t>2019:08:10 03:29:23</t>
  </si>
  <si>
    <t>IMG_0371_grid_compass.JPG</t>
  </si>
  <si>
    <t>2019:08:27 01:37:48</t>
  </si>
  <si>
    <t>IMG_4310_grid_compass.JPG</t>
  </si>
  <si>
    <t>2019:07:03 03:20:52</t>
  </si>
  <si>
    <t>IMG_0930_grid_compass.JPG</t>
  </si>
  <si>
    <t>2019:07:24 22:05:13</t>
  </si>
  <si>
    <t>IMG_0519_grid_compass.JPG</t>
  </si>
  <si>
    <t>2019:07:10 01:08:34</t>
  </si>
  <si>
    <t>IMG_0368_grid_compass (2).JPG</t>
  </si>
  <si>
    <t>2019:07:08 23:16:02</t>
  </si>
  <si>
    <t>IMG_2503_grid_compass.JPG</t>
  </si>
  <si>
    <t>2019:06:29 01:35:03</t>
  </si>
  <si>
    <t>IMG_1674_grid_compass.JPG</t>
  </si>
  <si>
    <t>2019:08:09 22:05:05</t>
  </si>
  <si>
    <t>IMG_0515_grid_compass.JPG</t>
  </si>
  <si>
    <t>2019:06:16 05:11:11</t>
  </si>
  <si>
    <t>IMG_1196_grid.JPG</t>
  </si>
  <si>
    <t>IMG_0276_grid_compass_1.JPG</t>
  </si>
  <si>
    <t>2019:08:01 19:22:43</t>
  </si>
  <si>
    <t>IMG_0517_grid_compass.JPG</t>
  </si>
  <si>
    <t>2019:07:10 01:08:33</t>
  </si>
  <si>
    <t>IMG_0193_grid_compass.JPG</t>
  </si>
  <si>
    <t>2019:06:30 23:12:36</t>
  </si>
  <si>
    <t>IMG_0017_grid_compass.JPG</t>
  </si>
  <si>
    <t>2019:06:11 05:19:19</t>
  </si>
  <si>
    <t>IMG_0110_grid_compass_1.JPG</t>
  </si>
  <si>
    <t>2019:07:31 00:31:03</t>
  </si>
  <si>
    <t>IMG_0371_grid_compass (2).JPG</t>
  </si>
  <si>
    <t>2019:07:08 23:16:03</t>
  </si>
  <si>
    <t>IMG_2824_grid.JPG</t>
  </si>
  <si>
    <t>2019:06:24 23:15:39</t>
  </si>
  <si>
    <t>IMG_1172_grid_compass.JPG</t>
  </si>
  <si>
    <t>2019:07:07 22:50:31</t>
  </si>
  <si>
    <t>IMG_4244_grid.JPG</t>
  </si>
  <si>
    <t>2019:07:29 19:01:15</t>
  </si>
  <si>
    <t>IMG_4247_grid.JPG</t>
  </si>
  <si>
    <t>2019:07:29 19:01:16</t>
  </si>
  <si>
    <t>IMG_2690_grid_compass.JPG</t>
  </si>
  <si>
    <t>2019:08:25 20:02:46</t>
  </si>
  <si>
    <t>species</t>
  </si>
  <si>
    <t>Civet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</si>
</sst>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workbookViewId="0">
      <pane ySplit="1" topLeftCell="A2" activePane="bottomLeft" state="frozen"/>
      <selection pane="bottomLeft" sqref="A1:XFD1"/>
    </sheetView>
  </sheetViews>
  <sheetFormatPr defaultColWidth="12.59765625" defaultRowHeight="15" customHeight="1" x14ac:dyDescent="0.25"/>
  <cols>
    <col min="1" max="1" width="7.59765625" customWidth="1"/>
    <col min="2" max="2" width="24.5" customWidth="1"/>
    <col min="3" max="5" width="7.59765625" customWidth="1"/>
    <col min="6" max="6" width="7.69921875" customWidth="1"/>
    <col min="7" max="13" width="7.59765625" customWidth="1"/>
    <col min="14" max="14" width="7.69921875" customWidth="1"/>
    <col min="15" max="18" width="7.59765625" customWidth="1"/>
    <col min="19" max="20" width="7.69921875" customWidth="1"/>
    <col min="21" max="26" width="7.59765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3" t="s">
        <v>19</v>
      </c>
      <c r="U1" s="5" t="s">
        <v>570</v>
      </c>
    </row>
    <row r="2" spans="1:21" ht="14.25" customHeight="1" x14ac:dyDescent="0.3">
      <c r="A2" s="1" t="s">
        <v>40</v>
      </c>
      <c r="B2" s="1" t="s">
        <v>463</v>
      </c>
      <c r="C2" s="1" t="s">
        <v>464</v>
      </c>
      <c r="D2" s="1">
        <f t="shared" ref="D2:D65" si="0">(LEFT(C2,4)&amp;"-"&amp;MID(C2,6,2)&amp;"-"&amp;MID(C2,9,2))-(2019&amp;"-"&amp;6&amp;"-"&amp;1)</f>
        <v>0</v>
      </c>
      <c r="E2" s="1">
        <f t="shared" ref="E2:E65" si="1">TIMEVALUE(RIGHT(C2,8))</f>
        <v>0.12456018518518519</v>
      </c>
      <c r="F2" s="2">
        <f t="shared" ref="F2:F65" si="2">(D2+E2)*2*PI()</f>
        <v>0.78263472541512391</v>
      </c>
      <c r="G2" s="1">
        <v>2080</v>
      </c>
      <c r="H2" s="1">
        <v>3744</v>
      </c>
      <c r="I2" s="1">
        <v>0</v>
      </c>
      <c r="J2" s="1">
        <v>308</v>
      </c>
      <c r="K2" s="1">
        <f t="shared" ref="K2:K65" si="3">(32.67*I2)/H2</f>
        <v>0</v>
      </c>
      <c r="L2" s="1">
        <f t="shared" ref="L2:L65" si="4">(18.15*J2)/G2</f>
        <v>2.6875961538461537</v>
      </c>
      <c r="M2" s="1">
        <f t="shared" ref="M2:M65" si="5">SQRT(K2*K2+L2*L2)</f>
        <v>2.6875961538461537</v>
      </c>
      <c r="N2" s="3">
        <f t="shared" ref="N2:N65" si="6">42*0.4/M2</f>
        <v>6.2509391435011272</v>
      </c>
      <c r="O2" s="1">
        <v>727</v>
      </c>
      <c r="P2" s="1">
        <f>H2/2-O2</f>
        <v>1145</v>
      </c>
      <c r="Q2" s="1">
        <f>TAN(RADIANS(21.25))*N2</f>
        <v>2.4308572870149319</v>
      </c>
      <c r="R2" s="1">
        <f>Q2*(P2/(H2/2))</f>
        <v>1.4868224324957784</v>
      </c>
      <c r="S2" s="2">
        <f>DEGREES(ATAN(R2/N2))</f>
        <v>13.379516865778305</v>
      </c>
      <c r="T2" s="3">
        <f t="shared" ref="T2:T65" si="7">RADIANS(S2)</f>
        <v>0.23351662163394366</v>
      </c>
      <c r="U2" s="4" t="s">
        <v>571</v>
      </c>
    </row>
    <row r="3" spans="1:21" ht="14.25" customHeight="1" x14ac:dyDescent="0.3">
      <c r="A3" s="1" t="s">
        <v>40</v>
      </c>
      <c r="B3" s="1" t="s">
        <v>441</v>
      </c>
      <c r="C3" s="1" t="s">
        <v>442</v>
      </c>
      <c r="D3" s="1">
        <f t="shared" si="0"/>
        <v>0</v>
      </c>
      <c r="E3" s="1">
        <f t="shared" si="1"/>
        <v>0.12457175925925927</v>
      </c>
      <c r="F3" s="2">
        <f t="shared" si="2"/>
        <v>0.78270744746729037</v>
      </c>
      <c r="G3" s="1">
        <v>2080</v>
      </c>
      <c r="H3" s="1">
        <v>3744</v>
      </c>
      <c r="I3" s="1">
        <v>0</v>
      </c>
      <c r="J3" s="1">
        <v>326</v>
      </c>
      <c r="K3" s="1">
        <f t="shared" si="3"/>
        <v>0</v>
      </c>
      <c r="L3" s="1">
        <f t="shared" si="4"/>
        <v>2.8446634615384614</v>
      </c>
      <c r="M3" s="1">
        <f t="shared" si="5"/>
        <v>2.8446634615384614</v>
      </c>
      <c r="N3" s="3">
        <f t="shared" si="6"/>
        <v>5.9057952644121086</v>
      </c>
      <c r="O3" s="1">
        <v>753</v>
      </c>
      <c r="P3" s="1">
        <f t="shared" ref="P2:P65" si="8">H3/2-O3</f>
        <v>1119</v>
      </c>
      <c r="Q3" s="1">
        <f t="shared" ref="Q2:Q65" si="9">TAN(RADIANS(21.25))*N3</f>
        <v>2.2966381730079726</v>
      </c>
      <c r="R3" s="1">
        <f t="shared" ref="R2:R65" si="10">Q3*(P3/(H3/2))</f>
        <v>1.3728301899550861</v>
      </c>
      <c r="S3" s="2">
        <f t="shared" ref="S2:S65" si="11">DEGREES(ATAN(R3/N3))</f>
        <v>13.086273351535603</v>
      </c>
      <c r="T3" s="3">
        <f t="shared" si="7"/>
        <v>0.22839855680028961</v>
      </c>
      <c r="U3" s="4" t="s">
        <v>571</v>
      </c>
    </row>
    <row r="4" spans="1:21" ht="14.25" customHeight="1" x14ac:dyDescent="0.3">
      <c r="A4" s="1" t="s">
        <v>20</v>
      </c>
      <c r="B4" s="1" t="s">
        <v>59</v>
      </c>
      <c r="C4" s="1" t="s">
        <v>60</v>
      </c>
      <c r="D4" s="1">
        <f t="shared" si="0"/>
        <v>5</v>
      </c>
      <c r="E4" s="1">
        <f t="shared" si="1"/>
        <v>3.1620370370370368E-2</v>
      </c>
      <c r="F4" s="2">
        <f t="shared" si="2"/>
        <v>31.614603182416616</v>
      </c>
      <c r="G4" s="1">
        <v>2080</v>
      </c>
      <c r="H4" s="1">
        <v>3744</v>
      </c>
      <c r="I4" s="1">
        <v>0</v>
      </c>
      <c r="J4" s="1">
        <v>574</v>
      </c>
      <c r="K4" s="1">
        <f t="shared" si="3"/>
        <v>0</v>
      </c>
      <c r="L4" s="1">
        <f t="shared" si="4"/>
        <v>5.0087019230769227</v>
      </c>
      <c r="M4" s="1">
        <f t="shared" si="5"/>
        <v>5.0087019230769227</v>
      </c>
      <c r="N4" s="3">
        <f t="shared" si="6"/>
        <v>3.3541624672445076</v>
      </c>
      <c r="O4" s="1">
        <v>1791</v>
      </c>
      <c r="P4" s="1">
        <f t="shared" si="8"/>
        <v>81</v>
      </c>
      <c r="Q4" s="1">
        <f t="shared" si="9"/>
        <v>1.3043624466909391</v>
      </c>
      <c r="R4" s="1">
        <f t="shared" si="10"/>
        <v>5.6438759712588708E-2</v>
      </c>
      <c r="S4" s="2">
        <f t="shared" si="11"/>
        <v>0.96399552174853165</v>
      </c>
      <c r="T4" s="3">
        <f t="shared" si="7"/>
        <v>1.6824895828992482E-2</v>
      </c>
      <c r="U4" s="4" t="s">
        <v>571</v>
      </c>
    </row>
    <row r="5" spans="1:21" ht="14.25" customHeight="1" x14ac:dyDescent="0.3">
      <c r="A5" s="1" t="s">
        <v>20</v>
      </c>
      <c r="B5" s="1" t="s">
        <v>183</v>
      </c>
      <c r="C5" s="1" t="s">
        <v>184</v>
      </c>
      <c r="D5" s="1">
        <f t="shared" si="0"/>
        <v>5</v>
      </c>
      <c r="E5" s="1">
        <f t="shared" si="1"/>
        <v>3.1631944444444442E-2</v>
      </c>
      <c r="F5" s="2">
        <f t="shared" si="2"/>
        <v>31.614675904468786</v>
      </c>
      <c r="G5" s="1">
        <v>2080</v>
      </c>
      <c r="H5" s="1">
        <v>3744</v>
      </c>
      <c r="I5" s="1">
        <v>0</v>
      </c>
      <c r="J5" s="1">
        <v>535</v>
      </c>
      <c r="K5" s="1">
        <f t="shared" si="3"/>
        <v>0</v>
      </c>
      <c r="L5" s="1">
        <f t="shared" si="4"/>
        <v>4.6683894230769232</v>
      </c>
      <c r="M5" s="1">
        <f t="shared" si="5"/>
        <v>4.6683894230769232</v>
      </c>
      <c r="N5" s="3">
        <f t="shared" si="6"/>
        <v>3.5986715069127984</v>
      </c>
      <c r="O5" s="1">
        <v>1326</v>
      </c>
      <c r="P5" s="1">
        <f t="shared" si="8"/>
        <v>546</v>
      </c>
      <c r="Q5" s="1">
        <f t="shared" si="9"/>
        <v>1.3994468119637362</v>
      </c>
      <c r="R5" s="1">
        <f t="shared" si="10"/>
        <v>0.40817198682275641</v>
      </c>
      <c r="S5" s="2">
        <f t="shared" si="11"/>
        <v>6.4710023506658105</v>
      </c>
      <c r="T5" s="3">
        <f t="shared" si="7"/>
        <v>0.11294029692341108</v>
      </c>
      <c r="U5" s="4" t="s">
        <v>571</v>
      </c>
    </row>
    <row r="6" spans="1:21" ht="14.25" customHeight="1" x14ac:dyDescent="0.3">
      <c r="A6" s="1" t="s">
        <v>20</v>
      </c>
      <c r="B6" s="1" t="s">
        <v>21</v>
      </c>
      <c r="C6" s="1" t="s">
        <v>22</v>
      </c>
      <c r="D6" s="1">
        <f t="shared" si="0"/>
        <v>5</v>
      </c>
      <c r="E6" s="1">
        <f t="shared" si="1"/>
        <v>3.1817129629629633E-2</v>
      </c>
      <c r="F6" s="2">
        <f t="shared" si="2"/>
        <v>31.615839457303451</v>
      </c>
      <c r="G6" s="1">
        <v>2080</v>
      </c>
      <c r="H6" s="1">
        <v>3744</v>
      </c>
      <c r="I6" s="1">
        <v>0</v>
      </c>
      <c r="J6" s="1">
        <v>514</v>
      </c>
      <c r="K6" s="1">
        <f t="shared" si="3"/>
        <v>0</v>
      </c>
      <c r="L6" s="1">
        <f t="shared" si="4"/>
        <v>4.4851442307692304</v>
      </c>
      <c r="M6" s="1">
        <f t="shared" si="5"/>
        <v>4.4851442307692304</v>
      </c>
      <c r="N6" s="3">
        <f t="shared" si="6"/>
        <v>3.7456989420201312</v>
      </c>
      <c r="O6" s="1">
        <v>1861</v>
      </c>
      <c r="P6" s="1">
        <f t="shared" si="8"/>
        <v>11</v>
      </c>
      <c r="Q6" s="1">
        <f t="shared" si="9"/>
        <v>1.4566226544758736</v>
      </c>
      <c r="R6" s="1">
        <f t="shared" si="10"/>
        <v>8.5592143158304528E-3</v>
      </c>
      <c r="S6" s="2">
        <f t="shared" si="11"/>
        <v>0.13092509843216696</v>
      </c>
      <c r="T6" s="3">
        <f t="shared" si="7"/>
        <v>2.2850740411389792E-3</v>
      </c>
      <c r="U6" s="4" t="s">
        <v>571</v>
      </c>
    </row>
    <row r="7" spans="1:21" ht="14.25" customHeight="1" x14ac:dyDescent="0.3">
      <c r="A7" s="1" t="s">
        <v>20</v>
      </c>
      <c r="B7" s="1" t="s">
        <v>177</v>
      </c>
      <c r="C7" s="1" t="s">
        <v>178</v>
      </c>
      <c r="D7" s="1">
        <f t="shared" si="0"/>
        <v>5</v>
      </c>
      <c r="E7" s="1">
        <f t="shared" si="1"/>
        <v>3.1828703703703706E-2</v>
      </c>
      <c r="F7" s="2">
        <f t="shared" si="2"/>
        <v>31.615912179355611</v>
      </c>
      <c r="G7" s="1">
        <v>2080</v>
      </c>
      <c r="H7" s="1">
        <v>3744</v>
      </c>
      <c r="I7" s="1">
        <v>0</v>
      </c>
      <c r="J7" s="1">
        <v>589</v>
      </c>
      <c r="K7" s="1">
        <f t="shared" si="3"/>
        <v>0</v>
      </c>
      <c r="L7" s="1">
        <f t="shared" si="4"/>
        <v>5.1395913461538454</v>
      </c>
      <c r="M7" s="1">
        <f t="shared" si="5"/>
        <v>5.1395913461538454</v>
      </c>
      <c r="N7" s="3">
        <f t="shared" si="6"/>
        <v>3.2687423704555982</v>
      </c>
      <c r="O7" s="1">
        <v>1392</v>
      </c>
      <c r="P7" s="1">
        <f t="shared" si="8"/>
        <v>480</v>
      </c>
      <c r="Q7" s="1">
        <f t="shared" si="9"/>
        <v>1.2711443877769084</v>
      </c>
      <c r="R7" s="1">
        <f t="shared" si="10"/>
        <v>0.32593445840433544</v>
      </c>
      <c r="S7" s="2">
        <f t="shared" si="11"/>
        <v>5.6942829675077089</v>
      </c>
      <c r="T7" s="3">
        <f t="shared" si="7"/>
        <v>9.9383986323242801E-2</v>
      </c>
      <c r="U7" s="4" t="s">
        <v>571</v>
      </c>
    </row>
    <row r="8" spans="1:21" ht="14.25" customHeight="1" x14ac:dyDescent="0.3">
      <c r="A8" s="1" t="s">
        <v>207</v>
      </c>
      <c r="B8" s="1" t="s">
        <v>423</v>
      </c>
      <c r="C8" s="1" t="s">
        <v>424</v>
      </c>
      <c r="D8" s="1">
        <f t="shared" si="0"/>
        <v>6</v>
      </c>
      <c r="E8" s="1">
        <f t="shared" si="1"/>
        <v>0.96233796296296292</v>
      </c>
      <c r="F8" s="2">
        <f t="shared" si="2"/>
        <v>43.745659592507536</v>
      </c>
      <c r="G8" s="1">
        <v>2080</v>
      </c>
      <c r="H8" s="1">
        <v>3744</v>
      </c>
      <c r="I8" s="1">
        <v>0</v>
      </c>
      <c r="J8" s="1">
        <v>223</v>
      </c>
      <c r="K8" s="1">
        <f t="shared" si="3"/>
        <v>0</v>
      </c>
      <c r="L8" s="1">
        <f t="shared" si="4"/>
        <v>1.945889423076923</v>
      </c>
      <c r="M8" s="1">
        <f t="shared" si="5"/>
        <v>1.945889423076923</v>
      </c>
      <c r="N8" s="3">
        <f t="shared" si="6"/>
        <v>8.6335841085127676</v>
      </c>
      <c r="O8" s="1">
        <v>790</v>
      </c>
      <c r="P8" s="1">
        <f t="shared" si="8"/>
        <v>1082</v>
      </c>
      <c r="Q8" s="1">
        <f t="shared" si="9"/>
        <v>3.3574172394645694</v>
      </c>
      <c r="R8" s="1">
        <f t="shared" si="10"/>
        <v>1.9405584685366792</v>
      </c>
      <c r="S8" s="2">
        <f t="shared" si="11"/>
        <v>12.667762566766225</v>
      </c>
      <c r="T8" s="3">
        <f t="shared" si="7"/>
        <v>0.22109416565095863</v>
      </c>
      <c r="U8" s="4" t="s">
        <v>571</v>
      </c>
    </row>
    <row r="9" spans="1:21" ht="14.25" customHeight="1" x14ac:dyDescent="0.3">
      <c r="A9" s="1" t="s">
        <v>207</v>
      </c>
      <c r="B9" s="1" t="s">
        <v>312</v>
      </c>
      <c r="C9" s="1" t="s">
        <v>313</v>
      </c>
      <c r="D9" s="1">
        <f t="shared" si="0"/>
        <v>6</v>
      </c>
      <c r="E9" s="1">
        <f t="shared" si="1"/>
        <v>0.96234953703703707</v>
      </c>
      <c r="F9" s="2">
        <f t="shared" si="2"/>
        <v>43.745732314559703</v>
      </c>
      <c r="G9" s="1">
        <v>2080</v>
      </c>
      <c r="H9" s="1">
        <v>3744</v>
      </c>
      <c r="I9" s="1">
        <v>0</v>
      </c>
      <c r="J9" s="1">
        <v>211</v>
      </c>
      <c r="K9" s="1">
        <f t="shared" si="3"/>
        <v>0</v>
      </c>
      <c r="L9" s="1">
        <f t="shared" si="4"/>
        <v>1.8411778846153843</v>
      </c>
      <c r="M9" s="1">
        <f t="shared" si="5"/>
        <v>1.8411778846153843</v>
      </c>
      <c r="N9" s="3">
        <f t="shared" si="6"/>
        <v>9.1245936312717895</v>
      </c>
      <c r="O9" s="1">
        <v>993</v>
      </c>
      <c r="P9" s="1">
        <f t="shared" si="8"/>
        <v>879</v>
      </c>
      <c r="Q9" s="1">
        <f t="shared" si="9"/>
        <v>3.5483604000028395</v>
      </c>
      <c r="R9" s="1">
        <f t="shared" si="10"/>
        <v>1.6661371750013332</v>
      </c>
      <c r="S9" s="2">
        <f t="shared" si="11"/>
        <v>10.348119164054868</v>
      </c>
      <c r="T9" s="3">
        <f t="shared" si="7"/>
        <v>0.1806087508014807</v>
      </c>
      <c r="U9" s="4" t="s">
        <v>571</v>
      </c>
    </row>
    <row r="10" spans="1:21" ht="14.25" customHeight="1" x14ac:dyDescent="0.3">
      <c r="A10" s="1" t="s">
        <v>207</v>
      </c>
      <c r="B10" s="1" t="s">
        <v>208</v>
      </c>
      <c r="C10" s="1" t="s">
        <v>209</v>
      </c>
      <c r="D10" s="1">
        <f t="shared" si="0"/>
        <v>6</v>
      </c>
      <c r="E10" s="1">
        <f t="shared" si="1"/>
        <v>0.96236111111111111</v>
      </c>
      <c r="F10" s="2">
        <f t="shared" si="2"/>
        <v>43.74580503661187</v>
      </c>
      <c r="G10" s="1">
        <v>2080</v>
      </c>
      <c r="H10" s="1">
        <v>3744</v>
      </c>
      <c r="I10" s="1">
        <v>0</v>
      </c>
      <c r="J10" s="1">
        <v>213</v>
      </c>
      <c r="K10" s="1">
        <f t="shared" si="3"/>
        <v>0</v>
      </c>
      <c r="L10" s="1">
        <f t="shared" si="4"/>
        <v>1.8586298076923076</v>
      </c>
      <c r="M10" s="1">
        <f t="shared" si="5"/>
        <v>1.8586298076923076</v>
      </c>
      <c r="N10" s="3">
        <f t="shared" si="6"/>
        <v>9.0389166957668881</v>
      </c>
      <c r="O10" s="1">
        <v>1267</v>
      </c>
      <c r="P10" s="1">
        <f t="shared" si="8"/>
        <v>605</v>
      </c>
      <c r="Q10" s="1">
        <f t="shared" si="9"/>
        <v>3.5150424619746428</v>
      </c>
      <c r="R10" s="1">
        <f t="shared" si="10"/>
        <v>1.1360046418240699</v>
      </c>
      <c r="S10" s="2">
        <f t="shared" si="11"/>
        <v>7.1633348704658122</v>
      </c>
      <c r="T10" s="3">
        <f t="shared" si="7"/>
        <v>0.12502377891254993</v>
      </c>
      <c r="U10" s="4" t="s">
        <v>571</v>
      </c>
    </row>
    <row r="11" spans="1:21" ht="14.25" customHeight="1" x14ac:dyDescent="0.3">
      <c r="A11" s="1" t="s">
        <v>272</v>
      </c>
      <c r="B11" s="1" t="s">
        <v>505</v>
      </c>
      <c r="C11" s="1" t="s">
        <v>506</v>
      </c>
      <c r="D11" s="1">
        <f t="shared" si="0"/>
        <v>9</v>
      </c>
      <c r="E11" s="1">
        <f t="shared" si="1"/>
        <v>0.93734953703703694</v>
      </c>
      <c r="F11" s="2">
        <f t="shared" si="2"/>
        <v>62.438208603418971</v>
      </c>
      <c r="G11" s="1">
        <v>2080</v>
      </c>
      <c r="H11" s="1">
        <v>3744</v>
      </c>
      <c r="I11" s="1">
        <v>0</v>
      </c>
      <c r="J11" s="1">
        <v>520</v>
      </c>
      <c r="K11" s="1">
        <f t="shared" si="3"/>
        <v>0</v>
      </c>
      <c r="L11" s="1">
        <f t="shared" si="4"/>
        <v>4.5374999999999996</v>
      </c>
      <c r="M11" s="1">
        <f t="shared" si="5"/>
        <v>4.5374999999999996</v>
      </c>
      <c r="N11" s="3">
        <f t="shared" si="6"/>
        <v>3.7024793388429758</v>
      </c>
      <c r="O11" s="1">
        <v>541</v>
      </c>
      <c r="P11" s="1">
        <f t="shared" si="8"/>
        <v>1331</v>
      </c>
      <c r="Q11" s="1">
        <f t="shared" si="9"/>
        <v>1.4398154700011521</v>
      </c>
      <c r="R11" s="1">
        <f t="shared" si="10"/>
        <v>1.0237149522283833</v>
      </c>
      <c r="S11" s="2">
        <f t="shared" si="11"/>
        <v>15.455825784183324</v>
      </c>
      <c r="T11" s="3">
        <f t="shared" si="7"/>
        <v>0.26975504854863352</v>
      </c>
      <c r="U11" s="4" t="s">
        <v>571</v>
      </c>
    </row>
    <row r="12" spans="1:21" ht="14.25" customHeight="1" x14ac:dyDescent="0.3">
      <c r="A12" s="1" t="s">
        <v>272</v>
      </c>
      <c r="B12" s="1" t="s">
        <v>273</v>
      </c>
      <c r="C12" s="1" t="s">
        <v>274</v>
      </c>
      <c r="D12" s="1">
        <f t="shared" si="0"/>
        <v>9</v>
      </c>
      <c r="E12" s="1">
        <f t="shared" si="1"/>
        <v>0.93736111111111109</v>
      </c>
      <c r="F12" s="2">
        <f t="shared" si="2"/>
        <v>62.438281325471138</v>
      </c>
      <c r="G12" s="1">
        <v>2080</v>
      </c>
      <c r="H12" s="1">
        <v>3744</v>
      </c>
      <c r="I12" s="1">
        <v>0</v>
      </c>
      <c r="J12" s="1">
        <v>521</v>
      </c>
      <c r="K12" s="1">
        <f t="shared" si="3"/>
        <v>0</v>
      </c>
      <c r="L12" s="1">
        <f t="shared" si="4"/>
        <v>4.546225961538461</v>
      </c>
      <c r="M12" s="1">
        <f t="shared" si="5"/>
        <v>4.546225961538461</v>
      </c>
      <c r="N12" s="3">
        <f t="shared" si="6"/>
        <v>3.6953728525879987</v>
      </c>
      <c r="O12" s="1">
        <v>1081</v>
      </c>
      <c r="P12" s="1">
        <f t="shared" si="8"/>
        <v>791</v>
      </c>
      <c r="Q12" s="1">
        <f t="shared" si="9"/>
        <v>1.4370519086383859</v>
      </c>
      <c r="R12" s="1">
        <f t="shared" si="10"/>
        <v>0.60721584387444616</v>
      </c>
      <c r="S12" s="2">
        <f t="shared" si="11"/>
        <v>9.331334324228294</v>
      </c>
      <c r="T12" s="3">
        <f t="shared" si="7"/>
        <v>0.16286250756214382</v>
      </c>
      <c r="U12" s="4" t="s">
        <v>571</v>
      </c>
    </row>
    <row r="13" spans="1:21" ht="14.25" customHeight="1" x14ac:dyDescent="0.3">
      <c r="A13" s="1" t="s">
        <v>20</v>
      </c>
      <c r="B13" s="1" t="s">
        <v>287</v>
      </c>
      <c r="C13" s="1" t="s">
        <v>288</v>
      </c>
      <c r="D13" s="1">
        <f t="shared" si="0"/>
        <v>10</v>
      </c>
      <c r="E13" s="1">
        <f t="shared" si="1"/>
        <v>6.9386574074074073E-2</v>
      </c>
      <c r="F13" s="2">
        <f t="shared" si="2"/>
        <v>63.267821774533608</v>
      </c>
      <c r="G13" s="1">
        <v>2080</v>
      </c>
      <c r="H13" s="1">
        <v>3744</v>
      </c>
      <c r="I13" s="1">
        <v>0</v>
      </c>
      <c r="J13" s="1">
        <v>457</v>
      </c>
      <c r="K13" s="1">
        <f t="shared" si="3"/>
        <v>0</v>
      </c>
      <c r="L13" s="1">
        <f t="shared" si="4"/>
        <v>3.9877644230769227</v>
      </c>
      <c r="M13" s="1">
        <f t="shared" si="5"/>
        <v>3.9877644230769227</v>
      </c>
      <c r="N13" s="3">
        <f t="shared" si="6"/>
        <v>4.2128867750510883</v>
      </c>
      <c r="O13" s="1">
        <v>1059</v>
      </c>
      <c r="P13" s="1">
        <f t="shared" si="8"/>
        <v>813</v>
      </c>
      <c r="Q13" s="1">
        <f t="shared" si="9"/>
        <v>1.6383020665220984</v>
      </c>
      <c r="R13" s="1">
        <f t="shared" si="10"/>
        <v>0.71150618594148829</v>
      </c>
      <c r="S13" s="2">
        <f t="shared" si="11"/>
        <v>9.5861128103805573</v>
      </c>
      <c r="T13" s="3">
        <f t="shared" si="7"/>
        <v>0.16730923100874759</v>
      </c>
      <c r="U13" s="4" t="s">
        <v>571</v>
      </c>
    </row>
    <row r="14" spans="1:21" ht="14.25" customHeight="1" x14ac:dyDescent="0.3">
      <c r="A14" s="1" t="s">
        <v>20</v>
      </c>
      <c r="B14" s="1" t="s">
        <v>334</v>
      </c>
      <c r="C14" s="1" t="s">
        <v>335</v>
      </c>
      <c r="D14" s="1">
        <f t="shared" si="0"/>
        <v>10</v>
      </c>
      <c r="E14" s="1">
        <f t="shared" si="1"/>
        <v>6.9398148148148139E-2</v>
      </c>
      <c r="F14" s="2">
        <f t="shared" si="2"/>
        <v>63.267894496585775</v>
      </c>
      <c r="G14" s="1">
        <v>2080</v>
      </c>
      <c r="H14" s="1">
        <v>3744</v>
      </c>
      <c r="I14" s="1">
        <v>0</v>
      </c>
      <c r="J14" s="1">
        <v>427</v>
      </c>
      <c r="K14" s="1">
        <f t="shared" si="3"/>
        <v>0</v>
      </c>
      <c r="L14" s="1">
        <f t="shared" si="4"/>
        <v>3.7259855769230765</v>
      </c>
      <c r="M14" s="1">
        <f t="shared" si="5"/>
        <v>3.7259855769230765</v>
      </c>
      <c r="N14" s="3">
        <f t="shared" si="6"/>
        <v>4.508874136295896</v>
      </c>
      <c r="O14" s="1">
        <v>936</v>
      </c>
      <c r="P14" s="1">
        <f t="shared" si="8"/>
        <v>936</v>
      </c>
      <c r="Q14" s="1">
        <f t="shared" si="9"/>
        <v>1.753405256207492</v>
      </c>
      <c r="R14" s="1">
        <f t="shared" si="10"/>
        <v>0.876702628103746</v>
      </c>
      <c r="S14" s="2">
        <f t="shared" si="11"/>
        <v>11.003260474510586</v>
      </c>
      <c r="T14" s="3">
        <f t="shared" si="7"/>
        <v>0.19204312373476334</v>
      </c>
      <c r="U14" s="4" t="s">
        <v>571</v>
      </c>
    </row>
    <row r="15" spans="1:21" ht="14.25" customHeight="1" x14ac:dyDescent="0.3">
      <c r="A15" s="1" t="s">
        <v>43</v>
      </c>
      <c r="B15" s="1" t="s">
        <v>427</v>
      </c>
      <c r="C15" s="1" t="s">
        <v>428</v>
      </c>
      <c r="D15" s="1">
        <f t="shared" si="0"/>
        <v>10</v>
      </c>
      <c r="E15" s="1">
        <f t="shared" si="1"/>
        <v>0.22173611111111111</v>
      </c>
      <c r="F15" s="2">
        <f t="shared" si="2"/>
        <v>64.225062147200333</v>
      </c>
      <c r="G15" s="1">
        <v>2080</v>
      </c>
      <c r="H15" s="1">
        <v>3744</v>
      </c>
      <c r="I15" s="1">
        <v>0</v>
      </c>
      <c r="J15" s="1">
        <v>638</v>
      </c>
      <c r="K15" s="1">
        <f t="shared" si="3"/>
        <v>0</v>
      </c>
      <c r="L15" s="1">
        <f t="shared" si="4"/>
        <v>5.5671634615384606</v>
      </c>
      <c r="M15" s="1">
        <f t="shared" si="5"/>
        <v>5.5671634615384606</v>
      </c>
      <c r="N15" s="3">
        <f t="shared" si="6"/>
        <v>3.017694758931579</v>
      </c>
      <c r="O15" s="1">
        <v>776</v>
      </c>
      <c r="P15" s="1">
        <f t="shared" si="8"/>
        <v>1096</v>
      </c>
      <c r="Q15" s="1">
        <f t="shared" si="9"/>
        <v>1.1735173109727257</v>
      </c>
      <c r="R15" s="1">
        <f t="shared" si="10"/>
        <v>0.68705928035582664</v>
      </c>
      <c r="S15" s="2">
        <f t="shared" si="11"/>
        <v>12.826282195503062</v>
      </c>
      <c r="T15" s="3">
        <f t="shared" si="7"/>
        <v>0.22386085510145545</v>
      </c>
      <c r="U15" s="4" t="s">
        <v>571</v>
      </c>
    </row>
    <row r="16" spans="1:21" ht="14.25" customHeight="1" x14ac:dyDescent="0.3">
      <c r="A16" s="1" t="s">
        <v>43</v>
      </c>
      <c r="B16" s="1" t="s">
        <v>554</v>
      </c>
      <c r="C16" s="1" t="s">
        <v>555</v>
      </c>
      <c r="D16" s="1">
        <f t="shared" si="0"/>
        <v>10</v>
      </c>
      <c r="E16" s="1">
        <f t="shared" si="1"/>
        <v>0.22174768518518517</v>
      </c>
      <c r="F16" s="2">
        <f t="shared" si="2"/>
        <v>64.2251348692525</v>
      </c>
      <c r="G16" s="1">
        <v>2080</v>
      </c>
      <c r="H16" s="1">
        <v>3744</v>
      </c>
      <c r="I16" s="1">
        <v>0</v>
      </c>
      <c r="J16" s="1">
        <v>630</v>
      </c>
      <c r="K16" s="1">
        <f t="shared" si="3"/>
        <v>0</v>
      </c>
      <c r="L16" s="1">
        <f t="shared" si="4"/>
        <v>5.4973557692307695</v>
      </c>
      <c r="M16" s="1">
        <f t="shared" si="5"/>
        <v>5.4973557692307695</v>
      </c>
      <c r="N16" s="3">
        <f t="shared" si="6"/>
        <v>3.0560146923783287</v>
      </c>
      <c r="O16" s="1">
        <v>87</v>
      </c>
      <c r="P16" s="1">
        <f t="shared" si="8"/>
        <v>1785</v>
      </c>
      <c r="Q16" s="1">
        <f t="shared" si="9"/>
        <v>1.1884191180961887</v>
      </c>
      <c r="R16" s="1">
        <f t="shared" si="10"/>
        <v>1.1331881013897953</v>
      </c>
      <c r="S16" s="2">
        <f t="shared" si="11"/>
        <v>20.3450746742209</v>
      </c>
      <c r="T16" s="3">
        <f t="shared" si="7"/>
        <v>0.3550885396292674</v>
      </c>
      <c r="U16" s="4" t="s">
        <v>571</v>
      </c>
    </row>
    <row r="17" spans="1:23" ht="14.25" customHeight="1" x14ac:dyDescent="0.3">
      <c r="A17" s="1" t="s">
        <v>207</v>
      </c>
      <c r="B17" s="1" t="s">
        <v>369</v>
      </c>
      <c r="C17" s="1" t="s">
        <v>370</v>
      </c>
      <c r="D17" s="1">
        <f t="shared" si="0"/>
        <v>13</v>
      </c>
      <c r="E17" s="1">
        <f t="shared" si="1"/>
        <v>0.18122685185185183</v>
      </c>
      <c r="F17" s="2">
        <f t="shared" si="2"/>
        <v>82.820090886156592</v>
      </c>
      <c r="G17" s="1">
        <v>2080</v>
      </c>
      <c r="H17" s="1">
        <v>3744</v>
      </c>
      <c r="I17" s="1">
        <v>0</v>
      </c>
      <c r="J17" s="1">
        <v>226</v>
      </c>
      <c r="K17" s="1">
        <f t="shared" si="3"/>
        <v>0</v>
      </c>
      <c r="L17" s="1">
        <f t="shared" si="4"/>
        <v>1.9720673076923074</v>
      </c>
      <c r="M17" s="1">
        <f t="shared" si="5"/>
        <v>1.9720673076923074</v>
      </c>
      <c r="N17" s="3">
        <f t="shared" si="6"/>
        <v>8.5189790097272002</v>
      </c>
      <c r="O17" s="1">
        <v>899</v>
      </c>
      <c r="P17" s="1">
        <f t="shared" si="8"/>
        <v>973</v>
      </c>
      <c r="Q17" s="1">
        <f t="shared" si="9"/>
        <v>3.3128497539849513</v>
      </c>
      <c r="R17" s="1">
        <f t="shared" si="10"/>
        <v>1.7219032108052126</v>
      </c>
      <c r="S17" s="2">
        <f t="shared" si="11"/>
        <v>11.426984777320243</v>
      </c>
      <c r="T17" s="3">
        <f t="shared" si="7"/>
        <v>0.19943850793950929</v>
      </c>
      <c r="U17" s="4" t="s">
        <v>571</v>
      </c>
      <c r="V17" s="3"/>
    </row>
    <row r="18" spans="1:23" ht="14.25" customHeight="1" x14ac:dyDescent="0.3">
      <c r="A18" s="1" t="s">
        <v>207</v>
      </c>
      <c r="B18" s="1" t="s">
        <v>232</v>
      </c>
      <c r="C18" s="1" t="s">
        <v>233</v>
      </c>
      <c r="D18" s="1">
        <f t="shared" si="0"/>
        <v>13</v>
      </c>
      <c r="E18" s="1">
        <f t="shared" si="1"/>
        <v>0.1812384259259259</v>
      </c>
      <c r="F18" s="2">
        <f t="shared" si="2"/>
        <v>82.820163608208759</v>
      </c>
      <c r="G18" s="1">
        <v>2080</v>
      </c>
      <c r="H18" s="1">
        <v>3744</v>
      </c>
      <c r="I18" s="1">
        <v>0</v>
      </c>
      <c r="J18" s="1">
        <v>207</v>
      </c>
      <c r="K18" s="1">
        <f t="shared" si="3"/>
        <v>0</v>
      </c>
      <c r="L18" s="1">
        <f t="shared" si="4"/>
        <v>1.8062740384615383</v>
      </c>
      <c r="M18" s="1">
        <f t="shared" si="5"/>
        <v>1.8062740384615383</v>
      </c>
      <c r="N18" s="3">
        <f t="shared" si="6"/>
        <v>9.3009142811514369</v>
      </c>
      <c r="O18" s="1">
        <v>1203</v>
      </c>
      <c r="P18" s="1">
        <f t="shared" si="8"/>
        <v>669</v>
      </c>
      <c r="Q18" s="1">
        <f t="shared" si="9"/>
        <v>3.6169277507275317</v>
      </c>
      <c r="R18" s="1">
        <f t="shared" si="10"/>
        <v>1.2925879621991019</v>
      </c>
      <c r="S18" s="2">
        <f t="shared" si="11"/>
        <v>7.9119631895916855</v>
      </c>
      <c r="T18" s="3">
        <f t="shared" si="7"/>
        <v>0.13808980795496725</v>
      </c>
      <c r="U18" s="4" t="s">
        <v>571</v>
      </c>
      <c r="V18" s="1" t="s">
        <v>61</v>
      </c>
      <c r="W18" s="1" t="s">
        <v>62</v>
      </c>
    </row>
    <row r="19" spans="1:23" ht="14.25" customHeight="1" x14ac:dyDescent="0.3">
      <c r="A19" s="1" t="s">
        <v>23</v>
      </c>
      <c r="B19" s="1" t="s">
        <v>481</v>
      </c>
      <c r="C19" s="1" t="s">
        <v>482</v>
      </c>
      <c r="D19" s="1">
        <f t="shared" si="0"/>
        <v>15</v>
      </c>
      <c r="E19" s="1">
        <f t="shared" si="1"/>
        <v>0.21503472222222222</v>
      </c>
      <c r="F19" s="2">
        <f t="shared" si="2"/>
        <v>95.59888261489391</v>
      </c>
      <c r="G19" s="1">
        <v>2080</v>
      </c>
      <c r="H19" s="1">
        <v>3744</v>
      </c>
      <c r="I19" s="1">
        <v>0</v>
      </c>
      <c r="J19" s="1">
        <v>213</v>
      </c>
      <c r="K19" s="1">
        <f t="shared" si="3"/>
        <v>0</v>
      </c>
      <c r="L19" s="1">
        <f t="shared" si="4"/>
        <v>1.8586298076923076</v>
      </c>
      <c r="M19" s="1">
        <f t="shared" si="5"/>
        <v>1.8586298076923076</v>
      </c>
      <c r="N19" s="3">
        <f t="shared" si="6"/>
        <v>9.0389166957668881</v>
      </c>
      <c r="O19" s="1">
        <v>646</v>
      </c>
      <c r="P19" s="1">
        <f t="shared" si="8"/>
        <v>1226</v>
      </c>
      <c r="Q19" s="1">
        <f t="shared" si="9"/>
        <v>3.5150424619746428</v>
      </c>
      <c r="R19" s="1">
        <f t="shared" si="10"/>
        <v>2.302052381613735</v>
      </c>
      <c r="S19" s="2">
        <f t="shared" si="11"/>
        <v>14.288460766754422</v>
      </c>
      <c r="T19" s="3">
        <f t="shared" si="7"/>
        <v>0.2493806854218982</v>
      </c>
      <c r="U19" s="4" t="s">
        <v>571</v>
      </c>
    </row>
    <row r="20" spans="1:23" ht="14.25" customHeight="1" x14ac:dyDescent="0.3">
      <c r="A20" s="1" t="s">
        <v>23</v>
      </c>
      <c r="B20" s="1" t="s">
        <v>330</v>
      </c>
      <c r="C20" s="1" t="s">
        <v>331</v>
      </c>
      <c r="D20" s="1">
        <f t="shared" si="0"/>
        <v>15</v>
      </c>
      <c r="E20" s="1">
        <f t="shared" si="1"/>
        <v>0.21504629629629632</v>
      </c>
      <c r="F20" s="2">
        <f t="shared" si="2"/>
        <v>95.598955336946076</v>
      </c>
      <c r="G20" s="1">
        <v>2080</v>
      </c>
      <c r="H20" s="1">
        <v>3744</v>
      </c>
      <c r="I20" s="1">
        <v>0</v>
      </c>
      <c r="J20" s="1">
        <v>208</v>
      </c>
      <c r="K20" s="1">
        <f t="shared" si="3"/>
        <v>0</v>
      </c>
      <c r="L20" s="1">
        <f t="shared" si="4"/>
        <v>1.8149999999999999</v>
      </c>
      <c r="M20" s="1">
        <f t="shared" si="5"/>
        <v>1.8149999999999999</v>
      </c>
      <c r="N20" s="3">
        <f t="shared" si="6"/>
        <v>9.2561983471074392</v>
      </c>
      <c r="O20" s="1">
        <v>937</v>
      </c>
      <c r="P20" s="1">
        <f t="shared" si="8"/>
        <v>935</v>
      </c>
      <c r="Q20" s="1">
        <f t="shared" si="9"/>
        <v>3.5995386750028797</v>
      </c>
      <c r="R20" s="1">
        <f t="shared" si="10"/>
        <v>1.7978465070126564</v>
      </c>
      <c r="S20" s="2">
        <f t="shared" si="11"/>
        <v>10.991791319541525</v>
      </c>
      <c r="T20" s="3">
        <f t="shared" si="7"/>
        <v>0.19184294921813175</v>
      </c>
      <c r="U20" s="4" t="s">
        <v>571</v>
      </c>
    </row>
    <row r="21" spans="1:23" ht="14.25" customHeight="1" x14ac:dyDescent="0.3">
      <c r="A21" s="1" t="s">
        <v>23</v>
      </c>
      <c r="B21" s="1" t="s">
        <v>485</v>
      </c>
      <c r="C21" s="1" t="s">
        <v>486</v>
      </c>
      <c r="D21" s="1">
        <f t="shared" si="0"/>
        <v>15</v>
      </c>
      <c r="E21" s="1">
        <f t="shared" si="1"/>
        <v>0.21517361111111111</v>
      </c>
      <c r="F21" s="2">
        <f t="shared" si="2"/>
        <v>95.599755279519911</v>
      </c>
      <c r="G21" s="1">
        <v>2080</v>
      </c>
      <c r="H21" s="1">
        <v>3744</v>
      </c>
      <c r="I21" s="1">
        <v>0</v>
      </c>
      <c r="J21" s="1">
        <v>157</v>
      </c>
      <c r="K21" s="1">
        <f t="shared" si="3"/>
        <v>0</v>
      </c>
      <c r="L21" s="1">
        <f t="shared" si="4"/>
        <v>1.3699759615384615</v>
      </c>
      <c r="M21" s="1">
        <f t="shared" si="5"/>
        <v>1.3699759615384615</v>
      </c>
      <c r="N21" s="3">
        <f t="shared" si="6"/>
        <v>12.262988892983104</v>
      </c>
      <c r="O21" s="1">
        <v>637</v>
      </c>
      <c r="P21" s="1">
        <f t="shared" si="8"/>
        <v>1235</v>
      </c>
      <c r="Q21" s="1">
        <f t="shared" si="9"/>
        <v>4.7688155694305667</v>
      </c>
      <c r="R21" s="1">
        <f t="shared" si="10"/>
        <v>3.1460936048326653</v>
      </c>
      <c r="S21" s="2">
        <f t="shared" si="11"/>
        <v>14.38901147104524</v>
      </c>
      <c r="T21" s="3">
        <f t="shared" si="7"/>
        <v>0.25113562627697217</v>
      </c>
      <c r="U21" s="4" t="s">
        <v>571</v>
      </c>
    </row>
    <row r="22" spans="1:23" ht="14.25" customHeight="1" x14ac:dyDescent="0.3">
      <c r="A22" s="1" t="s">
        <v>23</v>
      </c>
      <c r="B22" s="1" t="s">
        <v>449</v>
      </c>
      <c r="C22" s="1" t="s">
        <v>450</v>
      </c>
      <c r="D22" s="1">
        <f t="shared" si="0"/>
        <v>15</v>
      </c>
      <c r="E22" s="1">
        <f t="shared" si="1"/>
        <v>0.21518518518518517</v>
      </c>
      <c r="F22" s="2">
        <f t="shared" si="2"/>
        <v>95.599828001572064</v>
      </c>
      <c r="G22" s="1">
        <v>2080</v>
      </c>
      <c r="H22" s="1">
        <v>3744</v>
      </c>
      <c r="I22" s="1">
        <v>0</v>
      </c>
      <c r="J22" s="1">
        <v>170</v>
      </c>
      <c r="K22" s="1">
        <f t="shared" si="3"/>
        <v>0</v>
      </c>
      <c r="L22" s="1">
        <f t="shared" si="4"/>
        <v>1.4834134615384613</v>
      </c>
      <c r="M22" s="1">
        <f t="shared" si="5"/>
        <v>1.4834134615384613</v>
      </c>
      <c r="N22" s="3">
        <f t="shared" si="6"/>
        <v>11.325230918813809</v>
      </c>
      <c r="O22" s="1">
        <v>749</v>
      </c>
      <c r="P22" s="1">
        <f t="shared" si="8"/>
        <v>1123</v>
      </c>
      <c r="Q22" s="1">
        <f t="shared" si="9"/>
        <v>4.4041414376505825</v>
      </c>
      <c r="R22" s="1">
        <f t="shared" si="10"/>
        <v>2.6420143346589766</v>
      </c>
      <c r="S22" s="2">
        <f t="shared" si="11"/>
        <v>13.131433585443393</v>
      </c>
      <c r="T22" s="3">
        <f t="shared" si="7"/>
        <v>0.22918675157295135</v>
      </c>
      <c r="U22" s="4" t="s">
        <v>571</v>
      </c>
    </row>
    <row r="23" spans="1:23" ht="14.25" customHeight="1" x14ac:dyDescent="0.3">
      <c r="A23" s="1" t="s">
        <v>23</v>
      </c>
      <c r="B23" s="1" t="s">
        <v>379</v>
      </c>
      <c r="C23" s="1" t="s">
        <v>380</v>
      </c>
      <c r="D23" s="1">
        <f t="shared" si="0"/>
        <v>15</v>
      </c>
      <c r="E23" s="1">
        <f t="shared" si="1"/>
        <v>0.21519675925925927</v>
      </c>
      <c r="F23" s="2">
        <f t="shared" si="2"/>
        <v>95.599900723624231</v>
      </c>
      <c r="G23" s="1">
        <v>2080</v>
      </c>
      <c r="H23" s="1">
        <v>3744</v>
      </c>
      <c r="I23" s="1">
        <v>0</v>
      </c>
      <c r="J23" s="1">
        <v>142</v>
      </c>
      <c r="K23" s="1">
        <f t="shared" si="3"/>
        <v>0</v>
      </c>
      <c r="L23" s="1">
        <f t="shared" si="4"/>
        <v>1.2390865384615384</v>
      </c>
      <c r="M23" s="1">
        <f t="shared" si="5"/>
        <v>1.2390865384615384</v>
      </c>
      <c r="N23" s="3">
        <f t="shared" si="6"/>
        <v>13.558375043650333</v>
      </c>
      <c r="O23" s="1">
        <v>887</v>
      </c>
      <c r="P23" s="1">
        <f t="shared" si="8"/>
        <v>985</v>
      </c>
      <c r="Q23" s="1">
        <f t="shared" si="9"/>
        <v>5.272563692961965</v>
      </c>
      <c r="R23" s="1">
        <f t="shared" si="10"/>
        <v>2.7742923277604357</v>
      </c>
      <c r="S23" s="2">
        <f t="shared" si="11"/>
        <v>11.564139602488201</v>
      </c>
      <c r="T23" s="3">
        <f t="shared" si="7"/>
        <v>0.20183231122368733</v>
      </c>
      <c r="U23" s="4" t="s">
        <v>571</v>
      </c>
    </row>
    <row r="24" spans="1:23" ht="14.25" customHeight="1" x14ac:dyDescent="0.3">
      <c r="A24" s="1" t="s">
        <v>23</v>
      </c>
      <c r="B24" s="1" t="s">
        <v>521</v>
      </c>
      <c r="C24" s="1" t="s">
        <v>522</v>
      </c>
      <c r="D24" s="1">
        <f t="shared" si="0"/>
        <v>15</v>
      </c>
      <c r="E24" s="1">
        <f t="shared" si="1"/>
        <v>0.21608796296296295</v>
      </c>
      <c r="F24" s="2">
        <f t="shared" si="2"/>
        <v>95.605500321641046</v>
      </c>
      <c r="G24" s="1">
        <v>2080</v>
      </c>
      <c r="H24" s="1">
        <v>3744</v>
      </c>
      <c r="I24" s="1">
        <v>0</v>
      </c>
      <c r="J24" s="1">
        <v>153</v>
      </c>
      <c r="K24" s="1">
        <f t="shared" si="3"/>
        <v>0</v>
      </c>
      <c r="L24" s="1">
        <f t="shared" si="4"/>
        <v>1.3350721153846152</v>
      </c>
      <c r="M24" s="1">
        <f t="shared" si="5"/>
        <v>1.3350721153846152</v>
      </c>
      <c r="N24" s="3">
        <f t="shared" si="6"/>
        <v>12.583589909793121</v>
      </c>
      <c r="O24" s="1">
        <v>473</v>
      </c>
      <c r="P24" s="1">
        <f t="shared" si="8"/>
        <v>1399</v>
      </c>
      <c r="Q24" s="1">
        <f t="shared" si="9"/>
        <v>4.8934904862784254</v>
      </c>
      <c r="R24" s="1">
        <f t="shared" si="10"/>
        <v>3.6570476443929043</v>
      </c>
      <c r="S24" s="2">
        <f t="shared" si="11"/>
        <v>16.204941126050947</v>
      </c>
      <c r="T24" s="3">
        <f t="shared" si="7"/>
        <v>0.28282957774142647</v>
      </c>
      <c r="U24" s="4" t="s">
        <v>571</v>
      </c>
    </row>
    <row r="25" spans="1:23" ht="14.25" customHeight="1" x14ac:dyDescent="0.3">
      <c r="A25" s="1" t="s">
        <v>23</v>
      </c>
      <c r="B25" s="1" t="s">
        <v>545</v>
      </c>
      <c r="C25" s="1" t="s">
        <v>546</v>
      </c>
      <c r="D25" s="1">
        <f t="shared" si="0"/>
        <v>15</v>
      </c>
      <c r="E25" s="1">
        <f t="shared" si="1"/>
        <v>0.21609953703703702</v>
      </c>
      <c r="F25" s="2">
        <f t="shared" si="2"/>
        <v>95.605573043693212</v>
      </c>
      <c r="G25" s="1">
        <v>2080</v>
      </c>
      <c r="H25" s="1">
        <v>3744</v>
      </c>
      <c r="I25" s="1">
        <v>0</v>
      </c>
      <c r="J25" s="1">
        <v>194</v>
      </c>
      <c r="K25" s="1">
        <f t="shared" si="3"/>
        <v>0</v>
      </c>
      <c r="L25" s="1">
        <f t="shared" si="4"/>
        <v>1.6928365384615385</v>
      </c>
      <c r="M25" s="1">
        <f t="shared" si="5"/>
        <v>1.6928365384615385</v>
      </c>
      <c r="N25" s="3">
        <f t="shared" si="6"/>
        <v>9.9241714237028198</v>
      </c>
      <c r="O25" s="1">
        <v>313</v>
      </c>
      <c r="P25" s="1">
        <f t="shared" si="8"/>
        <v>1559</v>
      </c>
      <c r="Q25" s="1">
        <f t="shared" si="9"/>
        <v>3.8592991979412314</v>
      </c>
      <c r="R25" s="1">
        <f t="shared" si="10"/>
        <v>3.2140210734991346</v>
      </c>
      <c r="S25" s="2">
        <f t="shared" si="11"/>
        <v>17.944954490793915</v>
      </c>
      <c r="T25" s="3">
        <f t="shared" si="7"/>
        <v>0.31319853998489627</v>
      </c>
      <c r="U25" s="4" t="s">
        <v>571</v>
      </c>
    </row>
    <row r="26" spans="1:23" ht="14.25" customHeight="1" x14ac:dyDescent="0.3">
      <c r="A26" s="1" t="s">
        <v>33</v>
      </c>
      <c r="B26" s="1" t="s">
        <v>419</v>
      </c>
      <c r="C26" s="1" t="s">
        <v>420</v>
      </c>
      <c r="D26" s="1">
        <f t="shared" si="0"/>
        <v>23</v>
      </c>
      <c r="E26" s="1">
        <f t="shared" si="1"/>
        <v>0.96902777777777782</v>
      </c>
      <c r="F26" s="2">
        <f t="shared" si="2"/>
        <v>150.60184316071272</v>
      </c>
      <c r="G26" s="1">
        <v>2080</v>
      </c>
      <c r="H26" s="1">
        <v>3744</v>
      </c>
      <c r="I26" s="1">
        <v>0</v>
      </c>
      <c r="J26" s="1">
        <v>165</v>
      </c>
      <c r="K26" s="1">
        <f t="shared" si="3"/>
        <v>0</v>
      </c>
      <c r="L26" s="1">
        <f t="shared" si="4"/>
        <v>1.4397836538461537</v>
      </c>
      <c r="M26" s="1">
        <f t="shared" si="5"/>
        <v>1.4397836538461537</v>
      </c>
      <c r="N26" s="3">
        <f t="shared" si="6"/>
        <v>11.668419734535439</v>
      </c>
      <c r="O26" s="1">
        <v>801</v>
      </c>
      <c r="P26" s="1">
        <f t="shared" si="8"/>
        <v>1071</v>
      </c>
      <c r="Q26" s="1">
        <f t="shared" si="9"/>
        <v>4.5376002690945398</v>
      </c>
      <c r="R26" s="1">
        <f t="shared" si="10"/>
        <v>2.5960309231838954</v>
      </c>
      <c r="S26" s="2">
        <f t="shared" si="11"/>
        <v>12.543072843811341</v>
      </c>
      <c r="T26" s="3">
        <f t="shared" si="7"/>
        <v>0.21891791944199637</v>
      </c>
      <c r="U26" s="4" t="s">
        <v>571</v>
      </c>
      <c r="V26" s="3"/>
    </row>
    <row r="27" spans="1:23" ht="14.25" customHeight="1" x14ac:dyDescent="0.3">
      <c r="A27" s="1" t="s">
        <v>33</v>
      </c>
      <c r="B27" s="1" t="s">
        <v>314</v>
      </c>
      <c r="C27" s="1" t="s">
        <v>315</v>
      </c>
      <c r="D27" s="1">
        <f t="shared" si="0"/>
        <v>23</v>
      </c>
      <c r="E27" s="1">
        <f t="shared" si="1"/>
        <v>0.96903935185185175</v>
      </c>
      <c r="F27" s="2">
        <f t="shared" si="2"/>
        <v>150.60191588276487</v>
      </c>
      <c r="G27" s="1">
        <v>2080</v>
      </c>
      <c r="H27" s="1">
        <v>3744</v>
      </c>
      <c r="I27" s="1">
        <v>0</v>
      </c>
      <c r="J27" s="1">
        <v>162</v>
      </c>
      <c r="K27" s="1">
        <f t="shared" si="3"/>
        <v>0</v>
      </c>
      <c r="L27" s="1">
        <f t="shared" si="4"/>
        <v>1.4136057692307691</v>
      </c>
      <c r="M27" s="1">
        <f t="shared" si="5"/>
        <v>1.4136057692307691</v>
      </c>
      <c r="N27" s="3">
        <f t="shared" si="6"/>
        <v>11.88450158147128</v>
      </c>
      <c r="O27" s="1">
        <v>993</v>
      </c>
      <c r="P27" s="1">
        <f t="shared" si="8"/>
        <v>879</v>
      </c>
      <c r="Q27" s="1">
        <f t="shared" si="9"/>
        <v>4.6216299037074018</v>
      </c>
      <c r="R27" s="1">
        <f t="shared" si="10"/>
        <v>2.1700922464523535</v>
      </c>
      <c r="S27" s="2">
        <f t="shared" si="11"/>
        <v>10.348119164054868</v>
      </c>
      <c r="T27" s="3">
        <f t="shared" si="7"/>
        <v>0.1806087508014807</v>
      </c>
      <c r="U27" s="4" t="s">
        <v>571</v>
      </c>
    </row>
    <row r="28" spans="1:23" ht="14.25" customHeight="1" x14ac:dyDescent="0.3">
      <c r="A28" s="1" t="s">
        <v>33</v>
      </c>
      <c r="B28" s="1" t="s">
        <v>34</v>
      </c>
      <c r="C28" s="1" t="s">
        <v>35</v>
      </c>
      <c r="D28" s="1">
        <f t="shared" si="0"/>
        <v>23</v>
      </c>
      <c r="E28" s="1">
        <f t="shared" si="1"/>
        <v>0.96918981481481481</v>
      </c>
      <c r="F28" s="2">
        <f t="shared" si="2"/>
        <v>150.60286126944303</v>
      </c>
      <c r="G28" s="1">
        <v>2080</v>
      </c>
      <c r="H28" s="1">
        <v>3744</v>
      </c>
      <c r="I28" s="1">
        <v>0</v>
      </c>
      <c r="J28" s="1">
        <v>158</v>
      </c>
      <c r="K28" s="1">
        <f t="shared" si="3"/>
        <v>0</v>
      </c>
      <c r="L28" s="1">
        <f t="shared" si="4"/>
        <v>1.3787019230769231</v>
      </c>
      <c r="M28" s="1">
        <f t="shared" si="5"/>
        <v>1.3787019230769231</v>
      </c>
      <c r="N28" s="3">
        <f t="shared" si="6"/>
        <v>12.185375039230046</v>
      </c>
      <c r="O28" s="1">
        <v>1849</v>
      </c>
      <c r="P28" s="1">
        <f t="shared" si="8"/>
        <v>23</v>
      </c>
      <c r="Q28" s="1">
        <f t="shared" si="9"/>
        <v>4.7386331924088543</v>
      </c>
      <c r="R28" s="1">
        <f t="shared" si="10"/>
        <v>5.8220386445194255E-2</v>
      </c>
      <c r="S28" s="2">
        <f t="shared" si="11"/>
        <v>0.27375087194239983</v>
      </c>
      <c r="T28" s="3">
        <f t="shared" si="7"/>
        <v>4.7778540456002421E-3</v>
      </c>
      <c r="U28" s="4" t="s">
        <v>571</v>
      </c>
    </row>
    <row r="29" spans="1:23" ht="14.25" customHeight="1" x14ac:dyDescent="0.3">
      <c r="A29" s="1" t="s">
        <v>33</v>
      </c>
      <c r="B29" s="1" t="s">
        <v>560</v>
      </c>
      <c r="C29" s="1" t="s">
        <v>561</v>
      </c>
      <c r="D29" s="1">
        <f t="shared" si="0"/>
        <v>23</v>
      </c>
      <c r="E29" s="1">
        <f t="shared" si="1"/>
        <v>0.96920138888888896</v>
      </c>
      <c r="F29" s="2">
        <f t="shared" si="2"/>
        <v>150.60293399149518</v>
      </c>
      <c r="G29" s="1">
        <v>2080</v>
      </c>
      <c r="H29" s="1">
        <v>3744</v>
      </c>
      <c r="I29" s="1">
        <v>0</v>
      </c>
      <c r="J29" s="1">
        <v>176</v>
      </c>
      <c r="K29" s="1">
        <f t="shared" si="3"/>
        <v>0</v>
      </c>
      <c r="L29" s="1">
        <f t="shared" si="4"/>
        <v>1.5357692307692306</v>
      </c>
      <c r="M29" s="1">
        <f t="shared" si="5"/>
        <v>1.5357692307692306</v>
      </c>
      <c r="N29" s="3">
        <f t="shared" si="6"/>
        <v>10.939143501126974</v>
      </c>
      <c r="O29" s="1">
        <v>0</v>
      </c>
      <c r="P29" s="1">
        <f t="shared" si="8"/>
        <v>1872</v>
      </c>
      <c r="Q29" s="1">
        <f t="shared" si="9"/>
        <v>4.2540002522761311</v>
      </c>
      <c r="R29" s="1">
        <f t="shared" si="10"/>
        <v>4.2540002522761311</v>
      </c>
      <c r="S29" s="2">
        <f t="shared" si="11"/>
        <v>21.25</v>
      </c>
      <c r="T29" s="3">
        <f t="shared" si="7"/>
        <v>0.37088246604879505</v>
      </c>
      <c r="U29" s="4" t="s">
        <v>571</v>
      </c>
    </row>
    <row r="30" spans="1:23" ht="14.25" customHeight="1" x14ac:dyDescent="0.3">
      <c r="A30" s="1" t="s">
        <v>26</v>
      </c>
      <c r="B30" s="1" t="s">
        <v>403</v>
      </c>
      <c r="C30" s="1" t="s">
        <v>404</v>
      </c>
      <c r="D30" s="1">
        <f t="shared" si="0"/>
        <v>24</v>
      </c>
      <c r="E30" s="1">
        <f t="shared" si="1"/>
        <v>2.1666666666666667E-2</v>
      </c>
      <c r="F30" s="2">
        <f t="shared" si="2"/>
        <v>150.93258305396563</v>
      </c>
      <c r="G30" s="1">
        <v>2080</v>
      </c>
      <c r="H30" s="1">
        <v>3744</v>
      </c>
      <c r="I30" s="1">
        <v>0</v>
      </c>
      <c r="J30" s="1">
        <v>149</v>
      </c>
      <c r="K30" s="1">
        <f t="shared" si="3"/>
        <v>0</v>
      </c>
      <c r="L30" s="1">
        <f t="shared" si="4"/>
        <v>1.3001682692307692</v>
      </c>
      <c r="M30" s="1">
        <f t="shared" si="5"/>
        <v>1.3001682692307692</v>
      </c>
      <c r="N30" s="3">
        <f t="shared" si="6"/>
        <v>12.921404404015753</v>
      </c>
      <c r="O30" s="1">
        <v>849</v>
      </c>
      <c r="P30" s="1">
        <f t="shared" si="8"/>
        <v>1023</v>
      </c>
      <c r="Q30" s="1">
        <f t="shared" si="9"/>
        <v>5.0248593583932815</v>
      </c>
      <c r="R30" s="1">
        <f t="shared" si="10"/>
        <v>2.7459567968142768</v>
      </c>
      <c r="S30" s="2">
        <f t="shared" si="11"/>
        <v>11.997571167849475</v>
      </c>
      <c r="T30" s="3">
        <f t="shared" si="7"/>
        <v>0.20939711912131459</v>
      </c>
      <c r="U30" s="4" t="s">
        <v>571</v>
      </c>
    </row>
    <row r="31" spans="1:23" ht="14.25" customHeight="1" x14ac:dyDescent="0.3">
      <c r="A31" s="1" t="s">
        <v>26</v>
      </c>
      <c r="B31" s="1" t="s">
        <v>395</v>
      </c>
      <c r="C31" s="1" t="s">
        <v>396</v>
      </c>
      <c r="D31" s="1">
        <f t="shared" si="0"/>
        <v>24</v>
      </c>
      <c r="E31" s="1">
        <f t="shared" si="1"/>
        <v>2.1678240740740738E-2</v>
      </c>
      <c r="F31" s="2">
        <f t="shared" si="2"/>
        <v>150.93265577601778</v>
      </c>
      <c r="G31" s="1">
        <v>2080</v>
      </c>
      <c r="H31" s="1">
        <v>3744</v>
      </c>
      <c r="I31" s="1">
        <v>0</v>
      </c>
      <c r="J31" s="1">
        <v>135</v>
      </c>
      <c r="K31" s="1">
        <f t="shared" si="3"/>
        <v>0</v>
      </c>
      <c r="L31" s="1">
        <f t="shared" si="4"/>
        <v>1.1780048076923078</v>
      </c>
      <c r="M31" s="1">
        <f t="shared" si="5"/>
        <v>1.1780048076923078</v>
      </c>
      <c r="N31" s="3">
        <f t="shared" si="6"/>
        <v>14.261401897765534</v>
      </c>
      <c r="O31" s="1">
        <v>865</v>
      </c>
      <c r="P31" s="1">
        <f t="shared" si="8"/>
        <v>1007</v>
      </c>
      <c r="Q31" s="1">
        <f t="shared" si="9"/>
        <v>5.5459558844488805</v>
      </c>
      <c r="R31" s="1">
        <f t="shared" si="10"/>
        <v>2.9833213545085591</v>
      </c>
      <c r="S31" s="2">
        <f t="shared" si="11"/>
        <v>11.815240504182249</v>
      </c>
      <c r="T31" s="3">
        <f t="shared" si="7"/>
        <v>0.2062148487129751</v>
      </c>
      <c r="U31" s="4" t="s">
        <v>571</v>
      </c>
    </row>
    <row r="32" spans="1:23" ht="14.25" customHeight="1" x14ac:dyDescent="0.3">
      <c r="A32" s="1" t="s">
        <v>26</v>
      </c>
      <c r="B32" s="1" t="s">
        <v>310</v>
      </c>
      <c r="C32" s="1" t="s">
        <v>311</v>
      </c>
      <c r="D32" s="1">
        <f t="shared" si="0"/>
        <v>24</v>
      </c>
      <c r="E32" s="1">
        <f t="shared" si="1"/>
        <v>2.1689814814814815E-2</v>
      </c>
      <c r="F32" s="2">
        <f t="shared" si="2"/>
        <v>150.93272849806996</v>
      </c>
      <c r="G32" s="1">
        <v>2080</v>
      </c>
      <c r="H32" s="1">
        <v>3744</v>
      </c>
      <c r="I32" s="1">
        <v>0</v>
      </c>
      <c r="J32" s="1">
        <v>161</v>
      </c>
      <c r="K32" s="1">
        <f t="shared" si="3"/>
        <v>0</v>
      </c>
      <c r="L32" s="1">
        <f t="shared" si="4"/>
        <v>1.4048798076923075</v>
      </c>
      <c r="M32" s="1">
        <f t="shared" si="5"/>
        <v>1.4048798076923075</v>
      </c>
      <c r="N32" s="3">
        <f t="shared" si="6"/>
        <v>11.958318361480419</v>
      </c>
      <c r="O32" s="1">
        <v>1015</v>
      </c>
      <c r="P32" s="1">
        <f t="shared" si="8"/>
        <v>857</v>
      </c>
      <c r="Q32" s="1">
        <f t="shared" si="9"/>
        <v>4.6503356795068269</v>
      </c>
      <c r="R32" s="1">
        <f t="shared" si="10"/>
        <v>2.1289196994323452</v>
      </c>
      <c r="S32" s="2">
        <f t="shared" si="11"/>
        <v>10.094514334015287</v>
      </c>
      <c r="T32" s="3">
        <f t="shared" si="7"/>
        <v>0.17618251151832939</v>
      </c>
      <c r="U32" s="4" t="s">
        <v>571</v>
      </c>
    </row>
    <row r="33" spans="1:21" ht="14.25" customHeight="1" x14ac:dyDescent="0.3">
      <c r="A33" s="1" t="s">
        <v>26</v>
      </c>
      <c r="B33" s="1" t="s">
        <v>341</v>
      </c>
      <c r="C33" s="1" t="s">
        <v>342</v>
      </c>
      <c r="D33" s="1">
        <f t="shared" si="0"/>
        <v>24</v>
      </c>
      <c r="E33" s="1">
        <f t="shared" si="1"/>
        <v>2.1770833333333336E-2</v>
      </c>
      <c r="F33" s="2">
        <f t="shared" si="2"/>
        <v>150.93323755243514</v>
      </c>
      <c r="G33" s="1">
        <v>2080</v>
      </c>
      <c r="H33" s="1">
        <v>3744</v>
      </c>
      <c r="I33" s="1">
        <v>0</v>
      </c>
      <c r="J33" s="1">
        <v>133</v>
      </c>
      <c r="K33" s="1">
        <f t="shared" si="3"/>
        <v>0</v>
      </c>
      <c r="L33" s="1">
        <f t="shared" si="4"/>
        <v>1.1605528846153845</v>
      </c>
      <c r="M33" s="1">
        <f t="shared" si="5"/>
        <v>1.1605528846153845</v>
      </c>
      <c r="N33" s="3">
        <f t="shared" si="6"/>
        <v>14.475859069160506</v>
      </c>
      <c r="O33" s="1">
        <v>925</v>
      </c>
      <c r="P33" s="1">
        <f t="shared" si="8"/>
        <v>947</v>
      </c>
      <c r="Q33" s="1">
        <f t="shared" si="9"/>
        <v>5.6293537172977368</v>
      </c>
      <c r="R33" s="1">
        <f t="shared" si="10"/>
        <v>2.8477553260047843</v>
      </c>
      <c r="S33" s="2">
        <f t="shared" si="11"/>
        <v>11.129362079924025</v>
      </c>
      <c r="T33" s="3">
        <f t="shared" si="7"/>
        <v>0.19424401194127855</v>
      </c>
      <c r="U33" s="4" t="s">
        <v>571</v>
      </c>
    </row>
    <row r="34" spans="1:21" ht="14.25" customHeight="1" x14ac:dyDescent="0.3">
      <c r="A34" s="1" t="s">
        <v>26</v>
      </c>
      <c r="B34" s="1" t="s">
        <v>497</v>
      </c>
      <c r="C34" s="1" t="s">
        <v>498</v>
      </c>
      <c r="D34" s="1">
        <f t="shared" si="0"/>
        <v>24</v>
      </c>
      <c r="E34" s="1">
        <f t="shared" si="1"/>
        <v>2.1782407407407407E-2</v>
      </c>
      <c r="F34" s="2">
        <f t="shared" si="2"/>
        <v>150.9333102744873</v>
      </c>
      <c r="G34" s="1">
        <v>2080</v>
      </c>
      <c r="H34" s="1">
        <v>3744</v>
      </c>
      <c r="I34" s="1">
        <v>0</v>
      </c>
      <c r="J34" s="1">
        <v>122</v>
      </c>
      <c r="K34" s="1">
        <f t="shared" si="3"/>
        <v>0</v>
      </c>
      <c r="L34" s="1">
        <f t="shared" si="4"/>
        <v>1.0645673076923075</v>
      </c>
      <c r="M34" s="1">
        <f t="shared" si="5"/>
        <v>1.0645673076923075</v>
      </c>
      <c r="N34" s="3">
        <f t="shared" si="6"/>
        <v>15.781059477035637</v>
      </c>
      <c r="O34" s="1">
        <v>594</v>
      </c>
      <c r="P34" s="1">
        <f t="shared" si="8"/>
        <v>1278</v>
      </c>
      <c r="Q34" s="1">
        <f t="shared" si="9"/>
        <v>6.1369183967262222</v>
      </c>
      <c r="R34" s="1">
        <f t="shared" si="10"/>
        <v>4.1896269823804015</v>
      </c>
      <c r="S34" s="2">
        <f t="shared" si="11"/>
        <v>14.868163243108027</v>
      </c>
      <c r="T34" s="3">
        <f t="shared" si="7"/>
        <v>0.25949840231623317</v>
      </c>
      <c r="U34" s="4" t="s">
        <v>571</v>
      </c>
    </row>
    <row r="35" spans="1:21" ht="14.25" customHeight="1" x14ac:dyDescent="0.3">
      <c r="A35" s="1" t="s">
        <v>26</v>
      </c>
      <c r="B35" s="1" t="s">
        <v>123</v>
      </c>
      <c r="C35" s="1" t="s">
        <v>124</v>
      </c>
      <c r="D35" s="1">
        <f t="shared" si="0"/>
        <v>24</v>
      </c>
      <c r="E35" s="1">
        <f t="shared" si="1"/>
        <v>2.4201388888888887E-2</v>
      </c>
      <c r="F35" s="2">
        <f t="shared" si="2"/>
        <v>150.94850918339009</v>
      </c>
      <c r="G35" s="1">
        <v>2080</v>
      </c>
      <c r="H35" s="1">
        <v>3744</v>
      </c>
      <c r="I35" s="1">
        <v>0</v>
      </c>
      <c r="J35" s="1">
        <v>165</v>
      </c>
      <c r="K35" s="1">
        <f t="shared" si="3"/>
        <v>0</v>
      </c>
      <c r="L35" s="1">
        <f t="shared" si="4"/>
        <v>1.4397836538461537</v>
      </c>
      <c r="M35" s="1">
        <f t="shared" si="5"/>
        <v>1.4397836538461537</v>
      </c>
      <c r="N35" s="3">
        <f t="shared" si="6"/>
        <v>11.668419734535439</v>
      </c>
      <c r="O35" s="1">
        <v>1632</v>
      </c>
      <c r="P35" s="1">
        <f t="shared" si="8"/>
        <v>240</v>
      </c>
      <c r="Q35" s="1">
        <f t="shared" si="9"/>
        <v>4.5376002690945398</v>
      </c>
      <c r="R35" s="1">
        <f t="shared" si="10"/>
        <v>0.58174362424288972</v>
      </c>
      <c r="S35" s="2">
        <f t="shared" si="11"/>
        <v>2.8541893053113983</v>
      </c>
      <c r="T35" s="3">
        <f t="shared" si="7"/>
        <v>4.981500085289358E-2</v>
      </c>
      <c r="U35" s="4" t="s">
        <v>571</v>
      </c>
    </row>
    <row r="36" spans="1:21" ht="14.25" customHeight="1" x14ac:dyDescent="0.3">
      <c r="A36" s="1" t="s">
        <v>26</v>
      </c>
      <c r="B36" s="1" t="s">
        <v>53</v>
      </c>
      <c r="C36" s="1" t="s">
        <v>54</v>
      </c>
      <c r="D36" s="1">
        <f t="shared" si="0"/>
        <v>24</v>
      </c>
      <c r="E36" s="1">
        <f t="shared" si="1"/>
        <v>2.4212962962962964E-2</v>
      </c>
      <c r="F36" s="2">
        <f t="shared" si="2"/>
        <v>150.94858190544224</v>
      </c>
      <c r="G36" s="1">
        <v>2080</v>
      </c>
      <c r="H36" s="1">
        <v>3744</v>
      </c>
      <c r="I36" s="1">
        <v>0</v>
      </c>
      <c r="J36" s="1">
        <v>172</v>
      </c>
      <c r="K36" s="1">
        <f t="shared" si="3"/>
        <v>0</v>
      </c>
      <c r="L36" s="1">
        <f t="shared" si="4"/>
        <v>1.5008653846153845</v>
      </c>
      <c r="M36" s="1">
        <f t="shared" si="5"/>
        <v>1.5008653846153845</v>
      </c>
      <c r="N36" s="3">
        <f t="shared" si="6"/>
        <v>11.193542187199693</v>
      </c>
      <c r="O36" s="1">
        <v>1804</v>
      </c>
      <c r="P36" s="1">
        <f t="shared" si="8"/>
        <v>68</v>
      </c>
      <c r="Q36" s="1">
        <f t="shared" si="9"/>
        <v>4.3529304907011568</v>
      </c>
      <c r="R36" s="1">
        <f t="shared" si="10"/>
        <v>0.15811926996136683</v>
      </c>
      <c r="S36" s="2">
        <f t="shared" si="11"/>
        <v>0.80930273552418064</v>
      </c>
      <c r="T36" s="3">
        <f t="shared" si="7"/>
        <v>1.412499738029383E-2</v>
      </c>
      <c r="U36" s="4" t="s">
        <v>571</v>
      </c>
    </row>
    <row r="37" spans="1:21" ht="14.25" customHeight="1" x14ac:dyDescent="0.3">
      <c r="A37" s="1" t="s">
        <v>26</v>
      </c>
      <c r="B37" s="1" t="s">
        <v>289</v>
      </c>
      <c r="C37" s="1" t="s">
        <v>290</v>
      </c>
      <c r="D37" s="1">
        <f t="shared" si="0"/>
        <v>24</v>
      </c>
      <c r="E37" s="1">
        <f t="shared" si="1"/>
        <v>0.80826388888888889</v>
      </c>
      <c r="F37" s="2">
        <f t="shared" si="2"/>
        <v>155.87491916330058</v>
      </c>
      <c r="G37" s="1">
        <v>2080</v>
      </c>
      <c r="H37" s="1">
        <v>3744</v>
      </c>
      <c r="I37" s="1">
        <v>0</v>
      </c>
      <c r="J37" s="1">
        <v>92</v>
      </c>
      <c r="K37" s="1">
        <f t="shared" si="3"/>
        <v>0</v>
      </c>
      <c r="L37" s="1">
        <f t="shared" si="4"/>
        <v>0.80278846153846151</v>
      </c>
      <c r="M37" s="1">
        <f t="shared" si="5"/>
        <v>0.80278846153846151</v>
      </c>
      <c r="N37" s="3">
        <f t="shared" si="6"/>
        <v>20.927057132590733</v>
      </c>
      <c r="O37" s="1">
        <v>1058</v>
      </c>
      <c r="P37" s="1">
        <f t="shared" si="8"/>
        <v>814</v>
      </c>
      <c r="Q37" s="1">
        <f t="shared" si="9"/>
        <v>8.138087439136946</v>
      </c>
      <c r="R37" s="1">
        <f t="shared" si="10"/>
        <v>3.5386769099665996</v>
      </c>
      <c r="S37" s="2">
        <f t="shared" si="11"/>
        <v>9.5976846413281791</v>
      </c>
      <c r="T37" s="3">
        <f t="shared" si="7"/>
        <v>0.16751119755926777</v>
      </c>
      <c r="U37" s="4" t="s">
        <v>571</v>
      </c>
    </row>
    <row r="38" spans="1:21" ht="14.25" customHeight="1" x14ac:dyDescent="0.3">
      <c r="A38" s="1" t="s">
        <v>26</v>
      </c>
      <c r="B38" s="1" t="s">
        <v>324</v>
      </c>
      <c r="C38" s="1" t="s">
        <v>325</v>
      </c>
      <c r="D38" s="1">
        <f t="shared" si="0"/>
        <v>24</v>
      </c>
      <c r="E38" s="1">
        <f t="shared" si="1"/>
        <v>0.80827546296296304</v>
      </c>
      <c r="F38" s="2">
        <f t="shared" si="2"/>
        <v>155.87499188535276</v>
      </c>
      <c r="G38" s="1">
        <v>2080</v>
      </c>
      <c r="H38" s="1">
        <v>3744</v>
      </c>
      <c r="I38" s="1">
        <v>0</v>
      </c>
      <c r="J38" s="1">
        <v>141</v>
      </c>
      <c r="K38" s="1">
        <f t="shared" si="3"/>
        <v>0</v>
      </c>
      <c r="L38" s="1">
        <f t="shared" si="4"/>
        <v>1.2303605769230768</v>
      </c>
      <c r="M38" s="1">
        <f t="shared" si="5"/>
        <v>1.2303605769230768</v>
      </c>
      <c r="N38" s="3">
        <f t="shared" si="6"/>
        <v>13.654533731903173</v>
      </c>
      <c r="O38" s="1">
        <v>957</v>
      </c>
      <c r="P38" s="1">
        <f t="shared" si="8"/>
        <v>915</v>
      </c>
      <c r="Q38" s="1">
        <f t="shared" si="9"/>
        <v>5.309957761706376</v>
      </c>
      <c r="R38" s="1">
        <f t="shared" si="10"/>
        <v>2.5954120469878919</v>
      </c>
      <c r="S38" s="2">
        <f t="shared" si="11"/>
        <v>10.762222004769363</v>
      </c>
      <c r="T38" s="3">
        <f t="shared" si="7"/>
        <v>0.18783620881381027</v>
      </c>
      <c r="U38" s="4" t="s">
        <v>571</v>
      </c>
    </row>
    <row r="39" spans="1:21" ht="14.25" customHeight="1" x14ac:dyDescent="0.3">
      <c r="A39" s="1" t="s">
        <v>26</v>
      </c>
      <c r="B39" s="1" t="s">
        <v>190</v>
      </c>
      <c r="C39" s="1" t="s">
        <v>191</v>
      </c>
      <c r="D39" s="1">
        <f t="shared" si="0"/>
        <v>24</v>
      </c>
      <c r="E39" s="1">
        <f t="shared" si="1"/>
        <v>0.81017361111111119</v>
      </c>
      <c r="F39" s="2">
        <f t="shared" si="2"/>
        <v>155.88691830190803</v>
      </c>
      <c r="G39" s="1">
        <v>2080</v>
      </c>
      <c r="H39" s="1">
        <v>3744</v>
      </c>
      <c r="I39" s="1">
        <v>0</v>
      </c>
      <c r="J39" s="1">
        <v>259</v>
      </c>
      <c r="K39" s="1">
        <f t="shared" si="3"/>
        <v>0</v>
      </c>
      <c r="L39" s="1">
        <f t="shared" si="4"/>
        <v>2.260024038461538</v>
      </c>
      <c r="M39" s="1">
        <f t="shared" si="5"/>
        <v>2.260024038461538</v>
      </c>
      <c r="N39" s="3">
        <f t="shared" si="6"/>
        <v>7.4335492517310717</v>
      </c>
      <c r="O39" s="1">
        <v>1314</v>
      </c>
      <c r="P39" s="1">
        <f t="shared" si="8"/>
        <v>558</v>
      </c>
      <c r="Q39" s="1">
        <f t="shared" si="9"/>
        <v>2.8907492061799194</v>
      </c>
      <c r="R39" s="1">
        <f t="shared" si="10"/>
        <v>0.86166562876516828</v>
      </c>
      <c r="S39" s="2">
        <f t="shared" si="11"/>
        <v>6.611976235474744</v>
      </c>
      <c r="T39" s="3">
        <f t="shared" si="7"/>
        <v>0.11540075537265418</v>
      </c>
      <c r="U39" s="4" t="s">
        <v>571</v>
      </c>
    </row>
    <row r="40" spans="1:21" ht="14.25" customHeight="1" x14ac:dyDescent="0.3">
      <c r="A40" s="1" t="s">
        <v>26</v>
      </c>
      <c r="B40" s="1" t="s">
        <v>90</v>
      </c>
      <c r="C40" s="1" t="s">
        <v>91</v>
      </c>
      <c r="D40" s="1">
        <f t="shared" si="0"/>
        <v>24</v>
      </c>
      <c r="E40" s="1">
        <f t="shared" si="1"/>
        <v>0.81018518518518512</v>
      </c>
      <c r="F40" s="2">
        <f t="shared" si="2"/>
        <v>155.88699102396018</v>
      </c>
      <c r="G40" s="1">
        <v>2080</v>
      </c>
      <c r="H40" s="1">
        <v>3744</v>
      </c>
      <c r="I40" s="1">
        <v>0</v>
      </c>
      <c r="J40" s="1">
        <v>246</v>
      </c>
      <c r="K40" s="1">
        <f t="shared" si="3"/>
        <v>0</v>
      </c>
      <c r="L40" s="1">
        <f t="shared" si="4"/>
        <v>2.1465865384615381</v>
      </c>
      <c r="M40" s="1">
        <f t="shared" si="5"/>
        <v>2.1465865384615381</v>
      </c>
      <c r="N40" s="3">
        <f t="shared" si="6"/>
        <v>7.826379090237185</v>
      </c>
      <c r="O40" s="1">
        <v>1719</v>
      </c>
      <c r="P40" s="1">
        <f t="shared" si="8"/>
        <v>153</v>
      </c>
      <c r="Q40" s="1">
        <f t="shared" si="9"/>
        <v>3.0435123756121913</v>
      </c>
      <c r="R40" s="1">
        <f t="shared" si="10"/>
        <v>0.24874860762215026</v>
      </c>
      <c r="S40" s="2">
        <f t="shared" si="11"/>
        <v>1.8204394393770618</v>
      </c>
      <c r="T40" s="3">
        <f t="shared" si="7"/>
        <v>3.1772662050289439E-2</v>
      </c>
      <c r="U40" s="4" t="s">
        <v>571</v>
      </c>
    </row>
    <row r="41" spans="1:21" ht="14.25" customHeight="1" x14ac:dyDescent="0.3">
      <c r="A41" s="1" t="s">
        <v>26</v>
      </c>
      <c r="B41" s="1" t="s">
        <v>133</v>
      </c>
      <c r="C41" s="1" t="s">
        <v>134</v>
      </c>
      <c r="D41" s="1">
        <f t="shared" si="0"/>
        <v>24</v>
      </c>
      <c r="E41" s="1">
        <f t="shared" si="1"/>
        <v>0.91626157407407405</v>
      </c>
      <c r="F41" s="2">
        <f t="shared" si="2"/>
        <v>156.55348863206552</v>
      </c>
      <c r="G41" s="1">
        <v>2080</v>
      </c>
      <c r="H41" s="1">
        <v>3744</v>
      </c>
      <c r="I41" s="1">
        <v>0</v>
      </c>
      <c r="J41" s="1">
        <v>191</v>
      </c>
      <c r="K41" s="1">
        <f t="shared" si="3"/>
        <v>0</v>
      </c>
      <c r="L41" s="1">
        <f t="shared" si="4"/>
        <v>1.6666586538461536</v>
      </c>
      <c r="M41" s="1">
        <f t="shared" si="5"/>
        <v>1.6666586538461536</v>
      </c>
      <c r="N41" s="3">
        <f t="shared" si="6"/>
        <v>10.080048461771453</v>
      </c>
      <c r="O41" s="1">
        <v>1617</v>
      </c>
      <c r="P41" s="1">
        <f t="shared" si="8"/>
        <v>255</v>
      </c>
      <c r="Q41" s="1">
        <f t="shared" si="9"/>
        <v>3.9199164628303618</v>
      </c>
      <c r="R41" s="1">
        <f t="shared" si="10"/>
        <v>0.53396297971246909</v>
      </c>
      <c r="S41" s="2">
        <f t="shared" si="11"/>
        <v>3.0322530004914396</v>
      </c>
      <c r="T41" s="3">
        <f t="shared" si="7"/>
        <v>5.292279861205286E-2</v>
      </c>
      <c r="U41" s="4" t="s">
        <v>571</v>
      </c>
    </row>
    <row r="42" spans="1:21" ht="14.25" customHeight="1" x14ac:dyDescent="0.3">
      <c r="A42" s="1" t="s">
        <v>26</v>
      </c>
      <c r="B42" s="1" t="s">
        <v>29</v>
      </c>
      <c r="C42" s="1" t="s">
        <v>30</v>
      </c>
      <c r="D42" s="1">
        <f t="shared" si="0"/>
        <v>24</v>
      </c>
      <c r="E42" s="1">
        <f t="shared" si="1"/>
        <v>0.9162731481481482</v>
      </c>
      <c r="F42" s="2">
        <f t="shared" si="2"/>
        <v>156.55356135411768</v>
      </c>
      <c r="G42" s="1">
        <v>2080</v>
      </c>
      <c r="H42" s="1">
        <v>3744</v>
      </c>
      <c r="I42" s="1">
        <v>0</v>
      </c>
      <c r="J42" s="1">
        <v>194</v>
      </c>
      <c r="K42" s="1">
        <f t="shared" si="3"/>
        <v>0</v>
      </c>
      <c r="L42" s="1">
        <f t="shared" si="4"/>
        <v>1.6928365384615385</v>
      </c>
      <c r="M42" s="1">
        <f t="shared" si="5"/>
        <v>1.6928365384615385</v>
      </c>
      <c r="N42" s="3">
        <f t="shared" si="6"/>
        <v>9.9241714237028198</v>
      </c>
      <c r="O42" s="1">
        <v>1852</v>
      </c>
      <c r="P42" s="1">
        <f t="shared" si="8"/>
        <v>20</v>
      </c>
      <c r="Q42" s="1">
        <f t="shared" si="9"/>
        <v>3.8592991979412314</v>
      </c>
      <c r="R42" s="1">
        <f t="shared" si="10"/>
        <v>4.1231829037833671E-2</v>
      </c>
      <c r="S42" s="2">
        <f t="shared" si="11"/>
        <v>0.23804467818007363</v>
      </c>
      <c r="T42" s="3">
        <f t="shared" si="7"/>
        <v>4.1546634010925882E-3</v>
      </c>
      <c r="U42" s="4" t="s">
        <v>571</v>
      </c>
    </row>
    <row r="43" spans="1:21" ht="14.25" customHeight="1" x14ac:dyDescent="0.3">
      <c r="A43" s="1" t="s">
        <v>26</v>
      </c>
      <c r="B43" s="1" t="s">
        <v>389</v>
      </c>
      <c r="C43" s="1" t="s">
        <v>390</v>
      </c>
      <c r="D43" s="1">
        <f t="shared" si="0"/>
        <v>25</v>
      </c>
      <c r="E43" s="1">
        <f t="shared" si="1"/>
        <v>3.7106481481481483E-2</v>
      </c>
      <c r="F43" s="2">
        <f t="shared" si="2"/>
        <v>157.31277957873522</v>
      </c>
      <c r="G43" s="1">
        <v>2080</v>
      </c>
      <c r="H43" s="1">
        <v>3744</v>
      </c>
      <c r="I43" s="1">
        <v>0</v>
      </c>
      <c r="J43" s="1">
        <v>221</v>
      </c>
      <c r="K43" s="1">
        <f t="shared" si="3"/>
        <v>0</v>
      </c>
      <c r="L43" s="1">
        <f t="shared" si="4"/>
        <v>1.9284374999999998</v>
      </c>
      <c r="M43" s="1">
        <f t="shared" si="5"/>
        <v>1.9284374999999998</v>
      </c>
      <c r="N43" s="3">
        <f t="shared" si="6"/>
        <v>8.7117160913952372</v>
      </c>
      <c r="O43" s="1">
        <v>876</v>
      </c>
      <c r="P43" s="1">
        <f t="shared" si="8"/>
        <v>996</v>
      </c>
      <c r="Q43" s="1">
        <f t="shared" si="9"/>
        <v>3.3878011058850634</v>
      </c>
      <c r="R43" s="1">
        <f t="shared" si="10"/>
        <v>1.8024839217208992</v>
      </c>
      <c r="S43" s="2">
        <f t="shared" si="11"/>
        <v>11.689746975423205</v>
      </c>
      <c r="T43" s="3">
        <f t="shared" si="7"/>
        <v>0.20402457344618358</v>
      </c>
      <c r="U43" s="4" t="s">
        <v>571</v>
      </c>
    </row>
    <row r="44" spans="1:21" ht="14.25" customHeight="1" x14ac:dyDescent="0.3">
      <c r="A44" s="1" t="s">
        <v>26</v>
      </c>
      <c r="B44" s="1" t="s">
        <v>254</v>
      </c>
      <c r="C44" s="1" t="s">
        <v>255</v>
      </c>
      <c r="D44" s="1">
        <f t="shared" si="0"/>
        <v>25</v>
      </c>
      <c r="E44" s="1">
        <f t="shared" si="1"/>
        <v>3.7118055555555557E-2</v>
      </c>
      <c r="F44" s="2">
        <f t="shared" si="2"/>
        <v>157.3128523007874</v>
      </c>
      <c r="G44" s="1">
        <v>2080</v>
      </c>
      <c r="H44" s="1">
        <v>3744</v>
      </c>
      <c r="I44" s="1">
        <v>0</v>
      </c>
      <c r="J44" s="1">
        <v>197</v>
      </c>
      <c r="K44" s="1">
        <f t="shared" si="3"/>
        <v>0</v>
      </c>
      <c r="L44" s="1">
        <f t="shared" si="4"/>
        <v>1.7190144230769229</v>
      </c>
      <c r="M44" s="1">
        <f t="shared" si="5"/>
        <v>1.7190144230769229</v>
      </c>
      <c r="N44" s="3">
        <f t="shared" si="6"/>
        <v>9.7730419096362819</v>
      </c>
      <c r="O44" s="1">
        <v>1132</v>
      </c>
      <c r="P44" s="1">
        <f t="shared" si="8"/>
        <v>740</v>
      </c>
      <c r="Q44" s="1">
        <f t="shared" si="9"/>
        <v>3.8005281441654777</v>
      </c>
      <c r="R44" s="1">
        <f t="shared" si="10"/>
        <v>1.5023455270739601</v>
      </c>
      <c r="S44" s="2">
        <f t="shared" si="11"/>
        <v>8.7392931751248</v>
      </c>
      <c r="T44" s="3">
        <f t="shared" si="7"/>
        <v>0.15252944020299716</v>
      </c>
      <c r="U44" s="4" t="s">
        <v>571</v>
      </c>
    </row>
    <row r="45" spans="1:21" ht="14.25" customHeight="1" x14ac:dyDescent="0.3">
      <c r="A45" s="1" t="s">
        <v>26</v>
      </c>
      <c r="B45" s="1" t="s">
        <v>175</v>
      </c>
      <c r="C45" s="1" t="s">
        <v>176</v>
      </c>
      <c r="D45" s="1">
        <f t="shared" si="0"/>
        <v>25</v>
      </c>
      <c r="E45" s="1">
        <f t="shared" si="1"/>
        <v>3.712962962962963E-2</v>
      </c>
      <c r="F45" s="2">
        <f t="shared" si="2"/>
        <v>157.31292502283955</v>
      </c>
      <c r="G45" s="1">
        <v>2080</v>
      </c>
      <c r="H45" s="1">
        <v>3744</v>
      </c>
      <c r="I45" s="1">
        <v>0</v>
      </c>
      <c r="J45" s="1">
        <v>199</v>
      </c>
      <c r="K45" s="1">
        <f t="shared" si="3"/>
        <v>0</v>
      </c>
      <c r="L45" s="1">
        <f t="shared" si="4"/>
        <v>1.7364663461538461</v>
      </c>
      <c r="M45" s="1">
        <f t="shared" si="5"/>
        <v>1.7364663461538461</v>
      </c>
      <c r="N45" s="3">
        <f t="shared" si="6"/>
        <v>9.6748203829062671</v>
      </c>
      <c r="O45" s="1">
        <v>1393</v>
      </c>
      <c r="P45" s="1">
        <f t="shared" si="8"/>
        <v>479</v>
      </c>
      <c r="Q45" s="1">
        <f t="shared" si="9"/>
        <v>3.762331881410045</v>
      </c>
      <c r="R45" s="1">
        <f t="shared" si="10"/>
        <v>0.96269068974113858</v>
      </c>
      <c r="S45" s="2">
        <f t="shared" si="11"/>
        <v>5.6824975981628665</v>
      </c>
      <c r="T45" s="3">
        <f t="shared" si="7"/>
        <v>9.91782928246117E-2</v>
      </c>
      <c r="U45" s="4" t="s">
        <v>571</v>
      </c>
    </row>
    <row r="46" spans="1:21" ht="14.25" customHeight="1" x14ac:dyDescent="0.3">
      <c r="A46" s="1" t="s">
        <v>26</v>
      </c>
      <c r="B46" s="1" t="s">
        <v>27</v>
      </c>
      <c r="C46" s="1" t="s">
        <v>28</v>
      </c>
      <c r="D46" s="1">
        <f t="shared" si="0"/>
        <v>25</v>
      </c>
      <c r="E46" s="1">
        <f t="shared" si="1"/>
        <v>3.9259259259259258E-2</v>
      </c>
      <c r="F46" s="2">
        <f t="shared" si="2"/>
        <v>157.32630588043818</v>
      </c>
      <c r="G46" s="1">
        <v>2080</v>
      </c>
      <c r="H46" s="1">
        <v>3744</v>
      </c>
      <c r="I46" s="1">
        <v>0</v>
      </c>
      <c r="J46" s="1">
        <v>144</v>
      </c>
      <c r="K46" s="1">
        <f t="shared" si="3"/>
        <v>0</v>
      </c>
      <c r="L46" s="1">
        <f t="shared" si="4"/>
        <v>1.2565384615384616</v>
      </c>
      <c r="M46" s="1">
        <f t="shared" si="5"/>
        <v>1.2565384615384616</v>
      </c>
      <c r="N46" s="3">
        <f t="shared" si="6"/>
        <v>13.370064279155189</v>
      </c>
      <c r="O46" s="1">
        <v>1855</v>
      </c>
      <c r="P46" s="1">
        <f t="shared" si="8"/>
        <v>17</v>
      </c>
      <c r="Q46" s="1">
        <f t="shared" si="9"/>
        <v>5.199333641670826</v>
      </c>
      <c r="R46" s="1">
        <f t="shared" si="10"/>
        <v>4.7216170891241478E-2</v>
      </c>
      <c r="S46" s="2">
        <f t="shared" si="11"/>
        <v>0.20233829951855523</v>
      </c>
      <c r="T46" s="3">
        <f t="shared" si="7"/>
        <v>3.5314695294852462E-3</v>
      </c>
      <c r="U46" s="4" t="s">
        <v>571</v>
      </c>
    </row>
    <row r="47" spans="1:21" ht="14.25" customHeight="1" x14ac:dyDescent="0.3">
      <c r="A47" s="1" t="s">
        <v>26</v>
      </c>
      <c r="B47" s="1" t="s">
        <v>318</v>
      </c>
      <c r="C47" s="1" t="s">
        <v>319</v>
      </c>
      <c r="D47" s="1">
        <f t="shared" si="0"/>
        <v>25</v>
      </c>
      <c r="E47" s="1">
        <f t="shared" si="1"/>
        <v>3.9270833333333331E-2</v>
      </c>
      <c r="F47" s="2">
        <f t="shared" si="2"/>
        <v>157.32637860249037</v>
      </c>
      <c r="G47" s="1">
        <v>2080</v>
      </c>
      <c r="H47" s="1">
        <v>3744</v>
      </c>
      <c r="I47" s="1">
        <v>0</v>
      </c>
      <c r="J47" s="1">
        <v>143</v>
      </c>
      <c r="K47" s="1">
        <f t="shared" si="3"/>
        <v>0</v>
      </c>
      <c r="L47" s="1">
        <f t="shared" si="4"/>
        <v>1.2478125</v>
      </c>
      <c r="M47" s="1">
        <f t="shared" si="5"/>
        <v>1.2478125</v>
      </c>
      <c r="N47" s="3">
        <f t="shared" si="6"/>
        <v>13.463561232156275</v>
      </c>
      <c r="O47" s="1">
        <v>967</v>
      </c>
      <c r="P47" s="1">
        <f t="shared" si="8"/>
        <v>905</v>
      </c>
      <c r="Q47" s="1">
        <f t="shared" si="9"/>
        <v>5.2356926181860075</v>
      </c>
      <c r="R47" s="1">
        <f t="shared" si="10"/>
        <v>2.5311441343260346</v>
      </c>
      <c r="S47" s="2">
        <f t="shared" si="11"/>
        <v>10.647305607751971</v>
      </c>
      <c r="T47" s="3">
        <f t="shared" si="7"/>
        <v>0.18583053932132779</v>
      </c>
      <c r="U47" s="4" t="s">
        <v>571</v>
      </c>
    </row>
    <row r="48" spans="1:21" ht="14.25" customHeight="1" x14ac:dyDescent="0.3">
      <c r="A48" s="1" t="s">
        <v>26</v>
      </c>
      <c r="B48" s="1" t="s">
        <v>285</v>
      </c>
      <c r="C48" s="1" t="s">
        <v>286</v>
      </c>
      <c r="D48" s="1">
        <f t="shared" si="0"/>
        <v>25</v>
      </c>
      <c r="E48" s="1">
        <f t="shared" si="1"/>
        <v>0.9084606481481482</v>
      </c>
      <c r="F48" s="2">
        <f t="shared" si="2"/>
        <v>162.78765927608492</v>
      </c>
      <c r="G48" s="1">
        <v>2080</v>
      </c>
      <c r="H48" s="1">
        <v>3744</v>
      </c>
      <c r="I48" s="1">
        <v>0</v>
      </c>
      <c r="J48" s="1">
        <v>175</v>
      </c>
      <c r="K48" s="1">
        <f t="shared" si="3"/>
        <v>0</v>
      </c>
      <c r="L48" s="1">
        <f t="shared" si="4"/>
        <v>1.5270432692307689</v>
      </c>
      <c r="M48" s="1">
        <f t="shared" si="5"/>
        <v>1.5270432692307689</v>
      </c>
      <c r="N48" s="3">
        <f t="shared" si="6"/>
        <v>11.001652892561985</v>
      </c>
      <c r="O48" s="1">
        <v>1071</v>
      </c>
      <c r="P48" s="1">
        <f t="shared" si="8"/>
        <v>801</v>
      </c>
      <c r="Q48" s="1">
        <f t="shared" si="9"/>
        <v>4.2783088251462802</v>
      </c>
      <c r="R48" s="1">
        <f t="shared" si="10"/>
        <v>1.8306225261443216</v>
      </c>
      <c r="S48" s="2">
        <f t="shared" si="11"/>
        <v>9.4471895069631451</v>
      </c>
      <c r="T48" s="3">
        <f t="shared" si="7"/>
        <v>0.16488456195636664</v>
      </c>
      <c r="U48" s="4" t="s">
        <v>571</v>
      </c>
    </row>
    <row r="49" spans="1:22" ht="14.25" customHeight="1" x14ac:dyDescent="0.3">
      <c r="A49" s="1" t="s">
        <v>26</v>
      </c>
      <c r="B49" s="1" t="s">
        <v>228</v>
      </c>
      <c r="C49" s="1" t="s">
        <v>229</v>
      </c>
      <c r="D49" s="1">
        <f t="shared" si="0"/>
        <v>25</v>
      </c>
      <c r="E49" s="1">
        <f t="shared" si="1"/>
        <v>0.90847222222222224</v>
      </c>
      <c r="F49" s="2">
        <f t="shared" si="2"/>
        <v>162.7877319981371</v>
      </c>
      <c r="G49" s="1">
        <v>2080</v>
      </c>
      <c r="H49" s="1">
        <v>3744</v>
      </c>
      <c r="I49" s="1">
        <v>0</v>
      </c>
      <c r="J49" s="1">
        <v>162</v>
      </c>
      <c r="K49" s="1">
        <f t="shared" si="3"/>
        <v>0</v>
      </c>
      <c r="L49" s="1">
        <f t="shared" si="4"/>
        <v>1.4136057692307691</v>
      </c>
      <c r="M49" s="1">
        <f t="shared" si="5"/>
        <v>1.4136057692307691</v>
      </c>
      <c r="N49" s="3">
        <f t="shared" si="6"/>
        <v>11.88450158147128</v>
      </c>
      <c r="O49" s="1">
        <v>1221</v>
      </c>
      <c r="P49" s="1">
        <f t="shared" si="8"/>
        <v>651</v>
      </c>
      <c r="Q49" s="1">
        <f t="shared" si="9"/>
        <v>4.6216299037074018</v>
      </c>
      <c r="R49" s="1">
        <f t="shared" si="10"/>
        <v>1.607201424846965</v>
      </c>
      <c r="S49" s="2">
        <f t="shared" si="11"/>
        <v>7.7016749081494904</v>
      </c>
      <c r="T49" s="3">
        <f t="shared" si="7"/>
        <v>0.13441958506544047</v>
      </c>
      <c r="U49" s="4" t="s">
        <v>571</v>
      </c>
    </row>
    <row r="50" spans="1:22" ht="14.25" customHeight="1" x14ac:dyDescent="0.3">
      <c r="A50" s="1" t="s">
        <v>26</v>
      </c>
      <c r="B50" s="1" t="s">
        <v>405</v>
      </c>
      <c r="C50" s="1" t="s">
        <v>406</v>
      </c>
      <c r="D50" s="1">
        <f t="shared" si="0"/>
        <v>25</v>
      </c>
      <c r="E50" s="1">
        <f t="shared" si="1"/>
        <v>0.92126157407407405</v>
      </c>
      <c r="F50" s="2">
        <f t="shared" si="2"/>
        <v>162.868089865781</v>
      </c>
      <c r="G50" s="1">
        <v>2080</v>
      </c>
      <c r="H50" s="1">
        <v>3744</v>
      </c>
      <c r="I50" s="1">
        <v>0</v>
      </c>
      <c r="J50" s="1">
        <v>226</v>
      </c>
      <c r="K50" s="1">
        <f t="shared" si="3"/>
        <v>0</v>
      </c>
      <c r="L50" s="1">
        <f t="shared" si="4"/>
        <v>1.9720673076923074</v>
      </c>
      <c r="M50" s="1">
        <f t="shared" si="5"/>
        <v>1.9720673076923074</v>
      </c>
      <c r="N50" s="3">
        <f t="shared" si="6"/>
        <v>8.5189790097272002</v>
      </c>
      <c r="O50" s="1">
        <v>848</v>
      </c>
      <c r="P50" s="1">
        <f t="shared" si="8"/>
        <v>1024</v>
      </c>
      <c r="Q50" s="1">
        <f t="shared" si="9"/>
        <v>3.3128497539849513</v>
      </c>
      <c r="R50" s="1">
        <f t="shared" si="10"/>
        <v>1.8121571303849309</v>
      </c>
      <c r="S50" s="2">
        <f t="shared" si="11"/>
        <v>12.008958690246093</v>
      </c>
      <c r="T50" s="3">
        <f t="shared" si="7"/>
        <v>0.20959586888078016</v>
      </c>
      <c r="U50" s="4" t="s">
        <v>571</v>
      </c>
    </row>
    <row r="51" spans="1:22" ht="14.25" customHeight="1" x14ac:dyDescent="0.3">
      <c r="A51" s="1" t="s">
        <v>26</v>
      </c>
      <c r="B51" s="1" t="s">
        <v>277</v>
      </c>
      <c r="C51" s="1" t="s">
        <v>278</v>
      </c>
      <c r="D51" s="1">
        <f t="shared" si="0"/>
        <v>25</v>
      </c>
      <c r="E51" s="1">
        <f t="shared" si="1"/>
        <v>0.9212731481481482</v>
      </c>
      <c r="F51" s="2">
        <f t="shared" si="2"/>
        <v>162.86816258783318</v>
      </c>
      <c r="G51" s="1">
        <v>2080</v>
      </c>
      <c r="H51" s="1">
        <v>3744</v>
      </c>
      <c r="I51" s="1">
        <v>0</v>
      </c>
      <c r="J51" s="1">
        <v>213</v>
      </c>
      <c r="K51" s="1">
        <f t="shared" si="3"/>
        <v>0</v>
      </c>
      <c r="L51" s="1">
        <f t="shared" si="4"/>
        <v>1.8586298076923076</v>
      </c>
      <c r="M51" s="1">
        <f t="shared" si="5"/>
        <v>1.8586298076923076</v>
      </c>
      <c r="N51" s="3">
        <f t="shared" si="6"/>
        <v>9.0389166957668881</v>
      </c>
      <c r="O51" s="1">
        <v>1079</v>
      </c>
      <c r="P51" s="1">
        <f t="shared" si="8"/>
        <v>793</v>
      </c>
      <c r="Q51" s="1">
        <f t="shared" si="9"/>
        <v>3.5150424619746428</v>
      </c>
      <c r="R51" s="1">
        <f t="shared" si="10"/>
        <v>1.489011042919814</v>
      </c>
      <c r="S51" s="2">
        <f t="shared" si="11"/>
        <v>9.3545115517865689</v>
      </c>
      <c r="T51" s="3">
        <f t="shared" si="7"/>
        <v>0.16326702649451968</v>
      </c>
      <c r="U51" s="4" t="s">
        <v>571</v>
      </c>
    </row>
    <row r="52" spans="1:22" ht="14.25" customHeight="1" x14ac:dyDescent="0.3">
      <c r="A52" s="1" t="s">
        <v>26</v>
      </c>
      <c r="B52" s="1" t="s">
        <v>393</v>
      </c>
      <c r="C52" s="1" t="s">
        <v>394</v>
      </c>
      <c r="D52" s="1">
        <f t="shared" si="0"/>
        <v>25</v>
      </c>
      <c r="E52" s="1">
        <f t="shared" si="1"/>
        <v>0.92387731481481483</v>
      </c>
      <c r="F52" s="2">
        <f t="shared" si="2"/>
        <v>162.88452504957061</v>
      </c>
      <c r="G52" s="1">
        <v>2080</v>
      </c>
      <c r="H52" s="1">
        <v>3744</v>
      </c>
      <c r="I52" s="1">
        <v>0</v>
      </c>
      <c r="J52" s="1">
        <v>179</v>
      </c>
      <c r="K52" s="1">
        <f t="shared" si="3"/>
        <v>0</v>
      </c>
      <c r="L52" s="1">
        <f t="shared" si="4"/>
        <v>1.5619471153846154</v>
      </c>
      <c r="M52" s="1">
        <f t="shared" si="5"/>
        <v>1.5619471153846154</v>
      </c>
      <c r="N52" s="3">
        <f t="shared" si="6"/>
        <v>10.755805900549426</v>
      </c>
      <c r="O52" s="1">
        <v>871</v>
      </c>
      <c r="P52" s="1">
        <f t="shared" si="8"/>
        <v>1001</v>
      </c>
      <c r="Q52" s="1">
        <f t="shared" si="9"/>
        <v>4.1827041586625642</v>
      </c>
      <c r="R52" s="1">
        <f t="shared" si="10"/>
        <v>2.2365848626181766</v>
      </c>
      <c r="S52" s="2">
        <f t="shared" si="11"/>
        <v>11.746803664529009</v>
      </c>
      <c r="T52" s="3">
        <f t="shared" si="7"/>
        <v>0.20502040053136666</v>
      </c>
      <c r="U52" s="4" t="s">
        <v>571</v>
      </c>
    </row>
    <row r="53" spans="1:22" ht="14.25" customHeight="1" x14ac:dyDescent="0.3">
      <c r="A53" s="1" t="s">
        <v>26</v>
      </c>
      <c r="B53" s="1" t="s">
        <v>417</v>
      </c>
      <c r="C53" s="1" t="s">
        <v>418</v>
      </c>
      <c r="D53" s="1">
        <f t="shared" si="0"/>
        <v>25</v>
      </c>
      <c r="E53" s="1">
        <f t="shared" si="1"/>
        <v>0.92388888888888887</v>
      </c>
      <c r="F53" s="2">
        <f t="shared" si="2"/>
        <v>162.88459777162279</v>
      </c>
      <c r="G53" s="1">
        <v>2080</v>
      </c>
      <c r="H53" s="1">
        <v>3744</v>
      </c>
      <c r="I53" s="1">
        <v>0</v>
      </c>
      <c r="J53" s="1">
        <v>173</v>
      </c>
      <c r="K53" s="1">
        <f t="shared" si="3"/>
        <v>0</v>
      </c>
      <c r="L53" s="1">
        <f t="shared" si="4"/>
        <v>1.5095913461538462</v>
      </c>
      <c r="M53" s="1">
        <f t="shared" si="5"/>
        <v>1.5095913461538462</v>
      </c>
      <c r="N53" s="3">
        <f t="shared" si="6"/>
        <v>11.128839631204318</v>
      </c>
      <c r="O53" s="1">
        <v>810</v>
      </c>
      <c r="P53" s="1">
        <f t="shared" si="8"/>
        <v>1062</v>
      </c>
      <c r="Q53" s="1">
        <f t="shared" si="9"/>
        <v>4.3277690427780282</v>
      </c>
      <c r="R53" s="1">
        <f t="shared" si="10"/>
        <v>2.4551766684990737</v>
      </c>
      <c r="S53" s="2">
        <f t="shared" si="11"/>
        <v>12.440964037422221</v>
      </c>
      <c r="T53" s="3">
        <f t="shared" si="7"/>
        <v>0.21713578457522478</v>
      </c>
      <c r="U53" s="4" t="s">
        <v>571</v>
      </c>
    </row>
    <row r="54" spans="1:22" ht="14.25" customHeight="1" x14ac:dyDescent="0.3">
      <c r="A54" s="1" t="s">
        <v>26</v>
      </c>
      <c r="B54" s="1" t="s">
        <v>242</v>
      </c>
      <c r="C54" s="1" t="s">
        <v>243</v>
      </c>
      <c r="D54" s="1">
        <f t="shared" si="0"/>
        <v>26</v>
      </c>
      <c r="E54" s="1">
        <f t="shared" si="1"/>
        <v>0.84942129629629637</v>
      </c>
      <c r="F54" s="2">
        <f t="shared" si="2"/>
        <v>168.69988939516355</v>
      </c>
      <c r="G54" s="1">
        <v>2080</v>
      </c>
      <c r="H54" s="1">
        <v>3744</v>
      </c>
      <c r="I54" s="1">
        <v>0</v>
      </c>
      <c r="J54" s="1">
        <v>230</v>
      </c>
      <c r="K54" s="1">
        <f t="shared" si="3"/>
        <v>0</v>
      </c>
      <c r="L54" s="1">
        <f t="shared" si="4"/>
        <v>2.0069711538461537</v>
      </c>
      <c r="M54" s="1">
        <f t="shared" si="5"/>
        <v>2.0069711538461537</v>
      </c>
      <c r="N54" s="3">
        <f t="shared" si="6"/>
        <v>8.3708228530362927</v>
      </c>
      <c r="O54" s="1">
        <v>1167</v>
      </c>
      <c r="P54" s="1">
        <f t="shared" si="8"/>
        <v>705</v>
      </c>
      <c r="Q54" s="1">
        <f t="shared" si="9"/>
        <v>3.2552349756547785</v>
      </c>
      <c r="R54" s="1">
        <f t="shared" si="10"/>
        <v>1.2259298385879374</v>
      </c>
      <c r="S54" s="2">
        <f t="shared" si="11"/>
        <v>8.3318915331208903</v>
      </c>
      <c r="T54" s="3">
        <f t="shared" si="7"/>
        <v>0.14541894017199772</v>
      </c>
      <c r="U54" s="4" t="s">
        <v>571</v>
      </c>
      <c r="V54" s="3"/>
    </row>
    <row r="55" spans="1:22" ht="14.25" customHeight="1" x14ac:dyDescent="0.3">
      <c r="A55" s="1" t="s">
        <v>26</v>
      </c>
      <c r="B55" s="1" t="s">
        <v>316</v>
      </c>
      <c r="C55" s="1" t="s">
        <v>317</v>
      </c>
      <c r="D55" s="1">
        <f t="shared" si="0"/>
        <v>26</v>
      </c>
      <c r="E55" s="1">
        <f t="shared" si="1"/>
        <v>0.8494328703703703</v>
      </c>
      <c r="F55" s="2">
        <f t="shared" si="2"/>
        <v>168.69996211721573</v>
      </c>
      <c r="G55" s="1">
        <v>2080</v>
      </c>
      <c r="H55" s="1">
        <v>3744</v>
      </c>
      <c r="I55" s="1">
        <v>0</v>
      </c>
      <c r="J55" s="1">
        <v>224</v>
      </c>
      <c r="K55" s="1">
        <f t="shared" si="3"/>
        <v>0</v>
      </c>
      <c r="L55" s="1">
        <f t="shared" si="4"/>
        <v>1.9546153846153844</v>
      </c>
      <c r="M55" s="1">
        <f t="shared" si="5"/>
        <v>1.9546153846153844</v>
      </c>
      <c r="N55" s="3">
        <f t="shared" si="6"/>
        <v>8.5950413223140512</v>
      </c>
      <c r="O55" s="1">
        <v>990</v>
      </c>
      <c r="P55" s="1">
        <f t="shared" si="8"/>
        <v>882</v>
      </c>
      <c r="Q55" s="1">
        <f t="shared" si="9"/>
        <v>3.3424287696455317</v>
      </c>
      <c r="R55" s="1">
        <f t="shared" si="10"/>
        <v>1.5747981703137601</v>
      </c>
      <c r="S55" s="2">
        <f t="shared" si="11"/>
        <v>10.382670129433112</v>
      </c>
      <c r="T55" s="3">
        <f t="shared" si="7"/>
        <v>0.18121177890707363</v>
      </c>
      <c r="U55" s="4" t="s">
        <v>571</v>
      </c>
    </row>
    <row r="56" spans="1:22" ht="14.25" customHeight="1" x14ac:dyDescent="0.3">
      <c r="A56" s="1" t="s">
        <v>26</v>
      </c>
      <c r="B56" s="1" t="s">
        <v>100</v>
      </c>
      <c r="C56" s="1" t="s">
        <v>101</v>
      </c>
      <c r="D56" s="1">
        <f t="shared" si="0"/>
        <v>27</v>
      </c>
      <c r="E56" s="1">
        <f t="shared" si="1"/>
        <v>0.82475694444444436</v>
      </c>
      <c r="F56" s="2">
        <f t="shared" si="2"/>
        <v>174.82810400917649</v>
      </c>
      <c r="G56" s="1">
        <v>2080</v>
      </c>
      <c r="H56" s="1">
        <v>3744</v>
      </c>
      <c r="I56" s="1">
        <v>0</v>
      </c>
      <c r="J56" s="1">
        <v>213</v>
      </c>
      <c r="K56" s="1">
        <f t="shared" si="3"/>
        <v>0</v>
      </c>
      <c r="L56" s="1">
        <f t="shared" si="4"/>
        <v>1.8586298076923076</v>
      </c>
      <c r="M56" s="1">
        <f t="shared" si="5"/>
        <v>1.8586298076923076</v>
      </c>
      <c r="N56" s="3">
        <f t="shared" si="6"/>
        <v>9.0389166957668881</v>
      </c>
      <c r="O56" s="1">
        <v>1691</v>
      </c>
      <c r="P56" s="1">
        <f t="shared" si="8"/>
        <v>181</v>
      </c>
      <c r="Q56" s="1">
        <f t="shared" si="9"/>
        <v>3.5150424619746428</v>
      </c>
      <c r="R56" s="1">
        <f t="shared" si="10"/>
        <v>0.33986254573579611</v>
      </c>
      <c r="S56" s="2">
        <f t="shared" si="11"/>
        <v>2.1533023685982369</v>
      </c>
      <c r="T56" s="3">
        <f t="shared" si="7"/>
        <v>3.7582216123031788E-2</v>
      </c>
      <c r="U56" s="4" t="s">
        <v>571</v>
      </c>
    </row>
    <row r="57" spans="1:22" ht="14.25" customHeight="1" x14ac:dyDescent="0.3">
      <c r="A57" s="1" t="s">
        <v>26</v>
      </c>
      <c r="B57" s="1" t="s">
        <v>31</v>
      </c>
      <c r="C57" s="1" t="s">
        <v>32</v>
      </c>
      <c r="D57" s="1">
        <f t="shared" si="0"/>
        <v>27</v>
      </c>
      <c r="E57" s="1">
        <f t="shared" si="1"/>
        <v>0.82476851851851851</v>
      </c>
      <c r="F57" s="2">
        <f t="shared" si="2"/>
        <v>174.82817673122867</v>
      </c>
      <c r="G57" s="1">
        <v>2080</v>
      </c>
      <c r="H57" s="1">
        <v>3744</v>
      </c>
      <c r="I57" s="1">
        <v>0</v>
      </c>
      <c r="J57" s="1">
        <v>206</v>
      </c>
      <c r="K57" s="1">
        <f t="shared" si="3"/>
        <v>0</v>
      </c>
      <c r="L57" s="1">
        <f t="shared" si="4"/>
        <v>1.7975480769230767</v>
      </c>
      <c r="M57" s="1">
        <f t="shared" si="5"/>
        <v>1.7975480769230767</v>
      </c>
      <c r="N57" s="3">
        <f t="shared" si="6"/>
        <v>9.3460643504774144</v>
      </c>
      <c r="O57" s="1">
        <v>1852</v>
      </c>
      <c r="P57" s="1">
        <f t="shared" si="8"/>
        <v>20</v>
      </c>
      <c r="Q57" s="1">
        <f t="shared" si="9"/>
        <v>3.6344856524300924</v>
      </c>
      <c r="R57" s="1">
        <f t="shared" si="10"/>
        <v>3.8829974919124918E-2</v>
      </c>
      <c r="S57" s="2">
        <f t="shared" si="11"/>
        <v>0.23804467818007363</v>
      </c>
      <c r="T57" s="3">
        <f t="shared" si="7"/>
        <v>4.1546634010925882E-3</v>
      </c>
      <c r="U57" s="4" t="s">
        <v>571</v>
      </c>
    </row>
    <row r="58" spans="1:22" ht="14.25" customHeight="1" x14ac:dyDescent="0.3">
      <c r="A58" s="1" t="s">
        <v>26</v>
      </c>
      <c r="B58" s="1" t="s">
        <v>471</v>
      </c>
      <c r="C58" s="1" t="s">
        <v>472</v>
      </c>
      <c r="D58" s="1">
        <f t="shared" si="0"/>
        <v>27</v>
      </c>
      <c r="E58" s="1">
        <f t="shared" si="1"/>
        <v>0.99054398148148148</v>
      </c>
      <c r="F58" s="2">
        <f t="shared" si="2"/>
        <v>175.86977468440844</v>
      </c>
      <c r="G58" s="1">
        <v>2080</v>
      </c>
      <c r="H58" s="1">
        <v>3744</v>
      </c>
      <c r="I58" s="1">
        <v>0</v>
      </c>
      <c r="J58" s="1">
        <v>156</v>
      </c>
      <c r="K58" s="1">
        <f t="shared" si="3"/>
        <v>0</v>
      </c>
      <c r="L58" s="1">
        <f t="shared" si="4"/>
        <v>1.3612499999999998</v>
      </c>
      <c r="M58" s="1">
        <f t="shared" si="5"/>
        <v>1.3612499999999998</v>
      </c>
      <c r="N58" s="3">
        <f t="shared" si="6"/>
        <v>12.341597796143253</v>
      </c>
      <c r="O58" s="1">
        <v>698</v>
      </c>
      <c r="P58" s="1">
        <f t="shared" si="8"/>
        <v>1174</v>
      </c>
      <c r="Q58" s="1">
        <f t="shared" si="9"/>
        <v>4.7993849000038402</v>
      </c>
      <c r="R58" s="1">
        <f t="shared" si="10"/>
        <v>3.0098706584425794</v>
      </c>
      <c r="S58" s="2">
        <f t="shared" si="11"/>
        <v>13.705755358460717</v>
      </c>
      <c r="T58" s="3">
        <f t="shared" si="7"/>
        <v>0.23921055747799516</v>
      </c>
      <c r="U58" s="4" t="s">
        <v>571</v>
      </c>
    </row>
    <row r="59" spans="1:22" ht="14.25" customHeight="1" x14ac:dyDescent="0.3">
      <c r="A59" s="1" t="s">
        <v>26</v>
      </c>
      <c r="B59" s="1" t="s">
        <v>401</v>
      </c>
      <c r="C59" s="1" t="s">
        <v>402</v>
      </c>
      <c r="D59" s="1">
        <f t="shared" si="0"/>
        <v>27</v>
      </c>
      <c r="E59" s="1">
        <f t="shared" si="1"/>
        <v>0.99055555555555552</v>
      </c>
      <c r="F59" s="2">
        <f t="shared" si="2"/>
        <v>175.86984740646062</v>
      </c>
      <c r="G59" s="1">
        <v>2080</v>
      </c>
      <c r="H59" s="1">
        <v>3744</v>
      </c>
      <c r="I59" s="1">
        <v>0</v>
      </c>
      <c r="J59" s="1">
        <v>168</v>
      </c>
      <c r="K59" s="1">
        <f t="shared" si="3"/>
        <v>0</v>
      </c>
      <c r="L59" s="1">
        <f t="shared" si="4"/>
        <v>1.4659615384615383</v>
      </c>
      <c r="M59" s="1">
        <f t="shared" si="5"/>
        <v>1.4659615384615383</v>
      </c>
      <c r="N59" s="3">
        <f t="shared" si="6"/>
        <v>11.460055096418735</v>
      </c>
      <c r="O59" s="1">
        <v>852</v>
      </c>
      <c r="P59" s="1">
        <f t="shared" si="8"/>
        <v>1020</v>
      </c>
      <c r="Q59" s="1">
        <f t="shared" si="9"/>
        <v>4.4565716928607086</v>
      </c>
      <c r="R59" s="1">
        <f t="shared" si="10"/>
        <v>2.4282602172638477</v>
      </c>
      <c r="S59" s="2">
        <f t="shared" si="11"/>
        <v>11.963402831620284</v>
      </c>
      <c r="T59" s="3">
        <f t="shared" si="7"/>
        <v>0.20880076915418674</v>
      </c>
      <c r="U59" s="4" t="s">
        <v>571</v>
      </c>
    </row>
    <row r="60" spans="1:22" ht="14.25" customHeight="1" x14ac:dyDescent="0.3">
      <c r="A60" s="1" t="s">
        <v>26</v>
      </c>
      <c r="B60" s="1" t="s">
        <v>246</v>
      </c>
      <c r="C60" s="1" t="s">
        <v>247</v>
      </c>
      <c r="D60" s="1">
        <f t="shared" si="0"/>
        <v>27</v>
      </c>
      <c r="E60" s="1">
        <f t="shared" si="1"/>
        <v>0.99056712962962967</v>
      </c>
      <c r="F60" s="2">
        <f t="shared" si="2"/>
        <v>175.86992012851277</v>
      </c>
      <c r="G60" s="1">
        <v>2080</v>
      </c>
      <c r="H60" s="1">
        <v>3744</v>
      </c>
      <c r="I60" s="1">
        <v>0</v>
      </c>
      <c r="J60" s="1">
        <v>152</v>
      </c>
      <c r="K60" s="1">
        <f t="shared" si="3"/>
        <v>0</v>
      </c>
      <c r="L60" s="1">
        <f t="shared" si="4"/>
        <v>1.3263461538461536</v>
      </c>
      <c r="M60" s="1">
        <f t="shared" si="5"/>
        <v>1.3263461538461536</v>
      </c>
      <c r="N60" s="3">
        <f t="shared" si="6"/>
        <v>12.666376685515445</v>
      </c>
      <c r="O60" s="1">
        <v>1157</v>
      </c>
      <c r="P60" s="1">
        <f t="shared" si="8"/>
        <v>715</v>
      </c>
      <c r="Q60" s="1">
        <f t="shared" si="9"/>
        <v>4.9256845026355203</v>
      </c>
      <c r="R60" s="1">
        <f t="shared" si="10"/>
        <v>1.8813378308677333</v>
      </c>
      <c r="S60" s="2">
        <f t="shared" si="11"/>
        <v>8.4483804522156216</v>
      </c>
      <c r="T60" s="3">
        <f t="shared" si="7"/>
        <v>0.14745205535229006</v>
      </c>
      <c r="U60" s="4" t="s">
        <v>571</v>
      </c>
    </row>
    <row r="61" spans="1:22" ht="14.25" customHeight="1" x14ac:dyDescent="0.3">
      <c r="A61" s="1" t="s">
        <v>26</v>
      </c>
      <c r="B61" s="1" t="s">
        <v>541</v>
      </c>
      <c r="C61" s="1" t="s">
        <v>542</v>
      </c>
      <c r="D61" s="1">
        <f t="shared" si="0"/>
        <v>28</v>
      </c>
      <c r="E61" s="1">
        <f t="shared" si="1"/>
        <v>6.6006944444444438E-2</v>
      </c>
      <c r="F61" s="2">
        <f t="shared" si="2"/>
        <v>176.34392246453356</v>
      </c>
      <c r="G61" s="1">
        <v>2080</v>
      </c>
      <c r="H61" s="1">
        <v>3744</v>
      </c>
      <c r="I61" s="1">
        <v>0</v>
      </c>
      <c r="J61" s="1">
        <v>232</v>
      </c>
      <c r="K61" s="1">
        <f t="shared" si="3"/>
        <v>0</v>
      </c>
      <c r="L61" s="1">
        <f t="shared" si="4"/>
        <v>2.0244230769230764</v>
      </c>
      <c r="M61" s="1">
        <f t="shared" si="5"/>
        <v>2.0244230769230764</v>
      </c>
      <c r="N61" s="3">
        <f t="shared" si="6"/>
        <v>8.2986605870618426</v>
      </c>
      <c r="O61" s="1">
        <v>337</v>
      </c>
      <c r="P61" s="1">
        <f t="shared" si="8"/>
        <v>1535</v>
      </c>
      <c r="Q61" s="1">
        <f t="shared" si="9"/>
        <v>3.2271726051749958</v>
      </c>
      <c r="R61" s="1">
        <f t="shared" si="10"/>
        <v>2.6462125795638989</v>
      </c>
      <c r="S61" s="2">
        <f t="shared" si="11"/>
        <v>17.686039178233578</v>
      </c>
      <c r="T61" s="3">
        <f t="shared" si="7"/>
        <v>0.3086796152968882</v>
      </c>
      <c r="U61" s="4" t="s">
        <v>571</v>
      </c>
    </row>
    <row r="62" spans="1:22" ht="14.25" customHeight="1" x14ac:dyDescent="0.3">
      <c r="A62" s="1" t="s">
        <v>26</v>
      </c>
      <c r="B62" s="1" t="s">
        <v>507</v>
      </c>
      <c r="C62" s="1" t="s">
        <v>508</v>
      </c>
      <c r="D62" s="1">
        <f t="shared" si="0"/>
        <v>28</v>
      </c>
      <c r="E62" s="1">
        <f t="shared" si="1"/>
        <v>6.6018518518518518E-2</v>
      </c>
      <c r="F62" s="2">
        <f t="shared" si="2"/>
        <v>176.34399518658574</v>
      </c>
      <c r="G62" s="1">
        <v>2080</v>
      </c>
      <c r="H62" s="1">
        <v>3744</v>
      </c>
      <c r="I62" s="1">
        <v>0</v>
      </c>
      <c r="J62" s="1">
        <v>247</v>
      </c>
      <c r="K62" s="1">
        <f t="shared" si="3"/>
        <v>0</v>
      </c>
      <c r="L62" s="1">
        <f t="shared" si="4"/>
        <v>2.1553124999999995</v>
      </c>
      <c r="M62" s="1">
        <f t="shared" si="5"/>
        <v>2.1553124999999995</v>
      </c>
      <c r="N62" s="3">
        <f t="shared" si="6"/>
        <v>7.7946933449325817</v>
      </c>
      <c r="O62" s="1">
        <v>539</v>
      </c>
      <c r="P62" s="1">
        <f t="shared" si="8"/>
        <v>1333</v>
      </c>
      <c r="Q62" s="1">
        <f t="shared" si="9"/>
        <v>3.0311904631603204</v>
      </c>
      <c r="R62" s="1">
        <f t="shared" si="10"/>
        <v>2.1584278244619162</v>
      </c>
      <c r="S62" s="2">
        <f t="shared" si="11"/>
        <v>15.477937430579122</v>
      </c>
      <c r="T62" s="3">
        <f t="shared" si="7"/>
        <v>0.27014096958127692</v>
      </c>
      <c r="U62" s="4" t="s">
        <v>571</v>
      </c>
    </row>
    <row r="63" spans="1:22" ht="14.25" customHeight="1" x14ac:dyDescent="0.3">
      <c r="A63" s="1" t="s">
        <v>26</v>
      </c>
      <c r="B63" s="1" t="s">
        <v>411</v>
      </c>
      <c r="C63" s="1" t="s">
        <v>412</v>
      </c>
      <c r="D63" s="1">
        <f t="shared" si="0"/>
        <v>28</v>
      </c>
      <c r="E63" s="1">
        <f t="shared" si="1"/>
        <v>6.6030092592592585E-2</v>
      </c>
      <c r="F63" s="2">
        <f t="shared" si="2"/>
        <v>176.3440679086379</v>
      </c>
      <c r="G63" s="1">
        <v>2080</v>
      </c>
      <c r="H63" s="1">
        <v>3744</v>
      </c>
      <c r="I63" s="1">
        <v>0</v>
      </c>
      <c r="J63" s="1">
        <v>230</v>
      </c>
      <c r="K63" s="1">
        <f t="shared" si="3"/>
        <v>0</v>
      </c>
      <c r="L63" s="1">
        <f t="shared" si="4"/>
        <v>2.0069711538461537</v>
      </c>
      <c r="M63" s="1">
        <f t="shared" si="5"/>
        <v>2.0069711538461537</v>
      </c>
      <c r="N63" s="3">
        <f t="shared" si="6"/>
        <v>8.3708228530362927</v>
      </c>
      <c r="O63" s="1">
        <v>839</v>
      </c>
      <c r="P63" s="1">
        <f t="shared" si="8"/>
        <v>1033</v>
      </c>
      <c r="Q63" s="1">
        <f t="shared" si="9"/>
        <v>3.2552349756547785</v>
      </c>
      <c r="R63" s="1">
        <f t="shared" si="10"/>
        <v>1.7962915223565099</v>
      </c>
      <c r="S63" s="2">
        <f t="shared" si="11"/>
        <v>12.111402972508252</v>
      </c>
      <c r="T63" s="3">
        <f t="shared" si="7"/>
        <v>0.21138385890609726</v>
      </c>
      <c r="U63" s="4" t="s">
        <v>571</v>
      </c>
    </row>
    <row r="64" spans="1:22" ht="14.25" customHeight="1" x14ac:dyDescent="0.3">
      <c r="A64" s="1" t="s">
        <v>108</v>
      </c>
      <c r="B64" s="1" t="s">
        <v>155</v>
      </c>
      <c r="C64" s="1" t="s">
        <v>156</v>
      </c>
      <c r="D64" s="1">
        <f t="shared" si="0"/>
        <v>28</v>
      </c>
      <c r="E64" s="1">
        <f t="shared" si="1"/>
        <v>0.89832175925925928</v>
      </c>
      <c r="F64" s="2">
        <f t="shared" si="2"/>
        <v>181.57351067992593</v>
      </c>
      <c r="G64" s="1">
        <v>2080</v>
      </c>
      <c r="H64" s="1">
        <v>3744</v>
      </c>
      <c r="I64" s="1">
        <v>0</v>
      </c>
      <c r="J64" s="1">
        <v>243</v>
      </c>
      <c r="K64" s="1">
        <f t="shared" si="3"/>
        <v>0</v>
      </c>
      <c r="L64" s="1">
        <f t="shared" si="4"/>
        <v>2.120408653846154</v>
      </c>
      <c r="M64" s="1">
        <f t="shared" si="5"/>
        <v>2.120408653846154</v>
      </c>
      <c r="N64" s="3">
        <f t="shared" si="6"/>
        <v>7.9230010543141853</v>
      </c>
      <c r="O64" s="1">
        <v>1523</v>
      </c>
      <c r="P64" s="1">
        <f t="shared" si="8"/>
        <v>349</v>
      </c>
      <c r="Q64" s="1">
        <f t="shared" si="9"/>
        <v>3.0810866024716006</v>
      </c>
      <c r="R64" s="1">
        <f t="shared" si="10"/>
        <v>0.5744119787727503</v>
      </c>
      <c r="S64" s="2">
        <f t="shared" si="11"/>
        <v>4.1466485576873753</v>
      </c>
      <c r="T64" s="3">
        <f t="shared" si="7"/>
        <v>7.2372670254718718E-2</v>
      </c>
      <c r="U64" s="4" t="s">
        <v>571</v>
      </c>
    </row>
    <row r="65" spans="1:22" ht="14.25" customHeight="1" x14ac:dyDescent="0.3">
      <c r="A65" s="1" t="s">
        <v>108</v>
      </c>
      <c r="B65" s="1" t="s">
        <v>109</v>
      </c>
      <c r="C65" s="1" t="s">
        <v>110</v>
      </c>
      <c r="D65" s="1">
        <f t="shared" si="0"/>
        <v>28</v>
      </c>
      <c r="E65" s="1">
        <f t="shared" si="1"/>
        <v>0.89833333333333332</v>
      </c>
      <c r="F65" s="2">
        <f t="shared" si="2"/>
        <v>181.57358340197808</v>
      </c>
      <c r="G65" s="1">
        <v>2080</v>
      </c>
      <c r="H65" s="1">
        <v>3744</v>
      </c>
      <c r="I65" s="1">
        <v>0</v>
      </c>
      <c r="J65" s="1">
        <v>239</v>
      </c>
      <c r="K65" s="1">
        <f t="shared" si="3"/>
        <v>0</v>
      </c>
      <c r="L65" s="1">
        <f t="shared" si="4"/>
        <v>2.0855048076923075</v>
      </c>
      <c r="M65" s="1">
        <f t="shared" si="5"/>
        <v>2.0855048076923075</v>
      </c>
      <c r="N65" s="3">
        <f t="shared" si="6"/>
        <v>8.0556035824198631</v>
      </c>
      <c r="O65" s="1">
        <v>1669</v>
      </c>
      <c r="P65" s="1">
        <f t="shared" si="8"/>
        <v>203</v>
      </c>
      <c r="Q65" s="1">
        <f t="shared" si="9"/>
        <v>3.1326529054418368</v>
      </c>
      <c r="R65" s="1">
        <f t="shared" si="10"/>
        <v>0.33970541656233594</v>
      </c>
      <c r="S65" s="2">
        <f t="shared" si="11"/>
        <v>2.4147366759625046</v>
      </c>
      <c r="T65" s="3">
        <f t="shared" si="7"/>
        <v>4.2145105564209119E-2</v>
      </c>
      <c r="U65" s="4" t="s">
        <v>571</v>
      </c>
    </row>
    <row r="66" spans="1:22" ht="14.25" customHeight="1" x14ac:dyDescent="0.3">
      <c r="A66" s="1" t="s">
        <v>26</v>
      </c>
      <c r="B66" s="1" t="s">
        <v>72</v>
      </c>
      <c r="C66" s="1" t="s">
        <v>73</v>
      </c>
      <c r="D66" s="1">
        <f t="shared" ref="D66:D129" si="12">(LEFT(C66,4)&amp;"-"&amp;MID(C66,6,2)&amp;"-"&amp;MID(C66,9,2))-(2019&amp;"-"&amp;6&amp;"-"&amp;1)</f>
        <v>28</v>
      </c>
      <c r="E66" s="1">
        <f t="shared" ref="E66:E129" si="13">TIMEVALUE(RIGHT(C66,8))</f>
        <v>0.99083333333333334</v>
      </c>
      <c r="F66" s="2">
        <f t="shared" ref="F66:F129" si="14">(D66+E66)*2*PI()</f>
        <v>182.15477804289219</v>
      </c>
      <c r="G66" s="1">
        <v>2080</v>
      </c>
      <c r="H66" s="1">
        <v>3744</v>
      </c>
      <c r="I66" s="1">
        <v>0</v>
      </c>
      <c r="J66" s="1">
        <v>194</v>
      </c>
      <c r="K66" s="1">
        <f t="shared" ref="K66:K129" si="15">(32.67*I66)/H66</f>
        <v>0</v>
      </c>
      <c r="L66" s="1">
        <f t="shared" ref="L66:L129" si="16">(18.15*J66)/G66</f>
        <v>1.6928365384615385</v>
      </c>
      <c r="M66" s="1">
        <f t="shared" ref="M66:M129" si="17">SQRT(K66*K66+L66*L66)</f>
        <v>1.6928365384615385</v>
      </c>
      <c r="N66" s="3">
        <f t="shared" ref="N66:N129" si="18">42*0.4/M66</f>
        <v>9.9241714237028198</v>
      </c>
      <c r="O66" s="1">
        <v>1758</v>
      </c>
      <c r="P66" s="1">
        <f t="shared" ref="P66:P129" si="19">H66/2-O66</f>
        <v>114</v>
      </c>
      <c r="Q66" s="1">
        <f t="shared" ref="Q66:Q129" si="20">TAN(RADIANS(21.25))*N66</f>
        <v>3.8592991979412314</v>
      </c>
      <c r="R66" s="1">
        <f t="shared" ref="R66:R129" si="21">Q66*(P66/(H66/2))</f>
        <v>0.23502142551565192</v>
      </c>
      <c r="S66" s="2">
        <f t="shared" ref="S66:S129" si="22">DEGREES(ATAN(R66/N66))</f>
        <v>1.3566089044246887</v>
      </c>
      <c r="T66" s="3">
        <f t="shared" ref="T66:T129" si="23">RADIANS(S66)</f>
        <v>2.3677292044083888E-2</v>
      </c>
      <c r="U66" s="4" t="s">
        <v>571</v>
      </c>
    </row>
    <row r="67" spans="1:22" ht="14.25" customHeight="1" x14ac:dyDescent="0.3">
      <c r="A67" s="1" t="s">
        <v>26</v>
      </c>
      <c r="B67" s="1" t="s">
        <v>106</v>
      </c>
      <c r="C67" s="1" t="s">
        <v>107</v>
      </c>
      <c r="D67" s="1">
        <f t="shared" si="12"/>
        <v>28</v>
      </c>
      <c r="E67" s="1">
        <f t="shared" si="13"/>
        <v>0.99084490740740738</v>
      </c>
      <c r="F67" s="2">
        <f t="shared" si="14"/>
        <v>182.15485076494434</v>
      </c>
      <c r="G67" s="1">
        <v>2080</v>
      </c>
      <c r="H67" s="1">
        <v>3744</v>
      </c>
      <c r="I67" s="1">
        <v>0</v>
      </c>
      <c r="J67" s="1">
        <v>198</v>
      </c>
      <c r="K67" s="1">
        <f t="shared" si="15"/>
        <v>0</v>
      </c>
      <c r="L67" s="1">
        <f t="shared" si="16"/>
        <v>1.7277403846153845</v>
      </c>
      <c r="M67" s="1">
        <f t="shared" si="17"/>
        <v>1.7277403846153845</v>
      </c>
      <c r="N67" s="3">
        <f t="shared" si="18"/>
        <v>9.723683112112866</v>
      </c>
      <c r="O67" s="1">
        <v>1672</v>
      </c>
      <c r="P67" s="1">
        <f t="shared" si="19"/>
        <v>200</v>
      </c>
      <c r="Q67" s="1">
        <f t="shared" si="20"/>
        <v>3.7813335575787832</v>
      </c>
      <c r="R67" s="1">
        <f t="shared" si="21"/>
        <v>0.40398862794645118</v>
      </c>
      <c r="S67" s="2">
        <f t="shared" si="22"/>
        <v>2.3790922237141912</v>
      </c>
      <c r="T67" s="3">
        <f t="shared" si="23"/>
        <v>4.1522992512406154E-2</v>
      </c>
      <c r="U67" s="4" t="s">
        <v>571</v>
      </c>
      <c r="V67" s="3"/>
    </row>
    <row r="68" spans="1:22" ht="14.25" customHeight="1" x14ac:dyDescent="0.3">
      <c r="A68" s="1" t="s">
        <v>26</v>
      </c>
      <c r="B68" s="1" t="s">
        <v>167</v>
      </c>
      <c r="C68" s="1" t="s">
        <v>168</v>
      </c>
      <c r="D68" s="1">
        <f t="shared" si="12"/>
        <v>29</v>
      </c>
      <c r="E68" s="1">
        <f t="shared" si="13"/>
        <v>7.3923611111111107E-2</v>
      </c>
      <c r="F68" s="2">
        <f t="shared" si="14"/>
        <v>182.67684965539499</v>
      </c>
      <c r="G68" s="1">
        <v>2080</v>
      </c>
      <c r="H68" s="1">
        <v>3744</v>
      </c>
      <c r="I68" s="1">
        <v>0</v>
      </c>
      <c r="J68" s="1">
        <v>142</v>
      </c>
      <c r="K68" s="1">
        <f t="shared" si="15"/>
        <v>0</v>
      </c>
      <c r="L68" s="1">
        <f t="shared" si="16"/>
        <v>1.2390865384615384</v>
      </c>
      <c r="M68" s="1">
        <f t="shared" si="17"/>
        <v>1.2390865384615384</v>
      </c>
      <c r="N68" s="3">
        <f t="shared" si="18"/>
        <v>13.558375043650333</v>
      </c>
      <c r="O68" s="1">
        <v>1450</v>
      </c>
      <c r="P68" s="1">
        <f t="shared" si="19"/>
        <v>422</v>
      </c>
      <c r="Q68" s="1">
        <f t="shared" si="20"/>
        <v>5.272563692961965</v>
      </c>
      <c r="R68" s="1">
        <f t="shared" si="21"/>
        <v>1.1885800632638619</v>
      </c>
      <c r="S68" s="2">
        <f t="shared" si="22"/>
        <v>5.0099640140129269</v>
      </c>
      <c r="T68" s="3">
        <f t="shared" si="23"/>
        <v>8.7440367450956902E-2</v>
      </c>
      <c r="U68" s="4" t="s">
        <v>571</v>
      </c>
    </row>
    <row r="69" spans="1:22" ht="14.25" customHeight="1" x14ac:dyDescent="0.3">
      <c r="A69" s="1" t="s">
        <v>26</v>
      </c>
      <c r="B69" s="1" t="s">
        <v>203</v>
      </c>
      <c r="C69" s="1" t="s">
        <v>204</v>
      </c>
      <c r="D69" s="1">
        <f t="shared" si="12"/>
        <v>29</v>
      </c>
      <c r="E69" s="1">
        <f t="shared" si="13"/>
        <v>7.3935185185185187E-2</v>
      </c>
      <c r="F69" s="2">
        <f t="shared" si="14"/>
        <v>182.67692237744717</v>
      </c>
      <c r="G69" s="1">
        <v>2080</v>
      </c>
      <c r="H69" s="1">
        <v>3744</v>
      </c>
      <c r="I69" s="1">
        <v>0</v>
      </c>
      <c r="J69" s="1">
        <v>124</v>
      </c>
      <c r="K69" s="1">
        <f t="shared" si="15"/>
        <v>0</v>
      </c>
      <c r="L69" s="1">
        <f t="shared" si="16"/>
        <v>1.0820192307692307</v>
      </c>
      <c r="M69" s="1">
        <f t="shared" si="17"/>
        <v>1.0820192307692307</v>
      </c>
      <c r="N69" s="3">
        <f t="shared" si="18"/>
        <v>15.526526259664092</v>
      </c>
      <c r="O69" s="1">
        <v>1280</v>
      </c>
      <c r="P69" s="1">
        <f t="shared" si="19"/>
        <v>592</v>
      </c>
      <c r="Q69" s="1">
        <f t="shared" si="20"/>
        <v>6.0379358419403149</v>
      </c>
      <c r="R69" s="1">
        <f t="shared" si="21"/>
        <v>1.9094327021520654</v>
      </c>
      <c r="S69" s="2">
        <f t="shared" si="22"/>
        <v>7.0109603861095708</v>
      </c>
      <c r="T69" s="3">
        <f t="shared" si="23"/>
        <v>0.12236434246450494</v>
      </c>
      <c r="U69" s="4" t="s">
        <v>571</v>
      </c>
    </row>
    <row r="70" spans="1:22" ht="14.25" customHeight="1" x14ac:dyDescent="0.3">
      <c r="A70" s="1" t="s">
        <v>26</v>
      </c>
      <c r="B70" s="1" t="s">
        <v>511</v>
      </c>
      <c r="C70" s="1" t="s">
        <v>512</v>
      </c>
      <c r="D70" s="1">
        <f t="shared" si="12"/>
        <v>29</v>
      </c>
      <c r="E70" s="1">
        <f t="shared" si="13"/>
        <v>0.89178240740740744</v>
      </c>
      <c r="F70" s="2">
        <f t="shared" si="14"/>
        <v>187.81560802763147</v>
      </c>
      <c r="G70" s="1">
        <v>2080</v>
      </c>
      <c r="H70" s="1">
        <v>3744</v>
      </c>
      <c r="I70" s="1">
        <v>0</v>
      </c>
      <c r="J70" s="1">
        <v>246</v>
      </c>
      <c r="K70" s="1">
        <f t="shared" si="15"/>
        <v>0</v>
      </c>
      <c r="L70" s="1">
        <f t="shared" si="16"/>
        <v>2.1465865384615381</v>
      </c>
      <c r="M70" s="1">
        <f t="shared" si="17"/>
        <v>2.1465865384615381</v>
      </c>
      <c r="N70" s="3">
        <f t="shared" si="18"/>
        <v>7.826379090237185</v>
      </c>
      <c r="O70" s="1">
        <v>509</v>
      </c>
      <c r="P70" s="1">
        <f t="shared" si="19"/>
        <v>1363</v>
      </c>
      <c r="Q70" s="1">
        <f t="shared" si="20"/>
        <v>3.0435123756121913</v>
      </c>
      <c r="R70" s="1">
        <f t="shared" si="21"/>
        <v>2.2159761580979791</v>
      </c>
      <c r="S70" s="2">
        <f t="shared" si="22"/>
        <v>15.809042312547536</v>
      </c>
      <c r="T70" s="3">
        <f t="shared" si="23"/>
        <v>0.27591983994105296</v>
      </c>
      <c r="U70" s="4" t="s">
        <v>571</v>
      </c>
    </row>
    <row r="71" spans="1:22" ht="14.25" customHeight="1" x14ac:dyDescent="0.3">
      <c r="A71" s="1" t="s">
        <v>26</v>
      </c>
      <c r="B71" s="1" t="s">
        <v>455</v>
      </c>
      <c r="C71" s="1" t="s">
        <v>456</v>
      </c>
      <c r="D71" s="1">
        <f t="shared" si="12"/>
        <v>29</v>
      </c>
      <c r="E71" s="1">
        <f t="shared" si="13"/>
        <v>0.89179398148148159</v>
      </c>
      <c r="F71" s="2">
        <f t="shared" si="14"/>
        <v>187.81568074968362</v>
      </c>
      <c r="G71" s="1">
        <v>2080</v>
      </c>
      <c r="H71" s="1">
        <v>3744</v>
      </c>
      <c r="I71" s="1">
        <v>0</v>
      </c>
      <c r="J71" s="1">
        <v>216</v>
      </c>
      <c r="K71" s="1">
        <f t="shared" si="15"/>
        <v>0</v>
      </c>
      <c r="L71" s="1">
        <f t="shared" si="16"/>
        <v>1.8848076923076922</v>
      </c>
      <c r="M71" s="1">
        <f t="shared" si="17"/>
        <v>1.8848076923076922</v>
      </c>
      <c r="N71" s="3">
        <f t="shared" si="18"/>
        <v>8.9133761861034593</v>
      </c>
      <c r="O71" s="1">
        <v>741</v>
      </c>
      <c r="P71" s="1">
        <f t="shared" si="19"/>
        <v>1131</v>
      </c>
      <c r="Q71" s="1">
        <f t="shared" si="20"/>
        <v>3.4662224277805507</v>
      </c>
      <c r="R71" s="1">
        <f t="shared" si="21"/>
        <v>2.094176050117416</v>
      </c>
      <c r="S71" s="2">
        <f t="shared" si="22"/>
        <v>13.221704201809072</v>
      </c>
      <c r="T71" s="3">
        <f t="shared" si="23"/>
        <v>0.23076227104633712</v>
      </c>
      <c r="U71" s="4" t="s">
        <v>571</v>
      </c>
    </row>
    <row r="72" spans="1:22" ht="14.25" customHeight="1" x14ac:dyDescent="0.3">
      <c r="A72" s="1" t="s">
        <v>26</v>
      </c>
      <c r="B72" s="1" t="s">
        <v>332</v>
      </c>
      <c r="C72" s="1" t="s">
        <v>333</v>
      </c>
      <c r="D72" s="1">
        <f t="shared" si="12"/>
        <v>29</v>
      </c>
      <c r="E72" s="1">
        <f t="shared" si="13"/>
        <v>0.89180555555555552</v>
      </c>
      <c r="F72" s="2">
        <f t="shared" si="14"/>
        <v>187.8157534717358</v>
      </c>
      <c r="G72" s="1">
        <v>2080</v>
      </c>
      <c r="H72" s="1">
        <v>3744</v>
      </c>
      <c r="I72" s="1">
        <v>0</v>
      </c>
      <c r="J72" s="1">
        <v>231</v>
      </c>
      <c r="K72" s="1">
        <f t="shared" si="15"/>
        <v>0</v>
      </c>
      <c r="L72" s="1">
        <f t="shared" si="16"/>
        <v>2.015697115384615</v>
      </c>
      <c r="M72" s="1">
        <f t="shared" si="17"/>
        <v>2.015697115384615</v>
      </c>
      <c r="N72" s="3">
        <f t="shared" si="18"/>
        <v>8.3345855246681708</v>
      </c>
      <c r="O72" s="1">
        <v>937</v>
      </c>
      <c r="P72" s="1">
        <f t="shared" si="19"/>
        <v>935</v>
      </c>
      <c r="Q72" s="1">
        <f t="shared" si="20"/>
        <v>3.2411430493532425</v>
      </c>
      <c r="R72" s="1">
        <f t="shared" si="21"/>
        <v>1.6188401448425651</v>
      </c>
      <c r="S72" s="2">
        <f t="shared" si="22"/>
        <v>10.991791319541525</v>
      </c>
      <c r="T72" s="3">
        <f t="shared" si="23"/>
        <v>0.19184294921813175</v>
      </c>
      <c r="U72" s="4" t="s">
        <v>571</v>
      </c>
    </row>
    <row r="73" spans="1:22" ht="14.25" customHeight="1" x14ac:dyDescent="0.3">
      <c r="A73" s="1" t="s">
        <v>67</v>
      </c>
      <c r="B73" s="1" t="s">
        <v>552</v>
      </c>
      <c r="C73" s="1" t="s">
        <v>553</v>
      </c>
      <c r="D73" s="1">
        <f t="shared" si="12"/>
        <v>29</v>
      </c>
      <c r="E73" s="1">
        <f t="shared" si="13"/>
        <v>0.96708333333333341</v>
      </c>
      <c r="F73" s="2">
        <f t="shared" si="14"/>
        <v>188.28873769902626</v>
      </c>
      <c r="G73" s="1">
        <v>2080</v>
      </c>
      <c r="H73" s="1">
        <v>3744</v>
      </c>
      <c r="I73" s="1">
        <v>0</v>
      </c>
      <c r="J73" s="1">
        <v>714</v>
      </c>
      <c r="K73" s="1">
        <f t="shared" si="15"/>
        <v>0</v>
      </c>
      <c r="L73" s="1">
        <f t="shared" si="16"/>
        <v>6.2303365384615379</v>
      </c>
      <c r="M73" s="1">
        <f t="shared" si="17"/>
        <v>6.2303365384615379</v>
      </c>
      <c r="N73" s="3">
        <f t="shared" si="18"/>
        <v>2.6964835520985257</v>
      </c>
      <c r="O73" s="1">
        <v>105</v>
      </c>
      <c r="P73" s="1">
        <f t="shared" si="19"/>
        <v>1767</v>
      </c>
      <c r="Q73" s="1">
        <f t="shared" si="20"/>
        <v>1.0486051042025197</v>
      </c>
      <c r="R73" s="1">
        <f t="shared" si="21"/>
        <v>0.98978911278090398</v>
      </c>
      <c r="S73" s="2">
        <f t="shared" si="22"/>
        <v>20.156500869816092</v>
      </c>
      <c r="T73" s="3">
        <f t="shared" si="23"/>
        <v>0.35179730585939173</v>
      </c>
      <c r="U73" s="4" t="s">
        <v>571</v>
      </c>
    </row>
    <row r="74" spans="1:22" ht="14.25" customHeight="1" x14ac:dyDescent="0.3">
      <c r="A74" s="1" t="s">
        <v>67</v>
      </c>
      <c r="B74" s="1" t="s">
        <v>495</v>
      </c>
      <c r="C74" s="1" t="s">
        <v>496</v>
      </c>
      <c r="D74" s="1">
        <f t="shared" si="12"/>
        <v>29</v>
      </c>
      <c r="E74" s="1">
        <f t="shared" si="13"/>
        <v>0.96709490740740733</v>
      </c>
      <c r="F74" s="2">
        <f t="shared" si="14"/>
        <v>188.28881042107844</v>
      </c>
      <c r="G74" s="1">
        <v>2080</v>
      </c>
      <c r="H74" s="1">
        <v>3744</v>
      </c>
      <c r="I74" s="1">
        <v>0</v>
      </c>
      <c r="J74" s="1">
        <v>669</v>
      </c>
      <c r="K74" s="1">
        <f t="shared" si="15"/>
        <v>0</v>
      </c>
      <c r="L74" s="1">
        <f t="shared" si="16"/>
        <v>5.8376682692307682</v>
      </c>
      <c r="M74" s="1">
        <f t="shared" si="17"/>
        <v>5.8376682692307682</v>
      </c>
      <c r="N74" s="3">
        <f t="shared" si="18"/>
        <v>2.8778613695042563</v>
      </c>
      <c r="O74" s="1">
        <v>603</v>
      </c>
      <c r="P74" s="1">
        <f t="shared" si="19"/>
        <v>1269</v>
      </c>
      <c r="Q74" s="1">
        <f t="shared" si="20"/>
        <v>1.1191390798215233</v>
      </c>
      <c r="R74" s="1">
        <f t="shared" si="21"/>
        <v>0.75864716468670568</v>
      </c>
      <c r="S74" s="2">
        <f t="shared" si="22"/>
        <v>14.76804918105247</v>
      </c>
      <c r="T74" s="3">
        <f t="shared" si="23"/>
        <v>0.25775108230581778</v>
      </c>
      <c r="U74" s="4" t="s">
        <v>571</v>
      </c>
    </row>
    <row r="75" spans="1:22" ht="14.25" customHeight="1" x14ac:dyDescent="0.3">
      <c r="A75" s="1" t="s">
        <v>67</v>
      </c>
      <c r="B75" s="1" t="s">
        <v>266</v>
      </c>
      <c r="C75" s="1" t="s">
        <v>267</v>
      </c>
      <c r="D75" s="1">
        <f t="shared" si="12"/>
        <v>29</v>
      </c>
      <c r="E75" s="1">
        <f t="shared" si="13"/>
        <v>0.96710648148148148</v>
      </c>
      <c r="F75" s="2">
        <f t="shared" si="14"/>
        <v>188.28888314313059</v>
      </c>
      <c r="G75" s="1">
        <v>2080</v>
      </c>
      <c r="H75" s="1">
        <v>3744</v>
      </c>
      <c r="I75" s="1">
        <v>0</v>
      </c>
      <c r="J75" s="1">
        <v>588</v>
      </c>
      <c r="K75" s="1">
        <f t="shared" si="15"/>
        <v>0</v>
      </c>
      <c r="L75" s="1">
        <f t="shared" si="16"/>
        <v>5.130865384615384</v>
      </c>
      <c r="M75" s="1">
        <f t="shared" si="17"/>
        <v>5.130865384615384</v>
      </c>
      <c r="N75" s="3">
        <f t="shared" si="18"/>
        <v>3.2743014561196384</v>
      </c>
      <c r="O75" s="1">
        <v>1104</v>
      </c>
      <c r="P75" s="1">
        <f t="shared" si="19"/>
        <v>768</v>
      </c>
      <c r="Q75" s="1">
        <f t="shared" si="20"/>
        <v>1.2733061979602025</v>
      </c>
      <c r="R75" s="1">
        <f t="shared" si="21"/>
        <v>0.5223820299323908</v>
      </c>
      <c r="S75" s="2">
        <f t="shared" si="22"/>
        <v>9.0645764772239215</v>
      </c>
      <c r="T75" s="3">
        <f t="shared" si="23"/>
        <v>0.15820670482638621</v>
      </c>
      <c r="U75" s="4" t="s">
        <v>571</v>
      </c>
    </row>
    <row r="76" spans="1:22" ht="14.25" customHeight="1" x14ac:dyDescent="0.3">
      <c r="A76" s="1" t="s">
        <v>26</v>
      </c>
      <c r="B76" s="1" t="s">
        <v>46</v>
      </c>
      <c r="C76" s="1" t="s">
        <v>47</v>
      </c>
      <c r="D76" s="1">
        <f t="shared" si="12"/>
        <v>31</v>
      </c>
      <c r="E76" s="1">
        <f t="shared" si="13"/>
        <v>3.0011574074074076E-2</v>
      </c>
      <c r="F76" s="2">
        <f t="shared" si="14"/>
        <v>194.96731280383472</v>
      </c>
      <c r="G76" s="1">
        <v>2080</v>
      </c>
      <c r="H76" s="1">
        <v>3744</v>
      </c>
      <c r="I76" s="1">
        <v>0</v>
      </c>
      <c r="J76" s="1">
        <v>161</v>
      </c>
      <c r="K76" s="1">
        <f t="shared" si="15"/>
        <v>0</v>
      </c>
      <c r="L76" s="1">
        <f t="shared" si="16"/>
        <v>1.4048798076923075</v>
      </c>
      <c r="M76" s="1">
        <f t="shared" si="17"/>
        <v>1.4048798076923075</v>
      </c>
      <c r="N76" s="3">
        <f t="shared" si="18"/>
        <v>11.958318361480419</v>
      </c>
      <c r="O76" s="1">
        <v>1825</v>
      </c>
      <c r="P76" s="1">
        <f t="shared" si="19"/>
        <v>47</v>
      </c>
      <c r="Q76" s="1">
        <f t="shared" si="20"/>
        <v>4.6503356795068269</v>
      </c>
      <c r="R76" s="1">
        <f t="shared" si="21"/>
        <v>0.11675522272266073</v>
      </c>
      <c r="S76" s="2">
        <f t="shared" si="22"/>
        <v>0.55939043800936161</v>
      </c>
      <c r="T76" s="3">
        <f t="shared" si="23"/>
        <v>9.7632049474365955E-3</v>
      </c>
      <c r="U76" s="4" t="s">
        <v>571</v>
      </c>
    </row>
    <row r="77" spans="1:22" ht="14.25" customHeight="1" x14ac:dyDescent="0.3">
      <c r="A77" s="1" t="s">
        <v>26</v>
      </c>
      <c r="B77" s="1" t="s">
        <v>493</v>
      </c>
      <c r="C77" s="1" t="s">
        <v>494</v>
      </c>
      <c r="D77" s="1">
        <f t="shared" si="12"/>
        <v>31</v>
      </c>
      <c r="E77" s="1">
        <f t="shared" si="13"/>
        <v>3.0023148148148149E-2</v>
      </c>
      <c r="F77" s="2">
        <f t="shared" si="14"/>
        <v>194.9673855258869</v>
      </c>
      <c r="G77" s="1">
        <v>2080</v>
      </c>
      <c r="H77" s="1">
        <v>3744</v>
      </c>
      <c r="I77" s="1">
        <v>0</v>
      </c>
      <c r="J77" s="1">
        <v>137</v>
      </c>
      <c r="K77" s="1">
        <f t="shared" si="15"/>
        <v>0</v>
      </c>
      <c r="L77" s="1">
        <f t="shared" si="16"/>
        <v>1.1954567307692305</v>
      </c>
      <c r="M77" s="1">
        <f t="shared" si="17"/>
        <v>1.1954567307692305</v>
      </c>
      <c r="N77" s="3">
        <f t="shared" si="18"/>
        <v>14.053206249622974</v>
      </c>
      <c r="O77" s="1">
        <v>613</v>
      </c>
      <c r="P77" s="1">
        <f t="shared" si="19"/>
        <v>1259</v>
      </c>
      <c r="Q77" s="1">
        <f t="shared" si="20"/>
        <v>5.464993024821891</v>
      </c>
      <c r="R77" s="1">
        <f t="shared" si="21"/>
        <v>3.6754413559031844</v>
      </c>
      <c r="S77" s="2">
        <f t="shared" si="22"/>
        <v>14.656703085963681</v>
      </c>
      <c r="T77" s="3">
        <f t="shared" si="23"/>
        <v>0.25580772633727972</v>
      </c>
      <c r="U77" s="4" t="s">
        <v>571</v>
      </c>
    </row>
    <row r="78" spans="1:22" ht="14.25" customHeight="1" x14ac:dyDescent="0.3">
      <c r="A78" s="1" t="s">
        <v>33</v>
      </c>
      <c r="B78" s="1" t="s">
        <v>453</v>
      </c>
      <c r="C78" s="1" t="s">
        <v>454</v>
      </c>
      <c r="D78" s="1">
        <f t="shared" si="12"/>
        <v>31</v>
      </c>
      <c r="E78" s="1">
        <f t="shared" si="13"/>
        <v>0.20600694444444445</v>
      </c>
      <c r="F78" s="2">
        <f t="shared" si="14"/>
        <v>196.07312432907747</v>
      </c>
      <c r="G78" s="1">
        <v>2080</v>
      </c>
      <c r="H78" s="1">
        <v>3744</v>
      </c>
      <c r="I78" s="1">
        <v>0</v>
      </c>
      <c r="J78" s="1">
        <v>162</v>
      </c>
      <c r="K78" s="1">
        <f t="shared" si="15"/>
        <v>0</v>
      </c>
      <c r="L78" s="1">
        <f t="shared" si="16"/>
        <v>1.4136057692307691</v>
      </c>
      <c r="M78" s="1">
        <f t="shared" si="17"/>
        <v>1.4136057692307691</v>
      </c>
      <c r="N78" s="3">
        <f t="shared" si="18"/>
        <v>11.88450158147128</v>
      </c>
      <c r="O78" s="1">
        <v>744</v>
      </c>
      <c r="P78" s="1">
        <f t="shared" si="19"/>
        <v>1128</v>
      </c>
      <c r="Q78" s="1">
        <f t="shared" si="20"/>
        <v>4.6216299037074018</v>
      </c>
      <c r="R78" s="1">
        <f t="shared" si="21"/>
        <v>2.7848282753108702</v>
      </c>
      <c r="S78" s="2">
        <f t="shared" si="22"/>
        <v>13.187860526434784</v>
      </c>
      <c r="T78" s="3">
        <f t="shared" si="23"/>
        <v>0.23017158748007968</v>
      </c>
      <c r="U78" s="4" t="s">
        <v>571</v>
      </c>
    </row>
    <row r="79" spans="1:22" ht="14.25" customHeight="1" x14ac:dyDescent="0.3">
      <c r="A79" s="1" t="s">
        <v>33</v>
      </c>
      <c r="B79" s="1" t="s">
        <v>371</v>
      </c>
      <c r="C79" s="1" t="s">
        <v>372</v>
      </c>
      <c r="D79" s="1">
        <f t="shared" si="12"/>
        <v>31</v>
      </c>
      <c r="E79" s="1">
        <f t="shared" si="13"/>
        <v>0.20601851851851852</v>
      </c>
      <c r="F79" s="2">
        <f t="shared" si="14"/>
        <v>196.07319705112963</v>
      </c>
      <c r="G79" s="1">
        <v>2080</v>
      </c>
      <c r="H79" s="1">
        <v>3744</v>
      </c>
      <c r="I79" s="1">
        <v>0</v>
      </c>
      <c r="J79" s="1">
        <v>148</v>
      </c>
      <c r="K79" s="1">
        <f t="shared" si="15"/>
        <v>0</v>
      </c>
      <c r="L79" s="1">
        <f t="shared" si="16"/>
        <v>1.2914423076923076</v>
      </c>
      <c r="M79" s="1">
        <f t="shared" si="17"/>
        <v>1.2914423076923076</v>
      </c>
      <c r="N79" s="3">
        <f t="shared" si="18"/>
        <v>13.008711190529374</v>
      </c>
      <c r="O79" s="1">
        <v>898</v>
      </c>
      <c r="P79" s="1">
        <f t="shared" si="19"/>
        <v>974</v>
      </c>
      <c r="Q79" s="1">
        <f t="shared" si="20"/>
        <v>5.0588111108148581</v>
      </c>
      <c r="R79" s="1">
        <f t="shared" si="21"/>
        <v>2.6320950971867907</v>
      </c>
      <c r="S79" s="2">
        <f t="shared" si="22"/>
        <v>11.438419439367122</v>
      </c>
      <c r="T79" s="3">
        <f t="shared" si="23"/>
        <v>0.19963808044108017</v>
      </c>
      <c r="U79" s="4" t="s">
        <v>571</v>
      </c>
    </row>
    <row r="80" spans="1:22" ht="14.25" customHeight="1" x14ac:dyDescent="0.3">
      <c r="A80" s="1" t="s">
        <v>33</v>
      </c>
      <c r="B80" s="1" t="s">
        <v>236</v>
      </c>
      <c r="C80" s="1" t="s">
        <v>237</v>
      </c>
      <c r="D80" s="1">
        <f t="shared" si="12"/>
        <v>31</v>
      </c>
      <c r="E80" s="1">
        <f t="shared" si="13"/>
        <v>0.20603009259259261</v>
      </c>
      <c r="F80" s="2">
        <f t="shared" si="14"/>
        <v>196.07326977318181</v>
      </c>
      <c r="G80" s="1">
        <v>2080</v>
      </c>
      <c r="H80" s="1">
        <v>3744</v>
      </c>
      <c r="I80" s="1">
        <v>0</v>
      </c>
      <c r="J80" s="1">
        <v>153</v>
      </c>
      <c r="K80" s="1">
        <f t="shared" si="15"/>
        <v>0</v>
      </c>
      <c r="L80" s="1">
        <f t="shared" si="16"/>
        <v>1.3350721153846152</v>
      </c>
      <c r="M80" s="1">
        <f t="shared" si="17"/>
        <v>1.3350721153846152</v>
      </c>
      <c r="N80" s="3">
        <f t="shared" si="18"/>
        <v>12.583589909793121</v>
      </c>
      <c r="O80" s="1">
        <v>1198</v>
      </c>
      <c r="P80" s="1">
        <f t="shared" si="19"/>
        <v>674</v>
      </c>
      <c r="Q80" s="1">
        <f t="shared" si="20"/>
        <v>4.8934904862784254</v>
      </c>
      <c r="R80" s="1">
        <f t="shared" si="21"/>
        <v>1.7618656985852879</v>
      </c>
      <c r="S80" s="2">
        <f t="shared" si="22"/>
        <v>7.9703387966019505</v>
      </c>
      <c r="T80" s="3">
        <f t="shared" si="23"/>
        <v>0.13910865450014667</v>
      </c>
      <c r="U80" s="4" t="s">
        <v>571</v>
      </c>
    </row>
    <row r="81" spans="1:21" ht="14.25" customHeight="1" x14ac:dyDescent="0.3">
      <c r="A81" s="1" t="s">
        <v>26</v>
      </c>
      <c r="B81" s="1" t="s">
        <v>153</v>
      </c>
      <c r="C81" s="1" t="s">
        <v>154</v>
      </c>
      <c r="D81" s="1">
        <f t="shared" si="12"/>
        <v>31</v>
      </c>
      <c r="E81" s="1">
        <f t="shared" si="13"/>
        <v>0.8299537037037038</v>
      </c>
      <c r="F81" s="2">
        <f t="shared" si="14"/>
        <v>199.99349743931757</v>
      </c>
      <c r="G81" s="1">
        <v>2080</v>
      </c>
      <c r="H81" s="1">
        <v>3744</v>
      </c>
      <c r="I81" s="1">
        <v>0</v>
      </c>
      <c r="J81" s="1">
        <v>213</v>
      </c>
      <c r="K81" s="1">
        <f t="shared" si="15"/>
        <v>0</v>
      </c>
      <c r="L81" s="1">
        <f t="shared" si="16"/>
        <v>1.8586298076923076</v>
      </c>
      <c r="M81" s="1">
        <f t="shared" si="17"/>
        <v>1.8586298076923076</v>
      </c>
      <c r="N81" s="3">
        <f t="shared" si="18"/>
        <v>9.0389166957668881</v>
      </c>
      <c r="O81" s="1">
        <v>1529</v>
      </c>
      <c r="P81" s="1">
        <f t="shared" si="19"/>
        <v>343</v>
      </c>
      <c r="Q81" s="1">
        <f t="shared" si="20"/>
        <v>3.5150424619746428</v>
      </c>
      <c r="R81" s="1">
        <f t="shared" si="21"/>
        <v>0.6440489126374479</v>
      </c>
      <c r="S81" s="2">
        <f t="shared" si="22"/>
        <v>4.075601792181816</v>
      </c>
      <c r="T81" s="3">
        <f t="shared" si="23"/>
        <v>7.1132670273754375E-2</v>
      </c>
      <c r="U81" s="4" t="s">
        <v>571</v>
      </c>
    </row>
    <row r="82" spans="1:21" ht="14.25" customHeight="1" x14ac:dyDescent="0.3">
      <c r="A82" s="1" t="s">
        <v>26</v>
      </c>
      <c r="B82" s="1" t="s">
        <v>70</v>
      </c>
      <c r="C82" s="1" t="s">
        <v>71</v>
      </c>
      <c r="D82" s="1">
        <f t="shared" si="12"/>
        <v>31</v>
      </c>
      <c r="E82" s="1">
        <f t="shared" si="13"/>
        <v>0.82996527777777773</v>
      </c>
      <c r="F82" s="2">
        <f t="shared" si="14"/>
        <v>199.99357016136972</v>
      </c>
      <c r="G82" s="1">
        <v>2080</v>
      </c>
      <c r="H82" s="1">
        <v>3744</v>
      </c>
      <c r="I82" s="1">
        <v>0</v>
      </c>
      <c r="J82" s="1">
        <v>211</v>
      </c>
      <c r="K82" s="1">
        <f t="shared" si="15"/>
        <v>0</v>
      </c>
      <c r="L82" s="1">
        <f t="shared" si="16"/>
        <v>1.8411778846153843</v>
      </c>
      <c r="M82" s="1">
        <f t="shared" si="17"/>
        <v>1.8411778846153843</v>
      </c>
      <c r="N82" s="3">
        <f t="shared" si="18"/>
        <v>9.1245936312717895</v>
      </c>
      <c r="O82" s="1">
        <v>1759</v>
      </c>
      <c r="P82" s="1">
        <f t="shared" si="19"/>
        <v>113</v>
      </c>
      <c r="Q82" s="1">
        <f t="shared" si="20"/>
        <v>3.5483604000028395</v>
      </c>
      <c r="R82" s="1">
        <f t="shared" si="21"/>
        <v>0.21419055833350473</v>
      </c>
      <c r="S82" s="2">
        <f t="shared" si="22"/>
        <v>1.344713215068039</v>
      </c>
      <c r="T82" s="3">
        <f t="shared" si="23"/>
        <v>2.3469673098015904E-2</v>
      </c>
      <c r="U82" s="4" t="s">
        <v>571</v>
      </c>
    </row>
    <row r="83" spans="1:21" ht="14.25" customHeight="1" x14ac:dyDescent="0.3">
      <c r="A83" s="1" t="s">
        <v>26</v>
      </c>
      <c r="B83" s="1" t="s">
        <v>82</v>
      </c>
      <c r="C83" s="1" t="s">
        <v>83</v>
      </c>
      <c r="D83" s="1">
        <f t="shared" si="12"/>
        <v>31</v>
      </c>
      <c r="E83" s="1">
        <f t="shared" si="13"/>
        <v>0.82997685185185188</v>
      </c>
      <c r="F83" s="2">
        <f t="shared" si="14"/>
        <v>199.9936428834219</v>
      </c>
      <c r="G83" s="1">
        <v>2080</v>
      </c>
      <c r="H83" s="1">
        <v>3744</v>
      </c>
      <c r="I83" s="1">
        <v>0</v>
      </c>
      <c r="J83" s="1">
        <v>220</v>
      </c>
      <c r="K83" s="1">
        <f t="shared" si="15"/>
        <v>0</v>
      </c>
      <c r="L83" s="1">
        <f t="shared" si="16"/>
        <v>1.9197115384615382</v>
      </c>
      <c r="M83" s="1">
        <f t="shared" si="17"/>
        <v>1.9197115384615382</v>
      </c>
      <c r="N83" s="3">
        <f t="shared" si="18"/>
        <v>8.7513148009015786</v>
      </c>
      <c r="O83" s="1">
        <v>1729</v>
      </c>
      <c r="P83" s="1">
        <f t="shared" si="19"/>
        <v>143</v>
      </c>
      <c r="Q83" s="1">
        <f t="shared" si="20"/>
        <v>3.4032002018209044</v>
      </c>
      <c r="R83" s="1">
        <f t="shared" si="21"/>
        <v>0.25996668208354134</v>
      </c>
      <c r="S83" s="2">
        <f t="shared" si="22"/>
        <v>1.7015288565891318</v>
      </c>
      <c r="T83" s="3">
        <f t="shared" si="23"/>
        <v>2.9697280865174761E-2</v>
      </c>
      <c r="U83" s="4" t="s">
        <v>571</v>
      </c>
    </row>
    <row r="84" spans="1:21" ht="14.25" customHeight="1" x14ac:dyDescent="0.3">
      <c r="A84" s="1" t="s">
        <v>26</v>
      </c>
      <c r="B84" s="1" t="s">
        <v>353</v>
      </c>
      <c r="C84" s="1" t="s">
        <v>354</v>
      </c>
      <c r="D84" s="1">
        <f t="shared" si="12"/>
        <v>32</v>
      </c>
      <c r="E84" s="1">
        <f t="shared" si="13"/>
        <v>0.10638888888888888</v>
      </c>
      <c r="F84" s="2">
        <f t="shared" si="14"/>
        <v>201.73039093326057</v>
      </c>
      <c r="G84" s="1">
        <v>2080</v>
      </c>
      <c r="H84" s="1">
        <v>3744</v>
      </c>
      <c r="I84" s="1">
        <v>0</v>
      </c>
      <c r="J84" s="1">
        <v>156</v>
      </c>
      <c r="K84" s="1">
        <f t="shared" si="15"/>
        <v>0</v>
      </c>
      <c r="L84" s="1">
        <f t="shared" si="16"/>
        <v>1.3612499999999998</v>
      </c>
      <c r="M84" s="1">
        <f t="shared" si="17"/>
        <v>1.3612499999999998</v>
      </c>
      <c r="N84" s="3">
        <f t="shared" si="18"/>
        <v>12.341597796143253</v>
      </c>
      <c r="O84" s="1">
        <v>920</v>
      </c>
      <c r="P84" s="1">
        <f t="shared" si="19"/>
        <v>952</v>
      </c>
      <c r="Q84" s="1">
        <f t="shared" si="20"/>
        <v>4.7993849000038402</v>
      </c>
      <c r="R84" s="1">
        <f t="shared" si="21"/>
        <v>2.4407128337626367</v>
      </c>
      <c r="S84" s="2">
        <f t="shared" si="22"/>
        <v>11.186644989674777</v>
      </c>
      <c r="T84" s="3">
        <f t="shared" si="23"/>
        <v>0.19524378732155193</v>
      </c>
      <c r="U84" s="4" t="s">
        <v>571</v>
      </c>
    </row>
    <row r="85" spans="1:21" ht="14.25" customHeight="1" x14ac:dyDescent="0.3">
      <c r="A85" s="1" t="s">
        <v>26</v>
      </c>
      <c r="B85" s="1" t="s">
        <v>355</v>
      </c>
      <c r="C85" s="1" t="s">
        <v>356</v>
      </c>
      <c r="D85" s="1">
        <f t="shared" si="12"/>
        <v>32</v>
      </c>
      <c r="E85" s="1">
        <f t="shared" si="13"/>
        <v>0.10640046296296296</v>
      </c>
      <c r="F85" s="2">
        <f t="shared" si="14"/>
        <v>201.73046365531278</v>
      </c>
      <c r="G85" s="1">
        <v>2080</v>
      </c>
      <c r="H85" s="1">
        <v>3744</v>
      </c>
      <c r="I85" s="1">
        <v>0</v>
      </c>
      <c r="J85" s="1">
        <v>156</v>
      </c>
      <c r="K85" s="1">
        <f t="shared" si="15"/>
        <v>0</v>
      </c>
      <c r="L85" s="1">
        <f t="shared" si="16"/>
        <v>1.3612499999999998</v>
      </c>
      <c r="M85" s="1">
        <f t="shared" si="17"/>
        <v>1.3612499999999998</v>
      </c>
      <c r="N85" s="3">
        <f t="shared" si="18"/>
        <v>12.341597796143253</v>
      </c>
      <c r="O85" s="1">
        <v>920</v>
      </c>
      <c r="P85" s="1">
        <f t="shared" si="19"/>
        <v>952</v>
      </c>
      <c r="Q85" s="1">
        <f t="shared" si="20"/>
        <v>4.7993849000038402</v>
      </c>
      <c r="R85" s="1">
        <f t="shared" si="21"/>
        <v>2.4407128337626367</v>
      </c>
      <c r="S85" s="2">
        <f t="shared" si="22"/>
        <v>11.186644989674777</v>
      </c>
      <c r="T85" s="3">
        <f t="shared" si="23"/>
        <v>0.19524378732155193</v>
      </c>
      <c r="U85" s="4" t="s">
        <v>571</v>
      </c>
    </row>
    <row r="86" spans="1:21" ht="14.25" customHeight="1" x14ac:dyDescent="0.3">
      <c r="A86" s="1" t="s">
        <v>26</v>
      </c>
      <c r="B86" s="1" t="s">
        <v>345</v>
      </c>
      <c r="C86" s="1" t="s">
        <v>346</v>
      </c>
      <c r="D86" s="1">
        <f t="shared" si="12"/>
        <v>32</v>
      </c>
      <c r="E86" s="1">
        <f t="shared" si="13"/>
        <v>0.10641203703703704</v>
      </c>
      <c r="F86" s="2">
        <f t="shared" si="14"/>
        <v>201.73053637736493</v>
      </c>
      <c r="G86" s="1">
        <v>2080</v>
      </c>
      <c r="H86" s="1">
        <v>3744</v>
      </c>
      <c r="I86" s="1">
        <v>0</v>
      </c>
      <c r="J86" s="1">
        <v>146</v>
      </c>
      <c r="K86" s="1">
        <f t="shared" si="15"/>
        <v>0</v>
      </c>
      <c r="L86" s="1">
        <f t="shared" si="16"/>
        <v>1.2739903846153844</v>
      </c>
      <c r="M86" s="1">
        <f t="shared" si="17"/>
        <v>1.2739903846153844</v>
      </c>
      <c r="N86" s="3">
        <f t="shared" si="18"/>
        <v>13.186912713687311</v>
      </c>
      <c r="O86" s="1">
        <v>924</v>
      </c>
      <c r="P86" s="1">
        <f t="shared" si="19"/>
        <v>948</v>
      </c>
      <c r="Q86" s="1">
        <f t="shared" si="20"/>
        <v>5.1281098931547877</v>
      </c>
      <c r="R86" s="1">
        <f t="shared" si="21"/>
        <v>2.5969274458924887</v>
      </c>
      <c r="S86" s="2">
        <f t="shared" si="22"/>
        <v>11.140820468450219</v>
      </c>
      <c r="T86" s="3">
        <f t="shared" si="23"/>
        <v>0.19444399854803338</v>
      </c>
      <c r="U86" s="4" t="s">
        <v>571</v>
      </c>
    </row>
    <row r="87" spans="1:21" ht="14.25" customHeight="1" x14ac:dyDescent="0.3">
      <c r="A87" s="1" t="s">
        <v>26</v>
      </c>
      <c r="B87" s="1" t="s">
        <v>143</v>
      </c>
      <c r="C87" s="1" t="s">
        <v>144</v>
      </c>
      <c r="D87" s="1">
        <f t="shared" si="12"/>
        <v>32</v>
      </c>
      <c r="E87" s="1">
        <f t="shared" si="13"/>
        <v>0.10972222222222222</v>
      </c>
      <c r="F87" s="2">
        <f t="shared" si="14"/>
        <v>201.75133488428455</v>
      </c>
      <c r="G87" s="1">
        <v>2080</v>
      </c>
      <c r="H87" s="1">
        <v>3744</v>
      </c>
      <c r="I87" s="1">
        <v>0</v>
      </c>
      <c r="J87" s="1">
        <v>120</v>
      </c>
      <c r="K87" s="1">
        <f t="shared" si="15"/>
        <v>0</v>
      </c>
      <c r="L87" s="1">
        <f t="shared" si="16"/>
        <v>1.0471153846153847</v>
      </c>
      <c r="M87" s="1">
        <f t="shared" si="17"/>
        <v>1.0471153846153847</v>
      </c>
      <c r="N87" s="3">
        <f t="shared" si="18"/>
        <v>16.044077134986225</v>
      </c>
      <c r="O87" s="1">
        <v>1552</v>
      </c>
      <c r="P87" s="1">
        <f t="shared" si="19"/>
        <v>320</v>
      </c>
      <c r="Q87" s="1">
        <f t="shared" si="20"/>
        <v>6.2392003700049905</v>
      </c>
      <c r="R87" s="1">
        <f t="shared" si="21"/>
        <v>1.0665299777786308</v>
      </c>
      <c r="S87" s="2">
        <f t="shared" si="22"/>
        <v>3.8031414188661903</v>
      </c>
      <c r="T87" s="3">
        <f t="shared" si="23"/>
        <v>6.6377339678183808E-2</v>
      </c>
      <c r="U87" s="4" t="s">
        <v>571</v>
      </c>
    </row>
    <row r="88" spans="1:21" ht="14.25" customHeight="1" x14ac:dyDescent="0.3">
      <c r="A88" s="1" t="s">
        <v>26</v>
      </c>
      <c r="B88" s="1" t="s">
        <v>115</v>
      </c>
      <c r="C88" s="1" t="s">
        <v>116</v>
      </c>
      <c r="D88" s="1">
        <f t="shared" si="12"/>
        <v>32</v>
      </c>
      <c r="E88" s="1">
        <f t="shared" si="13"/>
        <v>0.1097337962962963</v>
      </c>
      <c r="F88" s="2">
        <f t="shared" si="14"/>
        <v>201.7514076063367</v>
      </c>
      <c r="G88" s="1">
        <v>2080</v>
      </c>
      <c r="H88" s="1">
        <v>3744</v>
      </c>
      <c r="I88" s="1">
        <v>0</v>
      </c>
      <c r="J88" s="1">
        <v>134</v>
      </c>
      <c r="K88" s="1">
        <f t="shared" si="15"/>
        <v>0</v>
      </c>
      <c r="L88" s="1">
        <f t="shared" si="16"/>
        <v>1.1692788461538461</v>
      </c>
      <c r="M88" s="1">
        <f t="shared" si="17"/>
        <v>1.1692788461538461</v>
      </c>
      <c r="N88" s="3">
        <f t="shared" si="18"/>
        <v>14.367830270136919</v>
      </c>
      <c r="O88" s="1">
        <v>1650</v>
      </c>
      <c r="P88" s="1">
        <f t="shared" si="19"/>
        <v>222</v>
      </c>
      <c r="Q88" s="1">
        <f t="shared" si="20"/>
        <v>5.5873436149298428</v>
      </c>
      <c r="R88" s="1">
        <f t="shared" si="21"/>
        <v>0.66260164664232102</v>
      </c>
      <c r="S88" s="2">
        <f t="shared" si="22"/>
        <v>2.6404403125561573</v>
      </c>
      <c r="T88" s="3">
        <f t="shared" si="23"/>
        <v>4.608437715649312E-2</v>
      </c>
      <c r="U88" s="4" t="s">
        <v>571</v>
      </c>
    </row>
    <row r="89" spans="1:21" ht="14.25" customHeight="1" x14ac:dyDescent="0.3">
      <c r="A89" s="1" t="s">
        <v>26</v>
      </c>
      <c r="B89" s="1" t="s">
        <v>36</v>
      </c>
      <c r="C89" s="1" t="s">
        <v>37</v>
      </c>
      <c r="D89" s="1">
        <f t="shared" si="12"/>
        <v>32</v>
      </c>
      <c r="E89" s="1">
        <f t="shared" si="13"/>
        <v>0.10974537037037037</v>
      </c>
      <c r="F89" s="2">
        <f t="shared" si="14"/>
        <v>201.75148032838885</v>
      </c>
      <c r="G89" s="1">
        <v>2080</v>
      </c>
      <c r="H89" s="1">
        <v>3744</v>
      </c>
      <c r="I89" s="1">
        <v>0</v>
      </c>
      <c r="J89" s="1">
        <v>147</v>
      </c>
      <c r="K89" s="1">
        <f t="shared" si="15"/>
        <v>0</v>
      </c>
      <c r="L89" s="1">
        <f t="shared" si="16"/>
        <v>1.282716346153846</v>
      </c>
      <c r="M89" s="1">
        <f t="shared" si="17"/>
        <v>1.282716346153846</v>
      </c>
      <c r="N89" s="3">
        <f t="shared" si="18"/>
        <v>13.097205824478554</v>
      </c>
      <c r="O89" s="1">
        <v>1847</v>
      </c>
      <c r="P89" s="1">
        <f t="shared" si="19"/>
        <v>25</v>
      </c>
      <c r="Q89" s="1">
        <f t="shared" si="20"/>
        <v>5.09322479184081</v>
      </c>
      <c r="R89" s="1">
        <f t="shared" si="21"/>
        <v>6.801849348078004E-2</v>
      </c>
      <c r="S89" s="2">
        <f t="shared" si="22"/>
        <v>0.29755488470040375</v>
      </c>
      <c r="T89" s="3">
        <f t="shared" si="23"/>
        <v>5.1933124434141468E-3</v>
      </c>
      <c r="U89" s="4" t="s">
        <v>571</v>
      </c>
    </row>
    <row r="90" spans="1:21" ht="14.25" customHeight="1" x14ac:dyDescent="0.3">
      <c r="A90" s="1" t="s">
        <v>26</v>
      </c>
      <c r="B90" s="1" t="s">
        <v>533</v>
      </c>
      <c r="C90" s="1" t="s">
        <v>534</v>
      </c>
      <c r="D90" s="1">
        <f t="shared" si="12"/>
        <v>32</v>
      </c>
      <c r="E90" s="1">
        <f t="shared" si="13"/>
        <v>0.13949074074074075</v>
      </c>
      <c r="F90" s="2">
        <f t="shared" si="14"/>
        <v>201.93837600245658</v>
      </c>
      <c r="G90" s="1">
        <v>2080</v>
      </c>
      <c r="H90" s="1">
        <v>3744</v>
      </c>
      <c r="I90" s="1">
        <v>0</v>
      </c>
      <c r="J90" s="1">
        <v>223</v>
      </c>
      <c r="K90" s="1">
        <f t="shared" si="15"/>
        <v>0</v>
      </c>
      <c r="L90" s="1">
        <f t="shared" si="16"/>
        <v>1.945889423076923</v>
      </c>
      <c r="M90" s="1">
        <f t="shared" si="17"/>
        <v>1.945889423076923</v>
      </c>
      <c r="N90" s="3">
        <f t="shared" si="18"/>
        <v>8.6335841085127676</v>
      </c>
      <c r="O90" s="1">
        <v>386</v>
      </c>
      <c r="P90" s="1">
        <f t="shared" si="19"/>
        <v>1486</v>
      </c>
      <c r="Q90" s="1">
        <f t="shared" si="20"/>
        <v>3.3574172394645694</v>
      </c>
      <c r="R90" s="1">
        <f t="shared" si="21"/>
        <v>2.6651292830365119</v>
      </c>
      <c r="S90" s="2">
        <f t="shared" si="22"/>
        <v>17.155104889804004</v>
      </c>
      <c r="T90" s="3">
        <f t="shared" si="23"/>
        <v>0.2994130638520589</v>
      </c>
      <c r="U90" s="4" t="s">
        <v>571</v>
      </c>
    </row>
    <row r="91" spans="1:21" ht="14.25" customHeight="1" x14ac:dyDescent="0.3">
      <c r="A91" s="1" t="s">
        <v>26</v>
      </c>
      <c r="B91" s="1" t="s">
        <v>445</v>
      </c>
      <c r="C91" s="1" t="s">
        <v>446</v>
      </c>
      <c r="D91" s="1">
        <f t="shared" si="12"/>
        <v>32</v>
      </c>
      <c r="E91" s="1">
        <f t="shared" si="13"/>
        <v>0.13950231481481482</v>
      </c>
      <c r="F91" s="2">
        <f t="shared" si="14"/>
        <v>201.93844872450873</v>
      </c>
      <c r="G91" s="1">
        <v>2080</v>
      </c>
      <c r="H91" s="1">
        <v>3744</v>
      </c>
      <c r="I91" s="1">
        <v>0</v>
      </c>
      <c r="J91" s="1">
        <v>247</v>
      </c>
      <c r="K91" s="1">
        <f t="shared" si="15"/>
        <v>0</v>
      </c>
      <c r="L91" s="1">
        <f t="shared" si="16"/>
        <v>2.1553124999999995</v>
      </c>
      <c r="M91" s="1">
        <f t="shared" si="17"/>
        <v>2.1553124999999995</v>
      </c>
      <c r="N91" s="3">
        <f t="shared" si="18"/>
        <v>7.7946933449325817</v>
      </c>
      <c r="O91" s="1">
        <v>751</v>
      </c>
      <c r="P91" s="1">
        <f t="shared" si="19"/>
        <v>1121</v>
      </c>
      <c r="Q91" s="1">
        <f t="shared" si="20"/>
        <v>3.0311904631603204</v>
      </c>
      <c r="R91" s="1">
        <f t="shared" si="21"/>
        <v>1.815151981411709</v>
      </c>
      <c r="S91" s="2">
        <f t="shared" si="22"/>
        <v>13.108855540746784</v>
      </c>
      <c r="T91" s="3">
        <f t="shared" si="23"/>
        <v>0.22879269035433308</v>
      </c>
      <c r="U91" s="4" t="s">
        <v>571</v>
      </c>
    </row>
    <row r="92" spans="1:21" ht="14.25" customHeight="1" x14ac:dyDescent="0.3">
      <c r="A92" s="1" t="s">
        <v>33</v>
      </c>
      <c r="B92" s="1" t="s">
        <v>222</v>
      </c>
      <c r="C92" s="1" t="s">
        <v>223</v>
      </c>
      <c r="D92" s="1">
        <f t="shared" si="12"/>
        <v>32</v>
      </c>
      <c r="E92" s="1">
        <f t="shared" si="13"/>
        <v>0.90234953703703702</v>
      </c>
      <c r="F92" s="2">
        <f t="shared" si="14"/>
        <v>206.73155918279818</v>
      </c>
      <c r="G92" s="1">
        <v>2080</v>
      </c>
      <c r="H92" s="1">
        <v>3744</v>
      </c>
      <c r="I92" s="1">
        <v>0</v>
      </c>
      <c r="J92" s="1">
        <v>171</v>
      </c>
      <c r="K92" s="1">
        <f t="shared" si="15"/>
        <v>0</v>
      </c>
      <c r="L92" s="1">
        <f t="shared" si="16"/>
        <v>1.4921394230769229</v>
      </c>
      <c r="M92" s="1">
        <f t="shared" si="17"/>
        <v>1.4921394230769229</v>
      </c>
      <c r="N92" s="3">
        <f t="shared" si="18"/>
        <v>11.25900149823595</v>
      </c>
      <c r="O92" s="1">
        <v>1226</v>
      </c>
      <c r="P92" s="1">
        <f t="shared" si="19"/>
        <v>646</v>
      </c>
      <c r="Q92" s="1">
        <f t="shared" si="20"/>
        <v>4.378386224564907</v>
      </c>
      <c r="R92" s="1">
        <f t="shared" si="21"/>
        <v>1.5109174685197275</v>
      </c>
      <c r="S92" s="2">
        <f t="shared" si="22"/>
        <v>7.6432241840704549</v>
      </c>
      <c r="T92" s="3">
        <f t="shared" si="23"/>
        <v>0.13339942748008657</v>
      </c>
      <c r="U92" s="4" t="s">
        <v>571</v>
      </c>
    </row>
    <row r="93" spans="1:21" ht="14.25" customHeight="1" x14ac:dyDescent="0.3">
      <c r="A93" s="1" t="s">
        <v>33</v>
      </c>
      <c r="B93" s="1" t="s">
        <v>169</v>
      </c>
      <c r="C93" s="1" t="s">
        <v>170</v>
      </c>
      <c r="D93" s="1">
        <f t="shared" si="12"/>
        <v>32</v>
      </c>
      <c r="E93" s="1">
        <f t="shared" si="13"/>
        <v>0.90236111111111106</v>
      </c>
      <c r="F93" s="2">
        <f t="shared" si="14"/>
        <v>206.73163190485036</v>
      </c>
      <c r="G93" s="1">
        <v>2080</v>
      </c>
      <c r="H93" s="1">
        <v>3744</v>
      </c>
      <c r="I93" s="1">
        <v>0</v>
      </c>
      <c r="J93" s="1">
        <v>149</v>
      </c>
      <c r="K93" s="1">
        <f t="shared" si="15"/>
        <v>0</v>
      </c>
      <c r="L93" s="1">
        <f t="shared" si="16"/>
        <v>1.3001682692307692</v>
      </c>
      <c r="M93" s="1">
        <f t="shared" si="17"/>
        <v>1.3001682692307692</v>
      </c>
      <c r="N93" s="3">
        <f t="shared" si="18"/>
        <v>12.921404404015753</v>
      </c>
      <c r="O93" s="1">
        <v>1414</v>
      </c>
      <c r="P93" s="1">
        <f t="shared" si="19"/>
        <v>458</v>
      </c>
      <c r="Q93" s="1">
        <f t="shared" si="20"/>
        <v>5.0248593583932815</v>
      </c>
      <c r="R93" s="1">
        <f t="shared" si="21"/>
        <v>1.2293726421710058</v>
      </c>
      <c r="S93" s="2">
        <f t="shared" si="22"/>
        <v>5.4348948874000955</v>
      </c>
      <c r="T93" s="3">
        <f t="shared" si="23"/>
        <v>9.4856810284938142E-2</v>
      </c>
      <c r="U93" s="4" t="s">
        <v>571</v>
      </c>
    </row>
    <row r="94" spans="1:21" ht="14.25" customHeight="1" x14ac:dyDescent="0.3">
      <c r="A94" s="1" t="s">
        <v>214</v>
      </c>
      <c r="B94" s="1" t="s">
        <v>517</v>
      </c>
      <c r="C94" s="1" t="s">
        <v>518</v>
      </c>
      <c r="D94" s="1">
        <f t="shared" si="12"/>
        <v>36</v>
      </c>
      <c r="E94" s="1">
        <f t="shared" si="13"/>
        <v>0.95163194444444443</v>
      </c>
      <c r="F94" s="2">
        <f t="shared" si="14"/>
        <v>232.17395090964118</v>
      </c>
      <c r="G94" s="1">
        <v>2080</v>
      </c>
      <c r="H94" s="1">
        <v>3744</v>
      </c>
      <c r="I94" s="1">
        <v>0</v>
      </c>
      <c r="J94" s="1">
        <v>396</v>
      </c>
      <c r="K94" s="1">
        <f t="shared" si="15"/>
        <v>0</v>
      </c>
      <c r="L94" s="1">
        <f t="shared" si="16"/>
        <v>3.455480769230769</v>
      </c>
      <c r="M94" s="1">
        <f t="shared" si="17"/>
        <v>3.455480769230769</v>
      </c>
      <c r="N94" s="3">
        <f t="shared" si="18"/>
        <v>4.861841556056433</v>
      </c>
      <c r="O94" s="1">
        <v>484</v>
      </c>
      <c r="P94" s="1">
        <f t="shared" si="19"/>
        <v>1388</v>
      </c>
      <c r="Q94" s="1">
        <f t="shared" si="20"/>
        <v>1.8906667787893916</v>
      </c>
      <c r="R94" s="1">
        <f t="shared" si="21"/>
        <v>1.4018405389741857</v>
      </c>
      <c r="S94" s="2">
        <f t="shared" si="22"/>
        <v>16.084138762306051</v>
      </c>
      <c r="T94" s="3">
        <f t="shared" si="23"/>
        <v>0.28072117874988622</v>
      </c>
      <c r="U94" s="4" t="s">
        <v>571</v>
      </c>
    </row>
    <row r="95" spans="1:21" ht="14.25" customHeight="1" x14ac:dyDescent="0.3">
      <c r="A95" s="1" t="s">
        <v>214</v>
      </c>
      <c r="B95" s="1" t="s">
        <v>361</v>
      </c>
      <c r="C95" s="1" t="s">
        <v>362</v>
      </c>
      <c r="D95" s="1">
        <f t="shared" si="12"/>
        <v>36</v>
      </c>
      <c r="E95" s="1">
        <f t="shared" si="13"/>
        <v>0.95164351851851858</v>
      </c>
      <c r="F95" s="2">
        <f t="shared" si="14"/>
        <v>232.17402363169333</v>
      </c>
      <c r="G95" s="1">
        <v>2080</v>
      </c>
      <c r="H95" s="1">
        <v>3744</v>
      </c>
      <c r="I95" s="1">
        <v>0</v>
      </c>
      <c r="J95" s="1">
        <v>371</v>
      </c>
      <c r="K95" s="1">
        <f t="shared" si="15"/>
        <v>0</v>
      </c>
      <c r="L95" s="1">
        <f t="shared" si="16"/>
        <v>3.2373317307692306</v>
      </c>
      <c r="M95" s="1">
        <f t="shared" si="17"/>
        <v>3.2373317307692306</v>
      </c>
      <c r="N95" s="3">
        <f t="shared" si="18"/>
        <v>5.1894589115858416</v>
      </c>
      <c r="O95" s="1">
        <v>912</v>
      </c>
      <c r="P95" s="1">
        <f t="shared" si="19"/>
        <v>960</v>
      </c>
      <c r="Q95" s="1">
        <f t="shared" si="20"/>
        <v>2.0180702005406981</v>
      </c>
      <c r="R95" s="1">
        <f t="shared" si="21"/>
        <v>1.0349077951490759</v>
      </c>
      <c r="S95" s="2">
        <f t="shared" si="22"/>
        <v>11.278250506182587</v>
      </c>
      <c r="T95" s="3">
        <f t="shared" si="23"/>
        <v>0.19684260519760324</v>
      </c>
      <c r="U95" s="4" t="s">
        <v>571</v>
      </c>
    </row>
    <row r="96" spans="1:21" ht="14.25" customHeight="1" x14ac:dyDescent="0.3">
      <c r="A96" s="1" t="s">
        <v>214</v>
      </c>
      <c r="B96" s="1" t="s">
        <v>562</v>
      </c>
      <c r="C96" s="1" t="s">
        <v>563</v>
      </c>
      <c r="D96" s="1">
        <f t="shared" si="12"/>
        <v>36</v>
      </c>
      <c r="E96" s="1">
        <f t="shared" si="13"/>
        <v>0.95174768518518515</v>
      </c>
      <c r="F96" s="2">
        <f t="shared" si="14"/>
        <v>232.17467813016282</v>
      </c>
      <c r="G96" s="1">
        <v>2080</v>
      </c>
      <c r="H96" s="1">
        <v>3744</v>
      </c>
      <c r="I96" s="1">
        <v>0</v>
      </c>
      <c r="J96" s="1">
        <v>242</v>
      </c>
      <c r="K96" s="1">
        <f t="shared" si="15"/>
        <v>0</v>
      </c>
      <c r="L96" s="1">
        <f t="shared" si="16"/>
        <v>2.1116826923076921</v>
      </c>
      <c r="M96" s="1">
        <f t="shared" si="17"/>
        <v>2.1116826923076921</v>
      </c>
      <c r="N96" s="3">
        <f t="shared" si="18"/>
        <v>7.9557407280923442</v>
      </c>
      <c r="O96" s="1">
        <v>0</v>
      </c>
      <c r="P96" s="1">
        <f t="shared" si="19"/>
        <v>1872</v>
      </c>
      <c r="Q96" s="1">
        <f t="shared" si="20"/>
        <v>3.0938183652917313</v>
      </c>
      <c r="R96" s="1">
        <f t="shared" si="21"/>
        <v>3.0938183652917313</v>
      </c>
      <c r="S96" s="2">
        <f t="shared" si="22"/>
        <v>21.25</v>
      </c>
      <c r="T96" s="3">
        <f t="shared" si="23"/>
        <v>0.37088246604879505</v>
      </c>
      <c r="U96" s="4" t="s">
        <v>571</v>
      </c>
    </row>
    <row r="97" spans="1:21" ht="14.25" customHeight="1" x14ac:dyDescent="0.3">
      <c r="A97" s="1" t="s">
        <v>26</v>
      </c>
      <c r="B97" s="1" t="s">
        <v>141</v>
      </c>
      <c r="C97" s="1" t="s">
        <v>142</v>
      </c>
      <c r="D97" s="1">
        <f t="shared" si="12"/>
        <v>37</v>
      </c>
      <c r="E97" s="1">
        <f t="shared" si="13"/>
        <v>0.93557870370370377</v>
      </c>
      <c r="F97" s="2">
        <f t="shared" si="14"/>
        <v>238.35627073046592</v>
      </c>
      <c r="G97" s="1">
        <v>2080</v>
      </c>
      <c r="H97" s="1">
        <v>3744</v>
      </c>
      <c r="I97" s="1">
        <v>0</v>
      </c>
      <c r="J97" s="1">
        <v>194</v>
      </c>
      <c r="K97" s="1">
        <f t="shared" si="15"/>
        <v>0</v>
      </c>
      <c r="L97" s="1">
        <f t="shared" si="16"/>
        <v>1.6928365384615385</v>
      </c>
      <c r="M97" s="1">
        <f t="shared" si="17"/>
        <v>1.6928365384615385</v>
      </c>
      <c r="N97" s="3">
        <f t="shared" si="18"/>
        <v>9.9241714237028198</v>
      </c>
      <c r="O97" s="1">
        <v>1558</v>
      </c>
      <c r="P97" s="1">
        <f t="shared" si="19"/>
        <v>314</v>
      </c>
      <c r="Q97" s="1">
        <f t="shared" si="20"/>
        <v>3.8592991979412314</v>
      </c>
      <c r="R97" s="1">
        <f t="shared" si="21"/>
        <v>0.64733971589398853</v>
      </c>
      <c r="S97" s="2">
        <f t="shared" si="22"/>
        <v>3.7320359594527899</v>
      </c>
      <c r="T97" s="3">
        <f t="shared" si="23"/>
        <v>6.5136315295276775E-2</v>
      </c>
      <c r="U97" s="4" t="s">
        <v>571</v>
      </c>
    </row>
    <row r="98" spans="1:21" ht="14.25" customHeight="1" x14ac:dyDescent="0.3">
      <c r="A98" s="1" t="s">
        <v>26</v>
      </c>
      <c r="B98" s="1" t="s">
        <v>88</v>
      </c>
      <c r="C98" s="1" t="s">
        <v>89</v>
      </c>
      <c r="D98" s="1">
        <f t="shared" si="12"/>
        <v>37</v>
      </c>
      <c r="E98" s="1">
        <f t="shared" si="13"/>
        <v>0.9355902777777777</v>
      </c>
      <c r="F98" s="2">
        <f t="shared" si="14"/>
        <v>238.35634345251808</v>
      </c>
      <c r="G98" s="1">
        <v>2080</v>
      </c>
      <c r="H98" s="1">
        <v>3744</v>
      </c>
      <c r="I98" s="1">
        <v>0</v>
      </c>
      <c r="J98" s="1">
        <v>193</v>
      </c>
      <c r="K98" s="1">
        <f t="shared" si="15"/>
        <v>0</v>
      </c>
      <c r="L98" s="1">
        <f t="shared" si="16"/>
        <v>1.6841105769230769</v>
      </c>
      <c r="M98" s="1">
        <f t="shared" si="17"/>
        <v>1.6841105769230769</v>
      </c>
      <c r="N98" s="3">
        <f t="shared" si="18"/>
        <v>9.9755920010277066</v>
      </c>
      <c r="O98" s="1">
        <v>1723</v>
      </c>
      <c r="P98" s="1">
        <f t="shared" si="19"/>
        <v>149</v>
      </c>
      <c r="Q98" s="1">
        <f t="shared" si="20"/>
        <v>3.8792955668424822</v>
      </c>
      <c r="R98" s="1">
        <f t="shared" si="21"/>
        <v>0.30876871766000524</v>
      </c>
      <c r="S98" s="2">
        <f t="shared" si="22"/>
        <v>1.7728770313039055</v>
      </c>
      <c r="T98" s="3">
        <f t="shared" si="23"/>
        <v>3.0942541429235731E-2</v>
      </c>
      <c r="U98" s="4" t="s">
        <v>571</v>
      </c>
    </row>
    <row r="99" spans="1:21" ht="14.25" customHeight="1" x14ac:dyDescent="0.3">
      <c r="A99" s="1" t="s">
        <v>26</v>
      </c>
      <c r="B99" s="1" t="s">
        <v>86</v>
      </c>
      <c r="C99" s="1" t="s">
        <v>87</v>
      </c>
      <c r="D99" s="1">
        <f t="shared" si="12"/>
        <v>37</v>
      </c>
      <c r="E99" s="1">
        <f t="shared" si="13"/>
        <v>0.93560185185185185</v>
      </c>
      <c r="F99" s="2">
        <f t="shared" si="14"/>
        <v>238.35641617457026</v>
      </c>
      <c r="G99" s="1">
        <v>2080</v>
      </c>
      <c r="H99" s="1">
        <v>3744</v>
      </c>
      <c r="I99" s="1">
        <v>0</v>
      </c>
      <c r="J99" s="1">
        <v>210</v>
      </c>
      <c r="K99" s="1">
        <f t="shared" si="15"/>
        <v>0</v>
      </c>
      <c r="L99" s="1">
        <f t="shared" si="16"/>
        <v>1.832451923076923</v>
      </c>
      <c r="M99" s="1">
        <f t="shared" si="17"/>
        <v>1.832451923076923</v>
      </c>
      <c r="N99" s="3">
        <f t="shared" si="18"/>
        <v>9.1680440771349865</v>
      </c>
      <c r="O99" s="1">
        <v>1727</v>
      </c>
      <c r="P99" s="1">
        <f t="shared" si="19"/>
        <v>145</v>
      </c>
      <c r="Q99" s="1">
        <f t="shared" si="20"/>
        <v>3.5652573542885664</v>
      </c>
      <c r="R99" s="1">
        <f t="shared" si="21"/>
        <v>0.27615508353196694</v>
      </c>
      <c r="S99" s="2">
        <f t="shared" si="22"/>
        <v>1.7253121789456114</v>
      </c>
      <c r="T99" s="3">
        <f t="shared" si="23"/>
        <v>3.0112378147358509E-2</v>
      </c>
      <c r="U99" s="4" t="s">
        <v>571</v>
      </c>
    </row>
    <row r="100" spans="1:21" ht="14.25" customHeight="1" x14ac:dyDescent="0.3">
      <c r="A100" s="1" t="s">
        <v>26</v>
      </c>
      <c r="B100" s="1" t="s">
        <v>487</v>
      </c>
      <c r="C100" s="1" t="s">
        <v>488</v>
      </c>
      <c r="D100" s="1">
        <f t="shared" si="12"/>
        <v>37</v>
      </c>
      <c r="E100" s="1">
        <f t="shared" si="13"/>
        <v>0.96528935185185183</v>
      </c>
      <c r="F100" s="2">
        <f t="shared" si="14"/>
        <v>238.54294823837714</v>
      </c>
      <c r="G100" s="1">
        <v>2080</v>
      </c>
      <c r="H100" s="1">
        <v>3744</v>
      </c>
      <c r="I100" s="1">
        <v>0</v>
      </c>
      <c r="J100" s="1">
        <v>170</v>
      </c>
      <c r="K100" s="1">
        <f t="shared" si="15"/>
        <v>0</v>
      </c>
      <c r="L100" s="1">
        <f t="shared" si="16"/>
        <v>1.4834134615384613</v>
      </c>
      <c r="M100" s="1">
        <f t="shared" si="17"/>
        <v>1.4834134615384613</v>
      </c>
      <c r="N100" s="3">
        <f t="shared" si="18"/>
        <v>11.325230918813809</v>
      </c>
      <c r="O100" s="1">
        <v>625</v>
      </c>
      <c r="P100" s="1">
        <f t="shared" si="19"/>
        <v>1247</v>
      </c>
      <c r="Q100" s="1">
        <f t="shared" si="20"/>
        <v>4.4041414376505825</v>
      </c>
      <c r="R100" s="1">
        <f t="shared" si="21"/>
        <v>2.9337416521101902</v>
      </c>
      <c r="S100" s="2">
        <f t="shared" si="22"/>
        <v>14.522938273980737</v>
      </c>
      <c r="T100" s="3">
        <f t="shared" si="23"/>
        <v>0.25347308994486617</v>
      </c>
      <c r="U100" s="4" t="s">
        <v>571</v>
      </c>
    </row>
    <row r="101" spans="1:21" ht="14.25" customHeight="1" x14ac:dyDescent="0.3">
      <c r="A101" s="1" t="s">
        <v>26</v>
      </c>
      <c r="B101" s="1" t="s">
        <v>479</v>
      </c>
      <c r="C101" s="1" t="s">
        <v>480</v>
      </c>
      <c r="D101" s="1">
        <f t="shared" si="12"/>
        <v>37</v>
      </c>
      <c r="E101" s="1">
        <f t="shared" si="13"/>
        <v>0.96530092592592587</v>
      </c>
      <c r="F101" s="2">
        <f t="shared" si="14"/>
        <v>238.54302096042932</v>
      </c>
      <c r="G101" s="1">
        <v>2080</v>
      </c>
      <c r="H101" s="1">
        <v>3744</v>
      </c>
      <c r="I101" s="1">
        <v>0</v>
      </c>
      <c r="J101" s="1">
        <v>151</v>
      </c>
      <c r="K101" s="1">
        <f t="shared" si="15"/>
        <v>0</v>
      </c>
      <c r="L101" s="1">
        <f t="shared" si="16"/>
        <v>1.3176201923076922</v>
      </c>
      <c r="M101" s="1">
        <f t="shared" si="17"/>
        <v>1.3176201923076922</v>
      </c>
      <c r="N101" s="3">
        <f t="shared" si="18"/>
        <v>12.750259974823493</v>
      </c>
      <c r="O101" s="1">
        <v>682</v>
      </c>
      <c r="P101" s="1">
        <f t="shared" si="19"/>
        <v>1190</v>
      </c>
      <c r="Q101" s="1">
        <f t="shared" si="20"/>
        <v>4.9583049298052915</v>
      </c>
      <c r="R101" s="1">
        <f t="shared" si="21"/>
        <v>3.1519139243954575</v>
      </c>
      <c r="S101" s="2">
        <f t="shared" si="22"/>
        <v>13.885363344812609</v>
      </c>
      <c r="T101" s="3">
        <f t="shared" si="23"/>
        <v>0.24234530820271272</v>
      </c>
      <c r="U101" s="4" t="s">
        <v>571</v>
      </c>
    </row>
    <row r="102" spans="1:21" ht="14.25" customHeight="1" x14ac:dyDescent="0.3">
      <c r="A102" s="1" t="s">
        <v>26</v>
      </c>
      <c r="B102" s="1" t="s">
        <v>447</v>
      </c>
      <c r="C102" s="1" t="s">
        <v>448</v>
      </c>
      <c r="D102" s="1">
        <f t="shared" si="12"/>
        <v>37</v>
      </c>
      <c r="E102" s="1">
        <f t="shared" si="13"/>
        <v>0.96531250000000002</v>
      </c>
      <c r="F102" s="2">
        <f t="shared" si="14"/>
        <v>238.5430936824815</v>
      </c>
      <c r="G102" s="1">
        <v>2080</v>
      </c>
      <c r="H102" s="1">
        <v>3744</v>
      </c>
      <c r="I102" s="1">
        <v>0</v>
      </c>
      <c r="J102" s="1">
        <v>156</v>
      </c>
      <c r="K102" s="1">
        <f t="shared" si="15"/>
        <v>0</v>
      </c>
      <c r="L102" s="1">
        <f t="shared" si="16"/>
        <v>1.3612499999999998</v>
      </c>
      <c r="M102" s="1">
        <f t="shared" si="17"/>
        <v>1.3612499999999998</v>
      </c>
      <c r="N102" s="3">
        <f t="shared" si="18"/>
        <v>12.341597796143253</v>
      </c>
      <c r="O102" s="1">
        <v>751</v>
      </c>
      <c r="P102" s="1">
        <f t="shared" si="19"/>
        <v>1121</v>
      </c>
      <c r="Q102" s="1">
        <f t="shared" si="20"/>
        <v>4.7993849000038402</v>
      </c>
      <c r="R102" s="1">
        <f t="shared" si="21"/>
        <v>2.8739906372352055</v>
      </c>
      <c r="S102" s="2">
        <f t="shared" si="22"/>
        <v>13.108855540746786</v>
      </c>
      <c r="T102" s="3">
        <f t="shared" si="23"/>
        <v>0.22879269035433311</v>
      </c>
      <c r="U102" s="4" t="s">
        <v>571</v>
      </c>
    </row>
    <row r="103" spans="1:21" ht="14.25" customHeight="1" x14ac:dyDescent="0.3">
      <c r="A103" s="1" t="s">
        <v>26</v>
      </c>
      <c r="B103" s="1" t="s">
        <v>483</v>
      </c>
      <c r="C103" s="1" t="s">
        <v>484</v>
      </c>
      <c r="D103" s="1">
        <f t="shared" si="12"/>
        <v>37</v>
      </c>
      <c r="E103" s="1">
        <f t="shared" si="13"/>
        <v>0.9693518518518518</v>
      </c>
      <c r="F103" s="2">
        <f t="shared" si="14"/>
        <v>238.56847367868758</v>
      </c>
      <c r="G103" s="1">
        <v>2080</v>
      </c>
      <c r="H103" s="1">
        <v>3744</v>
      </c>
      <c r="I103" s="1">
        <v>0</v>
      </c>
      <c r="J103" s="1">
        <v>183</v>
      </c>
      <c r="K103" s="1">
        <f t="shared" si="15"/>
        <v>0</v>
      </c>
      <c r="L103" s="1">
        <f t="shared" si="16"/>
        <v>1.5968509615384614</v>
      </c>
      <c r="M103" s="1">
        <f t="shared" si="17"/>
        <v>1.5968509615384614</v>
      </c>
      <c r="N103" s="3">
        <f t="shared" si="18"/>
        <v>10.520706318023755</v>
      </c>
      <c r="O103" s="1">
        <v>642</v>
      </c>
      <c r="P103" s="1">
        <f t="shared" si="19"/>
        <v>1230</v>
      </c>
      <c r="Q103" s="1">
        <f t="shared" si="20"/>
        <v>4.0912789311508142</v>
      </c>
      <c r="R103" s="1">
        <f t="shared" si="21"/>
        <v>2.6881800669420413</v>
      </c>
      <c r="S103" s="2">
        <f t="shared" si="22"/>
        <v>14.333161104886836</v>
      </c>
      <c r="T103" s="3">
        <f t="shared" si="23"/>
        <v>0.25016085349906358</v>
      </c>
      <c r="U103" s="4" t="s">
        <v>571</v>
      </c>
    </row>
    <row r="104" spans="1:21" ht="14.25" customHeight="1" x14ac:dyDescent="0.3">
      <c r="A104" s="1" t="s">
        <v>26</v>
      </c>
      <c r="B104" s="1" t="s">
        <v>443</v>
      </c>
      <c r="C104" s="1" t="s">
        <v>444</v>
      </c>
      <c r="D104" s="1">
        <f t="shared" si="12"/>
        <v>37</v>
      </c>
      <c r="E104" s="1">
        <f t="shared" si="13"/>
        <v>0.96936342592592595</v>
      </c>
      <c r="F104" s="2">
        <f t="shared" si="14"/>
        <v>238.56854640073973</v>
      </c>
      <c r="G104" s="1">
        <v>2080</v>
      </c>
      <c r="H104" s="1">
        <v>3744</v>
      </c>
      <c r="I104" s="1">
        <v>0</v>
      </c>
      <c r="J104" s="1">
        <v>125</v>
      </c>
      <c r="K104" s="1">
        <f t="shared" si="15"/>
        <v>0</v>
      </c>
      <c r="L104" s="1">
        <f t="shared" si="16"/>
        <v>1.0907451923076923</v>
      </c>
      <c r="M104" s="1">
        <f t="shared" si="17"/>
        <v>1.0907451923076923</v>
      </c>
      <c r="N104" s="3">
        <f t="shared" si="18"/>
        <v>15.402314049586778</v>
      </c>
      <c r="O104" s="1">
        <v>753</v>
      </c>
      <c r="P104" s="1">
        <f t="shared" si="19"/>
        <v>1119</v>
      </c>
      <c r="Q104" s="1">
        <f t="shared" si="20"/>
        <v>5.9896323552047921</v>
      </c>
      <c r="R104" s="1">
        <f t="shared" si="21"/>
        <v>3.5803411354028642</v>
      </c>
      <c r="S104" s="2">
        <f t="shared" si="22"/>
        <v>13.086273351535603</v>
      </c>
      <c r="T104" s="3">
        <f t="shared" si="23"/>
        <v>0.22839855680028961</v>
      </c>
      <c r="U104" s="4" t="s">
        <v>571</v>
      </c>
    </row>
    <row r="105" spans="1:21" ht="14.25" customHeight="1" x14ac:dyDescent="0.3">
      <c r="A105" s="1" t="s">
        <v>26</v>
      </c>
      <c r="B105" s="1" t="s">
        <v>397</v>
      </c>
      <c r="C105" s="1" t="s">
        <v>398</v>
      </c>
      <c r="D105" s="1">
        <f t="shared" si="12"/>
        <v>37</v>
      </c>
      <c r="E105" s="1">
        <f t="shared" si="13"/>
        <v>0.96937499999999999</v>
      </c>
      <c r="F105" s="2">
        <f t="shared" si="14"/>
        <v>238.56861912279189</v>
      </c>
      <c r="G105" s="1">
        <v>2080</v>
      </c>
      <c r="H105" s="1">
        <v>3744</v>
      </c>
      <c r="I105" s="1">
        <v>0</v>
      </c>
      <c r="J105" s="1">
        <v>172</v>
      </c>
      <c r="K105" s="1">
        <f t="shared" si="15"/>
        <v>0</v>
      </c>
      <c r="L105" s="1">
        <f t="shared" si="16"/>
        <v>1.5008653846153845</v>
      </c>
      <c r="M105" s="1">
        <f t="shared" si="17"/>
        <v>1.5008653846153845</v>
      </c>
      <c r="N105" s="3">
        <f t="shared" si="18"/>
        <v>11.193542187199693</v>
      </c>
      <c r="O105" s="1">
        <v>863</v>
      </c>
      <c r="P105" s="1">
        <f t="shared" si="19"/>
        <v>1009</v>
      </c>
      <c r="Q105" s="1">
        <f t="shared" si="20"/>
        <v>4.3529304907011568</v>
      </c>
      <c r="R105" s="1">
        <f t="shared" si="21"/>
        <v>2.3462109322208691</v>
      </c>
      <c r="S105" s="2">
        <f t="shared" si="22"/>
        <v>11.838045196253219</v>
      </c>
      <c r="T105" s="3">
        <f t="shared" si="23"/>
        <v>0.20661286567451698</v>
      </c>
      <c r="U105" s="4" t="s">
        <v>571</v>
      </c>
    </row>
    <row r="106" spans="1:21" ht="14.25" customHeight="1" x14ac:dyDescent="0.3">
      <c r="A106" s="1" t="s">
        <v>26</v>
      </c>
      <c r="B106" s="1" t="s">
        <v>539</v>
      </c>
      <c r="C106" s="1" t="s">
        <v>540</v>
      </c>
      <c r="D106" s="1">
        <f t="shared" si="12"/>
        <v>37</v>
      </c>
      <c r="E106" s="1">
        <f t="shared" si="13"/>
        <v>0.96946759259259263</v>
      </c>
      <c r="F106" s="2">
        <f t="shared" si="14"/>
        <v>238.56920089920925</v>
      </c>
      <c r="G106" s="1">
        <v>2080</v>
      </c>
      <c r="H106" s="1">
        <v>3744</v>
      </c>
      <c r="I106" s="1">
        <v>0</v>
      </c>
      <c r="J106" s="1">
        <v>210</v>
      </c>
      <c r="K106" s="1">
        <f t="shared" si="15"/>
        <v>0</v>
      </c>
      <c r="L106" s="1">
        <f t="shared" si="16"/>
        <v>1.832451923076923</v>
      </c>
      <c r="M106" s="1">
        <f t="shared" si="17"/>
        <v>1.832451923076923</v>
      </c>
      <c r="N106" s="3">
        <f t="shared" si="18"/>
        <v>9.1680440771349865</v>
      </c>
      <c r="O106" s="1">
        <v>343</v>
      </c>
      <c r="P106" s="1">
        <f t="shared" si="19"/>
        <v>1529</v>
      </c>
      <c r="Q106" s="1">
        <f t="shared" si="20"/>
        <v>3.5652573542885664</v>
      </c>
      <c r="R106" s="1">
        <f t="shared" si="21"/>
        <v>2.9120077428991546</v>
      </c>
      <c r="S106" s="2">
        <f t="shared" si="22"/>
        <v>17.621193135663813</v>
      </c>
      <c r="T106" s="3">
        <f t="shared" si="23"/>
        <v>0.30754783834715738</v>
      </c>
      <c r="U106" s="4" t="s">
        <v>571</v>
      </c>
    </row>
    <row r="107" spans="1:21" ht="14.25" customHeight="1" x14ac:dyDescent="0.3">
      <c r="A107" s="1" t="s">
        <v>26</v>
      </c>
      <c r="B107" s="1" t="s">
        <v>558</v>
      </c>
      <c r="C107" s="1" t="s">
        <v>559</v>
      </c>
      <c r="D107" s="1">
        <f t="shared" si="12"/>
        <v>37</v>
      </c>
      <c r="E107" s="1">
        <f t="shared" si="13"/>
        <v>0.96947916666666656</v>
      </c>
      <c r="F107" s="2">
        <f t="shared" si="14"/>
        <v>238.5692736212614</v>
      </c>
      <c r="G107" s="1">
        <v>2080</v>
      </c>
      <c r="H107" s="1">
        <v>3744</v>
      </c>
      <c r="I107" s="1">
        <v>0</v>
      </c>
      <c r="J107" s="1">
        <v>229</v>
      </c>
      <c r="K107" s="1">
        <f t="shared" si="15"/>
        <v>0</v>
      </c>
      <c r="L107" s="1">
        <f t="shared" si="16"/>
        <v>1.998245192307692</v>
      </c>
      <c r="M107" s="1">
        <f t="shared" si="17"/>
        <v>1.998245192307692</v>
      </c>
      <c r="N107" s="3">
        <f t="shared" si="18"/>
        <v>8.407376664621605</v>
      </c>
      <c r="O107" s="1">
        <v>55</v>
      </c>
      <c r="P107" s="1">
        <f t="shared" si="19"/>
        <v>1817</v>
      </c>
      <c r="Q107" s="1">
        <f t="shared" si="20"/>
        <v>3.2694499755484676</v>
      </c>
      <c r="R107" s="1">
        <f t="shared" si="21"/>
        <v>3.1733924175061783</v>
      </c>
      <c r="S107" s="2">
        <f t="shared" si="22"/>
        <v>20.67918176856994</v>
      </c>
      <c r="T107" s="3">
        <f t="shared" si="23"/>
        <v>0.36091980847992949</v>
      </c>
      <c r="U107" s="4" t="s">
        <v>571</v>
      </c>
    </row>
    <row r="108" spans="1:21" ht="14.25" customHeight="1" x14ac:dyDescent="0.3">
      <c r="A108" s="1" t="s">
        <v>48</v>
      </c>
      <c r="B108" s="1" t="s">
        <v>550</v>
      </c>
      <c r="C108" s="1" t="s">
        <v>551</v>
      </c>
      <c r="D108" s="1">
        <f t="shared" si="12"/>
        <v>39</v>
      </c>
      <c r="E108" s="1">
        <f t="shared" si="13"/>
        <v>4.760416666666667E-2</v>
      </c>
      <c r="F108" s="2">
        <f t="shared" si="14"/>
        <v>245.3433327805644</v>
      </c>
      <c r="G108" s="1">
        <v>2080</v>
      </c>
      <c r="H108" s="1">
        <v>3744</v>
      </c>
      <c r="I108" s="1">
        <v>0</v>
      </c>
      <c r="J108" s="1">
        <v>266</v>
      </c>
      <c r="K108" s="1">
        <f t="shared" si="15"/>
        <v>0</v>
      </c>
      <c r="L108" s="1">
        <f t="shared" si="16"/>
        <v>2.3211057692307691</v>
      </c>
      <c r="M108" s="1">
        <f t="shared" si="17"/>
        <v>2.3211057692307691</v>
      </c>
      <c r="N108" s="3">
        <f t="shared" si="18"/>
        <v>7.2379295345802532</v>
      </c>
      <c r="O108" s="1">
        <v>208</v>
      </c>
      <c r="P108" s="1">
        <f t="shared" si="19"/>
        <v>1664</v>
      </c>
      <c r="Q108" s="1">
        <f t="shared" si="20"/>
        <v>2.8146768586488684</v>
      </c>
      <c r="R108" s="1">
        <f t="shared" si="21"/>
        <v>2.5019349854656605</v>
      </c>
      <c r="S108" s="2">
        <f t="shared" si="22"/>
        <v>19.068731458013961</v>
      </c>
      <c r="T108" s="3">
        <f t="shared" si="23"/>
        <v>0.33281214812096249</v>
      </c>
      <c r="U108" s="4" t="s">
        <v>571</v>
      </c>
    </row>
    <row r="109" spans="1:21" ht="14.25" customHeight="1" x14ac:dyDescent="0.3">
      <c r="A109" s="1" t="s">
        <v>48</v>
      </c>
      <c r="B109" s="1" t="s">
        <v>537</v>
      </c>
      <c r="C109" s="1" t="s">
        <v>538</v>
      </c>
      <c r="D109" s="1">
        <f t="shared" si="12"/>
        <v>39</v>
      </c>
      <c r="E109" s="1">
        <f t="shared" si="13"/>
        <v>4.7615740740740743E-2</v>
      </c>
      <c r="F109" s="2">
        <f t="shared" si="14"/>
        <v>245.34340550261655</v>
      </c>
      <c r="G109" s="1">
        <v>2080</v>
      </c>
      <c r="H109" s="1">
        <v>3744</v>
      </c>
      <c r="I109" s="1">
        <v>0</v>
      </c>
      <c r="J109" s="1">
        <v>247</v>
      </c>
      <c r="K109" s="1">
        <f t="shared" si="15"/>
        <v>0</v>
      </c>
      <c r="L109" s="1">
        <f t="shared" si="16"/>
        <v>2.1553124999999995</v>
      </c>
      <c r="M109" s="1">
        <f t="shared" si="17"/>
        <v>2.1553124999999995</v>
      </c>
      <c r="N109" s="3">
        <f t="shared" si="18"/>
        <v>7.7946933449325817</v>
      </c>
      <c r="O109" s="1">
        <v>363</v>
      </c>
      <c r="P109" s="1">
        <f t="shared" si="19"/>
        <v>1509</v>
      </c>
      <c r="Q109" s="1">
        <f t="shared" si="20"/>
        <v>3.0311904631603204</v>
      </c>
      <c r="R109" s="1">
        <f t="shared" si="21"/>
        <v>2.443411543220579</v>
      </c>
      <c r="S109" s="2">
        <f t="shared" si="22"/>
        <v>17.404703358915707</v>
      </c>
      <c r="T109" s="3">
        <f t="shared" si="23"/>
        <v>0.30376937894599548</v>
      </c>
      <c r="U109" s="4" t="s">
        <v>571</v>
      </c>
    </row>
    <row r="110" spans="1:21" ht="14.25" customHeight="1" x14ac:dyDescent="0.3">
      <c r="A110" s="1" t="s">
        <v>48</v>
      </c>
      <c r="B110" s="1" t="s">
        <v>499</v>
      </c>
      <c r="C110" s="1" t="s">
        <v>500</v>
      </c>
      <c r="D110" s="1">
        <f t="shared" si="12"/>
        <v>39</v>
      </c>
      <c r="E110" s="1">
        <f t="shared" si="13"/>
        <v>4.762731481481481E-2</v>
      </c>
      <c r="F110" s="2">
        <f t="shared" si="14"/>
        <v>245.34347822466876</v>
      </c>
      <c r="G110" s="1">
        <v>2080</v>
      </c>
      <c r="H110" s="1">
        <v>3744</v>
      </c>
      <c r="I110" s="1">
        <v>0</v>
      </c>
      <c r="J110" s="1">
        <v>240</v>
      </c>
      <c r="K110" s="1">
        <f t="shared" si="15"/>
        <v>0</v>
      </c>
      <c r="L110" s="1">
        <f t="shared" si="16"/>
        <v>2.0942307692307693</v>
      </c>
      <c r="M110" s="1">
        <f t="shared" si="17"/>
        <v>2.0942307692307693</v>
      </c>
      <c r="N110" s="3">
        <f t="shared" si="18"/>
        <v>8.0220385674931123</v>
      </c>
      <c r="O110" s="1">
        <v>582</v>
      </c>
      <c r="P110" s="1">
        <f t="shared" si="19"/>
        <v>1290</v>
      </c>
      <c r="Q110" s="1">
        <f t="shared" si="20"/>
        <v>3.1196001850024953</v>
      </c>
      <c r="R110" s="1">
        <f t="shared" si="21"/>
        <v>2.1497244864600527</v>
      </c>
      <c r="S110" s="2">
        <f t="shared" si="22"/>
        <v>15.001504225400424</v>
      </c>
      <c r="T110" s="3">
        <f t="shared" si="23"/>
        <v>0.26182564148507897</v>
      </c>
      <c r="U110" s="4" t="s">
        <v>571</v>
      </c>
    </row>
    <row r="111" spans="1:21" ht="14.25" customHeight="1" x14ac:dyDescent="0.3">
      <c r="A111" s="1" t="s">
        <v>48</v>
      </c>
      <c r="B111" s="1" t="s">
        <v>98</v>
      </c>
      <c r="C111" s="1" t="s">
        <v>99</v>
      </c>
      <c r="D111" s="1">
        <f t="shared" si="12"/>
        <v>39</v>
      </c>
      <c r="E111" s="1">
        <f t="shared" si="13"/>
        <v>4.7685185185185185E-2</v>
      </c>
      <c r="F111" s="2">
        <f t="shared" si="14"/>
        <v>245.34384183492958</v>
      </c>
      <c r="G111" s="1">
        <v>2080</v>
      </c>
      <c r="H111" s="1">
        <v>3744</v>
      </c>
      <c r="I111" s="1">
        <v>0</v>
      </c>
      <c r="J111" s="1">
        <v>221</v>
      </c>
      <c r="K111" s="1">
        <f t="shared" si="15"/>
        <v>0</v>
      </c>
      <c r="L111" s="1">
        <f t="shared" si="16"/>
        <v>1.9284374999999998</v>
      </c>
      <c r="M111" s="1">
        <f t="shared" si="17"/>
        <v>1.9284374999999998</v>
      </c>
      <c r="N111" s="3">
        <f t="shared" si="18"/>
        <v>8.7117160913952372</v>
      </c>
      <c r="O111" s="1">
        <v>1699</v>
      </c>
      <c r="P111" s="1">
        <f t="shared" si="19"/>
        <v>173</v>
      </c>
      <c r="Q111" s="1">
        <f t="shared" si="20"/>
        <v>3.3878011058850634</v>
      </c>
      <c r="R111" s="1">
        <f t="shared" si="21"/>
        <v>0.31308204664429273</v>
      </c>
      <c r="S111" s="2">
        <f t="shared" si="22"/>
        <v>2.0582125287081681</v>
      </c>
      <c r="T111" s="3">
        <f t="shared" si="23"/>
        <v>3.5922585331755845E-2</v>
      </c>
      <c r="U111" s="4" t="s">
        <v>571</v>
      </c>
    </row>
    <row r="112" spans="1:21" ht="14.25" customHeight="1" x14ac:dyDescent="0.3">
      <c r="A112" s="1" t="s">
        <v>48</v>
      </c>
      <c r="B112" s="1" t="s">
        <v>63</v>
      </c>
      <c r="C112" s="1" t="s">
        <v>64</v>
      </c>
      <c r="D112" s="1">
        <f t="shared" si="12"/>
        <v>39</v>
      </c>
      <c r="E112" s="1">
        <f t="shared" si="13"/>
        <v>4.7696759259259258E-2</v>
      </c>
      <c r="F112" s="2">
        <f t="shared" si="14"/>
        <v>245.34391455698173</v>
      </c>
      <c r="G112" s="1">
        <v>2080</v>
      </c>
      <c r="H112" s="1">
        <v>3744</v>
      </c>
      <c r="I112" s="1">
        <v>0</v>
      </c>
      <c r="J112" s="1">
        <v>224</v>
      </c>
      <c r="K112" s="1">
        <f t="shared" si="15"/>
        <v>0</v>
      </c>
      <c r="L112" s="1">
        <f t="shared" si="16"/>
        <v>1.9546153846153844</v>
      </c>
      <c r="M112" s="1">
        <f t="shared" si="17"/>
        <v>1.9546153846153844</v>
      </c>
      <c r="N112" s="3">
        <f t="shared" si="18"/>
        <v>8.5950413223140512</v>
      </c>
      <c r="O112" s="1">
        <v>1789</v>
      </c>
      <c r="P112" s="1">
        <f t="shared" si="19"/>
        <v>83</v>
      </c>
      <c r="Q112" s="1">
        <f t="shared" si="20"/>
        <v>3.3424287696455317</v>
      </c>
      <c r="R112" s="1">
        <f t="shared" si="21"/>
        <v>0.14819529267124953</v>
      </c>
      <c r="S112" s="2">
        <f t="shared" si="22"/>
        <v>0.98779322094092237</v>
      </c>
      <c r="T112" s="3">
        <f t="shared" si="23"/>
        <v>1.7240244034298895E-2</v>
      </c>
      <c r="U112" s="4" t="s">
        <v>571</v>
      </c>
    </row>
    <row r="113" spans="1:22" ht="14.25" customHeight="1" x14ac:dyDescent="0.3">
      <c r="A113" s="1" t="s">
        <v>48</v>
      </c>
      <c r="B113" s="1" t="s">
        <v>49</v>
      </c>
      <c r="C113" s="1" t="s">
        <v>50</v>
      </c>
      <c r="D113" s="1">
        <f t="shared" si="12"/>
        <v>39</v>
      </c>
      <c r="E113" s="1">
        <f t="shared" si="13"/>
        <v>4.7708333333333332E-2</v>
      </c>
      <c r="F113" s="2">
        <f t="shared" si="14"/>
        <v>245.34398727903388</v>
      </c>
      <c r="G113" s="1">
        <v>2080</v>
      </c>
      <c r="H113" s="1">
        <v>3744</v>
      </c>
      <c r="I113" s="1">
        <v>0</v>
      </c>
      <c r="J113" s="1">
        <v>219</v>
      </c>
      <c r="K113" s="1">
        <f t="shared" si="15"/>
        <v>0</v>
      </c>
      <c r="L113" s="1">
        <f t="shared" si="16"/>
        <v>1.9109855769230768</v>
      </c>
      <c r="M113" s="1">
        <f t="shared" si="17"/>
        <v>1.9109855769230768</v>
      </c>
      <c r="N113" s="3">
        <f t="shared" si="18"/>
        <v>8.7912751424582076</v>
      </c>
      <c r="O113" s="1">
        <v>1824</v>
      </c>
      <c r="P113" s="1">
        <f t="shared" si="19"/>
        <v>48</v>
      </c>
      <c r="Q113" s="1">
        <f t="shared" si="20"/>
        <v>3.4187399287698588</v>
      </c>
      <c r="R113" s="1">
        <f t="shared" si="21"/>
        <v>8.7659998173586121E-2</v>
      </c>
      <c r="S113" s="2">
        <f t="shared" si="22"/>
        <v>0.57129158160081117</v>
      </c>
      <c r="T113" s="3">
        <f t="shared" si="23"/>
        <v>9.9709190878600126E-3</v>
      </c>
      <c r="U113" s="4" t="s">
        <v>571</v>
      </c>
    </row>
    <row r="114" spans="1:22" ht="14.25" customHeight="1" x14ac:dyDescent="0.3">
      <c r="A114" s="1" t="s">
        <v>192</v>
      </c>
      <c r="B114" s="1" t="s">
        <v>387</v>
      </c>
      <c r="C114" s="1" t="s">
        <v>388</v>
      </c>
      <c r="D114" s="1">
        <f t="shared" si="12"/>
        <v>42</v>
      </c>
      <c r="E114" s="1">
        <f t="shared" si="13"/>
        <v>0.28312500000000002</v>
      </c>
      <c r="F114" s="2">
        <f t="shared" si="14"/>
        <v>265.67270974163785</v>
      </c>
      <c r="G114" s="1">
        <v>2080</v>
      </c>
      <c r="H114" s="1">
        <v>3744</v>
      </c>
      <c r="I114" s="1">
        <v>0</v>
      </c>
      <c r="J114" s="1">
        <v>157</v>
      </c>
      <c r="K114" s="1">
        <f t="shared" si="15"/>
        <v>0</v>
      </c>
      <c r="L114" s="1">
        <f t="shared" si="16"/>
        <v>1.3699759615384615</v>
      </c>
      <c r="M114" s="1">
        <f t="shared" si="17"/>
        <v>1.3699759615384615</v>
      </c>
      <c r="N114" s="3">
        <f t="shared" si="18"/>
        <v>12.262988892983104</v>
      </c>
      <c r="O114" s="1">
        <v>877</v>
      </c>
      <c r="P114" s="1">
        <f t="shared" si="19"/>
        <v>995</v>
      </c>
      <c r="Q114" s="1">
        <f t="shared" si="20"/>
        <v>4.7688155694305667</v>
      </c>
      <c r="R114" s="1">
        <f t="shared" si="21"/>
        <v>2.5347069933672084</v>
      </c>
      <c r="S114" s="2">
        <f t="shared" si="22"/>
        <v>11.678332811850339</v>
      </c>
      <c r="T114" s="3">
        <f t="shared" si="23"/>
        <v>0.20382535871047588</v>
      </c>
      <c r="U114" s="4" t="s">
        <v>571</v>
      </c>
    </row>
    <row r="115" spans="1:22" ht="14.25" customHeight="1" x14ac:dyDescent="0.3">
      <c r="A115" s="1" t="s">
        <v>192</v>
      </c>
      <c r="B115" s="1" t="s">
        <v>264</v>
      </c>
      <c r="C115" s="1" t="s">
        <v>265</v>
      </c>
      <c r="D115" s="1">
        <f t="shared" si="12"/>
        <v>42</v>
      </c>
      <c r="E115" s="1">
        <f t="shared" si="13"/>
        <v>0.28313657407407405</v>
      </c>
      <c r="F115" s="2">
        <f t="shared" si="14"/>
        <v>265.67278246369</v>
      </c>
      <c r="G115" s="1">
        <v>2080</v>
      </c>
      <c r="H115" s="1">
        <v>3744</v>
      </c>
      <c r="I115" s="1">
        <v>0</v>
      </c>
      <c r="J115" s="1">
        <v>151</v>
      </c>
      <c r="K115" s="1">
        <f t="shared" si="15"/>
        <v>0</v>
      </c>
      <c r="L115" s="1">
        <f t="shared" si="16"/>
        <v>1.3176201923076922</v>
      </c>
      <c r="M115" s="1">
        <f t="shared" si="17"/>
        <v>1.3176201923076922</v>
      </c>
      <c r="N115" s="3">
        <f t="shared" si="18"/>
        <v>12.750259974823493</v>
      </c>
      <c r="O115" s="1">
        <v>1108</v>
      </c>
      <c r="P115" s="1">
        <f t="shared" si="19"/>
        <v>764</v>
      </c>
      <c r="Q115" s="1">
        <f t="shared" si="20"/>
        <v>4.9583049298052915</v>
      </c>
      <c r="R115" s="1">
        <f t="shared" si="21"/>
        <v>2.023581712805151</v>
      </c>
      <c r="S115" s="2">
        <f t="shared" si="22"/>
        <v>9.0181429943642204</v>
      </c>
      <c r="T115" s="3">
        <f t="shared" si="23"/>
        <v>0.15739628766731609</v>
      </c>
      <c r="U115" s="4" t="s">
        <v>571</v>
      </c>
    </row>
    <row r="116" spans="1:22" ht="14.25" customHeight="1" x14ac:dyDescent="0.3">
      <c r="A116" s="1" t="s">
        <v>192</v>
      </c>
      <c r="B116" s="1" t="s">
        <v>193</v>
      </c>
      <c r="C116" s="1" t="s">
        <v>194</v>
      </c>
      <c r="D116" s="1">
        <f t="shared" si="12"/>
        <v>42</v>
      </c>
      <c r="E116" s="1">
        <f t="shared" si="13"/>
        <v>0.28314814814814815</v>
      </c>
      <c r="F116" s="2">
        <f t="shared" si="14"/>
        <v>265.67285518574221</v>
      </c>
      <c r="G116" s="1">
        <v>2080</v>
      </c>
      <c r="H116" s="1">
        <v>3744</v>
      </c>
      <c r="I116" s="1">
        <v>0</v>
      </c>
      <c r="J116" s="1">
        <v>146</v>
      </c>
      <c r="K116" s="1">
        <f t="shared" si="15"/>
        <v>0</v>
      </c>
      <c r="L116" s="1">
        <f t="shared" si="16"/>
        <v>1.2739903846153844</v>
      </c>
      <c r="M116" s="1">
        <f t="shared" si="17"/>
        <v>1.2739903846153844</v>
      </c>
      <c r="N116" s="3">
        <f t="shared" si="18"/>
        <v>13.186912713687311</v>
      </c>
      <c r="O116" s="1">
        <v>1307</v>
      </c>
      <c r="P116" s="1">
        <f t="shared" si="19"/>
        <v>565</v>
      </c>
      <c r="Q116" s="1">
        <f t="shared" si="20"/>
        <v>5.1281098931547877</v>
      </c>
      <c r="R116" s="1">
        <f t="shared" si="21"/>
        <v>1.5477468427523797</v>
      </c>
      <c r="S116" s="2">
        <f t="shared" si="22"/>
        <v>6.694173992526073</v>
      </c>
      <c r="T116" s="3">
        <f t="shared" si="23"/>
        <v>0.11683537687095426</v>
      </c>
      <c r="U116" s="4" t="s">
        <v>571</v>
      </c>
    </row>
    <row r="117" spans="1:22" ht="14.25" customHeight="1" x14ac:dyDescent="0.3">
      <c r="A117" s="1" t="s">
        <v>43</v>
      </c>
      <c r="B117" s="1" t="s">
        <v>513</v>
      </c>
      <c r="C117" s="1" t="s">
        <v>514</v>
      </c>
      <c r="D117" s="1">
        <f t="shared" si="12"/>
        <v>43</v>
      </c>
      <c r="E117" s="1">
        <f t="shared" si="13"/>
        <v>0.18836805555555555</v>
      </c>
      <c r="F117" s="2">
        <f t="shared" si="14"/>
        <v>271.36051960773085</v>
      </c>
      <c r="G117" s="1">
        <v>2080</v>
      </c>
      <c r="H117" s="1">
        <v>3744</v>
      </c>
      <c r="I117" s="1">
        <v>0</v>
      </c>
      <c r="J117" s="1">
        <v>671</v>
      </c>
      <c r="K117" s="1">
        <f t="shared" si="15"/>
        <v>0</v>
      </c>
      <c r="L117" s="1">
        <f t="shared" si="16"/>
        <v>5.8551201923076919</v>
      </c>
      <c r="M117" s="1">
        <f t="shared" si="17"/>
        <v>5.8551201923076919</v>
      </c>
      <c r="N117" s="3">
        <f t="shared" si="18"/>
        <v>2.8692835412792062</v>
      </c>
      <c r="O117" s="1">
        <v>501</v>
      </c>
      <c r="P117" s="1">
        <f t="shared" si="19"/>
        <v>1371</v>
      </c>
      <c r="Q117" s="1">
        <f t="shared" si="20"/>
        <v>1.115803344859313</v>
      </c>
      <c r="R117" s="1">
        <f t="shared" si="21"/>
        <v>0.81718289839856728</v>
      </c>
      <c r="S117" s="2">
        <f t="shared" si="22"/>
        <v>15.89715523866003</v>
      </c>
      <c r="T117" s="3">
        <f t="shared" si="23"/>
        <v>0.27745770061528247</v>
      </c>
      <c r="U117" s="4" t="s">
        <v>571</v>
      </c>
    </row>
    <row r="118" spans="1:22" ht="14.25" customHeight="1" x14ac:dyDescent="0.3">
      <c r="A118" s="1" t="s">
        <v>43</v>
      </c>
      <c r="B118" s="1" t="s">
        <v>230</v>
      </c>
      <c r="C118" s="1" t="s">
        <v>231</v>
      </c>
      <c r="D118" s="1">
        <f t="shared" si="12"/>
        <v>43</v>
      </c>
      <c r="E118" s="1">
        <f t="shared" si="13"/>
        <v>0.18837962962962962</v>
      </c>
      <c r="F118" s="2">
        <f t="shared" si="14"/>
        <v>271.360592329783</v>
      </c>
      <c r="G118" s="1">
        <v>2080</v>
      </c>
      <c r="H118" s="1">
        <v>3744</v>
      </c>
      <c r="I118" s="1">
        <v>0</v>
      </c>
      <c r="J118" s="1">
        <v>638</v>
      </c>
      <c r="K118" s="1">
        <f t="shared" si="15"/>
        <v>0</v>
      </c>
      <c r="L118" s="1">
        <f t="shared" si="16"/>
        <v>5.5671634615384606</v>
      </c>
      <c r="M118" s="1">
        <f t="shared" si="17"/>
        <v>5.5671634615384606</v>
      </c>
      <c r="N118" s="3">
        <f t="shared" si="18"/>
        <v>3.017694758931579</v>
      </c>
      <c r="O118" s="1">
        <v>1204</v>
      </c>
      <c r="P118" s="1">
        <f t="shared" si="19"/>
        <v>668</v>
      </c>
      <c r="Q118" s="1">
        <f t="shared" si="20"/>
        <v>1.1735173109727257</v>
      </c>
      <c r="R118" s="1">
        <f t="shared" si="21"/>
        <v>0.4187551088300111</v>
      </c>
      <c r="S118" s="2">
        <f t="shared" si="22"/>
        <v>7.9002860802278079</v>
      </c>
      <c r="T118" s="3">
        <f t="shared" si="23"/>
        <v>0.13788600394945214</v>
      </c>
      <c r="U118" s="4" t="s">
        <v>571</v>
      </c>
    </row>
    <row r="119" spans="1:22" ht="14.25" customHeight="1" x14ac:dyDescent="0.3">
      <c r="A119" s="1" t="s">
        <v>43</v>
      </c>
      <c r="B119" s="1" t="s">
        <v>44</v>
      </c>
      <c r="C119" s="1" t="s">
        <v>45</v>
      </c>
      <c r="D119" s="1">
        <f t="shared" si="12"/>
        <v>43</v>
      </c>
      <c r="E119" s="1">
        <f t="shared" si="13"/>
        <v>0.18839120370370369</v>
      </c>
      <c r="F119" s="2">
        <f t="shared" si="14"/>
        <v>271.36066505183521</v>
      </c>
      <c r="G119" s="1">
        <v>2080</v>
      </c>
      <c r="H119" s="1">
        <v>3744</v>
      </c>
      <c r="I119" s="1">
        <v>0</v>
      </c>
      <c r="J119" s="1">
        <v>698</v>
      </c>
      <c r="K119" s="1">
        <f t="shared" si="15"/>
        <v>0</v>
      </c>
      <c r="L119" s="1">
        <f t="shared" si="16"/>
        <v>6.090721153846153</v>
      </c>
      <c r="M119" s="1">
        <f t="shared" si="17"/>
        <v>6.090721153846153</v>
      </c>
      <c r="N119" s="3">
        <f t="shared" si="18"/>
        <v>2.7582940633214146</v>
      </c>
      <c r="O119" s="1">
        <v>1830</v>
      </c>
      <c r="P119" s="1">
        <f t="shared" si="19"/>
        <v>42</v>
      </c>
      <c r="Q119" s="1">
        <f t="shared" si="20"/>
        <v>1.0726418974220617</v>
      </c>
      <c r="R119" s="1">
        <f t="shared" si="21"/>
        <v>2.4065683596007796E-2</v>
      </c>
      <c r="S119" s="2">
        <f t="shared" si="22"/>
        <v>0.49988401651034697</v>
      </c>
      <c r="T119" s="3">
        <f t="shared" si="23"/>
        <v>8.7246219661992492E-3</v>
      </c>
      <c r="U119" s="4" t="s">
        <v>571</v>
      </c>
    </row>
    <row r="120" spans="1:22" ht="14.25" customHeight="1" x14ac:dyDescent="0.3">
      <c r="A120" s="1" t="s">
        <v>185</v>
      </c>
      <c r="B120" s="1" t="s">
        <v>306</v>
      </c>
      <c r="C120" s="1" t="s">
        <v>307</v>
      </c>
      <c r="D120" s="1">
        <f t="shared" si="12"/>
        <v>47</v>
      </c>
      <c r="E120" s="1">
        <f t="shared" si="13"/>
        <v>0.88258101851851845</v>
      </c>
      <c r="F120" s="2">
        <f t="shared" si="14"/>
        <v>300.8551295253917</v>
      </c>
      <c r="G120" s="1">
        <v>2080</v>
      </c>
      <c r="H120" s="1">
        <v>3744</v>
      </c>
      <c r="I120" s="1">
        <v>0</v>
      </c>
      <c r="J120" s="1">
        <v>456</v>
      </c>
      <c r="K120" s="1">
        <f t="shared" si="15"/>
        <v>0</v>
      </c>
      <c r="L120" s="1">
        <f t="shared" si="16"/>
        <v>3.9790384615384613</v>
      </c>
      <c r="M120" s="1">
        <f t="shared" si="17"/>
        <v>3.9790384615384613</v>
      </c>
      <c r="N120" s="3">
        <f t="shared" si="18"/>
        <v>4.2221255618384808</v>
      </c>
      <c r="O120" s="1">
        <v>1017</v>
      </c>
      <c r="P120" s="1">
        <f t="shared" si="19"/>
        <v>855</v>
      </c>
      <c r="Q120" s="1">
        <f t="shared" si="20"/>
        <v>1.6418948342118398</v>
      </c>
      <c r="R120" s="1">
        <f t="shared" si="21"/>
        <v>0.74990389062559992</v>
      </c>
      <c r="S120" s="2">
        <f t="shared" si="22"/>
        <v>10.071439364036056</v>
      </c>
      <c r="T120" s="3">
        <f t="shared" si="23"/>
        <v>0.17577977731739297</v>
      </c>
      <c r="U120" s="4" t="s">
        <v>571</v>
      </c>
    </row>
    <row r="121" spans="1:22" ht="14.25" customHeight="1" x14ac:dyDescent="0.3">
      <c r="A121" s="1" t="s">
        <v>185</v>
      </c>
      <c r="B121" s="1" t="s">
        <v>186</v>
      </c>
      <c r="C121" s="1" t="s">
        <v>187</v>
      </c>
      <c r="D121" s="1">
        <f t="shared" si="12"/>
        <v>47</v>
      </c>
      <c r="E121" s="1">
        <f t="shared" si="13"/>
        <v>0.8825925925925926</v>
      </c>
      <c r="F121" s="2">
        <f t="shared" si="14"/>
        <v>300.85520224744386</v>
      </c>
      <c r="G121" s="1">
        <v>2080</v>
      </c>
      <c r="H121" s="1">
        <v>3744</v>
      </c>
      <c r="I121" s="1">
        <v>0</v>
      </c>
      <c r="J121" s="1">
        <v>404</v>
      </c>
      <c r="K121" s="1">
        <f t="shared" si="15"/>
        <v>0</v>
      </c>
      <c r="L121" s="1">
        <f t="shared" si="16"/>
        <v>3.5252884615384614</v>
      </c>
      <c r="M121" s="1">
        <f t="shared" si="17"/>
        <v>3.5252884615384614</v>
      </c>
      <c r="N121" s="3">
        <f t="shared" si="18"/>
        <v>4.7655674658374929</v>
      </c>
      <c r="O121" s="1">
        <v>1318</v>
      </c>
      <c r="P121" s="1">
        <f t="shared" si="19"/>
        <v>554</v>
      </c>
      <c r="Q121" s="1">
        <f t="shared" si="20"/>
        <v>1.8532278326747498</v>
      </c>
      <c r="R121" s="1">
        <f t="shared" si="21"/>
        <v>0.54844456159284793</v>
      </c>
      <c r="S121" s="2">
        <f t="shared" si="22"/>
        <v>6.5649937893778008</v>
      </c>
      <c r="T121" s="3">
        <f t="shared" si="23"/>
        <v>0.11458075699762175</v>
      </c>
      <c r="U121" s="4" t="s">
        <v>571</v>
      </c>
      <c r="V121" s="3"/>
    </row>
    <row r="122" spans="1:22" ht="14.25" customHeight="1" x14ac:dyDescent="0.3">
      <c r="A122" s="1" t="s">
        <v>219</v>
      </c>
      <c r="B122" s="1" t="s">
        <v>220</v>
      </c>
      <c r="C122" s="1" t="s">
        <v>221</v>
      </c>
      <c r="D122" s="1">
        <f t="shared" si="12"/>
        <v>48</v>
      </c>
      <c r="E122" s="1">
        <f t="shared" si="13"/>
        <v>6.8437499999999998E-2</v>
      </c>
      <c r="F122" s="2">
        <f t="shared" si="14"/>
        <v>302.02290023908023</v>
      </c>
      <c r="G122" s="1">
        <v>2080</v>
      </c>
      <c r="H122" s="1">
        <v>3744</v>
      </c>
      <c r="I122" s="1">
        <v>0</v>
      </c>
      <c r="J122" s="1">
        <v>208</v>
      </c>
      <c r="K122" s="1">
        <f t="shared" si="15"/>
        <v>0</v>
      </c>
      <c r="L122" s="1">
        <f t="shared" si="16"/>
        <v>1.8149999999999999</v>
      </c>
      <c r="M122" s="1">
        <f t="shared" si="17"/>
        <v>1.8149999999999999</v>
      </c>
      <c r="N122" s="3">
        <f t="shared" si="18"/>
        <v>9.2561983471074392</v>
      </c>
      <c r="O122" s="1">
        <v>1228</v>
      </c>
      <c r="P122" s="1">
        <f t="shared" si="19"/>
        <v>644</v>
      </c>
      <c r="Q122" s="1">
        <f t="shared" si="20"/>
        <v>3.5995386750028797</v>
      </c>
      <c r="R122" s="1">
        <f t="shared" si="21"/>
        <v>1.2383028347766316</v>
      </c>
      <c r="S122" s="2">
        <f t="shared" si="22"/>
        <v>7.6198394056497802</v>
      </c>
      <c r="T122" s="3">
        <f t="shared" si="23"/>
        <v>0.13299128610179647</v>
      </c>
      <c r="U122" s="4" t="s">
        <v>571</v>
      </c>
    </row>
    <row r="123" spans="1:22" ht="14.25" customHeight="1" x14ac:dyDescent="0.3">
      <c r="A123" s="1" t="s">
        <v>219</v>
      </c>
      <c r="B123" s="1" t="s">
        <v>300</v>
      </c>
      <c r="C123" s="1" t="s">
        <v>301</v>
      </c>
      <c r="D123" s="1">
        <f t="shared" si="12"/>
        <v>48</v>
      </c>
      <c r="E123" s="1">
        <f t="shared" si="13"/>
        <v>6.8449074074074079E-2</v>
      </c>
      <c r="F123" s="2">
        <f t="shared" si="14"/>
        <v>302.02297296113238</v>
      </c>
      <c r="G123" s="1">
        <v>2080</v>
      </c>
      <c r="H123" s="1">
        <v>3744</v>
      </c>
      <c r="I123" s="1">
        <v>0</v>
      </c>
      <c r="J123" s="1">
        <v>190</v>
      </c>
      <c r="K123" s="1">
        <f t="shared" si="15"/>
        <v>0</v>
      </c>
      <c r="L123" s="1">
        <f t="shared" si="16"/>
        <v>1.657932692307692</v>
      </c>
      <c r="M123" s="1">
        <f t="shared" si="17"/>
        <v>1.657932692307692</v>
      </c>
      <c r="N123" s="3">
        <f t="shared" si="18"/>
        <v>10.133101348412355</v>
      </c>
      <c r="O123" s="1">
        <v>1027</v>
      </c>
      <c r="P123" s="1">
        <f t="shared" si="19"/>
        <v>845</v>
      </c>
      <c r="Q123" s="1">
        <f t="shared" si="20"/>
        <v>3.940547602108416</v>
      </c>
      <c r="R123" s="1">
        <f t="shared" si="21"/>
        <v>1.7787194037294933</v>
      </c>
      <c r="S123" s="2">
        <f t="shared" si="22"/>
        <v>9.9560151256600804</v>
      </c>
      <c r="T123" s="3">
        <f t="shared" si="23"/>
        <v>0.17376524432112539</v>
      </c>
      <c r="U123" s="4" t="s">
        <v>571</v>
      </c>
    </row>
    <row r="124" spans="1:22" ht="14.25" customHeight="1" x14ac:dyDescent="0.3">
      <c r="A124" s="1" t="s">
        <v>291</v>
      </c>
      <c r="B124" s="1" t="s">
        <v>429</v>
      </c>
      <c r="C124" s="1" t="s">
        <v>430</v>
      </c>
      <c r="D124" s="1">
        <f t="shared" si="12"/>
        <v>49</v>
      </c>
      <c r="E124" s="1">
        <f t="shared" si="13"/>
        <v>0.12310185185185185</v>
      </c>
      <c r="F124" s="2">
        <f t="shared" si="14"/>
        <v>308.64955179864188</v>
      </c>
      <c r="G124" s="1">
        <v>2080</v>
      </c>
      <c r="H124" s="1">
        <v>3744</v>
      </c>
      <c r="I124" s="1">
        <v>0</v>
      </c>
      <c r="J124" s="1">
        <v>266</v>
      </c>
      <c r="K124" s="1">
        <f t="shared" si="15"/>
        <v>0</v>
      </c>
      <c r="L124" s="1">
        <f t="shared" si="16"/>
        <v>2.3211057692307691</v>
      </c>
      <c r="M124" s="1">
        <f t="shared" si="17"/>
        <v>2.3211057692307691</v>
      </c>
      <c r="N124" s="3">
        <f t="shared" si="18"/>
        <v>7.2379295345802532</v>
      </c>
      <c r="O124" s="1">
        <v>771</v>
      </c>
      <c r="P124" s="1">
        <f t="shared" si="19"/>
        <v>1101</v>
      </c>
      <c r="Q124" s="1">
        <f t="shared" si="20"/>
        <v>2.8146768586488684</v>
      </c>
      <c r="R124" s="1">
        <f t="shared" si="21"/>
        <v>1.6554269344938057</v>
      </c>
      <c r="S124" s="2">
        <f t="shared" si="22"/>
        <v>12.882848117514358</v>
      </c>
      <c r="T124" s="3">
        <f t="shared" si="23"/>
        <v>0.22484811668497892</v>
      </c>
      <c r="U124" s="4" t="s">
        <v>571</v>
      </c>
    </row>
    <row r="125" spans="1:22" ht="14.25" customHeight="1" x14ac:dyDescent="0.3">
      <c r="A125" s="1" t="s">
        <v>291</v>
      </c>
      <c r="B125" s="1" t="s">
        <v>292</v>
      </c>
      <c r="C125" s="1" t="s">
        <v>293</v>
      </c>
      <c r="D125" s="1">
        <f t="shared" si="12"/>
        <v>49</v>
      </c>
      <c r="E125" s="1">
        <f t="shared" si="13"/>
        <v>0.12311342592592593</v>
      </c>
      <c r="F125" s="2">
        <f t="shared" si="14"/>
        <v>308.64962452069409</v>
      </c>
      <c r="G125" s="1">
        <v>2080</v>
      </c>
      <c r="H125" s="1">
        <v>3744</v>
      </c>
      <c r="I125" s="1">
        <v>0</v>
      </c>
      <c r="J125" s="1">
        <v>234</v>
      </c>
      <c r="K125" s="1">
        <f t="shared" si="15"/>
        <v>0</v>
      </c>
      <c r="L125" s="1">
        <f t="shared" si="16"/>
        <v>2.0418749999999997</v>
      </c>
      <c r="M125" s="1">
        <f t="shared" si="17"/>
        <v>2.0418749999999997</v>
      </c>
      <c r="N125" s="3">
        <f t="shared" si="18"/>
        <v>8.2277318640955013</v>
      </c>
      <c r="O125" s="1">
        <v>1056</v>
      </c>
      <c r="P125" s="1">
        <f t="shared" si="19"/>
        <v>816</v>
      </c>
      <c r="Q125" s="1">
        <f t="shared" si="20"/>
        <v>3.199589933335893</v>
      </c>
      <c r="R125" s="1">
        <f t="shared" si="21"/>
        <v>1.3946930478643635</v>
      </c>
      <c r="S125" s="2">
        <f t="shared" si="22"/>
        <v>9.6208259313371176</v>
      </c>
      <c r="T125" s="3">
        <f t="shared" si="23"/>
        <v>0.1679150892630826</v>
      </c>
      <c r="U125" s="4" t="s">
        <v>571</v>
      </c>
    </row>
    <row r="126" spans="1:22" ht="14.25" customHeight="1" x14ac:dyDescent="0.3">
      <c r="A126" s="1" t="s">
        <v>291</v>
      </c>
      <c r="B126" s="1" t="s">
        <v>308</v>
      </c>
      <c r="C126" s="1" t="s">
        <v>309</v>
      </c>
      <c r="D126" s="1">
        <f t="shared" si="12"/>
        <v>49</v>
      </c>
      <c r="E126" s="1">
        <f t="shared" si="13"/>
        <v>0.12327546296296295</v>
      </c>
      <c r="F126" s="2">
        <f t="shared" si="14"/>
        <v>308.6506426294244</v>
      </c>
      <c r="G126" s="1">
        <v>2080</v>
      </c>
      <c r="H126" s="1">
        <v>3744</v>
      </c>
      <c r="I126" s="1">
        <v>0</v>
      </c>
      <c r="J126" s="1">
        <v>249</v>
      </c>
      <c r="K126" s="1">
        <f t="shared" si="15"/>
        <v>0</v>
      </c>
      <c r="L126" s="1">
        <f t="shared" si="16"/>
        <v>2.1727644230769227</v>
      </c>
      <c r="M126" s="1">
        <f t="shared" si="17"/>
        <v>2.1727644230769227</v>
      </c>
      <c r="N126" s="3">
        <f t="shared" si="18"/>
        <v>7.7320853662584232</v>
      </c>
      <c r="O126" s="1">
        <v>1016</v>
      </c>
      <c r="P126" s="1">
        <f t="shared" si="19"/>
        <v>856</v>
      </c>
      <c r="Q126" s="1">
        <f t="shared" si="20"/>
        <v>3.0068435518096348</v>
      </c>
      <c r="R126" s="1">
        <f t="shared" si="21"/>
        <v>1.3749241882206449</v>
      </c>
      <c r="S126" s="2">
        <f t="shared" si="22"/>
        <v>10.082977262150949</v>
      </c>
      <c r="T126" s="3">
        <f t="shared" si="23"/>
        <v>0.1759811516282575</v>
      </c>
      <c r="U126" s="4" t="s">
        <v>571</v>
      </c>
    </row>
    <row r="127" spans="1:22" ht="14.25" customHeight="1" x14ac:dyDescent="0.3">
      <c r="A127" s="1" t="s">
        <v>291</v>
      </c>
      <c r="B127" s="1" t="s">
        <v>489</v>
      </c>
      <c r="C127" s="1" t="s">
        <v>490</v>
      </c>
      <c r="D127" s="1">
        <f t="shared" si="12"/>
        <v>49</v>
      </c>
      <c r="E127" s="1">
        <f t="shared" si="13"/>
        <v>0.12328703703703703</v>
      </c>
      <c r="F127" s="2">
        <f t="shared" si="14"/>
        <v>308.65071535147655</v>
      </c>
      <c r="G127" s="1">
        <v>2080</v>
      </c>
      <c r="H127" s="1">
        <v>3744</v>
      </c>
      <c r="I127" s="1">
        <v>0</v>
      </c>
      <c r="J127" s="1">
        <v>235</v>
      </c>
      <c r="K127" s="1">
        <f t="shared" si="15"/>
        <v>0</v>
      </c>
      <c r="L127" s="1">
        <f t="shared" si="16"/>
        <v>2.0506009615384615</v>
      </c>
      <c r="M127" s="1">
        <f t="shared" si="17"/>
        <v>2.0506009615384615</v>
      </c>
      <c r="N127" s="3">
        <f t="shared" si="18"/>
        <v>8.1927202391419023</v>
      </c>
      <c r="O127" s="1">
        <v>622</v>
      </c>
      <c r="P127" s="1">
        <f t="shared" si="19"/>
        <v>1250</v>
      </c>
      <c r="Q127" s="1">
        <f t="shared" si="20"/>
        <v>3.185974657023825</v>
      </c>
      <c r="R127" s="1">
        <f t="shared" si="21"/>
        <v>2.1273869237605667</v>
      </c>
      <c r="S127" s="2">
        <f t="shared" si="22"/>
        <v>14.556394709180212</v>
      </c>
      <c r="T127" s="3">
        <f t="shared" si="23"/>
        <v>0.25405701489507715</v>
      </c>
      <c r="U127" s="4" t="s">
        <v>571</v>
      </c>
    </row>
    <row r="128" spans="1:22" ht="14.25" customHeight="1" x14ac:dyDescent="0.3">
      <c r="A128" s="1" t="s">
        <v>26</v>
      </c>
      <c r="B128" s="1" t="s">
        <v>92</v>
      </c>
      <c r="C128" s="1" t="s">
        <v>93</v>
      </c>
      <c r="D128" s="1">
        <f t="shared" si="12"/>
        <v>52</v>
      </c>
      <c r="E128" s="1">
        <f t="shared" si="13"/>
        <v>0.86490740740740746</v>
      </c>
      <c r="F128" s="2">
        <f t="shared" si="14"/>
        <v>332.1600094876315</v>
      </c>
      <c r="G128" s="1">
        <v>2080</v>
      </c>
      <c r="H128" s="1">
        <v>3744</v>
      </c>
      <c r="I128" s="1">
        <v>0</v>
      </c>
      <c r="J128" s="1">
        <v>222</v>
      </c>
      <c r="K128" s="1">
        <f t="shared" si="15"/>
        <v>0</v>
      </c>
      <c r="L128" s="1">
        <f t="shared" si="16"/>
        <v>1.9371634615384614</v>
      </c>
      <c r="M128" s="1">
        <f t="shared" si="17"/>
        <v>1.9371634615384614</v>
      </c>
      <c r="N128" s="3">
        <f t="shared" si="18"/>
        <v>8.6724741270195818</v>
      </c>
      <c r="O128" s="1">
        <v>1714</v>
      </c>
      <c r="P128" s="1">
        <f t="shared" si="19"/>
        <v>158</v>
      </c>
      <c r="Q128" s="1">
        <f t="shared" si="20"/>
        <v>3.3725407405432386</v>
      </c>
      <c r="R128" s="1">
        <f t="shared" si="21"/>
        <v>0.28464820352875625</v>
      </c>
      <c r="S128" s="2">
        <f t="shared" si="22"/>
        <v>1.8798889126272185</v>
      </c>
      <c r="T128" s="3">
        <f t="shared" si="23"/>
        <v>3.2810251097080967E-2</v>
      </c>
      <c r="U128" s="4" t="s">
        <v>571</v>
      </c>
    </row>
    <row r="129" spans="1:21" ht="14.25" customHeight="1" x14ac:dyDescent="0.3">
      <c r="A129" s="1" t="s">
        <v>26</v>
      </c>
      <c r="B129" s="1" t="s">
        <v>84</v>
      </c>
      <c r="C129" s="1" t="s">
        <v>85</v>
      </c>
      <c r="D129" s="1">
        <f t="shared" si="12"/>
        <v>52</v>
      </c>
      <c r="E129" s="1">
        <f t="shared" si="13"/>
        <v>0.86491898148148139</v>
      </c>
      <c r="F129" s="2">
        <f t="shared" si="14"/>
        <v>332.16008220968365</v>
      </c>
      <c r="G129" s="1">
        <v>2080</v>
      </c>
      <c r="H129" s="1">
        <v>3744</v>
      </c>
      <c r="I129" s="1">
        <v>0</v>
      </c>
      <c r="J129" s="1">
        <v>276</v>
      </c>
      <c r="K129" s="1">
        <f t="shared" si="15"/>
        <v>0</v>
      </c>
      <c r="L129" s="1">
        <f t="shared" si="16"/>
        <v>2.4083653846153843</v>
      </c>
      <c r="M129" s="1">
        <f t="shared" si="17"/>
        <v>2.4083653846153843</v>
      </c>
      <c r="N129" s="3">
        <f t="shared" si="18"/>
        <v>6.9756857108635781</v>
      </c>
      <c r="O129" s="1">
        <v>1728</v>
      </c>
      <c r="P129" s="1">
        <f t="shared" si="19"/>
        <v>144</v>
      </c>
      <c r="Q129" s="1">
        <f t="shared" si="20"/>
        <v>2.7126958130456491</v>
      </c>
      <c r="R129" s="1">
        <f t="shared" si="21"/>
        <v>0.20866890869581917</v>
      </c>
      <c r="S129" s="2">
        <f t="shared" si="22"/>
        <v>1.713420591597437</v>
      </c>
      <c r="T129" s="3">
        <f t="shared" si="23"/>
        <v>2.9904830794844364E-2</v>
      </c>
      <c r="U129" s="4" t="s">
        <v>571</v>
      </c>
    </row>
    <row r="130" spans="1:21" ht="14.25" customHeight="1" x14ac:dyDescent="0.3">
      <c r="A130" s="1" t="s">
        <v>214</v>
      </c>
      <c r="B130" s="1" t="s">
        <v>349</v>
      </c>
      <c r="C130" s="1" t="s">
        <v>350</v>
      </c>
      <c r="D130" s="1">
        <f t="shared" ref="D130:D193" si="24">(LEFT(C130,4)&amp;"-"&amp;MID(C130,6,2)&amp;"-"&amp;MID(C130,9,2))-(2019&amp;"-"&amp;6&amp;"-"&amp;1)</f>
        <v>53</v>
      </c>
      <c r="E130" s="1">
        <f t="shared" ref="E130:E193" si="25">TIMEVALUE(RIGHT(C130,8))</f>
        <v>0.79162037037037036</v>
      </c>
      <c r="F130" s="2">
        <f t="shared" ref="F130:F193" si="26">(D130+E130)*2*PI()</f>
        <v>337.98271876049324</v>
      </c>
      <c r="G130" s="1">
        <v>2080</v>
      </c>
      <c r="H130" s="1">
        <v>3744</v>
      </c>
      <c r="I130" s="1">
        <v>0</v>
      </c>
      <c r="J130" s="1">
        <v>272</v>
      </c>
      <c r="K130" s="1">
        <f t="shared" ref="K130:K193" si="27">(32.67*I130)/H130</f>
        <v>0</v>
      </c>
      <c r="L130" s="1">
        <f t="shared" ref="L130:L193" si="28">(18.15*J130)/G130</f>
        <v>2.3734615384615383</v>
      </c>
      <c r="M130" s="1">
        <f t="shared" ref="M130:M193" si="29">SQRT(K130*K130+L130*L130)</f>
        <v>2.3734615384615383</v>
      </c>
      <c r="N130" s="3">
        <f t="shared" ref="N130:N193" si="30">42*0.4/M130</f>
        <v>7.0782693242586303</v>
      </c>
      <c r="O130" s="1">
        <v>921</v>
      </c>
      <c r="P130" s="1">
        <f t="shared" ref="P130:P193" si="31">H130/2-O130</f>
        <v>951</v>
      </c>
      <c r="Q130" s="1">
        <f t="shared" ref="Q130:Q193" si="32">TAN(RADIANS(21.25))*N130</f>
        <v>2.7525883985316142</v>
      </c>
      <c r="R130" s="1">
        <f t="shared" ref="R130:R193" si="33">Q130*(P130/(H130/2))</f>
        <v>1.3983501960489129</v>
      </c>
      <c r="S130" s="2">
        <f t="shared" ref="S130:S193" si="34">DEGREES(ATAN(R130/N130))</f>
        <v>11.175190215919049</v>
      </c>
      <c r="T130" s="3">
        <f t="shared" ref="T130:T193" si="35">RADIANS(S130)</f>
        <v>0.19504386380444344</v>
      </c>
      <c r="U130" s="4" t="s">
        <v>571</v>
      </c>
    </row>
    <row r="131" spans="1:21" ht="14.25" customHeight="1" x14ac:dyDescent="0.3">
      <c r="A131" s="1" t="s">
        <v>214</v>
      </c>
      <c r="B131" s="1" t="s">
        <v>215</v>
      </c>
      <c r="C131" s="1" t="s">
        <v>216</v>
      </c>
      <c r="D131" s="1">
        <f t="shared" si="24"/>
        <v>53</v>
      </c>
      <c r="E131" s="1">
        <f t="shared" si="25"/>
        <v>0.79163194444444451</v>
      </c>
      <c r="F131" s="2">
        <f t="shared" si="26"/>
        <v>337.98279148254545</v>
      </c>
      <c r="G131" s="1">
        <v>2080</v>
      </c>
      <c r="H131" s="1">
        <v>3744</v>
      </c>
      <c r="I131" s="1">
        <v>0</v>
      </c>
      <c r="J131" s="1">
        <v>287</v>
      </c>
      <c r="K131" s="1">
        <f t="shared" si="27"/>
        <v>0</v>
      </c>
      <c r="L131" s="1">
        <f t="shared" si="28"/>
        <v>2.5043509615384614</v>
      </c>
      <c r="M131" s="1">
        <f t="shared" si="29"/>
        <v>2.5043509615384614</v>
      </c>
      <c r="N131" s="3">
        <f t="shared" si="30"/>
        <v>6.7083249344890152</v>
      </c>
      <c r="O131" s="1">
        <v>1245</v>
      </c>
      <c r="P131" s="1">
        <f t="shared" si="31"/>
        <v>627</v>
      </c>
      <c r="Q131" s="1">
        <f t="shared" si="32"/>
        <v>2.6087248933818783</v>
      </c>
      <c r="R131" s="1">
        <f t="shared" si="33"/>
        <v>0.87375561332822516</v>
      </c>
      <c r="S131" s="2">
        <f t="shared" si="34"/>
        <v>7.420966417962668</v>
      </c>
      <c r="T131" s="3">
        <f t="shared" si="35"/>
        <v>0.12952029767337822</v>
      </c>
      <c r="U131" s="4" t="s">
        <v>571</v>
      </c>
    </row>
    <row r="132" spans="1:21" ht="14.25" customHeight="1" x14ac:dyDescent="0.3">
      <c r="A132" s="1" t="s">
        <v>26</v>
      </c>
      <c r="B132" s="1" t="s">
        <v>469</v>
      </c>
      <c r="C132" s="1" t="s">
        <v>470</v>
      </c>
      <c r="D132" s="1">
        <f t="shared" si="24"/>
        <v>53</v>
      </c>
      <c r="E132" s="1">
        <f t="shared" si="25"/>
        <v>0.92016203703703703</v>
      </c>
      <c r="F132" s="2">
        <f t="shared" si="26"/>
        <v>338.79036987185361</v>
      </c>
      <c r="G132" s="1">
        <v>2080</v>
      </c>
      <c r="H132" s="1">
        <v>3744</v>
      </c>
      <c r="I132" s="1">
        <v>0</v>
      </c>
      <c r="J132" s="1">
        <v>157</v>
      </c>
      <c r="K132" s="1">
        <f t="shared" si="27"/>
        <v>0</v>
      </c>
      <c r="L132" s="1">
        <f t="shared" si="28"/>
        <v>1.3699759615384615</v>
      </c>
      <c r="M132" s="1">
        <f t="shared" si="29"/>
        <v>1.3699759615384615</v>
      </c>
      <c r="N132" s="3">
        <f t="shared" si="30"/>
        <v>12.262988892983104</v>
      </c>
      <c r="O132" s="1">
        <v>701</v>
      </c>
      <c r="P132" s="1">
        <f t="shared" si="31"/>
        <v>1171</v>
      </c>
      <c r="Q132" s="1">
        <f t="shared" si="32"/>
        <v>4.7688155694305667</v>
      </c>
      <c r="R132" s="1">
        <f t="shared" si="33"/>
        <v>2.9830571751085437</v>
      </c>
      <c r="S132" s="2">
        <f t="shared" si="34"/>
        <v>13.672048153481125</v>
      </c>
      <c r="T132" s="3">
        <f t="shared" si="35"/>
        <v>0.23862225576945667</v>
      </c>
      <c r="U132" s="4" t="s">
        <v>571</v>
      </c>
    </row>
    <row r="133" spans="1:21" ht="14.25" customHeight="1" x14ac:dyDescent="0.3">
      <c r="A133" s="1" t="s">
        <v>26</v>
      </c>
      <c r="B133" s="1" t="s">
        <v>407</v>
      </c>
      <c r="C133" s="1" t="s">
        <v>408</v>
      </c>
      <c r="D133" s="1">
        <f t="shared" si="24"/>
        <v>53</v>
      </c>
      <c r="E133" s="1">
        <f t="shared" si="25"/>
        <v>0.92017361111111118</v>
      </c>
      <c r="F133" s="2">
        <f t="shared" si="26"/>
        <v>338.79044259390577</v>
      </c>
      <c r="G133" s="1">
        <v>2080</v>
      </c>
      <c r="H133" s="1">
        <v>3744</v>
      </c>
      <c r="I133" s="1">
        <v>0</v>
      </c>
      <c r="J133" s="1">
        <v>171</v>
      </c>
      <c r="K133" s="1">
        <f t="shared" si="27"/>
        <v>0</v>
      </c>
      <c r="L133" s="1">
        <f t="shared" si="28"/>
        <v>1.4921394230769229</v>
      </c>
      <c r="M133" s="1">
        <f t="shared" si="29"/>
        <v>1.4921394230769229</v>
      </c>
      <c r="N133" s="3">
        <f t="shared" si="30"/>
        <v>11.25900149823595</v>
      </c>
      <c r="O133" s="1">
        <v>846</v>
      </c>
      <c r="P133" s="1">
        <f t="shared" si="31"/>
        <v>1026</v>
      </c>
      <c r="Q133" s="1">
        <f t="shared" si="32"/>
        <v>4.378386224564907</v>
      </c>
      <c r="R133" s="1">
        <f t="shared" si="33"/>
        <v>2.3996924500019206</v>
      </c>
      <c r="S133" s="2">
        <f t="shared" si="34"/>
        <v>12.031730845853156</v>
      </c>
      <c r="T133" s="3">
        <f t="shared" si="35"/>
        <v>0.20999331797389992</v>
      </c>
      <c r="U133" s="4" t="s">
        <v>571</v>
      </c>
    </row>
    <row r="134" spans="1:21" ht="14.25" customHeight="1" x14ac:dyDescent="0.3">
      <c r="A134" s="1" t="s">
        <v>26</v>
      </c>
      <c r="B134" s="1" t="s">
        <v>268</v>
      </c>
      <c r="C134" s="1" t="s">
        <v>269</v>
      </c>
      <c r="D134" s="1">
        <f t="shared" si="24"/>
        <v>53</v>
      </c>
      <c r="E134" s="1">
        <f t="shared" si="25"/>
        <v>0.92018518518518511</v>
      </c>
      <c r="F134" s="2">
        <f t="shared" si="26"/>
        <v>338.79051531595792</v>
      </c>
      <c r="G134" s="1">
        <v>2080</v>
      </c>
      <c r="H134" s="1">
        <v>3744</v>
      </c>
      <c r="I134" s="1">
        <v>0</v>
      </c>
      <c r="J134" s="1">
        <v>190</v>
      </c>
      <c r="K134" s="1">
        <f t="shared" si="27"/>
        <v>0</v>
      </c>
      <c r="L134" s="1">
        <f t="shared" si="28"/>
        <v>1.657932692307692</v>
      </c>
      <c r="M134" s="1">
        <f t="shared" si="29"/>
        <v>1.657932692307692</v>
      </c>
      <c r="N134" s="3">
        <f t="shared" si="30"/>
        <v>10.133101348412355</v>
      </c>
      <c r="O134" s="1">
        <v>1095</v>
      </c>
      <c r="P134" s="1">
        <f t="shared" si="31"/>
        <v>777</v>
      </c>
      <c r="Q134" s="1">
        <f t="shared" si="32"/>
        <v>3.940547602108416</v>
      </c>
      <c r="R134" s="1">
        <f t="shared" si="33"/>
        <v>1.6355798540802562</v>
      </c>
      <c r="S134" s="2">
        <f t="shared" si="34"/>
        <v>9.1690078382128934</v>
      </c>
      <c r="T134" s="3">
        <f t="shared" si="35"/>
        <v>0.16002937591798255</v>
      </c>
      <c r="U134" s="4" t="s">
        <v>571</v>
      </c>
    </row>
    <row r="135" spans="1:21" ht="14.25" customHeight="1" x14ac:dyDescent="0.3">
      <c r="A135" s="1" t="s">
        <v>26</v>
      </c>
      <c r="B135" s="1" t="s">
        <v>527</v>
      </c>
      <c r="C135" s="1" t="s">
        <v>528</v>
      </c>
      <c r="D135" s="1">
        <f t="shared" si="24"/>
        <v>53</v>
      </c>
      <c r="E135" s="1">
        <f t="shared" si="25"/>
        <v>0.92027777777777775</v>
      </c>
      <c r="F135" s="2">
        <f t="shared" si="26"/>
        <v>338.79109709237525</v>
      </c>
      <c r="G135" s="1">
        <v>2080</v>
      </c>
      <c r="H135" s="1">
        <v>3744</v>
      </c>
      <c r="I135" s="1">
        <v>0</v>
      </c>
      <c r="J135" s="1">
        <v>197</v>
      </c>
      <c r="K135" s="1">
        <f t="shared" si="27"/>
        <v>0</v>
      </c>
      <c r="L135" s="1">
        <f t="shared" si="28"/>
        <v>1.7190144230769229</v>
      </c>
      <c r="M135" s="1">
        <f t="shared" si="29"/>
        <v>1.7190144230769229</v>
      </c>
      <c r="N135" s="3">
        <f t="shared" si="30"/>
        <v>9.7730419096362819</v>
      </c>
      <c r="O135" s="1">
        <v>465</v>
      </c>
      <c r="P135" s="1">
        <f t="shared" si="31"/>
        <v>1407</v>
      </c>
      <c r="Q135" s="1">
        <f t="shared" si="32"/>
        <v>3.8005281441654777</v>
      </c>
      <c r="R135" s="1">
        <f t="shared" si="33"/>
        <v>2.8564866980987325</v>
      </c>
      <c r="S135" s="2">
        <f t="shared" si="34"/>
        <v>16.292704565253114</v>
      </c>
      <c r="T135" s="3">
        <f t="shared" si="35"/>
        <v>0.28436133871837815</v>
      </c>
      <c r="U135" s="4" t="s">
        <v>571</v>
      </c>
    </row>
    <row r="136" spans="1:21" ht="14.25" customHeight="1" x14ac:dyDescent="0.3">
      <c r="A136" s="1" t="s">
        <v>26</v>
      </c>
      <c r="B136" s="1" t="s">
        <v>535</v>
      </c>
      <c r="C136" s="1" t="s">
        <v>536</v>
      </c>
      <c r="D136" s="1">
        <f t="shared" si="24"/>
        <v>53</v>
      </c>
      <c r="E136" s="1">
        <f t="shared" si="25"/>
        <v>0.9202893518518519</v>
      </c>
      <c r="F136" s="2">
        <f t="shared" si="26"/>
        <v>338.79116981442746</v>
      </c>
      <c r="G136" s="1">
        <v>2080</v>
      </c>
      <c r="H136" s="1">
        <v>3744</v>
      </c>
      <c r="I136" s="1">
        <v>0</v>
      </c>
      <c r="J136" s="1">
        <v>217</v>
      </c>
      <c r="K136" s="1">
        <f t="shared" si="27"/>
        <v>0</v>
      </c>
      <c r="L136" s="1">
        <f t="shared" si="28"/>
        <v>1.8935336538461538</v>
      </c>
      <c r="M136" s="1">
        <f t="shared" si="29"/>
        <v>1.8935336538461538</v>
      </c>
      <c r="N136" s="3">
        <f t="shared" si="30"/>
        <v>8.8723007198080523</v>
      </c>
      <c r="O136" s="1">
        <v>385</v>
      </c>
      <c r="P136" s="1">
        <f t="shared" si="31"/>
        <v>1487</v>
      </c>
      <c r="Q136" s="1">
        <f t="shared" si="32"/>
        <v>3.4502490525373228</v>
      </c>
      <c r="R136" s="1">
        <f t="shared" si="33"/>
        <v>2.7406625753862173</v>
      </c>
      <c r="S136" s="2">
        <f t="shared" si="34"/>
        <v>17.165971042865113</v>
      </c>
      <c r="T136" s="3">
        <f t="shared" si="35"/>
        <v>0.29960271400000088</v>
      </c>
      <c r="U136" s="4" t="s">
        <v>571</v>
      </c>
    </row>
    <row r="137" spans="1:21" ht="14.25" customHeight="1" x14ac:dyDescent="0.3">
      <c r="A137" s="1" t="s">
        <v>26</v>
      </c>
      <c r="B137" s="1" t="s">
        <v>252</v>
      </c>
      <c r="C137" s="1" t="s">
        <v>253</v>
      </c>
      <c r="D137" s="1">
        <f t="shared" si="24"/>
        <v>55</v>
      </c>
      <c r="E137" s="1">
        <f t="shared" si="25"/>
        <v>0.99234953703703699</v>
      </c>
      <c r="F137" s="2">
        <f t="shared" si="26"/>
        <v>351.81030792557482</v>
      </c>
      <c r="G137" s="1">
        <v>2080</v>
      </c>
      <c r="H137" s="1">
        <v>3744</v>
      </c>
      <c r="I137" s="1">
        <v>0</v>
      </c>
      <c r="J137" s="1">
        <v>193</v>
      </c>
      <c r="K137" s="1">
        <f t="shared" si="27"/>
        <v>0</v>
      </c>
      <c r="L137" s="1">
        <f t="shared" si="28"/>
        <v>1.6841105769230769</v>
      </c>
      <c r="M137" s="1">
        <f t="shared" si="29"/>
        <v>1.6841105769230769</v>
      </c>
      <c r="N137" s="3">
        <f t="shared" si="30"/>
        <v>9.9755920010277066</v>
      </c>
      <c r="O137" s="1">
        <v>1141</v>
      </c>
      <c r="P137" s="1">
        <f t="shared" si="31"/>
        <v>731</v>
      </c>
      <c r="Q137" s="1">
        <f t="shared" si="32"/>
        <v>3.8792955668424822</v>
      </c>
      <c r="R137" s="1">
        <f t="shared" si="33"/>
        <v>1.514831762479623</v>
      </c>
      <c r="S137" s="2">
        <f t="shared" si="34"/>
        <v>8.6346161010410967</v>
      </c>
      <c r="T137" s="3">
        <f t="shared" si="35"/>
        <v>0.15070248060888253</v>
      </c>
      <c r="U137" s="4" t="s">
        <v>571</v>
      </c>
    </row>
    <row r="138" spans="1:21" ht="14.25" customHeight="1" x14ac:dyDescent="0.3">
      <c r="A138" s="1" t="s">
        <v>26</v>
      </c>
      <c r="B138" s="1" t="s">
        <v>201</v>
      </c>
      <c r="C138" s="1" t="s">
        <v>202</v>
      </c>
      <c r="D138" s="1">
        <f t="shared" si="24"/>
        <v>55</v>
      </c>
      <c r="E138" s="1">
        <f t="shared" si="25"/>
        <v>0.99236111111111114</v>
      </c>
      <c r="F138" s="2">
        <f t="shared" si="26"/>
        <v>351.81038064762697</v>
      </c>
      <c r="G138" s="1">
        <v>2080</v>
      </c>
      <c r="H138" s="1">
        <v>3744</v>
      </c>
      <c r="I138" s="1">
        <v>0</v>
      </c>
      <c r="J138" s="1">
        <v>187</v>
      </c>
      <c r="K138" s="1">
        <f t="shared" si="27"/>
        <v>0</v>
      </c>
      <c r="L138" s="1">
        <f t="shared" si="28"/>
        <v>1.6317548076923076</v>
      </c>
      <c r="M138" s="1">
        <f t="shared" si="29"/>
        <v>1.6317548076923076</v>
      </c>
      <c r="N138" s="3">
        <f t="shared" si="30"/>
        <v>10.295664471648916</v>
      </c>
      <c r="O138" s="1">
        <v>1284</v>
      </c>
      <c r="P138" s="1">
        <f t="shared" si="31"/>
        <v>588</v>
      </c>
      <c r="Q138" s="1">
        <f t="shared" si="32"/>
        <v>4.0037649433187115</v>
      </c>
      <c r="R138" s="1">
        <f t="shared" si="33"/>
        <v>1.2575928347603644</v>
      </c>
      <c r="S138" s="2">
        <f t="shared" si="34"/>
        <v>6.9640557688211837</v>
      </c>
      <c r="T138" s="3">
        <f t="shared" si="35"/>
        <v>0.12154570245843473</v>
      </c>
      <c r="U138" s="4" t="s">
        <v>571</v>
      </c>
    </row>
    <row r="139" spans="1:21" ht="14.25" customHeight="1" x14ac:dyDescent="0.3">
      <c r="A139" s="1" t="s">
        <v>26</v>
      </c>
      <c r="B139" s="1" t="s">
        <v>157</v>
      </c>
      <c r="C139" s="1" t="s">
        <v>158</v>
      </c>
      <c r="D139" s="1">
        <f t="shared" si="24"/>
        <v>55</v>
      </c>
      <c r="E139" s="1">
        <f t="shared" si="25"/>
        <v>0.99237268518518518</v>
      </c>
      <c r="F139" s="2">
        <f t="shared" si="26"/>
        <v>351.81045336967918</v>
      </c>
      <c r="G139" s="1">
        <v>2080</v>
      </c>
      <c r="H139" s="1">
        <v>3744</v>
      </c>
      <c r="I139" s="1">
        <v>0</v>
      </c>
      <c r="J139" s="1">
        <v>201</v>
      </c>
      <c r="K139" s="1">
        <f t="shared" si="27"/>
        <v>0</v>
      </c>
      <c r="L139" s="1">
        <f t="shared" si="28"/>
        <v>1.7539182692307691</v>
      </c>
      <c r="M139" s="1">
        <f t="shared" si="29"/>
        <v>1.7539182692307691</v>
      </c>
      <c r="N139" s="3">
        <f t="shared" si="30"/>
        <v>9.5785535134246143</v>
      </c>
      <c r="O139" s="1">
        <v>1518</v>
      </c>
      <c r="P139" s="1">
        <f t="shared" si="31"/>
        <v>354</v>
      </c>
      <c r="Q139" s="1">
        <f t="shared" si="32"/>
        <v>3.7248957432865626</v>
      </c>
      <c r="R139" s="1">
        <f t="shared" si="33"/>
        <v>0.70438733607021531</v>
      </c>
      <c r="S139" s="2">
        <f t="shared" si="34"/>
        <v>4.2058444485084792</v>
      </c>
      <c r="T139" s="3">
        <f t="shared" si="35"/>
        <v>7.340583345319808E-2</v>
      </c>
      <c r="U139" s="4" t="s">
        <v>571</v>
      </c>
    </row>
    <row r="140" spans="1:21" ht="14.25" customHeight="1" x14ac:dyDescent="0.3">
      <c r="A140" s="1" t="s">
        <v>26</v>
      </c>
      <c r="B140" s="1" t="s">
        <v>433</v>
      </c>
      <c r="C140" s="1" t="s">
        <v>434</v>
      </c>
      <c r="D140" s="1">
        <f t="shared" si="24"/>
        <v>56</v>
      </c>
      <c r="E140" s="1">
        <f t="shared" si="25"/>
        <v>0.1371064814814815</v>
      </c>
      <c r="F140" s="2">
        <f t="shared" si="26"/>
        <v>352.71984263202035</v>
      </c>
      <c r="G140" s="1">
        <v>2080</v>
      </c>
      <c r="H140" s="1">
        <v>3744</v>
      </c>
      <c r="I140" s="1">
        <v>0</v>
      </c>
      <c r="J140" s="1">
        <v>184</v>
      </c>
      <c r="K140" s="1">
        <f t="shared" si="27"/>
        <v>0</v>
      </c>
      <c r="L140" s="1">
        <f t="shared" si="28"/>
        <v>1.605576923076923</v>
      </c>
      <c r="M140" s="1">
        <f t="shared" si="29"/>
        <v>1.605576923076923</v>
      </c>
      <c r="N140" s="3">
        <f t="shared" si="30"/>
        <v>10.463528566295366</v>
      </c>
      <c r="O140" s="1">
        <v>764</v>
      </c>
      <c r="P140" s="1">
        <f t="shared" si="31"/>
        <v>1108</v>
      </c>
      <c r="Q140" s="1">
        <f t="shared" si="32"/>
        <v>4.069043719568473</v>
      </c>
      <c r="R140" s="1">
        <f t="shared" si="33"/>
        <v>2.4083869878642457</v>
      </c>
      <c r="S140" s="2">
        <f t="shared" si="34"/>
        <v>12.961997490650777</v>
      </c>
      <c r="T140" s="3">
        <f t="shared" si="35"/>
        <v>0.22622953384709898</v>
      </c>
      <c r="U140" s="4" t="s">
        <v>571</v>
      </c>
    </row>
    <row r="141" spans="1:21" ht="14.25" customHeight="1" x14ac:dyDescent="0.3">
      <c r="A141" s="1" t="s">
        <v>26</v>
      </c>
      <c r="B141" s="1" t="s">
        <v>279</v>
      </c>
      <c r="C141" s="1" t="s">
        <v>280</v>
      </c>
      <c r="D141" s="1">
        <f t="shared" si="24"/>
        <v>56</v>
      </c>
      <c r="E141" s="1">
        <f t="shared" si="25"/>
        <v>0.13711805555555556</v>
      </c>
      <c r="F141" s="2">
        <f t="shared" si="26"/>
        <v>352.7199153540725</v>
      </c>
      <c r="G141" s="1">
        <v>2080</v>
      </c>
      <c r="H141" s="1">
        <v>3744</v>
      </c>
      <c r="I141" s="1">
        <v>0</v>
      </c>
      <c r="J141" s="1">
        <v>183</v>
      </c>
      <c r="K141" s="1">
        <f t="shared" si="27"/>
        <v>0</v>
      </c>
      <c r="L141" s="1">
        <f t="shared" si="28"/>
        <v>1.5968509615384614</v>
      </c>
      <c r="M141" s="1">
        <f t="shared" si="29"/>
        <v>1.5968509615384614</v>
      </c>
      <c r="N141" s="3">
        <f t="shared" si="30"/>
        <v>10.520706318023755</v>
      </c>
      <c r="O141" s="1">
        <v>1076</v>
      </c>
      <c r="P141" s="1">
        <f t="shared" si="31"/>
        <v>796</v>
      </c>
      <c r="Q141" s="1">
        <f t="shared" si="32"/>
        <v>4.0912789311508142</v>
      </c>
      <c r="R141" s="1">
        <f t="shared" si="33"/>
        <v>1.7396677506389144</v>
      </c>
      <c r="S141" s="2">
        <f t="shared" si="34"/>
        <v>9.3892715999253724</v>
      </c>
      <c r="T141" s="3">
        <f t="shared" si="35"/>
        <v>0.16387370378269353</v>
      </c>
      <c r="U141" s="4" t="s">
        <v>571</v>
      </c>
    </row>
    <row r="142" spans="1:21" ht="14.25" customHeight="1" x14ac:dyDescent="0.3">
      <c r="A142" s="1" t="s">
        <v>336</v>
      </c>
      <c r="B142" s="1" t="s">
        <v>501</v>
      </c>
      <c r="C142" s="1" t="s">
        <v>502</v>
      </c>
      <c r="D142" s="1">
        <f t="shared" si="24"/>
        <v>56</v>
      </c>
      <c r="E142" s="1">
        <f t="shared" si="25"/>
        <v>0.84600694444444446</v>
      </c>
      <c r="F142" s="2">
        <f t="shared" si="26"/>
        <v>357.17399560516208</v>
      </c>
      <c r="G142" s="1">
        <v>2080</v>
      </c>
      <c r="H142" s="1">
        <v>3744</v>
      </c>
      <c r="I142" s="1">
        <v>0</v>
      </c>
      <c r="J142" s="1">
        <v>314</v>
      </c>
      <c r="K142" s="1">
        <f t="shared" si="27"/>
        <v>0</v>
      </c>
      <c r="L142" s="1">
        <f t="shared" si="28"/>
        <v>2.7399519230769229</v>
      </c>
      <c r="M142" s="1">
        <f t="shared" si="29"/>
        <v>2.7399519230769229</v>
      </c>
      <c r="N142" s="3">
        <f t="shared" si="30"/>
        <v>6.1314944464915522</v>
      </c>
      <c r="O142" s="1">
        <v>565</v>
      </c>
      <c r="P142" s="1">
        <f t="shared" si="31"/>
        <v>1307</v>
      </c>
      <c r="Q142" s="1">
        <f t="shared" si="32"/>
        <v>2.3844077847152834</v>
      </c>
      <c r="R142" s="1">
        <f t="shared" si="33"/>
        <v>1.6647547941361514</v>
      </c>
      <c r="S142" s="2">
        <f t="shared" si="34"/>
        <v>15.190119337622914</v>
      </c>
      <c r="T142" s="3">
        <f t="shared" si="35"/>
        <v>0.26511759621238001</v>
      </c>
      <c r="U142" s="4" t="s">
        <v>571</v>
      </c>
    </row>
    <row r="143" spans="1:21" ht="14.25" customHeight="1" x14ac:dyDescent="0.3">
      <c r="A143" s="1" t="s">
        <v>336</v>
      </c>
      <c r="B143" s="1" t="s">
        <v>337</v>
      </c>
      <c r="C143" s="1" t="s">
        <v>338</v>
      </c>
      <c r="D143" s="1">
        <f t="shared" si="24"/>
        <v>56</v>
      </c>
      <c r="E143" s="1">
        <f t="shared" si="25"/>
        <v>0.84601851851851861</v>
      </c>
      <c r="F143" s="2">
        <f t="shared" si="26"/>
        <v>357.17406832721423</v>
      </c>
      <c r="G143" s="1">
        <v>2080</v>
      </c>
      <c r="H143" s="1">
        <v>3744</v>
      </c>
      <c r="I143" s="1">
        <v>0</v>
      </c>
      <c r="J143" s="1">
        <v>264</v>
      </c>
      <c r="K143" s="1">
        <f t="shared" si="27"/>
        <v>0</v>
      </c>
      <c r="L143" s="1">
        <f t="shared" si="28"/>
        <v>2.3036538461538458</v>
      </c>
      <c r="M143" s="1">
        <f t="shared" si="29"/>
        <v>2.3036538461538458</v>
      </c>
      <c r="N143" s="3">
        <f t="shared" si="30"/>
        <v>7.2927623340846495</v>
      </c>
      <c r="O143" s="1">
        <v>936</v>
      </c>
      <c r="P143" s="1">
        <f t="shared" si="31"/>
        <v>936</v>
      </c>
      <c r="Q143" s="1">
        <f t="shared" si="32"/>
        <v>2.8360001681840874</v>
      </c>
      <c r="R143" s="1">
        <f t="shared" si="33"/>
        <v>1.4180000840920437</v>
      </c>
      <c r="S143" s="2">
        <f t="shared" si="34"/>
        <v>11.003260474510586</v>
      </c>
      <c r="T143" s="3">
        <f t="shared" si="35"/>
        <v>0.19204312373476334</v>
      </c>
      <c r="U143" s="4" t="s">
        <v>571</v>
      </c>
    </row>
    <row r="144" spans="1:21" ht="14.25" customHeight="1" x14ac:dyDescent="0.3">
      <c r="A144" s="1" t="s">
        <v>26</v>
      </c>
      <c r="B144" s="1" t="s">
        <v>473</v>
      </c>
      <c r="C144" s="1" t="s">
        <v>474</v>
      </c>
      <c r="D144" s="1">
        <f t="shared" si="24"/>
        <v>56</v>
      </c>
      <c r="E144" s="1">
        <f t="shared" si="25"/>
        <v>0.86629629629629623</v>
      </c>
      <c r="F144" s="2">
        <f t="shared" si="26"/>
        <v>357.30147736260983</v>
      </c>
      <c r="G144" s="1">
        <v>2080</v>
      </c>
      <c r="H144" s="1">
        <v>3744</v>
      </c>
      <c r="I144" s="1">
        <v>0</v>
      </c>
      <c r="J144" s="1">
        <v>127</v>
      </c>
      <c r="K144" s="1">
        <f t="shared" si="27"/>
        <v>0</v>
      </c>
      <c r="L144" s="1">
        <f t="shared" si="28"/>
        <v>1.1081971153846153</v>
      </c>
      <c r="M144" s="1">
        <f t="shared" si="29"/>
        <v>1.1081971153846153</v>
      </c>
      <c r="N144" s="3">
        <f t="shared" si="30"/>
        <v>15.159757922821633</v>
      </c>
      <c r="O144" s="1">
        <v>691</v>
      </c>
      <c r="P144" s="1">
        <f t="shared" si="31"/>
        <v>1181</v>
      </c>
      <c r="Q144" s="1">
        <f t="shared" si="32"/>
        <v>5.8953074362251892</v>
      </c>
      <c r="R144" s="1">
        <f t="shared" si="33"/>
        <v>3.7192083772339468</v>
      </c>
      <c r="S144" s="2">
        <f t="shared" si="34"/>
        <v>13.784367866669205</v>
      </c>
      <c r="T144" s="3">
        <f t="shared" si="35"/>
        <v>0.24058260457948435</v>
      </c>
      <c r="U144" s="4" t="s">
        <v>571</v>
      </c>
    </row>
    <row r="145" spans="1:21" ht="14.25" customHeight="1" x14ac:dyDescent="0.3">
      <c r="A145" s="1" t="s">
        <v>26</v>
      </c>
      <c r="B145" s="1" t="s">
        <v>375</v>
      </c>
      <c r="C145" s="1" t="s">
        <v>376</v>
      </c>
      <c r="D145" s="1">
        <f t="shared" si="24"/>
        <v>56</v>
      </c>
      <c r="E145" s="1">
        <f t="shared" si="25"/>
        <v>0.86630787037037038</v>
      </c>
      <c r="F145" s="2">
        <f t="shared" si="26"/>
        <v>357.30155008466198</v>
      </c>
      <c r="G145" s="1">
        <v>2080</v>
      </c>
      <c r="H145" s="1">
        <v>3744</v>
      </c>
      <c r="I145" s="1">
        <v>0</v>
      </c>
      <c r="J145" s="1">
        <v>148</v>
      </c>
      <c r="K145" s="1">
        <f t="shared" si="27"/>
        <v>0</v>
      </c>
      <c r="L145" s="1">
        <f t="shared" si="28"/>
        <v>1.2914423076923076</v>
      </c>
      <c r="M145" s="1">
        <f t="shared" si="29"/>
        <v>1.2914423076923076</v>
      </c>
      <c r="N145" s="3">
        <f t="shared" si="30"/>
        <v>13.008711190529374</v>
      </c>
      <c r="O145" s="1">
        <v>892</v>
      </c>
      <c r="P145" s="1">
        <f t="shared" si="31"/>
        <v>980</v>
      </c>
      <c r="Q145" s="1">
        <f t="shared" si="32"/>
        <v>5.0588111108148581</v>
      </c>
      <c r="R145" s="1">
        <f t="shared" si="33"/>
        <v>2.6483092353624791</v>
      </c>
      <c r="S145" s="2">
        <f t="shared" si="34"/>
        <v>11.50700799247047</v>
      </c>
      <c r="T145" s="3">
        <f t="shared" si="35"/>
        <v>0.20083517652191257</v>
      </c>
      <c r="U145" s="4" t="s">
        <v>571</v>
      </c>
    </row>
    <row r="146" spans="1:21" ht="14.25" customHeight="1" x14ac:dyDescent="0.3">
      <c r="A146" s="1" t="s">
        <v>26</v>
      </c>
      <c r="B146" s="1" t="s">
        <v>281</v>
      </c>
      <c r="C146" s="1" t="s">
        <v>282</v>
      </c>
      <c r="D146" s="1">
        <f t="shared" si="24"/>
        <v>56</v>
      </c>
      <c r="E146" s="1">
        <f t="shared" si="25"/>
        <v>0.86631944444444453</v>
      </c>
      <c r="F146" s="2">
        <f t="shared" si="26"/>
        <v>357.30162280671414</v>
      </c>
      <c r="G146" s="1">
        <v>2080</v>
      </c>
      <c r="H146" s="1">
        <v>3744</v>
      </c>
      <c r="I146" s="1">
        <v>0</v>
      </c>
      <c r="J146" s="1">
        <v>145</v>
      </c>
      <c r="K146" s="1">
        <f t="shared" si="27"/>
        <v>0</v>
      </c>
      <c r="L146" s="1">
        <f t="shared" si="28"/>
        <v>1.265264423076923</v>
      </c>
      <c r="M146" s="1">
        <f t="shared" si="29"/>
        <v>1.265264423076923</v>
      </c>
      <c r="N146" s="3">
        <f t="shared" si="30"/>
        <v>13.277856939298948</v>
      </c>
      <c r="O146" s="1">
        <v>1075</v>
      </c>
      <c r="P146" s="1">
        <f t="shared" si="31"/>
        <v>797</v>
      </c>
      <c r="Q146" s="1">
        <f t="shared" si="32"/>
        <v>5.1634761682799937</v>
      </c>
      <c r="R146" s="1">
        <f t="shared" si="33"/>
        <v>2.1983389455764715</v>
      </c>
      <c r="S146" s="2">
        <f t="shared" si="34"/>
        <v>9.4008567343040319</v>
      </c>
      <c r="T146" s="3">
        <f t="shared" si="35"/>
        <v>0.16407590252188711</v>
      </c>
      <c r="U146" s="4" t="s">
        <v>571</v>
      </c>
    </row>
    <row r="147" spans="1:21" ht="14.25" customHeight="1" x14ac:dyDescent="0.3">
      <c r="A147" s="1" t="s">
        <v>26</v>
      </c>
      <c r="B147" s="1" t="s">
        <v>467</v>
      </c>
      <c r="C147" s="1" t="s">
        <v>468</v>
      </c>
      <c r="D147" s="1">
        <f t="shared" si="24"/>
        <v>58</v>
      </c>
      <c r="E147" s="1">
        <f t="shared" si="25"/>
        <v>9.1932870370370359E-2</v>
      </c>
      <c r="F147" s="2">
        <f t="shared" si="26"/>
        <v>365.00237907677399</v>
      </c>
      <c r="G147" s="1">
        <v>2080</v>
      </c>
      <c r="H147" s="1">
        <v>3744</v>
      </c>
      <c r="I147" s="1">
        <v>0</v>
      </c>
      <c r="J147" s="1">
        <v>239</v>
      </c>
      <c r="K147" s="1">
        <f t="shared" si="27"/>
        <v>0</v>
      </c>
      <c r="L147" s="1">
        <f t="shared" si="28"/>
        <v>2.0855048076923075</v>
      </c>
      <c r="M147" s="1">
        <f t="shared" si="29"/>
        <v>2.0855048076923075</v>
      </c>
      <c r="N147" s="3">
        <f t="shared" si="30"/>
        <v>8.0556035824198631</v>
      </c>
      <c r="O147" s="1">
        <v>716</v>
      </c>
      <c r="P147" s="1">
        <f t="shared" si="31"/>
        <v>1156</v>
      </c>
      <c r="Q147" s="1">
        <f t="shared" si="32"/>
        <v>3.1326529054418368</v>
      </c>
      <c r="R147" s="1">
        <f t="shared" si="33"/>
        <v>1.9344801061382284</v>
      </c>
      <c r="S147" s="2">
        <f t="shared" si="34"/>
        <v>13.503367758476989</v>
      </c>
      <c r="T147" s="3">
        <f t="shared" si="35"/>
        <v>0.23567822749306988</v>
      </c>
      <c r="U147" s="4" t="s">
        <v>571</v>
      </c>
    </row>
    <row r="148" spans="1:21" ht="14.25" customHeight="1" x14ac:dyDescent="0.3">
      <c r="A148" s="1" t="s">
        <v>26</v>
      </c>
      <c r="B148" s="1" t="s">
        <v>326</v>
      </c>
      <c r="C148" s="1" t="s">
        <v>327</v>
      </c>
      <c r="D148" s="1">
        <f t="shared" si="24"/>
        <v>58</v>
      </c>
      <c r="E148" s="1">
        <f t="shared" si="25"/>
        <v>9.194444444444444E-2</v>
      </c>
      <c r="F148" s="2">
        <f t="shared" si="26"/>
        <v>365.00245179882614</v>
      </c>
      <c r="G148" s="1">
        <v>2080</v>
      </c>
      <c r="H148" s="1">
        <v>3744</v>
      </c>
      <c r="I148" s="1">
        <v>0</v>
      </c>
      <c r="J148" s="1">
        <v>234</v>
      </c>
      <c r="K148" s="1">
        <f t="shared" si="27"/>
        <v>0</v>
      </c>
      <c r="L148" s="1">
        <f t="shared" si="28"/>
        <v>2.0418749999999997</v>
      </c>
      <c r="M148" s="1">
        <f t="shared" si="29"/>
        <v>2.0418749999999997</v>
      </c>
      <c r="N148" s="3">
        <f t="shared" si="30"/>
        <v>8.2277318640955013</v>
      </c>
      <c r="O148" s="1">
        <v>948</v>
      </c>
      <c r="P148" s="1">
        <f t="shared" si="31"/>
        <v>924</v>
      </c>
      <c r="Q148" s="1">
        <f t="shared" si="32"/>
        <v>3.199589933335893</v>
      </c>
      <c r="R148" s="1">
        <f t="shared" si="33"/>
        <v>1.5792847747875882</v>
      </c>
      <c r="S148" s="2">
        <f t="shared" si="34"/>
        <v>10.865571928023417</v>
      </c>
      <c r="T148" s="3">
        <f t="shared" si="35"/>
        <v>0.18964000525627697</v>
      </c>
      <c r="U148" s="4" t="s">
        <v>571</v>
      </c>
    </row>
    <row r="149" spans="1:21" ht="14.25" customHeight="1" x14ac:dyDescent="0.3">
      <c r="A149" s="1" t="s">
        <v>26</v>
      </c>
      <c r="B149" s="1" t="s">
        <v>210</v>
      </c>
      <c r="C149" s="1" t="s">
        <v>211</v>
      </c>
      <c r="D149" s="1">
        <f t="shared" si="24"/>
        <v>58</v>
      </c>
      <c r="E149" s="1">
        <f t="shared" si="25"/>
        <v>9.195601851851852E-2</v>
      </c>
      <c r="F149" s="2">
        <f t="shared" si="26"/>
        <v>365.0025245208783</v>
      </c>
      <c r="G149" s="1">
        <v>2080</v>
      </c>
      <c r="H149" s="1">
        <v>3744</v>
      </c>
      <c r="I149" s="1">
        <v>0</v>
      </c>
      <c r="J149" s="1">
        <v>220</v>
      </c>
      <c r="K149" s="1">
        <f t="shared" si="27"/>
        <v>0</v>
      </c>
      <c r="L149" s="1">
        <f t="shared" si="28"/>
        <v>1.9197115384615382</v>
      </c>
      <c r="M149" s="1">
        <f t="shared" si="29"/>
        <v>1.9197115384615382</v>
      </c>
      <c r="N149" s="3">
        <f t="shared" si="30"/>
        <v>8.7513148009015786</v>
      </c>
      <c r="O149" s="1">
        <v>1251</v>
      </c>
      <c r="P149" s="1">
        <f t="shared" si="31"/>
        <v>621</v>
      </c>
      <c r="Q149" s="1">
        <f t="shared" si="32"/>
        <v>3.4032002018209044</v>
      </c>
      <c r="R149" s="1">
        <f t="shared" si="33"/>
        <v>1.1289462207963576</v>
      </c>
      <c r="S149" s="2">
        <f t="shared" si="34"/>
        <v>7.3507327459043745</v>
      </c>
      <c r="T149" s="3">
        <f t="shared" si="35"/>
        <v>0.12829448885019507</v>
      </c>
      <c r="U149" s="4" t="s">
        <v>571</v>
      </c>
    </row>
    <row r="150" spans="1:21" ht="14.25" customHeight="1" x14ac:dyDescent="0.3">
      <c r="A150" s="1" t="s">
        <v>26</v>
      </c>
      <c r="B150" s="1" t="s">
        <v>147</v>
      </c>
      <c r="C150" s="1" t="s">
        <v>148</v>
      </c>
      <c r="D150" s="1">
        <f t="shared" si="24"/>
        <v>58</v>
      </c>
      <c r="E150" s="1">
        <f t="shared" si="25"/>
        <v>0.79238425925925926</v>
      </c>
      <c r="F150" s="2">
        <f t="shared" si="26"/>
        <v>369.40344495183416</v>
      </c>
      <c r="G150" s="1">
        <v>2080</v>
      </c>
      <c r="H150" s="1">
        <v>3744</v>
      </c>
      <c r="I150" s="1">
        <v>0</v>
      </c>
      <c r="J150" s="1">
        <v>174</v>
      </c>
      <c r="K150" s="1">
        <f t="shared" si="27"/>
        <v>0</v>
      </c>
      <c r="L150" s="1">
        <f t="shared" si="28"/>
        <v>1.5183173076923075</v>
      </c>
      <c r="M150" s="1">
        <f t="shared" si="29"/>
        <v>1.5183173076923075</v>
      </c>
      <c r="N150" s="3">
        <f t="shared" si="30"/>
        <v>11.064880782749123</v>
      </c>
      <c r="O150" s="1">
        <v>1532</v>
      </c>
      <c r="P150" s="1">
        <f t="shared" si="31"/>
        <v>340</v>
      </c>
      <c r="Q150" s="1">
        <f t="shared" si="32"/>
        <v>4.3028968068999944</v>
      </c>
      <c r="R150" s="1">
        <f t="shared" si="33"/>
        <v>0.78150903544123829</v>
      </c>
      <c r="S150" s="2">
        <f t="shared" si="34"/>
        <v>4.0400736872198006</v>
      </c>
      <c r="T150" s="3">
        <f t="shared" si="35"/>
        <v>7.0512587865173074E-2</v>
      </c>
      <c r="U150" s="4" t="s">
        <v>571</v>
      </c>
    </row>
    <row r="151" spans="1:21" ht="14.25" customHeight="1" x14ac:dyDescent="0.3">
      <c r="A151" s="1" t="s">
        <v>26</v>
      </c>
      <c r="B151" s="1" t="s">
        <v>131</v>
      </c>
      <c r="C151" s="1" t="s">
        <v>132</v>
      </c>
      <c r="D151" s="1">
        <f t="shared" si="24"/>
        <v>58</v>
      </c>
      <c r="E151" s="1">
        <f t="shared" si="25"/>
        <v>0.7923958333333333</v>
      </c>
      <c r="F151" s="2">
        <f t="shared" si="26"/>
        <v>369.40351767388631</v>
      </c>
      <c r="G151" s="1">
        <v>2080</v>
      </c>
      <c r="H151" s="1">
        <v>3744</v>
      </c>
      <c r="I151" s="1">
        <v>0</v>
      </c>
      <c r="J151" s="1">
        <v>178</v>
      </c>
      <c r="K151" s="1">
        <f t="shared" si="27"/>
        <v>0</v>
      </c>
      <c r="L151" s="1">
        <f t="shared" si="28"/>
        <v>1.5532211538461538</v>
      </c>
      <c r="M151" s="1">
        <f t="shared" si="29"/>
        <v>1.5532211538461538</v>
      </c>
      <c r="N151" s="3">
        <f t="shared" si="30"/>
        <v>10.81623177639521</v>
      </c>
      <c r="O151" s="1">
        <v>1621</v>
      </c>
      <c r="P151" s="1">
        <f t="shared" si="31"/>
        <v>251</v>
      </c>
      <c r="Q151" s="1">
        <f t="shared" si="32"/>
        <v>4.2062024966325788</v>
      </c>
      <c r="R151" s="1">
        <f t="shared" si="33"/>
        <v>0.56397266381131261</v>
      </c>
      <c r="S151" s="2">
        <f t="shared" si="34"/>
        <v>2.984774938319033</v>
      </c>
      <c r="T151" s="3">
        <f t="shared" si="35"/>
        <v>5.2094150104677786E-2</v>
      </c>
      <c r="U151" s="4" t="s">
        <v>571</v>
      </c>
    </row>
    <row r="152" spans="1:21" ht="14.25" customHeight="1" x14ac:dyDescent="0.3">
      <c r="A152" s="1" t="s">
        <v>26</v>
      </c>
      <c r="B152" s="1" t="s">
        <v>564</v>
      </c>
      <c r="C152" s="1" t="s">
        <v>565</v>
      </c>
      <c r="D152" s="1">
        <f t="shared" si="24"/>
        <v>58</v>
      </c>
      <c r="E152" s="1">
        <f t="shared" si="25"/>
        <v>0.79253472222222221</v>
      </c>
      <c r="F152" s="2">
        <f t="shared" si="26"/>
        <v>369.40439033851231</v>
      </c>
      <c r="G152" s="1">
        <v>2080</v>
      </c>
      <c r="H152" s="1">
        <v>3744</v>
      </c>
      <c r="I152" s="1">
        <v>0</v>
      </c>
      <c r="J152" s="1">
        <v>201</v>
      </c>
      <c r="K152" s="1">
        <f t="shared" si="27"/>
        <v>0</v>
      </c>
      <c r="L152" s="1">
        <f t="shared" si="28"/>
        <v>1.7539182692307691</v>
      </c>
      <c r="M152" s="1">
        <f t="shared" si="29"/>
        <v>1.7539182692307691</v>
      </c>
      <c r="N152" s="3">
        <f t="shared" si="30"/>
        <v>9.5785535134246143</v>
      </c>
      <c r="O152" s="1">
        <v>0</v>
      </c>
      <c r="P152" s="1">
        <f t="shared" si="31"/>
        <v>1872</v>
      </c>
      <c r="Q152" s="1">
        <f t="shared" si="32"/>
        <v>3.7248957432865626</v>
      </c>
      <c r="R152" s="1">
        <f t="shared" si="33"/>
        <v>3.7248957432865626</v>
      </c>
      <c r="S152" s="2">
        <f t="shared" si="34"/>
        <v>21.25</v>
      </c>
      <c r="T152" s="3">
        <f t="shared" si="35"/>
        <v>0.37088246604879505</v>
      </c>
      <c r="U152" s="4" t="s">
        <v>571</v>
      </c>
    </row>
    <row r="153" spans="1:21" ht="14.25" customHeight="1" x14ac:dyDescent="0.3">
      <c r="A153" s="1" t="s">
        <v>26</v>
      </c>
      <c r="B153" s="1" t="s">
        <v>566</v>
      </c>
      <c r="C153" s="1" t="s">
        <v>567</v>
      </c>
      <c r="D153" s="1">
        <f t="shared" si="24"/>
        <v>58</v>
      </c>
      <c r="E153" s="1">
        <f t="shared" si="25"/>
        <v>0.79254629629629625</v>
      </c>
      <c r="F153" s="2">
        <f t="shared" si="26"/>
        <v>369.40446306056447</v>
      </c>
      <c r="G153" s="1">
        <v>2080</v>
      </c>
      <c r="H153" s="1">
        <v>3744</v>
      </c>
      <c r="I153" s="1">
        <v>0</v>
      </c>
      <c r="J153" s="1">
        <v>212</v>
      </c>
      <c r="K153" s="1">
        <f t="shared" si="27"/>
        <v>0</v>
      </c>
      <c r="L153" s="1">
        <f t="shared" si="28"/>
        <v>1.849903846153846</v>
      </c>
      <c r="M153" s="1">
        <f t="shared" si="29"/>
        <v>1.849903846153846</v>
      </c>
      <c r="N153" s="3">
        <f t="shared" si="30"/>
        <v>9.0815530952752237</v>
      </c>
      <c r="O153" s="1">
        <v>0</v>
      </c>
      <c r="P153" s="1">
        <f t="shared" si="31"/>
        <v>1872</v>
      </c>
      <c r="Q153" s="1">
        <f t="shared" si="32"/>
        <v>3.531622850946222</v>
      </c>
      <c r="R153" s="1">
        <f t="shared" si="33"/>
        <v>3.531622850946222</v>
      </c>
      <c r="S153" s="2">
        <f t="shared" si="34"/>
        <v>21.25</v>
      </c>
      <c r="T153" s="3">
        <f t="shared" si="35"/>
        <v>0.37088246604879505</v>
      </c>
      <c r="U153" s="4" t="s">
        <v>571</v>
      </c>
    </row>
    <row r="154" spans="1:21" ht="14.25" customHeight="1" x14ac:dyDescent="0.3">
      <c r="A154" s="1" t="s">
        <v>26</v>
      </c>
      <c r="B154" s="1" t="s">
        <v>459</v>
      </c>
      <c r="C154" s="1" t="s">
        <v>460</v>
      </c>
      <c r="D154" s="1">
        <f t="shared" si="24"/>
        <v>58</v>
      </c>
      <c r="E154" s="1">
        <f t="shared" si="25"/>
        <v>0.87866898148148154</v>
      </c>
      <c r="F154" s="2">
        <f t="shared" si="26"/>
        <v>369.94558785073491</v>
      </c>
      <c r="G154" s="1">
        <v>2080</v>
      </c>
      <c r="H154" s="1">
        <v>3744</v>
      </c>
      <c r="I154" s="1">
        <v>0</v>
      </c>
      <c r="J154" s="1">
        <v>152</v>
      </c>
      <c r="K154" s="1">
        <f t="shared" si="27"/>
        <v>0</v>
      </c>
      <c r="L154" s="1">
        <f t="shared" si="28"/>
        <v>1.3263461538461536</v>
      </c>
      <c r="M154" s="1">
        <f t="shared" si="29"/>
        <v>1.3263461538461536</v>
      </c>
      <c r="N154" s="3">
        <f t="shared" si="30"/>
        <v>12.666376685515445</v>
      </c>
      <c r="O154" s="1">
        <v>735</v>
      </c>
      <c r="P154" s="1">
        <f t="shared" si="31"/>
        <v>1137</v>
      </c>
      <c r="Q154" s="1">
        <f t="shared" si="32"/>
        <v>4.9256845026355203</v>
      </c>
      <c r="R154" s="1">
        <f t="shared" si="33"/>
        <v>2.99172183733792</v>
      </c>
      <c r="S154" s="2">
        <f t="shared" si="34"/>
        <v>13.28936335981777</v>
      </c>
      <c r="T154" s="3">
        <f t="shared" si="35"/>
        <v>0.23194314612271599</v>
      </c>
      <c r="U154" s="4" t="s">
        <v>571</v>
      </c>
    </row>
    <row r="155" spans="1:21" ht="14.25" customHeight="1" x14ac:dyDescent="0.3">
      <c r="A155" s="1" t="s">
        <v>26</v>
      </c>
      <c r="B155" s="1" t="s">
        <v>377</v>
      </c>
      <c r="C155" s="1" t="s">
        <v>378</v>
      </c>
      <c r="D155" s="1">
        <f t="shared" si="24"/>
        <v>58</v>
      </c>
      <c r="E155" s="1">
        <f t="shared" si="25"/>
        <v>0.87868055555555558</v>
      </c>
      <c r="F155" s="2">
        <f t="shared" si="26"/>
        <v>369.94566057278706</v>
      </c>
      <c r="G155" s="1">
        <v>2080</v>
      </c>
      <c r="H155" s="1">
        <v>3744</v>
      </c>
      <c r="I155" s="1">
        <v>0</v>
      </c>
      <c r="J155" s="1">
        <v>177</v>
      </c>
      <c r="K155" s="1">
        <f t="shared" si="27"/>
        <v>0</v>
      </c>
      <c r="L155" s="1">
        <f t="shared" si="28"/>
        <v>1.5444951923076922</v>
      </c>
      <c r="M155" s="1">
        <f t="shared" si="29"/>
        <v>1.5444951923076922</v>
      </c>
      <c r="N155" s="3">
        <f t="shared" si="30"/>
        <v>10.877340430499137</v>
      </c>
      <c r="O155" s="1">
        <v>891</v>
      </c>
      <c r="P155" s="1">
        <f t="shared" si="31"/>
        <v>981</v>
      </c>
      <c r="Q155" s="1">
        <f t="shared" si="32"/>
        <v>4.2299663525457571</v>
      </c>
      <c r="R155" s="1">
        <f t="shared" si="33"/>
        <v>2.2166650597475361</v>
      </c>
      <c r="S155" s="2">
        <f t="shared" si="34"/>
        <v>11.5184361740135</v>
      </c>
      <c r="T155" s="3">
        <f t="shared" si="35"/>
        <v>0.2010346359173541</v>
      </c>
      <c r="U155" s="4" t="s">
        <v>571</v>
      </c>
    </row>
    <row r="156" spans="1:21" ht="14.25" customHeight="1" x14ac:dyDescent="0.3">
      <c r="A156" s="1" t="s">
        <v>26</v>
      </c>
      <c r="B156" s="1" t="s">
        <v>283</v>
      </c>
      <c r="C156" s="1" t="s">
        <v>284</v>
      </c>
      <c r="D156" s="1">
        <f t="shared" si="24"/>
        <v>58</v>
      </c>
      <c r="E156" s="1">
        <f t="shared" si="25"/>
        <v>0.87869212962962961</v>
      </c>
      <c r="F156" s="2">
        <f t="shared" si="26"/>
        <v>369.94573329483921</v>
      </c>
      <c r="G156" s="1">
        <v>2080</v>
      </c>
      <c r="H156" s="1">
        <v>3744</v>
      </c>
      <c r="I156" s="1">
        <v>0</v>
      </c>
      <c r="J156" s="1">
        <v>154</v>
      </c>
      <c r="K156" s="1">
        <f t="shared" si="27"/>
        <v>0</v>
      </c>
      <c r="L156" s="1">
        <f t="shared" si="28"/>
        <v>1.3437980769230768</v>
      </c>
      <c r="M156" s="1">
        <f t="shared" si="29"/>
        <v>1.3437980769230768</v>
      </c>
      <c r="N156" s="3">
        <f t="shared" si="30"/>
        <v>12.501878287002254</v>
      </c>
      <c r="O156" s="1">
        <v>1074</v>
      </c>
      <c r="P156" s="1">
        <f t="shared" si="31"/>
        <v>798</v>
      </c>
      <c r="Q156" s="1">
        <f t="shared" si="32"/>
        <v>4.8617145740298637</v>
      </c>
      <c r="R156" s="1">
        <f t="shared" si="33"/>
        <v>2.0724616613652942</v>
      </c>
      <c r="S156" s="2">
        <f t="shared" si="34"/>
        <v>9.4124410930660787</v>
      </c>
      <c r="T156" s="3">
        <f t="shared" si="35"/>
        <v>0.16427808772401709</v>
      </c>
      <c r="U156" s="4" t="s">
        <v>571</v>
      </c>
    </row>
    <row r="157" spans="1:21" ht="14.25" customHeight="1" x14ac:dyDescent="0.3">
      <c r="A157" s="1" t="s">
        <v>26</v>
      </c>
      <c r="B157" s="1" t="s">
        <v>515</v>
      </c>
      <c r="C157" s="1" t="s">
        <v>516</v>
      </c>
      <c r="D157" s="1">
        <f t="shared" si="24"/>
        <v>59</v>
      </c>
      <c r="E157" s="1">
        <f t="shared" si="25"/>
        <v>1.8576388888888889E-2</v>
      </c>
      <c r="F157" s="2">
        <f t="shared" si="26"/>
        <v>370.82465201732271</v>
      </c>
      <c r="G157" s="1">
        <v>2080</v>
      </c>
      <c r="H157" s="1">
        <v>3744</v>
      </c>
      <c r="I157" s="1">
        <v>0</v>
      </c>
      <c r="J157" s="1">
        <v>262</v>
      </c>
      <c r="K157" s="1">
        <f t="shared" si="27"/>
        <v>0</v>
      </c>
      <c r="L157" s="1">
        <f t="shared" si="28"/>
        <v>2.2862019230769226</v>
      </c>
      <c r="M157" s="1">
        <f t="shared" si="29"/>
        <v>2.2862019230769226</v>
      </c>
      <c r="N157" s="3">
        <f t="shared" si="30"/>
        <v>7.3484322755662124</v>
      </c>
      <c r="O157" s="1">
        <v>488</v>
      </c>
      <c r="P157" s="1">
        <f t="shared" si="31"/>
        <v>1384</v>
      </c>
      <c r="Q157" s="1">
        <f t="shared" si="32"/>
        <v>2.8576490244297679</v>
      </c>
      <c r="R157" s="1">
        <f t="shared" si="33"/>
        <v>2.112706330027136</v>
      </c>
      <c r="S157" s="2">
        <f t="shared" si="34"/>
        <v>16.040174127276632</v>
      </c>
      <c r="T157" s="3">
        <f t="shared" si="35"/>
        <v>0.27995385111418525</v>
      </c>
      <c r="U157" s="4" t="s">
        <v>571</v>
      </c>
    </row>
    <row r="158" spans="1:21" ht="14.25" customHeight="1" x14ac:dyDescent="0.3">
      <c r="A158" s="1" t="s">
        <v>26</v>
      </c>
      <c r="B158" s="1" t="s">
        <v>475</v>
      </c>
      <c r="C158" s="1" t="s">
        <v>476</v>
      </c>
      <c r="D158" s="1">
        <f t="shared" si="24"/>
        <v>59</v>
      </c>
      <c r="E158" s="1">
        <f t="shared" si="25"/>
        <v>1.8587962962962962E-2</v>
      </c>
      <c r="F158" s="2">
        <f t="shared" si="26"/>
        <v>370.82472473937486</v>
      </c>
      <c r="G158" s="1">
        <v>2080</v>
      </c>
      <c r="H158" s="1">
        <v>3744</v>
      </c>
      <c r="I158" s="1">
        <v>0</v>
      </c>
      <c r="J158" s="1">
        <v>258</v>
      </c>
      <c r="K158" s="1">
        <f t="shared" si="27"/>
        <v>0</v>
      </c>
      <c r="L158" s="1">
        <f t="shared" si="28"/>
        <v>2.251298076923077</v>
      </c>
      <c r="M158" s="1">
        <f t="shared" si="29"/>
        <v>2.251298076923077</v>
      </c>
      <c r="N158" s="3">
        <f t="shared" si="30"/>
        <v>7.4623614581331283</v>
      </c>
      <c r="O158" s="1">
        <v>687</v>
      </c>
      <c r="P158" s="1">
        <f t="shared" si="31"/>
        <v>1185</v>
      </c>
      <c r="Q158" s="1">
        <f t="shared" si="32"/>
        <v>2.9019536604674379</v>
      </c>
      <c r="R158" s="1">
        <f t="shared" si="33"/>
        <v>1.8369738716099966</v>
      </c>
      <c r="S158" s="2">
        <f t="shared" si="34"/>
        <v>13.829265569871339</v>
      </c>
      <c r="T158" s="3">
        <f t="shared" si="35"/>
        <v>0.2413662173269448</v>
      </c>
      <c r="U158" s="4" t="s">
        <v>571</v>
      </c>
    </row>
    <row r="159" spans="1:21" ht="14.25" customHeight="1" x14ac:dyDescent="0.3">
      <c r="A159" s="1" t="s">
        <v>26</v>
      </c>
      <c r="B159" s="1" t="s">
        <v>357</v>
      </c>
      <c r="C159" s="1" t="s">
        <v>358</v>
      </c>
      <c r="D159" s="1">
        <f t="shared" si="24"/>
        <v>59</v>
      </c>
      <c r="E159" s="1">
        <f t="shared" si="25"/>
        <v>1.8599537037037036E-2</v>
      </c>
      <c r="F159" s="2">
        <f t="shared" si="26"/>
        <v>370.82479746142701</v>
      </c>
      <c r="G159" s="1">
        <v>2080</v>
      </c>
      <c r="H159" s="1">
        <v>3744</v>
      </c>
      <c r="I159" s="1">
        <v>0</v>
      </c>
      <c r="J159" s="1">
        <v>246</v>
      </c>
      <c r="K159" s="1">
        <f t="shared" si="27"/>
        <v>0</v>
      </c>
      <c r="L159" s="1">
        <f t="shared" si="28"/>
        <v>2.1465865384615381</v>
      </c>
      <c r="M159" s="1">
        <f t="shared" si="29"/>
        <v>2.1465865384615381</v>
      </c>
      <c r="N159" s="3">
        <f t="shared" si="30"/>
        <v>7.826379090237185</v>
      </c>
      <c r="O159" s="1">
        <v>913</v>
      </c>
      <c r="P159" s="1">
        <f t="shared" si="31"/>
        <v>959</v>
      </c>
      <c r="Q159" s="1">
        <f t="shared" si="32"/>
        <v>3.0435123756121913</v>
      </c>
      <c r="R159" s="1">
        <f t="shared" si="33"/>
        <v>1.5591497693440659</v>
      </c>
      <c r="S159" s="2">
        <f t="shared" si="34"/>
        <v>11.266803000742144</v>
      </c>
      <c r="T159" s="3">
        <f t="shared" si="35"/>
        <v>0.19664280853652752</v>
      </c>
      <c r="U159" s="4" t="s">
        <v>571</v>
      </c>
    </row>
    <row r="160" spans="1:21" ht="14.25" customHeight="1" x14ac:dyDescent="0.3">
      <c r="A160" s="1" t="s">
        <v>48</v>
      </c>
      <c r="B160" s="1" t="s">
        <v>556</v>
      </c>
      <c r="C160" s="1" t="s">
        <v>557</v>
      </c>
      <c r="D160" s="1">
        <f t="shared" si="24"/>
        <v>60</v>
      </c>
      <c r="E160" s="1">
        <f t="shared" si="25"/>
        <v>2.1562499999999998E-2</v>
      </c>
      <c r="F160" s="2">
        <f t="shared" si="26"/>
        <v>377.12659961396122</v>
      </c>
      <c r="G160" s="1">
        <v>2080</v>
      </c>
      <c r="H160" s="1">
        <v>3744</v>
      </c>
      <c r="I160" s="1">
        <v>0</v>
      </c>
      <c r="J160" s="1">
        <v>498</v>
      </c>
      <c r="K160" s="1">
        <f t="shared" si="27"/>
        <v>0</v>
      </c>
      <c r="L160" s="1">
        <f t="shared" si="28"/>
        <v>4.3455288461538455</v>
      </c>
      <c r="M160" s="1">
        <f t="shared" si="29"/>
        <v>4.3455288461538455</v>
      </c>
      <c r="N160" s="3">
        <f t="shared" si="30"/>
        <v>3.8660426831292116</v>
      </c>
      <c r="O160" s="1">
        <v>64</v>
      </c>
      <c r="P160" s="1">
        <f t="shared" si="31"/>
        <v>1808</v>
      </c>
      <c r="Q160" s="1">
        <f t="shared" si="32"/>
        <v>1.5034217759048174</v>
      </c>
      <c r="R160" s="1">
        <f t="shared" si="33"/>
        <v>1.4520227408311484</v>
      </c>
      <c r="S160" s="2">
        <f t="shared" si="34"/>
        <v>20.585361591596598</v>
      </c>
      <c r="T160" s="3">
        <f t="shared" si="35"/>
        <v>0.35928233748694094</v>
      </c>
      <c r="U160" s="4" t="s">
        <v>571</v>
      </c>
    </row>
    <row r="161" spans="1:21" ht="14.25" customHeight="1" x14ac:dyDescent="0.3">
      <c r="A161" s="1" t="s">
        <v>48</v>
      </c>
      <c r="B161" s="1" t="s">
        <v>525</v>
      </c>
      <c r="C161" s="1" t="s">
        <v>526</v>
      </c>
      <c r="D161" s="1">
        <f t="shared" si="24"/>
        <v>60</v>
      </c>
      <c r="E161" s="1">
        <f t="shared" si="25"/>
        <v>2.1574074074074075E-2</v>
      </c>
      <c r="F161" s="2">
        <f t="shared" si="26"/>
        <v>377.12667233601343</v>
      </c>
      <c r="G161" s="1">
        <v>2080</v>
      </c>
      <c r="H161" s="1">
        <v>3744</v>
      </c>
      <c r="I161" s="1">
        <v>0</v>
      </c>
      <c r="J161" s="1">
        <v>511</v>
      </c>
      <c r="K161" s="1">
        <f t="shared" si="27"/>
        <v>0</v>
      </c>
      <c r="L161" s="1">
        <f t="shared" si="28"/>
        <v>4.4589663461538462</v>
      </c>
      <c r="M161" s="1">
        <f t="shared" si="29"/>
        <v>4.4589663461538462</v>
      </c>
      <c r="N161" s="3">
        <f t="shared" si="30"/>
        <v>3.7676893467678028</v>
      </c>
      <c r="O161" s="1">
        <v>467</v>
      </c>
      <c r="P161" s="1">
        <f t="shared" si="31"/>
        <v>1405</v>
      </c>
      <c r="Q161" s="1">
        <f t="shared" si="32"/>
        <v>1.4651742551870821</v>
      </c>
      <c r="R161" s="1">
        <f t="shared" si="33"/>
        <v>1.0996633699454328</v>
      </c>
      <c r="S161" s="2">
        <f t="shared" si="34"/>
        <v>16.270771054202587</v>
      </c>
      <c r="T161" s="3">
        <f t="shared" si="35"/>
        <v>0.28397852673402391</v>
      </c>
      <c r="U161" s="4" t="s">
        <v>571</v>
      </c>
    </row>
    <row r="162" spans="1:21" ht="14.25" customHeight="1" x14ac:dyDescent="0.3">
      <c r="A162" s="1" t="s">
        <v>291</v>
      </c>
      <c r="B162" s="1" t="s">
        <v>409</v>
      </c>
      <c r="C162" s="1" t="s">
        <v>410</v>
      </c>
      <c r="D162" s="1">
        <f t="shared" si="24"/>
        <v>61</v>
      </c>
      <c r="E162" s="1">
        <f t="shared" si="25"/>
        <v>0.80743055555555554</v>
      </c>
      <c r="F162" s="2">
        <f t="shared" si="26"/>
        <v>388.34753954118929</v>
      </c>
      <c r="G162" s="1">
        <v>2080</v>
      </c>
      <c r="H162" s="1">
        <v>3744</v>
      </c>
      <c r="I162" s="1">
        <v>0</v>
      </c>
      <c r="J162" s="1">
        <v>966</v>
      </c>
      <c r="K162" s="1">
        <f t="shared" si="27"/>
        <v>0</v>
      </c>
      <c r="L162" s="1">
        <f t="shared" si="28"/>
        <v>8.4292788461538457</v>
      </c>
      <c r="M162" s="1">
        <f t="shared" si="29"/>
        <v>8.4292788461538457</v>
      </c>
      <c r="N162" s="3">
        <f t="shared" si="30"/>
        <v>1.9930530602467362</v>
      </c>
      <c r="O162" s="1">
        <v>841</v>
      </c>
      <c r="P162" s="1">
        <f t="shared" si="31"/>
        <v>1031</v>
      </c>
      <c r="Q162" s="1">
        <f t="shared" si="32"/>
        <v>0.77505594658447097</v>
      </c>
      <c r="R162" s="1">
        <f t="shared" si="33"/>
        <v>0.42686040647894746</v>
      </c>
      <c r="S162" s="2">
        <f t="shared" si="34"/>
        <v>12.088644345045823</v>
      </c>
      <c r="T162" s="3">
        <f t="shared" si="35"/>
        <v>0.21098664592364308</v>
      </c>
      <c r="U162" s="4" t="s">
        <v>571</v>
      </c>
    </row>
    <row r="163" spans="1:21" ht="14.25" customHeight="1" x14ac:dyDescent="0.3">
      <c r="A163" s="1" t="s">
        <v>291</v>
      </c>
      <c r="B163" s="1" t="s">
        <v>548</v>
      </c>
      <c r="C163" s="1" t="s">
        <v>549</v>
      </c>
      <c r="D163" s="1">
        <f t="shared" si="24"/>
        <v>61</v>
      </c>
      <c r="E163" s="1">
        <f t="shared" si="25"/>
        <v>0.80744212962962969</v>
      </c>
      <c r="F163" s="2">
        <f t="shared" si="26"/>
        <v>388.34761226324144</v>
      </c>
      <c r="G163" s="1">
        <v>2080</v>
      </c>
      <c r="H163" s="1">
        <v>3744</v>
      </c>
      <c r="I163" s="1">
        <v>0</v>
      </c>
      <c r="J163" s="1">
        <v>756</v>
      </c>
      <c r="K163" s="1">
        <f t="shared" si="27"/>
        <v>0</v>
      </c>
      <c r="L163" s="1">
        <f t="shared" si="28"/>
        <v>6.5968269230769225</v>
      </c>
      <c r="M163" s="1">
        <f t="shared" si="29"/>
        <v>6.5968269230769225</v>
      </c>
      <c r="N163" s="3">
        <f t="shared" si="30"/>
        <v>2.5466789103152743</v>
      </c>
      <c r="O163" s="1">
        <v>220</v>
      </c>
      <c r="P163" s="1">
        <f t="shared" si="31"/>
        <v>1652</v>
      </c>
      <c r="Q163" s="1">
        <f t="shared" si="32"/>
        <v>0.99034926508015741</v>
      </c>
      <c r="R163" s="1">
        <f t="shared" si="33"/>
        <v>0.87396206512415597</v>
      </c>
      <c r="S163" s="2">
        <f t="shared" si="34"/>
        <v>18.941050368685644</v>
      </c>
      <c r="T163" s="3">
        <f t="shared" si="35"/>
        <v>0.33058369271965038</v>
      </c>
      <c r="U163" s="4" t="s">
        <v>571</v>
      </c>
    </row>
    <row r="164" spans="1:21" ht="14.25" customHeight="1" x14ac:dyDescent="0.3">
      <c r="A164" s="1" t="s">
        <v>26</v>
      </c>
      <c r="B164" s="1" t="s">
        <v>351</v>
      </c>
      <c r="C164" s="1" t="s">
        <v>352</v>
      </c>
      <c r="D164" s="1">
        <f t="shared" si="24"/>
        <v>67</v>
      </c>
      <c r="E164" s="1">
        <f t="shared" si="25"/>
        <v>0.92821759259259251</v>
      </c>
      <c r="F164" s="2">
        <f t="shared" si="26"/>
        <v>426.80557872067561</v>
      </c>
      <c r="G164" s="1">
        <v>2080</v>
      </c>
      <c r="H164" s="1">
        <v>3744</v>
      </c>
      <c r="I164" s="1">
        <v>0</v>
      </c>
      <c r="J164" s="1">
        <v>230</v>
      </c>
      <c r="K164" s="1">
        <f t="shared" si="27"/>
        <v>0</v>
      </c>
      <c r="L164" s="1">
        <f t="shared" si="28"/>
        <v>2.0069711538461537</v>
      </c>
      <c r="M164" s="1">
        <f t="shared" si="29"/>
        <v>2.0069711538461537</v>
      </c>
      <c r="N164" s="3">
        <f t="shared" si="30"/>
        <v>8.3708228530362927</v>
      </c>
      <c r="O164" s="1">
        <v>921</v>
      </c>
      <c r="P164" s="1">
        <f t="shared" si="31"/>
        <v>951</v>
      </c>
      <c r="Q164" s="1">
        <f t="shared" si="32"/>
        <v>3.2552349756547785</v>
      </c>
      <c r="R164" s="1">
        <f t="shared" si="33"/>
        <v>1.6537011014143665</v>
      </c>
      <c r="S164" s="2">
        <f t="shared" si="34"/>
        <v>11.175190215919049</v>
      </c>
      <c r="T164" s="3">
        <f t="shared" si="35"/>
        <v>0.19504386380444344</v>
      </c>
      <c r="U164" s="4" t="s">
        <v>571</v>
      </c>
    </row>
    <row r="165" spans="1:21" ht="14.25" customHeight="1" x14ac:dyDescent="0.3">
      <c r="A165" s="1" t="s">
        <v>26</v>
      </c>
      <c r="B165" s="1" t="s">
        <v>212</v>
      </c>
      <c r="C165" s="1" t="s">
        <v>213</v>
      </c>
      <c r="D165" s="1">
        <f t="shared" si="24"/>
        <v>67</v>
      </c>
      <c r="E165" s="1">
        <f t="shared" si="25"/>
        <v>0.92822916666666666</v>
      </c>
      <c r="F165" s="2">
        <f t="shared" si="26"/>
        <v>426.80565144272782</v>
      </c>
      <c r="G165" s="1">
        <v>2080</v>
      </c>
      <c r="H165" s="1">
        <v>3744</v>
      </c>
      <c r="I165" s="1">
        <v>0</v>
      </c>
      <c r="J165" s="1">
        <v>217</v>
      </c>
      <c r="K165" s="1">
        <f t="shared" si="27"/>
        <v>0</v>
      </c>
      <c r="L165" s="1">
        <f t="shared" si="28"/>
        <v>1.8935336538461538</v>
      </c>
      <c r="M165" s="1">
        <f t="shared" si="29"/>
        <v>1.8935336538461538</v>
      </c>
      <c r="N165" s="3">
        <f t="shared" si="30"/>
        <v>8.8723007198080523</v>
      </c>
      <c r="O165" s="1">
        <v>1247</v>
      </c>
      <c r="P165" s="1">
        <f t="shared" si="31"/>
        <v>625</v>
      </c>
      <c r="Q165" s="1">
        <f t="shared" si="32"/>
        <v>3.4502490525373228</v>
      </c>
      <c r="R165" s="1">
        <f t="shared" si="33"/>
        <v>1.151926099271275</v>
      </c>
      <c r="S165" s="2">
        <f t="shared" si="34"/>
        <v>7.3975576751620924</v>
      </c>
      <c r="T165" s="3">
        <f t="shared" si="35"/>
        <v>0.12911173803775566</v>
      </c>
      <c r="U165" s="4" t="s">
        <v>571</v>
      </c>
    </row>
    <row r="166" spans="1:21" ht="14.25" customHeight="1" x14ac:dyDescent="0.3">
      <c r="A166" s="1" t="s">
        <v>26</v>
      </c>
      <c r="B166" s="1" t="s">
        <v>519</v>
      </c>
      <c r="C166" s="1" t="s">
        <v>520</v>
      </c>
      <c r="D166" s="1">
        <f t="shared" si="24"/>
        <v>67</v>
      </c>
      <c r="E166" s="1">
        <f t="shared" si="25"/>
        <v>0.92828703703703708</v>
      </c>
      <c r="F166" s="2">
        <f t="shared" si="26"/>
        <v>426.80601505298864</v>
      </c>
      <c r="G166" s="1">
        <v>2080</v>
      </c>
      <c r="H166" s="1">
        <v>3744</v>
      </c>
      <c r="I166" s="1">
        <v>0</v>
      </c>
      <c r="J166" s="1">
        <v>170</v>
      </c>
      <c r="K166" s="1">
        <f t="shared" si="27"/>
        <v>0</v>
      </c>
      <c r="L166" s="1">
        <f t="shared" si="28"/>
        <v>1.4834134615384613</v>
      </c>
      <c r="M166" s="1">
        <f t="shared" si="29"/>
        <v>1.4834134615384613</v>
      </c>
      <c r="N166" s="3">
        <f t="shared" si="30"/>
        <v>11.325230918813809</v>
      </c>
      <c r="O166" s="1">
        <v>479</v>
      </c>
      <c r="P166" s="1">
        <f t="shared" si="31"/>
        <v>1393</v>
      </c>
      <c r="Q166" s="1">
        <f t="shared" si="32"/>
        <v>4.4041414376505825</v>
      </c>
      <c r="R166" s="1">
        <f t="shared" si="33"/>
        <v>3.2772270420124259</v>
      </c>
      <c r="S166" s="2">
        <f t="shared" si="34"/>
        <v>16.139067206262443</v>
      </c>
      <c r="T166" s="3">
        <f t="shared" si="35"/>
        <v>0.28167986094992242</v>
      </c>
      <c r="U166" s="4" t="s">
        <v>571</v>
      </c>
    </row>
    <row r="167" spans="1:21" ht="14.25" customHeight="1" x14ac:dyDescent="0.3">
      <c r="A167" s="1" t="s">
        <v>26</v>
      </c>
      <c r="B167" s="1" t="s">
        <v>503</v>
      </c>
      <c r="C167" s="1" t="s">
        <v>504</v>
      </c>
      <c r="D167" s="1">
        <f t="shared" si="24"/>
        <v>67</v>
      </c>
      <c r="E167" s="1">
        <f t="shared" si="25"/>
        <v>0.92829861111111101</v>
      </c>
      <c r="F167" s="2">
        <f t="shared" si="26"/>
        <v>426.80608777504085</v>
      </c>
      <c r="G167" s="1">
        <v>2080</v>
      </c>
      <c r="H167" s="1">
        <v>3744</v>
      </c>
      <c r="I167" s="1">
        <v>0</v>
      </c>
      <c r="J167" s="1">
        <v>161</v>
      </c>
      <c r="K167" s="1">
        <f t="shared" si="27"/>
        <v>0</v>
      </c>
      <c r="L167" s="1">
        <f t="shared" si="28"/>
        <v>1.4048798076923075</v>
      </c>
      <c r="M167" s="1">
        <f t="shared" si="29"/>
        <v>1.4048798076923075</v>
      </c>
      <c r="N167" s="3">
        <f t="shared" si="30"/>
        <v>11.958318361480419</v>
      </c>
      <c r="O167" s="1">
        <v>542</v>
      </c>
      <c r="P167" s="1">
        <f t="shared" si="31"/>
        <v>1330</v>
      </c>
      <c r="Q167" s="1">
        <f t="shared" si="32"/>
        <v>4.6503356795068269</v>
      </c>
      <c r="R167" s="1">
        <f t="shared" si="33"/>
        <v>3.3039243876838036</v>
      </c>
      <c r="S167" s="2">
        <f t="shared" si="34"/>
        <v>15.444768190722634</v>
      </c>
      <c r="T167" s="3">
        <f t="shared" si="35"/>
        <v>0.26956205713539749</v>
      </c>
      <c r="U167" s="4" t="s">
        <v>571</v>
      </c>
    </row>
    <row r="168" spans="1:21" ht="14.25" customHeight="1" x14ac:dyDescent="0.3">
      <c r="A168" s="1" t="s">
        <v>26</v>
      </c>
      <c r="B168" s="1" t="s">
        <v>523</v>
      </c>
      <c r="C168" s="1" t="s">
        <v>524</v>
      </c>
      <c r="D168" s="1">
        <f t="shared" si="24"/>
        <v>67</v>
      </c>
      <c r="E168" s="1">
        <f t="shared" si="25"/>
        <v>0.92831018518518515</v>
      </c>
      <c r="F168" s="2">
        <f t="shared" si="26"/>
        <v>426.806160497093</v>
      </c>
      <c r="G168" s="1">
        <v>2080</v>
      </c>
      <c r="H168" s="1">
        <v>3744</v>
      </c>
      <c r="I168" s="1">
        <v>0</v>
      </c>
      <c r="J168" s="1">
        <v>168</v>
      </c>
      <c r="K168" s="1">
        <f t="shared" si="27"/>
        <v>0</v>
      </c>
      <c r="L168" s="1">
        <f t="shared" si="28"/>
        <v>1.4659615384615383</v>
      </c>
      <c r="M168" s="1">
        <f t="shared" si="29"/>
        <v>1.4659615384615383</v>
      </c>
      <c r="N168" s="3">
        <f t="shared" si="30"/>
        <v>11.460055096418735</v>
      </c>
      <c r="O168" s="1">
        <v>471</v>
      </c>
      <c r="P168" s="1">
        <f t="shared" si="31"/>
        <v>1401</v>
      </c>
      <c r="Q168" s="1">
        <f t="shared" si="32"/>
        <v>4.4565716928607086</v>
      </c>
      <c r="R168" s="1">
        <f t="shared" si="33"/>
        <v>3.3352868278300498</v>
      </c>
      <c r="S168" s="2">
        <f t="shared" si="34"/>
        <v>16.226889329806379</v>
      </c>
      <c r="T168" s="3">
        <f t="shared" si="35"/>
        <v>0.28321264616185737</v>
      </c>
      <c r="U168" s="4" t="s">
        <v>571</v>
      </c>
    </row>
    <row r="169" spans="1:21" ht="14.25" customHeight="1" x14ac:dyDescent="0.3">
      <c r="A169" s="1" t="s">
        <v>26</v>
      </c>
      <c r="B169" s="1" t="s">
        <v>74</v>
      </c>
      <c r="C169" s="1" t="s">
        <v>75</v>
      </c>
      <c r="D169" s="1">
        <f t="shared" si="24"/>
        <v>68</v>
      </c>
      <c r="E169" s="1">
        <f t="shared" si="25"/>
        <v>1.3032407407407407E-2</v>
      </c>
      <c r="F169" s="2">
        <f t="shared" si="26"/>
        <v>427.33848591895128</v>
      </c>
      <c r="G169" s="1">
        <v>2080</v>
      </c>
      <c r="H169" s="1">
        <v>3744</v>
      </c>
      <c r="I169" s="1">
        <v>0</v>
      </c>
      <c r="J169" s="1">
        <v>118</v>
      </c>
      <c r="K169" s="1">
        <f t="shared" si="27"/>
        <v>0</v>
      </c>
      <c r="L169" s="1">
        <f t="shared" si="28"/>
        <v>1.0296634615384614</v>
      </c>
      <c r="M169" s="1">
        <f t="shared" si="29"/>
        <v>1.0296634615384614</v>
      </c>
      <c r="N169" s="3">
        <f t="shared" si="30"/>
        <v>16.316010645748708</v>
      </c>
      <c r="O169" s="1">
        <v>1758</v>
      </c>
      <c r="P169" s="1">
        <f t="shared" si="31"/>
        <v>114</v>
      </c>
      <c r="Q169" s="1">
        <f t="shared" si="32"/>
        <v>6.3449495288186366</v>
      </c>
      <c r="R169" s="1">
        <f t="shared" si="33"/>
        <v>0.38639115720369904</v>
      </c>
      <c r="S169" s="2">
        <f t="shared" si="34"/>
        <v>1.3566089044246887</v>
      </c>
      <c r="T169" s="3">
        <f t="shared" si="35"/>
        <v>2.3677292044083888E-2</v>
      </c>
      <c r="U169" s="4" t="s">
        <v>571</v>
      </c>
    </row>
    <row r="170" spans="1:21" ht="14.25" customHeight="1" x14ac:dyDescent="0.3">
      <c r="A170" s="1" t="s">
        <v>26</v>
      </c>
      <c r="B170" s="1" t="s">
        <v>119</v>
      </c>
      <c r="C170" s="1" t="s">
        <v>120</v>
      </c>
      <c r="D170" s="1">
        <f t="shared" si="24"/>
        <v>68</v>
      </c>
      <c r="E170" s="1">
        <f t="shared" si="25"/>
        <v>1.3043981481481483E-2</v>
      </c>
      <c r="F170" s="2">
        <f t="shared" si="26"/>
        <v>427.33855864100349</v>
      </c>
      <c r="G170" s="1">
        <v>2080</v>
      </c>
      <c r="H170" s="1">
        <v>3744</v>
      </c>
      <c r="I170" s="1">
        <v>0</v>
      </c>
      <c r="J170" s="1">
        <v>128</v>
      </c>
      <c r="K170" s="1">
        <f t="shared" si="27"/>
        <v>0</v>
      </c>
      <c r="L170" s="1">
        <f t="shared" si="28"/>
        <v>1.1169230769230769</v>
      </c>
      <c r="M170" s="1">
        <f t="shared" si="29"/>
        <v>1.1169230769230769</v>
      </c>
      <c r="N170" s="3">
        <f t="shared" si="30"/>
        <v>15.041322314049587</v>
      </c>
      <c r="O170" s="1">
        <v>1646</v>
      </c>
      <c r="P170" s="1">
        <f t="shared" si="31"/>
        <v>226</v>
      </c>
      <c r="Q170" s="1">
        <f t="shared" si="32"/>
        <v>5.8492503468796793</v>
      </c>
      <c r="R170" s="1">
        <f t="shared" si="33"/>
        <v>0.7061594970057733</v>
      </c>
      <c r="S170" s="2">
        <f t="shared" si="34"/>
        <v>2.687946655195955</v>
      </c>
      <c r="T170" s="3">
        <f t="shared" si="35"/>
        <v>4.691351925113816E-2</v>
      </c>
      <c r="U170" s="4" t="s">
        <v>571</v>
      </c>
    </row>
    <row r="171" spans="1:21" ht="14.25" customHeight="1" x14ac:dyDescent="0.3">
      <c r="A171" s="1" t="s">
        <v>185</v>
      </c>
      <c r="B171" s="1" t="s">
        <v>302</v>
      </c>
      <c r="C171" s="1" t="s">
        <v>303</v>
      </c>
      <c r="D171" s="1">
        <f t="shared" si="24"/>
        <v>69</v>
      </c>
      <c r="E171" s="1">
        <f t="shared" si="25"/>
        <v>1.9282407407407408E-2</v>
      </c>
      <c r="F171" s="2">
        <f t="shared" si="26"/>
        <v>433.66094113430069</v>
      </c>
      <c r="G171" s="1">
        <v>2080</v>
      </c>
      <c r="H171" s="1">
        <v>3744</v>
      </c>
      <c r="I171" s="1">
        <v>0</v>
      </c>
      <c r="J171" s="1">
        <v>429</v>
      </c>
      <c r="K171" s="1">
        <f t="shared" si="27"/>
        <v>0</v>
      </c>
      <c r="L171" s="1">
        <f t="shared" si="28"/>
        <v>3.7434374999999998</v>
      </c>
      <c r="M171" s="1">
        <f t="shared" si="29"/>
        <v>3.7434374999999998</v>
      </c>
      <c r="N171" s="3">
        <f t="shared" si="30"/>
        <v>4.4878537440520914</v>
      </c>
      <c r="O171" s="1">
        <v>1026</v>
      </c>
      <c r="P171" s="1">
        <f t="shared" si="31"/>
        <v>846</v>
      </c>
      <c r="Q171" s="1">
        <f t="shared" si="32"/>
        <v>1.7452308727286689</v>
      </c>
      <c r="R171" s="1">
        <f t="shared" si="33"/>
        <v>0.78871010594468693</v>
      </c>
      <c r="S171" s="2">
        <f t="shared" si="34"/>
        <v>9.9675612396261233</v>
      </c>
      <c r="T171" s="3">
        <f t="shared" si="35"/>
        <v>0.17396676202564335</v>
      </c>
      <c r="U171" s="4" t="s">
        <v>571</v>
      </c>
    </row>
    <row r="172" spans="1:21" ht="14.25" customHeight="1" x14ac:dyDescent="0.3">
      <c r="A172" s="1" t="s">
        <v>185</v>
      </c>
      <c r="B172" s="1" t="s">
        <v>197</v>
      </c>
      <c r="C172" s="1" t="s">
        <v>198</v>
      </c>
      <c r="D172" s="1">
        <f t="shared" si="24"/>
        <v>69</v>
      </c>
      <c r="E172" s="1">
        <f t="shared" si="25"/>
        <v>1.9293981481481485E-2</v>
      </c>
      <c r="F172" s="2">
        <f t="shared" si="26"/>
        <v>433.66101385635289</v>
      </c>
      <c r="G172" s="1">
        <v>2080</v>
      </c>
      <c r="H172" s="1">
        <v>3744</v>
      </c>
      <c r="I172" s="1">
        <v>0</v>
      </c>
      <c r="J172" s="1">
        <v>362</v>
      </c>
      <c r="K172" s="1">
        <f t="shared" si="27"/>
        <v>0</v>
      </c>
      <c r="L172" s="1">
        <f t="shared" si="28"/>
        <v>3.1587980769230768</v>
      </c>
      <c r="M172" s="1">
        <f t="shared" si="29"/>
        <v>3.1587980769230768</v>
      </c>
      <c r="N172" s="3">
        <f t="shared" si="30"/>
        <v>5.3184786082827271</v>
      </c>
      <c r="O172" s="1">
        <v>1301</v>
      </c>
      <c r="P172" s="1">
        <f t="shared" si="31"/>
        <v>571</v>
      </c>
      <c r="Q172" s="1">
        <f t="shared" si="32"/>
        <v>2.0682432165762403</v>
      </c>
      <c r="R172" s="1">
        <f t="shared" si="33"/>
        <v>0.63085837428687674</v>
      </c>
      <c r="S172" s="2">
        <f t="shared" si="34"/>
        <v>6.7646072006361173</v>
      </c>
      <c r="T172" s="3">
        <f t="shared" si="35"/>
        <v>0.1180646682552169</v>
      </c>
      <c r="U172" s="4" t="s">
        <v>571</v>
      </c>
    </row>
    <row r="173" spans="1:21" ht="14.25" customHeight="1" x14ac:dyDescent="0.3">
      <c r="A173" s="1" t="s">
        <v>26</v>
      </c>
      <c r="B173" s="1" t="s">
        <v>439</v>
      </c>
      <c r="C173" s="1" t="s">
        <v>440</v>
      </c>
      <c r="D173" s="1">
        <f t="shared" si="24"/>
        <v>69</v>
      </c>
      <c r="E173" s="1">
        <f t="shared" si="25"/>
        <v>0.10559027777777778</v>
      </c>
      <c r="F173" s="2">
        <f t="shared" si="26"/>
        <v>434.2032294773058</v>
      </c>
      <c r="G173" s="1">
        <v>2080</v>
      </c>
      <c r="H173" s="1">
        <v>3744</v>
      </c>
      <c r="I173" s="1">
        <v>0</v>
      </c>
      <c r="J173" s="1">
        <v>180</v>
      </c>
      <c r="K173" s="1">
        <f t="shared" si="27"/>
        <v>0</v>
      </c>
      <c r="L173" s="1">
        <f t="shared" si="28"/>
        <v>1.5706730769230768</v>
      </c>
      <c r="M173" s="1">
        <f t="shared" si="29"/>
        <v>1.5706730769230768</v>
      </c>
      <c r="N173" s="3">
        <f t="shared" si="30"/>
        <v>10.696051423324151</v>
      </c>
      <c r="O173" s="1">
        <v>755</v>
      </c>
      <c r="P173" s="1">
        <f t="shared" si="31"/>
        <v>1117</v>
      </c>
      <c r="Q173" s="1">
        <f t="shared" si="32"/>
        <v>4.1594669133366606</v>
      </c>
      <c r="R173" s="1">
        <f t="shared" si="33"/>
        <v>2.4819041357890224</v>
      </c>
      <c r="S173" s="2">
        <f t="shared" si="34"/>
        <v>13.063687023686388</v>
      </c>
      <c r="T173" s="3">
        <f t="shared" si="35"/>
        <v>0.22800435101338593</v>
      </c>
      <c r="U173" s="4" t="s">
        <v>571</v>
      </c>
    </row>
    <row r="174" spans="1:21" ht="14.25" customHeight="1" x14ac:dyDescent="0.3">
      <c r="A174" s="1" t="s">
        <v>26</v>
      </c>
      <c r="B174" s="1" t="s">
        <v>328</v>
      </c>
      <c r="C174" s="1" t="s">
        <v>329</v>
      </c>
      <c r="D174" s="1">
        <f t="shared" si="24"/>
        <v>69</v>
      </c>
      <c r="E174" s="1">
        <f t="shared" si="25"/>
        <v>0.10560185185185185</v>
      </c>
      <c r="F174" s="2">
        <f t="shared" si="26"/>
        <v>434.20330219935801</v>
      </c>
      <c r="G174" s="1">
        <v>2080</v>
      </c>
      <c r="H174" s="1">
        <v>3744</v>
      </c>
      <c r="I174" s="1">
        <v>0</v>
      </c>
      <c r="J174" s="1">
        <v>172</v>
      </c>
      <c r="K174" s="1">
        <f t="shared" si="27"/>
        <v>0</v>
      </c>
      <c r="L174" s="1">
        <f t="shared" si="28"/>
        <v>1.5008653846153845</v>
      </c>
      <c r="M174" s="1">
        <f t="shared" si="29"/>
        <v>1.5008653846153845</v>
      </c>
      <c r="N174" s="3">
        <f t="shared" si="30"/>
        <v>11.193542187199693</v>
      </c>
      <c r="O174" s="1">
        <v>947</v>
      </c>
      <c r="P174" s="1">
        <f t="shared" si="31"/>
        <v>925</v>
      </c>
      <c r="Q174" s="1">
        <f t="shared" si="32"/>
        <v>4.3529304907011568</v>
      </c>
      <c r="R174" s="1">
        <f t="shared" si="33"/>
        <v>2.1508871281509454</v>
      </c>
      <c r="S174" s="2">
        <f t="shared" si="34"/>
        <v>10.877050849152393</v>
      </c>
      <c r="T174" s="3">
        <f t="shared" si="35"/>
        <v>0.18984035022455434</v>
      </c>
      <c r="U174" s="4" t="s">
        <v>571</v>
      </c>
    </row>
    <row r="175" spans="1:21" ht="14.25" customHeight="1" x14ac:dyDescent="0.3">
      <c r="A175" s="1" t="s">
        <v>26</v>
      </c>
      <c r="B175" s="1" t="s">
        <v>250</v>
      </c>
      <c r="C175" s="1" t="s">
        <v>251</v>
      </c>
      <c r="D175" s="1">
        <f t="shared" si="24"/>
        <v>69</v>
      </c>
      <c r="E175" s="1">
        <f t="shared" si="25"/>
        <v>0.10568287037037037</v>
      </c>
      <c r="F175" s="2">
        <f t="shared" si="26"/>
        <v>434.20381125372313</v>
      </c>
      <c r="G175" s="1">
        <v>2080</v>
      </c>
      <c r="H175" s="1">
        <v>3744</v>
      </c>
      <c r="I175" s="1">
        <v>0</v>
      </c>
      <c r="J175" s="1">
        <v>138</v>
      </c>
      <c r="K175" s="1">
        <f t="shared" si="27"/>
        <v>0</v>
      </c>
      <c r="L175" s="1">
        <f t="shared" si="28"/>
        <v>1.2041826923076921</v>
      </c>
      <c r="M175" s="1">
        <f t="shared" si="29"/>
        <v>1.2041826923076921</v>
      </c>
      <c r="N175" s="3">
        <f t="shared" si="30"/>
        <v>13.951371421727156</v>
      </c>
      <c r="O175" s="1">
        <v>1148</v>
      </c>
      <c r="P175" s="1">
        <f t="shared" si="31"/>
        <v>724</v>
      </c>
      <c r="Q175" s="1">
        <f t="shared" si="32"/>
        <v>5.4253916260912982</v>
      </c>
      <c r="R175" s="1">
        <f t="shared" si="33"/>
        <v>2.0982818041079594</v>
      </c>
      <c r="S175" s="2">
        <f t="shared" si="34"/>
        <v>8.5531603884030716</v>
      </c>
      <c r="T175" s="3">
        <f t="shared" si="35"/>
        <v>0.14928081022879061</v>
      </c>
      <c r="U175" s="4" t="s">
        <v>571</v>
      </c>
    </row>
    <row r="176" spans="1:21" ht="14.25" customHeight="1" x14ac:dyDescent="0.3">
      <c r="A176" s="1" t="s">
        <v>26</v>
      </c>
      <c r="B176" s="1" t="s">
        <v>298</v>
      </c>
      <c r="C176" s="1" t="s">
        <v>299</v>
      </c>
      <c r="D176" s="1">
        <f t="shared" si="24"/>
        <v>69</v>
      </c>
      <c r="E176" s="1">
        <f t="shared" si="25"/>
        <v>0.10569444444444444</v>
      </c>
      <c r="F176" s="2">
        <f t="shared" si="26"/>
        <v>434.20388397577523</v>
      </c>
      <c r="G176" s="1">
        <v>2080</v>
      </c>
      <c r="H176" s="1">
        <v>3744</v>
      </c>
      <c r="I176" s="1">
        <v>0</v>
      </c>
      <c r="J176" s="1">
        <v>141</v>
      </c>
      <c r="K176" s="1">
        <f t="shared" si="27"/>
        <v>0</v>
      </c>
      <c r="L176" s="1">
        <f t="shared" si="28"/>
        <v>1.2303605769230768</v>
      </c>
      <c r="M176" s="1">
        <f t="shared" si="29"/>
        <v>1.2303605769230768</v>
      </c>
      <c r="N176" s="3">
        <f t="shared" si="30"/>
        <v>13.654533731903173</v>
      </c>
      <c r="O176" s="1">
        <v>1037</v>
      </c>
      <c r="P176" s="1">
        <f t="shared" si="31"/>
        <v>835</v>
      </c>
      <c r="Q176" s="1">
        <f t="shared" si="32"/>
        <v>5.309957761706376</v>
      </c>
      <c r="R176" s="1">
        <f t="shared" si="33"/>
        <v>2.3684907751200983</v>
      </c>
      <c r="S176" s="2">
        <f t="shared" si="34"/>
        <v>9.8405091964882061</v>
      </c>
      <c r="T176" s="3">
        <f t="shared" si="35"/>
        <v>0.17174928555150082</v>
      </c>
      <c r="U176" s="4" t="s">
        <v>571</v>
      </c>
    </row>
    <row r="177" spans="1:22" ht="14.25" customHeight="1" x14ac:dyDescent="0.3">
      <c r="A177" s="1" t="s">
        <v>26</v>
      </c>
      <c r="B177" s="1" t="s">
        <v>391</v>
      </c>
      <c r="C177" s="1" t="s">
        <v>392</v>
      </c>
      <c r="D177" s="1">
        <f t="shared" si="24"/>
        <v>69</v>
      </c>
      <c r="E177" s="1">
        <f t="shared" si="25"/>
        <v>0.10570601851851852</v>
      </c>
      <c r="F177" s="2">
        <f t="shared" si="26"/>
        <v>434.20395669782744</v>
      </c>
      <c r="G177" s="1">
        <v>2080</v>
      </c>
      <c r="H177" s="1">
        <v>3744</v>
      </c>
      <c r="I177" s="1">
        <v>0</v>
      </c>
      <c r="J177" s="1">
        <v>139</v>
      </c>
      <c r="K177" s="1">
        <f t="shared" si="27"/>
        <v>0</v>
      </c>
      <c r="L177" s="1">
        <f t="shared" si="28"/>
        <v>1.2129086538461538</v>
      </c>
      <c r="M177" s="1">
        <f t="shared" si="29"/>
        <v>1.2129086538461538</v>
      </c>
      <c r="N177" s="3">
        <f t="shared" si="30"/>
        <v>13.851001843153577</v>
      </c>
      <c r="O177" s="1">
        <v>872</v>
      </c>
      <c r="P177" s="1">
        <f t="shared" si="31"/>
        <v>1000</v>
      </c>
      <c r="Q177" s="1">
        <f t="shared" si="32"/>
        <v>5.3863600316589855</v>
      </c>
      <c r="R177" s="1">
        <f t="shared" si="33"/>
        <v>2.877329076740911</v>
      </c>
      <c r="S177" s="2">
        <f t="shared" si="34"/>
        <v>11.735394213171213</v>
      </c>
      <c r="T177" s="3">
        <f t="shared" si="35"/>
        <v>0.20482126803932699</v>
      </c>
      <c r="U177" s="4" t="s">
        <v>571</v>
      </c>
    </row>
    <row r="178" spans="1:22" ht="14.25" customHeight="1" x14ac:dyDescent="0.3">
      <c r="A178" s="1" t="s">
        <v>26</v>
      </c>
      <c r="B178" s="1" t="s">
        <v>339</v>
      </c>
      <c r="C178" s="1" t="s">
        <v>340</v>
      </c>
      <c r="D178" s="1">
        <f t="shared" si="24"/>
        <v>69</v>
      </c>
      <c r="E178" s="1">
        <f t="shared" si="25"/>
        <v>0.11231481481481481</v>
      </c>
      <c r="F178" s="2">
        <f t="shared" si="26"/>
        <v>434.24548098961446</v>
      </c>
      <c r="G178" s="1">
        <v>2080</v>
      </c>
      <c r="H178" s="1">
        <v>3744</v>
      </c>
      <c r="I178" s="1">
        <v>0</v>
      </c>
      <c r="J178" s="1">
        <v>236</v>
      </c>
      <c r="K178" s="1">
        <f t="shared" si="27"/>
        <v>0</v>
      </c>
      <c r="L178" s="1">
        <f t="shared" si="28"/>
        <v>2.0593269230769229</v>
      </c>
      <c r="M178" s="1">
        <f t="shared" si="29"/>
        <v>2.0593269230769229</v>
      </c>
      <c r="N178" s="3">
        <f t="shared" si="30"/>
        <v>8.1580053228743541</v>
      </c>
      <c r="O178" s="1">
        <v>936</v>
      </c>
      <c r="P178" s="1">
        <f t="shared" si="31"/>
        <v>936</v>
      </c>
      <c r="Q178" s="1">
        <f t="shared" si="32"/>
        <v>3.1724747644093183</v>
      </c>
      <c r="R178" s="1">
        <f t="shared" si="33"/>
        <v>1.5862373822046592</v>
      </c>
      <c r="S178" s="2">
        <f t="shared" si="34"/>
        <v>11.003260474510586</v>
      </c>
      <c r="T178" s="3">
        <f t="shared" si="35"/>
        <v>0.19204312373476334</v>
      </c>
      <c r="U178" s="4" t="s">
        <v>571</v>
      </c>
    </row>
    <row r="179" spans="1:22" ht="14.25" customHeight="1" x14ac:dyDescent="0.3">
      <c r="A179" s="1" t="s">
        <v>26</v>
      </c>
      <c r="B179" s="1" t="s">
        <v>234</v>
      </c>
      <c r="C179" s="1" t="s">
        <v>235</v>
      </c>
      <c r="D179" s="1">
        <f t="shared" si="24"/>
        <v>69</v>
      </c>
      <c r="E179" s="1">
        <f t="shared" si="25"/>
        <v>0.11232638888888889</v>
      </c>
      <c r="F179" s="2">
        <f t="shared" si="26"/>
        <v>434.24555371166667</v>
      </c>
      <c r="G179" s="1">
        <v>2080</v>
      </c>
      <c r="H179" s="1">
        <v>3744</v>
      </c>
      <c r="I179" s="1">
        <v>0</v>
      </c>
      <c r="J179" s="1">
        <v>245</v>
      </c>
      <c r="K179" s="1">
        <f t="shared" si="27"/>
        <v>0</v>
      </c>
      <c r="L179" s="1">
        <f t="shared" si="28"/>
        <v>2.1378605769230767</v>
      </c>
      <c r="M179" s="1">
        <f t="shared" si="29"/>
        <v>2.1378605769230767</v>
      </c>
      <c r="N179" s="3">
        <f t="shared" si="30"/>
        <v>7.8583234946871316</v>
      </c>
      <c r="O179" s="1">
        <v>1200</v>
      </c>
      <c r="P179" s="1">
        <f t="shared" si="31"/>
        <v>672</v>
      </c>
      <c r="Q179" s="1">
        <f t="shared" si="32"/>
        <v>3.0559348751044855</v>
      </c>
      <c r="R179" s="1">
        <f t="shared" si="33"/>
        <v>1.0970022628580205</v>
      </c>
      <c r="S179" s="2">
        <f t="shared" si="34"/>
        <v>7.9469905454124357</v>
      </c>
      <c r="T179" s="3">
        <f t="shared" si="35"/>
        <v>0.13870115064230695</v>
      </c>
      <c r="U179" s="4" t="s">
        <v>571</v>
      </c>
    </row>
    <row r="180" spans="1:22" ht="14.25" customHeight="1" x14ac:dyDescent="0.3">
      <c r="A180" s="1" t="s">
        <v>26</v>
      </c>
      <c r="B180" s="1" t="s">
        <v>381</v>
      </c>
      <c r="C180" s="1" t="s">
        <v>382</v>
      </c>
      <c r="D180" s="1">
        <f t="shared" si="24"/>
        <v>69</v>
      </c>
      <c r="E180" s="1">
        <f t="shared" si="25"/>
        <v>0.91810185185185178</v>
      </c>
      <c r="F180" s="2">
        <f t="shared" si="26"/>
        <v>439.30839026144139</v>
      </c>
      <c r="G180" s="1">
        <v>2080</v>
      </c>
      <c r="H180" s="1">
        <v>3744</v>
      </c>
      <c r="I180" s="1">
        <v>0</v>
      </c>
      <c r="J180" s="1">
        <v>226</v>
      </c>
      <c r="K180" s="1">
        <f t="shared" si="27"/>
        <v>0</v>
      </c>
      <c r="L180" s="1">
        <f t="shared" si="28"/>
        <v>1.9720673076923074</v>
      </c>
      <c r="M180" s="1">
        <f t="shared" si="29"/>
        <v>1.9720673076923074</v>
      </c>
      <c r="N180" s="3">
        <f t="shared" si="30"/>
        <v>8.5189790097272002</v>
      </c>
      <c r="O180" s="1">
        <v>885</v>
      </c>
      <c r="P180" s="1">
        <f t="shared" si="31"/>
        <v>987</v>
      </c>
      <c r="Q180" s="1">
        <f t="shared" si="32"/>
        <v>3.3128497539849513</v>
      </c>
      <c r="R180" s="1">
        <f t="shared" si="33"/>
        <v>1.7466787965721939</v>
      </c>
      <c r="S180" s="2">
        <f t="shared" si="34"/>
        <v>11.586985726977456</v>
      </c>
      <c r="T180" s="3">
        <f t="shared" si="35"/>
        <v>0.20223105131734537</v>
      </c>
      <c r="U180" s="4" t="s">
        <v>571</v>
      </c>
    </row>
    <row r="181" spans="1:22" ht="14.25" customHeight="1" x14ac:dyDescent="0.3">
      <c r="A181" s="1" t="s">
        <v>26</v>
      </c>
      <c r="B181" s="1" t="s">
        <v>188</v>
      </c>
      <c r="C181" s="1" t="s">
        <v>189</v>
      </c>
      <c r="D181" s="1">
        <f t="shared" si="24"/>
        <v>69</v>
      </c>
      <c r="E181" s="1">
        <f t="shared" si="25"/>
        <v>0.91811342592592593</v>
      </c>
      <c r="F181" s="2">
        <f t="shared" si="26"/>
        <v>439.30846298349354</v>
      </c>
      <c r="G181" s="1">
        <v>2080</v>
      </c>
      <c r="H181" s="1">
        <v>3744</v>
      </c>
      <c r="I181" s="1">
        <v>0</v>
      </c>
      <c r="J181" s="1">
        <v>201</v>
      </c>
      <c r="K181" s="1">
        <f t="shared" si="27"/>
        <v>0</v>
      </c>
      <c r="L181" s="1">
        <f t="shared" si="28"/>
        <v>1.7539182692307691</v>
      </c>
      <c r="M181" s="1">
        <f t="shared" si="29"/>
        <v>1.7539182692307691</v>
      </c>
      <c r="N181" s="3">
        <f t="shared" si="30"/>
        <v>9.5785535134246143</v>
      </c>
      <c r="O181" s="1">
        <v>1315</v>
      </c>
      <c r="P181" s="1">
        <f t="shared" si="31"/>
        <v>557</v>
      </c>
      <c r="Q181" s="1">
        <f t="shared" si="32"/>
        <v>3.7248957432865626</v>
      </c>
      <c r="R181" s="1">
        <f t="shared" si="33"/>
        <v>1.1083156672065253</v>
      </c>
      <c r="S181" s="2">
        <f t="shared" si="34"/>
        <v>6.6002314587449931</v>
      </c>
      <c r="T181" s="3">
        <f t="shared" si="35"/>
        <v>0.11519577034880842</v>
      </c>
      <c r="U181" s="4" t="s">
        <v>571</v>
      </c>
    </row>
    <row r="182" spans="1:22" ht="14.25" customHeight="1" x14ac:dyDescent="0.3">
      <c r="A182" s="1" t="s">
        <v>26</v>
      </c>
      <c r="B182" s="1" t="s">
        <v>111</v>
      </c>
      <c r="C182" s="1" t="s">
        <v>112</v>
      </c>
      <c r="D182" s="1">
        <f t="shared" si="24"/>
        <v>69</v>
      </c>
      <c r="E182" s="1">
        <f t="shared" si="25"/>
        <v>0.9200694444444445</v>
      </c>
      <c r="F182" s="2">
        <f t="shared" si="26"/>
        <v>439.32075301030972</v>
      </c>
      <c r="G182" s="1">
        <v>2080</v>
      </c>
      <c r="H182" s="1">
        <v>3744</v>
      </c>
      <c r="I182" s="1">
        <v>0</v>
      </c>
      <c r="J182" s="1">
        <v>1134</v>
      </c>
      <c r="K182" s="1">
        <f t="shared" si="27"/>
        <v>0</v>
      </c>
      <c r="L182" s="1">
        <f t="shared" si="28"/>
        <v>9.8952403846153842</v>
      </c>
      <c r="M182" s="1">
        <f t="shared" si="29"/>
        <v>9.8952403846153842</v>
      </c>
      <c r="N182" s="3">
        <f t="shared" si="30"/>
        <v>1.6977859402101827</v>
      </c>
      <c r="O182" s="1">
        <v>1665</v>
      </c>
      <c r="P182" s="1">
        <f t="shared" si="31"/>
        <v>207</v>
      </c>
      <c r="Q182" s="1">
        <f t="shared" si="32"/>
        <v>0.66023284338677157</v>
      </c>
      <c r="R182" s="1">
        <f t="shared" si="33"/>
        <v>7.3006516336037233E-2</v>
      </c>
      <c r="S182" s="2">
        <f t="shared" si="34"/>
        <v>2.4622596984533578</v>
      </c>
      <c r="T182" s="3">
        <f t="shared" si="35"/>
        <v>4.2974538777173825E-2</v>
      </c>
      <c r="U182" s="4" t="s">
        <v>571</v>
      </c>
    </row>
    <row r="183" spans="1:22" ht="14.25" customHeight="1" x14ac:dyDescent="0.3">
      <c r="A183" s="1" t="s">
        <v>26</v>
      </c>
      <c r="B183" s="1" t="s">
        <v>125</v>
      </c>
      <c r="C183" s="1" t="s">
        <v>126</v>
      </c>
      <c r="D183" s="1">
        <f t="shared" si="24"/>
        <v>69</v>
      </c>
      <c r="E183" s="1">
        <f t="shared" si="25"/>
        <v>0.92008101851851853</v>
      </c>
      <c r="F183" s="2">
        <f t="shared" si="26"/>
        <v>439.32082573236181</v>
      </c>
      <c r="G183" s="1">
        <v>2080</v>
      </c>
      <c r="H183" s="1">
        <v>3744</v>
      </c>
      <c r="I183" s="1">
        <v>0</v>
      </c>
      <c r="J183" s="1">
        <v>1182</v>
      </c>
      <c r="K183" s="1">
        <f t="shared" si="27"/>
        <v>0</v>
      </c>
      <c r="L183" s="1">
        <f t="shared" si="28"/>
        <v>10.314086538461538</v>
      </c>
      <c r="M183" s="1">
        <f t="shared" si="29"/>
        <v>10.314086538461538</v>
      </c>
      <c r="N183" s="3">
        <f t="shared" si="30"/>
        <v>1.6288403182727134</v>
      </c>
      <c r="O183" s="1">
        <v>1632</v>
      </c>
      <c r="P183" s="1">
        <f t="shared" si="31"/>
        <v>240</v>
      </c>
      <c r="Q183" s="1">
        <f t="shared" si="32"/>
        <v>0.63342135736091287</v>
      </c>
      <c r="R183" s="1">
        <f t="shared" si="33"/>
        <v>8.1207866328322151E-2</v>
      </c>
      <c r="S183" s="2">
        <f t="shared" si="34"/>
        <v>2.8541893053113983</v>
      </c>
      <c r="T183" s="3">
        <f t="shared" si="35"/>
        <v>4.981500085289358E-2</v>
      </c>
      <c r="U183" s="4" t="s">
        <v>571</v>
      </c>
    </row>
    <row r="184" spans="1:22" ht="14.25" customHeight="1" x14ac:dyDescent="0.3">
      <c r="A184" s="1" t="s">
        <v>26</v>
      </c>
      <c r="B184" s="1" t="s">
        <v>451</v>
      </c>
      <c r="C184" s="1" t="s">
        <v>452</v>
      </c>
      <c r="D184" s="1">
        <f t="shared" si="24"/>
        <v>69</v>
      </c>
      <c r="E184" s="1">
        <f t="shared" si="25"/>
        <v>0.92017361111111118</v>
      </c>
      <c r="F184" s="2">
        <f t="shared" si="26"/>
        <v>439.32140750877915</v>
      </c>
      <c r="G184" s="1">
        <v>2080</v>
      </c>
      <c r="H184" s="1">
        <v>3744</v>
      </c>
      <c r="I184" s="1">
        <v>0</v>
      </c>
      <c r="J184" s="1">
        <v>363</v>
      </c>
      <c r="K184" s="1">
        <f t="shared" si="27"/>
        <v>0</v>
      </c>
      <c r="L184" s="1">
        <f t="shared" si="28"/>
        <v>3.1675240384615382</v>
      </c>
      <c r="M184" s="1">
        <f t="shared" si="29"/>
        <v>3.1675240384615382</v>
      </c>
      <c r="N184" s="3">
        <f t="shared" si="30"/>
        <v>5.3038271520615634</v>
      </c>
      <c r="O184" s="1">
        <v>748</v>
      </c>
      <c r="P184" s="1">
        <f t="shared" si="31"/>
        <v>1124</v>
      </c>
      <c r="Q184" s="1">
        <f t="shared" si="32"/>
        <v>2.0625455768611545</v>
      </c>
      <c r="R184" s="1">
        <f t="shared" si="33"/>
        <v>1.2384087758503939</v>
      </c>
      <c r="S184" s="2">
        <f t="shared" si="34"/>
        <v>13.142721051764308</v>
      </c>
      <c r="T184" s="3">
        <f t="shared" si="35"/>
        <v>0.22938375502445929</v>
      </c>
      <c r="U184" s="4" t="s">
        <v>571</v>
      </c>
    </row>
    <row r="185" spans="1:22" ht="14.25" customHeight="1" x14ac:dyDescent="0.3">
      <c r="A185" s="1" t="s">
        <v>26</v>
      </c>
      <c r="B185" s="1" t="s">
        <v>509</v>
      </c>
      <c r="C185" s="1" t="s">
        <v>510</v>
      </c>
      <c r="D185" s="1">
        <f t="shared" si="24"/>
        <v>69</v>
      </c>
      <c r="E185" s="1">
        <f t="shared" si="25"/>
        <v>0.92018518518518511</v>
      </c>
      <c r="F185" s="2">
        <f t="shared" si="26"/>
        <v>439.32148023083136</v>
      </c>
      <c r="G185" s="1">
        <v>2080</v>
      </c>
      <c r="H185" s="1">
        <v>3744</v>
      </c>
      <c r="I185" s="1">
        <v>0</v>
      </c>
      <c r="J185" s="1">
        <v>350</v>
      </c>
      <c r="K185" s="1">
        <f t="shared" si="27"/>
        <v>0</v>
      </c>
      <c r="L185" s="1">
        <f t="shared" si="28"/>
        <v>3.0540865384615379</v>
      </c>
      <c r="M185" s="1">
        <f t="shared" si="29"/>
        <v>3.0540865384615379</v>
      </c>
      <c r="N185" s="3">
        <f t="shared" si="30"/>
        <v>5.5008264462809926</v>
      </c>
      <c r="O185" s="1">
        <v>533</v>
      </c>
      <c r="P185" s="1">
        <f t="shared" si="31"/>
        <v>1339</v>
      </c>
      <c r="Q185" s="1">
        <f t="shared" si="32"/>
        <v>2.1391544125731401</v>
      </c>
      <c r="R185" s="1">
        <f t="shared" si="33"/>
        <v>1.5300896145488432</v>
      </c>
      <c r="S185" s="2">
        <f t="shared" si="34"/>
        <v>15.544243999943765</v>
      </c>
      <c r="T185" s="3">
        <f t="shared" si="35"/>
        <v>0.27129823753239196</v>
      </c>
      <c r="U185" s="4" t="s">
        <v>571</v>
      </c>
    </row>
    <row r="186" spans="1:22" ht="14.25" customHeight="1" x14ac:dyDescent="0.3">
      <c r="A186" s="1" t="s">
        <v>26</v>
      </c>
      <c r="B186" s="1" t="s">
        <v>543</v>
      </c>
      <c r="C186" s="1" t="s">
        <v>544</v>
      </c>
      <c r="D186" s="1">
        <f t="shared" si="24"/>
        <v>69</v>
      </c>
      <c r="E186" s="1">
        <f t="shared" si="25"/>
        <v>0.92019675925925926</v>
      </c>
      <c r="F186" s="2">
        <f t="shared" si="26"/>
        <v>439.32155295288345</v>
      </c>
      <c r="G186" s="1">
        <v>2080</v>
      </c>
      <c r="H186" s="1">
        <v>3744</v>
      </c>
      <c r="I186" s="1">
        <v>0</v>
      </c>
      <c r="J186" s="1">
        <v>389</v>
      </c>
      <c r="K186" s="1">
        <f t="shared" si="27"/>
        <v>0</v>
      </c>
      <c r="L186" s="1">
        <f t="shared" si="28"/>
        <v>3.3943990384615383</v>
      </c>
      <c r="M186" s="1">
        <f t="shared" si="29"/>
        <v>3.3943990384615383</v>
      </c>
      <c r="N186" s="3">
        <f t="shared" si="30"/>
        <v>4.9493297074507643</v>
      </c>
      <c r="O186" s="1">
        <v>332</v>
      </c>
      <c r="P186" s="1">
        <f t="shared" si="31"/>
        <v>1540</v>
      </c>
      <c r="Q186" s="1">
        <f t="shared" si="32"/>
        <v>1.9246890601557816</v>
      </c>
      <c r="R186" s="1">
        <f t="shared" si="33"/>
        <v>1.5833446328204612</v>
      </c>
      <c r="S186" s="2">
        <f t="shared" si="34"/>
        <v>17.740041824013087</v>
      </c>
      <c r="T186" s="3">
        <f t="shared" si="35"/>
        <v>0.30962213927052884</v>
      </c>
      <c r="U186" s="4" t="s">
        <v>571</v>
      </c>
    </row>
    <row r="187" spans="1:22" ht="14.25" customHeight="1" x14ac:dyDescent="0.3">
      <c r="A187" s="1" t="s">
        <v>26</v>
      </c>
      <c r="B187" s="1" t="s">
        <v>104</v>
      </c>
      <c r="C187" s="1" t="s">
        <v>105</v>
      </c>
      <c r="D187" s="1">
        <f t="shared" si="24"/>
        <v>69</v>
      </c>
      <c r="E187" s="1">
        <f t="shared" si="25"/>
        <v>0.92256944444444444</v>
      </c>
      <c r="F187" s="2">
        <f t="shared" si="26"/>
        <v>439.33646097357763</v>
      </c>
      <c r="G187" s="1">
        <v>2080</v>
      </c>
      <c r="H187" s="1">
        <v>3744</v>
      </c>
      <c r="I187" s="1">
        <v>0</v>
      </c>
      <c r="J187" s="1">
        <v>176</v>
      </c>
      <c r="K187" s="1">
        <f t="shared" si="27"/>
        <v>0</v>
      </c>
      <c r="L187" s="1">
        <f t="shared" si="28"/>
        <v>1.5357692307692306</v>
      </c>
      <c r="M187" s="1">
        <f t="shared" si="29"/>
        <v>1.5357692307692306</v>
      </c>
      <c r="N187" s="3">
        <f t="shared" si="30"/>
        <v>10.939143501126974</v>
      </c>
      <c r="O187" s="1">
        <v>1676</v>
      </c>
      <c r="P187" s="1">
        <f t="shared" si="31"/>
        <v>196</v>
      </c>
      <c r="Q187" s="1">
        <f t="shared" si="32"/>
        <v>4.2540002522761311</v>
      </c>
      <c r="R187" s="1">
        <f t="shared" si="33"/>
        <v>0.44539746231096244</v>
      </c>
      <c r="S187" s="2">
        <f t="shared" si="34"/>
        <v>2.3315634257232398</v>
      </c>
      <c r="T187" s="3">
        <f t="shared" si="35"/>
        <v>4.0693458497948788E-2</v>
      </c>
      <c r="U187" s="4" t="s">
        <v>571</v>
      </c>
    </row>
    <row r="188" spans="1:22" ht="14.25" customHeight="1" x14ac:dyDescent="0.3">
      <c r="A188" s="1" t="s">
        <v>26</v>
      </c>
      <c r="B188" s="1" t="s">
        <v>181</v>
      </c>
      <c r="C188" s="1" t="s">
        <v>182</v>
      </c>
      <c r="D188" s="1">
        <f t="shared" si="24"/>
        <v>69</v>
      </c>
      <c r="E188" s="1">
        <f t="shared" si="25"/>
        <v>0.92258101851851848</v>
      </c>
      <c r="F188" s="2">
        <f t="shared" si="26"/>
        <v>439.33653369562978</v>
      </c>
      <c r="G188" s="1">
        <v>2080</v>
      </c>
      <c r="H188" s="1">
        <v>3744</v>
      </c>
      <c r="I188" s="1">
        <v>0</v>
      </c>
      <c r="J188" s="1">
        <v>179</v>
      </c>
      <c r="K188" s="1">
        <f t="shared" si="27"/>
        <v>0</v>
      </c>
      <c r="L188" s="1">
        <f t="shared" si="28"/>
        <v>1.5619471153846154</v>
      </c>
      <c r="M188" s="1">
        <f t="shared" si="29"/>
        <v>1.5619471153846154</v>
      </c>
      <c r="N188" s="3">
        <f t="shared" si="30"/>
        <v>10.755805900549426</v>
      </c>
      <c r="O188" s="1">
        <v>1358</v>
      </c>
      <c r="P188" s="1">
        <f t="shared" si="31"/>
        <v>514</v>
      </c>
      <c r="Q188" s="1">
        <f t="shared" si="32"/>
        <v>4.1827041586625642</v>
      </c>
      <c r="R188" s="1">
        <f t="shared" si="33"/>
        <v>1.1484561632225203</v>
      </c>
      <c r="S188" s="2">
        <f t="shared" si="34"/>
        <v>6.0946915713449572</v>
      </c>
      <c r="T188" s="3">
        <f t="shared" si="35"/>
        <v>0.10637243481351639</v>
      </c>
      <c r="U188" s="4" t="s">
        <v>571</v>
      </c>
    </row>
    <row r="189" spans="1:22" ht="14.25" customHeight="1" x14ac:dyDescent="0.3">
      <c r="A189" s="1" t="s">
        <v>26</v>
      </c>
      <c r="B189" s="1" t="s">
        <v>38</v>
      </c>
      <c r="C189" s="1" t="s">
        <v>39</v>
      </c>
      <c r="D189" s="1">
        <f t="shared" si="24"/>
        <v>70</v>
      </c>
      <c r="E189" s="1">
        <f t="shared" si="25"/>
        <v>0.14538194444444444</v>
      </c>
      <c r="F189" s="2">
        <f t="shared" si="26"/>
        <v>440.73643319983353</v>
      </c>
      <c r="G189" s="1">
        <v>2080</v>
      </c>
      <c r="H189" s="1">
        <v>3744</v>
      </c>
      <c r="I189" s="1">
        <v>0</v>
      </c>
      <c r="J189" s="1">
        <v>228</v>
      </c>
      <c r="K189" s="1">
        <f t="shared" si="27"/>
        <v>0</v>
      </c>
      <c r="L189" s="1">
        <f t="shared" si="28"/>
        <v>1.9895192307692307</v>
      </c>
      <c r="M189" s="1">
        <f t="shared" si="29"/>
        <v>1.9895192307692307</v>
      </c>
      <c r="N189" s="3">
        <f t="shared" si="30"/>
        <v>8.4442511236769615</v>
      </c>
      <c r="O189" s="1">
        <v>1837</v>
      </c>
      <c r="P189" s="1">
        <f t="shared" si="31"/>
        <v>35</v>
      </c>
      <c r="Q189" s="1">
        <f t="shared" si="32"/>
        <v>3.2837896684236796</v>
      </c>
      <c r="R189" s="1">
        <f t="shared" si="33"/>
        <v>6.1395640168177772E-2</v>
      </c>
      <c r="S189" s="2">
        <f t="shared" si="34"/>
        <v>0.41657324336519158</v>
      </c>
      <c r="T189" s="3">
        <f t="shared" si="35"/>
        <v>7.2705746724342161E-3</v>
      </c>
      <c r="U189" s="4" t="s">
        <v>571</v>
      </c>
    </row>
    <row r="190" spans="1:22" ht="14.25" customHeight="1" x14ac:dyDescent="0.3">
      <c r="A190" s="1" t="s">
        <v>26</v>
      </c>
      <c r="B190" s="1" t="s">
        <v>322</v>
      </c>
      <c r="C190" s="1" t="s">
        <v>323</v>
      </c>
      <c r="D190" s="1">
        <f t="shared" si="24"/>
        <v>70</v>
      </c>
      <c r="E190" s="1">
        <f t="shared" si="25"/>
        <v>0.14539351851851853</v>
      </c>
      <c r="F190" s="2">
        <f t="shared" si="26"/>
        <v>440.73650592188574</v>
      </c>
      <c r="G190" s="1">
        <v>2080</v>
      </c>
      <c r="H190" s="1">
        <v>3744</v>
      </c>
      <c r="I190" s="1">
        <v>0</v>
      </c>
      <c r="J190" s="1">
        <v>261</v>
      </c>
      <c r="K190" s="1">
        <f t="shared" si="27"/>
        <v>0</v>
      </c>
      <c r="L190" s="1">
        <f t="shared" si="28"/>
        <v>2.2774759615384612</v>
      </c>
      <c r="M190" s="1">
        <f t="shared" si="29"/>
        <v>2.2774759615384612</v>
      </c>
      <c r="N190" s="3">
        <f t="shared" si="30"/>
        <v>7.3765871884994159</v>
      </c>
      <c r="O190" s="1">
        <v>962</v>
      </c>
      <c r="P190" s="1">
        <f t="shared" si="31"/>
        <v>910</v>
      </c>
      <c r="Q190" s="1">
        <f t="shared" si="32"/>
        <v>2.8685978712666631</v>
      </c>
      <c r="R190" s="1">
        <f t="shared" si="33"/>
        <v>1.3944572985324057</v>
      </c>
      <c r="S190" s="2">
        <f t="shared" si="34"/>
        <v>10.704774698845648</v>
      </c>
      <c r="T190" s="3">
        <f t="shared" si="35"/>
        <v>0.18683356417904101</v>
      </c>
      <c r="U190" s="4" t="s">
        <v>571</v>
      </c>
      <c r="V190" s="3"/>
    </row>
    <row r="191" spans="1:22" ht="14.25" customHeight="1" x14ac:dyDescent="0.3">
      <c r="A191" s="1" t="s">
        <v>26</v>
      </c>
      <c r="B191" s="1" t="s">
        <v>529</v>
      </c>
      <c r="C191" s="1" t="s">
        <v>530</v>
      </c>
      <c r="D191" s="1">
        <f t="shared" si="24"/>
        <v>70</v>
      </c>
      <c r="E191" s="1">
        <f t="shared" si="25"/>
        <v>0.1454050925925926</v>
      </c>
      <c r="F191" s="2">
        <f t="shared" si="26"/>
        <v>440.73657864393795</v>
      </c>
      <c r="G191" s="1">
        <v>2080</v>
      </c>
      <c r="H191" s="1">
        <v>3744</v>
      </c>
      <c r="I191" s="1">
        <v>0</v>
      </c>
      <c r="J191" s="1">
        <v>137</v>
      </c>
      <c r="K191" s="1">
        <f t="shared" si="27"/>
        <v>0</v>
      </c>
      <c r="L191" s="1">
        <f t="shared" si="28"/>
        <v>1.1954567307692305</v>
      </c>
      <c r="M191" s="1">
        <f t="shared" si="29"/>
        <v>1.1954567307692305</v>
      </c>
      <c r="N191" s="3">
        <f t="shared" si="30"/>
        <v>14.053206249622974</v>
      </c>
      <c r="O191" s="1">
        <v>392</v>
      </c>
      <c r="P191" s="1">
        <f t="shared" si="31"/>
        <v>1480</v>
      </c>
      <c r="Q191" s="1">
        <f t="shared" si="32"/>
        <v>5.464993024821891</v>
      </c>
      <c r="R191" s="1">
        <f t="shared" si="33"/>
        <v>4.3206141435557681</v>
      </c>
      <c r="S191" s="2">
        <f t="shared" si="34"/>
        <v>17.089881269782669</v>
      </c>
      <c r="T191" s="3">
        <f t="shared" si="35"/>
        <v>0.29827469693261688</v>
      </c>
      <c r="U191" s="4" t="s">
        <v>571</v>
      </c>
    </row>
    <row r="192" spans="1:22" ht="14.25" customHeight="1" x14ac:dyDescent="0.3">
      <c r="A192" s="1" t="s">
        <v>26</v>
      </c>
      <c r="B192" s="1" t="s">
        <v>421</v>
      </c>
      <c r="C192" s="1" t="s">
        <v>422</v>
      </c>
      <c r="D192" s="1">
        <f t="shared" si="24"/>
        <v>70</v>
      </c>
      <c r="E192" s="1">
        <f t="shared" si="25"/>
        <v>0.85758101851851853</v>
      </c>
      <c r="F192" s="2">
        <f t="shared" si="26"/>
        <v>445.21131195784267</v>
      </c>
      <c r="G192" s="1">
        <v>2080</v>
      </c>
      <c r="H192" s="1">
        <v>3744</v>
      </c>
      <c r="I192" s="1">
        <v>0</v>
      </c>
      <c r="J192" s="1">
        <v>132</v>
      </c>
      <c r="K192" s="1">
        <f t="shared" si="27"/>
        <v>0</v>
      </c>
      <c r="L192" s="1">
        <f t="shared" si="28"/>
        <v>1.1518269230769229</v>
      </c>
      <c r="M192" s="1">
        <f t="shared" si="29"/>
        <v>1.1518269230769229</v>
      </c>
      <c r="N192" s="3">
        <f t="shared" si="30"/>
        <v>14.585524668169299</v>
      </c>
      <c r="O192" s="1">
        <v>791</v>
      </c>
      <c r="P192" s="1">
        <f t="shared" si="31"/>
        <v>1081</v>
      </c>
      <c r="Q192" s="1">
        <f t="shared" si="32"/>
        <v>5.6720003363681748</v>
      </c>
      <c r="R192" s="1">
        <f t="shared" si="33"/>
        <v>3.2753378010758527</v>
      </c>
      <c r="S192" s="2">
        <f t="shared" si="34"/>
        <v>12.656432158112356</v>
      </c>
      <c r="T192" s="3">
        <f t="shared" si="35"/>
        <v>0.22089641271435215</v>
      </c>
      <c r="U192" s="4" t="s">
        <v>571</v>
      </c>
    </row>
    <row r="193" spans="1:23" ht="14.25" customHeight="1" x14ac:dyDescent="0.3">
      <c r="A193" s="1" t="s">
        <v>26</v>
      </c>
      <c r="B193" s="1" t="s">
        <v>262</v>
      </c>
      <c r="C193" s="1" t="s">
        <v>263</v>
      </c>
      <c r="D193" s="1">
        <f t="shared" si="24"/>
        <v>70</v>
      </c>
      <c r="E193" s="1">
        <f t="shared" si="25"/>
        <v>0.85759259259259257</v>
      </c>
      <c r="F193" s="2">
        <f t="shared" si="26"/>
        <v>445.21138467989488</v>
      </c>
      <c r="G193" s="1">
        <v>2080</v>
      </c>
      <c r="H193" s="1">
        <v>3744</v>
      </c>
      <c r="I193" s="1">
        <v>0</v>
      </c>
      <c r="J193" s="1">
        <v>181</v>
      </c>
      <c r="K193" s="1">
        <f t="shared" si="27"/>
        <v>0</v>
      </c>
      <c r="L193" s="1">
        <f t="shared" si="28"/>
        <v>1.5793990384615384</v>
      </c>
      <c r="M193" s="1">
        <f t="shared" si="29"/>
        <v>1.5793990384615384</v>
      </c>
      <c r="N193" s="3">
        <f t="shared" si="30"/>
        <v>10.636957216565454</v>
      </c>
      <c r="O193" s="1">
        <v>1114</v>
      </c>
      <c r="P193" s="1">
        <f t="shared" si="31"/>
        <v>758</v>
      </c>
      <c r="Q193" s="1">
        <f t="shared" si="32"/>
        <v>4.1364864331524807</v>
      </c>
      <c r="R193" s="1">
        <f t="shared" si="33"/>
        <v>1.6749234595777673</v>
      </c>
      <c r="S193" s="2">
        <f t="shared" si="34"/>
        <v>8.9484703858304773</v>
      </c>
      <c r="T193" s="3">
        <f t="shared" si="35"/>
        <v>0.15618027124994915</v>
      </c>
      <c r="U193" s="4" t="s">
        <v>571</v>
      </c>
    </row>
    <row r="194" spans="1:23" ht="14.25" customHeight="1" x14ac:dyDescent="0.3">
      <c r="A194" s="1" t="s">
        <v>33</v>
      </c>
      <c r="B194" s="1" t="s">
        <v>224</v>
      </c>
      <c r="C194" s="1" t="s">
        <v>225</v>
      </c>
      <c r="D194" s="1">
        <f t="shared" ref="D194:D257" si="36">(LEFT(C194,4)&amp;"-"&amp;MID(C194,6,2)&amp;"-"&amp;MID(C194,9,2))-(2019&amp;"-"&amp;6&amp;"-"&amp;1)</f>
        <v>70</v>
      </c>
      <c r="E194" s="1">
        <f t="shared" ref="E194:E257" si="37">TIMEVALUE(RIGHT(C194,8))</f>
        <v>0.95329861111111114</v>
      </c>
      <c r="F194" s="2">
        <f t="shared" ref="F194:F257" si="38">(D194+E194)*2*PI()</f>
        <v>445.81272332925909</v>
      </c>
      <c r="G194" s="1">
        <v>2080</v>
      </c>
      <c r="H194" s="1">
        <v>3744</v>
      </c>
      <c r="I194" s="1">
        <v>0</v>
      </c>
      <c r="J194" s="1">
        <v>287</v>
      </c>
      <c r="K194" s="1">
        <f t="shared" ref="K194:K257" si="39">(32.67*I194)/H194</f>
        <v>0</v>
      </c>
      <c r="L194" s="1">
        <f t="shared" ref="L194:L257" si="40">(18.15*J194)/G194</f>
        <v>2.5043509615384614</v>
      </c>
      <c r="M194" s="1">
        <f t="shared" ref="M194:M257" si="41">SQRT(K194*K194+L194*L194)</f>
        <v>2.5043509615384614</v>
      </c>
      <c r="N194" s="3">
        <f t="shared" ref="N194:N257" si="42">42*0.4/M194</f>
        <v>6.7083249344890152</v>
      </c>
      <c r="O194" s="1">
        <v>1224</v>
      </c>
      <c r="P194" s="1">
        <f t="shared" ref="P194:P257" si="43">H194/2-O194</f>
        <v>648</v>
      </c>
      <c r="Q194" s="1">
        <f t="shared" ref="Q194:Q257" si="44">TAN(RADIANS(21.25))*N194</f>
        <v>2.6087248933818783</v>
      </c>
      <c r="R194" s="1">
        <f t="shared" ref="R194:R257" si="45">Q194*(P194/(H194/2))</f>
        <v>0.90302015540141933</v>
      </c>
      <c r="S194" s="2">
        <f t="shared" ref="S194:S257" si="46">DEGREES(ATAN(R194/N194))</f>
        <v>7.666606401151598</v>
      </c>
      <c r="T194" s="3">
        <f t="shared" ref="T194:T257" si="47">RADIANS(S194)</f>
        <v>0.13380752415456856</v>
      </c>
      <c r="U194" s="4" t="s">
        <v>571</v>
      </c>
    </row>
    <row r="195" spans="1:23" ht="14.25" customHeight="1" x14ac:dyDescent="0.3">
      <c r="A195" s="1" t="s">
        <v>33</v>
      </c>
      <c r="B195" s="1" t="s">
        <v>320</v>
      </c>
      <c r="C195" s="1" t="s">
        <v>321</v>
      </c>
      <c r="D195" s="1">
        <f t="shared" si="36"/>
        <v>70</v>
      </c>
      <c r="E195" s="1">
        <f t="shared" si="37"/>
        <v>0.95331018518518518</v>
      </c>
      <c r="F195" s="2">
        <f t="shared" si="38"/>
        <v>445.81279605131124</v>
      </c>
      <c r="G195" s="1">
        <v>2080</v>
      </c>
      <c r="H195" s="1">
        <v>3744</v>
      </c>
      <c r="I195" s="1">
        <v>0</v>
      </c>
      <c r="J195" s="1">
        <v>270</v>
      </c>
      <c r="K195" s="1">
        <f t="shared" si="39"/>
        <v>0</v>
      </c>
      <c r="L195" s="1">
        <f t="shared" si="40"/>
        <v>2.3560096153846155</v>
      </c>
      <c r="M195" s="1">
        <f t="shared" si="41"/>
        <v>2.3560096153846155</v>
      </c>
      <c r="N195" s="3">
        <f t="shared" si="42"/>
        <v>7.1307009488827671</v>
      </c>
      <c r="O195" s="1">
        <v>964</v>
      </c>
      <c r="P195" s="1">
        <f t="shared" si="43"/>
        <v>908</v>
      </c>
      <c r="Q195" s="1">
        <f t="shared" si="44"/>
        <v>2.7729779422244403</v>
      </c>
      <c r="R195" s="1">
        <f t="shared" si="45"/>
        <v>1.3450128053097179</v>
      </c>
      <c r="S195" s="2">
        <f t="shared" si="46"/>
        <v>10.68178967084912</v>
      </c>
      <c r="T195" s="3">
        <f t="shared" si="47"/>
        <v>0.18643239976183851</v>
      </c>
      <c r="U195" s="4" t="s">
        <v>571</v>
      </c>
    </row>
    <row r="196" spans="1:23" ht="14.25" customHeight="1" x14ac:dyDescent="0.3">
      <c r="A196" s="1" t="s">
        <v>33</v>
      </c>
      <c r="B196" s="1" t="s">
        <v>477</v>
      </c>
      <c r="C196" s="1" t="s">
        <v>478</v>
      </c>
      <c r="D196" s="1">
        <f t="shared" si="36"/>
        <v>70</v>
      </c>
      <c r="E196" s="1">
        <f t="shared" si="37"/>
        <v>0.95332175925925933</v>
      </c>
      <c r="F196" s="2">
        <f t="shared" si="38"/>
        <v>445.81286877336339</v>
      </c>
      <c r="G196" s="1">
        <v>2080</v>
      </c>
      <c r="H196" s="1">
        <v>3744</v>
      </c>
      <c r="I196" s="1">
        <v>0</v>
      </c>
      <c r="J196" s="1">
        <v>259</v>
      </c>
      <c r="K196" s="1">
        <f t="shared" si="39"/>
        <v>0</v>
      </c>
      <c r="L196" s="1">
        <f t="shared" si="40"/>
        <v>2.260024038461538</v>
      </c>
      <c r="M196" s="1">
        <f t="shared" si="41"/>
        <v>2.260024038461538</v>
      </c>
      <c r="N196" s="3">
        <f t="shared" si="42"/>
        <v>7.4335492517310717</v>
      </c>
      <c r="O196" s="1">
        <v>687</v>
      </c>
      <c r="P196" s="1">
        <f t="shared" si="43"/>
        <v>1185</v>
      </c>
      <c r="Q196" s="1">
        <f t="shared" si="44"/>
        <v>2.8907492061799194</v>
      </c>
      <c r="R196" s="1">
        <f t="shared" si="45"/>
        <v>1.8298813083991476</v>
      </c>
      <c r="S196" s="2">
        <f t="shared" si="46"/>
        <v>13.829265569871339</v>
      </c>
      <c r="T196" s="3">
        <f t="shared" si="47"/>
        <v>0.2413662173269448</v>
      </c>
      <c r="U196" s="4" t="s">
        <v>571</v>
      </c>
    </row>
    <row r="197" spans="1:23" ht="14.25" customHeight="1" x14ac:dyDescent="0.3">
      <c r="A197" s="1" t="s">
        <v>26</v>
      </c>
      <c r="B197" s="1" t="s">
        <v>149</v>
      </c>
      <c r="C197" s="1" t="s">
        <v>150</v>
      </c>
      <c r="D197" s="1">
        <f t="shared" si="36"/>
        <v>70</v>
      </c>
      <c r="E197" s="1">
        <f t="shared" si="37"/>
        <v>0.98145833333333332</v>
      </c>
      <c r="F197" s="2">
        <f t="shared" si="38"/>
        <v>445.98965608218003</v>
      </c>
      <c r="G197" s="1">
        <v>2080</v>
      </c>
      <c r="H197" s="1">
        <v>3744</v>
      </c>
      <c r="I197" s="1">
        <v>0</v>
      </c>
      <c r="J197" s="1">
        <v>211</v>
      </c>
      <c r="K197" s="1">
        <f t="shared" si="39"/>
        <v>0</v>
      </c>
      <c r="L197" s="1">
        <f t="shared" si="40"/>
        <v>1.8411778846153843</v>
      </c>
      <c r="M197" s="1">
        <f t="shared" si="41"/>
        <v>1.8411778846153843</v>
      </c>
      <c r="N197" s="3">
        <f t="shared" si="42"/>
        <v>9.1245936312717895</v>
      </c>
      <c r="O197" s="1">
        <v>1532</v>
      </c>
      <c r="P197" s="1">
        <f t="shared" si="43"/>
        <v>340</v>
      </c>
      <c r="Q197" s="1">
        <f t="shared" si="44"/>
        <v>3.5483604000028395</v>
      </c>
      <c r="R197" s="1">
        <f t="shared" si="45"/>
        <v>0.6444671666671824</v>
      </c>
      <c r="S197" s="2">
        <f t="shared" si="46"/>
        <v>4.0400736872198006</v>
      </c>
      <c r="T197" s="3">
        <f t="shared" si="47"/>
        <v>7.0512587865173074E-2</v>
      </c>
      <c r="U197" s="4" t="s">
        <v>571</v>
      </c>
    </row>
    <row r="198" spans="1:23" ht="14.25" customHeight="1" x14ac:dyDescent="0.3">
      <c r="A198" s="1" t="s">
        <v>26</v>
      </c>
      <c r="B198" s="1" t="s">
        <v>343</v>
      </c>
      <c r="C198" s="1" t="s">
        <v>344</v>
      </c>
      <c r="D198" s="1">
        <f t="shared" si="36"/>
        <v>70</v>
      </c>
      <c r="E198" s="1">
        <f t="shared" si="37"/>
        <v>0.98146990740740747</v>
      </c>
      <c r="F198" s="2">
        <f t="shared" si="38"/>
        <v>445.98972880423213</v>
      </c>
      <c r="G198" s="1">
        <v>2080</v>
      </c>
      <c r="H198" s="1">
        <v>3744</v>
      </c>
      <c r="I198" s="1">
        <v>0</v>
      </c>
      <c r="J198" s="1">
        <v>244</v>
      </c>
      <c r="K198" s="1">
        <f t="shared" si="39"/>
        <v>0</v>
      </c>
      <c r="L198" s="1">
        <f t="shared" si="40"/>
        <v>2.1291346153846149</v>
      </c>
      <c r="M198" s="1">
        <f t="shared" si="41"/>
        <v>2.1291346153846149</v>
      </c>
      <c r="N198" s="3">
        <f t="shared" si="42"/>
        <v>7.8905297385178184</v>
      </c>
      <c r="O198" s="1">
        <v>925</v>
      </c>
      <c r="P198" s="1">
        <f t="shared" si="43"/>
        <v>947</v>
      </c>
      <c r="Q198" s="1">
        <f t="shared" si="44"/>
        <v>3.0684591983631111</v>
      </c>
      <c r="R198" s="1">
        <f t="shared" si="45"/>
        <v>1.5522600752403131</v>
      </c>
      <c r="S198" s="2">
        <f t="shared" si="46"/>
        <v>11.129362079924027</v>
      </c>
      <c r="T198" s="3">
        <f t="shared" si="47"/>
        <v>0.19424401194127858</v>
      </c>
      <c r="U198" s="4" t="s">
        <v>571</v>
      </c>
    </row>
    <row r="199" spans="1:23" ht="14.25" customHeight="1" x14ac:dyDescent="0.3">
      <c r="A199" s="1" t="s">
        <v>67</v>
      </c>
      <c r="B199" s="1" t="s">
        <v>68</v>
      </c>
      <c r="C199" s="1" t="s">
        <v>69</v>
      </c>
      <c r="D199" s="1">
        <f t="shared" si="36"/>
        <v>71</v>
      </c>
      <c r="E199" s="1">
        <f t="shared" si="37"/>
        <v>0.22509259259259259</v>
      </c>
      <c r="F199" s="2">
        <f t="shared" si="38"/>
        <v>447.52045528028333</v>
      </c>
      <c r="G199" s="1">
        <v>2080</v>
      </c>
      <c r="H199" s="1">
        <v>3744</v>
      </c>
      <c r="I199" s="1">
        <v>0</v>
      </c>
      <c r="J199" s="1">
        <v>402</v>
      </c>
      <c r="K199" s="1">
        <f t="shared" si="39"/>
        <v>0</v>
      </c>
      <c r="L199" s="1">
        <f t="shared" si="40"/>
        <v>3.5078365384615382</v>
      </c>
      <c r="M199" s="1">
        <f t="shared" si="41"/>
        <v>3.5078365384615382</v>
      </c>
      <c r="N199" s="3">
        <f t="shared" si="42"/>
        <v>4.7892767567123071</v>
      </c>
      <c r="O199" s="1">
        <v>1775</v>
      </c>
      <c r="P199" s="1">
        <f t="shared" si="43"/>
        <v>97</v>
      </c>
      <c r="Q199" s="1">
        <f t="shared" si="44"/>
        <v>1.8624478716432813</v>
      </c>
      <c r="R199" s="1">
        <f t="shared" si="45"/>
        <v>9.6505044631088832E-2</v>
      </c>
      <c r="S199" s="2">
        <f t="shared" si="46"/>
        <v>1.1543671122972554</v>
      </c>
      <c r="T199" s="3">
        <f t="shared" si="47"/>
        <v>2.014750688632623E-2</v>
      </c>
      <c r="U199" s="4" t="s">
        <v>571</v>
      </c>
    </row>
    <row r="200" spans="1:23" ht="14.25" customHeight="1" x14ac:dyDescent="0.3">
      <c r="A200" s="1" t="s">
        <v>67</v>
      </c>
      <c r="B200" s="1" t="s">
        <v>102</v>
      </c>
      <c r="C200" s="1" t="s">
        <v>103</v>
      </c>
      <c r="D200" s="1">
        <f t="shared" si="36"/>
        <v>71</v>
      </c>
      <c r="E200" s="1">
        <f t="shared" si="37"/>
        <v>0.22510416666666666</v>
      </c>
      <c r="F200" s="2">
        <f t="shared" si="38"/>
        <v>447.52052800233554</v>
      </c>
      <c r="G200" s="1">
        <v>2080</v>
      </c>
      <c r="H200" s="1">
        <v>3744</v>
      </c>
      <c r="I200" s="1">
        <v>0</v>
      </c>
      <c r="J200" s="1">
        <v>468</v>
      </c>
      <c r="K200" s="1">
        <f t="shared" si="39"/>
        <v>0</v>
      </c>
      <c r="L200" s="1">
        <f t="shared" si="40"/>
        <v>4.0837499999999993</v>
      </c>
      <c r="M200" s="1">
        <f t="shared" si="41"/>
        <v>4.0837499999999993</v>
      </c>
      <c r="N200" s="3">
        <f t="shared" si="42"/>
        <v>4.1138659320477506</v>
      </c>
      <c r="O200" s="1">
        <v>1685</v>
      </c>
      <c r="P200" s="1">
        <f t="shared" si="43"/>
        <v>187</v>
      </c>
      <c r="Q200" s="1">
        <f t="shared" si="44"/>
        <v>1.5997949666679465</v>
      </c>
      <c r="R200" s="1">
        <f t="shared" si="45"/>
        <v>0.159808578401125</v>
      </c>
      <c r="S200" s="2">
        <f t="shared" si="46"/>
        <v>2.2246119899050418</v>
      </c>
      <c r="T200" s="3">
        <f t="shared" si="47"/>
        <v>3.8826803803185837E-2</v>
      </c>
      <c r="U200" s="4" t="s">
        <v>571</v>
      </c>
    </row>
    <row r="201" spans="1:23" ht="14.25" customHeight="1" x14ac:dyDescent="0.3">
      <c r="A201" s="1" t="s">
        <v>26</v>
      </c>
      <c r="B201" s="1" t="s">
        <v>260</v>
      </c>
      <c r="C201" s="1" t="s">
        <v>261</v>
      </c>
      <c r="D201" s="1">
        <f t="shared" si="36"/>
        <v>72</v>
      </c>
      <c r="E201" s="1">
        <f t="shared" si="37"/>
        <v>3.6307870370370372E-2</v>
      </c>
      <c r="F201" s="2">
        <f t="shared" si="38"/>
        <v>452.61747119457624</v>
      </c>
      <c r="G201" s="1">
        <v>2080</v>
      </c>
      <c r="H201" s="1">
        <v>3744</v>
      </c>
      <c r="I201" s="1">
        <v>0</v>
      </c>
      <c r="J201" s="1">
        <v>143</v>
      </c>
      <c r="K201" s="1">
        <f t="shared" si="39"/>
        <v>0</v>
      </c>
      <c r="L201" s="1">
        <f t="shared" si="40"/>
        <v>1.2478125</v>
      </c>
      <c r="M201" s="1">
        <f t="shared" si="41"/>
        <v>1.2478125</v>
      </c>
      <c r="N201" s="3">
        <f t="shared" si="42"/>
        <v>13.463561232156275</v>
      </c>
      <c r="O201" s="1">
        <v>1123</v>
      </c>
      <c r="P201" s="1">
        <f t="shared" si="43"/>
        <v>749</v>
      </c>
      <c r="Q201" s="1">
        <f t="shared" si="44"/>
        <v>5.2356926181860075</v>
      </c>
      <c r="R201" s="1">
        <f t="shared" si="45"/>
        <v>2.0948364161438673</v>
      </c>
      <c r="S201" s="2">
        <f t="shared" si="46"/>
        <v>8.8439114859018719</v>
      </c>
      <c r="T201" s="3">
        <f t="shared" si="47"/>
        <v>0.15435537418393175</v>
      </c>
      <c r="U201" s="4" t="s">
        <v>571</v>
      </c>
    </row>
    <row r="202" spans="1:23" ht="14.25" customHeight="1" x14ac:dyDescent="0.3">
      <c r="A202" s="1" t="s">
        <v>26</v>
      </c>
      <c r="B202" s="1" t="s">
        <v>195</v>
      </c>
      <c r="C202" s="1" t="s">
        <v>196</v>
      </c>
      <c r="D202" s="1">
        <f t="shared" si="36"/>
        <v>72</v>
      </c>
      <c r="E202" s="1">
        <f t="shared" si="37"/>
        <v>3.6319444444444439E-2</v>
      </c>
      <c r="F202" s="2">
        <f t="shared" si="38"/>
        <v>452.61754391662845</v>
      </c>
      <c r="G202" s="1">
        <v>2080</v>
      </c>
      <c r="H202" s="1">
        <v>3744</v>
      </c>
      <c r="I202" s="1">
        <v>0</v>
      </c>
      <c r="J202" s="1">
        <v>152</v>
      </c>
      <c r="K202" s="1">
        <f t="shared" si="39"/>
        <v>0</v>
      </c>
      <c r="L202" s="1">
        <f t="shared" si="40"/>
        <v>1.3263461538461536</v>
      </c>
      <c r="M202" s="1">
        <f t="shared" si="41"/>
        <v>1.3263461538461536</v>
      </c>
      <c r="N202" s="3">
        <f t="shared" si="42"/>
        <v>12.666376685515445</v>
      </c>
      <c r="O202" s="1">
        <v>1304</v>
      </c>
      <c r="P202" s="1">
        <f t="shared" si="43"/>
        <v>568</v>
      </c>
      <c r="Q202" s="1">
        <f t="shared" si="44"/>
        <v>4.9256845026355203</v>
      </c>
      <c r="R202" s="1">
        <f t="shared" si="45"/>
        <v>1.4945452978082132</v>
      </c>
      <c r="S202" s="2">
        <f t="shared" si="46"/>
        <v>6.729393150628435</v>
      </c>
      <c r="T202" s="3">
        <f t="shared" si="47"/>
        <v>0.11745006713962092</v>
      </c>
      <c r="U202" s="4" t="s">
        <v>571</v>
      </c>
    </row>
    <row r="203" spans="1:23" ht="14.25" customHeight="1" x14ac:dyDescent="0.3">
      <c r="A203" s="1" t="s">
        <v>26</v>
      </c>
      <c r="B203" s="1" t="s">
        <v>431</v>
      </c>
      <c r="C203" s="1" t="s">
        <v>432</v>
      </c>
      <c r="D203" s="1">
        <f t="shared" si="36"/>
        <v>73</v>
      </c>
      <c r="E203" s="1">
        <f t="shared" si="37"/>
        <v>0.15493055555555554</v>
      </c>
      <c r="F203" s="2">
        <f t="shared" si="38"/>
        <v>459.64598481440959</v>
      </c>
      <c r="G203" s="1">
        <v>2080</v>
      </c>
      <c r="H203" s="1">
        <v>3744</v>
      </c>
      <c r="I203" s="1">
        <v>0</v>
      </c>
      <c r="J203" s="1">
        <v>132</v>
      </c>
      <c r="K203" s="1">
        <f t="shared" si="39"/>
        <v>0</v>
      </c>
      <c r="L203" s="1">
        <f t="shared" si="40"/>
        <v>1.1518269230769229</v>
      </c>
      <c r="M203" s="1">
        <f t="shared" si="41"/>
        <v>1.1518269230769229</v>
      </c>
      <c r="N203" s="3">
        <f t="shared" si="42"/>
        <v>14.585524668169299</v>
      </c>
      <c r="O203" s="1">
        <v>766</v>
      </c>
      <c r="P203" s="1">
        <f t="shared" si="43"/>
        <v>1106</v>
      </c>
      <c r="Q203" s="1">
        <f t="shared" si="44"/>
        <v>5.6720003363681748</v>
      </c>
      <c r="R203" s="1">
        <f t="shared" si="45"/>
        <v>3.3510856688158128</v>
      </c>
      <c r="S203" s="2">
        <f t="shared" si="46"/>
        <v>12.939388505661441</v>
      </c>
      <c r="T203" s="3">
        <f t="shared" si="47"/>
        <v>0.22583493261850107</v>
      </c>
      <c r="U203" s="4" t="s">
        <v>571</v>
      </c>
      <c r="V203" s="1" t="s">
        <v>61</v>
      </c>
      <c r="W203" s="1" t="s">
        <v>62</v>
      </c>
    </row>
    <row r="204" spans="1:23" ht="14.25" customHeight="1" x14ac:dyDescent="0.3">
      <c r="A204" s="1" t="s">
        <v>26</v>
      </c>
      <c r="B204" s="1" t="s">
        <v>304</v>
      </c>
      <c r="C204" s="1" t="s">
        <v>305</v>
      </c>
      <c r="D204" s="1">
        <f t="shared" si="36"/>
        <v>73</v>
      </c>
      <c r="E204" s="1">
        <f t="shared" si="37"/>
        <v>0.15494212962962964</v>
      </c>
      <c r="F204" s="2">
        <f t="shared" si="38"/>
        <v>459.6460575364618</v>
      </c>
      <c r="G204" s="1">
        <v>2080</v>
      </c>
      <c r="H204" s="1">
        <v>3744</v>
      </c>
      <c r="I204" s="1">
        <v>0</v>
      </c>
      <c r="J204" s="1">
        <v>195</v>
      </c>
      <c r="K204" s="1">
        <f t="shared" si="39"/>
        <v>0</v>
      </c>
      <c r="L204" s="1">
        <f t="shared" si="40"/>
        <v>1.7015624999999999</v>
      </c>
      <c r="M204" s="1">
        <f t="shared" si="41"/>
        <v>1.7015624999999999</v>
      </c>
      <c r="N204" s="3">
        <f t="shared" si="42"/>
        <v>9.8732782369146026</v>
      </c>
      <c r="O204" s="1">
        <v>1026</v>
      </c>
      <c r="P204" s="1">
        <f t="shared" si="43"/>
        <v>846</v>
      </c>
      <c r="Q204" s="1">
        <f t="shared" si="44"/>
        <v>3.8395079200030722</v>
      </c>
      <c r="R204" s="1">
        <f t="shared" si="45"/>
        <v>1.7351622330783114</v>
      </c>
      <c r="S204" s="2">
        <f t="shared" si="46"/>
        <v>9.9675612396261233</v>
      </c>
      <c r="T204" s="3">
        <f t="shared" si="47"/>
        <v>0.17396676202564335</v>
      </c>
      <c r="U204" s="4" t="s">
        <v>571</v>
      </c>
    </row>
    <row r="205" spans="1:23" ht="14.25" customHeight="1" x14ac:dyDescent="0.3">
      <c r="A205" s="1" t="s">
        <v>26</v>
      </c>
      <c r="B205" s="1" t="s">
        <v>425</v>
      </c>
      <c r="C205" s="1" t="s">
        <v>426</v>
      </c>
      <c r="D205" s="1">
        <f t="shared" si="36"/>
        <v>74</v>
      </c>
      <c r="E205" s="1">
        <f t="shared" si="37"/>
        <v>1.4525462962962964E-2</v>
      </c>
      <c r="F205" s="2">
        <f t="shared" si="38"/>
        <v>465.04697890675828</v>
      </c>
      <c r="G205" s="1">
        <v>2080</v>
      </c>
      <c r="H205" s="1">
        <v>3744</v>
      </c>
      <c r="I205" s="1">
        <v>0</v>
      </c>
      <c r="J205" s="1">
        <v>259</v>
      </c>
      <c r="K205" s="1">
        <f t="shared" si="39"/>
        <v>0</v>
      </c>
      <c r="L205" s="1">
        <f t="shared" si="40"/>
        <v>2.260024038461538</v>
      </c>
      <c r="M205" s="1">
        <f t="shared" si="41"/>
        <v>2.260024038461538</v>
      </c>
      <c r="N205" s="3">
        <f t="shared" si="42"/>
        <v>7.4335492517310717</v>
      </c>
      <c r="O205" s="1">
        <v>789</v>
      </c>
      <c r="P205" s="1">
        <f t="shared" si="43"/>
        <v>1083</v>
      </c>
      <c r="Q205" s="1">
        <f t="shared" si="44"/>
        <v>2.8907492061799194</v>
      </c>
      <c r="R205" s="1">
        <f t="shared" si="45"/>
        <v>1.672372537549601</v>
      </c>
      <c r="S205" s="2">
        <f t="shared" si="46"/>
        <v>12.679091968266965</v>
      </c>
      <c r="T205" s="3">
        <f t="shared" si="47"/>
        <v>0.22129190100942694</v>
      </c>
      <c r="U205" s="4" t="s">
        <v>571</v>
      </c>
    </row>
    <row r="206" spans="1:23" ht="14.25" customHeight="1" x14ac:dyDescent="0.3">
      <c r="A206" s="1" t="s">
        <v>26</v>
      </c>
      <c r="B206" s="1" t="s">
        <v>217</v>
      </c>
      <c r="C206" s="1" t="s">
        <v>218</v>
      </c>
      <c r="D206" s="1">
        <f t="shared" si="36"/>
        <v>74</v>
      </c>
      <c r="E206" s="1">
        <f t="shared" si="37"/>
        <v>1.4537037037037038E-2</v>
      </c>
      <c r="F206" s="2">
        <f t="shared" si="38"/>
        <v>465.04705162881038</v>
      </c>
      <c r="G206" s="1">
        <v>2080</v>
      </c>
      <c r="H206" s="1">
        <v>3744</v>
      </c>
      <c r="I206" s="1">
        <v>0</v>
      </c>
      <c r="J206" s="1">
        <v>219</v>
      </c>
      <c r="K206" s="1">
        <f t="shared" si="39"/>
        <v>0</v>
      </c>
      <c r="L206" s="1">
        <f t="shared" si="40"/>
        <v>1.9109855769230768</v>
      </c>
      <c r="M206" s="1">
        <f t="shared" si="41"/>
        <v>1.9109855769230768</v>
      </c>
      <c r="N206" s="3">
        <f t="shared" si="42"/>
        <v>8.7912751424582076</v>
      </c>
      <c r="O206" s="1">
        <v>1239</v>
      </c>
      <c r="P206" s="1">
        <f t="shared" si="43"/>
        <v>633</v>
      </c>
      <c r="Q206" s="1">
        <f t="shared" si="44"/>
        <v>3.4187399287698588</v>
      </c>
      <c r="R206" s="1">
        <f t="shared" si="45"/>
        <v>1.1560162259141671</v>
      </c>
      <c r="S206" s="2">
        <f t="shared" si="46"/>
        <v>7.4911776700457873</v>
      </c>
      <c r="T206" s="3">
        <f t="shared" si="47"/>
        <v>0.13074571519417638</v>
      </c>
      <c r="U206" s="4" t="s">
        <v>571</v>
      </c>
    </row>
    <row r="207" spans="1:23" ht="14.25" customHeight="1" x14ac:dyDescent="0.3">
      <c r="A207" s="1" t="s">
        <v>26</v>
      </c>
      <c r="B207" s="1" t="s">
        <v>457</v>
      </c>
      <c r="C207" s="1" t="s">
        <v>458</v>
      </c>
      <c r="D207" s="1">
        <f t="shared" si="36"/>
        <v>74</v>
      </c>
      <c r="E207" s="1">
        <f t="shared" si="37"/>
        <v>1.6342592592592593E-2</v>
      </c>
      <c r="F207" s="2">
        <f t="shared" si="38"/>
        <v>465.0583962689484</v>
      </c>
      <c r="G207" s="1">
        <v>2080</v>
      </c>
      <c r="H207" s="1">
        <v>3744</v>
      </c>
      <c r="I207" s="1">
        <v>0</v>
      </c>
      <c r="J207" s="1">
        <v>152</v>
      </c>
      <c r="K207" s="1">
        <f t="shared" si="39"/>
        <v>0</v>
      </c>
      <c r="L207" s="1">
        <f t="shared" si="40"/>
        <v>1.3263461538461536</v>
      </c>
      <c r="M207" s="1">
        <f t="shared" si="41"/>
        <v>1.3263461538461536</v>
      </c>
      <c r="N207" s="3">
        <f t="shared" si="42"/>
        <v>12.666376685515445</v>
      </c>
      <c r="O207" s="1">
        <v>736</v>
      </c>
      <c r="P207" s="1">
        <f t="shared" si="43"/>
        <v>1136</v>
      </c>
      <c r="Q207" s="1">
        <f t="shared" si="44"/>
        <v>4.9256845026355203</v>
      </c>
      <c r="R207" s="1">
        <f t="shared" si="45"/>
        <v>2.9890905956164264</v>
      </c>
      <c r="S207" s="2">
        <f t="shared" si="46"/>
        <v>13.278089448779317</v>
      </c>
      <c r="T207" s="3">
        <f t="shared" si="47"/>
        <v>0.23174637925551805</v>
      </c>
      <c r="U207" s="4" t="s">
        <v>571</v>
      </c>
    </row>
    <row r="208" spans="1:23" ht="14.25" customHeight="1" x14ac:dyDescent="0.3">
      <c r="A208" s="1" t="s">
        <v>26</v>
      </c>
      <c r="B208" s="1" t="s">
        <v>363</v>
      </c>
      <c r="C208" s="1" t="s">
        <v>364</v>
      </c>
      <c r="D208" s="1">
        <f t="shared" si="36"/>
        <v>74</v>
      </c>
      <c r="E208" s="1">
        <f t="shared" si="37"/>
        <v>1.6354166666666666E-2</v>
      </c>
      <c r="F208" s="2">
        <f t="shared" si="38"/>
        <v>465.05846899100061</v>
      </c>
      <c r="G208" s="1">
        <v>2080</v>
      </c>
      <c r="H208" s="1">
        <v>3744</v>
      </c>
      <c r="I208" s="1">
        <v>0</v>
      </c>
      <c r="J208" s="1">
        <v>180</v>
      </c>
      <c r="K208" s="1">
        <f t="shared" si="39"/>
        <v>0</v>
      </c>
      <c r="L208" s="1">
        <f t="shared" si="40"/>
        <v>1.5706730769230768</v>
      </c>
      <c r="M208" s="1">
        <f t="shared" si="41"/>
        <v>1.5706730769230768</v>
      </c>
      <c r="N208" s="3">
        <f t="shared" si="42"/>
        <v>10.696051423324151</v>
      </c>
      <c r="O208" s="1">
        <v>907</v>
      </c>
      <c r="P208" s="1">
        <f t="shared" si="43"/>
        <v>965</v>
      </c>
      <c r="Q208" s="1">
        <f t="shared" si="44"/>
        <v>4.1594669133366606</v>
      </c>
      <c r="R208" s="1">
        <f t="shared" si="45"/>
        <v>2.1441696428257893</v>
      </c>
      <c r="S208" s="2">
        <f t="shared" si="46"/>
        <v>11.335474334804024</v>
      </c>
      <c r="T208" s="3">
        <f t="shared" si="47"/>
        <v>0.19784134941764428</v>
      </c>
      <c r="U208" s="4" t="s">
        <v>571</v>
      </c>
    </row>
    <row r="209" spans="1:23" ht="14.25" customHeight="1" x14ac:dyDescent="0.3">
      <c r="A209" s="1" t="s">
        <v>26</v>
      </c>
      <c r="B209" s="1" t="s">
        <v>248</v>
      </c>
      <c r="C209" s="1" t="s">
        <v>249</v>
      </c>
      <c r="D209" s="1">
        <f t="shared" si="36"/>
        <v>74</v>
      </c>
      <c r="E209" s="1">
        <f t="shared" si="37"/>
        <v>1.636574074074074E-2</v>
      </c>
      <c r="F209" s="2">
        <f t="shared" si="38"/>
        <v>465.0585417130527</v>
      </c>
      <c r="G209" s="1">
        <v>2080</v>
      </c>
      <c r="H209" s="1">
        <v>3744</v>
      </c>
      <c r="I209" s="1">
        <v>0</v>
      </c>
      <c r="J209" s="1">
        <v>200</v>
      </c>
      <c r="K209" s="1">
        <f t="shared" si="39"/>
        <v>0</v>
      </c>
      <c r="L209" s="1">
        <f t="shared" si="40"/>
        <v>1.7451923076923075</v>
      </c>
      <c r="M209" s="1">
        <f t="shared" si="41"/>
        <v>1.7451923076923075</v>
      </c>
      <c r="N209" s="3">
        <f t="shared" si="42"/>
        <v>9.6264462809917379</v>
      </c>
      <c r="O209" s="1">
        <v>1156</v>
      </c>
      <c r="P209" s="1">
        <f t="shared" si="43"/>
        <v>716</v>
      </c>
      <c r="Q209" s="1">
        <f t="shared" si="44"/>
        <v>3.7435202220029957</v>
      </c>
      <c r="R209" s="1">
        <f t="shared" si="45"/>
        <v>1.4318164951678123</v>
      </c>
      <c r="S209" s="2">
        <f t="shared" si="46"/>
        <v>8.4600254917999962</v>
      </c>
      <c r="T209" s="3">
        <f t="shared" si="47"/>
        <v>0.14765529963456248</v>
      </c>
      <c r="U209" s="4" t="s">
        <v>571</v>
      </c>
    </row>
    <row r="210" spans="1:23" ht="14.25" customHeight="1" x14ac:dyDescent="0.3">
      <c r="A210" s="1" t="s">
        <v>26</v>
      </c>
      <c r="B210" s="1" t="s">
        <v>413</v>
      </c>
      <c r="C210" s="1" t="s">
        <v>414</v>
      </c>
      <c r="D210" s="1">
        <f t="shared" si="36"/>
        <v>74</v>
      </c>
      <c r="E210" s="1">
        <f t="shared" si="37"/>
        <v>0.15016203703703704</v>
      </c>
      <c r="F210" s="2">
        <f t="shared" si="38"/>
        <v>465.89920863609666</v>
      </c>
      <c r="G210" s="1">
        <v>2080</v>
      </c>
      <c r="H210" s="1">
        <v>3744</v>
      </c>
      <c r="I210" s="1">
        <v>0</v>
      </c>
      <c r="J210" s="1">
        <v>229</v>
      </c>
      <c r="K210" s="1">
        <f t="shared" si="39"/>
        <v>0</v>
      </c>
      <c r="L210" s="1">
        <f t="shared" si="40"/>
        <v>1.998245192307692</v>
      </c>
      <c r="M210" s="1">
        <f t="shared" si="41"/>
        <v>1.998245192307692</v>
      </c>
      <c r="N210" s="3">
        <f t="shared" si="42"/>
        <v>8.407376664621605</v>
      </c>
      <c r="O210" s="1">
        <v>836</v>
      </c>
      <c r="P210" s="1">
        <f t="shared" si="43"/>
        <v>1036</v>
      </c>
      <c r="Q210" s="1">
        <f t="shared" si="44"/>
        <v>3.2694499755484676</v>
      </c>
      <c r="R210" s="1">
        <f t="shared" si="45"/>
        <v>1.8093750933056691</v>
      </c>
      <c r="S210" s="2">
        <f t="shared" si="46"/>
        <v>12.14553363840394</v>
      </c>
      <c r="T210" s="3">
        <f t="shared" si="47"/>
        <v>0.21197955140187516</v>
      </c>
      <c r="U210" s="4" t="s">
        <v>571</v>
      </c>
    </row>
    <row r="211" spans="1:23" ht="14.25" customHeight="1" x14ac:dyDescent="0.3">
      <c r="A211" s="1" t="s">
        <v>26</v>
      </c>
      <c r="B211" s="1" t="s">
        <v>294</v>
      </c>
      <c r="C211" s="1" t="s">
        <v>295</v>
      </c>
      <c r="D211" s="1">
        <f t="shared" si="36"/>
        <v>74</v>
      </c>
      <c r="E211" s="1">
        <f t="shared" si="37"/>
        <v>0.1501736111111111</v>
      </c>
      <c r="F211" s="2">
        <f t="shared" si="38"/>
        <v>465.89928135814881</v>
      </c>
      <c r="G211" s="1">
        <v>2080</v>
      </c>
      <c r="H211" s="1">
        <v>3744</v>
      </c>
      <c r="I211" s="1">
        <v>0</v>
      </c>
      <c r="J211" s="1">
        <v>216</v>
      </c>
      <c r="K211" s="1">
        <f t="shared" si="39"/>
        <v>0</v>
      </c>
      <c r="L211" s="1">
        <f t="shared" si="40"/>
        <v>1.8848076923076922</v>
      </c>
      <c r="M211" s="1">
        <f t="shared" si="41"/>
        <v>1.8848076923076922</v>
      </c>
      <c r="N211" s="3">
        <f t="shared" si="42"/>
        <v>8.9133761861034593</v>
      </c>
      <c r="O211" s="1">
        <v>1054</v>
      </c>
      <c r="P211" s="1">
        <f t="shared" si="43"/>
        <v>818</v>
      </c>
      <c r="Q211" s="1">
        <f t="shared" si="44"/>
        <v>3.4662224277805507</v>
      </c>
      <c r="R211" s="1">
        <f t="shared" si="45"/>
        <v>1.5146206976092365</v>
      </c>
      <c r="S211" s="2">
        <f t="shared" si="46"/>
        <v>9.643964053080964</v>
      </c>
      <c r="T211" s="3">
        <f t="shared" si="47"/>
        <v>0.16831892567024001</v>
      </c>
      <c r="U211" s="4" t="s">
        <v>571</v>
      </c>
    </row>
    <row r="212" spans="1:23" ht="14.25" customHeight="1" x14ac:dyDescent="0.3">
      <c r="A212" s="1" t="s">
        <v>26</v>
      </c>
      <c r="B212" s="1" t="s">
        <v>199</v>
      </c>
      <c r="C212" s="1" t="s">
        <v>200</v>
      </c>
      <c r="D212" s="1">
        <f t="shared" si="36"/>
        <v>74</v>
      </c>
      <c r="E212" s="1">
        <f t="shared" si="37"/>
        <v>0.15018518518518517</v>
      </c>
      <c r="F212" s="2">
        <f t="shared" si="38"/>
        <v>465.89935408020096</v>
      </c>
      <c r="G212" s="1">
        <v>2080</v>
      </c>
      <c r="H212" s="1">
        <v>3744</v>
      </c>
      <c r="I212" s="1">
        <v>0</v>
      </c>
      <c r="J212" s="1">
        <v>205</v>
      </c>
      <c r="K212" s="1">
        <f t="shared" si="39"/>
        <v>0</v>
      </c>
      <c r="L212" s="1">
        <f t="shared" si="40"/>
        <v>1.7888221153846151</v>
      </c>
      <c r="M212" s="1">
        <f t="shared" si="41"/>
        <v>1.7888221153846151</v>
      </c>
      <c r="N212" s="3">
        <f t="shared" si="42"/>
        <v>9.3916549082846217</v>
      </c>
      <c r="O212" s="1">
        <v>1294</v>
      </c>
      <c r="P212" s="1">
        <f t="shared" si="43"/>
        <v>578</v>
      </c>
      <c r="Q212" s="1">
        <f t="shared" si="44"/>
        <v>3.6522148507346297</v>
      </c>
      <c r="R212" s="1">
        <f t="shared" si="45"/>
        <v>1.1276603545537478</v>
      </c>
      <c r="S212" s="2">
        <f t="shared" si="46"/>
        <v>6.846753309388351</v>
      </c>
      <c r="T212" s="3">
        <f t="shared" si="47"/>
        <v>0.11949838832064472</v>
      </c>
      <c r="U212" s="4" t="s">
        <v>571</v>
      </c>
    </row>
    <row r="213" spans="1:23" ht="14.25" customHeight="1" x14ac:dyDescent="0.3">
      <c r="A213" s="1" t="s">
        <v>26</v>
      </c>
      <c r="B213" s="1" t="s">
        <v>151</v>
      </c>
      <c r="C213" s="1" t="s">
        <v>152</v>
      </c>
      <c r="D213" s="1">
        <f t="shared" si="36"/>
        <v>74</v>
      </c>
      <c r="E213" s="1">
        <f t="shared" si="37"/>
        <v>0.16724537037037038</v>
      </c>
      <c r="F213" s="2">
        <f t="shared" si="38"/>
        <v>466.00654638509428</v>
      </c>
      <c r="G213" s="1">
        <v>2080</v>
      </c>
      <c r="H213" s="1">
        <v>3744</v>
      </c>
      <c r="I213" s="1">
        <v>0</v>
      </c>
      <c r="J213" s="1">
        <v>152</v>
      </c>
      <c r="K213" s="1">
        <f t="shared" si="39"/>
        <v>0</v>
      </c>
      <c r="L213" s="1">
        <f t="shared" si="40"/>
        <v>1.3263461538461536</v>
      </c>
      <c r="M213" s="1">
        <f t="shared" si="41"/>
        <v>1.3263461538461536</v>
      </c>
      <c r="N213" s="3">
        <f t="shared" si="42"/>
        <v>12.666376685515445</v>
      </c>
      <c r="O213" s="1">
        <v>1530</v>
      </c>
      <c r="P213" s="1">
        <f t="shared" si="43"/>
        <v>342</v>
      </c>
      <c r="Q213" s="1">
        <f t="shared" si="44"/>
        <v>4.9256845026355203</v>
      </c>
      <c r="R213" s="1">
        <f t="shared" si="45"/>
        <v>0.89988466875072004</v>
      </c>
      <c r="S213" s="2">
        <f t="shared" si="46"/>
        <v>4.0637594379964677</v>
      </c>
      <c r="T213" s="3">
        <f t="shared" si="47"/>
        <v>7.0925982202032722E-2</v>
      </c>
      <c r="U213" s="4" t="s">
        <v>571</v>
      </c>
    </row>
    <row r="214" spans="1:23" ht="14.25" customHeight="1" x14ac:dyDescent="0.3">
      <c r="A214" s="1" t="s">
        <v>26</v>
      </c>
      <c r="B214" s="1" t="s">
        <v>96</v>
      </c>
      <c r="C214" s="1" t="s">
        <v>97</v>
      </c>
      <c r="D214" s="1">
        <f t="shared" si="36"/>
        <v>74</v>
      </c>
      <c r="E214" s="1">
        <f t="shared" si="37"/>
        <v>0.16725694444444447</v>
      </c>
      <c r="F214" s="2">
        <f t="shared" si="38"/>
        <v>466.00661910714649</v>
      </c>
      <c r="G214" s="1">
        <v>2080</v>
      </c>
      <c r="H214" s="1">
        <v>3744</v>
      </c>
      <c r="I214" s="1">
        <v>0</v>
      </c>
      <c r="J214" s="1">
        <v>155</v>
      </c>
      <c r="K214" s="1">
        <f t="shared" si="39"/>
        <v>0</v>
      </c>
      <c r="L214" s="1">
        <f t="shared" si="40"/>
        <v>1.3525240384615385</v>
      </c>
      <c r="M214" s="1">
        <f t="shared" si="41"/>
        <v>1.3525240384615385</v>
      </c>
      <c r="N214" s="3">
        <f t="shared" si="42"/>
        <v>12.421221007731273</v>
      </c>
      <c r="O214" s="1">
        <v>1705</v>
      </c>
      <c r="P214" s="1">
        <f t="shared" si="43"/>
        <v>167</v>
      </c>
      <c r="Q214" s="1">
        <f t="shared" si="44"/>
        <v>4.8303486735522512</v>
      </c>
      <c r="R214" s="1">
        <f t="shared" si="45"/>
        <v>0.43091251521539847</v>
      </c>
      <c r="S214" s="2">
        <f t="shared" si="46"/>
        <v>1.9868876754847058</v>
      </c>
      <c r="T214" s="3">
        <f t="shared" si="47"/>
        <v>3.4677731804504737E-2</v>
      </c>
      <c r="U214" s="4" t="s">
        <v>571</v>
      </c>
      <c r="V214" s="1" t="s">
        <v>465</v>
      </c>
      <c r="W214" s="1" t="s">
        <v>466</v>
      </c>
    </row>
    <row r="215" spans="1:23" ht="14.25" customHeight="1" x14ac:dyDescent="0.3">
      <c r="A215" s="1" t="s">
        <v>108</v>
      </c>
      <c r="B215" s="1" t="s">
        <v>258</v>
      </c>
      <c r="C215" s="1" t="s">
        <v>259</v>
      </c>
      <c r="D215" s="1">
        <f t="shared" si="36"/>
        <v>78</v>
      </c>
      <c r="E215" s="1">
        <f t="shared" si="37"/>
        <v>0.23375000000000001</v>
      </c>
      <c r="F215" s="2">
        <f t="shared" si="38"/>
        <v>491.55714852556093</v>
      </c>
      <c r="G215" s="1">
        <v>2080</v>
      </c>
      <c r="H215" s="1">
        <v>3744</v>
      </c>
      <c r="I215" s="1">
        <v>0</v>
      </c>
      <c r="J215" s="1">
        <v>528</v>
      </c>
      <c r="K215" s="1">
        <f t="shared" si="39"/>
        <v>0</v>
      </c>
      <c r="L215" s="1">
        <f t="shared" si="40"/>
        <v>4.6073076923076917</v>
      </c>
      <c r="M215" s="1">
        <f t="shared" si="41"/>
        <v>4.6073076923076917</v>
      </c>
      <c r="N215" s="3">
        <f t="shared" si="42"/>
        <v>3.6463811670423247</v>
      </c>
      <c r="O215" s="1">
        <v>1128</v>
      </c>
      <c r="P215" s="1">
        <f t="shared" si="43"/>
        <v>744</v>
      </c>
      <c r="Q215" s="1">
        <f t="shared" si="44"/>
        <v>1.4180000840920437</v>
      </c>
      <c r="R215" s="1">
        <f t="shared" si="45"/>
        <v>0.56356413598529942</v>
      </c>
      <c r="S215" s="2">
        <f t="shared" si="46"/>
        <v>8.7857974954106659</v>
      </c>
      <c r="T215" s="3">
        <f t="shared" si="47"/>
        <v>0.15334109370838753</v>
      </c>
      <c r="U215" s="4" t="s">
        <v>571</v>
      </c>
    </row>
    <row r="216" spans="1:23" ht="14.25" customHeight="1" x14ac:dyDescent="0.3">
      <c r="A216" s="1" t="s">
        <v>108</v>
      </c>
      <c r="B216" s="1" t="s">
        <v>145</v>
      </c>
      <c r="C216" s="1" t="s">
        <v>146</v>
      </c>
      <c r="D216" s="1">
        <f t="shared" si="36"/>
        <v>78</v>
      </c>
      <c r="E216" s="1">
        <f t="shared" si="37"/>
        <v>0.23376157407407408</v>
      </c>
      <c r="F216" s="2">
        <f t="shared" si="38"/>
        <v>491.55722124761314</v>
      </c>
      <c r="G216" s="1">
        <v>2080</v>
      </c>
      <c r="H216" s="1">
        <v>3744</v>
      </c>
      <c r="I216" s="1">
        <v>0</v>
      </c>
      <c r="J216" s="1">
        <v>485</v>
      </c>
      <c r="K216" s="1">
        <f t="shared" si="39"/>
        <v>0</v>
      </c>
      <c r="L216" s="1">
        <f t="shared" si="40"/>
        <v>4.2320913461538465</v>
      </c>
      <c r="M216" s="1">
        <f t="shared" si="41"/>
        <v>4.2320913461538465</v>
      </c>
      <c r="N216" s="3">
        <f t="shared" si="42"/>
        <v>3.969668569481128</v>
      </c>
      <c r="O216" s="1">
        <v>1548</v>
      </c>
      <c r="P216" s="1">
        <f t="shared" si="43"/>
        <v>324</v>
      </c>
      <c r="Q216" s="1">
        <f t="shared" si="44"/>
        <v>1.5437196791764927</v>
      </c>
      <c r="R216" s="1">
        <f t="shared" si="45"/>
        <v>0.26718225216516217</v>
      </c>
      <c r="S216" s="2">
        <f t="shared" si="46"/>
        <v>3.850538555118296</v>
      </c>
      <c r="T216" s="3">
        <f t="shared" si="47"/>
        <v>6.7204575761799418E-2</v>
      </c>
      <c r="U216" s="4" t="s">
        <v>571</v>
      </c>
    </row>
    <row r="217" spans="1:23" ht="14.25" customHeight="1" x14ac:dyDescent="0.3">
      <c r="A217" s="1" t="s">
        <v>108</v>
      </c>
      <c r="B217" s="1" t="s">
        <v>129</v>
      </c>
      <c r="C217" s="1" t="s">
        <v>130</v>
      </c>
      <c r="D217" s="1">
        <f t="shared" si="36"/>
        <v>78</v>
      </c>
      <c r="E217" s="1">
        <f t="shared" si="37"/>
        <v>0.23377314814814812</v>
      </c>
      <c r="F217" s="2">
        <f t="shared" si="38"/>
        <v>491.5572939696653</v>
      </c>
      <c r="G217" s="1">
        <v>2080</v>
      </c>
      <c r="H217" s="1">
        <v>3744</v>
      </c>
      <c r="I217" s="1">
        <v>0</v>
      </c>
      <c r="J217" s="1">
        <v>425</v>
      </c>
      <c r="K217" s="1">
        <f t="shared" si="39"/>
        <v>0</v>
      </c>
      <c r="L217" s="1">
        <f t="shared" si="40"/>
        <v>3.7085336538461533</v>
      </c>
      <c r="M217" s="1">
        <f t="shared" si="41"/>
        <v>3.7085336538461533</v>
      </c>
      <c r="N217" s="3">
        <f t="shared" si="42"/>
        <v>4.5300923675255236</v>
      </c>
      <c r="O217" s="1">
        <v>1630</v>
      </c>
      <c r="P217" s="1">
        <f t="shared" si="43"/>
        <v>242</v>
      </c>
      <c r="Q217" s="1">
        <f t="shared" si="44"/>
        <v>1.7616565750602331</v>
      </c>
      <c r="R217" s="1">
        <f t="shared" si="45"/>
        <v>0.22773551878449597</v>
      </c>
      <c r="S217" s="2">
        <f t="shared" si="46"/>
        <v>2.8779343950096119</v>
      </c>
      <c r="T217" s="3">
        <f t="shared" si="47"/>
        <v>5.0229430849308795E-2</v>
      </c>
      <c r="U217" s="4" t="s">
        <v>571</v>
      </c>
    </row>
    <row r="218" spans="1:23" ht="14.25" customHeight="1" x14ac:dyDescent="0.3">
      <c r="A218" s="1" t="s">
        <v>40</v>
      </c>
      <c r="B218" s="1" t="s">
        <v>41</v>
      </c>
      <c r="C218" s="1" t="s">
        <v>42</v>
      </c>
      <c r="D218" s="1">
        <f t="shared" si="36"/>
        <v>84</v>
      </c>
      <c r="E218" s="1">
        <f t="shared" si="37"/>
        <v>6.5138888888888885E-2</v>
      </c>
      <c r="F218" s="2">
        <f t="shared" si="38"/>
        <v>528.19684551267801</v>
      </c>
      <c r="G218" s="1">
        <v>2080</v>
      </c>
      <c r="H218" s="1">
        <v>3744</v>
      </c>
      <c r="I218" s="1">
        <v>0</v>
      </c>
      <c r="J218" s="1">
        <v>254</v>
      </c>
      <c r="K218" s="1">
        <f t="shared" si="39"/>
        <v>0</v>
      </c>
      <c r="L218" s="1">
        <f t="shared" si="40"/>
        <v>2.2163942307692306</v>
      </c>
      <c r="M218" s="1">
        <f t="shared" si="41"/>
        <v>2.2163942307692306</v>
      </c>
      <c r="N218" s="3">
        <f t="shared" si="42"/>
        <v>7.5798789614108166</v>
      </c>
      <c r="O218" s="1">
        <v>1836</v>
      </c>
      <c r="P218" s="1">
        <f t="shared" si="43"/>
        <v>36</v>
      </c>
      <c r="Q218" s="1">
        <f t="shared" si="44"/>
        <v>2.9476537181125946</v>
      </c>
      <c r="R218" s="1">
        <f t="shared" si="45"/>
        <v>5.6685648425242208E-2</v>
      </c>
      <c r="S218" s="2">
        <f t="shared" si="46"/>
        <v>0.42847489845129944</v>
      </c>
      <c r="T218" s="3">
        <f t="shared" si="47"/>
        <v>7.4782977401235276E-3</v>
      </c>
      <c r="U218" s="4" t="s">
        <v>571</v>
      </c>
    </row>
    <row r="219" spans="1:23" ht="14.25" customHeight="1" x14ac:dyDescent="0.3">
      <c r="A219" s="1" t="s">
        <v>40</v>
      </c>
      <c r="B219" s="1" t="s">
        <v>127</v>
      </c>
      <c r="C219" s="1" t="s">
        <v>128</v>
      </c>
      <c r="D219" s="1">
        <f t="shared" si="36"/>
        <v>84</v>
      </c>
      <c r="E219" s="1">
        <f t="shared" si="37"/>
        <v>6.5150462962962966E-2</v>
      </c>
      <c r="F219" s="2">
        <f t="shared" si="38"/>
        <v>528.19691823473011</v>
      </c>
      <c r="G219" s="1">
        <v>2080</v>
      </c>
      <c r="H219" s="1">
        <v>3744</v>
      </c>
      <c r="I219" s="1">
        <v>0</v>
      </c>
      <c r="J219" s="1">
        <v>284</v>
      </c>
      <c r="K219" s="1">
        <f t="shared" si="39"/>
        <v>0</v>
      </c>
      <c r="L219" s="1">
        <f t="shared" si="40"/>
        <v>2.4781730769230768</v>
      </c>
      <c r="M219" s="1">
        <f t="shared" si="41"/>
        <v>2.4781730769230768</v>
      </c>
      <c r="N219" s="3">
        <f t="shared" si="42"/>
        <v>6.7791875218251665</v>
      </c>
      <c r="O219" s="1">
        <v>1631</v>
      </c>
      <c r="P219" s="1">
        <f t="shared" si="43"/>
        <v>241</v>
      </c>
      <c r="Q219" s="1">
        <f t="shared" si="44"/>
        <v>2.6362818464809825</v>
      </c>
      <c r="R219" s="1">
        <f t="shared" si="45"/>
        <v>0.33939312233008373</v>
      </c>
      <c r="S219" s="2">
        <f t="shared" si="46"/>
        <v>2.8660619733263779</v>
      </c>
      <c r="T219" s="3">
        <f t="shared" si="47"/>
        <v>5.0022218000751191E-2</v>
      </c>
      <c r="U219" s="4" t="s">
        <v>571</v>
      </c>
    </row>
    <row r="220" spans="1:23" ht="14.25" customHeight="1" x14ac:dyDescent="0.3">
      <c r="A220" s="1" t="s">
        <v>40</v>
      </c>
      <c r="B220" s="1" t="s">
        <v>65</v>
      </c>
      <c r="C220" s="1" t="s">
        <v>66</v>
      </c>
      <c r="D220" s="1">
        <f t="shared" si="36"/>
        <v>84</v>
      </c>
      <c r="E220" s="1">
        <f t="shared" si="37"/>
        <v>6.5428240740740731E-2</v>
      </c>
      <c r="F220" s="2">
        <f t="shared" si="38"/>
        <v>528.19866356398211</v>
      </c>
      <c r="G220" s="1">
        <v>2080</v>
      </c>
      <c r="H220" s="1">
        <v>3744</v>
      </c>
      <c r="I220" s="1">
        <v>0</v>
      </c>
      <c r="J220" s="1">
        <v>315</v>
      </c>
      <c r="K220" s="1">
        <f t="shared" si="39"/>
        <v>0</v>
      </c>
      <c r="L220" s="1">
        <f t="shared" si="40"/>
        <v>2.7486778846153848</v>
      </c>
      <c r="M220" s="1">
        <f t="shared" si="41"/>
        <v>2.7486778846153848</v>
      </c>
      <c r="N220" s="3">
        <f t="shared" si="42"/>
        <v>6.1120293847566574</v>
      </c>
      <c r="O220" s="1">
        <v>1785</v>
      </c>
      <c r="P220" s="1">
        <f t="shared" si="43"/>
        <v>87</v>
      </c>
      <c r="Q220" s="1">
        <f t="shared" si="44"/>
        <v>2.3768382361923774</v>
      </c>
      <c r="R220" s="1">
        <f t="shared" si="45"/>
        <v>0.11046203341278678</v>
      </c>
      <c r="S220" s="2">
        <f t="shared" si="46"/>
        <v>1.0353875885863337</v>
      </c>
      <c r="T220" s="3">
        <f t="shared" si="47"/>
        <v>1.8070922455115986E-2</v>
      </c>
      <c r="U220" s="4" t="s">
        <v>571</v>
      </c>
    </row>
    <row r="221" spans="1:23" ht="14.25" customHeight="1" x14ac:dyDescent="0.3">
      <c r="A221" s="1" t="s">
        <v>40</v>
      </c>
      <c r="B221" s="1" t="s">
        <v>171</v>
      </c>
      <c r="C221" s="1" t="s">
        <v>172</v>
      </c>
      <c r="D221" s="1">
        <f t="shared" si="36"/>
        <v>84</v>
      </c>
      <c r="E221" s="1">
        <f t="shared" si="37"/>
        <v>6.5439814814814812E-2</v>
      </c>
      <c r="F221" s="2">
        <f t="shared" si="38"/>
        <v>528.1987362860342</v>
      </c>
      <c r="G221" s="1">
        <v>2080</v>
      </c>
      <c r="H221" s="1">
        <v>3744</v>
      </c>
      <c r="I221" s="1">
        <v>0</v>
      </c>
      <c r="J221" s="1">
        <v>224</v>
      </c>
      <c r="K221" s="1">
        <f t="shared" si="39"/>
        <v>0</v>
      </c>
      <c r="L221" s="1">
        <f t="shared" si="40"/>
        <v>1.9546153846153844</v>
      </c>
      <c r="M221" s="1">
        <f t="shared" si="41"/>
        <v>1.9546153846153844</v>
      </c>
      <c r="N221" s="3">
        <f t="shared" si="42"/>
        <v>8.5950413223140512</v>
      </c>
      <c r="O221" s="1">
        <v>1414</v>
      </c>
      <c r="P221" s="1">
        <f t="shared" si="43"/>
        <v>458</v>
      </c>
      <c r="Q221" s="1">
        <f t="shared" si="44"/>
        <v>3.3424287696455317</v>
      </c>
      <c r="R221" s="1">
        <f t="shared" si="45"/>
        <v>0.81775233787267809</v>
      </c>
      <c r="S221" s="2">
        <f t="shared" si="46"/>
        <v>5.4348948874000955</v>
      </c>
      <c r="T221" s="3">
        <f t="shared" si="47"/>
        <v>9.4856810284938142E-2</v>
      </c>
      <c r="U221" s="4" t="s">
        <v>571</v>
      </c>
    </row>
    <row r="222" spans="1:23" ht="14.25" customHeight="1" x14ac:dyDescent="0.3">
      <c r="A222" s="1" t="s">
        <v>40</v>
      </c>
      <c r="B222" s="1" t="s">
        <v>139</v>
      </c>
      <c r="C222" s="1" t="s">
        <v>140</v>
      </c>
      <c r="D222" s="1">
        <f t="shared" si="36"/>
        <v>84</v>
      </c>
      <c r="E222" s="1">
        <f t="shared" si="37"/>
        <v>6.5833333333333341E-2</v>
      </c>
      <c r="F222" s="2">
        <f t="shared" si="38"/>
        <v>528.20120883580785</v>
      </c>
      <c r="G222" s="1">
        <v>2080</v>
      </c>
      <c r="H222" s="1">
        <v>3744</v>
      </c>
      <c r="I222" s="1">
        <v>0</v>
      </c>
      <c r="J222" s="1">
        <v>281</v>
      </c>
      <c r="K222" s="1">
        <f t="shared" si="39"/>
        <v>0</v>
      </c>
      <c r="L222" s="1">
        <f t="shared" si="40"/>
        <v>2.4519951923076921</v>
      </c>
      <c r="M222" s="1">
        <f t="shared" si="41"/>
        <v>2.4519951923076921</v>
      </c>
      <c r="N222" s="3">
        <f t="shared" si="42"/>
        <v>6.8515631893179618</v>
      </c>
      <c r="O222" s="1">
        <v>1570</v>
      </c>
      <c r="P222" s="1">
        <f t="shared" si="43"/>
        <v>302</v>
      </c>
      <c r="Q222" s="1">
        <f t="shared" si="44"/>
        <v>2.6644272042725943</v>
      </c>
      <c r="R222" s="1">
        <f t="shared" si="45"/>
        <v>0.42983814940722409</v>
      </c>
      <c r="S222" s="2">
        <f t="shared" si="46"/>
        <v>3.5897907154010249</v>
      </c>
      <c r="T222" s="3">
        <f t="shared" si="47"/>
        <v>6.26536674412706E-2</v>
      </c>
      <c r="U222" s="4" t="s">
        <v>571</v>
      </c>
    </row>
    <row r="223" spans="1:23" ht="14.25" customHeight="1" x14ac:dyDescent="0.3">
      <c r="A223" s="1" t="s">
        <v>40</v>
      </c>
      <c r="B223" s="1" t="s">
        <v>76</v>
      </c>
      <c r="C223" s="1" t="s">
        <v>77</v>
      </c>
      <c r="D223" s="1">
        <f t="shared" si="36"/>
        <v>84</v>
      </c>
      <c r="E223" s="1">
        <f t="shared" si="37"/>
        <v>6.5844907407407408E-2</v>
      </c>
      <c r="F223" s="2">
        <f t="shared" si="38"/>
        <v>528.20128155786006</v>
      </c>
      <c r="G223" s="1">
        <v>2080</v>
      </c>
      <c r="H223" s="1">
        <v>3744</v>
      </c>
      <c r="I223" s="1">
        <v>0</v>
      </c>
      <c r="J223" s="1">
        <v>281</v>
      </c>
      <c r="K223" s="1">
        <f t="shared" si="39"/>
        <v>0</v>
      </c>
      <c r="L223" s="1">
        <f t="shared" si="40"/>
        <v>2.4519951923076921</v>
      </c>
      <c r="M223" s="1">
        <f t="shared" si="41"/>
        <v>2.4519951923076921</v>
      </c>
      <c r="N223" s="3">
        <f t="shared" si="42"/>
        <v>6.8515631893179618</v>
      </c>
      <c r="O223" s="1">
        <v>1755</v>
      </c>
      <c r="P223" s="1">
        <f t="shared" si="43"/>
        <v>117</v>
      </c>
      <c r="Q223" s="1">
        <f t="shared" si="44"/>
        <v>2.6644272042725943</v>
      </c>
      <c r="R223" s="1">
        <f t="shared" si="45"/>
        <v>0.16652670026703714</v>
      </c>
      <c r="S223" s="2">
        <f t="shared" si="46"/>
        <v>1.3922952665456374</v>
      </c>
      <c r="T223" s="3">
        <f t="shared" si="47"/>
        <v>2.4300136561153429E-2</v>
      </c>
      <c r="U223" s="4" t="s">
        <v>571</v>
      </c>
    </row>
    <row r="224" spans="1:23" ht="14.25" customHeight="1" x14ac:dyDescent="0.3">
      <c r="A224" s="1" t="s">
        <v>40</v>
      </c>
      <c r="B224" s="1" t="s">
        <v>51</v>
      </c>
      <c r="C224" s="1" t="s">
        <v>52</v>
      </c>
      <c r="D224" s="1">
        <f t="shared" si="36"/>
        <v>84</v>
      </c>
      <c r="E224" s="1">
        <f t="shared" si="37"/>
        <v>6.5856481481481488E-2</v>
      </c>
      <c r="F224" s="2">
        <f t="shared" si="38"/>
        <v>528.20135427991215</v>
      </c>
      <c r="G224" s="1">
        <v>2080</v>
      </c>
      <c r="H224" s="1">
        <v>3744</v>
      </c>
      <c r="I224" s="1">
        <v>0</v>
      </c>
      <c r="J224" s="1">
        <v>283</v>
      </c>
      <c r="K224" s="1">
        <f t="shared" si="39"/>
        <v>0</v>
      </c>
      <c r="L224" s="1">
        <f t="shared" si="40"/>
        <v>2.4694471153846154</v>
      </c>
      <c r="M224" s="1">
        <f t="shared" si="41"/>
        <v>2.4694471153846154</v>
      </c>
      <c r="N224" s="3">
        <f t="shared" si="42"/>
        <v>6.8031422480506967</v>
      </c>
      <c r="O224" s="1">
        <v>1819</v>
      </c>
      <c r="P224" s="1">
        <f t="shared" si="43"/>
        <v>53</v>
      </c>
      <c r="Q224" s="1">
        <f t="shared" si="44"/>
        <v>2.645597330037452</v>
      </c>
      <c r="R224" s="1">
        <f t="shared" si="45"/>
        <v>7.4902061160248376E-2</v>
      </c>
      <c r="S224" s="2">
        <f t="shared" si="46"/>
        <v>0.63079653955038884</v>
      </c>
      <c r="T224" s="3">
        <f t="shared" si="47"/>
        <v>1.1009476525340917E-2</v>
      </c>
      <c r="U224" s="4" t="s">
        <v>571</v>
      </c>
    </row>
    <row r="225" spans="1:21" ht="14.25" customHeight="1" x14ac:dyDescent="0.3">
      <c r="A225" s="1" t="s">
        <v>26</v>
      </c>
      <c r="B225" s="1" t="s">
        <v>568</v>
      </c>
      <c r="C225" s="1" t="s">
        <v>569</v>
      </c>
      <c r="D225" s="1">
        <f t="shared" si="36"/>
        <v>85</v>
      </c>
      <c r="E225" s="1">
        <f t="shared" si="37"/>
        <v>0.8352546296296296</v>
      </c>
      <c r="F225" s="2">
        <f t="shared" si="38"/>
        <v>539.31881072690749</v>
      </c>
      <c r="G225" s="1">
        <v>2080</v>
      </c>
      <c r="H225" s="1">
        <v>3744</v>
      </c>
      <c r="I225" s="1">
        <v>0</v>
      </c>
      <c r="J225" s="1">
        <v>1550</v>
      </c>
      <c r="K225" s="1">
        <f t="shared" si="39"/>
        <v>0</v>
      </c>
      <c r="L225" s="1">
        <f t="shared" si="40"/>
        <v>13.525240384615383</v>
      </c>
      <c r="M225" s="1">
        <f t="shared" si="41"/>
        <v>13.525240384615383</v>
      </c>
      <c r="N225" s="3">
        <f t="shared" si="42"/>
        <v>1.2421221007731273</v>
      </c>
      <c r="O225" s="1">
        <v>0</v>
      </c>
      <c r="P225" s="1">
        <f t="shared" si="43"/>
        <v>1872</v>
      </c>
      <c r="Q225" s="1">
        <f t="shared" si="44"/>
        <v>0.48303486735522516</v>
      </c>
      <c r="R225" s="1">
        <f t="shared" si="45"/>
        <v>0.48303486735522516</v>
      </c>
      <c r="S225" s="2">
        <f t="shared" si="46"/>
        <v>21.25</v>
      </c>
      <c r="T225" s="3">
        <f t="shared" si="47"/>
        <v>0.37088246604879505</v>
      </c>
      <c r="U225" s="4" t="s">
        <v>571</v>
      </c>
    </row>
    <row r="226" spans="1:21" ht="14.25" customHeight="1" x14ac:dyDescent="0.3">
      <c r="A226" s="1" t="s">
        <v>26</v>
      </c>
      <c r="B226" s="1" t="s">
        <v>491</v>
      </c>
      <c r="C226" s="1" t="s">
        <v>492</v>
      </c>
      <c r="D226" s="1">
        <f t="shared" si="36"/>
        <v>85</v>
      </c>
      <c r="E226" s="1">
        <f t="shared" si="37"/>
        <v>0.83526620370370364</v>
      </c>
      <c r="F226" s="2">
        <f t="shared" si="38"/>
        <v>539.3188834489597</v>
      </c>
      <c r="G226" s="1">
        <v>2080</v>
      </c>
      <c r="H226" s="1">
        <v>3744</v>
      </c>
      <c r="I226" s="1">
        <v>0</v>
      </c>
      <c r="J226" s="1">
        <v>1728</v>
      </c>
      <c r="K226" s="1">
        <f t="shared" si="39"/>
        <v>0</v>
      </c>
      <c r="L226" s="1">
        <f t="shared" si="40"/>
        <v>15.078461538461537</v>
      </c>
      <c r="M226" s="1">
        <f t="shared" si="41"/>
        <v>15.078461538461537</v>
      </c>
      <c r="N226" s="3">
        <f t="shared" si="42"/>
        <v>1.1141720232629324</v>
      </c>
      <c r="O226" s="1">
        <v>615</v>
      </c>
      <c r="P226" s="1">
        <f t="shared" si="43"/>
        <v>1257</v>
      </c>
      <c r="Q226" s="1">
        <f t="shared" si="44"/>
        <v>0.43327780347256883</v>
      </c>
      <c r="R226" s="1">
        <f t="shared" si="45"/>
        <v>0.29093493534456144</v>
      </c>
      <c r="S226" s="2">
        <f t="shared" si="46"/>
        <v>14.634420249432129</v>
      </c>
      <c r="T226" s="3">
        <f t="shared" si="47"/>
        <v>0.25541881747312045</v>
      </c>
      <c r="U226" s="4" t="s">
        <v>571</v>
      </c>
    </row>
    <row r="227" spans="1:21" ht="14.25" customHeight="1" x14ac:dyDescent="0.3">
      <c r="A227" s="1" t="s">
        <v>26</v>
      </c>
      <c r="B227" s="1" t="s">
        <v>113</v>
      </c>
      <c r="C227" s="1" t="s">
        <v>114</v>
      </c>
      <c r="D227" s="1">
        <f t="shared" si="36"/>
        <v>85</v>
      </c>
      <c r="E227" s="1">
        <f t="shared" si="37"/>
        <v>0.83538194444444447</v>
      </c>
      <c r="F227" s="2">
        <f t="shared" si="38"/>
        <v>539.31961066948134</v>
      </c>
      <c r="G227" s="1">
        <v>2080</v>
      </c>
      <c r="H227" s="1">
        <v>3744</v>
      </c>
      <c r="I227" s="1">
        <v>0</v>
      </c>
      <c r="J227" s="1">
        <v>4800</v>
      </c>
      <c r="K227" s="1">
        <f t="shared" si="39"/>
        <v>0</v>
      </c>
      <c r="L227" s="1">
        <f t="shared" si="40"/>
        <v>41.884615384615387</v>
      </c>
      <c r="M227" s="1">
        <f t="shared" si="41"/>
        <v>41.884615384615387</v>
      </c>
      <c r="N227" s="3">
        <f t="shared" si="42"/>
        <v>0.40110192837465564</v>
      </c>
      <c r="O227" s="1">
        <v>1657</v>
      </c>
      <c r="P227" s="1">
        <f t="shared" si="43"/>
        <v>215</v>
      </c>
      <c r="Q227" s="1">
        <f t="shared" si="44"/>
        <v>0.15598000925012478</v>
      </c>
      <c r="R227" s="1">
        <f t="shared" si="45"/>
        <v>1.7914370720500443E-2</v>
      </c>
      <c r="S227" s="2">
        <f t="shared" si="46"/>
        <v>2.5572955092882821</v>
      </c>
      <c r="T227" s="3">
        <f t="shared" si="47"/>
        <v>4.4633226583545751E-2</v>
      </c>
      <c r="U227" s="4" t="s">
        <v>571</v>
      </c>
    </row>
    <row r="228" spans="1:21" ht="14.25" customHeight="1" x14ac:dyDescent="0.3">
      <c r="A228" s="1" t="s">
        <v>26</v>
      </c>
      <c r="B228" s="1" t="s">
        <v>137</v>
      </c>
      <c r="C228" s="1" t="s">
        <v>138</v>
      </c>
      <c r="D228" s="1">
        <f t="shared" si="36"/>
        <v>85</v>
      </c>
      <c r="E228" s="1">
        <f t="shared" si="37"/>
        <v>0.83539351851851851</v>
      </c>
      <c r="F228" s="2">
        <f t="shared" si="38"/>
        <v>539.31968339153343</v>
      </c>
      <c r="G228" s="1">
        <v>2080</v>
      </c>
      <c r="H228" s="1">
        <v>3744</v>
      </c>
      <c r="I228" s="1">
        <v>298</v>
      </c>
      <c r="J228" s="1">
        <v>420</v>
      </c>
      <c r="K228" s="1">
        <f t="shared" si="39"/>
        <v>2.6003365384615384</v>
      </c>
      <c r="L228" s="1">
        <f t="shared" si="40"/>
        <v>3.6649038461538459</v>
      </c>
      <c r="M228" s="1">
        <f t="shared" si="41"/>
        <v>4.4936922808322546</v>
      </c>
      <c r="N228" s="3">
        <f>42*0.05/M228</f>
        <v>0.46732171870279232</v>
      </c>
      <c r="O228" s="1">
        <v>1585</v>
      </c>
      <c r="P228" s="1">
        <f t="shared" si="43"/>
        <v>287</v>
      </c>
      <c r="Q228" s="1">
        <f t="shared" si="44"/>
        <v>0.18173147733650144</v>
      </c>
      <c r="R228" s="1">
        <f t="shared" si="45"/>
        <v>2.786161004037175E-2</v>
      </c>
      <c r="S228" s="2">
        <f t="shared" si="46"/>
        <v>3.4119220338980258</v>
      </c>
      <c r="T228" s="3">
        <f t="shared" si="47"/>
        <v>5.9549273312862132E-2</v>
      </c>
      <c r="U228" s="4" t="s">
        <v>571</v>
      </c>
    </row>
    <row r="229" spans="1:21" ht="14.25" customHeight="1" x14ac:dyDescent="0.3">
      <c r="A229" s="1" t="s">
        <v>26</v>
      </c>
      <c r="B229" s="1" t="s">
        <v>383</v>
      </c>
      <c r="C229" s="1" t="s">
        <v>384</v>
      </c>
      <c r="D229" s="1">
        <f t="shared" si="36"/>
        <v>86</v>
      </c>
      <c r="E229" s="1">
        <f t="shared" si="37"/>
        <v>0.86031250000000004</v>
      </c>
      <c r="F229" s="2">
        <f t="shared" si="38"/>
        <v>545.75943927702735</v>
      </c>
      <c r="G229" s="1">
        <v>2080</v>
      </c>
      <c r="H229" s="1">
        <v>3744</v>
      </c>
      <c r="I229" s="1">
        <v>0</v>
      </c>
      <c r="J229" s="1">
        <v>187</v>
      </c>
      <c r="K229" s="1">
        <f t="shared" si="39"/>
        <v>0</v>
      </c>
      <c r="L229" s="1">
        <f t="shared" si="40"/>
        <v>1.6317548076923076</v>
      </c>
      <c r="M229" s="1">
        <f t="shared" si="41"/>
        <v>1.6317548076923076</v>
      </c>
      <c r="N229" s="3">
        <f t="shared" ref="N229:N266" si="48">42*0.4/M229</f>
        <v>10.295664471648916</v>
      </c>
      <c r="O229" s="1">
        <v>882</v>
      </c>
      <c r="P229" s="1">
        <f t="shared" si="43"/>
        <v>990</v>
      </c>
      <c r="Q229" s="1">
        <f t="shared" si="44"/>
        <v>4.0037649433187115</v>
      </c>
      <c r="R229" s="1">
        <f t="shared" si="45"/>
        <v>2.1173756911781649</v>
      </c>
      <c r="S229" s="2">
        <f t="shared" si="46"/>
        <v>11.621247908663262</v>
      </c>
      <c r="T229" s="3">
        <f t="shared" si="47"/>
        <v>0.20282903919667919</v>
      </c>
      <c r="U229" s="4" t="s">
        <v>571</v>
      </c>
    </row>
    <row r="230" spans="1:21" ht="14.25" customHeight="1" x14ac:dyDescent="0.3">
      <c r="A230" s="1" t="s">
        <v>26</v>
      </c>
      <c r="B230" s="1" t="s">
        <v>244</v>
      </c>
      <c r="C230" s="1" t="s">
        <v>245</v>
      </c>
      <c r="D230" s="1">
        <f t="shared" si="36"/>
        <v>86</v>
      </c>
      <c r="E230" s="1">
        <f t="shared" si="37"/>
        <v>0.86032407407407396</v>
      </c>
      <c r="F230" s="2">
        <f t="shared" si="38"/>
        <v>545.75951199907945</v>
      </c>
      <c r="G230" s="1">
        <v>2080</v>
      </c>
      <c r="H230" s="1">
        <v>3744</v>
      </c>
      <c r="I230" s="1">
        <v>0</v>
      </c>
      <c r="J230" s="1">
        <v>189</v>
      </c>
      <c r="K230" s="1">
        <f t="shared" si="39"/>
        <v>0</v>
      </c>
      <c r="L230" s="1">
        <f t="shared" si="40"/>
        <v>1.6492067307692306</v>
      </c>
      <c r="M230" s="1">
        <f t="shared" si="41"/>
        <v>1.6492067307692306</v>
      </c>
      <c r="N230" s="3">
        <f t="shared" si="48"/>
        <v>10.186715641261097</v>
      </c>
      <c r="O230" s="1">
        <v>1167</v>
      </c>
      <c r="P230" s="1">
        <f t="shared" si="43"/>
        <v>705</v>
      </c>
      <c r="Q230" s="1">
        <f t="shared" si="44"/>
        <v>3.9613970603206297</v>
      </c>
      <c r="R230" s="1">
        <f t="shared" si="45"/>
        <v>1.4918722903451089</v>
      </c>
      <c r="S230" s="2">
        <f t="shared" si="46"/>
        <v>8.3318915331208903</v>
      </c>
      <c r="T230" s="3">
        <f t="shared" si="47"/>
        <v>0.14541894017199772</v>
      </c>
      <c r="U230" s="4" t="s">
        <v>571</v>
      </c>
    </row>
    <row r="231" spans="1:21" ht="14.25" customHeight="1" x14ac:dyDescent="0.3">
      <c r="A231" s="1" t="s">
        <v>26</v>
      </c>
      <c r="B231" s="1" t="s">
        <v>226</v>
      </c>
      <c r="C231" s="1" t="s">
        <v>227</v>
      </c>
      <c r="D231" s="1">
        <f t="shared" si="36"/>
        <v>86</v>
      </c>
      <c r="E231" s="1">
        <f t="shared" si="37"/>
        <v>0.86047453703703702</v>
      </c>
      <c r="F231" s="2">
        <f t="shared" si="38"/>
        <v>545.76045738575772</v>
      </c>
      <c r="G231" s="1">
        <v>2080</v>
      </c>
      <c r="H231" s="1">
        <v>3744</v>
      </c>
      <c r="I231" s="1">
        <v>0</v>
      </c>
      <c r="J231" s="1">
        <v>223</v>
      </c>
      <c r="K231" s="1">
        <f t="shared" si="39"/>
        <v>0</v>
      </c>
      <c r="L231" s="1">
        <f t="shared" si="40"/>
        <v>1.945889423076923</v>
      </c>
      <c r="M231" s="1">
        <f t="shared" si="41"/>
        <v>1.945889423076923</v>
      </c>
      <c r="N231" s="3">
        <f t="shared" si="48"/>
        <v>8.6335841085127676</v>
      </c>
      <c r="O231" s="1">
        <v>1223</v>
      </c>
      <c r="P231" s="1">
        <f t="shared" si="43"/>
        <v>649</v>
      </c>
      <c r="Q231" s="1">
        <f t="shared" si="44"/>
        <v>3.3574172394645694</v>
      </c>
      <c r="R231" s="1">
        <f t="shared" si="45"/>
        <v>1.163976382698988</v>
      </c>
      <c r="S231" s="2">
        <f t="shared" si="46"/>
        <v>7.6782965468877071</v>
      </c>
      <c r="T231" s="3">
        <f t="shared" si="47"/>
        <v>0.13401155568770165</v>
      </c>
      <c r="U231" s="4" t="s">
        <v>571</v>
      </c>
    </row>
    <row r="232" spans="1:21" ht="14.25" customHeight="1" x14ac:dyDescent="0.3">
      <c r="A232" s="1" t="s">
        <v>26</v>
      </c>
      <c r="B232" s="1" t="s">
        <v>367</v>
      </c>
      <c r="C232" s="1" t="s">
        <v>368</v>
      </c>
      <c r="D232" s="1">
        <f t="shared" si="36"/>
        <v>86</v>
      </c>
      <c r="E232" s="1">
        <f t="shared" si="37"/>
        <v>0.86048611111111117</v>
      </c>
      <c r="F232" s="2">
        <f t="shared" si="38"/>
        <v>545.76053010780993</v>
      </c>
      <c r="G232" s="1">
        <v>2080</v>
      </c>
      <c r="H232" s="1">
        <v>3744</v>
      </c>
      <c r="I232" s="1">
        <v>0</v>
      </c>
      <c r="J232" s="1">
        <v>241</v>
      </c>
      <c r="K232" s="1">
        <f t="shared" si="39"/>
        <v>0</v>
      </c>
      <c r="L232" s="1">
        <f t="shared" si="40"/>
        <v>2.1029567307692307</v>
      </c>
      <c r="M232" s="1">
        <f t="shared" si="41"/>
        <v>2.1029567307692307</v>
      </c>
      <c r="N232" s="3">
        <f t="shared" si="48"/>
        <v>7.9887521004080799</v>
      </c>
      <c r="O232" s="1">
        <v>902</v>
      </c>
      <c r="P232" s="1">
        <f t="shared" si="43"/>
        <v>970</v>
      </c>
      <c r="Q232" s="1">
        <f t="shared" si="44"/>
        <v>3.1066557858946018</v>
      </c>
      <c r="R232" s="1">
        <f t="shared" si="45"/>
        <v>1.6097521967509423</v>
      </c>
      <c r="S232" s="2">
        <f t="shared" si="46"/>
        <v>11.39267525881894</v>
      </c>
      <c r="T232" s="3">
        <f t="shared" si="47"/>
        <v>0.19883969387688766</v>
      </c>
      <c r="U232" s="4" t="s">
        <v>571</v>
      </c>
    </row>
    <row r="233" spans="1:21" ht="14.25" customHeight="1" x14ac:dyDescent="0.3">
      <c r="A233" s="1" t="s">
        <v>26</v>
      </c>
      <c r="B233" s="1" t="s">
        <v>461</v>
      </c>
      <c r="C233" s="1" t="s">
        <v>462</v>
      </c>
      <c r="D233" s="1">
        <f t="shared" si="36"/>
        <v>87</v>
      </c>
      <c r="E233" s="1">
        <f t="shared" si="37"/>
        <v>2.7037037037037037E-2</v>
      </c>
      <c r="F233" s="2">
        <f t="shared" si="38"/>
        <v>546.80700043848481</v>
      </c>
      <c r="G233" s="1">
        <v>2080</v>
      </c>
      <c r="H233" s="1">
        <v>3744</v>
      </c>
      <c r="I233" s="1">
        <v>0</v>
      </c>
      <c r="J233" s="1">
        <v>163</v>
      </c>
      <c r="K233" s="1">
        <f t="shared" si="39"/>
        <v>0</v>
      </c>
      <c r="L233" s="1">
        <f t="shared" si="40"/>
        <v>1.4223317307692307</v>
      </c>
      <c r="M233" s="1">
        <f t="shared" si="41"/>
        <v>1.4223317307692307</v>
      </c>
      <c r="N233" s="3">
        <f t="shared" si="48"/>
        <v>11.811590528824217</v>
      </c>
      <c r="O233" s="1">
        <v>735</v>
      </c>
      <c r="P233" s="1">
        <f t="shared" si="43"/>
        <v>1137</v>
      </c>
      <c r="Q233" s="1">
        <f t="shared" si="44"/>
        <v>4.5932763460159451</v>
      </c>
      <c r="R233" s="1">
        <f t="shared" si="45"/>
        <v>2.7898264986218639</v>
      </c>
      <c r="S233" s="2">
        <f t="shared" si="46"/>
        <v>13.289363359817772</v>
      </c>
      <c r="T233" s="3">
        <f t="shared" si="47"/>
        <v>0.23194314612271602</v>
      </c>
      <c r="U233" s="4" t="s">
        <v>571</v>
      </c>
    </row>
    <row r="234" spans="1:21" ht="14.25" customHeight="1" x14ac:dyDescent="0.3">
      <c r="A234" s="1" t="s">
        <v>26</v>
      </c>
      <c r="B234" s="1" t="s">
        <v>385</v>
      </c>
      <c r="C234" s="1" t="s">
        <v>386</v>
      </c>
      <c r="D234" s="1">
        <f t="shared" si="36"/>
        <v>87</v>
      </c>
      <c r="E234" s="1">
        <f t="shared" si="37"/>
        <v>2.704861111111111E-2</v>
      </c>
      <c r="F234" s="2">
        <f t="shared" si="38"/>
        <v>546.80707316053702</v>
      </c>
      <c r="G234" s="1">
        <v>2080</v>
      </c>
      <c r="H234" s="1">
        <v>3744</v>
      </c>
      <c r="I234" s="1">
        <v>0</v>
      </c>
      <c r="J234" s="1">
        <v>184</v>
      </c>
      <c r="K234" s="1">
        <f t="shared" si="39"/>
        <v>0</v>
      </c>
      <c r="L234" s="1">
        <f t="shared" si="40"/>
        <v>1.605576923076923</v>
      </c>
      <c r="M234" s="1">
        <f t="shared" si="41"/>
        <v>1.605576923076923</v>
      </c>
      <c r="N234" s="3">
        <f t="shared" si="48"/>
        <v>10.463528566295366</v>
      </c>
      <c r="O234" s="1">
        <v>877</v>
      </c>
      <c r="P234" s="1">
        <f t="shared" si="43"/>
        <v>995</v>
      </c>
      <c r="Q234" s="1">
        <f t="shared" si="44"/>
        <v>4.069043719568473</v>
      </c>
      <c r="R234" s="1">
        <f t="shared" si="45"/>
        <v>2.1627662932535419</v>
      </c>
      <c r="S234" s="2">
        <f t="shared" si="46"/>
        <v>11.678332811850337</v>
      </c>
      <c r="T234" s="3">
        <f t="shared" si="47"/>
        <v>0.20382535871047586</v>
      </c>
      <c r="U234" s="4" t="s">
        <v>571</v>
      </c>
    </row>
    <row r="235" spans="1:21" ht="14.25" customHeight="1" x14ac:dyDescent="0.3">
      <c r="A235" s="1" t="s">
        <v>26</v>
      </c>
      <c r="B235" s="1" t="s">
        <v>347</v>
      </c>
      <c r="C235" s="1" t="s">
        <v>348</v>
      </c>
      <c r="D235" s="1">
        <f t="shared" si="36"/>
        <v>87</v>
      </c>
      <c r="E235" s="1">
        <f t="shared" si="37"/>
        <v>2.7060185185185187E-2</v>
      </c>
      <c r="F235" s="2">
        <f t="shared" si="38"/>
        <v>546.80714588258911</v>
      </c>
      <c r="G235" s="1">
        <v>2080</v>
      </c>
      <c r="H235" s="1">
        <v>3744</v>
      </c>
      <c r="I235" s="1">
        <v>0</v>
      </c>
      <c r="J235" s="1">
        <v>183</v>
      </c>
      <c r="K235" s="1">
        <f t="shared" si="39"/>
        <v>0</v>
      </c>
      <c r="L235" s="1">
        <f t="shared" si="40"/>
        <v>1.5968509615384614</v>
      </c>
      <c r="M235" s="1">
        <f t="shared" si="41"/>
        <v>1.5968509615384614</v>
      </c>
      <c r="N235" s="3">
        <f t="shared" si="48"/>
        <v>10.520706318023755</v>
      </c>
      <c r="O235" s="1">
        <v>924</v>
      </c>
      <c r="P235" s="1">
        <f t="shared" si="43"/>
        <v>948</v>
      </c>
      <c r="Q235" s="1">
        <f t="shared" si="44"/>
        <v>4.0912789311508142</v>
      </c>
      <c r="R235" s="1">
        <f t="shared" si="45"/>
        <v>2.0718656125699635</v>
      </c>
      <c r="S235" s="2">
        <f t="shared" si="46"/>
        <v>11.140820468450219</v>
      </c>
      <c r="T235" s="3">
        <f t="shared" si="47"/>
        <v>0.19444399854803338</v>
      </c>
      <c r="U235" s="4" t="s">
        <v>571</v>
      </c>
    </row>
    <row r="236" spans="1:21" ht="14.25" customHeight="1" x14ac:dyDescent="0.3">
      <c r="A236" s="1" t="s">
        <v>26</v>
      </c>
      <c r="B236" s="1" t="s">
        <v>159</v>
      </c>
      <c r="C236" s="1" t="s">
        <v>160</v>
      </c>
      <c r="D236" s="1">
        <f t="shared" si="36"/>
        <v>87</v>
      </c>
      <c r="E236" s="1">
        <f t="shared" si="37"/>
        <v>2.7141203703703706E-2</v>
      </c>
      <c r="F236" s="2">
        <f t="shared" si="38"/>
        <v>546.80765493695435</v>
      </c>
      <c r="G236" s="1">
        <v>2080</v>
      </c>
      <c r="H236" s="1">
        <v>3744</v>
      </c>
      <c r="I236" s="1">
        <v>0</v>
      </c>
      <c r="J236" s="1">
        <v>172</v>
      </c>
      <c r="K236" s="1">
        <f t="shared" si="39"/>
        <v>0</v>
      </c>
      <c r="L236" s="1">
        <f t="shared" si="40"/>
        <v>1.5008653846153845</v>
      </c>
      <c r="M236" s="1">
        <f t="shared" si="41"/>
        <v>1.5008653846153845</v>
      </c>
      <c r="N236" s="3">
        <f t="shared" si="48"/>
        <v>11.193542187199693</v>
      </c>
      <c r="O236" s="1">
        <v>1517</v>
      </c>
      <c r="P236" s="1">
        <f t="shared" si="43"/>
        <v>355</v>
      </c>
      <c r="Q236" s="1">
        <f t="shared" si="44"/>
        <v>4.3529304907011568</v>
      </c>
      <c r="R236" s="1">
        <f t="shared" si="45"/>
        <v>0.82547560053360614</v>
      </c>
      <c r="S236" s="2">
        <f t="shared" si="46"/>
        <v>4.2176825514120644</v>
      </c>
      <c r="T236" s="3">
        <f t="shared" si="47"/>
        <v>7.3612447326055541E-2</v>
      </c>
      <c r="U236" s="4" t="s">
        <v>571</v>
      </c>
    </row>
    <row r="237" spans="1:21" ht="14.25" customHeight="1" x14ac:dyDescent="0.3">
      <c r="A237" s="1" t="s">
        <v>26</v>
      </c>
      <c r="B237" s="1" t="s">
        <v>80</v>
      </c>
      <c r="C237" s="1" t="s">
        <v>81</v>
      </c>
      <c r="D237" s="1">
        <f t="shared" si="36"/>
        <v>87</v>
      </c>
      <c r="E237" s="1">
        <f t="shared" si="37"/>
        <v>2.7152777777777779E-2</v>
      </c>
      <c r="F237" s="2">
        <f t="shared" si="38"/>
        <v>546.80772765900645</v>
      </c>
      <c r="G237" s="1">
        <v>2080</v>
      </c>
      <c r="H237" s="1">
        <v>3744</v>
      </c>
      <c r="I237" s="1">
        <v>0</v>
      </c>
      <c r="J237" s="1">
        <v>176</v>
      </c>
      <c r="K237" s="1">
        <f t="shared" si="39"/>
        <v>0</v>
      </c>
      <c r="L237" s="1">
        <f t="shared" si="40"/>
        <v>1.5357692307692306</v>
      </c>
      <c r="M237" s="1">
        <f t="shared" si="41"/>
        <v>1.5357692307692306</v>
      </c>
      <c r="N237" s="3">
        <f t="shared" si="48"/>
        <v>10.939143501126974</v>
      </c>
      <c r="O237" s="1">
        <v>1745</v>
      </c>
      <c r="P237" s="1">
        <f t="shared" si="43"/>
        <v>127</v>
      </c>
      <c r="Q237" s="1">
        <f t="shared" si="44"/>
        <v>4.2540002522761311</v>
      </c>
      <c r="R237" s="1">
        <f t="shared" si="45"/>
        <v>0.28859937608924607</v>
      </c>
      <c r="S237" s="2">
        <f t="shared" si="46"/>
        <v>1.5112418486851529</v>
      </c>
      <c r="T237" s="3">
        <f t="shared" si="47"/>
        <v>2.6376146053481857E-2</v>
      </c>
      <c r="U237" s="4" t="s">
        <v>571</v>
      </c>
    </row>
    <row r="238" spans="1:21" ht="14.25" customHeight="1" x14ac:dyDescent="0.3">
      <c r="A238" s="1" t="s">
        <v>26</v>
      </c>
      <c r="B238" s="1" t="s">
        <v>179</v>
      </c>
      <c r="C238" s="1" t="s">
        <v>180</v>
      </c>
      <c r="D238" s="1">
        <f t="shared" si="36"/>
        <v>87</v>
      </c>
      <c r="E238" s="1">
        <f t="shared" si="37"/>
        <v>6.7557870370370365E-2</v>
      </c>
      <c r="F238" s="2">
        <f t="shared" si="38"/>
        <v>547.06160034311938</v>
      </c>
      <c r="G238" s="1">
        <v>2080</v>
      </c>
      <c r="H238" s="1">
        <v>3744</v>
      </c>
      <c r="I238" s="1">
        <v>0</v>
      </c>
      <c r="J238" s="1">
        <v>126</v>
      </c>
      <c r="K238" s="1">
        <f t="shared" si="39"/>
        <v>0</v>
      </c>
      <c r="L238" s="1">
        <f t="shared" si="40"/>
        <v>1.0994711538461537</v>
      </c>
      <c r="M238" s="1">
        <f t="shared" si="41"/>
        <v>1.0994711538461537</v>
      </c>
      <c r="N238" s="3">
        <f t="shared" si="48"/>
        <v>15.280073461891647</v>
      </c>
      <c r="O238" s="1">
        <v>1387</v>
      </c>
      <c r="P238" s="1">
        <f t="shared" si="43"/>
        <v>485</v>
      </c>
      <c r="Q238" s="1">
        <f t="shared" si="44"/>
        <v>5.9420955904809452</v>
      </c>
      <c r="R238" s="1">
        <f t="shared" si="45"/>
        <v>1.5394852357816553</v>
      </c>
      <c r="S238" s="2">
        <f t="shared" si="46"/>
        <v>5.7532025435734884</v>
      </c>
      <c r="T238" s="3">
        <f t="shared" si="47"/>
        <v>0.1004123269194699</v>
      </c>
      <c r="U238" s="4" t="s">
        <v>571</v>
      </c>
    </row>
    <row r="239" spans="1:21" ht="14.25" customHeight="1" x14ac:dyDescent="0.3">
      <c r="A239" s="1" t="s">
        <v>26</v>
      </c>
      <c r="B239" s="1" t="s">
        <v>205</v>
      </c>
      <c r="C239" s="1" t="s">
        <v>206</v>
      </c>
      <c r="D239" s="1">
        <f t="shared" si="36"/>
        <v>87</v>
      </c>
      <c r="E239" s="1">
        <f t="shared" si="37"/>
        <v>6.7569444444444446E-2</v>
      </c>
      <c r="F239" s="2">
        <f t="shared" si="38"/>
        <v>547.06167306517159</v>
      </c>
      <c r="G239" s="1">
        <v>2080</v>
      </c>
      <c r="H239" s="1">
        <v>3744</v>
      </c>
      <c r="I239" s="1">
        <v>0</v>
      </c>
      <c r="J239" s="1">
        <v>130</v>
      </c>
      <c r="K239" s="1">
        <f t="shared" si="39"/>
        <v>0</v>
      </c>
      <c r="L239" s="1">
        <f t="shared" si="40"/>
        <v>1.1343749999999999</v>
      </c>
      <c r="M239" s="1">
        <f t="shared" si="41"/>
        <v>1.1343749999999999</v>
      </c>
      <c r="N239" s="3">
        <f t="shared" si="48"/>
        <v>14.809917355371903</v>
      </c>
      <c r="O239" s="1">
        <v>1277</v>
      </c>
      <c r="P239" s="1">
        <f t="shared" si="43"/>
        <v>595</v>
      </c>
      <c r="Q239" s="1">
        <f t="shared" si="44"/>
        <v>5.7592618800046083</v>
      </c>
      <c r="R239" s="1">
        <f t="shared" si="45"/>
        <v>1.8305346253219774</v>
      </c>
      <c r="S239" s="2">
        <f t="shared" si="46"/>
        <v>7.0461326558000099</v>
      </c>
      <c r="T239" s="3">
        <f t="shared" si="47"/>
        <v>0.1229782143760025</v>
      </c>
      <c r="U239" s="4" t="s">
        <v>571</v>
      </c>
    </row>
    <row r="240" spans="1:21" ht="14.25" customHeight="1" x14ac:dyDescent="0.3">
      <c r="A240" s="1" t="s">
        <v>26</v>
      </c>
      <c r="B240" s="1" t="s">
        <v>270</v>
      </c>
      <c r="C240" s="1" t="s">
        <v>271</v>
      </c>
      <c r="D240" s="1">
        <f t="shared" si="36"/>
        <v>87</v>
      </c>
      <c r="E240" s="1">
        <f t="shared" si="37"/>
        <v>6.7581018518518512E-2</v>
      </c>
      <c r="F240" s="2">
        <f t="shared" si="38"/>
        <v>547.0617457872238</v>
      </c>
      <c r="G240" s="1">
        <v>2080</v>
      </c>
      <c r="H240" s="1">
        <v>3744</v>
      </c>
      <c r="I240" s="1">
        <v>0</v>
      </c>
      <c r="J240" s="1">
        <v>130</v>
      </c>
      <c r="K240" s="1">
        <f t="shared" si="39"/>
        <v>0</v>
      </c>
      <c r="L240" s="1">
        <f t="shared" si="40"/>
        <v>1.1343749999999999</v>
      </c>
      <c r="M240" s="1">
        <f t="shared" si="41"/>
        <v>1.1343749999999999</v>
      </c>
      <c r="N240" s="3">
        <f t="shared" si="48"/>
        <v>14.809917355371903</v>
      </c>
      <c r="O240" s="1">
        <v>1093</v>
      </c>
      <c r="P240" s="1">
        <f t="shared" si="43"/>
        <v>779</v>
      </c>
      <c r="Q240" s="1">
        <f t="shared" si="44"/>
        <v>5.7592618800046083</v>
      </c>
      <c r="R240" s="1">
        <f t="shared" si="45"/>
        <v>2.3966159212198663</v>
      </c>
      <c r="S240" s="2">
        <f t="shared" si="46"/>
        <v>9.1922064901193057</v>
      </c>
      <c r="T240" s="3">
        <f t="shared" si="47"/>
        <v>0.16043426877577349</v>
      </c>
      <c r="U240" s="4" t="s">
        <v>571</v>
      </c>
    </row>
    <row r="241" spans="1:21" ht="14.25" customHeight="1" x14ac:dyDescent="0.3">
      <c r="A241" s="1" t="s">
        <v>26</v>
      </c>
      <c r="B241" s="1" t="s">
        <v>435</v>
      </c>
      <c r="C241" s="1" t="s">
        <v>436</v>
      </c>
      <c r="D241" s="1">
        <f t="shared" si="36"/>
        <v>87</v>
      </c>
      <c r="E241" s="1">
        <f t="shared" si="37"/>
        <v>6.7905092592592586E-2</v>
      </c>
      <c r="F241" s="2">
        <f t="shared" si="38"/>
        <v>547.06378200468453</v>
      </c>
      <c r="G241" s="1">
        <v>2080</v>
      </c>
      <c r="H241" s="1">
        <v>3744</v>
      </c>
      <c r="I241" s="1">
        <v>0</v>
      </c>
      <c r="J241" s="1">
        <v>221</v>
      </c>
      <c r="K241" s="1">
        <f t="shared" si="39"/>
        <v>0</v>
      </c>
      <c r="L241" s="1">
        <f t="shared" si="40"/>
        <v>1.9284374999999998</v>
      </c>
      <c r="M241" s="1">
        <f t="shared" si="41"/>
        <v>1.9284374999999998</v>
      </c>
      <c r="N241" s="3">
        <f t="shared" si="48"/>
        <v>8.7117160913952372</v>
      </c>
      <c r="O241" s="1">
        <v>756</v>
      </c>
      <c r="P241" s="1">
        <f t="shared" si="43"/>
        <v>1116</v>
      </c>
      <c r="Q241" s="1">
        <f t="shared" si="44"/>
        <v>3.3878011058850634</v>
      </c>
      <c r="R241" s="1">
        <f t="shared" si="45"/>
        <v>2.0196506592776338</v>
      </c>
      <c r="S241" s="2">
        <f t="shared" si="46"/>
        <v>13.052392309610932</v>
      </c>
      <c r="T241" s="3">
        <f t="shared" si="47"/>
        <v>0.22780722106469786</v>
      </c>
      <c r="U241" s="4" t="s">
        <v>571</v>
      </c>
    </row>
    <row r="242" spans="1:21" ht="14.25" customHeight="1" x14ac:dyDescent="0.3">
      <c r="A242" s="1" t="s">
        <v>26</v>
      </c>
      <c r="B242" s="1" t="s">
        <v>531</v>
      </c>
      <c r="C242" s="1" t="s">
        <v>532</v>
      </c>
      <c r="D242" s="1">
        <f t="shared" si="36"/>
        <v>87</v>
      </c>
      <c r="E242" s="1">
        <f t="shared" si="37"/>
        <v>6.7916666666666667E-2</v>
      </c>
      <c r="F242" s="2">
        <f t="shared" si="38"/>
        <v>547.06385472673662</v>
      </c>
      <c r="G242" s="1">
        <v>2080</v>
      </c>
      <c r="H242" s="1">
        <v>3744</v>
      </c>
      <c r="I242" s="1">
        <v>0</v>
      </c>
      <c r="J242" s="1">
        <v>212</v>
      </c>
      <c r="K242" s="1">
        <f t="shared" si="39"/>
        <v>0</v>
      </c>
      <c r="L242" s="1">
        <f t="shared" si="40"/>
        <v>1.849903846153846</v>
      </c>
      <c r="M242" s="1">
        <f t="shared" si="41"/>
        <v>1.849903846153846</v>
      </c>
      <c r="N242" s="3">
        <f t="shared" si="48"/>
        <v>9.0815530952752237</v>
      </c>
      <c r="O242" s="1">
        <v>392</v>
      </c>
      <c r="P242" s="1">
        <f t="shared" si="43"/>
        <v>1480</v>
      </c>
      <c r="Q242" s="1">
        <f t="shared" si="44"/>
        <v>3.531622850946222</v>
      </c>
      <c r="R242" s="1">
        <f t="shared" si="45"/>
        <v>2.7920949889959448</v>
      </c>
      <c r="S242" s="2">
        <f t="shared" si="46"/>
        <v>17.089881269782669</v>
      </c>
      <c r="T242" s="3">
        <f t="shared" si="47"/>
        <v>0.29827469693261688</v>
      </c>
      <c r="U242" s="4" t="s">
        <v>571</v>
      </c>
    </row>
    <row r="243" spans="1:21" ht="14.25" customHeight="1" x14ac:dyDescent="0.3">
      <c r="A243" s="1" t="s">
        <v>26</v>
      </c>
      <c r="B243" s="1" t="s">
        <v>163</v>
      </c>
      <c r="C243" s="1" t="s">
        <v>164</v>
      </c>
      <c r="D243" s="1">
        <f t="shared" si="36"/>
        <v>88</v>
      </c>
      <c r="E243" s="1">
        <f t="shared" si="37"/>
        <v>9.2708333333333337E-2</v>
      </c>
      <c r="F243" s="2">
        <f t="shared" si="38"/>
        <v>553.5028106696567</v>
      </c>
      <c r="G243" s="1">
        <v>2080</v>
      </c>
      <c r="H243" s="1">
        <v>3744</v>
      </c>
      <c r="I243" s="1">
        <v>0</v>
      </c>
      <c r="J243" s="1">
        <v>151</v>
      </c>
      <c r="K243" s="1">
        <f t="shared" si="39"/>
        <v>0</v>
      </c>
      <c r="L243" s="1">
        <f t="shared" si="40"/>
        <v>1.3176201923076922</v>
      </c>
      <c r="M243" s="1">
        <f t="shared" si="41"/>
        <v>1.3176201923076922</v>
      </c>
      <c r="N243" s="3">
        <f t="shared" si="48"/>
        <v>12.750259974823493</v>
      </c>
      <c r="O243" s="1">
        <v>1487</v>
      </c>
      <c r="P243" s="1">
        <f t="shared" si="43"/>
        <v>385</v>
      </c>
      <c r="Q243" s="1">
        <f t="shared" si="44"/>
        <v>4.9583049298052915</v>
      </c>
      <c r="R243" s="1">
        <f t="shared" si="45"/>
        <v>1.019736857892648</v>
      </c>
      <c r="S243" s="2">
        <f t="shared" si="46"/>
        <v>4.5726534315661151</v>
      </c>
      <c r="T243" s="3">
        <f t="shared" si="47"/>
        <v>7.9807857933445914E-2</v>
      </c>
      <c r="U243" s="4" t="s">
        <v>571</v>
      </c>
    </row>
    <row r="244" spans="1:21" ht="14.25" customHeight="1" x14ac:dyDescent="0.3">
      <c r="A244" s="1" t="s">
        <v>26</v>
      </c>
      <c r="B244" s="1" t="s">
        <v>117</v>
      </c>
      <c r="C244" s="1" t="s">
        <v>118</v>
      </c>
      <c r="D244" s="1">
        <f t="shared" si="36"/>
        <v>88</v>
      </c>
      <c r="E244" s="1">
        <f t="shared" si="37"/>
        <v>9.2719907407407418E-2</v>
      </c>
      <c r="F244" s="2">
        <f t="shared" si="38"/>
        <v>553.50288339170891</v>
      </c>
      <c r="G244" s="1">
        <v>2080</v>
      </c>
      <c r="H244" s="1">
        <v>3744</v>
      </c>
      <c r="I244" s="1">
        <v>0</v>
      </c>
      <c r="J244" s="1">
        <v>150</v>
      </c>
      <c r="K244" s="1">
        <f t="shared" si="39"/>
        <v>0</v>
      </c>
      <c r="L244" s="1">
        <f t="shared" si="40"/>
        <v>1.3088942307692308</v>
      </c>
      <c r="M244" s="1">
        <f t="shared" si="41"/>
        <v>1.3088942307692308</v>
      </c>
      <c r="N244" s="3">
        <f t="shared" si="48"/>
        <v>12.83526170798898</v>
      </c>
      <c r="O244" s="1">
        <v>1648</v>
      </c>
      <c r="P244" s="1">
        <f t="shared" si="43"/>
        <v>224</v>
      </c>
      <c r="Q244" s="1">
        <f t="shared" si="44"/>
        <v>4.9913602960039931</v>
      </c>
      <c r="R244" s="1">
        <f t="shared" si="45"/>
        <v>0.5972567875560334</v>
      </c>
      <c r="S244" s="2">
        <f t="shared" si="46"/>
        <v>2.6641939420990841</v>
      </c>
      <c r="T244" s="3">
        <f t="shared" si="47"/>
        <v>4.6498956201316187E-2</v>
      </c>
      <c r="U244" s="4" t="s">
        <v>571</v>
      </c>
    </row>
    <row r="245" spans="1:21" ht="14.25" customHeight="1" x14ac:dyDescent="0.3">
      <c r="A245" s="1" t="s">
        <v>26</v>
      </c>
      <c r="B245" s="1" t="s">
        <v>373</v>
      </c>
      <c r="C245" s="1" t="s">
        <v>374</v>
      </c>
      <c r="D245" s="1">
        <f t="shared" si="36"/>
        <v>88</v>
      </c>
      <c r="E245" s="1">
        <f t="shared" si="37"/>
        <v>0.12238425925925926</v>
      </c>
      <c r="F245" s="2">
        <f t="shared" si="38"/>
        <v>553.68927001141139</v>
      </c>
      <c r="G245" s="1">
        <v>2080</v>
      </c>
      <c r="H245" s="1">
        <v>3744</v>
      </c>
      <c r="I245" s="1">
        <v>0</v>
      </c>
      <c r="J245" s="1">
        <v>246</v>
      </c>
      <c r="K245" s="1">
        <f t="shared" si="39"/>
        <v>0</v>
      </c>
      <c r="L245" s="1">
        <f t="shared" si="40"/>
        <v>2.1465865384615381</v>
      </c>
      <c r="M245" s="1">
        <f t="shared" si="41"/>
        <v>2.1465865384615381</v>
      </c>
      <c r="N245" s="3">
        <f t="shared" si="48"/>
        <v>7.826379090237185</v>
      </c>
      <c r="O245" s="1">
        <v>894</v>
      </c>
      <c r="P245" s="1">
        <f t="shared" si="43"/>
        <v>978</v>
      </c>
      <c r="Q245" s="1">
        <f t="shared" si="44"/>
        <v>3.0435123756121913</v>
      </c>
      <c r="R245" s="1">
        <f t="shared" si="45"/>
        <v>1.5900401193102154</v>
      </c>
      <c r="S245" s="2">
        <f t="shared" si="46"/>
        <v>11.484148845646702</v>
      </c>
      <c r="T245" s="3">
        <f t="shared" si="47"/>
        <v>0.20043620914564103</v>
      </c>
      <c r="U245" s="4" t="s">
        <v>571</v>
      </c>
    </row>
    <row r="246" spans="1:21" ht="14.25" customHeight="1" x14ac:dyDescent="0.3">
      <c r="A246" s="1" t="s">
        <v>26</v>
      </c>
      <c r="B246" s="1" t="s">
        <v>238</v>
      </c>
      <c r="C246" s="1" t="s">
        <v>239</v>
      </c>
      <c r="D246" s="1">
        <f t="shared" si="36"/>
        <v>88</v>
      </c>
      <c r="E246" s="1">
        <f t="shared" si="37"/>
        <v>0.12239583333333333</v>
      </c>
      <c r="F246" s="2">
        <f t="shared" si="38"/>
        <v>553.6893427334636</v>
      </c>
      <c r="G246" s="1">
        <v>2080</v>
      </c>
      <c r="H246" s="1">
        <v>3744</v>
      </c>
      <c r="I246" s="1">
        <v>0</v>
      </c>
      <c r="J246" s="1">
        <v>221</v>
      </c>
      <c r="K246" s="1">
        <f t="shared" si="39"/>
        <v>0</v>
      </c>
      <c r="L246" s="1">
        <f t="shared" si="40"/>
        <v>1.9284374999999998</v>
      </c>
      <c r="M246" s="1">
        <f t="shared" si="41"/>
        <v>1.9284374999999998</v>
      </c>
      <c r="N246" s="3">
        <f t="shared" si="48"/>
        <v>8.7117160913952372</v>
      </c>
      <c r="O246" s="1">
        <v>1197</v>
      </c>
      <c r="P246" s="1">
        <f t="shared" si="43"/>
        <v>675</v>
      </c>
      <c r="Q246" s="1">
        <f t="shared" si="44"/>
        <v>3.3878011058850634</v>
      </c>
      <c r="R246" s="1">
        <f t="shared" si="45"/>
        <v>1.2215628987566334</v>
      </c>
      <c r="S246" s="2">
        <f t="shared" si="46"/>
        <v>7.9820119236515348</v>
      </c>
      <c r="T246" s="3">
        <f t="shared" si="47"/>
        <v>0.13931238900116552</v>
      </c>
      <c r="U246" s="4" t="s">
        <v>571</v>
      </c>
    </row>
    <row r="247" spans="1:21" ht="14.25" customHeight="1" x14ac:dyDescent="0.3">
      <c r="A247" s="1" t="s">
        <v>26</v>
      </c>
      <c r="B247" s="1" t="s">
        <v>94</v>
      </c>
      <c r="C247" s="1" t="s">
        <v>95</v>
      </c>
      <c r="D247" s="1">
        <f t="shared" si="36"/>
        <v>88</v>
      </c>
      <c r="E247" s="1">
        <f t="shared" si="37"/>
        <v>0.12248842592592592</v>
      </c>
      <c r="F247" s="2">
        <f t="shared" si="38"/>
        <v>553.68992450988094</v>
      </c>
      <c r="G247" s="1">
        <v>2080</v>
      </c>
      <c r="H247" s="1">
        <v>3744</v>
      </c>
      <c r="I247" s="1">
        <v>0</v>
      </c>
      <c r="J247" s="1">
        <v>173</v>
      </c>
      <c r="K247" s="1">
        <f t="shared" si="39"/>
        <v>0</v>
      </c>
      <c r="L247" s="1">
        <f t="shared" si="40"/>
        <v>1.5095913461538462</v>
      </c>
      <c r="M247" s="1">
        <f t="shared" si="41"/>
        <v>1.5095913461538462</v>
      </c>
      <c r="N247" s="3">
        <f t="shared" si="48"/>
        <v>11.128839631204318</v>
      </c>
      <c r="O247" s="1">
        <v>1707</v>
      </c>
      <c r="P247" s="1">
        <f t="shared" si="43"/>
        <v>165</v>
      </c>
      <c r="Q247" s="1">
        <f t="shared" si="44"/>
        <v>4.3277690427780282</v>
      </c>
      <c r="R247" s="1">
        <f t="shared" si="45"/>
        <v>0.38145400216793518</v>
      </c>
      <c r="S247" s="2">
        <f t="shared" si="46"/>
        <v>1.9631113444200534</v>
      </c>
      <c r="T247" s="3">
        <f t="shared" si="47"/>
        <v>3.4262756543382344E-2</v>
      </c>
      <c r="U247" s="4" t="s">
        <v>571</v>
      </c>
    </row>
    <row r="248" spans="1:21" ht="14.25" customHeight="1" x14ac:dyDescent="0.3">
      <c r="A248" s="1" t="s">
        <v>26</v>
      </c>
      <c r="B248" s="1" t="s">
        <v>547</v>
      </c>
      <c r="C248" s="1" t="s">
        <v>95</v>
      </c>
      <c r="D248" s="1">
        <f t="shared" si="36"/>
        <v>88</v>
      </c>
      <c r="E248" s="1">
        <f t="shared" si="37"/>
        <v>0.12248842592592592</v>
      </c>
      <c r="F248" s="2">
        <f t="shared" si="38"/>
        <v>553.68992450988094</v>
      </c>
      <c r="G248" s="1">
        <v>2080</v>
      </c>
      <c r="H248" s="1">
        <v>3744</v>
      </c>
      <c r="I248" s="1">
        <v>0</v>
      </c>
      <c r="J248" s="1">
        <v>153</v>
      </c>
      <c r="K248" s="1">
        <f t="shared" si="39"/>
        <v>0</v>
      </c>
      <c r="L248" s="1">
        <f t="shared" si="40"/>
        <v>1.3350721153846152</v>
      </c>
      <c r="M248" s="1">
        <f t="shared" si="41"/>
        <v>1.3350721153846152</v>
      </c>
      <c r="N248" s="3">
        <f t="shared" si="48"/>
        <v>12.583589909793121</v>
      </c>
      <c r="O248" s="1">
        <v>288</v>
      </c>
      <c r="P248" s="1">
        <f t="shared" si="43"/>
        <v>1584</v>
      </c>
      <c r="Q248" s="1">
        <f t="shared" si="44"/>
        <v>4.8934904862784254</v>
      </c>
      <c r="R248" s="1">
        <f t="shared" si="45"/>
        <v>4.1406457960817447</v>
      </c>
      <c r="S248" s="2">
        <f t="shared" si="46"/>
        <v>18.213854330315151</v>
      </c>
      <c r="T248" s="3">
        <f t="shared" si="47"/>
        <v>0.31789172754262623</v>
      </c>
      <c r="U248" s="4" t="s">
        <v>571</v>
      </c>
    </row>
    <row r="249" spans="1:21" ht="14.25" customHeight="1" x14ac:dyDescent="0.3">
      <c r="A249" s="1" t="s">
        <v>26</v>
      </c>
      <c r="B249" s="1" t="s">
        <v>55</v>
      </c>
      <c r="C249" s="1" t="s">
        <v>56</v>
      </c>
      <c r="D249" s="1">
        <f t="shared" si="36"/>
        <v>88</v>
      </c>
      <c r="E249" s="1">
        <f t="shared" si="37"/>
        <v>0.1225</v>
      </c>
      <c r="F249" s="2">
        <f t="shared" si="38"/>
        <v>553.68999723193315</v>
      </c>
      <c r="G249" s="1">
        <v>2080</v>
      </c>
      <c r="H249" s="1">
        <v>3744</v>
      </c>
      <c r="I249" s="1">
        <v>0</v>
      </c>
      <c r="J249" s="1">
        <v>166</v>
      </c>
      <c r="K249" s="1">
        <f t="shared" si="39"/>
        <v>0</v>
      </c>
      <c r="L249" s="1">
        <f t="shared" si="40"/>
        <v>1.4485096153846153</v>
      </c>
      <c r="M249" s="1">
        <f t="shared" si="41"/>
        <v>1.4485096153846153</v>
      </c>
      <c r="N249" s="3">
        <f t="shared" si="48"/>
        <v>11.598128049387634</v>
      </c>
      <c r="O249" s="1">
        <v>1802</v>
      </c>
      <c r="P249" s="1">
        <f t="shared" si="43"/>
        <v>70</v>
      </c>
      <c r="Q249" s="1">
        <f t="shared" si="44"/>
        <v>4.5102653277144515</v>
      </c>
      <c r="R249" s="1">
        <f t="shared" si="45"/>
        <v>0.16865308383547628</v>
      </c>
      <c r="S249" s="2">
        <f t="shared" si="46"/>
        <v>0.83310245021616702</v>
      </c>
      <c r="T249" s="3">
        <f t="shared" si="47"/>
        <v>1.4540380762704259E-2</v>
      </c>
      <c r="U249" s="4" t="s">
        <v>571</v>
      </c>
    </row>
    <row r="250" spans="1:21" ht="14.25" customHeight="1" x14ac:dyDescent="0.3">
      <c r="A250" s="1" t="s">
        <v>26</v>
      </c>
      <c r="B250" s="1" t="s">
        <v>296</v>
      </c>
      <c r="C250" s="1" t="s">
        <v>297</v>
      </c>
      <c r="D250" s="1">
        <f t="shared" si="36"/>
        <v>88</v>
      </c>
      <c r="E250" s="1">
        <f t="shared" si="37"/>
        <v>0.12259259259259259</v>
      </c>
      <c r="F250" s="2">
        <f t="shared" si="38"/>
        <v>553.69057900835048</v>
      </c>
      <c r="G250" s="1">
        <v>2080</v>
      </c>
      <c r="H250" s="1">
        <v>3744</v>
      </c>
      <c r="I250" s="1">
        <v>0</v>
      </c>
      <c r="J250" s="1">
        <v>153</v>
      </c>
      <c r="K250" s="1">
        <f t="shared" si="39"/>
        <v>0</v>
      </c>
      <c r="L250" s="1">
        <f t="shared" si="40"/>
        <v>1.3350721153846152</v>
      </c>
      <c r="M250" s="1">
        <f t="shared" si="41"/>
        <v>1.3350721153846152</v>
      </c>
      <c r="N250" s="3">
        <f t="shared" si="48"/>
        <v>12.583589909793121</v>
      </c>
      <c r="O250" s="1">
        <v>1040</v>
      </c>
      <c r="P250" s="1">
        <f t="shared" si="43"/>
        <v>832</v>
      </c>
      <c r="Q250" s="1">
        <f t="shared" si="44"/>
        <v>4.8934904862784254</v>
      </c>
      <c r="R250" s="1">
        <f t="shared" si="45"/>
        <v>2.1748846605681891</v>
      </c>
      <c r="S250" s="2">
        <f t="shared" si="46"/>
        <v>9.8058416154676848</v>
      </c>
      <c r="T250" s="3">
        <f t="shared" si="47"/>
        <v>0.17114422211899083</v>
      </c>
      <c r="U250" s="4" t="s">
        <v>571</v>
      </c>
    </row>
    <row r="251" spans="1:21" ht="14.25" customHeight="1" x14ac:dyDescent="0.3">
      <c r="A251" s="1" t="s">
        <v>26</v>
      </c>
      <c r="B251" s="1" t="s">
        <v>399</v>
      </c>
      <c r="C251" s="1" t="s">
        <v>400</v>
      </c>
      <c r="D251" s="1">
        <f t="shared" si="36"/>
        <v>88</v>
      </c>
      <c r="E251" s="1">
        <f t="shared" si="37"/>
        <v>0.12260416666666667</v>
      </c>
      <c r="F251" s="2">
        <f t="shared" si="38"/>
        <v>553.69065173040258</v>
      </c>
      <c r="G251" s="1">
        <v>2080</v>
      </c>
      <c r="H251" s="1">
        <v>3744</v>
      </c>
      <c r="I251" s="1">
        <v>0</v>
      </c>
      <c r="J251" s="1">
        <v>156</v>
      </c>
      <c r="K251" s="1">
        <f t="shared" si="39"/>
        <v>0</v>
      </c>
      <c r="L251" s="1">
        <f t="shared" si="40"/>
        <v>1.3612499999999998</v>
      </c>
      <c r="M251" s="1">
        <f t="shared" si="41"/>
        <v>1.3612499999999998</v>
      </c>
      <c r="N251" s="3">
        <f t="shared" si="48"/>
        <v>12.341597796143253</v>
      </c>
      <c r="O251" s="1">
        <v>855</v>
      </c>
      <c r="P251" s="1">
        <f t="shared" si="43"/>
        <v>1017</v>
      </c>
      <c r="Q251" s="1">
        <f t="shared" si="44"/>
        <v>4.7993849000038402</v>
      </c>
      <c r="R251" s="1">
        <f t="shared" si="45"/>
        <v>2.6073581427905475</v>
      </c>
      <c r="S251" s="2">
        <f t="shared" si="46"/>
        <v>11.929225858185371</v>
      </c>
      <c r="T251" s="3">
        <f t="shared" si="47"/>
        <v>0.20820426843938086</v>
      </c>
      <c r="U251" s="4" t="s">
        <v>571</v>
      </c>
    </row>
    <row r="252" spans="1:21" ht="14.25" customHeight="1" x14ac:dyDescent="0.3">
      <c r="A252" s="1" t="s">
        <v>26</v>
      </c>
      <c r="B252" s="1" t="s">
        <v>437</v>
      </c>
      <c r="C252" s="1" t="s">
        <v>438</v>
      </c>
      <c r="D252" s="1">
        <f t="shared" si="36"/>
        <v>88</v>
      </c>
      <c r="E252" s="1">
        <f t="shared" si="37"/>
        <v>0.8865277777777778</v>
      </c>
      <c r="F252" s="2">
        <f t="shared" si="38"/>
        <v>558.49052533954341</v>
      </c>
      <c r="G252" s="1">
        <v>2080</v>
      </c>
      <c r="H252" s="1">
        <v>3744</v>
      </c>
      <c r="I252" s="1">
        <v>0</v>
      </c>
      <c r="J252" s="1">
        <v>187</v>
      </c>
      <c r="K252" s="1">
        <f t="shared" si="39"/>
        <v>0</v>
      </c>
      <c r="L252" s="1">
        <f t="shared" si="40"/>
        <v>1.6317548076923076</v>
      </c>
      <c r="M252" s="1">
        <f t="shared" si="41"/>
        <v>1.6317548076923076</v>
      </c>
      <c r="N252" s="3">
        <f t="shared" si="48"/>
        <v>10.295664471648916</v>
      </c>
      <c r="O252" s="1">
        <v>756</v>
      </c>
      <c r="P252" s="1">
        <f t="shared" si="43"/>
        <v>1116</v>
      </c>
      <c r="Q252" s="1">
        <f t="shared" si="44"/>
        <v>4.0037649433187115</v>
      </c>
      <c r="R252" s="1">
        <f t="shared" si="45"/>
        <v>2.3868598700553858</v>
      </c>
      <c r="S252" s="2">
        <f t="shared" si="46"/>
        <v>13.052392309610935</v>
      </c>
      <c r="T252" s="3">
        <f t="shared" si="47"/>
        <v>0.22780722106469795</v>
      </c>
      <c r="U252" s="4" t="s">
        <v>571</v>
      </c>
    </row>
    <row r="253" spans="1:21" ht="14.25" customHeight="1" x14ac:dyDescent="0.3">
      <c r="A253" s="1" t="s">
        <v>26</v>
      </c>
      <c r="B253" s="1" t="s">
        <v>359</v>
      </c>
      <c r="C253" s="1" t="s">
        <v>360</v>
      </c>
      <c r="D253" s="1">
        <f t="shared" si="36"/>
        <v>88</v>
      </c>
      <c r="E253" s="1">
        <f t="shared" si="37"/>
        <v>0.88653935185185195</v>
      </c>
      <c r="F253" s="2">
        <f t="shared" si="38"/>
        <v>558.49059806159562</v>
      </c>
      <c r="G253" s="1">
        <v>2080</v>
      </c>
      <c r="H253" s="1">
        <v>3744</v>
      </c>
      <c r="I253" s="1">
        <v>0</v>
      </c>
      <c r="J253" s="1">
        <v>171</v>
      </c>
      <c r="K253" s="1">
        <f t="shared" si="39"/>
        <v>0</v>
      </c>
      <c r="L253" s="1">
        <f t="shared" si="40"/>
        <v>1.4921394230769229</v>
      </c>
      <c r="M253" s="1">
        <f t="shared" si="41"/>
        <v>1.4921394230769229</v>
      </c>
      <c r="N253" s="3">
        <f t="shared" si="48"/>
        <v>11.25900149823595</v>
      </c>
      <c r="O253" s="1">
        <v>913</v>
      </c>
      <c r="P253" s="1">
        <f t="shared" si="43"/>
        <v>959</v>
      </c>
      <c r="Q253" s="1">
        <f t="shared" si="44"/>
        <v>4.378386224564907</v>
      </c>
      <c r="R253" s="1">
        <f t="shared" si="45"/>
        <v>2.2429873874774282</v>
      </c>
      <c r="S253" s="2">
        <f t="shared" si="46"/>
        <v>11.266803000742144</v>
      </c>
      <c r="T253" s="3">
        <f t="shared" si="47"/>
        <v>0.19664280853652752</v>
      </c>
      <c r="U253" s="4" t="s">
        <v>571</v>
      </c>
    </row>
    <row r="254" spans="1:21" ht="14.25" customHeight="1" x14ac:dyDescent="0.3">
      <c r="A254" s="1" t="s">
        <v>26</v>
      </c>
      <c r="B254" s="1" t="s">
        <v>240</v>
      </c>
      <c r="C254" s="1" t="s">
        <v>241</v>
      </c>
      <c r="D254" s="1">
        <f t="shared" si="36"/>
        <v>88</v>
      </c>
      <c r="E254" s="1">
        <f t="shared" si="37"/>
        <v>0.88655092592592588</v>
      </c>
      <c r="F254" s="2">
        <f t="shared" si="38"/>
        <v>558.49067078364783</v>
      </c>
      <c r="G254" s="1">
        <v>2080</v>
      </c>
      <c r="H254" s="1">
        <v>3744</v>
      </c>
      <c r="I254" s="1">
        <v>0</v>
      </c>
      <c r="J254" s="1">
        <v>187</v>
      </c>
      <c r="K254" s="1">
        <f t="shared" si="39"/>
        <v>0</v>
      </c>
      <c r="L254" s="1">
        <f t="shared" si="40"/>
        <v>1.6317548076923076</v>
      </c>
      <c r="M254" s="1">
        <f t="shared" si="41"/>
        <v>1.6317548076923076</v>
      </c>
      <c r="N254" s="3">
        <f t="shared" si="48"/>
        <v>10.295664471648916</v>
      </c>
      <c r="O254" s="1">
        <v>1170</v>
      </c>
      <c r="P254" s="1">
        <f t="shared" si="43"/>
        <v>702</v>
      </c>
      <c r="Q254" s="1">
        <f t="shared" si="44"/>
        <v>4.0037649433187115</v>
      </c>
      <c r="R254" s="1">
        <f t="shared" si="45"/>
        <v>1.5014118537445169</v>
      </c>
      <c r="S254" s="2">
        <f t="shared" si="46"/>
        <v>8.2969312810806048</v>
      </c>
      <c r="T254" s="3">
        <f t="shared" si="47"/>
        <v>0.14480876866656767</v>
      </c>
      <c r="U254" s="4" t="s">
        <v>571</v>
      </c>
    </row>
    <row r="255" spans="1:21" ht="14.25" customHeight="1" x14ac:dyDescent="0.3">
      <c r="A255" s="1" t="s">
        <v>23</v>
      </c>
      <c r="B255" s="1" t="s">
        <v>173</v>
      </c>
      <c r="C255" s="1" t="s">
        <v>174</v>
      </c>
      <c r="D255" s="1">
        <f t="shared" si="36"/>
        <v>88</v>
      </c>
      <c r="E255" s="1">
        <f t="shared" si="37"/>
        <v>0.92208333333333325</v>
      </c>
      <c r="F255" s="2">
        <f t="shared" si="38"/>
        <v>558.71392748379878</v>
      </c>
      <c r="G255" s="1">
        <v>2080</v>
      </c>
      <c r="H255" s="1">
        <v>3744</v>
      </c>
      <c r="I255" s="1">
        <v>83</v>
      </c>
      <c r="J255" s="1">
        <v>220</v>
      </c>
      <c r="K255" s="1">
        <f t="shared" si="39"/>
        <v>0.72425480769230777</v>
      </c>
      <c r="L255" s="1">
        <f t="shared" si="40"/>
        <v>1.9197115384615382</v>
      </c>
      <c r="M255" s="1">
        <f t="shared" si="41"/>
        <v>2.0517888335225405</v>
      </c>
      <c r="N255" s="3">
        <f t="shared" si="48"/>
        <v>8.1879771083252848</v>
      </c>
      <c r="O255" s="1">
        <v>1399</v>
      </c>
      <c r="P255" s="1">
        <f t="shared" si="43"/>
        <v>473</v>
      </c>
      <c r="Q255" s="1">
        <f t="shared" si="44"/>
        <v>3.1841301543268461</v>
      </c>
      <c r="R255" s="1">
        <f t="shared" si="45"/>
        <v>0.80453715972040496</v>
      </c>
      <c r="S255" s="2">
        <f t="shared" si="46"/>
        <v>5.6117752844545183</v>
      </c>
      <c r="T255" s="3">
        <f t="shared" si="47"/>
        <v>9.7943955595772708E-2</v>
      </c>
      <c r="U255" s="4" t="s">
        <v>571</v>
      </c>
    </row>
    <row r="256" spans="1:21" ht="14.25" customHeight="1" x14ac:dyDescent="0.3">
      <c r="A256" s="1" t="s">
        <v>23</v>
      </c>
      <c r="B256" s="1" t="s">
        <v>121</v>
      </c>
      <c r="C256" s="1" t="s">
        <v>122</v>
      </c>
      <c r="D256" s="1">
        <f t="shared" si="36"/>
        <v>88</v>
      </c>
      <c r="E256" s="1">
        <f t="shared" si="37"/>
        <v>0.9220949074074074</v>
      </c>
      <c r="F256" s="2">
        <f t="shared" si="38"/>
        <v>558.71400020585099</v>
      </c>
      <c r="G256" s="1">
        <v>2080</v>
      </c>
      <c r="H256" s="1">
        <v>3744</v>
      </c>
      <c r="I256" s="1">
        <v>40</v>
      </c>
      <c r="J256" s="1">
        <v>210</v>
      </c>
      <c r="K256" s="1">
        <f t="shared" si="39"/>
        <v>0.34903846153846158</v>
      </c>
      <c r="L256" s="1">
        <f t="shared" si="40"/>
        <v>1.832451923076923</v>
      </c>
      <c r="M256" s="1">
        <f t="shared" si="41"/>
        <v>1.865397517426634</v>
      </c>
      <c r="N256" s="3">
        <f t="shared" si="48"/>
        <v>9.0061232756308431</v>
      </c>
      <c r="O256" s="1">
        <v>1635</v>
      </c>
      <c r="P256" s="1">
        <f t="shared" si="43"/>
        <v>237</v>
      </c>
      <c r="Q256" s="1">
        <f t="shared" si="44"/>
        <v>3.5022897983390155</v>
      </c>
      <c r="R256" s="1">
        <f t="shared" si="45"/>
        <v>0.44339886869997153</v>
      </c>
      <c r="S256" s="2">
        <f t="shared" si="46"/>
        <v>2.8185698333962641</v>
      </c>
      <c r="T256" s="3">
        <f t="shared" si="47"/>
        <v>4.9193323790152836E-2</v>
      </c>
      <c r="U256" s="4" t="s">
        <v>571</v>
      </c>
    </row>
    <row r="257" spans="1:21" ht="14.25" customHeight="1" x14ac:dyDescent="0.3">
      <c r="A257" s="1" t="s">
        <v>23</v>
      </c>
      <c r="B257" s="1" t="s">
        <v>24</v>
      </c>
      <c r="C257" s="1" t="s">
        <v>25</v>
      </c>
      <c r="D257" s="1">
        <f t="shared" si="36"/>
        <v>88</v>
      </c>
      <c r="E257" s="1">
        <f t="shared" si="37"/>
        <v>0.92210648148148155</v>
      </c>
      <c r="F257" s="2">
        <f t="shared" si="38"/>
        <v>558.71407292790309</v>
      </c>
      <c r="G257" s="1">
        <v>2080</v>
      </c>
      <c r="H257" s="1">
        <v>3744</v>
      </c>
      <c r="I257" s="1">
        <v>24</v>
      </c>
      <c r="J257" s="1">
        <v>195</v>
      </c>
      <c r="K257" s="1">
        <f t="shared" si="39"/>
        <v>0.20942307692307693</v>
      </c>
      <c r="L257" s="1">
        <f t="shared" si="40"/>
        <v>1.7015624999999999</v>
      </c>
      <c r="M257" s="1">
        <f t="shared" si="41"/>
        <v>1.7144016351351798</v>
      </c>
      <c r="N257" s="3">
        <f t="shared" si="48"/>
        <v>9.7993373639516665</v>
      </c>
      <c r="O257" s="1">
        <v>1860</v>
      </c>
      <c r="P257" s="1">
        <f t="shared" si="43"/>
        <v>12</v>
      </c>
      <c r="Q257" s="1">
        <f t="shared" si="44"/>
        <v>3.8107538870931426</v>
      </c>
      <c r="R257" s="1">
        <f t="shared" si="45"/>
        <v>2.442790953264835E-2</v>
      </c>
      <c r="S257" s="2">
        <f t="shared" si="46"/>
        <v>0.14282733285447732</v>
      </c>
      <c r="T257" s="3">
        <f t="shared" si="47"/>
        <v>2.4928072201525005E-3</v>
      </c>
      <c r="U257" s="4" t="s">
        <v>571</v>
      </c>
    </row>
    <row r="258" spans="1:21" ht="14.25" customHeight="1" x14ac:dyDescent="0.3">
      <c r="A258" s="1" t="s">
        <v>26</v>
      </c>
      <c r="B258" s="1" t="s">
        <v>365</v>
      </c>
      <c r="C258" s="1" t="s">
        <v>366</v>
      </c>
      <c r="D258" s="1">
        <f t="shared" ref="D258:D321" si="49">(LEFT(C258,4)&amp;"-"&amp;MID(C258,6,2)&amp;"-"&amp;MID(C258,9,2))-(2019&amp;"-"&amp;6&amp;"-"&amp;1)</f>
        <v>89</v>
      </c>
      <c r="E258" s="1">
        <f t="shared" ref="E258:E266" si="50">TIMEVALUE(RIGHT(C258,8))</f>
        <v>0.13006944444444443</v>
      </c>
      <c r="F258" s="2">
        <f t="shared" ref="F258:F321" si="51">(D258+E258)*2*PI()</f>
        <v>560.02074276122949</v>
      </c>
      <c r="G258" s="1">
        <v>2080</v>
      </c>
      <c r="H258" s="1">
        <v>3744</v>
      </c>
      <c r="I258" s="1">
        <v>0</v>
      </c>
      <c r="J258" s="1">
        <v>210</v>
      </c>
      <c r="K258" s="1">
        <f t="shared" ref="K258:K266" si="52">(32.67*I258)/H258</f>
        <v>0</v>
      </c>
      <c r="L258" s="1">
        <f t="shared" ref="L258:L266" si="53">(18.15*J258)/G258</f>
        <v>1.832451923076923</v>
      </c>
      <c r="M258" s="1">
        <f t="shared" ref="M258:M321" si="54">SQRT(K258*K258+L258*L258)</f>
        <v>1.832451923076923</v>
      </c>
      <c r="N258" s="3">
        <f t="shared" si="48"/>
        <v>9.1680440771349865</v>
      </c>
      <c r="O258" s="1">
        <v>903</v>
      </c>
      <c r="P258" s="1">
        <f t="shared" ref="P258:P321" si="55">H258/2-O258</f>
        <v>969</v>
      </c>
      <c r="Q258" s="1">
        <f t="shared" ref="Q258:Q266" si="56">TAN(RADIANS(21.25))*N258</f>
        <v>3.5652573542885664</v>
      </c>
      <c r="R258" s="1">
        <f t="shared" ref="R258:R321" si="57">Q258*(P258/(H258/2))</f>
        <v>1.8454777651205241</v>
      </c>
      <c r="S258" s="2">
        <f t="shared" ref="S258:S321" si="58">DEGREES(ATAN(R258/N258))</f>
        <v>11.381236911198146</v>
      </c>
      <c r="T258" s="3">
        <f t="shared" ref="T258:T321" si="59">RADIANS(S258)</f>
        <v>0.19864005704991713</v>
      </c>
      <c r="U258" s="4" t="s">
        <v>571</v>
      </c>
    </row>
    <row r="259" spans="1:21" ht="14.25" customHeight="1" x14ac:dyDescent="0.3">
      <c r="A259" s="1" t="s">
        <v>26</v>
      </c>
      <c r="B259" s="1" t="s">
        <v>256</v>
      </c>
      <c r="C259" s="1" t="s">
        <v>257</v>
      </c>
      <c r="D259" s="1">
        <f t="shared" si="49"/>
        <v>89</v>
      </c>
      <c r="E259" s="1">
        <f t="shared" si="50"/>
        <v>0.13008101851851853</v>
      </c>
      <c r="F259" s="2">
        <f t="shared" si="51"/>
        <v>560.02081548328169</v>
      </c>
      <c r="G259" s="1">
        <v>2080</v>
      </c>
      <c r="H259" s="1">
        <v>3744</v>
      </c>
      <c r="I259" s="1">
        <v>0</v>
      </c>
      <c r="J259" s="1">
        <v>213</v>
      </c>
      <c r="K259" s="1">
        <f t="shared" si="52"/>
        <v>0</v>
      </c>
      <c r="L259" s="1">
        <f t="shared" si="53"/>
        <v>1.8586298076923076</v>
      </c>
      <c r="M259" s="1">
        <f t="shared" si="54"/>
        <v>1.8586298076923076</v>
      </c>
      <c r="N259" s="3">
        <f t="shared" si="48"/>
        <v>9.0389166957668881</v>
      </c>
      <c r="O259" s="1">
        <v>1130</v>
      </c>
      <c r="P259" s="1">
        <f t="shared" si="55"/>
        <v>742</v>
      </c>
      <c r="Q259" s="1">
        <f t="shared" si="56"/>
        <v>3.5150424619746428</v>
      </c>
      <c r="R259" s="1">
        <f t="shared" si="57"/>
        <v>1.3932486681544791</v>
      </c>
      <c r="S259" s="2">
        <f t="shared" si="58"/>
        <v>8.762546789776037</v>
      </c>
      <c r="T259" s="3">
        <f t="shared" si="59"/>
        <v>0.15293529234165124</v>
      </c>
      <c r="U259" s="4" t="s">
        <v>571</v>
      </c>
    </row>
    <row r="260" spans="1:21" ht="14.25" customHeight="1" x14ac:dyDescent="0.3">
      <c r="A260" s="1" t="s">
        <v>26</v>
      </c>
      <c r="B260" s="1" t="s">
        <v>165</v>
      </c>
      <c r="C260" s="1" t="s">
        <v>166</v>
      </c>
      <c r="D260" s="1">
        <f t="shared" si="49"/>
        <v>89</v>
      </c>
      <c r="E260" s="1">
        <f t="shared" si="50"/>
        <v>0.13009259259259259</v>
      </c>
      <c r="F260" s="2">
        <f t="shared" si="51"/>
        <v>560.02088820533379</v>
      </c>
      <c r="G260" s="1">
        <v>2080</v>
      </c>
      <c r="H260" s="1">
        <v>3744</v>
      </c>
      <c r="I260" s="1">
        <v>0</v>
      </c>
      <c r="J260" s="1">
        <v>205</v>
      </c>
      <c r="K260" s="1">
        <f t="shared" si="52"/>
        <v>0</v>
      </c>
      <c r="L260" s="1">
        <f t="shared" si="53"/>
        <v>1.7888221153846151</v>
      </c>
      <c r="M260" s="1">
        <f t="shared" si="54"/>
        <v>1.7888221153846151</v>
      </c>
      <c r="N260" s="3">
        <f t="shared" si="48"/>
        <v>9.3916549082846217</v>
      </c>
      <c r="O260" s="1">
        <v>1479</v>
      </c>
      <c r="P260" s="1">
        <f t="shared" si="55"/>
        <v>393</v>
      </c>
      <c r="Q260" s="1">
        <f t="shared" si="56"/>
        <v>3.6522148507346297</v>
      </c>
      <c r="R260" s="1">
        <f t="shared" si="57"/>
        <v>0.76673100231768665</v>
      </c>
      <c r="S260" s="2">
        <f t="shared" si="58"/>
        <v>4.6672540833736447</v>
      </c>
      <c r="T260" s="3">
        <f t="shared" si="59"/>
        <v>8.1458950782020034E-2</v>
      </c>
      <c r="U260" s="4" t="s">
        <v>571</v>
      </c>
    </row>
    <row r="261" spans="1:21" ht="14.25" customHeight="1" x14ac:dyDescent="0.3">
      <c r="A261" s="1" t="s">
        <v>26</v>
      </c>
      <c r="B261" s="1" t="s">
        <v>135</v>
      </c>
      <c r="C261" s="1" t="s">
        <v>136</v>
      </c>
      <c r="D261" s="1">
        <f t="shared" si="49"/>
        <v>89</v>
      </c>
      <c r="E261" s="1">
        <f t="shared" si="50"/>
        <v>0.16401620370370371</v>
      </c>
      <c r="F261" s="2">
        <f t="shared" si="51"/>
        <v>560.23403654023366</v>
      </c>
      <c r="G261" s="1">
        <v>2080</v>
      </c>
      <c r="H261" s="1">
        <v>3744</v>
      </c>
      <c r="I261" s="1">
        <v>0</v>
      </c>
      <c r="J261" s="1">
        <v>134</v>
      </c>
      <c r="K261" s="1">
        <f t="shared" si="52"/>
        <v>0</v>
      </c>
      <c r="L261" s="1">
        <f t="shared" si="53"/>
        <v>1.1692788461538461</v>
      </c>
      <c r="M261" s="1">
        <f t="shared" si="54"/>
        <v>1.1692788461538461</v>
      </c>
      <c r="N261" s="3">
        <f t="shared" si="48"/>
        <v>14.367830270136919</v>
      </c>
      <c r="O261" s="1">
        <v>1607</v>
      </c>
      <c r="P261" s="1">
        <f t="shared" si="55"/>
        <v>265</v>
      </c>
      <c r="Q261" s="1">
        <f t="shared" si="56"/>
        <v>5.5873436149298428</v>
      </c>
      <c r="R261" s="1">
        <f t="shared" si="57"/>
        <v>0.79094340702799593</v>
      </c>
      <c r="S261" s="2">
        <f t="shared" si="58"/>
        <v>3.1509297805694136</v>
      </c>
      <c r="T261" s="3">
        <f t="shared" si="59"/>
        <v>5.499409917007872E-2</v>
      </c>
      <c r="U261" s="4" t="s">
        <v>571</v>
      </c>
    </row>
    <row r="262" spans="1:21" ht="14.25" customHeight="1" x14ac:dyDescent="0.3">
      <c r="A262" s="1" t="s">
        <v>26</v>
      </c>
      <c r="B262" s="1" t="s">
        <v>57</v>
      </c>
      <c r="C262" s="1" t="s">
        <v>58</v>
      </c>
      <c r="D262" s="1">
        <f t="shared" si="49"/>
        <v>89</v>
      </c>
      <c r="E262" s="1">
        <f t="shared" si="50"/>
        <v>0.16402777777777777</v>
      </c>
      <c r="F262" s="2">
        <f t="shared" si="51"/>
        <v>560.23410926228576</v>
      </c>
      <c r="G262" s="1">
        <v>2080</v>
      </c>
      <c r="H262" s="1">
        <v>3744</v>
      </c>
      <c r="I262" s="1">
        <v>0</v>
      </c>
      <c r="J262" s="1">
        <v>129</v>
      </c>
      <c r="K262" s="1">
        <f t="shared" si="52"/>
        <v>0</v>
      </c>
      <c r="L262" s="1">
        <f t="shared" si="53"/>
        <v>1.1256490384615385</v>
      </c>
      <c r="M262" s="1">
        <f t="shared" si="54"/>
        <v>1.1256490384615385</v>
      </c>
      <c r="N262" s="3">
        <f t="shared" si="48"/>
        <v>14.924722916266257</v>
      </c>
      <c r="O262" s="1">
        <v>1799</v>
      </c>
      <c r="P262" s="1">
        <f t="shared" si="55"/>
        <v>73</v>
      </c>
      <c r="Q262" s="1">
        <f t="shared" si="56"/>
        <v>5.8039073209348757</v>
      </c>
      <c r="R262" s="1">
        <f t="shared" si="57"/>
        <v>0.22632758249372112</v>
      </c>
      <c r="S262" s="2">
        <f t="shared" si="58"/>
        <v>0.86880148060929896</v>
      </c>
      <c r="T262" s="3">
        <f t="shared" si="59"/>
        <v>1.5163446382833937E-2</v>
      </c>
      <c r="U262" s="4" t="s">
        <v>571</v>
      </c>
    </row>
    <row r="263" spans="1:21" ht="14.25" customHeight="1" x14ac:dyDescent="0.3">
      <c r="A263" s="1" t="s">
        <v>26</v>
      </c>
      <c r="B263" s="1" t="s">
        <v>415</v>
      </c>
      <c r="C263" s="1" t="s">
        <v>416</v>
      </c>
      <c r="D263" s="1">
        <f t="shared" si="49"/>
        <v>89</v>
      </c>
      <c r="E263" s="1">
        <f t="shared" si="50"/>
        <v>0.84624999999999995</v>
      </c>
      <c r="F263" s="2">
        <f t="shared" si="51"/>
        <v>564.52063790518389</v>
      </c>
      <c r="G263" s="1">
        <v>2080</v>
      </c>
      <c r="H263" s="1">
        <v>3744</v>
      </c>
      <c r="I263" s="1">
        <v>0</v>
      </c>
      <c r="J263" s="1">
        <v>187</v>
      </c>
      <c r="K263" s="1">
        <f t="shared" si="52"/>
        <v>0</v>
      </c>
      <c r="L263" s="1">
        <f t="shared" si="53"/>
        <v>1.6317548076923076</v>
      </c>
      <c r="M263" s="1">
        <f t="shared" si="54"/>
        <v>1.6317548076923076</v>
      </c>
      <c r="N263" s="3">
        <f t="shared" si="48"/>
        <v>10.295664471648916</v>
      </c>
      <c r="O263" s="1">
        <v>818</v>
      </c>
      <c r="P263" s="1">
        <f t="shared" si="55"/>
        <v>1054</v>
      </c>
      <c r="Q263" s="1">
        <f t="shared" si="56"/>
        <v>4.0037649433187115</v>
      </c>
      <c r="R263" s="1">
        <f t="shared" si="57"/>
        <v>2.2542565439411977</v>
      </c>
      <c r="S263" s="2">
        <f t="shared" si="58"/>
        <v>12.350133178977442</v>
      </c>
      <c r="T263" s="3">
        <f t="shared" si="59"/>
        <v>0.21555048703295052</v>
      </c>
      <c r="U263" s="4" t="s">
        <v>571</v>
      </c>
    </row>
    <row r="264" spans="1:21" ht="14.25" customHeight="1" x14ac:dyDescent="0.3">
      <c r="A264" s="1" t="s">
        <v>26</v>
      </c>
      <c r="B264" s="1" t="s">
        <v>275</v>
      </c>
      <c r="C264" s="1" t="s">
        <v>276</v>
      </c>
      <c r="D264" s="1">
        <f t="shared" si="49"/>
        <v>89</v>
      </c>
      <c r="E264" s="1">
        <f t="shared" si="50"/>
        <v>0.8462615740740741</v>
      </c>
      <c r="F264" s="2">
        <f t="shared" si="51"/>
        <v>564.5207106272361</v>
      </c>
      <c r="G264" s="1">
        <v>2080</v>
      </c>
      <c r="H264" s="1">
        <v>3744</v>
      </c>
      <c r="I264" s="1">
        <v>0</v>
      </c>
      <c r="J264" s="1">
        <v>187</v>
      </c>
      <c r="K264" s="1">
        <f t="shared" si="52"/>
        <v>0</v>
      </c>
      <c r="L264" s="1">
        <f t="shared" si="53"/>
        <v>1.6317548076923076</v>
      </c>
      <c r="M264" s="1">
        <f t="shared" si="54"/>
        <v>1.6317548076923076</v>
      </c>
      <c r="N264" s="3">
        <f t="shared" si="48"/>
        <v>10.295664471648916</v>
      </c>
      <c r="O264" s="1">
        <v>1080</v>
      </c>
      <c r="P264" s="1">
        <f t="shared" si="55"/>
        <v>792</v>
      </c>
      <c r="Q264" s="1">
        <f t="shared" si="56"/>
        <v>4.0037649433187115</v>
      </c>
      <c r="R264" s="1">
        <f t="shared" si="57"/>
        <v>1.6939005529425317</v>
      </c>
      <c r="S264" s="2">
        <f t="shared" si="58"/>
        <v>9.3429233236401465</v>
      </c>
      <c r="T264" s="3">
        <f t="shared" si="59"/>
        <v>0.16306477375889233</v>
      </c>
      <c r="U264" s="4" t="s">
        <v>571</v>
      </c>
    </row>
    <row r="265" spans="1:21" ht="14.25" customHeight="1" x14ac:dyDescent="0.3">
      <c r="A265" s="1" t="s">
        <v>26</v>
      </c>
      <c r="B265" s="1" t="s">
        <v>161</v>
      </c>
      <c r="C265" s="1" t="s">
        <v>162</v>
      </c>
      <c r="D265" s="1">
        <f t="shared" si="49"/>
        <v>89</v>
      </c>
      <c r="E265" s="1">
        <f t="shared" si="50"/>
        <v>0.94146990740740744</v>
      </c>
      <c r="F265" s="2">
        <f t="shared" si="51"/>
        <v>565.11892222835718</v>
      </c>
      <c r="G265" s="1">
        <v>2080</v>
      </c>
      <c r="H265" s="1">
        <v>3744</v>
      </c>
      <c r="I265" s="1">
        <v>0</v>
      </c>
      <c r="J265" s="1">
        <v>138</v>
      </c>
      <c r="K265" s="1">
        <f t="shared" si="52"/>
        <v>0</v>
      </c>
      <c r="L265" s="1">
        <f t="shared" si="53"/>
        <v>1.2041826923076921</v>
      </c>
      <c r="M265" s="1">
        <f t="shared" si="54"/>
        <v>1.2041826923076921</v>
      </c>
      <c r="N265" s="3">
        <f t="shared" si="48"/>
        <v>13.951371421727156</v>
      </c>
      <c r="O265" s="1">
        <v>1505</v>
      </c>
      <c r="P265" s="1">
        <f t="shared" si="55"/>
        <v>367</v>
      </c>
      <c r="Q265" s="1">
        <f t="shared" si="56"/>
        <v>5.4253916260912982</v>
      </c>
      <c r="R265" s="1">
        <f t="shared" si="57"/>
        <v>1.0636317984911894</v>
      </c>
      <c r="S265" s="2">
        <f t="shared" si="58"/>
        <v>4.3597113643087217</v>
      </c>
      <c r="T265" s="3">
        <f t="shared" si="59"/>
        <v>7.6091317743801193E-2</v>
      </c>
      <c r="U265" s="4" t="s">
        <v>571</v>
      </c>
    </row>
    <row r="266" spans="1:21" ht="14.25" customHeight="1" x14ac:dyDescent="0.3">
      <c r="A266" s="1" t="s">
        <v>26</v>
      </c>
      <c r="B266" s="1" t="s">
        <v>78</v>
      </c>
      <c r="C266" s="1" t="s">
        <v>79</v>
      </c>
      <c r="D266" s="1">
        <f t="shared" si="49"/>
        <v>89</v>
      </c>
      <c r="E266" s="1">
        <f t="shared" si="50"/>
        <v>0.94148148148148147</v>
      </c>
      <c r="F266" s="2">
        <f t="shared" si="51"/>
        <v>565.11899495040927</v>
      </c>
      <c r="G266" s="1">
        <v>2080</v>
      </c>
      <c r="H266" s="1">
        <v>3744</v>
      </c>
      <c r="I266" s="1">
        <v>0</v>
      </c>
      <c r="J266" s="1">
        <v>130</v>
      </c>
      <c r="K266" s="1">
        <f t="shared" si="52"/>
        <v>0</v>
      </c>
      <c r="L266" s="1">
        <f t="shared" si="53"/>
        <v>1.1343749999999999</v>
      </c>
      <c r="M266" s="1">
        <f t="shared" si="54"/>
        <v>1.1343749999999999</v>
      </c>
      <c r="N266" s="3">
        <f t="shared" si="48"/>
        <v>14.809917355371903</v>
      </c>
      <c r="O266" s="1">
        <v>1745</v>
      </c>
      <c r="P266" s="1">
        <f t="shared" si="55"/>
        <v>127</v>
      </c>
      <c r="Q266" s="1">
        <f t="shared" si="56"/>
        <v>5.7592618800046083</v>
      </c>
      <c r="R266" s="1">
        <f t="shared" si="57"/>
        <v>0.39071915532082541</v>
      </c>
      <c r="S266" s="2">
        <f t="shared" si="58"/>
        <v>1.5112418486851527</v>
      </c>
      <c r="T266" s="3">
        <f t="shared" si="59"/>
        <v>2.6376146053481854E-2</v>
      </c>
      <c r="U266" s="4" t="s">
        <v>571</v>
      </c>
    </row>
    <row r="267" spans="1:21" ht="14.25" customHeight="1" x14ac:dyDescent="0.3">
      <c r="F267" s="2"/>
      <c r="N267" s="3"/>
      <c r="S267" s="2"/>
      <c r="T267" s="3"/>
    </row>
    <row r="268" spans="1:21" ht="14.25" customHeight="1" x14ac:dyDescent="0.3">
      <c r="F268" s="2"/>
      <c r="N268" s="3"/>
      <c r="S268" s="2"/>
      <c r="T268" s="3"/>
    </row>
    <row r="269" spans="1:21" ht="14.25" customHeight="1" x14ac:dyDescent="0.3">
      <c r="F269" s="2"/>
      <c r="N269" s="3"/>
      <c r="S269" s="2"/>
      <c r="T269" s="3"/>
    </row>
    <row r="270" spans="1:21" ht="14.25" customHeight="1" x14ac:dyDescent="0.3">
      <c r="F270" s="2"/>
      <c r="N270" s="3"/>
      <c r="S270" s="2"/>
      <c r="T270" s="3"/>
    </row>
    <row r="271" spans="1:21" ht="14.25" customHeight="1" x14ac:dyDescent="0.3">
      <c r="F271" s="2"/>
      <c r="N271" s="3"/>
      <c r="S271" s="2"/>
      <c r="T271" s="3"/>
    </row>
    <row r="272" spans="1:21" ht="14.25" customHeight="1" x14ac:dyDescent="0.3">
      <c r="F272" s="2"/>
      <c r="N272" s="3"/>
      <c r="S272" s="2"/>
      <c r="T272" s="3"/>
    </row>
    <row r="273" spans="6:20" ht="14.25" customHeight="1" x14ac:dyDescent="0.3">
      <c r="F273" s="2"/>
      <c r="N273" s="3"/>
      <c r="S273" s="2"/>
      <c r="T273" s="3"/>
    </row>
    <row r="274" spans="6:20" ht="14.25" customHeight="1" x14ac:dyDescent="0.3">
      <c r="F274" s="2"/>
      <c r="N274" s="3"/>
      <c r="S274" s="2"/>
      <c r="T274" s="3"/>
    </row>
    <row r="275" spans="6:20" ht="14.25" customHeight="1" x14ac:dyDescent="0.3">
      <c r="F275" s="2"/>
      <c r="N275" s="3"/>
      <c r="S275" s="2"/>
      <c r="T275" s="3"/>
    </row>
    <row r="276" spans="6:20" ht="14.25" customHeight="1" x14ac:dyDescent="0.3">
      <c r="F276" s="2"/>
      <c r="N276" s="3"/>
      <c r="S276" s="2"/>
      <c r="T276" s="3"/>
    </row>
    <row r="277" spans="6:20" ht="14.25" customHeight="1" x14ac:dyDescent="0.3">
      <c r="F277" s="2"/>
      <c r="N277" s="3"/>
      <c r="S277" s="2"/>
      <c r="T277" s="3"/>
    </row>
    <row r="278" spans="6:20" ht="14.25" customHeight="1" x14ac:dyDescent="0.3">
      <c r="F278" s="2"/>
      <c r="N278" s="3"/>
      <c r="S278" s="2"/>
      <c r="T278" s="3"/>
    </row>
    <row r="279" spans="6:20" ht="14.25" customHeight="1" x14ac:dyDescent="0.3">
      <c r="F279" s="2"/>
      <c r="N279" s="3"/>
      <c r="S279" s="2"/>
      <c r="T279" s="3"/>
    </row>
    <row r="280" spans="6:20" ht="14.25" customHeight="1" x14ac:dyDescent="0.3">
      <c r="F280" s="2"/>
      <c r="N280" s="3"/>
      <c r="S280" s="2"/>
      <c r="T280" s="3"/>
    </row>
    <row r="281" spans="6:20" ht="14.25" customHeight="1" x14ac:dyDescent="0.3">
      <c r="F281" s="2"/>
      <c r="N281" s="3"/>
      <c r="S281" s="2"/>
      <c r="T281" s="3"/>
    </row>
    <row r="282" spans="6:20" ht="14.25" customHeight="1" x14ac:dyDescent="0.3">
      <c r="F282" s="2"/>
      <c r="N282" s="3"/>
      <c r="S282" s="2"/>
      <c r="T282" s="3"/>
    </row>
    <row r="283" spans="6:20" ht="14.25" customHeight="1" x14ac:dyDescent="0.3">
      <c r="F283" s="2"/>
      <c r="N283" s="3"/>
      <c r="S283" s="2"/>
      <c r="T283" s="3"/>
    </row>
    <row r="284" spans="6:20" ht="14.25" customHeight="1" x14ac:dyDescent="0.3">
      <c r="F284" s="2"/>
      <c r="N284" s="3"/>
      <c r="S284" s="2"/>
      <c r="T284" s="3"/>
    </row>
    <row r="285" spans="6:20" ht="14.25" customHeight="1" x14ac:dyDescent="0.3">
      <c r="F285" s="2"/>
      <c r="N285" s="3"/>
      <c r="S285" s="2"/>
      <c r="T285" s="3"/>
    </row>
    <row r="286" spans="6:20" ht="14.25" customHeight="1" x14ac:dyDescent="0.3">
      <c r="F286" s="2"/>
      <c r="N286" s="3"/>
      <c r="S286" s="2"/>
      <c r="T286" s="3"/>
    </row>
    <row r="287" spans="6:20" ht="14.25" customHeight="1" x14ac:dyDescent="0.3">
      <c r="F287" s="2"/>
      <c r="N287" s="3"/>
      <c r="S287" s="2"/>
      <c r="T287" s="3"/>
    </row>
    <row r="288" spans="6:20" ht="14.25" customHeight="1" x14ac:dyDescent="0.3">
      <c r="F288" s="2"/>
      <c r="N288" s="3"/>
      <c r="S288" s="2"/>
      <c r="T288" s="3"/>
    </row>
    <row r="289" spans="6:20" ht="14.25" customHeight="1" x14ac:dyDescent="0.3">
      <c r="F289" s="2"/>
      <c r="N289" s="3"/>
      <c r="S289" s="2"/>
      <c r="T289" s="3"/>
    </row>
    <row r="290" spans="6:20" ht="14.25" customHeight="1" x14ac:dyDescent="0.3">
      <c r="F290" s="2"/>
      <c r="N290" s="3"/>
      <c r="S290" s="2"/>
      <c r="T290" s="3"/>
    </row>
    <row r="291" spans="6:20" ht="14.25" customHeight="1" x14ac:dyDescent="0.3">
      <c r="F291" s="2"/>
      <c r="N291" s="3"/>
      <c r="S291" s="2"/>
      <c r="T291" s="3"/>
    </row>
    <row r="292" spans="6:20" ht="14.25" customHeight="1" x14ac:dyDescent="0.3">
      <c r="F292" s="2"/>
      <c r="N292" s="3"/>
      <c r="S292" s="2"/>
      <c r="T292" s="3"/>
    </row>
    <row r="293" spans="6:20" ht="14.25" customHeight="1" x14ac:dyDescent="0.3">
      <c r="F293" s="2"/>
      <c r="N293" s="3"/>
      <c r="S293" s="2"/>
      <c r="T293" s="3"/>
    </row>
    <row r="294" spans="6:20" ht="14.25" customHeight="1" x14ac:dyDescent="0.3">
      <c r="F294" s="2"/>
      <c r="N294" s="3"/>
      <c r="S294" s="2"/>
      <c r="T294" s="3"/>
    </row>
    <row r="295" spans="6:20" ht="14.25" customHeight="1" x14ac:dyDescent="0.3">
      <c r="F295" s="2"/>
      <c r="N295" s="3"/>
      <c r="S295" s="2"/>
      <c r="T295" s="3"/>
    </row>
    <row r="296" spans="6:20" ht="14.25" customHeight="1" x14ac:dyDescent="0.3">
      <c r="F296" s="2"/>
      <c r="N296" s="3"/>
      <c r="S296" s="2"/>
      <c r="T296" s="3"/>
    </row>
    <row r="297" spans="6:20" ht="14.25" customHeight="1" x14ac:dyDescent="0.3">
      <c r="F297" s="2"/>
      <c r="N297" s="3"/>
      <c r="S297" s="2"/>
      <c r="T297" s="3"/>
    </row>
    <row r="298" spans="6:20" ht="14.25" customHeight="1" x14ac:dyDescent="0.3">
      <c r="F298" s="2"/>
      <c r="N298" s="3"/>
      <c r="S298" s="2"/>
      <c r="T298" s="3"/>
    </row>
    <row r="299" spans="6:20" ht="14.25" customHeight="1" x14ac:dyDescent="0.3">
      <c r="F299" s="2"/>
      <c r="N299" s="3"/>
      <c r="S299" s="2"/>
      <c r="T299" s="3"/>
    </row>
    <row r="300" spans="6:20" ht="14.25" customHeight="1" x14ac:dyDescent="0.3">
      <c r="F300" s="2"/>
      <c r="N300" s="3"/>
      <c r="S300" s="2"/>
      <c r="T300" s="3"/>
    </row>
    <row r="301" spans="6:20" ht="14.25" customHeight="1" x14ac:dyDescent="0.3">
      <c r="F301" s="2"/>
      <c r="N301" s="3"/>
      <c r="S301" s="2"/>
      <c r="T301" s="3"/>
    </row>
    <row r="302" spans="6:20" ht="14.25" customHeight="1" x14ac:dyDescent="0.3">
      <c r="F302" s="2"/>
      <c r="N302" s="3"/>
      <c r="S302" s="2"/>
      <c r="T302" s="3"/>
    </row>
    <row r="303" spans="6:20" ht="14.25" customHeight="1" x14ac:dyDescent="0.3">
      <c r="F303" s="2"/>
      <c r="N303" s="3"/>
      <c r="S303" s="2"/>
      <c r="T303" s="3"/>
    </row>
    <row r="304" spans="6:20" ht="14.25" customHeight="1" x14ac:dyDescent="0.3">
      <c r="F304" s="2"/>
      <c r="N304" s="3"/>
      <c r="S304" s="2"/>
      <c r="T304" s="3"/>
    </row>
    <row r="305" spans="6:20" ht="14.25" customHeight="1" x14ac:dyDescent="0.3">
      <c r="F305" s="2"/>
      <c r="N305" s="3"/>
      <c r="S305" s="2"/>
      <c r="T305" s="3"/>
    </row>
    <row r="306" spans="6:20" ht="14.25" customHeight="1" x14ac:dyDescent="0.3">
      <c r="F306" s="2"/>
      <c r="N306" s="3"/>
      <c r="S306" s="2"/>
      <c r="T306" s="3"/>
    </row>
    <row r="307" spans="6:20" ht="14.25" customHeight="1" x14ac:dyDescent="0.3">
      <c r="F307" s="2"/>
      <c r="N307" s="3"/>
      <c r="S307" s="2"/>
      <c r="T307" s="3"/>
    </row>
    <row r="308" spans="6:20" ht="14.25" customHeight="1" x14ac:dyDescent="0.3">
      <c r="F308" s="2"/>
      <c r="N308" s="3"/>
      <c r="S308" s="2"/>
      <c r="T308" s="3"/>
    </row>
    <row r="309" spans="6:20" ht="14.25" customHeight="1" x14ac:dyDescent="0.3">
      <c r="F309" s="2"/>
      <c r="N309" s="3"/>
      <c r="S309" s="2"/>
      <c r="T309" s="3"/>
    </row>
    <row r="310" spans="6:20" ht="14.25" customHeight="1" x14ac:dyDescent="0.3">
      <c r="F310" s="2"/>
      <c r="N310" s="3"/>
      <c r="S310" s="2"/>
      <c r="T310" s="3"/>
    </row>
    <row r="311" spans="6:20" ht="14.25" customHeight="1" x14ac:dyDescent="0.3">
      <c r="F311" s="2"/>
      <c r="N311" s="3"/>
      <c r="S311" s="2"/>
      <c r="T311" s="3"/>
    </row>
    <row r="312" spans="6:20" ht="14.25" customHeight="1" x14ac:dyDescent="0.3">
      <c r="F312" s="2"/>
      <c r="N312" s="3"/>
      <c r="S312" s="2"/>
      <c r="T312" s="3"/>
    </row>
    <row r="313" spans="6:20" ht="14.25" customHeight="1" x14ac:dyDescent="0.3">
      <c r="F313" s="2"/>
      <c r="N313" s="3"/>
      <c r="S313" s="2"/>
      <c r="T313" s="3"/>
    </row>
    <row r="314" spans="6:20" ht="14.25" customHeight="1" x14ac:dyDescent="0.3">
      <c r="F314" s="2"/>
      <c r="N314" s="3"/>
      <c r="S314" s="2"/>
      <c r="T314" s="3"/>
    </row>
    <row r="315" spans="6:20" ht="14.25" customHeight="1" x14ac:dyDescent="0.3">
      <c r="F315" s="2"/>
      <c r="N315" s="3"/>
      <c r="S315" s="2"/>
      <c r="T315" s="3"/>
    </row>
    <row r="316" spans="6:20" ht="14.25" customHeight="1" x14ac:dyDescent="0.3">
      <c r="F316" s="2"/>
      <c r="N316" s="3"/>
      <c r="S316" s="2"/>
      <c r="T316" s="3"/>
    </row>
    <row r="317" spans="6:20" ht="14.25" customHeight="1" x14ac:dyDescent="0.3">
      <c r="F317" s="2"/>
      <c r="N317" s="3"/>
      <c r="S317" s="2"/>
      <c r="T317" s="3"/>
    </row>
    <row r="318" spans="6:20" ht="14.25" customHeight="1" x14ac:dyDescent="0.3">
      <c r="F318" s="2"/>
      <c r="N318" s="3"/>
      <c r="S318" s="2"/>
      <c r="T318" s="3"/>
    </row>
    <row r="319" spans="6:20" ht="14.25" customHeight="1" x14ac:dyDescent="0.3">
      <c r="F319" s="2"/>
      <c r="N319" s="3"/>
      <c r="S319" s="2"/>
      <c r="T319" s="3"/>
    </row>
    <row r="320" spans="6:20" ht="14.25" customHeight="1" x14ac:dyDescent="0.3">
      <c r="F320" s="2"/>
      <c r="N320" s="3"/>
      <c r="S320" s="2"/>
      <c r="T320" s="3"/>
    </row>
    <row r="321" spans="6:20" ht="14.25" customHeight="1" x14ac:dyDescent="0.3">
      <c r="F321" s="2"/>
      <c r="N321" s="3"/>
      <c r="S321" s="2"/>
      <c r="T321" s="3"/>
    </row>
    <row r="322" spans="6:20" ht="14.25" customHeight="1" x14ac:dyDescent="0.3">
      <c r="F322" s="2"/>
      <c r="N322" s="3"/>
      <c r="S322" s="2"/>
      <c r="T322" s="3"/>
    </row>
    <row r="323" spans="6:20" ht="14.25" customHeight="1" x14ac:dyDescent="0.3">
      <c r="F323" s="2"/>
      <c r="N323" s="3"/>
      <c r="S323" s="2"/>
      <c r="T323" s="3"/>
    </row>
    <row r="324" spans="6:20" ht="14.25" customHeight="1" x14ac:dyDescent="0.3">
      <c r="F324" s="2"/>
      <c r="N324" s="3"/>
      <c r="S324" s="2"/>
      <c r="T324" s="3"/>
    </row>
    <row r="325" spans="6:20" ht="14.25" customHeight="1" x14ac:dyDescent="0.3">
      <c r="F325" s="2"/>
      <c r="N325" s="3"/>
      <c r="S325" s="2"/>
      <c r="T325" s="3"/>
    </row>
    <row r="326" spans="6:20" ht="14.25" customHeight="1" x14ac:dyDescent="0.3">
      <c r="F326" s="2"/>
      <c r="N326" s="3"/>
      <c r="S326" s="2"/>
      <c r="T326" s="3"/>
    </row>
    <row r="327" spans="6:20" ht="14.25" customHeight="1" x14ac:dyDescent="0.3">
      <c r="F327" s="2"/>
      <c r="N327" s="3"/>
      <c r="S327" s="2"/>
      <c r="T327" s="3"/>
    </row>
    <row r="328" spans="6:20" ht="14.25" customHeight="1" x14ac:dyDescent="0.3">
      <c r="F328" s="2"/>
      <c r="N328" s="3"/>
      <c r="S328" s="2"/>
      <c r="T328" s="3"/>
    </row>
    <row r="329" spans="6:20" ht="14.25" customHeight="1" x14ac:dyDescent="0.3">
      <c r="F329" s="2"/>
      <c r="N329" s="3"/>
      <c r="S329" s="2"/>
      <c r="T329" s="3"/>
    </row>
    <row r="330" spans="6:20" ht="14.25" customHeight="1" x14ac:dyDescent="0.3">
      <c r="F330" s="2"/>
      <c r="N330" s="3"/>
      <c r="S330" s="2"/>
      <c r="T330" s="3"/>
    </row>
    <row r="331" spans="6:20" ht="14.25" customHeight="1" x14ac:dyDescent="0.3">
      <c r="F331" s="2"/>
      <c r="N331" s="3"/>
      <c r="S331" s="2"/>
      <c r="T331" s="3"/>
    </row>
    <row r="332" spans="6:20" ht="14.25" customHeight="1" x14ac:dyDescent="0.3">
      <c r="F332" s="2"/>
      <c r="N332" s="3"/>
      <c r="S332" s="2"/>
      <c r="T332" s="3"/>
    </row>
    <row r="333" spans="6:20" ht="14.25" customHeight="1" x14ac:dyDescent="0.3">
      <c r="F333" s="2"/>
      <c r="N333" s="3"/>
      <c r="S333" s="2"/>
      <c r="T333" s="3"/>
    </row>
    <row r="334" spans="6:20" ht="14.25" customHeight="1" x14ac:dyDescent="0.3">
      <c r="F334" s="2"/>
      <c r="N334" s="3"/>
      <c r="S334" s="2"/>
      <c r="T334" s="3"/>
    </row>
    <row r="335" spans="6:20" ht="14.25" customHeight="1" x14ac:dyDescent="0.3">
      <c r="F335" s="2"/>
      <c r="N335" s="3"/>
      <c r="S335" s="2"/>
      <c r="T335" s="3"/>
    </row>
    <row r="336" spans="6:20" ht="14.25" customHeight="1" x14ac:dyDescent="0.3">
      <c r="F336" s="2"/>
      <c r="N336" s="3"/>
      <c r="S336" s="2"/>
      <c r="T336" s="3"/>
    </row>
    <row r="337" spans="6:20" ht="14.25" customHeight="1" x14ac:dyDescent="0.3">
      <c r="F337" s="2"/>
      <c r="N337" s="3"/>
      <c r="S337" s="2"/>
      <c r="T337" s="3"/>
    </row>
    <row r="338" spans="6:20" ht="14.25" customHeight="1" x14ac:dyDescent="0.3">
      <c r="F338" s="2"/>
      <c r="N338" s="3"/>
      <c r="S338" s="2"/>
      <c r="T338" s="3"/>
    </row>
    <row r="339" spans="6:20" ht="14.25" customHeight="1" x14ac:dyDescent="0.3">
      <c r="F339" s="2"/>
      <c r="N339" s="3"/>
      <c r="S339" s="2"/>
      <c r="T339" s="3"/>
    </row>
    <row r="340" spans="6:20" ht="14.25" customHeight="1" x14ac:dyDescent="0.3">
      <c r="F340" s="2"/>
      <c r="N340" s="3"/>
      <c r="S340" s="2"/>
      <c r="T340" s="3"/>
    </row>
    <row r="341" spans="6:20" ht="14.25" customHeight="1" x14ac:dyDescent="0.3">
      <c r="F341" s="2"/>
      <c r="N341" s="3"/>
      <c r="S341" s="2"/>
      <c r="T341" s="3"/>
    </row>
    <row r="342" spans="6:20" ht="14.25" customHeight="1" x14ac:dyDescent="0.3">
      <c r="F342" s="2"/>
      <c r="N342" s="3"/>
      <c r="S342" s="2"/>
      <c r="T342" s="3"/>
    </row>
    <row r="343" spans="6:20" ht="14.25" customHeight="1" x14ac:dyDescent="0.3">
      <c r="F343" s="2"/>
      <c r="N343" s="3"/>
      <c r="S343" s="2"/>
      <c r="T343" s="3"/>
    </row>
    <row r="344" spans="6:20" ht="14.25" customHeight="1" x14ac:dyDescent="0.3">
      <c r="F344" s="2"/>
      <c r="N344" s="3"/>
      <c r="S344" s="2"/>
      <c r="T344" s="3"/>
    </row>
    <row r="345" spans="6:20" ht="14.25" customHeight="1" x14ac:dyDescent="0.3">
      <c r="F345" s="2"/>
      <c r="N345" s="3"/>
      <c r="S345" s="2"/>
      <c r="T345" s="3"/>
    </row>
    <row r="346" spans="6:20" ht="14.25" customHeight="1" x14ac:dyDescent="0.3">
      <c r="F346" s="2"/>
      <c r="N346" s="3"/>
      <c r="S346" s="2"/>
      <c r="T346" s="3"/>
    </row>
    <row r="347" spans="6:20" ht="14.25" customHeight="1" x14ac:dyDescent="0.3">
      <c r="F347" s="2"/>
      <c r="N347" s="3"/>
      <c r="S347" s="2"/>
      <c r="T347" s="3"/>
    </row>
    <row r="348" spans="6:20" ht="14.25" customHeight="1" x14ac:dyDescent="0.3">
      <c r="F348" s="2"/>
      <c r="N348" s="3"/>
      <c r="S348" s="2"/>
      <c r="T348" s="3"/>
    </row>
    <row r="349" spans="6:20" ht="14.25" customHeight="1" x14ac:dyDescent="0.3">
      <c r="F349" s="2"/>
      <c r="N349" s="3"/>
      <c r="S349" s="2"/>
      <c r="T349" s="3"/>
    </row>
    <row r="350" spans="6:20" ht="14.25" customHeight="1" x14ac:dyDescent="0.3">
      <c r="F350" s="2"/>
      <c r="N350" s="3"/>
      <c r="S350" s="2"/>
      <c r="T350" s="3"/>
    </row>
    <row r="351" spans="6:20" ht="14.25" customHeight="1" x14ac:dyDescent="0.3">
      <c r="F351" s="2"/>
      <c r="N351" s="3"/>
      <c r="S351" s="2"/>
      <c r="T351" s="3"/>
    </row>
    <row r="352" spans="6:20" ht="14.25" customHeight="1" x14ac:dyDescent="0.3">
      <c r="F352" s="2"/>
      <c r="N352" s="3"/>
      <c r="S352" s="2"/>
      <c r="T352" s="3"/>
    </row>
    <row r="353" spans="6:20" ht="14.25" customHeight="1" x14ac:dyDescent="0.3">
      <c r="F353" s="2"/>
      <c r="N353" s="3"/>
      <c r="S353" s="2"/>
      <c r="T353" s="3"/>
    </row>
    <row r="354" spans="6:20" ht="14.25" customHeight="1" x14ac:dyDescent="0.3">
      <c r="F354" s="2"/>
      <c r="N354" s="3"/>
      <c r="S354" s="2"/>
      <c r="T354" s="3"/>
    </row>
    <row r="355" spans="6:20" ht="14.25" customHeight="1" x14ac:dyDescent="0.3">
      <c r="F355" s="2"/>
      <c r="N355" s="3"/>
      <c r="S355" s="2"/>
      <c r="T355" s="3"/>
    </row>
    <row r="356" spans="6:20" ht="14.25" customHeight="1" x14ac:dyDescent="0.3">
      <c r="F356" s="2"/>
      <c r="N356" s="3"/>
      <c r="S356" s="2"/>
      <c r="T356" s="3"/>
    </row>
    <row r="357" spans="6:20" ht="14.25" customHeight="1" x14ac:dyDescent="0.3">
      <c r="F357" s="2"/>
      <c r="N357" s="3"/>
      <c r="S357" s="2"/>
      <c r="T357" s="3"/>
    </row>
    <row r="358" spans="6:20" ht="14.25" customHeight="1" x14ac:dyDescent="0.3">
      <c r="F358" s="2"/>
      <c r="N358" s="3"/>
      <c r="S358" s="2"/>
      <c r="T358" s="3"/>
    </row>
    <row r="359" spans="6:20" ht="14.25" customHeight="1" x14ac:dyDescent="0.3">
      <c r="F359" s="2"/>
      <c r="N359" s="3"/>
      <c r="S359" s="2"/>
      <c r="T359" s="3"/>
    </row>
    <row r="360" spans="6:20" ht="14.25" customHeight="1" x14ac:dyDescent="0.3">
      <c r="F360" s="2"/>
      <c r="N360" s="3"/>
      <c r="S360" s="2"/>
      <c r="T360" s="3"/>
    </row>
    <row r="361" spans="6:20" ht="14.25" customHeight="1" x14ac:dyDescent="0.3">
      <c r="F361" s="2"/>
      <c r="N361" s="3"/>
      <c r="S361" s="2"/>
      <c r="T361" s="3"/>
    </row>
    <row r="362" spans="6:20" ht="14.25" customHeight="1" x14ac:dyDescent="0.3">
      <c r="F362" s="2"/>
      <c r="N362" s="3"/>
      <c r="S362" s="2"/>
      <c r="T362" s="3"/>
    </row>
    <row r="363" spans="6:20" ht="14.25" customHeight="1" x14ac:dyDescent="0.3">
      <c r="F363" s="2"/>
      <c r="N363" s="3"/>
      <c r="S363" s="2"/>
      <c r="T363" s="3"/>
    </row>
    <row r="364" spans="6:20" ht="14.25" customHeight="1" x14ac:dyDescent="0.3">
      <c r="F364" s="2"/>
      <c r="N364" s="3"/>
      <c r="S364" s="2"/>
      <c r="T364" s="3"/>
    </row>
    <row r="365" spans="6:20" ht="14.25" customHeight="1" x14ac:dyDescent="0.3">
      <c r="F365" s="2"/>
      <c r="N365" s="3"/>
      <c r="S365" s="2"/>
      <c r="T365" s="3"/>
    </row>
    <row r="366" spans="6:20" ht="14.25" customHeight="1" x14ac:dyDescent="0.3">
      <c r="F366" s="2"/>
      <c r="N366" s="3"/>
      <c r="S366" s="2"/>
      <c r="T366" s="3"/>
    </row>
    <row r="367" spans="6:20" ht="14.25" customHeight="1" x14ac:dyDescent="0.3">
      <c r="F367" s="2"/>
      <c r="N367" s="3"/>
      <c r="S367" s="2"/>
      <c r="T367" s="3"/>
    </row>
    <row r="368" spans="6:20" ht="14.25" customHeight="1" x14ac:dyDescent="0.3">
      <c r="F368" s="2"/>
      <c r="N368" s="3"/>
      <c r="S368" s="2"/>
      <c r="T368" s="3"/>
    </row>
    <row r="369" spans="6:20" ht="14.25" customHeight="1" x14ac:dyDescent="0.3">
      <c r="F369" s="2"/>
      <c r="N369" s="3"/>
      <c r="S369" s="2"/>
      <c r="T369" s="3"/>
    </row>
    <row r="370" spans="6:20" ht="14.25" customHeight="1" x14ac:dyDescent="0.3">
      <c r="F370" s="2"/>
      <c r="N370" s="3"/>
      <c r="S370" s="2"/>
      <c r="T370" s="3"/>
    </row>
    <row r="371" spans="6:20" ht="14.25" customHeight="1" x14ac:dyDescent="0.3">
      <c r="F371" s="2"/>
      <c r="N371" s="3"/>
      <c r="S371" s="2"/>
      <c r="T371" s="3"/>
    </row>
    <row r="372" spans="6:20" ht="14.25" customHeight="1" x14ac:dyDescent="0.3">
      <c r="F372" s="2"/>
      <c r="N372" s="3"/>
      <c r="S372" s="2"/>
      <c r="T372" s="3"/>
    </row>
    <row r="373" spans="6:20" ht="14.25" customHeight="1" x14ac:dyDescent="0.3">
      <c r="F373" s="2"/>
      <c r="N373" s="3"/>
      <c r="S373" s="2"/>
      <c r="T373" s="3"/>
    </row>
    <row r="374" spans="6:20" ht="14.25" customHeight="1" x14ac:dyDescent="0.3">
      <c r="F374" s="2"/>
      <c r="N374" s="3"/>
      <c r="S374" s="2"/>
      <c r="T374" s="3"/>
    </row>
    <row r="375" spans="6:20" ht="14.25" customHeight="1" x14ac:dyDescent="0.3">
      <c r="F375" s="2"/>
      <c r="N375" s="3"/>
      <c r="S375" s="2"/>
      <c r="T375" s="3"/>
    </row>
    <row r="376" spans="6:20" ht="14.25" customHeight="1" x14ac:dyDescent="0.3">
      <c r="F376" s="2"/>
      <c r="N376" s="3"/>
      <c r="S376" s="2"/>
      <c r="T376" s="3"/>
    </row>
    <row r="377" spans="6:20" ht="14.25" customHeight="1" x14ac:dyDescent="0.3">
      <c r="F377" s="2"/>
      <c r="N377" s="3"/>
      <c r="S377" s="2"/>
      <c r="T377" s="3"/>
    </row>
    <row r="378" spans="6:20" ht="14.25" customHeight="1" x14ac:dyDescent="0.3">
      <c r="F378" s="2"/>
      <c r="N378" s="3"/>
      <c r="S378" s="2"/>
      <c r="T378" s="3"/>
    </row>
    <row r="379" spans="6:20" ht="14.25" customHeight="1" x14ac:dyDescent="0.3">
      <c r="F379" s="2"/>
      <c r="N379" s="3"/>
      <c r="S379" s="2"/>
      <c r="T379" s="3"/>
    </row>
    <row r="380" spans="6:20" ht="14.25" customHeight="1" x14ac:dyDescent="0.3">
      <c r="F380" s="2"/>
      <c r="N380" s="3"/>
      <c r="S380" s="2"/>
      <c r="T380" s="3"/>
    </row>
    <row r="381" spans="6:20" ht="14.25" customHeight="1" x14ac:dyDescent="0.3">
      <c r="F381" s="2"/>
      <c r="N381" s="3"/>
      <c r="S381" s="2"/>
      <c r="T381" s="3"/>
    </row>
    <row r="382" spans="6:20" ht="14.25" customHeight="1" x14ac:dyDescent="0.3">
      <c r="F382" s="2"/>
      <c r="N382" s="3"/>
      <c r="S382" s="2"/>
      <c r="T382" s="3"/>
    </row>
    <row r="383" spans="6:20" ht="14.25" customHeight="1" x14ac:dyDescent="0.3">
      <c r="F383" s="2"/>
      <c r="N383" s="3"/>
      <c r="S383" s="2"/>
      <c r="T383" s="3"/>
    </row>
    <row r="384" spans="6:20" ht="14.25" customHeight="1" x14ac:dyDescent="0.3">
      <c r="F384" s="2"/>
      <c r="N384" s="3"/>
      <c r="S384" s="2"/>
      <c r="T384" s="3"/>
    </row>
    <row r="385" spans="6:20" ht="14.25" customHeight="1" x14ac:dyDescent="0.3">
      <c r="F385" s="2"/>
      <c r="N385" s="3"/>
      <c r="S385" s="2"/>
      <c r="T385" s="3"/>
    </row>
    <row r="386" spans="6:20" ht="14.25" customHeight="1" x14ac:dyDescent="0.3">
      <c r="F386" s="2"/>
      <c r="N386" s="3"/>
      <c r="S386" s="2"/>
      <c r="T386" s="3"/>
    </row>
    <row r="387" spans="6:20" ht="14.25" customHeight="1" x14ac:dyDescent="0.3">
      <c r="F387" s="2"/>
      <c r="N387" s="3"/>
      <c r="S387" s="2"/>
      <c r="T387" s="3"/>
    </row>
    <row r="388" spans="6:20" ht="14.25" customHeight="1" x14ac:dyDescent="0.3">
      <c r="F388" s="2"/>
      <c r="N388" s="3"/>
      <c r="S388" s="2"/>
      <c r="T388" s="3"/>
    </row>
    <row r="389" spans="6:20" ht="14.25" customHeight="1" x14ac:dyDescent="0.3">
      <c r="F389" s="2"/>
      <c r="N389" s="3"/>
      <c r="S389" s="2"/>
      <c r="T389" s="3"/>
    </row>
    <row r="390" spans="6:20" ht="14.25" customHeight="1" x14ac:dyDescent="0.3">
      <c r="F390" s="2"/>
      <c r="N390" s="3"/>
      <c r="S390" s="2"/>
      <c r="T390" s="3"/>
    </row>
    <row r="391" spans="6:20" ht="14.25" customHeight="1" x14ac:dyDescent="0.3">
      <c r="F391" s="2"/>
      <c r="N391" s="3"/>
      <c r="S391" s="2"/>
      <c r="T391" s="3"/>
    </row>
    <row r="392" spans="6:20" ht="14.25" customHeight="1" x14ac:dyDescent="0.3">
      <c r="F392" s="2"/>
      <c r="N392" s="3"/>
      <c r="S392" s="2"/>
      <c r="T392" s="3"/>
    </row>
    <row r="393" spans="6:20" ht="14.25" customHeight="1" x14ac:dyDescent="0.3">
      <c r="F393" s="2"/>
      <c r="N393" s="3"/>
      <c r="S393" s="2"/>
      <c r="T393" s="3"/>
    </row>
    <row r="394" spans="6:20" ht="14.25" customHeight="1" x14ac:dyDescent="0.3">
      <c r="F394" s="2"/>
      <c r="N394" s="3"/>
      <c r="S394" s="2"/>
      <c r="T394" s="3"/>
    </row>
    <row r="395" spans="6:20" ht="14.25" customHeight="1" x14ac:dyDescent="0.3">
      <c r="F395" s="2"/>
      <c r="N395" s="3"/>
      <c r="S395" s="2"/>
      <c r="T395" s="3"/>
    </row>
    <row r="396" spans="6:20" ht="14.25" customHeight="1" x14ac:dyDescent="0.3">
      <c r="F396" s="2"/>
      <c r="N396" s="3"/>
      <c r="S396" s="2"/>
      <c r="T396" s="3"/>
    </row>
    <row r="397" spans="6:20" ht="14.25" customHeight="1" x14ac:dyDescent="0.3">
      <c r="F397" s="2"/>
      <c r="N397" s="3"/>
      <c r="S397" s="2"/>
      <c r="T397" s="3"/>
    </row>
    <row r="398" spans="6:20" ht="14.25" customHeight="1" x14ac:dyDescent="0.3">
      <c r="F398" s="2"/>
      <c r="N398" s="3"/>
      <c r="S398" s="2"/>
      <c r="T398" s="3"/>
    </row>
    <row r="399" spans="6:20" ht="14.25" customHeight="1" x14ac:dyDescent="0.3">
      <c r="F399" s="2"/>
      <c r="N399" s="3"/>
      <c r="S399" s="2"/>
      <c r="T399" s="3"/>
    </row>
    <row r="400" spans="6:20" ht="14.25" customHeight="1" x14ac:dyDescent="0.3">
      <c r="F400" s="2"/>
      <c r="N400" s="3"/>
      <c r="S400" s="2"/>
      <c r="T400" s="3"/>
    </row>
    <row r="401" spans="6:20" ht="14.25" customHeight="1" x14ac:dyDescent="0.3">
      <c r="F401" s="2"/>
      <c r="N401" s="3"/>
      <c r="S401" s="2"/>
      <c r="T401" s="3"/>
    </row>
    <row r="402" spans="6:20" ht="14.25" customHeight="1" x14ac:dyDescent="0.3">
      <c r="F402" s="2"/>
      <c r="N402" s="3"/>
      <c r="S402" s="2"/>
      <c r="T402" s="3"/>
    </row>
    <row r="403" spans="6:20" ht="14.25" customHeight="1" x14ac:dyDescent="0.3">
      <c r="F403" s="2"/>
      <c r="N403" s="3"/>
      <c r="S403" s="2"/>
      <c r="T403" s="3"/>
    </row>
    <row r="404" spans="6:20" ht="14.25" customHeight="1" x14ac:dyDescent="0.3">
      <c r="F404" s="2"/>
      <c r="N404" s="3"/>
      <c r="S404" s="2"/>
      <c r="T404" s="3"/>
    </row>
    <row r="405" spans="6:20" ht="14.25" customHeight="1" x14ac:dyDescent="0.3">
      <c r="F405" s="2"/>
      <c r="N405" s="3"/>
      <c r="S405" s="2"/>
      <c r="T405" s="3"/>
    </row>
    <row r="406" spans="6:20" ht="14.25" customHeight="1" x14ac:dyDescent="0.3">
      <c r="F406" s="2"/>
      <c r="N406" s="3"/>
      <c r="S406" s="2"/>
      <c r="T406" s="3"/>
    </row>
    <row r="407" spans="6:20" ht="14.25" customHeight="1" x14ac:dyDescent="0.3">
      <c r="F407" s="2"/>
      <c r="N407" s="3"/>
      <c r="S407" s="2"/>
      <c r="T407" s="3"/>
    </row>
    <row r="408" spans="6:20" ht="14.25" customHeight="1" x14ac:dyDescent="0.3">
      <c r="F408" s="2"/>
      <c r="N408" s="3"/>
      <c r="S408" s="2"/>
      <c r="T408" s="3"/>
    </row>
    <row r="409" spans="6:20" ht="14.25" customHeight="1" x14ac:dyDescent="0.3">
      <c r="F409" s="2"/>
      <c r="N409" s="3"/>
      <c r="S409" s="2"/>
      <c r="T409" s="3"/>
    </row>
    <row r="410" spans="6:20" ht="14.25" customHeight="1" x14ac:dyDescent="0.3">
      <c r="F410" s="2"/>
      <c r="N410" s="3"/>
      <c r="S410" s="2"/>
      <c r="T410" s="3"/>
    </row>
    <row r="411" spans="6:20" ht="14.25" customHeight="1" x14ac:dyDescent="0.3">
      <c r="F411" s="2"/>
      <c r="N411" s="3"/>
      <c r="S411" s="2"/>
      <c r="T411" s="3"/>
    </row>
    <row r="412" spans="6:20" ht="14.25" customHeight="1" x14ac:dyDescent="0.3">
      <c r="F412" s="2"/>
      <c r="N412" s="3"/>
      <c r="S412" s="2"/>
      <c r="T412" s="3"/>
    </row>
    <row r="413" spans="6:20" ht="14.25" customHeight="1" x14ac:dyDescent="0.3">
      <c r="F413" s="2"/>
      <c r="N413" s="3"/>
      <c r="S413" s="2"/>
      <c r="T413" s="3"/>
    </row>
    <row r="414" spans="6:20" ht="14.25" customHeight="1" x14ac:dyDescent="0.3">
      <c r="F414" s="2"/>
      <c r="N414" s="3"/>
      <c r="S414" s="2"/>
      <c r="T414" s="3"/>
    </row>
    <row r="415" spans="6:20" ht="14.25" customHeight="1" x14ac:dyDescent="0.3">
      <c r="F415" s="2"/>
      <c r="N415" s="3"/>
      <c r="S415" s="2"/>
      <c r="T415" s="3"/>
    </row>
    <row r="416" spans="6:20" ht="14.25" customHeight="1" x14ac:dyDescent="0.3">
      <c r="F416" s="2"/>
      <c r="N416" s="3"/>
      <c r="S416" s="2"/>
      <c r="T416" s="3"/>
    </row>
    <row r="417" spans="6:20" ht="14.25" customHeight="1" x14ac:dyDescent="0.3">
      <c r="F417" s="2"/>
      <c r="N417" s="3"/>
      <c r="S417" s="2"/>
      <c r="T417" s="3"/>
    </row>
    <row r="418" spans="6:20" ht="14.25" customHeight="1" x14ac:dyDescent="0.3">
      <c r="F418" s="2"/>
      <c r="N418" s="3"/>
      <c r="S418" s="2"/>
      <c r="T418" s="3"/>
    </row>
    <row r="419" spans="6:20" ht="14.25" customHeight="1" x14ac:dyDescent="0.3">
      <c r="F419" s="2"/>
      <c r="N419" s="3"/>
      <c r="S419" s="2"/>
      <c r="T419" s="3"/>
    </row>
    <row r="420" spans="6:20" ht="14.25" customHeight="1" x14ac:dyDescent="0.3">
      <c r="F420" s="2"/>
      <c r="N420" s="3"/>
      <c r="S420" s="2"/>
      <c r="T420" s="3"/>
    </row>
    <row r="421" spans="6:20" ht="14.25" customHeight="1" x14ac:dyDescent="0.3">
      <c r="F421" s="2"/>
      <c r="N421" s="3"/>
      <c r="S421" s="2"/>
      <c r="T421" s="3"/>
    </row>
    <row r="422" spans="6:20" ht="14.25" customHeight="1" x14ac:dyDescent="0.3">
      <c r="F422" s="2"/>
      <c r="N422" s="3"/>
      <c r="S422" s="2"/>
      <c r="T422" s="3"/>
    </row>
    <row r="423" spans="6:20" ht="14.25" customHeight="1" x14ac:dyDescent="0.3">
      <c r="F423" s="2"/>
      <c r="N423" s="3"/>
      <c r="S423" s="2"/>
      <c r="T423" s="3"/>
    </row>
    <row r="424" spans="6:20" ht="14.25" customHeight="1" x14ac:dyDescent="0.3">
      <c r="F424" s="2"/>
      <c r="N424" s="3"/>
      <c r="S424" s="2"/>
      <c r="T424" s="3"/>
    </row>
    <row r="425" spans="6:20" ht="14.25" customHeight="1" x14ac:dyDescent="0.3">
      <c r="F425" s="2"/>
      <c r="N425" s="3"/>
      <c r="S425" s="2"/>
      <c r="T425" s="3"/>
    </row>
    <row r="426" spans="6:20" ht="14.25" customHeight="1" x14ac:dyDescent="0.3">
      <c r="F426" s="2"/>
      <c r="N426" s="3"/>
      <c r="S426" s="2"/>
      <c r="T426" s="3"/>
    </row>
    <row r="427" spans="6:20" ht="14.25" customHeight="1" x14ac:dyDescent="0.3">
      <c r="F427" s="2"/>
      <c r="N427" s="3"/>
      <c r="S427" s="2"/>
      <c r="T427" s="3"/>
    </row>
    <row r="428" spans="6:20" ht="14.25" customHeight="1" x14ac:dyDescent="0.3">
      <c r="F428" s="2"/>
      <c r="N428" s="3"/>
      <c r="S428" s="2"/>
      <c r="T428" s="3"/>
    </row>
    <row r="429" spans="6:20" ht="14.25" customHeight="1" x14ac:dyDescent="0.3">
      <c r="F429" s="2"/>
      <c r="N429" s="3"/>
      <c r="S429" s="2"/>
      <c r="T429" s="3"/>
    </row>
    <row r="430" spans="6:20" ht="14.25" customHeight="1" x14ac:dyDescent="0.3">
      <c r="F430" s="2"/>
      <c r="N430" s="3"/>
      <c r="S430" s="2"/>
      <c r="T430" s="3"/>
    </row>
    <row r="431" spans="6:20" ht="14.25" customHeight="1" x14ac:dyDescent="0.3">
      <c r="F431" s="2"/>
      <c r="N431" s="3"/>
      <c r="S431" s="2"/>
      <c r="T431" s="3"/>
    </row>
    <row r="432" spans="6:20" ht="14.25" customHeight="1" x14ac:dyDescent="0.3">
      <c r="F432" s="2"/>
      <c r="N432" s="3"/>
      <c r="S432" s="2"/>
      <c r="T432" s="3"/>
    </row>
    <row r="433" spans="6:20" ht="14.25" customHeight="1" x14ac:dyDescent="0.3">
      <c r="F433" s="2"/>
      <c r="N433" s="3"/>
      <c r="S433" s="2"/>
      <c r="T433" s="3"/>
    </row>
    <row r="434" spans="6:20" ht="14.25" customHeight="1" x14ac:dyDescent="0.3">
      <c r="F434" s="2"/>
      <c r="N434" s="3"/>
      <c r="S434" s="2"/>
      <c r="T434" s="3"/>
    </row>
    <row r="435" spans="6:20" ht="14.25" customHeight="1" x14ac:dyDescent="0.3">
      <c r="F435" s="2"/>
      <c r="N435" s="3"/>
      <c r="S435" s="2"/>
      <c r="T435" s="3"/>
    </row>
    <row r="436" spans="6:20" ht="14.25" customHeight="1" x14ac:dyDescent="0.3">
      <c r="F436" s="2"/>
      <c r="N436" s="3"/>
      <c r="S436" s="2"/>
      <c r="T436" s="3"/>
    </row>
    <row r="437" spans="6:20" ht="14.25" customHeight="1" x14ac:dyDescent="0.3">
      <c r="F437" s="2"/>
      <c r="N437" s="3"/>
      <c r="S437" s="2"/>
      <c r="T437" s="3"/>
    </row>
    <row r="438" spans="6:20" ht="14.25" customHeight="1" x14ac:dyDescent="0.3">
      <c r="F438" s="2"/>
      <c r="N438" s="3"/>
      <c r="S438" s="2"/>
      <c r="T438" s="3"/>
    </row>
    <row r="439" spans="6:20" ht="14.25" customHeight="1" x14ac:dyDescent="0.3">
      <c r="F439" s="2"/>
      <c r="N439" s="3"/>
      <c r="S439" s="2"/>
      <c r="T439" s="3"/>
    </row>
    <row r="440" spans="6:20" ht="14.25" customHeight="1" x14ac:dyDescent="0.3">
      <c r="F440" s="2"/>
      <c r="N440" s="3"/>
      <c r="S440" s="2"/>
      <c r="T440" s="3"/>
    </row>
    <row r="441" spans="6:20" ht="14.25" customHeight="1" x14ac:dyDescent="0.3">
      <c r="F441" s="2"/>
      <c r="N441" s="3"/>
      <c r="S441" s="2"/>
      <c r="T441" s="3"/>
    </row>
    <row r="442" spans="6:20" ht="14.25" customHeight="1" x14ac:dyDescent="0.3">
      <c r="F442" s="2"/>
      <c r="N442" s="3"/>
      <c r="S442" s="2"/>
      <c r="T442" s="3"/>
    </row>
    <row r="443" spans="6:20" ht="14.25" customHeight="1" x14ac:dyDescent="0.3">
      <c r="F443" s="2"/>
      <c r="N443" s="3"/>
      <c r="S443" s="2"/>
      <c r="T443" s="3"/>
    </row>
    <row r="444" spans="6:20" ht="14.25" customHeight="1" x14ac:dyDescent="0.3">
      <c r="F444" s="2"/>
      <c r="N444" s="3"/>
      <c r="S444" s="2"/>
      <c r="T444" s="3"/>
    </row>
    <row r="445" spans="6:20" ht="14.25" customHeight="1" x14ac:dyDescent="0.3">
      <c r="F445" s="2"/>
      <c r="N445" s="3"/>
      <c r="S445" s="2"/>
      <c r="T445" s="3"/>
    </row>
    <row r="446" spans="6:20" ht="14.25" customHeight="1" x14ac:dyDescent="0.3">
      <c r="F446" s="2"/>
      <c r="N446" s="3"/>
      <c r="S446" s="2"/>
      <c r="T446" s="3"/>
    </row>
    <row r="447" spans="6:20" ht="14.25" customHeight="1" x14ac:dyDescent="0.3">
      <c r="F447" s="2"/>
      <c r="N447" s="3"/>
      <c r="S447" s="2"/>
      <c r="T447" s="3"/>
    </row>
    <row r="448" spans="6:20" ht="14.25" customHeight="1" x14ac:dyDescent="0.3">
      <c r="F448" s="2"/>
      <c r="N448" s="3"/>
      <c r="S448" s="2"/>
      <c r="T448" s="3"/>
    </row>
    <row r="449" spans="6:20" ht="14.25" customHeight="1" x14ac:dyDescent="0.3">
      <c r="F449" s="2"/>
      <c r="N449" s="3"/>
      <c r="S449" s="2"/>
      <c r="T449" s="3"/>
    </row>
    <row r="450" spans="6:20" ht="14.25" customHeight="1" x14ac:dyDescent="0.3">
      <c r="F450" s="2"/>
      <c r="N450" s="3"/>
      <c r="S450" s="2"/>
      <c r="T450" s="3"/>
    </row>
    <row r="451" spans="6:20" ht="14.25" customHeight="1" x14ac:dyDescent="0.3">
      <c r="F451" s="2"/>
      <c r="N451" s="3"/>
      <c r="S451" s="2"/>
      <c r="T451" s="3"/>
    </row>
    <row r="452" spans="6:20" ht="14.25" customHeight="1" x14ac:dyDescent="0.3">
      <c r="F452" s="2"/>
      <c r="N452" s="3"/>
      <c r="S452" s="2"/>
      <c r="T452" s="3"/>
    </row>
    <row r="453" spans="6:20" ht="14.25" customHeight="1" x14ac:dyDescent="0.3">
      <c r="F453" s="2"/>
      <c r="N453" s="3"/>
      <c r="S453" s="2"/>
      <c r="T453" s="3"/>
    </row>
    <row r="454" spans="6:20" ht="14.25" customHeight="1" x14ac:dyDescent="0.3">
      <c r="F454" s="2"/>
      <c r="N454" s="3"/>
      <c r="S454" s="2"/>
      <c r="T454" s="3"/>
    </row>
    <row r="455" spans="6:20" ht="14.25" customHeight="1" x14ac:dyDescent="0.3">
      <c r="F455" s="2"/>
      <c r="N455" s="3"/>
      <c r="S455" s="2"/>
      <c r="T455" s="3"/>
    </row>
    <row r="456" spans="6:20" ht="14.25" customHeight="1" x14ac:dyDescent="0.3">
      <c r="F456" s="2"/>
      <c r="N456" s="3"/>
      <c r="S456" s="2"/>
      <c r="T456" s="3"/>
    </row>
    <row r="457" spans="6:20" ht="14.25" customHeight="1" x14ac:dyDescent="0.3">
      <c r="F457" s="2"/>
      <c r="N457" s="3"/>
      <c r="S457" s="2"/>
      <c r="T457" s="3"/>
    </row>
    <row r="458" spans="6:20" ht="14.25" customHeight="1" x14ac:dyDescent="0.3">
      <c r="F458" s="2"/>
      <c r="N458" s="3"/>
      <c r="S458" s="2"/>
      <c r="T458" s="3"/>
    </row>
    <row r="459" spans="6:20" ht="14.25" customHeight="1" x14ac:dyDescent="0.3">
      <c r="F459" s="2"/>
      <c r="N459" s="3"/>
      <c r="S459" s="2"/>
      <c r="T459" s="3"/>
    </row>
    <row r="460" spans="6:20" ht="14.25" customHeight="1" x14ac:dyDescent="0.3">
      <c r="F460" s="2"/>
      <c r="N460" s="3"/>
      <c r="S460" s="2"/>
      <c r="T460" s="3"/>
    </row>
    <row r="461" spans="6:20" ht="14.25" customHeight="1" x14ac:dyDescent="0.3">
      <c r="F461" s="2"/>
      <c r="N461" s="3"/>
      <c r="S461" s="2"/>
      <c r="T461" s="3"/>
    </row>
    <row r="462" spans="6:20" ht="14.25" customHeight="1" x14ac:dyDescent="0.3">
      <c r="F462" s="2"/>
      <c r="N462" s="3"/>
      <c r="S462" s="2"/>
      <c r="T462" s="3"/>
    </row>
    <row r="463" spans="6:20" ht="14.25" customHeight="1" x14ac:dyDescent="0.3">
      <c r="F463" s="2"/>
      <c r="N463" s="3"/>
      <c r="S463" s="2"/>
      <c r="T463" s="3"/>
    </row>
    <row r="464" spans="6:20" ht="14.25" customHeight="1" x14ac:dyDescent="0.3">
      <c r="F464" s="2"/>
      <c r="N464" s="3"/>
      <c r="S464" s="2"/>
      <c r="T464" s="3"/>
    </row>
    <row r="465" spans="6:20" ht="14.25" customHeight="1" x14ac:dyDescent="0.3">
      <c r="F465" s="2"/>
      <c r="N465" s="3"/>
      <c r="S465" s="2"/>
      <c r="T465" s="3"/>
    </row>
    <row r="466" spans="6:20" ht="14.25" customHeight="1" x14ac:dyDescent="0.3">
      <c r="F466" s="2"/>
      <c r="N466" s="3"/>
      <c r="S466" s="2"/>
      <c r="T466" s="3"/>
    </row>
    <row r="467" spans="6:20" ht="14.25" customHeight="1" x14ac:dyDescent="0.3">
      <c r="F467" s="2"/>
      <c r="N467" s="3"/>
      <c r="S467" s="2"/>
      <c r="T467" s="3"/>
    </row>
    <row r="468" spans="6:20" ht="14.25" customHeight="1" x14ac:dyDescent="0.3">
      <c r="F468" s="2"/>
      <c r="N468" s="3"/>
      <c r="S468" s="2"/>
      <c r="T468" s="3"/>
    </row>
    <row r="469" spans="6:20" ht="14.25" customHeight="1" x14ac:dyDescent="0.3">
      <c r="F469" s="2"/>
      <c r="N469" s="3"/>
      <c r="S469" s="2"/>
      <c r="T469" s="3"/>
    </row>
    <row r="470" spans="6:20" ht="14.25" customHeight="1" x14ac:dyDescent="0.3">
      <c r="F470" s="2"/>
      <c r="N470" s="3"/>
      <c r="S470" s="2"/>
      <c r="T470" s="3"/>
    </row>
    <row r="471" spans="6:20" ht="14.25" customHeight="1" x14ac:dyDescent="0.3">
      <c r="F471" s="2"/>
      <c r="N471" s="3"/>
      <c r="S471" s="2"/>
      <c r="T471" s="3"/>
    </row>
    <row r="472" spans="6:20" ht="14.25" customHeight="1" x14ac:dyDescent="0.3">
      <c r="F472" s="2"/>
      <c r="N472" s="3"/>
      <c r="S472" s="2"/>
      <c r="T472" s="3"/>
    </row>
    <row r="473" spans="6:20" ht="14.25" customHeight="1" x14ac:dyDescent="0.3">
      <c r="F473" s="2"/>
      <c r="N473" s="3"/>
      <c r="S473" s="2"/>
      <c r="T473" s="3"/>
    </row>
    <row r="474" spans="6:20" ht="14.25" customHeight="1" x14ac:dyDescent="0.3">
      <c r="F474" s="2"/>
      <c r="N474" s="3"/>
      <c r="S474" s="2"/>
      <c r="T474" s="3"/>
    </row>
    <row r="475" spans="6:20" ht="14.25" customHeight="1" x14ac:dyDescent="0.3">
      <c r="F475" s="2"/>
      <c r="N475" s="3"/>
      <c r="S475" s="2"/>
      <c r="T475" s="3"/>
    </row>
    <row r="476" spans="6:20" ht="14.25" customHeight="1" x14ac:dyDescent="0.3">
      <c r="F476" s="2"/>
      <c r="N476" s="3"/>
      <c r="S476" s="2"/>
      <c r="T476" s="3"/>
    </row>
    <row r="477" spans="6:20" ht="14.25" customHeight="1" x14ac:dyDescent="0.3">
      <c r="F477" s="2"/>
      <c r="N477" s="3"/>
      <c r="S477" s="2"/>
      <c r="T477" s="3"/>
    </row>
    <row r="478" spans="6:20" ht="14.25" customHeight="1" x14ac:dyDescent="0.3">
      <c r="F478" s="2"/>
      <c r="N478" s="3"/>
      <c r="S478" s="2"/>
      <c r="T478" s="3"/>
    </row>
    <row r="479" spans="6:20" ht="14.25" customHeight="1" x14ac:dyDescent="0.3">
      <c r="F479" s="2"/>
      <c r="N479" s="3"/>
      <c r="S479" s="2"/>
      <c r="T479" s="3"/>
    </row>
    <row r="480" spans="6:20" ht="14.25" customHeight="1" x14ac:dyDescent="0.3">
      <c r="F480" s="2"/>
      <c r="N480" s="3"/>
      <c r="S480" s="2"/>
      <c r="T480" s="3"/>
    </row>
    <row r="481" spans="6:20" ht="14.25" customHeight="1" x14ac:dyDescent="0.3">
      <c r="F481" s="2"/>
      <c r="N481" s="3"/>
      <c r="S481" s="2"/>
      <c r="T481" s="3"/>
    </row>
    <row r="482" spans="6:20" ht="14.25" customHeight="1" x14ac:dyDescent="0.3">
      <c r="F482" s="2"/>
      <c r="N482" s="3"/>
      <c r="S482" s="2"/>
      <c r="T482" s="3"/>
    </row>
    <row r="483" spans="6:20" ht="14.25" customHeight="1" x14ac:dyDescent="0.3">
      <c r="F483" s="2"/>
      <c r="N483" s="3"/>
      <c r="S483" s="2"/>
      <c r="T483" s="3"/>
    </row>
    <row r="484" spans="6:20" ht="14.25" customHeight="1" x14ac:dyDescent="0.3">
      <c r="F484" s="2"/>
      <c r="N484" s="3"/>
      <c r="S484" s="2"/>
      <c r="T484" s="3"/>
    </row>
    <row r="485" spans="6:20" ht="14.25" customHeight="1" x14ac:dyDescent="0.3">
      <c r="F485" s="2"/>
      <c r="N485" s="3"/>
      <c r="S485" s="2"/>
      <c r="T485" s="3"/>
    </row>
    <row r="486" spans="6:20" ht="14.25" customHeight="1" x14ac:dyDescent="0.3">
      <c r="F486" s="2"/>
      <c r="N486" s="3"/>
      <c r="S486" s="2"/>
      <c r="T486" s="3"/>
    </row>
    <row r="487" spans="6:20" ht="14.25" customHeight="1" x14ac:dyDescent="0.3">
      <c r="F487" s="2"/>
      <c r="N487" s="3"/>
      <c r="S487" s="2"/>
      <c r="T487" s="3"/>
    </row>
    <row r="488" spans="6:20" ht="14.25" customHeight="1" x14ac:dyDescent="0.3">
      <c r="F488" s="2"/>
      <c r="N488" s="3"/>
      <c r="S488" s="2"/>
      <c r="T488" s="3"/>
    </row>
    <row r="489" spans="6:20" ht="14.25" customHeight="1" x14ac:dyDescent="0.3">
      <c r="F489" s="2"/>
      <c r="N489" s="3"/>
      <c r="S489" s="2"/>
      <c r="T489" s="3"/>
    </row>
    <row r="490" spans="6:20" ht="14.25" customHeight="1" x14ac:dyDescent="0.3">
      <c r="F490" s="2"/>
      <c r="N490" s="3"/>
      <c r="S490" s="2"/>
      <c r="T490" s="3"/>
    </row>
    <row r="491" spans="6:20" ht="14.25" customHeight="1" x14ac:dyDescent="0.3">
      <c r="F491" s="2"/>
      <c r="N491" s="3"/>
      <c r="S491" s="2"/>
      <c r="T491" s="3"/>
    </row>
    <row r="492" spans="6:20" ht="14.25" customHeight="1" x14ac:dyDescent="0.3">
      <c r="F492" s="2"/>
      <c r="N492" s="3"/>
      <c r="S492" s="2"/>
      <c r="T492" s="3"/>
    </row>
    <row r="493" spans="6:20" ht="14.25" customHeight="1" x14ac:dyDescent="0.3">
      <c r="F493" s="2"/>
      <c r="N493" s="3"/>
      <c r="S493" s="2"/>
      <c r="T493" s="3"/>
    </row>
    <row r="494" spans="6:20" ht="14.25" customHeight="1" x14ac:dyDescent="0.3">
      <c r="F494" s="2"/>
      <c r="N494" s="3"/>
      <c r="S494" s="2"/>
      <c r="T494" s="3"/>
    </row>
    <row r="495" spans="6:20" ht="14.25" customHeight="1" x14ac:dyDescent="0.3">
      <c r="F495" s="2"/>
      <c r="N495" s="3"/>
      <c r="S495" s="2"/>
      <c r="T495" s="3"/>
    </row>
    <row r="496" spans="6:20" ht="14.25" customHeight="1" x14ac:dyDescent="0.3">
      <c r="F496" s="2"/>
      <c r="N496" s="3"/>
      <c r="S496" s="2"/>
      <c r="T496" s="3"/>
    </row>
    <row r="497" spans="6:20" ht="14.25" customHeight="1" x14ac:dyDescent="0.3">
      <c r="F497" s="2"/>
      <c r="N497" s="3"/>
      <c r="S497" s="2"/>
      <c r="T497" s="3"/>
    </row>
    <row r="498" spans="6:20" ht="14.25" customHeight="1" x14ac:dyDescent="0.3">
      <c r="F498" s="2"/>
      <c r="N498" s="3"/>
      <c r="S498" s="2"/>
      <c r="T498" s="3"/>
    </row>
    <row r="499" spans="6:20" ht="14.25" customHeight="1" x14ac:dyDescent="0.3">
      <c r="F499" s="2"/>
      <c r="N499" s="3"/>
      <c r="S499" s="2"/>
      <c r="T499" s="3"/>
    </row>
    <row r="500" spans="6:20" ht="14.25" customHeight="1" x14ac:dyDescent="0.3">
      <c r="F500" s="2"/>
      <c r="N500" s="3"/>
      <c r="S500" s="2"/>
      <c r="T500" s="3"/>
    </row>
    <row r="501" spans="6:20" ht="14.25" customHeight="1" x14ac:dyDescent="0.3">
      <c r="F501" s="2"/>
      <c r="N501" s="3"/>
      <c r="S501" s="2"/>
      <c r="T501" s="3"/>
    </row>
    <row r="502" spans="6:20" ht="14.25" customHeight="1" x14ac:dyDescent="0.3">
      <c r="F502" s="2"/>
      <c r="N502" s="3"/>
      <c r="S502" s="2"/>
      <c r="T502" s="3"/>
    </row>
    <row r="503" spans="6:20" ht="14.25" customHeight="1" x14ac:dyDescent="0.3">
      <c r="F503" s="2"/>
      <c r="N503" s="3"/>
      <c r="S503" s="2"/>
      <c r="T503" s="3"/>
    </row>
    <row r="504" spans="6:20" ht="14.25" customHeight="1" x14ac:dyDescent="0.3">
      <c r="F504" s="2"/>
      <c r="N504" s="3"/>
      <c r="S504" s="2"/>
      <c r="T504" s="3"/>
    </row>
    <row r="505" spans="6:20" ht="14.25" customHeight="1" x14ac:dyDescent="0.3">
      <c r="F505" s="2"/>
      <c r="N505" s="3"/>
      <c r="S505" s="2"/>
      <c r="T505" s="3"/>
    </row>
    <row r="506" spans="6:20" ht="14.25" customHeight="1" x14ac:dyDescent="0.3">
      <c r="F506" s="2"/>
      <c r="N506" s="3"/>
      <c r="S506" s="2"/>
      <c r="T506" s="3"/>
    </row>
    <row r="507" spans="6:20" ht="14.25" customHeight="1" x14ac:dyDescent="0.3">
      <c r="F507" s="2"/>
      <c r="N507" s="3"/>
      <c r="S507" s="2"/>
      <c r="T507" s="3"/>
    </row>
    <row r="508" spans="6:20" ht="14.25" customHeight="1" x14ac:dyDescent="0.3">
      <c r="F508" s="2"/>
      <c r="N508" s="3"/>
      <c r="S508" s="2"/>
      <c r="T508" s="3"/>
    </row>
    <row r="509" spans="6:20" ht="14.25" customHeight="1" x14ac:dyDescent="0.3">
      <c r="F509" s="2"/>
      <c r="N509" s="3"/>
      <c r="S509" s="2"/>
      <c r="T509" s="3"/>
    </row>
    <row r="510" spans="6:20" ht="14.25" customHeight="1" x14ac:dyDescent="0.3">
      <c r="F510" s="2"/>
      <c r="N510" s="3"/>
      <c r="S510" s="2"/>
      <c r="T510" s="3"/>
    </row>
    <row r="511" spans="6:20" ht="14.25" customHeight="1" x14ac:dyDescent="0.3">
      <c r="F511" s="2"/>
      <c r="N511" s="3"/>
      <c r="S511" s="2"/>
      <c r="T511" s="3"/>
    </row>
    <row r="512" spans="6:20" ht="14.25" customHeight="1" x14ac:dyDescent="0.3">
      <c r="F512" s="2"/>
      <c r="N512" s="3"/>
      <c r="S512" s="2"/>
      <c r="T512" s="3"/>
    </row>
    <row r="513" spans="6:20" ht="14.25" customHeight="1" x14ac:dyDescent="0.3">
      <c r="F513" s="2"/>
      <c r="N513" s="3"/>
      <c r="S513" s="2"/>
      <c r="T513" s="3"/>
    </row>
    <row r="514" spans="6:20" ht="14.25" customHeight="1" x14ac:dyDescent="0.3">
      <c r="F514" s="2"/>
      <c r="N514" s="3"/>
      <c r="S514" s="2"/>
      <c r="T514" s="3"/>
    </row>
    <row r="515" spans="6:20" ht="14.25" customHeight="1" x14ac:dyDescent="0.3">
      <c r="F515" s="2"/>
      <c r="N515" s="3"/>
      <c r="S515" s="2"/>
      <c r="T515" s="3"/>
    </row>
    <row r="516" spans="6:20" ht="14.25" customHeight="1" x14ac:dyDescent="0.3">
      <c r="F516" s="2"/>
      <c r="N516" s="3"/>
      <c r="S516" s="2"/>
      <c r="T516" s="3"/>
    </row>
    <row r="517" spans="6:20" ht="14.25" customHeight="1" x14ac:dyDescent="0.3">
      <c r="F517" s="2"/>
      <c r="N517" s="3"/>
      <c r="S517" s="2"/>
      <c r="T517" s="3"/>
    </row>
    <row r="518" spans="6:20" ht="14.25" customHeight="1" x14ac:dyDescent="0.3">
      <c r="F518" s="2"/>
      <c r="N518" s="3"/>
      <c r="S518" s="2"/>
      <c r="T518" s="3"/>
    </row>
    <row r="519" spans="6:20" ht="14.25" customHeight="1" x14ac:dyDescent="0.3">
      <c r="F519" s="2"/>
      <c r="N519" s="3"/>
      <c r="S519" s="2"/>
      <c r="T519" s="3"/>
    </row>
    <row r="520" spans="6:20" ht="14.25" customHeight="1" x14ac:dyDescent="0.3">
      <c r="F520" s="2"/>
      <c r="N520" s="3"/>
      <c r="S520" s="2"/>
      <c r="T520" s="3"/>
    </row>
    <row r="521" spans="6:20" ht="14.25" customHeight="1" x14ac:dyDescent="0.3">
      <c r="F521" s="2"/>
      <c r="N521" s="3"/>
      <c r="S521" s="2"/>
      <c r="T521" s="3"/>
    </row>
    <row r="522" spans="6:20" ht="14.25" customHeight="1" x14ac:dyDescent="0.3">
      <c r="F522" s="2"/>
      <c r="N522" s="3"/>
      <c r="S522" s="2"/>
      <c r="T522" s="3"/>
    </row>
    <row r="523" spans="6:20" ht="14.25" customHeight="1" x14ac:dyDescent="0.3">
      <c r="F523" s="2"/>
      <c r="N523" s="3"/>
      <c r="S523" s="2"/>
      <c r="T523" s="3"/>
    </row>
    <row r="524" spans="6:20" ht="14.25" customHeight="1" x14ac:dyDescent="0.3">
      <c r="F524" s="2"/>
      <c r="N524" s="3"/>
      <c r="S524" s="2"/>
      <c r="T524" s="3"/>
    </row>
    <row r="525" spans="6:20" ht="14.25" customHeight="1" x14ac:dyDescent="0.3">
      <c r="F525" s="2"/>
      <c r="N525" s="3"/>
      <c r="S525" s="2"/>
      <c r="T525" s="3"/>
    </row>
    <row r="526" spans="6:20" ht="14.25" customHeight="1" x14ac:dyDescent="0.3">
      <c r="F526" s="2"/>
      <c r="N526" s="3"/>
      <c r="S526" s="2"/>
      <c r="T526" s="3"/>
    </row>
    <row r="527" spans="6:20" ht="14.25" customHeight="1" x14ac:dyDescent="0.3">
      <c r="F527" s="2"/>
      <c r="N527" s="3"/>
      <c r="S527" s="2"/>
      <c r="T527" s="3"/>
    </row>
    <row r="528" spans="6:20" ht="14.25" customHeight="1" x14ac:dyDescent="0.3">
      <c r="F528" s="2"/>
      <c r="N528" s="3"/>
      <c r="S528" s="2"/>
      <c r="T528" s="3"/>
    </row>
    <row r="529" spans="6:20" ht="14.25" customHeight="1" x14ac:dyDescent="0.3">
      <c r="F529" s="2"/>
      <c r="N529" s="3"/>
      <c r="S529" s="2"/>
      <c r="T529" s="3"/>
    </row>
    <row r="530" spans="6:20" ht="14.25" customHeight="1" x14ac:dyDescent="0.3">
      <c r="F530" s="2"/>
      <c r="N530" s="3"/>
      <c r="S530" s="2"/>
      <c r="T530" s="3"/>
    </row>
    <row r="531" spans="6:20" ht="14.25" customHeight="1" x14ac:dyDescent="0.3">
      <c r="F531" s="2"/>
      <c r="N531" s="3"/>
      <c r="S531" s="2"/>
      <c r="T531" s="3"/>
    </row>
    <row r="532" spans="6:20" ht="14.25" customHeight="1" x14ac:dyDescent="0.3">
      <c r="F532" s="2"/>
      <c r="N532" s="3"/>
      <c r="S532" s="2"/>
      <c r="T532" s="3"/>
    </row>
    <row r="533" spans="6:20" ht="14.25" customHeight="1" x14ac:dyDescent="0.3">
      <c r="F533" s="2"/>
      <c r="N533" s="3"/>
      <c r="S533" s="2"/>
      <c r="T533" s="3"/>
    </row>
    <row r="534" spans="6:20" ht="14.25" customHeight="1" x14ac:dyDescent="0.3">
      <c r="F534" s="2"/>
      <c r="N534" s="3"/>
      <c r="S534" s="2"/>
      <c r="T534" s="3"/>
    </row>
    <row r="535" spans="6:20" ht="14.25" customHeight="1" x14ac:dyDescent="0.3">
      <c r="F535" s="2"/>
      <c r="N535" s="3"/>
      <c r="S535" s="2"/>
      <c r="T535" s="3"/>
    </row>
    <row r="536" spans="6:20" ht="14.25" customHeight="1" x14ac:dyDescent="0.3">
      <c r="F536" s="2"/>
      <c r="N536" s="3"/>
      <c r="S536" s="2"/>
      <c r="T536" s="3"/>
    </row>
    <row r="537" spans="6:20" ht="14.25" customHeight="1" x14ac:dyDescent="0.3">
      <c r="F537" s="2"/>
      <c r="N537" s="3"/>
      <c r="S537" s="2"/>
      <c r="T537" s="3"/>
    </row>
    <row r="538" spans="6:20" ht="14.25" customHeight="1" x14ac:dyDescent="0.3">
      <c r="F538" s="2"/>
      <c r="N538" s="3"/>
      <c r="S538" s="2"/>
      <c r="T538" s="3"/>
    </row>
    <row r="539" spans="6:20" ht="14.25" customHeight="1" x14ac:dyDescent="0.3">
      <c r="F539" s="2"/>
      <c r="N539" s="3"/>
      <c r="S539" s="2"/>
      <c r="T539" s="3"/>
    </row>
    <row r="540" spans="6:20" ht="14.25" customHeight="1" x14ac:dyDescent="0.3">
      <c r="F540" s="2"/>
      <c r="N540" s="3"/>
      <c r="S540" s="2"/>
      <c r="T540" s="3"/>
    </row>
    <row r="541" spans="6:20" ht="14.25" customHeight="1" x14ac:dyDescent="0.3">
      <c r="F541" s="2"/>
      <c r="N541" s="3"/>
      <c r="S541" s="2"/>
      <c r="T541" s="3"/>
    </row>
    <row r="542" spans="6:20" ht="14.25" customHeight="1" x14ac:dyDescent="0.3">
      <c r="F542" s="2"/>
      <c r="N542" s="3"/>
      <c r="S542" s="2"/>
      <c r="T542" s="3"/>
    </row>
    <row r="543" spans="6:20" ht="14.25" customHeight="1" x14ac:dyDescent="0.3">
      <c r="F543" s="2"/>
      <c r="N543" s="3"/>
      <c r="S543" s="2"/>
      <c r="T543" s="3"/>
    </row>
    <row r="544" spans="6:20" ht="14.25" customHeight="1" x14ac:dyDescent="0.3">
      <c r="F544" s="2"/>
      <c r="N544" s="3"/>
      <c r="S544" s="2"/>
      <c r="T544" s="3"/>
    </row>
    <row r="545" spans="6:20" ht="14.25" customHeight="1" x14ac:dyDescent="0.3">
      <c r="F545" s="2"/>
      <c r="N545" s="3"/>
      <c r="S545" s="2"/>
      <c r="T545" s="3"/>
    </row>
    <row r="546" spans="6:20" ht="14.25" customHeight="1" x14ac:dyDescent="0.3">
      <c r="F546" s="2"/>
      <c r="N546" s="3"/>
      <c r="S546" s="2"/>
      <c r="T546" s="3"/>
    </row>
    <row r="547" spans="6:20" ht="14.25" customHeight="1" x14ac:dyDescent="0.3">
      <c r="F547" s="2"/>
      <c r="N547" s="3"/>
      <c r="S547" s="2"/>
      <c r="T547" s="3"/>
    </row>
    <row r="548" spans="6:20" ht="14.25" customHeight="1" x14ac:dyDescent="0.3">
      <c r="F548" s="2"/>
      <c r="N548" s="3"/>
      <c r="S548" s="2"/>
      <c r="T548" s="3"/>
    </row>
    <row r="549" spans="6:20" ht="14.25" customHeight="1" x14ac:dyDescent="0.3">
      <c r="F549" s="2"/>
      <c r="N549" s="3"/>
      <c r="S549" s="2"/>
      <c r="T549" s="3"/>
    </row>
    <row r="550" spans="6:20" ht="14.25" customHeight="1" x14ac:dyDescent="0.3">
      <c r="F550" s="2"/>
      <c r="N550" s="3"/>
      <c r="S550" s="2"/>
      <c r="T550" s="3"/>
    </row>
    <row r="551" spans="6:20" ht="14.25" customHeight="1" x14ac:dyDescent="0.3">
      <c r="F551" s="2"/>
      <c r="N551" s="3"/>
      <c r="S551" s="2"/>
      <c r="T551" s="3"/>
    </row>
    <row r="552" spans="6:20" ht="14.25" customHeight="1" x14ac:dyDescent="0.3">
      <c r="F552" s="2"/>
      <c r="N552" s="3"/>
      <c r="S552" s="2"/>
      <c r="T552" s="3"/>
    </row>
    <row r="553" spans="6:20" ht="14.25" customHeight="1" x14ac:dyDescent="0.3">
      <c r="F553" s="2"/>
      <c r="N553" s="3"/>
      <c r="S553" s="2"/>
      <c r="T553" s="3"/>
    </row>
    <row r="554" spans="6:20" ht="14.25" customHeight="1" x14ac:dyDescent="0.3">
      <c r="F554" s="2"/>
      <c r="N554" s="3"/>
      <c r="S554" s="2"/>
      <c r="T554" s="3"/>
    </row>
    <row r="555" spans="6:20" ht="14.25" customHeight="1" x14ac:dyDescent="0.3">
      <c r="F555" s="2"/>
      <c r="N555" s="3"/>
      <c r="S555" s="2"/>
      <c r="T555" s="3"/>
    </row>
    <row r="556" spans="6:20" ht="14.25" customHeight="1" x14ac:dyDescent="0.3">
      <c r="F556" s="2"/>
      <c r="N556" s="3"/>
      <c r="S556" s="2"/>
      <c r="T556" s="3"/>
    </row>
    <row r="557" spans="6:20" ht="14.25" customHeight="1" x14ac:dyDescent="0.3">
      <c r="F557" s="2"/>
      <c r="N557" s="3"/>
      <c r="S557" s="2"/>
      <c r="T557" s="3"/>
    </row>
    <row r="558" spans="6:20" ht="14.25" customHeight="1" x14ac:dyDescent="0.3">
      <c r="F558" s="2"/>
      <c r="N558" s="3"/>
      <c r="S558" s="2"/>
      <c r="T558" s="3"/>
    </row>
    <row r="559" spans="6:20" ht="14.25" customHeight="1" x14ac:dyDescent="0.3">
      <c r="F559" s="2"/>
      <c r="N559" s="3"/>
      <c r="S559" s="2"/>
      <c r="T559" s="3"/>
    </row>
    <row r="560" spans="6:20" ht="14.25" customHeight="1" x14ac:dyDescent="0.3">
      <c r="F560" s="2"/>
      <c r="N560" s="3"/>
      <c r="S560" s="2"/>
      <c r="T560" s="3"/>
    </row>
    <row r="561" spans="6:20" ht="14.25" customHeight="1" x14ac:dyDescent="0.3">
      <c r="F561" s="2"/>
      <c r="N561" s="3"/>
      <c r="S561" s="2"/>
      <c r="T561" s="3"/>
    </row>
    <row r="562" spans="6:20" ht="14.25" customHeight="1" x14ac:dyDescent="0.3">
      <c r="F562" s="2"/>
      <c r="N562" s="3"/>
      <c r="S562" s="2"/>
      <c r="T562" s="3"/>
    </row>
    <row r="563" spans="6:20" ht="14.25" customHeight="1" x14ac:dyDescent="0.3">
      <c r="F563" s="2"/>
      <c r="N563" s="3"/>
      <c r="S563" s="2"/>
      <c r="T563" s="3"/>
    </row>
    <row r="564" spans="6:20" ht="14.25" customHeight="1" x14ac:dyDescent="0.3">
      <c r="F564" s="2"/>
      <c r="N564" s="3"/>
      <c r="S564" s="2"/>
      <c r="T564" s="3"/>
    </row>
    <row r="565" spans="6:20" ht="14.25" customHeight="1" x14ac:dyDescent="0.3">
      <c r="F565" s="2"/>
      <c r="N565" s="3"/>
      <c r="S565" s="2"/>
      <c r="T565" s="3"/>
    </row>
    <row r="566" spans="6:20" ht="14.25" customHeight="1" x14ac:dyDescent="0.3">
      <c r="F566" s="2"/>
      <c r="N566" s="3"/>
      <c r="S566" s="2"/>
      <c r="T566" s="3"/>
    </row>
    <row r="567" spans="6:20" ht="14.25" customHeight="1" x14ac:dyDescent="0.3">
      <c r="F567" s="2"/>
      <c r="N567" s="3"/>
      <c r="S567" s="2"/>
      <c r="T567" s="3"/>
    </row>
    <row r="568" spans="6:20" ht="14.25" customHeight="1" x14ac:dyDescent="0.3">
      <c r="F568" s="2"/>
      <c r="N568" s="3"/>
      <c r="S568" s="2"/>
      <c r="T568" s="3"/>
    </row>
    <row r="569" spans="6:20" ht="14.25" customHeight="1" x14ac:dyDescent="0.3">
      <c r="F569" s="2"/>
      <c r="N569" s="3"/>
      <c r="S569" s="2"/>
      <c r="T569" s="3"/>
    </row>
    <row r="570" spans="6:20" ht="14.25" customHeight="1" x14ac:dyDescent="0.3">
      <c r="F570" s="2"/>
      <c r="N570" s="3"/>
      <c r="S570" s="2"/>
      <c r="T570" s="3"/>
    </row>
    <row r="571" spans="6:20" ht="14.25" customHeight="1" x14ac:dyDescent="0.3">
      <c r="F571" s="2"/>
      <c r="N571" s="3"/>
      <c r="S571" s="2"/>
      <c r="T571" s="3"/>
    </row>
    <row r="572" spans="6:20" ht="14.25" customHeight="1" x14ac:dyDescent="0.3">
      <c r="F572" s="2"/>
      <c r="N572" s="3"/>
      <c r="S572" s="2"/>
      <c r="T572" s="3"/>
    </row>
    <row r="573" spans="6:20" ht="14.25" customHeight="1" x14ac:dyDescent="0.3">
      <c r="F573" s="2"/>
      <c r="N573" s="3"/>
      <c r="S573" s="2"/>
      <c r="T573" s="3"/>
    </row>
    <row r="574" spans="6:20" ht="14.25" customHeight="1" x14ac:dyDescent="0.3">
      <c r="F574" s="2"/>
      <c r="N574" s="3"/>
      <c r="S574" s="2"/>
      <c r="T574" s="3"/>
    </row>
    <row r="575" spans="6:20" ht="14.25" customHeight="1" x14ac:dyDescent="0.3">
      <c r="F575" s="2"/>
      <c r="N575" s="3"/>
      <c r="S575" s="2"/>
      <c r="T575" s="3"/>
    </row>
    <row r="576" spans="6:20" ht="14.25" customHeight="1" x14ac:dyDescent="0.3">
      <c r="F576" s="2"/>
      <c r="N576" s="3"/>
      <c r="S576" s="2"/>
      <c r="T576" s="3"/>
    </row>
    <row r="577" spans="6:20" ht="14.25" customHeight="1" x14ac:dyDescent="0.3">
      <c r="F577" s="2"/>
      <c r="N577" s="3"/>
      <c r="S577" s="2"/>
      <c r="T577" s="3"/>
    </row>
    <row r="578" spans="6:20" ht="14.25" customHeight="1" x14ac:dyDescent="0.3">
      <c r="F578" s="2"/>
      <c r="N578" s="3"/>
      <c r="S578" s="2"/>
      <c r="T578" s="3"/>
    </row>
    <row r="579" spans="6:20" ht="14.25" customHeight="1" x14ac:dyDescent="0.3">
      <c r="F579" s="2"/>
      <c r="N579" s="3"/>
      <c r="S579" s="2"/>
      <c r="T579" s="3"/>
    </row>
    <row r="580" spans="6:20" ht="14.25" customHeight="1" x14ac:dyDescent="0.3">
      <c r="F580" s="2"/>
      <c r="N580" s="3"/>
      <c r="S580" s="2"/>
      <c r="T580" s="3"/>
    </row>
    <row r="581" spans="6:20" ht="14.25" customHeight="1" x14ac:dyDescent="0.3">
      <c r="F581" s="2"/>
      <c r="N581" s="3"/>
      <c r="S581" s="2"/>
      <c r="T581" s="3"/>
    </row>
    <row r="582" spans="6:20" ht="14.25" customHeight="1" x14ac:dyDescent="0.3">
      <c r="F582" s="2"/>
      <c r="N582" s="3"/>
      <c r="S582" s="2"/>
      <c r="T582" s="3"/>
    </row>
    <row r="583" spans="6:20" ht="14.25" customHeight="1" x14ac:dyDescent="0.3">
      <c r="F583" s="2"/>
      <c r="N583" s="3"/>
      <c r="S583" s="2"/>
      <c r="T583" s="3"/>
    </row>
    <row r="584" spans="6:20" ht="14.25" customHeight="1" x14ac:dyDescent="0.3">
      <c r="F584" s="2"/>
      <c r="N584" s="3"/>
      <c r="S584" s="2"/>
      <c r="T584" s="3"/>
    </row>
    <row r="585" spans="6:20" ht="14.25" customHeight="1" x14ac:dyDescent="0.3">
      <c r="F585" s="2"/>
      <c r="N585" s="3"/>
      <c r="S585" s="2"/>
      <c r="T585" s="3"/>
    </row>
    <row r="586" spans="6:20" ht="14.25" customHeight="1" x14ac:dyDescent="0.3">
      <c r="F586" s="2"/>
      <c r="N586" s="3"/>
      <c r="S586" s="2"/>
      <c r="T586" s="3"/>
    </row>
    <row r="587" spans="6:20" ht="14.25" customHeight="1" x14ac:dyDescent="0.3">
      <c r="F587" s="2"/>
      <c r="N587" s="3"/>
      <c r="S587" s="2"/>
      <c r="T587" s="3"/>
    </row>
    <row r="588" spans="6:20" ht="14.25" customHeight="1" x14ac:dyDescent="0.3">
      <c r="F588" s="2"/>
      <c r="N588" s="3"/>
      <c r="S588" s="2"/>
      <c r="T588" s="3"/>
    </row>
    <row r="589" spans="6:20" ht="14.25" customHeight="1" x14ac:dyDescent="0.3">
      <c r="F589" s="2"/>
      <c r="N589" s="3"/>
      <c r="S589" s="2"/>
      <c r="T589" s="3"/>
    </row>
    <row r="590" spans="6:20" ht="14.25" customHeight="1" x14ac:dyDescent="0.3">
      <c r="F590" s="2"/>
      <c r="N590" s="3"/>
      <c r="S590" s="2"/>
      <c r="T590" s="3"/>
    </row>
    <row r="591" spans="6:20" ht="14.25" customHeight="1" x14ac:dyDescent="0.3">
      <c r="F591" s="2"/>
      <c r="N591" s="3"/>
      <c r="S591" s="2"/>
      <c r="T591" s="3"/>
    </row>
    <row r="592" spans="6:20" ht="14.25" customHeight="1" x14ac:dyDescent="0.3">
      <c r="F592" s="2"/>
      <c r="N592" s="3"/>
      <c r="S592" s="2"/>
      <c r="T592" s="3"/>
    </row>
    <row r="593" spans="6:20" ht="14.25" customHeight="1" x14ac:dyDescent="0.3">
      <c r="F593" s="2"/>
      <c r="N593" s="3"/>
      <c r="S593" s="2"/>
      <c r="T593" s="3"/>
    </row>
    <row r="594" spans="6:20" ht="14.25" customHeight="1" x14ac:dyDescent="0.3">
      <c r="F594" s="2"/>
      <c r="N594" s="3"/>
      <c r="S594" s="2"/>
      <c r="T594" s="3"/>
    </row>
    <row r="595" spans="6:20" ht="14.25" customHeight="1" x14ac:dyDescent="0.3">
      <c r="F595" s="2"/>
      <c r="N595" s="3"/>
      <c r="S595" s="2"/>
      <c r="T595" s="3"/>
    </row>
    <row r="596" spans="6:20" ht="14.25" customHeight="1" x14ac:dyDescent="0.3">
      <c r="F596" s="2"/>
      <c r="N596" s="3"/>
      <c r="S596" s="2"/>
      <c r="T596" s="3"/>
    </row>
    <row r="597" spans="6:20" ht="14.25" customHeight="1" x14ac:dyDescent="0.3">
      <c r="F597" s="2"/>
      <c r="N597" s="3"/>
      <c r="S597" s="2"/>
      <c r="T597" s="3"/>
    </row>
    <row r="598" spans="6:20" ht="14.25" customHeight="1" x14ac:dyDescent="0.3">
      <c r="F598" s="2"/>
      <c r="N598" s="3"/>
      <c r="S598" s="2"/>
      <c r="T598" s="3"/>
    </row>
    <row r="599" spans="6:20" ht="14.25" customHeight="1" x14ac:dyDescent="0.3">
      <c r="F599" s="2"/>
      <c r="N599" s="3"/>
      <c r="S599" s="2"/>
      <c r="T599" s="3"/>
    </row>
    <row r="600" spans="6:20" ht="14.25" customHeight="1" x14ac:dyDescent="0.3">
      <c r="F600" s="2"/>
      <c r="N600" s="3"/>
      <c r="S600" s="2"/>
      <c r="T600" s="3"/>
    </row>
    <row r="601" spans="6:20" ht="14.25" customHeight="1" x14ac:dyDescent="0.3">
      <c r="F601" s="2"/>
      <c r="N601" s="3"/>
      <c r="S601" s="2"/>
      <c r="T601" s="3"/>
    </row>
    <row r="602" spans="6:20" ht="14.25" customHeight="1" x14ac:dyDescent="0.3">
      <c r="F602" s="2"/>
      <c r="N602" s="3"/>
      <c r="S602" s="2"/>
      <c r="T602" s="3"/>
    </row>
    <row r="603" spans="6:20" ht="14.25" customHeight="1" x14ac:dyDescent="0.3">
      <c r="F603" s="2"/>
      <c r="N603" s="3"/>
      <c r="S603" s="2"/>
      <c r="T603" s="3"/>
    </row>
    <row r="604" spans="6:20" ht="14.25" customHeight="1" x14ac:dyDescent="0.3">
      <c r="F604" s="2"/>
      <c r="N604" s="3"/>
      <c r="S604" s="2"/>
      <c r="T604" s="3"/>
    </row>
    <row r="605" spans="6:20" ht="14.25" customHeight="1" x14ac:dyDescent="0.3">
      <c r="F605" s="2"/>
      <c r="N605" s="3"/>
      <c r="S605" s="2"/>
      <c r="T605" s="3"/>
    </row>
    <row r="606" spans="6:20" ht="14.25" customHeight="1" x14ac:dyDescent="0.3">
      <c r="F606" s="2"/>
      <c r="N606" s="3"/>
      <c r="S606" s="2"/>
      <c r="T606" s="3"/>
    </row>
    <row r="607" spans="6:20" ht="14.25" customHeight="1" x14ac:dyDescent="0.3">
      <c r="F607" s="2"/>
      <c r="N607" s="3"/>
      <c r="S607" s="2"/>
      <c r="T607" s="3"/>
    </row>
    <row r="608" spans="6:20" ht="14.25" customHeight="1" x14ac:dyDescent="0.3">
      <c r="F608" s="2"/>
      <c r="N608" s="3"/>
      <c r="S608" s="2"/>
      <c r="T608" s="3"/>
    </row>
    <row r="609" spans="6:20" ht="14.25" customHeight="1" x14ac:dyDescent="0.3">
      <c r="F609" s="2"/>
      <c r="N609" s="3"/>
      <c r="S609" s="2"/>
      <c r="T609" s="3"/>
    </row>
    <row r="610" spans="6:20" ht="14.25" customHeight="1" x14ac:dyDescent="0.3">
      <c r="F610" s="2"/>
      <c r="N610" s="3"/>
      <c r="S610" s="2"/>
      <c r="T610" s="3"/>
    </row>
    <row r="611" spans="6:20" ht="14.25" customHeight="1" x14ac:dyDescent="0.3">
      <c r="F611" s="2"/>
      <c r="N611" s="3"/>
      <c r="S611" s="2"/>
      <c r="T611" s="3"/>
    </row>
    <row r="612" spans="6:20" ht="14.25" customHeight="1" x14ac:dyDescent="0.3">
      <c r="F612" s="2"/>
      <c r="N612" s="3"/>
      <c r="S612" s="2"/>
      <c r="T612" s="3"/>
    </row>
    <row r="613" spans="6:20" ht="14.25" customHeight="1" x14ac:dyDescent="0.3">
      <c r="F613" s="2"/>
      <c r="N613" s="3"/>
      <c r="S613" s="2"/>
      <c r="T613" s="3"/>
    </row>
    <row r="614" spans="6:20" ht="14.25" customHeight="1" x14ac:dyDescent="0.3">
      <c r="F614" s="2"/>
      <c r="N614" s="3"/>
      <c r="S614" s="2"/>
      <c r="T614" s="3"/>
    </row>
    <row r="615" spans="6:20" ht="14.25" customHeight="1" x14ac:dyDescent="0.3">
      <c r="F615" s="2"/>
      <c r="N615" s="3"/>
      <c r="S615" s="2"/>
      <c r="T615" s="3"/>
    </row>
    <row r="616" spans="6:20" ht="14.25" customHeight="1" x14ac:dyDescent="0.3">
      <c r="F616" s="2"/>
      <c r="N616" s="3"/>
      <c r="S616" s="2"/>
      <c r="T616" s="3"/>
    </row>
    <row r="617" spans="6:20" ht="14.25" customHeight="1" x14ac:dyDescent="0.3">
      <c r="F617" s="2"/>
      <c r="N617" s="3"/>
      <c r="S617" s="2"/>
      <c r="T617" s="3"/>
    </row>
    <row r="618" spans="6:20" ht="14.25" customHeight="1" x14ac:dyDescent="0.3">
      <c r="F618" s="2"/>
      <c r="N618" s="3"/>
      <c r="S618" s="2"/>
      <c r="T618" s="3"/>
    </row>
    <row r="619" spans="6:20" ht="14.25" customHeight="1" x14ac:dyDescent="0.3">
      <c r="F619" s="2"/>
      <c r="N619" s="3"/>
      <c r="S619" s="2"/>
      <c r="T619" s="3"/>
    </row>
    <row r="620" spans="6:20" ht="14.25" customHeight="1" x14ac:dyDescent="0.3">
      <c r="F620" s="2"/>
      <c r="N620" s="3"/>
      <c r="S620" s="2"/>
      <c r="T620" s="3"/>
    </row>
    <row r="621" spans="6:20" ht="14.25" customHeight="1" x14ac:dyDescent="0.3">
      <c r="F621" s="2"/>
      <c r="N621" s="3"/>
      <c r="S621" s="2"/>
      <c r="T621" s="3"/>
    </row>
    <row r="622" spans="6:20" ht="14.25" customHeight="1" x14ac:dyDescent="0.3">
      <c r="F622" s="2"/>
      <c r="N622" s="3"/>
      <c r="S622" s="2"/>
      <c r="T622" s="3"/>
    </row>
    <row r="623" spans="6:20" ht="14.25" customHeight="1" x14ac:dyDescent="0.3">
      <c r="F623" s="2"/>
      <c r="N623" s="3"/>
      <c r="S623" s="2"/>
      <c r="T623" s="3"/>
    </row>
    <row r="624" spans="6:20" ht="14.25" customHeight="1" x14ac:dyDescent="0.3">
      <c r="F624" s="2"/>
      <c r="N624" s="3"/>
      <c r="S624" s="2"/>
      <c r="T624" s="3"/>
    </row>
    <row r="625" spans="6:20" ht="14.25" customHeight="1" x14ac:dyDescent="0.3">
      <c r="F625" s="2"/>
      <c r="N625" s="3"/>
      <c r="S625" s="2"/>
      <c r="T625" s="3"/>
    </row>
    <row r="626" spans="6:20" ht="14.25" customHeight="1" x14ac:dyDescent="0.3">
      <c r="F626" s="2"/>
      <c r="N626" s="3"/>
      <c r="S626" s="2"/>
      <c r="T626" s="3"/>
    </row>
    <row r="627" spans="6:20" ht="14.25" customHeight="1" x14ac:dyDescent="0.3">
      <c r="F627" s="2"/>
      <c r="N627" s="3"/>
      <c r="S627" s="2"/>
      <c r="T627" s="3"/>
    </row>
    <row r="628" spans="6:20" ht="14.25" customHeight="1" x14ac:dyDescent="0.3">
      <c r="F628" s="2"/>
      <c r="N628" s="3"/>
      <c r="S628" s="2"/>
      <c r="T628" s="3"/>
    </row>
    <row r="629" spans="6:20" ht="14.25" customHeight="1" x14ac:dyDescent="0.3">
      <c r="F629" s="2"/>
      <c r="N629" s="3"/>
      <c r="S629" s="2"/>
      <c r="T629" s="3"/>
    </row>
    <row r="630" spans="6:20" ht="14.25" customHeight="1" x14ac:dyDescent="0.3">
      <c r="F630" s="2"/>
      <c r="N630" s="3"/>
      <c r="S630" s="2"/>
      <c r="T630" s="3"/>
    </row>
    <row r="631" spans="6:20" ht="14.25" customHeight="1" x14ac:dyDescent="0.3">
      <c r="F631" s="2"/>
      <c r="N631" s="3"/>
      <c r="S631" s="2"/>
      <c r="T631" s="3"/>
    </row>
    <row r="632" spans="6:20" ht="14.25" customHeight="1" x14ac:dyDescent="0.3">
      <c r="F632" s="2"/>
      <c r="N632" s="3"/>
      <c r="S632" s="2"/>
      <c r="T632" s="3"/>
    </row>
    <row r="633" spans="6:20" ht="14.25" customHeight="1" x14ac:dyDescent="0.3">
      <c r="F633" s="2"/>
      <c r="N633" s="3"/>
      <c r="S633" s="2"/>
      <c r="T633" s="3"/>
    </row>
    <row r="634" spans="6:20" ht="14.25" customHeight="1" x14ac:dyDescent="0.3">
      <c r="F634" s="2"/>
      <c r="N634" s="3"/>
      <c r="S634" s="2"/>
      <c r="T634" s="3"/>
    </row>
    <row r="635" spans="6:20" ht="14.25" customHeight="1" x14ac:dyDescent="0.3">
      <c r="F635" s="2"/>
      <c r="N635" s="3"/>
      <c r="S635" s="2"/>
      <c r="T635" s="3"/>
    </row>
    <row r="636" spans="6:20" ht="14.25" customHeight="1" x14ac:dyDescent="0.3">
      <c r="F636" s="2"/>
      <c r="N636" s="3"/>
      <c r="S636" s="2"/>
      <c r="T636" s="3"/>
    </row>
    <row r="637" spans="6:20" ht="14.25" customHeight="1" x14ac:dyDescent="0.3">
      <c r="F637" s="2"/>
      <c r="N637" s="3"/>
      <c r="S637" s="2"/>
      <c r="T637" s="3"/>
    </row>
    <row r="638" spans="6:20" ht="14.25" customHeight="1" x14ac:dyDescent="0.3">
      <c r="F638" s="2"/>
      <c r="N638" s="3"/>
      <c r="S638" s="2"/>
      <c r="T638" s="3"/>
    </row>
    <row r="639" spans="6:20" ht="14.25" customHeight="1" x14ac:dyDescent="0.3">
      <c r="F639" s="2"/>
      <c r="N639" s="3"/>
      <c r="S639" s="2"/>
      <c r="T639" s="3"/>
    </row>
    <row r="640" spans="6:20" ht="14.25" customHeight="1" x14ac:dyDescent="0.3">
      <c r="F640" s="2"/>
      <c r="N640" s="3"/>
      <c r="S640" s="2"/>
      <c r="T640" s="3"/>
    </row>
    <row r="641" spans="6:20" ht="14.25" customHeight="1" x14ac:dyDescent="0.3">
      <c r="F641" s="2"/>
      <c r="N641" s="3"/>
      <c r="S641" s="2"/>
      <c r="T641" s="3"/>
    </row>
    <row r="642" spans="6:20" ht="14.25" customHeight="1" x14ac:dyDescent="0.3">
      <c r="F642" s="2"/>
      <c r="N642" s="3"/>
      <c r="S642" s="2"/>
      <c r="T642" s="3"/>
    </row>
    <row r="643" spans="6:20" ht="14.25" customHeight="1" x14ac:dyDescent="0.3">
      <c r="F643" s="2"/>
      <c r="N643" s="3"/>
      <c r="S643" s="2"/>
      <c r="T643" s="3"/>
    </row>
    <row r="644" spans="6:20" ht="14.25" customHeight="1" x14ac:dyDescent="0.3">
      <c r="F644" s="2"/>
      <c r="N644" s="3"/>
      <c r="S644" s="2"/>
      <c r="T644" s="3"/>
    </row>
    <row r="645" spans="6:20" ht="14.25" customHeight="1" x14ac:dyDescent="0.3">
      <c r="F645" s="2"/>
      <c r="N645" s="3"/>
      <c r="S645" s="2"/>
      <c r="T645" s="3"/>
    </row>
    <row r="646" spans="6:20" ht="14.25" customHeight="1" x14ac:dyDescent="0.3">
      <c r="F646" s="2"/>
      <c r="N646" s="3"/>
      <c r="S646" s="2"/>
      <c r="T646" s="3"/>
    </row>
    <row r="647" spans="6:20" ht="14.25" customHeight="1" x14ac:dyDescent="0.3">
      <c r="F647" s="2"/>
      <c r="N647" s="3"/>
      <c r="S647" s="2"/>
      <c r="T647" s="3"/>
    </row>
    <row r="648" spans="6:20" ht="14.25" customHeight="1" x14ac:dyDescent="0.3">
      <c r="F648" s="2"/>
      <c r="N648" s="3"/>
      <c r="S648" s="2"/>
      <c r="T648" s="3"/>
    </row>
    <row r="649" spans="6:20" ht="14.25" customHeight="1" x14ac:dyDescent="0.3">
      <c r="F649" s="2"/>
      <c r="N649" s="3"/>
      <c r="S649" s="2"/>
      <c r="T649" s="3"/>
    </row>
    <row r="650" spans="6:20" ht="14.25" customHeight="1" x14ac:dyDescent="0.3">
      <c r="F650" s="2"/>
      <c r="N650" s="3"/>
      <c r="S650" s="2"/>
      <c r="T650" s="3"/>
    </row>
    <row r="651" spans="6:20" ht="14.25" customHeight="1" x14ac:dyDescent="0.3">
      <c r="F651" s="2"/>
      <c r="N651" s="3"/>
      <c r="S651" s="2"/>
      <c r="T651" s="3"/>
    </row>
    <row r="652" spans="6:20" ht="14.25" customHeight="1" x14ac:dyDescent="0.3">
      <c r="F652" s="2"/>
      <c r="N652" s="3"/>
      <c r="S652" s="2"/>
      <c r="T652" s="3"/>
    </row>
    <row r="653" spans="6:20" ht="14.25" customHeight="1" x14ac:dyDescent="0.3">
      <c r="F653" s="2"/>
      <c r="N653" s="3"/>
      <c r="S653" s="2"/>
      <c r="T653" s="3"/>
    </row>
    <row r="654" spans="6:20" ht="14.25" customHeight="1" x14ac:dyDescent="0.3">
      <c r="F654" s="2"/>
      <c r="N654" s="3"/>
      <c r="S654" s="2"/>
      <c r="T654" s="3"/>
    </row>
    <row r="655" spans="6:20" ht="14.25" customHeight="1" x14ac:dyDescent="0.3">
      <c r="F655" s="2"/>
      <c r="N655" s="3"/>
      <c r="S655" s="2"/>
      <c r="T655" s="3"/>
    </row>
    <row r="656" spans="6:20" ht="14.25" customHeight="1" x14ac:dyDescent="0.3">
      <c r="F656" s="2"/>
      <c r="N656" s="3"/>
      <c r="S656" s="2"/>
      <c r="T656" s="3"/>
    </row>
    <row r="657" spans="6:20" ht="14.25" customHeight="1" x14ac:dyDescent="0.3">
      <c r="F657" s="2"/>
      <c r="N657" s="3"/>
      <c r="S657" s="2"/>
      <c r="T657" s="3"/>
    </row>
    <row r="658" spans="6:20" ht="14.25" customHeight="1" x14ac:dyDescent="0.3">
      <c r="F658" s="2"/>
      <c r="N658" s="3"/>
      <c r="S658" s="2"/>
      <c r="T658" s="3"/>
    </row>
    <row r="659" spans="6:20" ht="14.25" customHeight="1" x14ac:dyDescent="0.3">
      <c r="F659" s="2"/>
      <c r="N659" s="3"/>
      <c r="S659" s="2"/>
      <c r="T659" s="3"/>
    </row>
    <row r="660" spans="6:20" ht="14.25" customHeight="1" x14ac:dyDescent="0.3">
      <c r="F660" s="2"/>
      <c r="N660" s="3"/>
      <c r="S660" s="2"/>
      <c r="T660" s="3"/>
    </row>
    <row r="661" spans="6:20" ht="14.25" customHeight="1" x14ac:dyDescent="0.3">
      <c r="F661" s="2"/>
      <c r="N661" s="3"/>
      <c r="S661" s="2"/>
      <c r="T661" s="3"/>
    </row>
    <row r="662" spans="6:20" ht="14.25" customHeight="1" x14ac:dyDescent="0.3">
      <c r="F662" s="2"/>
      <c r="N662" s="3"/>
      <c r="S662" s="2"/>
      <c r="T662" s="3"/>
    </row>
    <row r="663" spans="6:20" ht="14.25" customHeight="1" x14ac:dyDescent="0.3">
      <c r="F663" s="2"/>
      <c r="N663" s="3"/>
      <c r="S663" s="2"/>
      <c r="T663" s="3"/>
    </row>
    <row r="664" spans="6:20" ht="14.25" customHeight="1" x14ac:dyDescent="0.3">
      <c r="F664" s="2"/>
      <c r="N664" s="3"/>
      <c r="S664" s="2"/>
      <c r="T664" s="3"/>
    </row>
    <row r="665" spans="6:20" ht="14.25" customHeight="1" x14ac:dyDescent="0.3">
      <c r="F665" s="2"/>
      <c r="N665" s="3"/>
      <c r="S665" s="2"/>
      <c r="T665" s="3"/>
    </row>
    <row r="666" spans="6:20" ht="14.25" customHeight="1" x14ac:dyDescent="0.3">
      <c r="F666" s="2"/>
      <c r="N666" s="3"/>
      <c r="S666" s="2"/>
      <c r="T666" s="3"/>
    </row>
    <row r="667" spans="6:20" ht="14.25" customHeight="1" x14ac:dyDescent="0.3">
      <c r="F667" s="2"/>
      <c r="N667" s="3"/>
      <c r="S667" s="2"/>
      <c r="T667" s="3"/>
    </row>
    <row r="668" spans="6:20" ht="14.25" customHeight="1" x14ac:dyDescent="0.3">
      <c r="F668" s="2"/>
      <c r="N668" s="3"/>
      <c r="S668" s="2"/>
      <c r="T668" s="3"/>
    </row>
    <row r="669" spans="6:20" ht="14.25" customHeight="1" x14ac:dyDescent="0.3">
      <c r="F669" s="2"/>
      <c r="N669" s="3"/>
      <c r="S669" s="2"/>
      <c r="T669" s="3"/>
    </row>
    <row r="670" spans="6:20" ht="14.25" customHeight="1" x14ac:dyDescent="0.3">
      <c r="F670" s="2"/>
      <c r="N670" s="3"/>
      <c r="S670" s="2"/>
      <c r="T670" s="3"/>
    </row>
    <row r="671" spans="6:20" ht="14.25" customHeight="1" x14ac:dyDescent="0.3">
      <c r="F671" s="2"/>
      <c r="N671" s="3"/>
      <c r="S671" s="2"/>
      <c r="T671" s="3"/>
    </row>
    <row r="672" spans="6:20" ht="14.25" customHeight="1" x14ac:dyDescent="0.3">
      <c r="F672" s="2"/>
      <c r="N672" s="3"/>
      <c r="S672" s="2"/>
      <c r="T672" s="3"/>
    </row>
    <row r="673" spans="6:20" ht="14.25" customHeight="1" x14ac:dyDescent="0.3">
      <c r="F673" s="2"/>
      <c r="N673" s="3"/>
      <c r="S673" s="2"/>
      <c r="T673" s="3"/>
    </row>
    <row r="674" spans="6:20" ht="14.25" customHeight="1" x14ac:dyDescent="0.3">
      <c r="F674" s="2"/>
      <c r="N674" s="3"/>
      <c r="S674" s="2"/>
      <c r="T674" s="3"/>
    </row>
    <row r="675" spans="6:20" ht="14.25" customHeight="1" x14ac:dyDescent="0.3">
      <c r="F675" s="2"/>
      <c r="N675" s="3"/>
      <c r="S675" s="2"/>
      <c r="T675" s="3"/>
    </row>
    <row r="676" spans="6:20" ht="14.25" customHeight="1" x14ac:dyDescent="0.3">
      <c r="F676" s="2"/>
      <c r="N676" s="3"/>
      <c r="S676" s="2"/>
      <c r="T676" s="3"/>
    </row>
    <row r="677" spans="6:20" ht="14.25" customHeight="1" x14ac:dyDescent="0.3">
      <c r="F677" s="2"/>
      <c r="N677" s="3"/>
      <c r="S677" s="2"/>
      <c r="T677" s="3"/>
    </row>
    <row r="678" spans="6:20" ht="14.25" customHeight="1" x14ac:dyDescent="0.3">
      <c r="F678" s="2"/>
      <c r="N678" s="3"/>
      <c r="S678" s="2"/>
      <c r="T678" s="3"/>
    </row>
    <row r="679" spans="6:20" ht="14.25" customHeight="1" x14ac:dyDescent="0.3">
      <c r="F679" s="2"/>
      <c r="N679" s="3"/>
      <c r="S679" s="2"/>
      <c r="T679" s="3"/>
    </row>
    <row r="680" spans="6:20" ht="14.25" customHeight="1" x14ac:dyDescent="0.3">
      <c r="F680" s="2"/>
      <c r="N680" s="3"/>
      <c r="S680" s="2"/>
      <c r="T680" s="3"/>
    </row>
    <row r="681" spans="6:20" ht="14.25" customHeight="1" x14ac:dyDescent="0.3">
      <c r="F681" s="2"/>
      <c r="N681" s="3"/>
      <c r="S681" s="2"/>
      <c r="T681" s="3"/>
    </row>
    <row r="682" spans="6:20" ht="14.25" customHeight="1" x14ac:dyDescent="0.3">
      <c r="F682" s="2"/>
      <c r="N682" s="3"/>
      <c r="S682" s="2"/>
      <c r="T682" s="3"/>
    </row>
    <row r="683" spans="6:20" ht="14.25" customHeight="1" x14ac:dyDescent="0.3">
      <c r="F683" s="2"/>
      <c r="N683" s="3"/>
      <c r="S683" s="2"/>
      <c r="T683" s="3"/>
    </row>
    <row r="684" spans="6:20" ht="14.25" customHeight="1" x14ac:dyDescent="0.3">
      <c r="F684" s="2"/>
      <c r="N684" s="3"/>
      <c r="S684" s="2"/>
      <c r="T684" s="3"/>
    </row>
    <row r="685" spans="6:20" ht="14.25" customHeight="1" x14ac:dyDescent="0.3">
      <c r="F685" s="2"/>
      <c r="N685" s="3"/>
      <c r="S685" s="2"/>
      <c r="T685" s="3"/>
    </row>
    <row r="686" spans="6:20" ht="14.25" customHeight="1" x14ac:dyDescent="0.3">
      <c r="F686" s="2"/>
      <c r="N686" s="3"/>
      <c r="S686" s="2"/>
      <c r="T686" s="3"/>
    </row>
    <row r="687" spans="6:20" ht="14.25" customHeight="1" x14ac:dyDescent="0.3">
      <c r="F687" s="2"/>
      <c r="N687" s="3"/>
      <c r="S687" s="2"/>
      <c r="T687" s="3"/>
    </row>
    <row r="688" spans="6:20" ht="14.25" customHeight="1" x14ac:dyDescent="0.3">
      <c r="F688" s="2"/>
      <c r="N688" s="3"/>
      <c r="S688" s="2"/>
      <c r="T688" s="3"/>
    </row>
    <row r="689" spans="6:20" ht="14.25" customHeight="1" x14ac:dyDescent="0.3">
      <c r="F689" s="2"/>
      <c r="N689" s="3"/>
      <c r="S689" s="2"/>
      <c r="T689" s="3"/>
    </row>
    <row r="690" spans="6:20" ht="14.25" customHeight="1" x14ac:dyDescent="0.3">
      <c r="F690" s="2"/>
      <c r="N690" s="3"/>
      <c r="S690" s="2"/>
      <c r="T690" s="3"/>
    </row>
    <row r="691" spans="6:20" ht="14.25" customHeight="1" x14ac:dyDescent="0.3">
      <c r="F691" s="2"/>
      <c r="N691" s="3"/>
      <c r="S691" s="2"/>
      <c r="T691" s="3"/>
    </row>
    <row r="692" spans="6:20" ht="14.25" customHeight="1" x14ac:dyDescent="0.3">
      <c r="F692" s="2"/>
      <c r="N692" s="3"/>
      <c r="S692" s="2"/>
      <c r="T692" s="3"/>
    </row>
    <row r="693" spans="6:20" ht="14.25" customHeight="1" x14ac:dyDescent="0.3">
      <c r="F693" s="2"/>
      <c r="N693" s="3"/>
      <c r="S693" s="2"/>
      <c r="T693" s="3"/>
    </row>
    <row r="694" spans="6:20" ht="14.25" customHeight="1" x14ac:dyDescent="0.3">
      <c r="F694" s="2"/>
      <c r="N694" s="3"/>
      <c r="S694" s="2"/>
      <c r="T694" s="3"/>
    </row>
    <row r="695" spans="6:20" ht="14.25" customHeight="1" x14ac:dyDescent="0.3">
      <c r="F695" s="2"/>
      <c r="N695" s="3"/>
      <c r="S695" s="2"/>
      <c r="T695" s="3"/>
    </row>
    <row r="696" spans="6:20" ht="14.25" customHeight="1" x14ac:dyDescent="0.3">
      <c r="F696" s="2"/>
      <c r="N696" s="3"/>
      <c r="S696" s="2"/>
      <c r="T696" s="3"/>
    </row>
    <row r="697" spans="6:20" ht="14.25" customHeight="1" x14ac:dyDescent="0.3">
      <c r="F697" s="2"/>
      <c r="N697" s="3"/>
      <c r="S697" s="2"/>
      <c r="T697" s="3"/>
    </row>
    <row r="698" spans="6:20" ht="14.25" customHeight="1" x14ac:dyDescent="0.3">
      <c r="F698" s="2"/>
      <c r="N698" s="3"/>
      <c r="S698" s="2"/>
      <c r="T698" s="3"/>
    </row>
    <row r="699" spans="6:20" ht="14.25" customHeight="1" x14ac:dyDescent="0.3">
      <c r="F699" s="2"/>
      <c r="N699" s="3"/>
      <c r="S699" s="2"/>
      <c r="T699" s="3"/>
    </row>
    <row r="700" spans="6:20" ht="14.25" customHeight="1" x14ac:dyDescent="0.3">
      <c r="F700" s="2"/>
      <c r="N700" s="3"/>
      <c r="S700" s="2"/>
      <c r="T700" s="3"/>
    </row>
    <row r="701" spans="6:20" ht="14.25" customHeight="1" x14ac:dyDescent="0.3">
      <c r="F701" s="2"/>
      <c r="N701" s="3"/>
      <c r="S701" s="2"/>
      <c r="T701" s="3"/>
    </row>
    <row r="702" spans="6:20" ht="14.25" customHeight="1" x14ac:dyDescent="0.3">
      <c r="F702" s="2"/>
      <c r="N702" s="3"/>
      <c r="S702" s="2"/>
      <c r="T702" s="3"/>
    </row>
    <row r="703" spans="6:20" ht="14.25" customHeight="1" x14ac:dyDescent="0.3">
      <c r="F703" s="2"/>
      <c r="N703" s="3"/>
      <c r="S703" s="2"/>
      <c r="T703" s="3"/>
    </row>
    <row r="704" spans="6:20" ht="14.25" customHeight="1" x14ac:dyDescent="0.3">
      <c r="F704" s="2"/>
      <c r="N704" s="3"/>
      <c r="S704" s="2"/>
      <c r="T704" s="3"/>
    </row>
    <row r="705" spans="6:20" ht="14.25" customHeight="1" x14ac:dyDescent="0.3">
      <c r="F705" s="2"/>
      <c r="N705" s="3"/>
      <c r="S705" s="2"/>
      <c r="T705" s="3"/>
    </row>
    <row r="706" spans="6:20" ht="14.25" customHeight="1" x14ac:dyDescent="0.3">
      <c r="F706" s="2"/>
      <c r="N706" s="3"/>
      <c r="S706" s="2"/>
      <c r="T706" s="3"/>
    </row>
    <row r="707" spans="6:20" ht="14.25" customHeight="1" x14ac:dyDescent="0.3">
      <c r="F707" s="2"/>
      <c r="N707" s="3"/>
      <c r="S707" s="2"/>
      <c r="T707" s="3"/>
    </row>
    <row r="708" spans="6:20" ht="14.25" customHeight="1" x14ac:dyDescent="0.3">
      <c r="F708" s="2"/>
      <c r="N708" s="3"/>
      <c r="S708" s="2"/>
      <c r="T708" s="3"/>
    </row>
    <row r="709" spans="6:20" ht="14.25" customHeight="1" x14ac:dyDescent="0.3">
      <c r="F709" s="2"/>
      <c r="N709" s="3"/>
      <c r="S709" s="2"/>
      <c r="T709" s="3"/>
    </row>
    <row r="710" spans="6:20" ht="14.25" customHeight="1" x14ac:dyDescent="0.3">
      <c r="F710" s="2"/>
      <c r="N710" s="3"/>
      <c r="S710" s="2"/>
      <c r="T710" s="3"/>
    </row>
    <row r="711" spans="6:20" ht="14.25" customHeight="1" x14ac:dyDescent="0.3">
      <c r="F711" s="2"/>
      <c r="N711" s="3"/>
      <c r="S711" s="2"/>
      <c r="T711" s="3"/>
    </row>
    <row r="712" spans="6:20" ht="14.25" customHeight="1" x14ac:dyDescent="0.3">
      <c r="F712" s="2"/>
      <c r="N712" s="3"/>
      <c r="S712" s="2"/>
      <c r="T712" s="3"/>
    </row>
    <row r="713" spans="6:20" ht="14.25" customHeight="1" x14ac:dyDescent="0.3">
      <c r="F713" s="2"/>
      <c r="N713" s="3"/>
      <c r="S713" s="2"/>
      <c r="T713" s="3"/>
    </row>
    <row r="714" spans="6:20" ht="14.25" customHeight="1" x14ac:dyDescent="0.3">
      <c r="F714" s="2"/>
      <c r="N714" s="3"/>
      <c r="S714" s="2"/>
      <c r="T714" s="3"/>
    </row>
    <row r="715" spans="6:20" ht="14.25" customHeight="1" x14ac:dyDescent="0.3">
      <c r="F715" s="2"/>
      <c r="N715" s="3"/>
      <c r="S715" s="2"/>
      <c r="T715" s="3"/>
    </row>
    <row r="716" spans="6:20" ht="14.25" customHeight="1" x14ac:dyDescent="0.3">
      <c r="F716" s="2"/>
      <c r="N716" s="3"/>
      <c r="S716" s="2"/>
      <c r="T716" s="3"/>
    </row>
    <row r="717" spans="6:20" ht="14.25" customHeight="1" x14ac:dyDescent="0.3">
      <c r="F717" s="2"/>
      <c r="N717" s="3"/>
      <c r="S717" s="2"/>
      <c r="T717" s="3"/>
    </row>
    <row r="718" spans="6:20" ht="14.25" customHeight="1" x14ac:dyDescent="0.3">
      <c r="F718" s="2"/>
      <c r="N718" s="3"/>
      <c r="S718" s="2"/>
      <c r="T718" s="3"/>
    </row>
    <row r="719" spans="6:20" ht="14.25" customHeight="1" x14ac:dyDescent="0.3">
      <c r="F719" s="2"/>
      <c r="N719" s="3"/>
      <c r="S719" s="2"/>
      <c r="T719" s="3"/>
    </row>
    <row r="720" spans="6:20" ht="14.25" customHeight="1" x14ac:dyDescent="0.3">
      <c r="F720" s="2"/>
      <c r="N720" s="3"/>
      <c r="S720" s="2"/>
      <c r="T720" s="3"/>
    </row>
    <row r="721" spans="6:20" ht="14.25" customHeight="1" x14ac:dyDescent="0.3">
      <c r="F721" s="2"/>
      <c r="N721" s="3"/>
      <c r="S721" s="2"/>
      <c r="T721" s="3"/>
    </row>
    <row r="722" spans="6:20" ht="14.25" customHeight="1" x14ac:dyDescent="0.3">
      <c r="F722" s="2"/>
      <c r="N722" s="3"/>
      <c r="S722" s="2"/>
      <c r="T722" s="3"/>
    </row>
    <row r="723" spans="6:20" ht="14.25" customHeight="1" x14ac:dyDescent="0.3">
      <c r="F723" s="2"/>
      <c r="N723" s="3"/>
      <c r="S723" s="2"/>
      <c r="T723" s="3"/>
    </row>
    <row r="724" spans="6:20" ht="14.25" customHeight="1" x14ac:dyDescent="0.3">
      <c r="F724" s="2"/>
      <c r="N724" s="3"/>
      <c r="S724" s="2"/>
      <c r="T724" s="3"/>
    </row>
    <row r="725" spans="6:20" ht="14.25" customHeight="1" x14ac:dyDescent="0.3">
      <c r="F725" s="2"/>
      <c r="N725" s="3"/>
      <c r="S725" s="2"/>
      <c r="T725" s="3"/>
    </row>
    <row r="726" spans="6:20" ht="14.25" customHeight="1" x14ac:dyDescent="0.3">
      <c r="F726" s="2"/>
      <c r="N726" s="3"/>
      <c r="S726" s="2"/>
      <c r="T726" s="3"/>
    </row>
    <row r="727" spans="6:20" ht="14.25" customHeight="1" x14ac:dyDescent="0.3">
      <c r="F727" s="2"/>
      <c r="N727" s="3"/>
      <c r="S727" s="2"/>
      <c r="T727" s="3"/>
    </row>
    <row r="728" spans="6:20" ht="14.25" customHeight="1" x14ac:dyDescent="0.3">
      <c r="F728" s="2"/>
      <c r="N728" s="3"/>
      <c r="S728" s="2"/>
      <c r="T728" s="3"/>
    </row>
    <row r="729" spans="6:20" ht="14.25" customHeight="1" x14ac:dyDescent="0.3">
      <c r="F729" s="2"/>
      <c r="N729" s="3"/>
      <c r="S729" s="2"/>
      <c r="T729" s="3"/>
    </row>
    <row r="730" spans="6:20" ht="14.25" customHeight="1" x14ac:dyDescent="0.3">
      <c r="F730" s="2"/>
      <c r="N730" s="3"/>
      <c r="S730" s="2"/>
      <c r="T730" s="3"/>
    </row>
    <row r="731" spans="6:20" ht="14.25" customHeight="1" x14ac:dyDescent="0.3">
      <c r="F731" s="2"/>
      <c r="N731" s="3"/>
      <c r="S731" s="2"/>
      <c r="T731" s="3"/>
    </row>
    <row r="732" spans="6:20" ht="14.25" customHeight="1" x14ac:dyDescent="0.3">
      <c r="F732" s="2"/>
      <c r="N732" s="3"/>
      <c r="S732" s="2"/>
      <c r="T732" s="3"/>
    </row>
    <row r="733" spans="6:20" ht="14.25" customHeight="1" x14ac:dyDescent="0.3">
      <c r="F733" s="2"/>
      <c r="N733" s="3"/>
      <c r="S733" s="2"/>
      <c r="T733" s="3"/>
    </row>
    <row r="734" spans="6:20" ht="14.25" customHeight="1" x14ac:dyDescent="0.3">
      <c r="F734" s="2"/>
      <c r="N734" s="3"/>
      <c r="S734" s="2"/>
      <c r="T734" s="3"/>
    </row>
    <row r="735" spans="6:20" ht="14.25" customHeight="1" x14ac:dyDescent="0.3">
      <c r="F735" s="2"/>
      <c r="N735" s="3"/>
      <c r="S735" s="2"/>
      <c r="T735" s="3"/>
    </row>
    <row r="736" spans="6:20" ht="14.25" customHeight="1" x14ac:dyDescent="0.3">
      <c r="F736" s="2"/>
      <c r="N736" s="3"/>
      <c r="S736" s="2"/>
      <c r="T736" s="3"/>
    </row>
    <row r="737" spans="6:20" ht="14.25" customHeight="1" x14ac:dyDescent="0.3">
      <c r="F737" s="2"/>
      <c r="N737" s="3"/>
      <c r="S737" s="2"/>
      <c r="T737" s="3"/>
    </row>
    <row r="738" spans="6:20" ht="14.25" customHeight="1" x14ac:dyDescent="0.3">
      <c r="F738" s="2"/>
      <c r="N738" s="3"/>
      <c r="S738" s="2"/>
      <c r="T738" s="3"/>
    </row>
    <row r="739" spans="6:20" ht="14.25" customHeight="1" x14ac:dyDescent="0.3">
      <c r="F739" s="2"/>
      <c r="N739" s="3"/>
      <c r="S739" s="2"/>
      <c r="T739" s="3"/>
    </row>
    <row r="740" spans="6:20" ht="14.25" customHeight="1" x14ac:dyDescent="0.3">
      <c r="F740" s="2"/>
      <c r="N740" s="3"/>
      <c r="S740" s="2"/>
      <c r="T740" s="3"/>
    </row>
    <row r="741" spans="6:20" ht="14.25" customHeight="1" x14ac:dyDescent="0.3">
      <c r="F741" s="2"/>
      <c r="N741" s="3"/>
      <c r="S741" s="2"/>
      <c r="T741" s="3"/>
    </row>
    <row r="742" spans="6:20" ht="14.25" customHeight="1" x14ac:dyDescent="0.3">
      <c r="F742" s="2"/>
      <c r="N742" s="3"/>
      <c r="S742" s="2"/>
      <c r="T742" s="3"/>
    </row>
    <row r="743" spans="6:20" ht="14.25" customHeight="1" x14ac:dyDescent="0.3">
      <c r="F743" s="2"/>
      <c r="N743" s="3"/>
      <c r="S743" s="2"/>
      <c r="T743" s="3"/>
    </row>
    <row r="744" spans="6:20" ht="14.25" customHeight="1" x14ac:dyDescent="0.3">
      <c r="F744" s="2"/>
      <c r="N744" s="3"/>
      <c r="S744" s="2"/>
      <c r="T744" s="3"/>
    </row>
    <row r="745" spans="6:20" ht="14.25" customHeight="1" x14ac:dyDescent="0.3">
      <c r="F745" s="2"/>
      <c r="N745" s="3"/>
      <c r="S745" s="2"/>
      <c r="T745" s="3"/>
    </row>
    <row r="746" spans="6:20" ht="14.25" customHeight="1" x14ac:dyDescent="0.3">
      <c r="F746" s="2"/>
      <c r="N746" s="3"/>
      <c r="S746" s="2"/>
      <c r="T746" s="3"/>
    </row>
    <row r="747" spans="6:20" ht="14.25" customHeight="1" x14ac:dyDescent="0.3">
      <c r="F747" s="2"/>
      <c r="N747" s="3"/>
      <c r="S747" s="2"/>
      <c r="T747" s="3"/>
    </row>
    <row r="748" spans="6:20" ht="14.25" customHeight="1" x14ac:dyDescent="0.3">
      <c r="F748" s="2"/>
      <c r="N748" s="3"/>
      <c r="S748" s="2"/>
      <c r="T748" s="3"/>
    </row>
    <row r="749" spans="6:20" ht="14.25" customHeight="1" x14ac:dyDescent="0.3">
      <c r="F749" s="2"/>
      <c r="N749" s="3"/>
      <c r="S749" s="2"/>
      <c r="T749" s="3"/>
    </row>
    <row r="750" spans="6:20" ht="14.25" customHeight="1" x14ac:dyDescent="0.3">
      <c r="F750" s="2"/>
      <c r="N750" s="3"/>
      <c r="S750" s="2"/>
      <c r="T750" s="3"/>
    </row>
    <row r="751" spans="6:20" ht="14.25" customHeight="1" x14ac:dyDescent="0.3">
      <c r="F751" s="2"/>
      <c r="N751" s="3"/>
      <c r="S751" s="2"/>
      <c r="T751" s="3"/>
    </row>
    <row r="752" spans="6:20" ht="14.25" customHeight="1" x14ac:dyDescent="0.3">
      <c r="F752" s="2"/>
      <c r="N752" s="3"/>
      <c r="S752" s="2"/>
      <c r="T752" s="3"/>
    </row>
    <row r="753" spans="6:20" ht="14.25" customHeight="1" x14ac:dyDescent="0.3">
      <c r="F753" s="2"/>
      <c r="N753" s="3"/>
      <c r="S753" s="2"/>
      <c r="T753" s="3"/>
    </row>
    <row r="754" spans="6:20" ht="14.25" customHeight="1" x14ac:dyDescent="0.3">
      <c r="F754" s="2"/>
      <c r="N754" s="3"/>
      <c r="S754" s="2"/>
      <c r="T754" s="3"/>
    </row>
    <row r="755" spans="6:20" ht="14.25" customHeight="1" x14ac:dyDescent="0.3">
      <c r="F755" s="2"/>
      <c r="N755" s="3"/>
      <c r="S755" s="2"/>
      <c r="T755" s="3"/>
    </row>
    <row r="756" spans="6:20" ht="14.25" customHeight="1" x14ac:dyDescent="0.3">
      <c r="F756" s="2"/>
      <c r="N756" s="3"/>
      <c r="S756" s="2"/>
      <c r="T756" s="3"/>
    </row>
    <row r="757" spans="6:20" ht="14.25" customHeight="1" x14ac:dyDescent="0.3">
      <c r="F757" s="2"/>
      <c r="N757" s="3"/>
      <c r="S757" s="2"/>
      <c r="T757" s="3"/>
    </row>
    <row r="758" spans="6:20" ht="14.25" customHeight="1" x14ac:dyDescent="0.3">
      <c r="F758" s="2"/>
      <c r="N758" s="3"/>
      <c r="S758" s="2"/>
      <c r="T758" s="3"/>
    </row>
    <row r="759" spans="6:20" ht="14.25" customHeight="1" x14ac:dyDescent="0.3">
      <c r="F759" s="2"/>
      <c r="N759" s="3"/>
      <c r="S759" s="2"/>
      <c r="T759" s="3"/>
    </row>
    <row r="760" spans="6:20" ht="14.25" customHeight="1" x14ac:dyDescent="0.3">
      <c r="F760" s="2"/>
      <c r="N760" s="3"/>
      <c r="S760" s="2"/>
      <c r="T760" s="3"/>
    </row>
    <row r="761" spans="6:20" ht="14.25" customHeight="1" x14ac:dyDescent="0.3">
      <c r="F761" s="2"/>
      <c r="N761" s="3"/>
      <c r="S761" s="2"/>
      <c r="T761" s="3"/>
    </row>
    <row r="762" spans="6:20" ht="14.25" customHeight="1" x14ac:dyDescent="0.3">
      <c r="F762" s="2"/>
      <c r="N762" s="3"/>
      <c r="S762" s="2"/>
      <c r="T762" s="3"/>
    </row>
    <row r="763" spans="6:20" ht="14.25" customHeight="1" x14ac:dyDescent="0.3">
      <c r="F763" s="2"/>
      <c r="N763" s="3"/>
      <c r="S763" s="2"/>
      <c r="T763" s="3"/>
    </row>
    <row r="764" spans="6:20" ht="14.25" customHeight="1" x14ac:dyDescent="0.3">
      <c r="F764" s="2"/>
      <c r="N764" s="3"/>
      <c r="S764" s="2"/>
      <c r="T764" s="3"/>
    </row>
    <row r="765" spans="6:20" ht="14.25" customHeight="1" x14ac:dyDescent="0.3">
      <c r="F765" s="2"/>
      <c r="N765" s="3"/>
      <c r="S765" s="2"/>
      <c r="T765" s="3"/>
    </row>
    <row r="766" spans="6:20" ht="14.25" customHeight="1" x14ac:dyDescent="0.3">
      <c r="F766" s="2"/>
      <c r="N766" s="3"/>
      <c r="S766" s="2"/>
      <c r="T766" s="3"/>
    </row>
    <row r="767" spans="6:20" ht="14.25" customHeight="1" x14ac:dyDescent="0.3">
      <c r="F767" s="2"/>
      <c r="N767" s="3"/>
      <c r="S767" s="2"/>
      <c r="T767" s="3"/>
    </row>
    <row r="768" spans="6:20" ht="14.25" customHeight="1" x14ac:dyDescent="0.3">
      <c r="F768" s="2"/>
      <c r="N768" s="3"/>
      <c r="S768" s="2"/>
      <c r="T768" s="3"/>
    </row>
    <row r="769" spans="6:20" ht="14.25" customHeight="1" x14ac:dyDescent="0.3">
      <c r="F769" s="2"/>
      <c r="N769" s="3"/>
      <c r="S769" s="2"/>
      <c r="T769" s="3"/>
    </row>
    <row r="770" spans="6:20" ht="14.25" customHeight="1" x14ac:dyDescent="0.3">
      <c r="F770" s="2"/>
      <c r="N770" s="3"/>
      <c r="S770" s="2"/>
      <c r="T770" s="3"/>
    </row>
    <row r="771" spans="6:20" ht="14.25" customHeight="1" x14ac:dyDescent="0.3">
      <c r="F771" s="2"/>
      <c r="N771" s="3"/>
      <c r="S771" s="2"/>
      <c r="T771" s="3"/>
    </row>
    <row r="772" spans="6:20" ht="14.25" customHeight="1" x14ac:dyDescent="0.3">
      <c r="F772" s="2"/>
      <c r="N772" s="3"/>
      <c r="S772" s="2"/>
      <c r="T772" s="3"/>
    </row>
    <row r="773" spans="6:20" ht="14.25" customHeight="1" x14ac:dyDescent="0.3">
      <c r="F773" s="2"/>
      <c r="N773" s="3"/>
      <c r="S773" s="2"/>
      <c r="T773" s="3"/>
    </row>
    <row r="774" spans="6:20" ht="14.25" customHeight="1" x14ac:dyDescent="0.3">
      <c r="F774" s="2"/>
      <c r="N774" s="3"/>
      <c r="S774" s="2"/>
      <c r="T774" s="3"/>
    </row>
    <row r="775" spans="6:20" ht="14.25" customHeight="1" x14ac:dyDescent="0.3">
      <c r="F775" s="2"/>
      <c r="N775" s="3"/>
      <c r="S775" s="2"/>
      <c r="T775" s="3"/>
    </row>
    <row r="776" spans="6:20" ht="14.25" customHeight="1" x14ac:dyDescent="0.3">
      <c r="F776" s="2"/>
      <c r="N776" s="3"/>
      <c r="S776" s="2"/>
      <c r="T776" s="3"/>
    </row>
    <row r="777" spans="6:20" ht="14.25" customHeight="1" x14ac:dyDescent="0.3">
      <c r="F777" s="2"/>
      <c r="N777" s="3"/>
      <c r="S777" s="2"/>
      <c r="T777" s="3"/>
    </row>
    <row r="778" spans="6:20" ht="14.25" customHeight="1" x14ac:dyDescent="0.3">
      <c r="F778" s="2"/>
      <c r="N778" s="3"/>
      <c r="S778" s="2"/>
      <c r="T778" s="3"/>
    </row>
    <row r="779" spans="6:20" ht="14.25" customHeight="1" x14ac:dyDescent="0.3">
      <c r="F779" s="2"/>
      <c r="N779" s="3"/>
      <c r="S779" s="2"/>
      <c r="T779" s="3"/>
    </row>
    <row r="780" spans="6:20" ht="14.25" customHeight="1" x14ac:dyDescent="0.3">
      <c r="F780" s="2"/>
      <c r="N780" s="3"/>
      <c r="S780" s="2"/>
      <c r="T780" s="3"/>
    </row>
    <row r="781" spans="6:20" ht="14.25" customHeight="1" x14ac:dyDescent="0.3">
      <c r="F781" s="2"/>
      <c r="N781" s="3"/>
      <c r="S781" s="2"/>
      <c r="T781" s="3"/>
    </row>
    <row r="782" spans="6:20" ht="14.25" customHeight="1" x14ac:dyDescent="0.3">
      <c r="F782" s="2"/>
      <c r="N782" s="3"/>
      <c r="S782" s="2"/>
      <c r="T782" s="3"/>
    </row>
    <row r="783" spans="6:20" ht="14.25" customHeight="1" x14ac:dyDescent="0.3">
      <c r="F783" s="2"/>
      <c r="N783" s="3"/>
      <c r="S783" s="2"/>
      <c r="T783" s="3"/>
    </row>
    <row r="784" spans="6:20" ht="14.25" customHeight="1" x14ac:dyDescent="0.3">
      <c r="F784" s="2"/>
      <c r="N784" s="3"/>
      <c r="S784" s="2"/>
      <c r="T784" s="3"/>
    </row>
    <row r="785" spans="6:20" ht="14.25" customHeight="1" x14ac:dyDescent="0.3">
      <c r="F785" s="2"/>
      <c r="N785" s="3"/>
      <c r="S785" s="2"/>
      <c r="T785" s="3"/>
    </row>
    <row r="786" spans="6:20" ht="14.25" customHeight="1" x14ac:dyDescent="0.3">
      <c r="F786" s="2"/>
      <c r="N786" s="3"/>
      <c r="S786" s="2"/>
      <c r="T786" s="3"/>
    </row>
    <row r="787" spans="6:20" ht="14.25" customHeight="1" x14ac:dyDescent="0.3">
      <c r="F787" s="2"/>
      <c r="N787" s="3"/>
      <c r="S787" s="2"/>
      <c r="T787" s="3"/>
    </row>
    <row r="788" spans="6:20" ht="14.25" customHeight="1" x14ac:dyDescent="0.3">
      <c r="F788" s="2"/>
      <c r="N788" s="3"/>
      <c r="S788" s="2"/>
      <c r="T788" s="3"/>
    </row>
    <row r="789" spans="6:20" ht="14.25" customHeight="1" x14ac:dyDescent="0.3">
      <c r="F789" s="2"/>
      <c r="N789" s="3"/>
      <c r="S789" s="2"/>
      <c r="T789" s="3"/>
    </row>
    <row r="790" spans="6:20" ht="14.25" customHeight="1" x14ac:dyDescent="0.3">
      <c r="F790" s="2"/>
      <c r="N790" s="3"/>
      <c r="S790" s="2"/>
      <c r="T790" s="3"/>
    </row>
    <row r="791" spans="6:20" ht="14.25" customHeight="1" x14ac:dyDescent="0.3">
      <c r="F791" s="2"/>
      <c r="N791" s="3"/>
      <c r="S791" s="2"/>
      <c r="T791" s="3"/>
    </row>
    <row r="792" spans="6:20" ht="14.25" customHeight="1" x14ac:dyDescent="0.3">
      <c r="F792" s="2"/>
      <c r="N792" s="3"/>
      <c r="S792" s="2"/>
      <c r="T792" s="3"/>
    </row>
    <row r="793" spans="6:20" ht="14.25" customHeight="1" x14ac:dyDescent="0.3">
      <c r="F793" s="2"/>
      <c r="N793" s="3"/>
      <c r="S793" s="2"/>
      <c r="T793" s="3"/>
    </row>
    <row r="794" spans="6:20" ht="14.25" customHeight="1" x14ac:dyDescent="0.3">
      <c r="F794" s="2"/>
      <c r="N794" s="3"/>
      <c r="S794" s="2"/>
      <c r="T794" s="3"/>
    </row>
    <row r="795" spans="6:20" ht="14.25" customHeight="1" x14ac:dyDescent="0.3">
      <c r="F795" s="2"/>
      <c r="N795" s="3"/>
      <c r="S795" s="2"/>
      <c r="T795" s="3"/>
    </row>
    <row r="796" spans="6:20" ht="14.25" customHeight="1" x14ac:dyDescent="0.3">
      <c r="F796" s="2"/>
      <c r="N796" s="3"/>
      <c r="S796" s="2"/>
      <c r="T796" s="3"/>
    </row>
    <row r="797" spans="6:20" ht="14.25" customHeight="1" x14ac:dyDescent="0.3">
      <c r="F797" s="2"/>
      <c r="N797" s="3"/>
      <c r="S797" s="2"/>
      <c r="T797" s="3"/>
    </row>
    <row r="798" spans="6:20" ht="14.25" customHeight="1" x14ac:dyDescent="0.3">
      <c r="F798" s="2"/>
      <c r="N798" s="3"/>
      <c r="S798" s="2"/>
      <c r="T798" s="3"/>
    </row>
    <row r="799" spans="6:20" ht="14.25" customHeight="1" x14ac:dyDescent="0.3">
      <c r="F799" s="2"/>
      <c r="N799" s="3"/>
      <c r="S799" s="2"/>
      <c r="T799" s="3"/>
    </row>
    <row r="800" spans="6:20" ht="14.25" customHeight="1" x14ac:dyDescent="0.3">
      <c r="F800" s="2"/>
      <c r="N800" s="3"/>
      <c r="S800" s="2"/>
      <c r="T800" s="3"/>
    </row>
    <row r="801" spans="6:20" ht="14.25" customHeight="1" x14ac:dyDescent="0.3">
      <c r="F801" s="2"/>
      <c r="N801" s="3"/>
      <c r="S801" s="2"/>
      <c r="T801" s="3"/>
    </row>
    <row r="802" spans="6:20" ht="14.25" customHeight="1" x14ac:dyDescent="0.3">
      <c r="F802" s="2"/>
      <c r="N802" s="3"/>
      <c r="S802" s="2"/>
      <c r="T802" s="3"/>
    </row>
    <row r="803" spans="6:20" ht="14.25" customHeight="1" x14ac:dyDescent="0.3">
      <c r="F803" s="2"/>
      <c r="N803" s="3"/>
      <c r="S803" s="2"/>
      <c r="T803" s="3"/>
    </row>
    <row r="804" spans="6:20" ht="14.25" customHeight="1" x14ac:dyDescent="0.3">
      <c r="F804" s="2"/>
      <c r="N804" s="3"/>
      <c r="S804" s="2"/>
      <c r="T804" s="3"/>
    </row>
    <row r="805" spans="6:20" ht="14.25" customHeight="1" x14ac:dyDescent="0.3">
      <c r="F805" s="2"/>
      <c r="N805" s="3"/>
      <c r="S805" s="2"/>
      <c r="T805" s="3"/>
    </row>
    <row r="806" spans="6:20" ht="14.25" customHeight="1" x14ac:dyDescent="0.3">
      <c r="F806" s="2"/>
      <c r="N806" s="3"/>
      <c r="S806" s="2"/>
      <c r="T806" s="3"/>
    </row>
    <row r="807" spans="6:20" ht="14.25" customHeight="1" x14ac:dyDescent="0.3">
      <c r="F807" s="2"/>
      <c r="N807" s="3"/>
      <c r="S807" s="2"/>
      <c r="T807" s="3"/>
    </row>
    <row r="808" spans="6:20" ht="14.25" customHeight="1" x14ac:dyDescent="0.3">
      <c r="F808" s="2"/>
      <c r="N808" s="3"/>
      <c r="S808" s="2"/>
      <c r="T808" s="3"/>
    </row>
    <row r="809" spans="6:20" ht="14.25" customHeight="1" x14ac:dyDescent="0.3">
      <c r="F809" s="2"/>
      <c r="N809" s="3"/>
      <c r="S809" s="2"/>
      <c r="T809" s="3"/>
    </row>
    <row r="810" spans="6:20" ht="14.25" customHeight="1" x14ac:dyDescent="0.3">
      <c r="F810" s="2"/>
      <c r="N810" s="3"/>
      <c r="S810" s="2"/>
      <c r="T810" s="3"/>
    </row>
    <row r="811" spans="6:20" ht="14.25" customHeight="1" x14ac:dyDescent="0.3">
      <c r="F811" s="2"/>
      <c r="N811" s="3"/>
      <c r="S811" s="2"/>
      <c r="T811" s="3"/>
    </row>
    <row r="812" spans="6:20" ht="14.25" customHeight="1" x14ac:dyDescent="0.3">
      <c r="F812" s="2"/>
      <c r="N812" s="3"/>
      <c r="S812" s="2"/>
      <c r="T812" s="3"/>
    </row>
    <row r="813" spans="6:20" ht="14.25" customHeight="1" x14ac:dyDescent="0.3">
      <c r="F813" s="2"/>
      <c r="N813" s="3"/>
      <c r="S813" s="2"/>
      <c r="T813" s="3"/>
    </row>
    <row r="814" spans="6:20" ht="14.25" customHeight="1" x14ac:dyDescent="0.3">
      <c r="F814" s="2"/>
      <c r="N814" s="3"/>
      <c r="S814" s="2"/>
      <c r="T814" s="3"/>
    </row>
    <row r="815" spans="6:20" ht="14.25" customHeight="1" x14ac:dyDescent="0.3">
      <c r="F815" s="2"/>
      <c r="N815" s="3"/>
      <c r="S815" s="2"/>
      <c r="T815" s="3"/>
    </row>
    <row r="816" spans="6:20" ht="14.25" customHeight="1" x14ac:dyDescent="0.3">
      <c r="F816" s="2"/>
      <c r="N816" s="3"/>
      <c r="S816" s="2"/>
      <c r="T816" s="3"/>
    </row>
    <row r="817" spans="6:20" ht="14.25" customHeight="1" x14ac:dyDescent="0.3">
      <c r="F817" s="2"/>
      <c r="N817" s="3"/>
      <c r="S817" s="2"/>
      <c r="T817" s="3"/>
    </row>
    <row r="818" spans="6:20" ht="14.25" customHeight="1" x14ac:dyDescent="0.3">
      <c r="F818" s="2"/>
      <c r="N818" s="3"/>
      <c r="S818" s="2"/>
      <c r="T818" s="3"/>
    </row>
    <row r="819" spans="6:20" ht="14.25" customHeight="1" x14ac:dyDescent="0.3">
      <c r="F819" s="2"/>
      <c r="N819" s="3"/>
      <c r="S819" s="2"/>
      <c r="T819" s="3"/>
    </row>
    <row r="820" spans="6:20" ht="14.25" customHeight="1" x14ac:dyDescent="0.3">
      <c r="F820" s="2"/>
      <c r="N820" s="3"/>
      <c r="S820" s="2"/>
      <c r="T820" s="3"/>
    </row>
    <row r="821" spans="6:20" ht="14.25" customHeight="1" x14ac:dyDescent="0.3">
      <c r="F821" s="2"/>
      <c r="N821" s="3"/>
      <c r="S821" s="2"/>
      <c r="T821" s="3"/>
    </row>
    <row r="822" spans="6:20" ht="14.25" customHeight="1" x14ac:dyDescent="0.3">
      <c r="F822" s="2"/>
      <c r="N822" s="3"/>
      <c r="S822" s="2"/>
      <c r="T822" s="3"/>
    </row>
    <row r="823" spans="6:20" ht="14.25" customHeight="1" x14ac:dyDescent="0.3">
      <c r="F823" s="2"/>
      <c r="N823" s="3"/>
      <c r="S823" s="2"/>
      <c r="T823" s="3"/>
    </row>
    <row r="824" spans="6:20" ht="14.25" customHeight="1" x14ac:dyDescent="0.3">
      <c r="F824" s="2"/>
      <c r="N824" s="3"/>
      <c r="S824" s="2"/>
      <c r="T824" s="3"/>
    </row>
    <row r="825" spans="6:20" ht="14.25" customHeight="1" x14ac:dyDescent="0.3">
      <c r="F825" s="2"/>
      <c r="N825" s="3"/>
      <c r="S825" s="2"/>
      <c r="T825" s="3"/>
    </row>
    <row r="826" spans="6:20" ht="14.25" customHeight="1" x14ac:dyDescent="0.3">
      <c r="F826" s="2"/>
      <c r="N826" s="3"/>
      <c r="S826" s="2"/>
      <c r="T826" s="3"/>
    </row>
    <row r="827" spans="6:20" ht="14.25" customHeight="1" x14ac:dyDescent="0.3">
      <c r="F827" s="2"/>
      <c r="N827" s="3"/>
      <c r="S827" s="2"/>
      <c r="T827" s="3"/>
    </row>
    <row r="828" spans="6:20" ht="14.25" customHeight="1" x14ac:dyDescent="0.3">
      <c r="F828" s="2"/>
      <c r="N828" s="3"/>
      <c r="S828" s="2"/>
      <c r="T828" s="3"/>
    </row>
    <row r="829" spans="6:20" ht="14.25" customHeight="1" x14ac:dyDescent="0.3">
      <c r="F829" s="2"/>
      <c r="N829" s="3"/>
      <c r="S829" s="2"/>
      <c r="T829" s="3"/>
    </row>
    <row r="830" spans="6:20" ht="14.25" customHeight="1" x14ac:dyDescent="0.3">
      <c r="F830" s="2"/>
      <c r="N830" s="3"/>
      <c r="S830" s="2"/>
      <c r="T830" s="3"/>
    </row>
    <row r="831" spans="6:20" ht="14.25" customHeight="1" x14ac:dyDescent="0.3">
      <c r="F831" s="2"/>
      <c r="N831" s="3"/>
      <c r="S831" s="2"/>
      <c r="T831" s="3"/>
    </row>
    <row r="832" spans="6:20" ht="14.25" customHeight="1" x14ac:dyDescent="0.3">
      <c r="F832" s="2"/>
      <c r="N832" s="3"/>
      <c r="S832" s="2"/>
      <c r="T832" s="3"/>
    </row>
    <row r="833" spans="6:20" ht="14.25" customHeight="1" x14ac:dyDescent="0.3">
      <c r="F833" s="2"/>
      <c r="N833" s="3"/>
      <c r="S833" s="2"/>
      <c r="T833" s="3"/>
    </row>
    <row r="834" spans="6:20" ht="14.25" customHeight="1" x14ac:dyDescent="0.3">
      <c r="F834" s="2"/>
      <c r="N834" s="3"/>
      <c r="S834" s="2"/>
      <c r="T834" s="3"/>
    </row>
    <row r="835" spans="6:20" ht="14.25" customHeight="1" x14ac:dyDescent="0.3">
      <c r="F835" s="2"/>
      <c r="N835" s="3"/>
      <c r="S835" s="2"/>
      <c r="T835" s="3"/>
    </row>
    <row r="836" spans="6:20" ht="14.25" customHeight="1" x14ac:dyDescent="0.3">
      <c r="F836" s="2"/>
      <c r="N836" s="3"/>
      <c r="S836" s="2"/>
      <c r="T836" s="3"/>
    </row>
    <row r="837" spans="6:20" ht="14.25" customHeight="1" x14ac:dyDescent="0.3">
      <c r="F837" s="2"/>
      <c r="N837" s="3"/>
      <c r="S837" s="2"/>
      <c r="T837" s="3"/>
    </row>
    <row r="838" spans="6:20" ht="14.25" customHeight="1" x14ac:dyDescent="0.3">
      <c r="F838" s="2"/>
      <c r="N838" s="3"/>
      <c r="S838" s="2"/>
      <c r="T838" s="3"/>
    </row>
    <row r="839" spans="6:20" ht="14.25" customHeight="1" x14ac:dyDescent="0.3">
      <c r="F839" s="2"/>
      <c r="N839" s="3"/>
      <c r="S839" s="2"/>
      <c r="T839" s="3"/>
    </row>
    <row r="840" spans="6:20" ht="14.25" customHeight="1" x14ac:dyDescent="0.3">
      <c r="F840" s="2"/>
      <c r="N840" s="3"/>
      <c r="S840" s="2"/>
      <c r="T840" s="3"/>
    </row>
    <row r="841" spans="6:20" ht="14.25" customHeight="1" x14ac:dyDescent="0.3">
      <c r="F841" s="2"/>
      <c r="N841" s="3"/>
      <c r="S841" s="2"/>
      <c r="T841" s="3"/>
    </row>
    <row r="842" spans="6:20" ht="14.25" customHeight="1" x14ac:dyDescent="0.3">
      <c r="F842" s="2"/>
      <c r="N842" s="3"/>
      <c r="S842" s="2"/>
      <c r="T842" s="3"/>
    </row>
    <row r="843" spans="6:20" ht="14.25" customHeight="1" x14ac:dyDescent="0.3">
      <c r="F843" s="2"/>
      <c r="N843" s="3"/>
      <c r="S843" s="2"/>
      <c r="T843" s="3"/>
    </row>
    <row r="844" spans="6:20" ht="14.25" customHeight="1" x14ac:dyDescent="0.3">
      <c r="F844" s="2"/>
      <c r="N844" s="3"/>
      <c r="S844" s="2"/>
      <c r="T844" s="3"/>
    </row>
    <row r="845" spans="6:20" ht="14.25" customHeight="1" x14ac:dyDescent="0.3">
      <c r="F845" s="2"/>
      <c r="N845" s="3"/>
      <c r="S845" s="2"/>
      <c r="T845" s="3"/>
    </row>
    <row r="846" spans="6:20" ht="14.25" customHeight="1" x14ac:dyDescent="0.3">
      <c r="F846" s="2"/>
      <c r="N846" s="3"/>
      <c r="S846" s="2"/>
      <c r="T846" s="3"/>
    </row>
    <row r="847" spans="6:20" ht="14.25" customHeight="1" x14ac:dyDescent="0.3">
      <c r="F847" s="2"/>
      <c r="N847" s="3"/>
      <c r="S847" s="2"/>
      <c r="T847" s="3"/>
    </row>
    <row r="848" spans="6:20" ht="14.25" customHeight="1" x14ac:dyDescent="0.3">
      <c r="F848" s="2"/>
      <c r="N848" s="3"/>
      <c r="S848" s="2"/>
      <c r="T848" s="3"/>
    </row>
    <row r="849" spans="6:20" ht="14.25" customHeight="1" x14ac:dyDescent="0.3">
      <c r="F849" s="2"/>
      <c r="N849" s="3"/>
      <c r="S849" s="2"/>
      <c r="T849" s="3"/>
    </row>
    <row r="850" spans="6:20" ht="14.25" customHeight="1" x14ac:dyDescent="0.3">
      <c r="F850" s="2"/>
      <c r="N850" s="3"/>
      <c r="S850" s="2"/>
      <c r="T850" s="3"/>
    </row>
    <row r="851" spans="6:20" ht="14.25" customHeight="1" x14ac:dyDescent="0.3">
      <c r="F851" s="2"/>
      <c r="N851" s="3"/>
      <c r="S851" s="2"/>
      <c r="T851" s="3"/>
    </row>
    <row r="852" spans="6:20" ht="14.25" customHeight="1" x14ac:dyDescent="0.3">
      <c r="F852" s="2"/>
      <c r="N852" s="3"/>
      <c r="S852" s="2"/>
      <c r="T852" s="3"/>
    </row>
    <row r="853" spans="6:20" ht="14.25" customHeight="1" x14ac:dyDescent="0.3">
      <c r="F853" s="2"/>
      <c r="N853" s="3"/>
      <c r="S853" s="2"/>
      <c r="T853" s="3"/>
    </row>
    <row r="854" spans="6:20" ht="14.25" customHeight="1" x14ac:dyDescent="0.3">
      <c r="F854" s="2"/>
      <c r="N854" s="3"/>
      <c r="S854" s="2"/>
      <c r="T854" s="3"/>
    </row>
    <row r="855" spans="6:20" ht="14.25" customHeight="1" x14ac:dyDescent="0.3">
      <c r="F855" s="2"/>
      <c r="N855" s="3"/>
      <c r="S855" s="2"/>
      <c r="T855" s="3"/>
    </row>
    <row r="856" spans="6:20" ht="14.25" customHeight="1" x14ac:dyDescent="0.3">
      <c r="F856" s="2"/>
      <c r="N856" s="3"/>
      <c r="S856" s="2"/>
      <c r="T856" s="3"/>
    </row>
    <row r="857" spans="6:20" ht="14.25" customHeight="1" x14ac:dyDescent="0.3">
      <c r="F857" s="2"/>
      <c r="N857" s="3"/>
      <c r="S857" s="2"/>
      <c r="T857" s="3"/>
    </row>
    <row r="858" spans="6:20" ht="14.25" customHeight="1" x14ac:dyDescent="0.3">
      <c r="F858" s="2"/>
      <c r="N858" s="3"/>
      <c r="S858" s="2"/>
      <c r="T858" s="3"/>
    </row>
    <row r="859" spans="6:20" ht="14.25" customHeight="1" x14ac:dyDescent="0.3">
      <c r="F859" s="2"/>
      <c r="N859" s="3"/>
      <c r="S859" s="2"/>
      <c r="T859" s="3"/>
    </row>
    <row r="860" spans="6:20" ht="14.25" customHeight="1" x14ac:dyDescent="0.3">
      <c r="F860" s="2"/>
      <c r="N860" s="3"/>
      <c r="S860" s="2"/>
      <c r="T860" s="3"/>
    </row>
    <row r="861" spans="6:20" ht="14.25" customHeight="1" x14ac:dyDescent="0.3">
      <c r="F861" s="2"/>
      <c r="N861" s="3"/>
      <c r="S861" s="2"/>
      <c r="T861" s="3"/>
    </row>
    <row r="862" spans="6:20" ht="14.25" customHeight="1" x14ac:dyDescent="0.3">
      <c r="F862" s="2"/>
      <c r="N862" s="3"/>
      <c r="S862" s="2"/>
      <c r="T862" s="3"/>
    </row>
    <row r="863" spans="6:20" ht="14.25" customHeight="1" x14ac:dyDescent="0.3">
      <c r="F863" s="2"/>
      <c r="N863" s="3"/>
      <c r="S863" s="2"/>
      <c r="T863" s="3"/>
    </row>
    <row r="864" spans="6:20" ht="14.25" customHeight="1" x14ac:dyDescent="0.3">
      <c r="F864" s="2"/>
      <c r="N864" s="3"/>
      <c r="S864" s="2"/>
      <c r="T864" s="3"/>
    </row>
    <row r="865" spans="6:20" ht="14.25" customHeight="1" x14ac:dyDescent="0.3">
      <c r="F865" s="2"/>
      <c r="N865" s="3"/>
      <c r="S865" s="2"/>
      <c r="T865" s="3"/>
    </row>
    <row r="866" spans="6:20" ht="14.25" customHeight="1" x14ac:dyDescent="0.3">
      <c r="F866" s="2"/>
      <c r="N866" s="3"/>
      <c r="S866" s="2"/>
      <c r="T866" s="3"/>
    </row>
    <row r="867" spans="6:20" ht="14.25" customHeight="1" x14ac:dyDescent="0.3">
      <c r="F867" s="2"/>
      <c r="N867" s="3"/>
      <c r="S867" s="2"/>
      <c r="T867" s="3"/>
    </row>
    <row r="868" spans="6:20" ht="14.25" customHeight="1" x14ac:dyDescent="0.3">
      <c r="F868" s="2"/>
      <c r="N868" s="3"/>
      <c r="S868" s="2"/>
      <c r="T868" s="3"/>
    </row>
    <row r="869" spans="6:20" ht="14.25" customHeight="1" x14ac:dyDescent="0.3">
      <c r="F869" s="2"/>
      <c r="N869" s="3"/>
      <c r="S869" s="2"/>
      <c r="T869" s="3"/>
    </row>
    <row r="870" spans="6:20" ht="14.25" customHeight="1" x14ac:dyDescent="0.3">
      <c r="F870" s="2"/>
      <c r="N870" s="3"/>
      <c r="S870" s="2"/>
      <c r="T870" s="3"/>
    </row>
    <row r="871" spans="6:20" ht="14.25" customHeight="1" x14ac:dyDescent="0.3">
      <c r="F871" s="2"/>
      <c r="N871" s="3"/>
      <c r="S871" s="2"/>
      <c r="T871" s="3"/>
    </row>
    <row r="872" spans="6:20" ht="14.25" customHeight="1" x14ac:dyDescent="0.3">
      <c r="F872" s="2"/>
      <c r="N872" s="3"/>
      <c r="S872" s="2"/>
      <c r="T872" s="3"/>
    </row>
    <row r="873" spans="6:20" ht="14.25" customHeight="1" x14ac:dyDescent="0.3">
      <c r="F873" s="2"/>
      <c r="N873" s="3"/>
      <c r="S873" s="2"/>
      <c r="T873" s="3"/>
    </row>
    <row r="874" spans="6:20" ht="14.25" customHeight="1" x14ac:dyDescent="0.3">
      <c r="F874" s="2"/>
      <c r="N874" s="3"/>
      <c r="S874" s="2"/>
      <c r="T874" s="3"/>
    </row>
    <row r="875" spans="6:20" ht="14.25" customHeight="1" x14ac:dyDescent="0.3">
      <c r="F875" s="2"/>
      <c r="N875" s="3"/>
      <c r="S875" s="2"/>
      <c r="T875" s="3"/>
    </row>
    <row r="876" spans="6:20" ht="14.25" customHeight="1" x14ac:dyDescent="0.3">
      <c r="F876" s="2"/>
      <c r="N876" s="3"/>
      <c r="S876" s="2"/>
      <c r="T876" s="3"/>
    </row>
    <row r="877" spans="6:20" ht="14.25" customHeight="1" x14ac:dyDescent="0.3">
      <c r="F877" s="2"/>
      <c r="N877" s="3"/>
      <c r="S877" s="2"/>
      <c r="T877" s="3"/>
    </row>
    <row r="878" spans="6:20" ht="14.25" customHeight="1" x14ac:dyDescent="0.3">
      <c r="F878" s="2"/>
      <c r="N878" s="3"/>
      <c r="S878" s="2"/>
      <c r="T878" s="3"/>
    </row>
    <row r="879" spans="6:20" ht="14.25" customHeight="1" x14ac:dyDescent="0.3">
      <c r="F879" s="2"/>
      <c r="N879" s="3"/>
      <c r="S879" s="2"/>
      <c r="T879" s="3"/>
    </row>
    <row r="880" spans="6:20" ht="14.25" customHeight="1" x14ac:dyDescent="0.3">
      <c r="F880" s="2"/>
      <c r="N880" s="3"/>
      <c r="S880" s="2"/>
      <c r="T880" s="3"/>
    </row>
    <row r="881" spans="6:20" ht="14.25" customHeight="1" x14ac:dyDescent="0.3">
      <c r="F881" s="2"/>
      <c r="N881" s="3"/>
      <c r="S881" s="2"/>
      <c r="T881" s="3"/>
    </row>
    <row r="882" spans="6:20" ht="14.25" customHeight="1" x14ac:dyDescent="0.3">
      <c r="F882" s="2"/>
      <c r="N882" s="3"/>
      <c r="S882" s="2"/>
      <c r="T882" s="3"/>
    </row>
    <row r="883" spans="6:20" ht="14.25" customHeight="1" x14ac:dyDescent="0.3">
      <c r="F883" s="2"/>
      <c r="N883" s="3"/>
      <c r="S883" s="2"/>
      <c r="T883" s="3"/>
    </row>
    <row r="884" spans="6:20" ht="14.25" customHeight="1" x14ac:dyDescent="0.3">
      <c r="F884" s="2"/>
      <c r="N884" s="3"/>
      <c r="S884" s="2"/>
      <c r="T884" s="3"/>
    </row>
    <row r="885" spans="6:20" ht="14.25" customHeight="1" x14ac:dyDescent="0.3">
      <c r="F885" s="2"/>
      <c r="N885" s="3"/>
      <c r="S885" s="2"/>
      <c r="T885" s="3"/>
    </row>
    <row r="886" spans="6:20" ht="14.25" customHeight="1" x14ac:dyDescent="0.3">
      <c r="F886" s="2"/>
      <c r="N886" s="3"/>
      <c r="S886" s="2"/>
      <c r="T886" s="3"/>
    </row>
    <row r="887" spans="6:20" ht="14.25" customHeight="1" x14ac:dyDescent="0.3">
      <c r="F887" s="2"/>
      <c r="N887" s="3"/>
      <c r="S887" s="2"/>
      <c r="T887" s="3"/>
    </row>
    <row r="888" spans="6:20" ht="14.25" customHeight="1" x14ac:dyDescent="0.3">
      <c r="F888" s="2"/>
      <c r="N888" s="3"/>
      <c r="S888" s="2"/>
      <c r="T888" s="3"/>
    </row>
    <row r="889" spans="6:20" ht="14.25" customHeight="1" x14ac:dyDescent="0.3">
      <c r="F889" s="2"/>
      <c r="N889" s="3"/>
      <c r="S889" s="2"/>
      <c r="T889" s="3"/>
    </row>
    <row r="890" spans="6:20" ht="14.25" customHeight="1" x14ac:dyDescent="0.3">
      <c r="F890" s="2"/>
      <c r="N890" s="3"/>
      <c r="S890" s="2"/>
      <c r="T890" s="3"/>
    </row>
    <row r="891" spans="6:20" ht="14.25" customHeight="1" x14ac:dyDescent="0.3">
      <c r="F891" s="2"/>
      <c r="N891" s="3"/>
      <c r="S891" s="2"/>
      <c r="T891" s="3"/>
    </row>
    <row r="892" spans="6:20" ht="14.25" customHeight="1" x14ac:dyDescent="0.3">
      <c r="F892" s="2"/>
      <c r="N892" s="3"/>
      <c r="S892" s="2"/>
      <c r="T892" s="3"/>
    </row>
    <row r="893" spans="6:20" ht="14.25" customHeight="1" x14ac:dyDescent="0.3">
      <c r="F893" s="2"/>
      <c r="N893" s="3"/>
      <c r="S893" s="2"/>
      <c r="T893" s="3"/>
    </row>
    <row r="894" spans="6:20" ht="14.25" customHeight="1" x14ac:dyDescent="0.3">
      <c r="F894" s="2"/>
      <c r="N894" s="3"/>
      <c r="S894" s="2"/>
      <c r="T894" s="3"/>
    </row>
    <row r="895" spans="6:20" ht="14.25" customHeight="1" x14ac:dyDescent="0.3">
      <c r="F895" s="2"/>
      <c r="N895" s="3"/>
      <c r="S895" s="2"/>
      <c r="T895" s="3"/>
    </row>
    <row r="896" spans="6:20" ht="14.25" customHeight="1" x14ac:dyDescent="0.3">
      <c r="F896" s="2"/>
      <c r="N896" s="3"/>
      <c r="S896" s="2"/>
      <c r="T896" s="3"/>
    </row>
    <row r="897" spans="6:20" ht="14.25" customHeight="1" x14ac:dyDescent="0.3">
      <c r="F897" s="2"/>
      <c r="N897" s="3"/>
      <c r="S897" s="2"/>
      <c r="T897" s="3"/>
    </row>
    <row r="898" spans="6:20" ht="14.25" customHeight="1" x14ac:dyDescent="0.3">
      <c r="F898" s="2"/>
      <c r="N898" s="3"/>
      <c r="S898" s="2"/>
      <c r="T898" s="3"/>
    </row>
    <row r="899" spans="6:20" ht="14.25" customHeight="1" x14ac:dyDescent="0.3">
      <c r="F899" s="2"/>
      <c r="N899" s="3"/>
      <c r="S899" s="2"/>
      <c r="T899" s="3"/>
    </row>
    <row r="900" spans="6:20" ht="14.25" customHeight="1" x14ac:dyDescent="0.3">
      <c r="F900" s="2"/>
      <c r="N900" s="3"/>
      <c r="S900" s="2"/>
      <c r="T900" s="3"/>
    </row>
    <row r="901" spans="6:20" ht="14.25" customHeight="1" x14ac:dyDescent="0.3">
      <c r="F901" s="2"/>
      <c r="N901" s="3"/>
      <c r="S901" s="2"/>
      <c r="T901" s="3"/>
    </row>
    <row r="902" spans="6:20" ht="14.25" customHeight="1" x14ac:dyDescent="0.3">
      <c r="F902" s="2"/>
      <c r="N902" s="3"/>
      <c r="S902" s="2"/>
      <c r="T902" s="3"/>
    </row>
    <row r="903" spans="6:20" ht="14.25" customHeight="1" x14ac:dyDescent="0.3">
      <c r="F903" s="2"/>
      <c r="N903" s="3"/>
      <c r="S903" s="2"/>
      <c r="T903" s="3"/>
    </row>
    <row r="904" spans="6:20" ht="14.25" customHeight="1" x14ac:dyDescent="0.3">
      <c r="F904" s="2"/>
      <c r="N904" s="3"/>
      <c r="S904" s="2"/>
      <c r="T904" s="3"/>
    </row>
    <row r="905" spans="6:20" ht="14.25" customHeight="1" x14ac:dyDescent="0.3">
      <c r="F905" s="2"/>
      <c r="N905" s="3"/>
      <c r="S905" s="2"/>
      <c r="T905" s="3"/>
    </row>
    <row r="906" spans="6:20" ht="14.25" customHeight="1" x14ac:dyDescent="0.3">
      <c r="F906" s="2"/>
      <c r="N906" s="3"/>
      <c r="S906" s="2"/>
      <c r="T906" s="3"/>
    </row>
    <row r="907" spans="6:20" ht="14.25" customHeight="1" x14ac:dyDescent="0.3">
      <c r="F907" s="2"/>
      <c r="N907" s="3"/>
      <c r="S907" s="2"/>
      <c r="T907" s="3"/>
    </row>
    <row r="908" spans="6:20" ht="14.25" customHeight="1" x14ac:dyDescent="0.3">
      <c r="F908" s="2"/>
      <c r="N908" s="3"/>
      <c r="S908" s="2"/>
      <c r="T908" s="3"/>
    </row>
    <row r="909" spans="6:20" ht="14.25" customHeight="1" x14ac:dyDescent="0.3">
      <c r="F909" s="2"/>
      <c r="N909" s="3"/>
      <c r="S909" s="2"/>
      <c r="T909" s="3"/>
    </row>
    <row r="910" spans="6:20" ht="14.25" customHeight="1" x14ac:dyDescent="0.3">
      <c r="F910" s="2"/>
      <c r="N910" s="3"/>
      <c r="S910" s="2"/>
      <c r="T910" s="3"/>
    </row>
    <row r="911" spans="6:20" ht="14.25" customHeight="1" x14ac:dyDescent="0.3">
      <c r="F911" s="2"/>
      <c r="N911" s="3"/>
      <c r="S911" s="2"/>
      <c r="T911" s="3"/>
    </row>
    <row r="912" spans="6:20" ht="14.25" customHeight="1" x14ac:dyDescent="0.3">
      <c r="F912" s="2"/>
      <c r="N912" s="3"/>
      <c r="S912" s="2"/>
      <c r="T912" s="3"/>
    </row>
    <row r="913" spans="6:20" ht="14.25" customHeight="1" x14ac:dyDescent="0.3">
      <c r="F913" s="2"/>
      <c r="N913" s="3"/>
      <c r="S913" s="2"/>
      <c r="T913" s="3"/>
    </row>
    <row r="914" spans="6:20" ht="14.25" customHeight="1" x14ac:dyDescent="0.3">
      <c r="F914" s="2"/>
      <c r="N914" s="3"/>
      <c r="S914" s="2"/>
      <c r="T914" s="3"/>
    </row>
    <row r="915" spans="6:20" ht="14.25" customHeight="1" x14ac:dyDescent="0.3">
      <c r="F915" s="2"/>
      <c r="N915" s="3"/>
      <c r="S915" s="2"/>
      <c r="T915" s="3"/>
    </row>
    <row r="916" spans="6:20" ht="14.25" customHeight="1" x14ac:dyDescent="0.3">
      <c r="F916" s="2"/>
      <c r="N916" s="3"/>
      <c r="S916" s="2"/>
      <c r="T916" s="3"/>
    </row>
    <row r="917" spans="6:20" ht="14.25" customHeight="1" x14ac:dyDescent="0.3">
      <c r="F917" s="2"/>
      <c r="N917" s="3"/>
      <c r="S917" s="2"/>
      <c r="T917" s="3"/>
    </row>
    <row r="918" spans="6:20" ht="14.25" customHeight="1" x14ac:dyDescent="0.3">
      <c r="F918" s="2"/>
      <c r="N918" s="3"/>
      <c r="S918" s="2"/>
      <c r="T918" s="3"/>
    </row>
    <row r="919" spans="6:20" ht="14.25" customHeight="1" x14ac:dyDescent="0.3">
      <c r="F919" s="2"/>
      <c r="N919" s="3"/>
      <c r="S919" s="2"/>
      <c r="T919" s="3"/>
    </row>
    <row r="920" spans="6:20" ht="14.25" customHeight="1" x14ac:dyDescent="0.3">
      <c r="F920" s="2"/>
      <c r="N920" s="3"/>
      <c r="S920" s="2"/>
      <c r="T920" s="3"/>
    </row>
    <row r="921" spans="6:20" ht="14.25" customHeight="1" x14ac:dyDescent="0.3">
      <c r="F921" s="2"/>
      <c r="N921" s="3"/>
      <c r="S921" s="2"/>
      <c r="T921" s="3"/>
    </row>
    <row r="922" spans="6:20" ht="14.25" customHeight="1" x14ac:dyDescent="0.3">
      <c r="F922" s="2"/>
      <c r="N922" s="3"/>
      <c r="S922" s="2"/>
      <c r="T922" s="3"/>
    </row>
    <row r="923" spans="6:20" ht="14.25" customHeight="1" x14ac:dyDescent="0.3">
      <c r="F923" s="2"/>
      <c r="N923" s="3"/>
      <c r="S923" s="2"/>
      <c r="T923" s="3"/>
    </row>
    <row r="924" spans="6:20" ht="14.25" customHeight="1" x14ac:dyDescent="0.3">
      <c r="F924" s="2"/>
      <c r="N924" s="3"/>
      <c r="S924" s="2"/>
      <c r="T924" s="3"/>
    </row>
    <row r="925" spans="6:20" ht="14.25" customHeight="1" x14ac:dyDescent="0.3">
      <c r="F925" s="2"/>
      <c r="N925" s="3"/>
      <c r="S925" s="2"/>
      <c r="T925" s="3"/>
    </row>
    <row r="926" spans="6:20" ht="14.25" customHeight="1" x14ac:dyDescent="0.3">
      <c r="F926" s="2"/>
      <c r="N926" s="3"/>
      <c r="S926" s="2"/>
      <c r="T926" s="3"/>
    </row>
    <row r="927" spans="6:20" ht="14.25" customHeight="1" x14ac:dyDescent="0.3">
      <c r="F927" s="2"/>
      <c r="N927" s="3"/>
      <c r="S927" s="2"/>
      <c r="T927" s="3"/>
    </row>
    <row r="928" spans="6:20" ht="14.25" customHeight="1" x14ac:dyDescent="0.3">
      <c r="F928" s="2"/>
      <c r="N928" s="3"/>
      <c r="S928" s="2"/>
      <c r="T928" s="3"/>
    </row>
    <row r="929" spans="6:20" ht="14.25" customHeight="1" x14ac:dyDescent="0.3">
      <c r="F929" s="2"/>
      <c r="N929" s="3"/>
      <c r="S929" s="2"/>
      <c r="T929" s="3"/>
    </row>
    <row r="930" spans="6:20" ht="14.25" customHeight="1" x14ac:dyDescent="0.3">
      <c r="F930" s="2"/>
      <c r="N930" s="3"/>
      <c r="S930" s="2"/>
      <c r="T930" s="3"/>
    </row>
    <row r="931" spans="6:20" ht="14.25" customHeight="1" x14ac:dyDescent="0.3">
      <c r="F931" s="2"/>
      <c r="N931" s="3"/>
      <c r="S931" s="2"/>
      <c r="T931" s="3"/>
    </row>
    <row r="932" spans="6:20" ht="14.25" customHeight="1" x14ac:dyDescent="0.3">
      <c r="F932" s="2"/>
      <c r="N932" s="3"/>
      <c r="S932" s="2"/>
      <c r="T932" s="3"/>
    </row>
    <row r="933" spans="6:20" ht="14.25" customHeight="1" x14ac:dyDescent="0.3">
      <c r="F933" s="2"/>
      <c r="N933" s="3"/>
      <c r="S933" s="2"/>
      <c r="T933" s="3"/>
    </row>
    <row r="934" spans="6:20" ht="14.25" customHeight="1" x14ac:dyDescent="0.3">
      <c r="F934" s="2"/>
      <c r="N934" s="3"/>
      <c r="S934" s="2"/>
      <c r="T934" s="3"/>
    </row>
    <row r="935" spans="6:20" ht="14.25" customHeight="1" x14ac:dyDescent="0.3">
      <c r="F935" s="2"/>
      <c r="N935" s="3"/>
      <c r="S935" s="2"/>
      <c r="T935" s="3"/>
    </row>
    <row r="936" spans="6:20" ht="14.25" customHeight="1" x14ac:dyDescent="0.3">
      <c r="F936" s="2"/>
      <c r="N936" s="3"/>
      <c r="S936" s="2"/>
      <c r="T936" s="3"/>
    </row>
    <row r="937" spans="6:20" ht="14.25" customHeight="1" x14ac:dyDescent="0.3">
      <c r="F937" s="2"/>
      <c r="N937" s="3"/>
      <c r="S937" s="2"/>
      <c r="T937" s="3"/>
    </row>
    <row r="938" spans="6:20" ht="14.25" customHeight="1" x14ac:dyDescent="0.3">
      <c r="F938" s="2"/>
      <c r="N938" s="3"/>
      <c r="S938" s="2"/>
      <c r="T938" s="3"/>
    </row>
    <row r="939" spans="6:20" ht="14.25" customHeight="1" x14ac:dyDescent="0.3">
      <c r="F939" s="2"/>
      <c r="N939" s="3"/>
      <c r="S939" s="2"/>
      <c r="T939" s="3"/>
    </row>
    <row r="940" spans="6:20" ht="14.25" customHeight="1" x14ac:dyDescent="0.3">
      <c r="F940" s="2"/>
      <c r="N940" s="3"/>
      <c r="S940" s="2"/>
      <c r="T940" s="3"/>
    </row>
    <row r="941" spans="6:20" ht="14.25" customHeight="1" x14ac:dyDescent="0.3">
      <c r="F941" s="2"/>
      <c r="N941" s="3"/>
      <c r="S941" s="2"/>
      <c r="T941" s="3"/>
    </row>
    <row r="942" spans="6:20" ht="14.25" customHeight="1" x14ac:dyDescent="0.3">
      <c r="F942" s="2"/>
      <c r="N942" s="3"/>
      <c r="S942" s="2"/>
      <c r="T942" s="3"/>
    </row>
    <row r="943" spans="6:20" ht="14.25" customHeight="1" x14ac:dyDescent="0.3">
      <c r="F943" s="2"/>
      <c r="N943" s="3"/>
      <c r="S943" s="2"/>
      <c r="T943" s="3"/>
    </row>
    <row r="944" spans="6:20" ht="14.25" customHeight="1" x14ac:dyDescent="0.3">
      <c r="F944" s="2"/>
      <c r="N944" s="3"/>
      <c r="S944" s="2"/>
      <c r="T944" s="3"/>
    </row>
    <row r="945" spans="6:20" ht="14.25" customHeight="1" x14ac:dyDescent="0.3">
      <c r="F945" s="2"/>
      <c r="N945" s="3"/>
      <c r="S945" s="2"/>
      <c r="T945" s="3"/>
    </row>
    <row r="946" spans="6:20" ht="14.25" customHeight="1" x14ac:dyDescent="0.3">
      <c r="F946" s="2"/>
      <c r="N946" s="3"/>
      <c r="S946" s="2"/>
      <c r="T946" s="3"/>
    </row>
    <row r="947" spans="6:20" ht="14.25" customHeight="1" x14ac:dyDescent="0.3">
      <c r="F947" s="2"/>
      <c r="N947" s="3"/>
      <c r="S947" s="2"/>
      <c r="T947" s="3"/>
    </row>
    <row r="948" spans="6:20" ht="14.25" customHeight="1" x14ac:dyDescent="0.3">
      <c r="F948" s="2"/>
      <c r="N948" s="3"/>
      <c r="S948" s="2"/>
      <c r="T948" s="3"/>
    </row>
    <row r="949" spans="6:20" ht="14.25" customHeight="1" x14ac:dyDescent="0.3">
      <c r="F949" s="2"/>
      <c r="N949" s="3"/>
      <c r="S949" s="2"/>
      <c r="T949" s="3"/>
    </row>
    <row r="950" spans="6:20" ht="14.25" customHeight="1" x14ac:dyDescent="0.3">
      <c r="F950" s="2"/>
      <c r="N950" s="3"/>
      <c r="S950" s="2"/>
      <c r="T950" s="3"/>
    </row>
    <row r="951" spans="6:20" ht="14.25" customHeight="1" x14ac:dyDescent="0.3">
      <c r="F951" s="2"/>
      <c r="N951" s="3"/>
      <c r="S951" s="2"/>
      <c r="T951" s="3"/>
    </row>
    <row r="952" spans="6:20" ht="14.25" customHeight="1" x14ac:dyDescent="0.3">
      <c r="F952" s="2"/>
      <c r="N952" s="3"/>
      <c r="S952" s="2"/>
      <c r="T952" s="3"/>
    </row>
    <row r="953" spans="6:20" ht="14.25" customHeight="1" x14ac:dyDescent="0.3">
      <c r="F953" s="2"/>
      <c r="N953" s="3"/>
      <c r="S953" s="2"/>
      <c r="T953" s="3"/>
    </row>
    <row r="954" spans="6:20" ht="14.25" customHeight="1" x14ac:dyDescent="0.3">
      <c r="F954" s="2"/>
      <c r="N954" s="3"/>
      <c r="S954" s="2"/>
      <c r="T954" s="3"/>
    </row>
    <row r="955" spans="6:20" ht="14.25" customHeight="1" x14ac:dyDescent="0.3">
      <c r="F955" s="2"/>
      <c r="N955" s="3"/>
      <c r="S955" s="2"/>
      <c r="T955" s="3"/>
    </row>
    <row r="956" spans="6:20" ht="14.25" customHeight="1" x14ac:dyDescent="0.3">
      <c r="F956" s="2"/>
      <c r="N956" s="3"/>
      <c r="S956" s="2"/>
      <c r="T956" s="3"/>
    </row>
    <row r="957" spans="6:20" ht="14.25" customHeight="1" x14ac:dyDescent="0.3">
      <c r="F957" s="2"/>
      <c r="N957" s="3"/>
      <c r="S957" s="2"/>
      <c r="T957" s="3"/>
    </row>
    <row r="958" spans="6:20" ht="14.25" customHeight="1" x14ac:dyDescent="0.3">
      <c r="F958" s="2"/>
      <c r="N958" s="3"/>
      <c r="S958" s="2"/>
      <c r="T958" s="3"/>
    </row>
    <row r="959" spans="6:20" ht="14.25" customHeight="1" x14ac:dyDescent="0.3">
      <c r="F959" s="2"/>
      <c r="N959" s="3"/>
      <c r="S959" s="2"/>
      <c r="T959" s="3"/>
    </row>
    <row r="960" spans="6:20" ht="14.25" customHeight="1" x14ac:dyDescent="0.3">
      <c r="F960" s="2"/>
      <c r="N960" s="3"/>
      <c r="S960" s="2"/>
      <c r="T960" s="3"/>
    </row>
    <row r="961" spans="6:20" ht="14.25" customHeight="1" x14ac:dyDescent="0.3">
      <c r="F961" s="2"/>
      <c r="N961" s="3"/>
      <c r="S961" s="2"/>
      <c r="T961" s="3"/>
    </row>
    <row r="962" spans="6:20" ht="14.25" customHeight="1" x14ac:dyDescent="0.3">
      <c r="F962" s="2"/>
      <c r="N962" s="3"/>
      <c r="S962" s="2"/>
      <c r="T962" s="3"/>
    </row>
    <row r="963" spans="6:20" ht="14.25" customHeight="1" x14ac:dyDescent="0.3">
      <c r="F963" s="2"/>
      <c r="N963" s="3"/>
      <c r="S963" s="2"/>
      <c r="T963" s="3"/>
    </row>
    <row r="964" spans="6:20" ht="14.25" customHeight="1" x14ac:dyDescent="0.3">
      <c r="F964" s="2"/>
      <c r="N964" s="3"/>
      <c r="S964" s="2"/>
      <c r="T964" s="3"/>
    </row>
    <row r="965" spans="6:20" ht="14.25" customHeight="1" x14ac:dyDescent="0.3">
      <c r="F965" s="2"/>
      <c r="N965" s="3"/>
      <c r="S965" s="2"/>
      <c r="T965" s="3"/>
    </row>
    <row r="966" spans="6:20" ht="14.25" customHeight="1" x14ac:dyDescent="0.3">
      <c r="F966" s="2"/>
      <c r="N966" s="3"/>
      <c r="S966" s="2"/>
      <c r="T966" s="3"/>
    </row>
    <row r="967" spans="6:20" ht="14.25" customHeight="1" x14ac:dyDescent="0.3">
      <c r="F967" s="2"/>
      <c r="N967" s="3"/>
      <c r="S967" s="2"/>
      <c r="T967" s="3"/>
    </row>
    <row r="968" spans="6:20" ht="14.25" customHeight="1" x14ac:dyDescent="0.3">
      <c r="F968" s="2"/>
      <c r="N968" s="3"/>
      <c r="S968" s="2"/>
      <c r="T968" s="3"/>
    </row>
    <row r="969" spans="6:20" ht="14.25" customHeight="1" x14ac:dyDescent="0.3">
      <c r="F969" s="2"/>
      <c r="N969" s="3"/>
      <c r="S969" s="2"/>
      <c r="T969" s="3"/>
    </row>
    <row r="970" spans="6:20" ht="14.25" customHeight="1" x14ac:dyDescent="0.3">
      <c r="F970" s="2"/>
      <c r="N970" s="3"/>
      <c r="S970" s="2"/>
      <c r="T970" s="3"/>
    </row>
    <row r="971" spans="6:20" ht="14.25" customHeight="1" x14ac:dyDescent="0.3">
      <c r="F971" s="2"/>
      <c r="N971" s="3"/>
      <c r="S971" s="2"/>
      <c r="T971" s="3"/>
    </row>
    <row r="972" spans="6:20" ht="14.25" customHeight="1" x14ac:dyDescent="0.3">
      <c r="F972" s="2"/>
      <c r="N972" s="3"/>
      <c r="S972" s="2"/>
      <c r="T972" s="3"/>
    </row>
    <row r="973" spans="6:20" ht="14.25" customHeight="1" x14ac:dyDescent="0.3">
      <c r="F973" s="2"/>
      <c r="N973" s="3"/>
      <c r="S973" s="2"/>
      <c r="T973" s="3"/>
    </row>
    <row r="974" spans="6:20" ht="14.25" customHeight="1" x14ac:dyDescent="0.3">
      <c r="F974" s="2"/>
      <c r="N974" s="3"/>
      <c r="S974" s="2"/>
      <c r="T974" s="3"/>
    </row>
    <row r="975" spans="6:20" ht="14.25" customHeight="1" x14ac:dyDescent="0.3">
      <c r="F975" s="2"/>
      <c r="N975" s="3"/>
      <c r="S975" s="2"/>
      <c r="T975" s="3"/>
    </row>
    <row r="976" spans="6:20" ht="14.25" customHeight="1" x14ac:dyDescent="0.3">
      <c r="F976" s="2"/>
      <c r="N976" s="3"/>
      <c r="S976" s="2"/>
      <c r="T976" s="3"/>
    </row>
    <row r="977" spans="6:20" ht="14.25" customHeight="1" x14ac:dyDescent="0.3">
      <c r="F977" s="2"/>
      <c r="N977" s="3"/>
      <c r="S977" s="2"/>
      <c r="T977" s="3"/>
    </row>
    <row r="978" spans="6:20" ht="14.25" customHeight="1" x14ac:dyDescent="0.3">
      <c r="F978" s="2"/>
      <c r="N978" s="3"/>
      <c r="S978" s="2"/>
      <c r="T978" s="3"/>
    </row>
    <row r="979" spans="6:20" ht="14.25" customHeight="1" x14ac:dyDescent="0.3">
      <c r="F979" s="2"/>
      <c r="N979" s="3"/>
      <c r="S979" s="2"/>
      <c r="T979" s="3"/>
    </row>
    <row r="980" spans="6:20" ht="14.25" customHeight="1" x14ac:dyDescent="0.3">
      <c r="F980" s="2"/>
      <c r="N980" s="3"/>
      <c r="S980" s="2"/>
      <c r="T980" s="3"/>
    </row>
    <row r="981" spans="6:20" ht="14.25" customHeight="1" x14ac:dyDescent="0.3">
      <c r="F981" s="2"/>
      <c r="N981" s="3"/>
      <c r="S981" s="2"/>
      <c r="T981" s="3"/>
    </row>
    <row r="982" spans="6:20" ht="14.25" customHeight="1" x14ac:dyDescent="0.3">
      <c r="F982" s="2"/>
      <c r="N982" s="3"/>
      <c r="S982" s="2"/>
      <c r="T982" s="3"/>
    </row>
    <row r="983" spans="6:20" ht="14.25" customHeight="1" x14ac:dyDescent="0.3">
      <c r="F983" s="2"/>
      <c r="N983" s="3"/>
      <c r="S983" s="2"/>
      <c r="T983" s="3"/>
    </row>
    <row r="984" spans="6:20" ht="14.25" customHeight="1" x14ac:dyDescent="0.3">
      <c r="F984" s="2"/>
      <c r="N984" s="3"/>
      <c r="S984" s="2"/>
      <c r="T984" s="3"/>
    </row>
    <row r="985" spans="6:20" ht="14.25" customHeight="1" x14ac:dyDescent="0.3">
      <c r="F985" s="2"/>
      <c r="N985" s="3"/>
      <c r="S985" s="2"/>
      <c r="T985" s="3"/>
    </row>
    <row r="986" spans="6:20" ht="14.25" customHeight="1" x14ac:dyDescent="0.3">
      <c r="F986" s="2"/>
      <c r="N986" s="3"/>
      <c r="S986" s="2"/>
      <c r="T986" s="3"/>
    </row>
    <row r="987" spans="6:20" ht="14.25" customHeight="1" x14ac:dyDescent="0.3">
      <c r="F987" s="2"/>
      <c r="N987" s="3"/>
      <c r="S987" s="2"/>
      <c r="T987" s="3"/>
    </row>
    <row r="988" spans="6:20" ht="14.25" customHeight="1" x14ac:dyDescent="0.3">
      <c r="F988" s="2"/>
      <c r="N988" s="3"/>
      <c r="S988" s="2"/>
      <c r="T988" s="3"/>
    </row>
    <row r="989" spans="6:20" ht="14.25" customHeight="1" x14ac:dyDescent="0.3">
      <c r="F989" s="2"/>
      <c r="N989" s="3"/>
      <c r="S989" s="2"/>
      <c r="T989" s="3"/>
    </row>
    <row r="990" spans="6:20" ht="14.25" customHeight="1" x14ac:dyDescent="0.3">
      <c r="F990" s="2"/>
      <c r="N990" s="3"/>
      <c r="S990" s="2"/>
      <c r="T990" s="3"/>
    </row>
    <row r="991" spans="6:20" ht="14.25" customHeight="1" x14ac:dyDescent="0.3">
      <c r="F991" s="2"/>
      <c r="N991" s="3"/>
      <c r="S991" s="2"/>
      <c r="T991" s="3"/>
    </row>
    <row r="992" spans="6:20" ht="14.25" customHeight="1" x14ac:dyDescent="0.3">
      <c r="F992" s="2"/>
      <c r="N992" s="3"/>
      <c r="S992" s="2"/>
      <c r="T992" s="3"/>
    </row>
    <row r="993" spans="6:20" ht="14.25" customHeight="1" x14ac:dyDescent="0.3">
      <c r="F993" s="2"/>
      <c r="N993" s="3"/>
      <c r="S993" s="2"/>
      <c r="T993" s="3"/>
    </row>
    <row r="994" spans="6:20" ht="14.25" customHeight="1" x14ac:dyDescent="0.3">
      <c r="F994" s="2"/>
      <c r="N994" s="3"/>
      <c r="S994" s="2"/>
      <c r="T994" s="3"/>
    </row>
    <row r="995" spans="6:20" ht="14.25" customHeight="1" x14ac:dyDescent="0.3">
      <c r="F995" s="2"/>
      <c r="N995" s="3"/>
      <c r="S995" s="2"/>
      <c r="T995" s="3"/>
    </row>
    <row r="996" spans="6:20" ht="14.25" customHeight="1" x14ac:dyDescent="0.3">
      <c r="F996" s="2"/>
      <c r="N996" s="3"/>
      <c r="S996" s="2"/>
      <c r="T996" s="3"/>
    </row>
    <row r="997" spans="6:20" ht="14.25" customHeight="1" x14ac:dyDescent="0.3">
      <c r="F997" s="2"/>
      <c r="N997" s="3"/>
      <c r="S997" s="2"/>
      <c r="T997" s="3"/>
    </row>
    <row r="998" spans="6:20" ht="14.25" customHeight="1" x14ac:dyDescent="0.3">
      <c r="F998" s="2"/>
      <c r="N998" s="3"/>
      <c r="S998" s="2"/>
      <c r="T998" s="3"/>
    </row>
    <row r="999" spans="6:20" ht="14.25" customHeight="1" x14ac:dyDescent="0.3">
      <c r="F999" s="2"/>
      <c r="N999" s="3"/>
      <c r="S999" s="2"/>
      <c r="T999" s="3"/>
    </row>
    <row r="1000" spans="6:20" ht="14.25" customHeight="1" x14ac:dyDescent="0.3">
      <c r="F1000" s="2"/>
      <c r="N1000" s="3"/>
      <c r="S1000" s="2"/>
      <c r="T1000" s="3"/>
    </row>
  </sheetData>
  <sortState xmlns:xlrd2="http://schemas.microsoft.com/office/spreadsheetml/2017/richdata2" ref="A2:T1000">
    <sortCondition ref="C1:C1000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2020-02-25T14:29:25Z</dcterms:created>
  <dcterms:modified xsi:type="dcterms:W3CDTF">2021-09-05T09:22:55Z</dcterms:modified>
</cp:coreProperties>
</file>