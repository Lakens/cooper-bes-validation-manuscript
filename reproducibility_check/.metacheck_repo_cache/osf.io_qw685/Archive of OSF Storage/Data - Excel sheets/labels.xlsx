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ur og Samfunn AS\Desktop\R-Prosjekter\HDSM_transferability_ptarmigan\"/>
    </mc:Choice>
  </mc:AlternateContent>
  <xr:revisionPtr revIDLastSave="0" documentId="13_ncr:1_{68992274-4260-4D39-A475-28899446D49B}" xr6:coauthVersionLast="47" xr6:coauthVersionMax="47" xr10:uidLastSave="{00000000-0000-0000-0000-000000000000}"/>
  <bookViews>
    <workbookView xWindow="-108" yWindow="-108" windowWidth="23256" windowHeight="12456" xr2:uid="{9815125E-EFD2-4012-B8F5-828F08BB70D8}"/>
  </bookViews>
  <sheets>
    <sheet name="OSF" sheetId="1" r:id="rId1"/>
    <sheet name="BSF" sheetId="2" r:id="rId2"/>
    <sheet name="Ark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 s="1"/>
  <c r="I3" i="2"/>
  <c r="H4" i="2"/>
  <c r="H5" i="2" s="1"/>
  <c r="H6" i="2" s="1"/>
  <c r="H7" i="2" s="1"/>
  <c r="H3" i="2"/>
  <c r="B2" i="2"/>
  <c r="B3" i="2"/>
  <c r="B4" i="2"/>
  <c r="B2" i="1"/>
  <c r="H3" i="1"/>
  <c r="H4" i="1" s="1"/>
  <c r="I3" i="1"/>
  <c r="B3" i="1" s="1"/>
  <c r="B4" i="1" l="1"/>
  <c r="H5" i="1"/>
  <c r="I4" i="1"/>
  <c r="I5" i="1" s="1"/>
  <c r="I6" i="1" s="1"/>
  <c r="I7" i="1" s="1"/>
  <c r="I8" i="1" s="1"/>
  <c r="I9" i="1" s="1"/>
  <c r="I10" i="1" s="1"/>
  <c r="I7" i="2"/>
  <c r="I8" i="2" s="1"/>
  <c r="I9" i="2" s="1"/>
  <c r="I10" i="2" s="1"/>
  <c r="B6" i="2"/>
  <c r="B5" i="2"/>
  <c r="H8" i="2"/>
  <c r="B7" i="2"/>
  <c r="H6" i="1" l="1"/>
  <c r="B5" i="1"/>
  <c r="I11" i="1"/>
  <c r="I12" i="1" s="1"/>
  <c r="I13" i="1" s="1"/>
  <c r="I14" i="1" s="1"/>
  <c r="I15" i="1" s="1"/>
  <c r="I16" i="1" s="1"/>
  <c r="I17" i="1" s="1"/>
  <c r="B10" i="1"/>
  <c r="B10" i="2"/>
  <c r="I11" i="2"/>
  <c r="I12" i="2" s="1"/>
  <c r="I13" i="2" s="1"/>
  <c r="I14" i="2" s="1"/>
  <c r="I15" i="2" s="1"/>
  <c r="I16" i="2" s="1"/>
  <c r="I17" i="2" s="1"/>
  <c r="I18" i="2" s="1"/>
  <c r="I19" i="2" s="1"/>
  <c r="H9" i="2"/>
  <c r="B8" i="2"/>
  <c r="I18" i="1" l="1"/>
  <c r="I19" i="1" s="1"/>
  <c r="B17" i="1"/>
  <c r="H7" i="1"/>
  <c r="B6" i="1"/>
  <c r="I20" i="2"/>
  <c r="B19" i="2"/>
  <c r="H10" i="2"/>
  <c r="H11" i="2" s="1"/>
  <c r="B9" i="2"/>
  <c r="H8" i="1" l="1"/>
  <c r="B7" i="1"/>
  <c r="I20" i="1"/>
  <c r="I21" i="1" s="1"/>
  <c r="B19" i="1"/>
  <c r="B20" i="2"/>
  <c r="I21" i="2"/>
  <c r="H12" i="2"/>
  <c r="B11" i="2"/>
  <c r="I22" i="1" l="1"/>
  <c r="I23" i="1" s="1"/>
  <c r="B21" i="1"/>
  <c r="H9" i="1"/>
  <c r="B8" i="1"/>
  <c r="B21" i="2"/>
  <c r="I22" i="2"/>
  <c r="I23" i="2" s="1"/>
  <c r="I24" i="2" s="1"/>
  <c r="I25" i="2" s="1"/>
  <c r="H13" i="2"/>
  <c r="B12" i="2"/>
  <c r="H10" i="1" l="1"/>
  <c r="H11" i="1" s="1"/>
  <c r="B9" i="1"/>
  <c r="I24" i="1"/>
  <c r="I25" i="1" s="1"/>
  <c r="I26" i="1" s="1"/>
  <c r="I27" i="1" s="1"/>
  <c r="I28" i="1" s="1"/>
  <c r="B23" i="1"/>
  <c r="B25" i="2"/>
  <c r="I26" i="2"/>
  <c r="I27" i="2" s="1"/>
  <c r="I28" i="2" s="1"/>
  <c r="H14" i="2"/>
  <c r="B13" i="2"/>
  <c r="I29" i="1" l="1"/>
  <c r="B28" i="1"/>
  <c r="H12" i="1"/>
  <c r="B11" i="1"/>
  <c r="I29" i="2"/>
  <c r="I30" i="2" s="1"/>
  <c r="I31" i="2" s="1"/>
  <c r="I32" i="2" s="1"/>
  <c r="I33" i="2" s="1"/>
  <c r="I34" i="2" s="1"/>
  <c r="I35" i="2" s="1"/>
  <c r="I36" i="2" s="1"/>
  <c r="B28" i="2"/>
  <c r="H15" i="2"/>
  <c r="B14" i="2"/>
  <c r="H13" i="1" l="1"/>
  <c r="B12" i="1"/>
  <c r="I30" i="1"/>
  <c r="B29" i="1"/>
  <c r="I37" i="2"/>
  <c r="I38" i="2" s="1"/>
  <c r="B36" i="2"/>
  <c r="H16" i="2"/>
  <c r="B15" i="2"/>
  <c r="I31" i="1" l="1"/>
  <c r="I32" i="1" s="1"/>
  <c r="I33" i="1" s="1"/>
  <c r="B30" i="1"/>
  <c r="H14" i="1"/>
  <c r="B13" i="1"/>
  <c r="I39" i="2"/>
  <c r="B38" i="2"/>
  <c r="H17" i="2"/>
  <c r="B16" i="2"/>
  <c r="H15" i="1" l="1"/>
  <c r="B14" i="1"/>
  <c r="I34" i="1"/>
  <c r="I35" i="1" s="1"/>
  <c r="I36" i="1" s="1"/>
  <c r="B33" i="1"/>
  <c r="I40" i="2"/>
  <c r="I41" i="2" s="1"/>
  <c r="I42" i="2" s="1"/>
  <c r="B39" i="2"/>
  <c r="H18" i="2"/>
  <c r="B17" i="2"/>
  <c r="I37" i="1" l="1"/>
  <c r="I38" i="1" s="1"/>
  <c r="B36" i="1"/>
  <c r="H16" i="1"/>
  <c r="B15" i="1"/>
  <c r="I43" i="2"/>
  <c r="I44" i="2" s="1"/>
  <c r="B42" i="2"/>
  <c r="H19" i="2"/>
  <c r="H20" i="2" s="1"/>
  <c r="H21" i="2" s="1"/>
  <c r="H22" i="2" s="1"/>
  <c r="B18" i="2"/>
  <c r="H17" i="1" l="1"/>
  <c r="H18" i="1" s="1"/>
  <c r="B16" i="1"/>
  <c r="I39" i="1"/>
  <c r="B38" i="1"/>
  <c r="B44" i="2"/>
  <c r="I45" i="2"/>
  <c r="H23" i="2"/>
  <c r="B22" i="2"/>
  <c r="I40" i="1" l="1"/>
  <c r="I41" i="1" s="1"/>
  <c r="I42" i="1" s="1"/>
  <c r="I43" i="1" s="1"/>
  <c r="B39" i="1"/>
  <c r="H19" i="1"/>
  <c r="H20" i="1" s="1"/>
  <c r="B18" i="1"/>
  <c r="B45" i="2"/>
  <c r="I46" i="2"/>
  <c r="I47" i="2" s="1"/>
  <c r="H24" i="2"/>
  <c r="B23" i="2"/>
  <c r="H21" i="1" l="1"/>
  <c r="H22" i="1" s="1"/>
  <c r="B20" i="1"/>
  <c r="I44" i="1"/>
  <c r="I45" i="1" s="1"/>
  <c r="I46" i="1" s="1"/>
  <c r="B43" i="1"/>
  <c r="B47" i="2"/>
  <c r="I48" i="2"/>
  <c r="H25" i="2"/>
  <c r="H26" i="2" s="1"/>
  <c r="B24" i="2"/>
  <c r="I47" i="1" l="1"/>
  <c r="B46" i="1"/>
  <c r="H23" i="1"/>
  <c r="H24" i="1" s="1"/>
  <c r="B22" i="1"/>
  <c r="B48" i="2"/>
  <c r="I49" i="2"/>
  <c r="B49" i="2" s="1"/>
  <c r="H27" i="2"/>
  <c r="B26" i="2"/>
  <c r="H25" i="1" l="1"/>
  <c r="B24" i="1"/>
  <c r="I48" i="1"/>
  <c r="I49" i="1" s="1"/>
  <c r="B47" i="1"/>
  <c r="H28" i="2"/>
  <c r="H29" i="2" s="1"/>
  <c r="B27" i="2"/>
  <c r="H26" i="1" l="1"/>
  <c r="B25" i="1"/>
  <c r="H30" i="2"/>
  <c r="B29" i="2"/>
  <c r="H27" i="1" l="1"/>
  <c r="B26" i="1"/>
  <c r="H31" i="2"/>
  <c r="B30" i="2"/>
  <c r="H28" i="1" l="1"/>
  <c r="H29" i="1" s="1"/>
  <c r="H30" i="1" s="1"/>
  <c r="H31" i="1" s="1"/>
  <c r="B27" i="1"/>
  <c r="H32" i="2"/>
  <c r="B31" i="2"/>
  <c r="H32" i="1" l="1"/>
  <c r="B31" i="1"/>
  <c r="H33" i="2"/>
  <c r="B32" i="2"/>
  <c r="H33" i="1" l="1"/>
  <c r="H34" i="1" s="1"/>
  <c r="B32" i="1"/>
  <c r="H34" i="2"/>
  <c r="B33" i="2"/>
  <c r="H35" i="1" l="1"/>
  <c r="B34" i="1"/>
  <c r="B34" i="2"/>
  <c r="H35" i="2"/>
  <c r="H36" i="1" l="1"/>
  <c r="H37" i="1" s="1"/>
  <c r="B35" i="1"/>
  <c r="H36" i="2"/>
  <c r="H37" i="2" s="1"/>
  <c r="B35" i="2"/>
  <c r="H38" i="1" l="1"/>
  <c r="H39" i="1" s="1"/>
  <c r="H40" i="1" s="1"/>
  <c r="B37" i="1"/>
  <c r="H38" i="2"/>
  <c r="H39" i="2" s="1"/>
  <c r="H40" i="2" s="1"/>
  <c r="B37" i="2"/>
  <c r="H41" i="1" l="1"/>
  <c r="B40" i="1"/>
  <c r="H41" i="2"/>
  <c r="B40" i="2"/>
  <c r="H42" i="1" l="1"/>
  <c r="B41" i="1"/>
  <c r="H42" i="2"/>
  <c r="H43" i="2" s="1"/>
  <c r="B41" i="2"/>
  <c r="H43" i="1" l="1"/>
  <c r="H44" i="1" s="1"/>
  <c r="B42" i="1"/>
  <c r="H44" i="2"/>
  <c r="H45" i="2" s="1"/>
  <c r="H46" i="2" s="1"/>
  <c r="B43" i="2"/>
  <c r="H45" i="1" l="1"/>
  <c r="B44" i="1"/>
  <c r="H47" i="2"/>
  <c r="H48" i="2" s="1"/>
  <c r="H49" i="2" s="1"/>
  <c r="B46" i="2"/>
  <c r="H46" i="1" l="1"/>
  <c r="H47" i="1" s="1"/>
  <c r="H48" i="1" s="1"/>
  <c r="B45" i="1"/>
  <c r="H49" i="1" l="1"/>
  <c r="B49" i="1" s="1"/>
  <c r="B48" i="1"/>
</calcChain>
</file>

<file path=xl/sharedStrings.xml><?xml version="1.0" encoding="utf-8"?>
<sst xmlns="http://schemas.openxmlformats.org/spreadsheetml/2006/main" count="118" uniqueCount="60">
  <si>
    <t>ModName</t>
  </si>
  <si>
    <t>label</t>
  </si>
  <si>
    <t>OSF</t>
  </si>
  <si>
    <t>ODF</t>
  </si>
  <si>
    <t>lower</t>
  </si>
  <si>
    <t>upper</t>
  </si>
  <si>
    <t xml:space="preserve">p-value </t>
  </si>
  <si>
    <t>significant</t>
  </si>
  <si>
    <t>nots</t>
  </si>
  <si>
    <t>p &lt; 0.05</t>
  </si>
  <si>
    <t>p &gt; 0.05</t>
  </si>
  <si>
    <t>BSF</t>
  </si>
  <si>
    <t>area1 2016</t>
  </si>
  <si>
    <t>area1 2017</t>
  </si>
  <si>
    <t>area1 2018</t>
  </si>
  <si>
    <t>area1 2019</t>
  </si>
  <si>
    <t>area2 2016</t>
  </si>
  <si>
    <t>area2 2017</t>
  </si>
  <si>
    <t>area2 2019</t>
  </si>
  <si>
    <t>area2 2020</t>
  </si>
  <si>
    <t>area3 2016</t>
  </si>
  <si>
    <t>area3 2017</t>
  </si>
  <si>
    <t>area3 2018</t>
  </si>
  <si>
    <t>area3 2019</t>
  </si>
  <si>
    <t>area3 2020</t>
  </si>
  <si>
    <t>area4 2017</t>
  </si>
  <si>
    <t>area4 2018</t>
  </si>
  <si>
    <t>area4 2019</t>
  </si>
  <si>
    <t>area4 2020</t>
  </si>
  <si>
    <t>area5 2016</t>
  </si>
  <si>
    <t>area5 2017</t>
  </si>
  <si>
    <t>area5 2018</t>
  </si>
  <si>
    <t>area5 2019</t>
  </si>
  <si>
    <t>area5 2020</t>
  </si>
  <si>
    <t>area6 2018</t>
  </si>
  <si>
    <t>area6 2019</t>
  </si>
  <si>
    <t>area6 2020</t>
  </si>
  <si>
    <t>area7 2016</t>
  </si>
  <si>
    <t>area7 2017</t>
  </si>
  <si>
    <t>area7 2018</t>
  </si>
  <si>
    <t>area7 2019</t>
  </si>
  <si>
    <t>area7 2020</t>
  </si>
  <si>
    <t>area8 2017</t>
  </si>
  <si>
    <t>area8 2018</t>
  </si>
  <si>
    <t>area8 2019</t>
  </si>
  <si>
    <t>area8 2020</t>
  </si>
  <si>
    <t>area9 2017</t>
  </si>
  <si>
    <t>area9 2018</t>
  </si>
  <si>
    <t>area9 2019</t>
  </si>
  <si>
    <t>area9 2020</t>
  </si>
  <si>
    <t>area10 2016</t>
  </si>
  <si>
    <t>area10 2017</t>
  </si>
  <si>
    <t>area10 2018</t>
  </si>
  <si>
    <t>area10 2019</t>
  </si>
  <si>
    <t>area10 2020</t>
  </si>
  <si>
    <t>area11 2016</t>
  </si>
  <si>
    <t>area11 2017</t>
  </si>
  <si>
    <t>area11 2018</t>
  </si>
  <si>
    <t>area11 2019</t>
  </si>
  <si>
    <t>area11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</si>
</sst>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vertical="center"/>
    </xf>
    <xf numFmtId="164" fontId="0" fillId="0" borderId="0" xfId="0" applyNumberFormat="1"/>
    <xf numFmtId="11" fontId="0" fillId="0" borderId="0" xfId="0" applyNumberFormat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9526-7FBE-4181-BBB4-6D36FD66F7BE}">
  <dimension ref="A1:K49"/>
  <sheetViews>
    <sheetView tabSelected="1" workbookViewId="0">
      <selection sqref="A1:A1048576"/>
    </sheetView>
  </sheetViews>
  <sheetFormatPr baseColWidth="10" defaultRowHeight="14.4" x14ac:dyDescent="0.3"/>
  <cols>
    <col min="4" max="6" width="11.5546875" style="6"/>
    <col min="7" max="7" width="17.77734375" style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10" t="s">
        <v>6</v>
      </c>
      <c r="H1" s="1" t="s">
        <v>7</v>
      </c>
      <c r="I1" s="1" t="s">
        <v>8</v>
      </c>
      <c r="K1" s="1"/>
    </row>
    <row r="2" spans="1:11" x14ac:dyDescent="0.3">
      <c r="A2" s="2" t="s">
        <v>12</v>
      </c>
      <c r="B2" s="3" t="str">
        <f>IF(G2&lt;0.05,H2,I2)</f>
        <v>p &lt; 0.05</v>
      </c>
      <c r="C2" s="3">
        <v>0</v>
      </c>
      <c r="D2" s="5">
        <v>0</v>
      </c>
      <c r="E2" s="5">
        <v>0</v>
      </c>
      <c r="F2" s="5">
        <v>0</v>
      </c>
      <c r="G2" s="11">
        <v>1.7700000000000001E-7</v>
      </c>
      <c r="H2" s="3" t="s">
        <v>9</v>
      </c>
      <c r="I2" s="3" t="s">
        <v>10</v>
      </c>
      <c r="K2" s="9"/>
    </row>
    <row r="3" spans="1:11" x14ac:dyDescent="0.3">
      <c r="A3" s="2" t="s">
        <v>13</v>
      </c>
      <c r="B3" s="3" t="str">
        <f t="shared" ref="B3:B49" si="0">IF(G3&lt;0.05,H3,I3)</f>
        <v>p &gt; 0.05</v>
      </c>
      <c r="C3">
        <v>0</v>
      </c>
      <c r="D3" s="5">
        <v>0</v>
      </c>
      <c r="E3" s="5">
        <v>0</v>
      </c>
      <c r="F3" s="5">
        <v>0</v>
      </c>
      <c r="G3" s="11">
        <v>0.89300000000000002</v>
      </c>
      <c r="H3" s="3" t="str">
        <f>H2</f>
        <v>p &lt; 0.05</v>
      </c>
      <c r="I3" t="str">
        <f>I2</f>
        <v>p &gt; 0.05</v>
      </c>
    </row>
    <row r="4" spans="1:11" x14ac:dyDescent="0.3">
      <c r="A4" s="2" t="s">
        <v>14</v>
      </c>
      <c r="B4" s="3" t="str">
        <f t="shared" si="0"/>
        <v>p &lt; 0.05</v>
      </c>
      <c r="C4">
        <v>0</v>
      </c>
      <c r="D4" s="5">
        <v>0</v>
      </c>
      <c r="E4" s="5">
        <v>0</v>
      </c>
      <c r="F4" s="5">
        <v>0</v>
      </c>
      <c r="G4" s="11">
        <v>4.6299999999999997E-6</v>
      </c>
      <c r="H4" s="3" t="str">
        <f t="shared" ref="H4:H49" si="1">H3</f>
        <v>p &lt; 0.05</v>
      </c>
      <c r="I4" t="str">
        <f t="shared" ref="I4:I49" si="2">I3</f>
        <v>p &gt; 0.05</v>
      </c>
    </row>
    <row r="5" spans="1:11" x14ac:dyDescent="0.3">
      <c r="A5" s="2" t="s">
        <v>15</v>
      </c>
      <c r="B5" s="3" t="str">
        <f t="shared" si="0"/>
        <v>p &lt; 0.05</v>
      </c>
      <c r="C5">
        <v>0</v>
      </c>
      <c r="D5" s="5">
        <v>0</v>
      </c>
      <c r="E5" s="5">
        <v>0</v>
      </c>
      <c r="F5" s="5">
        <v>0</v>
      </c>
      <c r="G5" s="11">
        <v>6.4099999999999999E-14</v>
      </c>
      <c r="H5" s="3" t="str">
        <f t="shared" si="1"/>
        <v>p &lt; 0.05</v>
      </c>
      <c r="I5" t="str">
        <f t="shared" si="2"/>
        <v>p &gt; 0.05</v>
      </c>
    </row>
    <row r="6" spans="1:11" x14ac:dyDescent="0.3">
      <c r="A6" s="2" t="s">
        <v>16</v>
      </c>
      <c r="B6" s="3" t="str">
        <f t="shared" si="0"/>
        <v>p &lt; 0.05</v>
      </c>
      <c r="C6">
        <v>0</v>
      </c>
      <c r="D6" s="5">
        <v>0</v>
      </c>
      <c r="E6" s="5">
        <v>0</v>
      </c>
      <c r="F6" s="5">
        <v>0</v>
      </c>
      <c r="G6" s="11">
        <v>1E-13</v>
      </c>
      <c r="H6" s="3" t="str">
        <f t="shared" si="1"/>
        <v>p &lt; 0.05</v>
      </c>
      <c r="I6" t="str">
        <f t="shared" si="2"/>
        <v>p &gt; 0.05</v>
      </c>
    </row>
    <row r="7" spans="1:11" x14ac:dyDescent="0.3">
      <c r="A7" s="2" t="s">
        <v>17</v>
      </c>
      <c r="B7" s="3" t="str">
        <f t="shared" si="0"/>
        <v>p &lt; 0.05</v>
      </c>
      <c r="C7">
        <v>0</v>
      </c>
      <c r="D7" s="5">
        <v>0</v>
      </c>
      <c r="E7" s="5">
        <v>0</v>
      </c>
      <c r="F7" s="5">
        <v>0</v>
      </c>
      <c r="G7" s="11">
        <v>1.49E-48</v>
      </c>
      <c r="H7" s="3" t="str">
        <f t="shared" si="1"/>
        <v>p &lt; 0.05</v>
      </c>
      <c r="I7" t="str">
        <f t="shared" si="2"/>
        <v>p &gt; 0.05</v>
      </c>
    </row>
    <row r="8" spans="1:11" x14ac:dyDescent="0.3">
      <c r="A8" s="2" t="s">
        <v>18</v>
      </c>
      <c r="B8" s="3" t="str">
        <f t="shared" si="0"/>
        <v>p &lt; 0.05</v>
      </c>
      <c r="C8">
        <v>0</v>
      </c>
      <c r="D8" s="5">
        <v>0</v>
      </c>
      <c r="E8" s="5">
        <v>0</v>
      </c>
      <c r="F8" s="5">
        <v>0</v>
      </c>
      <c r="G8" s="11">
        <v>1.7600000000000001E-10</v>
      </c>
      <c r="H8" s="3" t="str">
        <f t="shared" si="1"/>
        <v>p &lt; 0.05</v>
      </c>
      <c r="I8" t="str">
        <f t="shared" si="2"/>
        <v>p &gt; 0.05</v>
      </c>
    </row>
    <row r="9" spans="1:11" x14ac:dyDescent="0.3">
      <c r="A9" s="2" t="s">
        <v>19</v>
      </c>
      <c r="B9" s="3" t="str">
        <f t="shared" si="0"/>
        <v>p &lt; 0.05</v>
      </c>
      <c r="C9">
        <v>0</v>
      </c>
      <c r="D9" s="5">
        <v>0</v>
      </c>
      <c r="E9" s="5">
        <v>0</v>
      </c>
      <c r="F9" s="5">
        <v>0</v>
      </c>
      <c r="G9" s="11">
        <v>1.32E-19</v>
      </c>
      <c r="H9" s="3" t="str">
        <f t="shared" si="1"/>
        <v>p &lt; 0.05</v>
      </c>
      <c r="I9" t="str">
        <f t="shared" si="2"/>
        <v>p &gt; 0.05</v>
      </c>
    </row>
    <row r="10" spans="1:11" x14ac:dyDescent="0.3">
      <c r="A10" s="2" t="s">
        <v>20</v>
      </c>
      <c r="B10" s="3" t="str">
        <f t="shared" si="0"/>
        <v>p &gt; 0.05</v>
      </c>
      <c r="C10">
        <v>0</v>
      </c>
      <c r="D10" s="5">
        <v>0</v>
      </c>
      <c r="E10" s="5">
        <v>0</v>
      </c>
      <c r="F10" s="5">
        <v>0</v>
      </c>
      <c r="G10" s="11">
        <v>0.88900000000000001</v>
      </c>
      <c r="H10" s="3" t="str">
        <f t="shared" si="1"/>
        <v>p &lt; 0.05</v>
      </c>
      <c r="I10" t="str">
        <f t="shared" si="2"/>
        <v>p &gt; 0.05</v>
      </c>
    </row>
    <row r="11" spans="1:11" x14ac:dyDescent="0.3">
      <c r="A11" s="2" t="s">
        <v>21</v>
      </c>
      <c r="B11" s="3" t="str">
        <f t="shared" si="0"/>
        <v>p &lt; 0.05</v>
      </c>
      <c r="C11">
        <v>0</v>
      </c>
      <c r="D11" s="5">
        <v>0</v>
      </c>
      <c r="E11" s="5">
        <v>0</v>
      </c>
      <c r="F11" s="5">
        <v>0</v>
      </c>
      <c r="G11" s="11">
        <v>2.9399999999999999E-3</v>
      </c>
      <c r="H11" s="3" t="str">
        <f t="shared" si="1"/>
        <v>p &lt; 0.05</v>
      </c>
      <c r="I11" t="str">
        <f t="shared" si="2"/>
        <v>p &gt; 0.05</v>
      </c>
    </row>
    <row r="12" spans="1:11" x14ac:dyDescent="0.3">
      <c r="A12" s="2" t="s">
        <v>22</v>
      </c>
      <c r="B12" s="3" t="str">
        <f t="shared" si="0"/>
        <v>p &lt; 0.05</v>
      </c>
      <c r="C12">
        <v>0</v>
      </c>
      <c r="D12" s="5">
        <v>0</v>
      </c>
      <c r="E12" s="5">
        <v>0</v>
      </c>
      <c r="F12" s="5">
        <v>0</v>
      </c>
      <c r="G12" s="11">
        <v>5.0400000000000001E-8</v>
      </c>
      <c r="H12" s="3" t="str">
        <f t="shared" si="1"/>
        <v>p &lt; 0.05</v>
      </c>
      <c r="I12" t="str">
        <f t="shared" si="2"/>
        <v>p &gt; 0.05</v>
      </c>
    </row>
    <row r="13" spans="1:11" x14ac:dyDescent="0.3">
      <c r="A13" s="2" t="s">
        <v>23</v>
      </c>
      <c r="B13" s="3" t="str">
        <f t="shared" si="0"/>
        <v>p &lt; 0.05</v>
      </c>
      <c r="C13">
        <v>0</v>
      </c>
      <c r="D13" s="5">
        <v>0</v>
      </c>
      <c r="E13" s="5">
        <v>0</v>
      </c>
      <c r="F13" s="5">
        <v>0</v>
      </c>
      <c r="G13" s="11">
        <v>3.0699999999999998E-3</v>
      </c>
      <c r="H13" s="3" t="str">
        <f t="shared" si="1"/>
        <v>p &lt; 0.05</v>
      </c>
      <c r="I13" t="str">
        <f t="shared" si="2"/>
        <v>p &gt; 0.05</v>
      </c>
    </row>
    <row r="14" spans="1:11" x14ac:dyDescent="0.3">
      <c r="A14" s="2" t="s">
        <v>24</v>
      </c>
      <c r="B14" s="3" t="str">
        <f t="shared" si="0"/>
        <v>p &lt; 0.05</v>
      </c>
      <c r="C14">
        <v>0</v>
      </c>
      <c r="D14" s="5">
        <v>0</v>
      </c>
      <c r="E14" s="5">
        <v>0</v>
      </c>
      <c r="F14" s="5">
        <v>0</v>
      </c>
      <c r="G14" s="11">
        <v>5.8499999999999999E-27</v>
      </c>
      <c r="H14" s="3" t="str">
        <f t="shared" si="1"/>
        <v>p &lt; 0.05</v>
      </c>
      <c r="I14" t="str">
        <f t="shared" si="2"/>
        <v>p &gt; 0.05</v>
      </c>
    </row>
    <row r="15" spans="1:11" x14ac:dyDescent="0.3">
      <c r="A15" s="2" t="s">
        <v>25</v>
      </c>
      <c r="B15" s="3" t="str">
        <f t="shared" si="0"/>
        <v>p &lt; 0.05</v>
      </c>
      <c r="C15">
        <v>0</v>
      </c>
      <c r="D15" s="5">
        <v>0</v>
      </c>
      <c r="E15" s="5">
        <v>0</v>
      </c>
      <c r="F15" s="5">
        <v>0</v>
      </c>
      <c r="G15" s="11">
        <v>1.9199999999999998E-2</v>
      </c>
      <c r="H15" s="3" t="str">
        <f t="shared" si="1"/>
        <v>p &lt; 0.05</v>
      </c>
      <c r="I15" t="str">
        <f t="shared" si="2"/>
        <v>p &gt; 0.05</v>
      </c>
    </row>
    <row r="16" spans="1:11" x14ac:dyDescent="0.3">
      <c r="A16" s="2" t="s">
        <v>26</v>
      </c>
      <c r="B16" s="3" t="str">
        <f t="shared" si="0"/>
        <v>p &lt; 0.05</v>
      </c>
      <c r="C16">
        <v>0</v>
      </c>
      <c r="D16" s="5">
        <v>0</v>
      </c>
      <c r="E16" s="5">
        <v>0</v>
      </c>
      <c r="F16" s="5">
        <v>0</v>
      </c>
      <c r="G16" s="11">
        <v>2.75E-2</v>
      </c>
      <c r="H16" s="3" t="str">
        <f t="shared" si="1"/>
        <v>p &lt; 0.05</v>
      </c>
      <c r="I16" t="str">
        <f t="shared" si="2"/>
        <v>p &gt; 0.05</v>
      </c>
    </row>
    <row r="17" spans="1:9" x14ac:dyDescent="0.3">
      <c r="A17" s="2" t="s">
        <v>27</v>
      </c>
      <c r="B17" s="3" t="str">
        <f t="shared" si="0"/>
        <v>p &gt; 0.05</v>
      </c>
      <c r="C17">
        <v>0</v>
      </c>
      <c r="D17" s="5">
        <v>0</v>
      </c>
      <c r="E17" s="5">
        <v>0</v>
      </c>
      <c r="F17" s="5">
        <v>0</v>
      </c>
      <c r="G17" s="11">
        <v>0.255</v>
      </c>
      <c r="H17" s="3" t="str">
        <f t="shared" si="1"/>
        <v>p &lt; 0.05</v>
      </c>
      <c r="I17" t="str">
        <f t="shared" si="2"/>
        <v>p &gt; 0.05</v>
      </c>
    </row>
    <row r="18" spans="1:9" x14ac:dyDescent="0.3">
      <c r="A18" s="2" t="s">
        <v>28</v>
      </c>
      <c r="B18" s="3" t="str">
        <f t="shared" si="0"/>
        <v>p &lt; 0.05</v>
      </c>
      <c r="C18">
        <v>0</v>
      </c>
      <c r="D18" s="5">
        <v>0</v>
      </c>
      <c r="E18" s="5">
        <v>0</v>
      </c>
      <c r="F18" s="5">
        <v>0</v>
      </c>
      <c r="G18" s="11">
        <v>1.66E-7</v>
      </c>
      <c r="H18" s="3" t="str">
        <f t="shared" si="1"/>
        <v>p &lt; 0.05</v>
      </c>
      <c r="I18" t="str">
        <f t="shared" si="2"/>
        <v>p &gt; 0.05</v>
      </c>
    </row>
    <row r="19" spans="1:9" x14ac:dyDescent="0.3">
      <c r="A19" s="2" t="s">
        <v>29</v>
      </c>
      <c r="B19" s="3" t="str">
        <f t="shared" si="0"/>
        <v>p &gt; 0.05</v>
      </c>
      <c r="C19">
        <v>0</v>
      </c>
      <c r="D19" s="5">
        <v>0</v>
      </c>
      <c r="E19" s="5">
        <v>0</v>
      </c>
      <c r="F19" s="5">
        <v>0</v>
      </c>
      <c r="G19" s="11">
        <v>5.7099999999999998E-2</v>
      </c>
      <c r="H19" s="3" t="str">
        <f t="shared" si="1"/>
        <v>p &lt; 0.05</v>
      </c>
      <c r="I19" t="str">
        <f t="shared" si="2"/>
        <v>p &gt; 0.05</v>
      </c>
    </row>
    <row r="20" spans="1:9" x14ac:dyDescent="0.3">
      <c r="A20" s="2" t="s">
        <v>30</v>
      </c>
      <c r="B20" s="3" t="str">
        <f t="shared" si="0"/>
        <v>p &lt; 0.05</v>
      </c>
      <c r="C20">
        <v>0</v>
      </c>
      <c r="D20" s="5">
        <v>0</v>
      </c>
      <c r="E20" s="5">
        <v>0</v>
      </c>
      <c r="F20" s="5">
        <v>0</v>
      </c>
      <c r="G20" s="11">
        <v>1.17E-5</v>
      </c>
      <c r="H20" s="3" t="str">
        <f t="shared" si="1"/>
        <v>p &lt; 0.05</v>
      </c>
      <c r="I20" t="str">
        <f t="shared" si="2"/>
        <v>p &gt; 0.05</v>
      </c>
    </row>
    <row r="21" spans="1:9" x14ac:dyDescent="0.3">
      <c r="A21" s="2" t="s">
        <v>31</v>
      </c>
      <c r="B21" s="3" t="str">
        <f t="shared" si="0"/>
        <v>p &gt; 0.05</v>
      </c>
      <c r="C21">
        <v>0</v>
      </c>
      <c r="D21" s="5">
        <v>0</v>
      </c>
      <c r="E21" s="5">
        <v>0</v>
      </c>
      <c r="F21" s="5">
        <v>0</v>
      </c>
      <c r="G21" s="11">
        <v>0.33800000000000002</v>
      </c>
      <c r="H21" s="3" t="str">
        <f t="shared" si="1"/>
        <v>p &lt; 0.05</v>
      </c>
      <c r="I21" t="str">
        <f t="shared" si="2"/>
        <v>p &gt; 0.05</v>
      </c>
    </row>
    <row r="22" spans="1:9" x14ac:dyDescent="0.3">
      <c r="A22" s="2" t="s">
        <v>32</v>
      </c>
      <c r="B22" s="3" t="str">
        <f t="shared" si="0"/>
        <v>p &lt; 0.05</v>
      </c>
      <c r="C22">
        <v>0</v>
      </c>
      <c r="D22" s="5">
        <v>0</v>
      </c>
      <c r="E22" s="5">
        <v>0</v>
      </c>
      <c r="F22" s="5">
        <v>0</v>
      </c>
      <c r="G22" s="11">
        <v>3.1099999999999997E-5</v>
      </c>
      <c r="H22" s="3" t="str">
        <f t="shared" si="1"/>
        <v>p &lt; 0.05</v>
      </c>
      <c r="I22" t="str">
        <f t="shared" si="2"/>
        <v>p &gt; 0.05</v>
      </c>
    </row>
    <row r="23" spans="1:9" x14ac:dyDescent="0.3">
      <c r="A23" s="2" t="s">
        <v>33</v>
      </c>
      <c r="B23" s="3" t="str">
        <f t="shared" si="0"/>
        <v>p &gt; 0.05</v>
      </c>
      <c r="C23">
        <v>0</v>
      </c>
      <c r="D23" s="5">
        <v>0</v>
      </c>
      <c r="E23" s="5">
        <v>0</v>
      </c>
      <c r="F23" s="5">
        <v>0</v>
      </c>
      <c r="G23" s="11">
        <v>0.39400000000000002</v>
      </c>
      <c r="H23" s="3" t="str">
        <f t="shared" si="1"/>
        <v>p &lt; 0.05</v>
      </c>
      <c r="I23" t="str">
        <f t="shared" si="2"/>
        <v>p &gt; 0.05</v>
      </c>
    </row>
    <row r="24" spans="1:9" x14ac:dyDescent="0.3">
      <c r="A24" s="2" t="s">
        <v>34</v>
      </c>
      <c r="B24" s="3" t="str">
        <f t="shared" si="0"/>
        <v>p &lt; 0.05</v>
      </c>
      <c r="C24">
        <v>0</v>
      </c>
      <c r="D24" s="5">
        <v>0</v>
      </c>
      <c r="E24" s="5">
        <v>0</v>
      </c>
      <c r="F24" s="5">
        <v>0</v>
      </c>
      <c r="G24" s="11">
        <v>2.8200000000000001E-8</v>
      </c>
      <c r="H24" s="3" t="str">
        <f t="shared" si="1"/>
        <v>p &lt; 0.05</v>
      </c>
      <c r="I24" t="str">
        <f t="shared" si="2"/>
        <v>p &gt; 0.05</v>
      </c>
    </row>
    <row r="25" spans="1:9" x14ac:dyDescent="0.3">
      <c r="A25" s="2" t="s">
        <v>35</v>
      </c>
      <c r="B25" s="3" t="str">
        <f t="shared" si="0"/>
        <v>p &lt; 0.05</v>
      </c>
      <c r="C25">
        <v>0</v>
      </c>
      <c r="D25" s="5">
        <v>0</v>
      </c>
      <c r="E25" s="5">
        <v>0</v>
      </c>
      <c r="F25" s="5">
        <v>0</v>
      </c>
      <c r="G25" s="11">
        <v>1.4E-2</v>
      </c>
      <c r="H25" s="3" t="str">
        <f t="shared" si="1"/>
        <v>p &lt; 0.05</v>
      </c>
      <c r="I25" t="str">
        <f t="shared" si="2"/>
        <v>p &gt; 0.05</v>
      </c>
    </row>
    <row r="26" spans="1:9" x14ac:dyDescent="0.3">
      <c r="A26" s="2" t="s">
        <v>36</v>
      </c>
      <c r="B26" s="3" t="str">
        <f t="shared" si="0"/>
        <v>p &lt; 0.05</v>
      </c>
      <c r="C26">
        <v>0</v>
      </c>
      <c r="D26" s="5">
        <v>0</v>
      </c>
      <c r="E26" s="5">
        <v>0</v>
      </c>
      <c r="F26" s="5">
        <v>0</v>
      </c>
      <c r="G26" s="11">
        <v>1.6066E-2</v>
      </c>
      <c r="H26" s="3" t="str">
        <f t="shared" si="1"/>
        <v>p &lt; 0.05</v>
      </c>
      <c r="I26" t="str">
        <f t="shared" si="2"/>
        <v>p &gt; 0.05</v>
      </c>
    </row>
    <row r="27" spans="1:9" x14ac:dyDescent="0.3">
      <c r="A27" s="2" t="s">
        <v>37</v>
      </c>
      <c r="B27" s="3" t="str">
        <f t="shared" si="0"/>
        <v>p &lt; 0.05</v>
      </c>
      <c r="C27">
        <v>0</v>
      </c>
      <c r="D27" s="5">
        <v>0</v>
      </c>
      <c r="E27" s="5">
        <v>0</v>
      </c>
      <c r="F27" s="5">
        <v>0</v>
      </c>
      <c r="G27" s="11">
        <v>7.83E-22</v>
      </c>
      <c r="H27" s="3" t="str">
        <f t="shared" si="1"/>
        <v>p &lt; 0.05</v>
      </c>
      <c r="I27" t="str">
        <f t="shared" si="2"/>
        <v>p &gt; 0.05</v>
      </c>
    </row>
    <row r="28" spans="1:9" x14ac:dyDescent="0.3">
      <c r="A28" s="2" t="s">
        <v>38</v>
      </c>
      <c r="B28" s="3" t="str">
        <f t="shared" si="0"/>
        <v>p &gt; 0.05</v>
      </c>
      <c r="C28">
        <v>0</v>
      </c>
      <c r="D28" s="5">
        <v>0</v>
      </c>
      <c r="E28" s="5">
        <v>0</v>
      </c>
      <c r="F28" s="5">
        <v>0</v>
      </c>
      <c r="G28" s="11">
        <v>0.154</v>
      </c>
      <c r="H28" s="3" t="str">
        <f t="shared" si="1"/>
        <v>p &lt; 0.05</v>
      </c>
      <c r="I28" t="str">
        <f t="shared" si="2"/>
        <v>p &gt; 0.05</v>
      </c>
    </row>
    <row r="29" spans="1:9" x14ac:dyDescent="0.3">
      <c r="A29" s="2" t="s">
        <v>39</v>
      </c>
      <c r="B29" s="3" t="str">
        <f t="shared" si="0"/>
        <v>p &gt; 0.05</v>
      </c>
      <c r="C29">
        <v>0</v>
      </c>
      <c r="D29" s="5">
        <v>0</v>
      </c>
      <c r="E29" s="5">
        <v>0</v>
      </c>
      <c r="F29" s="5">
        <v>0</v>
      </c>
      <c r="G29" s="11">
        <v>0.159</v>
      </c>
      <c r="H29" s="3" t="str">
        <f t="shared" si="1"/>
        <v>p &lt; 0.05</v>
      </c>
      <c r="I29" t="str">
        <f t="shared" si="2"/>
        <v>p &gt; 0.05</v>
      </c>
    </row>
    <row r="30" spans="1:9" x14ac:dyDescent="0.3">
      <c r="A30" s="2" t="s">
        <v>40</v>
      </c>
      <c r="B30" s="3" t="str">
        <f t="shared" si="0"/>
        <v>p &gt; 0.05</v>
      </c>
      <c r="C30">
        <v>0</v>
      </c>
      <c r="D30" s="5">
        <v>0</v>
      </c>
      <c r="E30" s="5">
        <v>0</v>
      </c>
      <c r="F30" s="5">
        <v>0</v>
      </c>
      <c r="G30" s="11">
        <v>0.52200000000000002</v>
      </c>
      <c r="H30" s="3" t="str">
        <f t="shared" si="1"/>
        <v>p &lt; 0.05</v>
      </c>
      <c r="I30" t="str">
        <f t="shared" si="2"/>
        <v>p &gt; 0.05</v>
      </c>
    </row>
    <row r="31" spans="1:9" x14ac:dyDescent="0.3">
      <c r="A31" s="2" t="s">
        <v>41</v>
      </c>
      <c r="B31" s="3" t="str">
        <f t="shared" si="0"/>
        <v>p &lt; 0.05</v>
      </c>
      <c r="C31">
        <v>0</v>
      </c>
      <c r="D31" s="5">
        <v>0</v>
      </c>
      <c r="E31" s="5">
        <v>0</v>
      </c>
      <c r="F31" s="5">
        <v>0</v>
      </c>
      <c r="G31" s="11">
        <v>3.8999999999999999E-6</v>
      </c>
      <c r="H31" s="3" t="str">
        <f t="shared" si="1"/>
        <v>p &lt; 0.05</v>
      </c>
      <c r="I31" t="str">
        <f t="shared" si="2"/>
        <v>p &gt; 0.05</v>
      </c>
    </row>
    <row r="32" spans="1:9" x14ac:dyDescent="0.3">
      <c r="A32" s="2" t="s">
        <v>42</v>
      </c>
      <c r="B32" s="3" t="str">
        <f t="shared" si="0"/>
        <v>p &lt; 0.05</v>
      </c>
      <c r="C32">
        <v>0</v>
      </c>
      <c r="D32" s="5">
        <v>0</v>
      </c>
      <c r="E32" s="5">
        <v>0</v>
      </c>
      <c r="F32" s="5">
        <v>0</v>
      </c>
      <c r="G32" s="11">
        <v>1.74E-14</v>
      </c>
      <c r="H32" s="3" t="str">
        <f t="shared" si="1"/>
        <v>p &lt; 0.05</v>
      </c>
      <c r="I32" t="str">
        <f t="shared" si="2"/>
        <v>p &gt; 0.05</v>
      </c>
    </row>
    <row r="33" spans="1:9" x14ac:dyDescent="0.3">
      <c r="A33" s="2" t="s">
        <v>43</v>
      </c>
      <c r="B33" s="3" t="str">
        <f t="shared" si="0"/>
        <v>p &gt; 0.05</v>
      </c>
      <c r="C33">
        <v>0</v>
      </c>
      <c r="D33" s="5">
        <v>0</v>
      </c>
      <c r="E33" s="5">
        <v>0</v>
      </c>
      <c r="F33" s="5">
        <v>0</v>
      </c>
      <c r="G33" s="11">
        <v>6.0636000000000002E-2</v>
      </c>
      <c r="H33" s="3" t="str">
        <f t="shared" si="1"/>
        <v>p &lt; 0.05</v>
      </c>
      <c r="I33" t="str">
        <f t="shared" si="2"/>
        <v>p &gt; 0.05</v>
      </c>
    </row>
    <row r="34" spans="1:9" x14ac:dyDescent="0.3">
      <c r="A34" s="2" t="s">
        <v>44</v>
      </c>
      <c r="B34" s="3" t="str">
        <f t="shared" si="0"/>
        <v>p &lt; 0.05</v>
      </c>
      <c r="C34">
        <v>0</v>
      </c>
      <c r="D34" s="5">
        <v>0</v>
      </c>
      <c r="E34" s="5">
        <v>0</v>
      </c>
      <c r="F34" s="5">
        <v>0</v>
      </c>
      <c r="G34" s="11">
        <v>3.1E-14</v>
      </c>
      <c r="H34" s="3" t="str">
        <f t="shared" si="1"/>
        <v>p &lt; 0.05</v>
      </c>
      <c r="I34" t="str">
        <f t="shared" si="2"/>
        <v>p &gt; 0.05</v>
      </c>
    </row>
    <row r="35" spans="1:9" x14ac:dyDescent="0.3">
      <c r="A35" s="2" t="s">
        <v>45</v>
      </c>
      <c r="B35" s="3" t="str">
        <f t="shared" si="0"/>
        <v>p &lt; 0.05</v>
      </c>
      <c r="C35">
        <v>0</v>
      </c>
      <c r="D35" s="5">
        <v>0</v>
      </c>
      <c r="E35" s="5">
        <v>0</v>
      </c>
      <c r="F35" s="5">
        <v>0</v>
      </c>
      <c r="G35" s="11">
        <v>5.2599999999999999E-4</v>
      </c>
      <c r="H35" s="3" t="str">
        <f t="shared" si="1"/>
        <v>p &lt; 0.05</v>
      </c>
      <c r="I35" t="str">
        <f t="shared" si="2"/>
        <v>p &gt; 0.05</v>
      </c>
    </row>
    <row r="36" spans="1:9" x14ac:dyDescent="0.3">
      <c r="A36" s="2" t="s">
        <v>46</v>
      </c>
      <c r="B36" s="3" t="str">
        <f t="shared" si="0"/>
        <v>p &gt; 0.05</v>
      </c>
      <c r="C36">
        <v>0</v>
      </c>
      <c r="D36" s="5">
        <v>0</v>
      </c>
      <c r="E36" s="5">
        <v>0</v>
      </c>
      <c r="F36" s="5">
        <v>0</v>
      </c>
      <c r="G36" s="11">
        <v>5.9299999999999999E-2</v>
      </c>
      <c r="H36" s="3" t="str">
        <f t="shared" si="1"/>
        <v>p &lt; 0.05</v>
      </c>
      <c r="I36" t="str">
        <f t="shared" si="2"/>
        <v>p &gt; 0.05</v>
      </c>
    </row>
    <row r="37" spans="1:9" x14ac:dyDescent="0.3">
      <c r="A37" s="2" t="s">
        <v>47</v>
      </c>
      <c r="B37" s="3" t="str">
        <f t="shared" si="0"/>
        <v>p &lt; 0.05</v>
      </c>
      <c r="C37">
        <v>0</v>
      </c>
      <c r="D37" s="5">
        <v>0</v>
      </c>
      <c r="E37" s="5">
        <v>0</v>
      </c>
      <c r="F37" s="5">
        <v>0</v>
      </c>
      <c r="G37" s="11">
        <v>2.8799999999999998E-22</v>
      </c>
      <c r="H37" s="3" t="str">
        <f t="shared" si="1"/>
        <v>p &lt; 0.05</v>
      </c>
      <c r="I37" t="str">
        <f t="shared" si="2"/>
        <v>p &gt; 0.05</v>
      </c>
    </row>
    <row r="38" spans="1:9" x14ac:dyDescent="0.3">
      <c r="A38" s="2" t="s">
        <v>48</v>
      </c>
      <c r="B38" s="3" t="str">
        <f t="shared" si="0"/>
        <v>p &gt; 0.05</v>
      </c>
      <c r="C38">
        <v>0</v>
      </c>
      <c r="D38" s="5">
        <v>0</v>
      </c>
      <c r="E38" s="5">
        <v>0</v>
      </c>
      <c r="F38" s="5">
        <v>0</v>
      </c>
      <c r="G38" s="11">
        <v>0.48</v>
      </c>
      <c r="H38" s="3" t="str">
        <f t="shared" si="1"/>
        <v>p &lt; 0.05</v>
      </c>
      <c r="I38" t="str">
        <f t="shared" si="2"/>
        <v>p &gt; 0.05</v>
      </c>
    </row>
    <row r="39" spans="1:9" x14ac:dyDescent="0.3">
      <c r="A39" s="2" t="s">
        <v>49</v>
      </c>
      <c r="B39" s="3" t="str">
        <f t="shared" si="0"/>
        <v>p &gt; 0.05</v>
      </c>
      <c r="C39">
        <v>0</v>
      </c>
      <c r="D39" s="5">
        <v>0</v>
      </c>
      <c r="E39" s="5">
        <v>0</v>
      </c>
      <c r="F39" s="5">
        <v>0</v>
      </c>
      <c r="G39" s="11">
        <v>0.77100000000000002</v>
      </c>
      <c r="H39" s="3" t="str">
        <f t="shared" si="1"/>
        <v>p &lt; 0.05</v>
      </c>
      <c r="I39" t="str">
        <f t="shared" si="2"/>
        <v>p &gt; 0.05</v>
      </c>
    </row>
    <row r="40" spans="1:9" x14ac:dyDescent="0.3">
      <c r="A40" s="2" t="s">
        <v>50</v>
      </c>
      <c r="B40" s="3" t="str">
        <f t="shared" si="0"/>
        <v>p &lt; 0.05</v>
      </c>
      <c r="C40">
        <v>0</v>
      </c>
      <c r="D40" s="5">
        <v>0</v>
      </c>
      <c r="E40" s="5">
        <v>0</v>
      </c>
      <c r="F40" s="5">
        <v>0</v>
      </c>
      <c r="G40" s="11">
        <v>3.58E-7</v>
      </c>
      <c r="H40" s="3" t="str">
        <f t="shared" si="1"/>
        <v>p &lt; 0.05</v>
      </c>
      <c r="I40" t="str">
        <f t="shared" si="2"/>
        <v>p &gt; 0.05</v>
      </c>
    </row>
    <row r="41" spans="1:9" x14ac:dyDescent="0.3">
      <c r="A41" s="2" t="s">
        <v>51</v>
      </c>
      <c r="B41" s="3" t="str">
        <f t="shared" si="0"/>
        <v>p &lt; 0.05</v>
      </c>
      <c r="C41">
        <v>0</v>
      </c>
      <c r="D41" s="5">
        <v>0</v>
      </c>
      <c r="E41" s="5">
        <v>0</v>
      </c>
      <c r="F41" s="5">
        <v>0</v>
      </c>
      <c r="G41" s="11">
        <v>2.1999999999999998E-18</v>
      </c>
      <c r="H41" s="3" t="str">
        <f t="shared" si="1"/>
        <v>p &lt; 0.05</v>
      </c>
      <c r="I41" t="str">
        <f t="shared" si="2"/>
        <v>p &gt; 0.05</v>
      </c>
    </row>
    <row r="42" spans="1:9" x14ac:dyDescent="0.3">
      <c r="A42" s="2" t="s">
        <v>52</v>
      </c>
      <c r="B42" s="3" t="str">
        <f t="shared" si="0"/>
        <v>p &lt; 0.05</v>
      </c>
      <c r="C42">
        <v>0</v>
      </c>
      <c r="D42" s="5">
        <v>0</v>
      </c>
      <c r="E42" s="5">
        <v>0</v>
      </c>
      <c r="F42" s="5">
        <v>0</v>
      </c>
      <c r="G42" s="11">
        <v>2.8599999999999999E-28</v>
      </c>
      <c r="H42" s="3" t="str">
        <f t="shared" si="1"/>
        <v>p &lt; 0.05</v>
      </c>
      <c r="I42" t="str">
        <f t="shared" si="2"/>
        <v>p &gt; 0.05</v>
      </c>
    </row>
    <row r="43" spans="1:9" x14ac:dyDescent="0.3">
      <c r="A43" s="2" t="s">
        <v>53</v>
      </c>
      <c r="B43" s="3" t="str">
        <f t="shared" si="0"/>
        <v>p &gt; 0.05</v>
      </c>
      <c r="C43">
        <v>0</v>
      </c>
      <c r="D43" s="5">
        <v>0</v>
      </c>
      <c r="E43" s="5">
        <v>0</v>
      </c>
      <c r="F43" s="5">
        <v>0</v>
      </c>
      <c r="G43" s="11">
        <v>0.192</v>
      </c>
      <c r="H43" s="3" t="str">
        <f t="shared" si="1"/>
        <v>p &lt; 0.05</v>
      </c>
      <c r="I43" t="str">
        <f t="shared" si="2"/>
        <v>p &gt; 0.05</v>
      </c>
    </row>
    <row r="44" spans="1:9" x14ac:dyDescent="0.3">
      <c r="A44" s="2" t="s">
        <v>54</v>
      </c>
      <c r="B44" s="3" t="str">
        <f t="shared" si="0"/>
        <v>p &lt; 0.05</v>
      </c>
      <c r="C44">
        <v>0</v>
      </c>
      <c r="D44" s="5">
        <v>0</v>
      </c>
      <c r="E44" s="5">
        <v>0</v>
      </c>
      <c r="F44" s="5">
        <v>0</v>
      </c>
      <c r="G44" s="11">
        <v>2.0600000000000002E-6</v>
      </c>
      <c r="H44" s="3" t="str">
        <f t="shared" si="1"/>
        <v>p &lt; 0.05</v>
      </c>
      <c r="I44" t="str">
        <f t="shared" si="2"/>
        <v>p &gt; 0.05</v>
      </c>
    </row>
    <row r="45" spans="1:9" x14ac:dyDescent="0.3">
      <c r="A45" s="2" t="s">
        <v>55</v>
      </c>
      <c r="B45" s="3" t="str">
        <f t="shared" si="0"/>
        <v>p &lt; 0.05</v>
      </c>
      <c r="C45">
        <v>0</v>
      </c>
      <c r="D45" s="5">
        <v>0</v>
      </c>
      <c r="E45" s="5">
        <v>0</v>
      </c>
      <c r="F45" s="5">
        <v>0</v>
      </c>
      <c r="G45" s="11">
        <v>2.53E-2</v>
      </c>
      <c r="H45" s="3" t="str">
        <f t="shared" si="1"/>
        <v>p &lt; 0.05</v>
      </c>
      <c r="I45" t="str">
        <f t="shared" si="2"/>
        <v>p &gt; 0.05</v>
      </c>
    </row>
    <row r="46" spans="1:9" x14ac:dyDescent="0.3">
      <c r="A46" s="2" t="s">
        <v>56</v>
      </c>
      <c r="B46" s="3" t="str">
        <f t="shared" si="0"/>
        <v>p &gt; 0.05</v>
      </c>
      <c r="C46">
        <v>0</v>
      </c>
      <c r="D46" s="5">
        <v>0</v>
      </c>
      <c r="E46" s="5">
        <v>0</v>
      </c>
      <c r="F46" s="5">
        <v>0</v>
      </c>
      <c r="G46" s="11">
        <v>0.85099999999999998</v>
      </c>
      <c r="H46" s="3" t="str">
        <f t="shared" si="1"/>
        <v>p &lt; 0.05</v>
      </c>
      <c r="I46" t="str">
        <f t="shared" si="2"/>
        <v>p &gt; 0.05</v>
      </c>
    </row>
    <row r="47" spans="1:9" x14ac:dyDescent="0.3">
      <c r="A47" s="2" t="s">
        <v>57</v>
      </c>
      <c r="B47" s="3" t="str">
        <f t="shared" si="0"/>
        <v>p &gt; 0.05</v>
      </c>
      <c r="C47">
        <v>0</v>
      </c>
      <c r="D47" s="5">
        <v>0</v>
      </c>
      <c r="E47" s="5">
        <v>0</v>
      </c>
      <c r="F47" s="5">
        <v>0</v>
      </c>
      <c r="G47" s="11">
        <v>9.4700000000000006E-2</v>
      </c>
      <c r="H47" s="3" t="str">
        <f t="shared" si="1"/>
        <v>p &lt; 0.05</v>
      </c>
      <c r="I47" t="str">
        <f t="shared" si="2"/>
        <v>p &gt; 0.05</v>
      </c>
    </row>
    <row r="48" spans="1:9" x14ac:dyDescent="0.3">
      <c r="A48" s="2" t="s">
        <v>58</v>
      </c>
      <c r="B48" s="3" t="str">
        <f t="shared" si="0"/>
        <v>p &lt; 0.05</v>
      </c>
      <c r="C48">
        <v>0</v>
      </c>
      <c r="D48" s="5">
        <v>0</v>
      </c>
      <c r="E48" s="5">
        <v>0</v>
      </c>
      <c r="F48" s="5">
        <v>0</v>
      </c>
      <c r="G48" s="11">
        <v>2.6799999999999998E-8</v>
      </c>
      <c r="H48" s="3" t="str">
        <f t="shared" si="1"/>
        <v>p &lt; 0.05</v>
      </c>
      <c r="I48" t="str">
        <f t="shared" si="2"/>
        <v>p &gt; 0.05</v>
      </c>
    </row>
    <row r="49" spans="1:9" x14ac:dyDescent="0.3">
      <c r="A49" s="2" t="s">
        <v>59</v>
      </c>
      <c r="B49" s="3" t="str">
        <f t="shared" si="0"/>
        <v>p &lt; 0.05</v>
      </c>
      <c r="C49">
        <v>0</v>
      </c>
      <c r="D49" s="5">
        <v>0</v>
      </c>
      <c r="E49" s="5">
        <v>0</v>
      </c>
      <c r="F49" s="5">
        <v>0</v>
      </c>
      <c r="G49" s="11">
        <v>2.1800000000000001E-3</v>
      </c>
      <c r="H49" s="3" t="str">
        <f t="shared" si="1"/>
        <v>p &lt; 0.05</v>
      </c>
      <c r="I49" t="str">
        <f t="shared" si="2"/>
        <v>p &gt; 0.05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75F2-F904-47F5-8B63-8237FD0B0E89}">
  <dimension ref="A1:I49"/>
  <sheetViews>
    <sheetView workbookViewId="0">
      <selection sqref="A1:A1048576"/>
    </sheetView>
  </sheetViews>
  <sheetFormatPr baseColWidth="10" defaultRowHeight="14.4" x14ac:dyDescent="0.3"/>
  <cols>
    <col min="7" max="7" width="12.109375" style="8" bestFit="1" customWidth="1"/>
  </cols>
  <sheetData>
    <row r="1" spans="1:9" x14ac:dyDescent="0.3">
      <c r="A1" s="1" t="s">
        <v>0</v>
      </c>
      <c r="B1" s="1" t="s">
        <v>1</v>
      </c>
      <c r="C1" s="1" t="s">
        <v>11</v>
      </c>
      <c r="D1" s="4" t="s">
        <v>3</v>
      </c>
      <c r="E1" s="4" t="s">
        <v>4</v>
      </c>
      <c r="F1" s="4" t="s">
        <v>5</v>
      </c>
      <c r="G1" s="13" t="s">
        <v>6</v>
      </c>
      <c r="H1" s="1" t="s">
        <v>7</v>
      </c>
      <c r="I1" s="1" t="s">
        <v>8</v>
      </c>
    </row>
    <row r="2" spans="1:9" x14ac:dyDescent="0.3">
      <c r="A2" s="2" t="s">
        <v>12</v>
      </c>
      <c r="B2" s="3" t="str">
        <f>IF(G2&lt;0.05,H2,I2)</f>
        <v>p &lt; 0.05</v>
      </c>
      <c r="C2" s="3">
        <v>0</v>
      </c>
      <c r="D2" s="5">
        <v>0</v>
      </c>
      <c r="E2" s="5">
        <v>0</v>
      </c>
      <c r="F2" s="5">
        <v>0</v>
      </c>
      <c r="G2" s="7">
        <v>3.9300000000000002E-2</v>
      </c>
      <c r="H2" s="3" t="s">
        <v>9</v>
      </c>
      <c r="I2" s="3" t="s">
        <v>10</v>
      </c>
    </row>
    <row r="3" spans="1:9" x14ac:dyDescent="0.3">
      <c r="A3" s="2" t="s">
        <v>13</v>
      </c>
      <c r="B3" s="3" t="str">
        <f t="shared" ref="B3:B49" si="0">IF(G3&lt;0.05,H3,I3)</f>
        <v>p &lt; 0.05</v>
      </c>
      <c r="C3" s="3">
        <v>0</v>
      </c>
      <c r="D3" s="5">
        <v>0</v>
      </c>
      <c r="E3" s="5">
        <v>0</v>
      </c>
      <c r="F3" s="5">
        <v>0</v>
      </c>
      <c r="G3" s="7">
        <v>1.97E-7</v>
      </c>
      <c r="H3" s="3" t="str">
        <f>H2</f>
        <v>p &lt; 0.05</v>
      </c>
      <c r="I3" s="3" t="str">
        <f>I2</f>
        <v>p &gt; 0.05</v>
      </c>
    </row>
    <row r="4" spans="1:9" x14ac:dyDescent="0.3">
      <c r="A4" s="2" t="s">
        <v>14</v>
      </c>
      <c r="B4" s="3" t="str">
        <f t="shared" si="0"/>
        <v>p &gt; 0.05</v>
      </c>
      <c r="C4" s="3">
        <v>0</v>
      </c>
      <c r="D4" s="5">
        <v>0</v>
      </c>
      <c r="E4" s="5">
        <v>0</v>
      </c>
      <c r="F4" s="5">
        <v>0</v>
      </c>
      <c r="G4" s="7">
        <v>0.28799999999999998</v>
      </c>
      <c r="H4" s="3" t="str">
        <f t="shared" ref="H4:H49" si="1">H3</f>
        <v>p &lt; 0.05</v>
      </c>
      <c r="I4" s="3" t="str">
        <f t="shared" ref="I4:I49" si="2">I3</f>
        <v>p &gt; 0.05</v>
      </c>
    </row>
    <row r="5" spans="1:9" x14ac:dyDescent="0.3">
      <c r="A5" s="2" t="s">
        <v>15</v>
      </c>
      <c r="B5" s="3" t="str">
        <f t="shared" si="0"/>
        <v>p &gt; 0.05</v>
      </c>
      <c r="C5" s="3">
        <v>0</v>
      </c>
      <c r="D5" s="5">
        <v>0</v>
      </c>
      <c r="E5" s="5">
        <v>0</v>
      </c>
      <c r="F5" s="5">
        <v>0</v>
      </c>
      <c r="G5" s="7">
        <v>0.49099999999999999</v>
      </c>
      <c r="H5" s="3" t="str">
        <f t="shared" si="1"/>
        <v>p &lt; 0.05</v>
      </c>
      <c r="I5" s="3" t="str">
        <f t="shared" si="2"/>
        <v>p &gt; 0.05</v>
      </c>
    </row>
    <row r="6" spans="1:9" x14ac:dyDescent="0.3">
      <c r="A6" s="2" t="s">
        <v>16</v>
      </c>
      <c r="B6" s="3" t="str">
        <f t="shared" si="0"/>
        <v>p &gt; 0.05</v>
      </c>
      <c r="C6" s="3">
        <v>0</v>
      </c>
      <c r="D6" s="5">
        <v>0</v>
      </c>
      <c r="E6" s="5">
        <v>0</v>
      </c>
      <c r="F6" s="5">
        <v>0</v>
      </c>
      <c r="G6" s="7">
        <v>0.66600000000000004</v>
      </c>
      <c r="H6" s="3" t="str">
        <f t="shared" si="1"/>
        <v>p &lt; 0.05</v>
      </c>
      <c r="I6" s="3" t="str">
        <f t="shared" si="2"/>
        <v>p &gt; 0.05</v>
      </c>
    </row>
    <row r="7" spans="1:9" x14ac:dyDescent="0.3">
      <c r="A7" s="2" t="s">
        <v>17</v>
      </c>
      <c r="B7" s="3" t="str">
        <f t="shared" si="0"/>
        <v>p &lt; 0.05</v>
      </c>
      <c r="C7" s="3">
        <v>0</v>
      </c>
      <c r="D7" s="5">
        <v>0</v>
      </c>
      <c r="E7" s="5">
        <v>0</v>
      </c>
      <c r="F7" s="5">
        <v>0</v>
      </c>
      <c r="G7" s="7">
        <v>4.9099999999999998E-2</v>
      </c>
      <c r="H7" s="3" t="str">
        <f t="shared" si="1"/>
        <v>p &lt; 0.05</v>
      </c>
      <c r="I7" s="3" t="str">
        <f t="shared" si="2"/>
        <v>p &gt; 0.05</v>
      </c>
    </row>
    <row r="8" spans="1:9" x14ac:dyDescent="0.3">
      <c r="A8" s="2" t="s">
        <v>18</v>
      </c>
      <c r="B8" s="3" t="str">
        <f t="shared" si="0"/>
        <v>p &lt; 0.05</v>
      </c>
      <c r="C8" s="3">
        <v>0</v>
      </c>
      <c r="D8" s="5">
        <v>0</v>
      </c>
      <c r="E8" s="5">
        <v>0</v>
      </c>
      <c r="F8" s="5">
        <v>0</v>
      </c>
      <c r="G8" s="7">
        <v>2.8100000000000001E-13</v>
      </c>
      <c r="H8" s="3" t="str">
        <f t="shared" si="1"/>
        <v>p &lt; 0.05</v>
      </c>
      <c r="I8" s="3" t="str">
        <f t="shared" si="2"/>
        <v>p &gt; 0.05</v>
      </c>
    </row>
    <row r="9" spans="1:9" x14ac:dyDescent="0.3">
      <c r="A9" s="2" t="s">
        <v>19</v>
      </c>
      <c r="B9" s="3" t="str">
        <f t="shared" si="0"/>
        <v>p &lt; 0.05</v>
      </c>
      <c r="C9" s="3">
        <v>0</v>
      </c>
      <c r="D9" s="5">
        <v>0</v>
      </c>
      <c r="E9" s="5">
        <v>0</v>
      </c>
      <c r="F9" s="5">
        <v>0</v>
      </c>
      <c r="G9" s="7">
        <v>1.16E-3</v>
      </c>
      <c r="H9" s="3" t="str">
        <f t="shared" si="1"/>
        <v>p &lt; 0.05</v>
      </c>
      <c r="I9" s="3" t="str">
        <f t="shared" si="2"/>
        <v>p &gt; 0.05</v>
      </c>
    </row>
    <row r="10" spans="1:9" x14ac:dyDescent="0.3">
      <c r="A10" s="2" t="s">
        <v>20</v>
      </c>
      <c r="B10" s="3" t="str">
        <f t="shared" si="0"/>
        <v>p &gt; 0.05</v>
      </c>
      <c r="C10" s="3">
        <v>0</v>
      </c>
      <c r="D10" s="5">
        <v>0</v>
      </c>
      <c r="E10" s="5">
        <v>0</v>
      </c>
      <c r="F10" s="5">
        <v>0</v>
      </c>
      <c r="G10" s="7">
        <v>0.16600000000000001</v>
      </c>
      <c r="H10" s="3" t="str">
        <f t="shared" si="1"/>
        <v>p &lt; 0.05</v>
      </c>
      <c r="I10" s="3" t="str">
        <f t="shared" si="2"/>
        <v>p &gt; 0.05</v>
      </c>
    </row>
    <row r="11" spans="1:9" x14ac:dyDescent="0.3">
      <c r="A11" s="2" t="s">
        <v>21</v>
      </c>
      <c r="B11" s="3" t="str">
        <f t="shared" si="0"/>
        <v>p &lt; 0.05</v>
      </c>
      <c r="C11" s="3">
        <v>0</v>
      </c>
      <c r="D11" s="5">
        <v>0</v>
      </c>
      <c r="E11" s="5">
        <v>0</v>
      </c>
      <c r="F11" s="5">
        <v>0</v>
      </c>
      <c r="G11" s="7">
        <v>1.59E-6</v>
      </c>
      <c r="H11" s="3" t="str">
        <f t="shared" si="1"/>
        <v>p &lt; 0.05</v>
      </c>
      <c r="I11" s="3" t="str">
        <f t="shared" si="2"/>
        <v>p &gt; 0.05</v>
      </c>
    </row>
    <row r="12" spans="1:9" x14ac:dyDescent="0.3">
      <c r="A12" s="2" t="s">
        <v>22</v>
      </c>
      <c r="B12" s="3" t="str">
        <f t="shared" si="0"/>
        <v>p &lt; 0.05</v>
      </c>
      <c r="C12" s="3">
        <v>0</v>
      </c>
      <c r="D12" s="5">
        <v>0</v>
      </c>
      <c r="E12" s="5">
        <v>0</v>
      </c>
      <c r="F12" s="5">
        <v>0</v>
      </c>
      <c r="G12" s="7">
        <v>9.2500000000000004E-7</v>
      </c>
      <c r="H12" s="3" t="str">
        <f t="shared" si="1"/>
        <v>p &lt; 0.05</v>
      </c>
      <c r="I12" s="3" t="str">
        <f t="shared" si="2"/>
        <v>p &gt; 0.05</v>
      </c>
    </row>
    <row r="13" spans="1:9" x14ac:dyDescent="0.3">
      <c r="A13" s="2" t="s">
        <v>23</v>
      </c>
      <c r="B13" s="3" t="str">
        <f t="shared" si="0"/>
        <v>p &lt; 0.05</v>
      </c>
      <c r="C13" s="3">
        <v>0</v>
      </c>
      <c r="D13" s="5">
        <v>0</v>
      </c>
      <c r="E13" s="5">
        <v>0</v>
      </c>
      <c r="F13" s="5">
        <v>0</v>
      </c>
      <c r="G13" s="7">
        <v>1.5200000000000001E-6</v>
      </c>
      <c r="H13" s="3" t="str">
        <f t="shared" si="1"/>
        <v>p &lt; 0.05</v>
      </c>
      <c r="I13" s="3" t="str">
        <f t="shared" si="2"/>
        <v>p &gt; 0.05</v>
      </c>
    </row>
    <row r="14" spans="1:9" x14ac:dyDescent="0.3">
      <c r="A14" s="2" t="s">
        <v>24</v>
      </c>
      <c r="B14" s="3" t="str">
        <f t="shared" si="0"/>
        <v>p &lt; 0.05</v>
      </c>
      <c r="C14" s="3">
        <v>0</v>
      </c>
      <c r="D14" s="5">
        <v>0</v>
      </c>
      <c r="E14" s="5">
        <v>0</v>
      </c>
      <c r="F14" s="5">
        <v>0</v>
      </c>
      <c r="G14" s="7">
        <v>1.01E-7</v>
      </c>
      <c r="H14" s="3" t="str">
        <f t="shared" si="1"/>
        <v>p &lt; 0.05</v>
      </c>
      <c r="I14" s="3" t="str">
        <f t="shared" si="2"/>
        <v>p &gt; 0.05</v>
      </c>
    </row>
    <row r="15" spans="1:9" x14ac:dyDescent="0.3">
      <c r="A15" s="2" t="s">
        <v>25</v>
      </c>
      <c r="B15" s="3" t="str">
        <f t="shared" si="0"/>
        <v>p &lt; 0.05</v>
      </c>
      <c r="C15" s="3">
        <v>0</v>
      </c>
      <c r="D15" s="5">
        <v>0</v>
      </c>
      <c r="E15" s="5">
        <v>0</v>
      </c>
      <c r="F15" s="5">
        <v>0</v>
      </c>
      <c r="G15" s="7">
        <v>1.4399999999999999E-7</v>
      </c>
      <c r="H15" s="3" t="str">
        <f t="shared" si="1"/>
        <v>p &lt; 0.05</v>
      </c>
      <c r="I15" s="3" t="str">
        <f t="shared" si="2"/>
        <v>p &gt; 0.05</v>
      </c>
    </row>
    <row r="16" spans="1:9" x14ac:dyDescent="0.3">
      <c r="A16" s="2" t="s">
        <v>26</v>
      </c>
      <c r="B16" s="3" t="str">
        <f t="shared" si="0"/>
        <v>p &lt; 0.05</v>
      </c>
      <c r="C16" s="3">
        <v>0</v>
      </c>
      <c r="D16" s="5">
        <v>0</v>
      </c>
      <c r="E16" s="5">
        <v>0</v>
      </c>
      <c r="F16" s="5">
        <v>0</v>
      </c>
      <c r="G16" s="7">
        <v>3.1E-4</v>
      </c>
      <c r="H16" s="3" t="str">
        <f t="shared" si="1"/>
        <v>p &lt; 0.05</v>
      </c>
      <c r="I16" s="3" t="str">
        <f t="shared" si="2"/>
        <v>p &gt; 0.05</v>
      </c>
    </row>
    <row r="17" spans="1:9" x14ac:dyDescent="0.3">
      <c r="A17" s="2" t="s">
        <v>27</v>
      </c>
      <c r="B17" s="3" t="str">
        <f t="shared" si="0"/>
        <v>p &lt; 0.05</v>
      </c>
      <c r="C17" s="3">
        <v>0</v>
      </c>
      <c r="D17" s="5">
        <v>0</v>
      </c>
      <c r="E17" s="5">
        <v>0</v>
      </c>
      <c r="F17" s="5">
        <v>0</v>
      </c>
      <c r="G17" s="7">
        <v>4.45E-3</v>
      </c>
      <c r="H17" s="3" t="str">
        <f t="shared" si="1"/>
        <v>p &lt; 0.05</v>
      </c>
      <c r="I17" s="3" t="str">
        <f t="shared" si="2"/>
        <v>p &gt; 0.05</v>
      </c>
    </row>
    <row r="18" spans="1:9" x14ac:dyDescent="0.3">
      <c r="A18" s="2" t="s">
        <v>28</v>
      </c>
      <c r="B18" s="3" t="str">
        <f t="shared" si="0"/>
        <v>p &lt; 0.05</v>
      </c>
      <c r="C18" s="3">
        <v>0</v>
      </c>
      <c r="D18" s="5">
        <v>0</v>
      </c>
      <c r="E18" s="5">
        <v>0</v>
      </c>
      <c r="F18" s="5">
        <v>0</v>
      </c>
      <c r="G18" s="7">
        <v>1.2799999999999999E-4</v>
      </c>
      <c r="H18" s="3" t="str">
        <f t="shared" si="1"/>
        <v>p &lt; 0.05</v>
      </c>
      <c r="I18" s="3" t="str">
        <f t="shared" si="2"/>
        <v>p &gt; 0.05</v>
      </c>
    </row>
    <row r="19" spans="1:9" x14ac:dyDescent="0.3">
      <c r="A19" s="2" t="s">
        <v>29</v>
      </c>
      <c r="B19" s="3" t="str">
        <f t="shared" si="0"/>
        <v>p &gt; 0.05</v>
      </c>
      <c r="C19" s="3">
        <v>0</v>
      </c>
      <c r="D19" s="5">
        <v>0</v>
      </c>
      <c r="E19" s="5">
        <v>0</v>
      </c>
      <c r="F19" s="5">
        <v>0</v>
      </c>
      <c r="G19" s="7">
        <v>0.63800000000000001</v>
      </c>
      <c r="H19" s="3" t="str">
        <f t="shared" si="1"/>
        <v>p &lt; 0.05</v>
      </c>
      <c r="I19" s="3" t="str">
        <f t="shared" si="2"/>
        <v>p &gt; 0.05</v>
      </c>
    </row>
    <row r="20" spans="1:9" x14ac:dyDescent="0.3">
      <c r="A20" s="2" t="s">
        <v>30</v>
      </c>
      <c r="B20" s="3" t="str">
        <f t="shared" si="0"/>
        <v>p &gt; 0.05</v>
      </c>
      <c r="C20" s="3">
        <v>0</v>
      </c>
      <c r="D20" s="5">
        <v>0</v>
      </c>
      <c r="E20" s="5">
        <v>0</v>
      </c>
      <c r="F20" s="5">
        <v>0</v>
      </c>
      <c r="G20" s="7">
        <v>0.871</v>
      </c>
      <c r="H20" s="3" t="str">
        <f t="shared" si="1"/>
        <v>p &lt; 0.05</v>
      </c>
      <c r="I20" s="3" t="str">
        <f t="shared" si="2"/>
        <v>p &gt; 0.05</v>
      </c>
    </row>
    <row r="21" spans="1:9" x14ac:dyDescent="0.3">
      <c r="A21" s="2" t="s">
        <v>31</v>
      </c>
      <c r="B21" s="3" t="str">
        <f t="shared" si="0"/>
        <v>p &gt; 0.05</v>
      </c>
      <c r="C21" s="3">
        <v>0</v>
      </c>
      <c r="D21" s="5">
        <v>0</v>
      </c>
      <c r="E21" s="5">
        <v>0</v>
      </c>
      <c r="F21" s="5">
        <v>0</v>
      </c>
      <c r="G21" s="7">
        <v>0.2</v>
      </c>
      <c r="H21" s="3" t="str">
        <f t="shared" si="1"/>
        <v>p &lt; 0.05</v>
      </c>
      <c r="I21" s="3" t="str">
        <f t="shared" si="2"/>
        <v>p &gt; 0.05</v>
      </c>
    </row>
    <row r="22" spans="1:9" x14ac:dyDescent="0.3">
      <c r="A22" s="2" t="s">
        <v>32</v>
      </c>
      <c r="B22" s="3" t="str">
        <f t="shared" si="0"/>
        <v>p &lt; 0.05</v>
      </c>
      <c r="C22" s="3">
        <v>0</v>
      </c>
      <c r="D22" s="5">
        <v>0</v>
      </c>
      <c r="E22" s="5">
        <v>0</v>
      </c>
      <c r="F22" s="5">
        <v>0</v>
      </c>
      <c r="G22" s="7">
        <v>3.6700000000000003E-2</v>
      </c>
      <c r="H22" s="3" t="str">
        <f t="shared" si="1"/>
        <v>p &lt; 0.05</v>
      </c>
      <c r="I22" s="3" t="str">
        <f t="shared" si="2"/>
        <v>p &gt; 0.05</v>
      </c>
    </row>
    <row r="23" spans="1:9" x14ac:dyDescent="0.3">
      <c r="A23" s="2" t="s">
        <v>33</v>
      </c>
      <c r="B23" s="3" t="str">
        <f t="shared" si="0"/>
        <v>p &lt; 0.05</v>
      </c>
      <c r="C23" s="3">
        <v>0</v>
      </c>
      <c r="D23" s="5">
        <v>0</v>
      </c>
      <c r="E23" s="5">
        <v>0</v>
      </c>
      <c r="F23" s="5">
        <v>0</v>
      </c>
      <c r="G23" s="7">
        <v>8.8700000000000001E-5</v>
      </c>
      <c r="H23" s="3" t="str">
        <f t="shared" si="1"/>
        <v>p &lt; 0.05</v>
      </c>
      <c r="I23" s="3" t="str">
        <f t="shared" si="2"/>
        <v>p &gt; 0.05</v>
      </c>
    </row>
    <row r="24" spans="1:9" x14ac:dyDescent="0.3">
      <c r="A24" s="2" t="s">
        <v>34</v>
      </c>
      <c r="B24" s="3" t="str">
        <f t="shared" si="0"/>
        <v>p &lt; 0.05</v>
      </c>
      <c r="C24" s="3">
        <v>0</v>
      </c>
      <c r="D24" s="5">
        <v>0</v>
      </c>
      <c r="E24" s="5">
        <v>0</v>
      </c>
      <c r="F24" s="5">
        <v>0</v>
      </c>
      <c r="G24" s="7">
        <v>2.0799999999999998E-3</v>
      </c>
      <c r="H24" s="3" t="str">
        <f t="shared" si="1"/>
        <v>p &lt; 0.05</v>
      </c>
      <c r="I24" s="3" t="str">
        <f t="shared" si="2"/>
        <v>p &gt; 0.05</v>
      </c>
    </row>
    <row r="25" spans="1:9" x14ac:dyDescent="0.3">
      <c r="A25" s="2" t="s">
        <v>35</v>
      </c>
      <c r="B25" s="3" t="str">
        <f t="shared" si="0"/>
        <v>p &gt; 0.05</v>
      </c>
      <c r="C25" s="3">
        <v>0</v>
      </c>
      <c r="D25" s="5">
        <v>0</v>
      </c>
      <c r="E25" s="5">
        <v>0</v>
      </c>
      <c r="F25" s="5">
        <v>0</v>
      </c>
      <c r="G25" s="7">
        <v>0.35299999999999998</v>
      </c>
      <c r="H25" s="3" t="str">
        <f t="shared" si="1"/>
        <v>p &lt; 0.05</v>
      </c>
      <c r="I25" s="3" t="str">
        <f t="shared" si="2"/>
        <v>p &gt; 0.05</v>
      </c>
    </row>
    <row r="26" spans="1:9" x14ac:dyDescent="0.3">
      <c r="A26" s="2" t="s">
        <v>36</v>
      </c>
      <c r="B26" s="3" t="str">
        <f t="shared" si="0"/>
        <v>p &lt; 0.05</v>
      </c>
      <c r="C26" s="3">
        <v>0</v>
      </c>
      <c r="D26" s="5">
        <v>0</v>
      </c>
      <c r="E26" s="5">
        <v>0</v>
      </c>
      <c r="F26" s="5">
        <v>0</v>
      </c>
      <c r="G26" s="14">
        <v>9.7499999999999996E-4</v>
      </c>
      <c r="H26" s="3" t="str">
        <f t="shared" si="1"/>
        <v>p &lt; 0.05</v>
      </c>
      <c r="I26" s="3" t="str">
        <f t="shared" si="2"/>
        <v>p &gt; 0.05</v>
      </c>
    </row>
    <row r="27" spans="1:9" x14ac:dyDescent="0.3">
      <c r="A27" s="2" t="s">
        <v>37</v>
      </c>
      <c r="B27" s="3" t="str">
        <f t="shared" si="0"/>
        <v>p &lt; 0.05</v>
      </c>
      <c r="C27" s="3">
        <v>0</v>
      </c>
      <c r="D27" s="5">
        <v>0</v>
      </c>
      <c r="E27" s="5">
        <v>0</v>
      </c>
      <c r="F27" s="5">
        <v>0</v>
      </c>
      <c r="G27" s="7">
        <v>1.22E-8</v>
      </c>
      <c r="H27" s="3" t="str">
        <f t="shared" si="1"/>
        <v>p &lt; 0.05</v>
      </c>
      <c r="I27" s="3" t="str">
        <f t="shared" si="2"/>
        <v>p &gt; 0.05</v>
      </c>
    </row>
    <row r="28" spans="1:9" x14ac:dyDescent="0.3">
      <c r="A28" s="2" t="s">
        <v>38</v>
      </c>
      <c r="B28" s="3" t="str">
        <f t="shared" si="0"/>
        <v>p &gt; 0.05</v>
      </c>
      <c r="C28" s="3">
        <v>0</v>
      </c>
      <c r="D28" s="5">
        <v>0</v>
      </c>
      <c r="E28" s="5">
        <v>0</v>
      </c>
      <c r="F28" s="5">
        <v>0</v>
      </c>
      <c r="G28" s="7">
        <v>0.32400000000000001</v>
      </c>
      <c r="H28" s="3" t="str">
        <f t="shared" si="1"/>
        <v>p &lt; 0.05</v>
      </c>
      <c r="I28" s="3" t="str">
        <f t="shared" si="2"/>
        <v>p &gt; 0.05</v>
      </c>
    </row>
    <row r="29" spans="1:9" x14ac:dyDescent="0.3">
      <c r="A29" s="2" t="s">
        <v>39</v>
      </c>
      <c r="B29" s="3" t="str">
        <f t="shared" si="0"/>
        <v>p &lt; 0.05</v>
      </c>
      <c r="C29" s="3">
        <v>0</v>
      </c>
      <c r="D29" s="5">
        <v>0</v>
      </c>
      <c r="E29" s="5">
        <v>0</v>
      </c>
      <c r="F29" s="5">
        <v>0</v>
      </c>
      <c r="G29" s="7">
        <v>8.9800000000000003E-11</v>
      </c>
      <c r="H29" s="3" t="str">
        <f t="shared" si="1"/>
        <v>p &lt; 0.05</v>
      </c>
      <c r="I29" s="3" t="str">
        <f t="shared" si="2"/>
        <v>p &gt; 0.05</v>
      </c>
    </row>
    <row r="30" spans="1:9" x14ac:dyDescent="0.3">
      <c r="A30" s="2" t="s">
        <v>40</v>
      </c>
      <c r="B30" s="3" t="str">
        <f t="shared" si="0"/>
        <v>p &lt; 0.05</v>
      </c>
      <c r="C30" s="3">
        <v>0</v>
      </c>
      <c r="D30" s="5">
        <v>0</v>
      </c>
      <c r="E30" s="5">
        <v>0</v>
      </c>
      <c r="F30" s="5">
        <v>0</v>
      </c>
      <c r="G30" s="7">
        <v>3.7999999999999998E-11</v>
      </c>
      <c r="H30" s="3" t="str">
        <f t="shared" si="1"/>
        <v>p &lt; 0.05</v>
      </c>
      <c r="I30" s="3" t="str">
        <f t="shared" si="2"/>
        <v>p &gt; 0.05</v>
      </c>
    </row>
    <row r="31" spans="1:9" x14ac:dyDescent="0.3">
      <c r="A31" s="2" t="s">
        <v>41</v>
      </c>
      <c r="B31" s="3" t="str">
        <f t="shared" si="0"/>
        <v>p &lt; 0.05</v>
      </c>
      <c r="C31" s="3">
        <v>0</v>
      </c>
      <c r="D31" s="5">
        <v>0</v>
      </c>
      <c r="E31" s="5">
        <v>0</v>
      </c>
      <c r="F31" s="5">
        <v>0</v>
      </c>
      <c r="G31" s="7">
        <v>9.0799999999999997E-13</v>
      </c>
      <c r="H31" s="3" t="str">
        <f t="shared" si="1"/>
        <v>p &lt; 0.05</v>
      </c>
      <c r="I31" s="3" t="str">
        <f t="shared" si="2"/>
        <v>p &gt; 0.05</v>
      </c>
    </row>
    <row r="32" spans="1:9" x14ac:dyDescent="0.3">
      <c r="A32" s="2" t="s">
        <v>42</v>
      </c>
      <c r="B32" s="3" t="str">
        <f t="shared" si="0"/>
        <v>p &lt; 0.05</v>
      </c>
      <c r="C32" s="3">
        <v>0</v>
      </c>
      <c r="D32" s="5">
        <v>0</v>
      </c>
      <c r="E32" s="5">
        <v>0</v>
      </c>
      <c r="F32" s="5">
        <v>0</v>
      </c>
      <c r="G32" s="7">
        <v>8.6199999999999995E-5</v>
      </c>
      <c r="H32" s="3" t="str">
        <f t="shared" si="1"/>
        <v>p &lt; 0.05</v>
      </c>
      <c r="I32" s="3" t="str">
        <f t="shared" si="2"/>
        <v>p &gt; 0.05</v>
      </c>
    </row>
    <row r="33" spans="1:9" x14ac:dyDescent="0.3">
      <c r="A33" s="2" t="s">
        <v>43</v>
      </c>
      <c r="B33" s="3" t="str">
        <f t="shared" si="0"/>
        <v>p &lt; 0.05</v>
      </c>
      <c r="C33" s="3">
        <v>0</v>
      </c>
      <c r="D33" s="5">
        <v>0</v>
      </c>
      <c r="E33" s="5">
        <v>0</v>
      </c>
      <c r="F33" s="5">
        <v>0</v>
      </c>
      <c r="G33" s="7">
        <v>9.1299999999999997E-4</v>
      </c>
      <c r="H33" s="3" t="str">
        <f t="shared" si="1"/>
        <v>p &lt; 0.05</v>
      </c>
      <c r="I33" s="3" t="str">
        <f t="shared" si="2"/>
        <v>p &gt; 0.05</v>
      </c>
    </row>
    <row r="34" spans="1:9" x14ac:dyDescent="0.3">
      <c r="A34" s="2" t="s">
        <v>44</v>
      </c>
      <c r="B34" s="3" t="str">
        <f t="shared" si="0"/>
        <v>p &lt; 0.05</v>
      </c>
      <c r="C34" s="3">
        <v>0</v>
      </c>
      <c r="D34" s="5">
        <v>0</v>
      </c>
      <c r="E34" s="5">
        <v>0</v>
      </c>
      <c r="F34" s="5">
        <v>0</v>
      </c>
      <c r="G34" s="7">
        <v>1.03E-5</v>
      </c>
      <c r="H34" s="3" t="str">
        <f t="shared" si="1"/>
        <v>p &lt; 0.05</v>
      </c>
      <c r="I34" s="3" t="str">
        <f t="shared" si="2"/>
        <v>p &gt; 0.05</v>
      </c>
    </row>
    <row r="35" spans="1:9" x14ac:dyDescent="0.3">
      <c r="A35" s="2" t="s">
        <v>45</v>
      </c>
      <c r="B35" s="3" t="str">
        <f t="shared" si="0"/>
        <v>p &lt; 0.05</v>
      </c>
      <c r="C35" s="3">
        <v>0</v>
      </c>
      <c r="D35" s="5">
        <v>0</v>
      </c>
      <c r="E35" s="5">
        <v>0</v>
      </c>
      <c r="F35" s="5">
        <v>0</v>
      </c>
      <c r="G35" s="7">
        <v>5.0199999999999995E-4</v>
      </c>
      <c r="H35" s="3" t="str">
        <f t="shared" si="1"/>
        <v>p &lt; 0.05</v>
      </c>
      <c r="I35" s="3" t="str">
        <f t="shared" si="2"/>
        <v>p &gt; 0.05</v>
      </c>
    </row>
    <row r="36" spans="1:9" x14ac:dyDescent="0.3">
      <c r="A36" s="2" t="s">
        <v>46</v>
      </c>
      <c r="B36" s="3" t="str">
        <f t="shared" si="0"/>
        <v>p &gt; 0.05</v>
      </c>
      <c r="C36" s="3">
        <v>0</v>
      </c>
      <c r="D36" s="5">
        <v>0</v>
      </c>
      <c r="E36" s="5">
        <v>0</v>
      </c>
      <c r="F36" s="5">
        <v>0</v>
      </c>
      <c r="G36" s="7">
        <v>0.73699999999999999</v>
      </c>
      <c r="H36" s="3" t="str">
        <f t="shared" si="1"/>
        <v>p &lt; 0.05</v>
      </c>
      <c r="I36" s="3" t="str">
        <f t="shared" si="2"/>
        <v>p &gt; 0.05</v>
      </c>
    </row>
    <row r="37" spans="1:9" x14ac:dyDescent="0.3">
      <c r="A37" s="2" t="s">
        <v>47</v>
      </c>
      <c r="B37" s="3" t="str">
        <f t="shared" si="0"/>
        <v>p &lt; 0.05</v>
      </c>
      <c r="C37" s="3">
        <v>0</v>
      </c>
      <c r="D37" s="5">
        <v>0</v>
      </c>
      <c r="E37" s="5">
        <v>0</v>
      </c>
      <c r="F37" s="5">
        <v>0</v>
      </c>
      <c r="G37" s="7">
        <v>5.7200000000000003E-3</v>
      </c>
      <c r="H37" s="3" t="str">
        <f t="shared" si="1"/>
        <v>p &lt; 0.05</v>
      </c>
      <c r="I37" s="3" t="str">
        <f t="shared" si="2"/>
        <v>p &gt; 0.05</v>
      </c>
    </row>
    <row r="38" spans="1:9" x14ac:dyDescent="0.3">
      <c r="A38" s="2" t="s">
        <v>48</v>
      </c>
      <c r="B38" s="3" t="str">
        <f t="shared" si="0"/>
        <v>p &gt; 0.05</v>
      </c>
      <c r="C38" s="3">
        <v>0</v>
      </c>
      <c r="D38" s="5">
        <v>0</v>
      </c>
      <c r="E38" s="5">
        <v>0</v>
      </c>
      <c r="F38" s="5">
        <v>0</v>
      </c>
      <c r="G38" s="7">
        <v>0.60299999999999998</v>
      </c>
      <c r="H38" s="3" t="str">
        <f t="shared" si="1"/>
        <v>p &lt; 0.05</v>
      </c>
      <c r="I38" s="3" t="str">
        <f t="shared" si="2"/>
        <v>p &gt; 0.05</v>
      </c>
    </row>
    <row r="39" spans="1:9" x14ac:dyDescent="0.3">
      <c r="A39" s="2" t="s">
        <v>49</v>
      </c>
      <c r="B39" s="3" t="str">
        <f t="shared" si="0"/>
        <v>p &gt; 0.05</v>
      </c>
      <c r="C39" s="3">
        <v>0</v>
      </c>
      <c r="D39" s="5">
        <v>0</v>
      </c>
      <c r="E39" s="5">
        <v>0</v>
      </c>
      <c r="F39" s="5">
        <v>0</v>
      </c>
      <c r="G39" s="7">
        <v>0.2</v>
      </c>
      <c r="H39" s="3" t="str">
        <f t="shared" si="1"/>
        <v>p &lt; 0.05</v>
      </c>
      <c r="I39" s="3" t="str">
        <f t="shared" si="2"/>
        <v>p &gt; 0.05</v>
      </c>
    </row>
    <row r="40" spans="1:9" x14ac:dyDescent="0.3">
      <c r="A40" s="2" t="s">
        <v>50</v>
      </c>
      <c r="B40" s="3" t="str">
        <f t="shared" si="0"/>
        <v>p &lt; 0.05</v>
      </c>
      <c r="C40" s="3">
        <v>0</v>
      </c>
      <c r="D40" s="5">
        <v>0</v>
      </c>
      <c r="E40" s="5">
        <v>0</v>
      </c>
      <c r="F40" s="5">
        <v>0</v>
      </c>
      <c r="G40" s="7">
        <v>3.5099999999999999E-5</v>
      </c>
      <c r="H40" s="3" t="str">
        <f t="shared" si="1"/>
        <v>p &lt; 0.05</v>
      </c>
      <c r="I40" s="3" t="str">
        <f t="shared" si="2"/>
        <v>p &gt; 0.05</v>
      </c>
    </row>
    <row r="41" spans="1:9" x14ac:dyDescent="0.3">
      <c r="A41" s="2" t="s">
        <v>51</v>
      </c>
      <c r="B41" s="3" t="str">
        <f t="shared" si="0"/>
        <v>p &lt; 0.05</v>
      </c>
      <c r="C41" s="3">
        <v>0</v>
      </c>
      <c r="D41" s="5">
        <v>0</v>
      </c>
      <c r="E41" s="5">
        <v>0</v>
      </c>
      <c r="F41" s="5">
        <v>0</v>
      </c>
      <c r="G41" s="7">
        <v>1.8699999999999999E-4</v>
      </c>
      <c r="H41" s="3" t="str">
        <f t="shared" si="1"/>
        <v>p &lt; 0.05</v>
      </c>
      <c r="I41" s="3" t="str">
        <f t="shared" si="2"/>
        <v>p &gt; 0.05</v>
      </c>
    </row>
    <row r="42" spans="1:9" x14ac:dyDescent="0.3">
      <c r="A42" s="2" t="s">
        <v>52</v>
      </c>
      <c r="B42" s="3" t="str">
        <f t="shared" si="0"/>
        <v>p &gt; 0.05</v>
      </c>
      <c r="C42" s="3">
        <v>0</v>
      </c>
      <c r="D42" s="5">
        <v>0</v>
      </c>
      <c r="E42" s="5">
        <v>0</v>
      </c>
      <c r="F42" s="5">
        <v>0</v>
      </c>
      <c r="G42" s="7">
        <v>0.82699999999999996</v>
      </c>
      <c r="H42" s="3" t="str">
        <f t="shared" si="1"/>
        <v>p &lt; 0.05</v>
      </c>
      <c r="I42" s="3" t="str">
        <f t="shared" si="2"/>
        <v>p &gt; 0.05</v>
      </c>
    </row>
    <row r="43" spans="1:9" x14ac:dyDescent="0.3">
      <c r="A43" s="2" t="s">
        <v>53</v>
      </c>
      <c r="B43" s="3" t="str">
        <f t="shared" si="0"/>
        <v>p &lt; 0.05</v>
      </c>
      <c r="C43" s="3">
        <v>0</v>
      </c>
      <c r="D43" s="5">
        <v>0</v>
      </c>
      <c r="E43" s="5">
        <v>0</v>
      </c>
      <c r="F43" s="5">
        <v>0</v>
      </c>
      <c r="G43" s="7">
        <v>2.8899999999999999E-2</v>
      </c>
      <c r="H43" s="3" t="str">
        <f t="shared" si="1"/>
        <v>p &lt; 0.05</v>
      </c>
      <c r="I43" s="3" t="str">
        <f t="shared" si="2"/>
        <v>p &gt; 0.05</v>
      </c>
    </row>
    <row r="44" spans="1:9" x14ac:dyDescent="0.3">
      <c r="A44" s="2" t="s">
        <v>54</v>
      </c>
      <c r="B44" s="3" t="str">
        <f t="shared" si="0"/>
        <v>p &gt; 0.05</v>
      </c>
      <c r="C44" s="3">
        <v>0</v>
      </c>
      <c r="D44" s="5">
        <v>0</v>
      </c>
      <c r="E44" s="5">
        <v>0</v>
      </c>
      <c r="F44" s="5">
        <v>0</v>
      </c>
      <c r="G44" s="7">
        <v>0.219</v>
      </c>
      <c r="H44" s="3" t="str">
        <f t="shared" si="1"/>
        <v>p &lt; 0.05</v>
      </c>
      <c r="I44" s="3" t="str">
        <f t="shared" si="2"/>
        <v>p &gt; 0.05</v>
      </c>
    </row>
    <row r="45" spans="1:9" x14ac:dyDescent="0.3">
      <c r="A45" s="2" t="s">
        <v>55</v>
      </c>
      <c r="B45" s="3" t="str">
        <f t="shared" si="0"/>
        <v>p &gt; 0.05</v>
      </c>
      <c r="C45" s="3">
        <v>0</v>
      </c>
      <c r="D45" s="5">
        <v>0</v>
      </c>
      <c r="E45" s="5">
        <v>0</v>
      </c>
      <c r="F45" s="5">
        <v>0</v>
      </c>
      <c r="G45" s="7">
        <v>0.98699999999999999</v>
      </c>
      <c r="H45" s="3" t="str">
        <f t="shared" si="1"/>
        <v>p &lt; 0.05</v>
      </c>
      <c r="I45" s="3" t="str">
        <f t="shared" si="2"/>
        <v>p &gt; 0.05</v>
      </c>
    </row>
    <row r="46" spans="1:9" x14ac:dyDescent="0.3">
      <c r="A46" s="2" t="s">
        <v>56</v>
      </c>
      <c r="B46" s="3" t="str">
        <f t="shared" si="0"/>
        <v>p &lt; 0.05</v>
      </c>
      <c r="C46" s="3">
        <v>0</v>
      </c>
      <c r="D46" s="5">
        <v>0</v>
      </c>
      <c r="E46" s="5">
        <v>0</v>
      </c>
      <c r="F46" s="5">
        <v>0</v>
      </c>
      <c r="G46" s="7">
        <v>1.74E-4</v>
      </c>
      <c r="H46" s="3" t="str">
        <f t="shared" si="1"/>
        <v>p &lt; 0.05</v>
      </c>
      <c r="I46" s="3" t="str">
        <f t="shared" si="2"/>
        <v>p &gt; 0.05</v>
      </c>
    </row>
    <row r="47" spans="1:9" x14ac:dyDescent="0.3">
      <c r="A47" s="2" t="s">
        <v>57</v>
      </c>
      <c r="B47" s="3" t="str">
        <f t="shared" si="0"/>
        <v>p &gt; 0.05</v>
      </c>
      <c r="C47" s="3">
        <v>0</v>
      </c>
      <c r="D47" s="5">
        <v>0</v>
      </c>
      <c r="E47" s="5">
        <v>0</v>
      </c>
      <c r="F47" s="5">
        <v>0</v>
      </c>
      <c r="G47" s="7">
        <v>0.70930000000000004</v>
      </c>
      <c r="H47" s="3" t="str">
        <f t="shared" si="1"/>
        <v>p &lt; 0.05</v>
      </c>
      <c r="I47" s="3" t="str">
        <f t="shared" si="2"/>
        <v>p &gt; 0.05</v>
      </c>
    </row>
    <row r="48" spans="1:9" x14ac:dyDescent="0.3">
      <c r="A48" s="2" t="s">
        <v>58</v>
      </c>
      <c r="B48" s="3" t="str">
        <f t="shared" si="0"/>
        <v>p &gt; 0.05</v>
      </c>
      <c r="C48" s="3">
        <v>0</v>
      </c>
      <c r="D48" s="5">
        <v>0</v>
      </c>
      <c r="E48" s="5">
        <v>0</v>
      </c>
      <c r="F48" s="5">
        <v>0</v>
      </c>
      <c r="G48" s="7">
        <v>0.79900000000000004</v>
      </c>
      <c r="H48" s="3" t="str">
        <f t="shared" si="1"/>
        <v>p &lt; 0.05</v>
      </c>
      <c r="I48" s="3" t="str">
        <f t="shared" si="2"/>
        <v>p &gt; 0.05</v>
      </c>
    </row>
    <row r="49" spans="1:9" x14ac:dyDescent="0.3">
      <c r="A49" s="2" t="s">
        <v>59</v>
      </c>
      <c r="B49" s="3" t="str">
        <f t="shared" si="0"/>
        <v>p &gt; 0.05</v>
      </c>
      <c r="C49" s="3">
        <v>0</v>
      </c>
      <c r="D49" s="5">
        <v>0</v>
      </c>
      <c r="E49" s="5">
        <v>0</v>
      </c>
      <c r="F49" s="5">
        <v>0</v>
      </c>
      <c r="G49" s="7">
        <v>0.432</v>
      </c>
      <c r="H49" s="3" t="str">
        <f t="shared" si="1"/>
        <v>p &lt; 0.05</v>
      </c>
      <c r="I49" s="3" t="str">
        <f t="shared" si="2"/>
        <v>p &gt; 0.05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B91D-6D3D-41A6-953A-9888EA4875C3}">
  <dimension ref="A1"/>
  <sheetViews>
    <sheetView workbookViewId="0">
      <selection activeCell="D12" sqref="D1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OSF</vt:lpstr>
      <vt:lpstr>BSF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Fjeld</dc:creator>
  <cp:lastModifiedBy>Natur og Samfunn AS</cp:lastModifiedBy>
  <dcterms:created xsi:type="dcterms:W3CDTF">2022-02-09T12:00:48Z</dcterms:created>
  <dcterms:modified xsi:type="dcterms:W3CDTF">2023-01-28T12:31:54Z</dcterms:modified>
</cp:coreProperties>
</file>