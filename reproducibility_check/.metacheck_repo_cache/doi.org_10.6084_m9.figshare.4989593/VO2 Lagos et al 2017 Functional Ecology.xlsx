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3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rcelol/Desktop/"/>
    </mc:Choice>
  </mc:AlternateContent>
  <bookViews>
    <workbookView xWindow="1440" yWindow="900" windowWidth="26300" windowHeight="14280" tabRatio="500"/>
  </bookViews>
  <sheets>
    <sheet name="TABLE ALL SPECIES" sheetId="15" r:id="rId1"/>
    <sheet name="Styela plicata" sheetId="1" r:id="rId2"/>
    <sheet name="Styela clava" sheetId="2" r:id="rId3"/>
    <sheet name="Ciona intestinalis" sheetId="3" r:id="rId4"/>
    <sheet name="Pyura dalbyi" sheetId="4" r:id="rId5"/>
    <sheet name="Pyura doppelgangera" sheetId="5" r:id="rId6"/>
    <sheet name="Herdmania grandis" sheetId="6" r:id="rId7"/>
    <sheet name="Botrylloides magnicoecum " sheetId="7" r:id="rId8"/>
    <sheet name="Bugula dentata " sheetId="8" r:id="rId9"/>
    <sheet name="Bugula neritina" sheetId="9" r:id="rId10"/>
    <sheet name="Bugula flabelata" sheetId="11" r:id="rId11"/>
    <sheet name="Watersipora subtorquata" sheetId="10" r:id="rId12"/>
    <sheet name="Didemnum sp" sheetId="12" r:id="rId13"/>
    <sheet name="Celleporaria sp" sheetId="13" r:id="rId14"/>
    <sheet name="Diplosoma sp" sheetId="14" r:id="rId15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" i="5" l="1"/>
  <c r="F7" i="5"/>
  <c r="E6" i="5"/>
  <c r="E7" i="5"/>
  <c r="J6" i="5"/>
  <c r="J7" i="5"/>
  <c r="K6" i="5"/>
  <c r="K7" i="5"/>
  <c r="L6" i="5"/>
  <c r="L7" i="5"/>
  <c r="M6" i="5"/>
  <c r="M7" i="5"/>
  <c r="I6" i="5"/>
  <c r="I7" i="5"/>
  <c r="H6" i="5"/>
  <c r="H7" i="5"/>
  <c r="G6" i="5"/>
  <c r="G7" i="5"/>
  <c r="R6" i="12"/>
  <c r="O6" i="12"/>
  <c r="O7" i="12"/>
  <c r="N6" i="12"/>
  <c r="M6" i="12"/>
  <c r="L6" i="12"/>
  <c r="K6" i="12"/>
  <c r="J6" i="12"/>
  <c r="I6" i="12"/>
  <c r="H6" i="12"/>
  <c r="G6" i="12"/>
  <c r="H10" i="11"/>
  <c r="I10" i="11"/>
  <c r="G10" i="11"/>
  <c r="H8" i="11"/>
  <c r="H9" i="11"/>
  <c r="H11" i="11"/>
  <c r="I8" i="11"/>
  <c r="I9" i="11"/>
  <c r="I11" i="11"/>
  <c r="W7" i="7"/>
  <c r="W8" i="7"/>
  <c r="W9" i="7"/>
  <c r="V7" i="7"/>
  <c r="V8" i="7"/>
  <c r="V9" i="7"/>
  <c r="E5" i="4"/>
  <c r="E6" i="4"/>
  <c r="E7" i="4"/>
  <c r="D5" i="4"/>
  <c r="D6" i="4"/>
  <c r="D7" i="4"/>
  <c r="C5" i="4"/>
  <c r="C6" i="4"/>
  <c r="C7" i="4"/>
  <c r="K5" i="4"/>
  <c r="K6" i="4"/>
  <c r="K7" i="4"/>
  <c r="J5" i="4"/>
  <c r="J6" i="4"/>
  <c r="J7" i="4"/>
  <c r="I5" i="4"/>
  <c r="I6" i="4"/>
  <c r="I7" i="4"/>
  <c r="H5" i="4"/>
  <c r="H6" i="4"/>
  <c r="H7" i="4"/>
  <c r="G5" i="4"/>
  <c r="G6" i="4"/>
  <c r="G7" i="4"/>
  <c r="F5" i="4"/>
  <c r="F6" i="4"/>
  <c r="F7" i="4"/>
  <c r="S5" i="2"/>
  <c r="S6" i="2"/>
  <c r="S7" i="2"/>
  <c r="Q3" i="2"/>
  <c r="Q5" i="2"/>
  <c r="Q6" i="2"/>
  <c r="Q7" i="2"/>
  <c r="C6" i="1"/>
  <c r="C7" i="1"/>
  <c r="G6" i="14"/>
  <c r="P6" i="14"/>
  <c r="O6" i="14"/>
  <c r="N6" i="14"/>
  <c r="M6" i="14"/>
  <c r="R6" i="14"/>
  <c r="R7" i="14"/>
  <c r="Q6" i="14"/>
  <c r="Q7" i="14"/>
  <c r="P7" i="14"/>
  <c r="O7" i="14"/>
  <c r="N7" i="14"/>
  <c r="M7" i="14"/>
  <c r="L6" i="14"/>
  <c r="L7" i="14"/>
  <c r="K6" i="14"/>
  <c r="K7" i="14"/>
  <c r="J6" i="14"/>
  <c r="J7" i="14"/>
  <c r="I6" i="14"/>
  <c r="I7" i="14"/>
  <c r="H6" i="14"/>
  <c r="H7" i="14"/>
  <c r="G7" i="14"/>
  <c r="Q6" i="13"/>
  <c r="P6" i="13"/>
  <c r="Q7" i="13"/>
  <c r="P7" i="13"/>
  <c r="O6" i="13"/>
  <c r="O7" i="13"/>
  <c r="N6" i="13"/>
  <c r="N7" i="13"/>
  <c r="M6" i="13"/>
  <c r="M7" i="13"/>
  <c r="L7" i="13"/>
  <c r="K6" i="13"/>
  <c r="K7" i="13"/>
  <c r="J6" i="13"/>
  <c r="J7" i="13"/>
  <c r="I6" i="13"/>
  <c r="I7" i="13"/>
  <c r="H6" i="13"/>
  <c r="H7" i="13"/>
  <c r="G6" i="13"/>
  <c r="G7" i="13"/>
  <c r="Q6" i="12"/>
  <c r="S6" i="12"/>
  <c r="S7" i="12"/>
  <c r="R7" i="12"/>
  <c r="Q7" i="12"/>
  <c r="P6" i="12"/>
  <c r="P7" i="12"/>
  <c r="N7" i="12"/>
  <c r="M7" i="12"/>
  <c r="L7" i="12"/>
  <c r="K7" i="12"/>
  <c r="J7" i="12"/>
  <c r="I7" i="12"/>
  <c r="H7" i="12"/>
  <c r="G7" i="12"/>
  <c r="L6" i="10"/>
  <c r="L7" i="10"/>
  <c r="U6" i="10"/>
  <c r="U7" i="10"/>
  <c r="T7" i="10"/>
  <c r="S6" i="10"/>
  <c r="S7" i="10"/>
  <c r="R7" i="10"/>
  <c r="Q6" i="10"/>
  <c r="Q7" i="10"/>
  <c r="P6" i="10"/>
  <c r="P7" i="10"/>
  <c r="O6" i="10"/>
  <c r="O7" i="10"/>
  <c r="N6" i="10"/>
  <c r="N7" i="10"/>
  <c r="M6" i="10"/>
  <c r="M7" i="10"/>
  <c r="K6" i="10"/>
  <c r="K7" i="10"/>
  <c r="J6" i="10"/>
  <c r="J7" i="10"/>
  <c r="I6" i="10"/>
  <c r="I7" i="10"/>
  <c r="H6" i="10"/>
  <c r="H7" i="10"/>
  <c r="G6" i="10"/>
  <c r="G7" i="10"/>
  <c r="O9" i="11"/>
  <c r="O11" i="11"/>
  <c r="N9" i="11"/>
  <c r="N11" i="11"/>
  <c r="M8" i="11"/>
  <c r="M9" i="11"/>
  <c r="M10" i="11"/>
  <c r="M11" i="11"/>
  <c r="L8" i="11"/>
  <c r="L9" i="11"/>
  <c r="L10" i="11"/>
  <c r="L11" i="11"/>
  <c r="K8" i="11"/>
  <c r="K9" i="11"/>
  <c r="K10" i="11"/>
  <c r="K11" i="11"/>
  <c r="J8" i="11"/>
  <c r="J9" i="11"/>
  <c r="J10" i="11"/>
  <c r="J11" i="11"/>
  <c r="G8" i="11"/>
  <c r="G9" i="11"/>
  <c r="G11" i="11"/>
  <c r="F8" i="11"/>
  <c r="F9" i="11"/>
  <c r="F10" i="11"/>
  <c r="F11" i="11"/>
  <c r="E8" i="11"/>
  <c r="E9" i="11"/>
  <c r="E10" i="11"/>
  <c r="E11" i="11"/>
  <c r="D8" i="11"/>
  <c r="D9" i="11"/>
  <c r="D10" i="11"/>
  <c r="D11" i="11"/>
  <c r="C8" i="11"/>
  <c r="C9" i="11"/>
  <c r="C10" i="11"/>
  <c r="C11" i="11"/>
  <c r="N8" i="9"/>
  <c r="N9" i="9"/>
  <c r="O8" i="9"/>
  <c r="O9" i="9"/>
  <c r="P8" i="9"/>
  <c r="P9" i="9"/>
  <c r="Q8" i="9"/>
  <c r="Q9" i="9"/>
  <c r="E8" i="9"/>
  <c r="E9" i="9"/>
  <c r="F8" i="9"/>
  <c r="F9" i="9"/>
  <c r="G8" i="9"/>
  <c r="G9" i="9"/>
  <c r="H8" i="9"/>
  <c r="H9" i="9"/>
  <c r="I8" i="9"/>
  <c r="I9" i="9"/>
  <c r="J8" i="9"/>
  <c r="J9" i="9"/>
  <c r="K8" i="9"/>
  <c r="K9" i="9"/>
  <c r="L8" i="9"/>
  <c r="L9" i="9"/>
  <c r="M8" i="9"/>
  <c r="M9" i="9"/>
  <c r="C8" i="9"/>
  <c r="C9" i="9"/>
  <c r="D8" i="9"/>
  <c r="D9" i="9"/>
  <c r="B8" i="9"/>
  <c r="B9" i="9"/>
  <c r="O4" i="8"/>
  <c r="O5" i="8"/>
  <c r="O6" i="8"/>
  <c r="O7" i="8"/>
  <c r="P4" i="8"/>
  <c r="P5" i="8"/>
  <c r="P6" i="8"/>
  <c r="P7" i="8"/>
  <c r="Q4" i="8"/>
  <c r="Q5" i="8"/>
  <c r="Q6" i="8"/>
  <c r="Q7" i="8"/>
  <c r="R4" i="8"/>
  <c r="R5" i="8"/>
  <c r="R6" i="8"/>
  <c r="R7" i="8"/>
  <c r="S4" i="8"/>
  <c r="S5" i="8"/>
  <c r="S6" i="8"/>
  <c r="S7" i="8"/>
  <c r="T4" i="8"/>
  <c r="T5" i="8"/>
  <c r="T6" i="8"/>
  <c r="T7" i="8"/>
  <c r="U4" i="8"/>
  <c r="U5" i="8"/>
  <c r="U6" i="8"/>
  <c r="U7" i="8"/>
  <c r="V4" i="8"/>
  <c r="V5" i="8"/>
  <c r="V6" i="8"/>
  <c r="V7" i="8"/>
  <c r="N4" i="8"/>
  <c r="N5" i="8"/>
  <c r="N6" i="8"/>
  <c r="N7" i="8"/>
  <c r="D4" i="8"/>
  <c r="D5" i="8"/>
  <c r="E4" i="8"/>
  <c r="E5" i="8"/>
  <c r="F4" i="8"/>
  <c r="F5" i="8"/>
  <c r="G4" i="8"/>
  <c r="G5" i="8"/>
  <c r="H4" i="8"/>
  <c r="H5" i="8"/>
  <c r="I4" i="8"/>
  <c r="I5" i="8"/>
  <c r="J4" i="8"/>
  <c r="J5" i="8"/>
  <c r="K4" i="8"/>
  <c r="K5" i="8"/>
  <c r="U7" i="7"/>
  <c r="T7" i="7"/>
  <c r="S7" i="7"/>
  <c r="R7" i="7"/>
  <c r="Q7" i="7"/>
  <c r="P7" i="7"/>
  <c r="O7" i="7"/>
  <c r="N7" i="7"/>
  <c r="K7" i="7"/>
  <c r="J7" i="7"/>
  <c r="I7" i="7"/>
  <c r="H7" i="7"/>
  <c r="G7" i="7"/>
  <c r="F7" i="7"/>
  <c r="E7" i="7"/>
  <c r="D7" i="7"/>
  <c r="C7" i="7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C7" i="3"/>
  <c r="C8" i="3"/>
  <c r="C9" i="3"/>
  <c r="K7" i="3"/>
  <c r="K8" i="3"/>
  <c r="K9" i="3"/>
  <c r="J7" i="3"/>
  <c r="J8" i="3"/>
  <c r="J9" i="3"/>
  <c r="I7" i="3"/>
  <c r="I8" i="3"/>
  <c r="I9" i="3"/>
  <c r="H7" i="3"/>
  <c r="H8" i="3"/>
  <c r="H9" i="3"/>
  <c r="G7" i="3"/>
  <c r="G8" i="3"/>
  <c r="G9" i="3"/>
  <c r="F7" i="3"/>
  <c r="F8" i="3"/>
  <c r="F9" i="3"/>
  <c r="E7" i="3"/>
  <c r="E8" i="3"/>
  <c r="E9" i="3"/>
  <c r="D7" i="3"/>
  <c r="D8" i="3"/>
  <c r="D9" i="3"/>
  <c r="R5" i="2"/>
  <c r="R6" i="2"/>
  <c r="R7" i="2"/>
  <c r="P5" i="2"/>
  <c r="P6" i="2"/>
  <c r="P7" i="2"/>
  <c r="O5" i="2"/>
  <c r="O6" i="2"/>
  <c r="O7" i="2"/>
  <c r="N5" i="2"/>
  <c r="N6" i="2"/>
  <c r="N7" i="2"/>
  <c r="M5" i="2"/>
  <c r="M6" i="2"/>
  <c r="M7" i="2"/>
  <c r="L5" i="2"/>
  <c r="L6" i="2"/>
  <c r="L7" i="2"/>
  <c r="K5" i="2"/>
  <c r="K6" i="2"/>
  <c r="K7" i="2"/>
  <c r="J5" i="2"/>
  <c r="J6" i="2"/>
  <c r="J7" i="2"/>
  <c r="I5" i="2"/>
  <c r="I6" i="2"/>
  <c r="I7" i="2"/>
  <c r="H5" i="2"/>
  <c r="H6" i="2"/>
  <c r="H7" i="2"/>
  <c r="G5" i="2"/>
  <c r="G6" i="2"/>
  <c r="G7" i="2"/>
  <c r="F5" i="2"/>
  <c r="F6" i="2"/>
  <c r="F7" i="2"/>
  <c r="E5" i="2"/>
  <c r="E6" i="2"/>
  <c r="E7" i="2"/>
  <c r="D5" i="2"/>
  <c r="D6" i="2"/>
  <c r="D7" i="2"/>
  <c r="C5" i="2"/>
  <c r="C6" i="2"/>
  <c r="C7" i="2"/>
  <c r="B5" i="2"/>
  <c r="B6" i="2"/>
  <c r="B7" i="2"/>
  <c r="M6" i="1"/>
  <c r="M7" i="1"/>
  <c r="L6" i="1"/>
  <c r="L7" i="1"/>
  <c r="K6" i="1"/>
  <c r="K7" i="1"/>
  <c r="J6" i="1"/>
  <c r="J7" i="1"/>
  <c r="I6" i="1"/>
  <c r="I7" i="1"/>
  <c r="H6" i="1"/>
  <c r="H7" i="1"/>
  <c r="G6" i="1"/>
  <c r="G7" i="1"/>
  <c r="F6" i="1"/>
  <c r="F7" i="1"/>
  <c r="E6" i="1"/>
  <c r="E7" i="1"/>
  <c r="D6" i="1"/>
  <c r="D7" i="1"/>
  <c r="C7" i="6"/>
  <c r="C8" i="6"/>
  <c r="D7" i="6"/>
  <c r="D8" i="6"/>
  <c r="E7" i="6"/>
  <c r="E8" i="6"/>
  <c r="F7" i="6"/>
  <c r="F8" i="6"/>
  <c r="G7" i="6"/>
  <c r="G8" i="6"/>
  <c r="H7" i="6"/>
  <c r="H8" i="6"/>
  <c r="I7" i="6"/>
  <c r="I8" i="6"/>
  <c r="J7" i="6"/>
  <c r="J8" i="6"/>
  <c r="K7" i="6"/>
  <c r="K8" i="6"/>
  <c r="L7" i="6"/>
  <c r="L8" i="6"/>
  <c r="M7" i="6"/>
  <c r="M8" i="6"/>
  <c r="N7" i="6"/>
  <c r="N8" i="6"/>
  <c r="O7" i="6"/>
  <c r="O8" i="6"/>
  <c r="P7" i="6"/>
  <c r="P8" i="6"/>
  <c r="Q7" i="6"/>
  <c r="Q8" i="6"/>
  <c r="R7" i="6"/>
  <c r="R8" i="6"/>
  <c r="C8" i="7"/>
  <c r="C9" i="7"/>
  <c r="D8" i="7"/>
  <c r="D9" i="7"/>
  <c r="E8" i="7"/>
  <c r="E9" i="7"/>
  <c r="F8" i="7"/>
  <c r="F9" i="7"/>
  <c r="G8" i="7"/>
  <c r="G9" i="7"/>
  <c r="H8" i="7"/>
  <c r="H9" i="7"/>
  <c r="I8" i="7"/>
  <c r="I9" i="7"/>
  <c r="J8" i="7"/>
  <c r="J9" i="7"/>
  <c r="K8" i="7"/>
  <c r="K9" i="7"/>
  <c r="N8" i="7"/>
  <c r="N9" i="7"/>
  <c r="O8" i="7"/>
  <c r="O9" i="7"/>
  <c r="P8" i="7"/>
  <c r="P9" i="7"/>
  <c r="Q8" i="7"/>
  <c r="Q9" i="7"/>
  <c r="R8" i="7"/>
  <c r="R9" i="7"/>
  <c r="S8" i="7"/>
  <c r="S9" i="7"/>
  <c r="T8" i="7"/>
  <c r="T9" i="7"/>
  <c r="U8" i="7"/>
  <c r="U9" i="7"/>
  <c r="D6" i="8"/>
  <c r="D7" i="8"/>
  <c r="K6" i="8"/>
  <c r="K7" i="8"/>
  <c r="J6" i="8"/>
  <c r="J7" i="8"/>
  <c r="I6" i="8"/>
  <c r="I7" i="8"/>
  <c r="H6" i="8"/>
  <c r="H7" i="8"/>
  <c r="G6" i="8"/>
  <c r="G7" i="8"/>
  <c r="F6" i="8"/>
  <c r="F7" i="8"/>
  <c r="E6" i="8"/>
  <c r="E7" i="8"/>
</calcChain>
</file>

<file path=xl/sharedStrings.xml><?xml version="1.0" encoding="utf-8"?>
<sst xmlns="http://schemas.openxmlformats.org/spreadsheetml/2006/main" count="1084" uniqueCount="78">
  <si>
    <t>*************</t>
  </si>
  <si>
    <t>O2</t>
  </si>
  <si>
    <t>Temp. (∞C)</t>
  </si>
  <si>
    <t>dphi100 (∞)</t>
  </si>
  <si>
    <t>Mass wet</t>
  </si>
  <si>
    <t xml:space="preserve">Brigthon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</si>
  <si>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</si>
  <si>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</si>
  <si>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</si>
  <si>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</si>
  <si>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</si>
  <si>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</si>
  <si>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</si>
  <si>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</si>
  <si>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</si>
  <si>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</si>
  <si>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</si>
  <si>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VOL(cha-an)(L)</t>
  </si>
  <si>
    <t>Time (h)</t>
  </si>
  <si>
    <t>A12</t>
  </si>
  <si>
    <t>slope</t>
  </si>
  <si>
    <t>A13</t>
  </si>
  <si>
    <t>A14</t>
  </si>
  <si>
    <t>A15</t>
  </si>
  <si>
    <t>A16</t>
  </si>
  <si>
    <t>A17</t>
  </si>
  <si>
    <t>A18</t>
  </si>
  <si>
    <t>A19</t>
  </si>
  <si>
    <t>Time (Hr)</t>
  </si>
  <si>
    <t>Time(hr)</t>
  </si>
  <si>
    <t>time (hrs)</t>
  </si>
  <si>
    <t>time/hr</t>
  </si>
  <si>
    <t>TIME/HR</t>
  </si>
  <si>
    <t>Time/h</t>
  </si>
  <si>
    <t xml:space="preserve">Time(Hr) </t>
  </si>
  <si>
    <t>A20</t>
  </si>
  <si>
    <t>A23</t>
  </si>
  <si>
    <t>A24</t>
  </si>
  <si>
    <t>Time /Hr</t>
  </si>
  <si>
    <t>Mass dry(g)</t>
  </si>
  <si>
    <t>Poratlington</t>
  </si>
  <si>
    <t>Blairgowrie</t>
  </si>
  <si>
    <t>Slope</t>
  </si>
  <si>
    <t>Time Hr</t>
  </si>
  <si>
    <t>Vol (L)</t>
  </si>
  <si>
    <t>Time/hr</t>
  </si>
  <si>
    <t>VO2,(ml*h-1)</t>
  </si>
  <si>
    <t>Vol (animal)mL</t>
  </si>
  <si>
    <t>Vol(cham)mL</t>
  </si>
  <si>
    <t>VO2,(mL*h-1)</t>
  </si>
  <si>
    <t>Sp</t>
  </si>
  <si>
    <t>Location</t>
  </si>
  <si>
    <t>Status</t>
  </si>
  <si>
    <t>Shape</t>
  </si>
  <si>
    <t>Styela plicata</t>
  </si>
  <si>
    <t>St Kilda</t>
  </si>
  <si>
    <t>Inv</t>
  </si>
  <si>
    <t>Erect</t>
  </si>
  <si>
    <t>Styela clava</t>
  </si>
  <si>
    <t>Ciona intestinalis</t>
  </si>
  <si>
    <t>Pyura dalbyi</t>
  </si>
  <si>
    <t>Nat</t>
  </si>
  <si>
    <t>Pyura doppelgangera</t>
  </si>
  <si>
    <t>Herdmania grandis</t>
  </si>
  <si>
    <t>Botrylloides magnicoecum</t>
  </si>
  <si>
    <t>Bugula neritina</t>
  </si>
  <si>
    <t>Bugula dentata</t>
  </si>
  <si>
    <t>Bugula flabelata</t>
  </si>
  <si>
    <t>Watersipora subtorquata</t>
  </si>
  <si>
    <t>Flat</t>
  </si>
  <si>
    <t>Didemnum sp</t>
  </si>
  <si>
    <t>Celleporaria sp</t>
  </si>
  <si>
    <t>Diplosoma sp</t>
  </si>
  <si>
    <t>Altona</t>
  </si>
  <si>
    <t>Time</t>
  </si>
  <si>
    <t>Mass wet (g)</t>
  </si>
  <si>
    <t>Mass wet(g)</t>
  </si>
  <si>
    <t>Mass Wet(g)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</si>
</sst>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;[Red]0.00"/>
    <numFmt numFmtId="165" formatCode="[$-F400]h:mm:ss\ AM/PM"/>
    <numFmt numFmtId="166" formatCode="0.000"/>
    <numFmt numFmtId="167" formatCode="0.0000;[Red]0.0000"/>
    <numFmt numFmtId="168" formatCode="0.0000"/>
    <numFmt numFmtId="169" formatCode="0;[Red]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scheme val="minor"/>
    </font>
    <font>
      <sz val="12"/>
      <name val="Calibri"/>
      <scheme val="minor"/>
    </font>
    <font>
      <sz val="11"/>
      <color theme="1"/>
      <name val="Calibri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7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4">
    <xf numFmtId="0" fontId="0" fillId="0" borderId="0" xfId="0"/>
    <xf numFmtId="9" fontId="0" fillId="0" borderId="0" xfId="0" applyNumberFormat="1"/>
    <xf numFmtId="16" fontId="0" fillId="0" borderId="0" xfId="0" applyNumberFormat="1"/>
    <xf numFmtId="164" fontId="0" fillId="0" borderId="0" xfId="0" applyNumberFormat="1"/>
    <xf numFmtId="0" fontId="0" fillId="0" borderId="0" xfId="0" applyAlignment="1"/>
    <xf numFmtId="0" fontId="0" fillId="0" borderId="0" xfId="0" applyBorder="1"/>
    <xf numFmtId="2" fontId="0" fillId="0" borderId="0" xfId="0" applyNumberFormat="1"/>
    <xf numFmtId="16" fontId="0" fillId="0" borderId="0" xfId="0" applyNumberFormat="1" applyBorder="1"/>
    <xf numFmtId="0" fontId="0" fillId="0" borderId="0" xfId="0" applyFill="1" applyBorder="1"/>
    <xf numFmtId="2" fontId="0" fillId="0" borderId="0" xfId="0" applyNumberFormat="1" applyBorder="1"/>
    <xf numFmtId="1" fontId="0" fillId="0" borderId="0" xfId="0" applyNumberFormat="1" applyBorder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Border="1" applyAlignment="1">
      <alignment horizontal="center"/>
    </xf>
    <xf numFmtId="0" fontId="1" fillId="0" borderId="0" xfId="0" applyFont="1"/>
    <xf numFmtId="165" fontId="0" fillId="0" borderId="0" xfId="0" applyNumberFormat="1"/>
    <xf numFmtId="14" fontId="0" fillId="0" borderId="0" xfId="0" applyNumberFormat="1"/>
    <xf numFmtId="164" fontId="0" fillId="0" borderId="0" xfId="0" applyNumberFormat="1" applyBorder="1"/>
    <xf numFmtId="14" fontId="0" fillId="0" borderId="0" xfId="0" applyNumberFormat="1" applyBorder="1"/>
    <xf numFmtId="0" fontId="1" fillId="0" borderId="0" xfId="0" applyFont="1" applyAlignment="1"/>
    <xf numFmtId="0" fontId="4" fillId="0" borderId="0" xfId="0" applyFont="1"/>
    <xf numFmtId="164" fontId="0" fillId="0" borderId="0" xfId="0" applyNumberFormat="1" applyFill="1" applyBorder="1"/>
    <xf numFmtId="2" fontId="0" fillId="0" borderId="0" xfId="0" applyNumberFormat="1" applyBorder="1" applyAlignment="1">
      <alignment horizontal="center"/>
    </xf>
    <xf numFmtId="167" fontId="0" fillId="0" borderId="0" xfId="0" applyNumberFormat="1"/>
    <xf numFmtId="11" fontId="0" fillId="0" borderId="0" xfId="0" applyNumberFormat="1"/>
    <xf numFmtId="166" fontId="0" fillId="0" borderId="0" xfId="0" applyNumberFormat="1" applyAlignment="1">
      <alignment horizontal="center"/>
    </xf>
    <xf numFmtId="0" fontId="5" fillId="0" borderId="0" xfId="0" applyFont="1"/>
    <xf numFmtId="2" fontId="5" fillId="0" borderId="0" xfId="0" applyNumberFormat="1" applyFont="1" applyBorder="1"/>
    <xf numFmtId="0" fontId="0" fillId="0" borderId="0" xfId="0" applyBorder="1" applyAlignment="1"/>
    <xf numFmtId="1" fontId="0" fillId="0" borderId="0" xfId="0" applyNumberFormat="1" applyBorder="1" applyAlignment="1"/>
    <xf numFmtId="2" fontId="0" fillId="0" borderId="0" xfId="0" applyNumberFormat="1" applyFont="1" applyBorder="1"/>
    <xf numFmtId="0" fontId="0" fillId="0" borderId="0" xfId="0" applyFont="1"/>
    <xf numFmtId="164" fontId="0" fillId="0" borderId="0" xfId="0" applyNumberFormat="1" applyFont="1"/>
    <xf numFmtId="1" fontId="6" fillId="0" borderId="0" xfId="0" applyNumberFormat="1" applyFont="1" applyBorder="1" applyAlignment="1">
      <alignment horizontal="center"/>
    </xf>
    <xf numFmtId="0" fontId="0" fillId="0" borderId="0" xfId="0" applyFont="1" applyBorder="1"/>
    <xf numFmtId="164" fontId="0" fillId="0" borderId="0" xfId="0" applyNumberFormat="1" applyBorder="1" applyAlignment="1">
      <alignment horizontal="right"/>
    </xf>
    <xf numFmtId="2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" fontId="6" fillId="0" borderId="0" xfId="0" applyNumberFormat="1" applyFont="1" applyBorder="1" applyAlignment="1">
      <alignment horizontal="right"/>
    </xf>
    <xf numFmtId="1" fontId="6" fillId="0" borderId="0" xfId="0" applyNumberFormat="1" applyFont="1" applyBorder="1" applyAlignment="1"/>
    <xf numFmtId="1" fontId="6" fillId="0" borderId="1" xfId="0" applyNumberFormat="1" applyFont="1" applyBorder="1" applyAlignment="1"/>
    <xf numFmtId="164" fontId="1" fillId="0" borderId="0" xfId="0" applyNumberFormat="1" applyFont="1" applyBorder="1"/>
    <xf numFmtId="164" fontId="0" fillId="0" borderId="0" xfId="0" applyNumberFormat="1" applyFont="1" applyBorder="1"/>
    <xf numFmtId="168" fontId="0" fillId="0" borderId="0" xfId="0" applyNumberFormat="1" applyBorder="1" applyAlignment="1">
      <alignment horizontal="right"/>
    </xf>
    <xf numFmtId="166" fontId="0" fillId="0" borderId="0" xfId="0" applyNumberFormat="1" applyBorder="1" applyAlignment="1">
      <alignment horizontal="center"/>
    </xf>
    <xf numFmtId="0" fontId="5" fillId="0" borderId="0" xfId="0" applyFont="1" applyBorder="1"/>
    <xf numFmtId="0" fontId="7" fillId="0" borderId="0" xfId="0" applyFont="1" applyBorder="1"/>
    <xf numFmtId="0" fontId="0" fillId="0" borderId="0" xfId="0" applyFont="1" applyAlignme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6" fontId="0" fillId="0" borderId="0" xfId="0" applyNumberFormat="1" applyBorder="1"/>
    <xf numFmtId="166" fontId="0" fillId="0" borderId="1" xfId="0" applyNumberFormat="1" applyBorder="1"/>
    <xf numFmtId="0" fontId="0" fillId="0" borderId="5" xfId="0" applyFont="1" applyBorder="1"/>
    <xf numFmtId="0" fontId="0" fillId="0" borderId="6" xfId="0" applyBorder="1"/>
    <xf numFmtId="169" fontId="0" fillId="0" borderId="7" xfId="0" applyNumberFormat="1" applyBorder="1" applyAlignment="1">
      <alignment horizontal="center"/>
    </xf>
    <xf numFmtId="166" fontId="0" fillId="0" borderId="5" xfId="0" applyNumberFormat="1" applyBorder="1"/>
    <xf numFmtId="169" fontId="0" fillId="0" borderId="6" xfId="0" applyNumberFormat="1" applyBorder="1" applyAlignment="1">
      <alignment horizontal="center"/>
    </xf>
    <xf numFmtId="169" fontId="0" fillId="0" borderId="8" xfId="0" applyNumberFormat="1" applyBorder="1" applyAlignment="1">
      <alignment horizontal="center"/>
    </xf>
    <xf numFmtId="2" fontId="5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Fill="1" applyBorder="1"/>
    <xf numFmtId="0" fontId="0" fillId="0" borderId="7" xfId="0" applyBorder="1"/>
    <xf numFmtId="0" fontId="0" fillId="0" borderId="7" xfId="0" applyFill="1" applyBorder="1"/>
    <xf numFmtId="1" fontId="0" fillId="0" borderId="7" xfId="0" applyNumberFormat="1" applyBorder="1"/>
    <xf numFmtId="1" fontId="0" fillId="0" borderId="8" xfId="0" applyNumberFormat="1" applyBorder="1"/>
    <xf numFmtId="2" fontId="0" fillId="0" borderId="3" xfId="0" applyNumberFormat="1" applyBorder="1"/>
    <xf numFmtId="2" fontId="0" fillId="0" borderId="4" xfId="0" applyNumberFormat="1" applyBorder="1"/>
    <xf numFmtId="1" fontId="0" fillId="0" borderId="1" xfId="0" applyNumberFormat="1" applyBorder="1"/>
    <xf numFmtId="1" fontId="0" fillId="0" borderId="1" xfId="0" applyNumberFormat="1" applyBorder="1" applyAlignment="1"/>
    <xf numFmtId="2" fontId="0" fillId="0" borderId="7" xfId="0" applyNumberFormat="1" applyBorder="1"/>
    <xf numFmtId="2" fontId="0" fillId="0" borderId="8" xfId="0" applyNumberFormat="1" applyBorder="1"/>
    <xf numFmtId="164" fontId="0" fillId="0" borderId="1" xfId="0" applyNumberFormat="1" applyBorder="1" applyAlignment="1">
      <alignment horizontal="right"/>
    </xf>
    <xf numFmtId="1" fontId="6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1" xfId="0" applyNumberFormat="1" applyBorder="1"/>
    <xf numFmtId="0" fontId="0" fillId="0" borderId="6" xfId="0" applyFont="1" applyBorder="1"/>
    <xf numFmtId="0" fontId="0" fillId="0" borderId="1" xfId="0" applyBorder="1" applyAlignment="1">
      <alignment horizontal="right"/>
    </xf>
    <xf numFmtId="164" fontId="0" fillId="0" borderId="1" xfId="0" applyNumberFormat="1" applyFont="1" applyBorder="1"/>
    <xf numFmtId="2" fontId="0" fillId="0" borderId="1" xfId="0" applyNumberFormat="1" applyFont="1" applyBorder="1"/>
    <xf numFmtId="164" fontId="0" fillId="0" borderId="6" xfId="0" applyNumberFormat="1" applyFont="1" applyBorder="1"/>
    <xf numFmtId="164" fontId="0" fillId="0" borderId="7" xfId="0" applyNumberFormat="1" applyFont="1" applyBorder="1"/>
    <xf numFmtId="164" fontId="0" fillId="0" borderId="8" xfId="0" applyNumberFormat="1" applyFont="1" applyBorder="1"/>
    <xf numFmtId="0" fontId="5" fillId="0" borderId="3" xfId="0" applyFont="1" applyBorder="1"/>
    <xf numFmtId="0" fontId="5" fillId="0" borderId="5" xfId="0" applyFont="1" applyBorder="1"/>
    <xf numFmtId="0" fontId="0" fillId="0" borderId="1" xfId="0" applyFont="1" applyBorder="1"/>
    <xf numFmtId="0" fontId="0" fillId="0" borderId="8" xfId="0" applyBorder="1"/>
    <xf numFmtId="0" fontId="5" fillId="0" borderId="2" xfId="0" applyFont="1" applyBorder="1"/>
    <xf numFmtId="0" fontId="5" fillId="0" borderId="4" xfId="0" applyFont="1" applyBorder="1"/>
    <xf numFmtId="0" fontId="5" fillId="0" borderId="1" xfId="0" applyFont="1" applyBorder="1"/>
    <xf numFmtId="0" fontId="7" fillId="0" borderId="1" xfId="0" applyFont="1" applyBorder="1"/>
    <xf numFmtId="166" fontId="0" fillId="0" borderId="3" xfId="0" applyNumberFormat="1" applyFont="1" applyBorder="1" applyAlignment="1">
      <alignment horizontal="right"/>
    </xf>
    <xf numFmtId="166" fontId="0" fillId="0" borderId="4" xfId="0" applyNumberFormat="1" applyFont="1" applyBorder="1" applyAlignment="1">
      <alignment horizontal="right"/>
    </xf>
    <xf numFmtId="166" fontId="0" fillId="0" borderId="0" xfId="0" applyNumberFormat="1" applyFont="1" applyBorder="1" applyAlignment="1">
      <alignment horizontal="right"/>
    </xf>
    <xf numFmtId="166" fontId="0" fillId="0" borderId="1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0" fontId="0" fillId="0" borderId="3" xfId="0" applyFont="1" applyBorder="1"/>
    <xf numFmtId="0" fontId="0" fillId="0" borderId="4" xfId="0" applyFont="1" applyBorder="1"/>
    <xf numFmtId="0" fontId="0" fillId="0" borderId="7" xfId="0" applyFont="1" applyBorder="1"/>
    <xf numFmtId="168" fontId="0" fillId="0" borderId="0" xfId="0" applyNumberFormat="1" applyFont="1" applyBorder="1" applyAlignment="1">
      <alignment horizontal="center"/>
    </xf>
    <xf numFmtId="166" fontId="5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Alignment="1">
      <alignment horizontal="right"/>
    </xf>
    <xf numFmtId="164" fontId="6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left"/>
    </xf>
    <xf numFmtId="2" fontId="0" fillId="0" borderId="0" xfId="0" applyNumberFormat="1" applyFont="1" applyBorder="1" applyAlignment="1">
      <alignment horizontal="left"/>
    </xf>
    <xf numFmtId="0" fontId="0" fillId="0" borderId="5" xfId="0" applyFill="1" applyBorder="1"/>
    <xf numFmtId="2" fontId="0" fillId="0" borderId="5" xfId="0" applyNumberFormat="1" applyBorder="1"/>
    <xf numFmtId="2" fontId="1" fillId="0" borderId="0" xfId="0" applyNumberFormat="1" applyFont="1"/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/>
    <xf numFmtId="164" fontId="0" fillId="0" borderId="2" xfId="0" applyNumberFormat="1" applyFont="1" applyBorder="1"/>
    <xf numFmtId="0" fontId="0" fillId="0" borderId="2" xfId="0" applyFont="1" applyBorder="1"/>
    <xf numFmtId="0" fontId="0" fillId="0" borderId="8" xfId="0" applyFont="1" applyBorder="1"/>
    <xf numFmtId="0" fontId="0" fillId="0" borderId="0" xfId="0" applyFont="1" applyBorder="1" applyAlignment="1"/>
    <xf numFmtId="166" fontId="0" fillId="0" borderId="0" xfId="0" applyNumberFormat="1" applyFont="1" applyBorder="1" applyAlignment="1"/>
    <xf numFmtId="166" fontId="0" fillId="0" borderId="0" xfId="0" applyNumberFormat="1" applyBorder="1" applyAlignment="1"/>
    <xf numFmtId="166" fontId="0" fillId="0" borderId="0" xfId="0" applyNumberFormat="1" applyFill="1" applyBorder="1" applyAlignment="1"/>
    <xf numFmtId="166" fontId="6" fillId="0" borderId="0" xfId="0" applyNumberFormat="1" applyFont="1" applyBorder="1" applyAlignment="1"/>
    <xf numFmtId="166" fontId="5" fillId="0" borderId="0" xfId="0" applyNumberFormat="1" applyFont="1" applyBorder="1" applyAlignment="1"/>
    <xf numFmtId="166" fontId="0" fillId="0" borderId="0" xfId="0" applyNumberFormat="1" applyFont="1" applyBorder="1"/>
  </cellXfs>
  <cellStyles count="2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90"/>
  <sheetViews>
    <sheetView tabSelected="1" zoomScale="133" zoomScaleNormal="133" zoomScalePageLayoutView="133" workbookViewId="0">
      <selection activeCell="C3" sqref="C3"/>
    </sheetView>
  </sheetViews>
  <sheetFormatPr baseColWidth="10" defaultRowHeight="16" x14ac:dyDescent="0.2"/>
  <cols>
    <col min="2" max="2" width="22.6640625" style="31" bestFit="1" customWidth="1"/>
    <col min="3" max="3" width="11.1640625" style="31" bestFit="1" customWidth="1"/>
    <col min="4" max="5" width="10.83203125" style="31"/>
    <col min="6" max="6" width="10.5" style="127" bestFit="1" customWidth="1"/>
    <col min="7" max="7" width="11.5" style="127" bestFit="1" customWidth="1"/>
    <col min="8" max="8" width="12.1640625" style="127" bestFit="1" customWidth="1"/>
    <col min="9" max="9" width="11.6640625" style="5" bestFit="1" customWidth="1"/>
    <col min="10" max="10" width="10.83203125" style="5"/>
    <col min="11" max="11" width="10.83203125" style="34"/>
    <col min="12" max="24" width="10.83203125" style="5"/>
  </cols>
  <sheetData>
    <row r="2" spans="2:22" x14ac:dyDescent="0.2">
      <c r="B2" s="31" t="s">
        <v>50</v>
      </c>
      <c r="C2" s="31" t="s">
        <v>51</v>
      </c>
      <c r="D2" s="31" t="s">
        <v>52</v>
      </c>
      <c r="E2" s="31" t="s">
        <v>53</v>
      </c>
      <c r="F2" s="127" t="s">
        <v>39</v>
      </c>
      <c r="G2" s="127" t="s">
        <v>75</v>
      </c>
      <c r="H2" s="127" t="s">
        <v>46</v>
      </c>
    </row>
    <row r="3" spans="2:22" x14ac:dyDescent="0.2">
      <c r="B3" s="117" t="s">
        <v>54</v>
      </c>
      <c r="C3" s="117" t="s">
        <v>55</v>
      </c>
      <c r="D3" s="117" t="s">
        <v>56</v>
      </c>
      <c r="E3" s="117" t="s">
        <v>57</v>
      </c>
      <c r="F3" s="128">
        <v>1.6679999999999999</v>
      </c>
      <c r="G3" s="129">
        <v>26.36</v>
      </c>
      <c r="H3" s="128">
        <v>0.34522905914265961</v>
      </c>
      <c r="K3" s="5"/>
    </row>
    <row r="4" spans="2:22" x14ac:dyDescent="0.2">
      <c r="B4" s="117" t="s">
        <v>54</v>
      </c>
      <c r="C4" s="117" t="s">
        <v>55</v>
      </c>
      <c r="D4" s="117" t="s">
        <v>56</v>
      </c>
      <c r="E4" s="117" t="s">
        <v>57</v>
      </c>
      <c r="F4" s="128">
        <v>1.8520000000000001</v>
      </c>
      <c r="G4" s="129">
        <v>26.37</v>
      </c>
      <c r="H4" s="128">
        <v>0.3938197015367727</v>
      </c>
      <c r="K4" s="52"/>
      <c r="L4" s="52"/>
      <c r="M4" s="52"/>
      <c r="N4" s="52"/>
      <c r="O4" s="52"/>
    </row>
    <row r="5" spans="2:22" x14ac:dyDescent="0.2">
      <c r="B5" s="117" t="s">
        <v>54</v>
      </c>
      <c r="C5" s="117" t="s">
        <v>55</v>
      </c>
      <c r="D5" s="117" t="s">
        <v>56</v>
      </c>
      <c r="E5" s="117" t="s">
        <v>57</v>
      </c>
      <c r="F5" s="128">
        <v>0.74299999999999999</v>
      </c>
      <c r="G5" s="129">
        <v>11.757999999999999</v>
      </c>
      <c r="H5" s="128">
        <v>0.11252992614189272</v>
      </c>
    </row>
    <row r="6" spans="2:22" x14ac:dyDescent="0.2">
      <c r="B6" s="117" t="s">
        <v>54</v>
      </c>
      <c r="C6" s="117" t="s">
        <v>55</v>
      </c>
      <c r="D6" s="117" t="s">
        <v>56</v>
      </c>
      <c r="E6" s="117" t="s">
        <v>57</v>
      </c>
      <c r="F6" s="128">
        <v>2.0779999999999998</v>
      </c>
      <c r="G6" s="129">
        <v>28.31</v>
      </c>
      <c r="H6" s="128">
        <v>0.36746539390587302</v>
      </c>
    </row>
    <row r="7" spans="2:22" x14ac:dyDescent="0.2">
      <c r="B7" s="117" t="s">
        <v>54</v>
      </c>
      <c r="C7" s="117" t="s">
        <v>55</v>
      </c>
      <c r="D7" s="117" t="s">
        <v>56</v>
      </c>
      <c r="E7" s="117" t="s">
        <v>57</v>
      </c>
      <c r="F7" s="128">
        <v>0.73599999999999999</v>
      </c>
      <c r="G7" s="129">
        <v>11.064</v>
      </c>
      <c r="H7" s="128">
        <v>0.17925318274360399</v>
      </c>
    </row>
    <row r="8" spans="2:22" x14ac:dyDescent="0.2">
      <c r="B8" s="117" t="s">
        <v>54</v>
      </c>
      <c r="C8" s="117" t="s">
        <v>55</v>
      </c>
      <c r="D8" s="117" t="s">
        <v>56</v>
      </c>
      <c r="E8" s="117" t="s">
        <v>57</v>
      </c>
      <c r="F8" s="128">
        <v>1.34</v>
      </c>
      <c r="G8" s="129">
        <v>18.082000000000001</v>
      </c>
      <c r="H8" s="128">
        <v>0.19494165120631579</v>
      </c>
    </row>
    <row r="9" spans="2:22" x14ac:dyDescent="0.2">
      <c r="B9" s="117" t="s">
        <v>54</v>
      </c>
      <c r="C9" s="117" t="s">
        <v>55</v>
      </c>
      <c r="D9" s="117" t="s">
        <v>56</v>
      </c>
      <c r="E9" s="117" t="s">
        <v>57</v>
      </c>
      <c r="F9" s="132">
        <v>2.238</v>
      </c>
      <c r="G9" s="132">
        <v>29.7</v>
      </c>
      <c r="H9" s="128">
        <v>0.44394256981116792</v>
      </c>
    </row>
    <row r="10" spans="2:22" x14ac:dyDescent="0.2">
      <c r="B10" s="117" t="s">
        <v>54</v>
      </c>
      <c r="C10" s="117" t="s">
        <v>55</v>
      </c>
      <c r="D10" s="117" t="s">
        <v>56</v>
      </c>
      <c r="E10" s="117" t="s">
        <v>57</v>
      </c>
      <c r="F10" s="128">
        <v>1.373</v>
      </c>
      <c r="G10" s="128">
        <v>17.739999999999998</v>
      </c>
      <c r="H10" s="128">
        <v>0.26913712252692945</v>
      </c>
    </row>
    <row r="11" spans="2:22" x14ac:dyDescent="0.2">
      <c r="B11" s="117" t="s">
        <v>54</v>
      </c>
      <c r="C11" s="117" t="s">
        <v>55</v>
      </c>
      <c r="D11" s="117" t="s">
        <v>56</v>
      </c>
      <c r="E11" s="117" t="s">
        <v>57</v>
      </c>
      <c r="F11" s="128">
        <v>0.83099999999999996</v>
      </c>
      <c r="G11" s="129">
        <v>10.786</v>
      </c>
      <c r="H11" s="128">
        <v>0.13624128307894764</v>
      </c>
    </row>
    <row r="12" spans="2:22" x14ac:dyDescent="0.2">
      <c r="B12" s="117" t="s">
        <v>54</v>
      </c>
      <c r="C12" s="117" t="s">
        <v>55</v>
      </c>
      <c r="D12" s="117" t="s">
        <v>56</v>
      </c>
      <c r="E12" s="117" t="s">
        <v>57</v>
      </c>
      <c r="F12" s="128">
        <v>1.609</v>
      </c>
      <c r="G12" s="129">
        <v>23.45</v>
      </c>
      <c r="H12" s="128">
        <v>0.34737404702593261</v>
      </c>
    </row>
    <row r="13" spans="2:22" x14ac:dyDescent="0.2">
      <c r="B13" s="117" t="s">
        <v>54</v>
      </c>
      <c r="C13" s="117" t="s">
        <v>55</v>
      </c>
      <c r="D13" s="117" t="s">
        <v>56</v>
      </c>
      <c r="E13" s="117" t="s">
        <v>57</v>
      </c>
      <c r="F13" s="128">
        <v>1.754</v>
      </c>
      <c r="G13" s="129">
        <v>23.48</v>
      </c>
      <c r="H13" s="128">
        <v>0.38865096622264228</v>
      </c>
    </row>
    <row r="14" spans="2:22" x14ac:dyDescent="0.2">
      <c r="B14" s="117" t="s">
        <v>58</v>
      </c>
      <c r="C14" s="117" t="s">
        <v>55</v>
      </c>
      <c r="D14" s="117" t="s">
        <v>56</v>
      </c>
      <c r="E14" s="117" t="s">
        <v>57</v>
      </c>
      <c r="F14" s="128">
        <v>1.44</v>
      </c>
      <c r="G14" s="129">
        <v>17.329999999999998</v>
      </c>
      <c r="H14" s="128">
        <v>0.43563561590474786</v>
      </c>
      <c r="K14" s="8"/>
      <c r="L14" s="8"/>
      <c r="O14" s="8"/>
      <c r="P14" s="9"/>
      <c r="Q14" s="9"/>
      <c r="R14" s="9"/>
      <c r="S14" s="9"/>
      <c r="T14" s="9"/>
      <c r="U14" s="9"/>
      <c r="V14" s="9"/>
    </row>
    <row r="15" spans="2:22" x14ac:dyDescent="0.2">
      <c r="B15" s="117" t="s">
        <v>58</v>
      </c>
      <c r="C15" s="117" t="s">
        <v>55</v>
      </c>
      <c r="D15" s="117" t="s">
        <v>56</v>
      </c>
      <c r="E15" s="117" t="s">
        <v>57</v>
      </c>
      <c r="F15" s="128">
        <v>0.998</v>
      </c>
      <c r="G15" s="129">
        <v>16.989999999999998</v>
      </c>
      <c r="H15" s="128">
        <v>0.36321913098022968</v>
      </c>
      <c r="K15" s="8"/>
      <c r="L15" s="8"/>
      <c r="N15" s="8"/>
      <c r="O15" s="8"/>
      <c r="P15" s="9"/>
      <c r="Q15" s="27"/>
      <c r="R15" s="27"/>
      <c r="S15" s="27"/>
      <c r="T15" s="27"/>
      <c r="U15" s="27"/>
      <c r="V15" s="27"/>
    </row>
    <row r="16" spans="2:22" x14ac:dyDescent="0.2">
      <c r="B16" s="117" t="s">
        <v>58</v>
      </c>
      <c r="C16" s="117" t="s">
        <v>55</v>
      </c>
      <c r="D16" s="117" t="s">
        <v>56</v>
      </c>
      <c r="E16" s="117" t="s">
        <v>57</v>
      </c>
      <c r="F16" s="128">
        <v>0.96799999999999997</v>
      </c>
      <c r="G16" s="130">
        <v>17.25</v>
      </c>
      <c r="H16" s="128">
        <v>0.39311250010085563</v>
      </c>
    </row>
    <row r="17" spans="2:8" x14ac:dyDescent="0.2">
      <c r="B17" s="117" t="s">
        <v>58</v>
      </c>
      <c r="C17" s="117" t="s">
        <v>55</v>
      </c>
      <c r="D17" s="117" t="s">
        <v>56</v>
      </c>
      <c r="E17" s="117" t="s">
        <v>57</v>
      </c>
      <c r="F17" s="128">
        <v>1.57</v>
      </c>
      <c r="G17" s="130">
        <v>22.14</v>
      </c>
      <c r="H17" s="128">
        <v>0.36039993495741418</v>
      </c>
    </row>
    <row r="18" spans="2:8" x14ac:dyDescent="0.2">
      <c r="B18" s="117" t="s">
        <v>58</v>
      </c>
      <c r="C18" s="117" t="s">
        <v>55</v>
      </c>
      <c r="D18" s="117" t="s">
        <v>56</v>
      </c>
      <c r="E18" s="117" t="s">
        <v>57</v>
      </c>
      <c r="F18" s="128">
        <v>1.0249999999999999</v>
      </c>
      <c r="G18" s="130">
        <v>16.47</v>
      </c>
      <c r="H18" s="128">
        <v>0.2431614871794138</v>
      </c>
    </row>
    <row r="19" spans="2:8" x14ac:dyDescent="0.2">
      <c r="B19" s="117" t="s">
        <v>58</v>
      </c>
      <c r="C19" s="117" t="s">
        <v>55</v>
      </c>
      <c r="D19" s="117" t="s">
        <v>56</v>
      </c>
      <c r="E19" s="117" t="s">
        <v>57</v>
      </c>
      <c r="F19" s="128">
        <v>0.83499999999999996</v>
      </c>
      <c r="G19" s="129">
        <v>11.83</v>
      </c>
      <c r="H19" s="128">
        <v>0.33439112993104614</v>
      </c>
    </row>
    <row r="20" spans="2:8" x14ac:dyDescent="0.2">
      <c r="B20" s="117" t="s">
        <v>58</v>
      </c>
      <c r="C20" s="117" t="s">
        <v>55</v>
      </c>
      <c r="D20" s="117" t="s">
        <v>56</v>
      </c>
      <c r="E20" s="117" t="s">
        <v>57</v>
      </c>
      <c r="F20" s="128">
        <v>0.73399999999999999</v>
      </c>
      <c r="G20" s="130">
        <v>9.24</v>
      </c>
      <c r="H20" s="128">
        <v>0.32588634460253391</v>
      </c>
    </row>
    <row r="21" spans="2:8" x14ac:dyDescent="0.2">
      <c r="B21" s="117" t="s">
        <v>58</v>
      </c>
      <c r="C21" s="117" t="s">
        <v>55</v>
      </c>
      <c r="D21" s="117" t="s">
        <v>56</v>
      </c>
      <c r="E21" s="117" t="s">
        <v>57</v>
      </c>
      <c r="F21" s="128">
        <v>0.93899999999999995</v>
      </c>
      <c r="G21" s="130">
        <v>11.44</v>
      </c>
      <c r="H21" s="128">
        <v>0.19807331901107747</v>
      </c>
    </row>
    <row r="22" spans="2:8" x14ac:dyDescent="0.2">
      <c r="B22" s="117" t="s">
        <v>58</v>
      </c>
      <c r="C22" s="117" t="s">
        <v>55</v>
      </c>
      <c r="D22" s="117" t="s">
        <v>56</v>
      </c>
      <c r="E22" s="117" t="s">
        <v>57</v>
      </c>
      <c r="F22" s="128">
        <v>0.97699999999999998</v>
      </c>
      <c r="G22" s="129">
        <v>19.07</v>
      </c>
      <c r="H22" s="128">
        <v>0.33122373945366396</v>
      </c>
    </row>
    <row r="23" spans="2:8" x14ac:dyDescent="0.2">
      <c r="B23" s="117" t="s">
        <v>58</v>
      </c>
      <c r="C23" s="117" t="s">
        <v>55</v>
      </c>
      <c r="D23" s="117" t="s">
        <v>56</v>
      </c>
      <c r="E23" s="117" t="s">
        <v>57</v>
      </c>
      <c r="F23" s="128">
        <v>0.94199999999999995</v>
      </c>
      <c r="G23" s="129">
        <v>11.35</v>
      </c>
      <c r="H23" s="128">
        <v>0.28586038696078808</v>
      </c>
    </row>
    <row r="24" spans="2:8" x14ac:dyDescent="0.2">
      <c r="B24" s="117" t="s">
        <v>58</v>
      </c>
      <c r="C24" s="117" t="s">
        <v>55</v>
      </c>
      <c r="D24" s="117" t="s">
        <v>56</v>
      </c>
      <c r="E24" s="117" t="s">
        <v>57</v>
      </c>
      <c r="F24" s="128">
        <v>1.3620000000000001</v>
      </c>
      <c r="G24" s="130">
        <v>15.59</v>
      </c>
      <c r="H24" s="128">
        <v>0.26646466426358817</v>
      </c>
    </row>
    <row r="25" spans="2:8" x14ac:dyDescent="0.2">
      <c r="B25" s="117" t="s">
        <v>58</v>
      </c>
      <c r="C25" s="117" t="s">
        <v>55</v>
      </c>
      <c r="D25" s="117" t="s">
        <v>56</v>
      </c>
      <c r="E25" s="117" t="s">
        <v>57</v>
      </c>
      <c r="F25" s="128">
        <v>1.47</v>
      </c>
      <c r="G25" s="129">
        <v>20</v>
      </c>
      <c r="H25" s="128">
        <v>0.39727700738564359</v>
      </c>
    </row>
    <row r="26" spans="2:8" x14ac:dyDescent="0.2">
      <c r="B26" s="117" t="s">
        <v>58</v>
      </c>
      <c r="C26" s="117" t="s">
        <v>55</v>
      </c>
      <c r="D26" s="117" t="s">
        <v>56</v>
      </c>
      <c r="E26" s="117" t="s">
        <v>57</v>
      </c>
      <c r="F26" s="128">
        <v>1.095</v>
      </c>
      <c r="G26" s="129">
        <v>21</v>
      </c>
      <c r="H26" s="128">
        <v>0.32454561667232423</v>
      </c>
    </row>
    <row r="27" spans="2:8" x14ac:dyDescent="0.2">
      <c r="B27" s="117" t="s">
        <v>58</v>
      </c>
      <c r="C27" s="117" t="s">
        <v>55</v>
      </c>
      <c r="D27" s="117" t="s">
        <v>56</v>
      </c>
      <c r="E27" s="117" t="s">
        <v>57</v>
      </c>
      <c r="F27" s="128">
        <v>1.679</v>
      </c>
      <c r="G27" s="129">
        <v>23</v>
      </c>
      <c r="H27" s="128">
        <v>0.36362229915517397</v>
      </c>
    </row>
    <row r="28" spans="2:8" x14ac:dyDescent="0.2">
      <c r="B28" s="117" t="s">
        <v>58</v>
      </c>
      <c r="C28" s="117" t="s">
        <v>55</v>
      </c>
      <c r="D28" s="117" t="s">
        <v>56</v>
      </c>
      <c r="E28" s="117" t="s">
        <v>57</v>
      </c>
      <c r="F28" s="128">
        <v>0.93799999999999994</v>
      </c>
      <c r="G28" s="129">
        <v>17</v>
      </c>
      <c r="H28" s="128">
        <v>0.26850608815121141</v>
      </c>
    </row>
    <row r="29" spans="2:8" x14ac:dyDescent="0.2">
      <c r="B29" s="117" t="s">
        <v>58</v>
      </c>
      <c r="C29" s="117" t="s">
        <v>55</v>
      </c>
      <c r="D29" s="117" t="s">
        <v>56</v>
      </c>
      <c r="E29" s="117" t="s">
        <v>57</v>
      </c>
      <c r="F29" s="128">
        <v>1.202</v>
      </c>
      <c r="G29" s="129">
        <v>13</v>
      </c>
      <c r="H29" s="128">
        <v>0.37213392284512731</v>
      </c>
    </row>
    <row r="30" spans="2:8" x14ac:dyDescent="0.2">
      <c r="B30" s="117" t="s">
        <v>58</v>
      </c>
      <c r="C30" s="117" t="s">
        <v>55</v>
      </c>
      <c r="D30" s="117" t="s">
        <v>56</v>
      </c>
      <c r="E30" s="117" t="s">
        <v>57</v>
      </c>
      <c r="F30" s="128">
        <v>1.7</v>
      </c>
      <c r="G30" s="129">
        <v>20</v>
      </c>
      <c r="H30" s="128">
        <v>0.23934542695525882</v>
      </c>
    </row>
    <row r="31" spans="2:8" x14ac:dyDescent="0.2">
      <c r="B31" s="117" t="s">
        <v>58</v>
      </c>
      <c r="C31" s="117" t="s">
        <v>55</v>
      </c>
      <c r="D31" s="117" t="s">
        <v>56</v>
      </c>
      <c r="E31" s="117" t="s">
        <v>57</v>
      </c>
      <c r="F31" s="128">
        <v>0.98799999999999999</v>
      </c>
      <c r="G31" s="129">
        <v>14</v>
      </c>
      <c r="H31" s="128">
        <v>0.25067085144421986</v>
      </c>
    </row>
    <row r="32" spans="2:8" x14ac:dyDescent="0.2">
      <c r="B32" s="117" t="s">
        <v>59</v>
      </c>
      <c r="C32" s="118" t="s">
        <v>40</v>
      </c>
      <c r="D32" s="117" t="s">
        <v>56</v>
      </c>
      <c r="E32" s="117" t="s">
        <v>57</v>
      </c>
      <c r="F32" s="128">
        <v>0.251</v>
      </c>
      <c r="G32" s="129">
        <v>6.56</v>
      </c>
      <c r="H32" s="128">
        <v>0.15528862288637246</v>
      </c>
    </row>
    <row r="33" spans="2:11" x14ac:dyDescent="0.2">
      <c r="B33" s="117" t="s">
        <v>59</v>
      </c>
      <c r="C33" s="118" t="s">
        <v>40</v>
      </c>
      <c r="D33" s="117" t="s">
        <v>56</v>
      </c>
      <c r="E33" s="117" t="s">
        <v>57</v>
      </c>
      <c r="F33" s="128">
        <v>0.112</v>
      </c>
      <c r="G33" s="129">
        <v>3.84</v>
      </c>
      <c r="H33" s="128">
        <v>0.10950288018788604</v>
      </c>
    </row>
    <row r="34" spans="2:11" x14ac:dyDescent="0.2">
      <c r="B34" s="117" t="s">
        <v>59</v>
      </c>
      <c r="C34" s="118" t="s">
        <v>40</v>
      </c>
      <c r="D34" s="117" t="s">
        <v>56</v>
      </c>
      <c r="E34" s="117" t="s">
        <v>57</v>
      </c>
      <c r="F34" s="128">
        <v>0.106</v>
      </c>
      <c r="G34" s="129">
        <v>3.98</v>
      </c>
      <c r="H34" s="128">
        <v>0.12189220119189102</v>
      </c>
    </row>
    <row r="35" spans="2:11" x14ac:dyDescent="0.2">
      <c r="B35" s="117" t="s">
        <v>59</v>
      </c>
      <c r="C35" s="118" t="s">
        <v>40</v>
      </c>
      <c r="D35" s="117" t="s">
        <v>56</v>
      </c>
      <c r="E35" s="117" t="s">
        <v>57</v>
      </c>
      <c r="F35" s="128">
        <v>0.23799999999999999</v>
      </c>
      <c r="G35" s="129">
        <v>6.6</v>
      </c>
      <c r="H35" s="128">
        <v>0.16819891948310273</v>
      </c>
      <c r="K35" s="5"/>
    </row>
    <row r="36" spans="2:11" x14ac:dyDescent="0.2">
      <c r="B36" s="117" t="s">
        <v>59</v>
      </c>
      <c r="C36" s="118" t="s">
        <v>40</v>
      </c>
      <c r="D36" s="117" t="s">
        <v>56</v>
      </c>
      <c r="E36" s="117" t="s">
        <v>57</v>
      </c>
      <c r="F36" s="128">
        <v>0.23499999999999999</v>
      </c>
      <c r="G36" s="129">
        <v>4.21</v>
      </c>
      <c r="H36" s="128">
        <v>0.10154599056273024</v>
      </c>
      <c r="J36" s="9"/>
      <c r="K36" s="5"/>
    </row>
    <row r="37" spans="2:11" x14ac:dyDescent="0.2">
      <c r="B37" s="117" t="s">
        <v>59</v>
      </c>
      <c r="C37" s="118" t="s">
        <v>40</v>
      </c>
      <c r="D37" s="117" t="s">
        <v>56</v>
      </c>
      <c r="E37" s="117" t="s">
        <v>57</v>
      </c>
      <c r="F37" s="128">
        <v>0.22700000000000001</v>
      </c>
      <c r="G37" s="129">
        <v>6.79</v>
      </c>
      <c r="H37" s="128">
        <v>0.14957379490224917</v>
      </c>
      <c r="J37" s="9"/>
      <c r="K37" s="5"/>
    </row>
    <row r="38" spans="2:11" x14ac:dyDescent="0.2">
      <c r="B38" s="117" t="s">
        <v>59</v>
      </c>
      <c r="C38" s="118" t="s">
        <v>40</v>
      </c>
      <c r="D38" s="117" t="s">
        <v>56</v>
      </c>
      <c r="E38" s="117" t="s">
        <v>57</v>
      </c>
      <c r="F38" s="128">
        <v>0.22800000000000001</v>
      </c>
      <c r="G38" s="129">
        <v>6.96</v>
      </c>
      <c r="H38" s="128">
        <v>0.1095434231123552</v>
      </c>
      <c r="J38" s="9"/>
      <c r="K38" s="5"/>
    </row>
    <row r="39" spans="2:11" x14ac:dyDescent="0.2">
      <c r="B39" s="117" t="s">
        <v>59</v>
      </c>
      <c r="C39" s="118" t="s">
        <v>40</v>
      </c>
      <c r="D39" s="117" t="s">
        <v>56</v>
      </c>
      <c r="E39" s="117" t="s">
        <v>57</v>
      </c>
      <c r="F39" s="128">
        <v>0.316</v>
      </c>
      <c r="G39" s="129">
        <v>8.57</v>
      </c>
      <c r="H39" s="128">
        <v>0.16616996401321696</v>
      </c>
      <c r="J39" s="9"/>
      <c r="K39" s="5"/>
    </row>
    <row r="40" spans="2:11" x14ac:dyDescent="0.2">
      <c r="B40" s="117" t="s">
        <v>59</v>
      </c>
      <c r="C40" s="118" t="s">
        <v>40</v>
      </c>
      <c r="D40" s="117" t="s">
        <v>56</v>
      </c>
      <c r="E40" s="117" t="s">
        <v>57</v>
      </c>
      <c r="F40" s="128">
        <v>0.26700000000000002</v>
      </c>
      <c r="G40" s="129">
        <v>6.51</v>
      </c>
      <c r="H40" s="128">
        <v>0.18623231540072566</v>
      </c>
      <c r="J40" s="9"/>
      <c r="K40" s="5"/>
    </row>
    <row r="41" spans="2:11" x14ac:dyDescent="0.2">
      <c r="B41" s="117" t="s">
        <v>60</v>
      </c>
      <c r="C41" s="118" t="s">
        <v>5</v>
      </c>
      <c r="D41" s="117" t="s">
        <v>61</v>
      </c>
      <c r="E41" s="117" t="s">
        <v>57</v>
      </c>
      <c r="F41" s="128">
        <v>5.444</v>
      </c>
      <c r="G41" s="129">
        <v>52.48</v>
      </c>
      <c r="H41" s="128">
        <v>0.54076489460288879</v>
      </c>
      <c r="I41" s="17"/>
      <c r="K41" s="5"/>
    </row>
    <row r="42" spans="2:11" x14ac:dyDescent="0.2">
      <c r="B42" s="117" t="s">
        <v>60</v>
      </c>
      <c r="C42" s="118" t="s">
        <v>5</v>
      </c>
      <c r="D42" s="117" t="s">
        <v>61</v>
      </c>
      <c r="E42" s="117" t="s">
        <v>57</v>
      </c>
      <c r="F42" s="128">
        <v>6.5549999999999997</v>
      </c>
      <c r="G42" s="129">
        <v>68.349999999999994</v>
      </c>
      <c r="H42" s="128">
        <v>0.45309744392387807</v>
      </c>
      <c r="J42" s="13"/>
      <c r="K42" s="5"/>
    </row>
    <row r="43" spans="2:11" x14ac:dyDescent="0.2">
      <c r="B43" s="117" t="s">
        <v>60</v>
      </c>
      <c r="C43" s="118" t="s">
        <v>5</v>
      </c>
      <c r="D43" s="117" t="s">
        <v>61</v>
      </c>
      <c r="E43" s="117" t="s">
        <v>57</v>
      </c>
      <c r="F43" s="128">
        <v>4.6459999999999999</v>
      </c>
      <c r="G43" s="129">
        <v>60.33</v>
      </c>
      <c r="H43" s="128">
        <v>0.46908074745415107</v>
      </c>
      <c r="J43" s="13"/>
      <c r="K43" s="5"/>
    </row>
    <row r="44" spans="2:11" x14ac:dyDescent="0.2">
      <c r="B44" s="117" t="s">
        <v>60</v>
      </c>
      <c r="C44" s="118" t="s">
        <v>5</v>
      </c>
      <c r="D44" s="117" t="s">
        <v>61</v>
      </c>
      <c r="E44" s="117" t="s">
        <v>57</v>
      </c>
      <c r="F44" s="128">
        <v>4.9710000000000001</v>
      </c>
      <c r="G44" s="129">
        <v>66.14</v>
      </c>
      <c r="H44" s="128">
        <v>0.61528376169886978</v>
      </c>
      <c r="J44" s="13"/>
      <c r="K44" s="5"/>
    </row>
    <row r="45" spans="2:11" x14ac:dyDescent="0.2">
      <c r="B45" s="117" t="s">
        <v>60</v>
      </c>
      <c r="C45" s="118" t="s">
        <v>5</v>
      </c>
      <c r="D45" s="117" t="s">
        <v>61</v>
      </c>
      <c r="E45" s="117" t="s">
        <v>57</v>
      </c>
      <c r="F45" s="128">
        <v>5.3150000000000004</v>
      </c>
      <c r="G45" s="129">
        <v>67.959999999999994</v>
      </c>
      <c r="H45" s="128">
        <v>0.44451881606564408</v>
      </c>
      <c r="J45" s="13"/>
    </row>
    <row r="46" spans="2:11" x14ac:dyDescent="0.2">
      <c r="B46" s="117" t="s">
        <v>60</v>
      </c>
      <c r="C46" s="118" t="s">
        <v>5</v>
      </c>
      <c r="D46" s="117" t="s">
        <v>61</v>
      </c>
      <c r="E46" s="117" t="s">
        <v>57</v>
      </c>
      <c r="F46" s="128">
        <v>4.7389999999999999</v>
      </c>
      <c r="G46" s="129">
        <v>59.91</v>
      </c>
      <c r="H46" s="128">
        <v>0.38838234847442105</v>
      </c>
      <c r="J46" s="13"/>
    </row>
    <row r="47" spans="2:11" x14ac:dyDescent="0.2">
      <c r="B47" s="117" t="s">
        <v>60</v>
      </c>
      <c r="C47" s="118" t="s">
        <v>5</v>
      </c>
      <c r="D47" s="117" t="s">
        <v>61</v>
      </c>
      <c r="E47" s="117" t="s">
        <v>57</v>
      </c>
      <c r="F47" s="128">
        <v>3.1850000000000001</v>
      </c>
      <c r="G47" s="129">
        <v>47.14</v>
      </c>
      <c r="H47" s="128">
        <v>0.53918668810246539</v>
      </c>
      <c r="J47" s="13"/>
    </row>
    <row r="48" spans="2:11" x14ac:dyDescent="0.2">
      <c r="B48" s="117" t="s">
        <v>60</v>
      </c>
      <c r="C48" s="118" t="s">
        <v>5</v>
      </c>
      <c r="D48" s="117" t="s">
        <v>61</v>
      </c>
      <c r="E48" s="117" t="s">
        <v>57</v>
      </c>
      <c r="F48" s="128">
        <v>6.8470000000000004</v>
      </c>
      <c r="G48" s="129">
        <v>77.64</v>
      </c>
      <c r="H48" s="128">
        <v>0.62951183173775294</v>
      </c>
      <c r="J48" s="13"/>
    </row>
    <row r="49" spans="2:10" x14ac:dyDescent="0.2">
      <c r="B49" s="117" t="s">
        <v>60</v>
      </c>
      <c r="C49" s="118" t="s">
        <v>5</v>
      </c>
      <c r="D49" s="117" t="s">
        <v>61</v>
      </c>
      <c r="E49" s="117" t="s">
        <v>57</v>
      </c>
      <c r="F49" s="128">
        <v>4.47</v>
      </c>
      <c r="G49" s="129">
        <v>52.11</v>
      </c>
      <c r="H49" s="128">
        <v>0.54490722962440263</v>
      </c>
      <c r="J49" s="13"/>
    </row>
    <row r="50" spans="2:10" x14ac:dyDescent="0.2">
      <c r="B50" s="34" t="s">
        <v>62</v>
      </c>
      <c r="C50" s="30" t="s">
        <v>5</v>
      </c>
      <c r="D50" s="34" t="s">
        <v>61</v>
      </c>
      <c r="E50" s="34" t="s">
        <v>57</v>
      </c>
      <c r="F50" s="128">
        <v>3.1040000000000001</v>
      </c>
      <c r="G50" s="131">
        <v>45.75</v>
      </c>
      <c r="H50" s="128">
        <v>0.54414603848104581</v>
      </c>
    </row>
    <row r="51" spans="2:10" x14ac:dyDescent="0.2">
      <c r="B51" s="34" t="s">
        <v>62</v>
      </c>
      <c r="C51" s="30" t="s">
        <v>5</v>
      </c>
      <c r="D51" s="34" t="s">
        <v>61</v>
      </c>
      <c r="E51" s="34" t="s">
        <v>57</v>
      </c>
      <c r="F51" s="128">
        <v>4.1050000000000004</v>
      </c>
      <c r="G51" s="131">
        <v>46.21</v>
      </c>
      <c r="H51" s="128">
        <v>0.55259652265167292</v>
      </c>
      <c r="J51" s="35"/>
    </row>
    <row r="52" spans="2:10" x14ac:dyDescent="0.2">
      <c r="B52" s="34" t="s">
        <v>62</v>
      </c>
      <c r="C52" s="30" t="s">
        <v>5</v>
      </c>
      <c r="D52" s="34" t="s">
        <v>61</v>
      </c>
      <c r="E52" s="34" t="s">
        <v>57</v>
      </c>
      <c r="F52" s="128">
        <v>3.903</v>
      </c>
      <c r="G52" s="131">
        <v>61.33</v>
      </c>
      <c r="H52" s="128">
        <v>0.66977203075594061</v>
      </c>
      <c r="J52" s="35"/>
    </row>
    <row r="53" spans="2:10" x14ac:dyDescent="0.2">
      <c r="B53" s="34" t="s">
        <v>62</v>
      </c>
      <c r="C53" s="30" t="s">
        <v>5</v>
      </c>
      <c r="D53" s="34" t="s">
        <v>61</v>
      </c>
      <c r="E53" s="34" t="s">
        <v>57</v>
      </c>
      <c r="F53" s="128">
        <v>3.456</v>
      </c>
      <c r="G53" s="131">
        <v>58.75</v>
      </c>
      <c r="H53" s="128">
        <v>0.63249433321507931</v>
      </c>
      <c r="J53" s="35"/>
    </row>
    <row r="54" spans="2:10" x14ac:dyDescent="0.2">
      <c r="B54" s="34" t="s">
        <v>62</v>
      </c>
      <c r="C54" s="30" t="s">
        <v>5</v>
      </c>
      <c r="D54" s="34" t="s">
        <v>61</v>
      </c>
      <c r="E54" s="34" t="s">
        <v>57</v>
      </c>
      <c r="F54" s="128">
        <v>6.5579999999999998</v>
      </c>
      <c r="G54" s="128">
        <v>58.26</v>
      </c>
      <c r="H54" s="128">
        <v>0.7375810013134263</v>
      </c>
      <c r="J54" s="35"/>
    </row>
    <row r="55" spans="2:10" x14ac:dyDescent="0.2">
      <c r="B55" s="34" t="s">
        <v>62</v>
      </c>
      <c r="C55" s="30" t="s">
        <v>5</v>
      </c>
      <c r="D55" s="34" t="s">
        <v>61</v>
      </c>
      <c r="E55" s="34" t="s">
        <v>57</v>
      </c>
      <c r="F55" s="128">
        <v>4.9240000000000004</v>
      </c>
      <c r="G55" s="128">
        <v>70.94</v>
      </c>
      <c r="H55" s="128">
        <v>0.64701390119479696</v>
      </c>
      <c r="J55" s="17"/>
    </row>
    <row r="56" spans="2:10" x14ac:dyDescent="0.2">
      <c r="B56" s="34" t="s">
        <v>62</v>
      </c>
      <c r="C56" s="30" t="s">
        <v>5</v>
      </c>
      <c r="D56" s="34" t="s">
        <v>61</v>
      </c>
      <c r="E56" s="34" t="s">
        <v>57</v>
      </c>
      <c r="F56" s="128">
        <v>4.9139999999999997</v>
      </c>
      <c r="G56" s="128">
        <v>78.91</v>
      </c>
      <c r="H56" s="128">
        <v>0.58967412470208669</v>
      </c>
      <c r="J56" s="17"/>
    </row>
    <row r="57" spans="2:10" x14ac:dyDescent="0.2">
      <c r="B57" s="34" t="s">
        <v>62</v>
      </c>
      <c r="C57" s="30" t="s">
        <v>5</v>
      </c>
      <c r="D57" s="34" t="s">
        <v>61</v>
      </c>
      <c r="E57" s="34" t="s">
        <v>57</v>
      </c>
      <c r="F57" s="128">
        <v>4.1749999999999998</v>
      </c>
      <c r="G57" s="128">
        <v>58.54</v>
      </c>
      <c r="H57" s="128">
        <v>0.63345536713697304</v>
      </c>
      <c r="J57" s="17"/>
    </row>
    <row r="58" spans="2:10" x14ac:dyDescent="0.2">
      <c r="B58" s="34" t="s">
        <v>62</v>
      </c>
      <c r="C58" s="30" t="s">
        <v>5</v>
      </c>
      <c r="D58" s="34" t="s">
        <v>61</v>
      </c>
      <c r="E58" s="34" t="s">
        <v>57</v>
      </c>
      <c r="F58" s="128">
        <v>6.92</v>
      </c>
      <c r="G58" s="128">
        <v>47.2</v>
      </c>
      <c r="H58" s="128">
        <v>0.53985465504724295</v>
      </c>
      <c r="J58" s="17"/>
    </row>
    <row r="59" spans="2:10" x14ac:dyDescent="0.2">
      <c r="B59" s="34" t="s">
        <v>63</v>
      </c>
      <c r="C59" s="30" t="s">
        <v>41</v>
      </c>
      <c r="D59" s="34" t="s">
        <v>61</v>
      </c>
      <c r="E59" s="34" t="s">
        <v>57</v>
      </c>
      <c r="F59" s="128">
        <v>1.34</v>
      </c>
      <c r="G59" s="129">
        <v>31.52</v>
      </c>
      <c r="H59" s="128">
        <v>0.83609394812000704</v>
      </c>
    </row>
    <row r="60" spans="2:10" x14ac:dyDescent="0.2">
      <c r="B60" s="34" t="s">
        <v>63</v>
      </c>
      <c r="C60" s="30" t="s">
        <v>41</v>
      </c>
      <c r="D60" s="34" t="s">
        <v>61</v>
      </c>
      <c r="E60" s="34" t="s">
        <v>57</v>
      </c>
      <c r="F60" s="128">
        <v>1.9570000000000001</v>
      </c>
      <c r="G60" s="129">
        <v>39.08</v>
      </c>
      <c r="H60" s="128">
        <v>0.49466876592373604</v>
      </c>
      <c r="J60" s="17"/>
    </row>
    <row r="61" spans="2:10" x14ac:dyDescent="0.2">
      <c r="B61" s="34" t="s">
        <v>63</v>
      </c>
      <c r="C61" s="30" t="s">
        <v>41</v>
      </c>
      <c r="D61" s="34" t="s">
        <v>61</v>
      </c>
      <c r="E61" s="34" t="s">
        <v>57</v>
      </c>
      <c r="F61" s="128">
        <v>3.8879999999999999</v>
      </c>
      <c r="G61" s="129">
        <v>68.540000000000006</v>
      </c>
      <c r="H61" s="128">
        <v>0.45457507430986355</v>
      </c>
      <c r="J61" s="17"/>
    </row>
    <row r="62" spans="2:10" x14ac:dyDescent="0.2">
      <c r="B62" s="34" t="s">
        <v>63</v>
      </c>
      <c r="C62" s="30" t="s">
        <v>41</v>
      </c>
      <c r="D62" s="34" t="s">
        <v>61</v>
      </c>
      <c r="E62" s="34" t="s">
        <v>57</v>
      </c>
      <c r="F62" s="128">
        <v>2.5880000000000001</v>
      </c>
      <c r="G62" s="129">
        <v>72.900000000000006</v>
      </c>
      <c r="H62" s="128">
        <v>0.52395234451058104</v>
      </c>
      <c r="J62" s="17"/>
    </row>
    <row r="63" spans="2:10" x14ac:dyDescent="0.2">
      <c r="B63" s="34" t="s">
        <v>63</v>
      </c>
      <c r="C63" s="30" t="s">
        <v>41</v>
      </c>
      <c r="D63" s="34" t="s">
        <v>61</v>
      </c>
      <c r="E63" s="34" t="s">
        <v>57</v>
      </c>
      <c r="F63" s="128">
        <v>2.141</v>
      </c>
      <c r="G63" s="129">
        <v>44.29</v>
      </c>
      <c r="H63" s="128">
        <v>0.68737283286629713</v>
      </c>
      <c r="J63" s="17"/>
    </row>
    <row r="64" spans="2:10" x14ac:dyDescent="0.2">
      <c r="B64" s="34" t="s">
        <v>63</v>
      </c>
      <c r="C64" s="30" t="s">
        <v>41</v>
      </c>
      <c r="D64" s="34" t="s">
        <v>61</v>
      </c>
      <c r="E64" s="34" t="s">
        <v>57</v>
      </c>
      <c r="F64" s="128">
        <v>1.94</v>
      </c>
      <c r="G64" s="129">
        <v>44.13</v>
      </c>
      <c r="H64" s="128">
        <v>0.41421570606299013</v>
      </c>
      <c r="J64" s="17"/>
    </row>
    <row r="65" spans="2:10" x14ac:dyDescent="0.2">
      <c r="B65" s="34" t="s">
        <v>63</v>
      </c>
      <c r="C65" s="30" t="s">
        <v>41</v>
      </c>
      <c r="D65" s="34" t="s">
        <v>61</v>
      </c>
      <c r="E65" s="34" t="s">
        <v>57</v>
      </c>
      <c r="F65" s="128">
        <v>1.196</v>
      </c>
      <c r="G65" s="129">
        <v>23.07</v>
      </c>
      <c r="H65" s="128">
        <v>0.31870309875438096</v>
      </c>
      <c r="J65" s="17"/>
    </row>
    <row r="66" spans="2:10" x14ac:dyDescent="0.2">
      <c r="B66" s="34" t="s">
        <v>63</v>
      </c>
      <c r="C66" s="30" t="s">
        <v>41</v>
      </c>
      <c r="D66" s="34" t="s">
        <v>61</v>
      </c>
      <c r="E66" s="34" t="s">
        <v>57</v>
      </c>
      <c r="F66" s="128">
        <v>0.78700000000000003</v>
      </c>
      <c r="G66" s="129">
        <v>16.28</v>
      </c>
      <c r="H66" s="128">
        <v>0.24263502066093107</v>
      </c>
      <c r="I66" s="42"/>
    </row>
    <row r="67" spans="2:10" x14ac:dyDescent="0.2">
      <c r="B67" s="34" t="s">
        <v>63</v>
      </c>
      <c r="C67" s="30" t="s">
        <v>41</v>
      </c>
      <c r="D67" s="34" t="s">
        <v>61</v>
      </c>
      <c r="E67" s="34" t="s">
        <v>57</v>
      </c>
      <c r="F67" s="128">
        <v>3.9510000000000001</v>
      </c>
      <c r="G67" s="129">
        <v>88.21</v>
      </c>
      <c r="H67" s="128">
        <v>0.73775365718228614</v>
      </c>
    </row>
    <row r="68" spans="2:10" x14ac:dyDescent="0.2">
      <c r="B68" s="34" t="s">
        <v>63</v>
      </c>
      <c r="C68" s="30" t="s">
        <v>41</v>
      </c>
      <c r="D68" s="34" t="s">
        <v>61</v>
      </c>
      <c r="E68" s="34" t="s">
        <v>57</v>
      </c>
      <c r="F68" s="128">
        <v>0.95299999999999996</v>
      </c>
      <c r="G68" s="129">
        <v>21.36</v>
      </c>
      <c r="H68" s="128">
        <v>0.41607510354937438</v>
      </c>
    </row>
    <row r="69" spans="2:10" x14ac:dyDescent="0.2">
      <c r="B69" s="34" t="s">
        <v>63</v>
      </c>
      <c r="C69" s="30" t="s">
        <v>41</v>
      </c>
      <c r="D69" s="34" t="s">
        <v>61</v>
      </c>
      <c r="E69" s="34" t="s">
        <v>57</v>
      </c>
      <c r="F69" s="128">
        <v>1.988</v>
      </c>
      <c r="G69" s="129">
        <v>38.32</v>
      </c>
      <c r="H69" s="128">
        <v>0.32808992846604057</v>
      </c>
    </row>
    <row r="70" spans="2:10" x14ac:dyDescent="0.2">
      <c r="B70" s="34" t="s">
        <v>63</v>
      </c>
      <c r="C70" s="30" t="s">
        <v>41</v>
      </c>
      <c r="D70" s="34" t="s">
        <v>61</v>
      </c>
      <c r="E70" s="34" t="s">
        <v>57</v>
      </c>
      <c r="F70" s="128">
        <v>1.4990000000000001</v>
      </c>
      <c r="G70" s="129">
        <v>47.52</v>
      </c>
      <c r="H70" s="128">
        <v>0.24508312433556068</v>
      </c>
    </row>
    <row r="71" spans="2:10" x14ac:dyDescent="0.2">
      <c r="B71" s="34" t="s">
        <v>63</v>
      </c>
      <c r="C71" s="30" t="s">
        <v>41</v>
      </c>
      <c r="D71" s="34" t="s">
        <v>61</v>
      </c>
      <c r="E71" s="34" t="s">
        <v>57</v>
      </c>
      <c r="F71" s="128">
        <v>0.84799999999999998</v>
      </c>
      <c r="G71" s="129">
        <v>18</v>
      </c>
      <c r="H71" s="128">
        <v>3.3776325860979124E-2</v>
      </c>
    </row>
    <row r="72" spans="2:10" x14ac:dyDescent="0.2">
      <c r="B72" s="34" t="s">
        <v>63</v>
      </c>
      <c r="C72" s="30" t="s">
        <v>41</v>
      </c>
      <c r="D72" s="34" t="s">
        <v>61</v>
      </c>
      <c r="E72" s="34" t="s">
        <v>57</v>
      </c>
      <c r="F72" s="128">
        <v>2.036</v>
      </c>
      <c r="G72" s="129">
        <v>51.4</v>
      </c>
      <c r="H72" s="128">
        <v>0.35230047506801787</v>
      </c>
    </row>
    <row r="73" spans="2:10" x14ac:dyDescent="0.2">
      <c r="B73" s="34" t="s">
        <v>63</v>
      </c>
      <c r="C73" s="30" t="s">
        <v>41</v>
      </c>
      <c r="D73" s="34" t="s">
        <v>61</v>
      </c>
      <c r="E73" s="34" t="s">
        <v>57</v>
      </c>
      <c r="F73" s="128">
        <v>1.79</v>
      </c>
      <c r="G73" s="129">
        <v>42.11</v>
      </c>
      <c r="H73" s="128">
        <v>0.44453608521166776</v>
      </c>
    </row>
    <row r="74" spans="2:10" x14ac:dyDescent="0.2">
      <c r="B74" s="34" t="s">
        <v>63</v>
      </c>
      <c r="C74" s="30" t="s">
        <v>41</v>
      </c>
      <c r="D74" s="34" t="s">
        <v>61</v>
      </c>
      <c r="E74" s="34" t="s">
        <v>57</v>
      </c>
      <c r="F74" s="128">
        <v>1.887</v>
      </c>
      <c r="G74" s="129">
        <v>44.17</v>
      </c>
      <c r="H74" s="128">
        <v>0.42437565193519761</v>
      </c>
    </row>
    <row r="75" spans="2:10" x14ac:dyDescent="0.2">
      <c r="B75" s="31" t="s">
        <v>64</v>
      </c>
      <c r="C75" s="31" t="s">
        <v>41</v>
      </c>
      <c r="D75" s="31" t="s">
        <v>61</v>
      </c>
      <c r="E75" s="31" t="s">
        <v>57</v>
      </c>
      <c r="F75" s="128">
        <v>0.6</v>
      </c>
      <c r="G75" s="128">
        <v>19.23</v>
      </c>
      <c r="H75" s="129">
        <v>0.1167818651158354</v>
      </c>
    </row>
    <row r="76" spans="2:10" x14ac:dyDescent="0.2">
      <c r="B76" s="31" t="s">
        <v>64</v>
      </c>
      <c r="C76" s="31" t="s">
        <v>41</v>
      </c>
      <c r="D76" s="31" t="s">
        <v>61</v>
      </c>
      <c r="E76" s="31" t="s">
        <v>57</v>
      </c>
      <c r="F76" s="128">
        <v>0.71599999999999997</v>
      </c>
      <c r="G76" s="128">
        <v>20.3</v>
      </c>
      <c r="H76" s="129">
        <v>0.13884747860546068</v>
      </c>
    </row>
    <row r="77" spans="2:10" x14ac:dyDescent="0.2">
      <c r="B77" s="31" t="s">
        <v>64</v>
      </c>
      <c r="C77" s="31" t="s">
        <v>41</v>
      </c>
      <c r="D77" s="31" t="s">
        <v>61</v>
      </c>
      <c r="E77" s="31" t="s">
        <v>57</v>
      </c>
      <c r="F77" s="128">
        <v>0.59699999999999998</v>
      </c>
      <c r="G77" s="128">
        <v>21.51</v>
      </c>
      <c r="H77" s="129">
        <v>3.4609146181535287E-2</v>
      </c>
      <c r="I77" s="34"/>
      <c r="J77" s="42"/>
    </row>
    <row r="78" spans="2:10" x14ac:dyDescent="0.2">
      <c r="B78" s="31" t="s">
        <v>64</v>
      </c>
      <c r="C78" s="31" t="s">
        <v>41</v>
      </c>
      <c r="D78" s="31" t="s">
        <v>61</v>
      </c>
      <c r="E78" s="31" t="s">
        <v>57</v>
      </c>
      <c r="F78" s="128">
        <v>0.51</v>
      </c>
      <c r="G78" s="128">
        <v>11.27</v>
      </c>
      <c r="H78" s="129">
        <v>0.13648397720756486</v>
      </c>
      <c r="I78" s="34"/>
      <c r="J78" s="42"/>
    </row>
    <row r="79" spans="2:10" x14ac:dyDescent="0.2">
      <c r="B79" s="31" t="s">
        <v>64</v>
      </c>
      <c r="C79" s="31" t="s">
        <v>41</v>
      </c>
      <c r="D79" s="31" t="s">
        <v>61</v>
      </c>
      <c r="E79" s="31" t="s">
        <v>57</v>
      </c>
      <c r="F79" s="128">
        <v>0.58899999999999997</v>
      </c>
      <c r="G79" s="128">
        <v>12.14</v>
      </c>
      <c r="H79" s="129">
        <v>0.16806766393038797</v>
      </c>
      <c r="I79" s="34"/>
      <c r="J79" s="42"/>
    </row>
    <row r="80" spans="2:10" x14ac:dyDescent="0.2">
      <c r="B80" s="31" t="s">
        <v>64</v>
      </c>
      <c r="C80" s="31" t="s">
        <v>41</v>
      </c>
      <c r="D80" s="31" t="s">
        <v>61</v>
      </c>
      <c r="E80" s="31" t="s">
        <v>57</v>
      </c>
      <c r="F80" s="128">
        <v>0.623</v>
      </c>
      <c r="G80" s="128">
        <v>13.13</v>
      </c>
      <c r="H80" s="129">
        <v>0.24857870474719937</v>
      </c>
      <c r="I80" s="34"/>
      <c r="J80" s="42"/>
    </row>
    <row r="81" spans="2:10" x14ac:dyDescent="0.2">
      <c r="B81" s="31" t="s">
        <v>64</v>
      </c>
      <c r="C81" s="31" t="s">
        <v>41</v>
      </c>
      <c r="D81" s="31" t="s">
        <v>61</v>
      </c>
      <c r="E81" s="31" t="s">
        <v>57</v>
      </c>
      <c r="F81" s="128">
        <v>0.63600000000000001</v>
      </c>
      <c r="G81" s="128">
        <v>13.41</v>
      </c>
      <c r="H81" s="129">
        <v>0.26178398345905857</v>
      </c>
      <c r="I81" s="34"/>
      <c r="J81" s="42"/>
    </row>
    <row r="82" spans="2:10" x14ac:dyDescent="0.2">
      <c r="B82" s="31" t="s">
        <v>64</v>
      </c>
      <c r="C82" s="31" t="s">
        <v>41</v>
      </c>
      <c r="D82" s="31" t="s">
        <v>61</v>
      </c>
      <c r="E82" s="31" t="s">
        <v>57</v>
      </c>
      <c r="F82" s="128">
        <v>0.34300000000000003</v>
      </c>
      <c r="G82" s="128">
        <v>7.23</v>
      </c>
      <c r="H82" s="129">
        <v>0.16610661941028002</v>
      </c>
      <c r="I82" s="34"/>
      <c r="J82" s="42"/>
    </row>
    <row r="83" spans="2:10" x14ac:dyDescent="0.2">
      <c r="B83" s="31" t="s">
        <v>64</v>
      </c>
      <c r="C83" s="31" t="s">
        <v>41</v>
      </c>
      <c r="D83" s="31" t="s">
        <v>61</v>
      </c>
      <c r="E83" s="31" t="s">
        <v>57</v>
      </c>
      <c r="F83" s="128">
        <v>0.48</v>
      </c>
      <c r="G83" s="128">
        <v>10.82</v>
      </c>
      <c r="H83" s="129">
        <v>0.17508495603602267</v>
      </c>
      <c r="I83" s="34"/>
      <c r="J83" s="42"/>
    </row>
    <row r="84" spans="2:10" x14ac:dyDescent="0.2">
      <c r="B84" s="31" t="s">
        <v>64</v>
      </c>
      <c r="C84" s="31" t="s">
        <v>41</v>
      </c>
      <c r="D84" s="31" t="s">
        <v>61</v>
      </c>
      <c r="E84" s="31" t="s">
        <v>57</v>
      </c>
      <c r="F84" s="128">
        <v>1.2809999999999999</v>
      </c>
      <c r="G84" s="128">
        <v>33.270000000000003</v>
      </c>
      <c r="H84" s="129">
        <v>0.32539583988759135</v>
      </c>
      <c r="I84" s="34"/>
      <c r="J84" s="42"/>
    </row>
    <row r="85" spans="2:10" x14ac:dyDescent="0.2">
      <c r="B85" s="31" t="s">
        <v>64</v>
      </c>
      <c r="C85" s="31" t="s">
        <v>41</v>
      </c>
      <c r="D85" s="31" t="s">
        <v>61</v>
      </c>
      <c r="E85" s="31" t="s">
        <v>57</v>
      </c>
      <c r="F85" s="128">
        <v>1.6259999999999999</v>
      </c>
      <c r="G85" s="128">
        <v>43.89</v>
      </c>
      <c r="H85" s="129">
        <v>0.26490410798361091</v>
      </c>
      <c r="I85" s="34"/>
      <c r="J85" s="42"/>
    </row>
    <row r="86" spans="2:10" x14ac:dyDescent="0.2">
      <c r="B86" s="31" t="s">
        <v>64</v>
      </c>
      <c r="C86" s="31" t="s">
        <v>41</v>
      </c>
      <c r="D86" s="31" t="s">
        <v>61</v>
      </c>
      <c r="E86" s="31" t="s">
        <v>57</v>
      </c>
      <c r="F86" s="128">
        <v>1.1319999999999999</v>
      </c>
      <c r="G86" s="128">
        <v>29.43</v>
      </c>
      <c r="H86" s="129">
        <v>0.55390392759855378</v>
      </c>
      <c r="I86" s="34"/>
      <c r="J86" s="42"/>
    </row>
    <row r="87" spans="2:10" x14ac:dyDescent="0.2">
      <c r="B87" s="31" t="s">
        <v>64</v>
      </c>
      <c r="C87" s="31" t="s">
        <v>41</v>
      </c>
      <c r="D87" s="31" t="s">
        <v>61</v>
      </c>
      <c r="E87" s="31" t="s">
        <v>57</v>
      </c>
      <c r="F87" s="128">
        <v>0.81</v>
      </c>
      <c r="G87" s="128">
        <v>22.5</v>
      </c>
      <c r="H87" s="129">
        <v>8.2247585185430475E-2</v>
      </c>
    </row>
    <row r="88" spans="2:10" x14ac:dyDescent="0.2">
      <c r="B88" s="31" t="s">
        <v>64</v>
      </c>
      <c r="C88" s="31" t="s">
        <v>41</v>
      </c>
      <c r="D88" s="31" t="s">
        <v>61</v>
      </c>
      <c r="E88" s="31" t="s">
        <v>57</v>
      </c>
      <c r="F88" s="128">
        <v>1.173</v>
      </c>
      <c r="G88" s="128">
        <v>31.97</v>
      </c>
      <c r="H88" s="129">
        <v>6.7282967708783573E-2</v>
      </c>
    </row>
    <row r="89" spans="2:10" x14ac:dyDescent="0.2">
      <c r="B89" s="31" t="s">
        <v>64</v>
      </c>
      <c r="C89" s="31" t="s">
        <v>41</v>
      </c>
      <c r="D89" s="31" t="s">
        <v>61</v>
      </c>
      <c r="E89" s="31" t="s">
        <v>57</v>
      </c>
      <c r="F89" s="128">
        <v>0.96499999999999997</v>
      </c>
      <c r="G89" s="128">
        <v>30.152000000000001</v>
      </c>
      <c r="H89" s="129">
        <v>0.21891846766040426</v>
      </c>
    </row>
    <row r="90" spans="2:10" x14ac:dyDescent="0.2">
      <c r="B90" s="31" t="s">
        <v>64</v>
      </c>
      <c r="C90" s="31" t="s">
        <v>41</v>
      </c>
      <c r="D90" s="31" t="s">
        <v>61</v>
      </c>
      <c r="E90" s="31" t="s">
        <v>57</v>
      </c>
      <c r="F90" s="128">
        <v>0.46500000000000002</v>
      </c>
      <c r="G90" s="128">
        <v>17.09</v>
      </c>
      <c r="H90" s="129">
        <v>0.14610167678497032</v>
      </c>
    </row>
    <row r="91" spans="2:10" x14ac:dyDescent="0.2">
      <c r="B91" s="31" t="s">
        <v>64</v>
      </c>
      <c r="C91" s="31" t="s">
        <v>41</v>
      </c>
      <c r="D91" s="31" t="s">
        <v>61</v>
      </c>
      <c r="E91" s="31" t="s">
        <v>57</v>
      </c>
      <c r="F91" s="128">
        <v>0.98699999999999999</v>
      </c>
      <c r="G91" s="128">
        <v>29.18</v>
      </c>
      <c r="H91" s="129">
        <v>0.27742204232196954</v>
      </c>
    </row>
    <row r="92" spans="2:10" x14ac:dyDescent="0.2">
      <c r="B92" s="31" t="s">
        <v>64</v>
      </c>
      <c r="C92" s="31" t="s">
        <v>41</v>
      </c>
      <c r="D92" s="31" t="s">
        <v>61</v>
      </c>
      <c r="E92" s="31" t="s">
        <v>57</v>
      </c>
      <c r="F92" s="128">
        <v>0.747</v>
      </c>
      <c r="G92" s="128">
        <v>21.1</v>
      </c>
      <c r="H92" s="129">
        <v>0.27058760905639612</v>
      </c>
    </row>
    <row r="93" spans="2:10" x14ac:dyDescent="0.2">
      <c r="B93" s="31" t="s">
        <v>64</v>
      </c>
      <c r="C93" s="31" t="s">
        <v>41</v>
      </c>
      <c r="D93" s="31" t="s">
        <v>61</v>
      </c>
      <c r="E93" s="31" t="s">
        <v>57</v>
      </c>
      <c r="F93" s="128">
        <v>0.61599999999999999</v>
      </c>
      <c r="G93" s="128">
        <v>28.14</v>
      </c>
      <c r="H93" s="129">
        <v>7.3816802673910831E-2</v>
      </c>
    </row>
    <row r="94" spans="2:10" x14ac:dyDescent="0.2">
      <c r="B94" s="34" t="s">
        <v>66</v>
      </c>
      <c r="C94" s="30" t="s">
        <v>41</v>
      </c>
      <c r="D94" s="34" t="s">
        <v>61</v>
      </c>
      <c r="E94" s="34" t="s">
        <v>57</v>
      </c>
      <c r="F94" s="128">
        <v>6.5000000000000002E-2</v>
      </c>
      <c r="G94" s="132">
        <v>0.27500000000000002</v>
      </c>
      <c r="H94" s="128">
        <v>2.3070612852688747E-2</v>
      </c>
      <c r="I94" s="112"/>
      <c r="J94" s="45"/>
    </row>
    <row r="95" spans="2:10" x14ac:dyDescent="0.2">
      <c r="B95" s="34" t="s">
        <v>66</v>
      </c>
      <c r="C95" s="30" t="s">
        <v>41</v>
      </c>
      <c r="D95" s="34" t="s">
        <v>61</v>
      </c>
      <c r="E95" s="34" t="s">
        <v>57</v>
      </c>
      <c r="F95" s="128">
        <v>4.4999999999999998E-2</v>
      </c>
      <c r="G95" s="132">
        <v>0.26700000000000002</v>
      </c>
      <c r="H95" s="128">
        <v>2.3151996710685584E-2</v>
      </c>
      <c r="I95" s="112"/>
    </row>
    <row r="96" spans="2:10" x14ac:dyDescent="0.2">
      <c r="B96" s="34" t="s">
        <v>66</v>
      </c>
      <c r="C96" s="30" t="s">
        <v>41</v>
      </c>
      <c r="D96" s="34" t="s">
        <v>61</v>
      </c>
      <c r="E96" s="34" t="s">
        <v>57</v>
      </c>
      <c r="F96" s="128">
        <v>6.8000000000000005E-2</v>
      </c>
      <c r="G96" s="132">
        <v>0.41</v>
      </c>
      <c r="H96" s="128">
        <v>1.1134557324957241E-2</v>
      </c>
      <c r="I96" s="112"/>
    </row>
    <row r="97" spans="2:10" x14ac:dyDescent="0.2">
      <c r="B97" s="34" t="s">
        <v>66</v>
      </c>
      <c r="C97" s="30" t="s">
        <v>41</v>
      </c>
      <c r="D97" s="34" t="s">
        <v>61</v>
      </c>
      <c r="E97" s="34" t="s">
        <v>57</v>
      </c>
      <c r="F97" s="128">
        <v>5.1999999999999998E-2</v>
      </c>
      <c r="G97" s="132">
        <v>0.25</v>
      </c>
      <c r="H97" s="128">
        <v>1.4880085550765214E-2</v>
      </c>
      <c r="I97" s="112"/>
    </row>
    <row r="98" spans="2:10" x14ac:dyDescent="0.2">
      <c r="B98" s="34" t="s">
        <v>66</v>
      </c>
      <c r="C98" s="30" t="s">
        <v>41</v>
      </c>
      <c r="D98" s="34" t="s">
        <v>61</v>
      </c>
      <c r="E98" s="34" t="s">
        <v>57</v>
      </c>
      <c r="F98" s="128">
        <v>6.2E-2</v>
      </c>
      <c r="G98" s="132">
        <v>0.35299999999999998</v>
      </c>
      <c r="H98" s="128">
        <v>1.0995768579726437E-2</v>
      </c>
      <c r="I98" s="112"/>
    </row>
    <row r="99" spans="2:10" x14ac:dyDescent="0.2">
      <c r="B99" s="34" t="s">
        <v>66</v>
      </c>
      <c r="C99" s="30" t="s">
        <v>41</v>
      </c>
      <c r="D99" s="34" t="s">
        <v>61</v>
      </c>
      <c r="E99" s="34" t="s">
        <v>57</v>
      </c>
      <c r="F99" s="128">
        <v>5.2999999999999999E-2</v>
      </c>
      <c r="G99" s="132">
        <v>0.25900000000000001</v>
      </c>
      <c r="H99" s="128">
        <v>1.0987735949935705E-2</v>
      </c>
      <c r="I99" s="112"/>
    </row>
    <row r="100" spans="2:10" x14ac:dyDescent="0.2">
      <c r="B100" s="34" t="s">
        <v>66</v>
      </c>
      <c r="C100" s="30" t="s">
        <v>41</v>
      </c>
      <c r="D100" s="34" t="s">
        <v>61</v>
      </c>
      <c r="E100" s="34" t="s">
        <v>57</v>
      </c>
      <c r="F100" s="128">
        <v>7.3999999999999996E-2</v>
      </c>
      <c r="G100" s="132">
        <v>0.316</v>
      </c>
      <c r="H100" s="128">
        <v>1.2651902153795115E-2</v>
      </c>
      <c r="I100" s="112"/>
    </row>
    <row r="101" spans="2:10" x14ac:dyDescent="0.2">
      <c r="B101" s="34" t="s">
        <v>66</v>
      </c>
      <c r="C101" s="30" t="s">
        <v>41</v>
      </c>
      <c r="D101" s="34" t="s">
        <v>61</v>
      </c>
      <c r="E101" s="34" t="s">
        <v>57</v>
      </c>
      <c r="F101" s="128">
        <v>5.1999999999999998E-2</v>
      </c>
      <c r="G101" s="132">
        <v>0.22700000000000001</v>
      </c>
      <c r="H101" s="128">
        <v>1.4773149121856701E-2</v>
      </c>
      <c r="I101" s="112"/>
    </row>
    <row r="102" spans="2:10" x14ac:dyDescent="0.2">
      <c r="B102" s="34" t="s">
        <v>66</v>
      </c>
      <c r="C102" s="30" t="s">
        <v>41</v>
      </c>
      <c r="D102" s="34" t="s">
        <v>61</v>
      </c>
      <c r="E102" s="34" t="s">
        <v>57</v>
      </c>
      <c r="F102" s="128">
        <v>6.0999999999999999E-2</v>
      </c>
      <c r="G102" s="129">
        <v>0.27</v>
      </c>
      <c r="H102" s="128">
        <v>2.8323798949201725E-2</v>
      </c>
      <c r="I102" s="112"/>
    </row>
    <row r="103" spans="2:10" x14ac:dyDescent="0.2">
      <c r="B103" s="34" t="s">
        <v>66</v>
      </c>
      <c r="C103" s="30" t="s">
        <v>41</v>
      </c>
      <c r="D103" s="34" t="s">
        <v>61</v>
      </c>
      <c r="E103" s="34" t="s">
        <v>57</v>
      </c>
      <c r="F103" s="128">
        <v>4.2999999999999997E-2</v>
      </c>
      <c r="G103" s="129">
        <v>0.19</v>
      </c>
      <c r="H103" s="128">
        <v>1.192791339714307E-2</v>
      </c>
      <c r="I103" s="112"/>
      <c r="J103" s="45"/>
    </row>
    <row r="104" spans="2:10" x14ac:dyDescent="0.2">
      <c r="B104" s="34" t="s">
        <v>66</v>
      </c>
      <c r="C104" s="30" t="s">
        <v>41</v>
      </c>
      <c r="D104" s="34" t="s">
        <v>61</v>
      </c>
      <c r="E104" s="34" t="s">
        <v>57</v>
      </c>
      <c r="F104" s="128">
        <v>3.9E-2</v>
      </c>
      <c r="G104" s="129">
        <v>0.20699999999999999</v>
      </c>
      <c r="H104" s="128">
        <v>1.5060865001206382E-2</v>
      </c>
      <c r="I104" s="112"/>
      <c r="J104" s="45"/>
    </row>
    <row r="105" spans="2:10" x14ac:dyDescent="0.2">
      <c r="B105" s="34" t="s">
        <v>66</v>
      </c>
      <c r="C105" s="30" t="s">
        <v>41</v>
      </c>
      <c r="D105" s="34" t="s">
        <v>61</v>
      </c>
      <c r="E105" s="34" t="s">
        <v>57</v>
      </c>
      <c r="F105" s="128">
        <v>0.05</v>
      </c>
      <c r="G105" s="129">
        <v>0.23699999999999999</v>
      </c>
      <c r="H105" s="128">
        <v>2.6829008702044792E-2</v>
      </c>
      <c r="I105" s="112"/>
    </row>
    <row r="106" spans="2:10" x14ac:dyDescent="0.2">
      <c r="B106" s="34" t="s">
        <v>66</v>
      </c>
      <c r="C106" s="30" t="s">
        <v>41</v>
      </c>
      <c r="D106" s="34" t="s">
        <v>61</v>
      </c>
      <c r="E106" s="34" t="s">
        <v>57</v>
      </c>
      <c r="F106" s="128">
        <v>4.2000000000000003E-2</v>
      </c>
      <c r="G106" s="129">
        <v>0.20499999999999999</v>
      </c>
      <c r="H106" s="128">
        <v>9.8152029520940827E-3</v>
      </c>
      <c r="I106" s="112"/>
    </row>
    <row r="107" spans="2:10" x14ac:dyDescent="0.2">
      <c r="B107" s="34" t="s">
        <v>66</v>
      </c>
      <c r="C107" s="30" t="s">
        <v>41</v>
      </c>
      <c r="D107" s="34" t="s">
        <v>61</v>
      </c>
      <c r="E107" s="34" t="s">
        <v>57</v>
      </c>
      <c r="F107" s="128">
        <v>4.4999999999999998E-2</v>
      </c>
      <c r="G107" s="129">
        <v>0.23499999999999999</v>
      </c>
      <c r="H107" s="128">
        <v>1.6333665101175086E-2</v>
      </c>
      <c r="I107" s="112"/>
    </row>
    <row r="108" spans="2:10" x14ac:dyDescent="0.2">
      <c r="B108" s="34" t="s">
        <v>66</v>
      </c>
      <c r="C108" s="30" t="s">
        <v>41</v>
      </c>
      <c r="D108" s="34" t="s">
        <v>61</v>
      </c>
      <c r="E108" s="34" t="s">
        <v>57</v>
      </c>
      <c r="F108" s="128">
        <v>5.6000000000000001E-2</v>
      </c>
      <c r="G108" s="129">
        <v>0.29699999999999999</v>
      </c>
      <c r="H108" s="128">
        <v>2.5755112436026791E-2</v>
      </c>
      <c r="I108" s="112"/>
    </row>
    <row r="109" spans="2:10" x14ac:dyDescent="0.2">
      <c r="B109" s="34" t="s">
        <v>66</v>
      </c>
      <c r="C109" s="30" t="s">
        <v>41</v>
      </c>
      <c r="D109" s="34" t="s">
        <v>61</v>
      </c>
      <c r="E109" s="34" t="s">
        <v>57</v>
      </c>
      <c r="F109" s="128">
        <v>8.1000000000000003E-2</v>
      </c>
      <c r="G109" s="129">
        <v>0.39500000000000002</v>
      </c>
      <c r="H109" s="128">
        <v>4.4040028191820832E-2</v>
      </c>
      <c r="I109" s="112"/>
    </row>
    <row r="110" spans="2:10" x14ac:dyDescent="0.2">
      <c r="B110" s="34" t="s">
        <v>66</v>
      </c>
      <c r="C110" s="30" t="s">
        <v>41</v>
      </c>
      <c r="D110" s="34" t="s">
        <v>61</v>
      </c>
      <c r="E110" s="34" t="s">
        <v>57</v>
      </c>
      <c r="F110" s="128">
        <v>6.2E-2</v>
      </c>
      <c r="G110" s="129">
        <v>0.27400000000000002</v>
      </c>
      <c r="H110" s="128">
        <v>2.2142930094451774E-2</v>
      </c>
      <c r="I110" s="112"/>
    </row>
    <row r="111" spans="2:10" x14ac:dyDescent="0.2">
      <c r="B111" s="34" t="s">
        <v>65</v>
      </c>
      <c r="C111" s="30" t="s">
        <v>73</v>
      </c>
      <c r="D111" s="34" t="s">
        <v>56</v>
      </c>
      <c r="E111" s="34" t="s">
        <v>57</v>
      </c>
      <c r="F111" s="128">
        <v>5.1999999999999998E-2</v>
      </c>
      <c r="G111" s="129">
        <v>0.30199999999999999</v>
      </c>
      <c r="H111" s="128">
        <v>6.2270126669593973E-2</v>
      </c>
    </row>
    <row r="112" spans="2:10" x14ac:dyDescent="0.2">
      <c r="B112" s="34" t="s">
        <v>65</v>
      </c>
      <c r="C112" s="30" t="s">
        <v>73</v>
      </c>
      <c r="D112" s="34" t="s">
        <v>56</v>
      </c>
      <c r="E112" s="34" t="s">
        <v>57</v>
      </c>
      <c r="F112" s="128">
        <v>4.7E-2</v>
      </c>
      <c r="G112" s="129">
        <v>0.27200000000000002</v>
      </c>
      <c r="H112" s="128">
        <v>3.6265830103806213E-2</v>
      </c>
    </row>
    <row r="113" spans="2:8" x14ac:dyDescent="0.2">
      <c r="B113" s="34" t="s">
        <v>65</v>
      </c>
      <c r="C113" s="30" t="s">
        <v>73</v>
      </c>
      <c r="D113" s="34" t="s">
        <v>56</v>
      </c>
      <c r="E113" s="34" t="s">
        <v>57</v>
      </c>
      <c r="F113" s="128">
        <v>6.8000000000000005E-2</v>
      </c>
      <c r="G113" s="129">
        <v>0.435</v>
      </c>
      <c r="H113" s="128">
        <v>2.9894276140374126E-2</v>
      </c>
    </row>
    <row r="114" spans="2:8" x14ac:dyDescent="0.2">
      <c r="B114" s="34" t="s">
        <v>65</v>
      </c>
      <c r="C114" s="30" t="s">
        <v>73</v>
      </c>
      <c r="D114" s="34" t="s">
        <v>56</v>
      </c>
      <c r="E114" s="34" t="s">
        <v>57</v>
      </c>
      <c r="F114" s="128">
        <v>9.6000000000000002E-2</v>
      </c>
      <c r="G114" s="129">
        <v>0.56299999999999994</v>
      </c>
      <c r="H114" s="128">
        <v>4.1316228486119454E-2</v>
      </c>
    </row>
    <row r="115" spans="2:8" x14ac:dyDescent="0.2">
      <c r="B115" s="34" t="s">
        <v>65</v>
      </c>
      <c r="C115" s="30" t="s">
        <v>73</v>
      </c>
      <c r="D115" s="34" t="s">
        <v>56</v>
      </c>
      <c r="E115" s="34" t="s">
        <v>57</v>
      </c>
      <c r="F115" s="128">
        <v>3.5999999999999997E-2</v>
      </c>
      <c r="G115" s="129">
        <v>0.252</v>
      </c>
      <c r="H115" s="128">
        <v>2.1063751182745821E-2</v>
      </c>
    </row>
    <row r="116" spans="2:8" x14ac:dyDescent="0.2">
      <c r="B116" s="34" t="s">
        <v>65</v>
      </c>
      <c r="C116" s="30" t="s">
        <v>73</v>
      </c>
      <c r="D116" s="34" t="s">
        <v>56</v>
      </c>
      <c r="E116" s="34" t="s">
        <v>57</v>
      </c>
      <c r="F116" s="128">
        <v>8.5000000000000006E-2</v>
      </c>
      <c r="G116" s="129">
        <v>0.50900000000000001</v>
      </c>
      <c r="H116" s="128">
        <v>3.6404960140639216E-2</v>
      </c>
    </row>
    <row r="117" spans="2:8" x14ac:dyDescent="0.2">
      <c r="B117" s="34" t="s">
        <v>65</v>
      </c>
      <c r="C117" s="30" t="s">
        <v>73</v>
      </c>
      <c r="D117" s="34" t="s">
        <v>56</v>
      </c>
      <c r="E117" s="34" t="s">
        <v>57</v>
      </c>
      <c r="F117" s="128">
        <v>6.5000000000000002E-2</v>
      </c>
      <c r="G117" s="129">
        <v>0.38900000000000001</v>
      </c>
      <c r="H117" s="128">
        <v>4.8549530205655493E-2</v>
      </c>
    </row>
    <row r="118" spans="2:8" x14ac:dyDescent="0.2">
      <c r="B118" s="34" t="s">
        <v>65</v>
      </c>
      <c r="C118" s="30" t="s">
        <v>73</v>
      </c>
      <c r="D118" s="34" t="s">
        <v>56</v>
      </c>
      <c r="E118" s="34" t="s">
        <v>57</v>
      </c>
      <c r="F118" s="128">
        <v>0.11600000000000001</v>
      </c>
      <c r="G118" s="129">
        <v>0.216</v>
      </c>
      <c r="H118" s="128">
        <v>3.772959901477832E-2</v>
      </c>
    </row>
    <row r="119" spans="2:8" x14ac:dyDescent="0.2">
      <c r="B119" s="34" t="s">
        <v>65</v>
      </c>
      <c r="C119" s="30" t="s">
        <v>73</v>
      </c>
      <c r="D119" s="34" t="s">
        <v>56</v>
      </c>
      <c r="E119" s="34" t="s">
        <v>57</v>
      </c>
      <c r="F119" s="128">
        <v>4.5999999999999999E-2</v>
      </c>
      <c r="G119" s="129">
        <v>0.52200000000000002</v>
      </c>
      <c r="H119" s="128">
        <v>2.3660163826716891E-2</v>
      </c>
    </row>
    <row r="120" spans="2:8" x14ac:dyDescent="0.2">
      <c r="B120" s="34" t="s">
        <v>65</v>
      </c>
      <c r="C120" s="30" t="s">
        <v>73</v>
      </c>
      <c r="D120" s="34" t="s">
        <v>56</v>
      </c>
      <c r="E120" s="34" t="s">
        <v>57</v>
      </c>
      <c r="F120" s="128">
        <v>9.0999999999999998E-2</v>
      </c>
      <c r="G120" s="129">
        <v>0.32200000000000001</v>
      </c>
      <c r="H120" s="128">
        <v>3.8252342435669918E-2</v>
      </c>
    </row>
    <row r="121" spans="2:8" x14ac:dyDescent="0.2">
      <c r="B121" s="34" t="s">
        <v>65</v>
      </c>
      <c r="C121" s="30" t="s">
        <v>73</v>
      </c>
      <c r="D121" s="34" t="s">
        <v>56</v>
      </c>
      <c r="E121" s="34" t="s">
        <v>57</v>
      </c>
      <c r="F121" s="128">
        <v>5.0999999999999997E-2</v>
      </c>
      <c r="G121" s="129">
        <v>0.28599999999999998</v>
      </c>
      <c r="H121" s="128">
        <v>3.2361927578130112E-2</v>
      </c>
    </row>
    <row r="122" spans="2:8" x14ac:dyDescent="0.2">
      <c r="B122" s="34" t="s">
        <v>65</v>
      </c>
      <c r="C122" s="30" t="s">
        <v>73</v>
      </c>
      <c r="D122" s="34" t="s">
        <v>56</v>
      </c>
      <c r="E122" s="34" t="s">
        <v>57</v>
      </c>
      <c r="F122" s="128">
        <v>4.2999999999999997E-2</v>
      </c>
      <c r="G122" s="129">
        <v>0.52300000000000002</v>
      </c>
      <c r="H122" s="128">
        <v>2.277383016826813E-2</v>
      </c>
    </row>
    <row r="123" spans="2:8" x14ac:dyDescent="0.2">
      <c r="B123" s="34" t="s">
        <v>65</v>
      </c>
      <c r="C123" s="30" t="s">
        <v>73</v>
      </c>
      <c r="D123" s="34" t="s">
        <v>56</v>
      </c>
      <c r="E123" s="34" t="s">
        <v>57</v>
      </c>
      <c r="F123" s="128">
        <v>0.09</v>
      </c>
      <c r="G123" s="129">
        <v>0.77</v>
      </c>
      <c r="H123" s="128">
        <v>6.3889480261426893E-2</v>
      </c>
    </row>
    <row r="124" spans="2:8" x14ac:dyDescent="0.2">
      <c r="B124" s="34" t="s">
        <v>65</v>
      </c>
      <c r="C124" s="30" t="s">
        <v>73</v>
      </c>
      <c r="D124" s="34" t="s">
        <v>56</v>
      </c>
      <c r="E124" s="34" t="s">
        <v>57</v>
      </c>
      <c r="F124" s="128">
        <v>0.09</v>
      </c>
      <c r="G124" s="129">
        <v>0.59899999999999998</v>
      </c>
      <c r="H124" s="128">
        <v>7.2484573013232842E-2</v>
      </c>
    </row>
    <row r="125" spans="2:8" x14ac:dyDescent="0.2">
      <c r="B125" s="34" t="s">
        <v>65</v>
      </c>
      <c r="C125" s="30" t="s">
        <v>73</v>
      </c>
      <c r="D125" s="34" t="s">
        <v>56</v>
      </c>
      <c r="E125" s="34" t="s">
        <v>57</v>
      </c>
      <c r="F125" s="128">
        <v>8.5999999999999993E-2</v>
      </c>
      <c r="G125" s="129">
        <v>0.53700000000000003</v>
      </c>
      <c r="H125" s="128">
        <v>5.3654285160077315E-2</v>
      </c>
    </row>
    <row r="126" spans="2:8" x14ac:dyDescent="0.2">
      <c r="B126" s="34" t="s">
        <v>65</v>
      </c>
      <c r="C126" s="30" t="s">
        <v>73</v>
      </c>
      <c r="D126" s="34" t="s">
        <v>56</v>
      </c>
      <c r="E126" s="34" t="s">
        <v>57</v>
      </c>
      <c r="F126" s="128">
        <v>5.7000000000000002E-2</v>
      </c>
      <c r="G126" s="129">
        <v>0.34399999999999997</v>
      </c>
      <c r="H126" s="128">
        <v>5.7933277889087621E-2</v>
      </c>
    </row>
    <row r="127" spans="2:8" x14ac:dyDescent="0.2">
      <c r="B127" s="34" t="s">
        <v>67</v>
      </c>
      <c r="C127" s="30" t="s">
        <v>41</v>
      </c>
      <c r="D127" s="34" t="s">
        <v>56</v>
      </c>
      <c r="E127" s="34" t="s">
        <v>57</v>
      </c>
      <c r="F127" s="128">
        <v>3.3000000000000002E-2</v>
      </c>
      <c r="G127" s="128">
        <v>0.32600000000000001</v>
      </c>
      <c r="H127" s="128">
        <v>2.8488179592069948E-2</v>
      </c>
    </row>
    <row r="128" spans="2:8" x14ac:dyDescent="0.2">
      <c r="B128" s="34" t="s">
        <v>67</v>
      </c>
      <c r="C128" s="30" t="s">
        <v>41</v>
      </c>
      <c r="D128" s="34" t="s">
        <v>56</v>
      </c>
      <c r="E128" s="34" t="s">
        <v>57</v>
      </c>
      <c r="F128" s="128">
        <v>2.8000000000000001E-2</v>
      </c>
      <c r="G128" s="128">
        <v>0.28100000000000003</v>
      </c>
      <c r="H128" s="128">
        <v>3.5075881864587072E-2</v>
      </c>
    </row>
    <row r="129" spans="2:10" x14ac:dyDescent="0.2">
      <c r="B129" s="34" t="s">
        <v>67</v>
      </c>
      <c r="C129" s="30" t="s">
        <v>41</v>
      </c>
      <c r="D129" s="34" t="s">
        <v>56</v>
      </c>
      <c r="E129" s="34" t="s">
        <v>57</v>
      </c>
      <c r="F129" s="128">
        <v>0.04</v>
      </c>
      <c r="G129" s="128">
        <v>0.316</v>
      </c>
      <c r="H129" s="128">
        <v>3.2792739404959546E-2</v>
      </c>
    </row>
    <row r="130" spans="2:10" x14ac:dyDescent="0.2">
      <c r="B130" s="34" t="s">
        <v>67</v>
      </c>
      <c r="C130" s="30" t="s">
        <v>41</v>
      </c>
      <c r="D130" s="34" t="s">
        <v>56</v>
      </c>
      <c r="E130" s="34" t="s">
        <v>57</v>
      </c>
      <c r="F130" s="128">
        <v>3.7999999999999999E-2</v>
      </c>
      <c r="G130" s="128">
        <v>0.41899999999999998</v>
      </c>
      <c r="H130" s="128">
        <v>4.6949779854110467E-2</v>
      </c>
    </row>
    <row r="131" spans="2:10" x14ac:dyDescent="0.2">
      <c r="B131" s="34" t="s">
        <v>67</v>
      </c>
      <c r="C131" s="30" t="s">
        <v>41</v>
      </c>
      <c r="D131" s="34" t="s">
        <v>56</v>
      </c>
      <c r="E131" s="34" t="s">
        <v>57</v>
      </c>
      <c r="F131" s="128">
        <v>3.3000000000000002E-2</v>
      </c>
      <c r="G131" s="128">
        <v>0.33100000000000002</v>
      </c>
      <c r="H131" s="128">
        <v>1.9240536053320816E-2</v>
      </c>
    </row>
    <row r="132" spans="2:10" x14ac:dyDescent="0.2">
      <c r="B132" s="34" t="s">
        <v>67</v>
      </c>
      <c r="C132" s="30" t="s">
        <v>41</v>
      </c>
      <c r="D132" s="34" t="s">
        <v>56</v>
      </c>
      <c r="E132" s="34" t="s">
        <v>57</v>
      </c>
      <c r="F132" s="128">
        <v>3.5000000000000003E-2</v>
      </c>
      <c r="G132" s="128">
        <v>0.35799999999999998</v>
      </c>
      <c r="H132" s="128">
        <v>3.8717697657010261E-2</v>
      </c>
    </row>
    <row r="133" spans="2:10" x14ac:dyDescent="0.2">
      <c r="B133" s="34" t="s">
        <v>67</v>
      </c>
      <c r="C133" s="30" t="s">
        <v>41</v>
      </c>
      <c r="D133" s="34" t="s">
        <v>56</v>
      </c>
      <c r="E133" s="34" t="s">
        <v>57</v>
      </c>
      <c r="F133" s="128">
        <v>1.7999999999999999E-2</v>
      </c>
      <c r="G133" s="128">
        <v>0.218</v>
      </c>
      <c r="H133" s="128">
        <v>2.5191632482058305E-2</v>
      </c>
      <c r="J133" s="105"/>
    </row>
    <row r="134" spans="2:10" x14ac:dyDescent="0.2">
      <c r="B134" s="34" t="s">
        <v>67</v>
      </c>
      <c r="C134" s="30" t="s">
        <v>41</v>
      </c>
      <c r="D134" s="34" t="s">
        <v>56</v>
      </c>
      <c r="E134" s="34" t="s">
        <v>57</v>
      </c>
      <c r="F134" s="128">
        <v>2.5000000000000001E-2</v>
      </c>
      <c r="G134" s="128">
        <v>0.255</v>
      </c>
      <c r="H134" s="128">
        <v>1.9841646735641143E-2</v>
      </c>
      <c r="J134" s="105"/>
    </row>
    <row r="135" spans="2:10" x14ac:dyDescent="0.2">
      <c r="B135" s="34" t="s">
        <v>67</v>
      </c>
      <c r="C135" s="30" t="s">
        <v>41</v>
      </c>
      <c r="D135" s="34" t="s">
        <v>56</v>
      </c>
      <c r="E135" s="34" t="s">
        <v>57</v>
      </c>
      <c r="F135" s="128">
        <v>2.8000000000000001E-2</v>
      </c>
      <c r="G135" s="128">
        <v>0.24299999999999999</v>
      </c>
      <c r="H135" s="128">
        <v>3.2632947295546562E-2</v>
      </c>
      <c r="J135" s="105"/>
    </row>
    <row r="136" spans="2:10" x14ac:dyDescent="0.2">
      <c r="B136" s="34" t="s">
        <v>67</v>
      </c>
      <c r="C136" s="30" t="s">
        <v>41</v>
      </c>
      <c r="D136" s="34" t="s">
        <v>56</v>
      </c>
      <c r="E136" s="34" t="s">
        <v>57</v>
      </c>
      <c r="F136" s="128">
        <v>3.7999999999999999E-2</v>
      </c>
      <c r="G136" s="128">
        <v>0.33600000000000002</v>
      </c>
      <c r="H136" s="128">
        <v>5.9469597667024691E-2</v>
      </c>
      <c r="J136" s="105"/>
    </row>
    <row r="137" spans="2:10" x14ac:dyDescent="0.2">
      <c r="B137" s="34" t="s">
        <v>67</v>
      </c>
      <c r="C137" s="30" t="s">
        <v>41</v>
      </c>
      <c r="D137" s="34" t="s">
        <v>56</v>
      </c>
      <c r="E137" s="34" t="s">
        <v>57</v>
      </c>
      <c r="F137" s="128">
        <v>1.9E-2</v>
      </c>
      <c r="G137" s="128">
        <v>0.16600000000000001</v>
      </c>
      <c r="H137" s="128">
        <v>2.0554376028999805E-2</v>
      </c>
      <c r="J137" s="105"/>
    </row>
    <row r="138" spans="2:10" x14ac:dyDescent="0.2">
      <c r="B138" s="34" t="s">
        <v>67</v>
      </c>
      <c r="C138" s="30" t="s">
        <v>41</v>
      </c>
      <c r="D138" s="34" t="s">
        <v>56</v>
      </c>
      <c r="E138" s="34" t="s">
        <v>57</v>
      </c>
      <c r="F138" s="128">
        <v>0.03</v>
      </c>
      <c r="G138" s="128">
        <v>0.24099999999999999</v>
      </c>
      <c r="H138" s="128">
        <v>3.39414138E-2</v>
      </c>
      <c r="J138" s="105"/>
    </row>
    <row r="139" spans="2:10" x14ac:dyDescent="0.2">
      <c r="B139" s="34" t="s">
        <v>67</v>
      </c>
      <c r="C139" s="30" t="s">
        <v>41</v>
      </c>
      <c r="D139" s="34" t="s">
        <v>56</v>
      </c>
      <c r="E139" s="34" t="s">
        <v>57</v>
      </c>
      <c r="F139" s="128">
        <v>2.5999999999999999E-2</v>
      </c>
      <c r="G139" s="128">
        <v>0.22</v>
      </c>
      <c r="H139" s="128">
        <v>1.8243917459999998E-2</v>
      </c>
      <c r="J139" s="105"/>
    </row>
    <row r="140" spans="2:10" x14ac:dyDescent="0.2">
      <c r="B140" s="34" t="s">
        <v>68</v>
      </c>
      <c r="C140" s="30" t="s">
        <v>41</v>
      </c>
      <c r="D140" s="34" t="s">
        <v>56</v>
      </c>
      <c r="E140" s="34" t="s">
        <v>69</v>
      </c>
      <c r="F140" s="128">
        <v>6.2E-2</v>
      </c>
      <c r="G140" s="128">
        <v>0.41799999999999998</v>
      </c>
      <c r="H140" s="128">
        <v>1.34498907596376E-2</v>
      </c>
      <c r="J140" s="105"/>
    </row>
    <row r="141" spans="2:10" x14ac:dyDescent="0.2">
      <c r="B141" s="34" t="s">
        <v>68</v>
      </c>
      <c r="C141" s="30" t="s">
        <v>41</v>
      </c>
      <c r="D141" s="34" t="s">
        <v>56</v>
      </c>
      <c r="E141" s="34" t="s">
        <v>69</v>
      </c>
      <c r="F141" s="128">
        <v>3.7999999999999999E-2</v>
      </c>
      <c r="G141" s="128">
        <v>0.217</v>
      </c>
      <c r="H141" s="128">
        <v>2.5112030549485617E-2</v>
      </c>
      <c r="J141" s="105"/>
    </row>
    <row r="142" spans="2:10" x14ac:dyDescent="0.2">
      <c r="B142" s="34" t="s">
        <v>68</v>
      </c>
      <c r="C142" s="30" t="s">
        <v>41</v>
      </c>
      <c r="D142" s="34" t="s">
        <v>56</v>
      </c>
      <c r="E142" s="34" t="s">
        <v>69</v>
      </c>
      <c r="F142" s="128">
        <v>6.2E-2</v>
      </c>
      <c r="G142" s="128">
        <v>0.41899999999999998</v>
      </c>
      <c r="H142" s="128">
        <v>1.6264293323055751E-2</v>
      </c>
      <c r="J142" s="105"/>
    </row>
    <row r="143" spans="2:10" x14ac:dyDescent="0.2">
      <c r="B143" s="34" t="s">
        <v>68</v>
      </c>
      <c r="C143" s="30" t="s">
        <v>41</v>
      </c>
      <c r="D143" s="34" t="s">
        <v>56</v>
      </c>
      <c r="E143" s="34" t="s">
        <v>69</v>
      </c>
      <c r="F143" s="128">
        <v>4.2000000000000003E-2</v>
      </c>
      <c r="G143" s="128">
        <v>0.28999999999999998</v>
      </c>
      <c r="H143" s="128">
        <v>1.088157602456081E-2</v>
      </c>
      <c r="J143" s="105"/>
    </row>
    <row r="144" spans="2:10" x14ac:dyDescent="0.2">
      <c r="B144" s="34" t="s">
        <v>68</v>
      </c>
      <c r="C144" s="30" t="s">
        <v>41</v>
      </c>
      <c r="D144" s="34" t="s">
        <v>56</v>
      </c>
      <c r="E144" s="34" t="s">
        <v>69</v>
      </c>
      <c r="F144" s="128">
        <v>6.9000000000000006E-2</v>
      </c>
      <c r="G144" s="128">
        <v>0.46700000000000003</v>
      </c>
      <c r="H144" s="128">
        <v>1.9853665803996078E-2</v>
      </c>
      <c r="J144" s="105"/>
    </row>
    <row r="145" spans="2:10" x14ac:dyDescent="0.2">
      <c r="B145" s="34" t="s">
        <v>68</v>
      </c>
      <c r="C145" s="30" t="s">
        <v>41</v>
      </c>
      <c r="D145" s="34" t="s">
        <v>56</v>
      </c>
      <c r="E145" s="34" t="s">
        <v>69</v>
      </c>
      <c r="F145" s="128">
        <v>9.8000000000000004E-2</v>
      </c>
      <c r="G145" s="128">
        <v>0.59799999999999998</v>
      </c>
      <c r="H145" s="128">
        <v>1.7699725951753353E-2</v>
      </c>
      <c r="J145" s="105"/>
    </row>
    <row r="146" spans="2:10" x14ac:dyDescent="0.2">
      <c r="B146" s="34" t="s">
        <v>68</v>
      </c>
      <c r="C146" s="30" t="s">
        <v>41</v>
      </c>
      <c r="D146" s="34" t="s">
        <v>56</v>
      </c>
      <c r="E146" s="34" t="s">
        <v>69</v>
      </c>
      <c r="F146" s="128">
        <v>3.2000000000000001E-2</v>
      </c>
      <c r="G146" s="128">
        <v>0.17599999999999999</v>
      </c>
      <c r="H146" s="128">
        <v>1.4146065211013909E-2</v>
      </c>
      <c r="I146" s="34"/>
    </row>
    <row r="147" spans="2:10" x14ac:dyDescent="0.2">
      <c r="B147" s="34" t="s">
        <v>68</v>
      </c>
      <c r="C147" s="30" t="s">
        <v>41</v>
      </c>
      <c r="D147" s="34" t="s">
        <v>56</v>
      </c>
      <c r="E147" s="34" t="s">
        <v>69</v>
      </c>
      <c r="F147" s="128">
        <v>0.111</v>
      </c>
      <c r="G147" s="128">
        <v>0.93300000000000005</v>
      </c>
      <c r="H147" s="128">
        <v>1.7918162582636107E-2</v>
      </c>
      <c r="J147" s="34"/>
    </row>
    <row r="148" spans="2:10" x14ac:dyDescent="0.2">
      <c r="B148" s="34" t="s">
        <v>68</v>
      </c>
      <c r="C148" s="30" t="s">
        <v>41</v>
      </c>
      <c r="D148" s="34" t="s">
        <v>56</v>
      </c>
      <c r="E148" s="34" t="s">
        <v>69</v>
      </c>
      <c r="F148" s="128">
        <v>6.3E-2</v>
      </c>
      <c r="G148" s="128">
        <v>0.66</v>
      </c>
      <c r="H148" s="128">
        <v>8.5630952449477372E-3</v>
      </c>
      <c r="J148" s="34"/>
    </row>
    <row r="149" spans="2:10" x14ac:dyDescent="0.2">
      <c r="B149" s="34" t="s">
        <v>68</v>
      </c>
      <c r="C149" s="30" t="s">
        <v>41</v>
      </c>
      <c r="D149" s="34" t="s">
        <v>56</v>
      </c>
      <c r="E149" s="34" t="s">
        <v>69</v>
      </c>
      <c r="F149" s="128">
        <v>4.7E-2</v>
      </c>
      <c r="G149" s="128">
        <v>0.31</v>
      </c>
      <c r="H149" s="128">
        <v>5.1692084243179885E-3</v>
      </c>
      <c r="J149" s="34"/>
    </row>
    <row r="150" spans="2:10" x14ac:dyDescent="0.2">
      <c r="B150" s="34" t="s">
        <v>68</v>
      </c>
      <c r="C150" s="30" t="s">
        <v>41</v>
      </c>
      <c r="D150" s="34" t="s">
        <v>56</v>
      </c>
      <c r="E150" s="34" t="s">
        <v>69</v>
      </c>
      <c r="F150" s="128">
        <v>8.4000000000000005E-2</v>
      </c>
      <c r="G150" s="128">
        <v>0.47899999999999998</v>
      </c>
      <c r="H150" s="128">
        <v>2.2954719294583797E-2</v>
      </c>
      <c r="J150" s="34"/>
    </row>
    <row r="151" spans="2:10" x14ac:dyDescent="0.2">
      <c r="B151" s="34" t="s">
        <v>68</v>
      </c>
      <c r="C151" s="30" t="s">
        <v>41</v>
      </c>
      <c r="D151" s="34" t="s">
        <v>56</v>
      </c>
      <c r="E151" s="34" t="s">
        <v>69</v>
      </c>
      <c r="F151" s="128">
        <v>0.14899999999999999</v>
      </c>
      <c r="G151" s="128">
        <v>0.65400000000000003</v>
      </c>
      <c r="H151" s="128">
        <v>2.6358401559633024E-2</v>
      </c>
      <c r="J151" s="34"/>
    </row>
    <row r="152" spans="2:10" x14ac:dyDescent="0.2">
      <c r="B152" s="34" t="s">
        <v>68</v>
      </c>
      <c r="C152" s="30" t="s">
        <v>41</v>
      </c>
      <c r="D152" s="34" t="s">
        <v>56</v>
      </c>
      <c r="E152" s="34" t="s">
        <v>69</v>
      </c>
      <c r="F152" s="128">
        <v>0.13500000000000001</v>
      </c>
      <c r="G152" s="128">
        <v>0.57399999999999995</v>
      </c>
      <c r="H152" s="128">
        <v>0.10588745129406656</v>
      </c>
      <c r="J152" s="34"/>
    </row>
    <row r="153" spans="2:10" x14ac:dyDescent="0.2">
      <c r="B153" s="34" t="s">
        <v>68</v>
      </c>
      <c r="C153" s="30" t="s">
        <v>41</v>
      </c>
      <c r="D153" s="34" t="s">
        <v>56</v>
      </c>
      <c r="E153" s="34" t="s">
        <v>69</v>
      </c>
      <c r="F153" s="128">
        <v>0.157</v>
      </c>
      <c r="G153" s="128">
        <v>0.63100000000000001</v>
      </c>
      <c r="H153" s="128">
        <v>2.032725111224408E-2</v>
      </c>
      <c r="J153" s="34"/>
    </row>
    <row r="154" spans="2:10" x14ac:dyDescent="0.2">
      <c r="B154" s="34" t="s">
        <v>68</v>
      </c>
      <c r="C154" s="30" t="s">
        <v>41</v>
      </c>
      <c r="D154" s="34" t="s">
        <v>56</v>
      </c>
      <c r="E154" s="34" t="s">
        <v>69</v>
      </c>
      <c r="F154" s="128">
        <v>0.114</v>
      </c>
      <c r="G154" s="128">
        <v>0.47399999999999998</v>
      </c>
      <c r="H154" s="128">
        <v>1.1023912048756324E-2</v>
      </c>
      <c r="J154" s="34"/>
    </row>
    <row r="155" spans="2:10" x14ac:dyDescent="0.2">
      <c r="B155" s="34" t="s">
        <v>70</v>
      </c>
      <c r="C155" s="30" t="s">
        <v>41</v>
      </c>
      <c r="D155" s="34" t="s">
        <v>56</v>
      </c>
      <c r="E155" s="34" t="s">
        <v>69</v>
      </c>
      <c r="F155" s="128">
        <v>5.7000000000000002E-2</v>
      </c>
      <c r="G155" s="129">
        <v>0.38100000000000001</v>
      </c>
      <c r="H155" s="128">
        <v>2.5761971132938113E-2</v>
      </c>
    </row>
    <row r="156" spans="2:10" x14ac:dyDescent="0.2">
      <c r="B156" s="34" t="s">
        <v>70</v>
      </c>
      <c r="C156" s="30" t="s">
        <v>41</v>
      </c>
      <c r="D156" s="34" t="s">
        <v>56</v>
      </c>
      <c r="E156" s="34" t="s">
        <v>69</v>
      </c>
      <c r="F156" s="128">
        <v>8.1000000000000003E-2</v>
      </c>
      <c r="G156" s="129">
        <v>0.65600000000000003</v>
      </c>
      <c r="H156" s="128">
        <v>3.4354132081398078E-2</v>
      </c>
    </row>
    <row r="157" spans="2:10" x14ac:dyDescent="0.2">
      <c r="B157" s="34" t="s">
        <v>70</v>
      </c>
      <c r="C157" s="30" t="s">
        <v>41</v>
      </c>
      <c r="D157" s="34" t="s">
        <v>56</v>
      </c>
      <c r="E157" s="34" t="s">
        <v>69</v>
      </c>
      <c r="F157" s="128">
        <v>0.123</v>
      </c>
      <c r="G157" s="129">
        <v>0.96899999999999997</v>
      </c>
      <c r="H157" s="128">
        <v>3.7187013425507155E-2</v>
      </c>
    </row>
    <row r="158" spans="2:10" x14ac:dyDescent="0.2">
      <c r="B158" s="34" t="s">
        <v>70</v>
      </c>
      <c r="C158" s="30" t="s">
        <v>41</v>
      </c>
      <c r="D158" s="34" t="s">
        <v>56</v>
      </c>
      <c r="E158" s="34" t="s">
        <v>69</v>
      </c>
      <c r="F158" s="128">
        <v>0.159</v>
      </c>
      <c r="G158" s="129">
        <v>0.46100000000000002</v>
      </c>
      <c r="H158" s="128">
        <v>1.6698313678075526E-2</v>
      </c>
    </row>
    <row r="159" spans="2:10" x14ac:dyDescent="0.2">
      <c r="B159" s="34" t="s">
        <v>70</v>
      </c>
      <c r="C159" s="30" t="s">
        <v>41</v>
      </c>
      <c r="D159" s="34" t="s">
        <v>56</v>
      </c>
      <c r="E159" s="34" t="s">
        <v>69</v>
      </c>
      <c r="F159" s="129">
        <v>0.23300000000000001</v>
      </c>
      <c r="G159" s="129">
        <v>0.48499999999999999</v>
      </c>
      <c r="H159" s="128">
        <v>1.3768218477343198E-2</v>
      </c>
    </row>
    <row r="160" spans="2:10" x14ac:dyDescent="0.2">
      <c r="B160" s="34" t="s">
        <v>70</v>
      </c>
      <c r="C160" s="30" t="s">
        <v>41</v>
      </c>
      <c r="D160" s="34" t="s">
        <v>56</v>
      </c>
      <c r="E160" s="34" t="s">
        <v>69</v>
      </c>
      <c r="F160" s="129">
        <v>0.17499999999999999</v>
      </c>
      <c r="G160" s="129">
        <v>0.8</v>
      </c>
      <c r="H160" s="128">
        <v>0.17750150906691242</v>
      </c>
    </row>
    <row r="161" spans="2:8" x14ac:dyDescent="0.2">
      <c r="B161" s="34" t="s">
        <v>70</v>
      </c>
      <c r="C161" s="30" t="s">
        <v>41</v>
      </c>
      <c r="D161" s="34" t="s">
        <v>56</v>
      </c>
      <c r="E161" s="34" t="s">
        <v>69</v>
      </c>
      <c r="F161" s="129">
        <v>0.32700000000000001</v>
      </c>
      <c r="G161" s="129">
        <v>1.1599999999999999</v>
      </c>
      <c r="H161" s="128">
        <v>5.6358981342880948E-2</v>
      </c>
    </row>
    <row r="162" spans="2:8" x14ac:dyDescent="0.2">
      <c r="B162" s="34" t="s">
        <v>70</v>
      </c>
      <c r="C162" s="30" t="s">
        <v>41</v>
      </c>
      <c r="D162" s="34" t="s">
        <v>56</v>
      </c>
      <c r="E162" s="34" t="s">
        <v>69</v>
      </c>
      <c r="F162" s="129">
        <v>0.41699999999999998</v>
      </c>
      <c r="G162" s="129">
        <v>1.264</v>
      </c>
      <c r="H162" s="128">
        <v>3.5446414303165724E-2</v>
      </c>
    </row>
    <row r="163" spans="2:8" x14ac:dyDescent="0.2">
      <c r="B163" s="34" t="s">
        <v>70</v>
      </c>
      <c r="C163" s="30" t="s">
        <v>41</v>
      </c>
      <c r="D163" s="34" t="s">
        <v>56</v>
      </c>
      <c r="E163" s="34" t="s">
        <v>69</v>
      </c>
      <c r="F163" s="129">
        <v>0.2</v>
      </c>
      <c r="G163" s="129">
        <v>0.74299999999999999</v>
      </c>
      <c r="H163" s="128">
        <v>4.5391256989309008E-2</v>
      </c>
    </row>
    <row r="164" spans="2:8" x14ac:dyDescent="0.2">
      <c r="B164" s="34" t="s">
        <v>70</v>
      </c>
      <c r="C164" s="30" t="s">
        <v>41</v>
      </c>
      <c r="D164" s="34" t="s">
        <v>56</v>
      </c>
      <c r="E164" s="34" t="s">
        <v>69</v>
      </c>
      <c r="F164" s="129">
        <v>0.153</v>
      </c>
      <c r="G164" s="129">
        <v>0.56599999999999995</v>
      </c>
      <c r="H164" s="128">
        <v>3.3288808612666754E-2</v>
      </c>
    </row>
    <row r="165" spans="2:8" x14ac:dyDescent="0.2">
      <c r="B165" s="34" t="s">
        <v>70</v>
      </c>
      <c r="C165" s="30" t="s">
        <v>41</v>
      </c>
      <c r="D165" s="34" t="s">
        <v>56</v>
      </c>
      <c r="E165" s="34" t="s">
        <v>69</v>
      </c>
      <c r="F165" s="129">
        <v>6.6000000000000003E-2</v>
      </c>
      <c r="G165" s="129">
        <v>0.67400000000000004</v>
      </c>
      <c r="H165" s="128">
        <v>1.2788660621086221E-2</v>
      </c>
    </row>
    <row r="166" spans="2:8" x14ac:dyDescent="0.2">
      <c r="B166" s="34" t="s">
        <v>70</v>
      </c>
      <c r="C166" s="30" t="s">
        <v>41</v>
      </c>
      <c r="D166" s="34" t="s">
        <v>56</v>
      </c>
      <c r="E166" s="34" t="s">
        <v>69</v>
      </c>
      <c r="F166" s="129">
        <v>0.23599999999999999</v>
      </c>
      <c r="G166" s="129">
        <v>0.82</v>
      </c>
      <c r="H166" s="128">
        <v>1.7502475351770162E-2</v>
      </c>
    </row>
    <row r="167" spans="2:8" x14ac:dyDescent="0.2">
      <c r="B167" s="34" t="s">
        <v>70</v>
      </c>
      <c r="C167" s="30" t="s">
        <v>41</v>
      </c>
      <c r="D167" s="34" t="s">
        <v>56</v>
      </c>
      <c r="E167" s="34" t="s">
        <v>69</v>
      </c>
      <c r="F167" s="129">
        <v>8.2000000000000003E-2</v>
      </c>
      <c r="G167" s="129">
        <v>1.08</v>
      </c>
      <c r="H167" s="128">
        <v>3.066117561810874E-2</v>
      </c>
    </row>
    <row r="168" spans="2:8" x14ac:dyDescent="0.2">
      <c r="B168" s="34" t="s">
        <v>71</v>
      </c>
      <c r="C168" s="30" t="s">
        <v>41</v>
      </c>
      <c r="D168" s="34" t="s">
        <v>61</v>
      </c>
      <c r="E168" s="34" t="s">
        <v>69</v>
      </c>
      <c r="F168" s="128">
        <v>0.187</v>
      </c>
      <c r="G168" s="129">
        <v>0.76</v>
      </c>
      <c r="H168" s="128">
        <v>3.4222549506194397E-2</v>
      </c>
    </row>
    <row r="169" spans="2:8" x14ac:dyDescent="0.2">
      <c r="B169" s="34" t="s">
        <v>71</v>
      </c>
      <c r="C169" s="30" t="s">
        <v>41</v>
      </c>
      <c r="D169" s="34" t="s">
        <v>61</v>
      </c>
      <c r="E169" s="34" t="s">
        <v>69</v>
      </c>
      <c r="F169" s="128">
        <v>0.10299999999999999</v>
      </c>
      <c r="G169" s="129">
        <v>0.44700000000000001</v>
      </c>
      <c r="H169" s="128">
        <v>1.7710565898498756E-2</v>
      </c>
    </row>
    <row r="170" spans="2:8" x14ac:dyDescent="0.2">
      <c r="B170" s="34" t="s">
        <v>71</v>
      </c>
      <c r="C170" s="30" t="s">
        <v>41</v>
      </c>
      <c r="D170" s="34" t="s">
        <v>61</v>
      </c>
      <c r="E170" s="34" t="s">
        <v>69</v>
      </c>
      <c r="F170" s="128">
        <v>7.8E-2</v>
      </c>
      <c r="G170" s="129">
        <v>0.34</v>
      </c>
      <c r="H170" s="128">
        <v>1.7161971608599256E-2</v>
      </c>
    </row>
    <row r="171" spans="2:8" x14ac:dyDescent="0.2">
      <c r="B171" s="34" t="s">
        <v>71</v>
      </c>
      <c r="C171" s="30" t="s">
        <v>41</v>
      </c>
      <c r="D171" s="34" t="s">
        <v>61</v>
      </c>
      <c r="E171" s="34" t="s">
        <v>69</v>
      </c>
      <c r="F171" s="128">
        <v>0.159</v>
      </c>
      <c r="G171" s="129">
        <v>0.89200000000000002</v>
      </c>
      <c r="H171" s="128">
        <v>2.3776283948629389E-2</v>
      </c>
    </row>
    <row r="172" spans="2:8" x14ac:dyDescent="0.2">
      <c r="B172" s="34" t="s">
        <v>71</v>
      </c>
      <c r="C172" s="30" t="s">
        <v>41</v>
      </c>
      <c r="D172" s="34" t="s">
        <v>61</v>
      </c>
      <c r="E172" s="34" t="s">
        <v>69</v>
      </c>
      <c r="F172" s="128">
        <v>0.248</v>
      </c>
      <c r="G172" s="129">
        <v>0.71599999999999997</v>
      </c>
      <c r="H172" s="128">
        <v>3.9685243123093718E-2</v>
      </c>
    </row>
    <row r="173" spans="2:8" x14ac:dyDescent="0.2">
      <c r="B173" s="34" t="s">
        <v>71</v>
      </c>
      <c r="C173" s="30" t="s">
        <v>41</v>
      </c>
      <c r="D173" s="34" t="s">
        <v>61</v>
      </c>
      <c r="E173" s="34" t="s">
        <v>69</v>
      </c>
      <c r="F173" s="128">
        <v>0.17699999999999999</v>
      </c>
      <c r="G173" s="129">
        <v>0.51500000000000001</v>
      </c>
      <c r="H173" s="128">
        <v>1.1249338106796116E-2</v>
      </c>
    </row>
    <row r="174" spans="2:8" x14ac:dyDescent="0.2">
      <c r="B174" s="34" t="s">
        <v>71</v>
      </c>
      <c r="C174" s="30" t="s">
        <v>41</v>
      </c>
      <c r="D174" s="34" t="s">
        <v>61</v>
      </c>
      <c r="E174" s="34" t="s">
        <v>69</v>
      </c>
      <c r="F174" s="128">
        <v>0.192</v>
      </c>
      <c r="G174" s="129">
        <v>0.66800000000000004</v>
      </c>
      <c r="H174" s="128">
        <v>3.4329587355747759E-2</v>
      </c>
    </row>
    <row r="175" spans="2:8" x14ac:dyDescent="0.2">
      <c r="B175" s="34" t="s">
        <v>71</v>
      </c>
      <c r="C175" s="30" t="s">
        <v>41</v>
      </c>
      <c r="D175" s="34" t="s">
        <v>61</v>
      </c>
      <c r="E175" s="34" t="s">
        <v>69</v>
      </c>
      <c r="F175" s="128">
        <v>0.09</v>
      </c>
      <c r="G175" s="129">
        <v>1.569</v>
      </c>
      <c r="H175" s="128">
        <v>2.0007627317261242E-2</v>
      </c>
    </row>
    <row r="176" spans="2:8" x14ac:dyDescent="0.2">
      <c r="B176" s="34" t="s">
        <v>71</v>
      </c>
      <c r="C176" s="30" t="s">
        <v>41</v>
      </c>
      <c r="D176" s="34" t="s">
        <v>61</v>
      </c>
      <c r="E176" s="34" t="s">
        <v>69</v>
      </c>
      <c r="F176" s="128">
        <v>0.23400000000000001</v>
      </c>
      <c r="G176" s="129">
        <v>0.65800000000000003</v>
      </c>
      <c r="H176" s="128">
        <v>6.9357644003003954E-2</v>
      </c>
    </row>
    <row r="177" spans="2:11" x14ac:dyDescent="0.2">
      <c r="B177" s="34" t="s">
        <v>71</v>
      </c>
      <c r="C177" s="30" t="s">
        <v>41</v>
      </c>
      <c r="D177" s="34" t="s">
        <v>61</v>
      </c>
      <c r="E177" s="34" t="s">
        <v>69</v>
      </c>
      <c r="F177" s="128">
        <v>0.20799999999999999</v>
      </c>
      <c r="G177" s="129">
        <v>0.61299999999999999</v>
      </c>
      <c r="H177" s="128">
        <v>9.1771293670732293E-2</v>
      </c>
    </row>
    <row r="178" spans="2:11" x14ac:dyDescent="0.2">
      <c r="B178" s="34" t="s">
        <v>71</v>
      </c>
      <c r="C178" s="30" t="s">
        <v>41</v>
      </c>
      <c r="D178" s="34" t="s">
        <v>61</v>
      </c>
      <c r="E178" s="34" t="s">
        <v>69</v>
      </c>
      <c r="F178" s="128">
        <v>0.222</v>
      </c>
      <c r="G178" s="129">
        <v>0.75</v>
      </c>
      <c r="H178" s="128">
        <v>0.11408301782301185</v>
      </c>
    </row>
    <row r="179" spans="2:11" x14ac:dyDescent="0.2">
      <c r="B179" s="34" t="s">
        <v>72</v>
      </c>
      <c r="C179" s="30" t="s">
        <v>41</v>
      </c>
      <c r="D179" s="34" t="s">
        <v>56</v>
      </c>
      <c r="E179" s="34" t="s">
        <v>69</v>
      </c>
      <c r="F179" s="128">
        <v>8.2000000000000003E-2</v>
      </c>
      <c r="G179" s="129">
        <v>1.173</v>
      </c>
      <c r="H179" s="128">
        <v>4.0719345352848366E-2</v>
      </c>
      <c r="K179" s="5"/>
    </row>
    <row r="180" spans="2:11" x14ac:dyDescent="0.2">
      <c r="B180" s="34" t="s">
        <v>72</v>
      </c>
      <c r="C180" s="30" t="s">
        <v>41</v>
      </c>
      <c r="D180" s="34" t="s">
        <v>56</v>
      </c>
      <c r="E180" s="34" t="s">
        <v>69</v>
      </c>
      <c r="F180" s="128">
        <v>8.2000000000000003E-2</v>
      </c>
      <c r="G180" s="129">
        <v>0.72099999999999997</v>
      </c>
      <c r="H180" s="128">
        <v>2.3525302849514582E-2</v>
      </c>
      <c r="K180" s="5"/>
    </row>
    <row r="181" spans="2:11" x14ac:dyDescent="0.2">
      <c r="B181" s="34" t="s">
        <v>72</v>
      </c>
      <c r="C181" s="30" t="s">
        <v>41</v>
      </c>
      <c r="D181" s="34" t="s">
        <v>56</v>
      </c>
      <c r="E181" s="34" t="s">
        <v>69</v>
      </c>
      <c r="F181" s="128">
        <v>0.04</v>
      </c>
      <c r="G181" s="129">
        <v>0.78400000000000003</v>
      </c>
      <c r="H181" s="128">
        <v>2.4626689181518068E-2</v>
      </c>
      <c r="J181" s="34"/>
      <c r="K181" s="5"/>
    </row>
    <row r="182" spans="2:11" x14ac:dyDescent="0.2">
      <c r="B182" s="34" t="s">
        <v>72</v>
      </c>
      <c r="C182" s="30" t="s">
        <v>41</v>
      </c>
      <c r="D182" s="34" t="s">
        <v>56</v>
      </c>
      <c r="E182" s="34" t="s">
        <v>69</v>
      </c>
      <c r="F182" s="128">
        <v>4.9000000000000002E-2</v>
      </c>
      <c r="G182" s="129">
        <v>1.026</v>
      </c>
      <c r="H182" s="128">
        <v>3.111285067652593E-2</v>
      </c>
      <c r="K182" s="5"/>
    </row>
    <row r="183" spans="2:11" x14ac:dyDescent="0.2">
      <c r="B183" s="34" t="s">
        <v>72</v>
      </c>
      <c r="C183" s="30" t="s">
        <v>41</v>
      </c>
      <c r="D183" s="34" t="s">
        <v>56</v>
      </c>
      <c r="E183" s="34" t="s">
        <v>69</v>
      </c>
      <c r="F183" s="128">
        <v>3.3000000000000002E-2</v>
      </c>
      <c r="G183" s="129">
        <v>0.84799999999999998</v>
      </c>
      <c r="H183" s="128">
        <v>2.1814273602691302E-2</v>
      </c>
      <c r="K183" s="5"/>
    </row>
    <row r="184" spans="2:11" x14ac:dyDescent="0.2">
      <c r="B184" s="34" t="s">
        <v>72</v>
      </c>
      <c r="C184" s="30" t="s">
        <v>41</v>
      </c>
      <c r="D184" s="34" t="s">
        <v>56</v>
      </c>
      <c r="E184" s="34" t="s">
        <v>69</v>
      </c>
      <c r="F184" s="128">
        <v>6.6000000000000003E-2</v>
      </c>
      <c r="G184" s="129">
        <v>1.1599999999999999</v>
      </c>
      <c r="H184" s="128">
        <v>5.8317920463493038E-2</v>
      </c>
    </row>
    <row r="185" spans="2:11" x14ac:dyDescent="0.2">
      <c r="B185" s="34" t="s">
        <v>72</v>
      </c>
      <c r="C185" s="30" t="s">
        <v>41</v>
      </c>
      <c r="D185" s="34" t="s">
        <v>56</v>
      </c>
      <c r="E185" s="34" t="s">
        <v>69</v>
      </c>
      <c r="F185" s="128">
        <v>0.14000000000000001</v>
      </c>
      <c r="G185" s="129">
        <v>0.45</v>
      </c>
      <c r="H185" s="128">
        <v>9.5273073452833736E-3</v>
      </c>
    </row>
    <row r="186" spans="2:11" x14ac:dyDescent="0.2">
      <c r="B186" s="34" t="s">
        <v>72</v>
      </c>
      <c r="C186" s="30" t="s">
        <v>41</v>
      </c>
      <c r="D186" s="34" t="s">
        <v>56</v>
      </c>
      <c r="E186" s="34" t="s">
        <v>69</v>
      </c>
      <c r="F186" s="128">
        <v>6.2E-2</v>
      </c>
      <c r="G186" s="129">
        <v>1.1439999999999999</v>
      </c>
      <c r="H186" s="128">
        <v>1.0318334081020864E-2</v>
      </c>
    </row>
    <row r="187" spans="2:11" x14ac:dyDescent="0.2">
      <c r="B187" s="34" t="s">
        <v>72</v>
      </c>
      <c r="C187" s="30" t="s">
        <v>41</v>
      </c>
      <c r="D187" s="34" t="s">
        <v>56</v>
      </c>
      <c r="E187" s="34" t="s">
        <v>69</v>
      </c>
      <c r="F187" s="128">
        <v>9.1999999999999998E-2</v>
      </c>
      <c r="G187" s="129">
        <v>1.6970000000000001</v>
      </c>
      <c r="H187" s="128">
        <v>3.0611197065051391E-2</v>
      </c>
    </row>
    <row r="188" spans="2:11" x14ac:dyDescent="0.2">
      <c r="B188" s="34" t="s">
        <v>72</v>
      </c>
      <c r="C188" s="30" t="s">
        <v>41</v>
      </c>
      <c r="D188" s="34" t="s">
        <v>56</v>
      </c>
      <c r="E188" s="34" t="s">
        <v>69</v>
      </c>
      <c r="F188" s="128">
        <v>5.8999999999999997E-2</v>
      </c>
      <c r="G188" s="129">
        <v>0.82199999999999995</v>
      </c>
      <c r="H188" s="128">
        <v>0.11098328581903488</v>
      </c>
    </row>
    <row r="189" spans="2:11" x14ac:dyDescent="0.2">
      <c r="B189" s="34" t="s">
        <v>72</v>
      </c>
      <c r="C189" s="30" t="s">
        <v>41</v>
      </c>
      <c r="D189" s="34" t="s">
        <v>56</v>
      </c>
      <c r="E189" s="34" t="s">
        <v>69</v>
      </c>
      <c r="F189" s="128">
        <v>0.14099999999999999</v>
      </c>
      <c r="G189" s="129">
        <v>2.0449999999999999</v>
      </c>
      <c r="H189" s="128">
        <v>3.525426754767727E-2</v>
      </c>
    </row>
    <row r="190" spans="2:11" x14ac:dyDescent="0.2">
      <c r="B190" s="34" t="s">
        <v>72</v>
      </c>
      <c r="C190" s="30" t="s">
        <v>41</v>
      </c>
      <c r="D190" s="34" t="s">
        <v>56</v>
      </c>
      <c r="E190" s="34" t="s">
        <v>69</v>
      </c>
      <c r="F190" s="128">
        <v>6.9000000000000006E-2</v>
      </c>
      <c r="G190" s="129">
        <v>1.1719999999999999</v>
      </c>
      <c r="H190" s="128">
        <v>2.3533176962457353E-2</v>
      </c>
    </row>
  </sheetData>
  <sortState ref="B2:G190">
    <sortCondition ref="F155:F166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964"/>
  <sheetViews>
    <sheetView workbookViewId="0">
      <selection activeCell="B2" sqref="B2"/>
    </sheetView>
  </sheetViews>
  <sheetFormatPr baseColWidth="10" defaultRowHeight="16" x14ac:dyDescent="0.2"/>
  <cols>
    <col min="2" max="2" width="13.33203125" bestFit="1" customWidth="1"/>
    <col min="3" max="3" width="10.83203125" style="3"/>
  </cols>
  <sheetData>
    <row r="1" spans="2:13" x14ac:dyDescent="0.2">
      <c r="B1" t="s">
        <v>76</v>
      </c>
      <c r="C1">
        <v>26.36</v>
      </c>
      <c r="D1">
        <v>26.37</v>
      </c>
      <c r="E1">
        <v>11.757999999999999</v>
      </c>
      <c r="F1">
        <v>28.31</v>
      </c>
      <c r="G1">
        <v>11.064</v>
      </c>
      <c r="H1">
        <v>18.082000000000001</v>
      </c>
      <c r="I1" s="31">
        <v>29.7</v>
      </c>
      <c r="J1">
        <v>17.739999999999998</v>
      </c>
      <c r="K1">
        <v>10.786</v>
      </c>
      <c r="L1">
        <v>23.45</v>
      </c>
      <c r="M1">
        <v>23.48</v>
      </c>
    </row>
    <row r="2" spans="2:13" x14ac:dyDescent="0.2">
      <c r="B2" s="51" t="s">
        <v>39</v>
      </c>
      <c r="C2" s="57">
        <v>1.6679999999999999</v>
      </c>
      <c r="D2" s="52">
        <v>1.8520000000000001</v>
      </c>
      <c r="E2" s="52">
        <v>0.74299999999999999</v>
      </c>
      <c r="F2" s="52">
        <v>2.0779999999999998</v>
      </c>
      <c r="G2" s="52">
        <v>0.73599999999999999</v>
      </c>
      <c r="H2" s="52">
        <v>1.34</v>
      </c>
      <c r="I2" s="133">
        <v>2.238</v>
      </c>
      <c r="J2" s="52">
        <v>1.373</v>
      </c>
      <c r="K2" s="52">
        <v>0.83099999999999996</v>
      </c>
      <c r="L2" s="52">
        <v>1.609</v>
      </c>
      <c r="M2" s="53">
        <v>1.754</v>
      </c>
    </row>
    <row r="3" spans="2:13" x14ac:dyDescent="0.2">
      <c r="B3" s="51" t="s">
        <v>48</v>
      </c>
      <c r="C3" s="57">
        <v>1895</v>
      </c>
      <c r="D3" s="52">
        <v>1830</v>
      </c>
      <c r="E3" s="52">
        <v>1920</v>
      </c>
      <c r="F3" s="52">
        <v>1875</v>
      </c>
      <c r="G3" s="52">
        <v>1860</v>
      </c>
      <c r="H3" s="52">
        <v>1830</v>
      </c>
      <c r="I3" s="52">
        <v>1835</v>
      </c>
      <c r="J3" s="52">
        <v>1920</v>
      </c>
      <c r="K3" s="52">
        <v>1875</v>
      </c>
      <c r="L3" s="52">
        <v>1895</v>
      </c>
      <c r="M3" s="53">
        <v>1830</v>
      </c>
    </row>
    <row r="4" spans="2:13" x14ac:dyDescent="0.2">
      <c r="B4" s="51" t="s">
        <v>47</v>
      </c>
      <c r="C4" s="57">
        <v>26</v>
      </c>
      <c r="D4" s="52">
        <v>26</v>
      </c>
      <c r="E4" s="52">
        <v>11</v>
      </c>
      <c r="F4" s="52">
        <v>28</v>
      </c>
      <c r="G4" s="52">
        <v>11</v>
      </c>
      <c r="H4" s="52">
        <v>18</v>
      </c>
      <c r="I4" s="52">
        <v>28</v>
      </c>
      <c r="J4" s="52">
        <v>16</v>
      </c>
      <c r="K4" s="52">
        <v>10</v>
      </c>
      <c r="L4" s="52">
        <v>27</v>
      </c>
      <c r="M4" s="53">
        <v>23</v>
      </c>
    </row>
    <row r="5" spans="2:13" x14ac:dyDescent="0.2">
      <c r="B5" s="51" t="s">
        <v>17</v>
      </c>
      <c r="C5" s="57">
        <v>1.869</v>
      </c>
      <c r="D5" s="52">
        <v>1.804</v>
      </c>
      <c r="E5" s="52">
        <v>1.909</v>
      </c>
      <c r="F5" s="52">
        <v>1.847</v>
      </c>
      <c r="G5" s="52">
        <v>1.849</v>
      </c>
      <c r="H5" s="52">
        <v>1.8120000000000001</v>
      </c>
      <c r="I5" s="52">
        <v>1.8069999999999999</v>
      </c>
      <c r="J5" s="52">
        <v>1.9039999999999999</v>
      </c>
      <c r="K5" s="52">
        <v>1.865</v>
      </c>
      <c r="L5" s="52">
        <v>1.8680000000000001</v>
      </c>
      <c r="M5" s="53">
        <v>1.8069999999999999</v>
      </c>
    </row>
    <row r="6" spans="2:13" x14ac:dyDescent="0.2">
      <c r="B6" s="51" t="s">
        <v>20</v>
      </c>
      <c r="C6" s="57">
        <f t="shared" ref="C6:M6" si="0">SLOPE(C10:C160,$B10:$B160)</f>
        <v>-5.1285922272568856</v>
      </c>
      <c r="D6" s="52">
        <f t="shared" si="0"/>
        <v>-5.7611789822237744</v>
      </c>
      <c r="E6" s="52">
        <f t="shared" si="0"/>
        <v>-3.02311401185082</v>
      </c>
      <c r="F6" s="52">
        <f t="shared" si="0"/>
        <v>-5.6604527012896471</v>
      </c>
      <c r="G6" s="52">
        <f t="shared" si="0"/>
        <v>-3.7394253398396651</v>
      </c>
      <c r="H6" s="52">
        <f t="shared" si="0"/>
        <v>-3.684058243290345</v>
      </c>
      <c r="I6" s="52">
        <f t="shared" si="0"/>
        <v>-6.2847295921924049</v>
      </c>
      <c r="J6" s="52">
        <f t="shared" si="0"/>
        <v>-4.5220250609968655</v>
      </c>
      <c r="K6" s="52">
        <f t="shared" si="0"/>
        <v>-3.2357368421052661</v>
      </c>
      <c r="L6" s="52">
        <f t="shared" si="0"/>
        <v>-5.2889792959219264</v>
      </c>
      <c r="M6" s="53">
        <f t="shared" si="0"/>
        <v>-5.8373854653189294</v>
      </c>
    </row>
    <row r="7" spans="2:13" x14ac:dyDescent="0.2">
      <c r="B7" s="54" t="s">
        <v>46</v>
      </c>
      <c r="C7" s="57">
        <f>(-1*C5*(C6-(-1.65))*5.31)/100</f>
        <v>0.34522905914265961</v>
      </c>
      <c r="D7" s="52">
        <f>(-1*D5*(D6-(-1.65))*5.31)/100</f>
        <v>0.3938197015367727</v>
      </c>
      <c r="E7" s="52">
        <f>(-1*E5*(E6-(-1.913))*5.31)/100</f>
        <v>0.11252992614189272</v>
      </c>
      <c r="F7" s="52">
        <f>(-1*F5*(F6-(-1.9137))*5.31)/100</f>
        <v>0.36746539390587302</v>
      </c>
      <c r="G7" s="52">
        <f>(-1*G5*(G6-(-1.9137))*5.31)/100</f>
        <v>0.17925318274360399</v>
      </c>
      <c r="H7" s="52">
        <f>(-1*H5*(H6-(-1.658))*5.31)/100</f>
        <v>0.19494165120631579</v>
      </c>
      <c r="I7" s="52">
        <f>(-1*I5*(I6-(-1.658))*5.31)/100</f>
        <v>0.44394256981116792</v>
      </c>
      <c r="J7" s="52">
        <f>(-1*J5*(J6-(-1.86))*5.31)/100</f>
        <v>0.26913712252692945</v>
      </c>
      <c r="K7" s="52">
        <f>(-1*K5*(K6-(-1.86))*5.31)/100</f>
        <v>0.13624128307894764</v>
      </c>
      <c r="L7" s="52">
        <f>(-1*L5*(L6-(-1.7869))*5.31)/100</f>
        <v>0.34737404702593261</v>
      </c>
      <c r="M7" s="53">
        <f>(-1*M5*(M6-(-1.7869))*5.31)/100</f>
        <v>0.38865096622264228</v>
      </c>
    </row>
    <row r="8" spans="2:13" x14ac:dyDescent="0.2">
      <c r="B8" s="54"/>
      <c r="C8" s="57"/>
      <c r="D8" s="52"/>
      <c r="E8" s="52"/>
      <c r="F8" s="52"/>
      <c r="G8" s="52"/>
      <c r="H8" s="52"/>
      <c r="I8" s="52"/>
      <c r="J8" s="52"/>
      <c r="K8" s="52"/>
      <c r="L8" s="52"/>
      <c r="M8" s="53"/>
    </row>
    <row r="9" spans="2:13" x14ac:dyDescent="0.2">
      <c r="B9" s="55" t="s">
        <v>38</v>
      </c>
      <c r="C9" s="58" t="s">
        <v>6</v>
      </c>
      <c r="D9" s="56" t="s">
        <v>7</v>
      </c>
      <c r="E9" s="56" t="s">
        <v>8</v>
      </c>
      <c r="F9" s="56" t="s">
        <v>9</v>
      </c>
      <c r="G9" s="56" t="s">
        <v>10</v>
      </c>
      <c r="H9" s="56" t="s">
        <v>11</v>
      </c>
      <c r="I9" s="56" t="s">
        <v>12</v>
      </c>
      <c r="J9" s="56" t="s">
        <v>13</v>
      </c>
      <c r="K9" s="56" t="s">
        <v>14</v>
      </c>
      <c r="L9" s="56" t="s">
        <v>15</v>
      </c>
      <c r="M9" s="59" t="s">
        <v>16</v>
      </c>
    </row>
    <row r="10" spans="2:13" x14ac:dyDescent="0.2">
      <c r="B10" s="6">
        <v>5</v>
      </c>
      <c r="C10" s="3">
        <v>73.834999999999994</v>
      </c>
      <c r="D10" s="3">
        <v>70.765000000000001</v>
      </c>
      <c r="E10">
        <v>83.278999999999996</v>
      </c>
      <c r="F10">
        <v>72.846000000000004</v>
      </c>
      <c r="G10">
        <v>81.64</v>
      </c>
      <c r="H10" s="3">
        <v>77.561999999999998</v>
      </c>
      <c r="I10" s="3">
        <v>66.37</v>
      </c>
      <c r="J10">
        <v>75.367999999999995</v>
      </c>
      <c r="K10">
        <v>81.775000000000006</v>
      </c>
      <c r="L10" s="3">
        <v>79.524000000000001</v>
      </c>
      <c r="M10" s="3">
        <v>86.281999999999996</v>
      </c>
    </row>
    <row r="11" spans="2:13" x14ac:dyDescent="0.2">
      <c r="B11" s="6">
        <v>5.0333333333333332</v>
      </c>
      <c r="C11" s="3">
        <v>73.680000000000007</v>
      </c>
      <c r="D11" s="3">
        <v>70.63</v>
      </c>
      <c r="E11">
        <v>83.100999999999999</v>
      </c>
      <c r="F11">
        <v>72.754999999999995</v>
      </c>
      <c r="G11">
        <v>81.596000000000004</v>
      </c>
      <c r="H11" s="3">
        <v>77.682000000000002</v>
      </c>
      <c r="I11" s="3">
        <v>66.17</v>
      </c>
      <c r="J11">
        <v>75.192999999999998</v>
      </c>
      <c r="K11">
        <v>81.540000000000006</v>
      </c>
      <c r="L11" s="3">
        <v>79.356999999999999</v>
      </c>
      <c r="M11" s="3">
        <v>85.968999999999994</v>
      </c>
    </row>
    <row r="12" spans="2:13" x14ac:dyDescent="0.2">
      <c r="B12" s="6">
        <v>5.0666666666666664</v>
      </c>
      <c r="C12" s="3">
        <v>73.52</v>
      </c>
      <c r="D12" s="3">
        <v>70.484999999999999</v>
      </c>
      <c r="E12">
        <v>82.91</v>
      </c>
      <c r="F12">
        <v>72.628</v>
      </c>
      <c r="G12">
        <v>81.391999999999996</v>
      </c>
      <c r="H12" s="3">
        <v>77.460999999999999</v>
      </c>
      <c r="I12" s="3">
        <v>65.962000000000003</v>
      </c>
      <c r="J12">
        <v>74.986000000000004</v>
      </c>
      <c r="K12">
        <v>81.400000000000006</v>
      </c>
      <c r="L12" s="3">
        <v>79.206999999999994</v>
      </c>
      <c r="M12" s="3">
        <v>85.768000000000001</v>
      </c>
    </row>
    <row r="13" spans="2:13" x14ac:dyDescent="0.2">
      <c r="B13" s="6">
        <v>5.0999999999999996</v>
      </c>
      <c r="C13" s="3">
        <v>73.430999999999997</v>
      </c>
      <c r="D13" s="3">
        <v>70.421999999999997</v>
      </c>
      <c r="E13">
        <v>82.849000000000004</v>
      </c>
      <c r="F13">
        <v>72.58</v>
      </c>
      <c r="G13">
        <v>81.328000000000003</v>
      </c>
      <c r="H13" s="3">
        <v>77.426000000000002</v>
      </c>
      <c r="I13" s="3">
        <v>65.802999999999997</v>
      </c>
      <c r="J13">
        <v>74.498000000000005</v>
      </c>
      <c r="K13">
        <v>81.283000000000001</v>
      </c>
      <c r="L13" s="3">
        <v>79.072000000000003</v>
      </c>
      <c r="M13" s="3">
        <v>85.43</v>
      </c>
    </row>
    <row r="14" spans="2:13" x14ac:dyDescent="0.2">
      <c r="B14" s="6">
        <v>5.1333333333333337</v>
      </c>
      <c r="C14" s="3">
        <v>73.162000000000006</v>
      </c>
      <c r="D14" s="3">
        <v>70.212999999999994</v>
      </c>
      <c r="E14">
        <v>82.849000000000004</v>
      </c>
      <c r="F14">
        <v>72.435000000000002</v>
      </c>
      <c r="G14">
        <v>81.203999999999994</v>
      </c>
      <c r="H14" s="3">
        <v>77.325000000000003</v>
      </c>
      <c r="I14" s="3">
        <v>65.662999999999997</v>
      </c>
      <c r="J14">
        <v>74.588999999999999</v>
      </c>
      <c r="K14">
        <v>81.188000000000002</v>
      </c>
      <c r="L14" s="3">
        <v>78.819000000000003</v>
      </c>
      <c r="M14" s="3">
        <v>85.131</v>
      </c>
    </row>
    <row r="15" spans="2:13" x14ac:dyDescent="0.2">
      <c r="B15" s="6">
        <v>5.166666666666667</v>
      </c>
      <c r="C15" s="3">
        <v>73.075999999999993</v>
      </c>
      <c r="D15" s="3">
        <v>70.2</v>
      </c>
      <c r="E15">
        <v>82.710999999999999</v>
      </c>
      <c r="F15">
        <v>72.113</v>
      </c>
      <c r="G15">
        <v>81.063000000000002</v>
      </c>
      <c r="H15" s="3">
        <v>77.213999999999999</v>
      </c>
      <c r="I15" s="3">
        <v>65.616</v>
      </c>
      <c r="J15">
        <v>73.95</v>
      </c>
      <c r="K15">
        <v>81.003</v>
      </c>
      <c r="L15" s="3">
        <v>78.665999999999997</v>
      </c>
      <c r="M15" s="3">
        <v>85.150999999999996</v>
      </c>
    </row>
    <row r="16" spans="2:13" x14ac:dyDescent="0.2">
      <c r="B16" s="6">
        <v>5.2</v>
      </c>
      <c r="C16" s="3">
        <v>72.878</v>
      </c>
      <c r="D16" s="3">
        <v>70.064999999999998</v>
      </c>
      <c r="E16">
        <v>82.591999999999999</v>
      </c>
      <c r="F16">
        <v>72.072000000000003</v>
      </c>
      <c r="G16">
        <v>80.781000000000006</v>
      </c>
      <c r="H16" s="3">
        <v>77.087999999999994</v>
      </c>
      <c r="I16" s="3">
        <v>65.364000000000004</v>
      </c>
      <c r="J16">
        <v>73.034000000000006</v>
      </c>
      <c r="K16">
        <v>80.781999999999996</v>
      </c>
      <c r="L16" s="3">
        <v>78.507000000000005</v>
      </c>
      <c r="M16" s="3">
        <v>84.831999999999994</v>
      </c>
    </row>
    <row r="17" spans="2:13" x14ac:dyDescent="0.2">
      <c r="B17" s="6">
        <v>5.2333333333333334</v>
      </c>
      <c r="C17" s="3">
        <v>72.703000000000003</v>
      </c>
      <c r="D17" s="3">
        <v>69.847999999999999</v>
      </c>
      <c r="E17">
        <v>82.403999999999996</v>
      </c>
      <c r="F17">
        <v>71.900999999999996</v>
      </c>
      <c r="G17">
        <v>80.725999999999999</v>
      </c>
      <c r="H17" s="3">
        <v>76.91</v>
      </c>
      <c r="I17" s="3">
        <v>65.113</v>
      </c>
      <c r="J17">
        <v>73.983999999999995</v>
      </c>
      <c r="K17">
        <v>80.777000000000001</v>
      </c>
      <c r="L17" s="3">
        <v>78.316000000000003</v>
      </c>
      <c r="M17" s="3">
        <v>84.947999999999993</v>
      </c>
    </row>
    <row r="18" spans="2:13" x14ac:dyDescent="0.2">
      <c r="B18" s="6">
        <v>5.2666666666666666</v>
      </c>
      <c r="C18" s="3">
        <v>72.518000000000001</v>
      </c>
      <c r="D18" s="3">
        <v>69.725999999999999</v>
      </c>
      <c r="E18">
        <v>82.453000000000003</v>
      </c>
      <c r="F18">
        <v>71.534999999999997</v>
      </c>
      <c r="G18">
        <v>80.525000000000006</v>
      </c>
      <c r="H18" s="3">
        <v>76.998000000000005</v>
      </c>
      <c r="I18" s="3">
        <v>64.989999999999995</v>
      </c>
      <c r="J18">
        <v>73.52</v>
      </c>
      <c r="K18">
        <v>80.67</v>
      </c>
      <c r="L18" s="3">
        <v>78.188999999999993</v>
      </c>
      <c r="M18" s="3">
        <v>84.448999999999998</v>
      </c>
    </row>
    <row r="19" spans="2:13" x14ac:dyDescent="0.2">
      <c r="B19" s="6">
        <v>5.3</v>
      </c>
      <c r="C19" s="3">
        <v>72.412000000000006</v>
      </c>
      <c r="D19" s="3">
        <v>69.466999999999999</v>
      </c>
      <c r="E19">
        <v>82.308999999999997</v>
      </c>
      <c r="F19">
        <v>71.518000000000001</v>
      </c>
      <c r="G19">
        <v>80.480999999999995</v>
      </c>
      <c r="H19" s="3">
        <v>76.772000000000006</v>
      </c>
      <c r="I19" s="3">
        <v>64.709999999999994</v>
      </c>
      <c r="J19">
        <v>73.793000000000006</v>
      </c>
      <c r="K19">
        <v>80.450999999999993</v>
      </c>
      <c r="L19" s="3">
        <v>77.978999999999999</v>
      </c>
      <c r="M19" s="3">
        <v>84.311000000000007</v>
      </c>
    </row>
    <row r="20" spans="2:13" x14ac:dyDescent="0.2">
      <c r="B20" s="6">
        <v>5.333333333333333</v>
      </c>
      <c r="C20" s="3">
        <v>72.203000000000003</v>
      </c>
      <c r="D20" s="3">
        <v>69.039000000000001</v>
      </c>
      <c r="E20">
        <v>82.25</v>
      </c>
      <c r="F20">
        <v>71.218999999999994</v>
      </c>
      <c r="G20">
        <v>80.251000000000005</v>
      </c>
      <c r="H20" s="3">
        <v>76.566000000000003</v>
      </c>
      <c r="I20" s="3">
        <v>64.415000000000006</v>
      </c>
      <c r="J20">
        <v>73.784000000000006</v>
      </c>
      <c r="K20">
        <v>80.42</v>
      </c>
      <c r="L20" s="3">
        <v>77.703999999999994</v>
      </c>
      <c r="M20" s="3">
        <v>84.33</v>
      </c>
    </row>
    <row r="21" spans="2:13" x14ac:dyDescent="0.2">
      <c r="B21" s="6">
        <v>5.3666666666666663</v>
      </c>
      <c r="C21" s="3">
        <v>72.180999999999997</v>
      </c>
      <c r="D21" s="3">
        <v>68.790999999999997</v>
      </c>
      <c r="E21">
        <v>82.004999999999995</v>
      </c>
      <c r="F21">
        <v>71.066000000000003</v>
      </c>
      <c r="G21">
        <v>80.161000000000001</v>
      </c>
      <c r="H21" s="3">
        <v>76.585999999999999</v>
      </c>
      <c r="I21" s="3">
        <v>63.853999999999999</v>
      </c>
      <c r="J21">
        <v>73.617999999999995</v>
      </c>
      <c r="K21">
        <v>80.290000000000006</v>
      </c>
      <c r="L21" s="3">
        <v>77.626000000000005</v>
      </c>
      <c r="M21" s="3">
        <v>83.811000000000007</v>
      </c>
    </row>
    <row r="22" spans="2:13" x14ac:dyDescent="0.2">
      <c r="B22" s="6">
        <v>5.4</v>
      </c>
      <c r="C22" s="3">
        <v>72.033000000000001</v>
      </c>
      <c r="D22" s="3">
        <v>68.558000000000007</v>
      </c>
      <c r="E22">
        <v>82.070999999999998</v>
      </c>
      <c r="F22">
        <v>70.983999999999995</v>
      </c>
      <c r="G22">
        <v>80.016000000000005</v>
      </c>
      <c r="H22" s="3">
        <v>76.394000000000005</v>
      </c>
      <c r="I22" s="3">
        <v>64.055999999999997</v>
      </c>
      <c r="J22">
        <v>73.554000000000002</v>
      </c>
      <c r="K22">
        <v>80.128</v>
      </c>
      <c r="L22" s="3">
        <v>77.340999999999994</v>
      </c>
      <c r="M22" s="3">
        <v>83.75</v>
      </c>
    </row>
    <row r="23" spans="2:13" x14ac:dyDescent="0.2">
      <c r="B23" s="6">
        <v>5.4333333333333336</v>
      </c>
      <c r="C23" s="3">
        <v>71.885999999999996</v>
      </c>
      <c r="D23" s="3">
        <v>68.207999999999998</v>
      </c>
      <c r="E23">
        <v>81.816000000000003</v>
      </c>
      <c r="F23">
        <v>70.796000000000006</v>
      </c>
      <c r="G23">
        <v>79.921000000000006</v>
      </c>
      <c r="H23" s="3">
        <v>76.361000000000004</v>
      </c>
      <c r="I23" s="3">
        <v>63.930999999999997</v>
      </c>
      <c r="J23">
        <v>73.283000000000001</v>
      </c>
      <c r="K23">
        <v>80.045000000000002</v>
      </c>
      <c r="L23" s="3">
        <v>77.201999999999998</v>
      </c>
      <c r="M23" s="3">
        <v>83.379000000000005</v>
      </c>
    </row>
    <row r="24" spans="2:13" x14ac:dyDescent="0.2">
      <c r="B24" s="6">
        <v>5.4666666666666668</v>
      </c>
      <c r="C24" s="3">
        <v>71.724000000000004</v>
      </c>
      <c r="D24" s="3">
        <v>68.164000000000001</v>
      </c>
      <c r="E24">
        <v>81.786000000000001</v>
      </c>
      <c r="F24">
        <v>70.409000000000006</v>
      </c>
      <c r="G24">
        <v>79.822999999999993</v>
      </c>
      <c r="H24" s="3">
        <v>76.126999999999995</v>
      </c>
      <c r="I24" s="3">
        <v>63.773000000000003</v>
      </c>
      <c r="J24">
        <v>73.198999999999998</v>
      </c>
      <c r="K24">
        <v>79.972999999999999</v>
      </c>
      <c r="L24" s="3">
        <v>77.021000000000001</v>
      </c>
      <c r="M24" s="3">
        <v>83.177999999999997</v>
      </c>
    </row>
    <row r="25" spans="2:13" x14ac:dyDescent="0.2">
      <c r="B25" s="6">
        <v>5.5</v>
      </c>
      <c r="C25" s="3">
        <v>71.600999999999999</v>
      </c>
      <c r="D25" s="3">
        <v>67.686999999999998</v>
      </c>
      <c r="E25">
        <v>81.751000000000005</v>
      </c>
      <c r="F25">
        <v>70.302000000000007</v>
      </c>
      <c r="G25">
        <v>79.611000000000004</v>
      </c>
      <c r="H25" s="3">
        <v>75.992999999999995</v>
      </c>
      <c r="I25" s="3">
        <v>63.454999999999998</v>
      </c>
      <c r="J25">
        <v>73.149000000000001</v>
      </c>
      <c r="K25">
        <v>79.92</v>
      </c>
      <c r="L25" s="3">
        <v>76.86</v>
      </c>
      <c r="M25" s="3">
        <v>82.989000000000004</v>
      </c>
    </row>
    <row r="26" spans="2:13" x14ac:dyDescent="0.2">
      <c r="B26" s="6">
        <v>5.5333333333333332</v>
      </c>
      <c r="C26" s="3">
        <v>71.456000000000003</v>
      </c>
      <c r="D26" s="3">
        <v>67.432000000000002</v>
      </c>
      <c r="E26">
        <v>81.619</v>
      </c>
      <c r="F26">
        <v>69.844999999999999</v>
      </c>
      <c r="G26">
        <v>79.59</v>
      </c>
      <c r="H26" s="3">
        <v>75.900999999999996</v>
      </c>
      <c r="I26" s="3">
        <v>63.085999999999999</v>
      </c>
      <c r="J26">
        <v>72.986999999999995</v>
      </c>
      <c r="K26">
        <v>79.757999999999996</v>
      </c>
      <c r="L26" s="3">
        <v>76.646000000000001</v>
      </c>
      <c r="M26" s="3">
        <v>82.882000000000005</v>
      </c>
    </row>
    <row r="27" spans="2:13" x14ac:dyDescent="0.2">
      <c r="B27" s="6">
        <v>5.5666666666666664</v>
      </c>
      <c r="C27" s="3">
        <v>71.248999999999995</v>
      </c>
      <c r="D27" s="3">
        <v>67.393000000000001</v>
      </c>
      <c r="E27">
        <v>81.448999999999998</v>
      </c>
      <c r="F27">
        <v>69.751000000000005</v>
      </c>
      <c r="G27">
        <v>79.340999999999994</v>
      </c>
      <c r="H27" s="3">
        <v>75.63</v>
      </c>
      <c r="I27" s="3">
        <v>62.844999999999999</v>
      </c>
      <c r="J27">
        <v>72.975999999999999</v>
      </c>
      <c r="K27">
        <v>79.709000000000003</v>
      </c>
      <c r="L27" s="3">
        <v>76.453000000000003</v>
      </c>
      <c r="M27" s="3">
        <v>82.540999999999997</v>
      </c>
    </row>
    <row r="28" spans="2:13" x14ac:dyDescent="0.2">
      <c r="B28" s="6">
        <v>5.6</v>
      </c>
      <c r="C28" s="3">
        <v>71.09</v>
      </c>
      <c r="D28" s="3">
        <v>66.933000000000007</v>
      </c>
      <c r="E28">
        <v>81.346000000000004</v>
      </c>
      <c r="F28">
        <v>69.619</v>
      </c>
      <c r="G28">
        <v>79.231999999999999</v>
      </c>
      <c r="H28" s="3">
        <v>75.694999999999993</v>
      </c>
      <c r="I28" s="3">
        <v>62.639000000000003</v>
      </c>
      <c r="J28">
        <v>72.739000000000004</v>
      </c>
      <c r="K28">
        <v>79.539000000000001</v>
      </c>
      <c r="L28" s="3">
        <v>76.293999999999997</v>
      </c>
      <c r="M28" s="3">
        <v>82.228999999999999</v>
      </c>
    </row>
    <row r="29" spans="2:13" x14ac:dyDescent="0.2">
      <c r="B29" s="6">
        <v>5.6333333333333337</v>
      </c>
      <c r="C29" s="3">
        <v>70.977999999999994</v>
      </c>
      <c r="D29" s="3">
        <v>66.777000000000001</v>
      </c>
      <c r="E29">
        <v>81.352000000000004</v>
      </c>
      <c r="F29">
        <v>69.524000000000001</v>
      </c>
      <c r="G29">
        <v>79.266000000000005</v>
      </c>
      <c r="H29" s="3">
        <v>75.44</v>
      </c>
      <c r="I29" s="3">
        <v>62.393000000000001</v>
      </c>
      <c r="J29">
        <v>72.617999999999995</v>
      </c>
      <c r="K29">
        <v>79.462000000000003</v>
      </c>
      <c r="L29" s="3">
        <v>76.165000000000006</v>
      </c>
      <c r="M29" s="3">
        <v>82.231999999999999</v>
      </c>
    </row>
    <row r="30" spans="2:13" x14ac:dyDescent="0.2">
      <c r="B30" s="6">
        <v>5.666666666666667</v>
      </c>
      <c r="C30" s="3">
        <v>70.87</v>
      </c>
      <c r="D30" s="3">
        <v>66.578999999999994</v>
      </c>
      <c r="E30">
        <v>81.218999999999994</v>
      </c>
      <c r="F30">
        <v>69.484999999999999</v>
      </c>
      <c r="G30">
        <v>79.14</v>
      </c>
      <c r="H30" s="3">
        <v>75.382999999999996</v>
      </c>
      <c r="I30" s="3">
        <v>62.042000000000002</v>
      </c>
      <c r="J30">
        <v>72.474999999999994</v>
      </c>
      <c r="K30">
        <v>79.346000000000004</v>
      </c>
      <c r="L30" s="3">
        <v>75.963999999999999</v>
      </c>
      <c r="M30" s="3">
        <v>81.850999999999999</v>
      </c>
    </row>
    <row r="31" spans="2:13" x14ac:dyDescent="0.2">
      <c r="B31" s="6">
        <v>5.7</v>
      </c>
      <c r="C31" s="3">
        <v>70.805999999999997</v>
      </c>
      <c r="D31" s="3">
        <v>66.542000000000002</v>
      </c>
      <c r="E31">
        <v>81.188000000000002</v>
      </c>
      <c r="F31">
        <v>69.358999999999995</v>
      </c>
      <c r="G31">
        <v>79.096000000000004</v>
      </c>
      <c r="H31" s="3">
        <v>75.304000000000002</v>
      </c>
      <c r="I31" s="3">
        <v>62.021999999999998</v>
      </c>
      <c r="J31">
        <v>72.41</v>
      </c>
      <c r="K31">
        <v>79.176000000000002</v>
      </c>
      <c r="L31" s="3">
        <v>75.843000000000004</v>
      </c>
      <c r="M31" s="3">
        <v>82.025999999999996</v>
      </c>
    </row>
    <row r="32" spans="2:13" x14ac:dyDescent="0.2">
      <c r="B32" s="6">
        <v>5.7333333333333334</v>
      </c>
      <c r="C32" s="3">
        <v>70.566999999999993</v>
      </c>
      <c r="D32" s="3">
        <v>66.058999999999997</v>
      </c>
      <c r="E32">
        <v>81.015000000000001</v>
      </c>
      <c r="F32">
        <v>69.254000000000005</v>
      </c>
      <c r="G32">
        <v>79.055999999999997</v>
      </c>
      <c r="H32" s="3">
        <v>75.105000000000004</v>
      </c>
      <c r="I32" s="3">
        <v>61.732999999999997</v>
      </c>
      <c r="J32">
        <v>72.192999999999998</v>
      </c>
      <c r="K32">
        <v>79.138999999999996</v>
      </c>
      <c r="L32" s="3">
        <v>75.617000000000004</v>
      </c>
      <c r="M32" s="3">
        <v>81.697999999999993</v>
      </c>
    </row>
    <row r="33" spans="2:13" x14ac:dyDescent="0.2">
      <c r="B33" s="6">
        <v>5.7666666666666666</v>
      </c>
      <c r="C33" s="3">
        <v>70.481999999999999</v>
      </c>
      <c r="D33" s="3">
        <v>65.722999999999999</v>
      </c>
      <c r="E33">
        <v>80.983000000000004</v>
      </c>
      <c r="F33">
        <v>68.945999999999998</v>
      </c>
      <c r="G33">
        <v>78.984999999999999</v>
      </c>
      <c r="H33" s="3">
        <v>74.998999999999995</v>
      </c>
      <c r="I33" s="3">
        <v>61.585000000000001</v>
      </c>
      <c r="J33">
        <v>72.167000000000002</v>
      </c>
      <c r="K33">
        <v>79.058000000000007</v>
      </c>
      <c r="L33" s="3">
        <v>75.45</v>
      </c>
      <c r="M33" s="3">
        <v>81.394999999999996</v>
      </c>
    </row>
    <row r="34" spans="2:13" x14ac:dyDescent="0.2">
      <c r="B34" s="6">
        <v>5.8</v>
      </c>
      <c r="C34" s="3">
        <v>70.277000000000001</v>
      </c>
      <c r="D34" s="3">
        <v>65.700999999999993</v>
      </c>
      <c r="E34">
        <v>80.846000000000004</v>
      </c>
      <c r="F34">
        <v>68.784000000000006</v>
      </c>
      <c r="G34">
        <v>78.924999999999997</v>
      </c>
      <c r="H34" s="3">
        <v>74.843999999999994</v>
      </c>
      <c r="I34" s="3">
        <v>61.37</v>
      </c>
      <c r="J34">
        <v>72.02</v>
      </c>
      <c r="K34">
        <v>78.840999999999994</v>
      </c>
      <c r="L34" s="3">
        <v>75.25</v>
      </c>
      <c r="M34" s="3">
        <v>81.370999999999995</v>
      </c>
    </row>
    <row r="35" spans="2:13" x14ac:dyDescent="0.2">
      <c r="B35" s="6">
        <v>5.833333333333333</v>
      </c>
      <c r="C35" s="3">
        <v>70.192999999999998</v>
      </c>
      <c r="D35" s="3">
        <v>65.569000000000003</v>
      </c>
      <c r="E35">
        <v>80.674000000000007</v>
      </c>
      <c r="F35">
        <v>68.521000000000001</v>
      </c>
      <c r="G35">
        <v>78.766000000000005</v>
      </c>
      <c r="H35" s="3">
        <v>74.731999999999999</v>
      </c>
      <c r="I35" s="3">
        <v>61.12</v>
      </c>
      <c r="J35">
        <v>71.813000000000002</v>
      </c>
      <c r="K35">
        <v>78.816999999999993</v>
      </c>
      <c r="L35" s="3">
        <v>75.094999999999999</v>
      </c>
      <c r="M35" s="3">
        <v>80.941000000000003</v>
      </c>
    </row>
    <row r="36" spans="2:13" x14ac:dyDescent="0.2">
      <c r="B36" s="6">
        <v>5.8666666666666663</v>
      </c>
      <c r="C36" s="3">
        <v>69.930000000000007</v>
      </c>
      <c r="D36" s="3">
        <v>65.397999999999996</v>
      </c>
      <c r="E36">
        <v>80.597999999999999</v>
      </c>
      <c r="F36">
        <v>68.150999999999996</v>
      </c>
      <c r="G36">
        <v>78.646000000000001</v>
      </c>
      <c r="H36" s="3">
        <v>74.748000000000005</v>
      </c>
      <c r="I36" s="3">
        <v>60.536000000000001</v>
      </c>
      <c r="J36">
        <v>71.519000000000005</v>
      </c>
      <c r="K36">
        <v>78.697000000000003</v>
      </c>
      <c r="L36" s="3">
        <v>74.956000000000003</v>
      </c>
      <c r="M36" s="3">
        <v>80.730999999999995</v>
      </c>
    </row>
    <row r="37" spans="2:13" x14ac:dyDescent="0.2">
      <c r="B37" s="6">
        <v>5.9</v>
      </c>
      <c r="C37" s="3">
        <v>69.733999999999995</v>
      </c>
      <c r="D37" s="3">
        <v>65.222999999999999</v>
      </c>
      <c r="E37">
        <v>80.436999999999998</v>
      </c>
      <c r="F37">
        <v>68.216999999999999</v>
      </c>
      <c r="G37">
        <v>78.536000000000001</v>
      </c>
      <c r="H37" s="3">
        <v>74.564999999999998</v>
      </c>
      <c r="I37" s="3">
        <v>60.682000000000002</v>
      </c>
      <c r="J37">
        <v>71.549000000000007</v>
      </c>
      <c r="K37">
        <v>78.552999999999997</v>
      </c>
      <c r="L37" s="3">
        <v>74.748999999999995</v>
      </c>
      <c r="M37" s="3">
        <v>80.53</v>
      </c>
    </row>
    <row r="38" spans="2:13" x14ac:dyDescent="0.2">
      <c r="B38" s="6">
        <v>5.9333333333333336</v>
      </c>
      <c r="C38" s="3">
        <v>69.611999999999995</v>
      </c>
      <c r="D38" s="3">
        <v>65.11</v>
      </c>
      <c r="E38">
        <v>80.28</v>
      </c>
      <c r="F38">
        <v>67.864000000000004</v>
      </c>
      <c r="G38">
        <v>78.384</v>
      </c>
      <c r="H38" s="3">
        <v>74.528999999999996</v>
      </c>
      <c r="I38" s="3">
        <v>60.48</v>
      </c>
      <c r="J38">
        <v>71.394999999999996</v>
      </c>
      <c r="K38">
        <v>78.414000000000001</v>
      </c>
      <c r="L38" s="3">
        <v>74.558000000000007</v>
      </c>
      <c r="M38" s="3">
        <v>80.503</v>
      </c>
    </row>
    <row r="39" spans="2:13" x14ac:dyDescent="0.2">
      <c r="B39" s="6">
        <v>5.9666666666666668</v>
      </c>
      <c r="C39" s="3">
        <v>69.44</v>
      </c>
      <c r="D39" s="3">
        <v>65.073999999999998</v>
      </c>
      <c r="E39">
        <v>80.245000000000005</v>
      </c>
      <c r="F39">
        <v>67.926000000000002</v>
      </c>
      <c r="G39">
        <v>78.216999999999999</v>
      </c>
      <c r="H39" s="3">
        <v>74.305000000000007</v>
      </c>
      <c r="I39" s="3">
        <v>60.137</v>
      </c>
      <c r="J39">
        <v>71.257999999999996</v>
      </c>
      <c r="K39">
        <v>78.346000000000004</v>
      </c>
      <c r="L39" s="3">
        <v>74.378</v>
      </c>
      <c r="M39" s="3">
        <v>80.358999999999995</v>
      </c>
    </row>
    <row r="40" spans="2:13" x14ac:dyDescent="0.2">
      <c r="B40" s="6">
        <v>6</v>
      </c>
      <c r="C40" s="3">
        <v>69.287000000000006</v>
      </c>
      <c r="D40" s="3">
        <v>64.882999999999996</v>
      </c>
      <c r="E40">
        <v>79.97</v>
      </c>
      <c r="F40">
        <v>67.384</v>
      </c>
      <c r="G40">
        <v>78.067999999999998</v>
      </c>
      <c r="H40" s="3">
        <v>74.084999999999994</v>
      </c>
      <c r="I40" s="3">
        <v>59.957000000000001</v>
      </c>
      <c r="J40">
        <v>71.12</v>
      </c>
      <c r="K40">
        <v>78.186000000000007</v>
      </c>
      <c r="L40" s="3">
        <v>74.254000000000005</v>
      </c>
      <c r="M40" s="3">
        <v>79.983999999999995</v>
      </c>
    </row>
    <row r="41" spans="2:13" x14ac:dyDescent="0.2">
      <c r="B41" s="6">
        <v>6.0333333333333332</v>
      </c>
      <c r="C41" s="3">
        <v>69.131</v>
      </c>
      <c r="D41" s="3">
        <v>64.912000000000006</v>
      </c>
      <c r="E41">
        <v>79.968000000000004</v>
      </c>
      <c r="F41">
        <v>67.472999999999999</v>
      </c>
      <c r="G41">
        <v>77.822999999999993</v>
      </c>
      <c r="H41" s="3">
        <v>74.150000000000006</v>
      </c>
      <c r="I41" s="3">
        <v>59.543999999999997</v>
      </c>
      <c r="J41">
        <v>70.977000000000004</v>
      </c>
      <c r="K41">
        <v>78.037000000000006</v>
      </c>
      <c r="L41" s="3">
        <v>74.033000000000001</v>
      </c>
      <c r="M41" s="3">
        <v>79.87</v>
      </c>
    </row>
    <row r="42" spans="2:13" x14ac:dyDescent="0.2">
      <c r="B42" s="6">
        <v>6.0666666666666664</v>
      </c>
      <c r="C42" s="3">
        <v>68.950999999999993</v>
      </c>
      <c r="D42" s="3">
        <v>64.742999999999995</v>
      </c>
      <c r="E42">
        <v>79.671000000000006</v>
      </c>
      <c r="F42">
        <v>67.19</v>
      </c>
      <c r="G42">
        <v>77.784000000000006</v>
      </c>
      <c r="H42" s="3">
        <v>74.046999999999997</v>
      </c>
      <c r="I42" s="3">
        <v>59.262</v>
      </c>
      <c r="J42">
        <v>70.706999999999994</v>
      </c>
      <c r="K42">
        <v>77.902000000000001</v>
      </c>
      <c r="L42" s="3">
        <v>74.037999999999997</v>
      </c>
      <c r="M42" s="3">
        <v>79.662000000000006</v>
      </c>
    </row>
    <row r="43" spans="2:13" x14ac:dyDescent="0.2">
      <c r="B43" s="6">
        <v>6.1</v>
      </c>
      <c r="C43" s="3">
        <v>68.850999999999999</v>
      </c>
      <c r="D43" s="3">
        <v>64.73</v>
      </c>
      <c r="E43">
        <v>79.587999999999994</v>
      </c>
      <c r="F43">
        <v>66.936000000000007</v>
      </c>
      <c r="G43">
        <v>77.709000000000003</v>
      </c>
      <c r="H43" s="3">
        <v>73.828999999999994</v>
      </c>
      <c r="I43" s="3">
        <v>59.014000000000003</v>
      </c>
      <c r="J43">
        <v>70.543999999999997</v>
      </c>
      <c r="K43">
        <v>77.774000000000001</v>
      </c>
      <c r="L43" s="3">
        <v>73.915999999999997</v>
      </c>
      <c r="M43" s="3">
        <v>79.27</v>
      </c>
    </row>
    <row r="44" spans="2:13" x14ac:dyDescent="0.2">
      <c r="B44" s="6">
        <v>6.1333333333333337</v>
      </c>
      <c r="C44" s="3">
        <v>68.638000000000005</v>
      </c>
      <c r="D44" s="3">
        <v>64.611999999999995</v>
      </c>
      <c r="E44">
        <v>79.388999999999996</v>
      </c>
      <c r="F44">
        <v>66.793000000000006</v>
      </c>
      <c r="G44">
        <v>77.540999999999997</v>
      </c>
      <c r="H44" s="3">
        <v>73.664000000000001</v>
      </c>
      <c r="I44" s="3">
        <v>58.798999999999999</v>
      </c>
      <c r="J44">
        <v>70.444999999999993</v>
      </c>
      <c r="K44">
        <v>77.748999999999995</v>
      </c>
      <c r="L44" s="3">
        <v>73.861999999999995</v>
      </c>
      <c r="M44" s="3">
        <v>79.155000000000001</v>
      </c>
    </row>
    <row r="45" spans="2:13" x14ac:dyDescent="0.2">
      <c r="B45" s="6">
        <v>6.166666666666667</v>
      </c>
      <c r="C45" s="3">
        <v>68.540999999999997</v>
      </c>
      <c r="D45" s="3">
        <v>64.534000000000006</v>
      </c>
      <c r="E45">
        <v>79.441999999999993</v>
      </c>
      <c r="F45">
        <v>66.668999999999997</v>
      </c>
      <c r="G45">
        <v>77.37</v>
      </c>
      <c r="H45" s="3">
        <v>73.573999999999998</v>
      </c>
      <c r="I45" s="3">
        <v>58.573999999999998</v>
      </c>
      <c r="J45">
        <v>70.200999999999993</v>
      </c>
      <c r="K45">
        <v>77.662999999999997</v>
      </c>
      <c r="L45" s="3">
        <v>73.531000000000006</v>
      </c>
      <c r="M45" s="3">
        <v>79.150999999999996</v>
      </c>
    </row>
    <row r="46" spans="2:13" x14ac:dyDescent="0.2">
      <c r="B46" s="6">
        <v>6.2</v>
      </c>
      <c r="C46" s="3">
        <v>68.369</v>
      </c>
      <c r="D46" s="3">
        <v>64.478999999999999</v>
      </c>
      <c r="E46">
        <v>79.248000000000005</v>
      </c>
      <c r="F46">
        <v>66.509</v>
      </c>
      <c r="G46">
        <v>77.266999999999996</v>
      </c>
      <c r="H46" s="3">
        <v>73.415999999999997</v>
      </c>
      <c r="I46" s="3">
        <v>58.412999999999997</v>
      </c>
      <c r="J46">
        <v>69.984999999999999</v>
      </c>
      <c r="K46">
        <v>77.561000000000007</v>
      </c>
      <c r="L46" s="3">
        <v>73.222999999999999</v>
      </c>
      <c r="M46" s="3">
        <v>78.683000000000007</v>
      </c>
    </row>
    <row r="47" spans="2:13" x14ac:dyDescent="0.2">
      <c r="B47" s="6">
        <v>6.2333333333333334</v>
      </c>
      <c r="C47" s="3">
        <v>68.14</v>
      </c>
      <c r="D47" s="3">
        <v>64.382000000000005</v>
      </c>
      <c r="E47">
        <v>79.069999999999993</v>
      </c>
      <c r="F47">
        <v>66.063999999999993</v>
      </c>
      <c r="G47">
        <v>77.129000000000005</v>
      </c>
      <c r="H47" s="3">
        <v>73.373000000000005</v>
      </c>
      <c r="I47" s="3">
        <v>58.273000000000003</v>
      </c>
      <c r="J47">
        <v>69.798000000000002</v>
      </c>
      <c r="K47">
        <v>77.409000000000006</v>
      </c>
      <c r="L47" s="3">
        <v>73.072999999999993</v>
      </c>
      <c r="M47" s="3">
        <v>78.608999999999995</v>
      </c>
    </row>
    <row r="48" spans="2:13" x14ac:dyDescent="0.2">
      <c r="B48" s="6">
        <v>6.2666666666666666</v>
      </c>
      <c r="C48" s="3">
        <v>67.980999999999995</v>
      </c>
      <c r="D48" s="3">
        <v>64.343999999999994</v>
      </c>
      <c r="E48">
        <v>78.87</v>
      </c>
      <c r="F48">
        <v>65.572999999999993</v>
      </c>
      <c r="G48">
        <v>76.951999999999998</v>
      </c>
      <c r="H48" s="3">
        <v>73.134</v>
      </c>
      <c r="I48" s="3">
        <v>58.161999999999999</v>
      </c>
      <c r="J48">
        <v>69.650999999999996</v>
      </c>
      <c r="K48">
        <v>77.33</v>
      </c>
      <c r="L48" s="3">
        <v>72.932000000000002</v>
      </c>
      <c r="M48" s="3">
        <v>78.194999999999993</v>
      </c>
    </row>
    <row r="49" spans="2:13" x14ac:dyDescent="0.2">
      <c r="B49" s="6">
        <v>6.3</v>
      </c>
      <c r="C49" s="3">
        <v>67.778999999999996</v>
      </c>
      <c r="D49" s="3">
        <v>64.194999999999993</v>
      </c>
      <c r="E49">
        <v>78.893000000000001</v>
      </c>
      <c r="F49">
        <v>65.841999999999999</v>
      </c>
      <c r="G49">
        <v>76.846999999999994</v>
      </c>
      <c r="H49" s="3">
        <v>73.084000000000003</v>
      </c>
      <c r="I49" s="3">
        <v>58.027000000000001</v>
      </c>
      <c r="J49">
        <v>69.611000000000004</v>
      </c>
      <c r="K49">
        <v>77.188000000000002</v>
      </c>
      <c r="L49" s="3">
        <v>72.713999999999999</v>
      </c>
      <c r="M49" s="3">
        <v>78.016999999999996</v>
      </c>
    </row>
    <row r="50" spans="2:13" x14ac:dyDescent="0.2">
      <c r="B50" s="6">
        <v>6.333333333333333</v>
      </c>
      <c r="C50" s="3">
        <v>67.647000000000006</v>
      </c>
      <c r="D50" s="3">
        <v>64.16</v>
      </c>
      <c r="E50">
        <v>78.697999999999993</v>
      </c>
      <c r="F50">
        <v>65.605000000000004</v>
      </c>
      <c r="G50">
        <v>76.724999999999994</v>
      </c>
      <c r="H50" s="3">
        <v>73.087000000000003</v>
      </c>
      <c r="I50" s="3">
        <v>57.926000000000002</v>
      </c>
      <c r="J50">
        <v>69.385999999999996</v>
      </c>
      <c r="K50">
        <v>77.069000000000003</v>
      </c>
      <c r="L50" s="3">
        <v>72.634</v>
      </c>
      <c r="M50" s="3">
        <v>77.831999999999994</v>
      </c>
    </row>
    <row r="51" spans="2:13" x14ac:dyDescent="0.2">
      <c r="B51" s="6">
        <v>6.3666666666666663</v>
      </c>
      <c r="C51" s="3">
        <v>67.510999999999996</v>
      </c>
      <c r="D51" s="3">
        <v>64.022000000000006</v>
      </c>
      <c r="E51">
        <v>78.599999999999994</v>
      </c>
      <c r="F51">
        <v>65.364999999999995</v>
      </c>
      <c r="G51">
        <v>76.588999999999999</v>
      </c>
      <c r="H51" s="3">
        <v>72.816999999999993</v>
      </c>
      <c r="I51" s="3">
        <v>57.670999999999999</v>
      </c>
      <c r="J51">
        <v>69.096000000000004</v>
      </c>
      <c r="K51">
        <v>76.974000000000004</v>
      </c>
      <c r="L51" s="3">
        <v>72.415999999999997</v>
      </c>
      <c r="M51" s="3">
        <v>77.813000000000002</v>
      </c>
    </row>
    <row r="52" spans="2:13" x14ac:dyDescent="0.2">
      <c r="B52" s="6">
        <v>6.4</v>
      </c>
      <c r="C52" s="3">
        <v>67.405000000000001</v>
      </c>
      <c r="D52" s="3">
        <v>63.936999999999998</v>
      </c>
      <c r="E52">
        <v>78.510000000000005</v>
      </c>
      <c r="F52">
        <v>65.316999999999993</v>
      </c>
      <c r="G52">
        <v>76.393000000000001</v>
      </c>
      <c r="H52" s="3">
        <v>72.652000000000001</v>
      </c>
      <c r="I52" s="3">
        <v>57.475000000000001</v>
      </c>
      <c r="J52">
        <v>68.959000000000003</v>
      </c>
      <c r="K52">
        <v>76.953999999999994</v>
      </c>
      <c r="L52" s="3">
        <v>72.225999999999999</v>
      </c>
      <c r="M52" s="3">
        <v>77.521000000000001</v>
      </c>
    </row>
    <row r="53" spans="2:13" x14ac:dyDescent="0.2">
      <c r="B53" s="6">
        <v>6.4333333333333336</v>
      </c>
      <c r="C53" s="3">
        <v>67.2</v>
      </c>
      <c r="D53" s="3">
        <v>63.814999999999998</v>
      </c>
      <c r="E53">
        <v>78.412000000000006</v>
      </c>
      <c r="F53">
        <v>65</v>
      </c>
      <c r="G53">
        <v>76.314999999999998</v>
      </c>
      <c r="H53" s="3">
        <v>72.626000000000005</v>
      </c>
      <c r="I53" s="3">
        <v>57.331000000000003</v>
      </c>
      <c r="J53">
        <v>68.769000000000005</v>
      </c>
      <c r="K53">
        <v>76.781000000000006</v>
      </c>
      <c r="L53" s="3">
        <v>71.97</v>
      </c>
      <c r="M53" s="3">
        <v>77.542000000000002</v>
      </c>
    </row>
    <row r="54" spans="2:13" x14ac:dyDescent="0.2">
      <c r="B54" s="6">
        <v>6.4666666666666668</v>
      </c>
      <c r="C54" s="3">
        <v>66.965999999999994</v>
      </c>
      <c r="D54" s="3">
        <v>63.725999999999999</v>
      </c>
      <c r="E54">
        <v>78.472999999999999</v>
      </c>
      <c r="F54">
        <v>64.87</v>
      </c>
      <c r="G54">
        <v>76.218999999999994</v>
      </c>
      <c r="H54" s="3">
        <v>72.575000000000003</v>
      </c>
      <c r="I54" s="3">
        <v>57.024000000000001</v>
      </c>
      <c r="J54">
        <v>68.662999999999997</v>
      </c>
      <c r="K54">
        <v>76.593999999999994</v>
      </c>
      <c r="L54" s="3">
        <v>71.861999999999995</v>
      </c>
      <c r="M54" s="3">
        <v>77.269000000000005</v>
      </c>
    </row>
    <row r="55" spans="2:13" x14ac:dyDescent="0.2">
      <c r="B55" s="6">
        <v>6.5</v>
      </c>
      <c r="C55" s="3">
        <v>66.585999999999999</v>
      </c>
      <c r="D55" s="3">
        <v>63.545999999999999</v>
      </c>
      <c r="E55">
        <v>78.316999999999993</v>
      </c>
      <c r="F55">
        <v>64.686000000000007</v>
      </c>
      <c r="G55">
        <v>76.203000000000003</v>
      </c>
      <c r="H55" s="3">
        <v>72.216999999999999</v>
      </c>
      <c r="I55" s="3">
        <v>56.878</v>
      </c>
      <c r="J55">
        <v>68.28</v>
      </c>
      <c r="K55">
        <v>76.551000000000002</v>
      </c>
      <c r="L55" s="3">
        <v>71.596000000000004</v>
      </c>
      <c r="M55" s="3">
        <v>76.984999999999999</v>
      </c>
    </row>
    <row r="56" spans="2:13" x14ac:dyDescent="0.2">
      <c r="B56" s="6">
        <v>6.5333333333333332</v>
      </c>
      <c r="C56" s="3">
        <v>66.283000000000001</v>
      </c>
      <c r="D56" s="3">
        <v>63.344000000000001</v>
      </c>
      <c r="E56">
        <v>78.266999999999996</v>
      </c>
      <c r="F56">
        <v>64.478999999999999</v>
      </c>
      <c r="G56">
        <v>75.894000000000005</v>
      </c>
      <c r="H56" s="3">
        <v>72.082999999999998</v>
      </c>
      <c r="I56" s="3">
        <v>56.594999999999999</v>
      </c>
      <c r="J56">
        <v>68.355000000000004</v>
      </c>
      <c r="K56">
        <v>76.444000000000003</v>
      </c>
      <c r="L56" s="3">
        <v>71.363</v>
      </c>
      <c r="M56" s="3">
        <v>76.968000000000004</v>
      </c>
    </row>
    <row r="57" spans="2:13" x14ac:dyDescent="0.2">
      <c r="B57" s="6">
        <v>6.5666666666666664</v>
      </c>
      <c r="C57" s="3">
        <v>66.289000000000001</v>
      </c>
      <c r="D57" s="3">
        <v>62.701000000000001</v>
      </c>
      <c r="E57">
        <v>78.194999999999993</v>
      </c>
      <c r="F57">
        <v>64.363</v>
      </c>
      <c r="G57">
        <v>75.805999999999997</v>
      </c>
      <c r="H57" s="3">
        <v>72.158000000000001</v>
      </c>
      <c r="I57" s="3">
        <v>56.332999999999998</v>
      </c>
      <c r="J57">
        <v>68.227000000000004</v>
      </c>
      <c r="K57">
        <v>76.281000000000006</v>
      </c>
      <c r="L57" s="3">
        <v>71.153999999999996</v>
      </c>
      <c r="M57" s="3">
        <v>76.400999999999996</v>
      </c>
    </row>
    <row r="58" spans="2:13" x14ac:dyDescent="0.2">
      <c r="B58" s="6">
        <v>6.6</v>
      </c>
      <c r="C58" s="3">
        <v>66.283000000000001</v>
      </c>
      <c r="D58" s="3">
        <v>62.932000000000002</v>
      </c>
      <c r="E58">
        <v>78.040000000000006</v>
      </c>
      <c r="F58">
        <v>64.234999999999999</v>
      </c>
      <c r="G58">
        <v>75.650999999999996</v>
      </c>
      <c r="H58" s="3">
        <v>71.959999999999994</v>
      </c>
      <c r="I58" s="3">
        <v>56.16</v>
      </c>
      <c r="J58">
        <v>67.822999999999993</v>
      </c>
      <c r="K58">
        <v>76.204999999999998</v>
      </c>
      <c r="L58" s="3">
        <v>71.03</v>
      </c>
      <c r="M58" s="3">
        <v>76.347999999999999</v>
      </c>
    </row>
    <row r="59" spans="2:13" x14ac:dyDescent="0.2">
      <c r="B59" s="6">
        <v>6.6333333333333337</v>
      </c>
      <c r="C59" s="3">
        <v>66.23</v>
      </c>
      <c r="D59" s="3">
        <v>62.662999999999997</v>
      </c>
      <c r="E59">
        <v>78.034000000000006</v>
      </c>
      <c r="F59">
        <v>64.040999999999997</v>
      </c>
      <c r="G59">
        <v>75.478999999999999</v>
      </c>
      <c r="H59" s="3">
        <v>71.888999999999996</v>
      </c>
      <c r="I59" s="3">
        <v>55.951999999999998</v>
      </c>
      <c r="J59">
        <v>67.738</v>
      </c>
      <c r="K59">
        <v>76.108000000000004</v>
      </c>
      <c r="L59" s="3">
        <v>70.798000000000002</v>
      </c>
      <c r="M59" s="3">
        <v>76.03</v>
      </c>
    </row>
    <row r="60" spans="2:13" x14ac:dyDescent="0.2">
      <c r="B60" s="6">
        <v>6.666666666666667</v>
      </c>
      <c r="C60" s="3">
        <v>66.164000000000001</v>
      </c>
      <c r="D60" s="3">
        <v>61.689</v>
      </c>
      <c r="E60">
        <v>77.896000000000001</v>
      </c>
      <c r="F60">
        <v>63.728999999999999</v>
      </c>
      <c r="G60">
        <v>75.394999999999996</v>
      </c>
      <c r="H60" s="3">
        <v>71.61</v>
      </c>
      <c r="I60" s="3">
        <v>55.686999999999998</v>
      </c>
      <c r="J60">
        <v>67.643000000000001</v>
      </c>
      <c r="K60">
        <v>75.968999999999994</v>
      </c>
      <c r="L60" s="3">
        <v>70.707999999999998</v>
      </c>
      <c r="M60" s="3">
        <v>75.759</v>
      </c>
    </row>
    <row r="61" spans="2:13" x14ac:dyDescent="0.2">
      <c r="B61" s="6">
        <v>6.7</v>
      </c>
      <c r="C61" s="3">
        <v>66.007000000000005</v>
      </c>
      <c r="D61" s="3">
        <v>61.628</v>
      </c>
      <c r="E61">
        <v>77.725999999999999</v>
      </c>
      <c r="F61">
        <v>63.546999999999997</v>
      </c>
      <c r="G61">
        <v>75.319000000000003</v>
      </c>
      <c r="H61" s="3">
        <v>71.581000000000003</v>
      </c>
      <c r="I61" s="3">
        <v>55.484999999999999</v>
      </c>
      <c r="J61">
        <v>67.572999999999993</v>
      </c>
      <c r="K61">
        <v>75.87</v>
      </c>
      <c r="L61" s="3">
        <v>70.603999999999999</v>
      </c>
      <c r="M61" s="3">
        <v>75.731999999999999</v>
      </c>
    </row>
    <row r="62" spans="2:13" x14ac:dyDescent="0.2">
      <c r="B62" s="6">
        <v>6.7333333333333334</v>
      </c>
      <c r="C62" s="3">
        <v>65.741</v>
      </c>
      <c r="D62" s="3">
        <v>61.676000000000002</v>
      </c>
      <c r="E62">
        <v>77.643000000000001</v>
      </c>
      <c r="F62">
        <v>63.308</v>
      </c>
      <c r="G62">
        <v>75.153999999999996</v>
      </c>
      <c r="H62" s="3">
        <v>71.42</v>
      </c>
      <c r="I62" s="3">
        <v>55.228000000000002</v>
      </c>
      <c r="J62">
        <v>67.367999999999995</v>
      </c>
      <c r="K62">
        <v>75.741</v>
      </c>
      <c r="L62" s="3">
        <v>70.483999999999995</v>
      </c>
      <c r="M62" s="3">
        <v>75.626000000000005</v>
      </c>
    </row>
    <row r="63" spans="2:13" x14ac:dyDescent="0.2">
      <c r="B63" s="6">
        <v>6.7666666666666666</v>
      </c>
      <c r="C63" s="3">
        <v>65.494</v>
      </c>
      <c r="D63" s="3">
        <v>61.305</v>
      </c>
      <c r="E63">
        <v>77.504000000000005</v>
      </c>
      <c r="F63">
        <v>63.173000000000002</v>
      </c>
      <c r="G63">
        <v>74.998999999999995</v>
      </c>
      <c r="H63" s="3">
        <v>71.466999999999999</v>
      </c>
      <c r="I63" s="3">
        <v>54.911000000000001</v>
      </c>
      <c r="J63">
        <v>67.328000000000003</v>
      </c>
      <c r="K63">
        <v>75.661000000000001</v>
      </c>
      <c r="L63" s="3">
        <v>70.305000000000007</v>
      </c>
      <c r="M63" s="3">
        <v>75.186999999999998</v>
      </c>
    </row>
    <row r="64" spans="2:13" x14ac:dyDescent="0.2">
      <c r="B64" s="6">
        <v>6.8</v>
      </c>
      <c r="C64" s="3">
        <v>65.34</v>
      </c>
      <c r="D64" s="3">
        <v>61.274999999999999</v>
      </c>
      <c r="E64">
        <v>77.537999999999997</v>
      </c>
      <c r="F64">
        <v>62.512999999999998</v>
      </c>
      <c r="G64">
        <v>74.924000000000007</v>
      </c>
      <c r="H64" s="3">
        <v>71.236000000000004</v>
      </c>
      <c r="I64" s="3">
        <v>54.715000000000003</v>
      </c>
      <c r="J64">
        <v>67.204999999999998</v>
      </c>
      <c r="K64">
        <v>75.516000000000005</v>
      </c>
      <c r="L64" s="3">
        <v>70.150000000000006</v>
      </c>
      <c r="M64" s="3">
        <v>75.022999999999996</v>
      </c>
    </row>
    <row r="65" spans="2:13" x14ac:dyDescent="0.2">
      <c r="B65" s="6">
        <v>6.833333333333333</v>
      </c>
      <c r="C65" s="3">
        <v>65.225999999999999</v>
      </c>
      <c r="D65" s="3">
        <v>60.847999999999999</v>
      </c>
      <c r="E65">
        <v>77.472999999999999</v>
      </c>
      <c r="F65">
        <v>62.720999999999997</v>
      </c>
      <c r="G65">
        <v>74.87</v>
      </c>
      <c r="H65" s="3">
        <v>71.198999999999998</v>
      </c>
      <c r="I65" s="3">
        <v>54.561999999999998</v>
      </c>
      <c r="J65">
        <v>67.036000000000001</v>
      </c>
      <c r="K65">
        <v>75.388000000000005</v>
      </c>
      <c r="L65" s="3">
        <v>69.861000000000004</v>
      </c>
      <c r="M65" s="3">
        <v>74.808000000000007</v>
      </c>
    </row>
    <row r="66" spans="2:13" x14ac:dyDescent="0.2">
      <c r="B66" s="6">
        <v>6.8666666666666663</v>
      </c>
      <c r="C66" s="3">
        <v>65.073999999999998</v>
      </c>
      <c r="D66" s="3">
        <v>60.905000000000001</v>
      </c>
      <c r="E66">
        <v>77.447999999999993</v>
      </c>
      <c r="F66">
        <v>62.466999999999999</v>
      </c>
      <c r="G66">
        <v>74.807000000000002</v>
      </c>
      <c r="H66" s="3">
        <v>70.867999999999995</v>
      </c>
      <c r="I66" s="3">
        <v>54.316000000000003</v>
      </c>
      <c r="J66">
        <v>66.936999999999998</v>
      </c>
      <c r="K66">
        <v>75.251999999999995</v>
      </c>
      <c r="L66" s="3">
        <v>69.686000000000007</v>
      </c>
      <c r="M66" s="3">
        <v>74.668000000000006</v>
      </c>
    </row>
    <row r="67" spans="2:13" x14ac:dyDescent="0.2">
      <c r="B67" s="6">
        <v>6.9</v>
      </c>
      <c r="C67" s="3">
        <v>65.033000000000001</v>
      </c>
      <c r="D67" s="3">
        <v>60.613999999999997</v>
      </c>
      <c r="E67">
        <v>77.274000000000001</v>
      </c>
      <c r="F67">
        <v>62.290999999999997</v>
      </c>
      <c r="G67">
        <v>74.751999999999995</v>
      </c>
      <c r="H67" s="3">
        <v>70.861000000000004</v>
      </c>
      <c r="I67" s="3">
        <v>54.177999999999997</v>
      </c>
      <c r="J67">
        <v>66.751000000000005</v>
      </c>
      <c r="K67">
        <v>75.087999999999994</v>
      </c>
      <c r="L67" s="3">
        <v>69.56</v>
      </c>
      <c r="M67" s="3">
        <v>74.759</v>
      </c>
    </row>
    <row r="68" spans="2:13" x14ac:dyDescent="0.2">
      <c r="B68" s="6">
        <v>6.9333333333333336</v>
      </c>
      <c r="C68" s="3">
        <v>64.715999999999994</v>
      </c>
      <c r="D68" s="3">
        <v>60.323</v>
      </c>
      <c r="E68">
        <v>77.085999999999999</v>
      </c>
      <c r="F68">
        <v>62.22</v>
      </c>
      <c r="G68">
        <v>74.712999999999994</v>
      </c>
      <c r="H68" s="3">
        <v>70.680000000000007</v>
      </c>
      <c r="I68" s="3">
        <v>53.963000000000001</v>
      </c>
      <c r="J68">
        <v>66.608000000000004</v>
      </c>
      <c r="K68">
        <v>74.991</v>
      </c>
      <c r="L68" s="3">
        <v>69.322000000000003</v>
      </c>
      <c r="M68" s="3">
        <v>74.152000000000001</v>
      </c>
    </row>
    <row r="69" spans="2:13" x14ac:dyDescent="0.2">
      <c r="B69" s="6">
        <v>6.9666666666666668</v>
      </c>
      <c r="C69" s="3">
        <v>64.582999999999998</v>
      </c>
      <c r="D69" s="3">
        <v>59.948999999999998</v>
      </c>
      <c r="E69">
        <v>77.045000000000002</v>
      </c>
      <c r="F69">
        <v>62.113999999999997</v>
      </c>
      <c r="G69">
        <v>74.593999999999994</v>
      </c>
      <c r="H69" s="3">
        <v>70.631</v>
      </c>
      <c r="I69" s="3">
        <v>53.820999999999998</v>
      </c>
      <c r="J69">
        <v>66.513000000000005</v>
      </c>
      <c r="K69">
        <v>74.900999999999996</v>
      </c>
      <c r="L69" s="3">
        <v>69.17</v>
      </c>
      <c r="M69" s="3">
        <v>73.972999999999999</v>
      </c>
    </row>
    <row r="70" spans="2:13" x14ac:dyDescent="0.2">
      <c r="B70" s="6">
        <v>7</v>
      </c>
      <c r="C70" s="3">
        <v>64.322999999999993</v>
      </c>
      <c r="D70" s="3">
        <v>59.972000000000001</v>
      </c>
      <c r="E70">
        <v>76.911000000000001</v>
      </c>
      <c r="F70">
        <v>62.046999999999997</v>
      </c>
      <c r="G70">
        <v>74.438000000000002</v>
      </c>
      <c r="H70" s="3">
        <v>70.406999999999996</v>
      </c>
      <c r="I70" s="3">
        <v>53.579000000000001</v>
      </c>
      <c r="J70">
        <v>66.296999999999997</v>
      </c>
      <c r="K70">
        <v>74.718999999999994</v>
      </c>
      <c r="L70" s="3">
        <v>68.902000000000001</v>
      </c>
      <c r="M70" s="3">
        <v>73.870999999999995</v>
      </c>
    </row>
    <row r="71" spans="2:13" x14ac:dyDescent="0.2">
      <c r="B71" s="6">
        <v>7.0333333333333332</v>
      </c>
      <c r="C71" s="3">
        <v>64.311000000000007</v>
      </c>
      <c r="D71" s="3">
        <v>59.634</v>
      </c>
      <c r="E71">
        <v>76.73</v>
      </c>
      <c r="F71">
        <v>61.838999999999999</v>
      </c>
      <c r="G71">
        <v>74.316999999999993</v>
      </c>
      <c r="H71" s="3">
        <v>70.305999999999997</v>
      </c>
      <c r="I71" s="3">
        <v>53.451999999999998</v>
      </c>
      <c r="J71">
        <v>65.239000000000004</v>
      </c>
      <c r="K71">
        <v>74.679000000000002</v>
      </c>
      <c r="L71" s="3">
        <v>68.727000000000004</v>
      </c>
      <c r="M71" s="3">
        <v>73.480999999999995</v>
      </c>
    </row>
    <row r="72" spans="2:13" x14ac:dyDescent="0.2">
      <c r="B72" s="6">
        <v>7.0666666666666664</v>
      </c>
      <c r="C72" s="3">
        <v>63.985999999999997</v>
      </c>
      <c r="D72" s="3">
        <v>59.767000000000003</v>
      </c>
      <c r="E72">
        <v>76.596999999999994</v>
      </c>
      <c r="F72">
        <v>61.597999999999999</v>
      </c>
      <c r="G72">
        <v>74.2</v>
      </c>
      <c r="H72" s="3">
        <v>70.334999999999994</v>
      </c>
      <c r="I72" s="3">
        <v>53.148000000000003</v>
      </c>
      <c r="J72">
        <v>65.995000000000005</v>
      </c>
      <c r="K72">
        <v>74.474999999999994</v>
      </c>
      <c r="L72" s="3">
        <v>68.498999999999995</v>
      </c>
      <c r="M72" s="3">
        <v>73.394999999999996</v>
      </c>
    </row>
    <row r="73" spans="2:13" x14ac:dyDescent="0.2">
      <c r="B73" s="6">
        <v>7.1</v>
      </c>
      <c r="C73" s="3">
        <v>63.944000000000003</v>
      </c>
      <c r="D73" s="3">
        <v>59.362000000000002</v>
      </c>
      <c r="E73">
        <v>76.424999999999997</v>
      </c>
      <c r="F73">
        <v>61.488</v>
      </c>
      <c r="G73">
        <v>74.126999999999995</v>
      </c>
      <c r="H73" s="3">
        <v>70.123999999999995</v>
      </c>
      <c r="I73" s="3">
        <v>52.970999999999997</v>
      </c>
      <c r="J73">
        <v>65.873999999999995</v>
      </c>
      <c r="K73">
        <v>74.492000000000004</v>
      </c>
      <c r="L73" s="3">
        <v>68.289000000000001</v>
      </c>
      <c r="M73" s="3">
        <v>73.41</v>
      </c>
    </row>
    <row r="74" spans="2:13" x14ac:dyDescent="0.2">
      <c r="B74" s="6">
        <v>7.1333333333333337</v>
      </c>
      <c r="C74" s="3">
        <v>63.448999999999998</v>
      </c>
      <c r="D74" s="3">
        <v>59.207000000000001</v>
      </c>
      <c r="E74">
        <v>76.441000000000003</v>
      </c>
      <c r="F74">
        <v>61.235999999999997</v>
      </c>
      <c r="G74">
        <v>73.971999999999994</v>
      </c>
      <c r="H74" s="3">
        <v>69.825999999999993</v>
      </c>
      <c r="I74" s="3">
        <v>52.802</v>
      </c>
      <c r="J74">
        <v>65.665000000000006</v>
      </c>
      <c r="K74">
        <v>74.298000000000002</v>
      </c>
      <c r="L74" s="3">
        <v>68.153000000000006</v>
      </c>
      <c r="M74" s="3">
        <v>72.847999999999999</v>
      </c>
    </row>
    <row r="75" spans="2:13" x14ac:dyDescent="0.2">
      <c r="B75" s="6">
        <v>7.166666666666667</v>
      </c>
      <c r="C75" s="3">
        <v>63.018999999999998</v>
      </c>
      <c r="D75" s="3">
        <v>59.118000000000002</v>
      </c>
      <c r="E75">
        <v>76.37</v>
      </c>
      <c r="F75">
        <v>61.037999999999997</v>
      </c>
      <c r="G75">
        <v>73.768000000000001</v>
      </c>
      <c r="H75" s="3">
        <v>69.897999999999996</v>
      </c>
      <c r="I75" s="3">
        <v>52.558999999999997</v>
      </c>
      <c r="J75">
        <v>64.861000000000004</v>
      </c>
      <c r="K75">
        <v>74.262</v>
      </c>
      <c r="L75" s="3">
        <v>67.994</v>
      </c>
      <c r="M75" s="3">
        <v>72.801000000000002</v>
      </c>
    </row>
    <row r="76" spans="2:13" x14ac:dyDescent="0.2">
      <c r="B76" s="6">
        <v>7.2</v>
      </c>
      <c r="C76" s="3">
        <v>62.936999999999998</v>
      </c>
      <c r="D76" s="3">
        <v>59.040999999999997</v>
      </c>
      <c r="E76">
        <v>76.242000000000004</v>
      </c>
      <c r="F76">
        <v>60.834000000000003</v>
      </c>
      <c r="G76">
        <v>73.622</v>
      </c>
      <c r="H76" s="3">
        <v>69.733000000000004</v>
      </c>
      <c r="I76" s="3">
        <v>52.344000000000001</v>
      </c>
      <c r="J76">
        <v>65.228999999999999</v>
      </c>
      <c r="K76">
        <v>74.147999999999996</v>
      </c>
      <c r="L76" s="3">
        <v>67.808000000000007</v>
      </c>
      <c r="M76" s="3">
        <v>72.564999999999998</v>
      </c>
    </row>
    <row r="77" spans="2:13" x14ac:dyDescent="0.2">
      <c r="B77" s="6">
        <v>7.2333333333333334</v>
      </c>
      <c r="C77" s="3">
        <v>62.765000000000001</v>
      </c>
      <c r="D77" s="3">
        <v>58.945999999999998</v>
      </c>
      <c r="E77">
        <v>76.236000000000004</v>
      </c>
      <c r="F77">
        <v>60.655000000000001</v>
      </c>
      <c r="G77">
        <v>73.590999999999994</v>
      </c>
      <c r="H77" s="3">
        <v>69.421999999999997</v>
      </c>
      <c r="I77" s="3">
        <v>51.999000000000002</v>
      </c>
      <c r="J77">
        <v>65.198999999999998</v>
      </c>
      <c r="K77">
        <v>74.048000000000002</v>
      </c>
      <c r="L77" s="3">
        <v>67.700999999999993</v>
      </c>
      <c r="M77" s="3">
        <v>72.307000000000002</v>
      </c>
    </row>
    <row r="78" spans="2:13" x14ac:dyDescent="0.2">
      <c r="B78" s="6">
        <v>7.2666666666666666</v>
      </c>
      <c r="C78" s="3">
        <v>62.643000000000001</v>
      </c>
      <c r="D78" s="3">
        <v>58.802999999999997</v>
      </c>
      <c r="E78">
        <v>76.165999999999997</v>
      </c>
      <c r="F78">
        <v>60.152000000000001</v>
      </c>
      <c r="G78">
        <v>73.391999999999996</v>
      </c>
      <c r="H78" s="3">
        <v>69.429000000000002</v>
      </c>
      <c r="I78" s="3">
        <v>51.816000000000003</v>
      </c>
      <c r="J78">
        <v>64.968999999999994</v>
      </c>
      <c r="K78">
        <v>73.929000000000002</v>
      </c>
      <c r="L78" s="3">
        <v>67.578999999999994</v>
      </c>
      <c r="M78" s="3">
        <v>72.114000000000004</v>
      </c>
    </row>
    <row r="79" spans="2:13" x14ac:dyDescent="0.2">
      <c r="B79" s="6">
        <v>7.3</v>
      </c>
      <c r="C79" s="3">
        <v>62.375999999999998</v>
      </c>
      <c r="D79" s="3">
        <v>58.581000000000003</v>
      </c>
      <c r="E79">
        <v>75.980999999999995</v>
      </c>
      <c r="F79">
        <v>60.100999999999999</v>
      </c>
      <c r="G79">
        <v>73.338999999999999</v>
      </c>
      <c r="H79" s="3">
        <v>69.168999999999997</v>
      </c>
      <c r="I79" s="3">
        <v>51.689</v>
      </c>
      <c r="J79">
        <v>65.010000000000005</v>
      </c>
      <c r="K79">
        <v>73.745000000000005</v>
      </c>
      <c r="L79" s="3">
        <v>67.367000000000004</v>
      </c>
      <c r="M79" s="3">
        <v>72.263000000000005</v>
      </c>
    </row>
    <row r="80" spans="2:13" x14ac:dyDescent="0.2">
      <c r="B80" s="6">
        <v>7.333333333333333</v>
      </c>
      <c r="C80" s="3">
        <v>62.213000000000001</v>
      </c>
      <c r="D80" s="3">
        <v>58.445999999999998</v>
      </c>
      <c r="E80">
        <v>75.867999999999995</v>
      </c>
      <c r="F80">
        <v>60.002000000000002</v>
      </c>
      <c r="G80">
        <v>73.198999999999998</v>
      </c>
      <c r="H80" s="3">
        <v>69.194999999999993</v>
      </c>
      <c r="I80" s="3">
        <v>51.445999999999998</v>
      </c>
      <c r="J80">
        <v>64.521000000000001</v>
      </c>
      <c r="K80">
        <v>73.658000000000001</v>
      </c>
      <c r="L80" s="3">
        <v>67.173000000000002</v>
      </c>
      <c r="M80" s="3">
        <v>71.92</v>
      </c>
    </row>
    <row r="81" spans="2:13" x14ac:dyDescent="0.2">
      <c r="B81" s="6">
        <v>7.3666666666666663</v>
      </c>
      <c r="C81" s="3">
        <v>62.180999999999997</v>
      </c>
      <c r="D81" s="3">
        <v>58.357999999999997</v>
      </c>
      <c r="E81">
        <v>75.906999999999996</v>
      </c>
      <c r="F81">
        <v>59.75</v>
      </c>
      <c r="G81">
        <v>73.046999999999997</v>
      </c>
      <c r="H81" s="3">
        <v>69.17</v>
      </c>
      <c r="I81" s="3">
        <v>51.256999999999998</v>
      </c>
      <c r="J81">
        <v>64.709999999999994</v>
      </c>
      <c r="K81">
        <v>73.619</v>
      </c>
      <c r="L81" s="3">
        <v>66.989000000000004</v>
      </c>
      <c r="M81" s="3">
        <v>71.61</v>
      </c>
    </row>
    <row r="82" spans="2:13" x14ac:dyDescent="0.2">
      <c r="B82" s="6">
        <v>7.4</v>
      </c>
      <c r="C82" s="3">
        <v>62.088999999999999</v>
      </c>
      <c r="D82" s="3">
        <v>58.241</v>
      </c>
      <c r="E82">
        <v>75.667000000000002</v>
      </c>
      <c r="F82">
        <v>59.543999999999997</v>
      </c>
      <c r="G82">
        <v>72.998999999999995</v>
      </c>
      <c r="H82" s="3">
        <v>68.811999999999998</v>
      </c>
      <c r="I82" s="3">
        <v>50.96</v>
      </c>
      <c r="J82">
        <v>64.509</v>
      </c>
      <c r="K82">
        <v>73.53</v>
      </c>
      <c r="L82" s="3">
        <v>66.83</v>
      </c>
      <c r="M82" s="3">
        <v>71.382000000000005</v>
      </c>
    </row>
    <row r="83" spans="2:13" x14ac:dyDescent="0.2">
      <c r="B83" s="6">
        <v>7.4333333333333336</v>
      </c>
      <c r="C83" s="3">
        <v>61.905000000000001</v>
      </c>
      <c r="D83" s="3">
        <v>58.08</v>
      </c>
      <c r="E83">
        <v>75.510999999999996</v>
      </c>
      <c r="F83">
        <v>59.395000000000003</v>
      </c>
      <c r="G83">
        <v>72.968000000000004</v>
      </c>
      <c r="H83" s="3">
        <v>68.614000000000004</v>
      </c>
      <c r="I83" s="3">
        <v>50.814</v>
      </c>
      <c r="J83">
        <v>64.462000000000003</v>
      </c>
      <c r="K83">
        <v>73.400999999999996</v>
      </c>
      <c r="L83" s="3">
        <v>66.685000000000002</v>
      </c>
      <c r="M83" s="3">
        <v>71.33</v>
      </c>
    </row>
    <row r="84" spans="2:13" x14ac:dyDescent="0.2">
      <c r="B84" s="6">
        <v>7.4666666666666668</v>
      </c>
      <c r="C84" s="3">
        <v>61.87</v>
      </c>
      <c r="D84" s="3">
        <v>57.887999999999998</v>
      </c>
      <c r="E84">
        <v>75.448999999999998</v>
      </c>
      <c r="F84">
        <v>59.22</v>
      </c>
      <c r="G84">
        <v>72.891000000000005</v>
      </c>
      <c r="H84" s="3">
        <v>68.686999999999998</v>
      </c>
      <c r="I84" s="3">
        <v>50.585000000000001</v>
      </c>
      <c r="J84">
        <v>64.299000000000007</v>
      </c>
      <c r="K84">
        <v>73.305999999999997</v>
      </c>
      <c r="L84" s="3">
        <v>66.457999999999998</v>
      </c>
      <c r="M84" s="3">
        <v>70.972999999999999</v>
      </c>
    </row>
    <row r="85" spans="2:13" x14ac:dyDescent="0.2">
      <c r="B85" s="6">
        <v>7.5</v>
      </c>
      <c r="C85" s="3">
        <v>61.8</v>
      </c>
      <c r="D85" s="3">
        <v>57.622999999999998</v>
      </c>
      <c r="E85">
        <v>75.352000000000004</v>
      </c>
      <c r="F85">
        <v>58.988</v>
      </c>
      <c r="G85">
        <v>72.84</v>
      </c>
      <c r="H85" s="3">
        <v>68.754000000000005</v>
      </c>
      <c r="I85" s="3">
        <v>50.326000000000001</v>
      </c>
      <c r="J85">
        <v>64.138000000000005</v>
      </c>
      <c r="K85">
        <v>73.238</v>
      </c>
      <c r="L85" s="3">
        <v>66.200999999999993</v>
      </c>
      <c r="M85" s="3">
        <v>70.816000000000003</v>
      </c>
    </row>
    <row r="86" spans="2:13" x14ac:dyDescent="0.2">
      <c r="B86" s="6">
        <v>7.5333333333333332</v>
      </c>
      <c r="C86" s="3">
        <v>61.57</v>
      </c>
      <c r="D86" s="3">
        <v>57.444000000000003</v>
      </c>
      <c r="E86">
        <v>75.287000000000006</v>
      </c>
      <c r="F86">
        <v>58.805999999999997</v>
      </c>
      <c r="G86">
        <v>72.632000000000005</v>
      </c>
      <c r="H86" s="3">
        <v>68.504000000000005</v>
      </c>
      <c r="I86" s="3">
        <v>50.131999999999998</v>
      </c>
      <c r="J86">
        <v>63.972999999999999</v>
      </c>
      <c r="K86">
        <v>73.114999999999995</v>
      </c>
      <c r="L86" s="3">
        <v>66.021000000000001</v>
      </c>
      <c r="M86" s="3">
        <v>70.739999999999995</v>
      </c>
    </row>
    <row r="87" spans="2:13" x14ac:dyDescent="0.2">
      <c r="B87" s="6">
        <v>7.5666666666666664</v>
      </c>
      <c r="C87" s="3">
        <v>61.442</v>
      </c>
      <c r="D87" s="3">
        <v>57.302</v>
      </c>
      <c r="E87">
        <v>75.105999999999995</v>
      </c>
      <c r="F87">
        <v>58.6</v>
      </c>
      <c r="G87">
        <v>72.507000000000005</v>
      </c>
      <c r="H87" s="3">
        <v>68.260000000000005</v>
      </c>
      <c r="I87" s="3">
        <v>49.99</v>
      </c>
      <c r="J87">
        <v>63.838000000000001</v>
      </c>
      <c r="K87">
        <v>73.004000000000005</v>
      </c>
      <c r="L87" s="3">
        <v>65.878</v>
      </c>
      <c r="M87" s="3">
        <v>70.322000000000003</v>
      </c>
    </row>
    <row r="88" spans="2:13" x14ac:dyDescent="0.2">
      <c r="B88" s="6">
        <v>7.6</v>
      </c>
      <c r="C88" s="3">
        <v>61.234000000000002</v>
      </c>
      <c r="D88" s="3">
        <v>56.533999999999999</v>
      </c>
      <c r="E88">
        <v>75.028000000000006</v>
      </c>
      <c r="F88">
        <v>58.332999999999998</v>
      </c>
      <c r="G88">
        <v>72.477000000000004</v>
      </c>
      <c r="H88" s="3">
        <v>68.215999999999994</v>
      </c>
      <c r="I88" s="3">
        <v>49.848999999999997</v>
      </c>
      <c r="J88">
        <v>63.735999999999997</v>
      </c>
      <c r="K88">
        <v>72.878</v>
      </c>
      <c r="L88" s="3">
        <v>65.710999999999999</v>
      </c>
      <c r="M88" s="3">
        <v>70.491</v>
      </c>
    </row>
    <row r="89" spans="2:13" x14ac:dyDescent="0.2">
      <c r="B89" s="6">
        <v>7.6333333333333337</v>
      </c>
      <c r="C89" s="3">
        <v>60.997</v>
      </c>
      <c r="D89" s="3">
        <v>56.593000000000004</v>
      </c>
      <c r="E89">
        <v>74.917000000000002</v>
      </c>
      <c r="F89">
        <v>58.216000000000001</v>
      </c>
      <c r="G89">
        <v>72.302999999999997</v>
      </c>
      <c r="H89" s="3">
        <v>68.188000000000002</v>
      </c>
      <c r="I89" s="3">
        <v>49.732999999999997</v>
      </c>
      <c r="J89">
        <v>63.573</v>
      </c>
      <c r="K89">
        <v>72.811000000000007</v>
      </c>
      <c r="L89" s="3">
        <v>65.575999999999993</v>
      </c>
      <c r="M89" s="3">
        <v>69.991</v>
      </c>
    </row>
    <row r="90" spans="2:13" x14ac:dyDescent="0.2">
      <c r="B90" s="6">
        <v>7.666666666666667</v>
      </c>
      <c r="C90" s="3">
        <v>60.825000000000003</v>
      </c>
      <c r="D90" s="3">
        <v>56.265000000000001</v>
      </c>
      <c r="E90">
        <v>74.793000000000006</v>
      </c>
      <c r="F90">
        <v>57.804000000000002</v>
      </c>
      <c r="G90">
        <v>72.128</v>
      </c>
      <c r="H90" s="3">
        <v>67.995999999999995</v>
      </c>
      <c r="I90" s="3">
        <v>49.621000000000002</v>
      </c>
      <c r="J90">
        <v>63.468000000000004</v>
      </c>
      <c r="K90">
        <v>72.712999999999994</v>
      </c>
      <c r="L90" s="3">
        <v>65.421000000000006</v>
      </c>
      <c r="M90" s="3">
        <v>69.873999999999995</v>
      </c>
    </row>
    <row r="91" spans="2:13" x14ac:dyDescent="0.2">
      <c r="B91" s="6">
        <v>7.7</v>
      </c>
      <c r="C91" s="3">
        <v>60.732999999999997</v>
      </c>
      <c r="D91" s="3">
        <v>56.043999999999997</v>
      </c>
      <c r="E91">
        <v>74.680999999999997</v>
      </c>
      <c r="F91">
        <v>57.65</v>
      </c>
      <c r="G91">
        <v>71.887</v>
      </c>
      <c r="H91" s="3">
        <v>67.86</v>
      </c>
      <c r="I91" s="3">
        <v>49.485999999999997</v>
      </c>
      <c r="J91">
        <v>63.25</v>
      </c>
      <c r="K91">
        <v>72.593999999999994</v>
      </c>
      <c r="L91" s="3">
        <v>65.147000000000006</v>
      </c>
      <c r="M91" s="3">
        <v>69.613</v>
      </c>
    </row>
    <row r="92" spans="2:13" x14ac:dyDescent="0.2">
      <c r="B92" s="6">
        <v>7.7333333333333334</v>
      </c>
      <c r="C92" s="3">
        <v>60.539000000000001</v>
      </c>
      <c r="D92" s="3">
        <v>55.749000000000002</v>
      </c>
      <c r="E92">
        <v>74.649000000000001</v>
      </c>
      <c r="F92">
        <v>57.618000000000002</v>
      </c>
      <c r="G92">
        <v>71.932000000000002</v>
      </c>
      <c r="H92" s="3">
        <v>67.683999999999997</v>
      </c>
      <c r="I92" s="3">
        <v>49.325000000000003</v>
      </c>
      <c r="J92">
        <v>63.146999999999998</v>
      </c>
      <c r="K92">
        <v>72.477999999999994</v>
      </c>
      <c r="L92" s="3">
        <v>65.034000000000006</v>
      </c>
      <c r="M92" s="3">
        <v>69.501000000000005</v>
      </c>
    </row>
    <row r="93" spans="2:13" x14ac:dyDescent="0.2">
      <c r="B93" s="6">
        <v>7.7666666666666666</v>
      </c>
      <c r="C93" s="3">
        <v>60.420999999999999</v>
      </c>
      <c r="D93" s="3">
        <v>55.73</v>
      </c>
      <c r="E93">
        <v>74.492000000000004</v>
      </c>
      <c r="F93">
        <v>57.442999999999998</v>
      </c>
      <c r="G93">
        <v>71.713999999999999</v>
      </c>
      <c r="H93" s="3">
        <v>67.653999999999996</v>
      </c>
      <c r="I93" s="3">
        <v>49.146999999999998</v>
      </c>
      <c r="J93">
        <v>63.005000000000003</v>
      </c>
      <c r="K93">
        <v>72.388999999999996</v>
      </c>
      <c r="L93" s="3">
        <v>64.908000000000001</v>
      </c>
      <c r="M93" s="3">
        <v>69.2</v>
      </c>
    </row>
    <row r="94" spans="2:13" x14ac:dyDescent="0.2">
      <c r="B94" s="6">
        <v>7.8</v>
      </c>
      <c r="C94" s="3">
        <v>60.238</v>
      </c>
      <c r="D94" s="3">
        <v>55.384999999999998</v>
      </c>
      <c r="E94">
        <v>74.355999999999995</v>
      </c>
      <c r="F94">
        <v>57.161000000000001</v>
      </c>
      <c r="G94">
        <v>71.501000000000005</v>
      </c>
      <c r="H94" s="3">
        <v>67.554000000000002</v>
      </c>
      <c r="I94" s="3">
        <v>48.94</v>
      </c>
      <c r="J94">
        <v>62.715000000000003</v>
      </c>
      <c r="K94">
        <v>72.262</v>
      </c>
      <c r="L94" s="3">
        <v>64.734999999999999</v>
      </c>
      <c r="M94" s="3">
        <v>69.295000000000002</v>
      </c>
    </row>
    <row r="95" spans="2:13" x14ac:dyDescent="0.2">
      <c r="B95" s="6">
        <v>7.833333333333333</v>
      </c>
      <c r="C95" s="3">
        <v>60.015999999999998</v>
      </c>
      <c r="D95" s="3">
        <v>55.145000000000003</v>
      </c>
      <c r="E95">
        <v>74.180000000000007</v>
      </c>
      <c r="F95">
        <v>57.040999999999997</v>
      </c>
      <c r="G95">
        <v>71.521000000000001</v>
      </c>
      <c r="H95" s="3">
        <v>67.513999999999996</v>
      </c>
      <c r="I95" s="3">
        <v>48.732999999999997</v>
      </c>
      <c r="J95">
        <v>62.756</v>
      </c>
      <c r="K95">
        <v>72.117999999999995</v>
      </c>
      <c r="L95" s="3">
        <v>64.593000000000004</v>
      </c>
      <c r="M95" s="3">
        <v>68.930000000000007</v>
      </c>
    </row>
    <row r="96" spans="2:13" x14ac:dyDescent="0.2">
      <c r="B96" s="6">
        <v>7.8666666666666663</v>
      </c>
      <c r="C96" s="3">
        <v>59.871000000000002</v>
      </c>
      <c r="D96" s="3">
        <v>54.707000000000001</v>
      </c>
      <c r="E96">
        <v>74.225999999999999</v>
      </c>
      <c r="F96">
        <v>56.658999999999999</v>
      </c>
      <c r="G96">
        <v>71.259</v>
      </c>
      <c r="H96" s="3">
        <v>67.475999999999999</v>
      </c>
      <c r="I96" s="3">
        <v>48.25</v>
      </c>
      <c r="J96">
        <v>62.517000000000003</v>
      </c>
      <c r="K96">
        <v>72.094999999999999</v>
      </c>
      <c r="L96" s="3">
        <v>64.436999999999998</v>
      </c>
      <c r="M96" s="3">
        <v>68.736999999999995</v>
      </c>
    </row>
    <row r="97" spans="2:13" x14ac:dyDescent="0.2">
      <c r="B97" s="6">
        <v>7.9</v>
      </c>
      <c r="C97" s="3">
        <v>59.704000000000001</v>
      </c>
      <c r="D97" s="3">
        <v>54.728999999999999</v>
      </c>
      <c r="E97">
        <v>74.227000000000004</v>
      </c>
      <c r="F97">
        <v>56.509</v>
      </c>
      <c r="G97">
        <v>71.120999999999995</v>
      </c>
      <c r="H97" s="3">
        <v>67.16</v>
      </c>
      <c r="I97" s="3">
        <v>48.335000000000001</v>
      </c>
      <c r="J97">
        <v>62.31</v>
      </c>
      <c r="K97">
        <v>71.936000000000007</v>
      </c>
      <c r="L97" s="3">
        <v>64.177000000000007</v>
      </c>
      <c r="M97" s="3">
        <v>68.650000000000006</v>
      </c>
    </row>
    <row r="98" spans="2:13" x14ac:dyDescent="0.2">
      <c r="B98" s="6">
        <v>7.9333333333333336</v>
      </c>
      <c r="C98" s="3">
        <v>59.46</v>
      </c>
      <c r="D98" s="3">
        <v>54.555999999999997</v>
      </c>
      <c r="E98">
        <v>74.096000000000004</v>
      </c>
      <c r="F98">
        <v>56.47</v>
      </c>
      <c r="G98">
        <v>70.98</v>
      </c>
      <c r="H98" s="3">
        <v>67.114999999999995</v>
      </c>
      <c r="I98" s="3">
        <v>48.183</v>
      </c>
      <c r="J98">
        <v>62.231000000000002</v>
      </c>
      <c r="K98">
        <v>71.861999999999995</v>
      </c>
      <c r="L98" s="3">
        <v>63.988999999999997</v>
      </c>
      <c r="M98" s="3">
        <v>68.387</v>
      </c>
    </row>
    <row r="99" spans="2:13" x14ac:dyDescent="0.2">
      <c r="B99" s="6">
        <v>7.9666666666666668</v>
      </c>
      <c r="C99" s="3">
        <v>59.326999999999998</v>
      </c>
      <c r="D99" s="3">
        <v>54.329000000000001</v>
      </c>
      <c r="E99">
        <v>74.040000000000006</v>
      </c>
      <c r="F99">
        <v>56.322000000000003</v>
      </c>
      <c r="G99">
        <v>70.849000000000004</v>
      </c>
      <c r="H99" s="3">
        <v>66.900000000000006</v>
      </c>
      <c r="I99" s="3">
        <v>47.945</v>
      </c>
      <c r="J99">
        <v>61.954000000000001</v>
      </c>
      <c r="K99">
        <v>71.674999999999997</v>
      </c>
      <c r="L99" s="3">
        <v>63.793999999999997</v>
      </c>
      <c r="M99" s="3">
        <v>68.491</v>
      </c>
    </row>
    <row r="100" spans="2:13" x14ac:dyDescent="0.2">
      <c r="B100" s="6">
        <v>8</v>
      </c>
      <c r="C100" s="3">
        <v>59.206000000000003</v>
      </c>
      <c r="D100" s="3">
        <v>54.16</v>
      </c>
      <c r="E100">
        <v>73.843000000000004</v>
      </c>
      <c r="F100">
        <v>56.198999999999998</v>
      </c>
      <c r="G100">
        <v>70.799000000000007</v>
      </c>
      <c r="H100" s="3">
        <v>66.869</v>
      </c>
      <c r="I100" s="3">
        <v>47.667000000000002</v>
      </c>
      <c r="J100">
        <v>61.707000000000001</v>
      </c>
      <c r="K100">
        <v>71.588999999999999</v>
      </c>
      <c r="L100" s="3">
        <v>63.680999999999997</v>
      </c>
      <c r="M100" s="3">
        <v>67.962000000000003</v>
      </c>
    </row>
    <row r="101" spans="2:13" x14ac:dyDescent="0.2">
      <c r="B101" s="6">
        <v>8.0333333333333332</v>
      </c>
      <c r="C101" s="3">
        <v>58.93</v>
      </c>
      <c r="D101" s="3">
        <v>53.402999999999999</v>
      </c>
      <c r="E101">
        <v>73.822000000000003</v>
      </c>
      <c r="F101">
        <v>56.029000000000003</v>
      </c>
      <c r="G101">
        <v>70.594999999999999</v>
      </c>
      <c r="H101" s="3">
        <v>66.75</v>
      </c>
      <c r="I101" s="3">
        <v>47.494999999999997</v>
      </c>
      <c r="J101">
        <v>61.58</v>
      </c>
      <c r="K101">
        <v>71.394000000000005</v>
      </c>
      <c r="L101" s="3">
        <v>63.402999999999999</v>
      </c>
      <c r="M101" s="3">
        <v>67.759</v>
      </c>
    </row>
    <row r="102" spans="2:13" x14ac:dyDescent="0.2">
      <c r="B102" s="6">
        <v>8.0666666666666664</v>
      </c>
      <c r="C102" s="3">
        <v>58.783999999999999</v>
      </c>
      <c r="D102" s="3">
        <v>53.631999999999998</v>
      </c>
      <c r="E102">
        <v>73.784999999999997</v>
      </c>
      <c r="F102">
        <v>55.944000000000003</v>
      </c>
      <c r="G102">
        <v>70.468000000000004</v>
      </c>
      <c r="H102" s="3">
        <v>66.626000000000005</v>
      </c>
      <c r="I102" s="3">
        <v>47.23</v>
      </c>
      <c r="J102">
        <v>61.439</v>
      </c>
      <c r="K102">
        <v>71.284000000000006</v>
      </c>
      <c r="L102" s="3">
        <v>63.286999999999999</v>
      </c>
      <c r="M102" s="3">
        <v>67.661000000000001</v>
      </c>
    </row>
    <row r="103" spans="2:13" x14ac:dyDescent="0.2">
      <c r="B103" s="6">
        <v>8.1</v>
      </c>
      <c r="C103" s="3">
        <v>58.634</v>
      </c>
      <c r="D103" s="3">
        <v>53.527000000000001</v>
      </c>
      <c r="E103">
        <v>73.542000000000002</v>
      </c>
      <c r="F103">
        <v>55.843000000000004</v>
      </c>
      <c r="G103">
        <v>70.331999999999994</v>
      </c>
      <c r="H103" s="3">
        <v>66.603999999999999</v>
      </c>
      <c r="I103" s="3">
        <v>47.017000000000003</v>
      </c>
      <c r="J103">
        <v>61.328000000000003</v>
      </c>
      <c r="K103">
        <v>71.227999999999994</v>
      </c>
      <c r="L103" s="3">
        <v>63.292999999999999</v>
      </c>
      <c r="M103" s="3">
        <v>67.287999999999997</v>
      </c>
    </row>
    <row r="104" spans="2:13" x14ac:dyDescent="0.2">
      <c r="B104" s="6">
        <v>8.1333333333333329</v>
      </c>
      <c r="C104" s="3">
        <v>58.484999999999999</v>
      </c>
      <c r="D104" s="3">
        <v>53.304000000000002</v>
      </c>
      <c r="E104">
        <v>73.591999999999999</v>
      </c>
      <c r="F104">
        <v>55.62</v>
      </c>
      <c r="G104">
        <v>70.283000000000001</v>
      </c>
      <c r="H104" s="3">
        <v>66.346000000000004</v>
      </c>
      <c r="I104" s="3">
        <v>46.77</v>
      </c>
      <c r="J104">
        <v>61.216999999999999</v>
      </c>
      <c r="K104">
        <v>71.144000000000005</v>
      </c>
      <c r="L104" s="3">
        <v>63.213000000000001</v>
      </c>
      <c r="M104" s="3">
        <v>67.192999999999998</v>
      </c>
    </row>
    <row r="105" spans="2:13" x14ac:dyDescent="0.2">
      <c r="B105" s="6">
        <v>8.1666666666666661</v>
      </c>
      <c r="C105" s="3">
        <v>58.432000000000002</v>
      </c>
      <c r="D105" s="3">
        <v>53.133000000000003</v>
      </c>
      <c r="E105">
        <v>73.504999999999995</v>
      </c>
      <c r="F105">
        <v>55.058</v>
      </c>
      <c r="G105">
        <v>70.070999999999998</v>
      </c>
      <c r="H105" s="3">
        <v>66.198999999999998</v>
      </c>
      <c r="I105" s="3">
        <v>46.49</v>
      </c>
      <c r="J105">
        <v>61.093000000000004</v>
      </c>
      <c r="K105">
        <v>70.944000000000003</v>
      </c>
      <c r="L105" s="3">
        <v>63.100999999999999</v>
      </c>
      <c r="M105" s="3">
        <v>66.992000000000004</v>
      </c>
    </row>
    <row r="106" spans="2:13" x14ac:dyDescent="0.2">
      <c r="B106" s="6">
        <v>8.1999999999999993</v>
      </c>
      <c r="C106" s="3">
        <v>58.320999999999998</v>
      </c>
      <c r="D106" s="3">
        <v>53.002000000000002</v>
      </c>
      <c r="E106">
        <v>73.391000000000005</v>
      </c>
      <c r="F106">
        <v>55.304000000000002</v>
      </c>
      <c r="G106">
        <v>69.989000000000004</v>
      </c>
      <c r="H106" s="3">
        <v>66.185000000000002</v>
      </c>
      <c r="I106" s="3">
        <v>46.314</v>
      </c>
      <c r="J106">
        <v>60.991999999999997</v>
      </c>
      <c r="K106">
        <v>70.891000000000005</v>
      </c>
      <c r="L106" s="3">
        <v>62.734000000000002</v>
      </c>
      <c r="M106" s="3">
        <v>66.784999999999997</v>
      </c>
    </row>
    <row r="107" spans="2:13" x14ac:dyDescent="0.2">
      <c r="B107" s="6">
        <v>8.2333333333333325</v>
      </c>
      <c r="C107" s="3">
        <v>57.981000000000002</v>
      </c>
      <c r="D107" s="3">
        <v>52.811</v>
      </c>
      <c r="E107">
        <v>73.441999999999993</v>
      </c>
      <c r="F107">
        <v>55.119</v>
      </c>
      <c r="G107">
        <v>69.924000000000007</v>
      </c>
      <c r="H107" s="3">
        <v>66.001999999999995</v>
      </c>
      <c r="I107" s="3">
        <v>46.076000000000001</v>
      </c>
      <c r="J107">
        <v>60.875999999999998</v>
      </c>
      <c r="K107">
        <v>70.710999999999999</v>
      </c>
      <c r="L107" s="3">
        <v>62.515999999999998</v>
      </c>
      <c r="M107" s="3">
        <v>66.569000000000003</v>
      </c>
    </row>
    <row r="108" spans="2:13" x14ac:dyDescent="0.2">
      <c r="B108" s="6">
        <v>8.2666666666666675</v>
      </c>
      <c r="C108" s="3">
        <v>57.77</v>
      </c>
      <c r="D108" s="3">
        <v>52.548999999999999</v>
      </c>
      <c r="E108">
        <v>73.262</v>
      </c>
      <c r="F108">
        <v>54.75</v>
      </c>
      <c r="G108">
        <v>69.751000000000005</v>
      </c>
      <c r="H108" s="3">
        <v>65.786000000000001</v>
      </c>
      <c r="I108" s="3">
        <v>45.896000000000001</v>
      </c>
      <c r="J108">
        <v>60.744999999999997</v>
      </c>
      <c r="K108">
        <v>70.665000000000006</v>
      </c>
      <c r="L108" s="3">
        <v>62.360999999999997</v>
      </c>
      <c r="M108" s="3">
        <v>66.38</v>
      </c>
    </row>
    <row r="109" spans="2:13" x14ac:dyDescent="0.2">
      <c r="B109" s="6">
        <v>8.3000000000000007</v>
      </c>
      <c r="C109" s="3">
        <v>57.645000000000003</v>
      </c>
      <c r="D109" s="3">
        <v>51.829000000000001</v>
      </c>
      <c r="E109">
        <v>73.302000000000007</v>
      </c>
      <c r="F109">
        <v>54.631</v>
      </c>
      <c r="G109">
        <v>69.608000000000004</v>
      </c>
      <c r="H109" s="3">
        <v>65.620999999999995</v>
      </c>
      <c r="I109" s="3">
        <v>45.595999999999997</v>
      </c>
      <c r="J109">
        <v>60.427</v>
      </c>
      <c r="K109">
        <v>70.569999999999993</v>
      </c>
      <c r="L109" s="3">
        <v>62.122</v>
      </c>
      <c r="M109" s="3">
        <v>66.400999999999996</v>
      </c>
    </row>
    <row r="110" spans="2:13" x14ac:dyDescent="0.2">
      <c r="B110" s="6">
        <v>8.3333333333333339</v>
      </c>
      <c r="C110" s="3">
        <v>57.451000000000001</v>
      </c>
      <c r="D110" s="3">
        <v>51.865000000000002</v>
      </c>
      <c r="E110">
        <v>73.054000000000002</v>
      </c>
      <c r="F110">
        <v>54.325000000000003</v>
      </c>
      <c r="G110">
        <v>69.466999999999999</v>
      </c>
      <c r="H110" s="3">
        <v>65.662999999999997</v>
      </c>
      <c r="I110" s="3">
        <v>45.476999999999997</v>
      </c>
      <c r="J110">
        <v>59.366999999999997</v>
      </c>
      <c r="K110">
        <v>70.409000000000006</v>
      </c>
      <c r="L110" s="3">
        <v>61.936</v>
      </c>
      <c r="M110" s="3">
        <v>66.176000000000002</v>
      </c>
    </row>
    <row r="111" spans="2:13" x14ac:dyDescent="0.2">
      <c r="B111" s="6">
        <v>8.3666666666666671</v>
      </c>
      <c r="C111" s="3">
        <v>57.228999999999999</v>
      </c>
      <c r="D111" s="3">
        <v>51.779000000000003</v>
      </c>
      <c r="E111">
        <v>72.837999999999994</v>
      </c>
      <c r="F111">
        <v>54.305999999999997</v>
      </c>
      <c r="G111">
        <v>69.361999999999995</v>
      </c>
      <c r="H111" s="3">
        <v>65.430999999999997</v>
      </c>
      <c r="I111" s="3">
        <v>45.262</v>
      </c>
      <c r="J111">
        <v>60.027999999999999</v>
      </c>
      <c r="K111">
        <v>70.405000000000001</v>
      </c>
      <c r="L111" s="3">
        <v>61.8</v>
      </c>
      <c r="M111" s="3">
        <v>65.653000000000006</v>
      </c>
    </row>
    <row r="112" spans="2:13" x14ac:dyDescent="0.2">
      <c r="B112" s="6">
        <v>8.4</v>
      </c>
      <c r="C112" s="3">
        <v>57.036999999999999</v>
      </c>
      <c r="D112" s="3">
        <v>51.615000000000002</v>
      </c>
      <c r="E112">
        <v>72.629000000000005</v>
      </c>
      <c r="F112">
        <v>54.155999999999999</v>
      </c>
      <c r="G112">
        <v>69.168999999999997</v>
      </c>
      <c r="H112" s="3">
        <v>65.462000000000003</v>
      </c>
      <c r="I112" s="3">
        <v>45.012999999999998</v>
      </c>
      <c r="J112">
        <v>60.002000000000002</v>
      </c>
      <c r="K112">
        <v>70.191999999999993</v>
      </c>
      <c r="L112" s="3">
        <v>61.639000000000003</v>
      </c>
      <c r="M112" s="3">
        <v>65.888999999999996</v>
      </c>
    </row>
    <row r="113" spans="2:13" x14ac:dyDescent="0.2">
      <c r="B113" s="6">
        <v>8.4333333333333336</v>
      </c>
      <c r="C113" s="3">
        <v>56.811999999999998</v>
      </c>
      <c r="D113" s="3">
        <v>51.485999999999997</v>
      </c>
      <c r="E113">
        <v>72.909000000000006</v>
      </c>
      <c r="F113">
        <v>53.982999999999997</v>
      </c>
      <c r="G113">
        <v>68.972999999999999</v>
      </c>
      <c r="H113" s="3">
        <v>65.263999999999996</v>
      </c>
      <c r="I113" s="3">
        <v>44.798999999999999</v>
      </c>
      <c r="J113">
        <v>59.834000000000003</v>
      </c>
      <c r="K113">
        <v>70.137</v>
      </c>
      <c r="L113" s="3">
        <v>61.44</v>
      </c>
      <c r="M113" s="3">
        <v>65.555000000000007</v>
      </c>
    </row>
    <row r="114" spans="2:13" x14ac:dyDescent="0.2">
      <c r="B114" s="6">
        <v>8.4666666666666668</v>
      </c>
      <c r="C114" s="3">
        <v>56.597000000000001</v>
      </c>
      <c r="D114" s="3">
        <v>51.164999999999999</v>
      </c>
      <c r="E114">
        <v>72.679000000000002</v>
      </c>
      <c r="F114">
        <v>53.747</v>
      </c>
      <c r="G114">
        <v>69.027000000000001</v>
      </c>
      <c r="H114" s="3">
        <v>65.090999999999994</v>
      </c>
      <c r="I114" s="3">
        <v>44.524000000000001</v>
      </c>
      <c r="J114">
        <v>59.66</v>
      </c>
      <c r="K114">
        <v>70.040000000000006</v>
      </c>
      <c r="L114" s="3">
        <v>61.286999999999999</v>
      </c>
      <c r="M114" s="3">
        <v>65.613</v>
      </c>
    </row>
    <row r="115" spans="2:13" x14ac:dyDescent="0.2">
      <c r="B115" s="6">
        <v>8.5</v>
      </c>
      <c r="C115" s="3">
        <v>56.438000000000002</v>
      </c>
      <c r="D115" s="3">
        <v>51.124000000000002</v>
      </c>
      <c r="E115">
        <v>72.563999999999993</v>
      </c>
      <c r="F115">
        <v>53.533000000000001</v>
      </c>
      <c r="G115">
        <v>68.77</v>
      </c>
      <c r="H115" s="3">
        <v>64.974000000000004</v>
      </c>
      <c r="I115" s="3">
        <v>44.37</v>
      </c>
      <c r="J115">
        <v>59.463000000000001</v>
      </c>
      <c r="K115">
        <v>69.927999999999997</v>
      </c>
      <c r="L115" s="3">
        <v>61.012</v>
      </c>
      <c r="M115" s="3">
        <v>65.091999999999999</v>
      </c>
    </row>
    <row r="116" spans="2:13" x14ac:dyDescent="0.2">
      <c r="B116" s="6">
        <v>8.5333333333333332</v>
      </c>
      <c r="C116" s="3">
        <v>56.348999999999997</v>
      </c>
      <c r="D116" s="3">
        <v>50.954000000000001</v>
      </c>
      <c r="E116">
        <v>72.316999999999993</v>
      </c>
      <c r="F116">
        <v>53.139000000000003</v>
      </c>
      <c r="G116">
        <v>68.700999999999993</v>
      </c>
      <c r="H116" s="3">
        <v>64.924000000000007</v>
      </c>
      <c r="I116" s="3">
        <v>44.094000000000001</v>
      </c>
      <c r="J116">
        <v>59.426000000000002</v>
      </c>
      <c r="K116">
        <v>69.861999999999995</v>
      </c>
      <c r="L116" s="3">
        <v>60.802999999999997</v>
      </c>
      <c r="M116" s="3">
        <v>65.245000000000005</v>
      </c>
    </row>
    <row r="117" spans="2:13" x14ac:dyDescent="0.2">
      <c r="B117" s="6">
        <v>8.5666666666666664</v>
      </c>
      <c r="C117" s="3">
        <v>56.151000000000003</v>
      </c>
      <c r="D117" s="3">
        <v>50.738999999999997</v>
      </c>
      <c r="E117">
        <v>72.38</v>
      </c>
      <c r="F117">
        <v>53.036000000000001</v>
      </c>
      <c r="G117">
        <v>68.494</v>
      </c>
      <c r="H117" s="3">
        <v>64.882999999999996</v>
      </c>
      <c r="I117" s="3">
        <v>44.003</v>
      </c>
      <c r="J117">
        <v>59.247</v>
      </c>
      <c r="K117">
        <v>69.741</v>
      </c>
      <c r="L117" s="3">
        <v>60.624000000000002</v>
      </c>
      <c r="M117" s="3">
        <v>65.051000000000002</v>
      </c>
    </row>
    <row r="118" spans="2:13" x14ac:dyDescent="0.2">
      <c r="B118" s="6">
        <v>8.6</v>
      </c>
      <c r="C118" s="3">
        <v>55.95</v>
      </c>
      <c r="D118" s="3">
        <v>50.305999999999997</v>
      </c>
      <c r="E118">
        <v>72.135000000000005</v>
      </c>
      <c r="F118">
        <v>52.921999999999997</v>
      </c>
      <c r="G118">
        <v>68.367999999999995</v>
      </c>
      <c r="H118" s="3">
        <v>64.638999999999996</v>
      </c>
      <c r="I118" s="3">
        <v>43.776000000000003</v>
      </c>
      <c r="J118">
        <v>59.1</v>
      </c>
      <c r="K118">
        <v>69.685000000000002</v>
      </c>
      <c r="L118" s="3">
        <v>60.46</v>
      </c>
      <c r="M118" s="3">
        <v>64.683000000000007</v>
      </c>
    </row>
    <row r="119" spans="2:13" x14ac:dyDescent="0.2">
      <c r="B119" s="6">
        <v>8.6333333333333329</v>
      </c>
      <c r="C119" s="3">
        <v>55.790999999999997</v>
      </c>
      <c r="D119" s="3">
        <v>50.31</v>
      </c>
      <c r="E119">
        <v>72.188999999999993</v>
      </c>
      <c r="F119">
        <v>52.731999999999999</v>
      </c>
      <c r="G119">
        <v>68.305000000000007</v>
      </c>
      <c r="H119" s="3">
        <v>64.635999999999996</v>
      </c>
      <c r="I119" s="3">
        <v>43.573</v>
      </c>
      <c r="J119">
        <v>59.023000000000003</v>
      </c>
      <c r="K119">
        <v>69.591999999999999</v>
      </c>
      <c r="L119" s="3">
        <v>60.325000000000003</v>
      </c>
      <c r="M119" s="3">
        <v>64.637</v>
      </c>
    </row>
    <row r="120" spans="2:13" x14ac:dyDescent="0.2">
      <c r="B120" s="6">
        <v>8.6666666666666661</v>
      </c>
      <c r="C120" s="3">
        <v>55.613999999999997</v>
      </c>
      <c r="D120" s="3">
        <v>50.029000000000003</v>
      </c>
      <c r="E120">
        <v>72.102999999999994</v>
      </c>
      <c r="F120">
        <v>52.48</v>
      </c>
      <c r="G120">
        <v>68.162999999999997</v>
      </c>
      <c r="H120" s="3">
        <v>64.447999999999993</v>
      </c>
      <c r="I120" s="3">
        <v>43.328000000000003</v>
      </c>
      <c r="J120">
        <v>58.878</v>
      </c>
      <c r="K120">
        <v>69.468000000000004</v>
      </c>
      <c r="L120" s="3">
        <v>60.107999999999997</v>
      </c>
      <c r="M120" s="3">
        <v>64.203999999999994</v>
      </c>
    </row>
    <row r="121" spans="2:13" x14ac:dyDescent="0.2">
      <c r="B121" s="6">
        <v>8.6999999999999993</v>
      </c>
      <c r="C121" s="3">
        <v>55.478000000000002</v>
      </c>
      <c r="D121" s="3">
        <v>49.637</v>
      </c>
      <c r="E121">
        <v>71.995000000000005</v>
      </c>
      <c r="F121">
        <v>52.116</v>
      </c>
      <c r="G121">
        <v>68.057000000000002</v>
      </c>
      <c r="H121" s="3">
        <v>64.287999999999997</v>
      </c>
      <c r="I121" s="3">
        <v>43.097999999999999</v>
      </c>
      <c r="J121">
        <v>58.712000000000003</v>
      </c>
      <c r="K121">
        <v>69.459999999999994</v>
      </c>
      <c r="L121" s="3">
        <v>59.905999999999999</v>
      </c>
      <c r="M121" s="3">
        <v>64.228999999999999</v>
      </c>
    </row>
    <row r="122" spans="2:13" x14ac:dyDescent="0.2">
      <c r="B122" s="6">
        <v>8.7333333333333325</v>
      </c>
      <c r="C122" s="3">
        <v>55.296999999999997</v>
      </c>
      <c r="D122" s="3">
        <v>49.597000000000001</v>
      </c>
      <c r="E122">
        <v>71.823999999999998</v>
      </c>
      <c r="F122">
        <v>52.055999999999997</v>
      </c>
      <c r="G122">
        <v>67.811000000000007</v>
      </c>
      <c r="H122" s="3">
        <v>64.132000000000005</v>
      </c>
      <c r="I122" s="3">
        <v>42.86</v>
      </c>
      <c r="J122">
        <v>58.609000000000002</v>
      </c>
      <c r="K122">
        <v>69.316999999999993</v>
      </c>
      <c r="L122" s="3">
        <v>59.737000000000002</v>
      </c>
      <c r="M122" s="3">
        <v>64.016999999999996</v>
      </c>
    </row>
    <row r="123" spans="2:13" x14ac:dyDescent="0.2">
      <c r="B123" s="6">
        <v>8.7666666666666675</v>
      </c>
      <c r="C123" s="3">
        <v>55.039000000000001</v>
      </c>
      <c r="D123" s="3">
        <v>49.393999999999998</v>
      </c>
      <c r="E123">
        <v>71.599999999999994</v>
      </c>
      <c r="F123">
        <v>51.927999999999997</v>
      </c>
      <c r="G123">
        <v>67.741</v>
      </c>
      <c r="H123" s="3">
        <v>63.801000000000002</v>
      </c>
      <c r="I123" s="3">
        <v>42.646999999999998</v>
      </c>
      <c r="J123">
        <v>58.404000000000003</v>
      </c>
      <c r="K123">
        <v>69.155000000000001</v>
      </c>
      <c r="L123" s="3">
        <v>59.56</v>
      </c>
      <c r="M123" s="3">
        <v>63.64</v>
      </c>
    </row>
    <row r="124" spans="2:13" x14ac:dyDescent="0.2">
      <c r="B124" s="6">
        <v>8.8000000000000007</v>
      </c>
      <c r="C124" s="3">
        <v>54.93</v>
      </c>
      <c r="D124" s="3">
        <v>49.213999999999999</v>
      </c>
      <c r="E124">
        <v>71.747</v>
      </c>
      <c r="F124">
        <v>51.527999999999999</v>
      </c>
      <c r="G124">
        <v>67.597999999999999</v>
      </c>
      <c r="H124" s="3">
        <v>63.996000000000002</v>
      </c>
      <c r="I124" s="3">
        <v>42.383000000000003</v>
      </c>
      <c r="J124">
        <v>58.301000000000002</v>
      </c>
      <c r="K124">
        <v>69.117999999999995</v>
      </c>
      <c r="L124" s="3">
        <v>59.459000000000003</v>
      </c>
      <c r="M124" s="3">
        <v>63.552</v>
      </c>
    </row>
    <row r="125" spans="2:13" x14ac:dyDescent="0.2">
      <c r="B125" s="6">
        <v>8.8333333333333339</v>
      </c>
      <c r="C125" s="3">
        <v>54.869</v>
      </c>
      <c r="D125" s="3">
        <v>49.002000000000002</v>
      </c>
      <c r="E125">
        <v>71.393000000000001</v>
      </c>
      <c r="F125">
        <v>51.404000000000003</v>
      </c>
      <c r="G125">
        <v>67.438999999999993</v>
      </c>
      <c r="H125" s="3">
        <v>63.728000000000002</v>
      </c>
      <c r="I125" s="3">
        <v>42.210999999999999</v>
      </c>
      <c r="J125">
        <v>58.194000000000003</v>
      </c>
      <c r="K125">
        <v>68.959000000000003</v>
      </c>
      <c r="L125" s="3">
        <v>59.209000000000003</v>
      </c>
      <c r="M125" s="3">
        <v>63.155999999999999</v>
      </c>
    </row>
    <row r="126" spans="2:13" x14ac:dyDescent="0.2">
      <c r="B126" s="6">
        <v>8.8666666666666671</v>
      </c>
      <c r="C126" s="3">
        <v>54.643000000000001</v>
      </c>
      <c r="D126" s="3">
        <v>48.826999999999998</v>
      </c>
      <c r="E126">
        <v>71.456000000000003</v>
      </c>
      <c r="F126">
        <v>51.25</v>
      </c>
      <c r="G126">
        <v>67.27</v>
      </c>
      <c r="H126" s="3">
        <v>63.587000000000003</v>
      </c>
      <c r="I126" s="3">
        <v>42.021000000000001</v>
      </c>
      <c r="J126">
        <v>57.945</v>
      </c>
      <c r="K126">
        <v>68.888999999999996</v>
      </c>
      <c r="L126" s="3">
        <v>59.082999999999998</v>
      </c>
      <c r="M126" s="3">
        <v>63.01</v>
      </c>
    </row>
    <row r="127" spans="2:13" x14ac:dyDescent="0.2">
      <c r="B127" s="6">
        <v>8.9</v>
      </c>
      <c r="C127" s="3">
        <v>54.36</v>
      </c>
      <c r="D127" s="3">
        <v>48.472000000000001</v>
      </c>
      <c r="E127">
        <v>71.350999999999999</v>
      </c>
      <c r="F127">
        <v>50.991999999999997</v>
      </c>
      <c r="G127">
        <v>67.09</v>
      </c>
      <c r="H127" s="3">
        <v>63.609000000000002</v>
      </c>
      <c r="I127" s="3">
        <v>41.887</v>
      </c>
      <c r="J127">
        <v>57.784999999999997</v>
      </c>
      <c r="K127">
        <v>68.799000000000007</v>
      </c>
      <c r="L127" s="3">
        <v>58.881</v>
      </c>
      <c r="M127" s="3">
        <v>63.024000000000001</v>
      </c>
    </row>
    <row r="128" spans="2:13" x14ac:dyDescent="0.2">
      <c r="B128" s="6">
        <v>8.9333333333333336</v>
      </c>
      <c r="C128" s="3">
        <v>54.235999999999997</v>
      </c>
      <c r="D128" s="3">
        <v>48.305999999999997</v>
      </c>
      <c r="E128">
        <v>71.150000000000006</v>
      </c>
      <c r="F128">
        <v>50.674999999999997</v>
      </c>
      <c r="G128">
        <v>66.956000000000003</v>
      </c>
      <c r="H128" s="3">
        <v>63.35</v>
      </c>
      <c r="I128" s="3">
        <v>41.723999999999997</v>
      </c>
      <c r="J128">
        <v>57.627000000000002</v>
      </c>
      <c r="K128">
        <v>68.766000000000005</v>
      </c>
      <c r="L128" s="3">
        <v>58.75</v>
      </c>
      <c r="M128" s="3">
        <v>62.679000000000002</v>
      </c>
    </row>
    <row r="129" spans="2:13" x14ac:dyDescent="0.2">
      <c r="B129" s="6">
        <v>8.9666666666666668</v>
      </c>
      <c r="C129" s="3">
        <v>53.905999999999999</v>
      </c>
      <c r="D129" s="3">
        <v>48.12</v>
      </c>
      <c r="E129">
        <v>70.924999999999997</v>
      </c>
      <c r="F129">
        <v>50.658999999999999</v>
      </c>
      <c r="G129">
        <v>66.888000000000005</v>
      </c>
      <c r="H129" s="3">
        <v>63.156999999999996</v>
      </c>
      <c r="I129" s="3">
        <v>41.503999999999998</v>
      </c>
      <c r="J129">
        <v>57.457000000000001</v>
      </c>
      <c r="K129">
        <v>68.59</v>
      </c>
      <c r="L129" s="3">
        <v>58.542999999999999</v>
      </c>
      <c r="M129" s="3">
        <v>62.786000000000001</v>
      </c>
    </row>
    <row r="130" spans="2:13" x14ac:dyDescent="0.2">
      <c r="B130" s="6">
        <v>9</v>
      </c>
      <c r="C130" s="3">
        <v>53.622999999999998</v>
      </c>
      <c r="D130" s="3">
        <v>47.973999999999997</v>
      </c>
      <c r="E130">
        <v>70.956000000000003</v>
      </c>
      <c r="F130">
        <v>50.521000000000001</v>
      </c>
      <c r="G130">
        <v>66.694999999999993</v>
      </c>
      <c r="H130" s="3">
        <v>63.121000000000002</v>
      </c>
      <c r="I130" s="3">
        <v>41.235999999999997</v>
      </c>
      <c r="J130">
        <v>57.118000000000002</v>
      </c>
      <c r="K130">
        <v>68.521000000000001</v>
      </c>
      <c r="L130" s="3">
        <v>58.323</v>
      </c>
      <c r="M130" s="3">
        <v>62.401000000000003</v>
      </c>
    </row>
    <row r="131" spans="2:13" x14ac:dyDescent="0.2">
      <c r="B131" s="6">
        <v>9.0333333333333332</v>
      </c>
      <c r="C131" s="3">
        <v>53.554000000000002</v>
      </c>
      <c r="D131" s="3">
        <v>47.753999999999998</v>
      </c>
      <c r="E131">
        <v>70.783000000000001</v>
      </c>
      <c r="F131">
        <v>50.365000000000002</v>
      </c>
      <c r="G131">
        <v>66.661000000000001</v>
      </c>
      <c r="H131" s="3">
        <v>62.902999999999999</v>
      </c>
      <c r="I131" s="3">
        <v>40.981000000000002</v>
      </c>
      <c r="J131">
        <v>57.085999999999999</v>
      </c>
      <c r="K131">
        <v>68.353999999999999</v>
      </c>
      <c r="L131" s="3">
        <v>58.182000000000002</v>
      </c>
      <c r="M131" s="3">
        <v>62.116</v>
      </c>
    </row>
    <row r="132" spans="2:13" x14ac:dyDescent="0.2">
      <c r="B132" s="6">
        <v>9.0666666666666664</v>
      </c>
      <c r="C132" s="3">
        <v>53.308</v>
      </c>
      <c r="D132" s="3">
        <v>47.639000000000003</v>
      </c>
      <c r="E132">
        <v>70.706000000000003</v>
      </c>
      <c r="F132">
        <v>50.115000000000002</v>
      </c>
      <c r="G132">
        <v>66.463999999999999</v>
      </c>
      <c r="H132" s="3">
        <v>62.802</v>
      </c>
      <c r="I132" s="3">
        <v>40.731999999999999</v>
      </c>
      <c r="J132">
        <v>56.95</v>
      </c>
      <c r="K132">
        <v>68.272000000000006</v>
      </c>
      <c r="L132" s="3">
        <v>58.023000000000003</v>
      </c>
      <c r="M132" s="3">
        <v>62.012999999999998</v>
      </c>
    </row>
    <row r="133" spans="2:13" x14ac:dyDescent="0.2">
      <c r="B133" s="6">
        <v>9.1</v>
      </c>
      <c r="C133" s="3">
        <v>53.191000000000003</v>
      </c>
      <c r="D133" s="3">
        <v>47.488</v>
      </c>
      <c r="E133">
        <v>70.549000000000007</v>
      </c>
      <c r="F133">
        <v>49.938000000000002</v>
      </c>
      <c r="G133">
        <v>66.415999999999997</v>
      </c>
      <c r="H133" s="3">
        <v>62.61</v>
      </c>
      <c r="I133" s="3">
        <v>40.531999999999996</v>
      </c>
      <c r="J133">
        <v>56.826999999999998</v>
      </c>
      <c r="K133">
        <v>68.248000000000005</v>
      </c>
      <c r="L133" s="3">
        <v>57.887999999999998</v>
      </c>
      <c r="M133" s="3">
        <v>61.988</v>
      </c>
    </row>
    <row r="134" spans="2:13" x14ac:dyDescent="0.2">
      <c r="B134" s="6">
        <v>9.1333333333333329</v>
      </c>
      <c r="C134" s="3">
        <v>52.924999999999997</v>
      </c>
      <c r="D134" s="3">
        <v>47.134999999999998</v>
      </c>
      <c r="E134">
        <v>70.634</v>
      </c>
      <c r="F134">
        <v>49.734000000000002</v>
      </c>
      <c r="G134">
        <v>66.334999999999994</v>
      </c>
      <c r="H134" s="3">
        <v>62.475000000000001</v>
      </c>
      <c r="I134" s="3">
        <v>40.249000000000002</v>
      </c>
      <c r="J134">
        <v>56.643999999999998</v>
      </c>
      <c r="K134">
        <v>68.135000000000005</v>
      </c>
      <c r="L134" s="3">
        <v>57.715000000000003</v>
      </c>
      <c r="M134" s="3">
        <v>61.622</v>
      </c>
    </row>
    <row r="135" spans="2:13" x14ac:dyDescent="0.2">
      <c r="B135" s="6">
        <v>9.1666666666666661</v>
      </c>
      <c r="C135" s="3">
        <v>52.701999999999998</v>
      </c>
      <c r="D135" s="3">
        <v>46.756</v>
      </c>
      <c r="E135">
        <v>70.554000000000002</v>
      </c>
      <c r="F135">
        <v>49.465000000000003</v>
      </c>
      <c r="G135">
        <v>66.162000000000006</v>
      </c>
      <c r="H135" s="3">
        <v>62.475999999999999</v>
      </c>
      <c r="I135" s="3">
        <v>40.076999999999998</v>
      </c>
      <c r="J135">
        <v>56.51</v>
      </c>
      <c r="K135">
        <v>68.036000000000001</v>
      </c>
      <c r="L135" s="3">
        <v>57.427</v>
      </c>
      <c r="M135" s="3">
        <v>61.32</v>
      </c>
    </row>
    <row r="136" spans="2:13" x14ac:dyDescent="0.2">
      <c r="B136" s="6">
        <v>9.1999999999999993</v>
      </c>
      <c r="C136" s="3">
        <v>52.677999999999997</v>
      </c>
      <c r="D136" s="3">
        <v>46.845999999999997</v>
      </c>
      <c r="E136">
        <v>70.331999999999994</v>
      </c>
      <c r="F136">
        <v>49.326000000000001</v>
      </c>
      <c r="G136">
        <v>65.917000000000002</v>
      </c>
      <c r="H136" s="3">
        <v>62.378999999999998</v>
      </c>
      <c r="I136" s="3">
        <v>39.902999999999999</v>
      </c>
      <c r="J136">
        <v>56.341000000000001</v>
      </c>
      <c r="K136">
        <v>67.878</v>
      </c>
      <c r="L136" s="3">
        <v>57.314</v>
      </c>
      <c r="M136" s="3">
        <v>61.207000000000001</v>
      </c>
    </row>
    <row r="137" spans="2:13" x14ac:dyDescent="0.2">
      <c r="B137" s="6">
        <v>9.2333333333333325</v>
      </c>
      <c r="C137" s="3">
        <v>52.465000000000003</v>
      </c>
      <c r="D137" s="3">
        <v>46.441000000000003</v>
      </c>
      <c r="E137">
        <v>70.332999999999998</v>
      </c>
      <c r="F137">
        <v>49.209000000000003</v>
      </c>
      <c r="G137">
        <v>65.790000000000006</v>
      </c>
      <c r="H137" s="3">
        <v>62.08</v>
      </c>
      <c r="I137" s="3">
        <v>39.734000000000002</v>
      </c>
      <c r="J137">
        <v>56.244</v>
      </c>
      <c r="K137">
        <v>67.760000000000005</v>
      </c>
      <c r="L137" s="3">
        <v>57.203000000000003</v>
      </c>
      <c r="M137" s="3">
        <v>61.027000000000001</v>
      </c>
    </row>
    <row r="138" spans="2:13" x14ac:dyDescent="0.2">
      <c r="B138" s="6">
        <v>9.2666666666666675</v>
      </c>
      <c r="C138" s="3">
        <v>52.287999999999997</v>
      </c>
      <c r="D138" s="3">
        <v>46.100999999999999</v>
      </c>
      <c r="E138">
        <v>70.218999999999994</v>
      </c>
      <c r="F138">
        <v>48.945</v>
      </c>
      <c r="G138">
        <v>65.626999999999995</v>
      </c>
      <c r="H138" s="3">
        <v>62.084000000000003</v>
      </c>
      <c r="I138" s="3">
        <v>39.555999999999997</v>
      </c>
      <c r="J138">
        <v>56.027999999999999</v>
      </c>
      <c r="K138">
        <v>67.647999999999996</v>
      </c>
      <c r="L138" s="3">
        <v>56.996000000000002</v>
      </c>
      <c r="M138" s="3">
        <v>61.076000000000001</v>
      </c>
    </row>
    <row r="139" spans="2:13" x14ac:dyDescent="0.2">
      <c r="B139" s="6">
        <v>9.3000000000000007</v>
      </c>
      <c r="C139" s="3">
        <v>52.148000000000003</v>
      </c>
      <c r="D139" s="3">
        <v>46.027999999999999</v>
      </c>
      <c r="E139">
        <v>70.281000000000006</v>
      </c>
      <c r="F139">
        <v>48.853999999999999</v>
      </c>
      <c r="G139">
        <v>65.537999999999997</v>
      </c>
      <c r="H139" s="3">
        <v>61.939</v>
      </c>
      <c r="I139" s="3">
        <v>39.319000000000003</v>
      </c>
      <c r="J139">
        <v>55.926000000000002</v>
      </c>
      <c r="K139">
        <v>67.588999999999999</v>
      </c>
      <c r="L139" s="3">
        <v>56.820999999999998</v>
      </c>
      <c r="M139" s="3">
        <v>60.652000000000001</v>
      </c>
    </row>
    <row r="140" spans="2:13" x14ac:dyDescent="0.2">
      <c r="B140" s="6">
        <v>9.3333333333333339</v>
      </c>
      <c r="C140" s="3">
        <v>52.113</v>
      </c>
      <c r="D140" s="3">
        <v>45.85</v>
      </c>
      <c r="E140">
        <v>70.125</v>
      </c>
      <c r="F140">
        <v>48.65</v>
      </c>
      <c r="G140">
        <v>65.44</v>
      </c>
      <c r="H140" s="3">
        <v>61.890999999999998</v>
      </c>
      <c r="I140" s="3">
        <v>39.098999999999997</v>
      </c>
      <c r="J140">
        <v>55.631</v>
      </c>
      <c r="K140">
        <v>67.525999999999996</v>
      </c>
      <c r="L140" s="3">
        <v>56.654000000000003</v>
      </c>
      <c r="M140" s="3">
        <v>60.338999999999999</v>
      </c>
    </row>
    <row r="141" spans="2:13" x14ac:dyDescent="0.2">
      <c r="B141" s="6">
        <v>9.3666666666666671</v>
      </c>
      <c r="C141" s="3">
        <v>51.774999999999999</v>
      </c>
      <c r="D141" s="3">
        <v>45.673000000000002</v>
      </c>
      <c r="E141">
        <v>70.153000000000006</v>
      </c>
      <c r="F141">
        <v>48.304000000000002</v>
      </c>
      <c r="G141">
        <v>65.331999999999994</v>
      </c>
      <c r="H141" s="3">
        <v>61.628</v>
      </c>
      <c r="I141" s="3">
        <v>38.921999999999997</v>
      </c>
      <c r="J141">
        <v>55.521000000000001</v>
      </c>
      <c r="K141">
        <v>67.370999999999995</v>
      </c>
      <c r="L141" s="3">
        <v>56.475000000000001</v>
      </c>
      <c r="M141" s="3">
        <v>60.509</v>
      </c>
    </row>
    <row r="142" spans="2:13" x14ac:dyDescent="0.2">
      <c r="B142" s="6">
        <v>9.4</v>
      </c>
      <c r="C142" s="3">
        <v>51.524000000000001</v>
      </c>
      <c r="D142" s="3">
        <v>45.570999999999998</v>
      </c>
      <c r="E142">
        <v>70.022999999999996</v>
      </c>
      <c r="F142">
        <v>48.23</v>
      </c>
      <c r="G142">
        <v>65.162999999999997</v>
      </c>
      <c r="H142" s="3">
        <v>61.628999999999998</v>
      </c>
      <c r="I142" s="3">
        <v>38.600999999999999</v>
      </c>
      <c r="J142">
        <v>55.326000000000001</v>
      </c>
      <c r="K142">
        <v>67.325000000000003</v>
      </c>
      <c r="L142" s="3">
        <v>56.298999999999999</v>
      </c>
      <c r="M142" s="3">
        <v>60.271999999999998</v>
      </c>
    </row>
    <row r="143" spans="2:13" x14ac:dyDescent="0.2">
      <c r="B143" s="6">
        <v>9.4333333333333336</v>
      </c>
      <c r="C143" s="3">
        <v>51.329000000000001</v>
      </c>
      <c r="D143" s="3">
        <v>45.418999999999997</v>
      </c>
      <c r="E143">
        <v>69.900000000000006</v>
      </c>
      <c r="F143">
        <v>48.048999999999999</v>
      </c>
      <c r="G143">
        <v>65.022999999999996</v>
      </c>
      <c r="H143" s="3">
        <v>61.487000000000002</v>
      </c>
      <c r="I143" s="3">
        <v>38.334000000000003</v>
      </c>
      <c r="J143">
        <v>55.03</v>
      </c>
      <c r="K143">
        <v>67.128</v>
      </c>
      <c r="L143" s="3">
        <v>56.040999999999997</v>
      </c>
      <c r="M143" s="3">
        <v>60.030999999999999</v>
      </c>
    </row>
    <row r="144" spans="2:13" x14ac:dyDescent="0.2">
      <c r="B144" s="6">
        <v>9.4666666666666668</v>
      </c>
      <c r="C144" s="3">
        <v>51.091999999999999</v>
      </c>
      <c r="D144" s="3">
        <v>45.213000000000001</v>
      </c>
      <c r="E144">
        <v>69.484999999999999</v>
      </c>
      <c r="F144">
        <v>47.850999999999999</v>
      </c>
      <c r="G144">
        <v>64.918000000000006</v>
      </c>
      <c r="H144" s="3">
        <v>61.253</v>
      </c>
      <c r="I144" s="3">
        <v>38.204000000000001</v>
      </c>
      <c r="J144">
        <v>55.015999999999998</v>
      </c>
      <c r="K144">
        <v>67.116</v>
      </c>
      <c r="L144" s="3">
        <v>55.956000000000003</v>
      </c>
      <c r="M144" s="3">
        <v>59.901000000000003</v>
      </c>
    </row>
    <row r="145" spans="2:13" x14ac:dyDescent="0.2">
      <c r="B145" s="6">
        <v>9.5</v>
      </c>
      <c r="C145" s="3">
        <v>50.984000000000002</v>
      </c>
      <c r="D145" s="3">
        <v>45.064</v>
      </c>
      <c r="E145">
        <v>69.632000000000005</v>
      </c>
      <c r="F145">
        <v>47.674999999999997</v>
      </c>
      <c r="G145">
        <v>64.760000000000005</v>
      </c>
      <c r="H145" s="3">
        <v>61.182000000000002</v>
      </c>
      <c r="I145" s="3">
        <v>38.002000000000002</v>
      </c>
      <c r="J145">
        <v>54.936</v>
      </c>
      <c r="K145">
        <v>67.006</v>
      </c>
      <c r="L145" s="3">
        <v>55.749000000000002</v>
      </c>
      <c r="M145" s="3">
        <v>59.685000000000002</v>
      </c>
    </row>
    <row r="146" spans="2:13" x14ac:dyDescent="0.2">
      <c r="B146" s="6">
        <v>9.5333333333333332</v>
      </c>
      <c r="C146" s="3">
        <v>50.853999999999999</v>
      </c>
      <c r="D146" s="3">
        <v>44.762999999999998</v>
      </c>
      <c r="E146">
        <v>69.504000000000005</v>
      </c>
      <c r="F146">
        <v>47.423999999999999</v>
      </c>
      <c r="G146">
        <v>64.658000000000001</v>
      </c>
      <c r="H146" s="3">
        <v>61.112000000000002</v>
      </c>
      <c r="I146" s="3">
        <v>37.747</v>
      </c>
      <c r="J146">
        <v>54.656999999999996</v>
      </c>
      <c r="K146">
        <v>66.875</v>
      </c>
      <c r="L146" s="3">
        <v>55.545000000000002</v>
      </c>
      <c r="M146" s="3">
        <v>59.378</v>
      </c>
    </row>
    <row r="147" spans="2:13" x14ac:dyDescent="0.2">
      <c r="B147" s="6">
        <v>9.5666666666666664</v>
      </c>
      <c r="C147" s="3">
        <v>50.588000000000001</v>
      </c>
      <c r="D147" s="3">
        <v>44.594000000000001</v>
      </c>
      <c r="E147">
        <v>69.186000000000007</v>
      </c>
      <c r="F147">
        <v>47.234999999999999</v>
      </c>
      <c r="G147">
        <v>64.468999999999994</v>
      </c>
      <c r="H147" s="3">
        <v>61.012</v>
      </c>
      <c r="I147" s="3">
        <v>37.54</v>
      </c>
      <c r="J147">
        <v>54.543999999999997</v>
      </c>
      <c r="K147">
        <v>66.772999999999996</v>
      </c>
      <c r="L147" s="3">
        <v>55.320999999999998</v>
      </c>
      <c r="M147" s="3">
        <v>59.222000000000001</v>
      </c>
    </row>
    <row r="148" spans="2:13" x14ac:dyDescent="0.2">
      <c r="B148" s="6">
        <v>9.6</v>
      </c>
      <c r="C148" s="3">
        <v>50.536000000000001</v>
      </c>
      <c r="D148" s="3">
        <v>44.585999999999999</v>
      </c>
      <c r="E148">
        <v>69.230999999999995</v>
      </c>
      <c r="F148">
        <v>47.1</v>
      </c>
      <c r="G148">
        <v>64.403999999999996</v>
      </c>
      <c r="H148" s="3">
        <v>60.975000000000001</v>
      </c>
      <c r="I148" s="3">
        <v>37.381</v>
      </c>
      <c r="J148">
        <v>54.231000000000002</v>
      </c>
      <c r="K148">
        <v>66.638999999999996</v>
      </c>
      <c r="L148" s="3">
        <v>55.238</v>
      </c>
      <c r="M148" s="3">
        <v>59.268999999999998</v>
      </c>
    </row>
    <row r="149" spans="2:13" x14ac:dyDescent="0.2">
      <c r="B149" s="6">
        <v>9.6333333333333329</v>
      </c>
      <c r="C149" s="3">
        <v>50.43</v>
      </c>
      <c r="D149" s="3">
        <v>44.353000000000002</v>
      </c>
      <c r="E149">
        <v>68.998999999999995</v>
      </c>
      <c r="F149">
        <v>46.825000000000003</v>
      </c>
      <c r="G149">
        <v>64.260999999999996</v>
      </c>
      <c r="H149" s="3">
        <v>60.774000000000001</v>
      </c>
      <c r="I149" s="3">
        <v>37.174999999999997</v>
      </c>
      <c r="J149">
        <v>54.16</v>
      </c>
      <c r="K149">
        <v>66.519000000000005</v>
      </c>
      <c r="L149" s="3">
        <v>55.023000000000003</v>
      </c>
      <c r="M149" s="3">
        <v>58.741</v>
      </c>
    </row>
    <row r="150" spans="2:13" x14ac:dyDescent="0.2">
      <c r="B150" s="6">
        <v>9.6666666666666661</v>
      </c>
      <c r="C150" s="3">
        <v>50.155999999999999</v>
      </c>
      <c r="D150" s="3">
        <v>44</v>
      </c>
      <c r="E150">
        <v>68.832999999999998</v>
      </c>
      <c r="F150">
        <v>46.682000000000002</v>
      </c>
      <c r="G150">
        <v>64.153000000000006</v>
      </c>
      <c r="H150" s="3">
        <v>60.723999999999997</v>
      </c>
      <c r="I150" s="3">
        <v>36.933999999999997</v>
      </c>
      <c r="J150">
        <v>54.054000000000002</v>
      </c>
      <c r="K150">
        <v>66.448999999999998</v>
      </c>
      <c r="L150" s="3">
        <v>54.765000000000001</v>
      </c>
      <c r="M150" s="3">
        <v>58.81</v>
      </c>
    </row>
    <row r="151" spans="2:13" x14ac:dyDescent="0.2">
      <c r="B151" s="6">
        <v>9.6999999999999993</v>
      </c>
      <c r="C151" s="3">
        <v>50.063000000000002</v>
      </c>
      <c r="D151" s="3">
        <v>43.89</v>
      </c>
      <c r="E151">
        <v>68.837000000000003</v>
      </c>
      <c r="F151">
        <v>46.539000000000001</v>
      </c>
      <c r="G151">
        <v>64.004000000000005</v>
      </c>
      <c r="H151" s="3">
        <v>60.587000000000003</v>
      </c>
      <c r="I151" s="3">
        <v>36.834000000000003</v>
      </c>
      <c r="J151">
        <v>53.976999999999997</v>
      </c>
      <c r="K151">
        <v>66.319999999999993</v>
      </c>
      <c r="L151" s="3">
        <v>54.652999999999999</v>
      </c>
      <c r="M151" s="3">
        <v>58.7</v>
      </c>
    </row>
    <row r="152" spans="2:13" x14ac:dyDescent="0.2">
      <c r="B152" s="6">
        <v>9.7333333333333325</v>
      </c>
      <c r="C152" s="3">
        <v>49.834000000000003</v>
      </c>
      <c r="D152" s="3">
        <v>43.689</v>
      </c>
      <c r="E152">
        <v>68.688999999999993</v>
      </c>
      <c r="F152">
        <v>46.363</v>
      </c>
      <c r="G152">
        <v>63.908999999999999</v>
      </c>
      <c r="H152" s="3">
        <v>60.345999999999997</v>
      </c>
      <c r="I152" s="3">
        <v>36.588999999999999</v>
      </c>
      <c r="J152">
        <v>53.822000000000003</v>
      </c>
      <c r="K152">
        <v>66.231999999999999</v>
      </c>
      <c r="L152" s="3">
        <v>54.552</v>
      </c>
      <c r="M152" s="3">
        <v>58.369</v>
      </c>
    </row>
    <row r="153" spans="2:13" x14ac:dyDescent="0.2">
      <c r="B153" s="6">
        <v>9.7666666666666675</v>
      </c>
      <c r="C153" s="3">
        <v>49.646999999999998</v>
      </c>
      <c r="D153" s="3">
        <v>43.481999999999999</v>
      </c>
      <c r="E153">
        <v>68.616</v>
      </c>
      <c r="F153">
        <v>46.143000000000001</v>
      </c>
      <c r="G153">
        <v>63.698</v>
      </c>
      <c r="H153" s="3">
        <v>60.276000000000003</v>
      </c>
      <c r="I153" s="3">
        <v>36.292000000000002</v>
      </c>
      <c r="J153">
        <v>53.688000000000002</v>
      </c>
      <c r="K153">
        <v>66.183000000000007</v>
      </c>
      <c r="L153" s="3">
        <v>54.343000000000004</v>
      </c>
      <c r="M153" s="3">
        <v>58.274000000000001</v>
      </c>
    </row>
    <row r="154" spans="2:13" x14ac:dyDescent="0.2">
      <c r="B154" s="6">
        <v>9.8000000000000007</v>
      </c>
      <c r="C154" s="3">
        <v>49.505000000000003</v>
      </c>
      <c r="D154" s="3">
        <v>43.276000000000003</v>
      </c>
      <c r="E154">
        <v>68.606999999999999</v>
      </c>
      <c r="F154">
        <v>45.987000000000002</v>
      </c>
      <c r="G154">
        <v>63.603999999999999</v>
      </c>
      <c r="H154" s="3">
        <v>60.226999999999997</v>
      </c>
      <c r="I154" s="3">
        <v>36.113999999999997</v>
      </c>
      <c r="J154">
        <v>53.56</v>
      </c>
      <c r="K154">
        <v>66.066000000000003</v>
      </c>
      <c r="L154" s="3">
        <v>54.14</v>
      </c>
      <c r="M154" s="3">
        <v>58.198999999999998</v>
      </c>
    </row>
    <row r="155" spans="2:13" x14ac:dyDescent="0.2">
      <c r="B155" s="6">
        <v>9.8333333333333339</v>
      </c>
      <c r="C155" s="3">
        <v>49.293999999999997</v>
      </c>
      <c r="D155" s="3">
        <v>43.11</v>
      </c>
      <c r="E155">
        <v>68.445999999999998</v>
      </c>
      <c r="F155">
        <v>45.73</v>
      </c>
      <c r="G155">
        <v>63.460999999999999</v>
      </c>
      <c r="H155" s="3">
        <v>60.034999999999997</v>
      </c>
      <c r="I155" s="3">
        <v>35.83</v>
      </c>
      <c r="J155">
        <v>53.396999999999998</v>
      </c>
      <c r="K155">
        <v>65.947999999999993</v>
      </c>
      <c r="L155" s="3">
        <v>54.027999999999999</v>
      </c>
      <c r="M155" s="3">
        <v>58.091000000000001</v>
      </c>
    </row>
    <row r="156" spans="2:13" x14ac:dyDescent="0.2">
      <c r="B156" s="6">
        <v>9.8666666666666671</v>
      </c>
      <c r="C156" s="3">
        <v>49.183</v>
      </c>
      <c r="D156" s="3">
        <v>42.926000000000002</v>
      </c>
      <c r="E156">
        <v>68.082999999999998</v>
      </c>
      <c r="F156">
        <v>45.57</v>
      </c>
      <c r="G156">
        <v>63.283999999999999</v>
      </c>
      <c r="H156" s="3">
        <v>59.887</v>
      </c>
      <c r="I156" s="3">
        <v>35.756</v>
      </c>
      <c r="J156">
        <v>53.295000000000002</v>
      </c>
      <c r="K156">
        <v>65.787000000000006</v>
      </c>
      <c r="L156" s="3">
        <v>53.871000000000002</v>
      </c>
      <c r="M156" s="3">
        <v>57.963000000000001</v>
      </c>
    </row>
    <row r="157" spans="2:13" x14ac:dyDescent="0.2">
      <c r="B157" s="6">
        <v>9.9</v>
      </c>
      <c r="C157" s="3">
        <v>48.933</v>
      </c>
      <c r="D157" s="3">
        <v>42.811</v>
      </c>
      <c r="E157">
        <v>68.385999999999996</v>
      </c>
      <c r="F157">
        <v>45.372999999999998</v>
      </c>
      <c r="G157">
        <v>63.173999999999999</v>
      </c>
      <c r="H157" s="3">
        <v>59.762999999999998</v>
      </c>
      <c r="I157" s="3">
        <v>35.521999999999998</v>
      </c>
      <c r="J157">
        <v>53.112000000000002</v>
      </c>
      <c r="K157">
        <v>65.748999999999995</v>
      </c>
      <c r="L157" s="3">
        <v>53.664000000000001</v>
      </c>
      <c r="M157" s="3">
        <v>57.805999999999997</v>
      </c>
    </row>
    <row r="158" spans="2:13" x14ac:dyDescent="0.2">
      <c r="B158" s="6">
        <v>9.9333333333333336</v>
      </c>
      <c r="C158" s="3">
        <v>48.783999999999999</v>
      </c>
      <c r="D158" s="3">
        <v>42.555</v>
      </c>
      <c r="E158">
        <v>68</v>
      </c>
      <c r="F158">
        <v>45.19</v>
      </c>
      <c r="G158">
        <v>62.99</v>
      </c>
      <c r="H158" s="3">
        <v>59.646999999999998</v>
      </c>
      <c r="I158" s="3">
        <v>35.35</v>
      </c>
      <c r="J158">
        <v>52.923999999999999</v>
      </c>
      <c r="K158">
        <v>65.662000000000006</v>
      </c>
      <c r="L158" s="3">
        <v>53.401000000000003</v>
      </c>
      <c r="M158" s="3">
        <v>57.588999999999999</v>
      </c>
    </row>
    <row r="159" spans="2:13" x14ac:dyDescent="0.2">
      <c r="B159" s="6">
        <v>9.9666666666666668</v>
      </c>
      <c r="C159" s="3">
        <v>48.637999999999998</v>
      </c>
      <c r="D159" s="3">
        <v>42.432000000000002</v>
      </c>
      <c r="E159">
        <v>68.227000000000004</v>
      </c>
      <c r="F159">
        <v>45.023000000000003</v>
      </c>
      <c r="G159">
        <v>62.917000000000002</v>
      </c>
      <c r="H159" s="3">
        <v>59.497</v>
      </c>
      <c r="I159" s="3">
        <v>35.095999999999997</v>
      </c>
      <c r="J159">
        <v>52.847000000000001</v>
      </c>
      <c r="K159">
        <v>65.521000000000001</v>
      </c>
      <c r="L159" s="3">
        <v>53.271999999999998</v>
      </c>
      <c r="M159" s="3">
        <v>57.424999999999997</v>
      </c>
    </row>
    <row r="160" spans="2:13" x14ac:dyDescent="0.2">
      <c r="B160" s="6">
        <v>10</v>
      </c>
      <c r="C160" s="3">
        <v>48.423000000000002</v>
      </c>
      <c r="D160" s="3">
        <v>42.384</v>
      </c>
      <c r="E160">
        <v>68.138999999999996</v>
      </c>
      <c r="F160">
        <v>44.872999999999998</v>
      </c>
      <c r="G160">
        <v>62.731999999999999</v>
      </c>
      <c r="H160" s="3">
        <v>59.363</v>
      </c>
      <c r="I160" s="3">
        <v>34.837000000000003</v>
      </c>
      <c r="J160">
        <v>52.765000000000001</v>
      </c>
      <c r="K160">
        <v>65.462999999999994</v>
      </c>
      <c r="L160" s="3">
        <v>53.073</v>
      </c>
      <c r="M160" s="3">
        <v>57.192999999999998</v>
      </c>
    </row>
    <row r="464" spans="6:6" x14ac:dyDescent="0.2">
      <c r="F464" s="1"/>
    </row>
    <row r="466" spans="6:6" x14ac:dyDescent="0.2">
      <c r="F466" s="1"/>
    </row>
    <row r="468" spans="6:6" x14ac:dyDescent="0.2">
      <c r="F468" s="1"/>
    </row>
    <row r="470" spans="6:6" x14ac:dyDescent="0.2">
      <c r="F470" s="1"/>
    </row>
    <row r="1936" spans="4:4" x14ac:dyDescent="0.2">
      <c r="D1936" t="s">
        <v>0</v>
      </c>
    </row>
    <row r="1938" spans="4:6" x14ac:dyDescent="0.2">
      <c r="D1938" t="s">
        <v>1</v>
      </c>
    </row>
    <row r="1940" spans="4:6" x14ac:dyDescent="0.2">
      <c r="D1940" t="s">
        <v>0</v>
      </c>
    </row>
    <row r="1942" spans="4:6" x14ac:dyDescent="0.2">
      <c r="D1942" t="s">
        <v>2</v>
      </c>
    </row>
    <row r="1944" spans="4:6" x14ac:dyDescent="0.2">
      <c r="D1944">
        <v>18</v>
      </c>
      <c r="F1944" s="1"/>
    </row>
    <row r="1946" spans="4:6" x14ac:dyDescent="0.2">
      <c r="D1946">
        <v>18</v>
      </c>
      <c r="F1946" s="1"/>
    </row>
    <row r="1948" spans="4:6" x14ac:dyDescent="0.2">
      <c r="D1948">
        <v>18</v>
      </c>
      <c r="F1948" s="1"/>
    </row>
    <row r="1950" spans="4:6" x14ac:dyDescent="0.2">
      <c r="D1950">
        <v>18</v>
      </c>
      <c r="F1950" s="1"/>
    </row>
    <row r="1956" spans="4:4" x14ac:dyDescent="0.2">
      <c r="D1956" t="s">
        <v>3</v>
      </c>
    </row>
    <row r="1958" spans="4:4" x14ac:dyDescent="0.2">
      <c r="D1958">
        <v>21.988</v>
      </c>
    </row>
    <row r="1960" spans="4:4" x14ac:dyDescent="0.2">
      <c r="D1960">
        <v>21.009</v>
      </c>
    </row>
    <row r="1962" spans="4:4" x14ac:dyDescent="0.2">
      <c r="D1962">
        <v>21.164000000000001</v>
      </c>
    </row>
    <row r="1964" spans="4:4" x14ac:dyDescent="0.2">
      <c r="D1964">
        <v>20.821000000000002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0"/>
  <sheetViews>
    <sheetView workbookViewId="0">
      <selection sqref="A1:S2"/>
    </sheetView>
  </sheetViews>
  <sheetFormatPr baseColWidth="10" defaultRowHeight="16" x14ac:dyDescent="0.2"/>
  <cols>
    <col min="1" max="1" width="13.33203125" bestFit="1" customWidth="1"/>
  </cols>
  <sheetData>
    <row r="1" spans="1:42" x14ac:dyDescent="0.2">
      <c r="A1" t="s">
        <v>75</v>
      </c>
      <c r="B1" s="51">
        <v>17.329999999999998</v>
      </c>
      <c r="C1" s="5">
        <v>16.989999999999998</v>
      </c>
      <c r="D1" s="119">
        <v>17.25</v>
      </c>
      <c r="E1" s="8">
        <v>22.14</v>
      </c>
      <c r="F1" s="8">
        <v>16.47</v>
      </c>
      <c r="G1" s="5">
        <v>11.83</v>
      </c>
      <c r="H1" s="8">
        <v>9.24</v>
      </c>
      <c r="I1" s="8">
        <v>11.44</v>
      </c>
      <c r="J1" s="51">
        <v>19.07</v>
      </c>
      <c r="K1" s="5">
        <v>11.35</v>
      </c>
      <c r="L1" s="8">
        <v>15.59</v>
      </c>
      <c r="M1" s="6">
        <v>20</v>
      </c>
      <c r="N1" s="6">
        <v>21</v>
      </c>
      <c r="O1" s="6">
        <v>23</v>
      </c>
      <c r="P1" s="6">
        <v>17</v>
      </c>
      <c r="Q1" s="120">
        <v>13</v>
      </c>
      <c r="R1" s="6">
        <v>20</v>
      </c>
      <c r="S1" s="6">
        <v>14</v>
      </c>
    </row>
    <row r="2" spans="1:42" s="5" customFormat="1" x14ac:dyDescent="0.2">
      <c r="A2" s="51" t="s">
        <v>39</v>
      </c>
      <c r="B2" s="5">
        <v>1.44</v>
      </c>
      <c r="C2" s="5">
        <v>0.998</v>
      </c>
      <c r="D2" s="8">
        <v>0.96799999999999997</v>
      </c>
      <c r="E2" s="8">
        <v>1.57</v>
      </c>
      <c r="F2" s="8">
        <v>1.0249999999999999</v>
      </c>
      <c r="G2" s="5">
        <v>0.83499999999999996</v>
      </c>
      <c r="H2" s="8">
        <v>0.73399999999999999</v>
      </c>
      <c r="I2" s="8">
        <v>0.93899999999999995</v>
      </c>
      <c r="J2" s="5">
        <v>0.97699999999999998</v>
      </c>
      <c r="K2" s="8">
        <v>0.94199999999999995</v>
      </c>
      <c r="L2" s="8">
        <v>1.3620000000000001</v>
      </c>
      <c r="M2" s="9">
        <v>1.47</v>
      </c>
      <c r="N2" s="27">
        <v>1.095</v>
      </c>
      <c r="O2" s="27">
        <v>1.679</v>
      </c>
      <c r="P2" s="27">
        <v>0.93799999999999994</v>
      </c>
      <c r="Q2" s="27">
        <v>1.202</v>
      </c>
      <c r="R2" s="27">
        <v>1.7</v>
      </c>
      <c r="S2" s="60">
        <v>0.98799999999999999</v>
      </c>
    </row>
    <row r="3" spans="1:42" s="5" customFormat="1" x14ac:dyDescent="0.2">
      <c r="A3" s="51" t="s">
        <v>48</v>
      </c>
      <c r="B3" s="5">
        <v>1780</v>
      </c>
      <c r="C3" s="5">
        <v>1814</v>
      </c>
      <c r="D3" s="5">
        <v>1820</v>
      </c>
      <c r="E3" s="5">
        <v>1896</v>
      </c>
      <c r="F3" s="5">
        <v>1854</v>
      </c>
      <c r="G3" s="5">
        <v>1779</v>
      </c>
      <c r="H3" s="5">
        <v>1814</v>
      </c>
      <c r="I3" s="5">
        <v>1817</v>
      </c>
      <c r="J3" s="5">
        <v>1816</v>
      </c>
      <c r="K3" s="5">
        <v>1905</v>
      </c>
      <c r="L3" s="5">
        <v>1856</v>
      </c>
      <c r="M3" s="5">
        <v>1814.87</v>
      </c>
      <c r="N3" s="5">
        <v>1843.33</v>
      </c>
      <c r="O3" s="5">
        <v>1810.71</v>
      </c>
      <c r="P3" s="5">
        <v>1822.92</v>
      </c>
      <c r="Q3" s="9">
        <f>1840-Q2</f>
        <v>1838.798</v>
      </c>
      <c r="R3" s="5">
        <v>1901.1</v>
      </c>
      <c r="S3" s="61">
        <v>1862</v>
      </c>
    </row>
    <row r="4" spans="1:42" s="5" customFormat="1" x14ac:dyDescent="0.2">
      <c r="A4" s="51" t="s">
        <v>47</v>
      </c>
      <c r="B4" s="5">
        <v>10</v>
      </c>
      <c r="C4" s="8">
        <v>16</v>
      </c>
      <c r="D4" s="8">
        <v>20</v>
      </c>
      <c r="E4" s="8">
        <v>24</v>
      </c>
      <c r="F4" s="8">
        <v>21</v>
      </c>
      <c r="G4" s="5">
        <v>11</v>
      </c>
      <c r="H4" s="8">
        <v>16</v>
      </c>
      <c r="I4" s="8">
        <v>18</v>
      </c>
      <c r="J4" s="5">
        <v>24</v>
      </c>
      <c r="K4" s="8">
        <v>15</v>
      </c>
      <c r="L4" s="8">
        <v>19</v>
      </c>
      <c r="M4" s="9">
        <v>1.47</v>
      </c>
      <c r="N4" s="9">
        <v>1.095</v>
      </c>
      <c r="O4" s="9">
        <v>1.679</v>
      </c>
      <c r="P4" s="9">
        <v>0.93799999999999994</v>
      </c>
      <c r="Q4" s="9">
        <v>1.202</v>
      </c>
      <c r="R4" s="9">
        <v>1.7</v>
      </c>
      <c r="S4" s="62">
        <v>0.98799999999999999</v>
      </c>
    </row>
    <row r="5" spans="1:42" s="5" customFormat="1" x14ac:dyDescent="0.2">
      <c r="A5" s="51" t="s">
        <v>17</v>
      </c>
      <c r="B5" s="17">
        <f t="shared" ref="B5:L5" si="0">(B3-B4)/1000</f>
        <v>1.77</v>
      </c>
      <c r="C5" s="17">
        <f t="shared" si="0"/>
        <v>1.798</v>
      </c>
      <c r="D5" s="17">
        <f t="shared" si="0"/>
        <v>1.8</v>
      </c>
      <c r="E5" s="17">
        <f t="shared" si="0"/>
        <v>1.8720000000000001</v>
      </c>
      <c r="F5" s="17">
        <f t="shared" si="0"/>
        <v>1.833</v>
      </c>
      <c r="G5" s="17">
        <f t="shared" si="0"/>
        <v>1.768</v>
      </c>
      <c r="H5" s="17">
        <f t="shared" si="0"/>
        <v>1.798</v>
      </c>
      <c r="I5" s="17">
        <f t="shared" si="0"/>
        <v>1.7989999999999999</v>
      </c>
      <c r="J5" s="17">
        <f t="shared" si="0"/>
        <v>1.792</v>
      </c>
      <c r="K5" s="17">
        <f t="shared" si="0"/>
        <v>1.89</v>
      </c>
      <c r="L5" s="17">
        <f t="shared" si="0"/>
        <v>1.837</v>
      </c>
      <c r="M5" s="21">
        <f>M3/1000</f>
        <v>1.81487</v>
      </c>
      <c r="N5" s="21">
        <f t="shared" ref="N5:S5" si="1">N3/1000</f>
        <v>1.8433299999999999</v>
      </c>
      <c r="O5" s="21">
        <f t="shared" si="1"/>
        <v>1.81071</v>
      </c>
      <c r="P5" s="21">
        <f t="shared" si="1"/>
        <v>1.8229200000000001</v>
      </c>
      <c r="Q5" s="21">
        <f t="shared" si="1"/>
        <v>1.8387979999999999</v>
      </c>
      <c r="R5" s="21">
        <f t="shared" si="1"/>
        <v>1.9011</v>
      </c>
      <c r="S5" s="63">
        <f t="shared" si="1"/>
        <v>1.8620000000000001</v>
      </c>
    </row>
    <row r="6" spans="1:42" s="5" customFormat="1" x14ac:dyDescent="0.2">
      <c r="A6" s="51" t="s">
        <v>20</v>
      </c>
      <c r="B6" s="9">
        <f t="shared" ref="B6:S6" si="2">SLOPE(B10:B310,$A10:$A310)</f>
        <v>-5.2327624650722742</v>
      </c>
      <c r="C6" s="9">
        <f t="shared" si="2"/>
        <v>-4.4020854018613456</v>
      </c>
      <c r="D6" s="9">
        <f t="shared" si="2"/>
        <v>-5.4695158830388753</v>
      </c>
      <c r="E6" s="9">
        <f t="shared" si="2"/>
        <v>-4.9822371520978619</v>
      </c>
      <c r="F6" s="9">
        <f t="shared" si="2"/>
        <v>-3.854860979956436</v>
      </c>
      <c r="G6" s="9">
        <f t="shared" si="2"/>
        <v>-4.5390891993575488</v>
      </c>
      <c r="H6" s="9">
        <f t="shared" si="2"/>
        <v>-4.3905588963939204</v>
      </c>
      <c r="I6" s="9">
        <f t="shared" si="2"/>
        <v>-3.0507021187652641</v>
      </c>
      <c r="J6" s="9">
        <f t="shared" si="2"/>
        <v>-4.458079021363667</v>
      </c>
      <c r="K6" s="9">
        <f t="shared" si="2"/>
        <v>-3.825578191898964</v>
      </c>
      <c r="L6" s="9">
        <f t="shared" si="2"/>
        <v>-3.7089185276451535</v>
      </c>
      <c r="M6" s="9">
        <f t="shared" si="2"/>
        <v>-5.3706309300125392</v>
      </c>
      <c r="N6" s="9">
        <f t="shared" si="2"/>
        <v>-4.5637221887307211</v>
      </c>
      <c r="O6" s="9">
        <f t="shared" si="2"/>
        <v>-5.0300742777936645</v>
      </c>
      <c r="P6" s="9">
        <f t="shared" si="2"/>
        <v>-4.0221077028008185</v>
      </c>
      <c r="Q6" s="9">
        <f t="shared" si="2"/>
        <v>-5.0592787837451327</v>
      </c>
      <c r="R6" s="9">
        <f t="shared" si="2"/>
        <v>-4.3572677740863757</v>
      </c>
      <c r="S6" s="62">
        <f t="shared" si="2"/>
        <v>-4.5216206464104154</v>
      </c>
    </row>
    <row r="7" spans="1:42" s="5" customFormat="1" x14ac:dyDescent="0.2">
      <c r="A7" s="54" t="s">
        <v>49</v>
      </c>
      <c r="B7" s="9">
        <f>(-1*B5*(B6-(-0.5977))*5.31)/100</f>
        <v>0.43563561590474786</v>
      </c>
      <c r="C7" s="9">
        <f>(-1*C5*(C6-(-0.5977))*5.31)/100</f>
        <v>0.36321913098022968</v>
      </c>
      <c r="D7" s="9">
        <f>(-1*D5*(D6-(-1.3566))*5.31)/100</f>
        <v>0.39311250010085563</v>
      </c>
      <c r="E7" s="9">
        <f>(-1*E5*(E6-(-1.3566))*5.31)/100</f>
        <v>0.36039993495741418</v>
      </c>
      <c r="F7" s="9">
        <f>(-1*F5*(F6-(-1.3566))*5.31)/100</f>
        <v>0.2431614871794138</v>
      </c>
      <c r="G7" s="9">
        <f>(-1*G5*(G6-(-0.97722))*5.31)/100</f>
        <v>0.33439112993104614</v>
      </c>
      <c r="H7" s="9">
        <f>(-1*H5*(H6-(-0.9772))*5.31)/100</f>
        <v>0.32588634460253391</v>
      </c>
      <c r="I7" s="9">
        <f>(-1*I5*(I6-(-0.97722))*5.31)/100</f>
        <v>0.19807331901107747</v>
      </c>
      <c r="J7" s="9">
        <f>(-1*J5*(J6-(-0.9772))*5.31)/100</f>
        <v>0.33122373945366396</v>
      </c>
      <c r="K7" s="9">
        <f>(-1*K5*(K6-(-0.9772))*5.31)/100</f>
        <v>0.28586038696078808</v>
      </c>
      <c r="L7" s="9">
        <f>(-1*L5*(L6-(-0.9772))*5.31)/100</f>
        <v>0.26646466426358817</v>
      </c>
      <c r="M7" s="9">
        <f>(-1*M5*(M6-(-1.2482))*5.31)/100</f>
        <v>0.39727700738564359</v>
      </c>
      <c r="N7" s="9">
        <f>(-1*N5*(N6-(-1.248))*5.31)/100</f>
        <v>0.32454561667232423</v>
      </c>
      <c r="O7" s="9">
        <f>(-1*O5*(O6-(-1.2482))*5.31)/100</f>
        <v>0.36362229915517397</v>
      </c>
      <c r="P7" s="9">
        <f>(-1*P5*(P6-(-1.2482))*5.31)/100</f>
        <v>0.26850608815121141</v>
      </c>
      <c r="Q7" s="9">
        <f>(-1*Q5*(Q6-(-1.248))*5.31)/100</f>
        <v>0.37213392284512731</v>
      </c>
      <c r="R7" s="9">
        <f>(-1*R5*(R6-(-1.9863))*5.31)/100</f>
        <v>0.23934542695525882</v>
      </c>
      <c r="S7" s="62">
        <f>(-1*S5*(S6-(-1.986319))*5.31)/100</f>
        <v>0.25067085144421986</v>
      </c>
    </row>
    <row r="8" spans="1:42" s="5" customFormat="1" x14ac:dyDescent="0.2">
      <c r="A8" s="51"/>
      <c r="S8" s="61"/>
      <c r="W8"/>
      <c r="AP8" s="6"/>
    </row>
    <row r="9" spans="1:42" s="5" customFormat="1" x14ac:dyDescent="0.2">
      <c r="A9" s="55" t="s">
        <v>18</v>
      </c>
      <c r="B9" s="64" t="s">
        <v>6</v>
      </c>
      <c r="C9" s="65" t="s">
        <v>7</v>
      </c>
      <c r="D9" s="65" t="s">
        <v>8</v>
      </c>
      <c r="E9" s="65" t="s">
        <v>9</v>
      </c>
      <c r="F9" s="65" t="s">
        <v>10</v>
      </c>
      <c r="G9" s="65" t="s">
        <v>11</v>
      </c>
      <c r="H9" s="65" t="s">
        <v>12</v>
      </c>
      <c r="I9" s="65" t="s">
        <v>13</v>
      </c>
      <c r="J9" s="65" t="s">
        <v>14</v>
      </c>
      <c r="K9" s="65" t="s">
        <v>15</v>
      </c>
      <c r="L9" s="65" t="s">
        <v>16</v>
      </c>
      <c r="M9" s="66" t="s">
        <v>21</v>
      </c>
      <c r="N9" s="66" t="s">
        <v>22</v>
      </c>
      <c r="O9" s="66" t="s">
        <v>23</v>
      </c>
      <c r="P9" s="66" t="s">
        <v>24</v>
      </c>
      <c r="Q9" s="66" t="s">
        <v>25</v>
      </c>
      <c r="R9" s="66" t="s">
        <v>26</v>
      </c>
      <c r="S9" s="67" t="s">
        <v>27</v>
      </c>
      <c r="W9" s="14"/>
      <c r="AP9" s="121"/>
    </row>
    <row r="10" spans="1:42" x14ac:dyDescent="0.2">
      <c r="A10" s="6">
        <v>5</v>
      </c>
      <c r="B10">
        <v>54.039000000000001</v>
      </c>
      <c r="C10">
        <v>56.749000000000002</v>
      </c>
      <c r="D10">
        <v>52.701000000000001</v>
      </c>
      <c r="E10">
        <v>53.436999999999998</v>
      </c>
      <c r="F10">
        <v>55.293999999999997</v>
      </c>
      <c r="G10">
        <v>72.947999999999993</v>
      </c>
      <c r="H10">
        <v>71.638000000000005</v>
      </c>
      <c r="I10">
        <v>76.704999999999998</v>
      </c>
      <c r="J10">
        <v>68.775000000000006</v>
      </c>
      <c r="K10">
        <v>69.638000000000005</v>
      </c>
      <c r="L10">
        <v>68.587999999999994</v>
      </c>
      <c r="M10">
        <v>48.17</v>
      </c>
      <c r="N10">
        <v>53.154000000000003</v>
      </c>
      <c r="O10">
        <v>51.28</v>
      </c>
      <c r="P10">
        <v>56.411999999999999</v>
      </c>
      <c r="Q10">
        <v>48.790999999999997</v>
      </c>
      <c r="R10">
        <v>54.31</v>
      </c>
      <c r="S10">
        <v>52.993000000000002</v>
      </c>
    </row>
    <row r="11" spans="1:42" x14ac:dyDescent="0.2">
      <c r="A11" s="6">
        <v>5.0166666666666666</v>
      </c>
      <c r="B11">
        <v>53.969000000000001</v>
      </c>
      <c r="C11">
        <v>56.670999999999999</v>
      </c>
      <c r="D11">
        <v>52.606000000000002</v>
      </c>
      <c r="E11">
        <v>53.363</v>
      </c>
      <c r="F11">
        <v>55.194000000000003</v>
      </c>
      <c r="G11">
        <v>72.909000000000006</v>
      </c>
      <c r="H11">
        <v>71.626999999999995</v>
      </c>
      <c r="I11">
        <v>76.641999999999996</v>
      </c>
      <c r="J11">
        <v>68.747</v>
      </c>
      <c r="K11">
        <v>69.566000000000003</v>
      </c>
      <c r="L11">
        <v>68.55</v>
      </c>
      <c r="M11">
        <v>48.003</v>
      </c>
      <c r="N11">
        <v>53.097999999999999</v>
      </c>
      <c r="O11">
        <v>51.134999999999998</v>
      </c>
      <c r="P11">
        <v>56.334000000000003</v>
      </c>
      <c r="Q11">
        <v>48.460999999999999</v>
      </c>
      <c r="R11">
        <v>54.173999999999999</v>
      </c>
      <c r="S11">
        <v>52.966000000000001</v>
      </c>
    </row>
    <row r="12" spans="1:42" x14ac:dyDescent="0.2">
      <c r="A12" s="6">
        <v>5.0333333333333332</v>
      </c>
      <c r="B12">
        <v>53.896999999999998</v>
      </c>
      <c r="C12">
        <v>56.506</v>
      </c>
      <c r="D12">
        <v>52.378999999999998</v>
      </c>
      <c r="E12">
        <v>53.347000000000001</v>
      </c>
      <c r="F12">
        <v>55.161000000000001</v>
      </c>
      <c r="G12">
        <v>72.677000000000007</v>
      </c>
      <c r="H12">
        <v>71.66</v>
      </c>
      <c r="I12">
        <v>76.575999999999993</v>
      </c>
      <c r="J12">
        <v>68.774000000000001</v>
      </c>
      <c r="K12">
        <v>69.489999999999995</v>
      </c>
      <c r="L12">
        <v>68.463999999999999</v>
      </c>
      <c r="M12">
        <v>47.972999999999999</v>
      </c>
      <c r="N12">
        <v>53.098999999999997</v>
      </c>
      <c r="O12">
        <v>50.997</v>
      </c>
      <c r="P12">
        <v>56.314</v>
      </c>
      <c r="Q12">
        <v>48.396999999999998</v>
      </c>
      <c r="R12">
        <v>54.250999999999998</v>
      </c>
      <c r="S12">
        <v>52.878</v>
      </c>
    </row>
    <row r="13" spans="1:42" x14ac:dyDescent="0.2">
      <c r="A13" s="6">
        <v>5.05</v>
      </c>
      <c r="B13">
        <v>53.811</v>
      </c>
      <c r="C13">
        <v>56.302999999999997</v>
      </c>
      <c r="D13">
        <v>51.893999999999998</v>
      </c>
      <c r="E13">
        <v>53.298000000000002</v>
      </c>
      <c r="F13">
        <v>55.1</v>
      </c>
      <c r="G13">
        <v>72.718999999999994</v>
      </c>
      <c r="H13">
        <v>71.55</v>
      </c>
      <c r="I13">
        <v>76.587999999999994</v>
      </c>
      <c r="J13">
        <v>68.588999999999999</v>
      </c>
      <c r="K13">
        <v>69.417000000000002</v>
      </c>
      <c r="L13">
        <v>68.492000000000004</v>
      </c>
      <c r="M13">
        <v>47.984000000000002</v>
      </c>
      <c r="N13">
        <v>52.92</v>
      </c>
      <c r="O13">
        <v>50.917999999999999</v>
      </c>
      <c r="P13">
        <v>56.216000000000001</v>
      </c>
      <c r="Q13">
        <v>48.258000000000003</v>
      </c>
      <c r="R13">
        <v>53.957999999999998</v>
      </c>
      <c r="S13">
        <v>52.887999999999998</v>
      </c>
    </row>
    <row r="14" spans="1:42" x14ac:dyDescent="0.2">
      <c r="A14" s="6">
        <v>5.0666666666666664</v>
      </c>
      <c r="B14">
        <v>53.747</v>
      </c>
      <c r="C14">
        <v>56.274000000000001</v>
      </c>
      <c r="D14">
        <v>52.304000000000002</v>
      </c>
      <c r="E14">
        <v>53.249000000000002</v>
      </c>
      <c r="F14">
        <v>54.942</v>
      </c>
      <c r="G14">
        <v>72.704999999999998</v>
      </c>
      <c r="H14">
        <v>71.453999999999994</v>
      </c>
      <c r="I14">
        <v>76.441000000000003</v>
      </c>
      <c r="J14">
        <v>68.564999999999998</v>
      </c>
      <c r="K14">
        <v>69.313999999999993</v>
      </c>
      <c r="L14">
        <v>68.385000000000005</v>
      </c>
      <c r="M14">
        <v>47.837000000000003</v>
      </c>
      <c r="N14">
        <v>52.831000000000003</v>
      </c>
      <c r="O14">
        <v>50.726999999999997</v>
      </c>
      <c r="P14">
        <v>56.131</v>
      </c>
      <c r="Q14">
        <v>48.179000000000002</v>
      </c>
      <c r="R14">
        <v>53.86</v>
      </c>
      <c r="S14">
        <v>52.244</v>
      </c>
    </row>
    <row r="15" spans="1:42" x14ac:dyDescent="0.2">
      <c r="A15" s="6">
        <v>5.083333333333333</v>
      </c>
      <c r="B15">
        <v>53.658000000000001</v>
      </c>
      <c r="C15">
        <v>56.176000000000002</v>
      </c>
      <c r="D15">
        <v>52.244</v>
      </c>
      <c r="E15">
        <v>52.765999999999998</v>
      </c>
      <c r="F15">
        <v>54.988</v>
      </c>
      <c r="G15">
        <v>72.435000000000002</v>
      </c>
      <c r="H15">
        <v>71.417000000000002</v>
      </c>
      <c r="I15">
        <v>76.361000000000004</v>
      </c>
      <c r="J15">
        <v>68.412999999999997</v>
      </c>
      <c r="K15">
        <v>69.251999999999995</v>
      </c>
      <c r="L15">
        <v>68.328999999999994</v>
      </c>
      <c r="M15">
        <v>47.715000000000003</v>
      </c>
      <c r="N15">
        <v>52.767000000000003</v>
      </c>
      <c r="O15">
        <v>50.716999999999999</v>
      </c>
      <c r="P15">
        <v>56.088999999999999</v>
      </c>
      <c r="Q15">
        <v>48.079000000000001</v>
      </c>
      <c r="R15">
        <v>54.003999999999998</v>
      </c>
      <c r="S15">
        <v>52.633000000000003</v>
      </c>
    </row>
    <row r="16" spans="1:42" x14ac:dyDescent="0.2">
      <c r="A16" s="6">
        <v>5.0999999999999996</v>
      </c>
      <c r="B16">
        <v>53.514000000000003</v>
      </c>
      <c r="C16">
        <v>56.057000000000002</v>
      </c>
      <c r="D16">
        <v>52.212000000000003</v>
      </c>
      <c r="E16">
        <v>52.73</v>
      </c>
      <c r="F16">
        <v>55.067999999999998</v>
      </c>
      <c r="G16">
        <v>72.471000000000004</v>
      </c>
      <c r="H16">
        <v>71.28</v>
      </c>
      <c r="I16">
        <v>76.311999999999998</v>
      </c>
      <c r="J16">
        <v>68.322999999999993</v>
      </c>
      <c r="K16">
        <v>69.150999999999996</v>
      </c>
      <c r="L16">
        <v>68.260999999999996</v>
      </c>
      <c r="M16">
        <v>47.615000000000002</v>
      </c>
      <c r="N16">
        <v>52.710999999999999</v>
      </c>
      <c r="O16">
        <v>50.685000000000002</v>
      </c>
      <c r="P16">
        <v>55.99</v>
      </c>
      <c r="Q16">
        <v>47.976999999999997</v>
      </c>
      <c r="R16">
        <v>53.904000000000003</v>
      </c>
      <c r="S16">
        <v>52.323</v>
      </c>
    </row>
    <row r="17" spans="1:19" x14ac:dyDescent="0.2">
      <c r="A17" s="6">
        <v>5.1166666666666663</v>
      </c>
      <c r="B17">
        <v>53.402999999999999</v>
      </c>
      <c r="C17">
        <v>56.005000000000003</v>
      </c>
      <c r="D17">
        <v>51.631999999999998</v>
      </c>
      <c r="E17">
        <v>52.753</v>
      </c>
      <c r="F17">
        <v>54.923000000000002</v>
      </c>
      <c r="G17">
        <v>72.411000000000001</v>
      </c>
      <c r="H17">
        <v>71.058999999999997</v>
      </c>
      <c r="I17">
        <v>76.308999999999997</v>
      </c>
      <c r="J17">
        <v>68.257000000000005</v>
      </c>
      <c r="K17">
        <v>69.042000000000002</v>
      </c>
      <c r="L17">
        <v>68.236999999999995</v>
      </c>
      <c r="M17">
        <v>47.512999999999998</v>
      </c>
      <c r="N17">
        <v>52.615000000000002</v>
      </c>
      <c r="O17">
        <v>50.494</v>
      </c>
      <c r="P17">
        <v>55.905000000000001</v>
      </c>
      <c r="Q17">
        <v>48</v>
      </c>
      <c r="R17">
        <v>53.652999999999999</v>
      </c>
      <c r="S17">
        <v>52.26</v>
      </c>
    </row>
    <row r="18" spans="1:19" x14ac:dyDescent="0.2">
      <c r="A18" s="6">
        <v>5.1333333333333337</v>
      </c>
      <c r="B18">
        <v>53.34</v>
      </c>
      <c r="C18">
        <v>55.923999999999999</v>
      </c>
      <c r="D18">
        <v>51.779000000000003</v>
      </c>
      <c r="E18">
        <v>52.655999999999999</v>
      </c>
      <c r="F18">
        <v>54.947000000000003</v>
      </c>
      <c r="G18">
        <v>72.376999999999995</v>
      </c>
      <c r="H18">
        <v>71.132999999999996</v>
      </c>
      <c r="I18">
        <v>76.197000000000003</v>
      </c>
      <c r="J18">
        <v>68.272999999999996</v>
      </c>
      <c r="K18">
        <v>69.013000000000005</v>
      </c>
      <c r="L18">
        <v>68.013999999999996</v>
      </c>
      <c r="M18">
        <v>47.472999999999999</v>
      </c>
      <c r="N18">
        <v>52.573</v>
      </c>
      <c r="O18">
        <v>50.356000000000002</v>
      </c>
      <c r="P18">
        <v>55.822000000000003</v>
      </c>
      <c r="Q18">
        <v>47.8</v>
      </c>
      <c r="R18">
        <v>53.658000000000001</v>
      </c>
      <c r="S18">
        <v>52.316000000000003</v>
      </c>
    </row>
    <row r="19" spans="1:19" x14ac:dyDescent="0.2">
      <c r="A19" s="6">
        <v>5.15</v>
      </c>
      <c r="B19">
        <v>53.223999999999997</v>
      </c>
      <c r="C19">
        <v>55.844000000000001</v>
      </c>
      <c r="D19">
        <v>51.292999999999999</v>
      </c>
      <c r="E19">
        <v>52.545999999999999</v>
      </c>
      <c r="F19">
        <v>54.978999999999999</v>
      </c>
      <c r="G19">
        <v>72.313000000000002</v>
      </c>
      <c r="H19">
        <v>71.126000000000005</v>
      </c>
      <c r="I19">
        <v>76.177000000000007</v>
      </c>
      <c r="J19">
        <v>68.191000000000003</v>
      </c>
      <c r="K19">
        <v>69.004999999999995</v>
      </c>
      <c r="L19">
        <v>67.903999999999996</v>
      </c>
      <c r="M19">
        <v>47.433</v>
      </c>
      <c r="N19">
        <v>52.515999999999998</v>
      </c>
      <c r="O19">
        <v>50.353000000000002</v>
      </c>
      <c r="P19">
        <v>55.747</v>
      </c>
      <c r="Q19">
        <v>47.691000000000003</v>
      </c>
      <c r="R19">
        <v>53.664000000000001</v>
      </c>
      <c r="S19">
        <v>51.784999999999997</v>
      </c>
    </row>
    <row r="20" spans="1:19" x14ac:dyDescent="0.2">
      <c r="A20" s="6">
        <v>5.166666666666667</v>
      </c>
      <c r="B20">
        <v>53.173999999999999</v>
      </c>
      <c r="C20">
        <v>55.828000000000003</v>
      </c>
      <c r="D20">
        <v>51.606000000000002</v>
      </c>
      <c r="E20">
        <v>52.356999999999999</v>
      </c>
      <c r="F20">
        <v>54.853000000000002</v>
      </c>
      <c r="G20">
        <v>72.27</v>
      </c>
      <c r="H20">
        <v>71.019000000000005</v>
      </c>
      <c r="I20">
        <v>76.043000000000006</v>
      </c>
      <c r="J20">
        <v>68.052999999999997</v>
      </c>
      <c r="K20">
        <v>68.918999999999997</v>
      </c>
      <c r="L20">
        <v>67.864999999999995</v>
      </c>
      <c r="M20">
        <v>47.271000000000001</v>
      </c>
      <c r="N20">
        <v>52.405000000000001</v>
      </c>
      <c r="O20">
        <v>50.246000000000002</v>
      </c>
      <c r="P20">
        <v>55.54</v>
      </c>
      <c r="Q20">
        <v>47.593000000000004</v>
      </c>
      <c r="R20">
        <v>53.323999999999998</v>
      </c>
      <c r="S20">
        <v>52.076000000000001</v>
      </c>
    </row>
    <row r="21" spans="1:19" x14ac:dyDescent="0.2">
      <c r="A21" s="6">
        <v>5.1833333333333336</v>
      </c>
      <c r="B21">
        <v>53.064999999999998</v>
      </c>
      <c r="C21">
        <v>55.81</v>
      </c>
      <c r="D21">
        <v>51.308999999999997</v>
      </c>
      <c r="E21">
        <v>52.223999999999997</v>
      </c>
      <c r="F21">
        <v>54.831000000000003</v>
      </c>
      <c r="G21">
        <v>72.233999999999995</v>
      </c>
      <c r="H21">
        <v>70.994</v>
      </c>
      <c r="I21">
        <v>76.063999999999993</v>
      </c>
      <c r="J21">
        <v>68.006</v>
      </c>
      <c r="K21">
        <v>68.891999999999996</v>
      </c>
      <c r="L21">
        <v>67.792000000000002</v>
      </c>
      <c r="M21">
        <v>47.197000000000003</v>
      </c>
      <c r="N21">
        <v>52.362000000000002</v>
      </c>
      <c r="O21">
        <v>50.018999999999998</v>
      </c>
      <c r="P21">
        <v>55.524999999999999</v>
      </c>
      <c r="Q21">
        <v>47.494</v>
      </c>
      <c r="R21">
        <v>53.378999999999998</v>
      </c>
      <c r="S21">
        <v>52.003</v>
      </c>
    </row>
    <row r="22" spans="1:19" x14ac:dyDescent="0.2">
      <c r="A22" s="6">
        <v>5.2</v>
      </c>
      <c r="B22">
        <v>52.948</v>
      </c>
      <c r="C22">
        <v>55.665999999999997</v>
      </c>
      <c r="D22">
        <v>51.401000000000003</v>
      </c>
      <c r="E22">
        <v>52.164000000000001</v>
      </c>
      <c r="F22">
        <v>54.820999999999998</v>
      </c>
      <c r="G22">
        <v>72.162000000000006</v>
      </c>
      <c r="H22">
        <v>70.915999999999997</v>
      </c>
      <c r="I22">
        <v>76.028999999999996</v>
      </c>
      <c r="J22">
        <v>67.935000000000002</v>
      </c>
      <c r="K22">
        <v>68.793000000000006</v>
      </c>
      <c r="L22">
        <v>67.793000000000006</v>
      </c>
      <c r="M22">
        <v>47.186</v>
      </c>
      <c r="N22">
        <v>52.311999999999998</v>
      </c>
      <c r="O22">
        <v>50.070999999999998</v>
      </c>
      <c r="P22">
        <v>55.439</v>
      </c>
      <c r="Q22">
        <v>47.418999999999997</v>
      </c>
      <c r="R22">
        <v>53.283999999999999</v>
      </c>
      <c r="S22">
        <v>51.982999999999997</v>
      </c>
    </row>
    <row r="23" spans="1:19" x14ac:dyDescent="0.2">
      <c r="A23" s="6">
        <v>5.2166666666666668</v>
      </c>
      <c r="B23">
        <v>52.853999999999999</v>
      </c>
      <c r="C23">
        <v>55.526000000000003</v>
      </c>
      <c r="D23">
        <v>51.35</v>
      </c>
      <c r="E23">
        <v>52.085999999999999</v>
      </c>
      <c r="F23">
        <v>54.771000000000001</v>
      </c>
      <c r="G23">
        <v>72.076999999999998</v>
      </c>
      <c r="H23">
        <v>70.843999999999994</v>
      </c>
      <c r="I23">
        <v>75.891999999999996</v>
      </c>
      <c r="J23">
        <v>67.885999999999996</v>
      </c>
      <c r="K23">
        <v>68.715000000000003</v>
      </c>
      <c r="L23">
        <v>67.763999999999996</v>
      </c>
      <c r="M23">
        <v>47.100999999999999</v>
      </c>
      <c r="N23">
        <v>52.183</v>
      </c>
      <c r="O23">
        <v>49.847999999999999</v>
      </c>
      <c r="P23">
        <v>55.424999999999997</v>
      </c>
      <c r="Q23">
        <v>47.223999999999997</v>
      </c>
      <c r="R23">
        <v>53.218000000000004</v>
      </c>
      <c r="S23">
        <v>51.982999999999997</v>
      </c>
    </row>
    <row r="24" spans="1:19" x14ac:dyDescent="0.2">
      <c r="A24" s="6">
        <v>5.2333333333333334</v>
      </c>
      <c r="B24">
        <v>52.779000000000003</v>
      </c>
      <c r="C24">
        <v>55.478999999999999</v>
      </c>
      <c r="D24">
        <v>50.795000000000002</v>
      </c>
      <c r="E24">
        <v>51.835000000000001</v>
      </c>
      <c r="F24">
        <v>54.720999999999997</v>
      </c>
      <c r="G24">
        <v>72.028000000000006</v>
      </c>
      <c r="H24">
        <v>70.605999999999995</v>
      </c>
      <c r="I24">
        <v>75.849999999999994</v>
      </c>
      <c r="J24">
        <v>67.816000000000003</v>
      </c>
      <c r="K24">
        <v>68.656999999999996</v>
      </c>
      <c r="L24">
        <v>67.680000000000007</v>
      </c>
      <c r="M24">
        <v>46.947000000000003</v>
      </c>
      <c r="N24">
        <v>51.905999999999999</v>
      </c>
      <c r="O24">
        <v>49.79</v>
      </c>
      <c r="P24">
        <v>55.192999999999998</v>
      </c>
      <c r="Q24">
        <v>47.23</v>
      </c>
      <c r="R24">
        <v>53.095999999999997</v>
      </c>
      <c r="S24">
        <v>51.929000000000002</v>
      </c>
    </row>
    <row r="25" spans="1:19" x14ac:dyDescent="0.2">
      <c r="A25" s="6">
        <v>5.25</v>
      </c>
      <c r="B25">
        <v>52.658000000000001</v>
      </c>
      <c r="C25">
        <v>55.47</v>
      </c>
      <c r="D25">
        <v>50.792000000000002</v>
      </c>
      <c r="E25">
        <v>51.756</v>
      </c>
      <c r="F25">
        <v>54.426000000000002</v>
      </c>
      <c r="G25">
        <v>71.745999999999995</v>
      </c>
      <c r="H25">
        <v>70.628</v>
      </c>
      <c r="I25">
        <v>75.799000000000007</v>
      </c>
      <c r="J25">
        <v>67.611000000000004</v>
      </c>
      <c r="K25">
        <v>68.599000000000004</v>
      </c>
      <c r="L25">
        <v>67.632000000000005</v>
      </c>
      <c r="M25">
        <v>46.771000000000001</v>
      </c>
      <c r="N25">
        <v>52.003999999999998</v>
      </c>
      <c r="O25">
        <v>49.78</v>
      </c>
      <c r="P25">
        <v>55.305</v>
      </c>
      <c r="Q25">
        <v>47.008000000000003</v>
      </c>
      <c r="R25">
        <v>53.05</v>
      </c>
      <c r="S25">
        <v>51.915999999999997</v>
      </c>
    </row>
    <row r="26" spans="1:19" x14ac:dyDescent="0.2">
      <c r="A26" s="6">
        <v>5.2666666666666666</v>
      </c>
      <c r="B26">
        <v>52.552999999999997</v>
      </c>
      <c r="C26">
        <v>55.345999999999997</v>
      </c>
      <c r="D26">
        <v>50.792999999999999</v>
      </c>
      <c r="E26">
        <v>51.683999999999997</v>
      </c>
      <c r="F26">
        <v>53.954999999999998</v>
      </c>
      <c r="G26">
        <v>71.799000000000007</v>
      </c>
      <c r="H26">
        <v>70.668999999999997</v>
      </c>
      <c r="I26">
        <v>75.772000000000006</v>
      </c>
      <c r="J26">
        <v>67.644999999999996</v>
      </c>
      <c r="K26">
        <v>68.537999999999997</v>
      </c>
      <c r="L26">
        <v>67.634</v>
      </c>
      <c r="M26">
        <v>46.74</v>
      </c>
      <c r="N26">
        <v>51.85</v>
      </c>
      <c r="O26">
        <v>49.759</v>
      </c>
      <c r="P26">
        <v>55.262999999999998</v>
      </c>
      <c r="Q26">
        <v>46.988999999999997</v>
      </c>
      <c r="R26">
        <v>52.844000000000001</v>
      </c>
      <c r="S26">
        <v>51.811999999999998</v>
      </c>
    </row>
    <row r="27" spans="1:19" x14ac:dyDescent="0.2">
      <c r="A27" s="6">
        <v>5.2833333333333332</v>
      </c>
      <c r="B27">
        <v>52.420999999999999</v>
      </c>
      <c r="C27">
        <v>55.252000000000002</v>
      </c>
      <c r="D27">
        <v>50.771000000000001</v>
      </c>
      <c r="E27">
        <v>51.537999999999997</v>
      </c>
      <c r="F27">
        <v>53.996000000000002</v>
      </c>
      <c r="G27">
        <v>71.578999999999994</v>
      </c>
      <c r="H27">
        <v>70.244</v>
      </c>
      <c r="I27">
        <v>75.638000000000005</v>
      </c>
      <c r="J27">
        <v>67.572000000000003</v>
      </c>
      <c r="K27">
        <v>68.465000000000003</v>
      </c>
      <c r="L27">
        <v>67.498999999999995</v>
      </c>
      <c r="M27">
        <v>46.662999999999997</v>
      </c>
      <c r="N27">
        <v>51.875</v>
      </c>
      <c r="O27">
        <v>49.62</v>
      </c>
      <c r="P27">
        <v>55.231000000000002</v>
      </c>
      <c r="Q27">
        <v>46.853000000000002</v>
      </c>
      <c r="R27">
        <v>52.863</v>
      </c>
      <c r="S27">
        <v>51.832000000000001</v>
      </c>
    </row>
    <row r="28" spans="1:19" x14ac:dyDescent="0.2">
      <c r="A28" s="6">
        <v>5.3</v>
      </c>
      <c r="B28">
        <v>52.381999999999998</v>
      </c>
      <c r="C28">
        <v>55.188000000000002</v>
      </c>
      <c r="D28">
        <v>50.567</v>
      </c>
      <c r="E28">
        <v>51.459000000000003</v>
      </c>
      <c r="F28">
        <v>53.887</v>
      </c>
      <c r="G28">
        <v>71.628</v>
      </c>
      <c r="H28">
        <v>70.337000000000003</v>
      </c>
      <c r="I28">
        <v>75.620999999999995</v>
      </c>
      <c r="J28">
        <v>67.492000000000004</v>
      </c>
      <c r="K28">
        <v>68.450999999999993</v>
      </c>
      <c r="L28">
        <v>67.52</v>
      </c>
      <c r="M28">
        <v>46.6</v>
      </c>
      <c r="N28">
        <v>51.774000000000001</v>
      </c>
      <c r="O28">
        <v>49.622999999999998</v>
      </c>
      <c r="P28">
        <v>55.134</v>
      </c>
      <c r="Q28">
        <v>46.814999999999998</v>
      </c>
      <c r="R28">
        <v>52.689</v>
      </c>
      <c r="S28">
        <v>51.252000000000002</v>
      </c>
    </row>
    <row r="29" spans="1:19" x14ac:dyDescent="0.2">
      <c r="A29" s="6">
        <v>5.3166666666666664</v>
      </c>
      <c r="B29">
        <v>52.212000000000003</v>
      </c>
      <c r="C29">
        <v>55.124000000000002</v>
      </c>
      <c r="D29">
        <v>50.34</v>
      </c>
      <c r="E29">
        <v>51.616</v>
      </c>
      <c r="F29">
        <v>54.01</v>
      </c>
      <c r="G29">
        <v>71.534000000000006</v>
      </c>
      <c r="H29">
        <v>70.138000000000005</v>
      </c>
      <c r="I29">
        <v>75.558000000000007</v>
      </c>
      <c r="J29">
        <v>67.400999999999996</v>
      </c>
      <c r="K29">
        <v>68.364999999999995</v>
      </c>
      <c r="L29">
        <v>67.454999999999998</v>
      </c>
      <c r="M29">
        <v>46.470999999999997</v>
      </c>
      <c r="N29">
        <v>51.664000000000001</v>
      </c>
      <c r="O29">
        <v>49.38</v>
      </c>
      <c r="P29">
        <v>55.034999999999997</v>
      </c>
      <c r="Q29">
        <v>46.718000000000004</v>
      </c>
      <c r="R29">
        <v>52.636000000000003</v>
      </c>
      <c r="S29">
        <v>51.487000000000002</v>
      </c>
    </row>
    <row r="30" spans="1:19" x14ac:dyDescent="0.2">
      <c r="A30" s="6">
        <v>5.333333333333333</v>
      </c>
      <c r="B30">
        <v>52.13</v>
      </c>
      <c r="C30">
        <v>55.009</v>
      </c>
      <c r="D30">
        <v>50.408000000000001</v>
      </c>
      <c r="E30">
        <v>51.277000000000001</v>
      </c>
      <c r="F30">
        <v>53.768999999999998</v>
      </c>
      <c r="G30">
        <v>71.441999999999993</v>
      </c>
      <c r="H30">
        <v>70.013000000000005</v>
      </c>
      <c r="I30">
        <v>75.561000000000007</v>
      </c>
      <c r="J30">
        <v>67.293000000000006</v>
      </c>
      <c r="K30">
        <v>68.286000000000001</v>
      </c>
      <c r="L30">
        <v>67.379000000000005</v>
      </c>
      <c r="M30">
        <v>46.378</v>
      </c>
      <c r="N30">
        <v>51.665999999999997</v>
      </c>
      <c r="O30">
        <v>49.344000000000001</v>
      </c>
      <c r="P30">
        <v>54.981999999999999</v>
      </c>
      <c r="Q30">
        <v>46.567999999999998</v>
      </c>
      <c r="R30">
        <v>52.680999999999997</v>
      </c>
      <c r="S30">
        <v>51.485999999999997</v>
      </c>
    </row>
    <row r="31" spans="1:19" x14ac:dyDescent="0.2">
      <c r="A31" s="6">
        <v>5.35</v>
      </c>
      <c r="B31">
        <v>52.04</v>
      </c>
      <c r="C31">
        <v>54.936999999999998</v>
      </c>
      <c r="D31">
        <v>50.302999999999997</v>
      </c>
      <c r="E31">
        <v>51.258000000000003</v>
      </c>
      <c r="F31">
        <v>53.71</v>
      </c>
      <c r="G31">
        <v>71.429000000000002</v>
      </c>
      <c r="H31">
        <v>69.995999999999995</v>
      </c>
      <c r="I31">
        <v>75.459999999999994</v>
      </c>
      <c r="J31">
        <v>67.263999999999996</v>
      </c>
      <c r="K31">
        <v>68.25</v>
      </c>
      <c r="L31">
        <v>67.352000000000004</v>
      </c>
      <c r="M31">
        <v>46.284999999999997</v>
      </c>
      <c r="N31">
        <v>51.598999999999997</v>
      </c>
      <c r="O31">
        <v>49.176000000000002</v>
      </c>
      <c r="P31">
        <v>54.881</v>
      </c>
      <c r="Q31">
        <v>46.45</v>
      </c>
      <c r="R31">
        <v>52.481999999999999</v>
      </c>
      <c r="S31">
        <v>51.472000000000001</v>
      </c>
    </row>
    <row r="32" spans="1:19" x14ac:dyDescent="0.2">
      <c r="A32" s="6">
        <v>5.3666666666666663</v>
      </c>
      <c r="B32">
        <v>51.923999999999999</v>
      </c>
      <c r="C32">
        <v>54.790999999999997</v>
      </c>
      <c r="D32">
        <v>49.642000000000003</v>
      </c>
      <c r="E32">
        <v>51.134</v>
      </c>
      <c r="F32">
        <v>53.688000000000002</v>
      </c>
      <c r="G32">
        <v>71.385000000000005</v>
      </c>
      <c r="H32">
        <v>69.917000000000002</v>
      </c>
      <c r="I32">
        <v>75.454999999999998</v>
      </c>
      <c r="J32">
        <v>67.238</v>
      </c>
      <c r="K32">
        <v>68.11</v>
      </c>
      <c r="L32">
        <v>67.105000000000004</v>
      </c>
      <c r="M32">
        <v>46.204999999999998</v>
      </c>
      <c r="N32">
        <v>51.530999999999999</v>
      </c>
      <c r="O32">
        <v>49.119</v>
      </c>
      <c r="P32">
        <v>54.829000000000001</v>
      </c>
      <c r="Q32">
        <v>46.475999999999999</v>
      </c>
      <c r="R32">
        <v>52.442</v>
      </c>
      <c r="S32">
        <v>51.427</v>
      </c>
    </row>
    <row r="33" spans="1:19" x14ac:dyDescent="0.2">
      <c r="A33" s="6">
        <v>5.3833333333333337</v>
      </c>
      <c r="B33">
        <v>51.841000000000001</v>
      </c>
      <c r="C33">
        <v>54.734999999999999</v>
      </c>
      <c r="D33">
        <v>49.945999999999998</v>
      </c>
      <c r="E33">
        <v>51.179000000000002</v>
      </c>
      <c r="F33">
        <v>53.634</v>
      </c>
      <c r="G33">
        <v>71.28</v>
      </c>
      <c r="H33">
        <v>69.92</v>
      </c>
      <c r="I33">
        <v>75.347999999999999</v>
      </c>
      <c r="J33">
        <v>67.272000000000006</v>
      </c>
      <c r="K33">
        <v>68.078999999999994</v>
      </c>
      <c r="L33">
        <v>67.108999999999995</v>
      </c>
      <c r="M33">
        <v>46.122</v>
      </c>
      <c r="N33">
        <v>51.466000000000001</v>
      </c>
      <c r="O33">
        <v>48.93</v>
      </c>
      <c r="P33">
        <v>54.679000000000002</v>
      </c>
      <c r="Q33">
        <v>46.268999999999998</v>
      </c>
      <c r="R33">
        <v>52.365000000000002</v>
      </c>
      <c r="S33">
        <v>51.079000000000001</v>
      </c>
    </row>
    <row r="34" spans="1:19" x14ac:dyDescent="0.2">
      <c r="A34" s="6">
        <v>5.4</v>
      </c>
      <c r="B34">
        <v>51.761000000000003</v>
      </c>
      <c r="C34">
        <v>54.637999999999998</v>
      </c>
      <c r="D34">
        <v>49.854999999999997</v>
      </c>
      <c r="E34">
        <v>51.116999999999997</v>
      </c>
      <c r="F34">
        <v>53.506</v>
      </c>
      <c r="G34">
        <v>71.2</v>
      </c>
      <c r="H34">
        <v>69.69</v>
      </c>
      <c r="I34">
        <v>75.238</v>
      </c>
      <c r="J34">
        <v>67.066000000000003</v>
      </c>
      <c r="K34">
        <v>68.061000000000007</v>
      </c>
      <c r="L34">
        <v>67.040000000000006</v>
      </c>
      <c r="M34">
        <v>45.966000000000001</v>
      </c>
      <c r="N34">
        <v>51.174999999999997</v>
      </c>
      <c r="O34">
        <v>48.927999999999997</v>
      </c>
      <c r="P34">
        <v>54.594000000000001</v>
      </c>
      <c r="Q34">
        <v>46.162999999999997</v>
      </c>
      <c r="R34">
        <v>52.274000000000001</v>
      </c>
      <c r="S34">
        <v>51.11</v>
      </c>
    </row>
    <row r="35" spans="1:19" x14ac:dyDescent="0.2">
      <c r="A35" s="6">
        <v>5.416666666666667</v>
      </c>
      <c r="B35">
        <v>51.658999999999999</v>
      </c>
      <c r="C35">
        <v>54.564999999999998</v>
      </c>
      <c r="D35">
        <v>49.58</v>
      </c>
      <c r="E35">
        <v>50.956000000000003</v>
      </c>
      <c r="F35">
        <v>53.45</v>
      </c>
      <c r="G35">
        <v>71.132999999999996</v>
      </c>
      <c r="H35">
        <v>69.665999999999997</v>
      </c>
      <c r="I35">
        <v>75.144000000000005</v>
      </c>
      <c r="J35">
        <v>66.867000000000004</v>
      </c>
      <c r="K35">
        <v>67.972999999999999</v>
      </c>
      <c r="L35">
        <v>66.980999999999995</v>
      </c>
      <c r="M35">
        <v>45.860999999999997</v>
      </c>
      <c r="N35">
        <v>51.186999999999998</v>
      </c>
      <c r="O35">
        <v>48.892000000000003</v>
      </c>
      <c r="P35">
        <v>54.545000000000002</v>
      </c>
      <c r="Q35">
        <v>46.122999999999998</v>
      </c>
      <c r="R35">
        <v>52.176000000000002</v>
      </c>
      <c r="S35">
        <v>51.021000000000001</v>
      </c>
    </row>
    <row r="36" spans="1:19" x14ac:dyDescent="0.2">
      <c r="A36" s="6">
        <v>5.4333333333333336</v>
      </c>
      <c r="B36">
        <v>51.582999999999998</v>
      </c>
      <c r="C36">
        <v>54.534999999999997</v>
      </c>
      <c r="D36">
        <v>49.771000000000001</v>
      </c>
      <c r="E36">
        <v>50.820999999999998</v>
      </c>
      <c r="F36">
        <v>53.399000000000001</v>
      </c>
      <c r="G36">
        <v>71.111999999999995</v>
      </c>
      <c r="H36">
        <v>69.649000000000001</v>
      </c>
      <c r="I36">
        <v>75.138999999999996</v>
      </c>
      <c r="J36">
        <v>66.927000000000007</v>
      </c>
      <c r="K36">
        <v>67.866</v>
      </c>
      <c r="L36">
        <v>66.929000000000002</v>
      </c>
      <c r="M36">
        <v>45.814999999999998</v>
      </c>
      <c r="N36">
        <v>51.067</v>
      </c>
      <c r="O36">
        <v>48.820999999999998</v>
      </c>
      <c r="P36">
        <v>54.46</v>
      </c>
      <c r="Q36">
        <v>46.08</v>
      </c>
      <c r="R36">
        <v>52.143000000000001</v>
      </c>
      <c r="S36">
        <v>51.029000000000003</v>
      </c>
    </row>
    <row r="37" spans="1:19" x14ac:dyDescent="0.2">
      <c r="A37" s="6">
        <v>5.45</v>
      </c>
      <c r="B37">
        <v>51.487000000000002</v>
      </c>
      <c r="C37">
        <v>54.345999999999997</v>
      </c>
      <c r="D37">
        <v>49.436</v>
      </c>
      <c r="E37">
        <v>50.701999999999998</v>
      </c>
      <c r="F37">
        <v>53.328000000000003</v>
      </c>
      <c r="G37">
        <v>71.042000000000002</v>
      </c>
      <c r="H37">
        <v>69.495000000000005</v>
      </c>
      <c r="I37">
        <v>75.126999999999995</v>
      </c>
      <c r="J37">
        <v>66.858999999999995</v>
      </c>
      <c r="K37">
        <v>67.86</v>
      </c>
      <c r="L37">
        <v>66.905000000000001</v>
      </c>
      <c r="M37">
        <v>45.734000000000002</v>
      </c>
      <c r="N37">
        <v>50.988999999999997</v>
      </c>
      <c r="O37">
        <v>48.75</v>
      </c>
      <c r="P37">
        <v>54.411999999999999</v>
      </c>
      <c r="Q37">
        <v>45.844999999999999</v>
      </c>
      <c r="R37">
        <v>52.087000000000003</v>
      </c>
      <c r="S37">
        <v>50.570999999999998</v>
      </c>
    </row>
    <row r="38" spans="1:19" x14ac:dyDescent="0.2">
      <c r="A38" s="6">
        <v>5.4666666666666668</v>
      </c>
      <c r="B38">
        <v>51.356999999999999</v>
      </c>
      <c r="C38">
        <v>54.220999999999997</v>
      </c>
      <c r="D38">
        <v>49.222999999999999</v>
      </c>
      <c r="E38">
        <v>50.585000000000001</v>
      </c>
      <c r="F38">
        <v>53.258000000000003</v>
      </c>
      <c r="G38">
        <v>70.905000000000001</v>
      </c>
      <c r="H38">
        <v>69.47</v>
      </c>
      <c r="I38">
        <v>75.061000000000007</v>
      </c>
      <c r="J38">
        <v>66.820999999999998</v>
      </c>
      <c r="K38">
        <v>67.787999999999997</v>
      </c>
      <c r="L38">
        <v>66.814999999999998</v>
      </c>
      <c r="M38">
        <v>45.533000000000001</v>
      </c>
      <c r="N38">
        <v>50.896000000000001</v>
      </c>
      <c r="O38">
        <v>48.704999999999998</v>
      </c>
      <c r="P38">
        <v>54.365000000000002</v>
      </c>
      <c r="Q38">
        <v>45.94</v>
      </c>
      <c r="R38">
        <v>52.054000000000002</v>
      </c>
      <c r="S38">
        <v>50.750999999999998</v>
      </c>
    </row>
    <row r="39" spans="1:19" x14ac:dyDescent="0.2">
      <c r="A39" s="6">
        <v>5.4833333333333334</v>
      </c>
      <c r="B39">
        <v>51.271999999999998</v>
      </c>
      <c r="C39">
        <v>54.146000000000001</v>
      </c>
      <c r="D39">
        <v>49.313000000000002</v>
      </c>
      <c r="E39">
        <v>50.59</v>
      </c>
      <c r="F39">
        <v>53.191000000000003</v>
      </c>
      <c r="G39">
        <v>70.712999999999994</v>
      </c>
      <c r="H39">
        <v>69.394999999999996</v>
      </c>
      <c r="I39">
        <v>75.010000000000005</v>
      </c>
      <c r="J39">
        <v>66.685000000000002</v>
      </c>
      <c r="K39">
        <v>67.712999999999994</v>
      </c>
      <c r="L39">
        <v>66.763000000000005</v>
      </c>
      <c r="M39">
        <v>45.564</v>
      </c>
      <c r="N39">
        <v>50.798999999999999</v>
      </c>
      <c r="O39">
        <v>48.652000000000001</v>
      </c>
      <c r="P39">
        <v>54.305</v>
      </c>
      <c r="Q39">
        <v>45.768999999999998</v>
      </c>
      <c r="R39">
        <v>52.017000000000003</v>
      </c>
      <c r="S39">
        <v>50.790999999999997</v>
      </c>
    </row>
    <row r="40" spans="1:19" x14ac:dyDescent="0.2">
      <c r="A40" s="6">
        <v>5.5</v>
      </c>
      <c r="B40">
        <v>51.158999999999999</v>
      </c>
      <c r="C40">
        <v>54.148000000000003</v>
      </c>
      <c r="D40">
        <v>49.276000000000003</v>
      </c>
      <c r="E40">
        <v>50.463999999999999</v>
      </c>
      <c r="F40">
        <v>53.09</v>
      </c>
      <c r="G40">
        <v>70.775000000000006</v>
      </c>
      <c r="H40">
        <v>69.322000000000003</v>
      </c>
      <c r="I40">
        <v>74.97</v>
      </c>
      <c r="J40">
        <v>66.608999999999995</v>
      </c>
      <c r="K40">
        <v>67.635999999999996</v>
      </c>
      <c r="L40">
        <v>66.665000000000006</v>
      </c>
      <c r="M40">
        <v>45.378</v>
      </c>
      <c r="N40">
        <v>50.640999999999998</v>
      </c>
      <c r="O40">
        <v>48.404000000000003</v>
      </c>
      <c r="P40">
        <v>54.241999999999997</v>
      </c>
      <c r="Q40">
        <v>45.665999999999997</v>
      </c>
      <c r="R40">
        <v>51.765999999999998</v>
      </c>
      <c r="S40">
        <v>50.72</v>
      </c>
    </row>
    <row r="41" spans="1:19" x14ac:dyDescent="0.2">
      <c r="A41" s="6">
        <v>5.5166666666666666</v>
      </c>
      <c r="B41">
        <v>51.116999999999997</v>
      </c>
      <c r="C41">
        <v>54.040999999999997</v>
      </c>
      <c r="D41">
        <v>49.237000000000002</v>
      </c>
      <c r="E41">
        <v>50.51</v>
      </c>
      <c r="F41">
        <v>53.079000000000001</v>
      </c>
      <c r="G41">
        <v>70.759</v>
      </c>
      <c r="H41">
        <v>69.295000000000002</v>
      </c>
      <c r="I41">
        <v>74.89</v>
      </c>
      <c r="J41">
        <v>66.406999999999996</v>
      </c>
      <c r="K41">
        <v>67.593000000000004</v>
      </c>
      <c r="L41">
        <v>66.661000000000001</v>
      </c>
      <c r="M41">
        <v>45.279000000000003</v>
      </c>
      <c r="N41">
        <v>50.616</v>
      </c>
      <c r="O41">
        <v>48.353000000000002</v>
      </c>
      <c r="P41">
        <v>54.185000000000002</v>
      </c>
      <c r="Q41">
        <v>45.677</v>
      </c>
      <c r="R41">
        <v>51.677</v>
      </c>
      <c r="S41">
        <v>50.51</v>
      </c>
    </row>
    <row r="42" spans="1:19" x14ac:dyDescent="0.2">
      <c r="A42" s="6">
        <v>5.5333333333333332</v>
      </c>
      <c r="B42">
        <v>51.008000000000003</v>
      </c>
      <c r="C42">
        <v>54.02</v>
      </c>
      <c r="D42">
        <v>49.133000000000003</v>
      </c>
      <c r="E42">
        <v>50.3</v>
      </c>
      <c r="F42">
        <v>52.965000000000003</v>
      </c>
      <c r="G42">
        <v>70.716999999999999</v>
      </c>
      <c r="H42">
        <v>69.341999999999999</v>
      </c>
      <c r="I42">
        <v>74.882000000000005</v>
      </c>
      <c r="J42">
        <v>66.525000000000006</v>
      </c>
      <c r="K42">
        <v>67.534999999999997</v>
      </c>
      <c r="L42">
        <v>66.596000000000004</v>
      </c>
      <c r="M42">
        <v>45.164999999999999</v>
      </c>
      <c r="N42">
        <v>50.582000000000001</v>
      </c>
      <c r="O42">
        <v>48.151000000000003</v>
      </c>
      <c r="P42">
        <v>53.951000000000001</v>
      </c>
      <c r="Q42">
        <v>45.594000000000001</v>
      </c>
      <c r="R42">
        <v>51.558999999999997</v>
      </c>
      <c r="S42">
        <v>50.66</v>
      </c>
    </row>
    <row r="43" spans="1:19" x14ac:dyDescent="0.2">
      <c r="A43" s="6">
        <v>5.55</v>
      </c>
      <c r="B43">
        <v>50.936</v>
      </c>
      <c r="C43">
        <v>53.942</v>
      </c>
      <c r="D43">
        <v>48.942999999999998</v>
      </c>
      <c r="E43">
        <v>50.372</v>
      </c>
      <c r="F43">
        <v>52.832999999999998</v>
      </c>
      <c r="G43">
        <v>70.622</v>
      </c>
      <c r="H43">
        <v>69.043999999999997</v>
      </c>
      <c r="I43">
        <v>74.869</v>
      </c>
      <c r="J43">
        <v>66.311999999999998</v>
      </c>
      <c r="K43">
        <v>67.424000000000007</v>
      </c>
      <c r="L43">
        <v>66.549000000000007</v>
      </c>
      <c r="M43">
        <v>45.066000000000003</v>
      </c>
      <c r="N43">
        <v>50.423000000000002</v>
      </c>
      <c r="O43">
        <v>48.05</v>
      </c>
      <c r="P43">
        <v>54.052999999999997</v>
      </c>
      <c r="Q43">
        <v>45.375999999999998</v>
      </c>
      <c r="R43">
        <v>51.527000000000001</v>
      </c>
      <c r="S43">
        <v>50.639000000000003</v>
      </c>
    </row>
    <row r="44" spans="1:19" x14ac:dyDescent="0.2">
      <c r="A44" s="6">
        <v>5.5666666666666664</v>
      </c>
      <c r="B44">
        <v>50.738999999999997</v>
      </c>
      <c r="C44">
        <v>53.805999999999997</v>
      </c>
      <c r="D44">
        <v>49.023000000000003</v>
      </c>
      <c r="E44">
        <v>50.277999999999999</v>
      </c>
      <c r="F44">
        <v>52.887999999999998</v>
      </c>
      <c r="G44">
        <v>70.537999999999997</v>
      </c>
      <c r="H44">
        <v>69.111999999999995</v>
      </c>
      <c r="I44">
        <v>74.786000000000001</v>
      </c>
      <c r="J44">
        <v>66.361999999999995</v>
      </c>
      <c r="K44">
        <v>67.347999999999999</v>
      </c>
      <c r="L44">
        <v>66.468999999999994</v>
      </c>
      <c r="M44">
        <v>44.978999999999999</v>
      </c>
      <c r="N44">
        <v>50.43</v>
      </c>
      <c r="O44">
        <v>48.006</v>
      </c>
      <c r="P44">
        <v>54.024000000000001</v>
      </c>
      <c r="Q44">
        <v>45.295999999999999</v>
      </c>
      <c r="R44">
        <v>51.493000000000002</v>
      </c>
      <c r="S44">
        <v>50.521999999999998</v>
      </c>
    </row>
    <row r="45" spans="1:19" x14ac:dyDescent="0.2">
      <c r="A45" s="6">
        <v>5.583333333333333</v>
      </c>
      <c r="B45">
        <v>50.725000000000001</v>
      </c>
      <c r="C45">
        <v>53.793999999999997</v>
      </c>
      <c r="D45">
        <v>48.954000000000001</v>
      </c>
      <c r="E45">
        <v>50.279000000000003</v>
      </c>
      <c r="F45">
        <v>52.773000000000003</v>
      </c>
      <c r="G45">
        <v>70.456000000000003</v>
      </c>
      <c r="H45">
        <v>68.903000000000006</v>
      </c>
      <c r="I45">
        <v>74.763000000000005</v>
      </c>
      <c r="J45">
        <v>66.144000000000005</v>
      </c>
      <c r="K45">
        <v>67.293999999999997</v>
      </c>
      <c r="L45">
        <v>66.421999999999997</v>
      </c>
      <c r="M45">
        <v>44.823</v>
      </c>
      <c r="N45">
        <v>50.274000000000001</v>
      </c>
      <c r="O45">
        <v>47.994999999999997</v>
      </c>
      <c r="P45">
        <v>53.932000000000002</v>
      </c>
      <c r="Q45">
        <v>45.329000000000001</v>
      </c>
      <c r="R45">
        <v>51.326000000000001</v>
      </c>
      <c r="S45">
        <v>50.478999999999999</v>
      </c>
    </row>
    <row r="46" spans="1:19" x14ac:dyDescent="0.2">
      <c r="A46" s="6">
        <v>5.6</v>
      </c>
      <c r="B46">
        <v>50.578000000000003</v>
      </c>
      <c r="C46">
        <v>53.701000000000001</v>
      </c>
      <c r="D46">
        <v>48.868000000000002</v>
      </c>
      <c r="E46">
        <v>50.094000000000001</v>
      </c>
      <c r="F46">
        <v>52.664999999999999</v>
      </c>
      <c r="G46">
        <v>70.302000000000007</v>
      </c>
      <c r="H46">
        <v>68.843000000000004</v>
      </c>
      <c r="I46">
        <v>74.69</v>
      </c>
      <c r="J46">
        <v>66.14</v>
      </c>
      <c r="K46">
        <v>67.224000000000004</v>
      </c>
      <c r="L46">
        <v>66.403000000000006</v>
      </c>
      <c r="M46">
        <v>44.588999999999999</v>
      </c>
      <c r="N46">
        <v>50.107999999999997</v>
      </c>
      <c r="O46">
        <v>47.966000000000001</v>
      </c>
      <c r="P46">
        <v>53.738999999999997</v>
      </c>
      <c r="Q46">
        <v>45.084000000000003</v>
      </c>
      <c r="R46">
        <v>51.258000000000003</v>
      </c>
      <c r="S46">
        <v>49.987000000000002</v>
      </c>
    </row>
    <row r="47" spans="1:19" x14ac:dyDescent="0.2">
      <c r="A47" s="6">
        <v>5.6166666666666663</v>
      </c>
      <c r="B47">
        <v>50.515999999999998</v>
      </c>
      <c r="C47">
        <v>53.487000000000002</v>
      </c>
      <c r="D47">
        <v>48.703000000000003</v>
      </c>
      <c r="E47">
        <v>50.098999999999997</v>
      </c>
      <c r="F47">
        <v>52.677</v>
      </c>
      <c r="G47">
        <v>70.281000000000006</v>
      </c>
      <c r="H47">
        <v>68.977999999999994</v>
      </c>
      <c r="I47">
        <v>74.63</v>
      </c>
      <c r="J47">
        <v>66.138000000000005</v>
      </c>
      <c r="K47">
        <v>67.171999999999997</v>
      </c>
      <c r="L47">
        <v>66.346000000000004</v>
      </c>
      <c r="M47">
        <v>44.524999999999999</v>
      </c>
      <c r="N47">
        <v>50.042999999999999</v>
      </c>
      <c r="O47">
        <v>47.905000000000001</v>
      </c>
      <c r="P47">
        <v>53.77</v>
      </c>
      <c r="Q47">
        <v>45.127000000000002</v>
      </c>
      <c r="R47">
        <v>51.258000000000003</v>
      </c>
      <c r="S47">
        <v>50.213999999999999</v>
      </c>
    </row>
    <row r="48" spans="1:19" x14ac:dyDescent="0.2">
      <c r="A48" s="6">
        <v>5.6333333333333337</v>
      </c>
      <c r="B48">
        <v>50.381999999999998</v>
      </c>
      <c r="C48">
        <v>53.572000000000003</v>
      </c>
      <c r="D48">
        <v>48.174999999999997</v>
      </c>
      <c r="E48">
        <v>49.884</v>
      </c>
      <c r="F48">
        <v>52.594999999999999</v>
      </c>
      <c r="G48">
        <v>69.974000000000004</v>
      </c>
      <c r="H48">
        <v>68.73</v>
      </c>
      <c r="I48">
        <v>74.563999999999993</v>
      </c>
      <c r="J48">
        <v>65.986999999999995</v>
      </c>
      <c r="K48">
        <v>67.037000000000006</v>
      </c>
      <c r="L48">
        <v>66.293999999999997</v>
      </c>
      <c r="M48">
        <v>44.494</v>
      </c>
      <c r="N48">
        <v>50.036000000000001</v>
      </c>
      <c r="O48">
        <v>47.82</v>
      </c>
      <c r="P48">
        <v>53.777999999999999</v>
      </c>
      <c r="Q48">
        <v>44.947000000000003</v>
      </c>
      <c r="R48">
        <v>51.015999999999998</v>
      </c>
      <c r="S48">
        <v>50.207000000000001</v>
      </c>
    </row>
    <row r="49" spans="1:19" x14ac:dyDescent="0.2">
      <c r="A49" s="6">
        <v>5.65</v>
      </c>
      <c r="B49">
        <v>50.289000000000001</v>
      </c>
      <c r="C49">
        <v>53.436</v>
      </c>
      <c r="D49">
        <v>48.503999999999998</v>
      </c>
      <c r="E49">
        <v>49.753999999999998</v>
      </c>
      <c r="F49">
        <v>52.497</v>
      </c>
      <c r="G49">
        <v>70.117000000000004</v>
      </c>
      <c r="H49">
        <v>68.667000000000002</v>
      </c>
      <c r="I49">
        <v>74.495999999999995</v>
      </c>
      <c r="J49">
        <v>65.894999999999996</v>
      </c>
      <c r="K49">
        <v>66.942999999999998</v>
      </c>
      <c r="L49">
        <v>66.168000000000006</v>
      </c>
      <c r="M49">
        <v>44.372999999999998</v>
      </c>
      <c r="N49">
        <v>49.78</v>
      </c>
      <c r="O49">
        <v>47.774999999999999</v>
      </c>
      <c r="P49">
        <v>53.703000000000003</v>
      </c>
      <c r="Q49">
        <v>44.831000000000003</v>
      </c>
      <c r="R49">
        <v>51.156999999999996</v>
      </c>
      <c r="S49">
        <v>50.177999999999997</v>
      </c>
    </row>
    <row r="50" spans="1:19" x14ac:dyDescent="0.2">
      <c r="A50" s="6">
        <v>5.666666666666667</v>
      </c>
      <c r="B50">
        <v>50.09</v>
      </c>
      <c r="C50">
        <v>53.408999999999999</v>
      </c>
      <c r="D50">
        <v>48.366</v>
      </c>
      <c r="E50">
        <v>49.706000000000003</v>
      </c>
      <c r="F50">
        <v>52.472000000000001</v>
      </c>
      <c r="G50">
        <v>70.105000000000004</v>
      </c>
      <c r="H50">
        <v>68.680000000000007</v>
      </c>
      <c r="I50">
        <v>74.498999999999995</v>
      </c>
      <c r="J50">
        <v>65.790999999999997</v>
      </c>
      <c r="K50">
        <v>66.912999999999997</v>
      </c>
      <c r="L50">
        <v>66.135000000000005</v>
      </c>
      <c r="M50">
        <v>44.256</v>
      </c>
      <c r="N50">
        <v>49.819000000000003</v>
      </c>
      <c r="O50">
        <v>47.673999999999999</v>
      </c>
      <c r="P50">
        <v>53.64</v>
      </c>
      <c r="Q50">
        <v>44.725999999999999</v>
      </c>
      <c r="R50">
        <v>50.987000000000002</v>
      </c>
      <c r="S50">
        <v>50.104999999999997</v>
      </c>
    </row>
    <row r="51" spans="1:19" x14ac:dyDescent="0.2">
      <c r="A51" s="6">
        <v>5.6833333333333336</v>
      </c>
      <c r="B51">
        <v>50.098999999999997</v>
      </c>
      <c r="C51">
        <v>53.311</v>
      </c>
      <c r="D51">
        <v>48.381</v>
      </c>
      <c r="E51">
        <v>49.612000000000002</v>
      </c>
      <c r="F51">
        <v>52.408000000000001</v>
      </c>
      <c r="G51">
        <v>70.067999999999998</v>
      </c>
      <c r="H51">
        <v>68.513000000000005</v>
      </c>
      <c r="I51">
        <v>74.424000000000007</v>
      </c>
      <c r="J51">
        <v>65.706000000000003</v>
      </c>
      <c r="K51">
        <v>66.855999999999995</v>
      </c>
      <c r="L51">
        <v>66.091999999999999</v>
      </c>
      <c r="M51">
        <v>44.222000000000001</v>
      </c>
      <c r="N51">
        <v>49.779000000000003</v>
      </c>
      <c r="O51">
        <v>47.552999999999997</v>
      </c>
      <c r="P51">
        <v>53.612000000000002</v>
      </c>
      <c r="Q51">
        <v>44.691000000000003</v>
      </c>
      <c r="R51">
        <v>50.965000000000003</v>
      </c>
      <c r="S51">
        <v>50.075000000000003</v>
      </c>
    </row>
    <row r="52" spans="1:19" x14ac:dyDescent="0.2">
      <c r="A52" s="6">
        <v>5.7</v>
      </c>
      <c r="B52">
        <v>50.073</v>
      </c>
      <c r="C52">
        <v>53.281999999999996</v>
      </c>
      <c r="D52">
        <v>48.344999999999999</v>
      </c>
      <c r="E52">
        <v>49.615000000000002</v>
      </c>
      <c r="F52">
        <v>52.33</v>
      </c>
      <c r="G52">
        <v>69.971999999999994</v>
      </c>
      <c r="H52">
        <v>68.617999999999995</v>
      </c>
      <c r="I52">
        <v>74.373999999999995</v>
      </c>
      <c r="J52">
        <v>65.694999999999993</v>
      </c>
      <c r="K52">
        <v>66.853999999999999</v>
      </c>
      <c r="L52">
        <v>66.088999999999999</v>
      </c>
      <c r="M52">
        <v>44.11</v>
      </c>
      <c r="N52">
        <v>49.594999999999999</v>
      </c>
      <c r="O52">
        <v>47.468000000000004</v>
      </c>
      <c r="P52">
        <v>53.524000000000001</v>
      </c>
      <c r="Q52">
        <v>44.591000000000001</v>
      </c>
      <c r="R52">
        <v>50.978999999999999</v>
      </c>
      <c r="S52">
        <v>50.03</v>
      </c>
    </row>
    <row r="53" spans="1:19" x14ac:dyDescent="0.2">
      <c r="A53" s="6">
        <v>5.7166666666666668</v>
      </c>
      <c r="B53">
        <v>50.045999999999999</v>
      </c>
      <c r="C53">
        <v>53.238</v>
      </c>
      <c r="D53">
        <v>48.037999999999997</v>
      </c>
      <c r="E53">
        <v>49.6</v>
      </c>
      <c r="F53">
        <v>52.338000000000001</v>
      </c>
      <c r="G53">
        <v>69.873000000000005</v>
      </c>
      <c r="H53">
        <v>68.356999999999999</v>
      </c>
      <c r="I53">
        <v>74.340999999999994</v>
      </c>
      <c r="J53">
        <v>65.593000000000004</v>
      </c>
      <c r="K53">
        <v>66.730999999999995</v>
      </c>
      <c r="L53">
        <v>65.998999999999995</v>
      </c>
      <c r="M53">
        <v>44.015000000000001</v>
      </c>
      <c r="N53">
        <v>49.567999999999998</v>
      </c>
      <c r="O53">
        <v>47.412999999999997</v>
      </c>
      <c r="P53">
        <v>53.399000000000001</v>
      </c>
      <c r="Q53">
        <v>44.537999999999997</v>
      </c>
      <c r="R53">
        <v>50.843000000000004</v>
      </c>
      <c r="S53">
        <v>49.988999999999997</v>
      </c>
    </row>
    <row r="54" spans="1:19" x14ac:dyDescent="0.2">
      <c r="A54" s="6">
        <v>5.7333333333333334</v>
      </c>
      <c r="B54">
        <v>49.963999999999999</v>
      </c>
      <c r="C54">
        <v>53.186</v>
      </c>
      <c r="D54">
        <v>47.869</v>
      </c>
      <c r="E54">
        <v>49.48</v>
      </c>
      <c r="F54">
        <v>52.287999999999997</v>
      </c>
      <c r="G54">
        <v>69.784999999999997</v>
      </c>
      <c r="H54">
        <v>68.302999999999997</v>
      </c>
      <c r="I54">
        <v>74.275000000000006</v>
      </c>
      <c r="J54">
        <v>65.512</v>
      </c>
      <c r="K54">
        <v>66.706000000000003</v>
      </c>
      <c r="L54">
        <v>65.600999999999999</v>
      </c>
      <c r="M54">
        <v>43.904000000000003</v>
      </c>
      <c r="N54">
        <v>49.420999999999999</v>
      </c>
      <c r="O54">
        <v>47.308</v>
      </c>
      <c r="P54">
        <v>53.341000000000001</v>
      </c>
      <c r="Q54">
        <v>44.341000000000001</v>
      </c>
      <c r="R54">
        <v>50.637</v>
      </c>
      <c r="S54">
        <v>49.87</v>
      </c>
    </row>
    <row r="55" spans="1:19" x14ac:dyDescent="0.2">
      <c r="A55" s="6">
        <v>5.75</v>
      </c>
      <c r="B55">
        <v>49.932000000000002</v>
      </c>
      <c r="C55">
        <v>53.076999999999998</v>
      </c>
      <c r="D55">
        <v>47.694000000000003</v>
      </c>
      <c r="E55">
        <v>49.472000000000001</v>
      </c>
      <c r="F55">
        <v>52.3</v>
      </c>
      <c r="G55">
        <v>69.628</v>
      </c>
      <c r="H55">
        <v>68.325999999999993</v>
      </c>
      <c r="I55">
        <v>74.230999999999995</v>
      </c>
      <c r="J55">
        <v>65.42</v>
      </c>
      <c r="K55">
        <v>66.585999999999999</v>
      </c>
      <c r="L55">
        <v>65.753</v>
      </c>
      <c r="M55">
        <v>43.832000000000001</v>
      </c>
      <c r="N55">
        <v>49.395000000000003</v>
      </c>
      <c r="O55">
        <v>47.228000000000002</v>
      </c>
      <c r="P55">
        <v>53.304000000000002</v>
      </c>
      <c r="Q55">
        <v>44.46</v>
      </c>
      <c r="R55">
        <v>50.65</v>
      </c>
      <c r="S55">
        <v>49.820999999999998</v>
      </c>
    </row>
    <row r="56" spans="1:19" x14ac:dyDescent="0.2">
      <c r="A56" s="6">
        <v>5.7666666666666666</v>
      </c>
      <c r="B56">
        <v>49.798000000000002</v>
      </c>
      <c r="C56">
        <v>52.96</v>
      </c>
      <c r="D56">
        <v>47.795999999999999</v>
      </c>
      <c r="E56">
        <v>49.390999999999998</v>
      </c>
      <c r="F56">
        <v>52.253</v>
      </c>
      <c r="G56">
        <v>69.644999999999996</v>
      </c>
      <c r="H56">
        <v>68.197999999999993</v>
      </c>
      <c r="I56">
        <v>74.186999999999998</v>
      </c>
      <c r="J56">
        <v>65.397000000000006</v>
      </c>
      <c r="K56">
        <v>66.561000000000007</v>
      </c>
      <c r="L56">
        <v>65.674999999999997</v>
      </c>
      <c r="M56">
        <v>43.783999999999999</v>
      </c>
      <c r="N56">
        <v>49.298999999999999</v>
      </c>
      <c r="O56">
        <v>47.18</v>
      </c>
      <c r="P56">
        <v>53.267000000000003</v>
      </c>
      <c r="Q56">
        <v>44.216000000000001</v>
      </c>
      <c r="R56">
        <v>50.485999999999997</v>
      </c>
      <c r="S56">
        <v>49.783999999999999</v>
      </c>
    </row>
    <row r="57" spans="1:19" x14ac:dyDescent="0.2">
      <c r="A57" s="6">
        <v>5.7833333333333332</v>
      </c>
      <c r="B57">
        <v>49.670999999999999</v>
      </c>
      <c r="C57">
        <v>52.88</v>
      </c>
      <c r="D57">
        <v>47.472000000000001</v>
      </c>
      <c r="E57">
        <v>49.183999999999997</v>
      </c>
      <c r="F57">
        <v>52.284999999999997</v>
      </c>
      <c r="G57">
        <v>69.528000000000006</v>
      </c>
      <c r="H57">
        <v>68.135000000000005</v>
      </c>
      <c r="I57">
        <v>74.126999999999995</v>
      </c>
      <c r="J57">
        <v>65.236000000000004</v>
      </c>
      <c r="K57">
        <v>66.471999999999994</v>
      </c>
      <c r="L57">
        <v>65.653999999999996</v>
      </c>
      <c r="M57">
        <v>43.674999999999997</v>
      </c>
      <c r="N57">
        <v>49.258000000000003</v>
      </c>
      <c r="O57">
        <v>47.040999999999997</v>
      </c>
      <c r="P57">
        <v>53.173000000000002</v>
      </c>
      <c r="Q57">
        <v>44.110999999999997</v>
      </c>
      <c r="R57">
        <v>50.548999999999999</v>
      </c>
      <c r="S57">
        <v>49.686</v>
      </c>
    </row>
    <row r="58" spans="1:19" x14ac:dyDescent="0.2">
      <c r="A58" s="6">
        <v>5.8</v>
      </c>
      <c r="B58">
        <v>49.66</v>
      </c>
      <c r="C58">
        <v>52.832000000000001</v>
      </c>
      <c r="D58">
        <v>47.569000000000003</v>
      </c>
      <c r="E58">
        <v>49.164999999999999</v>
      </c>
      <c r="F58">
        <v>52.146000000000001</v>
      </c>
      <c r="G58">
        <v>69.495999999999995</v>
      </c>
      <c r="H58">
        <v>68.015000000000001</v>
      </c>
      <c r="I58">
        <v>74.093999999999994</v>
      </c>
      <c r="J58">
        <v>65.218999999999994</v>
      </c>
      <c r="K58">
        <v>66.39</v>
      </c>
      <c r="L58">
        <v>65.596000000000004</v>
      </c>
      <c r="M58">
        <v>43.613</v>
      </c>
      <c r="N58">
        <v>49.173000000000002</v>
      </c>
      <c r="O58">
        <v>46.92</v>
      </c>
      <c r="P58">
        <v>53.09</v>
      </c>
      <c r="Q58">
        <v>44.165999999999997</v>
      </c>
      <c r="R58">
        <v>50.442999999999998</v>
      </c>
      <c r="S58">
        <v>49.683999999999997</v>
      </c>
    </row>
    <row r="59" spans="1:19" x14ac:dyDescent="0.2">
      <c r="A59" s="6">
        <v>5.8166666666666664</v>
      </c>
      <c r="B59">
        <v>49.554000000000002</v>
      </c>
      <c r="C59">
        <v>52.767000000000003</v>
      </c>
      <c r="D59">
        <v>47.466000000000001</v>
      </c>
      <c r="E59">
        <v>49.155000000000001</v>
      </c>
      <c r="F59">
        <v>52.095999999999997</v>
      </c>
      <c r="G59">
        <v>69.417000000000002</v>
      </c>
      <c r="H59">
        <v>68.090999999999994</v>
      </c>
      <c r="I59">
        <v>74.022000000000006</v>
      </c>
      <c r="J59">
        <v>65.197999999999993</v>
      </c>
      <c r="K59">
        <v>66.338999999999999</v>
      </c>
      <c r="L59">
        <v>65.453000000000003</v>
      </c>
      <c r="M59">
        <v>43.432000000000002</v>
      </c>
      <c r="N59">
        <v>49.134999999999998</v>
      </c>
      <c r="O59">
        <v>46.789000000000001</v>
      </c>
      <c r="P59">
        <v>53.05</v>
      </c>
      <c r="Q59">
        <v>44</v>
      </c>
      <c r="R59">
        <v>50.429000000000002</v>
      </c>
      <c r="S59">
        <v>49.503</v>
      </c>
    </row>
    <row r="60" spans="1:19" x14ac:dyDescent="0.2">
      <c r="A60" s="6">
        <v>5.833333333333333</v>
      </c>
      <c r="B60">
        <v>49.423000000000002</v>
      </c>
      <c r="C60">
        <v>52.612000000000002</v>
      </c>
      <c r="D60">
        <v>47.506</v>
      </c>
      <c r="E60">
        <v>49.05</v>
      </c>
      <c r="F60">
        <v>52.066000000000003</v>
      </c>
      <c r="G60">
        <v>69.387</v>
      </c>
      <c r="H60">
        <v>67.959999999999994</v>
      </c>
      <c r="I60">
        <v>73.995999999999995</v>
      </c>
      <c r="J60">
        <v>64.975999999999999</v>
      </c>
      <c r="K60">
        <v>66.228999999999999</v>
      </c>
      <c r="L60">
        <v>65.355999999999995</v>
      </c>
      <c r="M60">
        <v>43.332999999999998</v>
      </c>
      <c r="N60">
        <v>49.09</v>
      </c>
      <c r="O60">
        <v>46.69</v>
      </c>
      <c r="P60">
        <v>52.993000000000002</v>
      </c>
      <c r="Q60">
        <v>43.892000000000003</v>
      </c>
      <c r="R60">
        <v>50.344000000000001</v>
      </c>
      <c r="S60">
        <v>49.43</v>
      </c>
    </row>
    <row r="61" spans="1:19" x14ac:dyDescent="0.2">
      <c r="A61" s="6">
        <v>5.85</v>
      </c>
      <c r="B61">
        <v>49.323</v>
      </c>
      <c r="C61">
        <v>52.54</v>
      </c>
      <c r="D61">
        <v>46.976999999999997</v>
      </c>
      <c r="E61">
        <v>49.015999999999998</v>
      </c>
      <c r="F61">
        <v>51.997999999999998</v>
      </c>
      <c r="G61">
        <v>69.234999999999999</v>
      </c>
      <c r="H61">
        <v>67.965999999999994</v>
      </c>
      <c r="I61">
        <v>73.915999999999997</v>
      </c>
      <c r="J61">
        <v>64.983000000000004</v>
      </c>
      <c r="K61">
        <v>66.197000000000003</v>
      </c>
      <c r="L61">
        <v>65.293999999999997</v>
      </c>
      <c r="M61">
        <v>43.29</v>
      </c>
      <c r="N61">
        <v>49.045999999999999</v>
      </c>
      <c r="O61">
        <v>46.668999999999997</v>
      </c>
      <c r="P61">
        <v>52.945999999999998</v>
      </c>
      <c r="Q61">
        <v>43.774999999999999</v>
      </c>
      <c r="R61">
        <v>50.222000000000001</v>
      </c>
      <c r="S61">
        <v>49.366</v>
      </c>
    </row>
    <row r="62" spans="1:19" x14ac:dyDescent="0.2">
      <c r="A62" s="6">
        <v>5.8666666666666663</v>
      </c>
      <c r="B62">
        <v>49.259</v>
      </c>
      <c r="C62">
        <v>52.512</v>
      </c>
      <c r="D62">
        <v>47.231000000000002</v>
      </c>
      <c r="E62">
        <v>48.908000000000001</v>
      </c>
      <c r="F62">
        <v>52.034999999999997</v>
      </c>
      <c r="G62">
        <v>69.058000000000007</v>
      </c>
      <c r="H62">
        <v>67.912999999999997</v>
      </c>
      <c r="I62">
        <v>73.852000000000004</v>
      </c>
      <c r="J62">
        <v>64.944000000000003</v>
      </c>
      <c r="K62">
        <v>66.251000000000005</v>
      </c>
      <c r="L62">
        <v>65.147999999999996</v>
      </c>
      <c r="M62">
        <v>43.131999999999998</v>
      </c>
      <c r="N62">
        <v>48.927</v>
      </c>
      <c r="O62">
        <v>46.543999999999997</v>
      </c>
      <c r="P62">
        <v>52.667999999999999</v>
      </c>
      <c r="Q62">
        <v>43.741999999999997</v>
      </c>
      <c r="R62">
        <v>50.290999999999997</v>
      </c>
      <c r="S62">
        <v>49.091000000000001</v>
      </c>
    </row>
    <row r="63" spans="1:19" x14ac:dyDescent="0.2">
      <c r="A63" s="6">
        <v>5.8833333333333337</v>
      </c>
      <c r="B63">
        <v>49.1</v>
      </c>
      <c r="C63">
        <v>52.435000000000002</v>
      </c>
      <c r="D63">
        <v>47.152999999999999</v>
      </c>
      <c r="E63">
        <v>48.72</v>
      </c>
      <c r="F63">
        <v>51.988</v>
      </c>
      <c r="G63">
        <v>69.058999999999997</v>
      </c>
      <c r="H63">
        <v>67.665999999999997</v>
      </c>
      <c r="I63">
        <v>73.706000000000003</v>
      </c>
      <c r="J63">
        <v>64.83</v>
      </c>
      <c r="K63">
        <v>66.16</v>
      </c>
      <c r="L63">
        <v>65.13</v>
      </c>
      <c r="M63">
        <v>42.856999999999999</v>
      </c>
      <c r="N63">
        <v>48.927999999999997</v>
      </c>
      <c r="O63">
        <v>46.430999999999997</v>
      </c>
      <c r="P63">
        <v>52.816000000000003</v>
      </c>
      <c r="Q63">
        <v>43.645000000000003</v>
      </c>
      <c r="R63">
        <v>50.075000000000003</v>
      </c>
      <c r="S63">
        <v>49.115000000000002</v>
      </c>
    </row>
    <row r="64" spans="1:19" x14ac:dyDescent="0.2">
      <c r="A64" s="6">
        <v>5.9</v>
      </c>
      <c r="B64">
        <v>49.042999999999999</v>
      </c>
      <c r="C64">
        <v>52.395000000000003</v>
      </c>
      <c r="D64">
        <v>46.970999999999997</v>
      </c>
      <c r="E64">
        <v>48.905000000000001</v>
      </c>
      <c r="F64">
        <v>51.923999999999999</v>
      </c>
      <c r="G64">
        <v>68.977999999999994</v>
      </c>
      <c r="H64">
        <v>67.789000000000001</v>
      </c>
      <c r="I64">
        <v>73.659000000000006</v>
      </c>
      <c r="J64">
        <v>64.656999999999996</v>
      </c>
      <c r="K64">
        <v>66.126999999999995</v>
      </c>
      <c r="L64">
        <v>65.117999999999995</v>
      </c>
      <c r="M64">
        <v>42.843000000000004</v>
      </c>
      <c r="N64">
        <v>48.795000000000002</v>
      </c>
      <c r="O64">
        <v>46.323</v>
      </c>
      <c r="P64">
        <v>52.737000000000002</v>
      </c>
      <c r="Q64">
        <v>43.634</v>
      </c>
      <c r="R64">
        <v>50.042999999999999</v>
      </c>
      <c r="S64">
        <v>48.982999999999997</v>
      </c>
    </row>
    <row r="65" spans="1:19" x14ac:dyDescent="0.2">
      <c r="A65" s="6">
        <v>5.916666666666667</v>
      </c>
      <c r="B65">
        <v>48.970999999999997</v>
      </c>
      <c r="C65">
        <v>52.237000000000002</v>
      </c>
      <c r="D65">
        <v>46.326999999999998</v>
      </c>
      <c r="E65">
        <v>48.837000000000003</v>
      </c>
      <c r="F65">
        <v>51.908000000000001</v>
      </c>
      <c r="G65">
        <v>68.923000000000002</v>
      </c>
      <c r="H65">
        <v>67.688000000000002</v>
      </c>
      <c r="I65">
        <v>73.620999999999995</v>
      </c>
      <c r="J65">
        <v>64.674999999999997</v>
      </c>
      <c r="K65">
        <v>65.992999999999995</v>
      </c>
      <c r="L65">
        <v>64.843000000000004</v>
      </c>
      <c r="M65">
        <v>42.697000000000003</v>
      </c>
      <c r="N65">
        <v>48.784999999999997</v>
      </c>
      <c r="O65">
        <v>46.228000000000002</v>
      </c>
      <c r="P65">
        <v>52.710999999999999</v>
      </c>
      <c r="Q65">
        <v>43.4</v>
      </c>
      <c r="R65">
        <v>50.005000000000003</v>
      </c>
      <c r="S65">
        <v>49.052</v>
      </c>
    </row>
    <row r="66" spans="1:19" x14ac:dyDescent="0.2">
      <c r="A66" s="6">
        <v>5.9333333333333336</v>
      </c>
      <c r="B66">
        <v>48.857999999999997</v>
      </c>
      <c r="C66">
        <v>52.216999999999999</v>
      </c>
      <c r="D66">
        <v>46.646999999999998</v>
      </c>
      <c r="E66">
        <v>48.698</v>
      </c>
      <c r="F66">
        <v>51.683999999999997</v>
      </c>
      <c r="G66">
        <v>68.819000000000003</v>
      </c>
      <c r="H66">
        <v>67.674000000000007</v>
      </c>
      <c r="I66">
        <v>73.613</v>
      </c>
      <c r="J66">
        <v>64.611000000000004</v>
      </c>
      <c r="K66">
        <v>65.921999999999997</v>
      </c>
      <c r="L66">
        <v>64.864999999999995</v>
      </c>
      <c r="M66">
        <v>42.66</v>
      </c>
      <c r="N66">
        <v>48.502000000000002</v>
      </c>
      <c r="O66">
        <v>46.197000000000003</v>
      </c>
      <c r="P66">
        <v>52.642000000000003</v>
      </c>
      <c r="Q66">
        <v>43.384999999999998</v>
      </c>
      <c r="R66">
        <v>49.9</v>
      </c>
      <c r="S66">
        <v>48.945999999999998</v>
      </c>
    </row>
    <row r="67" spans="1:19" x14ac:dyDescent="0.2">
      <c r="A67" s="6">
        <v>5.95</v>
      </c>
      <c r="B67">
        <v>48.816000000000003</v>
      </c>
      <c r="C67">
        <v>52.173999999999999</v>
      </c>
      <c r="D67">
        <v>46.481999999999999</v>
      </c>
      <c r="E67">
        <v>48.466999999999999</v>
      </c>
      <c r="F67">
        <v>51.658000000000001</v>
      </c>
      <c r="G67">
        <v>68.786000000000001</v>
      </c>
      <c r="H67">
        <v>67.501000000000005</v>
      </c>
      <c r="I67">
        <v>73.521000000000001</v>
      </c>
      <c r="J67">
        <v>64.405000000000001</v>
      </c>
      <c r="K67">
        <v>65.876000000000005</v>
      </c>
      <c r="L67">
        <v>64.768000000000001</v>
      </c>
      <c r="M67">
        <v>42.494999999999997</v>
      </c>
      <c r="N67">
        <v>48.521999999999998</v>
      </c>
      <c r="O67">
        <v>46.066000000000003</v>
      </c>
      <c r="P67">
        <v>52.567</v>
      </c>
      <c r="Q67">
        <v>43.281999999999996</v>
      </c>
      <c r="R67">
        <v>49.862000000000002</v>
      </c>
      <c r="S67">
        <v>48.843000000000004</v>
      </c>
    </row>
    <row r="68" spans="1:19" x14ac:dyDescent="0.2">
      <c r="A68" s="6">
        <v>5.9666666666666668</v>
      </c>
      <c r="B68">
        <v>48.677</v>
      </c>
      <c r="C68">
        <v>52.110999999999997</v>
      </c>
      <c r="D68">
        <v>46.466000000000001</v>
      </c>
      <c r="E68">
        <v>48.558</v>
      </c>
      <c r="F68">
        <v>51.578000000000003</v>
      </c>
      <c r="G68">
        <v>68.680999999999997</v>
      </c>
      <c r="H68">
        <v>67.037999999999997</v>
      </c>
      <c r="I68">
        <v>73.489000000000004</v>
      </c>
      <c r="J68">
        <v>64.403000000000006</v>
      </c>
      <c r="K68">
        <v>65.682000000000002</v>
      </c>
      <c r="L68">
        <v>64.625</v>
      </c>
      <c r="M68">
        <v>42.451999999999998</v>
      </c>
      <c r="N68">
        <v>48.451000000000001</v>
      </c>
      <c r="O68">
        <v>45.963999999999999</v>
      </c>
      <c r="P68">
        <v>52.49</v>
      </c>
      <c r="Q68">
        <v>43.265999999999998</v>
      </c>
      <c r="R68">
        <v>49.832000000000001</v>
      </c>
      <c r="S68">
        <v>48.643000000000001</v>
      </c>
    </row>
    <row r="69" spans="1:19" x14ac:dyDescent="0.2">
      <c r="A69" s="6">
        <v>5.9833333333333334</v>
      </c>
      <c r="B69">
        <v>48.640999999999998</v>
      </c>
      <c r="C69">
        <v>51.959000000000003</v>
      </c>
      <c r="D69">
        <v>46.408000000000001</v>
      </c>
      <c r="E69">
        <v>48.484999999999999</v>
      </c>
      <c r="F69">
        <v>51.561</v>
      </c>
      <c r="G69">
        <v>68.650000000000006</v>
      </c>
      <c r="H69">
        <v>67.426000000000002</v>
      </c>
      <c r="I69">
        <v>73.462999999999994</v>
      </c>
      <c r="J69">
        <v>64.302999999999997</v>
      </c>
      <c r="K69">
        <v>65.677000000000007</v>
      </c>
      <c r="L69">
        <v>64.433999999999997</v>
      </c>
      <c r="M69">
        <v>42.264000000000003</v>
      </c>
      <c r="N69">
        <v>48.286999999999999</v>
      </c>
      <c r="O69">
        <v>45.892000000000003</v>
      </c>
      <c r="P69">
        <v>52.383000000000003</v>
      </c>
      <c r="Q69">
        <v>43.067</v>
      </c>
      <c r="R69">
        <v>49.594999999999999</v>
      </c>
      <c r="S69">
        <v>48.4</v>
      </c>
    </row>
    <row r="70" spans="1:19" x14ac:dyDescent="0.2">
      <c r="A70" s="6">
        <v>6</v>
      </c>
      <c r="B70">
        <v>48.487000000000002</v>
      </c>
      <c r="C70">
        <v>51.904000000000003</v>
      </c>
      <c r="D70">
        <v>46.302</v>
      </c>
      <c r="E70">
        <v>48.384</v>
      </c>
      <c r="F70">
        <v>51.521999999999998</v>
      </c>
      <c r="G70">
        <v>68.539000000000001</v>
      </c>
      <c r="H70">
        <v>67.242000000000004</v>
      </c>
      <c r="I70">
        <v>73.358999999999995</v>
      </c>
      <c r="J70">
        <v>64.132000000000005</v>
      </c>
      <c r="K70">
        <v>65.477999999999994</v>
      </c>
      <c r="L70">
        <v>64.376000000000005</v>
      </c>
      <c r="M70">
        <v>42.161000000000001</v>
      </c>
      <c r="N70">
        <v>48.295999999999999</v>
      </c>
      <c r="O70">
        <v>45.779000000000003</v>
      </c>
      <c r="P70">
        <v>52.283000000000001</v>
      </c>
      <c r="Q70">
        <v>42.962000000000003</v>
      </c>
      <c r="R70">
        <v>49.601999999999997</v>
      </c>
      <c r="S70">
        <v>48.415999999999997</v>
      </c>
    </row>
    <row r="71" spans="1:19" x14ac:dyDescent="0.2">
      <c r="A71" s="6">
        <v>6.0166666666666666</v>
      </c>
      <c r="B71">
        <v>48.423000000000002</v>
      </c>
      <c r="C71">
        <v>51.841000000000001</v>
      </c>
      <c r="D71">
        <v>46.274000000000001</v>
      </c>
      <c r="E71">
        <v>48.338000000000001</v>
      </c>
      <c r="F71">
        <v>51.499000000000002</v>
      </c>
      <c r="G71">
        <v>68.488</v>
      </c>
      <c r="H71">
        <v>67.16</v>
      </c>
      <c r="I71">
        <v>73.340999999999994</v>
      </c>
      <c r="J71">
        <v>63.988</v>
      </c>
      <c r="K71">
        <v>65.528999999999996</v>
      </c>
      <c r="L71">
        <v>64.302000000000007</v>
      </c>
      <c r="M71">
        <v>42.082000000000001</v>
      </c>
      <c r="N71">
        <v>48.079000000000001</v>
      </c>
      <c r="O71">
        <v>45.604999999999997</v>
      </c>
      <c r="P71">
        <v>52.249000000000002</v>
      </c>
      <c r="Q71">
        <v>42.811</v>
      </c>
      <c r="R71">
        <v>49.597000000000001</v>
      </c>
      <c r="S71">
        <v>48.305</v>
      </c>
    </row>
    <row r="72" spans="1:19" x14ac:dyDescent="0.2">
      <c r="A72" s="6">
        <v>6.0333333333333332</v>
      </c>
      <c r="B72">
        <v>48.363</v>
      </c>
      <c r="C72">
        <v>51.688000000000002</v>
      </c>
      <c r="D72">
        <v>46.313000000000002</v>
      </c>
      <c r="E72">
        <v>48.371000000000002</v>
      </c>
      <c r="F72">
        <v>51.475999999999999</v>
      </c>
      <c r="G72">
        <v>68.307000000000002</v>
      </c>
      <c r="H72">
        <v>67.067999999999998</v>
      </c>
      <c r="I72">
        <v>73.227000000000004</v>
      </c>
      <c r="J72">
        <v>64.069000000000003</v>
      </c>
      <c r="K72">
        <v>65.391999999999996</v>
      </c>
      <c r="L72">
        <v>64.269000000000005</v>
      </c>
      <c r="M72">
        <v>41.996000000000002</v>
      </c>
      <c r="N72">
        <v>48.165999999999997</v>
      </c>
      <c r="O72">
        <v>45.551000000000002</v>
      </c>
      <c r="P72">
        <v>52.143999999999998</v>
      </c>
      <c r="Q72">
        <v>42.857999999999997</v>
      </c>
      <c r="R72">
        <v>49.536000000000001</v>
      </c>
      <c r="S72">
        <v>48.179000000000002</v>
      </c>
    </row>
    <row r="73" spans="1:19" x14ac:dyDescent="0.2">
      <c r="A73" s="6">
        <v>6.05</v>
      </c>
      <c r="B73">
        <v>48.295999999999999</v>
      </c>
      <c r="C73">
        <v>51.662999999999997</v>
      </c>
      <c r="D73">
        <v>46.216999999999999</v>
      </c>
      <c r="E73">
        <v>48.177</v>
      </c>
      <c r="F73">
        <v>51.456000000000003</v>
      </c>
      <c r="G73">
        <v>68.19</v>
      </c>
      <c r="H73">
        <v>66.975999999999999</v>
      </c>
      <c r="I73">
        <v>73.206000000000003</v>
      </c>
      <c r="J73">
        <v>64.006</v>
      </c>
      <c r="K73">
        <v>65.337999999999994</v>
      </c>
      <c r="L73">
        <v>64.22</v>
      </c>
      <c r="M73">
        <v>41.965000000000003</v>
      </c>
      <c r="N73">
        <v>48.017000000000003</v>
      </c>
      <c r="O73">
        <v>45.427</v>
      </c>
      <c r="P73">
        <v>52.084000000000003</v>
      </c>
      <c r="Q73">
        <v>42.652999999999999</v>
      </c>
      <c r="R73">
        <v>49.390999999999998</v>
      </c>
      <c r="S73">
        <v>48.167000000000002</v>
      </c>
    </row>
    <row r="74" spans="1:19" x14ac:dyDescent="0.2">
      <c r="A74" s="6">
        <v>6.0666666666666664</v>
      </c>
      <c r="B74">
        <v>48.218000000000004</v>
      </c>
      <c r="C74">
        <v>51.58</v>
      </c>
      <c r="D74">
        <v>45.588000000000001</v>
      </c>
      <c r="E74">
        <v>47.695999999999998</v>
      </c>
      <c r="F74">
        <v>51.411999999999999</v>
      </c>
      <c r="G74">
        <v>68.129000000000005</v>
      </c>
      <c r="H74">
        <v>66.944000000000003</v>
      </c>
      <c r="I74">
        <v>73.209000000000003</v>
      </c>
      <c r="J74">
        <v>63.872999999999998</v>
      </c>
      <c r="K74">
        <v>65.241</v>
      </c>
      <c r="L74">
        <v>64.141999999999996</v>
      </c>
      <c r="M74">
        <v>41.904000000000003</v>
      </c>
      <c r="N74">
        <v>47.981999999999999</v>
      </c>
      <c r="O74">
        <v>45.350999999999999</v>
      </c>
      <c r="P74">
        <v>52.012</v>
      </c>
      <c r="Q74">
        <v>42.581000000000003</v>
      </c>
      <c r="R74">
        <v>49.235999999999997</v>
      </c>
      <c r="S74">
        <v>47.884999999999998</v>
      </c>
    </row>
    <row r="75" spans="1:19" x14ac:dyDescent="0.2">
      <c r="A75" s="6">
        <v>6.083333333333333</v>
      </c>
      <c r="B75">
        <v>48.136000000000003</v>
      </c>
      <c r="C75">
        <v>51.534999999999997</v>
      </c>
      <c r="D75">
        <v>45.896999999999998</v>
      </c>
      <c r="E75">
        <v>47.825000000000003</v>
      </c>
      <c r="F75">
        <v>51.271999999999998</v>
      </c>
      <c r="G75">
        <v>67.966999999999999</v>
      </c>
      <c r="H75">
        <v>66.959999999999994</v>
      </c>
      <c r="I75">
        <v>73.090999999999994</v>
      </c>
      <c r="J75">
        <v>63.826999999999998</v>
      </c>
      <c r="K75">
        <v>65.233999999999995</v>
      </c>
      <c r="L75">
        <v>64.013999999999996</v>
      </c>
      <c r="M75">
        <v>41.845999999999997</v>
      </c>
      <c r="N75">
        <v>47.92</v>
      </c>
      <c r="O75">
        <v>45.128</v>
      </c>
      <c r="P75">
        <v>51.927999999999997</v>
      </c>
      <c r="Q75">
        <v>42.518999999999998</v>
      </c>
      <c r="R75">
        <v>49.26</v>
      </c>
      <c r="S75">
        <v>47.921999999999997</v>
      </c>
    </row>
    <row r="76" spans="1:19" x14ac:dyDescent="0.2">
      <c r="A76" s="6">
        <v>6.1</v>
      </c>
      <c r="B76">
        <v>48.052999999999997</v>
      </c>
      <c r="C76">
        <v>51.432000000000002</v>
      </c>
      <c r="D76">
        <v>45.494999999999997</v>
      </c>
      <c r="E76">
        <v>47.683999999999997</v>
      </c>
      <c r="F76">
        <v>51.34</v>
      </c>
      <c r="G76">
        <v>67.906999999999996</v>
      </c>
      <c r="H76">
        <v>66.691999999999993</v>
      </c>
      <c r="I76">
        <v>73.040999999999997</v>
      </c>
      <c r="J76">
        <v>63.698</v>
      </c>
      <c r="K76">
        <v>65.149000000000001</v>
      </c>
      <c r="L76">
        <v>64.013000000000005</v>
      </c>
      <c r="M76">
        <v>41.764000000000003</v>
      </c>
      <c r="N76">
        <v>47.795000000000002</v>
      </c>
      <c r="O76">
        <v>45.149000000000001</v>
      </c>
      <c r="P76">
        <v>51.837000000000003</v>
      </c>
      <c r="Q76">
        <v>42.412999999999997</v>
      </c>
      <c r="R76">
        <v>49.121000000000002</v>
      </c>
      <c r="S76">
        <v>47.811999999999998</v>
      </c>
    </row>
    <row r="77" spans="1:19" x14ac:dyDescent="0.2">
      <c r="A77" s="6">
        <v>6.1166666666666663</v>
      </c>
      <c r="B77">
        <v>47.969000000000001</v>
      </c>
      <c r="C77">
        <v>51.348999999999997</v>
      </c>
      <c r="D77">
        <v>45.74</v>
      </c>
      <c r="E77">
        <v>47.84</v>
      </c>
      <c r="F77">
        <v>51.326000000000001</v>
      </c>
      <c r="G77">
        <v>67.641999999999996</v>
      </c>
      <c r="H77">
        <v>66.537000000000006</v>
      </c>
      <c r="I77">
        <v>73.03</v>
      </c>
      <c r="J77">
        <v>63.683</v>
      </c>
      <c r="K77">
        <v>65.11</v>
      </c>
      <c r="L77">
        <v>63.889000000000003</v>
      </c>
      <c r="M77">
        <v>41.640999999999998</v>
      </c>
      <c r="N77">
        <v>47.725999999999999</v>
      </c>
      <c r="O77">
        <v>45.021999999999998</v>
      </c>
      <c r="P77">
        <v>51.826999999999998</v>
      </c>
      <c r="Q77">
        <v>42.267000000000003</v>
      </c>
      <c r="R77">
        <v>49.017000000000003</v>
      </c>
      <c r="S77">
        <v>47.593000000000004</v>
      </c>
    </row>
    <row r="78" spans="1:19" x14ac:dyDescent="0.2">
      <c r="A78" s="6">
        <v>6.1333333333333337</v>
      </c>
      <c r="B78">
        <v>47.826999999999998</v>
      </c>
      <c r="C78">
        <v>51.28</v>
      </c>
      <c r="D78">
        <v>45.628</v>
      </c>
      <c r="E78">
        <v>47.515000000000001</v>
      </c>
      <c r="F78">
        <v>51.304000000000002</v>
      </c>
      <c r="G78">
        <v>67.712000000000003</v>
      </c>
      <c r="H78">
        <v>66.659000000000006</v>
      </c>
      <c r="I78">
        <v>73.009</v>
      </c>
      <c r="J78">
        <v>63.53</v>
      </c>
      <c r="K78">
        <v>65.055999999999997</v>
      </c>
      <c r="L78">
        <v>63.862000000000002</v>
      </c>
      <c r="M78">
        <v>41.470999999999997</v>
      </c>
      <c r="N78">
        <v>47.691000000000003</v>
      </c>
      <c r="O78">
        <v>45.017000000000003</v>
      </c>
      <c r="P78">
        <v>51.758000000000003</v>
      </c>
      <c r="Q78">
        <v>42.13</v>
      </c>
      <c r="R78">
        <v>49.067999999999998</v>
      </c>
      <c r="S78">
        <v>47.540999999999997</v>
      </c>
    </row>
    <row r="79" spans="1:19" x14ac:dyDescent="0.2">
      <c r="A79" s="6">
        <v>6.15</v>
      </c>
      <c r="B79">
        <v>47.796999999999997</v>
      </c>
      <c r="C79">
        <v>51.151000000000003</v>
      </c>
      <c r="D79">
        <v>45.381</v>
      </c>
      <c r="E79">
        <v>47.658999999999999</v>
      </c>
      <c r="F79">
        <v>50.930999999999997</v>
      </c>
      <c r="G79">
        <v>67.59</v>
      </c>
      <c r="H79">
        <v>66.531000000000006</v>
      </c>
      <c r="I79">
        <v>72.905000000000001</v>
      </c>
      <c r="J79">
        <v>63.335000000000001</v>
      </c>
      <c r="K79">
        <v>65.081000000000003</v>
      </c>
      <c r="L79">
        <v>63.838000000000001</v>
      </c>
      <c r="M79">
        <v>41.344000000000001</v>
      </c>
      <c r="N79">
        <v>47.606999999999999</v>
      </c>
      <c r="O79">
        <v>44.875999999999998</v>
      </c>
      <c r="P79">
        <v>51.701000000000001</v>
      </c>
      <c r="Q79">
        <v>42.145000000000003</v>
      </c>
      <c r="R79">
        <v>48.957999999999998</v>
      </c>
      <c r="S79">
        <v>47.442</v>
      </c>
    </row>
    <row r="80" spans="1:19" x14ac:dyDescent="0.2">
      <c r="A80" s="6">
        <v>6.166666666666667</v>
      </c>
      <c r="B80">
        <v>47.673999999999999</v>
      </c>
      <c r="C80">
        <v>51.155000000000001</v>
      </c>
      <c r="D80">
        <v>45.551000000000002</v>
      </c>
      <c r="E80">
        <v>47.548000000000002</v>
      </c>
      <c r="F80">
        <v>51.188000000000002</v>
      </c>
      <c r="G80">
        <v>67.566999999999993</v>
      </c>
      <c r="H80">
        <v>66.393000000000001</v>
      </c>
      <c r="I80">
        <v>72.867999999999995</v>
      </c>
      <c r="J80">
        <v>63.356000000000002</v>
      </c>
      <c r="K80">
        <v>64.97</v>
      </c>
      <c r="L80">
        <v>63.796999999999997</v>
      </c>
      <c r="M80">
        <v>41.359000000000002</v>
      </c>
      <c r="N80">
        <v>47.561999999999998</v>
      </c>
      <c r="O80">
        <v>44.78</v>
      </c>
      <c r="P80">
        <v>51.707000000000001</v>
      </c>
      <c r="Q80">
        <v>41.954000000000001</v>
      </c>
      <c r="R80">
        <v>48.965000000000003</v>
      </c>
      <c r="S80">
        <v>47.44</v>
      </c>
    </row>
    <row r="81" spans="1:19" x14ac:dyDescent="0.2">
      <c r="A81" s="6">
        <v>6.1833333333333336</v>
      </c>
      <c r="B81">
        <v>47.542999999999999</v>
      </c>
      <c r="C81">
        <v>51.107999999999997</v>
      </c>
      <c r="D81">
        <v>45.442999999999998</v>
      </c>
      <c r="E81">
        <v>47.451000000000001</v>
      </c>
      <c r="F81">
        <v>51.1</v>
      </c>
      <c r="G81">
        <v>67.484999999999999</v>
      </c>
      <c r="H81">
        <v>66.495999999999995</v>
      </c>
      <c r="I81">
        <v>72.808000000000007</v>
      </c>
      <c r="J81">
        <v>63.235999999999997</v>
      </c>
      <c r="K81">
        <v>64.918999999999997</v>
      </c>
      <c r="L81">
        <v>63.790999999999997</v>
      </c>
      <c r="M81">
        <v>41.206000000000003</v>
      </c>
      <c r="N81">
        <v>47.469000000000001</v>
      </c>
      <c r="O81">
        <v>44.671999999999997</v>
      </c>
      <c r="P81">
        <v>51.554000000000002</v>
      </c>
      <c r="Q81">
        <v>41.877000000000002</v>
      </c>
      <c r="R81">
        <v>48.877000000000002</v>
      </c>
      <c r="S81">
        <v>47.442</v>
      </c>
    </row>
    <row r="82" spans="1:19" x14ac:dyDescent="0.2">
      <c r="A82" s="6">
        <v>6.2</v>
      </c>
      <c r="B82">
        <v>47.36</v>
      </c>
      <c r="C82">
        <v>51.113</v>
      </c>
      <c r="D82">
        <v>45.365000000000002</v>
      </c>
      <c r="E82">
        <v>47.396999999999998</v>
      </c>
      <c r="F82">
        <v>51.012999999999998</v>
      </c>
      <c r="G82">
        <v>67.373000000000005</v>
      </c>
      <c r="H82">
        <v>66.134</v>
      </c>
      <c r="I82">
        <v>72.784999999999997</v>
      </c>
      <c r="J82">
        <v>63.189</v>
      </c>
      <c r="K82">
        <v>64.715000000000003</v>
      </c>
      <c r="L82">
        <v>63.658000000000001</v>
      </c>
      <c r="M82">
        <v>41.167000000000002</v>
      </c>
      <c r="N82">
        <v>47.356000000000002</v>
      </c>
      <c r="O82">
        <v>44.609000000000002</v>
      </c>
      <c r="P82">
        <v>51.438000000000002</v>
      </c>
      <c r="Q82">
        <v>41.834000000000003</v>
      </c>
      <c r="R82">
        <v>48.832999999999998</v>
      </c>
      <c r="S82">
        <v>47.195999999999998</v>
      </c>
    </row>
    <row r="83" spans="1:19" x14ac:dyDescent="0.2">
      <c r="A83" s="6">
        <v>6.2166666666666668</v>
      </c>
      <c r="B83">
        <v>47.356999999999999</v>
      </c>
      <c r="C83">
        <v>50.99</v>
      </c>
      <c r="D83">
        <v>45.034999999999997</v>
      </c>
      <c r="E83">
        <v>47.301000000000002</v>
      </c>
      <c r="F83">
        <v>50.984000000000002</v>
      </c>
      <c r="G83">
        <v>67.284999999999997</v>
      </c>
      <c r="H83">
        <v>66.278999999999996</v>
      </c>
      <c r="I83">
        <v>72.608000000000004</v>
      </c>
      <c r="J83">
        <v>63.106000000000002</v>
      </c>
      <c r="K83">
        <v>64.69</v>
      </c>
      <c r="L83">
        <v>63.716000000000001</v>
      </c>
      <c r="M83">
        <v>41.069000000000003</v>
      </c>
      <c r="N83">
        <v>47.311999999999998</v>
      </c>
      <c r="O83">
        <v>44.488999999999997</v>
      </c>
      <c r="P83">
        <v>51.334000000000003</v>
      </c>
      <c r="Q83">
        <v>41.773000000000003</v>
      </c>
      <c r="R83">
        <v>48.716999999999999</v>
      </c>
      <c r="S83">
        <v>47.158000000000001</v>
      </c>
    </row>
    <row r="84" spans="1:19" x14ac:dyDescent="0.2">
      <c r="A84" s="6">
        <v>6.2333333333333334</v>
      </c>
      <c r="B84">
        <v>47.284999999999997</v>
      </c>
      <c r="C84">
        <v>50.703000000000003</v>
      </c>
      <c r="D84">
        <v>44.475999999999999</v>
      </c>
      <c r="E84">
        <v>47.094000000000001</v>
      </c>
      <c r="F84">
        <v>50.921999999999997</v>
      </c>
      <c r="G84">
        <v>67.245999999999995</v>
      </c>
      <c r="H84">
        <v>66.221000000000004</v>
      </c>
      <c r="I84">
        <v>72.596999999999994</v>
      </c>
      <c r="J84">
        <v>63.030999999999999</v>
      </c>
      <c r="K84">
        <v>64.680000000000007</v>
      </c>
      <c r="L84">
        <v>63.601999999999997</v>
      </c>
      <c r="M84">
        <v>40.947000000000003</v>
      </c>
      <c r="N84">
        <v>47.19</v>
      </c>
      <c r="O84">
        <v>44.366999999999997</v>
      </c>
      <c r="P84">
        <v>51.262</v>
      </c>
      <c r="Q84">
        <v>41.683999999999997</v>
      </c>
      <c r="R84">
        <v>48.625999999999998</v>
      </c>
      <c r="S84">
        <v>47.040999999999997</v>
      </c>
    </row>
    <row r="85" spans="1:19" x14ac:dyDescent="0.2">
      <c r="A85" s="6">
        <v>6.25</v>
      </c>
      <c r="B85">
        <v>47.177999999999997</v>
      </c>
      <c r="C85">
        <v>50.688000000000002</v>
      </c>
      <c r="D85">
        <v>44.915999999999997</v>
      </c>
      <c r="E85">
        <v>46.908000000000001</v>
      </c>
      <c r="F85">
        <v>50.429000000000002</v>
      </c>
      <c r="G85">
        <v>67.186999999999998</v>
      </c>
      <c r="H85">
        <v>65.930000000000007</v>
      </c>
      <c r="I85">
        <v>72.53</v>
      </c>
      <c r="J85">
        <v>62.917999999999999</v>
      </c>
      <c r="K85">
        <v>64.608000000000004</v>
      </c>
      <c r="L85">
        <v>63.575000000000003</v>
      </c>
      <c r="M85">
        <v>40.82</v>
      </c>
      <c r="N85">
        <v>47.104999999999997</v>
      </c>
      <c r="O85">
        <v>44.204000000000001</v>
      </c>
      <c r="P85">
        <v>51.26</v>
      </c>
      <c r="Q85">
        <v>41.454999999999998</v>
      </c>
      <c r="R85">
        <v>48.576999999999998</v>
      </c>
      <c r="S85">
        <v>46.98</v>
      </c>
    </row>
    <row r="86" spans="1:19" x14ac:dyDescent="0.2">
      <c r="A86" s="6">
        <v>6.2666666666666666</v>
      </c>
      <c r="B86">
        <v>47.125999999999998</v>
      </c>
      <c r="C86">
        <v>50.72</v>
      </c>
      <c r="D86">
        <v>44.787999999999997</v>
      </c>
      <c r="E86">
        <v>46.951999999999998</v>
      </c>
      <c r="F86">
        <v>50.332999999999998</v>
      </c>
      <c r="G86">
        <v>67.007000000000005</v>
      </c>
      <c r="H86">
        <v>66.006</v>
      </c>
      <c r="I86">
        <v>72.480999999999995</v>
      </c>
      <c r="J86">
        <v>62.887</v>
      </c>
      <c r="K86">
        <v>64.531000000000006</v>
      </c>
      <c r="L86">
        <v>63.45</v>
      </c>
      <c r="M86">
        <v>40.716999999999999</v>
      </c>
      <c r="N86">
        <v>47.082000000000001</v>
      </c>
      <c r="O86">
        <v>44.213000000000001</v>
      </c>
      <c r="P86">
        <v>51.015000000000001</v>
      </c>
      <c r="Q86">
        <v>41.475000000000001</v>
      </c>
      <c r="R86">
        <v>48.433</v>
      </c>
      <c r="S86">
        <v>47.116999999999997</v>
      </c>
    </row>
    <row r="87" spans="1:19" x14ac:dyDescent="0.2">
      <c r="A87" s="6">
        <v>6.2833333333333332</v>
      </c>
      <c r="B87">
        <v>47.067999999999998</v>
      </c>
      <c r="C87">
        <v>50.677999999999997</v>
      </c>
      <c r="D87">
        <v>44.435000000000002</v>
      </c>
      <c r="E87">
        <v>46.901000000000003</v>
      </c>
      <c r="F87">
        <v>50.468000000000004</v>
      </c>
      <c r="G87">
        <v>66.884</v>
      </c>
      <c r="H87">
        <v>66.022000000000006</v>
      </c>
      <c r="I87">
        <v>72.448999999999998</v>
      </c>
      <c r="J87">
        <v>62.805</v>
      </c>
      <c r="K87">
        <v>64.474999999999994</v>
      </c>
      <c r="L87">
        <v>63.357999999999997</v>
      </c>
      <c r="M87">
        <v>40.639000000000003</v>
      </c>
      <c r="N87">
        <v>46.93</v>
      </c>
      <c r="O87">
        <v>44.097999999999999</v>
      </c>
      <c r="P87">
        <v>51.122999999999998</v>
      </c>
      <c r="Q87">
        <v>41.427</v>
      </c>
      <c r="R87">
        <v>48.433999999999997</v>
      </c>
      <c r="S87">
        <v>46.814999999999998</v>
      </c>
    </row>
    <row r="88" spans="1:19" x14ac:dyDescent="0.2">
      <c r="A88" s="6">
        <v>6.3</v>
      </c>
      <c r="B88">
        <v>46.97</v>
      </c>
      <c r="C88">
        <v>50.64</v>
      </c>
      <c r="D88">
        <v>44.055999999999997</v>
      </c>
      <c r="E88">
        <v>46.878</v>
      </c>
      <c r="F88">
        <v>50.332000000000001</v>
      </c>
      <c r="G88">
        <v>66.777000000000001</v>
      </c>
      <c r="H88">
        <v>65.866</v>
      </c>
      <c r="I88">
        <v>72.325999999999993</v>
      </c>
      <c r="J88">
        <v>62.768000000000001</v>
      </c>
      <c r="K88">
        <v>64.358000000000004</v>
      </c>
      <c r="L88">
        <v>63.213000000000001</v>
      </c>
      <c r="M88">
        <v>40.445</v>
      </c>
      <c r="N88">
        <v>46.834000000000003</v>
      </c>
      <c r="O88">
        <v>43.972000000000001</v>
      </c>
      <c r="P88">
        <v>50.951000000000001</v>
      </c>
      <c r="Q88">
        <v>41.206000000000003</v>
      </c>
      <c r="R88">
        <v>48.393000000000001</v>
      </c>
      <c r="S88">
        <v>46.680999999999997</v>
      </c>
    </row>
    <row r="89" spans="1:19" x14ac:dyDescent="0.2">
      <c r="A89" s="6">
        <v>6.3166666666666664</v>
      </c>
      <c r="B89">
        <v>46.911000000000001</v>
      </c>
      <c r="C89">
        <v>50.567</v>
      </c>
      <c r="D89">
        <v>44.418999999999997</v>
      </c>
      <c r="E89">
        <v>46.697000000000003</v>
      </c>
      <c r="F89">
        <v>50.104999999999997</v>
      </c>
      <c r="G89">
        <v>66.635999999999996</v>
      </c>
      <c r="H89">
        <v>65.781999999999996</v>
      </c>
      <c r="I89">
        <v>72.328999999999994</v>
      </c>
      <c r="J89">
        <v>62.713999999999999</v>
      </c>
      <c r="K89">
        <v>64.384</v>
      </c>
      <c r="L89">
        <v>63.237000000000002</v>
      </c>
      <c r="M89">
        <v>40.448999999999998</v>
      </c>
      <c r="N89">
        <v>46.844999999999999</v>
      </c>
      <c r="O89">
        <v>43.942999999999998</v>
      </c>
      <c r="P89">
        <v>50.945</v>
      </c>
      <c r="Q89">
        <v>41.063000000000002</v>
      </c>
      <c r="R89">
        <v>48.305</v>
      </c>
      <c r="S89">
        <v>46.582000000000001</v>
      </c>
    </row>
    <row r="90" spans="1:19" x14ac:dyDescent="0.2">
      <c r="A90" s="6">
        <v>6.333333333333333</v>
      </c>
      <c r="B90">
        <v>46.8</v>
      </c>
      <c r="C90">
        <v>50.500999999999998</v>
      </c>
      <c r="D90">
        <v>44.408000000000001</v>
      </c>
      <c r="E90">
        <v>46.555999999999997</v>
      </c>
      <c r="F90">
        <v>49.923000000000002</v>
      </c>
      <c r="G90">
        <v>66.698999999999998</v>
      </c>
      <c r="H90">
        <v>65.858000000000004</v>
      </c>
      <c r="I90">
        <v>72.266000000000005</v>
      </c>
      <c r="J90">
        <v>62.521999999999998</v>
      </c>
      <c r="K90">
        <v>64.263000000000005</v>
      </c>
      <c r="L90">
        <v>63.158999999999999</v>
      </c>
      <c r="M90">
        <v>40.292000000000002</v>
      </c>
      <c r="N90">
        <v>46.835000000000001</v>
      </c>
      <c r="O90">
        <v>43.843000000000004</v>
      </c>
      <c r="P90">
        <v>50.841999999999999</v>
      </c>
      <c r="Q90">
        <v>41.152999999999999</v>
      </c>
      <c r="R90">
        <v>48.232999999999997</v>
      </c>
      <c r="S90">
        <v>46.546999999999997</v>
      </c>
    </row>
    <row r="91" spans="1:19" x14ac:dyDescent="0.2">
      <c r="A91" s="6">
        <v>6.35</v>
      </c>
      <c r="B91">
        <v>46.713999999999999</v>
      </c>
      <c r="C91">
        <v>50.284999999999997</v>
      </c>
      <c r="D91">
        <v>44.353000000000002</v>
      </c>
      <c r="E91">
        <v>46.548000000000002</v>
      </c>
      <c r="F91">
        <v>49.898000000000003</v>
      </c>
      <c r="G91">
        <v>66.608999999999995</v>
      </c>
      <c r="H91">
        <v>65.742000000000004</v>
      </c>
      <c r="I91">
        <v>72.195999999999998</v>
      </c>
      <c r="J91">
        <v>62.463000000000001</v>
      </c>
      <c r="K91">
        <v>64.296000000000006</v>
      </c>
      <c r="L91">
        <v>63.106999999999999</v>
      </c>
      <c r="M91">
        <v>40.226999999999997</v>
      </c>
      <c r="N91">
        <v>46.725999999999999</v>
      </c>
      <c r="O91">
        <v>43.734000000000002</v>
      </c>
      <c r="P91">
        <v>50.82</v>
      </c>
      <c r="Q91">
        <v>40.921999999999997</v>
      </c>
      <c r="R91">
        <v>48.152999999999999</v>
      </c>
      <c r="S91">
        <v>46.475999999999999</v>
      </c>
    </row>
    <row r="92" spans="1:19" x14ac:dyDescent="0.2">
      <c r="A92" s="6">
        <v>6.3666666666666663</v>
      </c>
      <c r="B92">
        <v>46.595999999999997</v>
      </c>
      <c r="C92">
        <v>50.142000000000003</v>
      </c>
      <c r="D92">
        <v>44.343000000000004</v>
      </c>
      <c r="E92">
        <v>46.524000000000001</v>
      </c>
      <c r="F92">
        <v>49.71</v>
      </c>
      <c r="G92">
        <v>66.486000000000004</v>
      </c>
      <c r="H92">
        <v>65.454999999999998</v>
      </c>
      <c r="I92">
        <v>72.138000000000005</v>
      </c>
      <c r="J92">
        <v>62.341999999999999</v>
      </c>
      <c r="K92">
        <v>64.305999999999997</v>
      </c>
      <c r="L92">
        <v>63.070999999999998</v>
      </c>
      <c r="M92">
        <v>40.101999999999997</v>
      </c>
      <c r="N92">
        <v>46.649000000000001</v>
      </c>
      <c r="O92">
        <v>43.661999999999999</v>
      </c>
      <c r="P92">
        <v>50.695</v>
      </c>
      <c r="Q92">
        <v>40.777999999999999</v>
      </c>
      <c r="R92">
        <v>48.063000000000002</v>
      </c>
      <c r="S92">
        <v>46.387999999999998</v>
      </c>
    </row>
    <row r="93" spans="1:19" x14ac:dyDescent="0.2">
      <c r="A93" s="6">
        <v>6.3833333333333337</v>
      </c>
      <c r="B93">
        <v>46.506</v>
      </c>
      <c r="C93">
        <v>50.25</v>
      </c>
      <c r="D93">
        <v>43.569000000000003</v>
      </c>
      <c r="E93">
        <v>46.432000000000002</v>
      </c>
      <c r="F93">
        <v>49.805</v>
      </c>
      <c r="G93">
        <v>66.385999999999996</v>
      </c>
      <c r="H93">
        <v>65.63</v>
      </c>
      <c r="I93">
        <v>72.093000000000004</v>
      </c>
      <c r="J93">
        <v>62.265000000000001</v>
      </c>
      <c r="K93">
        <v>64.242999999999995</v>
      </c>
      <c r="L93">
        <v>62.98</v>
      </c>
      <c r="M93">
        <v>40.039000000000001</v>
      </c>
      <c r="N93">
        <v>46.468000000000004</v>
      </c>
      <c r="O93">
        <v>43.585000000000001</v>
      </c>
      <c r="P93">
        <v>50.606999999999999</v>
      </c>
      <c r="Q93">
        <v>40.808999999999997</v>
      </c>
      <c r="R93">
        <v>47.917999999999999</v>
      </c>
      <c r="S93">
        <v>46.262999999999998</v>
      </c>
    </row>
    <row r="94" spans="1:19" x14ac:dyDescent="0.2">
      <c r="A94" s="6">
        <v>6.4</v>
      </c>
      <c r="B94">
        <v>46.445</v>
      </c>
      <c r="C94">
        <v>50.216000000000001</v>
      </c>
      <c r="D94">
        <v>44.029000000000003</v>
      </c>
      <c r="E94">
        <v>46.195</v>
      </c>
      <c r="F94">
        <v>49.651000000000003</v>
      </c>
      <c r="G94">
        <v>66.323999999999998</v>
      </c>
      <c r="H94">
        <v>65.531000000000006</v>
      </c>
      <c r="I94">
        <v>72.05</v>
      </c>
      <c r="J94">
        <v>62.271000000000001</v>
      </c>
      <c r="K94">
        <v>64.203000000000003</v>
      </c>
      <c r="L94">
        <v>62.838000000000001</v>
      </c>
      <c r="M94">
        <v>39.921999999999997</v>
      </c>
      <c r="N94">
        <v>46.311</v>
      </c>
      <c r="O94">
        <v>43.433</v>
      </c>
      <c r="P94">
        <v>50.523000000000003</v>
      </c>
      <c r="Q94">
        <v>40.694000000000003</v>
      </c>
      <c r="R94">
        <v>47.908000000000001</v>
      </c>
      <c r="S94">
        <v>46.215000000000003</v>
      </c>
    </row>
    <row r="95" spans="1:19" x14ac:dyDescent="0.2">
      <c r="A95" s="6">
        <v>6.416666666666667</v>
      </c>
      <c r="B95">
        <v>46.228000000000002</v>
      </c>
      <c r="C95">
        <v>50.198</v>
      </c>
      <c r="D95">
        <v>43.976999999999997</v>
      </c>
      <c r="E95">
        <v>46.223999999999997</v>
      </c>
      <c r="F95">
        <v>49.6</v>
      </c>
      <c r="G95">
        <v>66.155000000000001</v>
      </c>
      <c r="H95">
        <v>65.378</v>
      </c>
      <c r="I95">
        <v>71.989999999999995</v>
      </c>
      <c r="J95">
        <v>62.154000000000003</v>
      </c>
      <c r="K95">
        <v>64.212000000000003</v>
      </c>
      <c r="L95">
        <v>62.786999999999999</v>
      </c>
      <c r="M95">
        <v>39.856000000000002</v>
      </c>
      <c r="N95">
        <v>46.32</v>
      </c>
      <c r="O95">
        <v>43.402999999999999</v>
      </c>
      <c r="P95">
        <v>50.465000000000003</v>
      </c>
      <c r="Q95">
        <v>40.582999999999998</v>
      </c>
      <c r="R95">
        <v>47.874000000000002</v>
      </c>
      <c r="S95">
        <v>46.204999999999998</v>
      </c>
    </row>
    <row r="96" spans="1:19" x14ac:dyDescent="0.2">
      <c r="A96" s="6">
        <v>6.4333333333333336</v>
      </c>
      <c r="B96">
        <v>46.223999999999997</v>
      </c>
      <c r="C96">
        <v>50.197000000000003</v>
      </c>
      <c r="D96">
        <v>43.991999999999997</v>
      </c>
      <c r="E96">
        <v>46.012999999999998</v>
      </c>
      <c r="F96">
        <v>49.445999999999998</v>
      </c>
      <c r="G96">
        <v>66.078000000000003</v>
      </c>
      <c r="H96">
        <v>65.379000000000005</v>
      </c>
      <c r="I96">
        <v>71.948999999999998</v>
      </c>
      <c r="J96">
        <v>62.15</v>
      </c>
      <c r="K96">
        <v>64.227999999999994</v>
      </c>
      <c r="L96">
        <v>62.768999999999998</v>
      </c>
      <c r="M96">
        <v>39.692</v>
      </c>
      <c r="N96">
        <v>46.228000000000002</v>
      </c>
      <c r="O96">
        <v>43.323</v>
      </c>
      <c r="P96">
        <v>50.390999999999998</v>
      </c>
      <c r="Q96">
        <v>40.563000000000002</v>
      </c>
      <c r="R96">
        <v>47.741</v>
      </c>
      <c r="S96">
        <v>46.19</v>
      </c>
    </row>
    <row r="97" spans="1:19" x14ac:dyDescent="0.2">
      <c r="A97" s="6">
        <v>6.45</v>
      </c>
      <c r="B97">
        <v>46.177</v>
      </c>
      <c r="C97">
        <v>50.151000000000003</v>
      </c>
      <c r="D97">
        <v>43.908000000000001</v>
      </c>
      <c r="E97">
        <v>45.706000000000003</v>
      </c>
      <c r="F97">
        <v>49.402999999999999</v>
      </c>
      <c r="G97">
        <v>66.034999999999997</v>
      </c>
      <c r="H97">
        <v>65.260000000000005</v>
      </c>
      <c r="I97">
        <v>71.885999999999996</v>
      </c>
      <c r="J97">
        <v>61.962000000000003</v>
      </c>
      <c r="K97">
        <v>64.209999999999994</v>
      </c>
      <c r="L97">
        <v>62.673000000000002</v>
      </c>
      <c r="M97">
        <v>39.64</v>
      </c>
      <c r="N97">
        <v>46.195</v>
      </c>
      <c r="O97">
        <v>43.2</v>
      </c>
      <c r="P97">
        <v>50.374000000000002</v>
      </c>
      <c r="Q97">
        <v>40.368000000000002</v>
      </c>
      <c r="R97">
        <v>47.718000000000004</v>
      </c>
      <c r="S97">
        <v>46.194000000000003</v>
      </c>
    </row>
    <row r="98" spans="1:19" x14ac:dyDescent="0.2">
      <c r="A98" s="6">
        <v>6.4666666666666668</v>
      </c>
      <c r="B98">
        <v>46.100999999999999</v>
      </c>
      <c r="C98">
        <v>50.134</v>
      </c>
      <c r="D98">
        <v>43.273000000000003</v>
      </c>
      <c r="E98">
        <v>45.753999999999998</v>
      </c>
      <c r="F98">
        <v>49.454000000000001</v>
      </c>
      <c r="G98">
        <v>65.92</v>
      </c>
      <c r="H98">
        <v>65.177000000000007</v>
      </c>
      <c r="I98">
        <v>71.826999999999998</v>
      </c>
      <c r="J98">
        <v>61.942999999999998</v>
      </c>
      <c r="K98">
        <v>64.216999999999999</v>
      </c>
      <c r="L98">
        <v>62.601999999999997</v>
      </c>
      <c r="M98">
        <v>39.505000000000003</v>
      </c>
      <c r="N98">
        <v>46.055999999999997</v>
      </c>
      <c r="O98">
        <v>43.170999999999999</v>
      </c>
      <c r="P98">
        <v>50.316000000000003</v>
      </c>
      <c r="Q98">
        <v>40.302</v>
      </c>
      <c r="R98">
        <v>47.540999999999997</v>
      </c>
      <c r="S98">
        <v>46.145000000000003</v>
      </c>
    </row>
    <row r="99" spans="1:19" x14ac:dyDescent="0.2">
      <c r="A99" s="6">
        <v>6.4833333333333334</v>
      </c>
      <c r="B99">
        <v>46.01</v>
      </c>
      <c r="C99">
        <v>50.101999999999997</v>
      </c>
      <c r="D99">
        <v>43.65</v>
      </c>
      <c r="E99">
        <v>45.627000000000002</v>
      </c>
      <c r="F99">
        <v>49.293999999999997</v>
      </c>
      <c r="G99">
        <v>65.923000000000002</v>
      </c>
      <c r="H99">
        <v>65.203999999999994</v>
      </c>
      <c r="I99">
        <v>71.811000000000007</v>
      </c>
      <c r="J99">
        <v>61.848999999999997</v>
      </c>
      <c r="K99">
        <v>64.132999999999996</v>
      </c>
      <c r="L99">
        <v>62.591999999999999</v>
      </c>
      <c r="M99">
        <v>39.445999999999998</v>
      </c>
      <c r="N99">
        <v>46.021000000000001</v>
      </c>
      <c r="O99">
        <v>43.052999999999997</v>
      </c>
      <c r="P99">
        <v>50.164999999999999</v>
      </c>
      <c r="Q99">
        <v>40.176000000000002</v>
      </c>
      <c r="R99">
        <v>47.473999999999997</v>
      </c>
      <c r="S99">
        <v>45.819000000000003</v>
      </c>
    </row>
    <row r="100" spans="1:19" x14ac:dyDescent="0.2">
      <c r="A100" s="6">
        <v>6.5</v>
      </c>
      <c r="B100">
        <v>45.915999999999997</v>
      </c>
      <c r="C100">
        <v>50.054000000000002</v>
      </c>
      <c r="D100">
        <v>43.506</v>
      </c>
      <c r="E100">
        <v>45.66</v>
      </c>
      <c r="F100">
        <v>49.268000000000001</v>
      </c>
      <c r="G100">
        <v>65.867999999999995</v>
      </c>
      <c r="H100">
        <v>65.055999999999997</v>
      </c>
      <c r="I100">
        <v>71.704999999999998</v>
      </c>
      <c r="J100">
        <v>61.789000000000001</v>
      </c>
      <c r="K100">
        <v>64.096000000000004</v>
      </c>
      <c r="L100">
        <v>62.499000000000002</v>
      </c>
      <c r="M100">
        <v>39.402000000000001</v>
      </c>
      <c r="N100">
        <v>45.981000000000002</v>
      </c>
      <c r="O100">
        <v>42.959000000000003</v>
      </c>
      <c r="P100">
        <v>50.158999999999999</v>
      </c>
      <c r="Q100">
        <v>40.225999999999999</v>
      </c>
      <c r="R100">
        <v>47.451000000000001</v>
      </c>
      <c r="S100">
        <v>45.91</v>
      </c>
    </row>
    <row r="101" spans="1:19" x14ac:dyDescent="0.2">
      <c r="A101" s="6">
        <v>6.5166666666666666</v>
      </c>
      <c r="B101">
        <v>45.807000000000002</v>
      </c>
      <c r="C101">
        <v>49.941000000000003</v>
      </c>
      <c r="D101">
        <v>43.343000000000004</v>
      </c>
      <c r="E101">
        <v>45.454999999999998</v>
      </c>
      <c r="F101">
        <v>49.133000000000003</v>
      </c>
      <c r="G101">
        <v>65.742000000000004</v>
      </c>
      <c r="H101">
        <v>64.988</v>
      </c>
      <c r="I101">
        <v>71.704999999999998</v>
      </c>
      <c r="J101">
        <v>61.715000000000003</v>
      </c>
      <c r="K101">
        <v>64.037000000000006</v>
      </c>
      <c r="L101">
        <v>62.51</v>
      </c>
      <c r="M101">
        <v>39.216000000000001</v>
      </c>
      <c r="N101">
        <v>45.881999999999998</v>
      </c>
      <c r="O101">
        <v>42.906999999999996</v>
      </c>
      <c r="P101">
        <v>50.07</v>
      </c>
      <c r="Q101">
        <v>40.198999999999998</v>
      </c>
      <c r="R101">
        <v>47.405999999999999</v>
      </c>
      <c r="S101">
        <v>45.847000000000001</v>
      </c>
    </row>
    <row r="102" spans="1:19" x14ac:dyDescent="0.2">
      <c r="A102" s="6">
        <v>6.5333333333333332</v>
      </c>
      <c r="B102">
        <v>45.73</v>
      </c>
      <c r="C102">
        <v>49.701999999999998</v>
      </c>
      <c r="D102">
        <v>43.393000000000001</v>
      </c>
      <c r="E102">
        <v>45.5</v>
      </c>
      <c r="F102">
        <v>49.198</v>
      </c>
      <c r="G102">
        <v>65.709999999999994</v>
      </c>
      <c r="H102">
        <v>64.840999999999994</v>
      </c>
      <c r="I102">
        <v>71.685000000000002</v>
      </c>
      <c r="J102">
        <v>61.610999999999997</v>
      </c>
      <c r="K102">
        <v>64.039000000000001</v>
      </c>
      <c r="L102">
        <v>62.442999999999998</v>
      </c>
      <c r="M102">
        <v>39.183999999999997</v>
      </c>
      <c r="N102">
        <v>45.853999999999999</v>
      </c>
      <c r="O102">
        <v>42.8</v>
      </c>
      <c r="P102">
        <v>49.978999999999999</v>
      </c>
      <c r="Q102">
        <v>40.078000000000003</v>
      </c>
      <c r="R102">
        <v>47.374000000000002</v>
      </c>
      <c r="S102">
        <v>45.722999999999999</v>
      </c>
    </row>
    <row r="103" spans="1:19" x14ac:dyDescent="0.2">
      <c r="A103" s="6">
        <v>6.55</v>
      </c>
      <c r="B103">
        <v>45.665999999999997</v>
      </c>
      <c r="C103">
        <v>49.600999999999999</v>
      </c>
      <c r="D103">
        <v>43.215000000000003</v>
      </c>
      <c r="E103">
        <v>45.456000000000003</v>
      </c>
      <c r="F103">
        <v>49.064</v>
      </c>
      <c r="G103">
        <v>65.572000000000003</v>
      </c>
      <c r="H103">
        <v>64.876999999999995</v>
      </c>
      <c r="I103">
        <v>71.652000000000001</v>
      </c>
      <c r="J103">
        <v>61.585999999999999</v>
      </c>
      <c r="K103">
        <v>63.956000000000003</v>
      </c>
      <c r="L103">
        <v>62.35</v>
      </c>
      <c r="M103">
        <v>39.131999999999998</v>
      </c>
      <c r="N103">
        <v>45.722999999999999</v>
      </c>
      <c r="O103">
        <v>42.765999999999998</v>
      </c>
      <c r="P103">
        <v>49.982999999999997</v>
      </c>
      <c r="Q103">
        <v>39.911000000000001</v>
      </c>
      <c r="R103">
        <v>47.326000000000001</v>
      </c>
      <c r="S103">
        <v>45.814</v>
      </c>
    </row>
    <row r="104" spans="1:19" x14ac:dyDescent="0.2">
      <c r="A104" s="6">
        <v>6.5666666666666664</v>
      </c>
      <c r="B104">
        <v>45.646999999999998</v>
      </c>
      <c r="C104">
        <v>49.598999999999997</v>
      </c>
      <c r="D104">
        <v>43.264000000000003</v>
      </c>
      <c r="E104">
        <v>45.323</v>
      </c>
      <c r="F104">
        <v>48.923999999999999</v>
      </c>
      <c r="G104">
        <v>65.557000000000002</v>
      </c>
      <c r="H104">
        <v>64.753</v>
      </c>
      <c r="I104">
        <v>71.622</v>
      </c>
      <c r="J104">
        <v>61.576000000000001</v>
      </c>
      <c r="K104">
        <v>63.959000000000003</v>
      </c>
      <c r="L104">
        <v>62.347999999999999</v>
      </c>
      <c r="M104">
        <v>39.052</v>
      </c>
      <c r="N104">
        <v>45.67</v>
      </c>
      <c r="O104">
        <v>42.676000000000002</v>
      </c>
      <c r="P104">
        <v>49.914000000000001</v>
      </c>
      <c r="Q104">
        <v>39.978000000000002</v>
      </c>
      <c r="R104">
        <v>47.034999999999997</v>
      </c>
      <c r="S104">
        <v>45.75</v>
      </c>
    </row>
    <row r="105" spans="1:19" x14ac:dyDescent="0.2">
      <c r="A105" s="6">
        <v>6.583333333333333</v>
      </c>
      <c r="B105">
        <v>45.499000000000002</v>
      </c>
      <c r="C105">
        <v>49.582000000000001</v>
      </c>
      <c r="D105">
        <v>43.206000000000003</v>
      </c>
      <c r="E105">
        <v>45.226999999999997</v>
      </c>
      <c r="F105">
        <v>48.822000000000003</v>
      </c>
      <c r="G105">
        <v>65.415999999999997</v>
      </c>
      <c r="H105">
        <v>64.793999999999997</v>
      </c>
      <c r="I105">
        <v>71.591999999999999</v>
      </c>
      <c r="J105">
        <v>61.46</v>
      </c>
      <c r="K105">
        <v>63.91</v>
      </c>
      <c r="L105">
        <v>62.216999999999999</v>
      </c>
      <c r="M105">
        <v>38.996000000000002</v>
      </c>
      <c r="N105">
        <v>45.493000000000002</v>
      </c>
      <c r="O105">
        <v>42.570999999999998</v>
      </c>
      <c r="P105">
        <v>49.783000000000001</v>
      </c>
      <c r="Q105">
        <v>39.737000000000002</v>
      </c>
      <c r="R105">
        <v>47.11</v>
      </c>
      <c r="S105">
        <v>45.716000000000001</v>
      </c>
    </row>
    <row r="106" spans="1:19" x14ac:dyDescent="0.2">
      <c r="A106" s="6">
        <v>6.6</v>
      </c>
      <c r="B106">
        <v>45.49</v>
      </c>
      <c r="C106">
        <v>49.54</v>
      </c>
      <c r="D106">
        <v>43.14</v>
      </c>
      <c r="E106">
        <v>45.104999999999997</v>
      </c>
      <c r="F106">
        <v>48.706000000000003</v>
      </c>
      <c r="G106">
        <v>65.034999999999997</v>
      </c>
      <c r="H106">
        <v>64.674000000000007</v>
      </c>
      <c r="I106">
        <v>71.518000000000001</v>
      </c>
      <c r="J106">
        <v>61.308</v>
      </c>
      <c r="K106">
        <v>63.881999999999998</v>
      </c>
      <c r="L106">
        <v>62.191000000000003</v>
      </c>
      <c r="M106">
        <v>38.917000000000002</v>
      </c>
      <c r="N106">
        <v>45.521000000000001</v>
      </c>
      <c r="O106">
        <v>42.524000000000001</v>
      </c>
      <c r="P106">
        <v>49.695999999999998</v>
      </c>
      <c r="Q106">
        <v>39.658999999999999</v>
      </c>
      <c r="R106">
        <v>47.079000000000001</v>
      </c>
      <c r="S106">
        <v>45.539000000000001</v>
      </c>
    </row>
    <row r="107" spans="1:19" x14ac:dyDescent="0.2">
      <c r="A107" s="6">
        <v>6.6166666666666663</v>
      </c>
      <c r="B107">
        <v>45.412999999999997</v>
      </c>
      <c r="C107">
        <v>49.518999999999998</v>
      </c>
      <c r="D107">
        <v>43.104999999999997</v>
      </c>
      <c r="E107">
        <v>44.92</v>
      </c>
      <c r="F107">
        <v>48.652999999999999</v>
      </c>
      <c r="G107">
        <v>65.230999999999995</v>
      </c>
      <c r="H107">
        <v>64.534000000000006</v>
      </c>
      <c r="I107">
        <v>71.531000000000006</v>
      </c>
      <c r="J107">
        <v>61.225000000000001</v>
      </c>
      <c r="K107">
        <v>63.902999999999999</v>
      </c>
      <c r="L107">
        <v>61.996000000000002</v>
      </c>
      <c r="M107">
        <v>38.825000000000003</v>
      </c>
      <c r="N107">
        <v>45.408999999999999</v>
      </c>
      <c r="O107">
        <v>42.371000000000002</v>
      </c>
      <c r="P107">
        <v>49.686999999999998</v>
      </c>
      <c r="Q107">
        <v>39.701000000000001</v>
      </c>
      <c r="R107">
        <v>46.988</v>
      </c>
      <c r="S107">
        <v>45.554000000000002</v>
      </c>
    </row>
    <row r="108" spans="1:19" x14ac:dyDescent="0.2">
      <c r="A108" s="6">
        <v>6.6333333333333337</v>
      </c>
      <c r="B108">
        <v>45.432000000000002</v>
      </c>
      <c r="C108">
        <v>49.545000000000002</v>
      </c>
      <c r="D108">
        <v>42.332999999999998</v>
      </c>
      <c r="E108">
        <v>45.088999999999999</v>
      </c>
      <c r="F108">
        <v>48.515999999999998</v>
      </c>
      <c r="G108">
        <v>65.066999999999993</v>
      </c>
      <c r="H108">
        <v>64.442999999999998</v>
      </c>
      <c r="I108">
        <v>71.450999999999993</v>
      </c>
      <c r="J108">
        <v>61.125</v>
      </c>
      <c r="K108">
        <v>63.889000000000003</v>
      </c>
      <c r="L108">
        <v>62.042999999999999</v>
      </c>
      <c r="M108">
        <v>38.722000000000001</v>
      </c>
      <c r="N108">
        <v>45.396999999999998</v>
      </c>
      <c r="O108">
        <v>42.326999999999998</v>
      </c>
      <c r="P108">
        <v>49.643999999999998</v>
      </c>
      <c r="Q108">
        <v>39.487000000000002</v>
      </c>
      <c r="R108">
        <v>46.962000000000003</v>
      </c>
      <c r="S108">
        <v>45.552</v>
      </c>
    </row>
    <row r="109" spans="1:19" x14ac:dyDescent="0.2">
      <c r="A109" s="6">
        <v>6.65</v>
      </c>
      <c r="B109">
        <v>45.308999999999997</v>
      </c>
      <c r="C109">
        <v>49.488999999999997</v>
      </c>
      <c r="D109">
        <v>42.76</v>
      </c>
      <c r="E109">
        <v>44.923999999999999</v>
      </c>
      <c r="F109">
        <v>48.698999999999998</v>
      </c>
      <c r="G109">
        <v>65.022999999999996</v>
      </c>
      <c r="H109">
        <v>64.361000000000004</v>
      </c>
      <c r="I109">
        <v>71.387</v>
      </c>
      <c r="J109">
        <v>61.145000000000003</v>
      </c>
      <c r="K109">
        <v>63.835999999999999</v>
      </c>
      <c r="L109">
        <v>61.976999999999997</v>
      </c>
      <c r="M109">
        <v>38.634</v>
      </c>
      <c r="N109">
        <v>45.311999999999998</v>
      </c>
      <c r="O109">
        <v>42.244</v>
      </c>
      <c r="P109">
        <v>49.545999999999999</v>
      </c>
      <c r="Q109">
        <v>39.46</v>
      </c>
      <c r="R109">
        <v>46.695999999999998</v>
      </c>
      <c r="S109">
        <v>45.481999999999999</v>
      </c>
    </row>
    <row r="110" spans="1:19" x14ac:dyDescent="0.2">
      <c r="A110" s="6">
        <v>6.666666666666667</v>
      </c>
      <c r="B110">
        <v>45.167000000000002</v>
      </c>
      <c r="C110">
        <v>49.442999999999998</v>
      </c>
      <c r="D110">
        <v>42.673000000000002</v>
      </c>
      <c r="E110">
        <v>44.781999999999996</v>
      </c>
      <c r="F110">
        <v>48.548999999999999</v>
      </c>
      <c r="G110">
        <v>64.998000000000005</v>
      </c>
      <c r="H110">
        <v>64.466999999999999</v>
      </c>
      <c r="I110">
        <v>71.302000000000007</v>
      </c>
      <c r="J110">
        <v>61.02</v>
      </c>
      <c r="K110">
        <v>63.665999999999997</v>
      </c>
      <c r="L110">
        <v>61.932000000000002</v>
      </c>
      <c r="M110">
        <v>38.411999999999999</v>
      </c>
      <c r="N110">
        <v>45.174999999999997</v>
      </c>
      <c r="O110">
        <v>42.232999999999997</v>
      </c>
      <c r="P110">
        <v>49.515999999999998</v>
      </c>
      <c r="Q110">
        <v>39.435000000000002</v>
      </c>
      <c r="R110">
        <v>46.704000000000001</v>
      </c>
      <c r="S110">
        <v>45.451000000000001</v>
      </c>
    </row>
    <row r="111" spans="1:19" x14ac:dyDescent="0.2">
      <c r="A111" s="6">
        <v>6.6833333333333336</v>
      </c>
      <c r="B111">
        <v>45.06</v>
      </c>
      <c r="C111">
        <v>49.381</v>
      </c>
      <c r="D111">
        <v>42.292999999999999</v>
      </c>
      <c r="E111">
        <v>44.698</v>
      </c>
      <c r="F111">
        <v>48.484000000000002</v>
      </c>
      <c r="G111">
        <v>64.885000000000005</v>
      </c>
      <c r="H111">
        <v>64.12</v>
      </c>
      <c r="I111">
        <v>71.28</v>
      </c>
      <c r="J111">
        <v>60.912999999999997</v>
      </c>
      <c r="K111">
        <v>63.302</v>
      </c>
      <c r="L111">
        <v>61.892000000000003</v>
      </c>
      <c r="M111">
        <v>38.4</v>
      </c>
      <c r="N111">
        <v>45.005000000000003</v>
      </c>
      <c r="O111">
        <v>42.143000000000001</v>
      </c>
      <c r="P111">
        <v>49.417000000000002</v>
      </c>
      <c r="Q111">
        <v>39.231999999999999</v>
      </c>
      <c r="R111">
        <v>46.719000000000001</v>
      </c>
      <c r="S111">
        <v>45.36</v>
      </c>
    </row>
    <row r="112" spans="1:19" x14ac:dyDescent="0.2">
      <c r="A112" s="6">
        <v>6.7</v>
      </c>
      <c r="B112">
        <v>44.826000000000001</v>
      </c>
      <c r="C112">
        <v>49.012</v>
      </c>
      <c r="D112">
        <v>42.414999999999999</v>
      </c>
      <c r="E112">
        <v>44.634999999999998</v>
      </c>
      <c r="F112">
        <v>48.401000000000003</v>
      </c>
      <c r="G112">
        <v>64.769000000000005</v>
      </c>
      <c r="H112">
        <v>64.266000000000005</v>
      </c>
      <c r="I112">
        <v>71.204999999999998</v>
      </c>
      <c r="J112">
        <v>60.847000000000001</v>
      </c>
      <c r="K112">
        <v>63.465000000000003</v>
      </c>
      <c r="L112">
        <v>61.857999999999997</v>
      </c>
      <c r="M112">
        <v>38.304000000000002</v>
      </c>
      <c r="N112">
        <v>45.039000000000001</v>
      </c>
      <c r="O112">
        <v>42.115000000000002</v>
      </c>
      <c r="P112">
        <v>49.371000000000002</v>
      </c>
      <c r="Q112">
        <v>39.256</v>
      </c>
      <c r="R112">
        <v>46.667999999999999</v>
      </c>
      <c r="S112">
        <v>45.182000000000002</v>
      </c>
    </row>
    <row r="113" spans="1:19" x14ac:dyDescent="0.2">
      <c r="A113" s="6">
        <v>6.7166666666666668</v>
      </c>
      <c r="B113">
        <v>44.725999999999999</v>
      </c>
      <c r="C113">
        <v>49.082999999999998</v>
      </c>
      <c r="D113">
        <v>42.398000000000003</v>
      </c>
      <c r="E113">
        <v>44.628999999999998</v>
      </c>
      <c r="F113">
        <v>48.322000000000003</v>
      </c>
      <c r="G113">
        <v>64.747</v>
      </c>
      <c r="H113">
        <v>64.144000000000005</v>
      </c>
      <c r="I113">
        <v>71.168000000000006</v>
      </c>
      <c r="J113">
        <v>60.854999999999997</v>
      </c>
      <c r="K113">
        <v>63.493000000000002</v>
      </c>
      <c r="L113">
        <v>61.823999999999998</v>
      </c>
      <c r="M113">
        <v>38.252000000000002</v>
      </c>
      <c r="N113">
        <v>44.972000000000001</v>
      </c>
      <c r="O113">
        <v>42.01</v>
      </c>
      <c r="P113">
        <v>49.332999999999998</v>
      </c>
      <c r="Q113">
        <v>39.109000000000002</v>
      </c>
      <c r="R113">
        <v>46.63</v>
      </c>
      <c r="S113">
        <v>45.307000000000002</v>
      </c>
    </row>
    <row r="114" spans="1:19" x14ac:dyDescent="0.2">
      <c r="A114" s="6">
        <v>6.7333333333333334</v>
      </c>
      <c r="B114">
        <v>44.686999999999998</v>
      </c>
      <c r="C114">
        <v>49.048999999999999</v>
      </c>
      <c r="D114">
        <v>42.274000000000001</v>
      </c>
      <c r="E114">
        <v>44.432000000000002</v>
      </c>
      <c r="F114">
        <v>48.38</v>
      </c>
      <c r="G114">
        <v>64.652000000000001</v>
      </c>
      <c r="H114">
        <v>64.078999999999994</v>
      </c>
      <c r="I114">
        <v>71.165999999999997</v>
      </c>
      <c r="J114">
        <v>60.737000000000002</v>
      </c>
      <c r="K114">
        <v>63.470999999999997</v>
      </c>
      <c r="L114">
        <v>61.771999999999998</v>
      </c>
      <c r="M114">
        <v>38.130000000000003</v>
      </c>
      <c r="N114">
        <v>44.683</v>
      </c>
      <c r="O114">
        <v>41.936</v>
      </c>
      <c r="P114">
        <v>49.277999999999999</v>
      </c>
      <c r="Q114">
        <v>39.088999999999999</v>
      </c>
      <c r="R114">
        <v>46.503999999999998</v>
      </c>
      <c r="S114">
        <v>45.158999999999999</v>
      </c>
    </row>
    <row r="115" spans="1:19" x14ac:dyDescent="0.2">
      <c r="A115" s="6">
        <v>6.75</v>
      </c>
      <c r="B115">
        <v>44.654000000000003</v>
      </c>
      <c r="C115">
        <v>49.012999999999998</v>
      </c>
      <c r="D115">
        <v>42.247</v>
      </c>
      <c r="E115">
        <v>44.502000000000002</v>
      </c>
      <c r="F115">
        <v>48.287999999999997</v>
      </c>
      <c r="G115">
        <v>64.528000000000006</v>
      </c>
      <c r="H115">
        <v>64.051000000000002</v>
      </c>
      <c r="I115">
        <v>71.125</v>
      </c>
      <c r="J115">
        <v>60.628999999999998</v>
      </c>
      <c r="K115">
        <v>63.478000000000002</v>
      </c>
      <c r="L115">
        <v>61.688000000000002</v>
      </c>
      <c r="M115">
        <v>38.06</v>
      </c>
      <c r="N115">
        <v>44.716000000000001</v>
      </c>
      <c r="O115">
        <v>41.844999999999999</v>
      </c>
      <c r="P115">
        <v>49.186999999999998</v>
      </c>
      <c r="Q115">
        <v>38.872</v>
      </c>
      <c r="R115">
        <v>46.463999999999999</v>
      </c>
      <c r="S115">
        <v>45.106999999999999</v>
      </c>
    </row>
    <row r="116" spans="1:19" x14ac:dyDescent="0.2">
      <c r="A116" s="6">
        <v>6.7666666666666666</v>
      </c>
      <c r="B116">
        <v>44.57</v>
      </c>
      <c r="C116">
        <v>48.999000000000002</v>
      </c>
      <c r="D116">
        <v>42.220999999999997</v>
      </c>
      <c r="E116">
        <v>44.451000000000001</v>
      </c>
      <c r="F116">
        <v>48.332999999999998</v>
      </c>
      <c r="G116">
        <v>64.563999999999993</v>
      </c>
      <c r="H116">
        <v>64.001000000000005</v>
      </c>
      <c r="I116">
        <v>71.052999999999997</v>
      </c>
      <c r="J116">
        <v>60.52</v>
      </c>
      <c r="K116">
        <v>63.491999999999997</v>
      </c>
      <c r="L116">
        <v>61.655000000000001</v>
      </c>
      <c r="M116">
        <v>37.933</v>
      </c>
      <c r="N116">
        <v>44.713000000000001</v>
      </c>
      <c r="O116">
        <v>41.835999999999999</v>
      </c>
      <c r="P116">
        <v>49.133000000000003</v>
      </c>
      <c r="Q116">
        <v>38.863999999999997</v>
      </c>
      <c r="R116">
        <v>46.387999999999998</v>
      </c>
      <c r="S116">
        <v>44.814</v>
      </c>
    </row>
    <row r="117" spans="1:19" x14ac:dyDescent="0.2">
      <c r="A117" s="6">
        <v>6.7833333333333332</v>
      </c>
      <c r="B117">
        <v>44.456000000000003</v>
      </c>
      <c r="C117">
        <v>48.954999999999998</v>
      </c>
      <c r="D117">
        <v>42.136000000000003</v>
      </c>
      <c r="E117">
        <v>44.402999999999999</v>
      </c>
      <c r="F117">
        <v>48.204000000000001</v>
      </c>
      <c r="G117">
        <v>64.344999999999999</v>
      </c>
      <c r="H117">
        <v>63.924999999999997</v>
      </c>
      <c r="I117">
        <v>71.004000000000005</v>
      </c>
      <c r="J117">
        <v>60.47</v>
      </c>
      <c r="K117">
        <v>63.423000000000002</v>
      </c>
      <c r="L117">
        <v>61.576000000000001</v>
      </c>
      <c r="M117">
        <v>37.868000000000002</v>
      </c>
      <c r="N117">
        <v>44.661999999999999</v>
      </c>
      <c r="O117">
        <v>41.631</v>
      </c>
      <c r="P117">
        <v>49.134999999999998</v>
      </c>
      <c r="Q117">
        <v>38.756999999999998</v>
      </c>
      <c r="R117">
        <v>46.341999999999999</v>
      </c>
      <c r="S117">
        <v>44.960999999999999</v>
      </c>
    </row>
    <row r="118" spans="1:19" x14ac:dyDescent="0.2">
      <c r="A118" s="6">
        <v>6.8</v>
      </c>
      <c r="B118">
        <v>44.402999999999999</v>
      </c>
      <c r="C118">
        <v>48.817</v>
      </c>
      <c r="D118">
        <v>41.502000000000002</v>
      </c>
      <c r="E118">
        <v>44.378999999999998</v>
      </c>
      <c r="F118">
        <v>48.222000000000001</v>
      </c>
      <c r="G118">
        <v>64.332999999999998</v>
      </c>
      <c r="H118">
        <v>63.841999999999999</v>
      </c>
      <c r="I118">
        <v>70.962000000000003</v>
      </c>
      <c r="J118">
        <v>60.465000000000003</v>
      </c>
      <c r="K118">
        <v>63.420999999999999</v>
      </c>
      <c r="L118">
        <v>61.463000000000001</v>
      </c>
      <c r="M118">
        <v>37.786999999999999</v>
      </c>
      <c r="N118">
        <v>44.402000000000001</v>
      </c>
      <c r="O118">
        <v>41.558</v>
      </c>
      <c r="P118">
        <v>48.98</v>
      </c>
      <c r="Q118">
        <v>38.597000000000001</v>
      </c>
      <c r="R118">
        <v>46.131</v>
      </c>
      <c r="S118">
        <v>44.698999999999998</v>
      </c>
    </row>
    <row r="119" spans="1:19" x14ac:dyDescent="0.2">
      <c r="A119" s="6">
        <v>6.8166666666666664</v>
      </c>
      <c r="B119">
        <v>44.365000000000002</v>
      </c>
      <c r="C119">
        <v>48.832999999999998</v>
      </c>
      <c r="D119">
        <v>41.847000000000001</v>
      </c>
      <c r="E119">
        <v>44.274000000000001</v>
      </c>
      <c r="F119">
        <v>48.081000000000003</v>
      </c>
      <c r="G119">
        <v>64.326999999999998</v>
      </c>
      <c r="H119">
        <v>63.680999999999997</v>
      </c>
      <c r="I119">
        <v>70.887</v>
      </c>
      <c r="J119">
        <v>60.383000000000003</v>
      </c>
      <c r="K119">
        <v>63.374000000000002</v>
      </c>
      <c r="L119">
        <v>61.475999999999999</v>
      </c>
      <c r="M119">
        <v>37.554000000000002</v>
      </c>
      <c r="N119">
        <v>44.414999999999999</v>
      </c>
      <c r="O119">
        <v>41.566000000000003</v>
      </c>
      <c r="P119">
        <v>48.994999999999997</v>
      </c>
      <c r="Q119">
        <v>38.627000000000002</v>
      </c>
      <c r="R119">
        <v>46.179000000000002</v>
      </c>
      <c r="S119">
        <v>44.406999999999996</v>
      </c>
    </row>
    <row r="120" spans="1:19" x14ac:dyDescent="0.2">
      <c r="A120" s="6">
        <v>6.833333333333333</v>
      </c>
      <c r="B120">
        <v>44.171999999999997</v>
      </c>
      <c r="C120">
        <v>48.567</v>
      </c>
      <c r="D120">
        <v>41.779000000000003</v>
      </c>
      <c r="E120">
        <v>44.201000000000001</v>
      </c>
      <c r="F120">
        <v>48.119</v>
      </c>
      <c r="G120">
        <v>64.215000000000003</v>
      </c>
      <c r="H120">
        <v>63.67</v>
      </c>
      <c r="I120">
        <v>70.825999999999993</v>
      </c>
      <c r="J120">
        <v>60.247999999999998</v>
      </c>
      <c r="K120">
        <v>63.335000000000001</v>
      </c>
      <c r="L120">
        <v>61.460999999999999</v>
      </c>
      <c r="M120">
        <v>37.533000000000001</v>
      </c>
      <c r="N120">
        <v>44.32</v>
      </c>
      <c r="O120">
        <v>41.399000000000001</v>
      </c>
      <c r="P120">
        <v>48.9</v>
      </c>
      <c r="Q120">
        <v>38.503</v>
      </c>
      <c r="R120">
        <v>46.076999999999998</v>
      </c>
      <c r="S120">
        <v>44.427999999999997</v>
      </c>
    </row>
    <row r="121" spans="1:19" x14ac:dyDescent="0.2">
      <c r="A121" s="6">
        <v>6.85</v>
      </c>
      <c r="B121">
        <v>44.109000000000002</v>
      </c>
      <c r="C121">
        <v>48.503</v>
      </c>
      <c r="D121">
        <v>41.265999999999998</v>
      </c>
      <c r="E121">
        <v>44.033999999999999</v>
      </c>
      <c r="F121">
        <v>48.128999999999998</v>
      </c>
      <c r="G121">
        <v>64.137</v>
      </c>
      <c r="H121">
        <v>63.606000000000002</v>
      </c>
      <c r="I121">
        <v>70.8</v>
      </c>
      <c r="J121">
        <v>60.128999999999998</v>
      </c>
      <c r="K121">
        <v>63.259</v>
      </c>
      <c r="L121">
        <v>61.311</v>
      </c>
      <c r="M121">
        <v>37.469000000000001</v>
      </c>
      <c r="N121">
        <v>44.286999999999999</v>
      </c>
      <c r="O121">
        <v>41.353999999999999</v>
      </c>
      <c r="P121">
        <v>48.808</v>
      </c>
      <c r="Q121">
        <v>38.53</v>
      </c>
      <c r="R121">
        <v>45.898000000000003</v>
      </c>
      <c r="S121">
        <v>44.198</v>
      </c>
    </row>
    <row r="122" spans="1:19" x14ac:dyDescent="0.2">
      <c r="A122" s="6">
        <v>6.8666666666666663</v>
      </c>
      <c r="B122">
        <v>44.021000000000001</v>
      </c>
      <c r="C122">
        <v>48.308</v>
      </c>
      <c r="D122">
        <v>41.43</v>
      </c>
      <c r="E122">
        <v>43.942</v>
      </c>
      <c r="F122">
        <v>48.087000000000003</v>
      </c>
      <c r="G122">
        <v>64.081999999999994</v>
      </c>
      <c r="H122">
        <v>63.533999999999999</v>
      </c>
      <c r="I122">
        <v>70.694000000000003</v>
      </c>
      <c r="J122">
        <v>60.091000000000001</v>
      </c>
      <c r="K122">
        <v>63.228000000000002</v>
      </c>
      <c r="L122">
        <v>61.241999999999997</v>
      </c>
      <c r="M122">
        <v>37.287999999999997</v>
      </c>
      <c r="N122">
        <v>44.165999999999997</v>
      </c>
      <c r="O122">
        <v>41.265000000000001</v>
      </c>
      <c r="P122">
        <v>48.670999999999999</v>
      </c>
      <c r="Q122">
        <v>38.485999999999997</v>
      </c>
      <c r="R122">
        <v>45.933999999999997</v>
      </c>
      <c r="S122">
        <v>44.140999999999998</v>
      </c>
    </row>
    <row r="123" spans="1:19" x14ac:dyDescent="0.2">
      <c r="A123" s="6">
        <v>6.8833333333333337</v>
      </c>
      <c r="B123">
        <v>43.898000000000003</v>
      </c>
      <c r="C123">
        <v>48.207999999999998</v>
      </c>
      <c r="D123">
        <v>41.414999999999999</v>
      </c>
      <c r="E123">
        <v>43.723999999999997</v>
      </c>
      <c r="F123">
        <v>47.893000000000001</v>
      </c>
      <c r="G123">
        <v>64.081999999999994</v>
      </c>
      <c r="H123">
        <v>63.406999999999996</v>
      </c>
      <c r="I123">
        <v>70.656000000000006</v>
      </c>
      <c r="J123">
        <v>60.01</v>
      </c>
      <c r="K123">
        <v>63.182000000000002</v>
      </c>
      <c r="L123">
        <v>61.164000000000001</v>
      </c>
      <c r="M123">
        <v>37.295000000000002</v>
      </c>
      <c r="N123">
        <v>44.170999999999999</v>
      </c>
      <c r="O123">
        <v>41.036999999999999</v>
      </c>
      <c r="P123">
        <v>48.667999999999999</v>
      </c>
      <c r="Q123">
        <v>37.902999999999999</v>
      </c>
      <c r="R123">
        <v>45.848999999999997</v>
      </c>
      <c r="S123">
        <v>44.064999999999998</v>
      </c>
    </row>
    <row r="124" spans="1:19" x14ac:dyDescent="0.2">
      <c r="A124" s="6">
        <v>6.9</v>
      </c>
      <c r="B124">
        <v>43.786999999999999</v>
      </c>
      <c r="C124">
        <v>48.198999999999998</v>
      </c>
      <c r="D124">
        <v>41.363999999999997</v>
      </c>
      <c r="E124">
        <v>43.604999999999997</v>
      </c>
      <c r="F124">
        <v>47.924999999999997</v>
      </c>
      <c r="G124">
        <v>64.016999999999996</v>
      </c>
      <c r="H124">
        <v>63.323999999999998</v>
      </c>
      <c r="I124">
        <v>70.649000000000001</v>
      </c>
      <c r="J124">
        <v>59.972999999999999</v>
      </c>
      <c r="K124">
        <v>63.14</v>
      </c>
      <c r="L124">
        <v>61.133000000000003</v>
      </c>
      <c r="M124">
        <v>37.203000000000003</v>
      </c>
      <c r="N124">
        <v>44.078000000000003</v>
      </c>
      <c r="O124">
        <v>40.895000000000003</v>
      </c>
      <c r="P124">
        <v>48.573999999999998</v>
      </c>
      <c r="Q124">
        <v>38.210999999999999</v>
      </c>
      <c r="R124">
        <v>45.808</v>
      </c>
      <c r="S124">
        <v>44.024000000000001</v>
      </c>
    </row>
    <row r="125" spans="1:19" x14ac:dyDescent="0.2">
      <c r="A125" s="6">
        <v>6.916666666666667</v>
      </c>
      <c r="B125">
        <v>43.749000000000002</v>
      </c>
      <c r="C125">
        <v>48.164999999999999</v>
      </c>
      <c r="D125">
        <v>41.22</v>
      </c>
      <c r="E125">
        <v>43.634999999999998</v>
      </c>
      <c r="F125">
        <v>47.92</v>
      </c>
      <c r="G125">
        <v>63.942999999999998</v>
      </c>
      <c r="H125">
        <v>63.215000000000003</v>
      </c>
      <c r="I125">
        <v>70.555999999999997</v>
      </c>
      <c r="J125">
        <v>59.883000000000003</v>
      </c>
      <c r="K125">
        <v>63.039000000000001</v>
      </c>
      <c r="L125">
        <v>61.070999999999998</v>
      </c>
      <c r="M125">
        <v>37.131</v>
      </c>
      <c r="N125">
        <v>44.100999999999999</v>
      </c>
      <c r="O125">
        <v>40.805999999999997</v>
      </c>
      <c r="P125">
        <v>48.502000000000002</v>
      </c>
      <c r="Q125">
        <v>38.234999999999999</v>
      </c>
      <c r="R125">
        <v>45.648000000000003</v>
      </c>
      <c r="S125">
        <v>44.103999999999999</v>
      </c>
    </row>
    <row r="126" spans="1:19" x14ac:dyDescent="0.2">
      <c r="A126" s="6">
        <v>6.9333333333333336</v>
      </c>
      <c r="B126">
        <v>43.640999999999998</v>
      </c>
      <c r="C126">
        <v>48.133000000000003</v>
      </c>
      <c r="D126">
        <v>40.884999999999998</v>
      </c>
      <c r="E126">
        <v>43.225999999999999</v>
      </c>
      <c r="F126">
        <v>47.771999999999998</v>
      </c>
      <c r="G126">
        <v>63.71</v>
      </c>
      <c r="H126">
        <v>63.122</v>
      </c>
      <c r="I126">
        <v>70.584999999999994</v>
      </c>
      <c r="J126">
        <v>59.871000000000002</v>
      </c>
      <c r="K126">
        <v>62.802999999999997</v>
      </c>
      <c r="L126">
        <v>61.029000000000003</v>
      </c>
      <c r="M126">
        <v>36.911000000000001</v>
      </c>
      <c r="N126">
        <v>43.982999999999997</v>
      </c>
      <c r="O126">
        <v>40.713999999999999</v>
      </c>
      <c r="P126">
        <v>48.435000000000002</v>
      </c>
      <c r="Q126">
        <v>38.137999999999998</v>
      </c>
      <c r="R126">
        <v>45.581000000000003</v>
      </c>
      <c r="S126">
        <v>43.988999999999997</v>
      </c>
    </row>
    <row r="127" spans="1:19" x14ac:dyDescent="0.2">
      <c r="A127" s="6">
        <v>6.95</v>
      </c>
      <c r="B127">
        <v>43.581000000000003</v>
      </c>
      <c r="C127">
        <v>47.854999999999997</v>
      </c>
      <c r="D127">
        <v>40.997999999999998</v>
      </c>
      <c r="E127">
        <v>43.351999999999997</v>
      </c>
      <c r="F127">
        <v>47.837000000000003</v>
      </c>
      <c r="G127">
        <v>63.539000000000001</v>
      </c>
      <c r="H127">
        <v>63.139000000000003</v>
      </c>
      <c r="I127">
        <v>70.495000000000005</v>
      </c>
      <c r="J127">
        <v>59.783999999999999</v>
      </c>
      <c r="K127">
        <v>62.746000000000002</v>
      </c>
      <c r="L127">
        <v>60.869</v>
      </c>
      <c r="M127">
        <v>36.868000000000002</v>
      </c>
      <c r="N127">
        <v>43.872</v>
      </c>
      <c r="O127">
        <v>40.662999999999997</v>
      </c>
      <c r="P127">
        <v>48.308999999999997</v>
      </c>
      <c r="Q127">
        <v>37.883000000000003</v>
      </c>
      <c r="R127">
        <v>45.515999999999998</v>
      </c>
      <c r="S127">
        <v>43.906999999999996</v>
      </c>
    </row>
    <row r="128" spans="1:19" x14ac:dyDescent="0.2">
      <c r="A128" s="6">
        <v>6.9666666666666668</v>
      </c>
      <c r="B128">
        <v>43.481000000000002</v>
      </c>
      <c r="C128">
        <v>47.877000000000002</v>
      </c>
      <c r="D128">
        <v>40.911999999999999</v>
      </c>
      <c r="E128">
        <v>43.420999999999999</v>
      </c>
      <c r="F128">
        <v>47.853999999999999</v>
      </c>
      <c r="G128">
        <v>63.655999999999999</v>
      </c>
      <c r="H128">
        <v>63.134999999999998</v>
      </c>
      <c r="I128">
        <v>70.504999999999995</v>
      </c>
      <c r="J128">
        <v>59.604999999999997</v>
      </c>
      <c r="K128">
        <v>62.814</v>
      </c>
      <c r="L128">
        <v>60.807000000000002</v>
      </c>
      <c r="M128">
        <v>36.81</v>
      </c>
      <c r="N128">
        <v>43.658000000000001</v>
      </c>
      <c r="O128">
        <v>40.607999999999997</v>
      </c>
      <c r="P128">
        <v>48.213999999999999</v>
      </c>
      <c r="Q128">
        <v>37.825000000000003</v>
      </c>
      <c r="R128">
        <v>45.396999999999998</v>
      </c>
      <c r="S128">
        <v>43.86</v>
      </c>
    </row>
    <row r="129" spans="1:19" x14ac:dyDescent="0.2">
      <c r="A129" s="6">
        <v>6.9833333333333334</v>
      </c>
      <c r="B129">
        <v>43.37</v>
      </c>
      <c r="C129">
        <v>47.625999999999998</v>
      </c>
      <c r="D129">
        <v>40.86</v>
      </c>
      <c r="E129">
        <v>43.353000000000002</v>
      </c>
      <c r="F129">
        <v>47.823999999999998</v>
      </c>
      <c r="G129">
        <v>63.523000000000003</v>
      </c>
      <c r="H129">
        <v>63.042000000000002</v>
      </c>
      <c r="I129">
        <v>70.435000000000002</v>
      </c>
      <c r="J129">
        <v>59.731999999999999</v>
      </c>
      <c r="K129">
        <v>62.633000000000003</v>
      </c>
      <c r="L129">
        <v>60.773000000000003</v>
      </c>
      <c r="M129">
        <v>36.744</v>
      </c>
      <c r="N129">
        <v>43.618000000000002</v>
      </c>
      <c r="O129">
        <v>40.566000000000003</v>
      </c>
      <c r="P129">
        <v>48.198</v>
      </c>
      <c r="Q129">
        <v>37.771000000000001</v>
      </c>
      <c r="R129">
        <v>45.356000000000002</v>
      </c>
      <c r="S129">
        <v>43.514000000000003</v>
      </c>
    </row>
    <row r="130" spans="1:19" x14ac:dyDescent="0.2">
      <c r="A130" s="6">
        <v>7</v>
      </c>
      <c r="B130">
        <v>43.347999999999999</v>
      </c>
      <c r="C130">
        <v>47.671999999999997</v>
      </c>
      <c r="D130">
        <v>40.054000000000002</v>
      </c>
      <c r="E130">
        <v>42.935000000000002</v>
      </c>
      <c r="F130">
        <v>47.786000000000001</v>
      </c>
      <c r="G130">
        <v>63.515999999999998</v>
      </c>
      <c r="H130">
        <v>62.892000000000003</v>
      </c>
      <c r="I130">
        <v>70.394000000000005</v>
      </c>
      <c r="J130">
        <v>59.631</v>
      </c>
      <c r="K130">
        <v>62.543999999999997</v>
      </c>
      <c r="L130">
        <v>60.747999999999998</v>
      </c>
      <c r="M130">
        <v>36.674999999999997</v>
      </c>
      <c r="N130">
        <v>43.5</v>
      </c>
      <c r="O130">
        <v>40.462000000000003</v>
      </c>
      <c r="P130">
        <v>48.091999999999999</v>
      </c>
      <c r="Q130">
        <v>37.631</v>
      </c>
      <c r="R130">
        <v>45.295000000000002</v>
      </c>
      <c r="S130">
        <v>43.426000000000002</v>
      </c>
    </row>
    <row r="131" spans="1:19" x14ac:dyDescent="0.2">
      <c r="A131" s="6">
        <v>7.0166666666666666</v>
      </c>
      <c r="B131">
        <v>43.244999999999997</v>
      </c>
      <c r="C131">
        <v>47.71</v>
      </c>
      <c r="D131">
        <v>40.554000000000002</v>
      </c>
      <c r="E131">
        <v>42.844000000000001</v>
      </c>
      <c r="F131">
        <v>47.734999999999999</v>
      </c>
      <c r="G131">
        <v>63.415999999999997</v>
      </c>
      <c r="H131">
        <v>62.890999999999998</v>
      </c>
      <c r="I131">
        <v>70.38</v>
      </c>
      <c r="J131">
        <v>59.622</v>
      </c>
      <c r="K131">
        <v>62.277999999999999</v>
      </c>
      <c r="L131">
        <v>60.753999999999998</v>
      </c>
      <c r="M131">
        <v>36.6</v>
      </c>
      <c r="N131">
        <v>43.405999999999999</v>
      </c>
      <c r="O131">
        <v>40.433999999999997</v>
      </c>
      <c r="P131">
        <v>47.987000000000002</v>
      </c>
      <c r="Q131">
        <v>37.488999999999997</v>
      </c>
      <c r="R131">
        <v>45.097000000000001</v>
      </c>
      <c r="S131">
        <v>43.442999999999998</v>
      </c>
    </row>
    <row r="132" spans="1:19" x14ac:dyDescent="0.2">
      <c r="A132" s="6">
        <v>7.0333333333333332</v>
      </c>
      <c r="B132">
        <v>43.149000000000001</v>
      </c>
      <c r="C132">
        <v>47.503999999999998</v>
      </c>
      <c r="D132">
        <v>40.372999999999998</v>
      </c>
      <c r="E132">
        <v>42.811</v>
      </c>
      <c r="F132">
        <v>47.597999999999999</v>
      </c>
      <c r="G132">
        <v>63.281999999999996</v>
      </c>
      <c r="H132">
        <v>62.716999999999999</v>
      </c>
      <c r="I132">
        <v>70.278999999999996</v>
      </c>
      <c r="J132">
        <v>59.582999999999998</v>
      </c>
      <c r="K132">
        <v>62.189</v>
      </c>
      <c r="L132">
        <v>60.698999999999998</v>
      </c>
      <c r="M132">
        <v>36.473999999999997</v>
      </c>
      <c r="N132">
        <v>43.316000000000003</v>
      </c>
      <c r="O132">
        <v>40.372999999999998</v>
      </c>
      <c r="P132">
        <v>47.962000000000003</v>
      </c>
      <c r="Q132">
        <v>37.378</v>
      </c>
      <c r="R132">
        <v>45.067</v>
      </c>
      <c r="S132">
        <v>43.292000000000002</v>
      </c>
    </row>
    <row r="133" spans="1:19" x14ac:dyDescent="0.2">
      <c r="A133" s="6">
        <v>7.05</v>
      </c>
      <c r="B133">
        <v>42.975000000000001</v>
      </c>
      <c r="C133">
        <v>47.470999999999997</v>
      </c>
      <c r="D133">
        <v>40.232999999999997</v>
      </c>
      <c r="E133">
        <v>42.796999999999997</v>
      </c>
      <c r="F133">
        <v>47.542999999999999</v>
      </c>
      <c r="G133">
        <v>63.170999999999999</v>
      </c>
      <c r="H133">
        <v>62.652000000000001</v>
      </c>
      <c r="I133">
        <v>70.230999999999995</v>
      </c>
      <c r="J133">
        <v>59.420999999999999</v>
      </c>
      <c r="K133">
        <v>62.198999999999998</v>
      </c>
      <c r="L133">
        <v>60.613</v>
      </c>
      <c r="M133">
        <v>36.317999999999998</v>
      </c>
      <c r="N133">
        <v>43.287999999999997</v>
      </c>
      <c r="O133">
        <v>40.207999999999998</v>
      </c>
      <c r="P133">
        <v>47.942</v>
      </c>
      <c r="Q133">
        <v>37.345999999999997</v>
      </c>
      <c r="R133">
        <v>45.000999999999998</v>
      </c>
      <c r="S133">
        <v>43.481999999999999</v>
      </c>
    </row>
    <row r="134" spans="1:19" x14ac:dyDescent="0.2">
      <c r="A134" s="6">
        <v>7.0666666666666664</v>
      </c>
      <c r="B134">
        <v>42.906999999999996</v>
      </c>
      <c r="C134">
        <v>47.453000000000003</v>
      </c>
      <c r="D134">
        <v>40.262</v>
      </c>
      <c r="E134">
        <v>42.718000000000004</v>
      </c>
      <c r="F134">
        <v>47.381999999999998</v>
      </c>
      <c r="G134">
        <v>63.17</v>
      </c>
      <c r="H134">
        <v>62.62</v>
      </c>
      <c r="I134">
        <v>70.149000000000001</v>
      </c>
      <c r="J134">
        <v>59.158000000000001</v>
      </c>
      <c r="K134">
        <v>61.914999999999999</v>
      </c>
      <c r="L134">
        <v>60.546999999999997</v>
      </c>
      <c r="M134">
        <v>36.253</v>
      </c>
      <c r="N134">
        <v>43.165999999999997</v>
      </c>
      <c r="O134">
        <v>40.165999999999997</v>
      </c>
      <c r="P134">
        <v>47.881</v>
      </c>
      <c r="Q134">
        <v>37.198</v>
      </c>
      <c r="R134">
        <v>44.781999999999996</v>
      </c>
      <c r="S134">
        <v>43.015999999999998</v>
      </c>
    </row>
    <row r="135" spans="1:19" x14ac:dyDescent="0.2">
      <c r="A135" s="6">
        <v>7.083333333333333</v>
      </c>
      <c r="B135">
        <v>42.655000000000001</v>
      </c>
      <c r="C135">
        <v>47.46</v>
      </c>
      <c r="D135">
        <v>40.179000000000002</v>
      </c>
      <c r="E135">
        <v>42.762</v>
      </c>
      <c r="F135">
        <v>47.332999999999998</v>
      </c>
      <c r="G135">
        <v>63.017000000000003</v>
      </c>
      <c r="H135">
        <v>62.521999999999998</v>
      </c>
      <c r="I135">
        <v>70.099000000000004</v>
      </c>
      <c r="J135">
        <v>59.325000000000003</v>
      </c>
      <c r="K135">
        <v>61.914999999999999</v>
      </c>
      <c r="L135">
        <v>60.408000000000001</v>
      </c>
      <c r="M135">
        <v>36.192999999999998</v>
      </c>
      <c r="N135">
        <v>43.113</v>
      </c>
      <c r="O135">
        <v>40.113</v>
      </c>
      <c r="P135">
        <v>47.798000000000002</v>
      </c>
      <c r="Q135">
        <v>37.119</v>
      </c>
      <c r="R135">
        <v>44.753999999999998</v>
      </c>
      <c r="S135">
        <v>43.017000000000003</v>
      </c>
    </row>
    <row r="136" spans="1:19" x14ac:dyDescent="0.2">
      <c r="A136" s="6">
        <v>7.1</v>
      </c>
      <c r="B136">
        <v>42.695</v>
      </c>
      <c r="C136">
        <v>47.423999999999999</v>
      </c>
      <c r="D136">
        <v>40.042000000000002</v>
      </c>
      <c r="E136">
        <v>42.615000000000002</v>
      </c>
      <c r="F136">
        <v>47.3</v>
      </c>
      <c r="G136">
        <v>62.93</v>
      </c>
      <c r="H136">
        <v>62.383000000000003</v>
      </c>
      <c r="I136">
        <v>70.063999999999993</v>
      </c>
      <c r="J136">
        <v>59.15</v>
      </c>
      <c r="K136">
        <v>61.81</v>
      </c>
      <c r="L136">
        <v>60.347999999999999</v>
      </c>
      <c r="M136">
        <v>36.097999999999999</v>
      </c>
      <c r="N136">
        <v>43.036999999999999</v>
      </c>
      <c r="O136">
        <v>40.008000000000003</v>
      </c>
      <c r="P136">
        <v>47.741999999999997</v>
      </c>
      <c r="Q136">
        <v>37.093000000000004</v>
      </c>
      <c r="R136">
        <v>44.738999999999997</v>
      </c>
      <c r="S136">
        <v>43.052999999999997</v>
      </c>
    </row>
    <row r="137" spans="1:19" x14ac:dyDescent="0.2">
      <c r="A137" s="6">
        <v>7.1166666666666663</v>
      </c>
      <c r="B137">
        <v>42.540999999999997</v>
      </c>
      <c r="C137">
        <v>47.292000000000002</v>
      </c>
      <c r="D137">
        <v>39.902000000000001</v>
      </c>
      <c r="E137">
        <v>42.453000000000003</v>
      </c>
      <c r="F137">
        <v>47.101999999999997</v>
      </c>
      <c r="G137">
        <v>62.726999999999997</v>
      </c>
      <c r="H137">
        <v>62.441000000000003</v>
      </c>
      <c r="I137">
        <v>69.977999999999994</v>
      </c>
      <c r="J137">
        <v>59.104999999999997</v>
      </c>
      <c r="K137">
        <v>61.594999999999999</v>
      </c>
      <c r="L137">
        <v>60.250999999999998</v>
      </c>
      <c r="M137">
        <v>36.029000000000003</v>
      </c>
      <c r="N137">
        <v>42.743000000000002</v>
      </c>
      <c r="O137">
        <v>39.845999999999997</v>
      </c>
      <c r="P137">
        <v>47.633000000000003</v>
      </c>
      <c r="Q137">
        <v>36.945</v>
      </c>
      <c r="R137">
        <v>44.594000000000001</v>
      </c>
      <c r="S137">
        <v>43.177999999999997</v>
      </c>
    </row>
    <row r="138" spans="1:19" x14ac:dyDescent="0.2">
      <c r="A138" s="6">
        <v>7.1333333333333337</v>
      </c>
      <c r="B138">
        <v>42.497</v>
      </c>
      <c r="C138">
        <v>47.186999999999998</v>
      </c>
      <c r="D138">
        <v>39.76</v>
      </c>
      <c r="E138">
        <v>42.430999999999997</v>
      </c>
      <c r="F138">
        <v>46.872999999999998</v>
      </c>
      <c r="G138">
        <v>62.793999999999997</v>
      </c>
      <c r="H138">
        <v>62.234000000000002</v>
      </c>
      <c r="I138">
        <v>69.850999999999999</v>
      </c>
      <c r="J138">
        <v>58.985999999999997</v>
      </c>
      <c r="K138">
        <v>61.432000000000002</v>
      </c>
      <c r="L138">
        <v>60.212000000000003</v>
      </c>
      <c r="M138">
        <v>35.892000000000003</v>
      </c>
      <c r="N138">
        <v>42.802</v>
      </c>
      <c r="O138">
        <v>39.844000000000001</v>
      </c>
      <c r="P138">
        <v>47.552999999999997</v>
      </c>
      <c r="Q138">
        <v>36.808</v>
      </c>
      <c r="R138">
        <v>44.557000000000002</v>
      </c>
      <c r="S138">
        <v>42.878</v>
      </c>
    </row>
    <row r="139" spans="1:19" x14ac:dyDescent="0.2">
      <c r="A139" s="6">
        <v>7.15</v>
      </c>
      <c r="B139">
        <v>42.375</v>
      </c>
      <c r="C139">
        <v>47.176000000000002</v>
      </c>
      <c r="D139">
        <v>39.795000000000002</v>
      </c>
      <c r="E139">
        <v>42.247</v>
      </c>
      <c r="F139">
        <v>46.951000000000001</v>
      </c>
      <c r="G139">
        <v>62.673000000000002</v>
      </c>
      <c r="H139">
        <v>62.25</v>
      </c>
      <c r="I139">
        <v>69.838999999999999</v>
      </c>
      <c r="J139">
        <v>58.887999999999998</v>
      </c>
      <c r="K139">
        <v>61.485999999999997</v>
      </c>
      <c r="L139">
        <v>60.124000000000002</v>
      </c>
      <c r="M139">
        <v>35.875</v>
      </c>
      <c r="N139">
        <v>42.725000000000001</v>
      </c>
      <c r="O139">
        <v>39.71</v>
      </c>
      <c r="P139">
        <v>47.466000000000001</v>
      </c>
      <c r="Q139">
        <v>36.734999999999999</v>
      </c>
      <c r="R139">
        <v>44.457999999999998</v>
      </c>
      <c r="S139">
        <v>42.816000000000003</v>
      </c>
    </row>
    <row r="140" spans="1:19" x14ac:dyDescent="0.2">
      <c r="A140" s="6">
        <v>7.166666666666667</v>
      </c>
      <c r="B140">
        <v>42.051000000000002</v>
      </c>
      <c r="C140">
        <v>47.103000000000002</v>
      </c>
      <c r="D140">
        <v>38.985999999999997</v>
      </c>
      <c r="E140">
        <v>42.374000000000002</v>
      </c>
      <c r="F140">
        <v>46.921999999999997</v>
      </c>
      <c r="G140">
        <v>62.582000000000001</v>
      </c>
      <c r="H140">
        <v>62.113999999999997</v>
      </c>
      <c r="I140">
        <v>69.837999999999994</v>
      </c>
      <c r="J140">
        <v>58.838999999999999</v>
      </c>
      <c r="K140">
        <v>61.273000000000003</v>
      </c>
      <c r="L140">
        <v>59.948999999999998</v>
      </c>
      <c r="M140">
        <v>35.639000000000003</v>
      </c>
      <c r="N140">
        <v>42.744999999999997</v>
      </c>
      <c r="O140">
        <v>39.677999999999997</v>
      </c>
      <c r="P140">
        <v>47.381999999999998</v>
      </c>
      <c r="Q140">
        <v>36.665999999999997</v>
      </c>
      <c r="R140">
        <v>44.39</v>
      </c>
      <c r="S140">
        <v>42.707000000000001</v>
      </c>
    </row>
    <row r="141" spans="1:19" x14ac:dyDescent="0.2">
      <c r="A141" s="6">
        <v>7.1833333333333336</v>
      </c>
      <c r="B141">
        <v>42.203000000000003</v>
      </c>
      <c r="C141">
        <v>46.911999999999999</v>
      </c>
      <c r="D141">
        <v>39.609000000000002</v>
      </c>
      <c r="E141">
        <v>42.29</v>
      </c>
      <c r="F141">
        <v>46.863999999999997</v>
      </c>
      <c r="G141">
        <v>62.49</v>
      </c>
      <c r="H141">
        <v>62.039000000000001</v>
      </c>
      <c r="I141">
        <v>69.75</v>
      </c>
      <c r="J141">
        <v>58.725999999999999</v>
      </c>
      <c r="K141">
        <v>61.165999999999997</v>
      </c>
      <c r="L141">
        <v>59.911000000000001</v>
      </c>
      <c r="M141">
        <v>35.619999999999997</v>
      </c>
      <c r="N141">
        <v>42.69</v>
      </c>
      <c r="O141">
        <v>39.640999999999998</v>
      </c>
      <c r="P141">
        <v>47.335999999999999</v>
      </c>
      <c r="Q141">
        <v>36.569000000000003</v>
      </c>
      <c r="R141">
        <v>44.383000000000003</v>
      </c>
      <c r="S141">
        <v>42.749000000000002</v>
      </c>
    </row>
    <row r="142" spans="1:19" x14ac:dyDescent="0.2">
      <c r="A142" s="6">
        <v>7.2</v>
      </c>
      <c r="B142">
        <v>42.158999999999999</v>
      </c>
      <c r="C142">
        <v>46.856999999999999</v>
      </c>
      <c r="D142">
        <v>39.524000000000001</v>
      </c>
      <c r="E142">
        <v>42.222000000000001</v>
      </c>
      <c r="F142">
        <v>46.865000000000002</v>
      </c>
      <c r="G142">
        <v>62.436999999999998</v>
      </c>
      <c r="H142">
        <v>61.948999999999998</v>
      </c>
      <c r="I142">
        <v>69.688999999999993</v>
      </c>
      <c r="J142">
        <v>58.631</v>
      </c>
      <c r="K142">
        <v>61.156999999999996</v>
      </c>
      <c r="L142">
        <v>59.850999999999999</v>
      </c>
      <c r="M142">
        <v>35.497</v>
      </c>
      <c r="N142">
        <v>42.631</v>
      </c>
      <c r="O142">
        <v>39.49</v>
      </c>
      <c r="P142">
        <v>47.284999999999997</v>
      </c>
      <c r="Q142">
        <v>36.49</v>
      </c>
      <c r="R142">
        <v>44.249000000000002</v>
      </c>
      <c r="S142">
        <v>42.63</v>
      </c>
    </row>
    <row r="143" spans="1:19" x14ac:dyDescent="0.2">
      <c r="A143" s="6">
        <v>7.2166666666666668</v>
      </c>
      <c r="B143">
        <v>41.97</v>
      </c>
      <c r="C143">
        <v>46.767000000000003</v>
      </c>
      <c r="D143">
        <v>39.509</v>
      </c>
      <c r="E143">
        <v>42.156999999999996</v>
      </c>
      <c r="F143">
        <v>46.774999999999999</v>
      </c>
      <c r="G143">
        <v>62.265000000000001</v>
      </c>
      <c r="H143">
        <v>61.823</v>
      </c>
      <c r="I143">
        <v>69.650000000000006</v>
      </c>
      <c r="J143">
        <v>58.432000000000002</v>
      </c>
      <c r="K143">
        <v>61.186999999999998</v>
      </c>
      <c r="L143">
        <v>59.781999999999996</v>
      </c>
      <c r="M143">
        <v>35.442</v>
      </c>
      <c r="N143">
        <v>42.518000000000001</v>
      </c>
      <c r="O143">
        <v>39.396000000000001</v>
      </c>
      <c r="P143">
        <v>47.207000000000001</v>
      </c>
      <c r="Q143">
        <v>36.478000000000002</v>
      </c>
      <c r="R143">
        <v>44.183999999999997</v>
      </c>
      <c r="S143">
        <v>42.548000000000002</v>
      </c>
    </row>
    <row r="144" spans="1:19" x14ac:dyDescent="0.2">
      <c r="A144" s="6">
        <v>7.2333333333333334</v>
      </c>
      <c r="B144">
        <v>42.05</v>
      </c>
      <c r="C144">
        <v>46.793999999999997</v>
      </c>
      <c r="D144">
        <v>39.42</v>
      </c>
      <c r="E144">
        <v>41.906999999999996</v>
      </c>
      <c r="F144">
        <v>46.530999999999999</v>
      </c>
      <c r="G144">
        <v>62.265999999999998</v>
      </c>
      <c r="H144">
        <v>61.78</v>
      </c>
      <c r="I144">
        <v>69.546000000000006</v>
      </c>
      <c r="J144">
        <v>58.552999999999997</v>
      </c>
      <c r="K144">
        <v>60.957999999999998</v>
      </c>
      <c r="L144">
        <v>59.762</v>
      </c>
      <c r="M144">
        <v>35.286000000000001</v>
      </c>
      <c r="N144">
        <v>42.384</v>
      </c>
      <c r="O144">
        <v>39.26</v>
      </c>
      <c r="P144">
        <v>46.896999999999998</v>
      </c>
      <c r="Q144">
        <v>36.353999999999999</v>
      </c>
      <c r="R144">
        <v>44.134999999999998</v>
      </c>
      <c r="S144">
        <v>42.561</v>
      </c>
    </row>
    <row r="145" spans="1:19" x14ac:dyDescent="0.2">
      <c r="A145" s="6">
        <v>7.25</v>
      </c>
      <c r="B145">
        <v>41.875999999999998</v>
      </c>
      <c r="C145">
        <v>46.715000000000003</v>
      </c>
      <c r="D145">
        <v>39.216999999999999</v>
      </c>
      <c r="E145">
        <v>41.978000000000002</v>
      </c>
      <c r="F145">
        <v>46.542999999999999</v>
      </c>
      <c r="G145">
        <v>62.082000000000001</v>
      </c>
      <c r="H145">
        <v>61.621000000000002</v>
      </c>
      <c r="I145">
        <v>69.474000000000004</v>
      </c>
      <c r="J145">
        <v>58.491999999999997</v>
      </c>
      <c r="K145">
        <v>60.953000000000003</v>
      </c>
      <c r="L145">
        <v>59.573999999999998</v>
      </c>
      <c r="M145">
        <v>35.209000000000003</v>
      </c>
      <c r="N145">
        <v>42.292999999999999</v>
      </c>
      <c r="O145">
        <v>39.091000000000001</v>
      </c>
      <c r="P145">
        <v>47.008000000000003</v>
      </c>
      <c r="Q145">
        <v>36.320999999999998</v>
      </c>
      <c r="R145">
        <v>44.139000000000003</v>
      </c>
      <c r="S145">
        <v>42.436999999999998</v>
      </c>
    </row>
    <row r="146" spans="1:19" x14ac:dyDescent="0.2">
      <c r="A146" s="6">
        <v>7.2666666666666666</v>
      </c>
      <c r="B146">
        <v>41.762</v>
      </c>
      <c r="C146">
        <v>46.655999999999999</v>
      </c>
      <c r="D146">
        <v>39.267000000000003</v>
      </c>
      <c r="E146">
        <v>41.838999999999999</v>
      </c>
      <c r="F146">
        <v>46.406999999999996</v>
      </c>
      <c r="G146">
        <v>62.122999999999998</v>
      </c>
      <c r="H146">
        <v>61.606000000000002</v>
      </c>
      <c r="I146">
        <v>69.375</v>
      </c>
      <c r="J146">
        <v>58.067999999999998</v>
      </c>
      <c r="K146">
        <v>60.845999999999997</v>
      </c>
      <c r="L146">
        <v>59.634</v>
      </c>
      <c r="M146">
        <v>35.103000000000002</v>
      </c>
      <c r="N146">
        <v>42.238999999999997</v>
      </c>
      <c r="O146">
        <v>39.103000000000002</v>
      </c>
      <c r="P146">
        <v>46.932000000000002</v>
      </c>
      <c r="Q146">
        <v>36.146000000000001</v>
      </c>
      <c r="R146">
        <v>44.009</v>
      </c>
      <c r="S146">
        <v>42.378</v>
      </c>
    </row>
    <row r="147" spans="1:19" x14ac:dyDescent="0.2">
      <c r="A147" s="6">
        <v>7.2833333333333332</v>
      </c>
      <c r="B147">
        <v>41.807000000000002</v>
      </c>
      <c r="C147">
        <v>46.582999999999998</v>
      </c>
      <c r="D147">
        <v>39.265000000000001</v>
      </c>
      <c r="E147">
        <v>41.619</v>
      </c>
      <c r="F147">
        <v>46.402999999999999</v>
      </c>
      <c r="G147">
        <v>62.098999999999997</v>
      </c>
      <c r="H147">
        <v>61.604999999999997</v>
      </c>
      <c r="I147">
        <v>69.349999999999994</v>
      </c>
      <c r="J147">
        <v>58.363999999999997</v>
      </c>
      <c r="K147">
        <v>60.789000000000001</v>
      </c>
      <c r="L147">
        <v>59.625</v>
      </c>
      <c r="M147">
        <v>35.073</v>
      </c>
      <c r="N147">
        <v>42.18</v>
      </c>
      <c r="O147">
        <v>38.896000000000001</v>
      </c>
      <c r="P147">
        <v>46.936999999999998</v>
      </c>
      <c r="Q147">
        <v>36.183999999999997</v>
      </c>
      <c r="R147">
        <v>43.878999999999998</v>
      </c>
      <c r="S147">
        <v>42.348999999999997</v>
      </c>
    </row>
    <row r="148" spans="1:19" x14ac:dyDescent="0.2">
      <c r="A148" s="6">
        <v>7.3</v>
      </c>
      <c r="B148">
        <v>41.722999999999999</v>
      </c>
      <c r="C148">
        <v>46.563000000000002</v>
      </c>
      <c r="D148">
        <v>38.871000000000002</v>
      </c>
      <c r="E148">
        <v>41.63</v>
      </c>
      <c r="F148">
        <v>46.362000000000002</v>
      </c>
      <c r="G148">
        <v>62.024000000000001</v>
      </c>
      <c r="H148">
        <v>61.491</v>
      </c>
      <c r="I148">
        <v>69.308000000000007</v>
      </c>
      <c r="J148">
        <v>58.293999999999997</v>
      </c>
      <c r="K148">
        <v>60.758000000000003</v>
      </c>
      <c r="L148">
        <v>59.51</v>
      </c>
      <c r="M148">
        <v>34.984999999999999</v>
      </c>
      <c r="N148">
        <v>42.103000000000002</v>
      </c>
      <c r="O148">
        <v>38.933999999999997</v>
      </c>
      <c r="P148">
        <v>46.841000000000001</v>
      </c>
      <c r="Q148">
        <v>36.042000000000002</v>
      </c>
      <c r="R148">
        <v>43.856999999999999</v>
      </c>
      <c r="S148">
        <v>42.319000000000003</v>
      </c>
    </row>
    <row r="149" spans="1:19" x14ac:dyDescent="0.2">
      <c r="A149" s="6">
        <v>7.3166666666666664</v>
      </c>
      <c r="B149">
        <v>41.651000000000003</v>
      </c>
      <c r="C149">
        <v>46.411999999999999</v>
      </c>
      <c r="D149">
        <v>38.997</v>
      </c>
      <c r="E149">
        <v>41.603000000000002</v>
      </c>
      <c r="F149">
        <v>46.356000000000002</v>
      </c>
      <c r="G149">
        <v>61.972999999999999</v>
      </c>
      <c r="H149">
        <v>61.512999999999998</v>
      </c>
      <c r="I149">
        <v>69.302999999999997</v>
      </c>
      <c r="J149">
        <v>58.268000000000001</v>
      </c>
      <c r="K149">
        <v>60.716999999999999</v>
      </c>
      <c r="L149">
        <v>59.401000000000003</v>
      </c>
      <c r="M149">
        <v>34.904000000000003</v>
      </c>
      <c r="N149">
        <v>41.965000000000003</v>
      </c>
      <c r="O149">
        <v>38.857999999999997</v>
      </c>
      <c r="P149">
        <v>46.777000000000001</v>
      </c>
      <c r="Q149">
        <v>35.984999999999999</v>
      </c>
      <c r="R149">
        <v>43.859000000000002</v>
      </c>
      <c r="S149">
        <v>42.018999999999998</v>
      </c>
    </row>
    <row r="150" spans="1:19" x14ac:dyDescent="0.2">
      <c r="A150" s="6">
        <v>7.333333333333333</v>
      </c>
      <c r="B150">
        <v>41.295999999999999</v>
      </c>
      <c r="C150">
        <v>46.235999999999997</v>
      </c>
      <c r="D150">
        <v>38.979999999999997</v>
      </c>
      <c r="E150">
        <v>41.582000000000001</v>
      </c>
      <c r="F150">
        <v>46.32</v>
      </c>
      <c r="G150">
        <v>61.835000000000001</v>
      </c>
      <c r="H150">
        <v>61.253999999999998</v>
      </c>
      <c r="I150">
        <v>69.203000000000003</v>
      </c>
      <c r="J150">
        <v>58.174999999999997</v>
      </c>
      <c r="K150">
        <v>60.634999999999998</v>
      </c>
      <c r="L150">
        <v>59.457000000000001</v>
      </c>
      <c r="M150">
        <v>34.828000000000003</v>
      </c>
      <c r="N150">
        <v>41.953000000000003</v>
      </c>
      <c r="O150">
        <v>38.753999999999998</v>
      </c>
      <c r="P150">
        <v>46.701999999999998</v>
      </c>
      <c r="Q150">
        <v>35.929000000000002</v>
      </c>
      <c r="R150">
        <v>43.741999999999997</v>
      </c>
      <c r="S150">
        <v>41.963999999999999</v>
      </c>
    </row>
    <row r="151" spans="1:19" x14ac:dyDescent="0.2">
      <c r="A151" s="6">
        <v>7.35</v>
      </c>
      <c r="B151">
        <v>41.469000000000001</v>
      </c>
      <c r="C151">
        <v>46.142000000000003</v>
      </c>
      <c r="D151">
        <v>38.908000000000001</v>
      </c>
      <c r="E151">
        <v>41.421999999999997</v>
      </c>
      <c r="F151">
        <v>46.267000000000003</v>
      </c>
      <c r="G151">
        <v>61.624000000000002</v>
      </c>
      <c r="H151">
        <v>61.259</v>
      </c>
      <c r="I151">
        <v>69.221999999999994</v>
      </c>
      <c r="J151">
        <v>58.134999999999998</v>
      </c>
      <c r="K151">
        <v>60.581000000000003</v>
      </c>
      <c r="L151">
        <v>59.347000000000001</v>
      </c>
      <c r="M151">
        <v>34.676000000000002</v>
      </c>
      <c r="N151">
        <v>41.686</v>
      </c>
      <c r="O151">
        <v>38.673000000000002</v>
      </c>
      <c r="P151">
        <v>46.604999999999997</v>
      </c>
      <c r="Q151">
        <v>35.81</v>
      </c>
      <c r="R151">
        <v>43.652999999999999</v>
      </c>
      <c r="S151">
        <v>41.933999999999997</v>
      </c>
    </row>
    <row r="152" spans="1:19" x14ac:dyDescent="0.2">
      <c r="A152" s="6">
        <v>7.3666666666666663</v>
      </c>
      <c r="B152">
        <v>41.302</v>
      </c>
      <c r="C152">
        <v>46.015000000000001</v>
      </c>
      <c r="D152">
        <v>38.840000000000003</v>
      </c>
      <c r="E152">
        <v>40.9</v>
      </c>
      <c r="F152">
        <v>46.237000000000002</v>
      </c>
      <c r="G152">
        <v>61.671999999999997</v>
      </c>
      <c r="H152">
        <v>61.203000000000003</v>
      </c>
      <c r="I152">
        <v>69.165999999999997</v>
      </c>
      <c r="J152">
        <v>57.438000000000002</v>
      </c>
      <c r="K152">
        <v>60.491</v>
      </c>
      <c r="L152">
        <v>59.31</v>
      </c>
      <c r="M152">
        <v>34.576999999999998</v>
      </c>
      <c r="N152">
        <v>41.741</v>
      </c>
      <c r="O152">
        <v>38.595999999999997</v>
      </c>
      <c r="P152">
        <v>46.527999999999999</v>
      </c>
      <c r="Q152">
        <v>35.636000000000003</v>
      </c>
      <c r="R152">
        <v>43.55</v>
      </c>
      <c r="S152">
        <v>41.665999999999997</v>
      </c>
    </row>
    <row r="153" spans="1:19" x14ac:dyDescent="0.2">
      <c r="A153" s="6">
        <v>7.3833333333333337</v>
      </c>
      <c r="B153">
        <v>41.063000000000002</v>
      </c>
      <c r="C153">
        <v>45.968000000000004</v>
      </c>
      <c r="D153">
        <v>38.122</v>
      </c>
      <c r="E153">
        <v>41.213000000000001</v>
      </c>
      <c r="F153">
        <v>46.16</v>
      </c>
      <c r="G153">
        <v>61.517000000000003</v>
      </c>
      <c r="H153">
        <v>61.188000000000002</v>
      </c>
      <c r="I153">
        <v>69.075000000000003</v>
      </c>
      <c r="J153">
        <v>57.944000000000003</v>
      </c>
      <c r="K153">
        <v>60.381999999999998</v>
      </c>
      <c r="L153">
        <v>59.258000000000003</v>
      </c>
      <c r="M153">
        <v>34.521999999999998</v>
      </c>
      <c r="N153">
        <v>41.59</v>
      </c>
      <c r="O153">
        <v>38.420999999999999</v>
      </c>
      <c r="P153">
        <v>46.46</v>
      </c>
      <c r="Q153">
        <v>35.606999999999999</v>
      </c>
      <c r="R153">
        <v>43.503</v>
      </c>
      <c r="S153">
        <v>41.838999999999999</v>
      </c>
    </row>
    <row r="154" spans="1:19" x14ac:dyDescent="0.2">
      <c r="A154" s="6">
        <v>7.4</v>
      </c>
      <c r="B154">
        <v>41.073</v>
      </c>
      <c r="C154">
        <v>45.97</v>
      </c>
      <c r="D154">
        <v>38.639000000000003</v>
      </c>
      <c r="E154">
        <v>41.180999999999997</v>
      </c>
      <c r="F154">
        <v>45.982999999999997</v>
      </c>
      <c r="G154">
        <v>61.497999999999998</v>
      </c>
      <c r="H154">
        <v>60.97</v>
      </c>
      <c r="I154">
        <v>69.11</v>
      </c>
      <c r="J154">
        <v>57.866</v>
      </c>
      <c r="K154">
        <v>60.313000000000002</v>
      </c>
      <c r="L154">
        <v>59.189</v>
      </c>
      <c r="M154">
        <v>34.411000000000001</v>
      </c>
      <c r="N154">
        <v>41.554000000000002</v>
      </c>
      <c r="O154">
        <v>38.384</v>
      </c>
      <c r="P154">
        <v>46.414000000000001</v>
      </c>
      <c r="Q154">
        <v>35.548000000000002</v>
      </c>
      <c r="R154">
        <v>43.356000000000002</v>
      </c>
      <c r="S154">
        <v>41.616</v>
      </c>
    </row>
    <row r="155" spans="1:19" x14ac:dyDescent="0.2">
      <c r="A155" s="6">
        <v>7.416666666666667</v>
      </c>
      <c r="B155">
        <v>41.040999999999997</v>
      </c>
      <c r="C155">
        <v>45.912999999999997</v>
      </c>
      <c r="D155">
        <v>38.491999999999997</v>
      </c>
      <c r="E155">
        <v>41.097999999999999</v>
      </c>
      <c r="F155">
        <v>46.073999999999998</v>
      </c>
      <c r="G155">
        <v>61.398000000000003</v>
      </c>
      <c r="H155">
        <v>60.930999999999997</v>
      </c>
      <c r="I155">
        <v>69.046000000000006</v>
      </c>
      <c r="J155">
        <v>57.765999999999998</v>
      </c>
      <c r="K155">
        <v>60.337000000000003</v>
      </c>
      <c r="L155">
        <v>59.061999999999998</v>
      </c>
      <c r="M155">
        <v>34.301000000000002</v>
      </c>
      <c r="N155">
        <v>41.427999999999997</v>
      </c>
      <c r="O155">
        <v>38.323</v>
      </c>
      <c r="P155">
        <v>46.314999999999998</v>
      </c>
      <c r="Q155">
        <v>35.402999999999999</v>
      </c>
      <c r="R155">
        <v>43.383000000000003</v>
      </c>
      <c r="S155">
        <v>41.555</v>
      </c>
    </row>
    <row r="156" spans="1:19" x14ac:dyDescent="0.2">
      <c r="A156" s="6">
        <v>7.4333333333333336</v>
      </c>
      <c r="B156">
        <v>40.982999999999997</v>
      </c>
      <c r="C156">
        <v>45.725999999999999</v>
      </c>
      <c r="D156">
        <v>38.451999999999998</v>
      </c>
      <c r="E156">
        <v>41.033999999999999</v>
      </c>
      <c r="F156">
        <v>46.009</v>
      </c>
      <c r="G156">
        <v>61.383000000000003</v>
      </c>
      <c r="H156">
        <v>60.933</v>
      </c>
      <c r="I156">
        <v>69.019000000000005</v>
      </c>
      <c r="J156">
        <v>57.723999999999997</v>
      </c>
      <c r="K156">
        <v>60.281999999999996</v>
      </c>
      <c r="L156">
        <v>59.066000000000003</v>
      </c>
      <c r="M156">
        <v>34.228000000000002</v>
      </c>
      <c r="N156">
        <v>41.41</v>
      </c>
      <c r="O156">
        <v>38.055</v>
      </c>
      <c r="P156">
        <v>46.262</v>
      </c>
      <c r="Q156">
        <v>35.252000000000002</v>
      </c>
      <c r="R156">
        <v>43.353999999999999</v>
      </c>
      <c r="S156">
        <v>41.534999999999997</v>
      </c>
    </row>
    <row r="157" spans="1:19" x14ac:dyDescent="0.2">
      <c r="A157" s="6">
        <v>7.45</v>
      </c>
      <c r="B157">
        <v>40.896999999999998</v>
      </c>
      <c r="C157">
        <v>45.692999999999998</v>
      </c>
      <c r="D157">
        <v>38.348999999999997</v>
      </c>
      <c r="E157">
        <v>40.96</v>
      </c>
      <c r="F157">
        <v>45.966000000000001</v>
      </c>
      <c r="G157">
        <v>61.293999999999997</v>
      </c>
      <c r="H157">
        <v>60.726999999999997</v>
      </c>
      <c r="I157">
        <v>69.003</v>
      </c>
      <c r="J157">
        <v>57.447000000000003</v>
      </c>
      <c r="K157">
        <v>60.161000000000001</v>
      </c>
      <c r="L157">
        <v>59.087000000000003</v>
      </c>
      <c r="M157">
        <v>34.023000000000003</v>
      </c>
      <c r="N157">
        <v>41.334000000000003</v>
      </c>
      <c r="O157">
        <v>38.091000000000001</v>
      </c>
      <c r="P157">
        <v>46.146000000000001</v>
      </c>
      <c r="Q157">
        <v>35.246000000000002</v>
      </c>
      <c r="R157">
        <v>43.271000000000001</v>
      </c>
      <c r="S157">
        <v>41.377000000000002</v>
      </c>
    </row>
    <row r="158" spans="1:19" x14ac:dyDescent="0.2">
      <c r="A158" s="6">
        <v>7.4666666666666668</v>
      </c>
      <c r="B158">
        <v>40.656999999999996</v>
      </c>
      <c r="C158">
        <v>45.543999999999997</v>
      </c>
      <c r="D158">
        <v>38.26</v>
      </c>
      <c r="E158">
        <v>40.86</v>
      </c>
      <c r="F158">
        <v>45.923000000000002</v>
      </c>
      <c r="G158">
        <v>61.284999999999997</v>
      </c>
      <c r="H158">
        <v>60.802</v>
      </c>
      <c r="I158">
        <v>68.936000000000007</v>
      </c>
      <c r="J158">
        <v>57.521999999999998</v>
      </c>
      <c r="K158">
        <v>60.137999999999998</v>
      </c>
      <c r="L158">
        <v>59.005000000000003</v>
      </c>
      <c r="M158">
        <v>34.082999999999998</v>
      </c>
      <c r="N158">
        <v>41.345999999999997</v>
      </c>
      <c r="O158">
        <v>37.999000000000002</v>
      </c>
      <c r="P158">
        <v>46.119</v>
      </c>
      <c r="Q158">
        <v>35.146000000000001</v>
      </c>
      <c r="R158">
        <v>43.241999999999997</v>
      </c>
      <c r="S158">
        <v>41.417000000000002</v>
      </c>
    </row>
    <row r="159" spans="1:19" x14ac:dyDescent="0.2">
      <c r="A159" s="6">
        <v>7.4833333333333334</v>
      </c>
      <c r="B159">
        <v>40.651000000000003</v>
      </c>
      <c r="C159">
        <v>45.521999999999998</v>
      </c>
      <c r="D159">
        <v>37.942999999999998</v>
      </c>
      <c r="E159">
        <v>40.603000000000002</v>
      </c>
      <c r="F159">
        <v>45.737000000000002</v>
      </c>
      <c r="G159">
        <v>61.164999999999999</v>
      </c>
      <c r="H159">
        <v>60.734999999999999</v>
      </c>
      <c r="I159">
        <v>68.917000000000002</v>
      </c>
      <c r="J159">
        <v>57.44</v>
      </c>
      <c r="K159">
        <v>60.052999999999997</v>
      </c>
      <c r="L159">
        <v>58.981000000000002</v>
      </c>
      <c r="M159">
        <v>33.975000000000001</v>
      </c>
      <c r="N159">
        <v>41.271999999999998</v>
      </c>
      <c r="O159">
        <v>37.924999999999997</v>
      </c>
      <c r="P159">
        <v>46.005000000000003</v>
      </c>
      <c r="Q159">
        <v>35.143000000000001</v>
      </c>
      <c r="R159">
        <v>43.168999999999997</v>
      </c>
      <c r="S159">
        <v>41.436999999999998</v>
      </c>
    </row>
    <row r="160" spans="1:19" x14ac:dyDescent="0.2">
      <c r="A160" s="6">
        <v>7.5</v>
      </c>
      <c r="B160">
        <v>40.567</v>
      </c>
      <c r="C160">
        <v>45.509</v>
      </c>
      <c r="D160">
        <v>38.008000000000003</v>
      </c>
      <c r="E160">
        <v>40.744999999999997</v>
      </c>
      <c r="F160">
        <v>45.817</v>
      </c>
      <c r="G160">
        <v>61.110999999999997</v>
      </c>
      <c r="H160">
        <v>60.628</v>
      </c>
      <c r="I160">
        <v>68.846000000000004</v>
      </c>
      <c r="J160">
        <v>57.087000000000003</v>
      </c>
      <c r="K160">
        <v>59.985999999999997</v>
      </c>
      <c r="L160">
        <v>58.863999999999997</v>
      </c>
      <c r="M160">
        <v>33.926000000000002</v>
      </c>
      <c r="N160">
        <v>41.231000000000002</v>
      </c>
      <c r="O160">
        <v>37.726999999999997</v>
      </c>
      <c r="P160">
        <v>45.991</v>
      </c>
      <c r="Q160">
        <v>35.106999999999999</v>
      </c>
      <c r="R160">
        <v>43.113999999999997</v>
      </c>
      <c r="S160">
        <v>41.357999999999997</v>
      </c>
    </row>
    <row r="161" spans="1:19" x14ac:dyDescent="0.2">
      <c r="A161" s="6">
        <v>7.5166666666666666</v>
      </c>
      <c r="B161">
        <v>40.579000000000001</v>
      </c>
      <c r="C161">
        <v>45.360999999999997</v>
      </c>
      <c r="D161">
        <v>37.743000000000002</v>
      </c>
      <c r="E161">
        <v>40.686</v>
      </c>
      <c r="F161">
        <v>45.738999999999997</v>
      </c>
      <c r="G161">
        <v>61.003</v>
      </c>
      <c r="H161">
        <v>60.521999999999998</v>
      </c>
      <c r="I161">
        <v>68.733000000000004</v>
      </c>
      <c r="J161">
        <v>57.231999999999999</v>
      </c>
      <c r="K161">
        <v>59.939</v>
      </c>
      <c r="L161">
        <v>58.871000000000002</v>
      </c>
      <c r="M161">
        <v>33.78</v>
      </c>
      <c r="N161">
        <v>40.887999999999998</v>
      </c>
      <c r="O161">
        <v>37.71</v>
      </c>
      <c r="P161">
        <v>45.820999999999998</v>
      </c>
      <c r="Q161">
        <v>34.956000000000003</v>
      </c>
      <c r="R161">
        <v>42.997</v>
      </c>
      <c r="S161">
        <v>41.249000000000002</v>
      </c>
    </row>
    <row r="162" spans="1:19" x14ac:dyDescent="0.2">
      <c r="A162" s="6">
        <v>7.5333333333333332</v>
      </c>
      <c r="B162">
        <v>40.468000000000004</v>
      </c>
      <c r="C162">
        <v>45.319000000000003</v>
      </c>
      <c r="D162">
        <v>37.591999999999999</v>
      </c>
      <c r="E162">
        <v>40.436</v>
      </c>
      <c r="F162">
        <v>45.569000000000003</v>
      </c>
      <c r="G162">
        <v>60.956000000000003</v>
      </c>
      <c r="H162">
        <v>60.485999999999997</v>
      </c>
      <c r="I162">
        <v>68.727999999999994</v>
      </c>
      <c r="J162">
        <v>57.085999999999999</v>
      </c>
      <c r="K162">
        <v>59.893000000000001</v>
      </c>
      <c r="L162">
        <v>58.841999999999999</v>
      </c>
      <c r="M162">
        <v>33.634</v>
      </c>
      <c r="N162">
        <v>40.826000000000001</v>
      </c>
      <c r="O162">
        <v>37.726999999999997</v>
      </c>
      <c r="P162">
        <v>45.783000000000001</v>
      </c>
      <c r="Q162">
        <v>34.944000000000003</v>
      </c>
      <c r="R162">
        <v>42.96</v>
      </c>
      <c r="S162">
        <v>41.067999999999998</v>
      </c>
    </row>
    <row r="163" spans="1:19" x14ac:dyDescent="0.2">
      <c r="A163" s="6">
        <v>7.55</v>
      </c>
      <c r="B163">
        <v>40.347999999999999</v>
      </c>
      <c r="C163">
        <v>45.292999999999999</v>
      </c>
      <c r="D163">
        <v>37.567</v>
      </c>
      <c r="E163">
        <v>40.526000000000003</v>
      </c>
      <c r="F163">
        <v>45.613</v>
      </c>
      <c r="G163">
        <v>60.884</v>
      </c>
      <c r="H163">
        <v>60.478000000000002</v>
      </c>
      <c r="I163">
        <v>68.665999999999997</v>
      </c>
      <c r="J163">
        <v>57.097999999999999</v>
      </c>
      <c r="K163">
        <v>59.856999999999999</v>
      </c>
      <c r="L163">
        <v>58.72</v>
      </c>
      <c r="M163">
        <v>33.646000000000001</v>
      </c>
      <c r="N163">
        <v>40.847999999999999</v>
      </c>
      <c r="O163">
        <v>37.624000000000002</v>
      </c>
      <c r="P163">
        <v>45.71</v>
      </c>
      <c r="Q163">
        <v>34.796999999999997</v>
      </c>
      <c r="R163">
        <v>42.926000000000002</v>
      </c>
      <c r="S163">
        <v>41.088000000000001</v>
      </c>
    </row>
    <row r="164" spans="1:19" x14ac:dyDescent="0.2">
      <c r="A164" s="6">
        <v>7.5666666666666664</v>
      </c>
      <c r="B164">
        <v>40.344000000000001</v>
      </c>
      <c r="C164">
        <v>45.246000000000002</v>
      </c>
      <c r="D164">
        <v>37.545999999999999</v>
      </c>
      <c r="E164">
        <v>40.356999999999999</v>
      </c>
      <c r="F164">
        <v>45.56</v>
      </c>
      <c r="G164">
        <v>60.865000000000002</v>
      </c>
      <c r="H164">
        <v>60.363</v>
      </c>
      <c r="I164">
        <v>68.623999999999995</v>
      </c>
      <c r="J164">
        <v>57.067999999999998</v>
      </c>
      <c r="K164">
        <v>59.780999999999999</v>
      </c>
      <c r="L164">
        <v>58.713999999999999</v>
      </c>
      <c r="M164">
        <v>33.500999999999998</v>
      </c>
      <c r="N164">
        <v>40.720999999999997</v>
      </c>
      <c r="O164">
        <v>37.526000000000003</v>
      </c>
      <c r="P164">
        <v>45.656999999999996</v>
      </c>
      <c r="Q164">
        <v>34.594000000000001</v>
      </c>
      <c r="R164">
        <v>42.73</v>
      </c>
      <c r="S164">
        <v>40.856000000000002</v>
      </c>
    </row>
    <row r="165" spans="1:19" x14ac:dyDescent="0.2">
      <c r="A165" s="6">
        <v>7.583333333333333</v>
      </c>
      <c r="B165">
        <v>40.247</v>
      </c>
      <c r="C165">
        <v>45.2</v>
      </c>
      <c r="D165">
        <v>37.548000000000002</v>
      </c>
      <c r="E165">
        <v>40.366999999999997</v>
      </c>
      <c r="F165">
        <v>45.390999999999998</v>
      </c>
      <c r="G165">
        <v>60.768999999999998</v>
      </c>
      <c r="H165">
        <v>60.344000000000001</v>
      </c>
      <c r="I165">
        <v>68.599000000000004</v>
      </c>
      <c r="J165">
        <v>57.078000000000003</v>
      </c>
      <c r="K165">
        <v>59.703000000000003</v>
      </c>
      <c r="L165">
        <v>58.682000000000002</v>
      </c>
      <c r="M165">
        <v>33.347000000000001</v>
      </c>
      <c r="N165">
        <v>40.744</v>
      </c>
      <c r="O165">
        <v>37.51</v>
      </c>
      <c r="P165">
        <v>45.588999999999999</v>
      </c>
      <c r="Q165">
        <v>34.588999999999999</v>
      </c>
      <c r="R165">
        <v>42.731999999999999</v>
      </c>
      <c r="S165">
        <v>40.737000000000002</v>
      </c>
    </row>
    <row r="166" spans="1:19" x14ac:dyDescent="0.2">
      <c r="A166" s="6">
        <v>7.6</v>
      </c>
      <c r="B166">
        <v>40.146999999999998</v>
      </c>
      <c r="C166">
        <v>44.665999999999997</v>
      </c>
      <c r="D166">
        <v>37.500999999999998</v>
      </c>
      <c r="E166">
        <v>40.232999999999997</v>
      </c>
      <c r="F166">
        <v>45.411999999999999</v>
      </c>
      <c r="G166">
        <v>60.768999999999998</v>
      </c>
      <c r="H166">
        <v>60.332000000000001</v>
      </c>
      <c r="I166">
        <v>68.534999999999997</v>
      </c>
      <c r="J166">
        <v>56.933</v>
      </c>
      <c r="K166">
        <v>59.634999999999998</v>
      </c>
      <c r="L166">
        <v>58.484000000000002</v>
      </c>
      <c r="M166">
        <v>33.204999999999998</v>
      </c>
      <c r="N166">
        <v>40.695</v>
      </c>
      <c r="O166">
        <v>37.378</v>
      </c>
      <c r="P166">
        <v>45.537999999999997</v>
      </c>
      <c r="Q166">
        <v>34.533999999999999</v>
      </c>
      <c r="R166">
        <v>42.670999999999999</v>
      </c>
      <c r="S166">
        <v>40.872</v>
      </c>
    </row>
    <row r="167" spans="1:19" x14ac:dyDescent="0.2">
      <c r="A167" s="6">
        <v>7.6166666666666663</v>
      </c>
      <c r="B167">
        <v>39.843000000000004</v>
      </c>
      <c r="C167">
        <v>44.835999999999999</v>
      </c>
      <c r="D167">
        <v>37.383000000000003</v>
      </c>
      <c r="E167">
        <v>40.133000000000003</v>
      </c>
      <c r="F167">
        <v>45.182000000000002</v>
      </c>
      <c r="G167">
        <v>60.643000000000001</v>
      </c>
      <c r="H167">
        <v>60.128999999999998</v>
      </c>
      <c r="I167">
        <v>68.518000000000001</v>
      </c>
      <c r="J167">
        <v>56.844999999999999</v>
      </c>
      <c r="K167">
        <v>59.584000000000003</v>
      </c>
      <c r="L167">
        <v>58.491</v>
      </c>
      <c r="M167">
        <v>33.265999999999998</v>
      </c>
      <c r="N167">
        <v>40.683999999999997</v>
      </c>
      <c r="O167">
        <v>37.326999999999998</v>
      </c>
      <c r="P167">
        <v>45.478000000000002</v>
      </c>
      <c r="Q167">
        <v>34.485999999999997</v>
      </c>
      <c r="R167">
        <v>42.633000000000003</v>
      </c>
      <c r="S167">
        <v>40.82</v>
      </c>
    </row>
    <row r="168" spans="1:19" x14ac:dyDescent="0.2">
      <c r="A168" s="6">
        <v>7.6333333333333337</v>
      </c>
      <c r="B168">
        <v>39.921999999999997</v>
      </c>
      <c r="C168">
        <v>44.828000000000003</v>
      </c>
      <c r="D168">
        <v>37.173000000000002</v>
      </c>
      <c r="E168">
        <v>40.08</v>
      </c>
      <c r="F168">
        <v>45.256</v>
      </c>
      <c r="G168">
        <v>60.622</v>
      </c>
      <c r="H168">
        <v>59.904000000000003</v>
      </c>
      <c r="I168">
        <v>68.445999999999998</v>
      </c>
      <c r="J168">
        <v>56.826999999999998</v>
      </c>
      <c r="K168">
        <v>59.570999999999998</v>
      </c>
      <c r="L168">
        <v>58.383000000000003</v>
      </c>
      <c r="M168">
        <v>33.180999999999997</v>
      </c>
      <c r="N168">
        <v>40.567</v>
      </c>
      <c r="O168">
        <v>37.258000000000003</v>
      </c>
      <c r="P168">
        <v>45.393999999999998</v>
      </c>
      <c r="Q168">
        <v>34.362000000000002</v>
      </c>
      <c r="R168">
        <v>42.570999999999998</v>
      </c>
      <c r="S168">
        <v>40.759</v>
      </c>
    </row>
    <row r="169" spans="1:19" x14ac:dyDescent="0.2">
      <c r="A169" s="6">
        <v>7.65</v>
      </c>
      <c r="B169">
        <v>39.898000000000003</v>
      </c>
      <c r="C169">
        <v>44.81</v>
      </c>
      <c r="D169">
        <v>37.259</v>
      </c>
      <c r="E169">
        <v>39.823</v>
      </c>
      <c r="F169">
        <v>45.152000000000001</v>
      </c>
      <c r="G169">
        <v>60.545999999999999</v>
      </c>
      <c r="H169">
        <v>59.877000000000002</v>
      </c>
      <c r="I169">
        <v>68.397000000000006</v>
      </c>
      <c r="J169">
        <v>56.741999999999997</v>
      </c>
      <c r="K169">
        <v>59.393000000000001</v>
      </c>
      <c r="L169">
        <v>58.35</v>
      </c>
      <c r="M169">
        <v>33.084000000000003</v>
      </c>
      <c r="N169">
        <v>40.573</v>
      </c>
      <c r="O169">
        <v>37.183</v>
      </c>
      <c r="P169">
        <v>45.353000000000002</v>
      </c>
      <c r="Q169">
        <v>34.204000000000001</v>
      </c>
      <c r="R169">
        <v>42.406999999999996</v>
      </c>
      <c r="S169">
        <v>40.594999999999999</v>
      </c>
    </row>
    <row r="170" spans="1:19" x14ac:dyDescent="0.2">
      <c r="A170" s="6">
        <v>7.666666666666667</v>
      </c>
      <c r="B170">
        <v>39.718000000000004</v>
      </c>
      <c r="C170">
        <v>44.750999999999998</v>
      </c>
      <c r="D170">
        <v>36.488999999999997</v>
      </c>
      <c r="E170">
        <v>39.731000000000002</v>
      </c>
      <c r="F170">
        <v>45.110999999999997</v>
      </c>
      <c r="G170">
        <v>60.448999999999998</v>
      </c>
      <c r="H170">
        <v>59.895000000000003</v>
      </c>
      <c r="I170">
        <v>68.352000000000004</v>
      </c>
      <c r="J170">
        <v>56.63</v>
      </c>
      <c r="K170">
        <v>59.347999999999999</v>
      </c>
      <c r="L170">
        <v>58.265999999999998</v>
      </c>
      <c r="M170">
        <v>32.959000000000003</v>
      </c>
      <c r="N170">
        <v>40.378999999999998</v>
      </c>
      <c r="O170">
        <v>37.069000000000003</v>
      </c>
      <c r="P170">
        <v>45.350999999999999</v>
      </c>
      <c r="Q170">
        <v>34.125999999999998</v>
      </c>
      <c r="R170">
        <v>42.398000000000003</v>
      </c>
      <c r="S170">
        <v>40.435000000000002</v>
      </c>
    </row>
    <row r="171" spans="1:19" x14ac:dyDescent="0.2">
      <c r="A171" s="6">
        <v>7.6833333333333336</v>
      </c>
      <c r="B171">
        <v>39.701999999999998</v>
      </c>
      <c r="C171">
        <v>44.65</v>
      </c>
      <c r="D171">
        <v>37.036000000000001</v>
      </c>
      <c r="E171">
        <v>39.716999999999999</v>
      </c>
      <c r="F171">
        <v>45.067999999999998</v>
      </c>
      <c r="G171">
        <v>60.264000000000003</v>
      </c>
      <c r="H171">
        <v>59.817999999999998</v>
      </c>
      <c r="I171">
        <v>68.284000000000006</v>
      </c>
      <c r="J171">
        <v>56.429000000000002</v>
      </c>
      <c r="K171">
        <v>59.281999999999996</v>
      </c>
      <c r="L171">
        <v>58.237000000000002</v>
      </c>
      <c r="M171">
        <v>32.914999999999999</v>
      </c>
      <c r="N171">
        <v>40.302999999999997</v>
      </c>
      <c r="O171">
        <v>36.915999999999997</v>
      </c>
      <c r="P171">
        <v>45.192</v>
      </c>
      <c r="Q171">
        <v>33.957000000000001</v>
      </c>
      <c r="R171">
        <v>42.271000000000001</v>
      </c>
      <c r="S171">
        <v>40.334000000000003</v>
      </c>
    </row>
    <row r="172" spans="1:19" x14ac:dyDescent="0.2">
      <c r="A172" s="6">
        <v>7.7</v>
      </c>
      <c r="B172">
        <v>39.548000000000002</v>
      </c>
      <c r="C172">
        <v>44.600999999999999</v>
      </c>
      <c r="D172">
        <v>36.984000000000002</v>
      </c>
      <c r="E172">
        <v>39.709000000000003</v>
      </c>
      <c r="F172">
        <v>45.03</v>
      </c>
      <c r="G172">
        <v>60.212000000000003</v>
      </c>
      <c r="H172">
        <v>59.869</v>
      </c>
      <c r="I172">
        <v>68.231999999999999</v>
      </c>
      <c r="J172">
        <v>56.476999999999997</v>
      </c>
      <c r="K172">
        <v>59.28</v>
      </c>
      <c r="L172">
        <v>58.226999999999997</v>
      </c>
      <c r="M172">
        <v>32.872999999999998</v>
      </c>
      <c r="N172">
        <v>40.276000000000003</v>
      </c>
      <c r="O172">
        <v>36.905999999999999</v>
      </c>
      <c r="P172">
        <v>45.161999999999999</v>
      </c>
      <c r="Q172">
        <v>33.936999999999998</v>
      </c>
      <c r="R172">
        <v>42.140999999999998</v>
      </c>
      <c r="S172">
        <v>40.414000000000001</v>
      </c>
    </row>
    <row r="173" spans="1:19" x14ac:dyDescent="0.2">
      <c r="A173" s="6">
        <v>7.7166666666666668</v>
      </c>
      <c r="B173">
        <v>39.509</v>
      </c>
      <c r="C173">
        <v>44.579000000000001</v>
      </c>
      <c r="D173">
        <v>36.956000000000003</v>
      </c>
      <c r="E173">
        <v>39.56</v>
      </c>
      <c r="F173">
        <v>45</v>
      </c>
      <c r="G173">
        <v>60.277000000000001</v>
      </c>
      <c r="H173">
        <v>59.658000000000001</v>
      </c>
      <c r="I173">
        <v>68.209000000000003</v>
      </c>
      <c r="J173">
        <v>56.402000000000001</v>
      </c>
      <c r="K173">
        <v>59.183999999999997</v>
      </c>
      <c r="L173">
        <v>58.154000000000003</v>
      </c>
      <c r="M173">
        <v>32.729999999999997</v>
      </c>
      <c r="N173">
        <v>40.235999999999997</v>
      </c>
      <c r="O173">
        <v>36.780999999999999</v>
      </c>
      <c r="P173">
        <v>44.984999999999999</v>
      </c>
      <c r="Q173">
        <v>33.899000000000001</v>
      </c>
      <c r="R173">
        <v>42.085999999999999</v>
      </c>
      <c r="S173">
        <v>40.164999999999999</v>
      </c>
    </row>
    <row r="174" spans="1:19" x14ac:dyDescent="0.2">
      <c r="A174" s="6">
        <v>7.7333333333333334</v>
      </c>
      <c r="B174">
        <v>39.399000000000001</v>
      </c>
      <c r="C174">
        <v>44.521000000000001</v>
      </c>
      <c r="D174">
        <v>36.883000000000003</v>
      </c>
      <c r="E174">
        <v>39.506999999999998</v>
      </c>
      <c r="F174">
        <v>44.945</v>
      </c>
      <c r="G174">
        <v>60.13</v>
      </c>
      <c r="H174">
        <v>59.637</v>
      </c>
      <c r="I174">
        <v>68.203999999999994</v>
      </c>
      <c r="J174">
        <v>56.218000000000004</v>
      </c>
      <c r="K174">
        <v>59.042000000000002</v>
      </c>
      <c r="L174">
        <v>57.984999999999999</v>
      </c>
      <c r="M174">
        <v>32.622999999999998</v>
      </c>
      <c r="N174">
        <v>40.048000000000002</v>
      </c>
      <c r="O174">
        <v>36.734999999999999</v>
      </c>
      <c r="P174">
        <v>44.972999999999999</v>
      </c>
      <c r="Q174">
        <v>33.747</v>
      </c>
      <c r="R174">
        <v>42.063000000000002</v>
      </c>
      <c r="S174">
        <v>40.289000000000001</v>
      </c>
    </row>
    <row r="175" spans="1:19" x14ac:dyDescent="0.2">
      <c r="A175" s="6">
        <v>7.75</v>
      </c>
      <c r="B175">
        <v>39.274999999999999</v>
      </c>
      <c r="C175">
        <v>44.470999999999997</v>
      </c>
      <c r="D175">
        <v>36.85</v>
      </c>
      <c r="E175">
        <v>39.520000000000003</v>
      </c>
      <c r="F175">
        <v>44.805999999999997</v>
      </c>
      <c r="G175">
        <v>60.043999999999997</v>
      </c>
      <c r="H175">
        <v>59.588000000000001</v>
      </c>
      <c r="I175">
        <v>68.134</v>
      </c>
      <c r="J175">
        <v>56.19</v>
      </c>
      <c r="K175">
        <v>59.052</v>
      </c>
      <c r="L175">
        <v>57.871000000000002</v>
      </c>
      <c r="M175">
        <v>32.534999999999997</v>
      </c>
      <c r="N175">
        <v>40.018000000000001</v>
      </c>
      <c r="O175">
        <v>36.619999999999997</v>
      </c>
      <c r="P175">
        <v>44.938000000000002</v>
      </c>
      <c r="Q175">
        <v>33.658999999999999</v>
      </c>
      <c r="R175">
        <v>41.936999999999998</v>
      </c>
      <c r="S175">
        <v>40.143999999999998</v>
      </c>
    </row>
    <row r="176" spans="1:19" x14ac:dyDescent="0.2">
      <c r="A176" s="6">
        <v>7.7666666666666666</v>
      </c>
      <c r="B176">
        <v>39.195999999999998</v>
      </c>
      <c r="C176">
        <v>44.456000000000003</v>
      </c>
      <c r="D176">
        <v>36.784999999999997</v>
      </c>
      <c r="E176">
        <v>39.476999999999997</v>
      </c>
      <c r="F176">
        <v>44.844000000000001</v>
      </c>
      <c r="G176">
        <v>59.96</v>
      </c>
      <c r="H176">
        <v>59.51</v>
      </c>
      <c r="I176">
        <v>68.042000000000002</v>
      </c>
      <c r="J176">
        <v>56.216999999999999</v>
      </c>
      <c r="K176">
        <v>58.859000000000002</v>
      </c>
      <c r="L176">
        <v>57.807000000000002</v>
      </c>
      <c r="M176">
        <v>32.357999999999997</v>
      </c>
      <c r="N176">
        <v>39.886000000000003</v>
      </c>
      <c r="O176">
        <v>36.527999999999999</v>
      </c>
      <c r="P176">
        <v>44.881</v>
      </c>
      <c r="Q176">
        <v>33.604999999999997</v>
      </c>
      <c r="R176">
        <v>41.726999999999997</v>
      </c>
      <c r="S176">
        <v>40.000999999999998</v>
      </c>
    </row>
    <row r="177" spans="1:19" x14ac:dyDescent="0.2">
      <c r="A177" s="6">
        <v>7.7833333333333332</v>
      </c>
      <c r="B177">
        <v>38.994</v>
      </c>
      <c r="C177">
        <v>44.207000000000001</v>
      </c>
      <c r="D177">
        <v>36.765999999999998</v>
      </c>
      <c r="E177">
        <v>39.338000000000001</v>
      </c>
      <c r="F177">
        <v>44.813000000000002</v>
      </c>
      <c r="G177">
        <v>59.820999999999998</v>
      </c>
      <c r="H177">
        <v>59.298999999999999</v>
      </c>
      <c r="I177">
        <v>67.998000000000005</v>
      </c>
      <c r="J177">
        <v>56.1</v>
      </c>
      <c r="K177">
        <v>58.898000000000003</v>
      </c>
      <c r="L177">
        <v>57.823999999999998</v>
      </c>
      <c r="M177">
        <v>32.26</v>
      </c>
      <c r="N177">
        <v>39.79</v>
      </c>
      <c r="O177">
        <v>36.426000000000002</v>
      </c>
      <c r="P177">
        <v>44.79</v>
      </c>
      <c r="Q177">
        <v>33.502000000000002</v>
      </c>
      <c r="R177">
        <v>41.847999999999999</v>
      </c>
      <c r="S177">
        <v>39.911999999999999</v>
      </c>
    </row>
    <row r="178" spans="1:19" x14ac:dyDescent="0.2">
      <c r="A178" s="6">
        <v>7.8</v>
      </c>
      <c r="B178">
        <v>38.954999999999998</v>
      </c>
      <c r="C178">
        <v>44.244</v>
      </c>
      <c r="D178">
        <v>36.021999999999998</v>
      </c>
      <c r="E178">
        <v>38.927999999999997</v>
      </c>
      <c r="F178">
        <v>44.755000000000003</v>
      </c>
      <c r="G178">
        <v>59.694000000000003</v>
      </c>
      <c r="H178">
        <v>59.228999999999999</v>
      </c>
      <c r="I178">
        <v>67.975999999999999</v>
      </c>
      <c r="J178">
        <v>55.960999999999999</v>
      </c>
      <c r="K178">
        <v>58.826000000000001</v>
      </c>
      <c r="L178">
        <v>57.731999999999999</v>
      </c>
      <c r="M178">
        <v>32.264000000000003</v>
      </c>
      <c r="N178">
        <v>39.823</v>
      </c>
      <c r="O178">
        <v>36.338999999999999</v>
      </c>
      <c r="P178">
        <v>44.764000000000003</v>
      </c>
      <c r="Q178">
        <v>33.447000000000003</v>
      </c>
      <c r="R178">
        <v>41.768999999999998</v>
      </c>
      <c r="S178">
        <v>39.893000000000001</v>
      </c>
    </row>
    <row r="179" spans="1:19" x14ac:dyDescent="0.2">
      <c r="A179" s="6">
        <v>7.8166666666666664</v>
      </c>
      <c r="B179">
        <v>38.895000000000003</v>
      </c>
      <c r="C179">
        <v>44.036999999999999</v>
      </c>
      <c r="D179">
        <v>36.142000000000003</v>
      </c>
      <c r="E179">
        <v>38.982999999999997</v>
      </c>
      <c r="F179">
        <v>44.67</v>
      </c>
      <c r="G179">
        <v>59.564999999999998</v>
      </c>
      <c r="H179">
        <v>59.232999999999997</v>
      </c>
      <c r="I179">
        <v>67.887</v>
      </c>
      <c r="J179">
        <v>56.000999999999998</v>
      </c>
      <c r="K179">
        <v>58.787999999999997</v>
      </c>
      <c r="L179">
        <v>57.710999999999999</v>
      </c>
      <c r="M179">
        <v>32.183</v>
      </c>
      <c r="N179">
        <v>39.744</v>
      </c>
      <c r="O179">
        <v>36.280999999999999</v>
      </c>
      <c r="P179">
        <v>44.701999999999998</v>
      </c>
      <c r="Q179">
        <v>33.313000000000002</v>
      </c>
      <c r="R179">
        <v>41.741999999999997</v>
      </c>
      <c r="S179">
        <v>39.863</v>
      </c>
    </row>
    <row r="180" spans="1:19" x14ac:dyDescent="0.2">
      <c r="A180" s="6">
        <v>7.833333333333333</v>
      </c>
      <c r="B180">
        <v>38.844000000000001</v>
      </c>
      <c r="C180">
        <v>43.997</v>
      </c>
      <c r="D180">
        <v>36.131999999999998</v>
      </c>
      <c r="E180">
        <v>38.963999999999999</v>
      </c>
      <c r="F180">
        <v>44.570999999999998</v>
      </c>
      <c r="G180">
        <v>59.481999999999999</v>
      </c>
      <c r="H180">
        <v>59.174999999999997</v>
      </c>
      <c r="I180">
        <v>67.852999999999994</v>
      </c>
      <c r="J180">
        <v>55.921999999999997</v>
      </c>
      <c r="K180">
        <v>58.707000000000001</v>
      </c>
      <c r="L180">
        <v>57.64</v>
      </c>
      <c r="M180">
        <v>32.012</v>
      </c>
      <c r="N180">
        <v>39.738</v>
      </c>
      <c r="O180">
        <v>36.209000000000003</v>
      </c>
      <c r="P180">
        <v>44.625999999999998</v>
      </c>
      <c r="Q180">
        <v>33.213999999999999</v>
      </c>
      <c r="R180">
        <v>41.694000000000003</v>
      </c>
      <c r="S180">
        <v>39.780999999999999</v>
      </c>
    </row>
    <row r="181" spans="1:19" x14ac:dyDescent="0.2">
      <c r="A181" s="6">
        <v>7.85</v>
      </c>
      <c r="B181">
        <v>38.720999999999997</v>
      </c>
      <c r="C181">
        <v>43.826000000000001</v>
      </c>
      <c r="D181">
        <v>35.982999999999997</v>
      </c>
      <c r="E181">
        <v>38.939</v>
      </c>
      <c r="F181">
        <v>44.557000000000002</v>
      </c>
      <c r="G181">
        <v>59.454999999999998</v>
      </c>
      <c r="H181">
        <v>59.095999999999997</v>
      </c>
      <c r="I181">
        <v>67.843000000000004</v>
      </c>
      <c r="J181">
        <v>55.527000000000001</v>
      </c>
      <c r="K181">
        <v>58.524999999999999</v>
      </c>
      <c r="L181">
        <v>57.53</v>
      </c>
      <c r="M181">
        <v>31.986999999999998</v>
      </c>
      <c r="N181">
        <v>39.691000000000003</v>
      </c>
      <c r="O181">
        <v>36.08</v>
      </c>
      <c r="P181">
        <v>44.6</v>
      </c>
      <c r="Q181">
        <v>33.198999999999998</v>
      </c>
      <c r="R181">
        <v>41.576000000000001</v>
      </c>
      <c r="S181">
        <v>39.69</v>
      </c>
    </row>
    <row r="182" spans="1:19" x14ac:dyDescent="0.2">
      <c r="A182" s="6">
        <v>7.8666666666666663</v>
      </c>
      <c r="B182">
        <v>38.588000000000001</v>
      </c>
      <c r="C182">
        <v>43.743000000000002</v>
      </c>
      <c r="D182">
        <v>35.875</v>
      </c>
      <c r="E182">
        <v>38.853000000000002</v>
      </c>
      <c r="F182">
        <v>44.52</v>
      </c>
      <c r="G182">
        <v>59.456000000000003</v>
      </c>
      <c r="H182">
        <v>59.058</v>
      </c>
      <c r="I182">
        <v>67.759</v>
      </c>
      <c r="J182">
        <v>55.758000000000003</v>
      </c>
      <c r="K182">
        <v>58.534999999999997</v>
      </c>
      <c r="L182">
        <v>57.439</v>
      </c>
      <c r="M182">
        <v>31.943999999999999</v>
      </c>
      <c r="N182">
        <v>39.652000000000001</v>
      </c>
      <c r="O182">
        <v>35.893000000000001</v>
      </c>
      <c r="P182">
        <v>44.48</v>
      </c>
      <c r="Q182">
        <v>33.18</v>
      </c>
      <c r="R182">
        <v>41.548999999999999</v>
      </c>
      <c r="S182">
        <v>39.64</v>
      </c>
    </row>
    <row r="183" spans="1:19" x14ac:dyDescent="0.2">
      <c r="A183" s="6">
        <v>7.8833333333333337</v>
      </c>
      <c r="B183">
        <v>38.491999999999997</v>
      </c>
      <c r="C183">
        <v>43.72</v>
      </c>
      <c r="D183">
        <v>35.951000000000001</v>
      </c>
      <c r="E183">
        <v>38.808999999999997</v>
      </c>
      <c r="F183">
        <v>44.290999999999997</v>
      </c>
      <c r="G183">
        <v>59.238</v>
      </c>
      <c r="H183">
        <v>58.927</v>
      </c>
      <c r="I183">
        <v>67.727000000000004</v>
      </c>
      <c r="J183">
        <v>55.786999999999999</v>
      </c>
      <c r="K183">
        <v>58.494</v>
      </c>
      <c r="L183">
        <v>57.33</v>
      </c>
      <c r="M183">
        <v>31.824999999999999</v>
      </c>
      <c r="N183">
        <v>39.554000000000002</v>
      </c>
      <c r="O183">
        <v>35.929000000000002</v>
      </c>
      <c r="P183">
        <v>44.444000000000003</v>
      </c>
      <c r="Q183">
        <v>33.100999999999999</v>
      </c>
      <c r="R183">
        <v>41.448999999999998</v>
      </c>
      <c r="S183">
        <v>39.587000000000003</v>
      </c>
    </row>
    <row r="184" spans="1:19" x14ac:dyDescent="0.2">
      <c r="A184" s="6">
        <v>7.9</v>
      </c>
      <c r="B184">
        <v>38.356999999999999</v>
      </c>
      <c r="C184">
        <v>43.695999999999998</v>
      </c>
      <c r="D184">
        <v>35.923000000000002</v>
      </c>
      <c r="E184">
        <v>38.716999999999999</v>
      </c>
      <c r="F184">
        <v>44.365000000000002</v>
      </c>
      <c r="G184">
        <v>59.085999999999999</v>
      </c>
      <c r="H184">
        <v>58.911000000000001</v>
      </c>
      <c r="I184">
        <v>67.682000000000002</v>
      </c>
      <c r="J184">
        <v>55.494</v>
      </c>
      <c r="K184">
        <v>58.439</v>
      </c>
      <c r="L184">
        <v>57.284999999999997</v>
      </c>
      <c r="M184">
        <v>31.78</v>
      </c>
      <c r="N184">
        <v>39.542999999999999</v>
      </c>
      <c r="O184">
        <v>35.828000000000003</v>
      </c>
      <c r="P184">
        <v>44.362000000000002</v>
      </c>
      <c r="Q184">
        <v>33.054000000000002</v>
      </c>
      <c r="R184">
        <v>41.362000000000002</v>
      </c>
      <c r="S184">
        <v>39.393000000000001</v>
      </c>
    </row>
    <row r="185" spans="1:19" x14ac:dyDescent="0.2">
      <c r="A185" s="6">
        <v>7.916666666666667</v>
      </c>
      <c r="B185">
        <v>38.304000000000002</v>
      </c>
      <c r="C185">
        <v>43.668999999999997</v>
      </c>
      <c r="D185">
        <v>35.866</v>
      </c>
      <c r="E185">
        <v>38.680999999999997</v>
      </c>
      <c r="F185">
        <v>43.469000000000001</v>
      </c>
      <c r="G185">
        <v>59.143999999999998</v>
      </c>
      <c r="H185">
        <v>58.557000000000002</v>
      </c>
      <c r="I185">
        <v>67.58</v>
      </c>
      <c r="J185">
        <v>55.609000000000002</v>
      </c>
      <c r="K185">
        <v>58.325000000000003</v>
      </c>
      <c r="L185">
        <v>57.085999999999999</v>
      </c>
      <c r="M185">
        <v>31.632999999999999</v>
      </c>
      <c r="N185">
        <v>39.430999999999997</v>
      </c>
      <c r="O185">
        <v>35.762</v>
      </c>
      <c r="P185">
        <v>44.27</v>
      </c>
      <c r="Q185">
        <v>32.991999999999997</v>
      </c>
      <c r="R185">
        <v>41.286000000000001</v>
      </c>
      <c r="S185">
        <v>39.177999999999997</v>
      </c>
    </row>
    <row r="186" spans="1:19" x14ac:dyDescent="0.2">
      <c r="A186" s="6">
        <v>7.9333333333333336</v>
      </c>
      <c r="B186">
        <v>38.216999999999999</v>
      </c>
      <c r="C186">
        <v>43.624000000000002</v>
      </c>
      <c r="D186">
        <v>35.807000000000002</v>
      </c>
      <c r="E186">
        <v>38.417999999999999</v>
      </c>
      <c r="F186">
        <v>43.886000000000003</v>
      </c>
      <c r="G186">
        <v>59.088999999999999</v>
      </c>
      <c r="H186">
        <v>58.67</v>
      </c>
      <c r="I186">
        <v>67.495999999999995</v>
      </c>
      <c r="J186">
        <v>55.575000000000003</v>
      </c>
      <c r="K186">
        <v>58.279000000000003</v>
      </c>
      <c r="L186">
        <v>57.006</v>
      </c>
      <c r="M186">
        <v>31.611000000000001</v>
      </c>
      <c r="N186">
        <v>39.252000000000002</v>
      </c>
      <c r="O186">
        <v>35.76</v>
      </c>
      <c r="P186">
        <v>44.216000000000001</v>
      </c>
      <c r="Q186">
        <v>32.863</v>
      </c>
      <c r="R186">
        <v>41.283999999999999</v>
      </c>
      <c r="S186">
        <v>39.177</v>
      </c>
    </row>
    <row r="187" spans="1:19" x14ac:dyDescent="0.2">
      <c r="A187" s="6">
        <v>7.95</v>
      </c>
      <c r="B187">
        <v>38.079000000000001</v>
      </c>
      <c r="C187">
        <v>43.558</v>
      </c>
      <c r="D187">
        <v>34.856000000000002</v>
      </c>
      <c r="E187">
        <v>38.454999999999998</v>
      </c>
      <c r="F187">
        <v>43.848999999999997</v>
      </c>
      <c r="G187">
        <v>59.103000000000002</v>
      </c>
      <c r="H187">
        <v>58.466000000000001</v>
      </c>
      <c r="I187">
        <v>67.486999999999995</v>
      </c>
      <c r="J187">
        <v>55.1</v>
      </c>
      <c r="K187">
        <v>58.168999999999997</v>
      </c>
      <c r="L187">
        <v>56.954000000000001</v>
      </c>
      <c r="M187">
        <v>31.359000000000002</v>
      </c>
      <c r="N187">
        <v>39.109000000000002</v>
      </c>
      <c r="O187">
        <v>35.701000000000001</v>
      </c>
      <c r="P187">
        <v>44.188000000000002</v>
      </c>
      <c r="Q187">
        <v>32.723999999999997</v>
      </c>
      <c r="R187">
        <v>41.204999999999998</v>
      </c>
      <c r="S187">
        <v>38.981000000000002</v>
      </c>
    </row>
    <row r="188" spans="1:19" x14ac:dyDescent="0.2">
      <c r="A188" s="6">
        <v>7.9666666666666668</v>
      </c>
      <c r="B188">
        <v>38.054000000000002</v>
      </c>
      <c r="C188">
        <v>43.570999999999998</v>
      </c>
      <c r="D188">
        <v>35.61</v>
      </c>
      <c r="E188">
        <v>38.246000000000002</v>
      </c>
      <c r="F188">
        <v>43.817</v>
      </c>
      <c r="G188">
        <v>59.002000000000002</v>
      </c>
      <c r="H188">
        <v>58.631</v>
      </c>
      <c r="I188">
        <v>67.406000000000006</v>
      </c>
      <c r="J188">
        <v>55.392000000000003</v>
      </c>
      <c r="K188">
        <v>58.134</v>
      </c>
      <c r="L188">
        <v>56.924999999999997</v>
      </c>
      <c r="M188">
        <v>31.425000000000001</v>
      </c>
      <c r="N188">
        <v>39.116</v>
      </c>
      <c r="O188">
        <v>35.631999999999998</v>
      </c>
      <c r="P188">
        <v>44.131</v>
      </c>
      <c r="Q188">
        <v>32.491</v>
      </c>
      <c r="R188">
        <v>41.119</v>
      </c>
      <c r="S188">
        <v>38.912999999999997</v>
      </c>
    </row>
    <row r="189" spans="1:19" x14ac:dyDescent="0.2">
      <c r="A189" s="6">
        <v>7.9833333333333334</v>
      </c>
      <c r="B189">
        <v>37.963999999999999</v>
      </c>
      <c r="C189">
        <v>43.441000000000003</v>
      </c>
      <c r="D189">
        <v>35.557000000000002</v>
      </c>
      <c r="E189">
        <v>38.271000000000001</v>
      </c>
      <c r="F189">
        <v>43.780999999999999</v>
      </c>
      <c r="G189">
        <v>58.956000000000003</v>
      </c>
      <c r="H189">
        <v>58.564</v>
      </c>
      <c r="I189">
        <v>67.341999999999999</v>
      </c>
      <c r="J189">
        <v>55.279000000000003</v>
      </c>
      <c r="K189">
        <v>58.05</v>
      </c>
      <c r="L189">
        <v>56.857999999999997</v>
      </c>
      <c r="M189">
        <v>31.231000000000002</v>
      </c>
      <c r="N189">
        <v>39.085999999999999</v>
      </c>
      <c r="O189">
        <v>35.375999999999998</v>
      </c>
      <c r="P189">
        <v>43.994999999999997</v>
      </c>
      <c r="Q189">
        <v>32.551000000000002</v>
      </c>
      <c r="R189">
        <v>41.018999999999998</v>
      </c>
      <c r="S189">
        <v>39.045999999999999</v>
      </c>
    </row>
    <row r="190" spans="1:19" x14ac:dyDescent="0.2">
      <c r="A190" s="6">
        <v>8</v>
      </c>
      <c r="B190">
        <v>37.896999999999998</v>
      </c>
      <c r="C190">
        <v>43.228999999999999</v>
      </c>
      <c r="D190">
        <v>35.526000000000003</v>
      </c>
      <c r="E190">
        <v>37.845999999999997</v>
      </c>
      <c r="F190">
        <v>43.753999999999998</v>
      </c>
      <c r="G190">
        <v>58.942</v>
      </c>
      <c r="H190">
        <v>58.4</v>
      </c>
      <c r="I190">
        <v>67.263000000000005</v>
      </c>
      <c r="J190">
        <v>55.149000000000001</v>
      </c>
      <c r="K190">
        <v>57.917000000000002</v>
      </c>
      <c r="L190">
        <v>56.646999999999998</v>
      </c>
      <c r="M190">
        <v>31.236999999999998</v>
      </c>
      <c r="N190">
        <v>38.969000000000001</v>
      </c>
      <c r="O190">
        <v>35.292999999999999</v>
      </c>
      <c r="P190">
        <v>43.773000000000003</v>
      </c>
      <c r="Q190">
        <v>32.481999999999999</v>
      </c>
      <c r="R190">
        <v>40.942999999999998</v>
      </c>
      <c r="S190">
        <v>38.844000000000001</v>
      </c>
    </row>
    <row r="191" spans="1:19" x14ac:dyDescent="0.2">
      <c r="A191" s="6">
        <v>8.0166666666666675</v>
      </c>
      <c r="B191">
        <v>37.771999999999998</v>
      </c>
      <c r="C191">
        <v>43.104999999999997</v>
      </c>
      <c r="D191">
        <v>34.984000000000002</v>
      </c>
      <c r="E191">
        <v>38.052999999999997</v>
      </c>
      <c r="F191">
        <v>43.746000000000002</v>
      </c>
      <c r="G191">
        <v>58.898000000000003</v>
      </c>
      <c r="H191">
        <v>58.383000000000003</v>
      </c>
      <c r="I191">
        <v>67.254999999999995</v>
      </c>
      <c r="J191">
        <v>54.966999999999999</v>
      </c>
      <c r="K191">
        <v>57.77</v>
      </c>
      <c r="L191">
        <v>56.585000000000001</v>
      </c>
      <c r="M191">
        <v>31.135999999999999</v>
      </c>
      <c r="N191">
        <v>38.834000000000003</v>
      </c>
      <c r="O191">
        <v>35.247999999999998</v>
      </c>
      <c r="P191">
        <v>43.822000000000003</v>
      </c>
      <c r="Q191">
        <v>32.359000000000002</v>
      </c>
      <c r="R191">
        <v>40.898000000000003</v>
      </c>
      <c r="S191">
        <v>38.732999999999997</v>
      </c>
    </row>
    <row r="192" spans="1:19" x14ac:dyDescent="0.2">
      <c r="A192" s="6">
        <v>8.0333333333333332</v>
      </c>
      <c r="B192">
        <v>37.643999999999998</v>
      </c>
      <c r="C192">
        <v>43.072000000000003</v>
      </c>
      <c r="D192">
        <v>35.189</v>
      </c>
      <c r="E192">
        <v>37.963999999999999</v>
      </c>
      <c r="F192">
        <v>43.688000000000002</v>
      </c>
      <c r="G192">
        <v>58.732999999999997</v>
      </c>
      <c r="H192">
        <v>58.273000000000003</v>
      </c>
      <c r="I192">
        <v>67.204999999999998</v>
      </c>
      <c r="J192">
        <v>54.884</v>
      </c>
      <c r="K192">
        <v>57.847999999999999</v>
      </c>
      <c r="L192">
        <v>56.542999999999999</v>
      </c>
      <c r="M192">
        <v>30.998999999999999</v>
      </c>
      <c r="N192">
        <v>38.811</v>
      </c>
      <c r="O192">
        <v>35.231999999999999</v>
      </c>
      <c r="P192">
        <v>43.777999999999999</v>
      </c>
      <c r="Q192">
        <v>32.33</v>
      </c>
      <c r="R192">
        <v>40.844999999999999</v>
      </c>
      <c r="S192">
        <v>38.691000000000003</v>
      </c>
    </row>
    <row r="193" spans="1:19" x14ac:dyDescent="0.2">
      <c r="A193" s="6">
        <v>8.0500000000000007</v>
      </c>
      <c r="B193">
        <v>37.549999999999997</v>
      </c>
      <c r="C193">
        <v>43.024000000000001</v>
      </c>
      <c r="D193">
        <v>34.186</v>
      </c>
      <c r="E193">
        <v>38.003</v>
      </c>
      <c r="F193">
        <v>43.173999999999999</v>
      </c>
      <c r="G193">
        <v>58.73</v>
      </c>
      <c r="H193">
        <v>58.249000000000002</v>
      </c>
      <c r="I193">
        <v>67.171999999999997</v>
      </c>
      <c r="J193">
        <v>54.95</v>
      </c>
      <c r="K193">
        <v>57.777000000000001</v>
      </c>
      <c r="L193">
        <v>56.499000000000002</v>
      </c>
      <c r="M193">
        <v>30.933</v>
      </c>
      <c r="N193">
        <v>38.746000000000002</v>
      </c>
      <c r="O193">
        <v>35.100999999999999</v>
      </c>
      <c r="P193">
        <v>43.741</v>
      </c>
      <c r="Q193">
        <v>32.287999999999997</v>
      </c>
      <c r="R193">
        <v>40.716999999999999</v>
      </c>
      <c r="S193">
        <v>38.609000000000002</v>
      </c>
    </row>
    <row r="194" spans="1:19" x14ac:dyDescent="0.2">
      <c r="A194" s="6">
        <v>8.0666666666666664</v>
      </c>
      <c r="B194">
        <v>37.445999999999998</v>
      </c>
      <c r="C194">
        <v>42.848999999999997</v>
      </c>
      <c r="D194">
        <v>34.819000000000003</v>
      </c>
      <c r="E194">
        <v>37.744999999999997</v>
      </c>
      <c r="F194">
        <v>43.534999999999997</v>
      </c>
      <c r="G194">
        <v>58.67</v>
      </c>
      <c r="H194">
        <v>58.155000000000001</v>
      </c>
      <c r="I194">
        <v>67.064999999999998</v>
      </c>
      <c r="J194">
        <v>54.856999999999999</v>
      </c>
      <c r="K194">
        <v>57.728000000000002</v>
      </c>
      <c r="L194">
        <v>56.47</v>
      </c>
      <c r="M194">
        <v>30.86</v>
      </c>
      <c r="N194">
        <v>38.67</v>
      </c>
      <c r="O194">
        <v>35.031999999999996</v>
      </c>
      <c r="P194">
        <v>43.654000000000003</v>
      </c>
      <c r="Q194">
        <v>32.206000000000003</v>
      </c>
      <c r="R194">
        <v>40.715000000000003</v>
      </c>
      <c r="S194">
        <v>38.454000000000001</v>
      </c>
    </row>
    <row r="195" spans="1:19" x14ac:dyDescent="0.2">
      <c r="A195" s="6">
        <v>8.0833333333333339</v>
      </c>
      <c r="B195">
        <v>37.375999999999998</v>
      </c>
      <c r="C195">
        <v>42.7</v>
      </c>
      <c r="D195">
        <v>34.576999999999998</v>
      </c>
      <c r="E195">
        <v>37.743000000000002</v>
      </c>
      <c r="F195">
        <v>43.42</v>
      </c>
      <c r="G195">
        <v>58.53</v>
      </c>
      <c r="H195">
        <v>57.786999999999999</v>
      </c>
      <c r="I195">
        <v>67.067999999999998</v>
      </c>
      <c r="J195">
        <v>54.804000000000002</v>
      </c>
      <c r="K195">
        <v>57.652999999999999</v>
      </c>
      <c r="L195">
        <v>56.411000000000001</v>
      </c>
      <c r="M195">
        <v>30.808</v>
      </c>
      <c r="N195">
        <v>38.667000000000002</v>
      </c>
      <c r="O195">
        <v>34.930999999999997</v>
      </c>
      <c r="P195">
        <v>43.6</v>
      </c>
      <c r="Q195">
        <v>32.098999999999997</v>
      </c>
      <c r="R195">
        <v>40.593000000000004</v>
      </c>
      <c r="S195">
        <v>38.378</v>
      </c>
    </row>
    <row r="196" spans="1:19" x14ac:dyDescent="0.2">
      <c r="A196" s="6">
        <v>8.1</v>
      </c>
      <c r="B196">
        <v>37.347000000000001</v>
      </c>
      <c r="C196">
        <v>42.685000000000002</v>
      </c>
      <c r="D196">
        <v>34.54</v>
      </c>
      <c r="E196">
        <v>37.750999999999998</v>
      </c>
      <c r="F196">
        <v>43.351999999999997</v>
      </c>
      <c r="G196">
        <v>58.48</v>
      </c>
      <c r="H196">
        <v>57.780999999999999</v>
      </c>
      <c r="I196">
        <v>66.984999999999999</v>
      </c>
      <c r="J196">
        <v>54.662999999999997</v>
      </c>
      <c r="K196">
        <v>57.494</v>
      </c>
      <c r="L196">
        <v>56.332999999999998</v>
      </c>
      <c r="M196">
        <v>30.73</v>
      </c>
      <c r="N196">
        <v>38.573999999999998</v>
      </c>
      <c r="O196">
        <v>34.878999999999998</v>
      </c>
      <c r="P196">
        <v>43.558999999999997</v>
      </c>
      <c r="Q196">
        <v>31.972000000000001</v>
      </c>
      <c r="R196">
        <v>40.468000000000004</v>
      </c>
      <c r="S196">
        <v>38.438000000000002</v>
      </c>
    </row>
    <row r="197" spans="1:19" x14ac:dyDescent="0.2">
      <c r="A197" s="6">
        <v>8.1166666666666671</v>
      </c>
      <c r="B197">
        <v>37.222000000000001</v>
      </c>
      <c r="C197">
        <v>42.616999999999997</v>
      </c>
      <c r="D197">
        <v>34.215000000000003</v>
      </c>
      <c r="E197">
        <v>37.637</v>
      </c>
      <c r="F197">
        <v>43.351999999999997</v>
      </c>
      <c r="G197">
        <v>58.466999999999999</v>
      </c>
      <c r="H197">
        <v>57.795999999999999</v>
      </c>
      <c r="I197">
        <v>66.935000000000002</v>
      </c>
      <c r="J197">
        <v>54.561</v>
      </c>
      <c r="K197">
        <v>57.496000000000002</v>
      </c>
      <c r="L197">
        <v>56.26</v>
      </c>
      <c r="M197">
        <v>30.574999999999999</v>
      </c>
      <c r="N197">
        <v>38.402000000000001</v>
      </c>
      <c r="O197">
        <v>34.832000000000001</v>
      </c>
      <c r="P197">
        <v>43.426000000000002</v>
      </c>
      <c r="Q197">
        <v>31.843</v>
      </c>
      <c r="R197">
        <v>40.375</v>
      </c>
      <c r="S197">
        <v>38.296999999999997</v>
      </c>
    </row>
    <row r="198" spans="1:19" x14ac:dyDescent="0.2">
      <c r="A198" s="6">
        <v>8.1333333333333329</v>
      </c>
      <c r="B198">
        <v>37.107999999999997</v>
      </c>
      <c r="C198">
        <v>42.588999999999999</v>
      </c>
      <c r="D198">
        <v>34.469000000000001</v>
      </c>
      <c r="E198">
        <v>37.524000000000001</v>
      </c>
      <c r="F198">
        <v>43.347999999999999</v>
      </c>
      <c r="G198">
        <v>58.372</v>
      </c>
      <c r="H198">
        <v>57.923000000000002</v>
      </c>
      <c r="I198">
        <v>66.893000000000001</v>
      </c>
      <c r="J198">
        <v>54.576000000000001</v>
      </c>
      <c r="K198">
        <v>57.414000000000001</v>
      </c>
      <c r="L198">
        <v>56.247999999999998</v>
      </c>
      <c r="M198">
        <v>30.567</v>
      </c>
      <c r="N198">
        <v>38.347000000000001</v>
      </c>
      <c r="O198">
        <v>34.735999999999997</v>
      </c>
      <c r="P198">
        <v>43.4</v>
      </c>
      <c r="Q198">
        <v>31.713999999999999</v>
      </c>
      <c r="R198">
        <v>40.374000000000002</v>
      </c>
      <c r="S198">
        <v>38.200000000000003</v>
      </c>
    </row>
    <row r="199" spans="1:19" x14ac:dyDescent="0.2">
      <c r="A199" s="6">
        <v>8.15</v>
      </c>
      <c r="B199">
        <v>37.005000000000003</v>
      </c>
      <c r="C199">
        <v>42.534999999999997</v>
      </c>
      <c r="D199">
        <v>34.4</v>
      </c>
      <c r="E199">
        <v>37.517000000000003</v>
      </c>
      <c r="F199">
        <v>43.295000000000002</v>
      </c>
      <c r="G199">
        <v>58.365000000000002</v>
      </c>
      <c r="H199">
        <v>57.875999999999998</v>
      </c>
      <c r="I199">
        <v>66.840999999999994</v>
      </c>
      <c r="J199">
        <v>54.386000000000003</v>
      </c>
      <c r="K199">
        <v>57.338000000000001</v>
      </c>
      <c r="L199">
        <v>56.232999999999997</v>
      </c>
      <c r="M199">
        <v>30.396000000000001</v>
      </c>
      <c r="N199">
        <v>38.222000000000001</v>
      </c>
      <c r="O199">
        <v>34.625999999999998</v>
      </c>
      <c r="P199">
        <v>43.369</v>
      </c>
      <c r="Q199">
        <v>31.672999999999998</v>
      </c>
      <c r="R199">
        <v>40.15</v>
      </c>
      <c r="S199">
        <v>38.167000000000002</v>
      </c>
    </row>
    <row r="200" spans="1:19" x14ac:dyDescent="0.2">
      <c r="A200" s="6">
        <v>8.1666666666666661</v>
      </c>
      <c r="B200">
        <v>36.950000000000003</v>
      </c>
      <c r="C200">
        <v>42.515999999999998</v>
      </c>
      <c r="D200">
        <v>34.387999999999998</v>
      </c>
      <c r="E200">
        <v>37.402999999999999</v>
      </c>
      <c r="F200">
        <v>43.279000000000003</v>
      </c>
      <c r="G200">
        <v>58.220999999999997</v>
      </c>
      <c r="H200">
        <v>57.816000000000003</v>
      </c>
      <c r="I200">
        <v>66.861999999999995</v>
      </c>
      <c r="J200">
        <v>54.420999999999999</v>
      </c>
      <c r="K200">
        <v>57.238999999999997</v>
      </c>
      <c r="L200">
        <v>56.15</v>
      </c>
      <c r="M200">
        <v>30.38</v>
      </c>
      <c r="N200">
        <v>38.164999999999999</v>
      </c>
      <c r="O200">
        <v>34.384999999999998</v>
      </c>
      <c r="P200">
        <v>43.274000000000001</v>
      </c>
      <c r="Q200">
        <v>31.620999999999999</v>
      </c>
      <c r="R200">
        <v>40.206000000000003</v>
      </c>
      <c r="S200">
        <v>38.237000000000002</v>
      </c>
    </row>
    <row r="201" spans="1:19" x14ac:dyDescent="0.2">
      <c r="A201" s="6">
        <v>8.1833333333333336</v>
      </c>
      <c r="B201">
        <v>36.854999999999997</v>
      </c>
      <c r="C201">
        <v>42.488999999999997</v>
      </c>
      <c r="D201">
        <v>34.307000000000002</v>
      </c>
      <c r="E201">
        <v>37.220999999999997</v>
      </c>
      <c r="F201">
        <v>43.244</v>
      </c>
      <c r="G201">
        <v>58.186</v>
      </c>
      <c r="H201">
        <v>57.738999999999997</v>
      </c>
      <c r="I201">
        <v>66.798000000000002</v>
      </c>
      <c r="J201">
        <v>54.186999999999998</v>
      </c>
      <c r="K201">
        <v>57.09</v>
      </c>
      <c r="L201">
        <v>56.125999999999998</v>
      </c>
      <c r="M201">
        <v>30.282</v>
      </c>
      <c r="N201">
        <v>38.107999999999997</v>
      </c>
      <c r="O201">
        <v>34.378</v>
      </c>
      <c r="P201">
        <v>43.23</v>
      </c>
      <c r="Q201">
        <v>31.504000000000001</v>
      </c>
      <c r="R201">
        <v>40.186</v>
      </c>
      <c r="S201">
        <v>38.000999999999998</v>
      </c>
    </row>
    <row r="202" spans="1:19" x14ac:dyDescent="0.2">
      <c r="A202" s="6">
        <v>8.1999999999999993</v>
      </c>
      <c r="B202">
        <v>36.749000000000002</v>
      </c>
      <c r="C202">
        <v>42.451999999999998</v>
      </c>
      <c r="D202">
        <v>34.244</v>
      </c>
      <c r="E202">
        <v>37.201999999999998</v>
      </c>
      <c r="F202">
        <v>43.201999999999998</v>
      </c>
      <c r="G202">
        <v>58.146999999999998</v>
      </c>
      <c r="H202">
        <v>57.720999999999997</v>
      </c>
      <c r="I202">
        <v>66.694999999999993</v>
      </c>
      <c r="J202">
        <v>54.034999999999997</v>
      </c>
      <c r="K202">
        <v>57.05</v>
      </c>
      <c r="L202">
        <v>56.131</v>
      </c>
      <c r="M202">
        <v>30.228000000000002</v>
      </c>
      <c r="N202">
        <v>38.061999999999998</v>
      </c>
      <c r="O202">
        <v>34.36</v>
      </c>
      <c r="P202">
        <v>43.149000000000001</v>
      </c>
      <c r="Q202">
        <v>31.431999999999999</v>
      </c>
      <c r="R202">
        <v>39.942</v>
      </c>
      <c r="S202">
        <v>38.091999999999999</v>
      </c>
    </row>
    <row r="203" spans="1:19" x14ac:dyDescent="0.2">
      <c r="A203" s="6">
        <v>8.2166666666666668</v>
      </c>
      <c r="B203">
        <v>36.676000000000002</v>
      </c>
      <c r="C203">
        <v>42.368000000000002</v>
      </c>
      <c r="D203">
        <v>33.509</v>
      </c>
      <c r="E203">
        <v>37.042999999999999</v>
      </c>
      <c r="F203">
        <v>43.116</v>
      </c>
      <c r="G203">
        <v>58.1</v>
      </c>
      <c r="H203">
        <v>57.677</v>
      </c>
      <c r="I203">
        <v>66.739000000000004</v>
      </c>
      <c r="J203">
        <v>53.981000000000002</v>
      </c>
      <c r="K203">
        <v>57.005000000000003</v>
      </c>
      <c r="L203">
        <v>56.063000000000002</v>
      </c>
      <c r="M203">
        <v>30.064</v>
      </c>
      <c r="N203">
        <v>38.061999999999998</v>
      </c>
      <c r="O203">
        <v>34.298999999999999</v>
      </c>
      <c r="P203">
        <v>43.125999999999998</v>
      </c>
      <c r="Q203">
        <v>31.379000000000001</v>
      </c>
      <c r="R203">
        <v>39.984999999999999</v>
      </c>
      <c r="S203">
        <v>37.954000000000001</v>
      </c>
    </row>
    <row r="204" spans="1:19" x14ac:dyDescent="0.2">
      <c r="A204" s="6">
        <v>8.2333333333333325</v>
      </c>
      <c r="B204">
        <v>36.597999999999999</v>
      </c>
      <c r="C204">
        <v>42.35</v>
      </c>
      <c r="D204">
        <v>33.969000000000001</v>
      </c>
      <c r="E204">
        <v>36.969000000000001</v>
      </c>
      <c r="F204">
        <v>43.151000000000003</v>
      </c>
      <c r="G204">
        <v>58.036999999999999</v>
      </c>
      <c r="H204">
        <v>57.58</v>
      </c>
      <c r="I204">
        <v>66.656999999999996</v>
      </c>
      <c r="J204">
        <v>54.058999999999997</v>
      </c>
      <c r="K204">
        <v>56.904000000000003</v>
      </c>
      <c r="L204">
        <v>55.97</v>
      </c>
      <c r="M204">
        <v>30.03</v>
      </c>
      <c r="N204">
        <v>37.969000000000001</v>
      </c>
      <c r="O204">
        <v>34.241999999999997</v>
      </c>
      <c r="P204">
        <v>43.02</v>
      </c>
      <c r="Q204">
        <v>31.257999999999999</v>
      </c>
      <c r="R204">
        <v>39.734999999999999</v>
      </c>
      <c r="S204">
        <v>37.966000000000001</v>
      </c>
    </row>
    <row r="205" spans="1:19" x14ac:dyDescent="0.2">
      <c r="A205" s="6">
        <v>8.25</v>
      </c>
      <c r="B205">
        <v>36.494</v>
      </c>
      <c r="C205">
        <v>42.088000000000001</v>
      </c>
      <c r="D205">
        <v>33.944000000000003</v>
      </c>
      <c r="E205">
        <v>36.631999999999998</v>
      </c>
      <c r="F205">
        <v>43.116</v>
      </c>
      <c r="G205">
        <v>57.884999999999998</v>
      </c>
      <c r="H205">
        <v>57.475999999999999</v>
      </c>
      <c r="I205">
        <v>66.614000000000004</v>
      </c>
      <c r="J205">
        <v>53.906999999999996</v>
      </c>
      <c r="K205">
        <v>56.851999999999997</v>
      </c>
      <c r="L205">
        <v>55.942</v>
      </c>
      <c r="M205">
        <v>29.9</v>
      </c>
      <c r="N205">
        <v>37.93</v>
      </c>
      <c r="O205">
        <v>34.207999999999998</v>
      </c>
      <c r="P205">
        <v>42.845999999999997</v>
      </c>
      <c r="Q205">
        <v>31.138999999999999</v>
      </c>
      <c r="R205">
        <v>39.753</v>
      </c>
      <c r="S205">
        <v>37.93</v>
      </c>
    </row>
    <row r="206" spans="1:19" x14ac:dyDescent="0.2">
      <c r="A206" s="6">
        <v>8.2666666666666675</v>
      </c>
      <c r="B206">
        <v>36.395000000000003</v>
      </c>
      <c r="C206">
        <v>41.938000000000002</v>
      </c>
      <c r="D206">
        <v>33.777000000000001</v>
      </c>
      <c r="E206">
        <v>36.673999999999999</v>
      </c>
      <c r="F206">
        <v>43.116999999999997</v>
      </c>
      <c r="G206">
        <v>57.850999999999999</v>
      </c>
      <c r="H206">
        <v>57.485999999999997</v>
      </c>
      <c r="I206">
        <v>66.569000000000003</v>
      </c>
      <c r="J206">
        <v>53.777999999999999</v>
      </c>
      <c r="K206">
        <v>56.801000000000002</v>
      </c>
      <c r="L206">
        <v>55.844999999999999</v>
      </c>
      <c r="M206">
        <v>29.850999999999999</v>
      </c>
      <c r="N206">
        <v>37.832000000000001</v>
      </c>
      <c r="O206">
        <v>34.101999999999997</v>
      </c>
      <c r="P206">
        <v>42.796999999999997</v>
      </c>
      <c r="Q206">
        <v>31.074000000000002</v>
      </c>
      <c r="R206">
        <v>39.590000000000003</v>
      </c>
      <c r="S206">
        <v>37.802999999999997</v>
      </c>
    </row>
    <row r="207" spans="1:19" x14ac:dyDescent="0.2">
      <c r="A207" s="6">
        <v>8.2833333333333332</v>
      </c>
      <c r="B207">
        <v>36.265000000000001</v>
      </c>
      <c r="C207">
        <v>41.975000000000001</v>
      </c>
      <c r="D207">
        <v>33.587000000000003</v>
      </c>
      <c r="E207">
        <v>36.630000000000003</v>
      </c>
      <c r="F207">
        <v>42.762999999999998</v>
      </c>
      <c r="G207">
        <v>57.814999999999998</v>
      </c>
      <c r="H207">
        <v>57.103000000000002</v>
      </c>
      <c r="I207">
        <v>66.489000000000004</v>
      </c>
      <c r="J207">
        <v>53.877000000000002</v>
      </c>
      <c r="K207">
        <v>56.697000000000003</v>
      </c>
      <c r="L207">
        <v>55.845999999999997</v>
      </c>
      <c r="M207">
        <v>29.722000000000001</v>
      </c>
      <c r="N207">
        <v>37.738999999999997</v>
      </c>
      <c r="O207">
        <v>34.082000000000001</v>
      </c>
      <c r="P207">
        <v>42.792999999999999</v>
      </c>
      <c r="Q207">
        <v>31.053000000000001</v>
      </c>
      <c r="R207">
        <v>39.673000000000002</v>
      </c>
      <c r="S207">
        <v>37.634999999999998</v>
      </c>
    </row>
    <row r="208" spans="1:19" x14ac:dyDescent="0.2">
      <c r="A208" s="6">
        <v>8.3000000000000007</v>
      </c>
      <c r="B208">
        <v>36.134</v>
      </c>
      <c r="C208">
        <v>41.814999999999998</v>
      </c>
      <c r="D208">
        <v>33.49</v>
      </c>
      <c r="E208">
        <v>36.444000000000003</v>
      </c>
      <c r="F208">
        <v>42.496000000000002</v>
      </c>
      <c r="G208">
        <v>57.774999999999999</v>
      </c>
      <c r="H208">
        <v>56.951000000000001</v>
      </c>
      <c r="I208">
        <v>66.418999999999997</v>
      </c>
      <c r="J208">
        <v>53.786999999999999</v>
      </c>
      <c r="K208">
        <v>56.65</v>
      </c>
      <c r="L208">
        <v>55.781999999999996</v>
      </c>
      <c r="M208">
        <v>29.669</v>
      </c>
      <c r="N208">
        <v>37.582999999999998</v>
      </c>
      <c r="O208">
        <v>33.968000000000004</v>
      </c>
      <c r="P208">
        <v>42.723999999999997</v>
      </c>
      <c r="Q208">
        <v>31.039000000000001</v>
      </c>
      <c r="R208">
        <v>39.595999999999997</v>
      </c>
      <c r="S208">
        <v>37.54</v>
      </c>
    </row>
    <row r="209" spans="1:19" x14ac:dyDescent="0.2">
      <c r="A209" s="6">
        <v>8.3166666666666664</v>
      </c>
      <c r="B209">
        <v>36.11</v>
      </c>
      <c r="C209">
        <v>41.798000000000002</v>
      </c>
      <c r="D209">
        <v>33.505000000000003</v>
      </c>
      <c r="E209">
        <v>36.362000000000002</v>
      </c>
      <c r="F209">
        <v>42.637999999999998</v>
      </c>
      <c r="G209">
        <v>57.704999999999998</v>
      </c>
      <c r="H209">
        <v>57.107999999999997</v>
      </c>
      <c r="I209">
        <v>66.364000000000004</v>
      </c>
      <c r="J209">
        <v>53.780999999999999</v>
      </c>
      <c r="K209">
        <v>56.662999999999997</v>
      </c>
      <c r="L209">
        <v>55.723999999999997</v>
      </c>
      <c r="M209">
        <v>29.529</v>
      </c>
      <c r="N209">
        <v>37.470999999999997</v>
      </c>
      <c r="O209">
        <v>33.841000000000001</v>
      </c>
      <c r="P209">
        <v>42.671999999999997</v>
      </c>
      <c r="Q209">
        <v>30.952999999999999</v>
      </c>
      <c r="R209">
        <v>39.482999999999997</v>
      </c>
      <c r="S209">
        <v>37.537999999999997</v>
      </c>
    </row>
    <row r="210" spans="1:19" x14ac:dyDescent="0.2">
      <c r="A210" s="6">
        <v>8.3333333333333339</v>
      </c>
      <c r="B210">
        <v>36.018000000000001</v>
      </c>
      <c r="C210">
        <v>41.76</v>
      </c>
      <c r="D210">
        <v>33.491999999999997</v>
      </c>
      <c r="E210">
        <v>36.188000000000002</v>
      </c>
      <c r="F210">
        <v>42.655999999999999</v>
      </c>
      <c r="G210">
        <v>57.643000000000001</v>
      </c>
      <c r="H210">
        <v>57.036999999999999</v>
      </c>
      <c r="I210">
        <v>66.332999999999998</v>
      </c>
      <c r="J210">
        <v>53.552</v>
      </c>
      <c r="K210">
        <v>56.493000000000002</v>
      </c>
      <c r="L210">
        <v>55.694000000000003</v>
      </c>
      <c r="M210">
        <v>29.489000000000001</v>
      </c>
      <c r="N210">
        <v>37.299999999999997</v>
      </c>
      <c r="O210">
        <v>33.774000000000001</v>
      </c>
      <c r="P210">
        <v>42.603000000000002</v>
      </c>
      <c r="Q210">
        <v>30.911999999999999</v>
      </c>
      <c r="R210">
        <v>39.408999999999999</v>
      </c>
      <c r="S210">
        <v>37.383000000000003</v>
      </c>
    </row>
    <row r="211" spans="1:19" x14ac:dyDescent="0.2">
      <c r="A211" s="6">
        <v>8.35</v>
      </c>
      <c r="B211">
        <v>35.933</v>
      </c>
      <c r="C211">
        <v>41.661000000000001</v>
      </c>
      <c r="D211">
        <v>33.414999999999999</v>
      </c>
      <c r="E211">
        <v>35.892000000000003</v>
      </c>
      <c r="F211">
        <v>42.57</v>
      </c>
      <c r="G211">
        <v>57.607999999999997</v>
      </c>
      <c r="H211">
        <v>57.021000000000001</v>
      </c>
      <c r="I211">
        <v>66.322000000000003</v>
      </c>
      <c r="J211">
        <v>53.661000000000001</v>
      </c>
      <c r="K211">
        <v>56.48</v>
      </c>
      <c r="L211">
        <v>55.655000000000001</v>
      </c>
      <c r="M211">
        <v>29.443000000000001</v>
      </c>
      <c r="N211">
        <v>37.344000000000001</v>
      </c>
      <c r="O211">
        <v>33.718000000000004</v>
      </c>
      <c r="P211">
        <v>42.54</v>
      </c>
      <c r="Q211">
        <v>30.803999999999998</v>
      </c>
      <c r="R211">
        <v>39.393999999999998</v>
      </c>
      <c r="S211">
        <v>37.408999999999999</v>
      </c>
    </row>
    <row r="212" spans="1:19" x14ac:dyDescent="0.2">
      <c r="A212" s="6">
        <v>8.3666666666666671</v>
      </c>
      <c r="B212">
        <v>35.845999999999997</v>
      </c>
      <c r="C212">
        <v>41.546999999999997</v>
      </c>
      <c r="D212">
        <v>33.350999999999999</v>
      </c>
      <c r="E212">
        <v>36.043999999999997</v>
      </c>
      <c r="F212">
        <v>42.365000000000002</v>
      </c>
      <c r="G212">
        <v>57.523000000000003</v>
      </c>
      <c r="H212">
        <v>56.884999999999998</v>
      </c>
      <c r="I212">
        <v>66.257999999999996</v>
      </c>
      <c r="J212">
        <v>53.622999999999998</v>
      </c>
      <c r="K212">
        <v>56.392000000000003</v>
      </c>
      <c r="L212">
        <v>55.295000000000002</v>
      </c>
      <c r="M212">
        <v>29.335000000000001</v>
      </c>
      <c r="N212">
        <v>37.281999999999996</v>
      </c>
      <c r="O212">
        <v>33.429000000000002</v>
      </c>
      <c r="P212">
        <v>42.475999999999999</v>
      </c>
      <c r="Q212">
        <v>30.713999999999999</v>
      </c>
      <c r="R212">
        <v>39.317999999999998</v>
      </c>
      <c r="S212">
        <v>37.360999999999997</v>
      </c>
    </row>
    <row r="213" spans="1:19" x14ac:dyDescent="0.2">
      <c r="A213" s="6">
        <v>8.3833333333333329</v>
      </c>
      <c r="B213">
        <v>35.628999999999998</v>
      </c>
      <c r="C213">
        <v>41.539000000000001</v>
      </c>
      <c r="D213">
        <v>33.039000000000001</v>
      </c>
      <c r="E213">
        <v>35.935000000000002</v>
      </c>
      <c r="F213">
        <v>42.521000000000001</v>
      </c>
      <c r="G213">
        <v>57.453000000000003</v>
      </c>
      <c r="H213">
        <v>56.676000000000002</v>
      </c>
      <c r="I213">
        <v>66.242000000000004</v>
      </c>
      <c r="J213">
        <v>53.584000000000003</v>
      </c>
      <c r="K213">
        <v>56.381999999999998</v>
      </c>
      <c r="L213">
        <v>55.466999999999999</v>
      </c>
      <c r="M213">
        <v>29.213999999999999</v>
      </c>
      <c r="N213">
        <v>37.177</v>
      </c>
      <c r="O213">
        <v>33.441000000000003</v>
      </c>
      <c r="P213">
        <v>42.424999999999997</v>
      </c>
      <c r="Q213">
        <v>30.687999999999999</v>
      </c>
      <c r="R213">
        <v>39.206000000000003</v>
      </c>
      <c r="S213">
        <v>37.314999999999998</v>
      </c>
    </row>
    <row r="214" spans="1:19" x14ac:dyDescent="0.2">
      <c r="A214" s="6">
        <v>8.4</v>
      </c>
      <c r="B214">
        <v>35.639000000000003</v>
      </c>
      <c r="C214">
        <v>41.383000000000003</v>
      </c>
      <c r="D214">
        <v>33.1</v>
      </c>
      <c r="E214">
        <v>35.856999999999999</v>
      </c>
      <c r="F214">
        <v>42.43</v>
      </c>
      <c r="G214">
        <v>57.408000000000001</v>
      </c>
      <c r="H214">
        <v>56.573</v>
      </c>
      <c r="I214">
        <v>66.203000000000003</v>
      </c>
      <c r="J214">
        <v>53.578000000000003</v>
      </c>
      <c r="K214">
        <v>56.353000000000002</v>
      </c>
      <c r="L214">
        <v>55.366</v>
      </c>
      <c r="M214">
        <v>29.085000000000001</v>
      </c>
      <c r="N214">
        <v>37.143000000000001</v>
      </c>
      <c r="O214">
        <v>33.447000000000003</v>
      </c>
      <c r="P214">
        <v>42.348999999999997</v>
      </c>
      <c r="Q214">
        <v>30.548999999999999</v>
      </c>
      <c r="R214">
        <v>39.045999999999999</v>
      </c>
      <c r="S214">
        <v>37.167999999999999</v>
      </c>
    </row>
    <row r="215" spans="1:19" x14ac:dyDescent="0.2">
      <c r="A215" s="6">
        <v>8.4166666666666661</v>
      </c>
      <c r="B215">
        <v>35.567999999999998</v>
      </c>
      <c r="C215">
        <v>41.302</v>
      </c>
      <c r="D215">
        <v>33.049999999999997</v>
      </c>
      <c r="E215">
        <v>35.683</v>
      </c>
      <c r="F215">
        <v>42.404000000000003</v>
      </c>
      <c r="G215">
        <v>57.353000000000002</v>
      </c>
      <c r="H215">
        <v>56.735999999999997</v>
      </c>
      <c r="I215">
        <v>66.153999999999996</v>
      </c>
      <c r="J215">
        <v>53.499000000000002</v>
      </c>
      <c r="K215">
        <v>56.271000000000001</v>
      </c>
      <c r="L215">
        <v>55.311999999999998</v>
      </c>
      <c r="M215">
        <v>29.09</v>
      </c>
      <c r="N215">
        <v>37.040999999999997</v>
      </c>
      <c r="O215">
        <v>33.402999999999999</v>
      </c>
      <c r="P215">
        <v>42.280999999999999</v>
      </c>
      <c r="Q215">
        <v>30.443999999999999</v>
      </c>
      <c r="R215">
        <v>39.067999999999998</v>
      </c>
      <c r="S215">
        <v>37.186999999999998</v>
      </c>
    </row>
    <row r="216" spans="1:19" x14ac:dyDescent="0.2">
      <c r="A216" s="6">
        <v>8.4333333333333336</v>
      </c>
      <c r="B216">
        <v>35.49</v>
      </c>
      <c r="C216">
        <v>41.116999999999997</v>
      </c>
      <c r="D216">
        <v>32.366</v>
      </c>
      <c r="E216">
        <v>35.703000000000003</v>
      </c>
      <c r="F216">
        <v>42.307000000000002</v>
      </c>
      <c r="G216">
        <v>57.247999999999998</v>
      </c>
      <c r="H216">
        <v>56.57</v>
      </c>
      <c r="I216">
        <v>66.137</v>
      </c>
      <c r="J216">
        <v>53.268000000000001</v>
      </c>
      <c r="K216">
        <v>56.216000000000001</v>
      </c>
      <c r="L216">
        <v>55.298999999999999</v>
      </c>
      <c r="M216">
        <v>28.931999999999999</v>
      </c>
      <c r="N216">
        <v>37.012</v>
      </c>
      <c r="O216">
        <v>33.326999999999998</v>
      </c>
      <c r="P216">
        <v>42.183999999999997</v>
      </c>
      <c r="Q216">
        <v>30.385999999999999</v>
      </c>
      <c r="R216">
        <v>38.915999999999997</v>
      </c>
      <c r="S216">
        <v>37.030999999999999</v>
      </c>
    </row>
    <row r="217" spans="1:19" x14ac:dyDescent="0.2">
      <c r="A217" s="6">
        <v>8.4499999999999993</v>
      </c>
      <c r="B217">
        <v>35.445</v>
      </c>
      <c r="C217">
        <v>41.003</v>
      </c>
      <c r="D217">
        <v>32.840000000000003</v>
      </c>
      <c r="E217">
        <v>35.808999999999997</v>
      </c>
      <c r="F217">
        <v>42.344000000000001</v>
      </c>
      <c r="G217">
        <v>57.231000000000002</v>
      </c>
      <c r="H217">
        <v>56.494</v>
      </c>
      <c r="I217">
        <v>65.933999999999997</v>
      </c>
      <c r="J217">
        <v>53.252000000000002</v>
      </c>
      <c r="K217">
        <v>56.167000000000002</v>
      </c>
      <c r="L217">
        <v>55.256999999999998</v>
      </c>
      <c r="M217">
        <v>28.902999999999999</v>
      </c>
      <c r="N217">
        <v>36.954999999999998</v>
      </c>
      <c r="O217">
        <v>33.268000000000001</v>
      </c>
      <c r="P217">
        <v>42.151000000000003</v>
      </c>
      <c r="Q217">
        <v>30.36</v>
      </c>
      <c r="R217">
        <v>39.06</v>
      </c>
      <c r="S217">
        <v>37.018000000000001</v>
      </c>
    </row>
    <row r="218" spans="1:19" x14ac:dyDescent="0.2">
      <c r="A218" s="6">
        <v>8.4666666666666668</v>
      </c>
      <c r="B218">
        <v>35.338999999999999</v>
      </c>
      <c r="C218">
        <v>40.970999999999997</v>
      </c>
      <c r="D218">
        <v>32.656999999999996</v>
      </c>
      <c r="E218">
        <v>35.588999999999999</v>
      </c>
      <c r="F218">
        <v>42.198999999999998</v>
      </c>
      <c r="G218">
        <v>57.173000000000002</v>
      </c>
      <c r="H218">
        <v>56.49</v>
      </c>
      <c r="I218">
        <v>65.896000000000001</v>
      </c>
      <c r="J218">
        <v>53.216000000000001</v>
      </c>
      <c r="K218">
        <v>56.091999999999999</v>
      </c>
      <c r="L218">
        <v>55.198</v>
      </c>
      <c r="M218">
        <v>28.806999999999999</v>
      </c>
      <c r="N218">
        <v>36.893999999999998</v>
      </c>
      <c r="O218">
        <v>33.225999999999999</v>
      </c>
      <c r="P218">
        <v>42.113999999999997</v>
      </c>
      <c r="Q218">
        <v>30.32</v>
      </c>
      <c r="R218">
        <v>38.804000000000002</v>
      </c>
      <c r="S218">
        <v>36.984000000000002</v>
      </c>
    </row>
    <row r="219" spans="1:19" x14ac:dyDescent="0.2">
      <c r="A219" s="6">
        <v>8.4833333333333325</v>
      </c>
      <c r="B219">
        <v>35.262999999999998</v>
      </c>
      <c r="C219">
        <v>40.953000000000003</v>
      </c>
      <c r="D219">
        <v>31.760999999999999</v>
      </c>
      <c r="E219">
        <v>35.549999999999997</v>
      </c>
      <c r="F219">
        <v>42.01</v>
      </c>
      <c r="G219">
        <v>57.121000000000002</v>
      </c>
      <c r="H219">
        <v>56.32</v>
      </c>
      <c r="I219">
        <v>65.882999999999996</v>
      </c>
      <c r="J219">
        <v>52.901000000000003</v>
      </c>
      <c r="K219">
        <v>56.076999999999998</v>
      </c>
      <c r="L219">
        <v>55.125999999999998</v>
      </c>
      <c r="M219">
        <v>28.73</v>
      </c>
      <c r="N219">
        <v>36.634999999999998</v>
      </c>
      <c r="O219">
        <v>33.186</v>
      </c>
      <c r="P219">
        <v>42.003</v>
      </c>
      <c r="Q219">
        <v>30.224</v>
      </c>
      <c r="R219">
        <v>38.792000000000002</v>
      </c>
      <c r="S219">
        <v>36.963999999999999</v>
      </c>
    </row>
    <row r="220" spans="1:19" x14ac:dyDescent="0.2">
      <c r="A220" s="6">
        <v>8.5</v>
      </c>
      <c r="B220">
        <v>35.091000000000001</v>
      </c>
      <c r="C220">
        <v>40.886000000000003</v>
      </c>
      <c r="D220">
        <v>32.453000000000003</v>
      </c>
      <c r="E220">
        <v>35.418999999999997</v>
      </c>
      <c r="F220">
        <v>42.030999999999999</v>
      </c>
      <c r="G220">
        <v>57.088999999999999</v>
      </c>
      <c r="H220">
        <v>56.271000000000001</v>
      </c>
      <c r="I220">
        <v>65.837000000000003</v>
      </c>
      <c r="J220">
        <v>53.075000000000003</v>
      </c>
      <c r="K220">
        <v>55.927999999999997</v>
      </c>
      <c r="L220">
        <v>55.058999999999997</v>
      </c>
      <c r="M220">
        <v>28.667999999999999</v>
      </c>
      <c r="N220">
        <v>36.662999999999997</v>
      </c>
      <c r="O220">
        <v>33.146000000000001</v>
      </c>
      <c r="P220">
        <v>41.981000000000002</v>
      </c>
      <c r="Q220">
        <v>30.129000000000001</v>
      </c>
      <c r="R220">
        <v>38.729999999999997</v>
      </c>
      <c r="S220">
        <v>36.959000000000003</v>
      </c>
    </row>
    <row r="221" spans="1:19" x14ac:dyDescent="0.2">
      <c r="A221" s="6">
        <v>8.5166666666666675</v>
      </c>
      <c r="B221">
        <v>35.033000000000001</v>
      </c>
      <c r="C221">
        <v>40.820999999999998</v>
      </c>
      <c r="D221">
        <v>32.390999999999998</v>
      </c>
      <c r="E221">
        <v>35.185000000000002</v>
      </c>
      <c r="F221">
        <v>41.957000000000001</v>
      </c>
      <c r="G221">
        <v>56.999000000000002</v>
      </c>
      <c r="H221">
        <v>56.113999999999997</v>
      </c>
      <c r="I221">
        <v>65.777000000000001</v>
      </c>
      <c r="J221">
        <v>53.039000000000001</v>
      </c>
      <c r="K221">
        <v>55.939</v>
      </c>
      <c r="L221">
        <v>55.014000000000003</v>
      </c>
      <c r="M221">
        <v>28.483000000000001</v>
      </c>
      <c r="N221">
        <v>36.479999999999997</v>
      </c>
      <c r="O221">
        <v>33.084000000000003</v>
      </c>
      <c r="P221">
        <v>41.935000000000002</v>
      </c>
      <c r="Q221">
        <v>30.033999999999999</v>
      </c>
      <c r="R221">
        <v>38.673000000000002</v>
      </c>
      <c r="S221">
        <v>36.921999999999997</v>
      </c>
    </row>
    <row r="222" spans="1:19" x14ac:dyDescent="0.2">
      <c r="A222" s="6">
        <v>8.5333333333333332</v>
      </c>
      <c r="B222">
        <v>34.929000000000002</v>
      </c>
      <c r="C222">
        <v>40.698999999999998</v>
      </c>
      <c r="D222">
        <v>32.341999999999999</v>
      </c>
      <c r="E222">
        <v>35.073999999999998</v>
      </c>
      <c r="F222">
        <v>41.933</v>
      </c>
      <c r="G222">
        <v>56.947000000000003</v>
      </c>
      <c r="H222">
        <v>56.036000000000001</v>
      </c>
      <c r="I222">
        <v>65.751999999999995</v>
      </c>
      <c r="J222">
        <v>52.787999999999997</v>
      </c>
      <c r="K222">
        <v>55.917999999999999</v>
      </c>
      <c r="L222">
        <v>54.981999999999999</v>
      </c>
      <c r="M222">
        <v>28.427</v>
      </c>
      <c r="N222">
        <v>36.383000000000003</v>
      </c>
      <c r="O222">
        <v>33.018000000000001</v>
      </c>
      <c r="P222">
        <v>41.85</v>
      </c>
      <c r="Q222">
        <v>29.998000000000001</v>
      </c>
      <c r="R222">
        <v>38.600999999999999</v>
      </c>
      <c r="S222">
        <v>36.862000000000002</v>
      </c>
    </row>
    <row r="223" spans="1:19" x14ac:dyDescent="0.2">
      <c r="A223" s="6">
        <v>8.5500000000000007</v>
      </c>
      <c r="B223">
        <v>34.905000000000001</v>
      </c>
      <c r="C223">
        <v>40.658000000000001</v>
      </c>
      <c r="D223">
        <v>32.293999999999997</v>
      </c>
      <c r="E223">
        <v>35.176000000000002</v>
      </c>
      <c r="F223">
        <v>41.914999999999999</v>
      </c>
      <c r="G223">
        <v>56.817999999999998</v>
      </c>
      <c r="H223">
        <v>56.076000000000001</v>
      </c>
      <c r="I223">
        <v>65.677000000000007</v>
      </c>
      <c r="J223">
        <v>52.793999999999997</v>
      </c>
      <c r="K223">
        <v>55.752000000000002</v>
      </c>
      <c r="L223">
        <v>54.936</v>
      </c>
      <c r="M223">
        <v>28.364999999999998</v>
      </c>
      <c r="N223">
        <v>36.43</v>
      </c>
      <c r="O223">
        <v>32.814999999999998</v>
      </c>
      <c r="P223">
        <v>41.697000000000003</v>
      </c>
      <c r="Q223">
        <v>29.913</v>
      </c>
      <c r="R223">
        <v>38.393999999999998</v>
      </c>
      <c r="S223">
        <v>36.759</v>
      </c>
    </row>
    <row r="224" spans="1:19" x14ac:dyDescent="0.2">
      <c r="A224" s="6">
        <v>8.5666666666666664</v>
      </c>
      <c r="B224">
        <v>34.764000000000003</v>
      </c>
      <c r="C224">
        <v>40.609000000000002</v>
      </c>
      <c r="D224">
        <v>32.146000000000001</v>
      </c>
      <c r="E224">
        <v>34.807000000000002</v>
      </c>
      <c r="F224">
        <v>41.795000000000002</v>
      </c>
      <c r="G224">
        <v>56.811999999999998</v>
      </c>
      <c r="H224">
        <v>56.039000000000001</v>
      </c>
      <c r="I224">
        <v>65.566999999999993</v>
      </c>
      <c r="J224">
        <v>52.695999999999998</v>
      </c>
      <c r="K224">
        <v>55.73</v>
      </c>
      <c r="L224">
        <v>54.871000000000002</v>
      </c>
      <c r="M224">
        <v>28.295000000000002</v>
      </c>
      <c r="N224">
        <v>36.365000000000002</v>
      </c>
      <c r="O224">
        <v>32.774999999999999</v>
      </c>
      <c r="P224">
        <v>41.734000000000002</v>
      </c>
      <c r="Q224">
        <v>29.687000000000001</v>
      </c>
      <c r="R224">
        <v>38.345999999999997</v>
      </c>
      <c r="S224">
        <v>36.473999999999997</v>
      </c>
    </row>
    <row r="225" spans="1:19" x14ac:dyDescent="0.2">
      <c r="A225" s="6">
        <v>8.5833333333333339</v>
      </c>
      <c r="B225">
        <v>34.755000000000003</v>
      </c>
      <c r="C225">
        <v>40.555</v>
      </c>
      <c r="D225">
        <v>31.698</v>
      </c>
      <c r="E225">
        <v>34.805999999999997</v>
      </c>
      <c r="F225">
        <v>41.746000000000002</v>
      </c>
      <c r="G225">
        <v>56.789000000000001</v>
      </c>
      <c r="H225">
        <v>55.828000000000003</v>
      </c>
      <c r="I225">
        <v>65.545000000000002</v>
      </c>
      <c r="J225">
        <v>52.637</v>
      </c>
      <c r="K225">
        <v>55.61</v>
      </c>
      <c r="L225">
        <v>54.85</v>
      </c>
      <c r="M225">
        <v>28.193999999999999</v>
      </c>
      <c r="N225">
        <v>36.317</v>
      </c>
      <c r="O225">
        <v>32.659999999999997</v>
      </c>
      <c r="P225">
        <v>41.671999999999997</v>
      </c>
      <c r="Q225">
        <v>29.702999999999999</v>
      </c>
      <c r="R225">
        <v>38.466999999999999</v>
      </c>
      <c r="S225">
        <v>36.247</v>
      </c>
    </row>
    <row r="226" spans="1:19" x14ac:dyDescent="0.2">
      <c r="A226" s="6">
        <v>8.6</v>
      </c>
      <c r="B226">
        <v>34.688000000000002</v>
      </c>
      <c r="C226">
        <v>40.454999999999998</v>
      </c>
      <c r="D226">
        <v>31.989000000000001</v>
      </c>
      <c r="E226">
        <v>34.926000000000002</v>
      </c>
      <c r="F226">
        <v>41.64</v>
      </c>
      <c r="G226">
        <v>56.731000000000002</v>
      </c>
      <c r="H226">
        <v>55.790999999999997</v>
      </c>
      <c r="I226">
        <v>65.462999999999994</v>
      </c>
      <c r="J226">
        <v>52.543999999999997</v>
      </c>
      <c r="K226">
        <v>55.514000000000003</v>
      </c>
      <c r="L226">
        <v>54.808</v>
      </c>
      <c r="M226">
        <v>28.077000000000002</v>
      </c>
      <c r="N226">
        <v>36.228999999999999</v>
      </c>
      <c r="O226">
        <v>32.625999999999998</v>
      </c>
      <c r="P226">
        <v>41.62</v>
      </c>
      <c r="Q226">
        <v>29.582999999999998</v>
      </c>
      <c r="R226">
        <v>38.192</v>
      </c>
      <c r="S226">
        <v>36.433</v>
      </c>
    </row>
    <row r="227" spans="1:19" x14ac:dyDescent="0.2">
      <c r="A227" s="6">
        <v>8.6166666666666671</v>
      </c>
      <c r="B227">
        <v>34.488</v>
      </c>
      <c r="C227">
        <v>40.472999999999999</v>
      </c>
      <c r="D227">
        <v>31.945</v>
      </c>
      <c r="E227">
        <v>34.654000000000003</v>
      </c>
      <c r="F227">
        <v>41.412999999999997</v>
      </c>
      <c r="G227">
        <v>56.645000000000003</v>
      </c>
      <c r="H227">
        <v>55.651000000000003</v>
      </c>
      <c r="I227">
        <v>65.435000000000002</v>
      </c>
      <c r="J227">
        <v>52.491</v>
      </c>
      <c r="K227">
        <v>55.499000000000002</v>
      </c>
      <c r="L227">
        <v>54.732999999999997</v>
      </c>
      <c r="M227">
        <v>27.98</v>
      </c>
      <c r="N227">
        <v>36.158000000000001</v>
      </c>
      <c r="O227">
        <v>32.58</v>
      </c>
      <c r="P227">
        <v>41.554000000000002</v>
      </c>
      <c r="Q227">
        <v>29.53</v>
      </c>
      <c r="R227">
        <v>38.176000000000002</v>
      </c>
      <c r="S227">
        <v>36.42</v>
      </c>
    </row>
    <row r="228" spans="1:19" x14ac:dyDescent="0.2">
      <c r="A228" s="6">
        <v>8.6333333333333329</v>
      </c>
      <c r="B228">
        <v>34.473999999999997</v>
      </c>
      <c r="C228">
        <v>40.387</v>
      </c>
      <c r="D228">
        <v>31.917000000000002</v>
      </c>
      <c r="E228">
        <v>34.420999999999999</v>
      </c>
      <c r="F228">
        <v>41.372</v>
      </c>
      <c r="G228">
        <v>56.521999999999998</v>
      </c>
      <c r="H228">
        <v>55.667000000000002</v>
      </c>
      <c r="I228">
        <v>65.433000000000007</v>
      </c>
      <c r="J228">
        <v>52.338000000000001</v>
      </c>
      <c r="K228">
        <v>55.442</v>
      </c>
      <c r="L228">
        <v>54.710999999999999</v>
      </c>
      <c r="M228">
        <v>27.878</v>
      </c>
      <c r="N228">
        <v>36.124000000000002</v>
      </c>
      <c r="O228">
        <v>32.353999999999999</v>
      </c>
      <c r="P228">
        <v>41.496000000000002</v>
      </c>
      <c r="Q228">
        <v>29.509</v>
      </c>
      <c r="R228">
        <v>38.125999999999998</v>
      </c>
      <c r="S228">
        <v>36.404000000000003</v>
      </c>
    </row>
    <row r="229" spans="1:19" x14ac:dyDescent="0.2">
      <c r="A229" s="6">
        <v>8.65</v>
      </c>
      <c r="B229">
        <v>34.429000000000002</v>
      </c>
      <c r="C229">
        <v>40.204000000000001</v>
      </c>
      <c r="D229">
        <v>31.635000000000002</v>
      </c>
      <c r="E229">
        <v>34.408999999999999</v>
      </c>
      <c r="F229">
        <v>41.427999999999997</v>
      </c>
      <c r="G229">
        <v>56.48</v>
      </c>
      <c r="H229">
        <v>55.667999999999999</v>
      </c>
      <c r="I229">
        <v>65.388999999999996</v>
      </c>
      <c r="J229">
        <v>52.292000000000002</v>
      </c>
      <c r="K229">
        <v>55.408000000000001</v>
      </c>
      <c r="L229">
        <v>54.671999999999997</v>
      </c>
      <c r="M229">
        <v>27.876000000000001</v>
      </c>
      <c r="N229">
        <v>35.933</v>
      </c>
      <c r="O229">
        <v>32.411000000000001</v>
      </c>
      <c r="P229">
        <v>41.436</v>
      </c>
      <c r="Q229">
        <v>29.427</v>
      </c>
      <c r="R229">
        <v>38.069000000000003</v>
      </c>
      <c r="S229">
        <v>36.219000000000001</v>
      </c>
    </row>
    <row r="230" spans="1:19" x14ac:dyDescent="0.2">
      <c r="A230" s="6">
        <v>8.6666666666666661</v>
      </c>
      <c r="B230">
        <v>34.356000000000002</v>
      </c>
      <c r="C230">
        <v>40.149000000000001</v>
      </c>
      <c r="D230">
        <v>31.747</v>
      </c>
      <c r="E230">
        <v>34.447000000000003</v>
      </c>
      <c r="F230">
        <v>41.33</v>
      </c>
      <c r="G230">
        <v>56.356000000000002</v>
      </c>
      <c r="H230">
        <v>55.393999999999998</v>
      </c>
      <c r="I230">
        <v>65.332999999999998</v>
      </c>
      <c r="J230">
        <v>52.247999999999998</v>
      </c>
      <c r="K230">
        <v>55.347999999999999</v>
      </c>
      <c r="L230">
        <v>54.609000000000002</v>
      </c>
      <c r="M230">
        <v>27.800999999999998</v>
      </c>
      <c r="N230">
        <v>35.896000000000001</v>
      </c>
      <c r="O230">
        <v>32.250999999999998</v>
      </c>
      <c r="P230">
        <v>41.399000000000001</v>
      </c>
      <c r="Q230">
        <v>29.335000000000001</v>
      </c>
      <c r="R230">
        <v>38.031999999999996</v>
      </c>
      <c r="S230">
        <v>36.265000000000001</v>
      </c>
    </row>
    <row r="231" spans="1:19" x14ac:dyDescent="0.2">
      <c r="A231" s="6">
        <v>8.6833333333333336</v>
      </c>
      <c r="B231">
        <v>34.286999999999999</v>
      </c>
      <c r="C231">
        <v>40.118000000000002</v>
      </c>
      <c r="D231">
        <v>31.661000000000001</v>
      </c>
      <c r="E231">
        <v>34.518999999999998</v>
      </c>
      <c r="F231">
        <v>41.27</v>
      </c>
      <c r="G231">
        <v>56.323999999999998</v>
      </c>
      <c r="H231">
        <v>55.48</v>
      </c>
      <c r="I231">
        <v>65.283000000000001</v>
      </c>
      <c r="J231">
        <v>52.231999999999999</v>
      </c>
      <c r="K231">
        <v>55.273000000000003</v>
      </c>
      <c r="L231">
        <v>54.561999999999998</v>
      </c>
      <c r="M231">
        <v>27.718</v>
      </c>
      <c r="N231">
        <v>35.811999999999998</v>
      </c>
      <c r="O231">
        <v>32.247999999999998</v>
      </c>
      <c r="P231">
        <v>41.353000000000002</v>
      </c>
      <c r="Q231">
        <v>29.251000000000001</v>
      </c>
      <c r="R231">
        <v>37.915999999999997</v>
      </c>
      <c r="S231">
        <v>36.225999999999999</v>
      </c>
    </row>
    <row r="232" spans="1:19" x14ac:dyDescent="0.2">
      <c r="A232" s="6">
        <v>8.6999999999999993</v>
      </c>
      <c r="B232">
        <v>34.173000000000002</v>
      </c>
      <c r="C232">
        <v>40.057000000000002</v>
      </c>
      <c r="D232">
        <v>31.581</v>
      </c>
      <c r="E232">
        <v>34.284999999999997</v>
      </c>
      <c r="F232">
        <v>41.244</v>
      </c>
      <c r="G232">
        <v>56.24</v>
      </c>
      <c r="H232">
        <v>55.421999999999997</v>
      </c>
      <c r="I232">
        <v>65.234999999999999</v>
      </c>
      <c r="J232">
        <v>51.948</v>
      </c>
      <c r="K232">
        <v>55.235999999999997</v>
      </c>
      <c r="L232">
        <v>54.536000000000001</v>
      </c>
      <c r="M232">
        <v>27.626999999999999</v>
      </c>
      <c r="N232">
        <v>35.738</v>
      </c>
      <c r="O232">
        <v>32.103999999999999</v>
      </c>
      <c r="P232">
        <v>41.295999999999999</v>
      </c>
      <c r="Q232">
        <v>29.177</v>
      </c>
      <c r="R232">
        <v>37.813000000000002</v>
      </c>
      <c r="S232">
        <v>35.741999999999997</v>
      </c>
    </row>
    <row r="233" spans="1:19" x14ac:dyDescent="0.2">
      <c r="A233" s="6">
        <v>8.7166666666666668</v>
      </c>
      <c r="B233">
        <v>34.116</v>
      </c>
      <c r="C233">
        <v>40.012999999999998</v>
      </c>
      <c r="D233">
        <v>31.56</v>
      </c>
      <c r="E233">
        <v>34.249000000000002</v>
      </c>
      <c r="F233">
        <v>41.195</v>
      </c>
      <c r="G233">
        <v>56.061999999999998</v>
      </c>
      <c r="H233">
        <v>55.337000000000003</v>
      </c>
      <c r="I233">
        <v>65.218999999999994</v>
      </c>
      <c r="J233">
        <v>52.146000000000001</v>
      </c>
      <c r="K233">
        <v>55.09</v>
      </c>
      <c r="L233">
        <v>54.457999999999998</v>
      </c>
      <c r="M233">
        <v>27.584</v>
      </c>
      <c r="N233">
        <v>35.390999999999998</v>
      </c>
      <c r="O233">
        <v>32.020000000000003</v>
      </c>
      <c r="P233">
        <v>41.215000000000003</v>
      </c>
      <c r="Q233">
        <v>29.106000000000002</v>
      </c>
      <c r="R233">
        <v>37.734000000000002</v>
      </c>
      <c r="S233">
        <v>35.950000000000003</v>
      </c>
    </row>
    <row r="234" spans="1:19" x14ac:dyDescent="0.2">
      <c r="A234" s="6">
        <v>8.7333333333333325</v>
      </c>
      <c r="B234">
        <v>34.045999999999999</v>
      </c>
      <c r="C234">
        <v>39.933999999999997</v>
      </c>
      <c r="D234">
        <v>31.513999999999999</v>
      </c>
      <c r="E234">
        <v>34.314999999999998</v>
      </c>
      <c r="F234">
        <v>41.134</v>
      </c>
      <c r="G234">
        <v>56.021000000000001</v>
      </c>
      <c r="H234">
        <v>55.262</v>
      </c>
      <c r="I234">
        <v>65.126999999999995</v>
      </c>
      <c r="J234">
        <v>52.064999999999998</v>
      </c>
      <c r="K234">
        <v>55.012</v>
      </c>
      <c r="L234">
        <v>54.445999999999998</v>
      </c>
      <c r="M234">
        <v>27.419</v>
      </c>
      <c r="N234">
        <v>35.53</v>
      </c>
      <c r="O234">
        <v>31.991</v>
      </c>
      <c r="P234">
        <v>41.154000000000003</v>
      </c>
      <c r="Q234">
        <v>29.010999999999999</v>
      </c>
      <c r="R234">
        <v>37.743000000000002</v>
      </c>
      <c r="S234">
        <v>35.981999999999999</v>
      </c>
    </row>
    <row r="235" spans="1:19" x14ac:dyDescent="0.2">
      <c r="A235" s="6">
        <v>8.75</v>
      </c>
      <c r="B235">
        <v>33.969000000000001</v>
      </c>
      <c r="C235">
        <v>39.823</v>
      </c>
      <c r="D235">
        <v>30.984999999999999</v>
      </c>
      <c r="E235">
        <v>34.286999999999999</v>
      </c>
      <c r="F235">
        <v>41.101999999999997</v>
      </c>
      <c r="G235">
        <v>56.003999999999998</v>
      </c>
      <c r="H235">
        <v>55.091000000000001</v>
      </c>
      <c r="I235">
        <v>65.106999999999999</v>
      </c>
      <c r="J235">
        <v>52.003999999999998</v>
      </c>
      <c r="K235">
        <v>55.052</v>
      </c>
      <c r="L235">
        <v>54.392000000000003</v>
      </c>
      <c r="M235">
        <v>27.366</v>
      </c>
      <c r="N235">
        <v>35.465000000000003</v>
      </c>
      <c r="O235">
        <v>31.960999999999999</v>
      </c>
      <c r="P235">
        <v>41.085999999999999</v>
      </c>
      <c r="Q235">
        <v>28.81</v>
      </c>
      <c r="R235">
        <v>37.622</v>
      </c>
      <c r="S235">
        <v>35.917000000000002</v>
      </c>
    </row>
    <row r="236" spans="1:19" x14ac:dyDescent="0.2">
      <c r="A236" s="6">
        <v>8.7666666666666675</v>
      </c>
      <c r="B236">
        <v>33.911999999999999</v>
      </c>
      <c r="C236">
        <v>39.817999999999998</v>
      </c>
      <c r="D236">
        <v>31.257000000000001</v>
      </c>
      <c r="E236">
        <v>34.018999999999998</v>
      </c>
      <c r="F236">
        <v>41.064999999999998</v>
      </c>
      <c r="G236">
        <v>55.985999999999997</v>
      </c>
      <c r="H236">
        <v>55.106999999999999</v>
      </c>
      <c r="I236">
        <v>65.046000000000006</v>
      </c>
      <c r="J236">
        <v>51.930999999999997</v>
      </c>
      <c r="K236">
        <v>54.924999999999997</v>
      </c>
      <c r="L236">
        <v>54.341000000000001</v>
      </c>
      <c r="M236">
        <v>27.318000000000001</v>
      </c>
      <c r="N236">
        <v>35.374000000000002</v>
      </c>
      <c r="O236">
        <v>31.753</v>
      </c>
      <c r="P236">
        <v>41.034999999999997</v>
      </c>
      <c r="Q236">
        <v>28.914999999999999</v>
      </c>
      <c r="R236">
        <v>37.581000000000003</v>
      </c>
      <c r="S236">
        <v>35.872999999999998</v>
      </c>
    </row>
    <row r="237" spans="1:19" x14ac:dyDescent="0.2">
      <c r="A237" s="6">
        <v>8.7833333333333332</v>
      </c>
      <c r="B237">
        <v>33.884</v>
      </c>
      <c r="C237">
        <v>39.704999999999998</v>
      </c>
      <c r="D237">
        <v>31.204000000000001</v>
      </c>
      <c r="E237">
        <v>34.164000000000001</v>
      </c>
      <c r="F237">
        <v>40.96</v>
      </c>
      <c r="G237">
        <v>55.872</v>
      </c>
      <c r="H237">
        <v>55.08</v>
      </c>
      <c r="I237">
        <v>64.941999999999993</v>
      </c>
      <c r="J237">
        <v>51.656999999999996</v>
      </c>
      <c r="K237">
        <v>54.822000000000003</v>
      </c>
      <c r="L237">
        <v>54.301000000000002</v>
      </c>
      <c r="M237">
        <v>27.239000000000001</v>
      </c>
      <c r="N237">
        <v>35.326999999999998</v>
      </c>
      <c r="O237">
        <v>31.754999999999999</v>
      </c>
      <c r="P237">
        <v>41.015000000000001</v>
      </c>
      <c r="Q237">
        <v>28.859000000000002</v>
      </c>
      <c r="R237">
        <v>37.557000000000002</v>
      </c>
      <c r="S237">
        <v>35.456000000000003</v>
      </c>
    </row>
    <row r="238" spans="1:19" x14ac:dyDescent="0.2">
      <c r="A238" s="6">
        <v>8.8000000000000007</v>
      </c>
      <c r="B238">
        <v>33.834000000000003</v>
      </c>
      <c r="C238">
        <v>39.524000000000001</v>
      </c>
      <c r="D238">
        <v>31.151</v>
      </c>
      <c r="E238">
        <v>34.006</v>
      </c>
      <c r="F238">
        <v>40.936999999999998</v>
      </c>
      <c r="G238">
        <v>55.825000000000003</v>
      </c>
      <c r="H238">
        <v>55.011000000000003</v>
      </c>
      <c r="I238">
        <v>64.963999999999999</v>
      </c>
      <c r="J238">
        <v>51.735999999999997</v>
      </c>
      <c r="K238">
        <v>54.718000000000004</v>
      </c>
      <c r="L238">
        <v>54.265000000000001</v>
      </c>
      <c r="M238">
        <v>27.071999999999999</v>
      </c>
      <c r="N238">
        <v>35.301000000000002</v>
      </c>
      <c r="O238">
        <v>31.727</v>
      </c>
      <c r="P238">
        <v>40.98</v>
      </c>
      <c r="Q238">
        <v>28.835999999999999</v>
      </c>
      <c r="R238">
        <v>37.429000000000002</v>
      </c>
      <c r="S238">
        <v>35.677999999999997</v>
      </c>
    </row>
    <row r="239" spans="1:19" x14ac:dyDescent="0.2">
      <c r="A239" s="6">
        <v>8.8166666666666664</v>
      </c>
      <c r="B239">
        <v>33.707999999999998</v>
      </c>
      <c r="C239">
        <v>39.537999999999997</v>
      </c>
      <c r="D239">
        <v>30.983000000000001</v>
      </c>
      <c r="E239">
        <v>34.052999999999997</v>
      </c>
      <c r="F239">
        <v>40.835000000000001</v>
      </c>
      <c r="G239">
        <v>55.523000000000003</v>
      </c>
      <c r="H239">
        <v>54.997999999999998</v>
      </c>
      <c r="I239">
        <v>64.866</v>
      </c>
      <c r="J239">
        <v>51.697000000000003</v>
      </c>
      <c r="K239">
        <v>54.624000000000002</v>
      </c>
      <c r="L239">
        <v>54.19</v>
      </c>
      <c r="M239">
        <v>27.068000000000001</v>
      </c>
      <c r="N239">
        <v>35.258000000000003</v>
      </c>
      <c r="O239">
        <v>31.657</v>
      </c>
      <c r="P239">
        <v>40.912999999999997</v>
      </c>
      <c r="Q239">
        <v>28.757999999999999</v>
      </c>
      <c r="R239">
        <v>37.338000000000001</v>
      </c>
      <c r="S239">
        <v>35.667000000000002</v>
      </c>
    </row>
    <row r="240" spans="1:19" x14ac:dyDescent="0.2">
      <c r="A240" s="6">
        <v>8.8333333333333339</v>
      </c>
      <c r="B240">
        <v>33.648000000000003</v>
      </c>
      <c r="C240">
        <v>39.502000000000002</v>
      </c>
      <c r="D240">
        <v>30.643000000000001</v>
      </c>
      <c r="E240">
        <v>34.030999999999999</v>
      </c>
      <c r="F240">
        <v>40.823</v>
      </c>
      <c r="G240">
        <v>55.557000000000002</v>
      </c>
      <c r="H240">
        <v>54.933</v>
      </c>
      <c r="I240">
        <v>64.828999999999994</v>
      </c>
      <c r="J240">
        <v>51.591999999999999</v>
      </c>
      <c r="K240">
        <v>54.57</v>
      </c>
      <c r="L240">
        <v>54.165999999999997</v>
      </c>
      <c r="M240">
        <v>26.981000000000002</v>
      </c>
      <c r="N240">
        <v>35.145000000000003</v>
      </c>
      <c r="O240">
        <v>31.536000000000001</v>
      </c>
      <c r="P240">
        <v>40.832000000000001</v>
      </c>
      <c r="Q240">
        <v>28.709</v>
      </c>
      <c r="R240">
        <v>37.237000000000002</v>
      </c>
      <c r="S240">
        <v>35.188000000000002</v>
      </c>
    </row>
    <row r="241" spans="1:19" x14ac:dyDescent="0.2">
      <c r="A241" s="6">
        <v>8.85</v>
      </c>
      <c r="B241">
        <v>33.468000000000004</v>
      </c>
      <c r="C241">
        <v>39.478999999999999</v>
      </c>
      <c r="D241">
        <v>30.911999999999999</v>
      </c>
      <c r="E241">
        <v>33.944000000000003</v>
      </c>
      <c r="F241">
        <v>40.722000000000001</v>
      </c>
      <c r="G241">
        <v>55.527000000000001</v>
      </c>
      <c r="H241">
        <v>54.847999999999999</v>
      </c>
      <c r="I241">
        <v>64.733000000000004</v>
      </c>
      <c r="J241">
        <v>51.573</v>
      </c>
      <c r="K241">
        <v>54.533999999999999</v>
      </c>
      <c r="L241">
        <v>54.161000000000001</v>
      </c>
      <c r="M241">
        <v>26.87</v>
      </c>
      <c r="N241">
        <v>35.146999999999998</v>
      </c>
      <c r="O241">
        <v>31.498999999999999</v>
      </c>
      <c r="P241">
        <v>40.756999999999998</v>
      </c>
      <c r="Q241">
        <v>28.67</v>
      </c>
      <c r="R241">
        <v>37.185000000000002</v>
      </c>
      <c r="S241">
        <v>35.378999999999998</v>
      </c>
    </row>
    <row r="242" spans="1:19" x14ac:dyDescent="0.2">
      <c r="A242" s="6">
        <v>8.8666666666666671</v>
      </c>
      <c r="B242">
        <v>33.514000000000003</v>
      </c>
      <c r="C242">
        <v>39.42</v>
      </c>
      <c r="D242">
        <v>30.536999999999999</v>
      </c>
      <c r="E242">
        <v>33.832999999999998</v>
      </c>
      <c r="F242">
        <v>40.529000000000003</v>
      </c>
      <c r="G242">
        <v>55.478000000000002</v>
      </c>
      <c r="H242">
        <v>54.822000000000003</v>
      </c>
      <c r="I242">
        <v>64.742000000000004</v>
      </c>
      <c r="J242">
        <v>51.354999999999997</v>
      </c>
      <c r="K242">
        <v>54.545000000000002</v>
      </c>
      <c r="L242">
        <v>53.935000000000002</v>
      </c>
      <c r="M242">
        <v>26.811</v>
      </c>
      <c r="N242">
        <v>35.04</v>
      </c>
      <c r="O242">
        <v>31.434000000000001</v>
      </c>
      <c r="P242">
        <v>40.69</v>
      </c>
      <c r="Q242">
        <v>28.603999999999999</v>
      </c>
      <c r="R242">
        <v>37.115000000000002</v>
      </c>
      <c r="S242">
        <v>35.204000000000001</v>
      </c>
    </row>
    <row r="243" spans="1:19" x14ac:dyDescent="0.2">
      <c r="A243" s="6">
        <v>8.8833333333333329</v>
      </c>
      <c r="B243">
        <v>33.374000000000002</v>
      </c>
      <c r="C243">
        <v>39.392000000000003</v>
      </c>
      <c r="D243">
        <v>30.568000000000001</v>
      </c>
      <c r="E243">
        <v>33.826999999999998</v>
      </c>
      <c r="F243">
        <v>40.567</v>
      </c>
      <c r="G243">
        <v>55.356000000000002</v>
      </c>
      <c r="H243">
        <v>54.704999999999998</v>
      </c>
      <c r="I243">
        <v>64.73</v>
      </c>
      <c r="J243">
        <v>51.404000000000003</v>
      </c>
      <c r="K243">
        <v>54.488</v>
      </c>
      <c r="L243">
        <v>53.991999999999997</v>
      </c>
      <c r="M243">
        <v>26.663</v>
      </c>
      <c r="N243">
        <v>35.002000000000002</v>
      </c>
      <c r="O243">
        <v>31.387</v>
      </c>
      <c r="P243">
        <v>40.664000000000001</v>
      </c>
      <c r="Q243">
        <v>28.466999999999999</v>
      </c>
      <c r="R243">
        <v>37.048000000000002</v>
      </c>
      <c r="S243">
        <v>35.22</v>
      </c>
    </row>
    <row r="244" spans="1:19" x14ac:dyDescent="0.2">
      <c r="A244" s="6">
        <v>8.9</v>
      </c>
      <c r="B244">
        <v>33.290999999999997</v>
      </c>
      <c r="C244">
        <v>39.345999999999997</v>
      </c>
      <c r="D244">
        <v>30.62</v>
      </c>
      <c r="E244">
        <v>33.729999999999997</v>
      </c>
      <c r="F244">
        <v>40.493000000000002</v>
      </c>
      <c r="G244">
        <v>55.356000000000002</v>
      </c>
      <c r="H244">
        <v>54.637999999999998</v>
      </c>
      <c r="I244">
        <v>64.649000000000001</v>
      </c>
      <c r="J244">
        <v>51.295000000000002</v>
      </c>
      <c r="K244">
        <v>54.515999999999998</v>
      </c>
      <c r="L244">
        <v>53.91</v>
      </c>
      <c r="M244">
        <v>26.635000000000002</v>
      </c>
      <c r="N244">
        <v>34.753999999999998</v>
      </c>
      <c r="O244">
        <v>31.33</v>
      </c>
      <c r="P244">
        <v>40.603000000000002</v>
      </c>
      <c r="Q244">
        <v>28.442</v>
      </c>
      <c r="R244">
        <v>36.996000000000002</v>
      </c>
      <c r="S244">
        <v>35.220999999999997</v>
      </c>
    </row>
    <row r="245" spans="1:19" x14ac:dyDescent="0.2">
      <c r="A245" s="6">
        <v>8.9166666666666661</v>
      </c>
      <c r="B245">
        <v>33.246000000000002</v>
      </c>
      <c r="C245">
        <v>39.298000000000002</v>
      </c>
      <c r="D245">
        <v>30.498000000000001</v>
      </c>
      <c r="E245">
        <v>33.499000000000002</v>
      </c>
      <c r="F245">
        <v>40.264000000000003</v>
      </c>
      <c r="G245">
        <v>54.994999999999997</v>
      </c>
      <c r="H245">
        <v>54.555999999999997</v>
      </c>
      <c r="I245">
        <v>64.600999999999999</v>
      </c>
      <c r="J245">
        <v>51.220999999999997</v>
      </c>
      <c r="K245">
        <v>54.475999999999999</v>
      </c>
      <c r="L245">
        <v>53.859000000000002</v>
      </c>
      <c r="M245">
        <v>26.536000000000001</v>
      </c>
      <c r="N245">
        <v>34.83</v>
      </c>
      <c r="O245">
        <v>31.26</v>
      </c>
      <c r="P245">
        <v>40.503999999999998</v>
      </c>
      <c r="Q245">
        <v>28.356999999999999</v>
      </c>
      <c r="R245">
        <v>36.991</v>
      </c>
      <c r="S245">
        <v>35.207000000000001</v>
      </c>
    </row>
    <row r="246" spans="1:19" x14ac:dyDescent="0.2">
      <c r="A246" s="6">
        <v>8.9333333333333336</v>
      </c>
      <c r="B246">
        <v>33.173999999999999</v>
      </c>
      <c r="C246">
        <v>39.203000000000003</v>
      </c>
      <c r="D246">
        <v>30.45</v>
      </c>
      <c r="E246">
        <v>33.335999999999999</v>
      </c>
      <c r="F246">
        <v>40.420999999999999</v>
      </c>
      <c r="G246">
        <v>55.174999999999997</v>
      </c>
      <c r="H246">
        <v>54.451999999999998</v>
      </c>
      <c r="I246">
        <v>64.578000000000003</v>
      </c>
      <c r="J246">
        <v>51.125999999999998</v>
      </c>
      <c r="K246">
        <v>54.509</v>
      </c>
      <c r="L246">
        <v>53.807000000000002</v>
      </c>
      <c r="M246">
        <v>26.46</v>
      </c>
      <c r="N246">
        <v>34.704999999999998</v>
      </c>
      <c r="O246">
        <v>31.164999999999999</v>
      </c>
      <c r="P246">
        <v>40.472999999999999</v>
      </c>
      <c r="Q246">
        <v>28.15</v>
      </c>
      <c r="R246">
        <v>36.874000000000002</v>
      </c>
      <c r="S246">
        <v>35.180999999999997</v>
      </c>
    </row>
    <row r="247" spans="1:19" x14ac:dyDescent="0.2">
      <c r="A247" s="6">
        <v>8.9499999999999993</v>
      </c>
      <c r="B247">
        <v>33.094000000000001</v>
      </c>
      <c r="C247">
        <v>39.136000000000003</v>
      </c>
      <c r="D247">
        <v>30.440999999999999</v>
      </c>
      <c r="E247">
        <v>33.357999999999997</v>
      </c>
      <c r="F247">
        <v>40.366</v>
      </c>
      <c r="G247">
        <v>55.021999999999998</v>
      </c>
      <c r="H247">
        <v>54.429000000000002</v>
      </c>
      <c r="I247">
        <v>64.537999999999997</v>
      </c>
      <c r="J247">
        <v>50.984000000000002</v>
      </c>
      <c r="K247">
        <v>54.466000000000001</v>
      </c>
      <c r="L247">
        <v>53.734000000000002</v>
      </c>
      <c r="M247">
        <v>26.359000000000002</v>
      </c>
      <c r="N247">
        <v>34.69</v>
      </c>
      <c r="O247">
        <v>30.99</v>
      </c>
      <c r="P247">
        <v>40.366</v>
      </c>
      <c r="Q247">
        <v>28.07</v>
      </c>
      <c r="R247">
        <v>36.789000000000001</v>
      </c>
      <c r="S247">
        <v>35.104999999999997</v>
      </c>
    </row>
    <row r="248" spans="1:19" x14ac:dyDescent="0.2">
      <c r="A248" s="6">
        <v>8.9666666666666668</v>
      </c>
      <c r="B248">
        <v>33.023000000000003</v>
      </c>
      <c r="C248">
        <v>38.825000000000003</v>
      </c>
      <c r="D248">
        <v>30.001000000000001</v>
      </c>
      <c r="E248">
        <v>33.130000000000003</v>
      </c>
      <c r="F248">
        <v>40.337000000000003</v>
      </c>
      <c r="G248">
        <v>54.972999999999999</v>
      </c>
      <c r="H248">
        <v>54.259</v>
      </c>
      <c r="I248">
        <v>64.495000000000005</v>
      </c>
      <c r="J248">
        <v>50.984999999999999</v>
      </c>
      <c r="K248">
        <v>54.451999999999998</v>
      </c>
      <c r="L248">
        <v>53.695999999999998</v>
      </c>
      <c r="M248">
        <v>26.327999999999999</v>
      </c>
      <c r="N248">
        <v>34.685000000000002</v>
      </c>
      <c r="O248">
        <v>30.959</v>
      </c>
      <c r="P248">
        <v>40.298999999999999</v>
      </c>
      <c r="Q248">
        <v>27.989000000000001</v>
      </c>
      <c r="R248">
        <v>36.762999999999998</v>
      </c>
      <c r="S248">
        <v>35.110999999999997</v>
      </c>
    </row>
    <row r="249" spans="1:19" x14ac:dyDescent="0.2">
      <c r="A249" s="6">
        <v>8.9833333333333325</v>
      </c>
      <c r="B249">
        <v>32.930999999999997</v>
      </c>
      <c r="C249">
        <v>38.770000000000003</v>
      </c>
      <c r="D249">
        <v>30.206</v>
      </c>
      <c r="E249">
        <v>33.095999999999997</v>
      </c>
      <c r="F249">
        <v>40.238999999999997</v>
      </c>
      <c r="G249">
        <v>54.926000000000002</v>
      </c>
      <c r="H249">
        <v>54.247999999999998</v>
      </c>
      <c r="I249">
        <v>64.459999999999994</v>
      </c>
      <c r="J249">
        <v>50.96</v>
      </c>
      <c r="K249">
        <v>54.393999999999998</v>
      </c>
      <c r="L249">
        <v>53.656999999999996</v>
      </c>
      <c r="M249">
        <v>26.213000000000001</v>
      </c>
      <c r="N249">
        <v>34.646999999999998</v>
      </c>
      <c r="O249">
        <v>30.885999999999999</v>
      </c>
      <c r="P249">
        <v>40.253</v>
      </c>
      <c r="Q249">
        <v>27.89</v>
      </c>
      <c r="R249">
        <v>36.658999999999999</v>
      </c>
      <c r="S249">
        <v>34.994</v>
      </c>
    </row>
    <row r="250" spans="1:19" x14ac:dyDescent="0.2">
      <c r="A250" s="6">
        <v>9</v>
      </c>
      <c r="B250">
        <v>32.853999999999999</v>
      </c>
      <c r="C250">
        <v>38.478000000000002</v>
      </c>
      <c r="D250">
        <v>30.15</v>
      </c>
      <c r="E250">
        <v>32.79</v>
      </c>
      <c r="F250">
        <v>40.216000000000001</v>
      </c>
      <c r="G250">
        <v>54.868000000000002</v>
      </c>
      <c r="H250">
        <v>54.22</v>
      </c>
      <c r="I250">
        <v>64.423000000000002</v>
      </c>
      <c r="J250">
        <v>50.545999999999999</v>
      </c>
      <c r="K250">
        <v>54.438000000000002</v>
      </c>
      <c r="L250">
        <v>53.558</v>
      </c>
      <c r="M250">
        <v>26.163</v>
      </c>
      <c r="N250">
        <v>34.579000000000001</v>
      </c>
      <c r="O250">
        <v>30.821000000000002</v>
      </c>
      <c r="P250">
        <v>40.213999999999999</v>
      </c>
      <c r="Q250">
        <v>27.876999999999999</v>
      </c>
      <c r="R250">
        <v>36.612000000000002</v>
      </c>
      <c r="S250">
        <v>34.658999999999999</v>
      </c>
    </row>
    <row r="251" spans="1:19" x14ac:dyDescent="0.2">
      <c r="A251" s="6">
        <v>9.0166666666666675</v>
      </c>
      <c r="B251">
        <v>32.805</v>
      </c>
      <c r="C251">
        <v>38.624000000000002</v>
      </c>
      <c r="D251">
        <v>30.116</v>
      </c>
      <c r="E251">
        <v>32.871000000000002</v>
      </c>
      <c r="F251">
        <v>40.177</v>
      </c>
      <c r="G251">
        <v>54.81</v>
      </c>
      <c r="H251">
        <v>54.222999999999999</v>
      </c>
      <c r="I251">
        <v>64.27</v>
      </c>
      <c r="J251">
        <v>50.755000000000003</v>
      </c>
      <c r="K251">
        <v>54.277999999999999</v>
      </c>
      <c r="L251">
        <v>53.418999999999997</v>
      </c>
      <c r="M251">
        <v>26.106000000000002</v>
      </c>
      <c r="N251">
        <v>34.557000000000002</v>
      </c>
      <c r="O251">
        <v>30.713999999999999</v>
      </c>
      <c r="P251">
        <v>40.136000000000003</v>
      </c>
      <c r="Q251">
        <v>27.690999999999999</v>
      </c>
      <c r="R251">
        <v>36.540999999999997</v>
      </c>
      <c r="S251">
        <v>34.536999999999999</v>
      </c>
    </row>
    <row r="252" spans="1:19" x14ac:dyDescent="0.2">
      <c r="A252" s="6">
        <v>9.0333333333333332</v>
      </c>
      <c r="B252">
        <v>32.686</v>
      </c>
      <c r="C252">
        <v>38.462000000000003</v>
      </c>
      <c r="D252">
        <v>29.628</v>
      </c>
      <c r="E252">
        <v>32.92</v>
      </c>
      <c r="F252">
        <v>40.1</v>
      </c>
      <c r="G252">
        <v>54.628</v>
      </c>
      <c r="H252">
        <v>54.112000000000002</v>
      </c>
      <c r="I252">
        <v>64.242000000000004</v>
      </c>
      <c r="J252">
        <v>50.728999999999999</v>
      </c>
      <c r="K252">
        <v>54.277999999999999</v>
      </c>
      <c r="L252">
        <v>53.357999999999997</v>
      </c>
      <c r="M252">
        <v>25.971</v>
      </c>
      <c r="N252">
        <v>34.51</v>
      </c>
      <c r="O252">
        <v>30.648</v>
      </c>
      <c r="P252">
        <v>40.076000000000001</v>
      </c>
      <c r="Q252">
        <v>27.602</v>
      </c>
      <c r="R252">
        <v>36.405000000000001</v>
      </c>
      <c r="S252">
        <v>34.401000000000003</v>
      </c>
    </row>
    <row r="253" spans="1:19" x14ac:dyDescent="0.2">
      <c r="A253" s="6">
        <v>9.0500000000000007</v>
      </c>
      <c r="B253">
        <v>32.679000000000002</v>
      </c>
      <c r="C253">
        <v>38.436999999999998</v>
      </c>
      <c r="D253">
        <v>29.891999999999999</v>
      </c>
      <c r="E253">
        <v>32.875</v>
      </c>
      <c r="F253">
        <v>40.081000000000003</v>
      </c>
      <c r="G253">
        <v>54.600999999999999</v>
      </c>
      <c r="H253">
        <v>54.027000000000001</v>
      </c>
      <c r="I253">
        <v>64.180999999999997</v>
      </c>
      <c r="J253">
        <v>50.439</v>
      </c>
      <c r="K253">
        <v>54.274999999999999</v>
      </c>
      <c r="L253">
        <v>53.335000000000001</v>
      </c>
      <c r="M253">
        <v>25.922999999999998</v>
      </c>
      <c r="N253">
        <v>34.365000000000002</v>
      </c>
      <c r="O253">
        <v>30.561</v>
      </c>
      <c r="P253">
        <v>39.987000000000002</v>
      </c>
      <c r="Q253">
        <v>27.515999999999998</v>
      </c>
      <c r="R253">
        <v>36.368000000000002</v>
      </c>
      <c r="S253">
        <v>34.457999999999998</v>
      </c>
    </row>
    <row r="254" spans="1:19" x14ac:dyDescent="0.2">
      <c r="A254" s="6">
        <v>9.0666666666666664</v>
      </c>
      <c r="B254">
        <v>32.612000000000002</v>
      </c>
      <c r="C254">
        <v>38.384999999999998</v>
      </c>
      <c r="D254">
        <v>29.855</v>
      </c>
      <c r="E254">
        <v>32.811999999999998</v>
      </c>
      <c r="F254">
        <v>39.942</v>
      </c>
      <c r="G254">
        <v>54.457000000000001</v>
      </c>
      <c r="H254">
        <v>53.98</v>
      </c>
      <c r="I254">
        <v>64.158000000000001</v>
      </c>
      <c r="J254">
        <v>50.618000000000002</v>
      </c>
      <c r="K254">
        <v>54.231999999999999</v>
      </c>
      <c r="L254">
        <v>53.256999999999998</v>
      </c>
      <c r="M254">
        <v>25.841999999999999</v>
      </c>
      <c r="N254">
        <v>34.274999999999999</v>
      </c>
      <c r="O254">
        <v>30.440999999999999</v>
      </c>
      <c r="P254">
        <v>39.881999999999998</v>
      </c>
      <c r="Q254">
        <v>27.408999999999999</v>
      </c>
      <c r="R254">
        <v>36.264000000000003</v>
      </c>
      <c r="S254">
        <v>34.472999999999999</v>
      </c>
    </row>
    <row r="255" spans="1:19" x14ac:dyDescent="0.2">
      <c r="A255" s="6">
        <v>9.0833333333333339</v>
      </c>
      <c r="B255">
        <v>32.543999999999997</v>
      </c>
      <c r="C255">
        <v>38.401000000000003</v>
      </c>
      <c r="D255">
        <v>29.809000000000001</v>
      </c>
      <c r="E255">
        <v>32.795999999999999</v>
      </c>
      <c r="F255">
        <v>39.893999999999998</v>
      </c>
      <c r="G255">
        <v>54.366</v>
      </c>
      <c r="H255">
        <v>53.804000000000002</v>
      </c>
      <c r="I255">
        <v>64.031000000000006</v>
      </c>
      <c r="J255">
        <v>50.597999999999999</v>
      </c>
      <c r="K255">
        <v>54.268000000000001</v>
      </c>
      <c r="L255">
        <v>53.213999999999999</v>
      </c>
      <c r="M255">
        <v>25.780999999999999</v>
      </c>
      <c r="N255">
        <v>34.305999999999997</v>
      </c>
      <c r="O255">
        <v>30.376999999999999</v>
      </c>
      <c r="P255">
        <v>39.863</v>
      </c>
      <c r="Q255">
        <v>27.337</v>
      </c>
      <c r="R255">
        <v>36.247999999999998</v>
      </c>
      <c r="S255">
        <v>34.22</v>
      </c>
    </row>
    <row r="256" spans="1:19" x14ac:dyDescent="0.2">
      <c r="A256" s="6">
        <v>9.1</v>
      </c>
      <c r="B256">
        <v>32.444000000000003</v>
      </c>
      <c r="C256">
        <v>38.366</v>
      </c>
      <c r="D256">
        <v>29.628</v>
      </c>
      <c r="E256">
        <v>32.767000000000003</v>
      </c>
      <c r="F256">
        <v>39.854999999999997</v>
      </c>
      <c r="G256">
        <v>54.287999999999997</v>
      </c>
      <c r="H256">
        <v>53.738999999999997</v>
      </c>
      <c r="I256">
        <v>63.972999999999999</v>
      </c>
      <c r="J256">
        <v>50.499000000000002</v>
      </c>
      <c r="K256">
        <v>54.183</v>
      </c>
      <c r="L256">
        <v>53.154000000000003</v>
      </c>
      <c r="M256">
        <v>25.655999999999999</v>
      </c>
      <c r="N256">
        <v>34.094999999999999</v>
      </c>
      <c r="O256">
        <v>30.283999999999999</v>
      </c>
      <c r="P256">
        <v>39.79</v>
      </c>
      <c r="Q256">
        <v>27.265000000000001</v>
      </c>
      <c r="R256">
        <v>36.134999999999998</v>
      </c>
      <c r="S256">
        <v>34.374000000000002</v>
      </c>
    </row>
    <row r="257" spans="1:19" x14ac:dyDescent="0.2">
      <c r="A257" s="6">
        <v>9.1166666666666671</v>
      </c>
      <c r="B257">
        <v>32.365000000000002</v>
      </c>
      <c r="C257">
        <v>38.276000000000003</v>
      </c>
      <c r="D257">
        <v>29.687000000000001</v>
      </c>
      <c r="E257">
        <v>32.709000000000003</v>
      </c>
      <c r="F257">
        <v>39.798999999999999</v>
      </c>
      <c r="G257">
        <v>54.225000000000001</v>
      </c>
      <c r="H257">
        <v>53.686999999999998</v>
      </c>
      <c r="I257">
        <v>63.942999999999998</v>
      </c>
      <c r="J257">
        <v>50.436999999999998</v>
      </c>
      <c r="K257">
        <v>53.978999999999999</v>
      </c>
      <c r="L257">
        <v>53.164999999999999</v>
      </c>
      <c r="M257">
        <v>25.646000000000001</v>
      </c>
      <c r="N257">
        <v>34.069000000000003</v>
      </c>
      <c r="O257">
        <v>30.24</v>
      </c>
      <c r="P257">
        <v>39.715000000000003</v>
      </c>
      <c r="Q257">
        <v>27.297999999999998</v>
      </c>
      <c r="R257">
        <v>36.070999999999998</v>
      </c>
      <c r="S257">
        <v>34.31</v>
      </c>
    </row>
    <row r="258" spans="1:19" x14ac:dyDescent="0.2">
      <c r="A258" s="6">
        <v>9.1333333333333329</v>
      </c>
      <c r="B258">
        <v>32.280999999999999</v>
      </c>
      <c r="C258">
        <v>38.167000000000002</v>
      </c>
      <c r="D258">
        <v>29.411999999999999</v>
      </c>
      <c r="E258">
        <v>32.619999999999997</v>
      </c>
      <c r="F258">
        <v>39.517000000000003</v>
      </c>
      <c r="G258">
        <v>54.197000000000003</v>
      </c>
      <c r="H258">
        <v>53.588999999999999</v>
      </c>
      <c r="I258">
        <v>63.890999999999998</v>
      </c>
      <c r="J258">
        <v>50.155000000000001</v>
      </c>
      <c r="K258">
        <v>53.972000000000001</v>
      </c>
      <c r="L258">
        <v>53.008000000000003</v>
      </c>
      <c r="M258">
        <v>25.577000000000002</v>
      </c>
      <c r="N258">
        <v>33.959000000000003</v>
      </c>
      <c r="O258">
        <v>30.206</v>
      </c>
      <c r="P258">
        <v>39.579000000000001</v>
      </c>
      <c r="Q258">
        <v>27.152999999999999</v>
      </c>
      <c r="R258">
        <v>35.895000000000003</v>
      </c>
      <c r="S258">
        <v>34.281999999999996</v>
      </c>
    </row>
    <row r="259" spans="1:19" x14ac:dyDescent="0.2">
      <c r="A259" s="6">
        <v>9.15</v>
      </c>
      <c r="B259">
        <v>32.19</v>
      </c>
      <c r="C259">
        <v>38.134999999999998</v>
      </c>
      <c r="D259">
        <v>29.065999999999999</v>
      </c>
      <c r="E259">
        <v>32.253999999999998</v>
      </c>
      <c r="F259">
        <v>39.353999999999999</v>
      </c>
      <c r="G259">
        <v>54.121000000000002</v>
      </c>
      <c r="H259">
        <v>53.491999999999997</v>
      </c>
      <c r="I259">
        <v>63.91</v>
      </c>
      <c r="J259">
        <v>50.234000000000002</v>
      </c>
      <c r="K259">
        <v>54.003</v>
      </c>
      <c r="L259">
        <v>52.917000000000002</v>
      </c>
      <c r="M259">
        <v>25.484000000000002</v>
      </c>
      <c r="N259">
        <v>33.942999999999998</v>
      </c>
      <c r="O259">
        <v>30.04</v>
      </c>
      <c r="P259">
        <v>39.579000000000001</v>
      </c>
      <c r="Q259">
        <v>27.143000000000001</v>
      </c>
      <c r="R259">
        <v>35.877000000000002</v>
      </c>
      <c r="S259">
        <v>34.195</v>
      </c>
    </row>
    <row r="260" spans="1:19" x14ac:dyDescent="0.2">
      <c r="A260" s="6">
        <v>9.1666666666666661</v>
      </c>
      <c r="B260">
        <v>32.052999999999997</v>
      </c>
      <c r="C260">
        <v>38.119</v>
      </c>
      <c r="D260">
        <v>29.411000000000001</v>
      </c>
      <c r="E260">
        <v>32.21</v>
      </c>
      <c r="F260">
        <v>39.380000000000003</v>
      </c>
      <c r="G260">
        <v>54.030999999999999</v>
      </c>
      <c r="H260">
        <v>53.369</v>
      </c>
      <c r="I260">
        <v>63.868000000000002</v>
      </c>
      <c r="J260">
        <v>50.180999999999997</v>
      </c>
      <c r="K260">
        <v>53.953000000000003</v>
      </c>
      <c r="L260">
        <v>52.87</v>
      </c>
      <c r="M260">
        <v>25.364999999999998</v>
      </c>
      <c r="N260">
        <v>33.878</v>
      </c>
      <c r="O260">
        <v>29.971</v>
      </c>
      <c r="P260">
        <v>39.526000000000003</v>
      </c>
      <c r="Q260">
        <v>27.032</v>
      </c>
      <c r="R260">
        <v>35.881</v>
      </c>
      <c r="S260">
        <v>34.072000000000003</v>
      </c>
    </row>
    <row r="261" spans="1:19" x14ac:dyDescent="0.2">
      <c r="A261" s="6">
        <v>9.1833333333333336</v>
      </c>
      <c r="B261">
        <v>32.009</v>
      </c>
      <c r="C261">
        <v>38.094999999999999</v>
      </c>
      <c r="D261">
        <v>29.329000000000001</v>
      </c>
      <c r="E261">
        <v>32.313000000000002</v>
      </c>
      <c r="F261">
        <v>39.222999999999999</v>
      </c>
      <c r="G261">
        <v>54.000999999999998</v>
      </c>
      <c r="H261">
        <v>53.387</v>
      </c>
      <c r="I261">
        <v>63.847999999999999</v>
      </c>
      <c r="J261">
        <v>50.098999999999997</v>
      </c>
      <c r="K261">
        <v>53.969000000000001</v>
      </c>
      <c r="L261">
        <v>52.793999999999997</v>
      </c>
      <c r="M261">
        <v>25.324000000000002</v>
      </c>
      <c r="N261">
        <v>33.908999999999999</v>
      </c>
      <c r="O261">
        <v>29.852</v>
      </c>
      <c r="P261">
        <v>39.442999999999998</v>
      </c>
      <c r="Q261">
        <v>26.867999999999999</v>
      </c>
      <c r="R261">
        <v>35.798999999999999</v>
      </c>
      <c r="S261">
        <v>34.026000000000003</v>
      </c>
    </row>
    <row r="262" spans="1:19" x14ac:dyDescent="0.2">
      <c r="A262" s="6">
        <v>9.1999999999999993</v>
      </c>
      <c r="B262">
        <v>31.934999999999999</v>
      </c>
      <c r="C262">
        <v>38.006999999999998</v>
      </c>
      <c r="D262">
        <v>28.72</v>
      </c>
      <c r="E262">
        <v>32.176000000000002</v>
      </c>
      <c r="F262">
        <v>39.174999999999997</v>
      </c>
      <c r="G262">
        <v>53.777999999999999</v>
      </c>
      <c r="H262">
        <v>53.058</v>
      </c>
      <c r="I262">
        <v>63.697000000000003</v>
      </c>
      <c r="J262">
        <v>49.94</v>
      </c>
      <c r="K262">
        <v>53.935000000000002</v>
      </c>
      <c r="L262">
        <v>52.83</v>
      </c>
      <c r="M262">
        <v>25.140999999999998</v>
      </c>
      <c r="N262">
        <v>33.796999999999997</v>
      </c>
      <c r="O262">
        <v>29.789000000000001</v>
      </c>
      <c r="P262">
        <v>39.381</v>
      </c>
      <c r="Q262">
        <v>26.841999999999999</v>
      </c>
      <c r="R262">
        <v>35.606999999999999</v>
      </c>
      <c r="S262">
        <v>34.033000000000001</v>
      </c>
    </row>
    <row r="263" spans="1:19" x14ac:dyDescent="0.2">
      <c r="A263" s="6">
        <v>9.2166666666666668</v>
      </c>
      <c r="B263">
        <v>31.693999999999999</v>
      </c>
      <c r="C263">
        <v>37.969000000000001</v>
      </c>
      <c r="D263">
        <v>29.152999999999999</v>
      </c>
      <c r="E263">
        <v>31.884</v>
      </c>
      <c r="F263">
        <v>39.103000000000002</v>
      </c>
      <c r="G263">
        <v>53.801000000000002</v>
      </c>
      <c r="H263">
        <v>52.996000000000002</v>
      </c>
      <c r="I263">
        <v>63.665999999999997</v>
      </c>
      <c r="J263">
        <v>49.962000000000003</v>
      </c>
      <c r="K263">
        <v>53.875</v>
      </c>
      <c r="L263">
        <v>52.734999999999999</v>
      </c>
      <c r="M263">
        <v>25.164999999999999</v>
      </c>
      <c r="N263">
        <v>33.786999999999999</v>
      </c>
      <c r="O263">
        <v>29.722999999999999</v>
      </c>
      <c r="P263">
        <v>39.32</v>
      </c>
      <c r="Q263">
        <v>26.792999999999999</v>
      </c>
      <c r="R263">
        <v>35.616</v>
      </c>
      <c r="S263">
        <v>33.831000000000003</v>
      </c>
    </row>
    <row r="264" spans="1:19" x14ac:dyDescent="0.2">
      <c r="A264" s="6">
        <v>9.2333333333333325</v>
      </c>
      <c r="B264">
        <v>31.681999999999999</v>
      </c>
      <c r="C264">
        <v>37.771999999999998</v>
      </c>
      <c r="D264">
        <v>29.023</v>
      </c>
      <c r="E264">
        <v>31.838999999999999</v>
      </c>
      <c r="F264">
        <v>38.811999999999998</v>
      </c>
      <c r="G264">
        <v>53.694000000000003</v>
      </c>
      <c r="H264">
        <v>53.143999999999998</v>
      </c>
      <c r="I264">
        <v>63.6</v>
      </c>
      <c r="J264">
        <v>49.811</v>
      </c>
      <c r="K264">
        <v>53.783999999999999</v>
      </c>
      <c r="L264">
        <v>52.674999999999997</v>
      </c>
      <c r="M264">
        <v>25.024000000000001</v>
      </c>
      <c r="N264">
        <v>33.552999999999997</v>
      </c>
      <c r="O264">
        <v>29.626999999999999</v>
      </c>
      <c r="P264">
        <v>39.252000000000002</v>
      </c>
      <c r="Q264">
        <v>26.742999999999999</v>
      </c>
      <c r="R264">
        <v>35.595999999999997</v>
      </c>
      <c r="S264">
        <v>33.844999999999999</v>
      </c>
    </row>
    <row r="265" spans="1:19" x14ac:dyDescent="0.2">
      <c r="A265" s="6">
        <v>9.25</v>
      </c>
      <c r="B265">
        <v>31.664999999999999</v>
      </c>
      <c r="C265">
        <v>37.665999999999997</v>
      </c>
      <c r="D265">
        <v>28.97</v>
      </c>
      <c r="E265">
        <v>31.77</v>
      </c>
      <c r="F265">
        <v>38.683</v>
      </c>
      <c r="G265">
        <v>53.65</v>
      </c>
      <c r="H265">
        <v>52.813000000000002</v>
      </c>
      <c r="I265">
        <v>63.527999999999999</v>
      </c>
      <c r="J265">
        <v>49.875</v>
      </c>
      <c r="K265">
        <v>53.734999999999999</v>
      </c>
      <c r="L265">
        <v>52.665999999999997</v>
      </c>
      <c r="M265">
        <v>25</v>
      </c>
      <c r="N265">
        <v>33.56</v>
      </c>
      <c r="O265">
        <v>29.562000000000001</v>
      </c>
      <c r="P265">
        <v>39.180999999999997</v>
      </c>
      <c r="Q265">
        <v>26.614999999999998</v>
      </c>
      <c r="R265">
        <v>35.485999999999997</v>
      </c>
      <c r="S265">
        <v>33.790999999999997</v>
      </c>
    </row>
    <row r="266" spans="1:19" x14ac:dyDescent="0.2">
      <c r="A266" s="6">
        <v>9.2666666666666675</v>
      </c>
      <c r="B266">
        <v>31.405000000000001</v>
      </c>
      <c r="C266">
        <v>37.64</v>
      </c>
      <c r="D266">
        <v>28.882000000000001</v>
      </c>
      <c r="E266">
        <v>31.815999999999999</v>
      </c>
      <c r="F266">
        <v>38.744</v>
      </c>
      <c r="G266">
        <v>53.524999999999999</v>
      </c>
      <c r="H266">
        <v>52.963000000000001</v>
      </c>
      <c r="I266">
        <v>63.517000000000003</v>
      </c>
      <c r="J266">
        <v>49.77</v>
      </c>
      <c r="K266">
        <v>53.713000000000001</v>
      </c>
      <c r="L266">
        <v>52.61</v>
      </c>
      <c r="M266">
        <v>24.919</v>
      </c>
      <c r="N266">
        <v>33.399000000000001</v>
      </c>
      <c r="O266">
        <v>29.434999999999999</v>
      </c>
      <c r="P266">
        <v>39.094000000000001</v>
      </c>
      <c r="Q266">
        <v>26.542000000000002</v>
      </c>
      <c r="R266">
        <v>35.380000000000003</v>
      </c>
      <c r="S266">
        <v>33.753</v>
      </c>
    </row>
    <row r="267" spans="1:19" x14ac:dyDescent="0.2">
      <c r="A267" s="6">
        <v>9.2833333333333332</v>
      </c>
      <c r="B267">
        <v>31.402000000000001</v>
      </c>
      <c r="C267">
        <v>37.588999999999999</v>
      </c>
      <c r="D267">
        <v>28.794</v>
      </c>
      <c r="E267">
        <v>31.838999999999999</v>
      </c>
      <c r="F267">
        <v>38.64</v>
      </c>
      <c r="G267">
        <v>53.481999999999999</v>
      </c>
      <c r="H267">
        <v>52.896999999999998</v>
      </c>
      <c r="I267">
        <v>63.469000000000001</v>
      </c>
      <c r="J267">
        <v>49.573</v>
      </c>
      <c r="K267">
        <v>53.701000000000001</v>
      </c>
      <c r="L267">
        <v>52.496000000000002</v>
      </c>
      <c r="M267">
        <v>24.85</v>
      </c>
      <c r="N267">
        <v>33.366</v>
      </c>
      <c r="O267">
        <v>29.314</v>
      </c>
      <c r="P267">
        <v>39.066000000000003</v>
      </c>
      <c r="Q267">
        <v>26.434999999999999</v>
      </c>
      <c r="R267">
        <v>35.453000000000003</v>
      </c>
      <c r="S267">
        <v>33.659999999999997</v>
      </c>
    </row>
    <row r="268" spans="1:19" x14ac:dyDescent="0.2">
      <c r="A268" s="6">
        <v>9.3000000000000007</v>
      </c>
      <c r="B268">
        <v>31.420999999999999</v>
      </c>
      <c r="C268">
        <v>37.451999999999998</v>
      </c>
      <c r="D268">
        <v>28.207000000000001</v>
      </c>
      <c r="E268">
        <v>31.786999999999999</v>
      </c>
      <c r="F268">
        <v>38.534999999999997</v>
      </c>
      <c r="G268">
        <v>53.363999999999997</v>
      </c>
      <c r="H268">
        <v>52.807000000000002</v>
      </c>
      <c r="I268">
        <v>63.402999999999999</v>
      </c>
      <c r="J268">
        <v>49.662999999999997</v>
      </c>
      <c r="K268">
        <v>53.598999999999997</v>
      </c>
      <c r="L268">
        <v>52.542999999999999</v>
      </c>
      <c r="M268">
        <v>24.780999999999999</v>
      </c>
      <c r="N268">
        <v>33.323</v>
      </c>
      <c r="O268">
        <v>29.268000000000001</v>
      </c>
      <c r="P268">
        <v>38.975999999999999</v>
      </c>
      <c r="Q268">
        <v>26.391999999999999</v>
      </c>
      <c r="R268">
        <v>35.225999999999999</v>
      </c>
      <c r="S268">
        <v>33.381</v>
      </c>
    </row>
    <row r="269" spans="1:19" x14ac:dyDescent="0.2">
      <c r="A269" s="6">
        <v>9.3166666666666664</v>
      </c>
      <c r="B269">
        <v>31.302</v>
      </c>
      <c r="C269">
        <v>37.347999999999999</v>
      </c>
      <c r="D269">
        <v>28.597000000000001</v>
      </c>
      <c r="E269">
        <v>31.759</v>
      </c>
      <c r="F269">
        <v>38.509</v>
      </c>
      <c r="G269">
        <v>53.265000000000001</v>
      </c>
      <c r="H269">
        <v>52.734000000000002</v>
      </c>
      <c r="I269">
        <v>63.390999999999998</v>
      </c>
      <c r="J269">
        <v>49.582999999999998</v>
      </c>
      <c r="K269">
        <v>53.531999999999996</v>
      </c>
      <c r="L269">
        <v>52.442999999999998</v>
      </c>
      <c r="M269">
        <v>24.707999999999998</v>
      </c>
      <c r="N269">
        <v>33.249000000000002</v>
      </c>
      <c r="O269">
        <v>29.058</v>
      </c>
      <c r="P269">
        <v>38.933</v>
      </c>
      <c r="Q269">
        <v>26.26</v>
      </c>
      <c r="R269">
        <v>35.201000000000001</v>
      </c>
      <c r="S269">
        <v>33.570999999999998</v>
      </c>
    </row>
    <row r="270" spans="1:19" x14ac:dyDescent="0.2">
      <c r="A270" s="6">
        <v>9.3333333333333339</v>
      </c>
      <c r="B270">
        <v>31.248999999999999</v>
      </c>
      <c r="C270">
        <v>37.351999999999997</v>
      </c>
      <c r="D270">
        <v>28.513000000000002</v>
      </c>
      <c r="E270">
        <v>31.74</v>
      </c>
      <c r="F270">
        <v>38.392000000000003</v>
      </c>
      <c r="G270">
        <v>53.182000000000002</v>
      </c>
      <c r="H270">
        <v>52.680999999999997</v>
      </c>
      <c r="I270">
        <v>63.372</v>
      </c>
      <c r="J270">
        <v>49.540999999999997</v>
      </c>
      <c r="K270">
        <v>53.427</v>
      </c>
      <c r="L270">
        <v>52.405000000000001</v>
      </c>
      <c r="M270">
        <v>24.638000000000002</v>
      </c>
      <c r="N270">
        <v>33.195999999999998</v>
      </c>
      <c r="O270">
        <v>29.094000000000001</v>
      </c>
      <c r="P270">
        <v>38.881</v>
      </c>
      <c r="Q270">
        <v>26.137</v>
      </c>
      <c r="R270">
        <v>35.106000000000002</v>
      </c>
      <c r="S270">
        <v>33.283999999999999</v>
      </c>
    </row>
    <row r="271" spans="1:19" x14ac:dyDescent="0.2">
      <c r="A271" s="6">
        <v>9.35</v>
      </c>
      <c r="B271">
        <v>31.143000000000001</v>
      </c>
      <c r="C271">
        <v>37.322000000000003</v>
      </c>
      <c r="D271">
        <v>27.925000000000001</v>
      </c>
      <c r="E271">
        <v>31.597000000000001</v>
      </c>
      <c r="F271">
        <v>38.194000000000003</v>
      </c>
      <c r="G271">
        <v>53.112000000000002</v>
      </c>
      <c r="H271">
        <v>52.619</v>
      </c>
      <c r="I271">
        <v>63.171999999999997</v>
      </c>
      <c r="J271">
        <v>48.981999999999999</v>
      </c>
      <c r="K271">
        <v>53.491</v>
      </c>
      <c r="L271">
        <v>52.192</v>
      </c>
      <c r="M271">
        <v>24.565999999999999</v>
      </c>
      <c r="N271">
        <v>33.18</v>
      </c>
      <c r="O271">
        <v>29.027999999999999</v>
      </c>
      <c r="P271">
        <v>38.798000000000002</v>
      </c>
      <c r="Q271">
        <v>26.216999999999999</v>
      </c>
      <c r="R271">
        <v>35.079000000000001</v>
      </c>
      <c r="S271">
        <v>33.286999999999999</v>
      </c>
    </row>
    <row r="272" spans="1:19" x14ac:dyDescent="0.2">
      <c r="A272" s="6">
        <v>9.3666666666666671</v>
      </c>
      <c r="B272">
        <v>31.091999999999999</v>
      </c>
      <c r="C272">
        <v>37.283000000000001</v>
      </c>
      <c r="D272">
        <v>28.28</v>
      </c>
      <c r="E272">
        <v>31.664000000000001</v>
      </c>
      <c r="F272">
        <v>38.200000000000003</v>
      </c>
      <c r="G272">
        <v>53.057000000000002</v>
      </c>
      <c r="H272">
        <v>52.567</v>
      </c>
      <c r="I272">
        <v>63.203000000000003</v>
      </c>
      <c r="J272">
        <v>49.319000000000003</v>
      </c>
      <c r="K272">
        <v>53.417000000000002</v>
      </c>
      <c r="L272">
        <v>52.264000000000003</v>
      </c>
      <c r="M272">
        <v>24.442</v>
      </c>
      <c r="N272">
        <v>33.103999999999999</v>
      </c>
      <c r="O272">
        <v>28.978999999999999</v>
      </c>
      <c r="P272">
        <v>38.801000000000002</v>
      </c>
      <c r="Q272">
        <v>26.085000000000001</v>
      </c>
      <c r="R272">
        <v>35.049999999999997</v>
      </c>
      <c r="S272">
        <v>33.329000000000001</v>
      </c>
    </row>
    <row r="273" spans="1:19" x14ac:dyDescent="0.2">
      <c r="A273" s="6">
        <v>9.3833333333333329</v>
      </c>
      <c r="B273">
        <v>30.977</v>
      </c>
      <c r="C273">
        <v>37.29</v>
      </c>
      <c r="D273">
        <v>28.216000000000001</v>
      </c>
      <c r="E273">
        <v>31.581</v>
      </c>
      <c r="F273">
        <v>38.171999999999997</v>
      </c>
      <c r="G273">
        <v>52.948999999999998</v>
      </c>
      <c r="H273">
        <v>52.494</v>
      </c>
      <c r="I273">
        <v>63.084000000000003</v>
      </c>
      <c r="J273">
        <v>49.329000000000001</v>
      </c>
      <c r="K273">
        <v>53.23</v>
      </c>
      <c r="L273">
        <v>52.167000000000002</v>
      </c>
      <c r="M273">
        <v>24.399000000000001</v>
      </c>
      <c r="N273">
        <v>33.088999999999999</v>
      </c>
      <c r="O273">
        <v>28.859000000000002</v>
      </c>
      <c r="P273">
        <v>38.715000000000003</v>
      </c>
      <c r="Q273">
        <v>25.977</v>
      </c>
      <c r="R273">
        <v>34.863999999999997</v>
      </c>
      <c r="S273">
        <v>33.186999999999998</v>
      </c>
    </row>
    <row r="274" spans="1:19" x14ac:dyDescent="0.2">
      <c r="A274" s="6">
        <v>9.4</v>
      </c>
      <c r="B274">
        <v>30.88</v>
      </c>
      <c r="C274">
        <v>37.244999999999997</v>
      </c>
      <c r="D274">
        <v>28.158999999999999</v>
      </c>
      <c r="E274">
        <v>31.491</v>
      </c>
      <c r="F274">
        <v>37.988999999999997</v>
      </c>
      <c r="G274">
        <v>52.871000000000002</v>
      </c>
      <c r="H274">
        <v>52.421999999999997</v>
      </c>
      <c r="I274">
        <v>63.066000000000003</v>
      </c>
      <c r="J274">
        <v>49.134</v>
      </c>
      <c r="K274">
        <v>53.097999999999999</v>
      </c>
      <c r="L274">
        <v>52.122</v>
      </c>
      <c r="M274">
        <v>24.302</v>
      </c>
      <c r="N274">
        <v>33.000999999999998</v>
      </c>
      <c r="O274">
        <v>28.815999999999999</v>
      </c>
      <c r="P274">
        <v>38.598999999999997</v>
      </c>
      <c r="Q274">
        <v>25.904</v>
      </c>
      <c r="R274">
        <v>34.829000000000001</v>
      </c>
      <c r="S274">
        <v>33.039000000000001</v>
      </c>
    </row>
    <row r="275" spans="1:19" x14ac:dyDescent="0.2">
      <c r="A275" s="6">
        <v>9.4166666666666661</v>
      </c>
      <c r="B275">
        <v>30.861000000000001</v>
      </c>
      <c r="C275">
        <v>37.173000000000002</v>
      </c>
      <c r="D275">
        <v>27.943000000000001</v>
      </c>
      <c r="E275">
        <v>31.356000000000002</v>
      </c>
      <c r="F275">
        <v>37.908000000000001</v>
      </c>
      <c r="G275">
        <v>52.786000000000001</v>
      </c>
      <c r="H275">
        <v>52.231999999999999</v>
      </c>
      <c r="I275">
        <v>62.960999999999999</v>
      </c>
      <c r="J275">
        <v>49.154000000000003</v>
      </c>
      <c r="K275">
        <v>53.101999999999997</v>
      </c>
      <c r="L275">
        <v>52.091000000000001</v>
      </c>
      <c r="M275">
        <v>24.2</v>
      </c>
      <c r="N275">
        <v>32.881999999999998</v>
      </c>
      <c r="O275">
        <v>28.678999999999998</v>
      </c>
      <c r="P275">
        <v>38.551000000000002</v>
      </c>
      <c r="Q275">
        <v>25.827999999999999</v>
      </c>
      <c r="R275">
        <v>34.725999999999999</v>
      </c>
      <c r="S275">
        <v>33.100999999999999</v>
      </c>
    </row>
    <row r="276" spans="1:19" x14ac:dyDescent="0.2">
      <c r="A276" s="6">
        <v>9.4333333333333336</v>
      </c>
      <c r="B276">
        <v>30.672000000000001</v>
      </c>
      <c r="C276">
        <v>36.960999999999999</v>
      </c>
      <c r="D276">
        <v>28.041</v>
      </c>
      <c r="E276">
        <v>31.317</v>
      </c>
      <c r="F276">
        <v>37.834000000000003</v>
      </c>
      <c r="G276">
        <v>52.662999999999997</v>
      </c>
      <c r="H276">
        <v>52.212000000000003</v>
      </c>
      <c r="I276">
        <v>62.959000000000003</v>
      </c>
      <c r="J276">
        <v>49.042000000000002</v>
      </c>
      <c r="K276">
        <v>53.131</v>
      </c>
      <c r="L276">
        <v>52.063000000000002</v>
      </c>
      <c r="M276">
        <v>24.103999999999999</v>
      </c>
      <c r="N276">
        <v>32.779000000000003</v>
      </c>
      <c r="O276">
        <v>28.591999999999999</v>
      </c>
      <c r="P276">
        <v>38.514000000000003</v>
      </c>
      <c r="Q276">
        <v>25.695</v>
      </c>
      <c r="R276">
        <v>34.674999999999997</v>
      </c>
      <c r="S276">
        <v>32.991</v>
      </c>
    </row>
    <row r="277" spans="1:19" x14ac:dyDescent="0.2">
      <c r="A277" s="6">
        <v>9.4499999999999993</v>
      </c>
      <c r="B277">
        <v>30.664000000000001</v>
      </c>
      <c r="C277">
        <v>36.915999999999997</v>
      </c>
      <c r="D277">
        <v>27.952999999999999</v>
      </c>
      <c r="E277">
        <v>31.047000000000001</v>
      </c>
      <c r="F277">
        <v>37.796999999999997</v>
      </c>
      <c r="G277">
        <v>52.613</v>
      </c>
      <c r="H277">
        <v>52.168999999999997</v>
      </c>
      <c r="I277">
        <v>62.878999999999998</v>
      </c>
      <c r="J277">
        <v>49.015000000000001</v>
      </c>
      <c r="K277">
        <v>52.825000000000003</v>
      </c>
      <c r="L277">
        <v>52.009</v>
      </c>
      <c r="M277">
        <v>24.068999999999999</v>
      </c>
      <c r="N277">
        <v>32.683999999999997</v>
      </c>
      <c r="O277">
        <v>28.518999999999998</v>
      </c>
      <c r="P277">
        <v>38.420999999999999</v>
      </c>
      <c r="Q277">
        <v>25.619</v>
      </c>
      <c r="R277">
        <v>34.578000000000003</v>
      </c>
      <c r="S277">
        <v>32.755000000000003</v>
      </c>
    </row>
    <row r="278" spans="1:19" x14ac:dyDescent="0.2">
      <c r="A278" s="6">
        <v>9.4666666666666668</v>
      </c>
      <c r="B278">
        <v>30.527999999999999</v>
      </c>
      <c r="C278">
        <v>36.859000000000002</v>
      </c>
      <c r="D278">
        <v>27.914999999999999</v>
      </c>
      <c r="E278">
        <v>31.064</v>
      </c>
      <c r="F278">
        <v>37.728000000000002</v>
      </c>
      <c r="G278">
        <v>52.533999999999999</v>
      </c>
      <c r="H278">
        <v>51.994</v>
      </c>
      <c r="I278">
        <v>62.851999999999997</v>
      </c>
      <c r="J278">
        <v>48.97</v>
      </c>
      <c r="K278">
        <v>52.734999999999999</v>
      </c>
      <c r="L278">
        <v>52.005000000000003</v>
      </c>
      <c r="M278">
        <v>23.978000000000002</v>
      </c>
      <c r="N278">
        <v>32.646999999999998</v>
      </c>
      <c r="O278">
        <v>28.411999999999999</v>
      </c>
      <c r="P278">
        <v>38.287999999999997</v>
      </c>
      <c r="Q278">
        <v>25.526</v>
      </c>
      <c r="R278">
        <v>34.569000000000003</v>
      </c>
      <c r="S278">
        <v>32.542000000000002</v>
      </c>
    </row>
    <row r="279" spans="1:19" x14ac:dyDescent="0.2">
      <c r="A279" s="6">
        <v>9.4833333333333325</v>
      </c>
      <c r="B279">
        <v>30.524999999999999</v>
      </c>
      <c r="C279">
        <v>36.664999999999999</v>
      </c>
      <c r="D279">
        <v>27.638999999999999</v>
      </c>
      <c r="E279">
        <v>30.844999999999999</v>
      </c>
      <c r="F279">
        <v>37.871000000000002</v>
      </c>
      <c r="G279">
        <v>52.515000000000001</v>
      </c>
      <c r="H279">
        <v>51.95</v>
      </c>
      <c r="I279">
        <v>62.792000000000002</v>
      </c>
      <c r="J279">
        <v>48.793999999999997</v>
      </c>
      <c r="K279">
        <v>52.701000000000001</v>
      </c>
      <c r="L279">
        <v>51.918999999999997</v>
      </c>
      <c r="M279">
        <v>23.893999999999998</v>
      </c>
      <c r="N279">
        <v>32.543999999999997</v>
      </c>
      <c r="O279">
        <v>28.332000000000001</v>
      </c>
      <c r="P279">
        <v>38.290999999999997</v>
      </c>
      <c r="Q279">
        <v>25.439</v>
      </c>
      <c r="R279">
        <v>34.493000000000002</v>
      </c>
      <c r="S279">
        <v>32.697000000000003</v>
      </c>
    </row>
    <row r="280" spans="1:19" x14ac:dyDescent="0.2">
      <c r="A280" s="6">
        <v>9.5</v>
      </c>
      <c r="B280">
        <v>30.446000000000002</v>
      </c>
      <c r="C280">
        <v>36.502000000000002</v>
      </c>
      <c r="D280">
        <v>27.777999999999999</v>
      </c>
      <c r="E280">
        <v>30.954000000000001</v>
      </c>
      <c r="F280">
        <v>37.649000000000001</v>
      </c>
      <c r="G280">
        <v>52.46</v>
      </c>
      <c r="H280">
        <v>51.851999999999997</v>
      </c>
      <c r="I280">
        <v>62.753</v>
      </c>
      <c r="J280">
        <v>48.622</v>
      </c>
      <c r="K280">
        <v>52.451000000000001</v>
      </c>
      <c r="L280">
        <v>51.874000000000002</v>
      </c>
      <c r="M280">
        <v>23.827999999999999</v>
      </c>
      <c r="N280">
        <v>32.491</v>
      </c>
      <c r="O280">
        <v>28.321999999999999</v>
      </c>
      <c r="P280">
        <v>38.265000000000001</v>
      </c>
      <c r="Q280">
        <v>25.427</v>
      </c>
      <c r="R280">
        <v>34.411000000000001</v>
      </c>
      <c r="S280">
        <v>32.686</v>
      </c>
    </row>
    <row r="281" spans="1:19" x14ac:dyDescent="0.2">
      <c r="A281" s="6">
        <v>9.5166666666666675</v>
      </c>
      <c r="B281">
        <v>30.356000000000002</v>
      </c>
      <c r="C281">
        <v>36.502000000000002</v>
      </c>
      <c r="D281">
        <v>27.66</v>
      </c>
      <c r="E281">
        <v>30.731000000000002</v>
      </c>
      <c r="F281">
        <v>37.485999999999997</v>
      </c>
      <c r="G281">
        <v>52.317999999999998</v>
      </c>
      <c r="H281">
        <v>51.811999999999998</v>
      </c>
      <c r="I281">
        <v>62.741999999999997</v>
      </c>
      <c r="J281">
        <v>48.627000000000002</v>
      </c>
      <c r="K281">
        <v>52.594000000000001</v>
      </c>
      <c r="L281">
        <v>51.834000000000003</v>
      </c>
      <c r="M281">
        <v>23.728999999999999</v>
      </c>
      <c r="N281">
        <v>32.459000000000003</v>
      </c>
      <c r="O281">
        <v>28.222999999999999</v>
      </c>
      <c r="P281">
        <v>38.177</v>
      </c>
      <c r="Q281">
        <v>25.385000000000002</v>
      </c>
      <c r="R281">
        <v>34.328000000000003</v>
      </c>
      <c r="S281">
        <v>32.557000000000002</v>
      </c>
    </row>
    <row r="282" spans="1:19" x14ac:dyDescent="0.2">
      <c r="A282" s="6">
        <v>9.5333333333333332</v>
      </c>
      <c r="B282">
        <v>30.285</v>
      </c>
      <c r="C282">
        <v>36.478999999999999</v>
      </c>
      <c r="D282">
        <v>27.032</v>
      </c>
      <c r="E282">
        <v>30.815999999999999</v>
      </c>
      <c r="F282">
        <v>37.468000000000004</v>
      </c>
      <c r="G282">
        <v>52.27</v>
      </c>
      <c r="H282">
        <v>51.755000000000003</v>
      </c>
      <c r="I282">
        <v>62.682000000000002</v>
      </c>
      <c r="J282">
        <v>48.512999999999998</v>
      </c>
      <c r="K282">
        <v>52.575000000000003</v>
      </c>
      <c r="L282">
        <v>51.386000000000003</v>
      </c>
      <c r="M282">
        <v>23.672999999999998</v>
      </c>
      <c r="N282">
        <v>32.417000000000002</v>
      </c>
      <c r="O282">
        <v>28.071999999999999</v>
      </c>
      <c r="P282">
        <v>38.090000000000003</v>
      </c>
      <c r="Q282">
        <v>25.268999999999998</v>
      </c>
      <c r="R282">
        <v>34.212000000000003</v>
      </c>
      <c r="S282">
        <v>32.529000000000003</v>
      </c>
    </row>
    <row r="283" spans="1:19" x14ac:dyDescent="0.2">
      <c r="A283" s="6">
        <v>9.5500000000000007</v>
      </c>
      <c r="B283">
        <v>30.183</v>
      </c>
      <c r="C283">
        <v>36.444000000000003</v>
      </c>
      <c r="D283">
        <v>27.43</v>
      </c>
      <c r="E283">
        <v>30.815999999999999</v>
      </c>
      <c r="F283">
        <v>37.356999999999999</v>
      </c>
      <c r="G283">
        <v>52.210999999999999</v>
      </c>
      <c r="H283">
        <v>51.588000000000001</v>
      </c>
      <c r="I283">
        <v>62.591000000000001</v>
      </c>
      <c r="J283">
        <v>48.514000000000003</v>
      </c>
      <c r="K283">
        <v>52.317999999999998</v>
      </c>
      <c r="L283">
        <v>51.581000000000003</v>
      </c>
      <c r="M283">
        <v>23.591000000000001</v>
      </c>
      <c r="N283">
        <v>32.334000000000003</v>
      </c>
      <c r="O283">
        <v>28.026</v>
      </c>
      <c r="P283">
        <v>38.023000000000003</v>
      </c>
      <c r="Q283">
        <v>25.248000000000001</v>
      </c>
      <c r="R283">
        <v>34.219000000000001</v>
      </c>
      <c r="S283">
        <v>32.448999999999998</v>
      </c>
    </row>
    <row r="284" spans="1:19" x14ac:dyDescent="0.2">
      <c r="A284" s="6">
        <v>9.5666666666666664</v>
      </c>
      <c r="B284">
        <v>30.126999999999999</v>
      </c>
      <c r="C284">
        <v>36.405000000000001</v>
      </c>
      <c r="D284">
        <v>27.324000000000002</v>
      </c>
      <c r="E284">
        <v>30.786999999999999</v>
      </c>
      <c r="F284">
        <v>37.338999999999999</v>
      </c>
      <c r="G284">
        <v>52.195</v>
      </c>
      <c r="H284">
        <v>51.518999999999998</v>
      </c>
      <c r="I284">
        <v>62.508000000000003</v>
      </c>
      <c r="J284">
        <v>48.298000000000002</v>
      </c>
      <c r="K284">
        <v>52.179000000000002</v>
      </c>
      <c r="L284">
        <v>51.55</v>
      </c>
      <c r="M284">
        <v>23.507999999999999</v>
      </c>
      <c r="N284">
        <v>32.296999999999997</v>
      </c>
      <c r="O284">
        <v>27.986999999999998</v>
      </c>
      <c r="P284">
        <v>37.979999999999997</v>
      </c>
      <c r="Q284">
        <v>25.17</v>
      </c>
      <c r="R284">
        <v>34.11</v>
      </c>
      <c r="S284">
        <v>32.402999999999999</v>
      </c>
    </row>
    <row r="285" spans="1:19" x14ac:dyDescent="0.2">
      <c r="A285" s="6">
        <v>9.5833333333333339</v>
      </c>
      <c r="B285">
        <v>29.995000000000001</v>
      </c>
      <c r="C285">
        <v>36.344999999999999</v>
      </c>
      <c r="D285">
        <v>27.001999999999999</v>
      </c>
      <c r="E285">
        <v>30.524999999999999</v>
      </c>
      <c r="F285">
        <v>37.192</v>
      </c>
      <c r="G285">
        <v>52.116999999999997</v>
      </c>
      <c r="H285">
        <v>51.505000000000003</v>
      </c>
      <c r="I285">
        <v>62.512999999999998</v>
      </c>
      <c r="J285">
        <v>48.332999999999998</v>
      </c>
      <c r="K285">
        <v>52.072000000000003</v>
      </c>
      <c r="L285">
        <v>51.5</v>
      </c>
      <c r="M285">
        <v>23.449000000000002</v>
      </c>
      <c r="N285">
        <v>32.311</v>
      </c>
      <c r="O285">
        <v>27.928000000000001</v>
      </c>
      <c r="P285">
        <v>37.972999999999999</v>
      </c>
      <c r="Q285">
        <v>25.027000000000001</v>
      </c>
      <c r="R285">
        <v>33.984000000000002</v>
      </c>
      <c r="S285">
        <v>32.335999999999999</v>
      </c>
    </row>
    <row r="286" spans="1:19" x14ac:dyDescent="0.2">
      <c r="A286" s="6">
        <v>9.6</v>
      </c>
      <c r="B286">
        <v>29.85</v>
      </c>
      <c r="C286">
        <v>36.33</v>
      </c>
      <c r="D286">
        <v>27.023</v>
      </c>
      <c r="E286">
        <v>30.640999999999998</v>
      </c>
      <c r="F286">
        <v>37.171999999999997</v>
      </c>
      <c r="G286">
        <v>52.018999999999998</v>
      </c>
      <c r="H286">
        <v>51.457000000000001</v>
      </c>
      <c r="I286">
        <v>62.398000000000003</v>
      </c>
      <c r="J286">
        <v>48.338999999999999</v>
      </c>
      <c r="K286">
        <v>51.926000000000002</v>
      </c>
      <c r="L286">
        <v>51.46</v>
      </c>
      <c r="M286">
        <v>23.387</v>
      </c>
      <c r="N286">
        <v>32.191000000000003</v>
      </c>
      <c r="O286">
        <v>27.808</v>
      </c>
      <c r="P286">
        <v>37.847000000000001</v>
      </c>
      <c r="Q286">
        <v>24.954000000000001</v>
      </c>
      <c r="R286">
        <v>33.976999999999997</v>
      </c>
      <c r="S286">
        <v>32.261000000000003</v>
      </c>
    </row>
    <row r="287" spans="1:19" x14ac:dyDescent="0.2">
      <c r="A287" s="6">
        <v>9.6166666666666671</v>
      </c>
      <c r="B287">
        <v>29.827000000000002</v>
      </c>
      <c r="C287">
        <v>36.250999999999998</v>
      </c>
      <c r="D287">
        <v>27.003</v>
      </c>
      <c r="E287">
        <v>30.411000000000001</v>
      </c>
      <c r="F287">
        <v>37.127000000000002</v>
      </c>
      <c r="G287">
        <v>51.994999999999997</v>
      </c>
      <c r="H287">
        <v>51.316000000000003</v>
      </c>
      <c r="I287">
        <v>62.344000000000001</v>
      </c>
      <c r="J287">
        <v>48.161999999999999</v>
      </c>
      <c r="K287">
        <v>51.905999999999999</v>
      </c>
      <c r="L287">
        <v>51.356000000000002</v>
      </c>
      <c r="M287">
        <v>23.317</v>
      </c>
      <c r="N287">
        <v>31.882000000000001</v>
      </c>
      <c r="O287">
        <v>27.7</v>
      </c>
      <c r="P287">
        <v>37.835000000000001</v>
      </c>
      <c r="Q287">
        <v>24.882999999999999</v>
      </c>
      <c r="R287">
        <v>33.927999999999997</v>
      </c>
      <c r="S287">
        <v>32.253</v>
      </c>
    </row>
    <row r="288" spans="1:19" x14ac:dyDescent="0.2">
      <c r="A288" s="6">
        <v>9.6333333333333329</v>
      </c>
      <c r="B288">
        <v>29.792999999999999</v>
      </c>
      <c r="C288">
        <v>36.204999999999998</v>
      </c>
      <c r="D288">
        <v>26.664999999999999</v>
      </c>
      <c r="E288">
        <v>30.358000000000001</v>
      </c>
      <c r="F288">
        <v>37.143999999999998</v>
      </c>
      <c r="G288">
        <v>51.938000000000002</v>
      </c>
      <c r="H288">
        <v>51.185000000000002</v>
      </c>
      <c r="I288">
        <v>62.268999999999998</v>
      </c>
      <c r="J288">
        <v>48.192</v>
      </c>
      <c r="K288">
        <v>51.853999999999999</v>
      </c>
      <c r="L288">
        <v>51.3</v>
      </c>
      <c r="M288">
        <v>23.199000000000002</v>
      </c>
      <c r="N288">
        <v>31.960999999999999</v>
      </c>
      <c r="O288">
        <v>27.655000000000001</v>
      </c>
      <c r="P288">
        <v>37.738999999999997</v>
      </c>
      <c r="Q288">
        <v>24.78</v>
      </c>
      <c r="R288">
        <v>33.853999999999999</v>
      </c>
      <c r="S288">
        <v>32.127000000000002</v>
      </c>
    </row>
    <row r="289" spans="1:19" x14ac:dyDescent="0.2">
      <c r="A289" s="6">
        <v>9.65</v>
      </c>
      <c r="B289">
        <v>29.632000000000001</v>
      </c>
      <c r="C289">
        <v>36.012</v>
      </c>
      <c r="D289">
        <v>26.268999999999998</v>
      </c>
      <c r="E289">
        <v>30.148</v>
      </c>
      <c r="F289">
        <v>37.018000000000001</v>
      </c>
      <c r="G289">
        <v>51.838999999999999</v>
      </c>
      <c r="H289">
        <v>51.151000000000003</v>
      </c>
      <c r="I289">
        <v>62.290999999999997</v>
      </c>
      <c r="J289">
        <v>47.856999999999999</v>
      </c>
      <c r="K289">
        <v>51.758000000000003</v>
      </c>
      <c r="L289">
        <v>51.286000000000001</v>
      </c>
      <c r="M289">
        <v>23.103999999999999</v>
      </c>
      <c r="N289">
        <v>31.9</v>
      </c>
      <c r="O289">
        <v>27.584</v>
      </c>
      <c r="P289">
        <v>37.661000000000001</v>
      </c>
      <c r="Q289">
        <v>24.722000000000001</v>
      </c>
      <c r="R289">
        <v>33.783999999999999</v>
      </c>
      <c r="S289">
        <v>32.106999999999999</v>
      </c>
    </row>
    <row r="290" spans="1:19" x14ac:dyDescent="0.2">
      <c r="A290" s="6">
        <v>9.6666666666666661</v>
      </c>
      <c r="B290">
        <v>29.576000000000001</v>
      </c>
      <c r="C290">
        <v>35.993000000000002</v>
      </c>
      <c r="D290">
        <v>26.315999999999999</v>
      </c>
      <c r="E290">
        <v>30.192</v>
      </c>
      <c r="F290">
        <v>37.011000000000003</v>
      </c>
      <c r="G290">
        <v>51.735999999999997</v>
      </c>
      <c r="H290">
        <v>51.034999999999997</v>
      </c>
      <c r="I290">
        <v>62.212000000000003</v>
      </c>
      <c r="J290">
        <v>47.985999999999997</v>
      </c>
      <c r="K290">
        <v>51.636000000000003</v>
      </c>
      <c r="L290">
        <v>51.22</v>
      </c>
      <c r="M290">
        <v>23.062999999999999</v>
      </c>
      <c r="N290">
        <v>31.870999999999999</v>
      </c>
      <c r="O290">
        <v>27.523</v>
      </c>
      <c r="P290">
        <v>37.604999999999997</v>
      </c>
      <c r="Q290">
        <v>24.72</v>
      </c>
      <c r="R290">
        <v>33.667999999999999</v>
      </c>
      <c r="S290">
        <v>31.956</v>
      </c>
    </row>
    <row r="291" spans="1:19" x14ac:dyDescent="0.2">
      <c r="A291" s="6">
        <v>9.6833333333333336</v>
      </c>
      <c r="B291">
        <v>29.466999999999999</v>
      </c>
      <c r="C291">
        <v>35.902999999999999</v>
      </c>
      <c r="D291">
        <v>26.423999999999999</v>
      </c>
      <c r="E291">
        <v>30.175999999999998</v>
      </c>
      <c r="F291">
        <v>36.872999999999998</v>
      </c>
      <c r="G291">
        <v>51.713000000000001</v>
      </c>
      <c r="H291">
        <v>51.003999999999998</v>
      </c>
      <c r="I291">
        <v>62.164000000000001</v>
      </c>
      <c r="J291">
        <v>47.941000000000003</v>
      </c>
      <c r="K291">
        <v>51.637999999999998</v>
      </c>
      <c r="L291">
        <v>51.22</v>
      </c>
      <c r="M291">
        <v>22.992999999999999</v>
      </c>
      <c r="N291">
        <v>31.733000000000001</v>
      </c>
      <c r="O291">
        <v>27.428999999999998</v>
      </c>
      <c r="P291">
        <v>37.561999999999998</v>
      </c>
      <c r="Q291">
        <v>24.611999999999998</v>
      </c>
      <c r="R291">
        <v>33.659999999999997</v>
      </c>
      <c r="S291">
        <v>31.861000000000001</v>
      </c>
    </row>
    <row r="292" spans="1:19" x14ac:dyDescent="0.2">
      <c r="A292" s="6">
        <v>9.6999999999999993</v>
      </c>
      <c r="B292">
        <v>29.266999999999999</v>
      </c>
      <c r="C292">
        <v>35.847999999999999</v>
      </c>
      <c r="D292">
        <v>26.198</v>
      </c>
      <c r="E292">
        <v>30.166</v>
      </c>
      <c r="F292">
        <v>36.851999999999997</v>
      </c>
      <c r="G292">
        <v>51.68</v>
      </c>
      <c r="H292">
        <v>50.920999999999999</v>
      </c>
      <c r="I292">
        <v>62.145000000000003</v>
      </c>
      <c r="J292">
        <v>47.854999999999997</v>
      </c>
      <c r="K292">
        <v>51.612000000000002</v>
      </c>
      <c r="L292">
        <v>51.164000000000001</v>
      </c>
      <c r="M292">
        <v>22.907</v>
      </c>
      <c r="N292">
        <v>31.745999999999999</v>
      </c>
      <c r="O292">
        <v>27.356999999999999</v>
      </c>
      <c r="P292">
        <v>37.487000000000002</v>
      </c>
      <c r="Q292">
        <v>24.442</v>
      </c>
      <c r="R292">
        <v>33.655999999999999</v>
      </c>
      <c r="S292">
        <v>31.888999999999999</v>
      </c>
    </row>
    <row r="293" spans="1:19" x14ac:dyDescent="0.2">
      <c r="A293" s="6">
        <v>9.7166666666666668</v>
      </c>
      <c r="B293">
        <v>29.257999999999999</v>
      </c>
      <c r="C293">
        <v>35.765999999999998</v>
      </c>
      <c r="D293">
        <v>26.292000000000002</v>
      </c>
      <c r="E293">
        <v>29.866</v>
      </c>
      <c r="F293">
        <v>36.853999999999999</v>
      </c>
      <c r="G293">
        <v>51.56</v>
      </c>
      <c r="H293">
        <v>50.345999999999997</v>
      </c>
      <c r="I293">
        <v>62.078000000000003</v>
      </c>
      <c r="J293">
        <v>47.783999999999999</v>
      </c>
      <c r="K293">
        <v>51.554000000000002</v>
      </c>
      <c r="L293">
        <v>51.057000000000002</v>
      </c>
      <c r="M293">
        <v>22.82</v>
      </c>
      <c r="N293">
        <v>31.678000000000001</v>
      </c>
      <c r="O293">
        <v>27.245999999999999</v>
      </c>
      <c r="P293">
        <v>37.362000000000002</v>
      </c>
      <c r="Q293">
        <v>24.434999999999999</v>
      </c>
      <c r="R293">
        <v>33.531999999999996</v>
      </c>
      <c r="S293">
        <v>31.744</v>
      </c>
    </row>
    <row r="294" spans="1:19" x14ac:dyDescent="0.2">
      <c r="A294" s="6">
        <v>9.7333333333333325</v>
      </c>
      <c r="B294">
        <v>29.263000000000002</v>
      </c>
      <c r="C294">
        <v>35.587000000000003</v>
      </c>
      <c r="D294">
        <v>26.163</v>
      </c>
      <c r="E294">
        <v>29.753</v>
      </c>
      <c r="F294">
        <v>36.692</v>
      </c>
      <c r="G294">
        <v>51.542999999999999</v>
      </c>
      <c r="H294">
        <v>50.616999999999997</v>
      </c>
      <c r="I294">
        <v>61.927999999999997</v>
      </c>
      <c r="J294">
        <v>47.591000000000001</v>
      </c>
      <c r="K294">
        <v>51.398000000000003</v>
      </c>
      <c r="L294">
        <v>51.042000000000002</v>
      </c>
      <c r="M294">
        <v>22.728999999999999</v>
      </c>
      <c r="N294">
        <v>31.658999999999999</v>
      </c>
      <c r="O294">
        <v>27.187000000000001</v>
      </c>
      <c r="P294">
        <v>37.362000000000002</v>
      </c>
      <c r="Q294">
        <v>24.285</v>
      </c>
      <c r="R294">
        <v>33.484000000000002</v>
      </c>
      <c r="S294">
        <v>31.696999999999999</v>
      </c>
    </row>
    <row r="295" spans="1:19" x14ac:dyDescent="0.2">
      <c r="A295" s="6">
        <v>9.75</v>
      </c>
      <c r="B295">
        <v>29.125</v>
      </c>
      <c r="C295">
        <v>35.576999999999998</v>
      </c>
      <c r="D295">
        <v>26.158000000000001</v>
      </c>
      <c r="E295">
        <v>29.748000000000001</v>
      </c>
      <c r="F295">
        <v>36.619999999999997</v>
      </c>
      <c r="G295">
        <v>51.448</v>
      </c>
      <c r="H295">
        <v>50.661000000000001</v>
      </c>
      <c r="I295">
        <v>61.912999999999997</v>
      </c>
      <c r="J295">
        <v>47.509</v>
      </c>
      <c r="K295">
        <v>51.295000000000002</v>
      </c>
      <c r="L295">
        <v>50.936999999999998</v>
      </c>
      <c r="M295">
        <v>22.657</v>
      </c>
      <c r="N295">
        <v>31.533000000000001</v>
      </c>
      <c r="O295">
        <v>26.984999999999999</v>
      </c>
      <c r="P295">
        <v>37.325000000000003</v>
      </c>
      <c r="Q295">
        <v>24.358000000000001</v>
      </c>
      <c r="R295">
        <v>33.414000000000001</v>
      </c>
      <c r="S295">
        <v>31.581</v>
      </c>
    </row>
    <row r="296" spans="1:19" x14ac:dyDescent="0.2">
      <c r="A296" s="6">
        <v>9.7666666666666675</v>
      </c>
      <c r="B296">
        <v>29.062999999999999</v>
      </c>
      <c r="C296">
        <v>35.502000000000002</v>
      </c>
      <c r="D296">
        <v>25.673999999999999</v>
      </c>
      <c r="E296">
        <v>29.609000000000002</v>
      </c>
      <c r="F296">
        <v>36.712000000000003</v>
      </c>
      <c r="G296">
        <v>51.405999999999999</v>
      </c>
      <c r="H296">
        <v>50.539000000000001</v>
      </c>
      <c r="I296">
        <v>61.908999999999999</v>
      </c>
      <c r="J296">
        <v>47.558</v>
      </c>
      <c r="K296">
        <v>51.228999999999999</v>
      </c>
      <c r="L296">
        <v>50.892000000000003</v>
      </c>
      <c r="M296">
        <v>22.53</v>
      </c>
      <c r="N296">
        <v>31.523</v>
      </c>
      <c r="O296">
        <v>26.917999999999999</v>
      </c>
      <c r="P296">
        <v>37.268000000000001</v>
      </c>
      <c r="Q296">
        <v>24.318999999999999</v>
      </c>
      <c r="R296">
        <v>33.374000000000002</v>
      </c>
      <c r="S296">
        <v>31.582000000000001</v>
      </c>
    </row>
    <row r="297" spans="1:19" x14ac:dyDescent="0.2">
      <c r="A297" s="6">
        <v>9.7833333333333332</v>
      </c>
      <c r="B297">
        <v>28.963999999999999</v>
      </c>
      <c r="C297">
        <v>35.423000000000002</v>
      </c>
      <c r="D297">
        <v>25.948</v>
      </c>
      <c r="E297">
        <v>29.577000000000002</v>
      </c>
      <c r="F297">
        <v>36.598999999999997</v>
      </c>
      <c r="G297">
        <v>51.329000000000001</v>
      </c>
      <c r="H297">
        <v>50.545000000000002</v>
      </c>
      <c r="I297">
        <v>61.826999999999998</v>
      </c>
      <c r="J297">
        <v>47.473999999999997</v>
      </c>
      <c r="K297">
        <v>51.237000000000002</v>
      </c>
      <c r="L297">
        <v>50.844000000000001</v>
      </c>
      <c r="M297">
        <v>22.507999999999999</v>
      </c>
      <c r="N297">
        <v>31.484000000000002</v>
      </c>
      <c r="O297">
        <v>26.866</v>
      </c>
      <c r="P297">
        <v>37.228000000000002</v>
      </c>
      <c r="Q297">
        <v>24.294</v>
      </c>
      <c r="R297">
        <v>33.247</v>
      </c>
      <c r="S297">
        <v>31.202999999999999</v>
      </c>
    </row>
    <row r="298" spans="1:19" x14ac:dyDescent="0.2">
      <c r="A298" s="6">
        <v>9.8000000000000007</v>
      </c>
      <c r="B298">
        <v>28.923999999999999</v>
      </c>
      <c r="C298">
        <v>35.308999999999997</v>
      </c>
      <c r="D298">
        <v>25.916</v>
      </c>
      <c r="E298">
        <v>29.571999999999999</v>
      </c>
      <c r="F298">
        <v>36.57</v>
      </c>
      <c r="G298">
        <v>51.305</v>
      </c>
      <c r="H298">
        <v>50.484999999999999</v>
      </c>
      <c r="I298">
        <v>61.792999999999999</v>
      </c>
      <c r="J298">
        <v>47.453000000000003</v>
      </c>
      <c r="K298">
        <v>51.145000000000003</v>
      </c>
      <c r="L298">
        <v>50.863999999999997</v>
      </c>
      <c r="M298">
        <v>22.463000000000001</v>
      </c>
      <c r="N298">
        <v>31.33</v>
      </c>
      <c r="O298">
        <v>26.757000000000001</v>
      </c>
      <c r="P298">
        <v>37.15</v>
      </c>
      <c r="Q298">
        <v>24.163</v>
      </c>
      <c r="R298">
        <v>33.122999999999998</v>
      </c>
      <c r="S298">
        <v>31.297999999999998</v>
      </c>
    </row>
    <row r="299" spans="1:19" x14ac:dyDescent="0.2">
      <c r="A299" s="6">
        <v>9.8166666666666664</v>
      </c>
      <c r="B299">
        <v>28.827999999999999</v>
      </c>
      <c r="C299">
        <v>35.145000000000003</v>
      </c>
      <c r="D299">
        <v>25.896000000000001</v>
      </c>
      <c r="E299">
        <v>29.535</v>
      </c>
      <c r="F299">
        <v>36.380000000000003</v>
      </c>
      <c r="G299">
        <v>51.253999999999998</v>
      </c>
      <c r="H299">
        <v>50.343000000000004</v>
      </c>
      <c r="I299">
        <v>61.783000000000001</v>
      </c>
      <c r="J299">
        <v>47.280999999999999</v>
      </c>
      <c r="K299">
        <v>51.067999999999998</v>
      </c>
      <c r="L299">
        <v>50.793999999999997</v>
      </c>
      <c r="M299">
        <v>22.413</v>
      </c>
      <c r="N299">
        <v>31.215</v>
      </c>
      <c r="O299">
        <v>26.690999999999999</v>
      </c>
      <c r="P299">
        <v>37.000999999999998</v>
      </c>
      <c r="Q299">
        <v>24.148</v>
      </c>
      <c r="R299">
        <v>33.170999999999999</v>
      </c>
      <c r="S299">
        <v>31.297000000000001</v>
      </c>
    </row>
    <row r="300" spans="1:19" x14ac:dyDescent="0.2">
      <c r="A300" s="6">
        <v>9.8333333333333339</v>
      </c>
      <c r="B300">
        <v>28.722000000000001</v>
      </c>
      <c r="C300">
        <v>35.154000000000003</v>
      </c>
      <c r="D300">
        <v>24.829000000000001</v>
      </c>
      <c r="E300">
        <v>29.344000000000001</v>
      </c>
      <c r="F300">
        <v>36.363</v>
      </c>
      <c r="G300">
        <v>51.179000000000002</v>
      </c>
      <c r="H300">
        <v>50.32</v>
      </c>
      <c r="I300">
        <v>61.703000000000003</v>
      </c>
      <c r="J300">
        <v>47.331000000000003</v>
      </c>
      <c r="K300">
        <v>50.945999999999998</v>
      </c>
      <c r="L300">
        <v>50.713999999999999</v>
      </c>
      <c r="M300">
        <v>22.323</v>
      </c>
      <c r="N300">
        <v>31.143000000000001</v>
      </c>
      <c r="O300">
        <v>26.632000000000001</v>
      </c>
      <c r="P300">
        <v>36.996000000000002</v>
      </c>
      <c r="Q300">
        <v>24.044</v>
      </c>
      <c r="R300">
        <v>33.066000000000003</v>
      </c>
      <c r="S300">
        <v>31.207000000000001</v>
      </c>
    </row>
    <row r="301" spans="1:19" x14ac:dyDescent="0.2">
      <c r="A301" s="6">
        <v>9.85</v>
      </c>
      <c r="B301">
        <v>28.733000000000001</v>
      </c>
      <c r="C301">
        <v>35.090000000000003</v>
      </c>
      <c r="D301">
        <v>25.652000000000001</v>
      </c>
      <c r="E301">
        <v>29.234999999999999</v>
      </c>
      <c r="F301">
        <v>36.36</v>
      </c>
      <c r="G301">
        <v>51.088000000000001</v>
      </c>
      <c r="H301">
        <v>50.281999999999996</v>
      </c>
      <c r="I301">
        <v>61.652999999999999</v>
      </c>
      <c r="J301">
        <v>46.972999999999999</v>
      </c>
      <c r="K301">
        <v>50.944000000000003</v>
      </c>
      <c r="L301">
        <v>50.66</v>
      </c>
      <c r="M301">
        <v>22.248000000000001</v>
      </c>
      <c r="N301">
        <v>31.099</v>
      </c>
      <c r="O301">
        <v>26.561</v>
      </c>
      <c r="P301">
        <v>36.94</v>
      </c>
      <c r="Q301">
        <v>23.933</v>
      </c>
      <c r="R301">
        <v>32.994999999999997</v>
      </c>
      <c r="S301">
        <v>31.16</v>
      </c>
    </row>
    <row r="302" spans="1:19" x14ac:dyDescent="0.2">
      <c r="A302" s="6">
        <v>9.8666666666666671</v>
      </c>
      <c r="B302">
        <v>28.640999999999998</v>
      </c>
      <c r="C302">
        <v>35.078000000000003</v>
      </c>
      <c r="D302">
        <v>25.584</v>
      </c>
      <c r="E302">
        <v>29.137</v>
      </c>
      <c r="F302">
        <v>36.311</v>
      </c>
      <c r="G302">
        <v>51.043999999999997</v>
      </c>
      <c r="H302">
        <v>50.21</v>
      </c>
      <c r="I302">
        <v>61.628</v>
      </c>
      <c r="J302">
        <v>47.11</v>
      </c>
      <c r="K302">
        <v>50.871000000000002</v>
      </c>
      <c r="L302">
        <v>50.640999999999998</v>
      </c>
      <c r="M302">
        <v>22.202000000000002</v>
      </c>
      <c r="N302">
        <v>30.922000000000001</v>
      </c>
      <c r="O302">
        <v>26.523</v>
      </c>
      <c r="P302">
        <v>36.905000000000001</v>
      </c>
      <c r="Q302">
        <v>23.853000000000002</v>
      </c>
      <c r="R302">
        <v>32.930999999999997</v>
      </c>
      <c r="S302">
        <v>31.143000000000001</v>
      </c>
    </row>
    <row r="303" spans="1:19" x14ac:dyDescent="0.2">
      <c r="A303" s="6">
        <v>9.8833333333333329</v>
      </c>
      <c r="B303">
        <v>28.553000000000001</v>
      </c>
      <c r="C303">
        <v>35.036999999999999</v>
      </c>
      <c r="D303">
        <v>25.544</v>
      </c>
      <c r="E303">
        <v>29.152000000000001</v>
      </c>
      <c r="F303">
        <v>36.195999999999998</v>
      </c>
      <c r="G303">
        <v>50.875</v>
      </c>
      <c r="H303">
        <v>50.17</v>
      </c>
      <c r="I303">
        <v>61.588999999999999</v>
      </c>
      <c r="J303">
        <v>47.057000000000002</v>
      </c>
      <c r="K303">
        <v>50.841999999999999</v>
      </c>
      <c r="L303">
        <v>50.554000000000002</v>
      </c>
      <c r="M303">
        <v>22.093</v>
      </c>
      <c r="N303">
        <v>30.943999999999999</v>
      </c>
      <c r="O303">
        <v>26.457000000000001</v>
      </c>
      <c r="P303">
        <v>36.834000000000003</v>
      </c>
      <c r="Q303">
        <v>23.78</v>
      </c>
      <c r="R303">
        <v>32.872999999999998</v>
      </c>
      <c r="S303">
        <v>30.972000000000001</v>
      </c>
    </row>
    <row r="304" spans="1:19" x14ac:dyDescent="0.2">
      <c r="A304" s="6">
        <v>9.9</v>
      </c>
      <c r="B304">
        <v>28.512</v>
      </c>
      <c r="C304">
        <v>35.020000000000003</v>
      </c>
      <c r="D304">
        <v>25.481000000000002</v>
      </c>
      <c r="E304">
        <v>29.088999999999999</v>
      </c>
      <c r="F304">
        <v>36.012999999999998</v>
      </c>
      <c r="G304">
        <v>50.762</v>
      </c>
      <c r="H304">
        <v>50.039000000000001</v>
      </c>
      <c r="I304">
        <v>61.456000000000003</v>
      </c>
      <c r="J304">
        <v>47.031999999999996</v>
      </c>
      <c r="K304">
        <v>50.781999999999996</v>
      </c>
      <c r="L304">
        <v>50.526000000000003</v>
      </c>
      <c r="M304">
        <v>22.024999999999999</v>
      </c>
      <c r="N304">
        <v>30.888000000000002</v>
      </c>
      <c r="O304">
        <v>26.393000000000001</v>
      </c>
      <c r="P304">
        <v>36.773000000000003</v>
      </c>
      <c r="Q304">
        <v>23.754000000000001</v>
      </c>
      <c r="R304">
        <v>32.784999999999997</v>
      </c>
      <c r="S304">
        <v>30.867999999999999</v>
      </c>
    </row>
    <row r="305" spans="1:19" x14ac:dyDescent="0.2">
      <c r="A305" s="6">
        <v>9.9166666666666661</v>
      </c>
      <c r="B305">
        <v>28.45</v>
      </c>
      <c r="C305">
        <v>34.892000000000003</v>
      </c>
      <c r="D305">
        <v>25.388000000000002</v>
      </c>
      <c r="E305">
        <v>28.795999999999999</v>
      </c>
      <c r="F305">
        <v>36.152000000000001</v>
      </c>
      <c r="G305">
        <v>50.753999999999998</v>
      </c>
      <c r="H305">
        <v>50.015000000000001</v>
      </c>
      <c r="I305">
        <v>61.404000000000003</v>
      </c>
      <c r="J305">
        <v>46.902000000000001</v>
      </c>
      <c r="K305">
        <v>50.716000000000001</v>
      </c>
      <c r="L305">
        <v>50.460999999999999</v>
      </c>
      <c r="M305">
        <v>21.937000000000001</v>
      </c>
      <c r="N305">
        <v>30.803000000000001</v>
      </c>
      <c r="O305">
        <v>26.315999999999999</v>
      </c>
      <c r="P305">
        <v>36.753999999999998</v>
      </c>
      <c r="Q305">
        <v>23.7</v>
      </c>
      <c r="R305">
        <v>32.783000000000001</v>
      </c>
      <c r="S305">
        <v>30.887</v>
      </c>
    </row>
    <row r="306" spans="1:19" x14ac:dyDescent="0.2">
      <c r="A306" s="6">
        <v>9.9333333333333336</v>
      </c>
      <c r="B306">
        <v>28.373999999999999</v>
      </c>
      <c r="C306">
        <v>34.884</v>
      </c>
      <c r="D306">
        <v>25.331</v>
      </c>
      <c r="E306">
        <v>28.858000000000001</v>
      </c>
      <c r="F306">
        <v>35.863999999999997</v>
      </c>
      <c r="G306">
        <v>50.6</v>
      </c>
      <c r="H306">
        <v>49.936999999999998</v>
      </c>
      <c r="I306">
        <v>61.341999999999999</v>
      </c>
      <c r="J306">
        <v>46.884</v>
      </c>
      <c r="K306">
        <v>50.62</v>
      </c>
      <c r="L306">
        <v>50.393999999999998</v>
      </c>
      <c r="M306">
        <v>21.85</v>
      </c>
      <c r="N306">
        <v>30.800999999999998</v>
      </c>
      <c r="O306">
        <v>26.257000000000001</v>
      </c>
      <c r="P306">
        <v>36.673999999999999</v>
      </c>
      <c r="Q306">
        <v>23.574000000000002</v>
      </c>
      <c r="R306">
        <v>32.695</v>
      </c>
      <c r="S306">
        <v>30.83</v>
      </c>
    </row>
    <row r="307" spans="1:19" x14ac:dyDescent="0.2">
      <c r="A307" s="6">
        <v>9.9499999999999993</v>
      </c>
      <c r="B307">
        <v>28.288</v>
      </c>
      <c r="C307">
        <v>34.667999999999999</v>
      </c>
      <c r="D307">
        <v>25.228999999999999</v>
      </c>
      <c r="E307">
        <v>28.684999999999999</v>
      </c>
      <c r="F307">
        <v>35.878</v>
      </c>
      <c r="G307">
        <v>50.548999999999999</v>
      </c>
      <c r="H307">
        <v>49.829000000000001</v>
      </c>
      <c r="I307">
        <v>61.280999999999999</v>
      </c>
      <c r="J307">
        <v>46.787999999999997</v>
      </c>
      <c r="K307">
        <v>50.524000000000001</v>
      </c>
      <c r="L307">
        <v>50.357999999999997</v>
      </c>
      <c r="M307">
        <v>21.763000000000002</v>
      </c>
      <c r="N307">
        <v>30.683</v>
      </c>
      <c r="O307">
        <v>26.2</v>
      </c>
      <c r="P307">
        <v>36.615000000000002</v>
      </c>
      <c r="Q307">
        <v>23.506</v>
      </c>
      <c r="R307">
        <v>32.658000000000001</v>
      </c>
      <c r="S307">
        <v>30.681999999999999</v>
      </c>
    </row>
    <row r="308" spans="1:19" x14ac:dyDescent="0.2">
      <c r="A308" s="6">
        <v>9.9666666666666668</v>
      </c>
      <c r="B308">
        <v>28.187000000000001</v>
      </c>
      <c r="C308">
        <v>34.682000000000002</v>
      </c>
      <c r="D308">
        <v>24.998000000000001</v>
      </c>
      <c r="E308">
        <v>28.611000000000001</v>
      </c>
      <c r="F308">
        <v>35.813000000000002</v>
      </c>
      <c r="G308">
        <v>50.024999999999999</v>
      </c>
      <c r="H308">
        <v>49.726999999999997</v>
      </c>
      <c r="I308">
        <v>61.244</v>
      </c>
      <c r="J308">
        <v>46.686999999999998</v>
      </c>
      <c r="K308">
        <v>50.454000000000001</v>
      </c>
      <c r="L308">
        <v>50.301000000000002</v>
      </c>
      <c r="M308">
        <v>21.667000000000002</v>
      </c>
      <c r="N308">
        <v>30.667999999999999</v>
      </c>
      <c r="O308">
        <v>26.091999999999999</v>
      </c>
      <c r="P308">
        <v>36.576000000000001</v>
      </c>
      <c r="Q308">
        <v>23.437999999999999</v>
      </c>
      <c r="R308">
        <v>32.621000000000002</v>
      </c>
      <c r="S308">
        <v>30.670999999999999</v>
      </c>
    </row>
    <row r="309" spans="1:19" x14ac:dyDescent="0.2">
      <c r="A309" s="6">
        <v>9.9833333333333325</v>
      </c>
      <c r="B309">
        <v>28.143000000000001</v>
      </c>
      <c r="C309">
        <v>34.606000000000002</v>
      </c>
      <c r="D309">
        <v>24.998000000000001</v>
      </c>
      <c r="E309">
        <v>28.59</v>
      </c>
      <c r="F309">
        <v>35.828000000000003</v>
      </c>
      <c r="G309">
        <v>49.994999999999997</v>
      </c>
      <c r="H309">
        <v>49.692999999999998</v>
      </c>
      <c r="I309">
        <v>61.204999999999998</v>
      </c>
      <c r="J309">
        <v>46.615000000000002</v>
      </c>
      <c r="K309">
        <v>50.481999999999999</v>
      </c>
      <c r="L309">
        <v>50.295000000000002</v>
      </c>
      <c r="M309">
        <v>21.628</v>
      </c>
      <c r="N309">
        <v>30.654</v>
      </c>
      <c r="O309">
        <v>26.036999999999999</v>
      </c>
      <c r="P309">
        <v>36.515000000000001</v>
      </c>
      <c r="Q309">
        <v>23.338999999999999</v>
      </c>
      <c r="R309">
        <v>32.505000000000003</v>
      </c>
      <c r="S309">
        <v>30.596</v>
      </c>
    </row>
    <row r="310" spans="1:19" x14ac:dyDescent="0.2">
      <c r="A310" s="6">
        <v>10</v>
      </c>
      <c r="B310">
        <v>28.027000000000001</v>
      </c>
      <c r="C310">
        <v>34.515000000000001</v>
      </c>
      <c r="D310">
        <v>24.971</v>
      </c>
      <c r="E310">
        <v>28.468</v>
      </c>
      <c r="F310">
        <v>35.643000000000001</v>
      </c>
      <c r="G310">
        <v>50.170999999999999</v>
      </c>
      <c r="H310">
        <v>49.585000000000001</v>
      </c>
      <c r="I310">
        <v>61.143999999999998</v>
      </c>
      <c r="J310">
        <v>46.341999999999999</v>
      </c>
      <c r="K310">
        <v>50.307000000000002</v>
      </c>
      <c r="L310">
        <v>50.136000000000003</v>
      </c>
      <c r="M310">
        <v>21.523</v>
      </c>
      <c r="N310">
        <v>30.484999999999999</v>
      </c>
      <c r="O310">
        <v>25.954000000000001</v>
      </c>
      <c r="P310">
        <v>36.435000000000002</v>
      </c>
      <c r="Q310">
        <v>23.257000000000001</v>
      </c>
      <c r="R310">
        <v>32.46</v>
      </c>
      <c r="S310">
        <v>30.625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611"/>
  <sheetViews>
    <sheetView workbookViewId="0">
      <selection activeCell="B3" sqref="B3:K4"/>
    </sheetView>
  </sheetViews>
  <sheetFormatPr baseColWidth="10" defaultRowHeight="16" x14ac:dyDescent="0.2"/>
  <cols>
    <col min="2" max="11" width="10.83203125" style="5"/>
  </cols>
  <sheetData>
    <row r="2" spans="2:22" x14ac:dyDescent="0.2">
      <c r="B2"/>
      <c r="C2"/>
      <c r="D2"/>
      <c r="E2"/>
      <c r="F2" s="120"/>
      <c r="G2" s="6"/>
      <c r="H2" s="6"/>
      <c r="I2" s="6"/>
      <c r="J2" s="6"/>
      <c r="K2" s="6"/>
    </row>
    <row r="3" spans="2:22" x14ac:dyDescent="0.2">
      <c r="B3" s="48" t="s">
        <v>77</v>
      </c>
      <c r="C3" s="49">
        <v>6.56</v>
      </c>
      <c r="D3" s="49">
        <v>3.84</v>
      </c>
      <c r="E3" s="49">
        <v>3.98</v>
      </c>
      <c r="F3" s="68">
        <v>6.6</v>
      </c>
      <c r="G3" s="68">
        <v>4.21</v>
      </c>
      <c r="H3" s="68">
        <v>6.79</v>
      </c>
      <c r="I3" s="68">
        <v>6.96</v>
      </c>
      <c r="J3" s="68">
        <v>8.57</v>
      </c>
      <c r="K3" s="69">
        <v>6.51</v>
      </c>
    </row>
    <row r="4" spans="2:22" x14ac:dyDescent="0.2">
      <c r="B4" s="51" t="s">
        <v>39</v>
      </c>
      <c r="C4" s="5">
        <v>0.251</v>
      </c>
      <c r="D4" s="5">
        <v>0.112</v>
      </c>
      <c r="E4" s="5">
        <v>0.106</v>
      </c>
      <c r="F4" s="9">
        <v>0.23799999999999999</v>
      </c>
      <c r="G4" s="9">
        <v>0.23499999999999999</v>
      </c>
      <c r="H4" s="9">
        <v>0.22700000000000001</v>
      </c>
      <c r="I4" s="9">
        <v>0.22800000000000001</v>
      </c>
      <c r="J4" s="9">
        <v>0.316</v>
      </c>
      <c r="K4" s="62">
        <v>0.26700000000000002</v>
      </c>
    </row>
    <row r="5" spans="2:22" x14ac:dyDescent="0.2">
      <c r="B5" s="51" t="s">
        <v>48</v>
      </c>
      <c r="C5" s="10">
        <v>1836</v>
      </c>
      <c r="D5" s="10">
        <v>1916</v>
      </c>
      <c r="E5" s="10">
        <v>1872</v>
      </c>
      <c r="F5" s="10">
        <v>1780</v>
      </c>
      <c r="G5" s="10">
        <v>1824</v>
      </c>
      <c r="H5" s="10">
        <v>1824</v>
      </c>
      <c r="I5" s="10">
        <v>1905</v>
      </c>
      <c r="J5" s="10">
        <v>1859</v>
      </c>
      <c r="K5" s="70">
        <v>1847</v>
      </c>
    </row>
    <row r="6" spans="2:22" x14ac:dyDescent="0.2">
      <c r="B6" s="51" t="s">
        <v>47</v>
      </c>
      <c r="C6" s="28">
        <v>4</v>
      </c>
      <c r="D6" s="28">
        <v>4</v>
      </c>
      <c r="E6" s="28">
        <v>3</v>
      </c>
      <c r="F6" s="29">
        <v>10</v>
      </c>
      <c r="G6" s="29">
        <v>11</v>
      </c>
      <c r="H6" s="29">
        <v>16</v>
      </c>
      <c r="I6" s="29">
        <v>15</v>
      </c>
      <c r="J6" s="29">
        <v>16</v>
      </c>
      <c r="K6" s="71">
        <v>13</v>
      </c>
    </row>
    <row r="7" spans="2:22" x14ac:dyDescent="0.2">
      <c r="B7" s="51" t="s">
        <v>17</v>
      </c>
      <c r="C7" s="9">
        <f t="shared" ref="C7:K7" si="0">(C5-C6)/1000</f>
        <v>1.8320000000000001</v>
      </c>
      <c r="D7" s="9">
        <f t="shared" si="0"/>
        <v>1.9119999999999999</v>
      </c>
      <c r="E7" s="9">
        <f t="shared" si="0"/>
        <v>1.869</v>
      </c>
      <c r="F7" s="9">
        <f t="shared" si="0"/>
        <v>1.77</v>
      </c>
      <c r="G7" s="9">
        <f t="shared" si="0"/>
        <v>1.8129999999999999</v>
      </c>
      <c r="H7" s="9">
        <f t="shared" si="0"/>
        <v>1.8080000000000001</v>
      </c>
      <c r="I7" s="9">
        <f t="shared" si="0"/>
        <v>1.89</v>
      </c>
      <c r="J7" s="9">
        <f t="shared" si="0"/>
        <v>1.843</v>
      </c>
      <c r="K7" s="62">
        <f t="shared" si="0"/>
        <v>1.8340000000000001</v>
      </c>
    </row>
    <row r="8" spans="2:22" x14ac:dyDescent="0.2">
      <c r="B8" s="51" t="s">
        <v>20</v>
      </c>
      <c r="C8" s="9">
        <f t="shared" ref="C8:K8" si="1">SLOPE(C11:C611,$B11:$B611)</f>
        <v>-2.3783188727536047</v>
      </c>
      <c r="D8" s="9">
        <f t="shared" si="1"/>
        <v>-1.860557078180882</v>
      </c>
      <c r="E8" s="9">
        <f t="shared" si="1"/>
        <v>-2.0102084963598874</v>
      </c>
      <c r="F8" s="9">
        <f t="shared" si="1"/>
        <v>-2.5715977048219725</v>
      </c>
      <c r="G8" s="9">
        <f t="shared" si="1"/>
        <v>-1.8368008114935785</v>
      </c>
      <c r="H8" s="9">
        <f t="shared" si="1"/>
        <v>-2.3399824644418734</v>
      </c>
      <c r="I8" s="9">
        <f t="shared" si="1"/>
        <v>-1.8735156897971803</v>
      </c>
      <c r="J8" s="9">
        <f t="shared" si="1"/>
        <v>-2.4799803870625352</v>
      </c>
      <c r="K8" s="62">
        <f t="shared" si="1"/>
        <v>-2.6943227444845497</v>
      </c>
      <c r="M8" s="3"/>
      <c r="N8" s="12"/>
      <c r="O8" s="12"/>
      <c r="P8" s="12"/>
      <c r="Q8" s="12"/>
      <c r="R8" s="12"/>
      <c r="S8" s="13"/>
      <c r="T8" s="12"/>
      <c r="U8" s="12"/>
      <c r="V8" s="122"/>
    </row>
    <row r="9" spans="2:22" x14ac:dyDescent="0.2">
      <c r="B9" s="54" t="s">
        <v>49</v>
      </c>
      <c r="C9" s="9">
        <f t="shared" ref="C9:K9" si="2">(-1*C7*(C8-(-0.782))*5.31)/100</f>
        <v>0.15528862288637246</v>
      </c>
      <c r="D9" s="9">
        <f t="shared" si="2"/>
        <v>0.10950288018788604</v>
      </c>
      <c r="E9" s="9">
        <f t="shared" si="2"/>
        <v>0.12189220119189102</v>
      </c>
      <c r="F9" s="9">
        <f t="shared" si="2"/>
        <v>0.16819891948310273</v>
      </c>
      <c r="G9" s="9">
        <f t="shared" si="2"/>
        <v>0.10154599056273024</v>
      </c>
      <c r="H9" s="9">
        <f t="shared" si="2"/>
        <v>0.14957379490224917</v>
      </c>
      <c r="I9" s="9">
        <f t="shared" si="2"/>
        <v>0.1095434231123552</v>
      </c>
      <c r="J9" s="9">
        <f t="shared" si="2"/>
        <v>0.16616996401321696</v>
      </c>
      <c r="K9" s="62">
        <f t="shared" si="2"/>
        <v>0.18623231540072566</v>
      </c>
      <c r="M9" s="3"/>
      <c r="N9" s="12"/>
      <c r="O9" s="12"/>
      <c r="P9" s="12"/>
      <c r="Q9" s="12"/>
      <c r="R9" s="12"/>
      <c r="S9" s="13"/>
      <c r="T9" s="12"/>
      <c r="U9" s="12"/>
      <c r="V9" s="122"/>
    </row>
    <row r="10" spans="2:22" x14ac:dyDescent="0.2">
      <c r="B10" s="55" t="s">
        <v>28</v>
      </c>
      <c r="C10" s="64" t="s">
        <v>6</v>
      </c>
      <c r="D10" s="64" t="s">
        <v>7</v>
      </c>
      <c r="E10" s="64" t="s">
        <v>8</v>
      </c>
      <c r="F10" s="72" t="s">
        <v>9</v>
      </c>
      <c r="G10" s="72" t="s">
        <v>10</v>
      </c>
      <c r="H10" s="72" t="s">
        <v>11</v>
      </c>
      <c r="I10" s="72" t="s">
        <v>12</v>
      </c>
      <c r="J10" s="72" t="s">
        <v>13</v>
      </c>
      <c r="K10" s="73" t="s">
        <v>14</v>
      </c>
    </row>
    <row r="11" spans="2:22" x14ac:dyDescent="0.2">
      <c r="B11" s="9">
        <v>10</v>
      </c>
      <c r="C11" s="5">
        <v>49.820999999999998</v>
      </c>
      <c r="D11" s="5">
        <v>58.057000000000002</v>
      </c>
      <c r="E11" s="5">
        <v>58.835999999999999</v>
      </c>
      <c r="F11" s="9">
        <v>62.081000000000003</v>
      </c>
      <c r="G11" s="9">
        <v>66.744</v>
      </c>
      <c r="H11" s="9">
        <v>66.858999999999995</v>
      </c>
      <c r="I11" s="9">
        <v>71.864999999999995</v>
      </c>
      <c r="J11" s="9">
        <v>61.79</v>
      </c>
      <c r="K11" s="9">
        <v>58.683</v>
      </c>
    </row>
    <row r="12" spans="2:22" x14ac:dyDescent="0.2">
      <c r="B12" s="9">
        <v>10.016666666666667</v>
      </c>
      <c r="C12" s="5">
        <v>49.823</v>
      </c>
      <c r="D12" s="5">
        <v>58.026000000000003</v>
      </c>
      <c r="E12" s="5">
        <v>58.764000000000003</v>
      </c>
      <c r="F12" s="9">
        <v>62.027999999999999</v>
      </c>
      <c r="G12" s="9">
        <v>66.763999999999996</v>
      </c>
      <c r="H12" s="9">
        <v>66.837000000000003</v>
      </c>
      <c r="I12" s="9">
        <v>71.822999999999993</v>
      </c>
      <c r="J12" s="9">
        <v>61.774999999999999</v>
      </c>
      <c r="K12" s="9">
        <v>58.646000000000001</v>
      </c>
    </row>
    <row r="13" spans="2:22" x14ac:dyDescent="0.2">
      <c r="B13" s="9">
        <v>10.033333333333333</v>
      </c>
      <c r="C13" s="5">
        <v>49.767000000000003</v>
      </c>
      <c r="D13" s="5">
        <v>57.915999999999997</v>
      </c>
      <c r="E13" s="5">
        <v>58.793999999999997</v>
      </c>
      <c r="F13" s="9">
        <v>62.034999999999997</v>
      </c>
      <c r="G13" s="9">
        <v>66.695999999999998</v>
      </c>
      <c r="H13" s="9">
        <v>66.855000000000004</v>
      </c>
      <c r="I13" s="9">
        <v>71.798000000000002</v>
      </c>
      <c r="J13" s="9">
        <v>61.75</v>
      </c>
      <c r="K13" s="9">
        <v>58.606000000000002</v>
      </c>
    </row>
    <row r="14" spans="2:22" x14ac:dyDescent="0.2">
      <c r="B14" s="9">
        <v>10.050000000000001</v>
      </c>
      <c r="C14" s="5">
        <v>49.673000000000002</v>
      </c>
      <c r="D14" s="5">
        <v>57.924999999999997</v>
      </c>
      <c r="E14" s="5">
        <v>58.728000000000002</v>
      </c>
      <c r="F14" s="9">
        <v>61.991</v>
      </c>
      <c r="G14" s="9">
        <v>66.671999999999997</v>
      </c>
      <c r="H14" s="9">
        <v>66.664000000000001</v>
      </c>
      <c r="I14" s="9">
        <v>71.725999999999999</v>
      </c>
      <c r="J14" s="9">
        <v>61.679000000000002</v>
      </c>
      <c r="K14" s="9">
        <v>58.567</v>
      </c>
    </row>
    <row r="15" spans="2:22" x14ac:dyDescent="0.2">
      <c r="B15" s="9">
        <v>10.066666666666666</v>
      </c>
      <c r="C15" s="5">
        <v>49.691000000000003</v>
      </c>
      <c r="D15" s="5">
        <v>57.881999999999998</v>
      </c>
      <c r="E15" s="5">
        <v>58.658000000000001</v>
      </c>
      <c r="F15" s="9">
        <v>61.911000000000001</v>
      </c>
      <c r="G15" s="9">
        <v>66.632000000000005</v>
      </c>
      <c r="H15" s="9">
        <v>66.638000000000005</v>
      </c>
      <c r="I15" s="9">
        <v>71.739000000000004</v>
      </c>
      <c r="J15" s="9">
        <v>61.676000000000002</v>
      </c>
      <c r="K15" s="9">
        <v>58.518999999999998</v>
      </c>
    </row>
    <row r="16" spans="2:22" x14ac:dyDescent="0.2">
      <c r="B16" s="9">
        <v>10.083333333333334</v>
      </c>
      <c r="C16" s="5">
        <v>49.575000000000003</v>
      </c>
      <c r="D16" s="5">
        <v>57.91</v>
      </c>
      <c r="E16" s="5">
        <v>58.633000000000003</v>
      </c>
      <c r="F16" s="9">
        <v>61.868000000000002</v>
      </c>
      <c r="G16" s="9">
        <v>66.58</v>
      </c>
      <c r="H16" s="9">
        <v>66.656000000000006</v>
      </c>
      <c r="I16" s="9">
        <v>71.694999999999993</v>
      </c>
      <c r="J16" s="9">
        <v>61.631</v>
      </c>
      <c r="K16" s="9">
        <v>58.518000000000001</v>
      </c>
    </row>
    <row r="17" spans="2:11" x14ac:dyDescent="0.2">
      <c r="B17" s="9">
        <v>10.1</v>
      </c>
      <c r="C17" s="5">
        <v>49.537999999999997</v>
      </c>
      <c r="D17" s="5">
        <v>57.82</v>
      </c>
      <c r="E17" s="5">
        <v>58.578000000000003</v>
      </c>
      <c r="F17" s="9">
        <v>61.845999999999997</v>
      </c>
      <c r="G17" s="9">
        <v>66.591999999999999</v>
      </c>
      <c r="H17" s="9">
        <v>66.557000000000002</v>
      </c>
      <c r="I17" s="9">
        <v>71.679000000000002</v>
      </c>
      <c r="J17" s="9">
        <v>61.536999999999999</v>
      </c>
      <c r="K17" s="9">
        <v>58.444000000000003</v>
      </c>
    </row>
    <row r="18" spans="2:11" x14ac:dyDescent="0.2">
      <c r="B18" s="9">
        <v>10.116666666666667</v>
      </c>
      <c r="C18" s="5">
        <v>49.494</v>
      </c>
      <c r="D18" s="5">
        <v>57.741</v>
      </c>
      <c r="E18" s="5">
        <v>58.51</v>
      </c>
      <c r="F18" s="9">
        <v>61.816000000000003</v>
      </c>
      <c r="G18" s="9">
        <v>66.56</v>
      </c>
      <c r="H18" s="9">
        <v>66.625</v>
      </c>
      <c r="I18" s="9">
        <v>71.638000000000005</v>
      </c>
      <c r="J18" s="9">
        <v>61.52</v>
      </c>
      <c r="K18" s="9">
        <v>58.399000000000001</v>
      </c>
    </row>
    <row r="19" spans="2:11" x14ac:dyDescent="0.2">
      <c r="B19" s="9">
        <v>10.133333333333333</v>
      </c>
      <c r="C19" s="5">
        <v>49.369</v>
      </c>
      <c r="D19" s="5">
        <v>57.814</v>
      </c>
      <c r="E19" s="5">
        <v>58.527999999999999</v>
      </c>
      <c r="F19" s="9">
        <v>61.777999999999999</v>
      </c>
      <c r="G19" s="9">
        <v>66.570999999999998</v>
      </c>
      <c r="H19" s="9">
        <v>66.515000000000001</v>
      </c>
      <c r="I19" s="9">
        <v>71.576999999999998</v>
      </c>
      <c r="J19" s="9">
        <v>61.503</v>
      </c>
      <c r="K19" s="9">
        <v>58.363</v>
      </c>
    </row>
    <row r="20" spans="2:11" x14ac:dyDescent="0.2">
      <c r="B20" s="9">
        <v>10.15</v>
      </c>
      <c r="C20" s="5">
        <v>49.402000000000001</v>
      </c>
      <c r="D20" s="5">
        <v>57.667000000000002</v>
      </c>
      <c r="E20" s="5">
        <v>58.484999999999999</v>
      </c>
      <c r="F20" s="9">
        <v>61.667999999999999</v>
      </c>
      <c r="G20" s="9">
        <v>66.507999999999996</v>
      </c>
      <c r="H20" s="9">
        <v>66.466999999999999</v>
      </c>
      <c r="I20" s="9">
        <v>71.584999999999994</v>
      </c>
      <c r="J20" s="9">
        <v>61.389000000000003</v>
      </c>
      <c r="K20" s="9">
        <v>58.328000000000003</v>
      </c>
    </row>
    <row r="21" spans="2:11" x14ac:dyDescent="0.2">
      <c r="B21" s="9">
        <v>10.166666666666666</v>
      </c>
      <c r="C21" s="5">
        <v>49.302</v>
      </c>
      <c r="D21" s="5">
        <v>57.744</v>
      </c>
      <c r="E21" s="5">
        <v>58.500999999999998</v>
      </c>
      <c r="F21" s="9">
        <v>61.656999999999996</v>
      </c>
      <c r="G21" s="9">
        <v>66.453000000000003</v>
      </c>
      <c r="H21" s="9">
        <v>66.501999999999995</v>
      </c>
      <c r="I21" s="9">
        <v>71.524000000000001</v>
      </c>
      <c r="J21" s="9">
        <v>61.392000000000003</v>
      </c>
      <c r="K21" s="9">
        <v>58.273000000000003</v>
      </c>
    </row>
    <row r="22" spans="2:11" x14ac:dyDescent="0.2">
      <c r="B22" s="9">
        <v>10.183333333333334</v>
      </c>
      <c r="C22" s="5">
        <v>49.298999999999999</v>
      </c>
      <c r="D22" s="5">
        <v>57.625</v>
      </c>
      <c r="E22" s="5">
        <v>58.42</v>
      </c>
      <c r="F22" s="9">
        <v>61.637999999999998</v>
      </c>
      <c r="G22" s="9">
        <v>66.459000000000003</v>
      </c>
      <c r="H22" s="9">
        <v>66.194000000000003</v>
      </c>
      <c r="I22" s="9">
        <v>71.533000000000001</v>
      </c>
      <c r="J22" s="9">
        <v>61.325000000000003</v>
      </c>
      <c r="K22" s="9">
        <v>58.255000000000003</v>
      </c>
    </row>
    <row r="23" spans="2:11" x14ac:dyDescent="0.2">
      <c r="B23" s="9">
        <v>10.199999999999999</v>
      </c>
      <c r="C23" s="5">
        <v>49.194000000000003</v>
      </c>
      <c r="D23" s="5">
        <v>57.55</v>
      </c>
      <c r="E23" s="5">
        <v>58.374000000000002</v>
      </c>
      <c r="F23" s="9">
        <v>61.598999999999997</v>
      </c>
      <c r="G23" s="9">
        <v>66.411000000000001</v>
      </c>
      <c r="H23" s="9">
        <v>66.341999999999999</v>
      </c>
      <c r="I23" s="9">
        <v>71.412000000000006</v>
      </c>
      <c r="J23" s="9">
        <v>61.273000000000003</v>
      </c>
      <c r="K23" s="9">
        <v>58.183999999999997</v>
      </c>
    </row>
    <row r="24" spans="2:11" x14ac:dyDescent="0.2">
      <c r="B24" s="9">
        <v>10.216666666666667</v>
      </c>
      <c r="C24" s="5">
        <v>49.18</v>
      </c>
      <c r="D24" s="5">
        <v>57.526000000000003</v>
      </c>
      <c r="E24" s="5">
        <v>58.322000000000003</v>
      </c>
      <c r="F24" s="9">
        <v>61.536000000000001</v>
      </c>
      <c r="G24" s="9">
        <v>66.355999999999995</v>
      </c>
      <c r="H24" s="9">
        <v>66.239999999999995</v>
      </c>
      <c r="I24" s="9">
        <v>71.406999999999996</v>
      </c>
      <c r="J24" s="9">
        <v>61.28</v>
      </c>
      <c r="K24" s="9">
        <v>58.13</v>
      </c>
    </row>
    <row r="25" spans="2:11" x14ac:dyDescent="0.2">
      <c r="B25" s="9">
        <v>10.233333333333333</v>
      </c>
      <c r="C25" s="5">
        <v>49.072000000000003</v>
      </c>
      <c r="D25" s="5">
        <v>57.438000000000002</v>
      </c>
      <c r="E25" s="5">
        <v>58.289000000000001</v>
      </c>
      <c r="F25" s="9">
        <v>61.49</v>
      </c>
      <c r="G25" s="9">
        <v>66.322999999999993</v>
      </c>
      <c r="H25" s="9">
        <v>66.198999999999998</v>
      </c>
      <c r="I25" s="9">
        <v>71.435000000000002</v>
      </c>
      <c r="J25" s="9">
        <v>61.201999999999998</v>
      </c>
      <c r="K25" s="9">
        <v>58.093000000000004</v>
      </c>
    </row>
    <row r="26" spans="2:11" x14ac:dyDescent="0.2">
      <c r="B26" s="9">
        <v>10.25</v>
      </c>
      <c r="C26" s="5">
        <v>49.043999999999997</v>
      </c>
      <c r="D26" s="5">
        <v>57.348999999999997</v>
      </c>
      <c r="E26" s="5">
        <v>58.252000000000002</v>
      </c>
      <c r="F26" s="9">
        <v>61.4</v>
      </c>
      <c r="G26" s="9">
        <v>66.293999999999997</v>
      </c>
      <c r="H26" s="9">
        <v>66.204999999999998</v>
      </c>
      <c r="I26" s="9">
        <v>71.343999999999994</v>
      </c>
      <c r="J26" s="9">
        <v>61.110999999999997</v>
      </c>
      <c r="K26" s="9">
        <v>58.033000000000001</v>
      </c>
    </row>
    <row r="27" spans="2:11" x14ac:dyDescent="0.2">
      <c r="B27" s="9">
        <v>10.266666666666667</v>
      </c>
      <c r="C27" s="5">
        <v>49.023000000000003</v>
      </c>
      <c r="D27" s="5">
        <v>57.296999999999997</v>
      </c>
      <c r="E27" s="5">
        <v>58.204999999999998</v>
      </c>
      <c r="F27" s="9">
        <v>61.344999999999999</v>
      </c>
      <c r="G27" s="9">
        <v>66.22</v>
      </c>
      <c r="H27" s="9">
        <v>66.230999999999995</v>
      </c>
      <c r="I27" s="9">
        <v>71.308000000000007</v>
      </c>
      <c r="J27" s="9">
        <v>61.145000000000003</v>
      </c>
      <c r="K27" s="9">
        <v>58.006</v>
      </c>
    </row>
    <row r="28" spans="2:11" x14ac:dyDescent="0.2">
      <c r="B28" s="9">
        <v>10.283333333333333</v>
      </c>
      <c r="C28" s="5">
        <v>49.012999999999998</v>
      </c>
      <c r="D28" s="5">
        <v>57.155999999999999</v>
      </c>
      <c r="E28" s="5">
        <v>58.201999999999998</v>
      </c>
      <c r="F28" s="9">
        <v>61.286999999999999</v>
      </c>
      <c r="G28" s="9">
        <v>66.203999999999994</v>
      </c>
      <c r="H28" s="9">
        <v>66.159000000000006</v>
      </c>
      <c r="I28" s="9">
        <v>71.269000000000005</v>
      </c>
      <c r="J28" s="9">
        <v>61.037999999999997</v>
      </c>
      <c r="K28" s="9">
        <v>57.951999999999998</v>
      </c>
    </row>
    <row r="29" spans="2:11" x14ac:dyDescent="0.2">
      <c r="B29" s="9">
        <v>10.3</v>
      </c>
      <c r="C29" s="5">
        <v>48.945999999999998</v>
      </c>
      <c r="D29" s="5">
        <v>57.167999999999999</v>
      </c>
      <c r="E29" s="5">
        <v>58.268999999999998</v>
      </c>
      <c r="F29" s="9">
        <v>61.247999999999998</v>
      </c>
      <c r="G29" s="9">
        <v>66.188000000000002</v>
      </c>
      <c r="H29" s="9">
        <v>66.168000000000006</v>
      </c>
      <c r="I29" s="9">
        <v>71.302999999999997</v>
      </c>
      <c r="J29" s="9">
        <v>61.006</v>
      </c>
      <c r="K29" s="9">
        <v>57.911000000000001</v>
      </c>
    </row>
    <row r="30" spans="2:11" x14ac:dyDescent="0.2">
      <c r="B30" s="9">
        <v>10.316666666666666</v>
      </c>
      <c r="C30" s="5">
        <v>48.881999999999998</v>
      </c>
      <c r="D30" s="5">
        <v>57.078000000000003</v>
      </c>
      <c r="E30" s="5">
        <v>58.133000000000003</v>
      </c>
      <c r="F30" s="9">
        <v>61.213999999999999</v>
      </c>
      <c r="G30" s="9">
        <v>66.135999999999996</v>
      </c>
      <c r="H30" s="9">
        <v>66.105000000000004</v>
      </c>
      <c r="I30" s="9">
        <v>71.227000000000004</v>
      </c>
      <c r="J30" s="9">
        <v>60.966000000000001</v>
      </c>
      <c r="K30" s="9">
        <v>57.854999999999997</v>
      </c>
    </row>
    <row r="31" spans="2:11" x14ac:dyDescent="0.2">
      <c r="B31" s="9">
        <v>10.333333333333334</v>
      </c>
      <c r="C31" s="5">
        <v>48.850999999999999</v>
      </c>
      <c r="D31" s="5">
        <v>57.04</v>
      </c>
      <c r="E31" s="5">
        <v>58.11</v>
      </c>
      <c r="F31" s="9">
        <v>61.155999999999999</v>
      </c>
      <c r="G31" s="9">
        <v>66.150999999999996</v>
      </c>
      <c r="H31" s="9">
        <v>66.066000000000003</v>
      </c>
      <c r="I31" s="9">
        <v>71.144000000000005</v>
      </c>
      <c r="J31" s="9">
        <v>60.951999999999998</v>
      </c>
      <c r="K31" s="9">
        <v>57.805</v>
      </c>
    </row>
    <row r="32" spans="2:11" x14ac:dyDescent="0.2">
      <c r="B32" s="9">
        <v>10.35</v>
      </c>
      <c r="C32" s="5">
        <v>48.792000000000002</v>
      </c>
      <c r="D32" s="5">
        <v>57.008000000000003</v>
      </c>
      <c r="E32" s="5">
        <v>58.054000000000002</v>
      </c>
      <c r="F32" s="9">
        <v>61.125</v>
      </c>
      <c r="G32" s="9">
        <v>66.069000000000003</v>
      </c>
      <c r="H32" s="9">
        <v>66.034999999999997</v>
      </c>
      <c r="I32" s="9">
        <v>71.186999999999998</v>
      </c>
      <c r="J32" s="9">
        <v>60.932000000000002</v>
      </c>
      <c r="K32" s="9">
        <v>57.723999999999997</v>
      </c>
    </row>
    <row r="33" spans="2:11" x14ac:dyDescent="0.2">
      <c r="B33" s="9">
        <v>10.366666666666667</v>
      </c>
      <c r="C33" s="5">
        <v>48.762999999999998</v>
      </c>
      <c r="D33" s="5">
        <v>56.968000000000004</v>
      </c>
      <c r="E33" s="5">
        <v>58.031999999999996</v>
      </c>
      <c r="F33" s="9">
        <v>61.055999999999997</v>
      </c>
      <c r="G33" s="9">
        <v>66.037000000000006</v>
      </c>
      <c r="H33" s="9">
        <v>65.941999999999993</v>
      </c>
      <c r="I33" s="9">
        <v>71.064999999999998</v>
      </c>
      <c r="J33" s="9">
        <v>60.825000000000003</v>
      </c>
      <c r="K33" s="9">
        <v>57.664999999999999</v>
      </c>
    </row>
    <row r="34" spans="2:11" x14ac:dyDescent="0.2">
      <c r="B34" s="9">
        <v>10.383333333333333</v>
      </c>
      <c r="C34" s="5">
        <v>48.686</v>
      </c>
      <c r="D34" s="5">
        <v>56.991</v>
      </c>
      <c r="E34" s="5">
        <v>58.03</v>
      </c>
      <c r="F34" s="9">
        <v>60.966999999999999</v>
      </c>
      <c r="G34" s="9">
        <v>65.994</v>
      </c>
      <c r="H34" s="9">
        <v>65.918000000000006</v>
      </c>
      <c r="I34" s="9">
        <v>71.042000000000002</v>
      </c>
      <c r="J34" s="9">
        <v>60.801000000000002</v>
      </c>
      <c r="K34" s="9">
        <v>57.649000000000001</v>
      </c>
    </row>
    <row r="35" spans="2:11" x14ac:dyDescent="0.2">
      <c r="B35" s="9">
        <v>10.4</v>
      </c>
      <c r="C35" s="5">
        <v>48.633000000000003</v>
      </c>
      <c r="D35" s="5">
        <v>56.918999999999997</v>
      </c>
      <c r="E35" s="5">
        <v>57.978999999999999</v>
      </c>
      <c r="F35" s="9">
        <v>60.893999999999998</v>
      </c>
      <c r="G35" s="9">
        <v>65.936000000000007</v>
      </c>
      <c r="H35" s="9">
        <v>65.924000000000007</v>
      </c>
      <c r="I35" s="9">
        <v>71.022000000000006</v>
      </c>
      <c r="J35" s="9">
        <v>60.828000000000003</v>
      </c>
      <c r="K35" s="9">
        <v>57.587000000000003</v>
      </c>
    </row>
    <row r="36" spans="2:11" x14ac:dyDescent="0.2">
      <c r="B36" s="9">
        <v>10.416666666666666</v>
      </c>
      <c r="C36" s="5">
        <v>48.628</v>
      </c>
      <c r="D36" s="5">
        <v>56.89</v>
      </c>
      <c r="E36" s="5">
        <v>57.88</v>
      </c>
      <c r="F36" s="9">
        <v>60.820999999999998</v>
      </c>
      <c r="G36" s="9">
        <v>65.894000000000005</v>
      </c>
      <c r="H36" s="9">
        <v>65.921000000000006</v>
      </c>
      <c r="I36" s="9">
        <v>71.055999999999997</v>
      </c>
      <c r="J36" s="9">
        <v>60.753</v>
      </c>
      <c r="K36" s="9">
        <v>57.508000000000003</v>
      </c>
    </row>
    <row r="37" spans="2:11" x14ac:dyDescent="0.2">
      <c r="B37" s="9">
        <v>10.433333333333334</v>
      </c>
      <c r="C37" s="5">
        <v>48.591999999999999</v>
      </c>
      <c r="D37" s="5">
        <v>56.847999999999999</v>
      </c>
      <c r="E37" s="5">
        <v>57.892000000000003</v>
      </c>
      <c r="F37" s="9">
        <v>60.744</v>
      </c>
      <c r="G37" s="9">
        <v>65.817999999999998</v>
      </c>
      <c r="H37" s="9">
        <v>65.894999999999996</v>
      </c>
      <c r="I37" s="9">
        <v>70.894999999999996</v>
      </c>
      <c r="J37" s="9">
        <v>60.777000000000001</v>
      </c>
      <c r="K37" s="9">
        <v>57.536000000000001</v>
      </c>
    </row>
    <row r="38" spans="2:11" x14ac:dyDescent="0.2">
      <c r="B38" s="9">
        <v>10.45</v>
      </c>
      <c r="C38" s="5">
        <v>48.509</v>
      </c>
      <c r="D38" s="5">
        <v>56.786999999999999</v>
      </c>
      <c r="E38" s="5">
        <v>57.831000000000003</v>
      </c>
      <c r="F38" s="9">
        <v>60.637</v>
      </c>
      <c r="G38" s="9">
        <v>65.844999999999999</v>
      </c>
      <c r="H38" s="9">
        <v>65.816000000000003</v>
      </c>
      <c r="I38" s="9">
        <v>70.935000000000002</v>
      </c>
      <c r="J38" s="9">
        <v>60.695</v>
      </c>
      <c r="K38" s="9">
        <v>57.457999999999998</v>
      </c>
    </row>
    <row r="39" spans="2:11" x14ac:dyDescent="0.2">
      <c r="B39" s="9">
        <v>10.466666666666667</v>
      </c>
      <c r="C39" s="5">
        <v>48.473999999999997</v>
      </c>
      <c r="D39" s="5">
        <v>56.779000000000003</v>
      </c>
      <c r="E39" s="5">
        <v>57.826999999999998</v>
      </c>
      <c r="F39" s="9">
        <v>60.578000000000003</v>
      </c>
      <c r="G39" s="9">
        <v>65.876000000000005</v>
      </c>
      <c r="H39" s="9">
        <v>65.781999999999996</v>
      </c>
      <c r="I39" s="9">
        <v>70.923000000000002</v>
      </c>
      <c r="J39" s="9">
        <v>60.749000000000002</v>
      </c>
      <c r="K39" s="9">
        <v>57.420999999999999</v>
      </c>
    </row>
    <row r="40" spans="2:11" x14ac:dyDescent="0.2">
      <c r="B40" s="9">
        <v>10.483333333333333</v>
      </c>
      <c r="C40" s="5">
        <v>48.383000000000003</v>
      </c>
      <c r="D40" s="5">
        <v>56.758000000000003</v>
      </c>
      <c r="E40" s="5">
        <v>57.798000000000002</v>
      </c>
      <c r="F40" s="9">
        <v>60.487000000000002</v>
      </c>
      <c r="G40" s="9">
        <v>65.807000000000002</v>
      </c>
      <c r="H40" s="9">
        <v>65.802000000000007</v>
      </c>
      <c r="I40" s="9">
        <v>70.882000000000005</v>
      </c>
      <c r="J40" s="9">
        <v>60.664000000000001</v>
      </c>
      <c r="K40" s="9">
        <v>57.368000000000002</v>
      </c>
    </row>
    <row r="41" spans="2:11" x14ac:dyDescent="0.2">
      <c r="B41" s="9">
        <v>10.5</v>
      </c>
      <c r="C41" s="5">
        <v>48.360999999999997</v>
      </c>
      <c r="D41" s="5">
        <v>56.646000000000001</v>
      </c>
      <c r="E41" s="5">
        <v>57.712000000000003</v>
      </c>
      <c r="F41" s="9">
        <v>60.412999999999997</v>
      </c>
      <c r="G41" s="9">
        <v>65.772999999999996</v>
      </c>
      <c r="H41" s="9">
        <v>65.753</v>
      </c>
      <c r="I41" s="9">
        <v>70.843999999999994</v>
      </c>
      <c r="J41" s="9">
        <v>60.634999999999998</v>
      </c>
      <c r="K41" s="9">
        <v>57.316000000000003</v>
      </c>
    </row>
    <row r="42" spans="2:11" x14ac:dyDescent="0.2">
      <c r="B42" s="9">
        <v>10.516666666666667</v>
      </c>
      <c r="C42" s="5">
        <v>48.308</v>
      </c>
      <c r="D42" s="5">
        <v>56.606000000000002</v>
      </c>
      <c r="E42" s="5">
        <v>57.655000000000001</v>
      </c>
      <c r="F42" s="9">
        <v>60.389000000000003</v>
      </c>
      <c r="G42" s="9">
        <v>65.739999999999995</v>
      </c>
      <c r="H42" s="9">
        <v>65.768000000000001</v>
      </c>
      <c r="I42" s="9">
        <v>70.710999999999999</v>
      </c>
      <c r="J42" s="9">
        <v>60.637</v>
      </c>
      <c r="K42" s="9">
        <v>57.241</v>
      </c>
    </row>
    <row r="43" spans="2:11" x14ac:dyDescent="0.2">
      <c r="B43" s="9">
        <v>10.533333333333333</v>
      </c>
      <c r="C43" s="5">
        <v>48.295999999999999</v>
      </c>
      <c r="D43" s="5">
        <v>56.667000000000002</v>
      </c>
      <c r="E43" s="5">
        <v>57.710999999999999</v>
      </c>
      <c r="F43" s="9">
        <v>60.293999999999997</v>
      </c>
      <c r="G43" s="9">
        <v>65.715000000000003</v>
      </c>
      <c r="H43" s="9">
        <v>65.7</v>
      </c>
      <c r="I43" s="9">
        <v>70.724000000000004</v>
      </c>
      <c r="J43" s="9">
        <v>60.497</v>
      </c>
      <c r="K43" s="9">
        <v>57.19</v>
      </c>
    </row>
    <row r="44" spans="2:11" x14ac:dyDescent="0.2">
      <c r="B44" s="9">
        <v>10.55</v>
      </c>
      <c r="C44" s="5">
        <v>48.27</v>
      </c>
      <c r="D44" s="5">
        <v>56.588999999999999</v>
      </c>
      <c r="E44" s="5">
        <v>57.634999999999998</v>
      </c>
      <c r="F44" s="9">
        <v>60.243000000000002</v>
      </c>
      <c r="G44" s="9">
        <v>65.664000000000001</v>
      </c>
      <c r="H44" s="9">
        <v>65.623000000000005</v>
      </c>
      <c r="I44" s="9">
        <v>70.701999999999998</v>
      </c>
      <c r="J44" s="9">
        <v>60.44</v>
      </c>
      <c r="K44" s="9">
        <v>57.097000000000001</v>
      </c>
    </row>
    <row r="45" spans="2:11" x14ac:dyDescent="0.2">
      <c r="B45" s="9">
        <v>10.566666666666666</v>
      </c>
      <c r="C45" s="5">
        <v>48.201999999999998</v>
      </c>
      <c r="D45" s="5">
        <v>56.600999999999999</v>
      </c>
      <c r="E45" s="5">
        <v>57.57</v>
      </c>
      <c r="F45" s="9">
        <v>60.146999999999998</v>
      </c>
      <c r="G45" s="9">
        <v>65.605999999999995</v>
      </c>
      <c r="H45" s="9">
        <v>65.567999999999998</v>
      </c>
      <c r="I45" s="9">
        <v>70.623000000000005</v>
      </c>
      <c r="J45" s="9">
        <v>60.438000000000002</v>
      </c>
      <c r="K45" s="9">
        <v>57.109000000000002</v>
      </c>
    </row>
    <row r="46" spans="2:11" x14ac:dyDescent="0.2">
      <c r="B46" s="9">
        <v>10.583333333333334</v>
      </c>
      <c r="C46" s="5">
        <v>48.183999999999997</v>
      </c>
      <c r="D46" s="5">
        <v>56.576999999999998</v>
      </c>
      <c r="E46" s="5">
        <v>57.664000000000001</v>
      </c>
      <c r="F46" s="9">
        <v>60.106000000000002</v>
      </c>
      <c r="G46" s="9">
        <v>65.551000000000002</v>
      </c>
      <c r="H46" s="9">
        <v>65.257000000000005</v>
      </c>
      <c r="I46" s="9">
        <v>70.614999999999995</v>
      </c>
      <c r="J46" s="9">
        <v>60.377000000000002</v>
      </c>
      <c r="K46" s="9">
        <v>57.042999999999999</v>
      </c>
    </row>
    <row r="47" spans="2:11" x14ac:dyDescent="0.2">
      <c r="B47" s="9">
        <v>10.6</v>
      </c>
      <c r="C47" s="5">
        <v>48.136000000000003</v>
      </c>
      <c r="D47" s="5">
        <v>56.558</v>
      </c>
      <c r="E47" s="5">
        <v>57.542000000000002</v>
      </c>
      <c r="F47" s="9">
        <v>60.039000000000001</v>
      </c>
      <c r="G47" s="9">
        <v>65.52</v>
      </c>
      <c r="H47" s="9">
        <v>65.527000000000001</v>
      </c>
      <c r="I47" s="9">
        <v>70.600999999999999</v>
      </c>
      <c r="J47" s="9">
        <v>60.353000000000002</v>
      </c>
      <c r="K47" s="9">
        <v>56.999000000000002</v>
      </c>
    </row>
    <row r="48" spans="2:11" x14ac:dyDescent="0.2">
      <c r="B48" s="9">
        <v>10.616666666666667</v>
      </c>
      <c r="C48" s="5">
        <v>48.097000000000001</v>
      </c>
      <c r="D48" s="5">
        <v>56.526000000000003</v>
      </c>
      <c r="E48" s="5">
        <v>57.54</v>
      </c>
      <c r="F48" s="9">
        <v>59.991999999999997</v>
      </c>
      <c r="G48" s="9">
        <v>65.504999999999995</v>
      </c>
      <c r="H48" s="9">
        <v>65.524000000000001</v>
      </c>
      <c r="I48" s="9">
        <v>70.552999999999997</v>
      </c>
      <c r="J48" s="9">
        <v>60.319000000000003</v>
      </c>
      <c r="K48" s="9">
        <v>56.957999999999998</v>
      </c>
    </row>
    <row r="49" spans="2:11" x14ac:dyDescent="0.2">
      <c r="B49" s="9">
        <v>10.633333333333333</v>
      </c>
      <c r="C49" s="5">
        <v>48.067</v>
      </c>
      <c r="D49" s="5">
        <v>56.497</v>
      </c>
      <c r="E49" s="5">
        <v>57.537999999999997</v>
      </c>
      <c r="F49" s="9">
        <v>59.871000000000002</v>
      </c>
      <c r="G49" s="9">
        <v>65.444999999999993</v>
      </c>
      <c r="H49" s="9">
        <v>65.480999999999995</v>
      </c>
      <c r="I49" s="9">
        <v>70.540000000000006</v>
      </c>
      <c r="J49" s="9">
        <v>60.265999999999998</v>
      </c>
      <c r="K49" s="9">
        <v>56.843000000000004</v>
      </c>
    </row>
    <row r="50" spans="2:11" x14ac:dyDescent="0.2">
      <c r="B50" s="9">
        <v>10.65</v>
      </c>
      <c r="C50" s="5">
        <v>48.024000000000001</v>
      </c>
      <c r="D50" s="5">
        <v>56.506</v>
      </c>
      <c r="E50" s="5">
        <v>57.482999999999997</v>
      </c>
      <c r="F50" s="9">
        <v>59.805</v>
      </c>
      <c r="G50" s="9">
        <v>65.400999999999996</v>
      </c>
      <c r="H50" s="9">
        <v>65.42</v>
      </c>
      <c r="I50" s="9">
        <v>70.587999999999994</v>
      </c>
      <c r="J50" s="9">
        <v>60.23</v>
      </c>
      <c r="K50" s="9">
        <v>56.81</v>
      </c>
    </row>
    <row r="51" spans="2:11" x14ac:dyDescent="0.2">
      <c r="B51" s="9">
        <v>10.666666666666666</v>
      </c>
      <c r="C51" s="5">
        <v>47.997999999999998</v>
      </c>
      <c r="D51" s="5">
        <v>56.475000000000001</v>
      </c>
      <c r="E51" s="5">
        <v>57.41</v>
      </c>
      <c r="F51" s="9">
        <v>59.755000000000003</v>
      </c>
      <c r="G51" s="9">
        <v>65.378</v>
      </c>
      <c r="H51" s="9">
        <v>65.341999999999999</v>
      </c>
      <c r="I51" s="9">
        <v>70.433999999999997</v>
      </c>
      <c r="J51" s="9">
        <v>60.094000000000001</v>
      </c>
      <c r="K51" s="9">
        <v>56.786999999999999</v>
      </c>
    </row>
    <row r="52" spans="2:11" x14ac:dyDescent="0.2">
      <c r="B52" s="9">
        <v>10.683333333333334</v>
      </c>
      <c r="C52" s="5">
        <v>47.908000000000001</v>
      </c>
      <c r="D52" s="5">
        <v>56.432000000000002</v>
      </c>
      <c r="E52" s="5">
        <v>57.463000000000001</v>
      </c>
      <c r="F52" s="9">
        <v>59.667999999999999</v>
      </c>
      <c r="G52" s="9">
        <v>65.316000000000003</v>
      </c>
      <c r="H52" s="9">
        <v>65.326999999999998</v>
      </c>
      <c r="I52" s="9">
        <v>70.430999999999997</v>
      </c>
      <c r="J52" s="9">
        <v>60.084000000000003</v>
      </c>
      <c r="K52" s="9">
        <v>56.704999999999998</v>
      </c>
    </row>
    <row r="53" spans="2:11" x14ac:dyDescent="0.2">
      <c r="B53" s="9">
        <v>10.7</v>
      </c>
      <c r="C53" s="5">
        <v>47.893000000000001</v>
      </c>
      <c r="D53" s="5">
        <v>56.411000000000001</v>
      </c>
      <c r="E53" s="5">
        <v>57.427999999999997</v>
      </c>
      <c r="F53" s="9">
        <v>59.628</v>
      </c>
      <c r="G53" s="9">
        <v>65.361000000000004</v>
      </c>
      <c r="H53" s="9">
        <v>65.340999999999994</v>
      </c>
      <c r="I53" s="9">
        <v>70.421999999999997</v>
      </c>
      <c r="J53" s="9">
        <v>60.043999999999997</v>
      </c>
      <c r="K53" s="9">
        <v>56.716999999999999</v>
      </c>
    </row>
    <row r="54" spans="2:11" x14ac:dyDescent="0.2">
      <c r="B54" s="9">
        <v>10.716666666666667</v>
      </c>
      <c r="C54" s="5">
        <v>47.893000000000001</v>
      </c>
      <c r="D54" s="5">
        <v>56.393000000000001</v>
      </c>
      <c r="E54" s="5">
        <v>57.418999999999997</v>
      </c>
      <c r="F54" s="9">
        <v>59.604999999999997</v>
      </c>
      <c r="G54" s="9">
        <v>65.284999999999997</v>
      </c>
      <c r="H54" s="9">
        <v>65.224999999999994</v>
      </c>
      <c r="I54" s="9">
        <v>70.370999999999995</v>
      </c>
      <c r="J54" s="9">
        <v>60.008000000000003</v>
      </c>
      <c r="K54" s="9">
        <v>56.661000000000001</v>
      </c>
    </row>
    <row r="55" spans="2:11" x14ac:dyDescent="0.2">
      <c r="B55" s="9">
        <v>10.733333333333333</v>
      </c>
      <c r="C55" s="5">
        <v>47.81</v>
      </c>
      <c r="D55" s="5">
        <v>56.345999999999997</v>
      </c>
      <c r="E55" s="5">
        <v>57.366</v>
      </c>
      <c r="F55" s="9">
        <v>59.582999999999998</v>
      </c>
      <c r="G55" s="9">
        <v>65.238</v>
      </c>
      <c r="H55" s="9">
        <v>65.144000000000005</v>
      </c>
      <c r="I55" s="9">
        <v>70.31</v>
      </c>
      <c r="J55" s="9">
        <v>59.914000000000001</v>
      </c>
      <c r="K55" s="9">
        <v>56.639000000000003</v>
      </c>
    </row>
    <row r="56" spans="2:11" x14ac:dyDescent="0.2">
      <c r="B56" s="9">
        <v>10.75</v>
      </c>
      <c r="C56" s="5">
        <v>47.767000000000003</v>
      </c>
      <c r="D56" s="5">
        <v>56.36</v>
      </c>
      <c r="E56" s="5">
        <v>57.317</v>
      </c>
      <c r="F56" s="9">
        <v>59.524999999999999</v>
      </c>
      <c r="G56" s="9">
        <v>65.203999999999994</v>
      </c>
      <c r="H56" s="9">
        <v>65.094999999999999</v>
      </c>
      <c r="I56" s="9">
        <v>70.234999999999999</v>
      </c>
      <c r="J56" s="9">
        <v>59.856000000000002</v>
      </c>
      <c r="K56" s="9">
        <v>56.53</v>
      </c>
    </row>
    <row r="57" spans="2:11" x14ac:dyDescent="0.2">
      <c r="B57" s="9">
        <v>10.766666666666667</v>
      </c>
      <c r="C57" s="5">
        <v>47.756</v>
      </c>
      <c r="D57" s="5">
        <v>56.302999999999997</v>
      </c>
      <c r="E57" s="5">
        <v>57.36</v>
      </c>
      <c r="F57" s="9">
        <v>59.502000000000002</v>
      </c>
      <c r="G57" s="9">
        <v>65.179000000000002</v>
      </c>
      <c r="H57" s="9">
        <v>65.066999999999993</v>
      </c>
      <c r="I57" s="9">
        <v>70.253</v>
      </c>
      <c r="J57" s="9">
        <v>59.845999999999997</v>
      </c>
      <c r="K57" s="9">
        <v>56.512999999999998</v>
      </c>
    </row>
    <row r="58" spans="2:11" x14ac:dyDescent="0.2">
      <c r="B58" s="9">
        <v>10.783333333333333</v>
      </c>
      <c r="C58" s="5">
        <v>47.758000000000003</v>
      </c>
      <c r="D58" s="5">
        <v>56.292999999999999</v>
      </c>
      <c r="E58" s="5">
        <v>57.331000000000003</v>
      </c>
      <c r="F58" s="9">
        <v>59.371000000000002</v>
      </c>
      <c r="G58" s="9">
        <v>65.135000000000005</v>
      </c>
      <c r="H58" s="9">
        <v>65.078999999999994</v>
      </c>
      <c r="I58" s="9">
        <v>70.183000000000007</v>
      </c>
      <c r="J58" s="9">
        <v>59.808</v>
      </c>
      <c r="K58" s="9">
        <v>56.488999999999997</v>
      </c>
    </row>
    <row r="59" spans="2:11" x14ac:dyDescent="0.2">
      <c r="B59" s="9">
        <v>10.8</v>
      </c>
      <c r="C59" s="5">
        <v>47.719000000000001</v>
      </c>
      <c r="D59" s="5">
        <v>56.237000000000002</v>
      </c>
      <c r="E59" s="5">
        <v>57.289000000000001</v>
      </c>
      <c r="F59" s="9">
        <v>59.332999999999998</v>
      </c>
      <c r="G59" s="9">
        <v>65.087000000000003</v>
      </c>
      <c r="H59" s="9">
        <v>64.957999999999998</v>
      </c>
      <c r="I59" s="9">
        <v>70.081999999999994</v>
      </c>
      <c r="J59" s="9">
        <v>59.728000000000002</v>
      </c>
      <c r="K59" s="9">
        <v>56.454999999999998</v>
      </c>
    </row>
    <row r="60" spans="2:11" x14ac:dyDescent="0.2">
      <c r="B60" s="9">
        <v>10.816666666666666</v>
      </c>
      <c r="C60" s="5">
        <v>47.642000000000003</v>
      </c>
      <c r="D60" s="5">
        <v>56.292000000000002</v>
      </c>
      <c r="E60" s="5">
        <v>57.232999999999997</v>
      </c>
      <c r="F60" s="9">
        <v>59.274000000000001</v>
      </c>
      <c r="G60" s="9">
        <v>65.043000000000006</v>
      </c>
      <c r="H60" s="9">
        <v>64.941000000000003</v>
      </c>
      <c r="I60" s="9">
        <v>70.066999999999993</v>
      </c>
      <c r="J60" s="9">
        <v>59.738</v>
      </c>
      <c r="K60" s="9">
        <v>56.435000000000002</v>
      </c>
    </row>
    <row r="61" spans="2:11" x14ac:dyDescent="0.2">
      <c r="B61" s="9">
        <v>10.833333333333334</v>
      </c>
      <c r="C61" s="5">
        <v>47.63</v>
      </c>
      <c r="D61" s="5">
        <v>56.243000000000002</v>
      </c>
      <c r="E61" s="5">
        <v>57.176000000000002</v>
      </c>
      <c r="F61" s="9">
        <v>59.204000000000001</v>
      </c>
      <c r="G61" s="9">
        <v>65.03</v>
      </c>
      <c r="H61" s="9">
        <v>64.787999999999997</v>
      </c>
      <c r="I61" s="9">
        <v>69.991</v>
      </c>
      <c r="J61" s="9">
        <v>59.612000000000002</v>
      </c>
      <c r="K61" s="9">
        <v>56.308999999999997</v>
      </c>
    </row>
    <row r="62" spans="2:11" x14ac:dyDescent="0.2">
      <c r="B62" s="9">
        <v>10.85</v>
      </c>
      <c r="C62" s="5">
        <v>47.585999999999999</v>
      </c>
      <c r="D62" s="5">
        <v>56.19</v>
      </c>
      <c r="E62" s="5">
        <v>57.093000000000004</v>
      </c>
      <c r="F62" s="9">
        <v>59.204000000000001</v>
      </c>
      <c r="G62" s="9">
        <v>65.024000000000001</v>
      </c>
      <c r="H62" s="9">
        <v>64.762</v>
      </c>
      <c r="I62" s="9">
        <v>69.957999999999998</v>
      </c>
      <c r="J62" s="9">
        <v>59.576999999999998</v>
      </c>
      <c r="K62" s="9">
        <v>56.283000000000001</v>
      </c>
    </row>
    <row r="63" spans="2:11" x14ac:dyDescent="0.2">
      <c r="B63" s="9">
        <v>10.866666666666667</v>
      </c>
      <c r="C63" s="5">
        <v>47.578000000000003</v>
      </c>
      <c r="D63" s="5">
        <v>56.186999999999998</v>
      </c>
      <c r="E63" s="5">
        <v>57.136000000000003</v>
      </c>
      <c r="F63" s="9">
        <v>59.125999999999998</v>
      </c>
      <c r="G63" s="9">
        <v>64.983000000000004</v>
      </c>
      <c r="H63" s="9">
        <v>64.685000000000002</v>
      </c>
      <c r="I63" s="9">
        <v>69.97</v>
      </c>
      <c r="J63" s="9">
        <v>59.57</v>
      </c>
      <c r="K63" s="9">
        <v>56.262</v>
      </c>
    </row>
    <row r="64" spans="2:11" x14ac:dyDescent="0.2">
      <c r="B64" s="9">
        <v>10.883333333333333</v>
      </c>
      <c r="C64" s="5">
        <v>47.52</v>
      </c>
      <c r="D64" s="5">
        <v>56.171999999999997</v>
      </c>
      <c r="E64" s="5">
        <v>57.113</v>
      </c>
      <c r="F64" s="9">
        <v>59.087000000000003</v>
      </c>
      <c r="G64" s="9">
        <v>64.942999999999998</v>
      </c>
      <c r="H64" s="9">
        <v>64.641000000000005</v>
      </c>
      <c r="I64" s="9">
        <v>69.894999999999996</v>
      </c>
      <c r="J64" s="9">
        <v>59.542999999999999</v>
      </c>
      <c r="K64" s="9">
        <v>56.222000000000001</v>
      </c>
    </row>
    <row r="65" spans="2:11" x14ac:dyDescent="0.2">
      <c r="B65" s="9">
        <v>10.9</v>
      </c>
      <c r="C65" s="5">
        <v>47.454000000000001</v>
      </c>
      <c r="D65" s="5">
        <v>56.088999999999999</v>
      </c>
      <c r="E65" s="5">
        <v>57.048000000000002</v>
      </c>
      <c r="F65" s="9">
        <v>59.005000000000003</v>
      </c>
      <c r="G65" s="9">
        <v>64.894999999999996</v>
      </c>
      <c r="H65" s="9">
        <v>64.59</v>
      </c>
      <c r="I65" s="9">
        <v>69.81</v>
      </c>
      <c r="J65" s="9">
        <v>59.502000000000002</v>
      </c>
      <c r="K65" s="9">
        <v>56.125</v>
      </c>
    </row>
    <row r="66" spans="2:11" x14ac:dyDescent="0.2">
      <c r="B66" s="9">
        <v>10.916666666666666</v>
      </c>
      <c r="C66" s="5">
        <v>47.43</v>
      </c>
      <c r="D66" s="5">
        <v>56.088999999999999</v>
      </c>
      <c r="E66" s="5">
        <v>56.981999999999999</v>
      </c>
      <c r="F66" s="9">
        <v>58.930999999999997</v>
      </c>
      <c r="G66" s="9">
        <v>64.825999999999993</v>
      </c>
      <c r="H66" s="9">
        <v>64.551000000000002</v>
      </c>
      <c r="I66" s="9">
        <v>69.802999999999997</v>
      </c>
      <c r="J66" s="9">
        <v>59.465000000000003</v>
      </c>
      <c r="K66" s="9">
        <v>56.109000000000002</v>
      </c>
    </row>
    <row r="67" spans="2:11" x14ac:dyDescent="0.2">
      <c r="B67" s="9">
        <v>10.933333333333334</v>
      </c>
      <c r="C67" s="5">
        <v>47.341999999999999</v>
      </c>
      <c r="D67" s="5">
        <v>56.064999999999998</v>
      </c>
      <c r="E67" s="5">
        <v>57.012</v>
      </c>
      <c r="F67" s="9">
        <v>58.863999999999997</v>
      </c>
      <c r="G67" s="9">
        <v>64.823999999999998</v>
      </c>
      <c r="H67" s="9">
        <v>64.540999999999997</v>
      </c>
      <c r="I67" s="9">
        <v>69.760999999999996</v>
      </c>
      <c r="J67" s="9">
        <v>59.353000000000002</v>
      </c>
      <c r="K67" s="9">
        <v>56.106000000000002</v>
      </c>
    </row>
    <row r="68" spans="2:11" x14ac:dyDescent="0.2">
      <c r="B68" s="9">
        <v>10.95</v>
      </c>
      <c r="C68" s="5">
        <v>47.328000000000003</v>
      </c>
      <c r="D68" s="5">
        <v>56.091000000000001</v>
      </c>
      <c r="E68" s="5">
        <v>57.067</v>
      </c>
      <c r="F68" s="9">
        <v>58.844000000000001</v>
      </c>
      <c r="G68" s="9">
        <v>64.811999999999998</v>
      </c>
      <c r="H68" s="9">
        <v>64.484999999999999</v>
      </c>
      <c r="I68" s="9">
        <v>69.72</v>
      </c>
      <c r="J68" s="9">
        <v>59.265000000000001</v>
      </c>
      <c r="K68" s="9">
        <v>56.034999999999997</v>
      </c>
    </row>
    <row r="69" spans="2:11" x14ac:dyDescent="0.2">
      <c r="B69" s="9">
        <v>10.966666666666667</v>
      </c>
      <c r="C69" s="5">
        <v>47.271999999999998</v>
      </c>
      <c r="D69" s="5">
        <v>56.009</v>
      </c>
      <c r="E69" s="5">
        <v>56.993000000000002</v>
      </c>
      <c r="F69" s="9">
        <v>58.805999999999997</v>
      </c>
      <c r="G69" s="9">
        <v>64.722999999999999</v>
      </c>
      <c r="H69" s="9">
        <v>64.424000000000007</v>
      </c>
      <c r="I69" s="9">
        <v>69.644999999999996</v>
      </c>
      <c r="J69" s="9">
        <v>59.280999999999999</v>
      </c>
      <c r="K69" s="9">
        <v>55.972000000000001</v>
      </c>
    </row>
    <row r="70" spans="2:11" x14ac:dyDescent="0.2">
      <c r="B70" s="9">
        <v>10.983333333333333</v>
      </c>
      <c r="C70" s="5">
        <v>47.281999999999996</v>
      </c>
      <c r="D70" s="5">
        <v>56.048000000000002</v>
      </c>
      <c r="E70" s="5">
        <v>56.944000000000003</v>
      </c>
      <c r="F70" s="9">
        <v>58.746000000000002</v>
      </c>
      <c r="G70" s="9">
        <v>64.679000000000002</v>
      </c>
      <c r="H70" s="9">
        <v>64.338999999999999</v>
      </c>
      <c r="I70" s="9">
        <v>69.688999999999993</v>
      </c>
      <c r="J70" s="9">
        <v>59.307000000000002</v>
      </c>
      <c r="K70" s="9">
        <v>55.973999999999997</v>
      </c>
    </row>
    <row r="71" spans="2:11" x14ac:dyDescent="0.2">
      <c r="B71" s="9">
        <v>11</v>
      </c>
      <c r="C71" s="5">
        <v>47.243000000000002</v>
      </c>
      <c r="D71" s="5">
        <v>55.951000000000001</v>
      </c>
      <c r="E71" s="5">
        <v>56.954000000000001</v>
      </c>
      <c r="F71" s="9">
        <v>58.707999999999998</v>
      </c>
      <c r="G71" s="9">
        <v>64.662000000000006</v>
      </c>
      <c r="H71" s="9">
        <v>64.302000000000007</v>
      </c>
      <c r="I71" s="9">
        <v>69.664000000000001</v>
      </c>
      <c r="J71" s="9">
        <v>59.231999999999999</v>
      </c>
      <c r="K71" s="9">
        <v>55.923999999999999</v>
      </c>
    </row>
    <row r="72" spans="2:11" x14ac:dyDescent="0.2">
      <c r="B72" s="9">
        <v>11.016666666666667</v>
      </c>
      <c r="C72" s="5">
        <v>47.225999999999999</v>
      </c>
      <c r="D72" s="5">
        <v>55.941000000000003</v>
      </c>
      <c r="E72" s="5">
        <v>56.899000000000001</v>
      </c>
      <c r="F72" s="9">
        <v>58.652999999999999</v>
      </c>
      <c r="G72" s="9">
        <v>64.682000000000002</v>
      </c>
      <c r="H72" s="9">
        <v>64.209000000000003</v>
      </c>
      <c r="I72" s="9">
        <v>69.644000000000005</v>
      </c>
      <c r="J72" s="9">
        <v>59.171999999999997</v>
      </c>
      <c r="K72" s="9">
        <v>55.843000000000004</v>
      </c>
    </row>
    <row r="73" spans="2:11" x14ac:dyDescent="0.2">
      <c r="B73" s="9">
        <v>11.033333333333333</v>
      </c>
      <c r="C73" s="5">
        <v>47.167000000000002</v>
      </c>
      <c r="D73" s="5">
        <v>55.953000000000003</v>
      </c>
      <c r="E73" s="5">
        <v>56.884999999999998</v>
      </c>
      <c r="F73" s="9">
        <v>58.616</v>
      </c>
      <c r="G73" s="9">
        <v>64.626000000000005</v>
      </c>
      <c r="H73" s="9">
        <v>64.192999999999998</v>
      </c>
      <c r="I73" s="9">
        <v>69.587999999999994</v>
      </c>
      <c r="J73" s="9">
        <v>59.134999999999998</v>
      </c>
      <c r="K73" s="9">
        <v>55.832999999999998</v>
      </c>
    </row>
    <row r="74" spans="2:11" x14ac:dyDescent="0.2">
      <c r="B74" s="9">
        <v>11.05</v>
      </c>
      <c r="C74" s="5">
        <v>47.128999999999998</v>
      </c>
      <c r="D74" s="5">
        <v>55.908999999999999</v>
      </c>
      <c r="E74" s="5">
        <v>56.835999999999999</v>
      </c>
      <c r="F74" s="9">
        <v>58.593000000000004</v>
      </c>
      <c r="G74" s="9">
        <v>64.61</v>
      </c>
      <c r="H74" s="9">
        <v>64.186000000000007</v>
      </c>
      <c r="I74" s="9">
        <v>69.533000000000001</v>
      </c>
      <c r="J74" s="9">
        <v>59.151000000000003</v>
      </c>
      <c r="K74" s="9">
        <v>55.79</v>
      </c>
    </row>
    <row r="75" spans="2:11" x14ac:dyDescent="0.2">
      <c r="B75" s="9">
        <v>11.066666666666666</v>
      </c>
      <c r="C75" s="5">
        <v>47.081000000000003</v>
      </c>
      <c r="D75" s="5">
        <v>55.872999999999998</v>
      </c>
      <c r="E75" s="5">
        <v>56.832999999999998</v>
      </c>
      <c r="F75" s="9">
        <v>58.567999999999998</v>
      </c>
      <c r="G75" s="9">
        <v>64.578000000000003</v>
      </c>
      <c r="H75" s="9">
        <v>64.117000000000004</v>
      </c>
      <c r="I75" s="9">
        <v>69.528000000000006</v>
      </c>
      <c r="J75" s="9">
        <v>59.073</v>
      </c>
      <c r="K75" s="9">
        <v>55.74</v>
      </c>
    </row>
    <row r="76" spans="2:11" x14ac:dyDescent="0.2">
      <c r="B76" s="9">
        <v>11.083333333333334</v>
      </c>
      <c r="C76" s="5">
        <v>47.064</v>
      </c>
      <c r="D76" s="5">
        <v>55.837000000000003</v>
      </c>
      <c r="E76" s="5">
        <v>56.783000000000001</v>
      </c>
      <c r="F76" s="9">
        <v>58.505000000000003</v>
      </c>
      <c r="G76" s="9">
        <v>64.543999999999997</v>
      </c>
      <c r="H76" s="9">
        <v>64.119</v>
      </c>
      <c r="I76" s="9">
        <v>69.466999999999999</v>
      </c>
      <c r="J76" s="9">
        <v>59.024000000000001</v>
      </c>
      <c r="K76" s="9">
        <v>55.674999999999997</v>
      </c>
    </row>
    <row r="77" spans="2:11" x14ac:dyDescent="0.2">
      <c r="B77" s="9">
        <v>11.1</v>
      </c>
      <c r="C77" s="5">
        <v>47.027000000000001</v>
      </c>
      <c r="D77" s="5">
        <v>55.816000000000003</v>
      </c>
      <c r="E77" s="5">
        <v>56.756</v>
      </c>
      <c r="F77" s="9">
        <v>58.453000000000003</v>
      </c>
      <c r="G77" s="9">
        <v>64.56</v>
      </c>
      <c r="H77" s="9">
        <v>64.102999999999994</v>
      </c>
      <c r="I77" s="9">
        <v>69.397000000000006</v>
      </c>
      <c r="J77" s="9">
        <v>58.984999999999999</v>
      </c>
      <c r="K77" s="9">
        <v>55.689</v>
      </c>
    </row>
    <row r="78" spans="2:11" x14ac:dyDescent="0.2">
      <c r="B78" s="9">
        <v>11.116666666666667</v>
      </c>
      <c r="C78" s="5">
        <v>46.957999999999998</v>
      </c>
      <c r="D78" s="5">
        <v>55.786999999999999</v>
      </c>
      <c r="E78" s="5">
        <v>56.661000000000001</v>
      </c>
      <c r="F78" s="9">
        <v>58.404000000000003</v>
      </c>
      <c r="G78" s="9">
        <v>64.489000000000004</v>
      </c>
      <c r="H78" s="9">
        <v>64.019000000000005</v>
      </c>
      <c r="I78" s="9">
        <v>69.388999999999996</v>
      </c>
      <c r="J78" s="9">
        <v>58.982999999999997</v>
      </c>
      <c r="K78" s="9">
        <v>55.594000000000001</v>
      </c>
    </row>
    <row r="79" spans="2:11" x14ac:dyDescent="0.2">
      <c r="B79" s="9">
        <v>11.133333333333333</v>
      </c>
      <c r="C79" s="5">
        <v>46.920999999999999</v>
      </c>
      <c r="D79" s="5">
        <v>55.8</v>
      </c>
      <c r="E79" s="5">
        <v>56.716000000000001</v>
      </c>
      <c r="F79" s="9">
        <v>58.311999999999998</v>
      </c>
      <c r="G79" s="9">
        <v>64.409000000000006</v>
      </c>
      <c r="H79" s="9">
        <v>63.975000000000001</v>
      </c>
      <c r="I79" s="9">
        <v>69.346000000000004</v>
      </c>
      <c r="J79" s="9">
        <v>58.893000000000001</v>
      </c>
      <c r="K79" s="9">
        <v>55.555</v>
      </c>
    </row>
    <row r="80" spans="2:11" x14ac:dyDescent="0.2">
      <c r="B80" s="9">
        <v>11.15</v>
      </c>
      <c r="C80" s="5">
        <v>46.917000000000002</v>
      </c>
      <c r="D80" s="5">
        <v>55.777000000000001</v>
      </c>
      <c r="E80" s="5">
        <v>56.686</v>
      </c>
      <c r="F80" s="9">
        <v>58.232999999999997</v>
      </c>
      <c r="G80" s="9">
        <v>64.376999999999995</v>
      </c>
      <c r="H80" s="9">
        <v>63.975000000000001</v>
      </c>
      <c r="I80" s="9">
        <v>69.375</v>
      </c>
      <c r="J80" s="9">
        <v>58.872999999999998</v>
      </c>
      <c r="K80" s="9">
        <v>55.534999999999997</v>
      </c>
    </row>
    <row r="81" spans="2:11" x14ac:dyDescent="0.2">
      <c r="B81" s="9">
        <v>11.166666666666666</v>
      </c>
      <c r="C81" s="5">
        <v>46.866999999999997</v>
      </c>
      <c r="D81" s="5">
        <v>55.735999999999997</v>
      </c>
      <c r="E81" s="5">
        <v>56.71</v>
      </c>
      <c r="F81" s="9">
        <v>58.213000000000001</v>
      </c>
      <c r="G81" s="9">
        <v>64.352999999999994</v>
      </c>
      <c r="H81" s="9">
        <v>63.712000000000003</v>
      </c>
      <c r="I81" s="9">
        <v>69.278000000000006</v>
      </c>
      <c r="J81" s="9">
        <v>58.856000000000002</v>
      </c>
      <c r="K81" s="9">
        <v>55.497</v>
      </c>
    </row>
    <row r="82" spans="2:11" x14ac:dyDescent="0.2">
      <c r="B82" s="9">
        <v>11.183333333333334</v>
      </c>
      <c r="C82" s="5">
        <v>46.838000000000001</v>
      </c>
      <c r="D82" s="5">
        <v>55.670999999999999</v>
      </c>
      <c r="E82" s="5">
        <v>56.673999999999999</v>
      </c>
      <c r="F82" s="9">
        <v>58.170999999999999</v>
      </c>
      <c r="G82" s="9">
        <v>64.316000000000003</v>
      </c>
      <c r="H82" s="9">
        <v>63.930999999999997</v>
      </c>
      <c r="I82" s="9">
        <v>69.308999999999997</v>
      </c>
      <c r="J82" s="9">
        <v>58.746000000000002</v>
      </c>
      <c r="K82" s="9">
        <v>55.459000000000003</v>
      </c>
    </row>
    <row r="83" spans="2:11" x14ac:dyDescent="0.2">
      <c r="B83" s="9">
        <v>11.2</v>
      </c>
      <c r="C83" s="5">
        <v>46.807000000000002</v>
      </c>
      <c r="D83" s="5">
        <v>55.677999999999997</v>
      </c>
      <c r="E83" s="5">
        <v>56.619</v>
      </c>
      <c r="F83" s="9">
        <v>58.100999999999999</v>
      </c>
      <c r="G83" s="9">
        <v>64.274000000000001</v>
      </c>
      <c r="H83" s="9">
        <v>63.790999999999997</v>
      </c>
      <c r="I83" s="9">
        <v>69.251000000000005</v>
      </c>
      <c r="J83" s="9">
        <v>58.798999999999999</v>
      </c>
      <c r="K83" s="9">
        <v>55.415999999999997</v>
      </c>
    </row>
    <row r="84" spans="2:11" x14ac:dyDescent="0.2">
      <c r="B84" s="9">
        <v>11.216666666666667</v>
      </c>
      <c r="C84" s="5">
        <v>46.747999999999998</v>
      </c>
      <c r="D84" s="5">
        <v>55.656999999999996</v>
      </c>
      <c r="E84" s="5">
        <v>56.576000000000001</v>
      </c>
      <c r="F84" s="9">
        <v>58.048000000000002</v>
      </c>
      <c r="G84" s="9">
        <v>64.23</v>
      </c>
      <c r="H84" s="9">
        <v>63.793999999999997</v>
      </c>
      <c r="I84" s="9">
        <v>69.231999999999999</v>
      </c>
      <c r="J84" s="9">
        <v>58.734000000000002</v>
      </c>
      <c r="K84" s="9">
        <v>55.374000000000002</v>
      </c>
    </row>
    <row r="85" spans="2:11" x14ac:dyDescent="0.2">
      <c r="B85" s="9">
        <v>11.233333333333333</v>
      </c>
      <c r="C85" s="5">
        <v>46.686999999999998</v>
      </c>
      <c r="D85" s="5">
        <v>55.606999999999999</v>
      </c>
      <c r="E85" s="5">
        <v>56.540999999999997</v>
      </c>
      <c r="F85" s="9">
        <v>57.987000000000002</v>
      </c>
      <c r="G85" s="9">
        <v>64.203000000000003</v>
      </c>
      <c r="H85" s="9">
        <v>63.674999999999997</v>
      </c>
      <c r="I85" s="9">
        <v>69.248999999999995</v>
      </c>
      <c r="J85" s="9">
        <v>58.683999999999997</v>
      </c>
      <c r="K85" s="9">
        <v>55.359000000000002</v>
      </c>
    </row>
    <row r="86" spans="2:11" x14ac:dyDescent="0.2">
      <c r="B86" s="9">
        <v>11.25</v>
      </c>
      <c r="C86" s="5">
        <v>46.655999999999999</v>
      </c>
      <c r="D86" s="5">
        <v>55.573</v>
      </c>
      <c r="E86" s="5">
        <v>56.542000000000002</v>
      </c>
      <c r="F86" s="9">
        <v>57.969000000000001</v>
      </c>
      <c r="G86" s="9">
        <v>64.162000000000006</v>
      </c>
      <c r="H86" s="9">
        <v>63.726999999999997</v>
      </c>
      <c r="I86" s="9">
        <v>69.167000000000002</v>
      </c>
      <c r="J86" s="9">
        <v>58.694000000000003</v>
      </c>
      <c r="K86" s="9">
        <v>55.307000000000002</v>
      </c>
    </row>
    <row r="87" spans="2:11" x14ac:dyDescent="0.2">
      <c r="B87" s="9">
        <v>11.266666666666667</v>
      </c>
      <c r="C87" s="5">
        <v>46.619</v>
      </c>
      <c r="D87" s="5">
        <v>55.575000000000003</v>
      </c>
      <c r="E87" s="5">
        <v>56.509</v>
      </c>
      <c r="F87" s="9">
        <v>57.92</v>
      </c>
      <c r="G87" s="9">
        <v>64.171000000000006</v>
      </c>
      <c r="H87" s="9">
        <v>63.728000000000002</v>
      </c>
      <c r="I87" s="9">
        <v>69.188000000000002</v>
      </c>
      <c r="J87" s="9">
        <v>58.615000000000002</v>
      </c>
      <c r="K87" s="9">
        <v>55.255000000000003</v>
      </c>
    </row>
    <row r="88" spans="2:11" x14ac:dyDescent="0.2">
      <c r="B88" s="9">
        <v>11.283333333333333</v>
      </c>
      <c r="C88" s="5">
        <v>46.618000000000002</v>
      </c>
      <c r="D88" s="5">
        <v>55.54</v>
      </c>
      <c r="E88" s="5">
        <v>56.527999999999999</v>
      </c>
      <c r="F88" s="9">
        <v>57.902000000000001</v>
      </c>
      <c r="G88" s="9">
        <v>64.103999999999999</v>
      </c>
      <c r="H88" s="9">
        <v>63.615000000000002</v>
      </c>
      <c r="I88" s="9">
        <v>69.102000000000004</v>
      </c>
      <c r="J88" s="9">
        <v>58.606999999999999</v>
      </c>
      <c r="K88" s="9">
        <v>55.232999999999997</v>
      </c>
    </row>
    <row r="89" spans="2:11" x14ac:dyDescent="0.2">
      <c r="B89" s="9">
        <v>11.3</v>
      </c>
      <c r="C89" s="5">
        <v>46.56</v>
      </c>
      <c r="D89" s="5">
        <v>55.554000000000002</v>
      </c>
      <c r="E89" s="5">
        <v>56.427</v>
      </c>
      <c r="F89" s="9">
        <v>57.817999999999998</v>
      </c>
      <c r="G89" s="9">
        <v>64.075000000000003</v>
      </c>
      <c r="H89" s="9">
        <v>63.526000000000003</v>
      </c>
      <c r="I89" s="9">
        <v>69.099999999999994</v>
      </c>
      <c r="J89" s="9">
        <v>58.545000000000002</v>
      </c>
      <c r="K89" s="9">
        <v>55.18</v>
      </c>
    </row>
    <row r="90" spans="2:11" x14ac:dyDescent="0.2">
      <c r="B90" s="9">
        <v>11.316666666666666</v>
      </c>
      <c r="C90" s="5">
        <v>46.542999999999999</v>
      </c>
      <c r="D90" s="5">
        <v>55.470999999999997</v>
      </c>
      <c r="E90" s="5">
        <v>56.463000000000001</v>
      </c>
      <c r="F90" s="9">
        <v>57.807000000000002</v>
      </c>
      <c r="G90" s="9">
        <v>64.066000000000003</v>
      </c>
      <c r="H90" s="9">
        <v>63.597999999999999</v>
      </c>
      <c r="I90" s="9">
        <v>69.088999999999999</v>
      </c>
      <c r="J90" s="9">
        <v>58.536000000000001</v>
      </c>
      <c r="K90" s="9">
        <v>55.143000000000001</v>
      </c>
    </row>
    <row r="91" spans="2:11" x14ac:dyDescent="0.2">
      <c r="B91" s="9">
        <v>11.333333333333334</v>
      </c>
      <c r="C91" s="5">
        <v>46.482999999999997</v>
      </c>
      <c r="D91" s="5">
        <v>55.438000000000002</v>
      </c>
      <c r="E91" s="5">
        <v>56.442999999999998</v>
      </c>
      <c r="F91" s="9">
        <v>57.802999999999997</v>
      </c>
      <c r="G91" s="9">
        <v>64.034999999999997</v>
      </c>
      <c r="H91" s="9">
        <v>63.575000000000003</v>
      </c>
      <c r="I91" s="9">
        <v>69.061000000000007</v>
      </c>
      <c r="J91" s="9">
        <v>58.456000000000003</v>
      </c>
      <c r="K91" s="9">
        <v>55.109000000000002</v>
      </c>
    </row>
    <row r="92" spans="2:11" x14ac:dyDescent="0.2">
      <c r="B92" s="9">
        <v>11.35</v>
      </c>
      <c r="C92" s="5">
        <v>46.418999999999997</v>
      </c>
      <c r="D92" s="5">
        <v>55.405000000000001</v>
      </c>
      <c r="E92" s="5">
        <v>56.448</v>
      </c>
      <c r="F92" s="9">
        <v>57.737000000000002</v>
      </c>
      <c r="G92" s="9">
        <v>63.985999999999997</v>
      </c>
      <c r="H92" s="9">
        <v>63.551000000000002</v>
      </c>
      <c r="I92" s="9">
        <v>68.918000000000006</v>
      </c>
      <c r="J92" s="9">
        <v>58.402999999999999</v>
      </c>
      <c r="K92" s="9">
        <v>55.048999999999999</v>
      </c>
    </row>
    <row r="93" spans="2:11" x14ac:dyDescent="0.2">
      <c r="B93" s="9">
        <v>11.366666666666667</v>
      </c>
      <c r="C93" s="5">
        <v>46.389000000000003</v>
      </c>
      <c r="D93" s="5">
        <v>55.43</v>
      </c>
      <c r="E93" s="5">
        <v>56.295999999999999</v>
      </c>
      <c r="F93" s="9">
        <v>57.682000000000002</v>
      </c>
      <c r="G93" s="9">
        <v>63.978000000000002</v>
      </c>
      <c r="H93" s="9">
        <v>63.390999999999998</v>
      </c>
      <c r="I93" s="9">
        <v>68.994</v>
      </c>
      <c r="J93" s="9">
        <v>58.353000000000002</v>
      </c>
      <c r="K93" s="9">
        <v>54.997999999999998</v>
      </c>
    </row>
    <row r="94" spans="2:11" x14ac:dyDescent="0.2">
      <c r="B94" s="9">
        <v>11.383333333333333</v>
      </c>
      <c r="C94" s="5">
        <v>46.375</v>
      </c>
      <c r="D94" s="5">
        <v>55.398000000000003</v>
      </c>
      <c r="E94" s="5">
        <v>56.343000000000004</v>
      </c>
      <c r="F94" s="9">
        <v>57.67</v>
      </c>
      <c r="G94" s="9">
        <v>63.936999999999998</v>
      </c>
      <c r="H94" s="9">
        <v>63.424999999999997</v>
      </c>
      <c r="I94" s="9">
        <v>68.960999999999999</v>
      </c>
      <c r="J94" s="9">
        <v>58.335999999999999</v>
      </c>
      <c r="K94" s="9">
        <v>55.003999999999998</v>
      </c>
    </row>
    <row r="95" spans="2:11" x14ac:dyDescent="0.2">
      <c r="B95" s="9">
        <v>11.4</v>
      </c>
      <c r="C95" s="5">
        <v>46.331000000000003</v>
      </c>
      <c r="D95" s="5">
        <v>55.308999999999997</v>
      </c>
      <c r="E95" s="5">
        <v>56.350999999999999</v>
      </c>
      <c r="F95" s="9">
        <v>57.637</v>
      </c>
      <c r="G95" s="9">
        <v>63.878999999999998</v>
      </c>
      <c r="H95" s="9">
        <v>63.390999999999998</v>
      </c>
      <c r="I95" s="9">
        <v>68.977000000000004</v>
      </c>
      <c r="J95" s="9">
        <v>58.259</v>
      </c>
      <c r="K95" s="9">
        <v>54.911999999999999</v>
      </c>
    </row>
    <row r="96" spans="2:11" x14ac:dyDescent="0.2">
      <c r="B96" s="9">
        <v>11.416666666666666</v>
      </c>
      <c r="C96" s="5">
        <v>46.305</v>
      </c>
      <c r="D96" s="5">
        <v>55.308</v>
      </c>
      <c r="E96" s="5">
        <v>56.234000000000002</v>
      </c>
      <c r="F96" s="9">
        <v>57.619</v>
      </c>
      <c r="G96" s="9">
        <v>63.877000000000002</v>
      </c>
      <c r="H96" s="9">
        <v>63.357999999999997</v>
      </c>
      <c r="I96" s="9">
        <v>68.980999999999995</v>
      </c>
      <c r="J96" s="9">
        <v>58.264000000000003</v>
      </c>
      <c r="K96" s="9">
        <v>54.862000000000002</v>
      </c>
    </row>
    <row r="97" spans="2:11" x14ac:dyDescent="0.2">
      <c r="B97" s="9">
        <v>11.433333333333334</v>
      </c>
      <c r="C97" s="5">
        <v>46.219000000000001</v>
      </c>
      <c r="D97" s="5">
        <v>55.253</v>
      </c>
      <c r="E97" s="5">
        <v>56.228999999999999</v>
      </c>
      <c r="F97" s="9">
        <v>57.511000000000003</v>
      </c>
      <c r="G97" s="9">
        <v>63.832999999999998</v>
      </c>
      <c r="H97" s="9">
        <v>63.295000000000002</v>
      </c>
      <c r="I97" s="9">
        <v>68.966999999999999</v>
      </c>
      <c r="J97" s="9">
        <v>58.222999999999999</v>
      </c>
      <c r="K97" s="9">
        <v>54.854999999999997</v>
      </c>
    </row>
    <row r="98" spans="2:11" x14ac:dyDescent="0.2">
      <c r="B98" s="9">
        <v>11.45</v>
      </c>
      <c r="C98" s="5">
        <v>46.106999999999999</v>
      </c>
      <c r="D98" s="5">
        <v>55.256</v>
      </c>
      <c r="E98" s="5">
        <v>56.188000000000002</v>
      </c>
      <c r="F98" s="9">
        <v>57.518999999999998</v>
      </c>
      <c r="G98" s="9">
        <v>63.774999999999999</v>
      </c>
      <c r="H98" s="9">
        <v>63.32</v>
      </c>
      <c r="I98" s="9">
        <v>68.906000000000006</v>
      </c>
      <c r="J98" s="9">
        <v>58.152999999999999</v>
      </c>
      <c r="K98" s="9">
        <v>54.771999999999998</v>
      </c>
    </row>
    <row r="99" spans="2:11" x14ac:dyDescent="0.2">
      <c r="B99" s="9">
        <v>11.466666666666667</v>
      </c>
      <c r="C99" s="5">
        <v>46.069000000000003</v>
      </c>
      <c r="D99" s="5">
        <v>55.207000000000001</v>
      </c>
      <c r="E99" s="5">
        <v>56.151000000000003</v>
      </c>
      <c r="F99" s="9">
        <v>57.469000000000001</v>
      </c>
      <c r="G99" s="9">
        <v>63.805999999999997</v>
      </c>
      <c r="H99" s="9">
        <v>63.231000000000002</v>
      </c>
      <c r="I99" s="9">
        <v>68.945999999999998</v>
      </c>
      <c r="J99" s="9">
        <v>58.131</v>
      </c>
      <c r="K99" s="9">
        <v>54.790999999999997</v>
      </c>
    </row>
    <row r="100" spans="2:11" x14ac:dyDescent="0.2">
      <c r="B100" s="9">
        <v>11.483333333333333</v>
      </c>
      <c r="C100" s="5">
        <v>46.026000000000003</v>
      </c>
      <c r="D100" s="5">
        <v>55.161999999999999</v>
      </c>
      <c r="E100" s="5">
        <v>56.128</v>
      </c>
      <c r="F100" s="9">
        <v>57.405999999999999</v>
      </c>
      <c r="G100" s="9">
        <v>63.743000000000002</v>
      </c>
      <c r="H100" s="9">
        <v>63.165999999999997</v>
      </c>
      <c r="I100" s="9">
        <v>68.885999999999996</v>
      </c>
      <c r="J100" s="9">
        <v>58.024999999999999</v>
      </c>
      <c r="K100" s="9">
        <v>54.707000000000001</v>
      </c>
    </row>
    <row r="101" spans="2:11" x14ac:dyDescent="0.2">
      <c r="B101" s="9">
        <v>11.5</v>
      </c>
      <c r="C101" s="5">
        <v>46.021999999999998</v>
      </c>
      <c r="D101" s="5">
        <v>55.189</v>
      </c>
      <c r="E101" s="5">
        <v>56.137</v>
      </c>
      <c r="F101" s="9">
        <v>57.405999999999999</v>
      </c>
      <c r="G101" s="9">
        <v>63.701999999999998</v>
      </c>
      <c r="H101" s="9">
        <v>63.131</v>
      </c>
      <c r="I101" s="9">
        <v>68.811999999999998</v>
      </c>
      <c r="J101" s="9">
        <v>58.017000000000003</v>
      </c>
      <c r="K101" s="9">
        <v>54.674999999999997</v>
      </c>
    </row>
    <row r="102" spans="2:11" x14ac:dyDescent="0.2">
      <c r="B102" s="9">
        <v>11.516666666666667</v>
      </c>
      <c r="C102" s="5">
        <v>45.988</v>
      </c>
      <c r="D102" s="5">
        <v>55.149000000000001</v>
      </c>
      <c r="E102" s="5">
        <v>56.14</v>
      </c>
      <c r="F102" s="9">
        <v>57.378</v>
      </c>
      <c r="G102" s="9">
        <v>63.661999999999999</v>
      </c>
      <c r="H102" s="9">
        <v>63.094000000000001</v>
      </c>
      <c r="I102" s="9">
        <v>68.837000000000003</v>
      </c>
      <c r="J102" s="9">
        <v>57.976999999999997</v>
      </c>
      <c r="K102" s="9">
        <v>54.655000000000001</v>
      </c>
    </row>
    <row r="103" spans="2:11" x14ac:dyDescent="0.2">
      <c r="B103" s="9">
        <v>11.533333333333333</v>
      </c>
      <c r="C103" s="5">
        <v>45.984999999999999</v>
      </c>
      <c r="D103" s="5">
        <v>55.101999999999997</v>
      </c>
      <c r="E103" s="5">
        <v>56.012999999999998</v>
      </c>
      <c r="F103" s="9">
        <v>57.305999999999997</v>
      </c>
      <c r="G103" s="9">
        <v>63.616999999999997</v>
      </c>
      <c r="H103" s="9">
        <v>63.076999999999998</v>
      </c>
      <c r="I103" s="9">
        <v>68.790000000000006</v>
      </c>
      <c r="J103" s="9">
        <v>57.892000000000003</v>
      </c>
      <c r="K103" s="9">
        <v>54.506999999999998</v>
      </c>
    </row>
    <row r="104" spans="2:11" x14ac:dyDescent="0.2">
      <c r="B104" s="9">
        <v>11.55</v>
      </c>
      <c r="C104" s="5">
        <v>45.939</v>
      </c>
      <c r="D104" s="5">
        <v>55.045999999999999</v>
      </c>
      <c r="E104" s="5">
        <v>56.018999999999998</v>
      </c>
      <c r="F104" s="9">
        <v>57.26</v>
      </c>
      <c r="G104" s="9">
        <v>63.607999999999997</v>
      </c>
      <c r="H104" s="9">
        <v>63.012</v>
      </c>
      <c r="I104" s="9">
        <v>68.781000000000006</v>
      </c>
      <c r="J104" s="9">
        <v>57.875</v>
      </c>
      <c r="K104" s="9">
        <v>54.524999999999999</v>
      </c>
    </row>
    <row r="105" spans="2:11" x14ac:dyDescent="0.2">
      <c r="B105" s="9">
        <v>11.566666666666666</v>
      </c>
      <c r="C105" s="5">
        <v>45.856999999999999</v>
      </c>
      <c r="D105" s="5">
        <v>55.06</v>
      </c>
      <c r="E105" s="5">
        <v>56.040999999999997</v>
      </c>
      <c r="F105" s="9">
        <v>57.204999999999998</v>
      </c>
      <c r="G105" s="9">
        <v>63.540999999999997</v>
      </c>
      <c r="H105" s="9">
        <v>62.982999999999997</v>
      </c>
      <c r="I105" s="9">
        <v>68.712000000000003</v>
      </c>
      <c r="J105" s="9">
        <v>57.787999999999997</v>
      </c>
      <c r="K105" s="9">
        <v>54.469000000000001</v>
      </c>
    </row>
    <row r="106" spans="2:11" x14ac:dyDescent="0.2">
      <c r="B106" s="9">
        <v>11.583333333333334</v>
      </c>
      <c r="C106" s="5">
        <v>45.817999999999998</v>
      </c>
      <c r="D106" s="5">
        <v>54.984999999999999</v>
      </c>
      <c r="E106" s="5">
        <v>55.966000000000001</v>
      </c>
      <c r="F106" s="9">
        <v>57.14</v>
      </c>
      <c r="G106" s="9">
        <v>63.478999999999999</v>
      </c>
      <c r="H106" s="9">
        <v>62.779000000000003</v>
      </c>
      <c r="I106" s="9">
        <v>68.706000000000003</v>
      </c>
      <c r="J106" s="9">
        <v>57.838000000000001</v>
      </c>
      <c r="K106" s="9">
        <v>54.433</v>
      </c>
    </row>
    <row r="107" spans="2:11" x14ac:dyDescent="0.2">
      <c r="B107" s="9">
        <v>11.6</v>
      </c>
      <c r="C107" s="5">
        <v>45.814999999999998</v>
      </c>
      <c r="D107" s="5">
        <v>54.957000000000001</v>
      </c>
      <c r="E107" s="5">
        <v>55.924999999999997</v>
      </c>
      <c r="F107" s="9">
        <v>57.082000000000001</v>
      </c>
      <c r="G107" s="9">
        <v>63.460999999999999</v>
      </c>
      <c r="H107" s="9">
        <v>62.936</v>
      </c>
      <c r="I107" s="9">
        <v>68.741</v>
      </c>
      <c r="J107" s="9">
        <v>57.844999999999999</v>
      </c>
      <c r="K107" s="9">
        <v>54.393999999999998</v>
      </c>
    </row>
    <row r="108" spans="2:11" x14ac:dyDescent="0.2">
      <c r="B108" s="9">
        <v>11.616666666666667</v>
      </c>
      <c r="C108" s="5">
        <v>45.709000000000003</v>
      </c>
      <c r="D108" s="5">
        <v>54.942999999999998</v>
      </c>
      <c r="E108" s="5">
        <v>55.878</v>
      </c>
      <c r="F108" s="9">
        <v>57.046999999999997</v>
      </c>
      <c r="G108" s="9">
        <v>63.439</v>
      </c>
      <c r="H108" s="9">
        <v>62.869</v>
      </c>
      <c r="I108" s="9">
        <v>68.671999999999997</v>
      </c>
      <c r="J108" s="9">
        <v>57.762999999999998</v>
      </c>
      <c r="K108" s="9">
        <v>54.338000000000001</v>
      </c>
    </row>
    <row r="109" spans="2:11" x14ac:dyDescent="0.2">
      <c r="B109" s="9">
        <v>11.633333333333333</v>
      </c>
      <c r="C109" s="5">
        <v>45.762</v>
      </c>
      <c r="D109" s="5">
        <v>54.871000000000002</v>
      </c>
      <c r="E109" s="5">
        <v>55.933999999999997</v>
      </c>
      <c r="F109" s="9">
        <v>56.999000000000002</v>
      </c>
      <c r="G109" s="9">
        <v>63.414999999999999</v>
      </c>
      <c r="H109" s="9">
        <v>62.866999999999997</v>
      </c>
      <c r="I109" s="9">
        <v>68.668999999999997</v>
      </c>
      <c r="J109" s="9">
        <v>57.710999999999999</v>
      </c>
      <c r="K109" s="9">
        <v>54.261000000000003</v>
      </c>
    </row>
    <row r="110" spans="2:11" x14ac:dyDescent="0.2">
      <c r="B110" s="9">
        <v>11.65</v>
      </c>
      <c r="C110" s="5">
        <v>45.658999999999999</v>
      </c>
      <c r="D110" s="5">
        <v>54.856000000000002</v>
      </c>
      <c r="E110" s="5">
        <v>55.837000000000003</v>
      </c>
      <c r="F110" s="9">
        <v>56.936</v>
      </c>
      <c r="G110" s="9">
        <v>63.372999999999998</v>
      </c>
      <c r="H110" s="9">
        <v>62.753</v>
      </c>
      <c r="I110" s="9">
        <v>68.563999999999993</v>
      </c>
      <c r="J110" s="9">
        <v>57.691000000000003</v>
      </c>
      <c r="K110" s="9">
        <v>54.234000000000002</v>
      </c>
    </row>
    <row r="111" spans="2:11" x14ac:dyDescent="0.2">
      <c r="B111" s="9">
        <v>11.666666666666666</v>
      </c>
      <c r="C111" s="5">
        <v>45.634</v>
      </c>
      <c r="D111" s="5">
        <v>54.850999999999999</v>
      </c>
      <c r="E111" s="5">
        <v>55.835000000000001</v>
      </c>
      <c r="F111" s="9">
        <v>56.954999999999998</v>
      </c>
      <c r="G111" s="9">
        <v>63.377000000000002</v>
      </c>
      <c r="H111" s="9">
        <v>62.841000000000001</v>
      </c>
      <c r="I111" s="9">
        <v>68.531999999999996</v>
      </c>
      <c r="J111" s="9">
        <v>57.655000000000001</v>
      </c>
      <c r="K111" s="9">
        <v>54.143999999999998</v>
      </c>
    </row>
    <row r="112" spans="2:11" x14ac:dyDescent="0.2">
      <c r="B112" s="9">
        <v>11.683333333333334</v>
      </c>
      <c r="C112" s="5">
        <v>45.591000000000001</v>
      </c>
      <c r="D112" s="5">
        <v>54.795000000000002</v>
      </c>
      <c r="E112" s="5">
        <v>55.796999999999997</v>
      </c>
      <c r="F112" s="9">
        <v>56.881</v>
      </c>
      <c r="G112" s="9">
        <v>63.31</v>
      </c>
      <c r="H112" s="9">
        <v>62.73</v>
      </c>
      <c r="I112" s="9">
        <v>68.501999999999995</v>
      </c>
      <c r="J112" s="9">
        <v>57.603999999999999</v>
      </c>
      <c r="K112" s="9">
        <v>54.122</v>
      </c>
    </row>
    <row r="113" spans="2:11" x14ac:dyDescent="0.2">
      <c r="B113" s="9">
        <v>11.7</v>
      </c>
      <c r="C113" s="5">
        <v>45.546999999999997</v>
      </c>
      <c r="D113" s="5">
        <v>54.777999999999999</v>
      </c>
      <c r="E113" s="5">
        <v>55.761000000000003</v>
      </c>
      <c r="F113" s="9">
        <v>56.868000000000002</v>
      </c>
      <c r="G113" s="9">
        <v>63.283999999999999</v>
      </c>
      <c r="H113" s="9">
        <v>62.624000000000002</v>
      </c>
      <c r="I113" s="9">
        <v>68.478999999999999</v>
      </c>
      <c r="J113" s="9">
        <v>57.578000000000003</v>
      </c>
      <c r="K113" s="9">
        <v>54.012999999999998</v>
      </c>
    </row>
    <row r="114" spans="2:11" x14ac:dyDescent="0.2">
      <c r="B114" s="9">
        <v>11.716666666666667</v>
      </c>
      <c r="C114" s="5">
        <v>45.517000000000003</v>
      </c>
      <c r="D114" s="5">
        <v>54.762999999999998</v>
      </c>
      <c r="E114" s="5">
        <v>55.735999999999997</v>
      </c>
      <c r="F114" s="9">
        <v>56.826000000000001</v>
      </c>
      <c r="G114" s="9">
        <v>63.247</v>
      </c>
      <c r="H114" s="9">
        <v>62.674999999999997</v>
      </c>
      <c r="I114" s="9">
        <v>68.445999999999998</v>
      </c>
      <c r="J114" s="9">
        <v>57.591000000000001</v>
      </c>
      <c r="K114" s="9">
        <v>53.999000000000002</v>
      </c>
    </row>
    <row r="115" spans="2:11" x14ac:dyDescent="0.2">
      <c r="B115" s="9">
        <v>11.733333333333333</v>
      </c>
      <c r="C115" s="5">
        <v>45.527000000000001</v>
      </c>
      <c r="D115" s="5">
        <v>54.685000000000002</v>
      </c>
      <c r="E115" s="5">
        <v>55.747</v>
      </c>
      <c r="F115" s="9">
        <v>56.77</v>
      </c>
      <c r="G115" s="9">
        <v>63.198</v>
      </c>
      <c r="H115" s="9">
        <v>62.76</v>
      </c>
      <c r="I115" s="9">
        <v>68.388000000000005</v>
      </c>
      <c r="J115" s="9">
        <v>57.499000000000002</v>
      </c>
      <c r="K115" s="9">
        <v>53.969000000000001</v>
      </c>
    </row>
    <row r="116" spans="2:11" x14ac:dyDescent="0.2">
      <c r="B116" s="9">
        <v>11.75</v>
      </c>
      <c r="C116" s="5">
        <v>45.485999999999997</v>
      </c>
      <c r="D116" s="5">
        <v>54.723999999999997</v>
      </c>
      <c r="E116" s="5">
        <v>55.710999999999999</v>
      </c>
      <c r="F116" s="9">
        <v>56.698999999999998</v>
      </c>
      <c r="G116" s="9">
        <v>63.164999999999999</v>
      </c>
      <c r="H116" s="9">
        <v>62.673000000000002</v>
      </c>
      <c r="I116" s="9">
        <v>68.355999999999995</v>
      </c>
      <c r="J116" s="9">
        <v>57.421999999999997</v>
      </c>
      <c r="K116" s="9">
        <v>53.914000000000001</v>
      </c>
    </row>
    <row r="117" spans="2:11" x14ac:dyDescent="0.2">
      <c r="B117" s="9">
        <v>11.766666666666667</v>
      </c>
      <c r="C117" s="5">
        <v>45.444000000000003</v>
      </c>
      <c r="D117" s="5">
        <v>54.679000000000002</v>
      </c>
      <c r="E117" s="5">
        <v>55.655000000000001</v>
      </c>
      <c r="F117" s="9">
        <v>56.66</v>
      </c>
      <c r="G117" s="9">
        <v>63.136000000000003</v>
      </c>
      <c r="H117" s="9">
        <v>62.386000000000003</v>
      </c>
      <c r="I117" s="9">
        <v>68.277000000000001</v>
      </c>
      <c r="J117" s="9">
        <v>57.34</v>
      </c>
      <c r="K117" s="9">
        <v>53.820999999999998</v>
      </c>
    </row>
    <row r="118" spans="2:11" x14ac:dyDescent="0.2">
      <c r="B118" s="9">
        <v>11.783333333333333</v>
      </c>
      <c r="C118" s="5">
        <v>45.421999999999997</v>
      </c>
      <c r="D118" s="5">
        <v>54.622</v>
      </c>
      <c r="E118" s="5">
        <v>55.658000000000001</v>
      </c>
      <c r="F118" s="9">
        <v>56.615000000000002</v>
      </c>
      <c r="G118" s="9">
        <v>63.121000000000002</v>
      </c>
      <c r="H118" s="9">
        <v>62.529000000000003</v>
      </c>
      <c r="I118" s="9">
        <v>68.191999999999993</v>
      </c>
      <c r="J118" s="9">
        <v>57.265999999999998</v>
      </c>
      <c r="K118" s="9">
        <v>53.796999999999997</v>
      </c>
    </row>
    <row r="119" spans="2:11" x14ac:dyDescent="0.2">
      <c r="B119" s="9">
        <v>11.8</v>
      </c>
      <c r="C119" s="5">
        <v>45.398000000000003</v>
      </c>
      <c r="D119" s="5">
        <v>54.597000000000001</v>
      </c>
      <c r="E119" s="5">
        <v>55.616</v>
      </c>
      <c r="F119" s="9">
        <v>56.521999999999998</v>
      </c>
      <c r="G119" s="9">
        <v>63.097999999999999</v>
      </c>
      <c r="H119" s="9">
        <v>62.488999999999997</v>
      </c>
      <c r="I119" s="9">
        <v>68.194000000000003</v>
      </c>
      <c r="J119" s="9">
        <v>57.268999999999998</v>
      </c>
      <c r="K119" s="9">
        <v>53.752000000000002</v>
      </c>
    </row>
    <row r="120" spans="2:11" x14ac:dyDescent="0.2">
      <c r="B120" s="9">
        <v>11.816666666666666</v>
      </c>
      <c r="C120" s="5">
        <v>45.354999999999997</v>
      </c>
      <c r="D120" s="5">
        <v>54.536999999999999</v>
      </c>
      <c r="E120" s="5">
        <v>55.658999999999999</v>
      </c>
      <c r="F120" s="9">
        <v>56.506</v>
      </c>
      <c r="G120" s="9">
        <v>63.069000000000003</v>
      </c>
      <c r="H120" s="9">
        <v>62.421999999999997</v>
      </c>
      <c r="I120" s="9">
        <v>68.05</v>
      </c>
      <c r="J120" s="9">
        <v>57.215000000000003</v>
      </c>
      <c r="K120" s="9">
        <v>53.707000000000001</v>
      </c>
    </row>
    <row r="121" spans="2:11" x14ac:dyDescent="0.2">
      <c r="B121" s="9">
        <v>11.833333333333334</v>
      </c>
      <c r="C121" s="5">
        <v>45.363999999999997</v>
      </c>
      <c r="D121" s="5">
        <v>54.561</v>
      </c>
      <c r="E121" s="5">
        <v>55.616</v>
      </c>
      <c r="F121" s="9">
        <v>56.393999999999998</v>
      </c>
      <c r="G121" s="9">
        <v>62.957000000000001</v>
      </c>
      <c r="H121" s="9">
        <v>62.381999999999998</v>
      </c>
      <c r="I121" s="9">
        <v>68.111000000000004</v>
      </c>
      <c r="J121" s="9">
        <v>57.143000000000001</v>
      </c>
      <c r="K121" s="9">
        <v>53.633000000000003</v>
      </c>
    </row>
    <row r="122" spans="2:11" x14ac:dyDescent="0.2">
      <c r="B122" s="9">
        <v>11.85</v>
      </c>
      <c r="C122" s="5">
        <v>45.304000000000002</v>
      </c>
      <c r="D122" s="5">
        <v>54.531999999999996</v>
      </c>
      <c r="E122" s="5">
        <v>55.512999999999998</v>
      </c>
      <c r="F122" s="9">
        <v>56.399000000000001</v>
      </c>
      <c r="G122" s="9">
        <v>62.965000000000003</v>
      </c>
      <c r="H122" s="9">
        <v>62.2</v>
      </c>
      <c r="I122" s="9">
        <v>67.94</v>
      </c>
      <c r="J122" s="9">
        <v>57.094999999999999</v>
      </c>
      <c r="K122" s="9">
        <v>53.576000000000001</v>
      </c>
    </row>
    <row r="123" spans="2:11" x14ac:dyDescent="0.2">
      <c r="B123" s="9">
        <v>11.866666666666667</v>
      </c>
      <c r="C123" s="5">
        <v>45.158000000000001</v>
      </c>
      <c r="D123" s="5">
        <v>54.482999999999997</v>
      </c>
      <c r="E123" s="5">
        <v>55.536999999999999</v>
      </c>
      <c r="F123" s="9">
        <v>56.323</v>
      </c>
      <c r="G123" s="9">
        <v>62.887999999999998</v>
      </c>
      <c r="H123" s="9">
        <v>62.298000000000002</v>
      </c>
      <c r="I123" s="9">
        <v>67.911000000000001</v>
      </c>
      <c r="J123" s="9">
        <v>57.08</v>
      </c>
      <c r="K123" s="9">
        <v>53.585000000000001</v>
      </c>
    </row>
    <row r="124" spans="2:11" x14ac:dyDescent="0.2">
      <c r="B124" s="9">
        <v>11.883333333333333</v>
      </c>
      <c r="C124" s="5">
        <v>45.173000000000002</v>
      </c>
      <c r="D124" s="5">
        <v>54.386000000000003</v>
      </c>
      <c r="E124" s="5">
        <v>55.540999999999997</v>
      </c>
      <c r="F124" s="9">
        <v>56.271999999999998</v>
      </c>
      <c r="G124" s="9">
        <v>62.89</v>
      </c>
      <c r="H124" s="9">
        <v>62.243000000000002</v>
      </c>
      <c r="I124" s="9">
        <v>67.911000000000001</v>
      </c>
      <c r="J124" s="9">
        <v>56.99</v>
      </c>
      <c r="K124" s="9">
        <v>53.545000000000002</v>
      </c>
    </row>
    <row r="125" spans="2:11" x14ac:dyDescent="0.2">
      <c r="B125" s="9">
        <v>11.9</v>
      </c>
      <c r="C125" s="5">
        <v>45.154000000000003</v>
      </c>
      <c r="D125" s="5">
        <v>54.371000000000002</v>
      </c>
      <c r="E125" s="5">
        <v>55.5</v>
      </c>
      <c r="F125" s="9">
        <v>56.173999999999999</v>
      </c>
      <c r="G125" s="9">
        <v>62.863</v>
      </c>
      <c r="H125" s="9">
        <v>62.167000000000002</v>
      </c>
      <c r="I125" s="9">
        <v>67.84</v>
      </c>
      <c r="J125" s="9">
        <v>56.976999999999997</v>
      </c>
      <c r="K125" s="9">
        <v>53.536999999999999</v>
      </c>
    </row>
    <row r="126" spans="2:11" x14ac:dyDescent="0.2">
      <c r="B126" s="9">
        <v>11.916666666666666</v>
      </c>
      <c r="C126" s="5">
        <v>45.142000000000003</v>
      </c>
      <c r="D126" s="5">
        <v>54.122999999999998</v>
      </c>
      <c r="E126" s="5">
        <v>55.43</v>
      </c>
      <c r="F126" s="9">
        <v>56.146000000000001</v>
      </c>
      <c r="G126" s="9">
        <v>62.822000000000003</v>
      </c>
      <c r="H126" s="9">
        <v>62.048999999999999</v>
      </c>
      <c r="I126" s="9">
        <v>67.872</v>
      </c>
      <c r="J126" s="9">
        <v>56.896000000000001</v>
      </c>
      <c r="K126" s="9">
        <v>53.433999999999997</v>
      </c>
    </row>
    <row r="127" spans="2:11" x14ac:dyDescent="0.2">
      <c r="B127" s="9">
        <v>11.933333333333334</v>
      </c>
      <c r="C127" s="5">
        <v>45.094000000000001</v>
      </c>
      <c r="D127" s="5">
        <v>54.25</v>
      </c>
      <c r="E127" s="5">
        <v>55.433999999999997</v>
      </c>
      <c r="F127" s="9">
        <v>56.113999999999997</v>
      </c>
      <c r="G127" s="9">
        <v>62.753999999999998</v>
      </c>
      <c r="H127" s="9">
        <v>62.098999999999997</v>
      </c>
      <c r="I127" s="9">
        <v>67.805999999999997</v>
      </c>
      <c r="J127" s="9">
        <v>56.865000000000002</v>
      </c>
      <c r="K127" s="9">
        <v>53.408999999999999</v>
      </c>
    </row>
    <row r="128" spans="2:11" x14ac:dyDescent="0.2">
      <c r="B128" s="9">
        <v>11.95</v>
      </c>
      <c r="C128" s="5">
        <v>45.045000000000002</v>
      </c>
      <c r="D128" s="5">
        <v>54.189</v>
      </c>
      <c r="E128" s="5">
        <v>55.377000000000002</v>
      </c>
      <c r="F128" s="9">
        <v>56.045999999999999</v>
      </c>
      <c r="G128" s="9">
        <v>62.774999999999999</v>
      </c>
      <c r="H128" s="9">
        <v>61.976999999999997</v>
      </c>
      <c r="I128" s="9">
        <v>67.718999999999994</v>
      </c>
      <c r="J128" s="9">
        <v>56.768999999999998</v>
      </c>
      <c r="K128" s="9">
        <v>53.322000000000003</v>
      </c>
    </row>
    <row r="129" spans="2:11" x14ac:dyDescent="0.2">
      <c r="B129" s="9">
        <v>11.966666666666667</v>
      </c>
      <c r="C129" s="5">
        <v>44.959000000000003</v>
      </c>
      <c r="D129" s="5">
        <v>54.192999999999998</v>
      </c>
      <c r="E129" s="5">
        <v>55.371000000000002</v>
      </c>
      <c r="F129" s="9">
        <v>55.954999999999998</v>
      </c>
      <c r="G129" s="9">
        <v>62.698</v>
      </c>
      <c r="H129" s="9">
        <v>61.887999999999998</v>
      </c>
      <c r="I129" s="9">
        <v>67.686999999999998</v>
      </c>
      <c r="J129" s="9">
        <v>56.734999999999999</v>
      </c>
      <c r="K129" s="9">
        <v>53.302</v>
      </c>
    </row>
    <row r="130" spans="2:11" x14ac:dyDescent="0.2">
      <c r="B130" s="9">
        <v>11.983333333333333</v>
      </c>
      <c r="C130" s="5">
        <v>44.972999999999999</v>
      </c>
      <c r="D130" s="5">
        <v>54.09</v>
      </c>
      <c r="E130" s="5">
        <v>55.317999999999998</v>
      </c>
      <c r="F130" s="9">
        <v>55.89</v>
      </c>
      <c r="G130" s="9">
        <v>62.685000000000002</v>
      </c>
      <c r="H130" s="9">
        <v>61.942999999999998</v>
      </c>
      <c r="I130" s="9">
        <v>67.703999999999994</v>
      </c>
      <c r="J130" s="9">
        <v>56.731999999999999</v>
      </c>
      <c r="K130" s="9">
        <v>53.246000000000002</v>
      </c>
    </row>
    <row r="131" spans="2:11" x14ac:dyDescent="0.2">
      <c r="B131" s="9">
        <v>12</v>
      </c>
      <c r="C131" s="5">
        <v>44.951000000000001</v>
      </c>
      <c r="D131" s="5">
        <v>54.100999999999999</v>
      </c>
      <c r="E131" s="5">
        <v>55.286000000000001</v>
      </c>
      <c r="F131" s="9">
        <v>55.853999999999999</v>
      </c>
      <c r="G131" s="9">
        <v>62.651000000000003</v>
      </c>
      <c r="H131" s="9">
        <v>62.051000000000002</v>
      </c>
      <c r="I131" s="9">
        <v>67.632999999999996</v>
      </c>
      <c r="J131" s="9">
        <v>56.606999999999999</v>
      </c>
      <c r="K131" s="9">
        <v>53.249000000000002</v>
      </c>
    </row>
    <row r="132" spans="2:11" x14ac:dyDescent="0.2">
      <c r="B132" s="9">
        <v>12.016666666666667</v>
      </c>
      <c r="C132" s="5">
        <v>44.904000000000003</v>
      </c>
      <c r="D132" s="5">
        <v>54.031999999999996</v>
      </c>
      <c r="E132" s="5">
        <v>55.295999999999999</v>
      </c>
      <c r="F132" s="9">
        <v>55.762</v>
      </c>
      <c r="G132" s="9">
        <v>62.591999999999999</v>
      </c>
      <c r="H132" s="9">
        <v>61.872</v>
      </c>
      <c r="I132" s="9">
        <v>67.578000000000003</v>
      </c>
      <c r="J132" s="9">
        <v>56.576000000000001</v>
      </c>
      <c r="K132" s="9">
        <v>53.146000000000001</v>
      </c>
    </row>
    <row r="133" spans="2:11" x14ac:dyDescent="0.2">
      <c r="B133" s="9">
        <v>12.033333333333333</v>
      </c>
      <c r="C133" s="5">
        <v>44.758000000000003</v>
      </c>
      <c r="D133" s="5">
        <v>54.04</v>
      </c>
      <c r="E133" s="5">
        <v>55.231000000000002</v>
      </c>
      <c r="F133" s="9">
        <v>55.765000000000001</v>
      </c>
      <c r="G133" s="9">
        <v>62.58</v>
      </c>
      <c r="H133" s="9">
        <v>61.667999999999999</v>
      </c>
      <c r="I133" s="9">
        <v>67.634</v>
      </c>
      <c r="J133" s="9">
        <v>56.468000000000004</v>
      </c>
      <c r="K133" s="9">
        <v>53.142000000000003</v>
      </c>
    </row>
    <row r="134" spans="2:11" x14ac:dyDescent="0.2">
      <c r="B134" s="9">
        <v>12.05</v>
      </c>
      <c r="C134" s="5">
        <v>44.786000000000001</v>
      </c>
      <c r="D134" s="5">
        <v>53.915999999999997</v>
      </c>
      <c r="E134" s="5">
        <v>55.253</v>
      </c>
      <c r="F134" s="9">
        <v>55.692999999999998</v>
      </c>
      <c r="G134" s="9">
        <v>62.53</v>
      </c>
      <c r="H134" s="9">
        <v>61.798999999999999</v>
      </c>
      <c r="I134" s="9">
        <v>67.572000000000003</v>
      </c>
      <c r="J134" s="9">
        <v>56.418999999999997</v>
      </c>
      <c r="K134" s="9">
        <v>53.073</v>
      </c>
    </row>
    <row r="135" spans="2:11" x14ac:dyDescent="0.2">
      <c r="B135" s="9">
        <v>12.066666666666666</v>
      </c>
      <c r="C135" s="5">
        <v>44.686</v>
      </c>
      <c r="D135" s="5">
        <v>53.963000000000001</v>
      </c>
      <c r="E135" s="5">
        <v>55.177</v>
      </c>
      <c r="F135" s="9">
        <v>55.648000000000003</v>
      </c>
      <c r="G135" s="9">
        <v>62.482999999999997</v>
      </c>
      <c r="H135" s="9">
        <v>61.738999999999997</v>
      </c>
      <c r="I135" s="9">
        <v>67.525000000000006</v>
      </c>
      <c r="J135" s="9">
        <v>56.366</v>
      </c>
      <c r="K135" s="9">
        <v>53.063000000000002</v>
      </c>
    </row>
    <row r="136" spans="2:11" x14ac:dyDescent="0.2">
      <c r="B136" s="9">
        <v>12.083333333333334</v>
      </c>
      <c r="C136" s="5">
        <v>44.716999999999999</v>
      </c>
      <c r="D136" s="5">
        <v>53.933</v>
      </c>
      <c r="E136" s="5">
        <v>55.222000000000001</v>
      </c>
      <c r="F136" s="9">
        <v>55.610999999999997</v>
      </c>
      <c r="G136" s="9">
        <v>62.402000000000001</v>
      </c>
      <c r="H136" s="9">
        <v>61.613999999999997</v>
      </c>
      <c r="I136" s="9">
        <v>67.534999999999997</v>
      </c>
      <c r="J136" s="9">
        <v>56.311</v>
      </c>
      <c r="K136" s="9">
        <v>52.985999999999997</v>
      </c>
    </row>
    <row r="137" spans="2:11" x14ac:dyDescent="0.2">
      <c r="B137" s="9">
        <v>12.1</v>
      </c>
      <c r="C137" s="5">
        <v>44.680999999999997</v>
      </c>
      <c r="D137" s="5">
        <v>53.856999999999999</v>
      </c>
      <c r="E137" s="5">
        <v>55.146000000000001</v>
      </c>
      <c r="F137" s="9">
        <v>55.582999999999998</v>
      </c>
      <c r="G137" s="9">
        <v>62.398000000000003</v>
      </c>
      <c r="H137" s="9">
        <v>61.662999999999997</v>
      </c>
      <c r="I137" s="9">
        <v>67.531000000000006</v>
      </c>
      <c r="J137" s="9">
        <v>56.267000000000003</v>
      </c>
      <c r="K137" s="9">
        <v>52.95</v>
      </c>
    </row>
    <row r="138" spans="2:11" x14ac:dyDescent="0.2">
      <c r="B138" s="9">
        <v>12.116666666666667</v>
      </c>
      <c r="C138" s="5">
        <v>44.662999999999997</v>
      </c>
      <c r="D138" s="5">
        <v>53.837000000000003</v>
      </c>
      <c r="E138" s="5">
        <v>55.073</v>
      </c>
      <c r="F138" s="9">
        <v>55.524999999999999</v>
      </c>
      <c r="G138" s="9">
        <v>62.341000000000001</v>
      </c>
      <c r="H138" s="9">
        <v>61.552</v>
      </c>
      <c r="I138" s="9">
        <v>67.486999999999995</v>
      </c>
      <c r="J138" s="9">
        <v>56.295000000000002</v>
      </c>
      <c r="K138" s="9">
        <v>52.921999999999997</v>
      </c>
    </row>
    <row r="139" spans="2:11" x14ac:dyDescent="0.2">
      <c r="B139" s="9">
        <v>12.133333333333333</v>
      </c>
      <c r="C139" s="5">
        <v>44.631999999999998</v>
      </c>
      <c r="D139" s="5">
        <v>53.786999999999999</v>
      </c>
      <c r="E139" s="5">
        <v>55.131</v>
      </c>
      <c r="F139" s="9">
        <v>55.435000000000002</v>
      </c>
      <c r="G139" s="9">
        <v>62.295999999999999</v>
      </c>
      <c r="H139" s="9">
        <v>61.548000000000002</v>
      </c>
      <c r="I139" s="9">
        <v>67.495000000000005</v>
      </c>
      <c r="J139" s="9">
        <v>56.228999999999999</v>
      </c>
      <c r="K139" s="9">
        <v>52.860999999999997</v>
      </c>
    </row>
    <row r="140" spans="2:11" x14ac:dyDescent="0.2">
      <c r="B140" s="9">
        <v>12.15</v>
      </c>
      <c r="C140" s="5">
        <v>44.594000000000001</v>
      </c>
      <c r="D140" s="5">
        <v>53.759</v>
      </c>
      <c r="E140" s="5">
        <v>55.043999999999997</v>
      </c>
      <c r="F140" s="9">
        <v>55.383000000000003</v>
      </c>
      <c r="G140" s="9">
        <v>62.253999999999998</v>
      </c>
      <c r="H140" s="9">
        <v>61.54</v>
      </c>
      <c r="I140" s="9">
        <v>67.459000000000003</v>
      </c>
      <c r="J140" s="9">
        <v>56.143000000000001</v>
      </c>
      <c r="K140" s="9">
        <v>52.801000000000002</v>
      </c>
    </row>
    <row r="141" spans="2:11" x14ac:dyDescent="0.2">
      <c r="B141" s="9">
        <v>12.166666666666666</v>
      </c>
      <c r="C141" s="5">
        <v>44.548000000000002</v>
      </c>
      <c r="D141" s="5">
        <v>53.737000000000002</v>
      </c>
      <c r="E141" s="5">
        <v>55.058</v>
      </c>
      <c r="F141" s="9">
        <v>55.325000000000003</v>
      </c>
      <c r="G141" s="9">
        <v>62.204000000000001</v>
      </c>
      <c r="H141" s="9">
        <v>61.514000000000003</v>
      </c>
      <c r="I141" s="9">
        <v>67.406000000000006</v>
      </c>
      <c r="J141" s="9">
        <v>56.134999999999998</v>
      </c>
      <c r="K141" s="9">
        <v>52.73</v>
      </c>
    </row>
    <row r="142" spans="2:11" x14ac:dyDescent="0.2">
      <c r="B142" s="9">
        <v>12.183333333333334</v>
      </c>
      <c r="C142" s="5">
        <v>44.411999999999999</v>
      </c>
      <c r="D142" s="5">
        <v>53.715000000000003</v>
      </c>
      <c r="E142" s="5">
        <v>54.996000000000002</v>
      </c>
      <c r="F142" s="9">
        <v>55.281999999999996</v>
      </c>
      <c r="G142" s="9">
        <v>62.191000000000003</v>
      </c>
      <c r="H142" s="9">
        <v>61.485999999999997</v>
      </c>
      <c r="I142" s="9">
        <v>67.378</v>
      </c>
      <c r="J142" s="9">
        <v>56.107999999999997</v>
      </c>
      <c r="K142" s="9">
        <v>52.643999999999998</v>
      </c>
    </row>
    <row r="143" spans="2:11" x14ac:dyDescent="0.2">
      <c r="B143" s="9">
        <v>12.2</v>
      </c>
      <c r="C143" s="5">
        <v>44.46</v>
      </c>
      <c r="D143" s="5">
        <v>53.661999999999999</v>
      </c>
      <c r="E143" s="5">
        <v>54.905999999999999</v>
      </c>
      <c r="F143" s="9">
        <v>55.204999999999998</v>
      </c>
      <c r="G143" s="9">
        <v>62.164000000000001</v>
      </c>
      <c r="H143" s="9">
        <v>61.41</v>
      </c>
      <c r="I143" s="9">
        <v>67.242999999999995</v>
      </c>
      <c r="J143" s="9">
        <v>56.01</v>
      </c>
      <c r="K143" s="9">
        <v>52.597999999999999</v>
      </c>
    </row>
    <row r="144" spans="2:11" x14ac:dyDescent="0.2">
      <c r="B144" s="9">
        <v>12.216666666666667</v>
      </c>
      <c r="C144" s="5">
        <v>44.466000000000001</v>
      </c>
      <c r="D144" s="5">
        <v>53.636000000000003</v>
      </c>
      <c r="E144" s="5">
        <v>54.963999999999999</v>
      </c>
      <c r="F144" s="9">
        <v>55.143999999999998</v>
      </c>
      <c r="G144" s="9">
        <v>62.113999999999997</v>
      </c>
      <c r="H144" s="9">
        <v>61.332000000000001</v>
      </c>
      <c r="I144" s="9">
        <v>67.218000000000004</v>
      </c>
      <c r="J144" s="9">
        <v>55.968000000000004</v>
      </c>
      <c r="K144" s="9">
        <v>52.642000000000003</v>
      </c>
    </row>
    <row r="145" spans="2:11" x14ac:dyDescent="0.2">
      <c r="B145" s="9">
        <v>12.233333333333333</v>
      </c>
      <c r="C145" s="5">
        <v>44.404000000000003</v>
      </c>
      <c r="D145" s="5">
        <v>53.581000000000003</v>
      </c>
      <c r="E145" s="5">
        <v>54.887</v>
      </c>
      <c r="F145" s="9">
        <v>55.137</v>
      </c>
      <c r="G145" s="9">
        <v>62.103999999999999</v>
      </c>
      <c r="H145" s="9">
        <v>61.331000000000003</v>
      </c>
      <c r="I145" s="9">
        <v>67.197000000000003</v>
      </c>
      <c r="J145" s="9">
        <v>55.951000000000001</v>
      </c>
      <c r="K145" s="9">
        <v>52.646999999999998</v>
      </c>
    </row>
    <row r="146" spans="2:11" x14ac:dyDescent="0.2">
      <c r="B146" s="9">
        <v>12.25</v>
      </c>
      <c r="C146" s="5">
        <v>44.393000000000001</v>
      </c>
      <c r="D146" s="5">
        <v>53.55</v>
      </c>
      <c r="E146" s="5">
        <v>54.899000000000001</v>
      </c>
      <c r="F146" s="9">
        <v>55.046999999999997</v>
      </c>
      <c r="G146" s="9">
        <v>62.048999999999999</v>
      </c>
      <c r="H146" s="9">
        <v>61.26</v>
      </c>
      <c r="I146" s="9">
        <v>67.147000000000006</v>
      </c>
      <c r="J146" s="9">
        <v>55.883000000000003</v>
      </c>
      <c r="K146" s="9">
        <v>52.65</v>
      </c>
    </row>
    <row r="147" spans="2:11" x14ac:dyDescent="0.2">
      <c r="B147" s="9">
        <v>12.266666666666667</v>
      </c>
      <c r="C147" s="5">
        <v>44.353999999999999</v>
      </c>
      <c r="D147" s="5">
        <v>53.527000000000001</v>
      </c>
      <c r="E147" s="5">
        <v>54.792000000000002</v>
      </c>
      <c r="F147" s="9">
        <v>54.98</v>
      </c>
      <c r="G147" s="9">
        <v>62.033000000000001</v>
      </c>
      <c r="H147" s="9">
        <v>61.293999999999997</v>
      </c>
      <c r="I147" s="9">
        <v>67.159000000000006</v>
      </c>
      <c r="J147" s="9">
        <v>55.877000000000002</v>
      </c>
      <c r="K147" s="9">
        <v>52.622999999999998</v>
      </c>
    </row>
    <row r="148" spans="2:11" x14ac:dyDescent="0.2">
      <c r="B148" s="9">
        <v>12.283333333333333</v>
      </c>
      <c r="C148" s="5">
        <v>44.274000000000001</v>
      </c>
      <c r="D148" s="5">
        <v>53.51</v>
      </c>
      <c r="E148" s="5">
        <v>54.722999999999999</v>
      </c>
      <c r="F148" s="9">
        <v>54.968000000000004</v>
      </c>
      <c r="G148" s="9">
        <v>61.98</v>
      </c>
      <c r="H148" s="9">
        <v>61.143999999999998</v>
      </c>
      <c r="I148" s="9">
        <v>67.085999999999999</v>
      </c>
      <c r="J148" s="9">
        <v>55.831000000000003</v>
      </c>
      <c r="K148" s="9">
        <v>52.564999999999998</v>
      </c>
    </row>
    <row r="149" spans="2:11" x14ac:dyDescent="0.2">
      <c r="B149" s="9">
        <v>12.3</v>
      </c>
      <c r="C149" s="5">
        <v>44.19</v>
      </c>
      <c r="D149" s="5">
        <v>53.475999999999999</v>
      </c>
      <c r="E149" s="5">
        <v>54.765000000000001</v>
      </c>
      <c r="F149" s="9">
        <v>54.914000000000001</v>
      </c>
      <c r="G149" s="9">
        <v>61.951999999999998</v>
      </c>
      <c r="H149" s="9">
        <v>61.210999999999999</v>
      </c>
      <c r="I149" s="9">
        <v>67.105000000000004</v>
      </c>
      <c r="J149" s="9">
        <v>55.804000000000002</v>
      </c>
      <c r="K149" s="9">
        <v>52.587000000000003</v>
      </c>
    </row>
    <row r="150" spans="2:11" x14ac:dyDescent="0.2">
      <c r="B150" s="9">
        <v>12.316666666666666</v>
      </c>
      <c r="C150" s="5">
        <v>44.171999999999997</v>
      </c>
      <c r="D150" s="5">
        <v>53.468000000000004</v>
      </c>
      <c r="E150" s="5">
        <v>54.673999999999999</v>
      </c>
      <c r="F150" s="9">
        <v>54.881</v>
      </c>
      <c r="G150" s="9">
        <v>61.935000000000002</v>
      </c>
      <c r="H150" s="9">
        <v>61.161000000000001</v>
      </c>
      <c r="I150" s="9">
        <v>67.007000000000005</v>
      </c>
      <c r="J150" s="9">
        <v>55.753999999999998</v>
      </c>
      <c r="K150" s="9">
        <v>52.473999999999997</v>
      </c>
    </row>
    <row r="151" spans="2:11" x14ac:dyDescent="0.2">
      <c r="B151" s="9">
        <v>12.333333333333334</v>
      </c>
      <c r="C151" s="5">
        <v>44.125999999999998</v>
      </c>
      <c r="D151" s="5">
        <v>53.445999999999998</v>
      </c>
      <c r="E151" s="5">
        <v>54.71</v>
      </c>
      <c r="F151" s="9">
        <v>54.853000000000002</v>
      </c>
      <c r="G151" s="9">
        <v>61.905000000000001</v>
      </c>
      <c r="H151" s="9">
        <v>61.006</v>
      </c>
      <c r="I151" s="9">
        <v>66.977000000000004</v>
      </c>
      <c r="J151" s="9">
        <v>55.73</v>
      </c>
      <c r="K151" s="9">
        <v>52.48</v>
      </c>
    </row>
    <row r="152" spans="2:11" x14ac:dyDescent="0.2">
      <c r="B152" s="9">
        <v>12.35</v>
      </c>
      <c r="C152" s="5">
        <v>44.087000000000003</v>
      </c>
      <c r="D152" s="5">
        <v>53.375999999999998</v>
      </c>
      <c r="E152" s="5">
        <v>54.725000000000001</v>
      </c>
      <c r="F152" s="9">
        <v>54.835000000000001</v>
      </c>
      <c r="G152" s="9">
        <v>61.901000000000003</v>
      </c>
      <c r="H152" s="9">
        <v>60.988</v>
      </c>
      <c r="I152" s="9">
        <v>66.962000000000003</v>
      </c>
      <c r="J152" s="9">
        <v>55.667000000000002</v>
      </c>
      <c r="K152" s="9">
        <v>52.411999999999999</v>
      </c>
    </row>
    <row r="153" spans="2:11" x14ac:dyDescent="0.2">
      <c r="B153" s="9">
        <v>12.366666666666667</v>
      </c>
      <c r="C153" s="5">
        <v>44.003</v>
      </c>
      <c r="D153" s="5">
        <v>53.33</v>
      </c>
      <c r="E153" s="5">
        <v>54.606999999999999</v>
      </c>
      <c r="F153" s="9">
        <v>54.758000000000003</v>
      </c>
      <c r="G153" s="9">
        <v>61.884999999999998</v>
      </c>
      <c r="H153" s="9">
        <v>60.927</v>
      </c>
      <c r="I153" s="9">
        <v>66.959000000000003</v>
      </c>
      <c r="J153" s="9">
        <v>55.6</v>
      </c>
      <c r="K153" s="9">
        <v>52.365000000000002</v>
      </c>
    </row>
    <row r="154" spans="2:11" x14ac:dyDescent="0.2">
      <c r="B154" s="9">
        <v>12.383333333333333</v>
      </c>
      <c r="C154" s="5">
        <v>43.91</v>
      </c>
      <c r="D154" s="5">
        <v>53.284999999999997</v>
      </c>
      <c r="E154" s="5">
        <v>54.636000000000003</v>
      </c>
      <c r="F154" s="9">
        <v>54.701000000000001</v>
      </c>
      <c r="G154" s="9">
        <v>61.884</v>
      </c>
      <c r="H154" s="9">
        <v>60.862000000000002</v>
      </c>
      <c r="I154" s="9">
        <v>66.948999999999998</v>
      </c>
      <c r="J154" s="9">
        <v>55.564999999999998</v>
      </c>
      <c r="K154" s="9">
        <v>52.317</v>
      </c>
    </row>
    <row r="155" spans="2:11" x14ac:dyDescent="0.2">
      <c r="B155" s="9">
        <v>12.4</v>
      </c>
      <c r="C155" s="5">
        <v>43.926000000000002</v>
      </c>
      <c r="D155" s="5">
        <v>53.255000000000003</v>
      </c>
      <c r="E155" s="5">
        <v>54.575000000000003</v>
      </c>
      <c r="F155" s="9">
        <v>54.701999999999998</v>
      </c>
      <c r="G155" s="9">
        <v>61.83</v>
      </c>
      <c r="H155" s="9">
        <v>60.853000000000002</v>
      </c>
      <c r="I155" s="9">
        <v>66.832999999999998</v>
      </c>
      <c r="J155" s="9">
        <v>55.533999999999999</v>
      </c>
      <c r="K155" s="9">
        <v>52.262</v>
      </c>
    </row>
    <row r="156" spans="2:11" x14ac:dyDescent="0.2">
      <c r="B156" s="9">
        <v>12.416666666666666</v>
      </c>
      <c r="C156" s="5">
        <v>43.844000000000001</v>
      </c>
      <c r="D156" s="5">
        <v>53.274000000000001</v>
      </c>
      <c r="E156" s="5">
        <v>54.581000000000003</v>
      </c>
      <c r="F156" s="9">
        <v>54.639000000000003</v>
      </c>
      <c r="G156" s="9">
        <v>61.792999999999999</v>
      </c>
      <c r="H156" s="9">
        <v>60.83</v>
      </c>
      <c r="I156" s="9">
        <v>66.855999999999995</v>
      </c>
      <c r="J156" s="9">
        <v>55.476999999999997</v>
      </c>
      <c r="K156" s="9">
        <v>52.226999999999997</v>
      </c>
    </row>
    <row r="157" spans="2:11" x14ac:dyDescent="0.2">
      <c r="B157" s="9">
        <v>12.433333333333334</v>
      </c>
      <c r="C157" s="5">
        <v>43.753</v>
      </c>
      <c r="D157" s="5">
        <v>53.167999999999999</v>
      </c>
      <c r="E157" s="5">
        <v>54.53</v>
      </c>
      <c r="F157" s="9">
        <v>54.594999999999999</v>
      </c>
      <c r="G157" s="9">
        <v>61.789000000000001</v>
      </c>
      <c r="H157" s="9">
        <v>60.79</v>
      </c>
      <c r="I157" s="9">
        <v>66.863</v>
      </c>
      <c r="J157" s="9">
        <v>55.439</v>
      </c>
      <c r="K157" s="9">
        <v>52.207999999999998</v>
      </c>
    </row>
    <row r="158" spans="2:11" x14ac:dyDescent="0.2">
      <c r="B158" s="9">
        <v>12.45</v>
      </c>
      <c r="C158" s="5">
        <v>43.725000000000001</v>
      </c>
      <c r="D158" s="5">
        <v>53.155999999999999</v>
      </c>
      <c r="E158" s="5">
        <v>54.488</v>
      </c>
      <c r="F158" s="9">
        <v>54.551000000000002</v>
      </c>
      <c r="G158" s="9">
        <v>61.722999999999999</v>
      </c>
      <c r="H158" s="9">
        <v>60.765000000000001</v>
      </c>
      <c r="I158" s="9">
        <v>66.805000000000007</v>
      </c>
      <c r="J158" s="9">
        <v>55.427999999999997</v>
      </c>
      <c r="K158" s="9">
        <v>52.136000000000003</v>
      </c>
    </row>
    <row r="159" spans="2:11" x14ac:dyDescent="0.2">
      <c r="B159" s="9">
        <v>12.466666666666667</v>
      </c>
      <c r="C159" s="5">
        <v>43.668999999999997</v>
      </c>
      <c r="D159" s="5">
        <v>53.122</v>
      </c>
      <c r="E159" s="5">
        <v>54.454000000000001</v>
      </c>
      <c r="F159" s="9">
        <v>54.497</v>
      </c>
      <c r="G159" s="9">
        <v>61.725999999999999</v>
      </c>
      <c r="H159" s="9">
        <v>60.732999999999997</v>
      </c>
      <c r="I159" s="9">
        <v>66.792000000000002</v>
      </c>
      <c r="J159" s="9">
        <v>55.372999999999998</v>
      </c>
      <c r="K159" s="9">
        <v>52.109000000000002</v>
      </c>
    </row>
    <row r="160" spans="2:11" x14ac:dyDescent="0.2">
      <c r="B160" s="9">
        <v>12.483333333333333</v>
      </c>
      <c r="C160" s="5">
        <v>43.692</v>
      </c>
      <c r="D160" s="5">
        <v>53.064999999999998</v>
      </c>
      <c r="E160" s="5">
        <v>54.392000000000003</v>
      </c>
      <c r="F160" s="9">
        <v>54.398000000000003</v>
      </c>
      <c r="G160" s="9">
        <v>61.658999999999999</v>
      </c>
      <c r="H160" s="9">
        <v>60.710999999999999</v>
      </c>
      <c r="I160" s="9">
        <v>66.765000000000001</v>
      </c>
      <c r="J160" s="9">
        <v>55.305999999999997</v>
      </c>
      <c r="K160" s="9">
        <v>52.039000000000001</v>
      </c>
    </row>
    <row r="161" spans="2:11" x14ac:dyDescent="0.2">
      <c r="B161" s="9">
        <v>12.5</v>
      </c>
      <c r="C161" s="5">
        <v>43.567999999999998</v>
      </c>
      <c r="D161" s="5">
        <v>53.027000000000001</v>
      </c>
      <c r="E161" s="5">
        <v>54.427999999999997</v>
      </c>
      <c r="F161" s="9">
        <v>54.317999999999998</v>
      </c>
      <c r="G161" s="9">
        <v>61.631</v>
      </c>
      <c r="H161" s="9">
        <v>60.69</v>
      </c>
      <c r="I161" s="9">
        <v>66.759</v>
      </c>
      <c r="J161" s="9">
        <v>55.265000000000001</v>
      </c>
      <c r="K161" s="9">
        <v>52.048000000000002</v>
      </c>
    </row>
    <row r="162" spans="2:11" x14ac:dyDescent="0.2">
      <c r="B162" s="9">
        <v>12.516666666666667</v>
      </c>
      <c r="C162" s="5">
        <v>43.527000000000001</v>
      </c>
      <c r="D162" s="5">
        <v>53.029000000000003</v>
      </c>
      <c r="E162" s="5">
        <v>54.3</v>
      </c>
      <c r="F162" s="9">
        <v>54.329000000000001</v>
      </c>
      <c r="G162" s="9">
        <v>61.597999999999999</v>
      </c>
      <c r="H162" s="9">
        <v>60.131</v>
      </c>
      <c r="I162" s="9">
        <v>66.691999999999993</v>
      </c>
      <c r="J162" s="9">
        <v>55.262999999999998</v>
      </c>
      <c r="K162" s="9">
        <v>51.970999999999997</v>
      </c>
    </row>
    <row r="163" spans="2:11" x14ac:dyDescent="0.2">
      <c r="B163" s="9">
        <v>12.533333333333333</v>
      </c>
      <c r="C163" s="5">
        <v>43.509</v>
      </c>
      <c r="D163" s="5">
        <v>52.985999999999997</v>
      </c>
      <c r="E163" s="5">
        <v>54.32</v>
      </c>
      <c r="F163" s="9">
        <v>54.247999999999998</v>
      </c>
      <c r="G163" s="9">
        <v>61.582999999999998</v>
      </c>
      <c r="H163" s="9">
        <v>60.527000000000001</v>
      </c>
      <c r="I163" s="9">
        <v>66.700999999999993</v>
      </c>
      <c r="J163" s="9">
        <v>55.231000000000002</v>
      </c>
      <c r="K163" s="9">
        <v>51.966999999999999</v>
      </c>
    </row>
    <row r="164" spans="2:11" x14ac:dyDescent="0.2">
      <c r="B164" s="9">
        <v>12.55</v>
      </c>
      <c r="C164" s="5">
        <v>43.381999999999998</v>
      </c>
      <c r="D164" s="5">
        <v>52.942</v>
      </c>
      <c r="E164" s="5">
        <v>54.311999999999998</v>
      </c>
      <c r="F164" s="9">
        <v>54.174999999999997</v>
      </c>
      <c r="G164" s="9">
        <v>61.533000000000001</v>
      </c>
      <c r="H164" s="9">
        <v>60.414000000000001</v>
      </c>
      <c r="I164" s="9">
        <v>66.600999999999999</v>
      </c>
      <c r="J164" s="9">
        <v>55.134999999999998</v>
      </c>
      <c r="K164" s="9">
        <v>51.914000000000001</v>
      </c>
    </row>
    <row r="165" spans="2:11" x14ac:dyDescent="0.2">
      <c r="B165" s="9">
        <v>12.566666666666666</v>
      </c>
      <c r="C165" s="5">
        <v>43.371000000000002</v>
      </c>
      <c r="D165" s="5">
        <v>52.939</v>
      </c>
      <c r="E165" s="5">
        <v>54.164999999999999</v>
      </c>
      <c r="F165" s="9">
        <v>54.155000000000001</v>
      </c>
      <c r="G165" s="9">
        <v>61.585000000000001</v>
      </c>
      <c r="H165" s="9">
        <v>60.454999999999998</v>
      </c>
      <c r="I165" s="9">
        <v>66.635000000000005</v>
      </c>
      <c r="J165" s="9">
        <v>55.119</v>
      </c>
      <c r="K165" s="9">
        <v>51.872999999999998</v>
      </c>
    </row>
    <row r="166" spans="2:11" x14ac:dyDescent="0.2">
      <c r="B166" s="9">
        <v>12.583333333333334</v>
      </c>
      <c r="C166" s="5">
        <v>43.323</v>
      </c>
      <c r="D166" s="5">
        <v>52.902000000000001</v>
      </c>
      <c r="E166" s="5">
        <v>54.24</v>
      </c>
      <c r="F166" s="9">
        <v>54.082999999999998</v>
      </c>
      <c r="G166" s="9">
        <v>61.502000000000002</v>
      </c>
      <c r="H166" s="9">
        <v>60.366</v>
      </c>
      <c r="I166" s="9">
        <v>66.588999999999999</v>
      </c>
      <c r="J166" s="9">
        <v>55.100999999999999</v>
      </c>
      <c r="K166" s="9">
        <v>51.825000000000003</v>
      </c>
    </row>
    <row r="167" spans="2:11" x14ac:dyDescent="0.2">
      <c r="B167" s="9">
        <v>12.6</v>
      </c>
      <c r="C167" s="5">
        <v>43.32</v>
      </c>
      <c r="D167" s="5">
        <v>52.838000000000001</v>
      </c>
      <c r="E167" s="5">
        <v>54.167999999999999</v>
      </c>
      <c r="F167" s="9">
        <v>54.064</v>
      </c>
      <c r="G167" s="9">
        <v>61.52</v>
      </c>
      <c r="H167" s="9">
        <v>60.362000000000002</v>
      </c>
      <c r="I167" s="9">
        <v>66.558000000000007</v>
      </c>
      <c r="J167" s="9">
        <v>55.061999999999998</v>
      </c>
      <c r="K167" s="9">
        <v>51.752000000000002</v>
      </c>
    </row>
    <row r="168" spans="2:11" x14ac:dyDescent="0.2">
      <c r="B168" s="9">
        <v>12.616666666666667</v>
      </c>
      <c r="C168" s="5">
        <v>43.203000000000003</v>
      </c>
      <c r="D168" s="5">
        <v>52.859000000000002</v>
      </c>
      <c r="E168" s="5">
        <v>54.113</v>
      </c>
      <c r="F168" s="9">
        <v>54.021000000000001</v>
      </c>
      <c r="G168" s="9">
        <v>61.459000000000003</v>
      </c>
      <c r="H168" s="9">
        <v>60.158000000000001</v>
      </c>
      <c r="I168" s="9">
        <v>66.495000000000005</v>
      </c>
      <c r="J168" s="9">
        <v>55.014000000000003</v>
      </c>
      <c r="K168" s="9">
        <v>51.762</v>
      </c>
    </row>
    <row r="169" spans="2:11" x14ac:dyDescent="0.2">
      <c r="B169" s="9">
        <v>12.633333333333333</v>
      </c>
      <c r="C169" s="5">
        <v>43.207999999999998</v>
      </c>
      <c r="D169" s="5">
        <v>52.796999999999997</v>
      </c>
      <c r="E169" s="5">
        <v>54.081000000000003</v>
      </c>
      <c r="F169" s="9">
        <v>53.948</v>
      </c>
      <c r="G169" s="9">
        <v>61.44</v>
      </c>
      <c r="H169" s="9">
        <v>60.283999999999999</v>
      </c>
      <c r="I169" s="9">
        <v>66.551000000000002</v>
      </c>
      <c r="J169" s="9">
        <v>55.029000000000003</v>
      </c>
      <c r="K169" s="9">
        <v>51.720999999999997</v>
      </c>
    </row>
    <row r="170" spans="2:11" x14ac:dyDescent="0.2">
      <c r="B170" s="9">
        <v>12.65</v>
      </c>
      <c r="C170" s="5">
        <v>43.167000000000002</v>
      </c>
      <c r="D170" s="5">
        <v>52.764000000000003</v>
      </c>
      <c r="E170" s="5">
        <v>54.072000000000003</v>
      </c>
      <c r="F170" s="9">
        <v>53.97</v>
      </c>
      <c r="G170" s="9">
        <v>61.405999999999999</v>
      </c>
      <c r="H170" s="9">
        <v>60.216000000000001</v>
      </c>
      <c r="I170" s="9">
        <v>66.495000000000005</v>
      </c>
      <c r="J170" s="9">
        <v>54.963999999999999</v>
      </c>
      <c r="K170" s="9">
        <v>51.664999999999999</v>
      </c>
    </row>
    <row r="171" spans="2:11" x14ac:dyDescent="0.2">
      <c r="B171" s="9">
        <v>12.666666666666666</v>
      </c>
      <c r="C171" s="5">
        <v>43.048000000000002</v>
      </c>
      <c r="D171" s="5">
        <v>52.750999999999998</v>
      </c>
      <c r="E171" s="5">
        <v>54.091999999999999</v>
      </c>
      <c r="F171" s="9">
        <v>53.884999999999998</v>
      </c>
      <c r="G171" s="9">
        <v>61.405999999999999</v>
      </c>
      <c r="H171" s="9">
        <v>60.192</v>
      </c>
      <c r="I171" s="9">
        <v>66.488</v>
      </c>
      <c r="J171" s="9">
        <v>54.896999999999998</v>
      </c>
      <c r="K171" s="9">
        <v>51.63</v>
      </c>
    </row>
    <row r="172" spans="2:11" x14ac:dyDescent="0.2">
      <c r="B172" s="9">
        <v>12.683333333333334</v>
      </c>
      <c r="C172" s="5">
        <v>43.070999999999998</v>
      </c>
      <c r="D172" s="5">
        <v>52.741</v>
      </c>
      <c r="E172" s="5">
        <v>53.975000000000001</v>
      </c>
      <c r="F172" s="9">
        <v>53.854999999999997</v>
      </c>
      <c r="G172" s="9">
        <v>61.360999999999997</v>
      </c>
      <c r="H172" s="9">
        <v>59.802999999999997</v>
      </c>
      <c r="I172" s="9">
        <v>66.433000000000007</v>
      </c>
      <c r="J172" s="9">
        <v>54.877000000000002</v>
      </c>
      <c r="K172" s="9">
        <v>51.585999999999999</v>
      </c>
    </row>
    <row r="173" spans="2:11" x14ac:dyDescent="0.2">
      <c r="B173" s="9">
        <v>12.7</v>
      </c>
      <c r="C173" s="5">
        <v>43.05</v>
      </c>
      <c r="D173" s="5">
        <v>52.613999999999997</v>
      </c>
      <c r="E173" s="5">
        <v>53.923000000000002</v>
      </c>
      <c r="F173" s="9">
        <v>53.811</v>
      </c>
      <c r="G173" s="9">
        <v>61.353999999999999</v>
      </c>
      <c r="H173" s="9">
        <v>60.100999999999999</v>
      </c>
      <c r="I173" s="9">
        <v>66.417000000000002</v>
      </c>
      <c r="J173" s="9">
        <v>54.87</v>
      </c>
      <c r="K173" s="9">
        <v>51.564</v>
      </c>
    </row>
    <row r="174" spans="2:11" x14ac:dyDescent="0.2">
      <c r="B174" s="9">
        <v>12.716666666666667</v>
      </c>
      <c r="C174" s="5">
        <v>42.969000000000001</v>
      </c>
      <c r="D174" s="5">
        <v>52.655000000000001</v>
      </c>
      <c r="E174" s="5">
        <v>53.963000000000001</v>
      </c>
      <c r="F174" s="9">
        <v>53.715000000000003</v>
      </c>
      <c r="G174" s="9">
        <v>61.295999999999999</v>
      </c>
      <c r="H174" s="9">
        <v>60.100999999999999</v>
      </c>
      <c r="I174" s="9">
        <v>66.352000000000004</v>
      </c>
      <c r="J174" s="9">
        <v>54.773000000000003</v>
      </c>
      <c r="K174" s="9">
        <v>51.515999999999998</v>
      </c>
    </row>
    <row r="175" spans="2:11" x14ac:dyDescent="0.2">
      <c r="B175" s="9">
        <v>12.733333333333333</v>
      </c>
      <c r="C175" s="5">
        <v>42.929000000000002</v>
      </c>
      <c r="D175" s="5">
        <v>52.591000000000001</v>
      </c>
      <c r="E175" s="5">
        <v>53.892000000000003</v>
      </c>
      <c r="F175" s="9">
        <v>53.71</v>
      </c>
      <c r="G175" s="9">
        <v>61.292000000000002</v>
      </c>
      <c r="H175" s="9">
        <v>60.003999999999998</v>
      </c>
      <c r="I175" s="9">
        <v>66.338999999999999</v>
      </c>
      <c r="J175" s="9">
        <v>54.735999999999997</v>
      </c>
      <c r="K175" s="9">
        <v>51.436</v>
      </c>
    </row>
    <row r="176" spans="2:11" x14ac:dyDescent="0.2">
      <c r="B176" s="9">
        <v>12.75</v>
      </c>
      <c r="C176" s="5">
        <v>42.914000000000001</v>
      </c>
      <c r="D176" s="5">
        <v>52.555999999999997</v>
      </c>
      <c r="E176" s="5">
        <v>53.847000000000001</v>
      </c>
      <c r="F176" s="9">
        <v>53.655000000000001</v>
      </c>
      <c r="G176" s="9">
        <v>61.244999999999997</v>
      </c>
      <c r="H176" s="9">
        <v>59.938000000000002</v>
      </c>
      <c r="I176" s="9">
        <v>66.36</v>
      </c>
      <c r="J176" s="9">
        <v>54.755000000000003</v>
      </c>
      <c r="K176" s="9">
        <v>51.436999999999998</v>
      </c>
    </row>
    <row r="177" spans="2:11" x14ac:dyDescent="0.2">
      <c r="B177" s="9">
        <v>12.766666666666667</v>
      </c>
      <c r="C177" s="5">
        <v>42.834000000000003</v>
      </c>
      <c r="D177" s="5">
        <v>52.52</v>
      </c>
      <c r="E177" s="5">
        <v>53.756</v>
      </c>
      <c r="F177" s="9">
        <v>53.59</v>
      </c>
      <c r="G177" s="9">
        <v>61.222000000000001</v>
      </c>
      <c r="H177" s="9">
        <v>59.981000000000002</v>
      </c>
      <c r="I177" s="9">
        <v>66.289000000000001</v>
      </c>
      <c r="J177" s="9">
        <v>54.667999999999999</v>
      </c>
      <c r="K177" s="9">
        <v>51.37</v>
      </c>
    </row>
    <row r="178" spans="2:11" x14ac:dyDescent="0.2">
      <c r="B178" s="9">
        <v>12.783333333333333</v>
      </c>
      <c r="C178" s="5">
        <v>42.814</v>
      </c>
      <c r="D178" s="5">
        <v>52.448</v>
      </c>
      <c r="E178" s="5">
        <v>53.753999999999998</v>
      </c>
      <c r="F178" s="9">
        <v>53.530999999999999</v>
      </c>
      <c r="G178" s="9">
        <v>61.195</v>
      </c>
      <c r="H178" s="9">
        <v>59.951999999999998</v>
      </c>
      <c r="I178" s="9">
        <v>66.286000000000001</v>
      </c>
      <c r="J178" s="9">
        <v>54.698</v>
      </c>
      <c r="K178" s="9">
        <v>51.332999999999998</v>
      </c>
    </row>
    <row r="179" spans="2:11" x14ac:dyDescent="0.2">
      <c r="B179" s="9">
        <v>12.8</v>
      </c>
      <c r="C179" s="5">
        <v>42.734999999999999</v>
      </c>
      <c r="D179" s="5">
        <v>52.405999999999999</v>
      </c>
      <c r="E179" s="5">
        <v>53.743000000000002</v>
      </c>
      <c r="F179" s="9">
        <v>53.53</v>
      </c>
      <c r="G179" s="9">
        <v>61.183999999999997</v>
      </c>
      <c r="H179" s="9">
        <v>59.848999999999997</v>
      </c>
      <c r="I179" s="9">
        <v>66.221999999999994</v>
      </c>
      <c r="J179" s="9">
        <v>54.634</v>
      </c>
      <c r="K179" s="9">
        <v>51.298999999999999</v>
      </c>
    </row>
    <row r="180" spans="2:11" x14ac:dyDescent="0.2">
      <c r="B180" s="9">
        <v>12.816666666666666</v>
      </c>
      <c r="C180" s="5">
        <v>42.734999999999999</v>
      </c>
      <c r="D180" s="5">
        <v>52.387999999999998</v>
      </c>
      <c r="E180" s="5">
        <v>53.707000000000001</v>
      </c>
      <c r="F180" s="9">
        <v>53.502000000000002</v>
      </c>
      <c r="G180" s="9">
        <v>61.148000000000003</v>
      </c>
      <c r="H180" s="9">
        <v>59.823</v>
      </c>
      <c r="I180" s="9">
        <v>66.244</v>
      </c>
      <c r="J180" s="9">
        <v>54.628999999999998</v>
      </c>
      <c r="K180" s="9">
        <v>51.296999999999997</v>
      </c>
    </row>
    <row r="181" spans="2:11" x14ac:dyDescent="0.2">
      <c r="B181" s="9">
        <v>12.833333333333334</v>
      </c>
      <c r="C181" s="5">
        <v>42.667999999999999</v>
      </c>
      <c r="D181" s="5">
        <v>52.343000000000004</v>
      </c>
      <c r="E181" s="5">
        <v>53.69</v>
      </c>
      <c r="F181" s="9">
        <v>53.406999999999996</v>
      </c>
      <c r="G181" s="9">
        <v>61.125</v>
      </c>
      <c r="H181" s="9">
        <v>59.790999999999997</v>
      </c>
      <c r="I181" s="9">
        <v>66.191000000000003</v>
      </c>
      <c r="J181" s="9">
        <v>54.585000000000001</v>
      </c>
      <c r="K181" s="9">
        <v>51.21</v>
      </c>
    </row>
    <row r="182" spans="2:11" x14ac:dyDescent="0.2">
      <c r="B182" s="9">
        <v>12.85</v>
      </c>
      <c r="C182" s="5">
        <v>42.662999999999997</v>
      </c>
      <c r="D182" s="5">
        <v>52.322000000000003</v>
      </c>
      <c r="E182" s="5">
        <v>53.645000000000003</v>
      </c>
      <c r="F182" s="9">
        <v>53.42</v>
      </c>
      <c r="G182" s="9">
        <v>61.139000000000003</v>
      </c>
      <c r="H182" s="9">
        <v>59.747</v>
      </c>
      <c r="I182" s="9">
        <v>66.162999999999997</v>
      </c>
      <c r="J182" s="9">
        <v>54.543999999999997</v>
      </c>
      <c r="K182" s="9">
        <v>51.183</v>
      </c>
    </row>
    <row r="183" spans="2:11" x14ac:dyDescent="0.2">
      <c r="B183" s="9">
        <v>12.866666666666667</v>
      </c>
      <c r="C183" s="5">
        <v>42.609000000000002</v>
      </c>
      <c r="D183" s="5">
        <v>52.293999999999997</v>
      </c>
      <c r="E183" s="5">
        <v>53.634</v>
      </c>
      <c r="F183" s="9">
        <v>53.371000000000002</v>
      </c>
      <c r="G183" s="9">
        <v>61.103999999999999</v>
      </c>
      <c r="H183" s="9">
        <v>59.683999999999997</v>
      </c>
      <c r="I183" s="9">
        <v>66.176000000000002</v>
      </c>
      <c r="J183" s="9">
        <v>54.488</v>
      </c>
      <c r="K183" s="9">
        <v>51.162999999999997</v>
      </c>
    </row>
    <row r="184" spans="2:11" x14ac:dyDescent="0.2">
      <c r="B184" s="9">
        <v>12.883333333333333</v>
      </c>
      <c r="C184" s="5">
        <v>42.588999999999999</v>
      </c>
      <c r="D184" s="5">
        <v>52.216999999999999</v>
      </c>
      <c r="E184" s="5">
        <v>53.595999999999997</v>
      </c>
      <c r="F184" s="9">
        <v>53.298000000000002</v>
      </c>
      <c r="G184" s="9">
        <v>61.061999999999998</v>
      </c>
      <c r="H184" s="9">
        <v>59.658000000000001</v>
      </c>
      <c r="I184" s="9">
        <v>66.144000000000005</v>
      </c>
      <c r="J184" s="9">
        <v>54.47</v>
      </c>
      <c r="K184" s="9">
        <v>51.02</v>
      </c>
    </row>
    <row r="185" spans="2:11" x14ac:dyDescent="0.2">
      <c r="B185" s="9">
        <v>12.9</v>
      </c>
      <c r="C185" s="5">
        <v>42.555</v>
      </c>
      <c r="D185" s="5">
        <v>52.192999999999998</v>
      </c>
      <c r="E185" s="5">
        <v>53.588000000000001</v>
      </c>
      <c r="F185" s="9">
        <v>53.28</v>
      </c>
      <c r="G185" s="9">
        <v>61.042000000000002</v>
      </c>
      <c r="H185" s="9">
        <v>59.668999999999997</v>
      </c>
      <c r="I185" s="9">
        <v>66.08</v>
      </c>
      <c r="J185" s="9">
        <v>54.444000000000003</v>
      </c>
      <c r="K185" s="9">
        <v>51.042000000000002</v>
      </c>
    </row>
    <row r="186" spans="2:11" x14ac:dyDescent="0.2">
      <c r="B186" s="9">
        <v>12.916666666666666</v>
      </c>
      <c r="C186" s="5">
        <v>42.484000000000002</v>
      </c>
      <c r="D186" s="5">
        <v>52.173999999999999</v>
      </c>
      <c r="E186" s="5">
        <v>53.561999999999998</v>
      </c>
      <c r="F186" s="9">
        <v>53.192</v>
      </c>
      <c r="G186" s="9">
        <v>60.978999999999999</v>
      </c>
      <c r="H186" s="9">
        <v>59.529000000000003</v>
      </c>
      <c r="I186" s="9">
        <v>66.040000000000006</v>
      </c>
      <c r="J186" s="9">
        <v>54.401000000000003</v>
      </c>
      <c r="K186" s="9">
        <v>50.96</v>
      </c>
    </row>
    <row r="187" spans="2:11" x14ac:dyDescent="0.2">
      <c r="B187" s="9">
        <v>12.933333333333334</v>
      </c>
      <c r="C187" s="5">
        <v>42.423999999999999</v>
      </c>
      <c r="D187" s="5">
        <v>52.125999999999998</v>
      </c>
      <c r="E187" s="5">
        <v>53.436</v>
      </c>
      <c r="F187" s="9">
        <v>53.14</v>
      </c>
      <c r="G187" s="9">
        <v>60.878</v>
      </c>
      <c r="H187" s="9">
        <v>59.582000000000001</v>
      </c>
      <c r="I187" s="9">
        <v>66.045000000000002</v>
      </c>
      <c r="J187" s="9">
        <v>54.338999999999999</v>
      </c>
      <c r="K187" s="9">
        <v>50.915999999999997</v>
      </c>
    </row>
    <row r="188" spans="2:11" x14ac:dyDescent="0.2">
      <c r="B188" s="9">
        <v>12.95</v>
      </c>
      <c r="C188" s="5">
        <v>42.451000000000001</v>
      </c>
      <c r="D188" s="5">
        <v>52.151000000000003</v>
      </c>
      <c r="E188" s="5">
        <v>53.418999999999997</v>
      </c>
      <c r="F188" s="9">
        <v>53.058</v>
      </c>
      <c r="G188" s="9">
        <v>60.874000000000002</v>
      </c>
      <c r="H188" s="9">
        <v>59.44</v>
      </c>
      <c r="I188" s="9">
        <v>65.965999999999994</v>
      </c>
      <c r="J188" s="9">
        <v>54.255000000000003</v>
      </c>
      <c r="K188" s="9">
        <v>50.921999999999997</v>
      </c>
    </row>
    <row r="189" spans="2:11" x14ac:dyDescent="0.2">
      <c r="B189" s="9">
        <v>12.966666666666667</v>
      </c>
      <c r="C189" s="5">
        <v>42.356999999999999</v>
      </c>
      <c r="D189" s="5">
        <v>52.116</v>
      </c>
      <c r="E189" s="5">
        <v>53.384999999999998</v>
      </c>
      <c r="F189" s="9">
        <v>53.042000000000002</v>
      </c>
      <c r="G189" s="9">
        <v>60.786999999999999</v>
      </c>
      <c r="H189" s="9">
        <v>59.503999999999998</v>
      </c>
      <c r="I189" s="9">
        <v>65.875</v>
      </c>
      <c r="J189" s="9">
        <v>54.259</v>
      </c>
      <c r="K189" s="9">
        <v>50.866</v>
      </c>
    </row>
    <row r="190" spans="2:11" x14ac:dyDescent="0.2">
      <c r="B190" s="9">
        <v>12.983333333333333</v>
      </c>
      <c r="C190" s="5">
        <v>42.335000000000001</v>
      </c>
      <c r="D190" s="5">
        <v>52.076000000000001</v>
      </c>
      <c r="E190" s="5">
        <v>53.363</v>
      </c>
      <c r="F190" s="9">
        <v>52.968000000000004</v>
      </c>
      <c r="G190" s="9">
        <v>60.741999999999997</v>
      </c>
      <c r="H190" s="9">
        <v>59.44</v>
      </c>
      <c r="I190" s="9">
        <v>65.856999999999999</v>
      </c>
      <c r="J190" s="9">
        <v>54.192999999999998</v>
      </c>
      <c r="K190" s="9">
        <v>50.792999999999999</v>
      </c>
    </row>
    <row r="191" spans="2:11" x14ac:dyDescent="0.2">
      <c r="B191" s="9">
        <v>13</v>
      </c>
      <c r="C191" s="5">
        <v>42.287999999999997</v>
      </c>
      <c r="D191" s="5">
        <v>52.014000000000003</v>
      </c>
      <c r="E191" s="5">
        <v>53.359000000000002</v>
      </c>
      <c r="F191" s="9">
        <v>52.96</v>
      </c>
      <c r="G191" s="9">
        <v>60.728999999999999</v>
      </c>
      <c r="H191" s="9">
        <v>59.429000000000002</v>
      </c>
      <c r="I191" s="9">
        <v>65.822000000000003</v>
      </c>
      <c r="J191" s="9">
        <v>54.16</v>
      </c>
      <c r="K191" s="9">
        <v>50.74</v>
      </c>
    </row>
    <row r="192" spans="2:11" x14ac:dyDescent="0.2">
      <c r="B192" s="9">
        <v>13.016666666666667</v>
      </c>
      <c r="C192" s="5">
        <v>42.237000000000002</v>
      </c>
      <c r="D192" s="5">
        <v>51.997999999999998</v>
      </c>
      <c r="E192" s="5">
        <v>53.262</v>
      </c>
      <c r="F192" s="9">
        <v>52.890999999999998</v>
      </c>
      <c r="G192" s="9">
        <v>60.710999999999999</v>
      </c>
      <c r="H192" s="9">
        <v>59.432000000000002</v>
      </c>
      <c r="I192" s="9">
        <v>65.778999999999996</v>
      </c>
      <c r="J192" s="9">
        <v>54.225999999999999</v>
      </c>
      <c r="K192" s="9">
        <v>50.74</v>
      </c>
    </row>
    <row r="193" spans="2:11" x14ac:dyDescent="0.2">
      <c r="B193" s="9">
        <v>13.033333333333333</v>
      </c>
      <c r="C193" s="5">
        <v>42.223999999999997</v>
      </c>
      <c r="D193" s="5">
        <v>52.012999999999998</v>
      </c>
      <c r="E193" s="5">
        <v>53.206000000000003</v>
      </c>
      <c r="F193" s="9">
        <v>52.829000000000001</v>
      </c>
      <c r="G193" s="9">
        <v>60.709000000000003</v>
      </c>
      <c r="H193" s="9">
        <v>59.430999999999997</v>
      </c>
      <c r="I193" s="9">
        <v>65.745999999999995</v>
      </c>
      <c r="J193" s="9">
        <v>54.139000000000003</v>
      </c>
      <c r="K193" s="9">
        <v>50.64</v>
      </c>
    </row>
    <row r="194" spans="2:11" x14ac:dyDescent="0.2">
      <c r="B194" s="9">
        <v>13.05</v>
      </c>
      <c r="C194" s="5">
        <v>42.195</v>
      </c>
      <c r="D194" s="5">
        <v>51.942999999999998</v>
      </c>
      <c r="E194" s="5">
        <v>53.168999999999997</v>
      </c>
      <c r="F194" s="9">
        <v>52.826999999999998</v>
      </c>
      <c r="G194" s="9">
        <v>60.652000000000001</v>
      </c>
      <c r="H194" s="9">
        <v>59.366</v>
      </c>
      <c r="I194" s="9">
        <v>65.691000000000003</v>
      </c>
      <c r="J194" s="9">
        <v>54.057000000000002</v>
      </c>
      <c r="K194" s="9">
        <v>50.65</v>
      </c>
    </row>
    <row r="195" spans="2:11" x14ac:dyDescent="0.2">
      <c r="B195" s="9">
        <v>13.066666666666666</v>
      </c>
      <c r="C195" s="5">
        <v>42.131</v>
      </c>
      <c r="D195" s="5">
        <v>51.942999999999998</v>
      </c>
      <c r="E195" s="5">
        <v>53.188000000000002</v>
      </c>
      <c r="F195" s="9">
        <v>52.718000000000004</v>
      </c>
      <c r="G195" s="9">
        <v>60.65</v>
      </c>
      <c r="H195" s="9">
        <v>59.081000000000003</v>
      </c>
      <c r="I195" s="9">
        <v>65.616</v>
      </c>
      <c r="J195" s="9">
        <v>54.079000000000001</v>
      </c>
      <c r="K195" s="9">
        <v>50.61</v>
      </c>
    </row>
    <row r="196" spans="2:11" x14ac:dyDescent="0.2">
      <c r="B196" s="9">
        <v>13.083333333333334</v>
      </c>
      <c r="C196" s="5">
        <v>42.161000000000001</v>
      </c>
      <c r="D196" s="5">
        <v>51.898000000000003</v>
      </c>
      <c r="E196" s="5">
        <v>53.136000000000003</v>
      </c>
      <c r="F196" s="9">
        <v>52.701999999999998</v>
      </c>
      <c r="G196" s="9">
        <v>60.598999999999997</v>
      </c>
      <c r="H196" s="9">
        <v>59.372</v>
      </c>
      <c r="I196" s="9">
        <v>65.653000000000006</v>
      </c>
      <c r="J196" s="9">
        <v>54.018000000000001</v>
      </c>
      <c r="K196" s="9">
        <v>50.555999999999997</v>
      </c>
    </row>
    <row r="197" spans="2:11" x14ac:dyDescent="0.2">
      <c r="B197" s="9">
        <v>13.1</v>
      </c>
      <c r="C197" s="5">
        <v>42.070999999999998</v>
      </c>
      <c r="D197" s="5">
        <v>51.878999999999998</v>
      </c>
      <c r="E197" s="5">
        <v>53.095999999999997</v>
      </c>
      <c r="F197" s="9">
        <v>52.652999999999999</v>
      </c>
      <c r="G197" s="9">
        <v>60.594000000000001</v>
      </c>
      <c r="H197" s="9">
        <v>59.216999999999999</v>
      </c>
      <c r="I197" s="9">
        <v>65.625</v>
      </c>
      <c r="J197" s="9">
        <v>53.966999999999999</v>
      </c>
      <c r="K197" s="9">
        <v>50.509</v>
      </c>
    </row>
    <row r="198" spans="2:11" x14ac:dyDescent="0.2">
      <c r="B198" s="9">
        <v>13.116666666666667</v>
      </c>
      <c r="C198" s="5">
        <v>42.066000000000003</v>
      </c>
      <c r="D198" s="5">
        <v>51.85</v>
      </c>
      <c r="E198" s="5">
        <v>53.003</v>
      </c>
      <c r="F198" s="9">
        <v>52.609000000000002</v>
      </c>
      <c r="G198" s="9">
        <v>60.584000000000003</v>
      </c>
      <c r="H198" s="9">
        <v>59.194000000000003</v>
      </c>
      <c r="I198" s="9">
        <v>65.576999999999998</v>
      </c>
      <c r="J198" s="9">
        <v>53.853000000000002</v>
      </c>
      <c r="K198" s="9">
        <v>50.48</v>
      </c>
    </row>
    <row r="199" spans="2:11" x14ac:dyDescent="0.2">
      <c r="B199" s="9">
        <v>13.133333333333333</v>
      </c>
      <c r="C199" s="5">
        <v>41.997</v>
      </c>
      <c r="D199" s="5">
        <v>51.816000000000003</v>
      </c>
      <c r="E199" s="5">
        <v>52.985999999999997</v>
      </c>
      <c r="F199" s="9">
        <v>52.540999999999997</v>
      </c>
      <c r="G199" s="9">
        <v>60.524000000000001</v>
      </c>
      <c r="H199" s="9">
        <v>59.21</v>
      </c>
      <c r="I199" s="9">
        <v>65.491</v>
      </c>
      <c r="J199" s="9">
        <v>53.826000000000001</v>
      </c>
      <c r="K199" s="9">
        <v>50.444000000000003</v>
      </c>
    </row>
    <row r="200" spans="2:11" x14ac:dyDescent="0.2">
      <c r="B200" s="9">
        <v>13.15</v>
      </c>
      <c r="C200" s="5">
        <v>41.972000000000001</v>
      </c>
      <c r="D200" s="5">
        <v>51.816000000000003</v>
      </c>
      <c r="E200" s="5">
        <v>52.932000000000002</v>
      </c>
      <c r="F200" s="9">
        <v>52.44</v>
      </c>
      <c r="G200" s="9">
        <v>60.468000000000004</v>
      </c>
      <c r="H200" s="9">
        <v>59.137</v>
      </c>
      <c r="I200" s="9">
        <v>65.462999999999994</v>
      </c>
      <c r="J200" s="9">
        <v>53.84</v>
      </c>
      <c r="K200" s="9">
        <v>50.41</v>
      </c>
    </row>
    <row r="201" spans="2:11" x14ac:dyDescent="0.2">
      <c r="B201" s="9">
        <v>13.166666666666666</v>
      </c>
      <c r="C201" s="5">
        <v>41.978000000000002</v>
      </c>
      <c r="D201" s="5">
        <v>51.798999999999999</v>
      </c>
      <c r="E201" s="5">
        <v>52.954999999999998</v>
      </c>
      <c r="F201" s="9">
        <v>52.430999999999997</v>
      </c>
      <c r="G201" s="9">
        <v>60.49</v>
      </c>
      <c r="H201" s="9">
        <v>59.021999999999998</v>
      </c>
      <c r="I201" s="9">
        <v>65.515000000000001</v>
      </c>
      <c r="J201" s="9">
        <v>53.737000000000002</v>
      </c>
      <c r="K201" s="9">
        <v>50.365000000000002</v>
      </c>
    </row>
    <row r="202" spans="2:11" x14ac:dyDescent="0.2">
      <c r="B202" s="9">
        <v>13.183333333333334</v>
      </c>
      <c r="C202" s="5">
        <v>41.884</v>
      </c>
      <c r="D202" s="5">
        <v>51.762</v>
      </c>
      <c r="E202" s="5">
        <v>52.877000000000002</v>
      </c>
      <c r="F202" s="9">
        <v>52.363999999999997</v>
      </c>
      <c r="G202" s="9">
        <v>60.427</v>
      </c>
      <c r="H202" s="9">
        <v>59.073</v>
      </c>
      <c r="I202" s="9">
        <v>65.45</v>
      </c>
      <c r="J202" s="9">
        <v>53.686999999999998</v>
      </c>
      <c r="K202" s="9">
        <v>50.298000000000002</v>
      </c>
    </row>
    <row r="203" spans="2:11" x14ac:dyDescent="0.2">
      <c r="B203" s="9">
        <v>13.2</v>
      </c>
      <c r="C203" s="5">
        <v>41.859000000000002</v>
      </c>
      <c r="D203" s="5">
        <v>51.695999999999998</v>
      </c>
      <c r="E203" s="5">
        <v>52.816000000000003</v>
      </c>
      <c r="F203" s="9">
        <v>52.348999999999997</v>
      </c>
      <c r="G203" s="9">
        <v>60.378999999999998</v>
      </c>
      <c r="H203" s="9">
        <v>59.070999999999998</v>
      </c>
      <c r="I203" s="9">
        <v>65.435000000000002</v>
      </c>
      <c r="J203" s="9">
        <v>53.637999999999998</v>
      </c>
      <c r="K203" s="9">
        <v>50.253999999999998</v>
      </c>
    </row>
    <row r="204" spans="2:11" x14ac:dyDescent="0.2">
      <c r="B204" s="9">
        <v>13.216666666666667</v>
      </c>
      <c r="C204" s="5">
        <v>41.79</v>
      </c>
      <c r="D204" s="5">
        <v>51.658000000000001</v>
      </c>
      <c r="E204" s="5">
        <v>52.796999999999997</v>
      </c>
      <c r="F204" s="9">
        <v>52.226999999999997</v>
      </c>
      <c r="G204" s="9">
        <v>60.371000000000002</v>
      </c>
      <c r="H204" s="9">
        <v>59.052999999999997</v>
      </c>
      <c r="I204" s="9">
        <v>65.319000000000003</v>
      </c>
      <c r="J204" s="9">
        <v>53.563000000000002</v>
      </c>
      <c r="K204" s="9">
        <v>50.204000000000001</v>
      </c>
    </row>
    <row r="205" spans="2:11" x14ac:dyDescent="0.2">
      <c r="B205" s="9">
        <v>13.233333333333333</v>
      </c>
      <c r="C205" s="5">
        <v>41.795999999999999</v>
      </c>
      <c r="D205" s="5">
        <v>51.627000000000002</v>
      </c>
      <c r="E205" s="5">
        <v>52.774999999999999</v>
      </c>
      <c r="F205" s="9">
        <v>52.246000000000002</v>
      </c>
      <c r="G205" s="9">
        <v>60.33</v>
      </c>
      <c r="H205" s="9">
        <v>58.988999999999997</v>
      </c>
      <c r="I205" s="9">
        <v>65.275999999999996</v>
      </c>
      <c r="J205" s="9">
        <v>53.540999999999997</v>
      </c>
      <c r="K205" s="9">
        <v>50.107999999999997</v>
      </c>
    </row>
    <row r="206" spans="2:11" x14ac:dyDescent="0.2">
      <c r="B206" s="9">
        <v>13.25</v>
      </c>
      <c r="C206" s="5">
        <v>41.802</v>
      </c>
      <c r="D206" s="5">
        <v>51.612000000000002</v>
      </c>
      <c r="E206" s="5">
        <v>52.773000000000003</v>
      </c>
      <c r="F206" s="9">
        <v>52.189</v>
      </c>
      <c r="G206" s="9">
        <v>60.337000000000003</v>
      </c>
      <c r="H206" s="9">
        <v>58.692999999999998</v>
      </c>
      <c r="I206" s="9">
        <v>65.302000000000007</v>
      </c>
      <c r="J206" s="9">
        <v>53.512</v>
      </c>
      <c r="K206" s="9">
        <v>50.05</v>
      </c>
    </row>
    <row r="207" spans="2:11" x14ac:dyDescent="0.2">
      <c r="B207" s="9">
        <v>13.266666666666667</v>
      </c>
      <c r="C207" s="5">
        <v>41.725000000000001</v>
      </c>
      <c r="D207" s="5">
        <v>51.527999999999999</v>
      </c>
      <c r="E207" s="5">
        <v>52.66</v>
      </c>
      <c r="F207" s="9">
        <v>52.128</v>
      </c>
      <c r="G207" s="9">
        <v>60.27</v>
      </c>
      <c r="H207" s="9">
        <v>58.802</v>
      </c>
      <c r="I207" s="9">
        <v>65.23</v>
      </c>
      <c r="J207" s="9">
        <v>53.454000000000001</v>
      </c>
      <c r="K207" s="9">
        <v>50.036000000000001</v>
      </c>
    </row>
    <row r="208" spans="2:11" x14ac:dyDescent="0.2">
      <c r="B208" s="9">
        <v>13.283333333333333</v>
      </c>
      <c r="C208" s="5">
        <v>41.664000000000001</v>
      </c>
      <c r="D208" s="5">
        <v>51.558999999999997</v>
      </c>
      <c r="E208" s="5">
        <v>52.671999999999997</v>
      </c>
      <c r="F208" s="9">
        <v>52.076999999999998</v>
      </c>
      <c r="G208" s="9">
        <v>60.24</v>
      </c>
      <c r="H208" s="9">
        <v>58.860999999999997</v>
      </c>
      <c r="I208" s="9">
        <v>65.176000000000002</v>
      </c>
      <c r="J208" s="9">
        <v>53.395000000000003</v>
      </c>
      <c r="K208" s="9">
        <v>50.002000000000002</v>
      </c>
    </row>
    <row r="209" spans="2:11" x14ac:dyDescent="0.2">
      <c r="B209" s="9">
        <v>13.3</v>
      </c>
      <c r="C209" s="5">
        <v>41.671999999999997</v>
      </c>
      <c r="D209" s="5">
        <v>51.514000000000003</v>
      </c>
      <c r="E209" s="5">
        <v>52.667000000000002</v>
      </c>
      <c r="F209" s="9">
        <v>52.057000000000002</v>
      </c>
      <c r="G209" s="9">
        <v>60.226999999999997</v>
      </c>
      <c r="H209" s="9">
        <v>58.835000000000001</v>
      </c>
      <c r="I209" s="9">
        <v>65.135999999999996</v>
      </c>
      <c r="J209" s="9">
        <v>53.347999999999999</v>
      </c>
      <c r="K209" s="9">
        <v>49.966000000000001</v>
      </c>
    </row>
    <row r="210" spans="2:11" x14ac:dyDescent="0.2">
      <c r="B210" s="9">
        <v>13.316666666666666</v>
      </c>
      <c r="C210" s="5">
        <v>41.628999999999998</v>
      </c>
      <c r="D210" s="5">
        <v>51.496000000000002</v>
      </c>
      <c r="E210" s="5">
        <v>52.640999999999998</v>
      </c>
      <c r="F210" s="9">
        <v>52.024000000000001</v>
      </c>
      <c r="G210" s="9">
        <v>60.195</v>
      </c>
      <c r="H210" s="9">
        <v>58.722999999999999</v>
      </c>
      <c r="I210" s="9">
        <v>65.111000000000004</v>
      </c>
      <c r="J210" s="9">
        <v>53.39</v>
      </c>
      <c r="K210" s="9">
        <v>49.956000000000003</v>
      </c>
    </row>
    <row r="211" spans="2:11" x14ac:dyDescent="0.2">
      <c r="B211" s="9">
        <v>13.333333333333334</v>
      </c>
      <c r="C211" s="5">
        <v>41.570999999999998</v>
      </c>
      <c r="D211" s="5">
        <v>51.460999999999999</v>
      </c>
      <c r="E211" s="5">
        <v>52.664999999999999</v>
      </c>
      <c r="F211" s="9">
        <v>51.957999999999998</v>
      </c>
      <c r="G211" s="9">
        <v>60.158000000000001</v>
      </c>
      <c r="H211" s="9">
        <v>58.718000000000004</v>
      </c>
      <c r="I211" s="9">
        <v>65.036000000000001</v>
      </c>
      <c r="J211" s="9">
        <v>53.265000000000001</v>
      </c>
      <c r="K211" s="9">
        <v>49.841999999999999</v>
      </c>
    </row>
    <row r="212" spans="2:11" x14ac:dyDescent="0.2">
      <c r="B212" s="9">
        <v>13.35</v>
      </c>
      <c r="C212" s="5">
        <v>41.533000000000001</v>
      </c>
      <c r="D212" s="5">
        <v>51.411000000000001</v>
      </c>
      <c r="E212" s="5">
        <v>52.61</v>
      </c>
      <c r="F212" s="9">
        <v>51.923999999999999</v>
      </c>
      <c r="G212" s="9">
        <v>60.124000000000002</v>
      </c>
      <c r="H212" s="9">
        <v>58.643999999999998</v>
      </c>
      <c r="I212" s="9">
        <v>65.058000000000007</v>
      </c>
      <c r="J212" s="9">
        <v>53.261000000000003</v>
      </c>
      <c r="K212" s="9">
        <v>49.808</v>
      </c>
    </row>
    <row r="213" spans="2:11" x14ac:dyDescent="0.2">
      <c r="B213" s="9">
        <v>13.366666666666667</v>
      </c>
      <c r="C213" s="5">
        <v>41.453000000000003</v>
      </c>
      <c r="D213" s="5">
        <v>51.368000000000002</v>
      </c>
      <c r="E213" s="5">
        <v>52.543999999999997</v>
      </c>
      <c r="F213" s="9">
        <v>51.875</v>
      </c>
      <c r="G213" s="9">
        <v>60.095999999999997</v>
      </c>
      <c r="H213" s="9">
        <v>58.646000000000001</v>
      </c>
      <c r="I213" s="9">
        <v>64.983999999999995</v>
      </c>
      <c r="J213" s="9">
        <v>53.173000000000002</v>
      </c>
      <c r="K213" s="9">
        <v>49.753</v>
      </c>
    </row>
    <row r="214" spans="2:11" x14ac:dyDescent="0.2">
      <c r="B214" s="9">
        <v>13.383333333333333</v>
      </c>
      <c r="C214" s="5">
        <v>41.469000000000001</v>
      </c>
      <c r="D214" s="5">
        <v>51.334000000000003</v>
      </c>
      <c r="E214" s="5">
        <v>52.460999999999999</v>
      </c>
      <c r="F214" s="9">
        <v>51.807000000000002</v>
      </c>
      <c r="G214" s="9">
        <v>60.103999999999999</v>
      </c>
      <c r="H214" s="9">
        <v>58.6</v>
      </c>
      <c r="I214" s="9">
        <v>64.953000000000003</v>
      </c>
      <c r="J214" s="9">
        <v>53.115000000000002</v>
      </c>
      <c r="K214" s="9">
        <v>49.686999999999998</v>
      </c>
    </row>
    <row r="215" spans="2:11" x14ac:dyDescent="0.2">
      <c r="B215" s="9">
        <v>13.4</v>
      </c>
      <c r="C215" s="5">
        <v>41.417999999999999</v>
      </c>
      <c r="D215" s="5">
        <v>51.3</v>
      </c>
      <c r="E215" s="5">
        <v>52.497</v>
      </c>
      <c r="F215" s="9">
        <v>51.726999999999997</v>
      </c>
      <c r="G215" s="9">
        <v>60.021000000000001</v>
      </c>
      <c r="H215" s="9">
        <v>58.542000000000002</v>
      </c>
      <c r="I215" s="9">
        <v>64.932000000000002</v>
      </c>
      <c r="J215" s="9">
        <v>53.069000000000003</v>
      </c>
      <c r="K215" s="9">
        <v>49.676000000000002</v>
      </c>
    </row>
    <row r="216" spans="2:11" x14ac:dyDescent="0.2">
      <c r="B216" s="9">
        <v>13.416666666666666</v>
      </c>
      <c r="C216" s="5">
        <v>41.389000000000003</v>
      </c>
      <c r="D216" s="5">
        <v>51.295999999999999</v>
      </c>
      <c r="E216" s="5">
        <v>52.445</v>
      </c>
      <c r="F216" s="9">
        <v>51.707999999999998</v>
      </c>
      <c r="G216" s="9">
        <v>59.965000000000003</v>
      </c>
      <c r="H216" s="9">
        <v>58.344000000000001</v>
      </c>
      <c r="I216" s="9">
        <v>64.894000000000005</v>
      </c>
      <c r="J216" s="9">
        <v>53.054000000000002</v>
      </c>
      <c r="K216" s="9">
        <v>49.597999999999999</v>
      </c>
    </row>
    <row r="217" spans="2:11" x14ac:dyDescent="0.2">
      <c r="B217" s="9">
        <v>13.433333333333334</v>
      </c>
      <c r="C217" s="5">
        <v>41.308</v>
      </c>
      <c r="D217" s="5">
        <v>51.301000000000002</v>
      </c>
      <c r="E217" s="5">
        <v>52.439</v>
      </c>
      <c r="F217" s="9">
        <v>51.646999999999998</v>
      </c>
      <c r="G217" s="9">
        <v>59.917999999999999</v>
      </c>
      <c r="H217" s="9">
        <v>58.411999999999999</v>
      </c>
      <c r="I217" s="9">
        <v>64.805000000000007</v>
      </c>
      <c r="J217" s="9">
        <v>52.978999999999999</v>
      </c>
      <c r="K217" s="9">
        <v>49.555</v>
      </c>
    </row>
    <row r="218" spans="2:11" x14ac:dyDescent="0.2">
      <c r="B218" s="9">
        <v>13.45</v>
      </c>
      <c r="C218" s="5">
        <v>41.289000000000001</v>
      </c>
      <c r="D218" s="5">
        <v>51.207000000000001</v>
      </c>
      <c r="E218" s="5">
        <v>52.439</v>
      </c>
      <c r="F218" s="9">
        <v>51.582999999999998</v>
      </c>
      <c r="G218" s="9">
        <v>59.872</v>
      </c>
      <c r="H218" s="9">
        <v>58.351999999999997</v>
      </c>
      <c r="I218" s="9">
        <v>64.783000000000001</v>
      </c>
      <c r="J218" s="9">
        <v>52.982999999999997</v>
      </c>
      <c r="K218" s="9">
        <v>49.523000000000003</v>
      </c>
    </row>
    <row r="219" spans="2:11" x14ac:dyDescent="0.2">
      <c r="B219" s="9">
        <v>13.466666666666667</v>
      </c>
      <c r="C219" s="5">
        <v>41.228999999999999</v>
      </c>
      <c r="D219" s="5">
        <v>51.207000000000001</v>
      </c>
      <c r="E219" s="5">
        <v>52.398000000000003</v>
      </c>
      <c r="F219" s="9">
        <v>51.527000000000001</v>
      </c>
      <c r="G219" s="9">
        <v>59.853999999999999</v>
      </c>
      <c r="H219" s="9">
        <v>58.302999999999997</v>
      </c>
      <c r="I219" s="9">
        <v>64.808999999999997</v>
      </c>
      <c r="J219" s="9">
        <v>52.936</v>
      </c>
      <c r="K219" s="9">
        <v>49.4</v>
      </c>
    </row>
    <row r="220" spans="2:11" x14ac:dyDescent="0.2">
      <c r="B220" s="9">
        <v>13.483333333333333</v>
      </c>
      <c r="C220" s="5">
        <v>41.234999999999999</v>
      </c>
      <c r="D220" s="5">
        <v>51.155999999999999</v>
      </c>
      <c r="E220" s="5">
        <v>52.39</v>
      </c>
      <c r="F220" s="9">
        <v>51.463999999999999</v>
      </c>
      <c r="G220" s="9">
        <v>59.8</v>
      </c>
      <c r="H220" s="9">
        <v>58.284999999999997</v>
      </c>
      <c r="I220" s="9">
        <v>64.688000000000002</v>
      </c>
      <c r="J220" s="9">
        <v>52.823</v>
      </c>
      <c r="K220" s="9">
        <v>49.368000000000002</v>
      </c>
    </row>
    <row r="221" spans="2:11" x14ac:dyDescent="0.2">
      <c r="B221" s="9">
        <v>13.5</v>
      </c>
      <c r="C221" s="5">
        <v>41.173999999999999</v>
      </c>
      <c r="D221" s="5">
        <v>51.128999999999998</v>
      </c>
      <c r="E221" s="5">
        <v>52.314</v>
      </c>
      <c r="F221" s="9">
        <v>51.494</v>
      </c>
      <c r="G221" s="9">
        <v>59.759</v>
      </c>
      <c r="H221" s="9">
        <v>58.238</v>
      </c>
      <c r="I221" s="9">
        <v>64.760000000000005</v>
      </c>
      <c r="J221" s="9">
        <v>52.823</v>
      </c>
      <c r="K221" s="9">
        <v>49.274999999999999</v>
      </c>
    </row>
    <row r="222" spans="2:11" x14ac:dyDescent="0.2">
      <c r="B222" s="9">
        <v>13.516666666666667</v>
      </c>
      <c r="C222" s="5">
        <v>41.122999999999998</v>
      </c>
      <c r="D222" s="5">
        <v>51.107999999999997</v>
      </c>
      <c r="E222" s="5">
        <v>52.264000000000003</v>
      </c>
      <c r="F222" s="9">
        <v>51.433</v>
      </c>
      <c r="G222" s="9">
        <v>59.744999999999997</v>
      </c>
      <c r="H222" s="9">
        <v>58.173000000000002</v>
      </c>
      <c r="I222" s="9">
        <v>64.688000000000002</v>
      </c>
      <c r="J222" s="9">
        <v>52.74</v>
      </c>
      <c r="K222" s="9">
        <v>49.281999999999996</v>
      </c>
    </row>
    <row r="223" spans="2:11" x14ac:dyDescent="0.2">
      <c r="B223" s="9">
        <v>13.533333333333333</v>
      </c>
      <c r="C223" s="5">
        <v>41.076999999999998</v>
      </c>
      <c r="D223" s="5">
        <v>51.094999999999999</v>
      </c>
      <c r="E223" s="5">
        <v>52.247</v>
      </c>
      <c r="F223" s="9">
        <v>51.378</v>
      </c>
      <c r="G223" s="9">
        <v>59.701999999999998</v>
      </c>
      <c r="H223" s="9">
        <v>58.011000000000003</v>
      </c>
      <c r="I223" s="9">
        <v>64.647000000000006</v>
      </c>
      <c r="J223" s="9">
        <v>52.72</v>
      </c>
      <c r="K223" s="9">
        <v>49.213000000000001</v>
      </c>
    </row>
    <row r="224" spans="2:11" x14ac:dyDescent="0.2">
      <c r="B224" s="9">
        <v>13.55</v>
      </c>
      <c r="C224" s="5">
        <v>41.021999999999998</v>
      </c>
      <c r="D224" s="5">
        <v>51.033000000000001</v>
      </c>
      <c r="E224" s="5">
        <v>52.167999999999999</v>
      </c>
      <c r="F224" s="9">
        <v>51.329000000000001</v>
      </c>
      <c r="G224" s="9">
        <v>59.67</v>
      </c>
      <c r="H224" s="9">
        <v>58.119</v>
      </c>
      <c r="I224" s="9">
        <v>64.637</v>
      </c>
      <c r="J224" s="9">
        <v>52.655999999999999</v>
      </c>
      <c r="K224" s="9">
        <v>49.176000000000002</v>
      </c>
    </row>
    <row r="225" spans="2:11" x14ac:dyDescent="0.2">
      <c r="B225" s="9">
        <v>13.566666666666666</v>
      </c>
      <c r="C225" s="5">
        <v>41.003</v>
      </c>
      <c r="D225" s="5">
        <v>51.015999999999998</v>
      </c>
      <c r="E225" s="5">
        <v>52.210999999999999</v>
      </c>
      <c r="F225" s="9">
        <v>51.31</v>
      </c>
      <c r="G225" s="9">
        <v>59.680999999999997</v>
      </c>
      <c r="H225" s="9">
        <v>58.036000000000001</v>
      </c>
      <c r="I225" s="9">
        <v>64.596999999999994</v>
      </c>
      <c r="J225" s="9">
        <v>52.607999999999997</v>
      </c>
      <c r="K225" s="9">
        <v>49.155000000000001</v>
      </c>
    </row>
    <row r="226" spans="2:11" x14ac:dyDescent="0.2">
      <c r="B226" s="9">
        <v>13.583333333333334</v>
      </c>
      <c r="C226" s="5">
        <v>40.924999999999997</v>
      </c>
      <c r="D226" s="5">
        <v>50.991999999999997</v>
      </c>
      <c r="E226" s="5">
        <v>52.156999999999996</v>
      </c>
      <c r="F226" s="9">
        <v>51.258000000000003</v>
      </c>
      <c r="G226" s="9">
        <v>59.616</v>
      </c>
      <c r="H226" s="9">
        <v>57.997999999999998</v>
      </c>
      <c r="I226" s="9">
        <v>64.549000000000007</v>
      </c>
      <c r="J226" s="9">
        <v>52.527999999999999</v>
      </c>
      <c r="K226" s="9">
        <v>49.030999999999999</v>
      </c>
    </row>
    <row r="227" spans="2:11" x14ac:dyDescent="0.2">
      <c r="B227" s="9">
        <v>13.6</v>
      </c>
      <c r="C227" s="5">
        <v>40.9</v>
      </c>
      <c r="D227" s="5">
        <v>50.899000000000001</v>
      </c>
      <c r="E227" s="5">
        <v>52.115000000000002</v>
      </c>
      <c r="F227" s="9">
        <v>51.271999999999998</v>
      </c>
      <c r="G227" s="9">
        <v>59.585000000000001</v>
      </c>
      <c r="H227" s="9">
        <v>58.026000000000003</v>
      </c>
      <c r="I227" s="9">
        <v>64.525999999999996</v>
      </c>
      <c r="J227" s="9">
        <v>52.497999999999998</v>
      </c>
      <c r="K227" s="9">
        <v>49.043999999999997</v>
      </c>
    </row>
    <row r="228" spans="2:11" x14ac:dyDescent="0.2">
      <c r="B228" s="9">
        <v>13.616666666666667</v>
      </c>
      <c r="C228" s="5">
        <v>40.82</v>
      </c>
      <c r="D228" s="5">
        <v>50.866999999999997</v>
      </c>
      <c r="E228" s="5">
        <v>52.052999999999997</v>
      </c>
      <c r="F228" s="9">
        <v>51.171999999999997</v>
      </c>
      <c r="G228" s="9">
        <v>59.539000000000001</v>
      </c>
      <c r="H228" s="9">
        <v>57.941000000000003</v>
      </c>
      <c r="I228" s="9">
        <v>64.483999999999995</v>
      </c>
      <c r="J228" s="9">
        <v>52.488</v>
      </c>
      <c r="K228" s="9">
        <v>48.948</v>
      </c>
    </row>
    <row r="229" spans="2:11" x14ac:dyDescent="0.2">
      <c r="B229" s="9">
        <v>13.633333333333333</v>
      </c>
      <c r="C229" s="5">
        <v>40.795000000000002</v>
      </c>
      <c r="D229" s="5">
        <v>50.819000000000003</v>
      </c>
      <c r="E229" s="5">
        <v>52.101999999999997</v>
      </c>
      <c r="F229" s="9">
        <v>51.134999999999998</v>
      </c>
      <c r="G229" s="9">
        <v>59.497</v>
      </c>
      <c r="H229" s="9">
        <v>57.9</v>
      </c>
      <c r="I229" s="9">
        <v>64.501999999999995</v>
      </c>
      <c r="J229" s="9">
        <v>52.448</v>
      </c>
      <c r="K229" s="9">
        <v>48.93</v>
      </c>
    </row>
    <row r="230" spans="2:11" x14ac:dyDescent="0.2">
      <c r="B230" s="9">
        <v>13.65</v>
      </c>
      <c r="C230" s="5">
        <v>40.698999999999998</v>
      </c>
      <c r="D230" s="5">
        <v>50.790999999999997</v>
      </c>
      <c r="E230" s="5">
        <v>51.981000000000002</v>
      </c>
      <c r="F230" s="9">
        <v>51.118000000000002</v>
      </c>
      <c r="G230" s="9">
        <v>59.484000000000002</v>
      </c>
      <c r="H230" s="9">
        <v>57.792999999999999</v>
      </c>
      <c r="I230" s="9">
        <v>64.418000000000006</v>
      </c>
      <c r="J230" s="9">
        <v>52.384999999999998</v>
      </c>
      <c r="K230" s="9">
        <v>48.851999999999997</v>
      </c>
    </row>
    <row r="231" spans="2:11" x14ac:dyDescent="0.2">
      <c r="B231" s="9">
        <v>13.666666666666666</v>
      </c>
      <c r="C231" s="5">
        <v>40.661999999999999</v>
      </c>
      <c r="D231" s="5">
        <v>50.753</v>
      </c>
      <c r="E231" s="5">
        <v>51.999000000000002</v>
      </c>
      <c r="F231" s="9">
        <v>51.097000000000001</v>
      </c>
      <c r="G231" s="9">
        <v>59.508000000000003</v>
      </c>
      <c r="H231" s="9">
        <v>57.761000000000003</v>
      </c>
      <c r="I231" s="9">
        <v>64.414000000000001</v>
      </c>
      <c r="J231" s="9">
        <v>52.344000000000001</v>
      </c>
      <c r="K231" s="9">
        <v>48.841999999999999</v>
      </c>
    </row>
    <row r="232" spans="2:11" x14ac:dyDescent="0.2">
      <c r="B232" s="9">
        <v>13.683333333333334</v>
      </c>
      <c r="C232" s="5">
        <v>40.598999999999997</v>
      </c>
      <c r="D232" s="5">
        <v>50.680999999999997</v>
      </c>
      <c r="E232" s="5">
        <v>51.890999999999998</v>
      </c>
      <c r="F232" s="9">
        <v>51.042999999999999</v>
      </c>
      <c r="G232" s="9">
        <v>59.470999999999997</v>
      </c>
      <c r="H232" s="9">
        <v>57.713000000000001</v>
      </c>
      <c r="I232" s="9">
        <v>64.353999999999999</v>
      </c>
      <c r="J232" s="9">
        <v>52.262999999999998</v>
      </c>
      <c r="K232" s="9">
        <v>48.786000000000001</v>
      </c>
    </row>
    <row r="233" spans="2:11" x14ac:dyDescent="0.2">
      <c r="B233" s="9">
        <v>13.7</v>
      </c>
      <c r="C233" s="5">
        <v>40.573</v>
      </c>
      <c r="D233" s="5">
        <v>50.685000000000002</v>
      </c>
      <c r="E233" s="5">
        <v>51.933</v>
      </c>
      <c r="F233" s="9">
        <v>51.036999999999999</v>
      </c>
      <c r="G233" s="9">
        <v>59.451000000000001</v>
      </c>
      <c r="H233" s="9">
        <v>57.636000000000003</v>
      </c>
      <c r="I233" s="9">
        <v>64.293000000000006</v>
      </c>
      <c r="J233" s="9">
        <v>52.23</v>
      </c>
      <c r="K233" s="9">
        <v>48.753999999999998</v>
      </c>
    </row>
    <row r="234" spans="2:11" x14ac:dyDescent="0.2">
      <c r="B234" s="9">
        <v>13.716666666666667</v>
      </c>
      <c r="C234" s="5">
        <v>40.53</v>
      </c>
      <c r="D234" s="5">
        <v>50.689</v>
      </c>
      <c r="E234" s="5">
        <v>51.887999999999998</v>
      </c>
      <c r="F234" s="9">
        <v>50.973999999999997</v>
      </c>
      <c r="G234" s="9">
        <v>59.442999999999998</v>
      </c>
      <c r="H234" s="9">
        <v>57.646999999999998</v>
      </c>
      <c r="I234" s="9">
        <v>64.307000000000002</v>
      </c>
      <c r="J234" s="9">
        <v>52.258000000000003</v>
      </c>
      <c r="K234" s="9">
        <v>48.683</v>
      </c>
    </row>
    <row r="235" spans="2:11" x14ac:dyDescent="0.2">
      <c r="B235" s="9">
        <v>13.733333333333333</v>
      </c>
      <c r="C235" s="5">
        <v>40.500999999999998</v>
      </c>
      <c r="D235" s="5">
        <v>50.66</v>
      </c>
      <c r="E235" s="5">
        <v>51.877000000000002</v>
      </c>
      <c r="F235" s="9">
        <v>50.930999999999997</v>
      </c>
      <c r="G235" s="9">
        <v>59.378</v>
      </c>
      <c r="H235" s="9">
        <v>57.222000000000001</v>
      </c>
      <c r="I235" s="9">
        <v>64.224999999999994</v>
      </c>
      <c r="J235" s="9">
        <v>52.23</v>
      </c>
      <c r="K235" s="9">
        <v>48.65</v>
      </c>
    </row>
    <row r="236" spans="2:11" x14ac:dyDescent="0.2">
      <c r="B236" s="9">
        <v>13.75</v>
      </c>
      <c r="C236" s="5">
        <v>40.435000000000002</v>
      </c>
      <c r="D236" s="5">
        <v>50.64</v>
      </c>
      <c r="E236" s="5">
        <v>51.783000000000001</v>
      </c>
      <c r="F236" s="9">
        <v>50.902999999999999</v>
      </c>
      <c r="G236" s="9">
        <v>59.354999999999997</v>
      </c>
      <c r="H236" s="9">
        <v>57.563000000000002</v>
      </c>
      <c r="I236" s="9">
        <v>64.233000000000004</v>
      </c>
      <c r="J236" s="9">
        <v>52.197000000000003</v>
      </c>
      <c r="K236" s="9">
        <v>48.649000000000001</v>
      </c>
    </row>
    <row r="237" spans="2:11" x14ac:dyDescent="0.2">
      <c r="B237" s="9">
        <v>13.766666666666667</v>
      </c>
      <c r="C237" s="5">
        <v>40.378999999999998</v>
      </c>
      <c r="D237" s="5">
        <v>50.604999999999997</v>
      </c>
      <c r="E237" s="5">
        <v>51.795000000000002</v>
      </c>
      <c r="F237" s="9">
        <v>50.820999999999998</v>
      </c>
      <c r="G237" s="9">
        <v>59.317999999999998</v>
      </c>
      <c r="H237" s="9">
        <v>57.497999999999998</v>
      </c>
      <c r="I237" s="9">
        <v>64.266000000000005</v>
      </c>
      <c r="J237" s="9">
        <v>52.142000000000003</v>
      </c>
      <c r="K237" s="9">
        <v>48.587000000000003</v>
      </c>
    </row>
    <row r="238" spans="2:11" x14ac:dyDescent="0.2">
      <c r="B238" s="9">
        <v>13.783333333333333</v>
      </c>
      <c r="C238" s="5">
        <v>40.347999999999999</v>
      </c>
      <c r="D238" s="5">
        <v>50.591999999999999</v>
      </c>
      <c r="E238" s="5">
        <v>51.774999999999999</v>
      </c>
      <c r="F238" s="9">
        <v>50.805</v>
      </c>
      <c r="G238" s="9">
        <v>59.287999999999997</v>
      </c>
      <c r="H238" s="9">
        <v>57.539000000000001</v>
      </c>
      <c r="I238" s="9">
        <v>64.171000000000006</v>
      </c>
      <c r="J238" s="9">
        <v>52.093000000000004</v>
      </c>
      <c r="K238" s="9">
        <v>48.548000000000002</v>
      </c>
    </row>
    <row r="239" spans="2:11" x14ac:dyDescent="0.2">
      <c r="B239" s="9">
        <v>13.8</v>
      </c>
      <c r="C239" s="5">
        <v>40.299999999999997</v>
      </c>
      <c r="D239" s="5">
        <v>50.55</v>
      </c>
      <c r="E239" s="5">
        <v>51.731999999999999</v>
      </c>
      <c r="F239" s="9">
        <v>50.773000000000003</v>
      </c>
      <c r="G239" s="9">
        <v>59.244</v>
      </c>
      <c r="H239" s="9">
        <v>57.375999999999998</v>
      </c>
      <c r="I239" s="9">
        <v>64.150999999999996</v>
      </c>
      <c r="J239" s="9">
        <v>52.018000000000001</v>
      </c>
      <c r="K239" s="9">
        <v>48.472000000000001</v>
      </c>
    </row>
    <row r="240" spans="2:11" x14ac:dyDescent="0.2">
      <c r="B240" s="9">
        <v>13.816666666666666</v>
      </c>
      <c r="C240" s="5">
        <v>40.262999999999998</v>
      </c>
      <c r="D240" s="5">
        <v>50.505000000000003</v>
      </c>
      <c r="E240" s="5">
        <v>51.658999999999999</v>
      </c>
      <c r="F240" s="9">
        <v>50.732999999999997</v>
      </c>
      <c r="G240" s="9">
        <v>59.247999999999998</v>
      </c>
      <c r="H240" s="9">
        <v>57.438000000000002</v>
      </c>
      <c r="I240" s="9">
        <v>64.159000000000006</v>
      </c>
      <c r="J240" s="9">
        <v>51.997</v>
      </c>
      <c r="K240" s="9">
        <v>48.445</v>
      </c>
    </row>
    <row r="241" spans="2:11" x14ac:dyDescent="0.2">
      <c r="B241" s="9">
        <v>13.833333333333334</v>
      </c>
      <c r="C241" s="5">
        <v>40.229999999999997</v>
      </c>
      <c r="D241" s="5">
        <v>50.500999999999998</v>
      </c>
      <c r="E241" s="5">
        <v>51.66</v>
      </c>
      <c r="F241" s="9">
        <v>50.68</v>
      </c>
      <c r="G241" s="9">
        <v>59.180999999999997</v>
      </c>
      <c r="H241" s="9">
        <v>57.421999999999997</v>
      </c>
      <c r="I241" s="9">
        <v>64.122</v>
      </c>
      <c r="J241" s="9">
        <v>51.923000000000002</v>
      </c>
      <c r="K241" s="9">
        <v>48.387</v>
      </c>
    </row>
    <row r="242" spans="2:11" x14ac:dyDescent="0.2">
      <c r="B242" s="9">
        <v>13.85</v>
      </c>
      <c r="C242" s="5">
        <v>40.146999999999998</v>
      </c>
      <c r="D242" s="5">
        <v>50.408999999999999</v>
      </c>
      <c r="E242" s="5">
        <v>51.637999999999998</v>
      </c>
      <c r="F242" s="9">
        <v>50.649000000000001</v>
      </c>
      <c r="G242" s="9">
        <v>59.173000000000002</v>
      </c>
      <c r="H242" s="9">
        <v>57.36</v>
      </c>
      <c r="I242" s="9">
        <v>64.106999999999999</v>
      </c>
      <c r="J242" s="9">
        <v>51.862000000000002</v>
      </c>
      <c r="K242" s="9">
        <v>48.328000000000003</v>
      </c>
    </row>
    <row r="243" spans="2:11" x14ac:dyDescent="0.2">
      <c r="B243" s="9">
        <v>13.866666666666667</v>
      </c>
      <c r="C243" s="5">
        <v>40.121000000000002</v>
      </c>
      <c r="D243" s="5">
        <v>50.421999999999997</v>
      </c>
      <c r="E243" s="5">
        <v>51.54</v>
      </c>
      <c r="F243" s="9">
        <v>50.622999999999998</v>
      </c>
      <c r="G243" s="9">
        <v>59.136000000000003</v>
      </c>
      <c r="H243" s="9">
        <v>57.317</v>
      </c>
      <c r="I243" s="9">
        <v>64.084000000000003</v>
      </c>
      <c r="J243" s="9">
        <v>51.814999999999998</v>
      </c>
      <c r="K243" s="9">
        <v>48.295999999999999</v>
      </c>
    </row>
    <row r="244" spans="2:11" x14ac:dyDescent="0.2">
      <c r="B244" s="9">
        <v>13.883333333333333</v>
      </c>
      <c r="C244" s="5">
        <v>40.094999999999999</v>
      </c>
      <c r="D244" s="5">
        <v>50.381999999999998</v>
      </c>
      <c r="E244" s="5">
        <v>51.548000000000002</v>
      </c>
      <c r="F244" s="9">
        <v>50.570999999999998</v>
      </c>
      <c r="G244" s="9">
        <v>59.121000000000002</v>
      </c>
      <c r="H244" s="9">
        <v>57.365000000000002</v>
      </c>
      <c r="I244" s="9">
        <v>64.040999999999997</v>
      </c>
      <c r="J244" s="9">
        <v>51.790999999999997</v>
      </c>
      <c r="K244" s="9">
        <v>48.259</v>
      </c>
    </row>
    <row r="245" spans="2:11" x14ac:dyDescent="0.2">
      <c r="B245" s="9">
        <v>13.9</v>
      </c>
      <c r="C245" s="5">
        <v>40.018999999999998</v>
      </c>
      <c r="D245" s="5">
        <v>50.329000000000001</v>
      </c>
      <c r="E245" s="5">
        <v>51.442999999999998</v>
      </c>
      <c r="F245" s="9">
        <v>50.53</v>
      </c>
      <c r="G245" s="9">
        <v>59.084000000000003</v>
      </c>
      <c r="H245" s="9">
        <v>57.095999999999997</v>
      </c>
      <c r="I245" s="9">
        <v>64.05</v>
      </c>
      <c r="J245" s="9">
        <v>51.808999999999997</v>
      </c>
      <c r="K245" s="9">
        <v>48.195</v>
      </c>
    </row>
    <row r="246" spans="2:11" x14ac:dyDescent="0.2">
      <c r="B246" s="9">
        <v>13.916666666666666</v>
      </c>
      <c r="C246" s="5">
        <v>39.988999999999997</v>
      </c>
      <c r="D246" s="5">
        <v>50.295000000000002</v>
      </c>
      <c r="E246" s="5">
        <v>51.442999999999998</v>
      </c>
      <c r="F246" s="9">
        <v>50.502000000000002</v>
      </c>
      <c r="G246" s="9">
        <v>59.097000000000001</v>
      </c>
      <c r="H246" s="9">
        <v>57.207000000000001</v>
      </c>
      <c r="I246" s="9">
        <v>63.991999999999997</v>
      </c>
      <c r="J246" s="9">
        <v>51.789000000000001</v>
      </c>
      <c r="K246" s="9">
        <v>48.158999999999999</v>
      </c>
    </row>
    <row r="247" spans="2:11" x14ac:dyDescent="0.2">
      <c r="B247" s="9">
        <v>13.933333333333334</v>
      </c>
      <c r="C247" s="5">
        <v>39.97</v>
      </c>
      <c r="D247" s="5">
        <v>50.19</v>
      </c>
      <c r="E247" s="5">
        <v>51.365000000000002</v>
      </c>
      <c r="F247" s="9">
        <v>50.453000000000003</v>
      </c>
      <c r="G247" s="9">
        <v>59.048000000000002</v>
      </c>
      <c r="H247" s="9">
        <v>57.078000000000003</v>
      </c>
      <c r="I247" s="9">
        <v>64.016000000000005</v>
      </c>
      <c r="J247" s="9">
        <v>51.720999999999997</v>
      </c>
      <c r="K247" s="9">
        <v>48.137999999999998</v>
      </c>
    </row>
    <row r="248" spans="2:11" x14ac:dyDescent="0.2">
      <c r="B248" s="9">
        <v>13.95</v>
      </c>
      <c r="C248" s="5">
        <v>39.924999999999997</v>
      </c>
      <c r="D248" s="5">
        <v>50.201999999999998</v>
      </c>
      <c r="E248" s="5">
        <v>51.354999999999997</v>
      </c>
      <c r="F248" s="9">
        <v>50.420999999999999</v>
      </c>
      <c r="G248" s="9">
        <v>59</v>
      </c>
      <c r="H248" s="9">
        <v>57.128</v>
      </c>
      <c r="I248" s="9">
        <v>63.991999999999997</v>
      </c>
      <c r="J248" s="9">
        <v>51.665999999999997</v>
      </c>
      <c r="K248" s="9">
        <v>48.095999999999997</v>
      </c>
    </row>
    <row r="249" spans="2:11" x14ac:dyDescent="0.2">
      <c r="B249" s="9">
        <v>13.966666666666667</v>
      </c>
      <c r="C249" s="5">
        <v>39.843000000000004</v>
      </c>
      <c r="D249" s="5">
        <v>50.127000000000002</v>
      </c>
      <c r="E249" s="5">
        <v>51.274999999999999</v>
      </c>
      <c r="F249" s="9">
        <v>50.341999999999999</v>
      </c>
      <c r="G249" s="9">
        <v>58.972000000000001</v>
      </c>
      <c r="H249" s="9">
        <v>57.055</v>
      </c>
      <c r="I249" s="9">
        <v>63.953000000000003</v>
      </c>
      <c r="J249" s="9">
        <v>51.661000000000001</v>
      </c>
      <c r="K249" s="9">
        <v>48.061999999999998</v>
      </c>
    </row>
    <row r="250" spans="2:11" x14ac:dyDescent="0.2">
      <c r="B250" s="9">
        <v>13.983333333333333</v>
      </c>
      <c r="C250" s="5">
        <v>39.795000000000002</v>
      </c>
      <c r="D250" s="5">
        <v>50.097000000000001</v>
      </c>
      <c r="E250" s="5">
        <v>51.286000000000001</v>
      </c>
      <c r="F250" s="9">
        <v>50.301000000000002</v>
      </c>
      <c r="G250" s="9">
        <v>58.911000000000001</v>
      </c>
      <c r="H250" s="9">
        <v>56.978999999999999</v>
      </c>
      <c r="I250" s="9">
        <v>63.884</v>
      </c>
      <c r="J250" s="9">
        <v>51.652000000000001</v>
      </c>
      <c r="K250" s="9">
        <v>48.002000000000002</v>
      </c>
    </row>
    <row r="251" spans="2:11" x14ac:dyDescent="0.2">
      <c r="B251" s="9">
        <v>14</v>
      </c>
      <c r="C251" s="5">
        <v>39.801000000000002</v>
      </c>
      <c r="D251" s="5">
        <v>50.07</v>
      </c>
      <c r="E251" s="5">
        <v>51.26</v>
      </c>
      <c r="F251" s="9">
        <v>50.290999999999997</v>
      </c>
      <c r="G251" s="9">
        <v>58.948999999999998</v>
      </c>
      <c r="H251" s="9">
        <v>57.008000000000003</v>
      </c>
      <c r="I251" s="9">
        <v>63.872999999999998</v>
      </c>
      <c r="J251" s="9">
        <v>51.548000000000002</v>
      </c>
      <c r="K251" s="9">
        <v>47.948</v>
      </c>
    </row>
    <row r="252" spans="2:11" x14ac:dyDescent="0.2">
      <c r="B252" s="9">
        <v>14.016666666666667</v>
      </c>
      <c r="C252" s="5">
        <v>39.741</v>
      </c>
      <c r="D252" s="5">
        <v>49.972999999999999</v>
      </c>
      <c r="E252" s="5">
        <v>51.183</v>
      </c>
      <c r="F252" s="9">
        <v>50.283999999999999</v>
      </c>
      <c r="G252" s="9">
        <v>58.901000000000003</v>
      </c>
      <c r="H252" s="9">
        <v>56.963000000000001</v>
      </c>
      <c r="I252" s="9">
        <v>63.856999999999999</v>
      </c>
      <c r="J252" s="9">
        <v>51.493000000000002</v>
      </c>
      <c r="K252" s="9">
        <v>47.912999999999997</v>
      </c>
    </row>
    <row r="253" spans="2:11" x14ac:dyDescent="0.2">
      <c r="B253" s="9">
        <v>14.033333333333333</v>
      </c>
      <c r="C253" s="5">
        <v>39.694000000000003</v>
      </c>
      <c r="D253" s="5">
        <v>49.975000000000001</v>
      </c>
      <c r="E253" s="5">
        <v>51.16</v>
      </c>
      <c r="F253" s="9">
        <v>50.206000000000003</v>
      </c>
      <c r="G253" s="9">
        <v>58.863999999999997</v>
      </c>
      <c r="H253" s="9">
        <v>56.856999999999999</v>
      </c>
      <c r="I253" s="9">
        <v>63.860999999999997</v>
      </c>
      <c r="J253" s="9">
        <v>51.521999999999998</v>
      </c>
      <c r="K253" s="9">
        <v>47.85</v>
      </c>
    </row>
    <row r="254" spans="2:11" x14ac:dyDescent="0.2">
      <c r="B254" s="9">
        <v>14.05</v>
      </c>
      <c r="C254" s="5">
        <v>39.651000000000003</v>
      </c>
      <c r="D254" s="5">
        <v>49.902999999999999</v>
      </c>
      <c r="E254" s="5">
        <v>51.078000000000003</v>
      </c>
      <c r="F254" s="9">
        <v>50.165999999999997</v>
      </c>
      <c r="G254" s="9">
        <v>58.837000000000003</v>
      </c>
      <c r="H254" s="9">
        <v>56.728000000000002</v>
      </c>
      <c r="I254" s="9">
        <v>63.825000000000003</v>
      </c>
      <c r="J254" s="9">
        <v>51.445</v>
      </c>
      <c r="K254" s="9">
        <v>47.784999999999997</v>
      </c>
    </row>
    <row r="255" spans="2:11" x14ac:dyDescent="0.2">
      <c r="B255" s="9">
        <v>14.066666666666666</v>
      </c>
      <c r="C255" s="5">
        <v>39.607999999999997</v>
      </c>
      <c r="D255" s="5">
        <v>49.911999999999999</v>
      </c>
      <c r="E255" s="5">
        <v>51.1</v>
      </c>
      <c r="F255" s="9">
        <v>50.13</v>
      </c>
      <c r="G255" s="9">
        <v>58.823999999999998</v>
      </c>
      <c r="H255" s="9">
        <v>56.881999999999998</v>
      </c>
      <c r="I255" s="9">
        <v>63.793999999999997</v>
      </c>
      <c r="J255" s="9">
        <v>51.429000000000002</v>
      </c>
      <c r="K255" s="9">
        <v>47.718000000000004</v>
      </c>
    </row>
    <row r="256" spans="2:11" x14ac:dyDescent="0.2">
      <c r="B256" s="9">
        <v>14.083333333333334</v>
      </c>
      <c r="C256" s="5">
        <v>39.566000000000003</v>
      </c>
      <c r="D256" s="5">
        <v>49.85</v>
      </c>
      <c r="E256" s="5">
        <v>50.988</v>
      </c>
      <c r="F256" s="9">
        <v>50.094000000000001</v>
      </c>
      <c r="G256" s="9">
        <v>58.793999999999997</v>
      </c>
      <c r="H256" s="9">
        <v>56.837000000000003</v>
      </c>
      <c r="I256" s="9">
        <v>63.802</v>
      </c>
      <c r="J256" s="9">
        <v>51.402999999999999</v>
      </c>
      <c r="K256" s="9">
        <v>47.704000000000001</v>
      </c>
    </row>
    <row r="257" spans="2:11" x14ac:dyDescent="0.2">
      <c r="B257" s="9">
        <v>14.1</v>
      </c>
      <c r="C257" s="5">
        <v>39.527999999999999</v>
      </c>
      <c r="D257" s="5">
        <v>49.820999999999998</v>
      </c>
      <c r="E257" s="5">
        <v>50.930999999999997</v>
      </c>
      <c r="F257" s="9">
        <v>50.073999999999998</v>
      </c>
      <c r="G257" s="9">
        <v>58.761000000000003</v>
      </c>
      <c r="H257" s="9">
        <v>56.884</v>
      </c>
      <c r="I257" s="9">
        <v>63.792000000000002</v>
      </c>
      <c r="J257" s="9">
        <v>51.375999999999998</v>
      </c>
      <c r="K257" s="9">
        <v>47.677999999999997</v>
      </c>
    </row>
    <row r="258" spans="2:11" x14ac:dyDescent="0.2">
      <c r="B258" s="9">
        <v>14.116666666666667</v>
      </c>
      <c r="C258" s="5">
        <v>39.475999999999999</v>
      </c>
      <c r="D258" s="5">
        <v>49.84</v>
      </c>
      <c r="E258" s="5">
        <v>51.014000000000003</v>
      </c>
      <c r="F258" s="9">
        <v>50.057000000000002</v>
      </c>
      <c r="G258" s="9">
        <v>58.728000000000002</v>
      </c>
      <c r="H258" s="9">
        <v>56.850999999999999</v>
      </c>
      <c r="I258" s="9">
        <v>63.73</v>
      </c>
      <c r="J258" s="9">
        <v>51.325000000000003</v>
      </c>
      <c r="K258" s="9">
        <v>47.601999999999997</v>
      </c>
    </row>
    <row r="259" spans="2:11" x14ac:dyDescent="0.2">
      <c r="B259" s="9">
        <v>14.133333333333333</v>
      </c>
      <c r="C259" s="5">
        <v>39.456000000000003</v>
      </c>
      <c r="D259" s="5">
        <v>49.798999999999999</v>
      </c>
      <c r="E259" s="5">
        <v>50.96</v>
      </c>
      <c r="F259" s="9">
        <v>49.994</v>
      </c>
      <c r="G259" s="9">
        <v>58.686</v>
      </c>
      <c r="H259" s="9">
        <v>56.697000000000003</v>
      </c>
      <c r="I259" s="9">
        <v>63.726999999999997</v>
      </c>
      <c r="J259" s="9">
        <v>51.322000000000003</v>
      </c>
      <c r="K259" s="9">
        <v>47.585000000000001</v>
      </c>
    </row>
    <row r="260" spans="2:11" x14ac:dyDescent="0.2">
      <c r="B260" s="9">
        <v>14.15</v>
      </c>
      <c r="C260" s="5">
        <v>39.444000000000003</v>
      </c>
      <c r="D260" s="5">
        <v>49.762</v>
      </c>
      <c r="E260" s="5">
        <v>50.889000000000003</v>
      </c>
      <c r="F260" s="9">
        <v>49.959000000000003</v>
      </c>
      <c r="G260" s="9">
        <v>58.686</v>
      </c>
      <c r="H260" s="9">
        <v>56.756999999999998</v>
      </c>
      <c r="I260" s="9">
        <v>63.69</v>
      </c>
      <c r="J260" s="9">
        <v>51.317</v>
      </c>
      <c r="K260" s="9">
        <v>47.505000000000003</v>
      </c>
    </row>
    <row r="261" spans="2:11" x14ac:dyDescent="0.2">
      <c r="B261" s="9">
        <v>14.166666666666666</v>
      </c>
      <c r="C261" s="5">
        <v>39.384</v>
      </c>
      <c r="D261" s="5">
        <v>49.75</v>
      </c>
      <c r="E261" s="5">
        <v>50.837000000000003</v>
      </c>
      <c r="F261" s="9">
        <v>49.951999999999998</v>
      </c>
      <c r="G261" s="9">
        <v>58.640999999999998</v>
      </c>
      <c r="H261" s="9">
        <v>56.697000000000003</v>
      </c>
      <c r="I261" s="9">
        <v>63.64</v>
      </c>
      <c r="J261" s="9">
        <v>51.234999999999999</v>
      </c>
      <c r="K261" s="9">
        <v>47.485999999999997</v>
      </c>
    </row>
    <row r="262" spans="2:11" x14ac:dyDescent="0.2">
      <c r="B262" s="9">
        <v>14.183333333333334</v>
      </c>
      <c r="C262" s="5">
        <v>39.350999999999999</v>
      </c>
      <c r="D262" s="5">
        <v>49.712000000000003</v>
      </c>
      <c r="E262" s="5">
        <v>50.85</v>
      </c>
      <c r="F262" s="9">
        <v>49.88</v>
      </c>
      <c r="G262" s="9">
        <v>58.625</v>
      </c>
      <c r="H262" s="9">
        <v>56.731000000000002</v>
      </c>
      <c r="I262" s="9">
        <v>63.615000000000002</v>
      </c>
      <c r="J262" s="9">
        <v>51.186</v>
      </c>
      <c r="K262" s="9">
        <v>47.393000000000001</v>
      </c>
    </row>
    <row r="263" spans="2:11" x14ac:dyDescent="0.2">
      <c r="B263" s="9">
        <v>14.2</v>
      </c>
      <c r="C263" s="5">
        <v>39.296999999999997</v>
      </c>
      <c r="D263" s="5">
        <v>49.67</v>
      </c>
      <c r="E263" s="5">
        <v>50.725999999999999</v>
      </c>
      <c r="F263" s="9">
        <v>49.862000000000002</v>
      </c>
      <c r="G263" s="9">
        <v>58.601999999999997</v>
      </c>
      <c r="H263" s="9">
        <v>56.603000000000002</v>
      </c>
      <c r="I263" s="9">
        <v>63.61</v>
      </c>
      <c r="J263" s="9">
        <v>51.146999999999998</v>
      </c>
      <c r="K263" s="9">
        <v>47.383000000000003</v>
      </c>
    </row>
    <row r="264" spans="2:11" x14ac:dyDescent="0.2">
      <c r="B264" s="9">
        <v>14.216666666666667</v>
      </c>
      <c r="C264" s="5">
        <v>39.287999999999997</v>
      </c>
      <c r="D264" s="5">
        <v>49.664000000000001</v>
      </c>
      <c r="E264" s="5">
        <v>50.762999999999998</v>
      </c>
      <c r="F264" s="9">
        <v>49.796999999999997</v>
      </c>
      <c r="G264" s="9">
        <v>58.591999999999999</v>
      </c>
      <c r="H264" s="9">
        <v>56.591000000000001</v>
      </c>
      <c r="I264" s="9">
        <v>63.533000000000001</v>
      </c>
      <c r="J264" s="9">
        <v>51.116</v>
      </c>
      <c r="K264" s="9">
        <v>47.345999999999997</v>
      </c>
    </row>
    <row r="265" spans="2:11" x14ac:dyDescent="0.2">
      <c r="B265" s="9">
        <v>14.233333333333333</v>
      </c>
      <c r="C265" s="5">
        <v>39.213999999999999</v>
      </c>
      <c r="D265" s="5">
        <v>49.665999999999997</v>
      </c>
      <c r="E265" s="5">
        <v>50.796999999999997</v>
      </c>
      <c r="F265" s="9">
        <v>49.774000000000001</v>
      </c>
      <c r="G265" s="9">
        <v>58.534999999999997</v>
      </c>
      <c r="H265" s="9">
        <v>56.521999999999998</v>
      </c>
      <c r="I265" s="9">
        <v>63.534999999999997</v>
      </c>
      <c r="J265" s="9">
        <v>51.039000000000001</v>
      </c>
      <c r="K265" s="9">
        <v>47.302</v>
      </c>
    </row>
    <row r="266" spans="2:11" x14ac:dyDescent="0.2">
      <c r="B266" s="9">
        <v>14.25</v>
      </c>
      <c r="C266" s="5">
        <v>39.234999999999999</v>
      </c>
      <c r="D266" s="5">
        <v>49.616</v>
      </c>
      <c r="E266" s="5">
        <v>50.707999999999998</v>
      </c>
      <c r="F266" s="9">
        <v>49.649000000000001</v>
      </c>
      <c r="G266" s="9">
        <v>58.442</v>
      </c>
      <c r="H266" s="9">
        <v>56.392000000000003</v>
      </c>
      <c r="I266" s="9">
        <v>63.527999999999999</v>
      </c>
      <c r="J266" s="9">
        <v>50.975999999999999</v>
      </c>
      <c r="K266" s="9">
        <v>47.265000000000001</v>
      </c>
    </row>
    <row r="267" spans="2:11" x14ac:dyDescent="0.2">
      <c r="B267" s="9">
        <v>14.266666666666667</v>
      </c>
      <c r="C267" s="5">
        <v>39.174999999999997</v>
      </c>
      <c r="D267" s="5">
        <v>49.603000000000002</v>
      </c>
      <c r="E267" s="5">
        <v>50.633000000000003</v>
      </c>
      <c r="F267" s="9">
        <v>49.652999999999999</v>
      </c>
      <c r="G267" s="9">
        <v>58.41</v>
      </c>
      <c r="H267" s="9">
        <v>56.429000000000002</v>
      </c>
      <c r="I267" s="9">
        <v>63.462000000000003</v>
      </c>
      <c r="J267" s="9">
        <v>50.912999999999997</v>
      </c>
      <c r="K267" s="9">
        <v>47.201999999999998</v>
      </c>
    </row>
    <row r="268" spans="2:11" x14ac:dyDescent="0.2">
      <c r="B268" s="9">
        <v>14.283333333333333</v>
      </c>
      <c r="C268" s="5">
        <v>39.124000000000002</v>
      </c>
      <c r="D268" s="5">
        <v>49.502000000000002</v>
      </c>
      <c r="E268" s="5">
        <v>50.601999999999997</v>
      </c>
      <c r="F268" s="9">
        <v>49.651000000000003</v>
      </c>
      <c r="G268" s="9">
        <v>58.398000000000003</v>
      </c>
      <c r="H268" s="9">
        <v>56.216999999999999</v>
      </c>
      <c r="I268" s="9">
        <v>63.359000000000002</v>
      </c>
      <c r="J268" s="9">
        <v>50.878999999999998</v>
      </c>
      <c r="K268" s="9">
        <v>47.183999999999997</v>
      </c>
    </row>
    <row r="269" spans="2:11" x14ac:dyDescent="0.2">
      <c r="B269" s="9">
        <v>14.3</v>
      </c>
      <c r="C269" s="5">
        <v>39.085000000000001</v>
      </c>
      <c r="D269" s="5">
        <v>49.539000000000001</v>
      </c>
      <c r="E269" s="5">
        <v>50.594999999999999</v>
      </c>
      <c r="F269" s="9">
        <v>49.58</v>
      </c>
      <c r="G269" s="9">
        <v>58.35</v>
      </c>
      <c r="H269" s="9">
        <v>56.357999999999997</v>
      </c>
      <c r="I269" s="9">
        <v>63.375999999999998</v>
      </c>
      <c r="J269" s="9">
        <v>50.851999999999997</v>
      </c>
      <c r="K269" s="9">
        <v>47.107999999999997</v>
      </c>
    </row>
    <row r="270" spans="2:11" x14ac:dyDescent="0.2">
      <c r="B270" s="9">
        <v>14.316666666666666</v>
      </c>
      <c r="C270" s="5">
        <v>39.027999999999999</v>
      </c>
      <c r="D270" s="5">
        <v>49.497</v>
      </c>
      <c r="E270" s="5">
        <v>50.58</v>
      </c>
      <c r="F270" s="9">
        <v>49.552</v>
      </c>
      <c r="G270" s="9">
        <v>58.32</v>
      </c>
      <c r="H270" s="9">
        <v>56.31</v>
      </c>
      <c r="I270" s="9">
        <v>63.374000000000002</v>
      </c>
      <c r="J270" s="9">
        <v>50.817</v>
      </c>
      <c r="K270" s="9">
        <v>47.081000000000003</v>
      </c>
    </row>
    <row r="271" spans="2:11" x14ac:dyDescent="0.2">
      <c r="B271" s="9">
        <v>14.333333333333334</v>
      </c>
      <c r="C271" s="5">
        <v>39.01</v>
      </c>
      <c r="D271" s="5">
        <v>49.420999999999999</v>
      </c>
      <c r="E271" s="5">
        <v>50.57</v>
      </c>
      <c r="F271" s="9">
        <v>49.482999999999997</v>
      </c>
      <c r="G271" s="9">
        <v>58.286000000000001</v>
      </c>
      <c r="H271" s="9">
        <v>56.256999999999998</v>
      </c>
      <c r="I271" s="9">
        <v>63.314999999999998</v>
      </c>
      <c r="J271" s="9">
        <v>50.783999999999999</v>
      </c>
      <c r="K271" s="9">
        <v>47.033999999999999</v>
      </c>
    </row>
    <row r="272" spans="2:11" x14ac:dyDescent="0.2">
      <c r="B272" s="9">
        <v>14.35</v>
      </c>
      <c r="C272" s="5">
        <v>38.976999999999997</v>
      </c>
      <c r="D272" s="5">
        <v>49.454000000000001</v>
      </c>
      <c r="E272" s="5">
        <v>50.518999999999998</v>
      </c>
      <c r="F272" s="9">
        <v>49.444000000000003</v>
      </c>
      <c r="G272" s="9">
        <v>58.28</v>
      </c>
      <c r="H272" s="9">
        <v>56.134999999999998</v>
      </c>
      <c r="I272" s="9">
        <v>63.338999999999999</v>
      </c>
      <c r="J272" s="9">
        <v>50.728999999999999</v>
      </c>
      <c r="K272" s="9">
        <v>46.981000000000002</v>
      </c>
    </row>
    <row r="273" spans="2:11" x14ac:dyDescent="0.2">
      <c r="B273" s="9">
        <v>14.366666666666667</v>
      </c>
      <c r="C273" s="5">
        <v>38.945999999999998</v>
      </c>
      <c r="D273" s="5">
        <v>49.445999999999998</v>
      </c>
      <c r="E273" s="5">
        <v>50.515000000000001</v>
      </c>
      <c r="F273" s="9">
        <v>49.363999999999997</v>
      </c>
      <c r="G273" s="9">
        <v>58.198999999999998</v>
      </c>
      <c r="H273" s="9">
        <v>56.116999999999997</v>
      </c>
      <c r="I273" s="9">
        <v>63.264000000000003</v>
      </c>
      <c r="J273" s="9">
        <v>50.658999999999999</v>
      </c>
      <c r="K273" s="9">
        <v>46.94</v>
      </c>
    </row>
    <row r="274" spans="2:11" x14ac:dyDescent="0.2">
      <c r="B274" s="9">
        <v>14.383333333333333</v>
      </c>
      <c r="C274" s="5">
        <v>38.912999999999997</v>
      </c>
      <c r="D274" s="5">
        <v>49.423000000000002</v>
      </c>
      <c r="E274" s="5">
        <v>50.475000000000001</v>
      </c>
      <c r="F274" s="9">
        <v>49.329000000000001</v>
      </c>
      <c r="G274" s="9">
        <v>58.198999999999998</v>
      </c>
      <c r="H274" s="9">
        <v>56.198999999999998</v>
      </c>
      <c r="I274" s="9">
        <v>63.218000000000004</v>
      </c>
      <c r="J274" s="9">
        <v>50.686999999999998</v>
      </c>
      <c r="K274" s="9">
        <v>46.872999999999998</v>
      </c>
    </row>
    <row r="275" spans="2:11" x14ac:dyDescent="0.2">
      <c r="B275" s="9">
        <v>14.4</v>
      </c>
      <c r="C275" s="5">
        <v>38.826999999999998</v>
      </c>
      <c r="D275" s="5">
        <v>49.357999999999997</v>
      </c>
      <c r="E275" s="5">
        <v>50.441000000000003</v>
      </c>
      <c r="F275" s="9">
        <v>49.313000000000002</v>
      </c>
      <c r="G275" s="9">
        <v>58.151000000000003</v>
      </c>
      <c r="H275" s="9">
        <v>56.161000000000001</v>
      </c>
      <c r="I275" s="9">
        <v>63.268000000000001</v>
      </c>
      <c r="J275" s="9">
        <v>50.65</v>
      </c>
      <c r="K275" s="9">
        <v>46.887999999999998</v>
      </c>
    </row>
    <row r="276" spans="2:11" x14ac:dyDescent="0.2">
      <c r="B276" s="9">
        <v>14.416666666666666</v>
      </c>
      <c r="C276" s="5">
        <v>38.811</v>
      </c>
      <c r="D276" s="5">
        <v>49.343000000000004</v>
      </c>
      <c r="E276" s="5">
        <v>50.415999999999997</v>
      </c>
      <c r="F276" s="9">
        <v>49.215000000000003</v>
      </c>
      <c r="G276" s="9">
        <v>58.073</v>
      </c>
      <c r="H276" s="9">
        <v>56.09</v>
      </c>
      <c r="I276" s="9">
        <v>63.185000000000002</v>
      </c>
      <c r="J276" s="9">
        <v>50.628999999999998</v>
      </c>
      <c r="K276" s="9">
        <v>46.835999999999999</v>
      </c>
    </row>
    <row r="277" spans="2:11" x14ac:dyDescent="0.2">
      <c r="B277" s="9">
        <v>14.433333333333334</v>
      </c>
      <c r="C277" s="5">
        <v>38.756</v>
      </c>
      <c r="D277" s="5">
        <v>49.332000000000001</v>
      </c>
      <c r="E277" s="5">
        <v>50.353999999999999</v>
      </c>
      <c r="F277" s="9">
        <v>49.213000000000001</v>
      </c>
      <c r="G277" s="9">
        <v>58.061999999999998</v>
      </c>
      <c r="H277" s="9">
        <v>56.048000000000002</v>
      </c>
      <c r="I277" s="9">
        <v>63.161999999999999</v>
      </c>
      <c r="J277" s="9">
        <v>50.518000000000001</v>
      </c>
      <c r="K277" s="9">
        <v>46.747999999999998</v>
      </c>
    </row>
    <row r="278" spans="2:11" x14ac:dyDescent="0.2">
      <c r="B278" s="9">
        <v>14.45</v>
      </c>
      <c r="C278" s="5">
        <v>38.741999999999997</v>
      </c>
      <c r="D278" s="5">
        <v>49.322000000000003</v>
      </c>
      <c r="E278" s="5">
        <v>50.356999999999999</v>
      </c>
      <c r="F278" s="9">
        <v>49.143999999999998</v>
      </c>
      <c r="G278" s="9">
        <v>58.081000000000003</v>
      </c>
      <c r="H278" s="9">
        <v>56</v>
      </c>
      <c r="I278" s="9">
        <v>63.134999999999998</v>
      </c>
      <c r="J278" s="9">
        <v>50.523000000000003</v>
      </c>
      <c r="K278" s="9">
        <v>46.649000000000001</v>
      </c>
    </row>
    <row r="279" spans="2:11" x14ac:dyDescent="0.2">
      <c r="B279" s="9">
        <v>14.466666666666667</v>
      </c>
      <c r="C279" s="5">
        <v>38.677999999999997</v>
      </c>
      <c r="D279" s="5">
        <v>49.289000000000001</v>
      </c>
      <c r="E279" s="5">
        <v>50.29</v>
      </c>
      <c r="F279" s="9">
        <v>49.09</v>
      </c>
      <c r="G279" s="9">
        <v>58.042999999999999</v>
      </c>
      <c r="H279" s="9">
        <v>55.997</v>
      </c>
      <c r="I279" s="9">
        <v>63.124000000000002</v>
      </c>
      <c r="J279" s="9">
        <v>50.497</v>
      </c>
      <c r="K279" s="9">
        <v>46.664000000000001</v>
      </c>
    </row>
    <row r="280" spans="2:11" x14ac:dyDescent="0.2">
      <c r="B280" s="9">
        <v>14.483333333333333</v>
      </c>
      <c r="C280" s="5">
        <v>38.664000000000001</v>
      </c>
      <c r="D280" s="5">
        <v>49.265000000000001</v>
      </c>
      <c r="E280" s="5">
        <v>50.271000000000001</v>
      </c>
      <c r="F280" s="9">
        <v>49.036999999999999</v>
      </c>
      <c r="G280" s="9">
        <v>58.011000000000003</v>
      </c>
      <c r="H280" s="9">
        <v>55.92</v>
      </c>
      <c r="I280" s="9">
        <v>63.023000000000003</v>
      </c>
      <c r="J280" s="9">
        <v>50.463000000000001</v>
      </c>
      <c r="K280" s="9">
        <v>46.616</v>
      </c>
    </row>
    <row r="281" spans="2:11" x14ac:dyDescent="0.2">
      <c r="B281" s="9">
        <v>14.5</v>
      </c>
      <c r="C281" s="5">
        <v>38.645000000000003</v>
      </c>
      <c r="D281" s="5">
        <v>49.265000000000001</v>
      </c>
      <c r="E281" s="5">
        <v>50.281999999999996</v>
      </c>
      <c r="F281" s="9">
        <v>49.005000000000003</v>
      </c>
      <c r="G281" s="9">
        <v>57.981000000000002</v>
      </c>
      <c r="H281" s="9">
        <v>55.871000000000002</v>
      </c>
      <c r="I281" s="9">
        <v>62.991999999999997</v>
      </c>
      <c r="J281" s="9">
        <v>50.393999999999998</v>
      </c>
      <c r="K281" s="9">
        <v>46.545000000000002</v>
      </c>
    </row>
    <row r="282" spans="2:11" x14ac:dyDescent="0.2">
      <c r="B282" s="9">
        <v>14.516666666666667</v>
      </c>
      <c r="C282" s="5">
        <v>38.578000000000003</v>
      </c>
      <c r="D282" s="5">
        <v>49.186999999999998</v>
      </c>
      <c r="E282" s="5">
        <v>50.234000000000002</v>
      </c>
      <c r="F282" s="9">
        <v>48.968000000000004</v>
      </c>
      <c r="G282" s="9">
        <v>57.917000000000002</v>
      </c>
      <c r="H282" s="9">
        <v>55.825000000000003</v>
      </c>
      <c r="I282" s="9">
        <v>62.953000000000003</v>
      </c>
      <c r="J282" s="9">
        <v>50.323999999999998</v>
      </c>
      <c r="K282" s="9">
        <v>46.542999999999999</v>
      </c>
    </row>
    <row r="283" spans="2:11" x14ac:dyDescent="0.2">
      <c r="B283" s="9">
        <v>14.533333333333333</v>
      </c>
      <c r="C283" s="5">
        <v>38.545999999999999</v>
      </c>
      <c r="D283" s="5">
        <v>49.192</v>
      </c>
      <c r="E283" s="5">
        <v>50.206000000000003</v>
      </c>
      <c r="F283" s="9">
        <v>48.908999999999999</v>
      </c>
      <c r="G283" s="9">
        <v>57.911000000000001</v>
      </c>
      <c r="H283" s="9">
        <v>55.841999999999999</v>
      </c>
      <c r="I283" s="9">
        <v>62.875</v>
      </c>
      <c r="J283" s="9">
        <v>50.249000000000002</v>
      </c>
      <c r="K283" s="9">
        <v>46.460999999999999</v>
      </c>
    </row>
    <row r="284" spans="2:11" x14ac:dyDescent="0.2">
      <c r="B284" s="9">
        <v>14.55</v>
      </c>
      <c r="C284" s="5">
        <v>38.533999999999999</v>
      </c>
      <c r="D284" s="5">
        <v>49.158000000000001</v>
      </c>
      <c r="E284" s="5">
        <v>50.143999999999998</v>
      </c>
      <c r="F284" s="9">
        <v>48.89</v>
      </c>
      <c r="G284" s="9">
        <v>57.904000000000003</v>
      </c>
      <c r="H284" s="9">
        <v>55.780999999999999</v>
      </c>
      <c r="I284" s="9">
        <v>62.814</v>
      </c>
      <c r="J284" s="9">
        <v>50.216000000000001</v>
      </c>
      <c r="K284" s="9">
        <v>46.43</v>
      </c>
    </row>
    <row r="285" spans="2:11" x14ac:dyDescent="0.2">
      <c r="B285" s="9">
        <v>14.566666666666666</v>
      </c>
      <c r="C285" s="5">
        <v>38.473999999999997</v>
      </c>
      <c r="D285" s="5">
        <v>49.11</v>
      </c>
      <c r="E285" s="5">
        <v>50.154000000000003</v>
      </c>
      <c r="F285" s="9">
        <v>48.838999999999999</v>
      </c>
      <c r="G285" s="9">
        <v>57.872999999999998</v>
      </c>
      <c r="H285" s="9">
        <v>55.755000000000003</v>
      </c>
      <c r="I285" s="9">
        <v>62.741999999999997</v>
      </c>
      <c r="J285" s="9">
        <v>50.113999999999997</v>
      </c>
      <c r="K285" s="9">
        <v>46.392000000000003</v>
      </c>
    </row>
    <row r="286" spans="2:11" x14ac:dyDescent="0.2">
      <c r="B286" s="9">
        <v>14.583333333333334</v>
      </c>
      <c r="C286" s="5">
        <v>38.463000000000001</v>
      </c>
      <c r="D286" s="5">
        <v>49.106000000000002</v>
      </c>
      <c r="E286" s="5">
        <v>50.1</v>
      </c>
      <c r="F286" s="9">
        <v>48.768000000000001</v>
      </c>
      <c r="G286" s="9">
        <v>57.786999999999999</v>
      </c>
      <c r="H286" s="9">
        <v>55.677999999999997</v>
      </c>
      <c r="I286" s="9">
        <v>62.752000000000002</v>
      </c>
      <c r="J286" s="9">
        <v>50.122999999999998</v>
      </c>
      <c r="K286" s="9">
        <v>46.343000000000004</v>
      </c>
    </row>
    <row r="287" spans="2:11" x14ac:dyDescent="0.2">
      <c r="B287" s="9">
        <v>14.6</v>
      </c>
      <c r="C287" s="5">
        <v>38.451999999999998</v>
      </c>
      <c r="D287" s="5">
        <v>49.085999999999999</v>
      </c>
      <c r="E287" s="5">
        <v>50.109000000000002</v>
      </c>
      <c r="F287" s="9">
        <v>48.741</v>
      </c>
      <c r="G287" s="9">
        <v>57.716000000000001</v>
      </c>
      <c r="H287" s="9">
        <v>55.679000000000002</v>
      </c>
      <c r="I287" s="9">
        <v>62.71</v>
      </c>
      <c r="J287" s="9">
        <v>50.098999999999997</v>
      </c>
      <c r="K287" s="9">
        <v>46.268000000000001</v>
      </c>
    </row>
    <row r="288" spans="2:11" x14ac:dyDescent="0.2">
      <c r="B288" s="9">
        <v>14.616666666666667</v>
      </c>
      <c r="C288" s="5">
        <v>38.393000000000001</v>
      </c>
      <c r="D288" s="5">
        <v>49.088000000000001</v>
      </c>
      <c r="E288" s="5">
        <v>50.039000000000001</v>
      </c>
      <c r="F288" s="9">
        <v>48.709000000000003</v>
      </c>
      <c r="G288" s="9">
        <v>57.655000000000001</v>
      </c>
      <c r="H288" s="9">
        <v>55.606000000000002</v>
      </c>
      <c r="I288" s="9">
        <v>62.677999999999997</v>
      </c>
      <c r="J288" s="9">
        <v>50.055999999999997</v>
      </c>
      <c r="K288" s="9">
        <v>46.222999999999999</v>
      </c>
    </row>
    <row r="289" spans="2:11" x14ac:dyDescent="0.2">
      <c r="B289" s="9">
        <v>14.633333333333333</v>
      </c>
      <c r="C289" s="5">
        <v>38.393999999999998</v>
      </c>
      <c r="D289" s="5">
        <v>49.088000000000001</v>
      </c>
      <c r="E289" s="5">
        <v>50</v>
      </c>
      <c r="F289" s="9">
        <v>48.665999999999997</v>
      </c>
      <c r="G289" s="9">
        <v>57.62</v>
      </c>
      <c r="H289" s="9">
        <v>55.622</v>
      </c>
      <c r="I289" s="9">
        <v>62.640999999999998</v>
      </c>
      <c r="J289" s="9">
        <v>50.011000000000003</v>
      </c>
      <c r="K289" s="9">
        <v>46.179000000000002</v>
      </c>
    </row>
    <row r="290" spans="2:11" x14ac:dyDescent="0.2">
      <c r="B290" s="9">
        <v>14.65</v>
      </c>
      <c r="C290" s="5">
        <v>38.335000000000001</v>
      </c>
      <c r="D290" s="5">
        <v>49.054000000000002</v>
      </c>
      <c r="E290" s="5">
        <v>50.023000000000003</v>
      </c>
      <c r="F290" s="9">
        <v>48.607999999999997</v>
      </c>
      <c r="G290" s="9">
        <v>57.63</v>
      </c>
      <c r="H290" s="9">
        <v>55.497</v>
      </c>
      <c r="I290" s="9">
        <v>62.56</v>
      </c>
      <c r="J290" s="9">
        <v>49.975000000000001</v>
      </c>
      <c r="K290" s="9">
        <v>46.148000000000003</v>
      </c>
    </row>
    <row r="291" spans="2:11" x14ac:dyDescent="0.2">
      <c r="B291" s="9">
        <v>14.666666666666666</v>
      </c>
      <c r="C291" s="5">
        <v>38.323999999999998</v>
      </c>
      <c r="D291" s="5">
        <v>49.014000000000003</v>
      </c>
      <c r="E291" s="5">
        <v>49.98</v>
      </c>
      <c r="F291" s="9">
        <v>48.536000000000001</v>
      </c>
      <c r="G291" s="9">
        <v>57.558999999999997</v>
      </c>
      <c r="H291" s="9">
        <v>55.503999999999998</v>
      </c>
      <c r="I291" s="9">
        <v>62.548999999999999</v>
      </c>
      <c r="J291" s="9">
        <v>49.945999999999998</v>
      </c>
      <c r="K291" s="9">
        <v>46.133000000000003</v>
      </c>
    </row>
    <row r="292" spans="2:11" x14ac:dyDescent="0.2">
      <c r="B292" s="9">
        <v>14.683333333333334</v>
      </c>
      <c r="C292" s="5">
        <v>38.29</v>
      </c>
      <c r="D292" s="5">
        <v>48.994</v>
      </c>
      <c r="E292" s="5">
        <v>49.927999999999997</v>
      </c>
      <c r="F292" s="9">
        <v>48.488999999999997</v>
      </c>
      <c r="G292" s="9">
        <v>57.531999999999996</v>
      </c>
      <c r="H292" s="9">
        <v>55.472000000000001</v>
      </c>
      <c r="I292" s="9">
        <v>62.475999999999999</v>
      </c>
      <c r="J292" s="9">
        <v>49.911000000000001</v>
      </c>
      <c r="K292" s="9">
        <v>46.031999999999996</v>
      </c>
    </row>
    <row r="293" spans="2:11" x14ac:dyDescent="0.2">
      <c r="B293" s="9">
        <v>14.7</v>
      </c>
      <c r="C293" s="5">
        <v>38.246000000000002</v>
      </c>
      <c r="D293" s="5">
        <v>48.99</v>
      </c>
      <c r="E293" s="5">
        <v>49.905000000000001</v>
      </c>
      <c r="F293" s="9">
        <v>48.453000000000003</v>
      </c>
      <c r="G293" s="9">
        <v>57.463000000000001</v>
      </c>
      <c r="H293" s="9">
        <v>55.423999999999999</v>
      </c>
      <c r="I293" s="9">
        <v>62.366999999999997</v>
      </c>
      <c r="J293" s="9">
        <v>49.857999999999997</v>
      </c>
      <c r="K293" s="9">
        <v>45.973999999999997</v>
      </c>
    </row>
    <row r="294" spans="2:11" x14ac:dyDescent="0.2">
      <c r="B294" s="9">
        <v>14.716666666666667</v>
      </c>
      <c r="C294" s="5">
        <v>38.223999999999997</v>
      </c>
      <c r="D294" s="5">
        <v>48.96</v>
      </c>
      <c r="E294" s="5">
        <v>49.872999999999998</v>
      </c>
      <c r="F294" s="9">
        <v>48.387</v>
      </c>
      <c r="G294" s="9">
        <v>57.466000000000001</v>
      </c>
      <c r="H294" s="9">
        <v>55.31</v>
      </c>
      <c r="I294" s="9">
        <v>62.389000000000003</v>
      </c>
      <c r="J294" s="9">
        <v>49.804000000000002</v>
      </c>
      <c r="K294" s="9">
        <v>45.933</v>
      </c>
    </row>
    <row r="295" spans="2:11" x14ac:dyDescent="0.2">
      <c r="B295" s="9">
        <v>14.733333333333333</v>
      </c>
      <c r="C295" s="5">
        <v>38.207999999999998</v>
      </c>
      <c r="D295" s="5">
        <v>48.896000000000001</v>
      </c>
      <c r="E295" s="5">
        <v>49.817999999999998</v>
      </c>
      <c r="F295" s="9">
        <v>48.37</v>
      </c>
      <c r="G295" s="9">
        <v>57.46</v>
      </c>
      <c r="H295" s="9">
        <v>55.198999999999998</v>
      </c>
      <c r="I295" s="9">
        <v>62.378999999999998</v>
      </c>
      <c r="J295" s="9">
        <v>49.72</v>
      </c>
      <c r="K295" s="9">
        <v>45.851999999999997</v>
      </c>
    </row>
    <row r="296" spans="2:11" x14ac:dyDescent="0.2">
      <c r="B296" s="9">
        <v>14.75</v>
      </c>
      <c r="C296" s="5">
        <v>38.161999999999999</v>
      </c>
      <c r="D296" s="5">
        <v>48.881</v>
      </c>
      <c r="E296" s="5">
        <v>49.77</v>
      </c>
      <c r="F296" s="9">
        <v>48.33</v>
      </c>
      <c r="G296" s="9">
        <v>57.417000000000002</v>
      </c>
      <c r="H296" s="9">
        <v>55.189</v>
      </c>
      <c r="I296" s="9">
        <v>62.33</v>
      </c>
      <c r="J296" s="9">
        <v>49.646999999999998</v>
      </c>
      <c r="K296" s="9">
        <v>45.823999999999998</v>
      </c>
    </row>
    <row r="297" spans="2:11" x14ac:dyDescent="0.2">
      <c r="B297" s="9">
        <v>14.766666666666667</v>
      </c>
      <c r="C297" s="5">
        <v>38.107999999999997</v>
      </c>
      <c r="D297" s="5">
        <v>48.877000000000002</v>
      </c>
      <c r="E297" s="5">
        <v>49.779000000000003</v>
      </c>
      <c r="F297" s="9">
        <v>48.326000000000001</v>
      </c>
      <c r="G297" s="9">
        <v>57.357999999999997</v>
      </c>
      <c r="H297" s="9">
        <v>55.168999999999997</v>
      </c>
      <c r="I297" s="9">
        <v>62.334000000000003</v>
      </c>
      <c r="J297" s="9">
        <v>49.652000000000001</v>
      </c>
      <c r="K297" s="9">
        <v>45.795999999999999</v>
      </c>
    </row>
    <row r="298" spans="2:11" x14ac:dyDescent="0.2">
      <c r="B298" s="9">
        <v>14.783333333333333</v>
      </c>
      <c r="C298" s="5">
        <v>38.090000000000003</v>
      </c>
      <c r="D298" s="5">
        <v>48.832000000000001</v>
      </c>
      <c r="E298" s="5">
        <v>49.74</v>
      </c>
      <c r="F298" s="9">
        <v>48.283999999999999</v>
      </c>
      <c r="G298" s="9">
        <v>57.365000000000002</v>
      </c>
      <c r="H298" s="9">
        <v>55.204000000000001</v>
      </c>
      <c r="I298" s="9">
        <v>62.279000000000003</v>
      </c>
      <c r="J298" s="9">
        <v>49.616</v>
      </c>
      <c r="K298" s="9">
        <v>45.743000000000002</v>
      </c>
    </row>
    <row r="299" spans="2:11" x14ac:dyDescent="0.2">
      <c r="B299" s="9">
        <v>14.8</v>
      </c>
      <c r="C299" s="5">
        <v>38.052</v>
      </c>
      <c r="D299" s="5">
        <v>48.825000000000003</v>
      </c>
      <c r="E299" s="5">
        <v>49.66</v>
      </c>
      <c r="F299" s="9">
        <v>48.201000000000001</v>
      </c>
      <c r="G299" s="9">
        <v>57.319000000000003</v>
      </c>
      <c r="H299" s="9">
        <v>55.085000000000001</v>
      </c>
      <c r="I299" s="9">
        <v>62.241</v>
      </c>
      <c r="J299" s="9">
        <v>49.576999999999998</v>
      </c>
      <c r="K299" s="9">
        <v>45.7</v>
      </c>
    </row>
    <row r="300" spans="2:11" x14ac:dyDescent="0.2">
      <c r="B300" s="9">
        <v>14.816666666666666</v>
      </c>
      <c r="C300" s="5">
        <v>38.042000000000002</v>
      </c>
      <c r="D300" s="5">
        <v>48.783999999999999</v>
      </c>
      <c r="E300" s="5">
        <v>49.665999999999997</v>
      </c>
      <c r="F300" s="9">
        <v>48.149000000000001</v>
      </c>
      <c r="G300" s="9">
        <v>57.247</v>
      </c>
      <c r="H300" s="9">
        <v>55.081000000000003</v>
      </c>
      <c r="I300" s="9">
        <v>62.216999999999999</v>
      </c>
      <c r="J300" s="9">
        <v>49.545999999999999</v>
      </c>
      <c r="K300" s="9">
        <v>45.648000000000003</v>
      </c>
    </row>
    <row r="301" spans="2:11" x14ac:dyDescent="0.2">
      <c r="B301" s="9">
        <v>14.833333333333334</v>
      </c>
      <c r="C301" s="5">
        <v>37.993000000000002</v>
      </c>
      <c r="D301" s="5">
        <v>48.813000000000002</v>
      </c>
      <c r="E301" s="5">
        <v>49.65</v>
      </c>
      <c r="F301" s="9">
        <v>48.124000000000002</v>
      </c>
      <c r="G301" s="9">
        <v>57.216000000000001</v>
      </c>
      <c r="H301" s="9">
        <v>54.843000000000004</v>
      </c>
      <c r="I301" s="9">
        <v>62.283999999999999</v>
      </c>
      <c r="J301" s="9">
        <v>49.491999999999997</v>
      </c>
      <c r="K301" s="9">
        <v>45.645000000000003</v>
      </c>
    </row>
    <row r="302" spans="2:11" x14ac:dyDescent="0.2">
      <c r="B302" s="9">
        <v>14.85</v>
      </c>
      <c r="C302" s="5">
        <v>37.972000000000001</v>
      </c>
      <c r="D302" s="5">
        <v>48.774999999999999</v>
      </c>
      <c r="E302" s="5">
        <v>49.637999999999998</v>
      </c>
      <c r="F302" s="9">
        <v>48.113999999999997</v>
      </c>
      <c r="G302" s="9">
        <v>57.253999999999998</v>
      </c>
      <c r="H302" s="9">
        <v>54.915999999999997</v>
      </c>
      <c r="I302" s="9">
        <v>62.276000000000003</v>
      </c>
      <c r="J302" s="9">
        <v>49.468000000000004</v>
      </c>
      <c r="K302" s="9">
        <v>45.603000000000002</v>
      </c>
    </row>
    <row r="303" spans="2:11" x14ac:dyDescent="0.2">
      <c r="B303" s="9">
        <v>14.866666666666667</v>
      </c>
      <c r="C303" s="5">
        <v>37.895000000000003</v>
      </c>
      <c r="D303" s="5">
        <v>48.713999999999999</v>
      </c>
      <c r="E303" s="5">
        <v>49.545000000000002</v>
      </c>
      <c r="F303" s="9">
        <v>48.064999999999998</v>
      </c>
      <c r="G303" s="9">
        <v>57.250999999999998</v>
      </c>
      <c r="H303" s="9">
        <v>54.9</v>
      </c>
      <c r="I303" s="9">
        <v>62.170999999999999</v>
      </c>
      <c r="J303" s="9">
        <v>49.396999999999998</v>
      </c>
      <c r="K303" s="9">
        <v>45.536000000000001</v>
      </c>
    </row>
    <row r="304" spans="2:11" x14ac:dyDescent="0.2">
      <c r="B304" s="9">
        <v>14.883333333333333</v>
      </c>
      <c r="C304" s="5">
        <v>37.83</v>
      </c>
      <c r="D304" s="5">
        <v>48.698999999999998</v>
      </c>
      <c r="E304" s="5">
        <v>49.573</v>
      </c>
      <c r="F304" s="9">
        <v>48.030999999999999</v>
      </c>
      <c r="G304" s="9">
        <v>57.250999999999998</v>
      </c>
      <c r="H304" s="9">
        <v>54.896000000000001</v>
      </c>
      <c r="I304" s="9">
        <v>62.168999999999997</v>
      </c>
      <c r="J304" s="9">
        <v>49.350999999999999</v>
      </c>
      <c r="K304" s="9">
        <v>45.512999999999998</v>
      </c>
    </row>
    <row r="305" spans="2:11" x14ac:dyDescent="0.2">
      <c r="B305" s="9">
        <v>14.9</v>
      </c>
      <c r="C305" s="5">
        <v>37.828000000000003</v>
      </c>
      <c r="D305" s="5">
        <v>48.646999999999998</v>
      </c>
      <c r="E305" s="5">
        <v>49.521999999999998</v>
      </c>
      <c r="F305" s="9">
        <v>47.957999999999998</v>
      </c>
      <c r="G305" s="9">
        <v>57.19</v>
      </c>
      <c r="H305" s="9">
        <v>54.881999999999998</v>
      </c>
      <c r="I305" s="9">
        <v>62.139000000000003</v>
      </c>
      <c r="J305" s="9">
        <v>49.31</v>
      </c>
      <c r="K305" s="9">
        <v>45.475999999999999</v>
      </c>
    </row>
    <row r="306" spans="2:11" x14ac:dyDescent="0.2">
      <c r="B306" s="9">
        <v>14.916666666666666</v>
      </c>
      <c r="C306" s="5">
        <v>37.756999999999998</v>
      </c>
      <c r="D306" s="5">
        <v>48.679000000000002</v>
      </c>
      <c r="E306" s="5">
        <v>49.531999999999996</v>
      </c>
      <c r="F306" s="9">
        <v>47.905999999999999</v>
      </c>
      <c r="G306" s="9">
        <v>57.131999999999998</v>
      </c>
      <c r="H306" s="9">
        <v>54.75</v>
      </c>
      <c r="I306" s="9">
        <v>62.076999999999998</v>
      </c>
      <c r="J306" s="9">
        <v>49.3</v>
      </c>
      <c r="K306" s="9">
        <v>45.43</v>
      </c>
    </row>
    <row r="307" spans="2:11" x14ac:dyDescent="0.2">
      <c r="B307" s="9">
        <v>14.933333333333334</v>
      </c>
      <c r="C307" s="5">
        <v>37.747999999999998</v>
      </c>
      <c r="D307" s="5">
        <v>48.598999999999997</v>
      </c>
      <c r="E307" s="5">
        <v>49.493000000000002</v>
      </c>
      <c r="F307" s="9">
        <v>47.921999999999997</v>
      </c>
      <c r="G307" s="9">
        <v>57.122999999999998</v>
      </c>
      <c r="H307" s="9">
        <v>54.777000000000001</v>
      </c>
      <c r="I307" s="9">
        <v>62.087000000000003</v>
      </c>
      <c r="J307" s="9">
        <v>49.203000000000003</v>
      </c>
      <c r="K307" s="9">
        <v>45.386000000000003</v>
      </c>
    </row>
    <row r="308" spans="2:11" x14ac:dyDescent="0.2">
      <c r="B308" s="9">
        <v>14.95</v>
      </c>
      <c r="C308" s="5">
        <v>37.704999999999998</v>
      </c>
      <c r="D308" s="5">
        <v>48.575000000000003</v>
      </c>
      <c r="E308" s="5">
        <v>49.432000000000002</v>
      </c>
      <c r="F308" s="9">
        <v>47.853999999999999</v>
      </c>
      <c r="G308" s="9">
        <v>57.076000000000001</v>
      </c>
      <c r="H308" s="9">
        <v>54.720999999999997</v>
      </c>
      <c r="I308" s="9">
        <v>62.017000000000003</v>
      </c>
      <c r="J308" s="9">
        <v>49.151000000000003</v>
      </c>
      <c r="K308" s="9">
        <v>45.328000000000003</v>
      </c>
    </row>
    <row r="309" spans="2:11" x14ac:dyDescent="0.2">
      <c r="B309" s="9">
        <v>14.966666666666667</v>
      </c>
      <c r="C309" s="5">
        <v>37.645000000000003</v>
      </c>
      <c r="D309" s="5">
        <v>48.536000000000001</v>
      </c>
      <c r="E309" s="5">
        <v>49.344000000000001</v>
      </c>
      <c r="F309" s="9">
        <v>47.811</v>
      </c>
      <c r="G309" s="9">
        <v>57.051000000000002</v>
      </c>
      <c r="H309" s="9">
        <v>54.746000000000002</v>
      </c>
      <c r="I309" s="9">
        <v>62.027999999999999</v>
      </c>
      <c r="J309" s="9">
        <v>49.122</v>
      </c>
      <c r="K309" s="9">
        <v>45.268999999999998</v>
      </c>
    </row>
    <row r="310" spans="2:11" x14ac:dyDescent="0.2">
      <c r="B310" s="9">
        <v>14.983333333333333</v>
      </c>
      <c r="C310" s="5">
        <v>37.625999999999998</v>
      </c>
      <c r="D310" s="5">
        <v>48.509</v>
      </c>
      <c r="E310" s="5">
        <v>49.375</v>
      </c>
      <c r="F310" s="9">
        <v>47.774000000000001</v>
      </c>
      <c r="G310" s="9">
        <v>57.046999999999997</v>
      </c>
      <c r="H310" s="9">
        <v>54.554000000000002</v>
      </c>
      <c r="I310" s="9">
        <v>61.938000000000002</v>
      </c>
      <c r="J310" s="9">
        <v>49.104999999999997</v>
      </c>
      <c r="K310" s="9">
        <v>45.223999999999997</v>
      </c>
    </row>
    <row r="311" spans="2:11" x14ac:dyDescent="0.2">
      <c r="B311" s="9">
        <v>15</v>
      </c>
      <c r="C311" s="5">
        <v>37.597000000000001</v>
      </c>
      <c r="D311" s="5">
        <v>48.456000000000003</v>
      </c>
      <c r="E311" s="5">
        <v>49.326999999999998</v>
      </c>
      <c r="F311" s="9">
        <v>47.734000000000002</v>
      </c>
      <c r="G311" s="9">
        <v>56.988999999999997</v>
      </c>
      <c r="H311" s="9">
        <v>54.698</v>
      </c>
      <c r="I311" s="9">
        <v>61.914999999999999</v>
      </c>
      <c r="J311" s="9">
        <v>49.043999999999997</v>
      </c>
      <c r="K311" s="9">
        <v>45.191000000000003</v>
      </c>
    </row>
    <row r="312" spans="2:11" x14ac:dyDescent="0.2">
      <c r="B312" s="9">
        <v>15.016666666666667</v>
      </c>
      <c r="C312" s="5">
        <v>37.54</v>
      </c>
      <c r="D312" s="5">
        <v>48.436999999999998</v>
      </c>
      <c r="E312" s="5">
        <v>49.328000000000003</v>
      </c>
      <c r="F312" s="9">
        <v>47.741999999999997</v>
      </c>
      <c r="G312" s="9">
        <v>56.965000000000003</v>
      </c>
      <c r="H312" s="9">
        <v>54.62</v>
      </c>
      <c r="I312" s="9">
        <v>61.908000000000001</v>
      </c>
      <c r="J312" s="9">
        <v>49.024999999999999</v>
      </c>
      <c r="K312" s="9">
        <v>45.177</v>
      </c>
    </row>
    <row r="313" spans="2:11" x14ac:dyDescent="0.2">
      <c r="B313" s="9">
        <v>15.033333333333333</v>
      </c>
      <c r="C313" s="5">
        <v>37.442999999999998</v>
      </c>
      <c r="D313" s="5">
        <v>48.427999999999997</v>
      </c>
      <c r="E313" s="5">
        <v>49.28</v>
      </c>
      <c r="F313" s="9">
        <v>47.67</v>
      </c>
      <c r="G313" s="9">
        <v>56.929000000000002</v>
      </c>
      <c r="H313" s="9">
        <v>54.610999999999997</v>
      </c>
      <c r="I313" s="9">
        <v>61.896000000000001</v>
      </c>
      <c r="J313" s="9">
        <v>48.924999999999997</v>
      </c>
      <c r="K313" s="9">
        <v>45.148000000000003</v>
      </c>
    </row>
    <row r="314" spans="2:11" x14ac:dyDescent="0.2">
      <c r="B314" s="9">
        <v>15.05</v>
      </c>
      <c r="C314" s="5">
        <v>37.445999999999998</v>
      </c>
      <c r="D314" s="5">
        <v>48.390999999999998</v>
      </c>
      <c r="E314" s="5">
        <v>49.232999999999997</v>
      </c>
      <c r="F314" s="9">
        <v>47.622999999999998</v>
      </c>
      <c r="G314" s="9">
        <v>56.902999999999999</v>
      </c>
      <c r="H314" s="9">
        <v>54.527999999999999</v>
      </c>
      <c r="I314" s="9">
        <v>61.847999999999999</v>
      </c>
      <c r="J314" s="9">
        <v>48.871000000000002</v>
      </c>
      <c r="K314" s="9">
        <v>45.069000000000003</v>
      </c>
    </row>
    <row r="315" spans="2:11" x14ac:dyDescent="0.2">
      <c r="B315" s="9">
        <v>15.066666666666666</v>
      </c>
      <c r="C315" s="5">
        <v>37.436</v>
      </c>
      <c r="D315" s="5">
        <v>48.353000000000002</v>
      </c>
      <c r="E315" s="5">
        <v>49.197000000000003</v>
      </c>
      <c r="F315" s="9">
        <v>47.588999999999999</v>
      </c>
      <c r="G315" s="9">
        <v>56.854999999999997</v>
      </c>
      <c r="H315" s="9">
        <v>54.470999999999997</v>
      </c>
      <c r="I315" s="9">
        <v>61.77</v>
      </c>
      <c r="J315" s="9">
        <v>48.878999999999998</v>
      </c>
      <c r="K315" s="9">
        <v>45.052</v>
      </c>
    </row>
    <row r="316" spans="2:11" x14ac:dyDescent="0.2">
      <c r="B316" s="9">
        <v>15.083333333333334</v>
      </c>
      <c r="C316" s="5">
        <v>37.384</v>
      </c>
      <c r="D316" s="5">
        <v>48.268000000000001</v>
      </c>
      <c r="E316" s="5">
        <v>49.140999999999998</v>
      </c>
      <c r="F316" s="9">
        <v>47.530999999999999</v>
      </c>
      <c r="G316" s="9">
        <v>56.831000000000003</v>
      </c>
      <c r="H316" s="9">
        <v>54.436</v>
      </c>
      <c r="I316" s="9">
        <v>61.734000000000002</v>
      </c>
      <c r="J316" s="9">
        <v>48.834000000000003</v>
      </c>
      <c r="K316" s="9">
        <v>45.015999999999998</v>
      </c>
    </row>
    <row r="317" spans="2:11" x14ac:dyDescent="0.2">
      <c r="B317" s="9">
        <v>15.1</v>
      </c>
      <c r="C317" s="5">
        <v>37.380000000000003</v>
      </c>
      <c r="D317" s="5">
        <v>48.307000000000002</v>
      </c>
      <c r="E317" s="5">
        <v>49.143000000000001</v>
      </c>
      <c r="F317" s="9">
        <v>47.493000000000002</v>
      </c>
      <c r="G317" s="9">
        <v>56.811</v>
      </c>
      <c r="H317" s="9">
        <v>54.317999999999998</v>
      </c>
      <c r="I317" s="9">
        <v>61.753999999999998</v>
      </c>
      <c r="J317" s="9">
        <v>48.814</v>
      </c>
      <c r="K317" s="9">
        <v>44.988999999999997</v>
      </c>
    </row>
    <row r="318" spans="2:11" x14ac:dyDescent="0.2">
      <c r="B318" s="9">
        <v>15.116666666666667</v>
      </c>
      <c r="C318" s="5">
        <v>37.332999999999998</v>
      </c>
      <c r="D318" s="5">
        <v>48.268999999999998</v>
      </c>
      <c r="E318" s="5">
        <v>49.095999999999997</v>
      </c>
      <c r="F318" s="9">
        <v>47.445999999999998</v>
      </c>
      <c r="G318" s="9">
        <v>56.735999999999997</v>
      </c>
      <c r="H318" s="9">
        <v>54.433</v>
      </c>
      <c r="I318" s="9">
        <v>61.688000000000002</v>
      </c>
      <c r="J318" s="9">
        <v>48.755000000000003</v>
      </c>
      <c r="K318" s="9">
        <v>44.944000000000003</v>
      </c>
    </row>
    <row r="319" spans="2:11" x14ac:dyDescent="0.2">
      <c r="B319" s="9">
        <v>15.133333333333333</v>
      </c>
      <c r="C319" s="5">
        <v>37.329000000000001</v>
      </c>
      <c r="D319" s="5">
        <v>48.186</v>
      </c>
      <c r="E319" s="5">
        <v>49.037999999999997</v>
      </c>
      <c r="F319" s="9">
        <v>47.399000000000001</v>
      </c>
      <c r="G319" s="9">
        <v>56.744999999999997</v>
      </c>
      <c r="H319" s="9">
        <v>54.344000000000001</v>
      </c>
      <c r="I319" s="9">
        <v>61.703000000000003</v>
      </c>
      <c r="J319" s="9">
        <v>48.709000000000003</v>
      </c>
      <c r="K319" s="9">
        <v>44.896999999999998</v>
      </c>
    </row>
    <row r="320" spans="2:11" x14ac:dyDescent="0.2">
      <c r="B320" s="9">
        <v>15.15</v>
      </c>
      <c r="C320" s="5">
        <v>37.311</v>
      </c>
      <c r="D320" s="5">
        <v>48.042999999999999</v>
      </c>
      <c r="E320" s="5">
        <v>48.960999999999999</v>
      </c>
      <c r="F320" s="9">
        <v>47.365000000000002</v>
      </c>
      <c r="G320" s="9">
        <v>56.715000000000003</v>
      </c>
      <c r="H320" s="9">
        <v>54.314</v>
      </c>
      <c r="I320" s="9">
        <v>61.661999999999999</v>
      </c>
      <c r="J320" s="9">
        <v>48.662999999999997</v>
      </c>
      <c r="K320" s="9">
        <v>44.853000000000002</v>
      </c>
    </row>
    <row r="321" spans="2:11" x14ac:dyDescent="0.2">
      <c r="B321" s="9">
        <v>15.166666666666666</v>
      </c>
      <c r="C321" s="5">
        <v>37.259</v>
      </c>
      <c r="D321" s="5">
        <v>48.113</v>
      </c>
      <c r="E321" s="5">
        <v>48.993000000000002</v>
      </c>
      <c r="F321" s="9">
        <v>47.326999999999998</v>
      </c>
      <c r="G321" s="9">
        <v>56.651000000000003</v>
      </c>
      <c r="H321" s="9">
        <v>54.213000000000001</v>
      </c>
      <c r="I321" s="9">
        <v>61.582000000000001</v>
      </c>
      <c r="J321" s="9">
        <v>48.637</v>
      </c>
      <c r="K321" s="9">
        <v>44.843000000000004</v>
      </c>
    </row>
    <row r="322" spans="2:11" x14ac:dyDescent="0.2">
      <c r="B322" s="9">
        <v>15.183333333333334</v>
      </c>
      <c r="C322" s="5">
        <v>37.271999999999998</v>
      </c>
      <c r="D322" s="5">
        <v>48.084000000000003</v>
      </c>
      <c r="E322" s="5">
        <v>48.962000000000003</v>
      </c>
      <c r="F322" s="9">
        <v>47.277999999999999</v>
      </c>
      <c r="G322" s="9">
        <v>56.648000000000003</v>
      </c>
      <c r="H322" s="9">
        <v>54.188000000000002</v>
      </c>
      <c r="I322" s="9">
        <v>61.62</v>
      </c>
      <c r="J322" s="9">
        <v>48.570999999999998</v>
      </c>
      <c r="K322" s="9">
        <v>44.802</v>
      </c>
    </row>
    <row r="323" spans="2:11" x14ac:dyDescent="0.2">
      <c r="B323" s="9">
        <v>15.2</v>
      </c>
      <c r="C323" s="5">
        <v>37.246000000000002</v>
      </c>
      <c r="D323" s="5">
        <v>47.963000000000001</v>
      </c>
      <c r="E323" s="5">
        <v>48.850999999999999</v>
      </c>
      <c r="F323" s="9">
        <v>47.259</v>
      </c>
      <c r="G323" s="9">
        <v>56.649000000000001</v>
      </c>
      <c r="H323" s="9">
        <v>54.177999999999997</v>
      </c>
      <c r="I323" s="9">
        <v>61.575000000000003</v>
      </c>
      <c r="J323" s="9">
        <v>48.622</v>
      </c>
      <c r="K323" s="9">
        <v>44.741999999999997</v>
      </c>
    </row>
    <row r="324" spans="2:11" x14ac:dyDescent="0.2">
      <c r="B324" s="9">
        <v>15.216666666666667</v>
      </c>
      <c r="C324" s="5">
        <v>37.204999999999998</v>
      </c>
      <c r="D324" s="5">
        <v>47.994999999999997</v>
      </c>
      <c r="E324" s="5">
        <v>48.854999999999997</v>
      </c>
      <c r="F324" s="9">
        <v>47.246000000000002</v>
      </c>
      <c r="G324" s="9">
        <v>56.607999999999997</v>
      </c>
      <c r="H324" s="9">
        <v>54.188000000000002</v>
      </c>
      <c r="I324" s="9">
        <v>61.545999999999999</v>
      </c>
      <c r="J324" s="9">
        <v>48.515999999999998</v>
      </c>
      <c r="K324" s="9">
        <v>44.716000000000001</v>
      </c>
    </row>
    <row r="325" spans="2:11" x14ac:dyDescent="0.2">
      <c r="B325" s="9">
        <v>15.233333333333333</v>
      </c>
      <c r="C325" s="5">
        <v>37.161999999999999</v>
      </c>
      <c r="D325" s="5">
        <v>47.918999999999997</v>
      </c>
      <c r="E325" s="5">
        <v>48.814999999999998</v>
      </c>
      <c r="F325" s="9">
        <v>47.168999999999997</v>
      </c>
      <c r="G325" s="9">
        <v>56.542999999999999</v>
      </c>
      <c r="H325" s="9">
        <v>54.17</v>
      </c>
      <c r="I325" s="9">
        <v>61.485999999999997</v>
      </c>
      <c r="J325" s="9">
        <v>48.463999999999999</v>
      </c>
      <c r="K325" s="9">
        <v>44.686</v>
      </c>
    </row>
    <row r="326" spans="2:11" x14ac:dyDescent="0.2">
      <c r="B326" s="9">
        <v>15.25</v>
      </c>
      <c r="C326" s="5">
        <v>37.161999999999999</v>
      </c>
      <c r="D326" s="5">
        <v>47.749000000000002</v>
      </c>
      <c r="E326" s="5">
        <v>48.789000000000001</v>
      </c>
      <c r="F326" s="9">
        <v>47.134999999999998</v>
      </c>
      <c r="G326" s="9">
        <v>56.55</v>
      </c>
      <c r="H326" s="9">
        <v>54.100999999999999</v>
      </c>
      <c r="I326" s="9">
        <v>61.459000000000003</v>
      </c>
      <c r="J326" s="9">
        <v>48.444000000000003</v>
      </c>
      <c r="K326" s="9">
        <v>44.62</v>
      </c>
    </row>
    <row r="327" spans="2:11" x14ac:dyDescent="0.2">
      <c r="B327" s="9">
        <v>15.266666666666667</v>
      </c>
      <c r="C327" s="5">
        <v>37.073999999999998</v>
      </c>
      <c r="D327" s="5">
        <v>47.856000000000002</v>
      </c>
      <c r="E327" s="5">
        <v>48.73</v>
      </c>
      <c r="F327" s="9">
        <v>47.125999999999998</v>
      </c>
      <c r="G327" s="9">
        <v>56.506</v>
      </c>
      <c r="H327" s="9">
        <v>53.965000000000003</v>
      </c>
      <c r="I327" s="9">
        <v>61.475999999999999</v>
      </c>
      <c r="J327" s="9">
        <v>48.417000000000002</v>
      </c>
      <c r="K327" s="9">
        <v>44.601999999999997</v>
      </c>
    </row>
    <row r="328" spans="2:11" x14ac:dyDescent="0.2">
      <c r="B328" s="9">
        <v>15.283333333333333</v>
      </c>
      <c r="C328" s="5">
        <v>37.072000000000003</v>
      </c>
      <c r="D328" s="5">
        <v>47.798000000000002</v>
      </c>
      <c r="E328" s="5">
        <v>48.712000000000003</v>
      </c>
      <c r="F328" s="9">
        <v>47.070999999999998</v>
      </c>
      <c r="G328" s="9">
        <v>56.482999999999997</v>
      </c>
      <c r="H328" s="9">
        <v>53.988999999999997</v>
      </c>
      <c r="I328" s="9">
        <v>61.427</v>
      </c>
      <c r="J328" s="9">
        <v>48.396999999999998</v>
      </c>
      <c r="K328" s="9">
        <v>44.536000000000001</v>
      </c>
    </row>
    <row r="329" spans="2:11" x14ac:dyDescent="0.2">
      <c r="B329" s="9">
        <v>15.3</v>
      </c>
      <c r="C329" s="5">
        <v>37.012999999999998</v>
      </c>
      <c r="D329" s="5">
        <v>47.76</v>
      </c>
      <c r="E329" s="5">
        <v>48.65</v>
      </c>
      <c r="F329" s="9">
        <v>47.045000000000002</v>
      </c>
      <c r="G329" s="9">
        <v>56.417000000000002</v>
      </c>
      <c r="H329" s="9">
        <v>53.994</v>
      </c>
      <c r="I329" s="9">
        <v>61.433</v>
      </c>
      <c r="J329" s="9">
        <v>48.381999999999998</v>
      </c>
      <c r="K329" s="9">
        <v>44.508000000000003</v>
      </c>
    </row>
    <row r="330" spans="2:11" x14ac:dyDescent="0.2">
      <c r="B330" s="9">
        <v>15.316666666666666</v>
      </c>
      <c r="C330" s="5">
        <v>37.033999999999999</v>
      </c>
      <c r="D330" s="5">
        <v>47.720999999999997</v>
      </c>
      <c r="E330" s="5">
        <v>48.576000000000001</v>
      </c>
      <c r="F330" s="9">
        <v>46.981999999999999</v>
      </c>
      <c r="G330" s="9">
        <v>56.430999999999997</v>
      </c>
      <c r="H330" s="9">
        <v>53.923000000000002</v>
      </c>
      <c r="I330" s="9">
        <v>61.392000000000003</v>
      </c>
      <c r="J330" s="9">
        <v>48.378</v>
      </c>
      <c r="K330" s="9">
        <v>44.430999999999997</v>
      </c>
    </row>
    <row r="331" spans="2:11" x14ac:dyDescent="0.2">
      <c r="B331" s="9">
        <v>15.333333333333334</v>
      </c>
      <c r="C331" s="5">
        <v>36.97</v>
      </c>
      <c r="D331" s="5">
        <v>47.674999999999997</v>
      </c>
      <c r="E331" s="5">
        <v>48.652999999999999</v>
      </c>
      <c r="F331" s="9">
        <v>46.948999999999998</v>
      </c>
      <c r="G331" s="9">
        <v>56.395000000000003</v>
      </c>
      <c r="H331" s="9">
        <v>53.743000000000002</v>
      </c>
      <c r="I331" s="9">
        <v>61.36</v>
      </c>
      <c r="J331" s="9">
        <v>48.313000000000002</v>
      </c>
      <c r="K331" s="9">
        <v>44.420999999999999</v>
      </c>
    </row>
    <row r="332" spans="2:11" x14ac:dyDescent="0.2">
      <c r="B332" s="9">
        <v>15.35</v>
      </c>
      <c r="C332" s="5">
        <v>36.884999999999998</v>
      </c>
      <c r="D332" s="5">
        <v>47.584000000000003</v>
      </c>
      <c r="E332" s="5">
        <v>48.668999999999997</v>
      </c>
      <c r="F332" s="9">
        <v>46.915999999999997</v>
      </c>
      <c r="G332" s="9">
        <v>56.33</v>
      </c>
      <c r="H332" s="9">
        <v>53.887999999999998</v>
      </c>
      <c r="I332" s="9">
        <v>61.317</v>
      </c>
      <c r="J332" s="9">
        <v>48.295999999999999</v>
      </c>
      <c r="K332" s="9">
        <v>44.398000000000003</v>
      </c>
    </row>
    <row r="333" spans="2:11" x14ac:dyDescent="0.2">
      <c r="B333" s="9">
        <v>15.366666666666667</v>
      </c>
      <c r="C333" s="5">
        <v>36.908000000000001</v>
      </c>
      <c r="D333" s="5">
        <v>47.53</v>
      </c>
      <c r="E333" s="5">
        <v>48.481000000000002</v>
      </c>
      <c r="F333" s="9">
        <v>46.896999999999998</v>
      </c>
      <c r="G333" s="9">
        <v>56.283999999999999</v>
      </c>
      <c r="H333" s="9">
        <v>53.828000000000003</v>
      </c>
      <c r="I333" s="9">
        <v>61.276000000000003</v>
      </c>
      <c r="J333" s="9">
        <v>48.281999999999996</v>
      </c>
      <c r="K333" s="9">
        <v>44.325000000000003</v>
      </c>
    </row>
    <row r="334" spans="2:11" x14ac:dyDescent="0.2">
      <c r="B334" s="9">
        <v>15.383333333333333</v>
      </c>
      <c r="C334" s="5">
        <v>36.863</v>
      </c>
      <c r="D334" s="5">
        <v>47.478999999999999</v>
      </c>
      <c r="E334" s="5">
        <v>48.424999999999997</v>
      </c>
      <c r="F334" s="9">
        <v>46.881999999999998</v>
      </c>
      <c r="G334" s="9">
        <v>56.290999999999997</v>
      </c>
      <c r="H334" s="9">
        <v>53.787999999999997</v>
      </c>
      <c r="I334" s="9">
        <v>61.283000000000001</v>
      </c>
      <c r="J334" s="9">
        <v>48.219000000000001</v>
      </c>
      <c r="K334" s="9">
        <v>44.298000000000002</v>
      </c>
    </row>
    <row r="335" spans="2:11" x14ac:dyDescent="0.2">
      <c r="B335" s="9">
        <v>15.4</v>
      </c>
      <c r="C335" s="5">
        <v>36.843000000000004</v>
      </c>
      <c r="D335" s="5">
        <v>47.42</v>
      </c>
      <c r="E335" s="5">
        <v>48.478999999999999</v>
      </c>
      <c r="F335" s="9">
        <v>46.82</v>
      </c>
      <c r="G335" s="9">
        <v>56.234999999999999</v>
      </c>
      <c r="H335" s="9">
        <v>53.741</v>
      </c>
      <c r="I335" s="9">
        <v>61.238</v>
      </c>
      <c r="J335" s="9">
        <v>48.171999999999997</v>
      </c>
      <c r="K335" s="9">
        <v>44.261000000000003</v>
      </c>
    </row>
    <row r="336" spans="2:11" x14ac:dyDescent="0.2">
      <c r="B336" s="9">
        <v>15.416666666666666</v>
      </c>
      <c r="C336" s="5">
        <v>36.811</v>
      </c>
      <c r="D336" s="5">
        <v>47.451999999999998</v>
      </c>
      <c r="E336" s="5">
        <v>48.381</v>
      </c>
      <c r="F336" s="9">
        <v>46.780999999999999</v>
      </c>
      <c r="G336" s="9">
        <v>56.219000000000001</v>
      </c>
      <c r="H336" s="9">
        <v>53.314999999999998</v>
      </c>
      <c r="I336" s="9">
        <v>61.18</v>
      </c>
      <c r="J336" s="9">
        <v>48.188000000000002</v>
      </c>
      <c r="K336" s="9">
        <v>44.228000000000002</v>
      </c>
    </row>
    <row r="337" spans="2:11" x14ac:dyDescent="0.2">
      <c r="B337" s="9">
        <v>15.433333333333334</v>
      </c>
      <c r="C337" s="5">
        <v>36.777999999999999</v>
      </c>
      <c r="D337" s="5">
        <v>47.423000000000002</v>
      </c>
      <c r="E337" s="5">
        <v>48.439</v>
      </c>
      <c r="F337" s="9">
        <v>46.718000000000004</v>
      </c>
      <c r="G337" s="9">
        <v>56.143999999999998</v>
      </c>
      <c r="H337" s="9">
        <v>53.716000000000001</v>
      </c>
      <c r="I337" s="9">
        <v>61.097999999999999</v>
      </c>
      <c r="J337" s="9">
        <v>48.18</v>
      </c>
      <c r="K337" s="9">
        <v>44.183999999999997</v>
      </c>
    </row>
    <row r="338" spans="2:11" x14ac:dyDescent="0.2">
      <c r="B338" s="9">
        <v>15.45</v>
      </c>
      <c r="C338" s="5">
        <v>36.728999999999999</v>
      </c>
      <c r="D338" s="5">
        <v>47.374000000000002</v>
      </c>
      <c r="E338" s="5">
        <v>48.381999999999998</v>
      </c>
      <c r="F338" s="9">
        <v>46.665999999999997</v>
      </c>
      <c r="G338" s="9">
        <v>56.128</v>
      </c>
      <c r="H338" s="9">
        <v>53.691000000000003</v>
      </c>
      <c r="I338" s="9">
        <v>61.142000000000003</v>
      </c>
      <c r="J338" s="9">
        <v>48.06</v>
      </c>
      <c r="K338" s="9">
        <v>44.085999999999999</v>
      </c>
    </row>
    <row r="339" spans="2:11" x14ac:dyDescent="0.2">
      <c r="B339" s="9">
        <v>15.466666666666667</v>
      </c>
      <c r="C339" s="5">
        <v>36.658000000000001</v>
      </c>
      <c r="D339" s="5">
        <v>47.39</v>
      </c>
      <c r="E339" s="5">
        <v>48.347000000000001</v>
      </c>
      <c r="F339" s="9">
        <v>46.637</v>
      </c>
      <c r="G339" s="9">
        <v>56.040999999999997</v>
      </c>
      <c r="H339" s="9">
        <v>53.654000000000003</v>
      </c>
      <c r="I339" s="9">
        <v>61.076999999999998</v>
      </c>
      <c r="J339" s="9">
        <v>48.055999999999997</v>
      </c>
      <c r="K339" s="9">
        <v>44.1</v>
      </c>
    </row>
    <row r="340" spans="2:11" x14ac:dyDescent="0.2">
      <c r="B340" s="9">
        <v>15.483333333333333</v>
      </c>
      <c r="C340" s="5">
        <v>36.637999999999998</v>
      </c>
      <c r="D340" s="5">
        <v>47.337000000000003</v>
      </c>
      <c r="E340" s="5">
        <v>48.304000000000002</v>
      </c>
      <c r="F340" s="9">
        <v>46.564999999999998</v>
      </c>
      <c r="G340" s="9">
        <v>56.003</v>
      </c>
      <c r="H340" s="9">
        <v>53.557000000000002</v>
      </c>
      <c r="I340" s="9">
        <v>61.052</v>
      </c>
      <c r="J340" s="9">
        <v>48.052</v>
      </c>
      <c r="K340" s="9">
        <v>44.033000000000001</v>
      </c>
    </row>
    <row r="341" spans="2:11" x14ac:dyDescent="0.2">
      <c r="B341" s="9">
        <v>15.5</v>
      </c>
      <c r="C341" s="5">
        <v>36.616</v>
      </c>
      <c r="D341" s="5">
        <v>47.286000000000001</v>
      </c>
      <c r="E341" s="5">
        <v>48.268000000000001</v>
      </c>
      <c r="F341" s="9">
        <v>46.545999999999999</v>
      </c>
      <c r="G341" s="9">
        <v>55.97</v>
      </c>
      <c r="H341" s="9">
        <v>53.576000000000001</v>
      </c>
      <c r="I341" s="9">
        <v>60.981000000000002</v>
      </c>
      <c r="J341" s="9">
        <v>48.015000000000001</v>
      </c>
      <c r="K341" s="9">
        <v>43.997999999999998</v>
      </c>
    </row>
    <row r="342" spans="2:11" x14ac:dyDescent="0.2">
      <c r="B342" s="9">
        <v>15.516666666666667</v>
      </c>
      <c r="C342" s="5">
        <v>36.551000000000002</v>
      </c>
      <c r="D342" s="5">
        <v>47.244999999999997</v>
      </c>
      <c r="E342" s="5">
        <v>48.237000000000002</v>
      </c>
      <c r="F342" s="9">
        <v>46.524000000000001</v>
      </c>
      <c r="G342" s="9">
        <v>56.024999999999999</v>
      </c>
      <c r="H342" s="9">
        <v>53.411999999999999</v>
      </c>
      <c r="I342" s="9">
        <v>60.953000000000003</v>
      </c>
      <c r="J342" s="9">
        <v>47.915999999999997</v>
      </c>
      <c r="K342" s="9">
        <v>43.945999999999998</v>
      </c>
    </row>
    <row r="343" spans="2:11" x14ac:dyDescent="0.2">
      <c r="B343" s="9">
        <v>15.533333333333333</v>
      </c>
      <c r="C343" s="5">
        <v>36.585000000000001</v>
      </c>
      <c r="D343" s="5">
        <v>47.231000000000002</v>
      </c>
      <c r="E343" s="5">
        <v>48.232999999999997</v>
      </c>
      <c r="F343" s="9">
        <v>46.502000000000002</v>
      </c>
      <c r="G343" s="9">
        <v>55.969000000000001</v>
      </c>
      <c r="H343" s="9">
        <v>53.433999999999997</v>
      </c>
      <c r="I343" s="9">
        <v>60.939</v>
      </c>
      <c r="J343" s="9">
        <v>47.9</v>
      </c>
      <c r="K343" s="9">
        <v>43.936999999999998</v>
      </c>
    </row>
    <row r="344" spans="2:11" x14ac:dyDescent="0.2">
      <c r="B344" s="9">
        <v>15.55</v>
      </c>
      <c r="C344" s="5">
        <v>36.533000000000001</v>
      </c>
      <c r="D344" s="5">
        <v>47.237000000000002</v>
      </c>
      <c r="E344" s="5">
        <v>48.192999999999998</v>
      </c>
      <c r="F344" s="9">
        <v>46.417999999999999</v>
      </c>
      <c r="G344" s="9">
        <v>55.948</v>
      </c>
      <c r="H344" s="9">
        <v>53.436999999999998</v>
      </c>
      <c r="I344" s="9">
        <v>60.878</v>
      </c>
      <c r="J344" s="9">
        <v>47.850999999999999</v>
      </c>
      <c r="K344" s="9">
        <v>43.884999999999998</v>
      </c>
    </row>
    <row r="345" spans="2:11" x14ac:dyDescent="0.2">
      <c r="B345" s="9">
        <v>15.566666666666666</v>
      </c>
      <c r="C345" s="5">
        <v>36.517000000000003</v>
      </c>
      <c r="D345" s="5">
        <v>47.210999999999999</v>
      </c>
      <c r="E345" s="5">
        <v>48.194000000000003</v>
      </c>
      <c r="F345" s="9">
        <v>46.378999999999998</v>
      </c>
      <c r="G345" s="9">
        <v>55.929000000000002</v>
      </c>
      <c r="H345" s="9">
        <v>53.411999999999999</v>
      </c>
      <c r="I345" s="9">
        <v>60.863</v>
      </c>
      <c r="J345" s="9">
        <v>47.847999999999999</v>
      </c>
      <c r="K345" s="9">
        <v>43.802</v>
      </c>
    </row>
    <row r="346" spans="2:11" x14ac:dyDescent="0.2">
      <c r="B346" s="9">
        <v>15.583333333333334</v>
      </c>
      <c r="C346" s="5">
        <v>36.482999999999997</v>
      </c>
      <c r="D346" s="5">
        <v>47.218000000000004</v>
      </c>
      <c r="E346" s="5">
        <v>48.125999999999998</v>
      </c>
      <c r="F346" s="9">
        <v>46.302</v>
      </c>
      <c r="G346" s="9">
        <v>55.901000000000003</v>
      </c>
      <c r="H346" s="9">
        <v>53.396000000000001</v>
      </c>
      <c r="I346" s="9">
        <v>60.826000000000001</v>
      </c>
      <c r="J346" s="9">
        <v>47.808</v>
      </c>
      <c r="K346" s="9">
        <v>43.795000000000002</v>
      </c>
    </row>
    <row r="347" spans="2:11" x14ac:dyDescent="0.2">
      <c r="B347" s="9">
        <v>15.6</v>
      </c>
      <c r="C347" s="5">
        <v>36.494999999999997</v>
      </c>
      <c r="D347" s="5">
        <v>47.127000000000002</v>
      </c>
      <c r="E347" s="5">
        <v>48.165999999999997</v>
      </c>
      <c r="F347" s="9">
        <v>46.255000000000003</v>
      </c>
      <c r="G347" s="9">
        <v>55.835000000000001</v>
      </c>
      <c r="H347" s="9">
        <v>53.359000000000002</v>
      </c>
      <c r="I347" s="9">
        <v>60.761000000000003</v>
      </c>
      <c r="J347" s="9">
        <v>47.762999999999998</v>
      </c>
      <c r="K347" s="9">
        <v>43.767000000000003</v>
      </c>
    </row>
    <row r="348" spans="2:11" x14ac:dyDescent="0.2">
      <c r="B348" s="9">
        <v>15.616666666666667</v>
      </c>
      <c r="C348" s="5">
        <v>36.457000000000001</v>
      </c>
      <c r="D348" s="5">
        <v>47.13</v>
      </c>
      <c r="E348" s="5">
        <v>48.11</v>
      </c>
      <c r="F348" s="9">
        <v>46.201999999999998</v>
      </c>
      <c r="G348" s="9">
        <v>55.865000000000002</v>
      </c>
      <c r="H348" s="9">
        <v>53.262</v>
      </c>
      <c r="I348" s="9">
        <v>60.762999999999998</v>
      </c>
      <c r="J348" s="9">
        <v>47.747999999999998</v>
      </c>
      <c r="K348" s="9">
        <v>43.673999999999999</v>
      </c>
    </row>
    <row r="349" spans="2:11" x14ac:dyDescent="0.2">
      <c r="B349" s="9">
        <v>15.633333333333333</v>
      </c>
      <c r="C349" s="5">
        <v>36.405999999999999</v>
      </c>
      <c r="D349" s="5">
        <v>47.064</v>
      </c>
      <c r="E349" s="5">
        <v>48.070999999999998</v>
      </c>
      <c r="F349" s="9">
        <v>46.128</v>
      </c>
      <c r="G349" s="9">
        <v>55.781999999999996</v>
      </c>
      <c r="H349" s="9">
        <v>52.965000000000003</v>
      </c>
      <c r="I349" s="9">
        <v>60.741</v>
      </c>
      <c r="J349" s="9">
        <v>47.625999999999998</v>
      </c>
      <c r="K349" s="9">
        <v>43.59</v>
      </c>
    </row>
    <row r="350" spans="2:11" x14ac:dyDescent="0.2">
      <c r="B350" s="9">
        <v>15.65</v>
      </c>
      <c r="C350" s="5">
        <v>36.39</v>
      </c>
      <c r="D350" s="5">
        <v>47.061</v>
      </c>
      <c r="E350" s="5">
        <v>48.04</v>
      </c>
      <c r="F350" s="9">
        <v>46.084000000000003</v>
      </c>
      <c r="G350" s="9">
        <v>55.774999999999999</v>
      </c>
      <c r="H350" s="9">
        <v>53.176000000000002</v>
      </c>
      <c r="I350" s="9">
        <v>60.661999999999999</v>
      </c>
      <c r="J350" s="9">
        <v>47.576999999999998</v>
      </c>
      <c r="K350" s="9">
        <v>43.534999999999997</v>
      </c>
    </row>
    <row r="351" spans="2:11" x14ac:dyDescent="0.2">
      <c r="B351" s="9">
        <v>15.666666666666666</v>
      </c>
      <c r="C351" s="5">
        <v>36.338000000000001</v>
      </c>
      <c r="D351" s="5">
        <v>47.063000000000002</v>
      </c>
      <c r="E351" s="5">
        <v>48.012</v>
      </c>
      <c r="F351" s="9">
        <v>46.040999999999997</v>
      </c>
      <c r="G351" s="9">
        <v>55.709000000000003</v>
      </c>
      <c r="H351" s="9">
        <v>53.113999999999997</v>
      </c>
      <c r="I351" s="9">
        <v>60.668999999999997</v>
      </c>
      <c r="J351" s="9">
        <v>47.472000000000001</v>
      </c>
      <c r="K351" s="9">
        <v>43.515999999999998</v>
      </c>
    </row>
    <row r="352" spans="2:11" x14ac:dyDescent="0.2">
      <c r="B352" s="9">
        <v>15.683333333333334</v>
      </c>
      <c r="C352" s="5">
        <v>36.305</v>
      </c>
      <c r="D352" s="5">
        <v>47.009</v>
      </c>
      <c r="E352" s="5">
        <v>47.938000000000002</v>
      </c>
      <c r="F352" s="9">
        <v>46.005000000000003</v>
      </c>
      <c r="G352" s="9">
        <v>55.682000000000002</v>
      </c>
      <c r="H352" s="9">
        <v>53.003999999999998</v>
      </c>
      <c r="I352" s="9">
        <v>60.633000000000003</v>
      </c>
      <c r="J352" s="9">
        <v>47.472000000000001</v>
      </c>
      <c r="K352" s="9">
        <v>43.441000000000003</v>
      </c>
    </row>
    <row r="353" spans="2:11" x14ac:dyDescent="0.2">
      <c r="B353" s="9">
        <v>15.7</v>
      </c>
      <c r="C353" s="5">
        <v>36.273000000000003</v>
      </c>
      <c r="D353" s="5">
        <v>46.985999999999997</v>
      </c>
      <c r="E353" s="5">
        <v>47.953000000000003</v>
      </c>
      <c r="F353" s="9">
        <v>45.978999999999999</v>
      </c>
      <c r="G353" s="9">
        <v>55.697000000000003</v>
      </c>
      <c r="H353" s="9">
        <v>53.005000000000003</v>
      </c>
      <c r="I353" s="9">
        <v>60.645000000000003</v>
      </c>
      <c r="J353" s="9">
        <v>47.366999999999997</v>
      </c>
      <c r="K353" s="9">
        <v>43.47</v>
      </c>
    </row>
    <row r="354" spans="2:11" x14ac:dyDescent="0.2">
      <c r="B354" s="9">
        <v>15.716666666666667</v>
      </c>
      <c r="C354" s="5">
        <v>36.253</v>
      </c>
      <c r="D354" s="5">
        <v>46.939</v>
      </c>
      <c r="E354" s="5">
        <v>47.914999999999999</v>
      </c>
      <c r="F354" s="9">
        <v>45.88</v>
      </c>
      <c r="G354" s="9">
        <v>55.624000000000002</v>
      </c>
      <c r="H354" s="9">
        <v>52.976999999999997</v>
      </c>
      <c r="I354" s="9">
        <v>60.54</v>
      </c>
      <c r="J354" s="9">
        <v>47.337000000000003</v>
      </c>
      <c r="K354" s="9">
        <v>43.42</v>
      </c>
    </row>
    <row r="355" spans="2:11" x14ac:dyDescent="0.2">
      <c r="B355" s="9">
        <v>15.733333333333333</v>
      </c>
      <c r="C355" s="5">
        <v>36.246000000000002</v>
      </c>
      <c r="D355" s="5">
        <v>46.976999999999997</v>
      </c>
      <c r="E355" s="5">
        <v>47.905999999999999</v>
      </c>
      <c r="F355" s="9">
        <v>45.884999999999998</v>
      </c>
      <c r="G355" s="9">
        <v>55.624000000000002</v>
      </c>
      <c r="H355" s="9">
        <v>52.927</v>
      </c>
      <c r="I355" s="9">
        <v>60.521999999999998</v>
      </c>
      <c r="J355" s="9">
        <v>47.271999999999998</v>
      </c>
      <c r="K355" s="9">
        <v>43.375</v>
      </c>
    </row>
    <row r="356" spans="2:11" x14ac:dyDescent="0.2">
      <c r="B356" s="9">
        <v>15.75</v>
      </c>
      <c r="C356" s="5">
        <v>36.207999999999998</v>
      </c>
      <c r="D356" s="5">
        <v>46.921999999999997</v>
      </c>
      <c r="E356" s="5">
        <v>47.853000000000002</v>
      </c>
      <c r="F356" s="9">
        <v>45.811</v>
      </c>
      <c r="G356" s="9">
        <v>55.567999999999998</v>
      </c>
      <c r="H356" s="9">
        <v>52.747999999999998</v>
      </c>
      <c r="I356" s="9">
        <v>60.515999999999998</v>
      </c>
      <c r="J356" s="9">
        <v>47.298000000000002</v>
      </c>
      <c r="K356" s="9">
        <v>43.308</v>
      </c>
    </row>
    <row r="357" spans="2:11" x14ac:dyDescent="0.2">
      <c r="B357" s="9">
        <v>15.766666666666667</v>
      </c>
      <c r="C357" s="5">
        <v>36.125999999999998</v>
      </c>
      <c r="D357" s="5">
        <v>46.884</v>
      </c>
      <c r="E357" s="5">
        <v>47.826999999999998</v>
      </c>
      <c r="F357" s="9">
        <v>45.801000000000002</v>
      </c>
      <c r="G357" s="9">
        <v>55.540999999999997</v>
      </c>
      <c r="H357" s="9">
        <v>52.847999999999999</v>
      </c>
      <c r="I357" s="9">
        <v>60.423999999999999</v>
      </c>
      <c r="J357" s="9">
        <v>47.226999999999997</v>
      </c>
      <c r="K357" s="9">
        <v>43.26</v>
      </c>
    </row>
    <row r="358" spans="2:11" x14ac:dyDescent="0.2">
      <c r="B358" s="9">
        <v>15.783333333333333</v>
      </c>
      <c r="C358" s="5">
        <v>36.128</v>
      </c>
      <c r="D358" s="5">
        <v>46.853000000000002</v>
      </c>
      <c r="E358" s="5">
        <v>47.774000000000001</v>
      </c>
      <c r="F358" s="9">
        <v>45.780999999999999</v>
      </c>
      <c r="G358" s="9">
        <v>55.503999999999998</v>
      </c>
      <c r="H358" s="9">
        <v>52.841000000000001</v>
      </c>
      <c r="I358" s="9">
        <v>60.444000000000003</v>
      </c>
      <c r="J358" s="9">
        <v>47.195</v>
      </c>
      <c r="K358" s="9">
        <v>43.165999999999997</v>
      </c>
    </row>
    <row r="359" spans="2:11" x14ac:dyDescent="0.2">
      <c r="B359" s="9">
        <v>15.8</v>
      </c>
      <c r="C359" s="5">
        <v>36.067</v>
      </c>
      <c r="D359" s="5">
        <v>46.802</v>
      </c>
      <c r="E359" s="5">
        <v>47.731999999999999</v>
      </c>
      <c r="F359" s="9">
        <v>45.722999999999999</v>
      </c>
      <c r="G359" s="9">
        <v>55.48</v>
      </c>
      <c r="H359" s="9">
        <v>52.69</v>
      </c>
      <c r="I359" s="9">
        <v>60.378999999999998</v>
      </c>
      <c r="J359" s="9">
        <v>47.167999999999999</v>
      </c>
      <c r="K359" s="9">
        <v>43.164000000000001</v>
      </c>
    </row>
    <row r="360" spans="2:11" x14ac:dyDescent="0.2">
      <c r="B360" s="9">
        <v>15.816666666666666</v>
      </c>
      <c r="C360" s="5">
        <v>36.046999999999997</v>
      </c>
      <c r="D360" s="5">
        <v>46.734999999999999</v>
      </c>
      <c r="E360" s="5">
        <v>47.655000000000001</v>
      </c>
      <c r="F360" s="9">
        <v>45.656999999999996</v>
      </c>
      <c r="G360" s="9">
        <v>55.406999999999996</v>
      </c>
      <c r="H360" s="9">
        <v>52.741</v>
      </c>
      <c r="I360" s="9">
        <v>60.417999999999999</v>
      </c>
      <c r="J360" s="9">
        <v>47.098999999999997</v>
      </c>
      <c r="K360" s="9">
        <v>43.119</v>
      </c>
    </row>
    <row r="361" spans="2:11" x14ac:dyDescent="0.2">
      <c r="B361" s="9">
        <v>15.833333333333334</v>
      </c>
      <c r="C361" s="5">
        <v>36.017000000000003</v>
      </c>
      <c r="D361" s="5">
        <v>46.741999999999997</v>
      </c>
      <c r="E361" s="5">
        <v>47.673000000000002</v>
      </c>
      <c r="F361" s="9">
        <v>45.674999999999997</v>
      </c>
      <c r="G361" s="9">
        <v>55.401000000000003</v>
      </c>
      <c r="H361" s="9">
        <v>52.648000000000003</v>
      </c>
      <c r="I361" s="9">
        <v>60.372</v>
      </c>
      <c r="J361" s="9">
        <v>47.066000000000003</v>
      </c>
      <c r="K361" s="9">
        <v>43.098999999999997</v>
      </c>
    </row>
    <row r="362" spans="2:11" x14ac:dyDescent="0.2">
      <c r="B362" s="9">
        <v>15.85</v>
      </c>
      <c r="C362" s="5">
        <v>35.993000000000002</v>
      </c>
      <c r="D362" s="5">
        <v>46.741999999999997</v>
      </c>
      <c r="E362" s="5">
        <v>47.673999999999999</v>
      </c>
      <c r="F362" s="9">
        <v>45.588000000000001</v>
      </c>
      <c r="G362" s="9">
        <v>55.36</v>
      </c>
      <c r="H362" s="9">
        <v>52.628999999999998</v>
      </c>
      <c r="I362" s="9">
        <v>60.319000000000003</v>
      </c>
      <c r="J362" s="9">
        <v>47.033000000000001</v>
      </c>
      <c r="K362" s="9">
        <v>43.033999999999999</v>
      </c>
    </row>
    <row r="363" spans="2:11" x14ac:dyDescent="0.2">
      <c r="B363" s="9">
        <v>15.866666666666667</v>
      </c>
      <c r="C363" s="5">
        <v>35.960999999999999</v>
      </c>
      <c r="D363" s="5">
        <v>46.713999999999999</v>
      </c>
      <c r="E363" s="5">
        <v>47.625</v>
      </c>
      <c r="F363" s="9">
        <v>45.491999999999997</v>
      </c>
      <c r="G363" s="9">
        <v>55.320999999999998</v>
      </c>
      <c r="H363" s="9">
        <v>52.59</v>
      </c>
      <c r="I363" s="9">
        <v>60.301000000000002</v>
      </c>
      <c r="J363" s="9">
        <v>46.991</v>
      </c>
      <c r="K363" s="9">
        <v>42.951999999999998</v>
      </c>
    </row>
    <row r="364" spans="2:11" x14ac:dyDescent="0.2">
      <c r="B364" s="9">
        <v>15.883333333333333</v>
      </c>
      <c r="C364" s="5">
        <v>35.914999999999999</v>
      </c>
      <c r="D364" s="5">
        <v>46.706000000000003</v>
      </c>
      <c r="E364" s="5">
        <v>47.609000000000002</v>
      </c>
      <c r="F364" s="9">
        <v>45.436</v>
      </c>
      <c r="G364" s="9">
        <v>55.271000000000001</v>
      </c>
      <c r="H364" s="9">
        <v>52.564</v>
      </c>
      <c r="I364" s="9">
        <v>60.244</v>
      </c>
      <c r="J364" s="9">
        <v>46.904000000000003</v>
      </c>
      <c r="K364" s="9">
        <v>42.902999999999999</v>
      </c>
    </row>
    <row r="365" spans="2:11" x14ac:dyDescent="0.2">
      <c r="B365" s="9">
        <v>15.9</v>
      </c>
      <c r="C365" s="5">
        <v>35.883000000000003</v>
      </c>
      <c r="D365" s="5">
        <v>46.682000000000002</v>
      </c>
      <c r="E365" s="5">
        <v>47.545999999999999</v>
      </c>
      <c r="F365" s="9">
        <v>45.405999999999999</v>
      </c>
      <c r="G365" s="9">
        <v>55.216000000000001</v>
      </c>
      <c r="H365" s="9">
        <v>52.494999999999997</v>
      </c>
      <c r="I365" s="9">
        <v>60.244</v>
      </c>
      <c r="J365" s="9">
        <v>46.838000000000001</v>
      </c>
      <c r="K365" s="9">
        <v>42.863</v>
      </c>
    </row>
    <row r="366" spans="2:11" x14ac:dyDescent="0.2">
      <c r="B366" s="9">
        <v>15.916666666666666</v>
      </c>
      <c r="C366" s="5">
        <v>35.847999999999999</v>
      </c>
      <c r="D366" s="5">
        <v>46.658000000000001</v>
      </c>
      <c r="E366" s="5">
        <v>47.527000000000001</v>
      </c>
      <c r="F366" s="9">
        <v>45.396999999999998</v>
      </c>
      <c r="G366" s="9">
        <v>55.219000000000001</v>
      </c>
      <c r="H366" s="9">
        <v>52.256</v>
      </c>
      <c r="I366" s="9">
        <v>60.198999999999998</v>
      </c>
      <c r="J366" s="9">
        <v>46.811999999999998</v>
      </c>
      <c r="K366" s="9">
        <v>42.765000000000001</v>
      </c>
    </row>
    <row r="367" spans="2:11" x14ac:dyDescent="0.2">
      <c r="B367" s="9">
        <v>15.933333333333334</v>
      </c>
      <c r="C367" s="5">
        <v>35.808999999999997</v>
      </c>
      <c r="D367" s="5">
        <v>46.634999999999998</v>
      </c>
      <c r="E367" s="5">
        <v>47.515000000000001</v>
      </c>
      <c r="F367" s="9">
        <v>45.322000000000003</v>
      </c>
      <c r="G367" s="9">
        <v>55.137999999999998</v>
      </c>
      <c r="H367" s="9">
        <v>52.448</v>
      </c>
      <c r="I367" s="9">
        <v>60.177999999999997</v>
      </c>
      <c r="J367" s="9">
        <v>46.781999999999996</v>
      </c>
      <c r="K367" s="9">
        <v>42.777999999999999</v>
      </c>
    </row>
    <row r="368" spans="2:11" x14ac:dyDescent="0.2">
      <c r="B368" s="9">
        <v>15.95</v>
      </c>
      <c r="C368" s="5">
        <v>35.761000000000003</v>
      </c>
      <c r="D368" s="5">
        <v>46.546999999999997</v>
      </c>
      <c r="E368" s="5">
        <v>47.493000000000002</v>
      </c>
      <c r="F368" s="9">
        <v>45.29</v>
      </c>
      <c r="G368" s="9">
        <v>55.161000000000001</v>
      </c>
      <c r="H368" s="9">
        <v>52.38</v>
      </c>
      <c r="I368" s="9">
        <v>60.005000000000003</v>
      </c>
      <c r="J368" s="9">
        <v>46.743000000000002</v>
      </c>
      <c r="K368" s="9">
        <v>42.723999999999997</v>
      </c>
    </row>
    <row r="369" spans="2:11" x14ac:dyDescent="0.2">
      <c r="B369" s="9">
        <v>15.966666666666667</v>
      </c>
      <c r="C369" s="5">
        <v>35.744999999999997</v>
      </c>
      <c r="D369" s="5">
        <v>46.527000000000001</v>
      </c>
      <c r="E369" s="5">
        <v>47.429000000000002</v>
      </c>
      <c r="F369" s="9">
        <v>45.207000000000001</v>
      </c>
      <c r="G369" s="9">
        <v>55.16</v>
      </c>
      <c r="H369" s="9">
        <v>52.27</v>
      </c>
      <c r="I369" s="9">
        <v>60.048000000000002</v>
      </c>
      <c r="J369" s="9">
        <v>46.573</v>
      </c>
      <c r="K369" s="9">
        <v>42.695</v>
      </c>
    </row>
    <row r="370" spans="2:11" x14ac:dyDescent="0.2">
      <c r="B370" s="9">
        <v>15.983333333333333</v>
      </c>
      <c r="C370" s="5">
        <v>35.704999999999998</v>
      </c>
      <c r="D370" s="5">
        <v>46.475999999999999</v>
      </c>
      <c r="E370" s="5">
        <v>47.395000000000003</v>
      </c>
      <c r="F370" s="9">
        <v>45.215000000000003</v>
      </c>
      <c r="G370" s="9">
        <v>55.116999999999997</v>
      </c>
      <c r="H370" s="9">
        <v>52.317</v>
      </c>
      <c r="I370" s="9">
        <v>60.033000000000001</v>
      </c>
      <c r="J370" s="9">
        <v>46.619</v>
      </c>
      <c r="K370" s="9">
        <v>42.625</v>
      </c>
    </row>
    <row r="371" spans="2:11" x14ac:dyDescent="0.2">
      <c r="B371" s="9">
        <v>16</v>
      </c>
      <c r="C371" s="5">
        <v>35.651000000000003</v>
      </c>
      <c r="D371" s="5">
        <v>46.472000000000001</v>
      </c>
      <c r="E371" s="5">
        <v>47.369</v>
      </c>
      <c r="F371" s="9">
        <v>45.08</v>
      </c>
      <c r="G371" s="9">
        <v>55.131</v>
      </c>
      <c r="H371" s="9">
        <v>52.241</v>
      </c>
      <c r="I371" s="9">
        <v>60.054000000000002</v>
      </c>
      <c r="J371" s="9">
        <v>46.610999999999997</v>
      </c>
      <c r="K371" s="9">
        <v>42.607999999999997</v>
      </c>
    </row>
    <row r="372" spans="2:11" x14ac:dyDescent="0.2">
      <c r="B372" s="9">
        <v>16.016666666666666</v>
      </c>
      <c r="C372" s="5">
        <v>35.613999999999997</v>
      </c>
      <c r="D372" s="5">
        <v>46.448</v>
      </c>
      <c r="E372" s="5">
        <v>47.295999999999999</v>
      </c>
      <c r="F372" s="9">
        <v>45.037999999999997</v>
      </c>
      <c r="G372" s="9">
        <v>55.030999999999999</v>
      </c>
      <c r="H372" s="9">
        <v>52.209000000000003</v>
      </c>
      <c r="I372" s="9">
        <v>59.948999999999998</v>
      </c>
      <c r="J372" s="9">
        <v>46.606999999999999</v>
      </c>
      <c r="K372" s="9">
        <v>42.585000000000001</v>
      </c>
    </row>
    <row r="373" spans="2:11" x14ac:dyDescent="0.2">
      <c r="B373" s="9">
        <v>16.033333333333335</v>
      </c>
      <c r="C373" s="5">
        <v>35.579000000000001</v>
      </c>
      <c r="D373" s="5">
        <v>46.405999999999999</v>
      </c>
      <c r="E373" s="5">
        <v>47.314999999999998</v>
      </c>
      <c r="F373" s="9">
        <v>44.997999999999998</v>
      </c>
      <c r="G373" s="9">
        <v>54.999000000000002</v>
      </c>
      <c r="H373" s="9">
        <v>52.17</v>
      </c>
      <c r="I373" s="9">
        <v>59.872</v>
      </c>
      <c r="J373" s="9">
        <v>46.503999999999998</v>
      </c>
      <c r="K373" s="9">
        <v>42.468000000000004</v>
      </c>
    </row>
    <row r="374" spans="2:11" x14ac:dyDescent="0.2">
      <c r="B374" s="9">
        <v>16.05</v>
      </c>
      <c r="C374" s="5">
        <v>35.524999999999999</v>
      </c>
      <c r="D374" s="5">
        <v>46.348999999999997</v>
      </c>
      <c r="E374" s="5">
        <v>47.25</v>
      </c>
      <c r="F374" s="9">
        <v>44.94</v>
      </c>
      <c r="G374" s="9">
        <v>54.969000000000001</v>
      </c>
      <c r="H374" s="9">
        <v>51.773000000000003</v>
      </c>
      <c r="I374" s="9">
        <v>59.83</v>
      </c>
      <c r="J374" s="9">
        <v>46.491999999999997</v>
      </c>
      <c r="K374" s="9">
        <v>42.420999999999999</v>
      </c>
    </row>
    <row r="375" spans="2:11" x14ac:dyDescent="0.2">
      <c r="B375" s="9">
        <v>16.066666666666666</v>
      </c>
      <c r="C375" s="5">
        <v>35.454999999999998</v>
      </c>
      <c r="D375" s="5">
        <v>46.369</v>
      </c>
      <c r="E375" s="5">
        <v>47.215000000000003</v>
      </c>
      <c r="F375" s="9">
        <v>44.930999999999997</v>
      </c>
      <c r="G375" s="9">
        <v>54.97</v>
      </c>
      <c r="H375" s="9">
        <v>52.127000000000002</v>
      </c>
      <c r="I375" s="9">
        <v>59.808999999999997</v>
      </c>
      <c r="J375" s="9">
        <v>46.463000000000001</v>
      </c>
      <c r="K375" s="9">
        <v>42.34</v>
      </c>
    </row>
    <row r="376" spans="2:11" x14ac:dyDescent="0.2">
      <c r="B376" s="9">
        <v>16.083333333333332</v>
      </c>
      <c r="C376" s="5">
        <v>35.424999999999997</v>
      </c>
      <c r="D376" s="5">
        <v>46.305</v>
      </c>
      <c r="E376" s="5">
        <v>47.212000000000003</v>
      </c>
      <c r="F376" s="9">
        <v>44.923000000000002</v>
      </c>
      <c r="G376" s="9">
        <v>54.927</v>
      </c>
      <c r="H376" s="9">
        <v>52.042000000000002</v>
      </c>
      <c r="I376" s="9">
        <v>59.732999999999997</v>
      </c>
      <c r="J376" s="9">
        <v>46.356000000000002</v>
      </c>
      <c r="K376" s="9">
        <v>42.314999999999998</v>
      </c>
    </row>
    <row r="377" spans="2:11" x14ac:dyDescent="0.2">
      <c r="B377" s="9">
        <v>16.100000000000001</v>
      </c>
      <c r="C377" s="5">
        <v>35.421999999999997</v>
      </c>
      <c r="D377" s="5">
        <v>46.320999999999998</v>
      </c>
      <c r="E377" s="5">
        <v>47.155999999999999</v>
      </c>
      <c r="F377" s="9">
        <v>44.884</v>
      </c>
      <c r="G377" s="9">
        <v>54.9</v>
      </c>
      <c r="H377" s="9">
        <v>52.088000000000001</v>
      </c>
      <c r="I377" s="9">
        <v>59.749000000000002</v>
      </c>
      <c r="J377" s="9">
        <v>46.363</v>
      </c>
      <c r="K377" s="9">
        <v>42.25</v>
      </c>
    </row>
    <row r="378" spans="2:11" x14ac:dyDescent="0.2">
      <c r="B378" s="9">
        <v>16.116666666666667</v>
      </c>
      <c r="C378" s="5">
        <v>35.353000000000002</v>
      </c>
      <c r="D378" s="5">
        <v>46.258000000000003</v>
      </c>
      <c r="E378" s="5">
        <v>47.103999999999999</v>
      </c>
      <c r="F378" s="9">
        <v>44.83</v>
      </c>
      <c r="G378" s="9">
        <v>54.896999999999998</v>
      </c>
      <c r="H378" s="9">
        <v>51.734999999999999</v>
      </c>
      <c r="I378" s="9">
        <v>59.715000000000003</v>
      </c>
      <c r="J378" s="9">
        <v>46.34</v>
      </c>
      <c r="K378" s="9">
        <v>42.098999999999997</v>
      </c>
    </row>
    <row r="379" spans="2:11" x14ac:dyDescent="0.2">
      <c r="B379" s="9">
        <v>16.133333333333333</v>
      </c>
      <c r="C379" s="5">
        <v>35.347000000000001</v>
      </c>
      <c r="D379" s="5">
        <v>46.268999999999998</v>
      </c>
      <c r="E379" s="5">
        <v>47.064999999999998</v>
      </c>
      <c r="F379" s="9">
        <v>44.784999999999997</v>
      </c>
      <c r="G379" s="9">
        <v>54.844000000000001</v>
      </c>
      <c r="H379" s="9">
        <v>51.94</v>
      </c>
      <c r="I379" s="9">
        <v>59.683</v>
      </c>
      <c r="J379" s="9">
        <v>46.308</v>
      </c>
      <c r="K379" s="9">
        <v>42.107999999999997</v>
      </c>
    </row>
    <row r="380" spans="2:11" x14ac:dyDescent="0.2">
      <c r="B380" s="9">
        <v>16.149999999999999</v>
      </c>
      <c r="C380" s="5">
        <v>35.307000000000002</v>
      </c>
      <c r="D380" s="5">
        <v>46.201000000000001</v>
      </c>
      <c r="E380" s="5">
        <v>46.999000000000002</v>
      </c>
      <c r="F380" s="9">
        <v>44.728999999999999</v>
      </c>
      <c r="G380" s="9">
        <v>54.802</v>
      </c>
      <c r="H380" s="9">
        <v>51.914999999999999</v>
      </c>
      <c r="I380" s="9">
        <v>59.677</v>
      </c>
      <c r="J380" s="9">
        <v>46.228000000000002</v>
      </c>
      <c r="K380" s="9">
        <v>42.075000000000003</v>
      </c>
    </row>
    <row r="381" spans="2:11" x14ac:dyDescent="0.2">
      <c r="B381" s="9">
        <v>16.166666666666668</v>
      </c>
      <c r="C381" s="5">
        <v>35.296999999999997</v>
      </c>
      <c r="D381" s="5">
        <v>46.21</v>
      </c>
      <c r="E381" s="5">
        <v>47.011000000000003</v>
      </c>
      <c r="F381" s="9">
        <v>44.725000000000001</v>
      </c>
      <c r="G381" s="9">
        <v>54.774000000000001</v>
      </c>
      <c r="H381" s="9">
        <v>51.866999999999997</v>
      </c>
      <c r="I381" s="9">
        <v>59.622</v>
      </c>
      <c r="J381" s="9">
        <v>46.195999999999998</v>
      </c>
      <c r="K381" s="9">
        <v>42.031999999999996</v>
      </c>
    </row>
    <row r="382" spans="2:11" x14ac:dyDescent="0.2">
      <c r="B382" s="9">
        <v>16.183333333333334</v>
      </c>
      <c r="C382" s="5">
        <v>35.232999999999997</v>
      </c>
      <c r="D382" s="5">
        <v>46.13</v>
      </c>
      <c r="E382" s="5">
        <v>46.939</v>
      </c>
      <c r="F382" s="9">
        <v>44.658999999999999</v>
      </c>
      <c r="G382" s="9">
        <v>54.77</v>
      </c>
      <c r="H382" s="9">
        <v>51.88</v>
      </c>
      <c r="I382" s="9">
        <v>59.62</v>
      </c>
      <c r="J382" s="9">
        <v>46.177999999999997</v>
      </c>
      <c r="K382" s="9">
        <v>42.02</v>
      </c>
    </row>
    <row r="383" spans="2:11" x14ac:dyDescent="0.2">
      <c r="B383" s="9">
        <v>16.2</v>
      </c>
      <c r="C383" s="5">
        <v>35.220999999999997</v>
      </c>
      <c r="D383" s="5">
        <v>46.088999999999999</v>
      </c>
      <c r="E383" s="5">
        <v>46.95</v>
      </c>
      <c r="F383" s="9">
        <v>44.62</v>
      </c>
      <c r="G383" s="9">
        <v>54.747</v>
      </c>
      <c r="H383" s="9">
        <v>51.787999999999997</v>
      </c>
      <c r="I383" s="9">
        <v>59.639000000000003</v>
      </c>
      <c r="J383" s="9">
        <v>46.143000000000001</v>
      </c>
      <c r="K383" s="9">
        <v>41.960999999999999</v>
      </c>
    </row>
    <row r="384" spans="2:11" x14ac:dyDescent="0.2">
      <c r="B384" s="9">
        <v>16.216666666666665</v>
      </c>
      <c r="C384" s="5">
        <v>35.168999999999997</v>
      </c>
      <c r="D384" s="5">
        <v>46.048000000000002</v>
      </c>
      <c r="E384" s="5">
        <v>46.902000000000001</v>
      </c>
      <c r="F384" s="9">
        <v>44.566000000000003</v>
      </c>
      <c r="G384" s="9">
        <v>54.725999999999999</v>
      </c>
      <c r="H384" s="9">
        <v>51.753</v>
      </c>
      <c r="I384" s="9">
        <v>59.542999999999999</v>
      </c>
      <c r="J384" s="9">
        <v>46.069000000000003</v>
      </c>
      <c r="K384" s="9">
        <v>41.933</v>
      </c>
    </row>
    <row r="385" spans="2:11" x14ac:dyDescent="0.2">
      <c r="B385" s="9">
        <v>16.233333333333334</v>
      </c>
      <c r="C385" s="5">
        <v>35.097000000000001</v>
      </c>
      <c r="D385" s="5">
        <v>46.045000000000002</v>
      </c>
      <c r="E385" s="5">
        <v>46.847000000000001</v>
      </c>
      <c r="F385" s="9">
        <v>44.505000000000003</v>
      </c>
      <c r="G385" s="9">
        <v>54.7</v>
      </c>
      <c r="H385" s="9">
        <v>51.747</v>
      </c>
      <c r="I385" s="9">
        <v>59.527999999999999</v>
      </c>
      <c r="J385" s="9">
        <v>46.033000000000001</v>
      </c>
      <c r="K385" s="9">
        <v>41.869</v>
      </c>
    </row>
    <row r="386" spans="2:11" x14ac:dyDescent="0.2">
      <c r="B386" s="9">
        <v>16.25</v>
      </c>
      <c r="C386" s="5">
        <v>35.027999999999999</v>
      </c>
      <c r="D386" s="5">
        <v>46.012</v>
      </c>
      <c r="E386" s="5">
        <v>46.823999999999998</v>
      </c>
      <c r="F386" s="9">
        <v>44.47</v>
      </c>
      <c r="G386" s="9">
        <v>54.634999999999998</v>
      </c>
      <c r="H386" s="9">
        <v>51.753</v>
      </c>
      <c r="I386" s="9">
        <v>59.496000000000002</v>
      </c>
      <c r="J386" s="9">
        <v>46.008000000000003</v>
      </c>
      <c r="K386" s="9">
        <v>41.802999999999997</v>
      </c>
    </row>
    <row r="387" spans="2:11" x14ac:dyDescent="0.2">
      <c r="B387" s="9">
        <v>16.266666666666666</v>
      </c>
      <c r="C387" s="5">
        <v>35.030999999999999</v>
      </c>
      <c r="D387" s="5">
        <v>46.030999999999999</v>
      </c>
      <c r="E387" s="5">
        <v>46.853999999999999</v>
      </c>
      <c r="F387" s="9">
        <v>44.4</v>
      </c>
      <c r="G387" s="9">
        <v>54.566000000000003</v>
      </c>
      <c r="H387" s="9">
        <v>51.673999999999999</v>
      </c>
      <c r="I387" s="9">
        <v>59.462000000000003</v>
      </c>
      <c r="J387" s="9">
        <v>45.902999999999999</v>
      </c>
      <c r="K387" s="9">
        <v>41.755000000000003</v>
      </c>
    </row>
    <row r="388" spans="2:11" x14ac:dyDescent="0.2">
      <c r="B388" s="9">
        <v>16.283333333333335</v>
      </c>
      <c r="C388" s="5">
        <v>34.984999999999999</v>
      </c>
      <c r="D388" s="5">
        <v>46.018999999999998</v>
      </c>
      <c r="E388" s="5">
        <v>46.771000000000001</v>
      </c>
      <c r="F388" s="9">
        <v>44.356999999999999</v>
      </c>
      <c r="G388" s="9">
        <v>54.570999999999998</v>
      </c>
      <c r="H388" s="9">
        <v>51.470999999999997</v>
      </c>
      <c r="I388" s="9">
        <v>59.454999999999998</v>
      </c>
      <c r="J388" s="9">
        <v>45.908000000000001</v>
      </c>
      <c r="K388" s="9">
        <v>41.715000000000003</v>
      </c>
    </row>
    <row r="389" spans="2:11" x14ac:dyDescent="0.2">
      <c r="B389" s="9">
        <v>16.3</v>
      </c>
      <c r="C389" s="5">
        <v>34.966000000000001</v>
      </c>
      <c r="D389" s="5">
        <v>45.960999999999999</v>
      </c>
      <c r="E389" s="5">
        <v>46.718000000000004</v>
      </c>
      <c r="F389" s="9">
        <v>44.293999999999997</v>
      </c>
      <c r="G389" s="9">
        <v>54.518999999999998</v>
      </c>
      <c r="H389" s="9">
        <v>51.286000000000001</v>
      </c>
      <c r="I389" s="9">
        <v>59.427999999999997</v>
      </c>
      <c r="J389" s="9">
        <v>45.859000000000002</v>
      </c>
      <c r="K389" s="9">
        <v>41.652000000000001</v>
      </c>
    </row>
    <row r="390" spans="2:11" x14ac:dyDescent="0.2">
      <c r="B390" s="9">
        <v>16.316666666666666</v>
      </c>
      <c r="C390" s="5">
        <v>34.930999999999997</v>
      </c>
      <c r="D390" s="5">
        <v>45.920999999999999</v>
      </c>
      <c r="E390" s="5">
        <v>46.69</v>
      </c>
      <c r="F390" s="9">
        <v>44.268999999999998</v>
      </c>
      <c r="G390" s="9">
        <v>54.512</v>
      </c>
      <c r="H390" s="9">
        <v>51.524999999999999</v>
      </c>
      <c r="I390" s="9">
        <v>59.383000000000003</v>
      </c>
      <c r="J390" s="9">
        <v>45.850999999999999</v>
      </c>
      <c r="K390" s="9">
        <v>41.585000000000001</v>
      </c>
    </row>
    <row r="391" spans="2:11" x14ac:dyDescent="0.2">
      <c r="B391" s="9">
        <v>16.333333333333332</v>
      </c>
      <c r="C391" s="5">
        <v>34.886000000000003</v>
      </c>
      <c r="D391" s="5">
        <v>45.89</v>
      </c>
      <c r="E391" s="5">
        <v>46.695999999999998</v>
      </c>
      <c r="F391" s="9">
        <v>44.258000000000003</v>
      </c>
      <c r="G391" s="9">
        <v>54.491999999999997</v>
      </c>
      <c r="H391" s="9">
        <v>51.378999999999998</v>
      </c>
      <c r="I391" s="9">
        <v>59.338999999999999</v>
      </c>
      <c r="J391" s="9">
        <v>45.805999999999997</v>
      </c>
      <c r="K391" s="9">
        <v>41.567999999999998</v>
      </c>
    </row>
    <row r="392" spans="2:11" x14ac:dyDescent="0.2">
      <c r="B392" s="9">
        <v>16.350000000000001</v>
      </c>
      <c r="C392" s="5">
        <v>34.847999999999999</v>
      </c>
      <c r="D392" s="5">
        <v>45.87</v>
      </c>
      <c r="E392" s="5">
        <v>46.652000000000001</v>
      </c>
      <c r="F392" s="9">
        <v>44.183999999999997</v>
      </c>
      <c r="G392" s="9">
        <v>54.473999999999997</v>
      </c>
      <c r="H392" s="9">
        <v>51.328000000000003</v>
      </c>
      <c r="I392" s="9">
        <v>59.350999999999999</v>
      </c>
      <c r="J392" s="9">
        <v>45.779000000000003</v>
      </c>
      <c r="K392" s="9">
        <v>41.524000000000001</v>
      </c>
    </row>
    <row r="393" spans="2:11" x14ac:dyDescent="0.2">
      <c r="B393" s="9">
        <v>16.366666666666667</v>
      </c>
      <c r="C393" s="5">
        <v>34.802</v>
      </c>
      <c r="D393" s="5">
        <v>45.828000000000003</v>
      </c>
      <c r="E393" s="5">
        <v>46.625</v>
      </c>
      <c r="F393" s="9">
        <v>44.133000000000003</v>
      </c>
      <c r="G393" s="9">
        <v>54.414000000000001</v>
      </c>
      <c r="H393" s="9">
        <v>51.284999999999997</v>
      </c>
      <c r="I393" s="9">
        <v>59.293999999999997</v>
      </c>
      <c r="J393" s="9">
        <v>45.725000000000001</v>
      </c>
      <c r="K393" s="9">
        <v>41.487000000000002</v>
      </c>
    </row>
    <row r="394" spans="2:11" x14ac:dyDescent="0.2">
      <c r="B394" s="9">
        <v>16.383333333333333</v>
      </c>
      <c r="C394" s="5">
        <v>34.765000000000001</v>
      </c>
      <c r="D394" s="5">
        <v>45.813000000000002</v>
      </c>
      <c r="E394" s="5">
        <v>46.55</v>
      </c>
      <c r="F394" s="9">
        <v>44.078000000000003</v>
      </c>
      <c r="G394" s="9">
        <v>54.406999999999996</v>
      </c>
      <c r="H394" s="9">
        <v>51.287999999999997</v>
      </c>
      <c r="I394" s="9">
        <v>59.219000000000001</v>
      </c>
      <c r="J394" s="9">
        <v>45.701999999999998</v>
      </c>
      <c r="K394" s="9">
        <v>41.451999999999998</v>
      </c>
    </row>
    <row r="395" spans="2:11" x14ac:dyDescent="0.2">
      <c r="B395" s="9">
        <v>16.399999999999999</v>
      </c>
      <c r="C395" s="5">
        <v>34.715000000000003</v>
      </c>
      <c r="D395" s="5">
        <v>45.77</v>
      </c>
      <c r="E395" s="5">
        <v>46.502000000000002</v>
      </c>
      <c r="F395" s="9">
        <v>44.009</v>
      </c>
      <c r="G395" s="9">
        <v>54.371000000000002</v>
      </c>
      <c r="H395" s="9">
        <v>51.225000000000001</v>
      </c>
      <c r="I395" s="9">
        <v>59.216000000000001</v>
      </c>
      <c r="J395" s="9">
        <v>45.622999999999998</v>
      </c>
      <c r="K395" s="9">
        <v>41.4</v>
      </c>
    </row>
    <row r="396" spans="2:11" x14ac:dyDescent="0.2">
      <c r="B396" s="9">
        <v>16.416666666666668</v>
      </c>
      <c r="C396" s="5">
        <v>34.674999999999997</v>
      </c>
      <c r="D396" s="5">
        <v>45.768999999999998</v>
      </c>
      <c r="E396" s="5">
        <v>46.47</v>
      </c>
      <c r="F396" s="9">
        <v>43.972000000000001</v>
      </c>
      <c r="G396" s="9">
        <v>54.348999999999997</v>
      </c>
      <c r="H396" s="9">
        <v>51.201999999999998</v>
      </c>
      <c r="I396" s="9">
        <v>59.22</v>
      </c>
      <c r="J396" s="9">
        <v>45.64</v>
      </c>
      <c r="K396" s="9">
        <v>41.363999999999997</v>
      </c>
    </row>
    <row r="397" spans="2:11" x14ac:dyDescent="0.2">
      <c r="B397" s="9">
        <v>16.433333333333334</v>
      </c>
      <c r="C397" s="5">
        <v>34.654000000000003</v>
      </c>
      <c r="D397" s="5">
        <v>45.734999999999999</v>
      </c>
      <c r="E397" s="5">
        <v>46.451000000000001</v>
      </c>
      <c r="F397" s="9">
        <v>43.938000000000002</v>
      </c>
      <c r="G397" s="9">
        <v>54.32</v>
      </c>
      <c r="H397" s="9">
        <v>51.162999999999997</v>
      </c>
      <c r="I397" s="9">
        <v>59.151000000000003</v>
      </c>
      <c r="J397" s="9">
        <v>45.567</v>
      </c>
      <c r="K397" s="9">
        <v>41.323</v>
      </c>
    </row>
    <row r="398" spans="2:11" x14ac:dyDescent="0.2">
      <c r="B398" s="9">
        <v>16.45</v>
      </c>
      <c r="C398" s="5">
        <v>34.597999999999999</v>
      </c>
      <c r="D398" s="5">
        <v>45.695999999999998</v>
      </c>
      <c r="E398" s="5">
        <v>46.426000000000002</v>
      </c>
      <c r="F398" s="9">
        <v>43.898000000000003</v>
      </c>
      <c r="G398" s="9">
        <v>54.284999999999997</v>
      </c>
      <c r="H398" s="9">
        <v>51.143000000000001</v>
      </c>
      <c r="I398" s="9">
        <v>59.177999999999997</v>
      </c>
      <c r="J398" s="9">
        <v>45.545999999999999</v>
      </c>
      <c r="K398" s="9">
        <v>41.293999999999997</v>
      </c>
    </row>
    <row r="399" spans="2:11" x14ac:dyDescent="0.2">
      <c r="B399" s="9">
        <v>16.466666666666665</v>
      </c>
      <c r="C399" s="5">
        <v>34.524999999999999</v>
      </c>
      <c r="D399" s="5">
        <v>45.655999999999999</v>
      </c>
      <c r="E399" s="5">
        <v>46.307000000000002</v>
      </c>
      <c r="F399" s="9">
        <v>43.850999999999999</v>
      </c>
      <c r="G399" s="9">
        <v>54.256</v>
      </c>
      <c r="H399" s="9">
        <v>51.148000000000003</v>
      </c>
      <c r="I399" s="9">
        <v>59.113999999999997</v>
      </c>
      <c r="J399" s="9">
        <v>45.503</v>
      </c>
      <c r="K399" s="9">
        <v>41.215000000000003</v>
      </c>
    </row>
    <row r="400" spans="2:11" x14ac:dyDescent="0.2">
      <c r="B400" s="9">
        <v>16.483333333333334</v>
      </c>
      <c r="C400" s="5">
        <v>34.524000000000001</v>
      </c>
      <c r="D400" s="5">
        <v>45.631</v>
      </c>
      <c r="E400" s="5">
        <v>46.283999999999999</v>
      </c>
      <c r="F400" s="9">
        <v>43.814999999999998</v>
      </c>
      <c r="G400" s="9">
        <v>54.220999999999997</v>
      </c>
      <c r="H400" s="9">
        <v>51.107999999999997</v>
      </c>
      <c r="I400" s="9">
        <v>59.073999999999998</v>
      </c>
      <c r="J400" s="9">
        <v>45.445</v>
      </c>
      <c r="K400" s="9">
        <v>41.149000000000001</v>
      </c>
    </row>
    <row r="401" spans="2:11" x14ac:dyDescent="0.2">
      <c r="B401" s="9">
        <v>16.5</v>
      </c>
      <c r="C401" s="5">
        <v>34.457999999999998</v>
      </c>
      <c r="D401" s="5">
        <v>45.616999999999997</v>
      </c>
      <c r="E401" s="5">
        <v>46.198999999999998</v>
      </c>
      <c r="F401" s="9">
        <v>43.764000000000003</v>
      </c>
      <c r="G401" s="9">
        <v>54.207000000000001</v>
      </c>
      <c r="H401" s="9">
        <v>51.106000000000002</v>
      </c>
      <c r="I401" s="9">
        <v>59.033999999999999</v>
      </c>
      <c r="J401" s="9">
        <v>45.384</v>
      </c>
      <c r="K401" s="9">
        <v>41.13</v>
      </c>
    </row>
    <row r="402" spans="2:11" x14ac:dyDescent="0.2">
      <c r="B402" s="9">
        <v>16.516666666666666</v>
      </c>
      <c r="C402" s="5">
        <v>34.415999999999997</v>
      </c>
      <c r="D402" s="5">
        <v>45.597000000000001</v>
      </c>
      <c r="E402" s="5">
        <v>46.195</v>
      </c>
      <c r="F402" s="9">
        <v>43.712000000000003</v>
      </c>
      <c r="G402" s="9">
        <v>54.204999999999998</v>
      </c>
      <c r="H402" s="9">
        <v>50.881999999999998</v>
      </c>
      <c r="I402" s="9">
        <v>59.043999999999997</v>
      </c>
      <c r="J402" s="9">
        <v>45.350999999999999</v>
      </c>
      <c r="K402" s="9">
        <v>41.112000000000002</v>
      </c>
    </row>
    <row r="403" spans="2:11" x14ac:dyDescent="0.2">
      <c r="B403" s="9">
        <v>16.533333333333335</v>
      </c>
      <c r="C403" s="5">
        <v>34.381999999999998</v>
      </c>
      <c r="D403" s="5">
        <v>45.570999999999998</v>
      </c>
      <c r="E403" s="5">
        <v>46.19</v>
      </c>
      <c r="F403" s="9">
        <v>43.689</v>
      </c>
      <c r="G403" s="9">
        <v>54.156999999999996</v>
      </c>
      <c r="H403" s="9">
        <v>51.012</v>
      </c>
      <c r="I403" s="9">
        <v>59.018999999999998</v>
      </c>
      <c r="J403" s="9">
        <v>45.34</v>
      </c>
      <c r="K403" s="9">
        <v>41.073</v>
      </c>
    </row>
    <row r="404" spans="2:11" x14ac:dyDescent="0.2">
      <c r="B404" s="9">
        <v>16.55</v>
      </c>
      <c r="C404" s="5">
        <v>34.332000000000001</v>
      </c>
      <c r="D404" s="5">
        <v>45.55</v>
      </c>
      <c r="E404" s="5">
        <v>46.081000000000003</v>
      </c>
      <c r="F404" s="9">
        <v>43.649000000000001</v>
      </c>
      <c r="G404" s="9">
        <v>54.143000000000001</v>
      </c>
      <c r="H404" s="9">
        <v>50.948</v>
      </c>
      <c r="I404" s="9">
        <v>58.984000000000002</v>
      </c>
      <c r="J404" s="9">
        <v>45.33</v>
      </c>
      <c r="K404" s="9">
        <v>41.008000000000003</v>
      </c>
    </row>
    <row r="405" spans="2:11" x14ac:dyDescent="0.2">
      <c r="B405" s="9">
        <v>16.566666666666666</v>
      </c>
      <c r="C405" s="5">
        <v>34.320999999999998</v>
      </c>
      <c r="D405" s="5">
        <v>45.52</v>
      </c>
      <c r="E405" s="5">
        <v>46.033000000000001</v>
      </c>
      <c r="F405" s="9">
        <v>43.613</v>
      </c>
      <c r="G405" s="9">
        <v>54.094999999999999</v>
      </c>
      <c r="H405" s="9">
        <v>50.962000000000003</v>
      </c>
      <c r="I405" s="9">
        <v>58.988</v>
      </c>
      <c r="J405" s="9">
        <v>45.295999999999999</v>
      </c>
      <c r="K405" s="9">
        <v>40.991999999999997</v>
      </c>
    </row>
    <row r="406" spans="2:11" x14ac:dyDescent="0.2">
      <c r="B406" s="9">
        <v>16.583333333333332</v>
      </c>
      <c r="C406" s="5">
        <v>34.244999999999997</v>
      </c>
      <c r="D406" s="5">
        <v>45.484999999999999</v>
      </c>
      <c r="E406" s="5">
        <v>46.012</v>
      </c>
      <c r="F406" s="9">
        <v>43.55</v>
      </c>
      <c r="G406" s="9">
        <v>54.101999999999997</v>
      </c>
      <c r="H406" s="9">
        <v>50.933999999999997</v>
      </c>
      <c r="I406" s="9">
        <v>58.918999999999997</v>
      </c>
      <c r="J406" s="9">
        <v>45.243000000000002</v>
      </c>
      <c r="K406" s="9">
        <v>40.947000000000003</v>
      </c>
    </row>
    <row r="407" spans="2:11" x14ac:dyDescent="0.2">
      <c r="B407" s="9">
        <v>16.600000000000001</v>
      </c>
      <c r="C407" s="5">
        <v>34.244</v>
      </c>
      <c r="D407" s="5">
        <v>45.427</v>
      </c>
      <c r="E407" s="5">
        <v>45.972999999999999</v>
      </c>
      <c r="F407" s="9">
        <v>43.524000000000001</v>
      </c>
      <c r="G407" s="9">
        <v>54.042999999999999</v>
      </c>
      <c r="H407" s="9">
        <v>50.868000000000002</v>
      </c>
      <c r="I407" s="9">
        <v>58.892000000000003</v>
      </c>
      <c r="J407" s="9">
        <v>45.192999999999998</v>
      </c>
      <c r="K407" s="9">
        <v>40.914999999999999</v>
      </c>
    </row>
    <row r="408" spans="2:11" x14ac:dyDescent="0.2">
      <c r="B408" s="9">
        <v>16.616666666666667</v>
      </c>
      <c r="C408" s="5">
        <v>34.192</v>
      </c>
      <c r="D408" s="5">
        <v>45.406999999999996</v>
      </c>
      <c r="E408" s="5">
        <v>45.991</v>
      </c>
      <c r="F408" s="9">
        <v>43.506999999999998</v>
      </c>
      <c r="G408" s="9">
        <v>54.005000000000003</v>
      </c>
      <c r="H408" s="9">
        <v>50.774000000000001</v>
      </c>
      <c r="I408" s="9">
        <v>58.923999999999999</v>
      </c>
      <c r="J408" s="9">
        <v>45.237000000000002</v>
      </c>
      <c r="K408" s="9">
        <v>40.841000000000001</v>
      </c>
    </row>
    <row r="409" spans="2:11" x14ac:dyDescent="0.2">
      <c r="B409" s="9">
        <v>16.633333333333333</v>
      </c>
      <c r="C409" s="5">
        <v>34.158999999999999</v>
      </c>
      <c r="D409" s="5">
        <v>45.399000000000001</v>
      </c>
      <c r="E409" s="5">
        <v>45.944000000000003</v>
      </c>
      <c r="F409" s="9">
        <v>43.444000000000003</v>
      </c>
      <c r="G409" s="9">
        <v>54.01</v>
      </c>
      <c r="H409" s="9">
        <v>50.78</v>
      </c>
      <c r="I409" s="9">
        <v>58.89</v>
      </c>
      <c r="J409" s="9">
        <v>45.155000000000001</v>
      </c>
      <c r="K409" s="9">
        <v>40.826999999999998</v>
      </c>
    </row>
    <row r="410" spans="2:11" x14ac:dyDescent="0.2">
      <c r="B410" s="9">
        <v>16.649999999999999</v>
      </c>
      <c r="C410" s="5">
        <v>34.095999999999997</v>
      </c>
      <c r="D410" s="5">
        <v>45.323</v>
      </c>
      <c r="E410" s="5">
        <v>45.853000000000002</v>
      </c>
      <c r="F410" s="9">
        <v>43.42</v>
      </c>
      <c r="G410" s="9">
        <v>53.954000000000001</v>
      </c>
      <c r="H410" s="9">
        <v>50.77</v>
      </c>
      <c r="I410" s="9">
        <v>58.783999999999999</v>
      </c>
      <c r="J410" s="9">
        <v>45.133000000000003</v>
      </c>
      <c r="K410" s="9">
        <v>40.755000000000003</v>
      </c>
    </row>
    <row r="411" spans="2:11" x14ac:dyDescent="0.2">
      <c r="B411" s="9">
        <v>16.666666666666668</v>
      </c>
      <c r="C411" s="5">
        <v>34.087000000000003</v>
      </c>
      <c r="D411" s="5">
        <v>45.316000000000003</v>
      </c>
      <c r="E411" s="5">
        <v>45.872999999999998</v>
      </c>
      <c r="F411" s="9">
        <v>43.399000000000001</v>
      </c>
      <c r="G411" s="9">
        <v>53.920999999999999</v>
      </c>
      <c r="H411" s="9">
        <v>50.648000000000003</v>
      </c>
      <c r="I411" s="9">
        <v>58.79</v>
      </c>
      <c r="J411" s="9">
        <v>45.07</v>
      </c>
      <c r="K411" s="9">
        <v>40.698999999999998</v>
      </c>
    </row>
    <row r="412" spans="2:11" x14ac:dyDescent="0.2">
      <c r="B412" s="9">
        <v>16.683333333333334</v>
      </c>
      <c r="C412" s="5">
        <v>34.021000000000001</v>
      </c>
      <c r="D412" s="5">
        <v>45.295000000000002</v>
      </c>
      <c r="E412" s="5">
        <v>45.847000000000001</v>
      </c>
      <c r="F412" s="9">
        <v>43.307000000000002</v>
      </c>
      <c r="G412" s="9">
        <v>53.9</v>
      </c>
      <c r="H412" s="9">
        <v>50.664000000000001</v>
      </c>
      <c r="I412" s="9">
        <v>58.825000000000003</v>
      </c>
      <c r="J412" s="9">
        <v>45.027000000000001</v>
      </c>
      <c r="K412" s="9">
        <v>40.701000000000001</v>
      </c>
    </row>
    <row r="413" spans="2:11" x14ac:dyDescent="0.2">
      <c r="B413" s="9">
        <v>16.7</v>
      </c>
      <c r="C413" s="5">
        <v>33.935000000000002</v>
      </c>
      <c r="D413" s="5">
        <v>45.274000000000001</v>
      </c>
      <c r="E413" s="5">
        <v>45.747999999999998</v>
      </c>
      <c r="F413" s="9">
        <v>43.296999999999997</v>
      </c>
      <c r="G413" s="9">
        <v>53.88</v>
      </c>
      <c r="H413" s="9">
        <v>50.313000000000002</v>
      </c>
      <c r="I413" s="9">
        <v>58.767000000000003</v>
      </c>
      <c r="J413" s="9">
        <v>44.994999999999997</v>
      </c>
      <c r="K413" s="9">
        <v>40.658000000000001</v>
      </c>
    </row>
    <row r="414" spans="2:11" x14ac:dyDescent="0.2">
      <c r="B414" s="9">
        <v>16.716666666666665</v>
      </c>
      <c r="C414" s="5">
        <v>33.902000000000001</v>
      </c>
      <c r="D414" s="5">
        <v>45.23</v>
      </c>
      <c r="E414" s="5">
        <v>45.725000000000001</v>
      </c>
      <c r="F414" s="9">
        <v>43.246000000000002</v>
      </c>
      <c r="G414" s="9">
        <v>53.83</v>
      </c>
      <c r="H414" s="9">
        <v>50.612000000000002</v>
      </c>
      <c r="I414" s="9">
        <v>58.720999999999997</v>
      </c>
      <c r="J414" s="9">
        <v>44.94</v>
      </c>
      <c r="K414" s="9">
        <v>40.606000000000002</v>
      </c>
    </row>
    <row r="415" spans="2:11" x14ac:dyDescent="0.2">
      <c r="B415" s="9">
        <v>16.733333333333334</v>
      </c>
      <c r="C415" s="5">
        <v>33.892000000000003</v>
      </c>
      <c r="D415" s="5">
        <v>45.203000000000003</v>
      </c>
      <c r="E415" s="5">
        <v>45.704000000000001</v>
      </c>
      <c r="F415" s="9">
        <v>43.2</v>
      </c>
      <c r="G415" s="9">
        <v>53.831000000000003</v>
      </c>
      <c r="H415" s="9">
        <v>50.506</v>
      </c>
      <c r="I415" s="9">
        <v>58.701000000000001</v>
      </c>
      <c r="J415" s="9">
        <v>44.884999999999998</v>
      </c>
      <c r="K415" s="9">
        <v>40.567999999999998</v>
      </c>
    </row>
    <row r="416" spans="2:11" x14ac:dyDescent="0.2">
      <c r="B416" s="9">
        <v>16.75</v>
      </c>
      <c r="C416" s="5">
        <v>33.877000000000002</v>
      </c>
      <c r="D416" s="5">
        <v>45.183</v>
      </c>
      <c r="E416" s="5">
        <v>45.677</v>
      </c>
      <c r="F416" s="9">
        <v>43.167000000000002</v>
      </c>
      <c r="G416" s="9">
        <v>53.82</v>
      </c>
      <c r="H416" s="9">
        <v>50.491999999999997</v>
      </c>
      <c r="I416" s="9">
        <v>58.686999999999998</v>
      </c>
      <c r="J416" s="9">
        <v>44.857999999999997</v>
      </c>
      <c r="K416" s="9">
        <v>40.515999999999998</v>
      </c>
    </row>
    <row r="417" spans="2:11" x14ac:dyDescent="0.2">
      <c r="B417" s="9">
        <v>16.766666666666666</v>
      </c>
      <c r="C417" s="5">
        <v>33.826000000000001</v>
      </c>
      <c r="D417" s="5">
        <v>45.18</v>
      </c>
      <c r="E417" s="5">
        <v>45.646999999999998</v>
      </c>
      <c r="F417" s="9">
        <v>43.11</v>
      </c>
      <c r="G417" s="9">
        <v>53.750999999999998</v>
      </c>
      <c r="H417" s="9">
        <v>50.384999999999998</v>
      </c>
      <c r="I417" s="9">
        <v>58.637999999999998</v>
      </c>
      <c r="J417" s="9">
        <v>44.816000000000003</v>
      </c>
      <c r="K417" s="9">
        <v>40.445</v>
      </c>
    </row>
    <row r="418" spans="2:11" x14ac:dyDescent="0.2">
      <c r="B418" s="9">
        <v>16.783333333333335</v>
      </c>
      <c r="C418" s="5">
        <v>33.790999999999997</v>
      </c>
      <c r="D418" s="5">
        <v>45.125999999999998</v>
      </c>
      <c r="E418" s="5">
        <v>45.59</v>
      </c>
      <c r="F418" s="9">
        <v>43.048999999999999</v>
      </c>
      <c r="G418" s="9">
        <v>53.732999999999997</v>
      </c>
      <c r="H418" s="9">
        <v>50.405000000000001</v>
      </c>
      <c r="I418" s="9">
        <v>58.616</v>
      </c>
      <c r="J418" s="9">
        <v>44.771999999999998</v>
      </c>
      <c r="K418" s="9">
        <v>40.396999999999998</v>
      </c>
    </row>
    <row r="419" spans="2:11" x14ac:dyDescent="0.2">
      <c r="B419" s="9">
        <v>16.8</v>
      </c>
      <c r="C419" s="5">
        <v>33.713999999999999</v>
      </c>
      <c r="D419" s="5">
        <v>45.134999999999998</v>
      </c>
      <c r="E419" s="5">
        <v>45.530999999999999</v>
      </c>
      <c r="F419" s="9">
        <v>43.029000000000003</v>
      </c>
      <c r="G419" s="9">
        <v>53.679000000000002</v>
      </c>
      <c r="H419" s="9">
        <v>50.411000000000001</v>
      </c>
      <c r="I419" s="9">
        <v>58.619</v>
      </c>
      <c r="J419" s="9">
        <v>44.69</v>
      </c>
      <c r="K419" s="9">
        <v>40.320999999999998</v>
      </c>
    </row>
    <row r="420" spans="2:11" x14ac:dyDescent="0.2">
      <c r="B420" s="9">
        <v>16.816666666666666</v>
      </c>
      <c r="C420" s="5">
        <v>33.701000000000001</v>
      </c>
      <c r="D420" s="5">
        <v>45.076000000000001</v>
      </c>
      <c r="E420" s="5">
        <v>45.548000000000002</v>
      </c>
      <c r="F420" s="9">
        <v>42.984000000000002</v>
      </c>
      <c r="G420" s="9">
        <v>53.642000000000003</v>
      </c>
      <c r="H420" s="9">
        <v>50.326000000000001</v>
      </c>
      <c r="I420" s="9">
        <v>58.598999999999997</v>
      </c>
      <c r="J420" s="9">
        <v>44.616</v>
      </c>
      <c r="K420" s="9">
        <v>40.198</v>
      </c>
    </row>
    <row r="421" spans="2:11" x14ac:dyDescent="0.2">
      <c r="B421" s="9">
        <v>16.833333333333332</v>
      </c>
      <c r="C421" s="5">
        <v>33.643999999999998</v>
      </c>
      <c r="D421" s="5">
        <v>45.064999999999998</v>
      </c>
      <c r="E421" s="5">
        <v>45.468000000000004</v>
      </c>
      <c r="F421" s="9">
        <v>42.917000000000002</v>
      </c>
      <c r="G421" s="9">
        <v>53.58</v>
      </c>
      <c r="H421" s="9">
        <v>50.345999999999997</v>
      </c>
      <c r="I421" s="9">
        <v>58.521999999999998</v>
      </c>
      <c r="J421" s="9">
        <v>44.61</v>
      </c>
      <c r="K421" s="9">
        <v>40.222000000000001</v>
      </c>
    </row>
    <row r="422" spans="2:11" x14ac:dyDescent="0.2">
      <c r="B422" s="9">
        <v>16.850000000000001</v>
      </c>
      <c r="C422" s="5">
        <v>33.634</v>
      </c>
      <c r="D422" s="5">
        <v>45.055</v>
      </c>
      <c r="E422" s="5">
        <v>45.429000000000002</v>
      </c>
      <c r="F422" s="9">
        <v>42.887999999999998</v>
      </c>
      <c r="G422" s="9">
        <v>53.537999999999997</v>
      </c>
      <c r="H422" s="9">
        <v>50.246000000000002</v>
      </c>
      <c r="I422" s="9">
        <v>58.497</v>
      </c>
      <c r="J422" s="9">
        <v>44.564999999999998</v>
      </c>
      <c r="K422" s="9">
        <v>40.073</v>
      </c>
    </row>
    <row r="423" spans="2:11" x14ac:dyDescent="0.2">
      <c r="B423" s="9">
        <v>16.866666666666667</v>
      </c>
      <c r="C423" s="5">
        <v>33.578000000000003</v>
      </c>
      <c r="D423" s="5">
        <v>44.984999999999999</v>
      </c>
      <c r="E423" s="5">
        <v>45.399000000000001</v>
      </c>
      <c r="F423" s="9">
        <v>42.832999999999998</v>
      </c>
      <c r="G423" s="9">
        <v>53.481999999999999</v>
      </c>
      <c r="H423" s="9">
        <v>50.331000000000003</v>
      </c>
      <c r="I423" s="9">
        <v>58.465000000000003</v>
      </c>
      <c r="J423" s="9">
        <v>44.564999999999998</v>
      </c>
      <c r="K423" s="9">
        <v>40.073</v>
      </c>
    </row>
    <row r="424" spans="2:11" x14ac:dyDescent="0.2">
      <c r="B424" s="9">
        <v>16.883333333333333</v>
      </c>
      <c r="C424" s="5">
        <v>33.564999999999998</v>
      </c>
      <c r="D424" s="5">
        <v>44.972000000000001</v>
      </c>
      <c r="E424" s="5">
        <v>45.356000000000002</v>
      </c>
      <c r="F424" s="9">
        <v>42.832000000000001</v>
      </c>
      <c r="G424" s="9">
        <v>53.497999999999998</v>
      </c>
      <c r="H424" s="9">
        <v>50.118000000000002</v>
      </c>
      <c r="I424" s="9">
        <v>58.453000000000003</v>
      </c>
      <c r="J424" s="9">
        <v>44.494</v>
      </c>
      <c r="K424" s="9">
        <v>40.052999999999997</v>
      </c>
    </row>
    <row r="425" spans="2:11" x14ac:dyDescent="0.2">
      <c r="B425" s="9">
        <v>16.899999999999999</v>
      </c>
      <c r="C425" s="5">
        <v>33.533000000000001</v>
      </c>
      <c r="D425" s="5">
        <v>44.963999999999999</v>
      </c>
      <c r="E425" s="5">
        <v>45.35</v>
      </c>
      <c r="F425" s="9">
        <v>42.734999999999999</v>
      </c>
      <c r="G425" s="9">
        <v>53.448999999999998</v>
      </c>
      <c r="H425" s="9">
        <v>50.234999999999999</v>
      </c>
      <c r="I425" s="9">
        <v>58.344000000000001</v>
      </c>
      <c r="J425" s="9">
        <v>44.448999999999998</v>
      </c>
      <c r="K425" s="9">
        <v>39.973999999999997</v>
      </c>
    </row>
    <row r="426" spans="2:11" x14ac:dyDescent="0.2">
      <c r="B426" s="9">
        <v>16.916666666666668</v>
      </c>
      <c r="C426" s="5">
        <v>33.502000000000002</v>
      </c>
      <c r="D426" s="5">
        <v>44.936999999999998</v>
      </c>
      <c r="E426" s="5">
        <v>45.347999999999999</v>
      </c>
      <c r="F426" s="9">
        <v>42.682000000000002</v>
      </c>
      <c r="G426" s="9">
        <v>53.384</v>
      </c>
      <c r="H426" s="9">
        <v>50.173000000000002</v>
      </c>
      <c r="I426" s="9">
        <v>58.335999999999999</v>
      </c>
      <c r="J426" s="9">
        <v>44.420999999999999</v>
      </c>
      <c r="K426" s="9">
        <v>39.914000000000001</v>
      </c>
    </row>
    <row r="427" spans="2:11" x14ac:dyDescent="0.2">
      <c r="B427" s="9">
        <v>16.933333333333334</v>
      </c>
      <c r="C427" s="5">
        <v>33.429000000000002</v>
      </c>
      <c r="D427" s="5">
        <v>44.890999999999998</v>
      </c>
      <c r="E427" s="5">
        <v>45.298000000000002</v>
      </c>
      <c r="F427" s="9">
        <v>42.639000000000003</v>
      </c>
      <c r="G427" s="9">
        <v>53.377000000000002</v>
      </c>
      <c r="H427" s="9">
        <v>50.026000000000003</v>
      </c>
      <c r="I427" s="9">
        <v>58.302</v>
      </c>
      <c r="J427" s="9">
        <v>44.38</v>
      </c>
      <c r="K427" s="9">
        <v>39.887999999999998</v>
      </c>
    </row>
    <row r="428" spans="2:11" x14ac:dyDescent="0.2">
      <c r="B428" s="9">
        <v>16.95</v>
      </c>
      <c r="C428" s="5">
        <v>33.378999999999998</v>
      </c>
      <c r="D428" s="5">
        <v>44.892000000000003</v>
      </c>
      <c r="E428" s="5">
        <v>45.253</v>
      </c>
      <c r="F428" s="9">
        <v>42.576999999999998</v>
      </c>
      <c r="G428" s="9">
        <v>53.347999999999999</v>
      </c>
      <c r="H428" s="9">
        <v>50.134999999999998</v>
      </c>
      <c r="I428" s="9">
        <v>58.225999999999999</v>
      </c>
      <c r="J428" s="9">
        <v>44.341000000000001</v>
      </c>
      <c r="K428" s="9">
        <v>39.813000000000002</v>
      </c>
    </row>
    <row r="429" spans="2:11" x14ac:dyDescent="0.2">
      <c r="B429" s="9">
        <v>16.966666666666665</v>
      </c>
      <c r="C429" s="5">
        <v>33.323999999999998</v>
      </c>
      <c r="D429" s="5">
        <v>44.831000000000003</v>
      </c>
      <c r="E429" s="5">
        <v>45.258000000000003</v>
      </c>
      <c r="F429" s="9">
        <v>42.555</v>
      </c>
      <c r="G429" s="9">
        <v>53.37</v>
      </c>
      <c r="H429" s="9">
        <v>50.134999999999998</v>
      </c>
      <c r="I429" s="9">
        <v>58.284999999999997</v>
      </c>
      <c r="J429" s="9">
        <v>44.289000000000001</v>
      </c>
      <c r="K429" s="9">
        <v>39.787999999999997</v>
      </c>
    </row>
    <row r="430" spans="2:11" x14ac:dyDescent="0.2">
      <c r="B430" s="9">
        <v>16.983333333333334</v>
      </c>
      <c r="C430" s="5">
        <v>33.302</v>
      </c>
      <c r="D430" s="5">
        <v>44.801000000000002</v>
      </c>
      <c r="E430" s="5">
        <v>45.168999999999997</v>
      </c>
      <c r="F430" s="9">
        <v>42.499000000000002</v>
      </c>
      <c r="G430" s="9">
        <v>53.29</v>
      </c>
      <c r="H430" s="9">
        <v>50.11</v>
      </c>
      <c r="I430" s="9">
        <v>58.213000000000001</v>
      </c>
      <c r="J430" s="9">
        <v>44.195</v>
      </c>
      <c r="K430" s="9">
        <v>39.780999999999999</v>
      </c>
    </row>
    <row r="431" spans="2:11" x14ac:dyDescent="0.2">
      <c r="B431" s="9">
        <v>17</v>
      </c>
      <c r="C431" s="5">
        <v>33.281999999999996</v>
      </c>
      <c r="D431" s="5">
        <v>44.774999999999999</v>
      </c>
      <c r="E431" s="5">
        <v>45.158999999999999</v>
      </c>
      <c r="F431" s="9">
        <v>42.460999999999999</v>
      </c>
      <c r="G431" s="9">
        <v>53.261000000000003</v>
      </c>
      <c r="H431" s="9">
        <v>49.86</v>
      </c>
      <c r="I431" s="9">
        <v>58.185000000000002</v>
      </c>
      <c r="J431" s="9">
        <v>44.213000000000001</v>
      </c>
      <c r="K431" s="9">
        <v>39.683999999999997</v>
      </c>
    </row>
    <row r="432" spans="2:11" x14ac:dyDescent="0.2">
      <c r="B432" s="9">
        <v>17.016666666666666</v>
      </c>
      <c r="C432" s="5">
        <v>33.222000000000001</v>
      </c>
      <c r="D432" s="5">
        <v>44.764000000000003</v>
      </c>
      <c r="E432" s="5">
        <v>45.148000000000003</v>
      </c>
      <c r="F432" s="9">
        <v>42.401000000000003</v>
      </c>
      <c r="G432" s="9">
        <v>53.186999999999998</v>
      </c>
      <c r="H432" s="9">
        <v>50.031999999999996</v>
      </c>
      <c r="I432" s="9">
        <v>58.143999999999998</v>
      </c>
      <c r="J432" s="9">
        <v>44.152999999999999</v>
      </c>
      <c r="K432" s="9">
        <v>39.671999999999997</v>
      </c>
    </row>
    <row r="433" spans="2:11" x14ac:dyDescent="0.2">
      <c r="B433" s="9">
        <v>17.033333333333335</v>
      </c>
      <c r="C433" s="5">
        <v>33.164000000000001</v>
      </c>
      <c r="D433" s="5">
        <v>44.710999999999999</v>
      </c>
      <c r="E433" s="5">
        <v>45.076999999999998</v>
      </c>
      <c r="F433" s="9">
        <v>42.387999999999998</v>
      </c>
      <c r="G433" s="9">
        <v>53.177</v>
      </c>
      <c r="H433" s="9">
        <v>49.960999999999999</v>
      </c>
      <c r="I433" s="9">
        <v>58.125</v>
      </c>
      <c r="J433" s="9">
        <v>44.058999999999997</v>
      </c>
      <c r="K433" s="9">
        <v>39.643000000000001</v>
      </c>
    </row>
    <row r="434" spans="2:11" x14ac:dyDescent="0.2">
      <c r="B434" s="9">
        <v>17.05</v>
      </c>
      <c r="C434" s="5">
        <v>33.119999999999997</v>
      </c>
      <c r="D434" s="5">
        <v>44.716999999999999</v>
      </c>
      <c r="E434" s="5">
        <v>45.085999999999999</v>
      </c>
      <c r="F434" s="9">
        <v>42.334000000000003</v>
      </c>
      <c r="G434" s="9">
        <v>53.170999999999999</v>
      </c>
      <c r="H434" s="9">
        <v>49.915999999999997</v>
      </c>
      <c r="I434" s="9">
        <v>58.088999999999999</v>
      </c>
      <c r="J434" s="9">
        <v>44.100999999999999</v>
      </c>
      <c r="K434" s="9">
        <v>39.601999999999997</v>
      </c>
    </row>
    <row r="435" spans="2:11" x14ac:dyDescent="0.2">
      <c r="B435" s="9">
        <v>17.066666666666666</v>
      </c>
      <c r="C435" s="5">
        <v>33.101999999999997</v>
      </c>
      <c r="D435" s="5">
        <v>44.662999999999997</v>
      </c>
      <c r="E435" s="5">
        <v>45.012999999999998</v>
      </c>
      <c r="F435" s="9">
        <v>42.292999999999999</v>
      </c>
      <c r="G435" s="9">
        <v>53.128</v>
      </c>
      <c r="H435" s="9">
        <v>49.92</v>
      </c>
      <c r="I435" s="9">
        <v>58.085000000000001</v>
      </c>
      <c r="J435" s="9">
        <v>44.048000000000002</v>
      </c>
      <c r="K435" s="9">
        <v>39.542999999999999</v>
      </c>
    </row>
    <row r="436" spans="2:11" x14ac:dyDescent="0.2">
      <c r="B436" s="9">
        <v>17.083333333333332</v>
      </c>
      <c r="C436" s="5">
        <v>33.052</v>
      </c>
      <c r="D436" s="5">
        <v>44.64</v>
      </c>
      <c r="E436" s="5">
        <v>44.954999999999998</v>
      </c>
      <c r="F436" s="9">
        <v>42.265000000000001</v>
      </c>
      <c r="G436" s="9">
        <v>53.09</v>
      </c>
      <c r="H436" s="9">
        <v>49.658999999999999</v>
      </c>
      <c r="I436" s="9">
        <v>57.999000000000002</v>
      </c>
      <c r="J436" s="9">
        <v>43.941000000000003</v>
      </c>
      <c r="K436" s="9">
        <v>39.518999999999998</v>
      </c>
    </row>
    <row r="437" spans="2:11" x14ac:dyDescent="0.2">
      <c r="B437" s="9">
        <v>17.100000000000001</v>
      </c>
      <c r="C437" s="5">
        <v>32.994999999999997</v>
      </c>
      <c r="D437" s="5">
        <v>44.621000000000002</v>
      </c>
      <c r="E437" s="5">
        <v>44.932000000000002</v>
      </c>
      <c r="F437" s="9">
        <v>42.207000000000001</v>
      </c>
      <c r="G437" s="9">
        <v>53.037999999999997</v>
      </c>
      <c r="H437" s="9">
        <v>49.801000000000002</v>
      </c>
      <c r="I437" s="9">
        <v>57.972000000000001</v>
      </c>
      <c r="J437" s="9">
        <v>43.902999999999999</v>
      </c>
      <c r="K437" s="9">
        <v>39.451000000000001</v>
      </c>
    </row>
    <row r="438" spans="2:11" x14ac:dyDescent="0.2">
      <c r="B438" s="9">
        <v>17.116666666666667</v>
      </c>
      <c r="C438" s="5">
        <v>32.973999999999997</v>
      </c>
      <c r="D438" s="5">
        <v>44.594999999999999</v>
      </c>
      <c r="E438" s="5">
        <v>44.905999999999999</v>
      </c>
      <c r="F438" s="9">
        <v>42.173000000000002</v>
      </c>
      <c r="G438" s="9">
        <v>53.061</v>
      </c>
      <c r="H438" s="9">
        <v>49.677</v>
      </c>
      <c r="I438" s="9">
        <v>57.915999999999997</v>
      </c>
      <c r="J438" s="9">
        <v>43.884999999999998</v>
      </c>
      <c r="K438" s="9">
        <v>39.42</v>
      </c>
    </row>
    <row r="439" spans="2:11" x14ac:dyDescent="0.2">
      <c r="B439" s="9">
        <v>17.133333333333333</v>
      </c>
      <c r="C439" s="5">
        <v>32.917000000000002</v>
      </c>
      <c r="D439" s="5">
        <v>44.578000000000003</v>
      </c>
      <c r="E439" s="5">
        <v>44.838000000000001</v>
      </c>
      <c r="F439" s="9">
        <v>42.148000000000003</v>
      </c>
      <c r="G439" s="9">
        <v>53.018000000000001</v>
      </c>
      <c r="H439" s="9">
        <v>49.728999999999999</v>
      </c>
      <c r="I439" s="9">
        <v>57.875</v>
      </c>
      <c r="J439" s="9">
        <v>43.866999999999997</v>
      </c>
      <c r="K439" s="9">
        <v>39.371000000000002</v>
      </c>
    </row>
    <row r="440" spans="2:11" x14ac:dyDescent="0.2">
      <c r="B440" s="9">
        <v>17.149999999999999</v>
      </c>
      <c r="C440" s="5">
        <v>32.921999999999997</v>
      </c>
      <c r="D440" s="5">
        <v>44.539000000000001</v>
      </c>
      <c r="E440" s="5">
        <v>44.801000000000002</v>
      </c>
      <c r="F440" s="9">
        <v>42.134</v>
      </c>
      <c r="G440" s="9">
        <v>52.975999999999999</v>
      </c>
      <c r="H440" s="9">
        <v>49.674999999999997</v>
      </c>
      <c r="I440" s="9">
        <v>57.847000000000001</v>
      </c>
      <c r="J440" s="9">
        <v>43.789000000000001</v>
      </c>
      <c r="K440" s="9">
        <v>39.311</v>
      </c>
    </row>
    <row r="441" spans="2:11" x14ac:dyDescent="0.2">
      <c r="B441" s="9">
        <v>17.166666666666668</v>
      </c>
      <c r="C441" s="5">
        <v>32.835999999999999</v>
      </c>
      <c r="D441" s="5">
        <v>44.5</v>
      </c>
      <c r="E441" s="5">
        <v>44.8</v>
      </c>
      <c r="F441" s="9">
        <v>42.093000000000004</v>
      </c>
      <c r="G441" s="9">
        <v>52.985999999999997</v>
      </c>
      <c r="H441" s="9">
        <v>49.643000000000001</v>
      </c>
      <c r="I441" s="9">
        <v>57.838999999999999</v>
      </c>
      <c r="J441" s="9">
        <v>43.735999999999997</v>
      </c>
      <c r="K441" s="9">
        <v>39.305999999999997</v>
      </c>
    </row>
    <row r="442" spans="2:11" x14ac:dyDescent="0.2">
      <c r="B442" s="9">
        <v>17.183333333333334</v>
      </c>
      <c r="C442" s="5">
        <v>32.747999999999998</v>
      </c>
      <c r="D442" s="5">
        <v>44.438000000000002</v>
      </c>
      <c r="E442" s="5">
        <v>44.725000000000001</v>
      </c>
      <c r="F442" s="9">
        <v>42.012</v>
      </c>
      <c r="G442" s="9">
        <v>52.959000000000003</v>
      </c>
      <c r="H442" s="9">
        <v>49.64</v>
      </c>
      <c r="I442" s="9">
        <v>57.789000000000001</v>
      </c>
      <c r="J442" s="9">
        <v>43.716999999999999</v>
      </c>
      <c r="K442" s="9">
        <v>39.238999999999997</v>
      </c>
    </row>
    <row r="443" spans="2:11" x14ac:dyDescent="0.2">
      <c r="B443" s="9">
        <v>17.2</v>
      </c>
      <c r="C443" s="5">
        <v>32.759</v>
      </c>
      <c r="D443" s="5">
        <v>44.432000000000002</v>
      </c>
      <c r="E443" s="5">
        <v>44.738999999999997</v>
      </c>
      <c r="F443" s="9">
        <v>41.976999999999997</v>
      </c>
      <c r="G443" s="9">
        <v>52.906999999999996</v>
      </c>
      <c r="H443" s="9">
        <v>49.497999999999998</v>
      </c>
      <c r="I443" s="9">
        <v>57.734000000000002</v>
      </c>
      <c r="J443" s="9">
        <v>43.667999999999999</v>
      </c>
      <c r="K443" s="9">
        <v>39.180999999999997</v>
      </c>
    </row>
    <row r="444" spans="2:11" x14ac:dyDescent="0.2">
      <c r="B444" s="9">
        <v>17.216666666666665</v>
      </c>
      <c r="C444" s="5">
        <v>32.728999999999999</v>
      </c>
      <c r="D444" s="5">
        <v>44.406999999999996</v>
      </c>
      <c r="E444" s="5">
        <v>44.692999999999998</v>
      </c>
      <c r="F444" s="9">
        <v>41.975999999999999</v>
      </c>
      <c r="G444" s="9">
        <v>52.911000000000001</v>
      </c>
      <c r="H444" s="9">
        <v>49.497</v>
      </c>
      <c r="I444" s="9">
        <v>57.738</v>
      </c>
      <c r="J444" s="9">
        <v>43.628999999999998</v>
      </c>
      <c r="K444" s="9">
        <v>39.134999999999998</v>
      </c>
    </row>
    <row r="445" spans="2:11" x14ac:dyDescent="0.2">
      <c r="B445" s="9">
        <v>17.233333333333334</v>
      </c>
      <c r="C445" s="5">
        <v>32.658999999999999</v>
      </c>
      <c r="D445" s="5">
        <v>44.390999999999998</v>
      </c>
      <c r="E445" s="5">
        <v>44.648000000000003</v>
      </c>
      <c r="F445" s="9">
        <v>41.948999999999998</v>
      </c>
      <c r="G445" s="9">
        <v>52.89</v>
      </c>
      <c r="H445" s="9">
        <v>49.438000000000002</v>
      </c>
      <c r="I445" s="9">
        <v>57.735999999999997</v>
      </c>
      <c r="J445" s="9">
        <v>43.539000000000001</v>
      </c>
      <c r="K445" s="9">
        <v>39.082000000000001</v>
      </c>
    </row>
    <row r="446" spans="2:11" x14ac:dyDescent="0.2">
      <c r="B446" s="9">
        <v>17.25</v>
      </c>
      <c r="C446" s="5">
        <v>32.646999999999998</v>
      </c>
      <c r="D446" s="5">
        <v>44.360999999999997</v>
      </c>
      <c r="E446" s="5">
        <v>44.615000000000002</v>
      </c>
      <c r="F446" s="9">
        <v>41.878</v>
      </c>
      <c r="G446" s="9">
        <v>52.883000000000003</v>
      </c>
      <c r="H446" s="9">
        <v>49.393999999999998</v>
      </c>
      <c r="I446" s="9">
        <v>57.694000000000003</v>
      </c>
      <c r="J446" s="9">
        <v>43.527000000000001</v>
      </c>
      <c r="K446" s="9">
        <v>39.021999999999998</v>
      </c>
    </row>
    <row r="447" spans="2:11" x14ac:dyDescent="0.2">
      <c r="B447" s="9">
        <v>17.266666666666666</v>
      </c>
      <c r="C447" s="5">
        <v>32.575000000000003</v>
      </c>
      <c r="D447" s="5">
        <v>44.279000000000003</v>
      </c>
      <c r="E447" s="5">
        <v>44.62</v>
      </c>
      <c r="F447" s="9">
        <v>41.875</v>
      </c>
      <c r="G447" s="9">
        <v>52.805</v>
      </c>
      <c r="H447" s="9">
        <v>49.341999999999999</v>
      </c>
      <c r="I447" s="9">
        <v>57.63</v>
      </c>
      <c r="J447" s="9">
        <v>43.478999999999999</v>
      </c>
      <c r="K447" s="9">
        <v>38.965000000000003</v>
      </c>
    </row>
    <row r="448" spans="2:11" x14ac:dyDescent="0.2">
      <c r="B448" s="9">
        <v>17.283333333333335</v>
      </c>
      <c r="C448" s="5">
        <v>32.529000000000003</v>
      </c>
      <c r="D448" s="5">
        <v>44.219000000000001</v>
      </c>
      <c r="E448" s="5">
        <v>44.56</v>
      </c>
      <c r="F448" s="9">
        <v>41.817</v>
      </c>
      <c r="G448" s="9">
        <v>52.793999999999997</v>
      </c>
      <c r="H448" s="9">
        <v>49.363</v>
      </c>
      <c r="I448" s="9">
        <v>57.607999999999997</v>
      </c>
      <c r="J448" s="9">
        <v>43.426000000000002</v>
      </c>
      <c r="K448" s="9">
        <v>38.939</v>
      </c>
    </row>
    <row r="449" spans="2:11" x14ac:dyDescent="0.2">
      <c r="B449" s="9">
        <v>17.3</v>
      </c>
      <c r="C449" s="5">
        <v>32.470999999999997</v>
      </c>
      <c r="D449" s="5">
        <v>44.244</v>
      </c>
      <c r="E449" s="5">
        <v>44.542999999999999</v>
      </c>
      <c r="F449" s="9">
        <v>41.817999999999998</v>
      </c>
      <c r="G449" s="9">
        <v>52.78</v>
      </c>
      <c r="H449" s="9">
        <v>49.337000000000003</v>
      </c>
      <c r="I449" s="9">
        <v>57.642000000000003</v>
      </c>
      <c r="J449" s="9">
        <v>43.392000000000003</v>
      </c>
      <c r="K449" s="9">
        <v>38.886000000000003</v>
      </c>
    </row>
    <row r="450" spans="2:11" x14ac:dyDescent="0.2">
      <c r="B450" s="9">
        <v>17.316666666666666</v>
      </c>
      <c r="C450" s="5">
        <v>32.454000000000001</v>
      </c>
      <c r="D450" s="5">
        <v>44.215000000000003</v>
      </c>
      <c r="E450" s="5">
        <v>44.497</v>
      </c>
      <c r="F450" s="9">
        <v>41.816000000000003</v>
      </c>
      <c r="G450" s="9">
        <v>52.776000000000003</v>
      </c>
      <c r="H450" s="9">
        <v>49.195</v>
      </c>
      <c r="I450" s="9">
        <v>57.612000000000002</v>
      </c>
      <c r="J450" s="9">
        <v>43.384999999999998</v>
      </c>
      <c r="K450" s="9">
        <v>38.853000000000002</v>
      </c>
    </row>
    <row r="451" spans="2:11" x14ac:dyDescent="0.2">
      <c r="B451" s="9">
        <v>17.333333333333332</v>
      </c>
      <c r="C451" s="5">
        <v>32.389000000000003</v>
      </c>
      <c r="D451" s="5">
        <v>44.134</v>
      </c>
      <c r="E451" s="5">
        <v>44.429000000000002</v>
      </c>
      <c r="F451" s="9">
        <v>41.747</v>
      </c>
      <c r="G451" s="9">
        <v>52.731999999999999</v>
      </c>
      <c r="H451" s="9">
        <v>49.268999999999998</v>
      </c>
      <c r="I451" s="9">
        <v>57.569000000000003</v>
      </c>
      <c r="J451" s="9">
        <v>43.356000000000002</v>
      </c>
      <c r="K451" s="9">
        <v>38.777000000000001</v>
      </c>
    </row>
    <row r="452" spans="2:11" x14ac:dyDescent="0.2">
      <c r="B452" s="9">
        <v>17.350000000000001</v>
      </c>
      <c r="C452" s="5">
        <v>32.348999999999997</v>
      </c>
      <c r="D452" s="5">
        <v>44.145000000000003</v>
      </c>
      <c r="E452" s="5">
        <v>44.423999999999999</v>
      </c>
      <c r="F452" s="9">
        <v>41.707000000000001</v>
      </c>
      <c r="G452" s="9">
        <v>52.726999999999997</v>
      </c>
      <c r="H452" s="9">
        <v>49.12</v>
      </c>
      <c r="I452" s="9">
        <v>57.572000000000003</v>
      </c>
      <c r="J452" s="9">
        <v>43.286000000000001</v>
      </c>
      <c r="K452" s="9">
        <v>38.762</v>
      </c>
    </row>
    <row r="453" spans="2:11" x14ac:dyDescent="0.2">
      <c r="B453" s="9">
        <v>17.366666666666667</v>
      </c>
      <c r="C453" s="5">
        <v>32.308999999999997</v>
      </c>
      <c r="D453" s="5">
        <v>44.112000000000002</v>
      </c>
      <c r="E453" s="5">
        <v>44.387999999999998</v>
      </c>
      <c r="F453" s="9">
        <v>41.686</v>
      </c>
      <c r="G453" s="9">
        <v>52.677999999999997</v>
      </c>
      <c r="H453" s="9">
        <v>49.151000000000003</v>
      </c>
      <c r="I453" s="9">
        <v>57.470999999999997</v>
      </c>
      <c r="J453" s="9">
        <v>43.256999999999998</v>
      </c>
      <c r="K453" s="9">
        <v>38.686</v>
      </c>
    </row>
    <row r="454" spans="2:11" x14ac:dyDescent="0.2">
      <c r="B454" s="9">
        <v>17.383333333333333</v>
      </c>
      <c r="C454" s="5">
        <v>32.292000000000002</v>
      </c>
      <c r="D454" s="5">
        <v>44.085000000000001</v>
      </c>
      <c r="E454" s="5">
        <v>44.341999999999999</v>
      </c>
      <c r="F454" s="9">
        <v>41.612000000000002</v>
      </c>
      <c r="G454" s="9">
        <v>52.652999999999999</v>
      </c>
      <c r="H454" s="9">
        <v>48.883000000000003</v>
      </c>
      <c r="I454" s="9">
        <v>57.475000000000001</v>
      </c>
      <c r="J454" s="9">
        <v>43.219000000000001</v>
      </c>
      <c r="K454" s="9">
        <v>38.665999999999997</v>
      </c>
    </row>
    <row r="455" spans="2:11" x14ac:dyDescent="0.2">
      <c r="B455" s="9">
        <v>17.399999999999999</v>
      </c>
      <c r="C455" s="5">
        <v>32.231000000000002</v>
      </c>
      <c r="D455" s="5">
        <v>44.045000000000002</v>
      </c>
      <c r="E455" s="5">
        <v>44.338000000000001</v>
      </c>
      <c r="F455" s="9">
        <v>41.588999999999999</v>
      </c>
      <c r="G455" s="9">
        <v>52.639000000000003</v>
      </c>
      <c r="H455" s="9">
        <v>49.1</v>
      </c>
      <c r="I455" s="9">
        <v>57.375999999999998</v>
      </c>
      <c r="J455" s="9">
        <v>43.173999999999999</v>
      </c>
      <c r="K455" s="9">
        <v>38.566000000000003</v>
      </c>
    </row>
    <row r="456" spans="2:11" x14ac:dyDescent="0.2">
      <c r="B456" s="9">
        <v>17.416666666666668</v>
      </c>
      <c r="C456" s="5">
        <v>32.170999999999999</v>
      </c>
      <c r="D456" s="5">
        <v>44.006999999999998</v>
      </c>
      <c r="E456" s="5">
        <v>44.292000000000002</v>
      </c>
      <c r="F456" s="9">
        <v>41.59</v>
      </c>
      <c r="G456" s="9">
        <v>52.606999999999999</v>
      </c>
      <c r="H456" s="9">
        <v>48.966999999999999</v>
      </c>
      <c r="I456" s="9">
        <v>57.359000000000002</v>
      </c>
      <c r="J456" s="9">
        <v>43.194000000000003</v>
      </c>
      <c r="K456" s="9">
        <v>38.554000000000002</v>
      </c>
    </row>
    <row r="457" spans="2:11" x14ac:dyDescent="0.2">
      <c r="B457" s="9">
        <v>17.433333333333334</v>
      </c>
      <c r="C457" s="5">
        <v>32.091000000000001</v>
      </c>
      <c r="D457" s="5">
        <v>43.984999999999999</v>
      </c>
      <c r="E457" s="5">
        <v>44.216999999999999</v>
      </c>
      <c r="F457" s="9">
        <v>41.481999999999999</v>
      </c>
      <c r="G457" s="9">
        <v>52.588000000000001</v>
      </c>
      <c r="H457" s="9">
        <v>48.997</v>
      </c>
      <c r="I457" s="9">
        <v>57.356999999999999</v>
      </c>
      <c r="J457" s="9">
        <v>43.140999999999998</v>
      </c>
      <c r="K457" s="9">
        <v>38.478000000000002</v>
      </c>
    </row>
    <row r="458" spans="2:11" x14ac:dyDescent="0.2">
      <c r="B458" s="9">
        <v>17.45</v>
      </c>
      <c r="C458" s="5">
        <v>32.055999999999997</v>
      </c>
      <c r="D458" s="5">
        <v>43.947000000000003</v>
      </c>
      <c r="E458" s="5">
        <v>44.158000000000001</v>
      </c>
      <c r="F458" s="9">
        <v>41.515999999999998</v>
      </c>
      <c r="G458" s="9">
        <v>52.576000000000001</v>
      </c>
      <c r="H458" s="9">
        <v>48.999000000000002</v>
      </c>
      <c r="I458" s="9">
        <v>57.314999999999998</v>
      </c>
      <c r="J458" s="9">
        <v>43.100999999999999</v>
      </c>
      <c r="K458" s="9">
        <v>38.423999999999999</v>
      </c>
    </row>
    <row r="459" spans="2:11" x14ac:dyDescent="0.2">
      <c r="B459" s="9">
        <v>17.466666666666665</v>
      </c>
      <c r="C459" s="5">
        <v>32.033000000000001</v>
      </c>
      <c r="D459" s="5">
        <v>43.924999999999997</v>
      </c>
      <c r="E459" s="5">
        <v>44.185000000000002</v>
      </c>
      <c r="F459" s="9">
        <v>41.508000000000003</v>
      </c>
      <c r="G459" s="9">
        <v>52.529000000000003</v>
      </c>
      <c r="H459" s="9">
        <v>48.901000000000003</v>
      </c>
      <c r="I459" s="9">
        <v>57.268999999999998</v>
      </c>
      <c r="J459" s="9">
        <v>43.036999999999999</v>
      </c>
      <c r="K459" s="9">
        <v>38.417000000000002</v>
      </c>
    </row>
    <row r="460" spans="2:11" x14ac:dyDescent="0.2">
      <c r="B460" s="9">
        <v>17.483333333333334</v>
      </c>
      <c r="C460" s="5">
        <v>31.97</v>
      </c>
      <c r="D460" s="5">
        <v>43.866999999999997</v>
      </c>
      <c r="E460" s="5">
        <v>44.146000000000001</v>
      </c>
      <c r="F460" s="9">
        <v>41.469000000000001</v>
      </c>
      <c r="G460" s="9">
        <v>52.52</v>
      </c>
      <c r="H460" s="9">
        <v>48.837000000000003</v>
      </c>
      <c r="I460" s="9">
        <v>57.216000000000001</v>
      </c>
      <c r="J460" s="9">
        <v>43.027999999999999</v>
      </c>
      <c r="K460" s="9">
        <v>38.348999999999997</v>
      </c>
    </row>
    <row r="461" spans="2:11" x14ac:dyDescent="0.2">
      <c r="B461" s="9">
        <v>17.5</v>
      </c>
      <c r="C461" s="5">
        <v>31.951000000000001</v>
      </c>
      <c r="D461" s="5">
        <v>43.850999999999999</v>
      </c>
      <c r="E461" s="5">
        <v>44.082999999999998</v>
      </c>
      <c r="F461" s="9">
        <v>41.43</v>
      </c>
      <c r="G461" s="9">
        <v>52.49</v>
      </c>
      <c r="H461" s="9">
        <v>48.762999999999998</v>
      </c>
      <c r="I461" s="9">
        <v>57.222999999999999</v>
      </c>
      <c r="J461" s="9">
        <v>42.984000000000002</v>
      </c>
      <c r="K461" s="9">
        <v>38.314</v>
      </c>
    </row>
    <row r="462" spans="2:11" x14ac:dyDescent="0.2">
      <c r="B462" s="9">
        <v>17.516666666666666</v>
      </c>
      <c r="C462" s="5">
        <v>31.916</v>
      </c>
      <c r="D462" s="5">
        <v>43.823999999999998</v>
      </c>
      <c r="E462" s="5">
        <v>44.104999999999997</v>
      </c>
      <c r="F462" s="9">
        <v>41.408000000000001</v>
      </c>
      <c r="G462" s="9">
        <v>52.505000000000003</v>
      </c>
      <c r="H462" s="9">
        <v>48.753999999999998</v>
      </c>
      <c r="I462" s="9">
        <v>57.204000000000001</v>
      </c>
      <c r="J462" s="9">
        <v>42.968000000000004</v>
      </c>
      <c r="K462" s="9">
        <v>38.29</v>
      </c>
    </row>
    <row r="463" spans="2:11" x14ac:dyDescent="0.2">
      <c r="B463" s="9">
        <v>17.533333333333335</v>
      </c>
      <c r="C463" s="5">
        <v>31.87</v>
      </c>
      <c r="D463" s="5">
        <v>43.814</v>
      </c>
      <c r="E463" s="5">
        <v>44.064</v>
      </c>
      <c r="F463" s="9">
        <v>41.374000000000002</v>
      </c>
      <c r="G463" s="9">
        <v>52.472999999999999</v>
      </c>
      <c r="H463" s="9">
        <v>48.734999999999999</v>
      </c>
      <c r="I463" s="9">
        <v>57.155999999999999</v>
      </c>
      <c r="J463" s="9">
        <v>42.881</v>
      </c>
      <c r="K463" s="9">
        <v>38.22</v>
      </c>
    </row>
    <row r="464" spans="2:11" x14ac:dyDescent="0.2">
      <c r="B464" s="9">
        <v>17.55</v>
      </c>
      <c r="C464" s="5">
        <v>31.803999999999998</v>
      </c>
      <c r="D464" s="5">
        <v>43.777000000000001</v>
      </c>
      <c r="E464" s="5">
        <v>43.970999999999997</v>
      </c>
      <c r="F464" s="9">
        <v>41.334000000000003</v>
      </c>
      <c r="G464" s="9">
        <v>52.457999999999998</v>
      </c>
      <c r="H464" s="9">
        <v>48.636000000000003</v>
      </c>
      <c r="I464" s="9">
        <v>57.124000000000002</v>
      </c>
      <c r="J464" s="9">
        <v>42.871000000000002</v>
      </c>
      <c r="K464" s="9">
        <v>38.174999999999997</v>
      </c>
    </row>
    <row r="465" spans="2:11" x14ac:dyDescent="0.2">
      <c r="B465" s="9">
        <v>17.566666666666666</v>
      </c>
      <c r="C465" s="5">
        <v>31.780999999999999</v>
      </c>
      <c r="D465" s="5">
        <v>43.743000000000002</v>
      </c>
      <c r="E465" s="5">
        <v>43.942</v>
      </c>
      <c r="F465" s="9">
        <v>41.316000000000003</v>
      </c>
      <c r="G465" s="9">
        <v>52.420999999999999</v>
      </c>
      <c r="H465" s="9">
        <v>48.600999999999999</v>
      </c>
      <c r="I465" s="9">
        <v>57.139000000000003</v>
      </c>
      <c r="J465" s="9">
        <v>42.843000000000004</v>
      </c>
      <c r="K465" s="9">
        <v>38.116999999999997</v>
      </c>
    </row>
    <row r="466" spans="2:11" x14ac:dyDescent="0.2">
      <c r="B466" s="9">
        <v>17.583333333333332</v>
      </c>
      <c r="C466" s="5">
        <v>31.666</v>
      </c>
      <c r="D466" s="5">
        <v>43.704999999999998</v>
      </c>
      <c r="E466" s="5">
        <v>43.957999999999998</v>
      </c>
      <c r="F466" s="9">
        <v>41.268999999999998</v>
      </c>
      <c r="G466" s="9">
        <v>52.383000000000003</v>
      </c>
      <c r="H466" s="9">
        <v>48.613999999999997</v>
      </c>
      <c r="I466" s="9">
        <v>57.118000000000002</v>
      </c>
      <c r="J466" s="9">
        <v>42.781999999999996</v>
      </c>
      <c r="K466" s="9">
        <v>38.094999999999999</v>
      </c>
    </row>
    <row r="467" spans="2:11" x14ac:dyDescent="0.2">
      <c r="B467" s="9">
        <v>17.600000000000001</v>
      </c>
      <c r="C467" s="5">
        <v>31.646000000000001</v>
      </c>
      <c r="D467" s="5">
        <v>43.697000000000003</v>
      </c>
      <c r="E467" s="5">
        <v>43.902000000000001</v>
      </c>
      <c r="F467" s="9">
        <v>41.237000000000002</v>
      </c>
      <c r="G467" s="9">
        <v>52.384</v>
      </c>
      <c r="H467" s="9">
        <v>48.69</v>
      </c>
      <c r="I467" s="9">
        <v>57.136000000000003</v>
      </c>
      <c r="J467" s="9">
        <v>42.759</v>
      </c>
      <c r="K467" s="9">
        <v>38.061999999999998</v>
      </c>
    </row>
    <row r="468" spans="2:11" x14ac:dyDescent="0.2">
      <c r="B468" s="9">
        <v>17.616666666666667</v>
      </c>
      <c r="C468" s="5">
        <v>31.582000000000001</v>
      </c>
      <c r="D468" s="5">
        <v>43.65</v>
      </c>
      <c r="E468" s="5">
        <v>43.835000000000001</v>
      </c>
      <c r="F468" s="9">
        <v>41.204000000000001</v>
      </c>
      <c r="G468" s="9">
        <v>52.326000000000001</v>
      </c>
      <c r="H468" s="9">
        <v>48.302</v>
      </c>
      <c r="I468" s="9">
        <v>57.091999999999999</v>
      </c>
      <c r="J468" s="9">
        <v>42.68</v>
      </c>
      <c r="K468" s="9">
        <v>38.005000000000003</v>
      </c>
    </row>
    <row r="469" spans="2:11" x14ac:dyDescent="0.2">
      <c r="B469" s="9">
        <v>17.633333333333333</v>
      </c>
      <c r="C469" s="5">
        <v>31.6</v>
      </c>
      <c r="D469" s="5">
        <v>43.594999999999999</v>
      </c>
      <c r="E469" s="5">
        <v>43.859000000000002</v>
      </c>
      <c r="F469" s="9">
        <v>41.152000000000001</v>
      </c>
      <c r="G469" s="9">
        <v>52.284999999999997</v>
      </c>
      <c r="H469" s="9">
        <v>48.598999999999997</v>
      </c>
      <c r="I469" s="9">
        <v>57.024000000000001</v>
      </c>
      <c r="J469" s="9">
        <v>42.664999999999999</v>
      </c>
      <c r="K469" s="9">
        <v>37.956000000000003</v>
      </c>
    </row>
    <row r="470" spans="2:11" x14ac:dyDescent="0.2">
      <c r="B470" s="9">
        <v>17.649999999999999</v>
      </c>
      <c r="C470" s="5">
        <v>31.558</v>
      </c>
      <c r="D470" s="5">
        <v>43.56</v>
      </c>
      <c r="E470" s="5">
        <v>43.747</v>
      </c>
      <c r="F470" s="9">
        <v>41.11</v>
      </c>
      <c r="G470" s="9">
        <v>52.255000000000003</v>
      </c>
      <c r="H470" s="9">
        <v>48.524000000000001</v>
      </c>
      <c r="I470" s="9">
        <v>56.966000000000001</v>
      </c>
      <c r="J470" s="9">
        <v>42.636000000000003</v>
      </c>
      <c r="K470" s="9">
        <v>37.917000000000002</v>
      </c>
    </row>
    <row r="471" spans="2:11" x14ac:dyDescent="0.2">
      <c r="B471" s="9">
        <v>17.666666666666668</v>
      </c>
      <c r="C471" s="5">
        <v>31.484000000000002</v>
      </c>
      <c r="D471" s="5">
        <v>43.534999999999997</v>
      </c>
      <c r="E471" s="5">
        <v>43.735999999999997</v>
      </c>
      <c r="F471" s="9">
        <v>41.13</v>
      </c>
      <c r="G471" s="9">
        <v>52.243000000000002</v>
      </c>
      <c r="H471" s="9">
        <v>48.488999999999997</v>
      </c>
      <c r="I471" s="9">
        <v>56.969000000000001</v>
      </c>
      <c r="J471" s="9">
        <v>42.570999999999998</v>
      </c>
      <c r="K471" s="9">
        <v>37.881</v>
      </c>
    </row>
    <row r="472" spans="2:11" x14ac:dyDescent="0.2">
      <c r="B472" s="9">
        <v>17.683333333333334</v>
      </c>
      <c r="C472" s="5">
        <v>31.489000000000001</v>
      </c>
      <c r="D472" s="5">
        <v>43.524000000000001</v>
      </c>
      <c r="E472" s="5">
        <v>43.694000000000003</v>
      </c>
      <c r="F472" s="9">
        <v>41.087000000000003</v>
      </c>
      <c r="G472" s="9">
        <v>52.197000000000003</v>
      </c>
      <c r="H472" s="9">
        <v>48.4</v>
      </c>
      <c r="I472" s="9">
        <v>56.954000000000001</v>
      </c>
      <c r="J472" s="9">
        <v>42.527000000000001</v>
      </c>
      <c r="K472" s="9">
        <v>37.853999999999999</v>
      </c>
    </row>
    <row r="473" spans="2:11" x14ac:dyDescent="0.2">
      <c r="B473" s="9">
        <v>17.7</v>
      </c>
      <c r="C473" s="5">
        <v>31.449000000000002</v>
      </c>
      <c r="D473" s="5">
        <v>43.462000000000003</v>
      </c>
      <c r="E473" s="5">
        <v>43.652000000000001</v>
      </c>
      <c r="F473" s="9">
        <v>41.036999999999999</v>
      </c>
      <c r="G473" s="9">
        <v>52.177</v>
      </c>
      <c r="H473" s="9">
        <v>48.38</v>
      </c>
      <c r="I473" s="9">
        <v>56.889000000000003</v>
      </c>
      <c r="J473" s="9">
        <v>42.521999999999998</v>
      </c>
      <c r="K473" s="9">
        <v>37.798999999999999</v>
      </c>
    </row>
    <row r="474" spans="2:11" x14ac:dyDescent="0.2">
      <c r="B474" s="9">
        <v>17.716666666666665</v>
      </c>
      <c r="C474" s="5">
        <v>31.372</v>
      </c>
      <c r="D474" s="5">
        <v>43.42</v>
      </c>
      <c r="E474" s="5">
        <v>43.616999999999997</v>
      </c>
      <c r="F474" s="9">
        <v>41.003</v>
      </c>
      <c r="G474" s="9">
        <v>52.11</v>
      </c>
      <c r="H474" s="9">
        <v>48.406999999999996</v>
      </c>
      <c r="I474" s="9">
        <v>56.847000000000001</v>
      </c>
      <c r="J474" s="9">
        <v>42.475999999999999</v>
      </c>
      <c r="K474" s="9">
        <v>37.735999999999997</v>
      </c>
    </row>
    <row r="475" spans="2:11" x14ac:dyDescent="0.2">
      <c r="B475" s="9">
        <v>17.733333333333334</v>
      </c>
      <c r="C475" s="5">
        <v>31.312000000000001</v>
      </c>
      <c r="D475" s="5">
        <v>43.393999999999998</v>
      </c>
      <c r="E475" s="5">
        <v>43.582000000000001</v>
      </c>
      <c r="F475" s="9">
        <v>40.972000000000001</v>
      </c>
      <c r="G475" s="9">
        <v>52.145000000000003</v>
      </c>
      <c r="H475" s="9">
        <v>48.222000000000001</v>
      </c>
      <c r="I475" s="9">
        <v>56.826000000000001</v>
      </c>
      <c r="J475" s="9">
        <v>42.433999999999997</v>
      </c>
      <c r="K475" s="9">
        <v>37.72</v>
      </c>
    </row>
    <row r="476" spans="2:11" x14ac:dyDescent="0.2">
      <c r="B476" s="9">
        <v>17.75</v>
      </c>
      <c r="C476" s="5">
        <v>31.308</v>
      </c>
      <c r="D476" s="5">
        <v>43.354999999999997</v>
      </c>
      <c r="E476" s="5">
        <v>43.551000000000002</v>
      </c>
      <c r="F476" s="9">
        <v>40.960999999999999</v>
      </c>
      <c r="G476" s="9">
        <v>52.087000000000003</v>
      </c>
      <c r="H476" s="9">
        <v>48.27</v>
      </c>
      <c r="I476" s="9">
        <v>56.743000000000002</v>
      </c>
      <c r="J476" s="9">
        <v>42.378</v>
      </c>
      <c r="K476" s="9">
        <v>37.676000000000002</v>
      </c>
    </row>
    <row r="477" spans="2:11" x14ac:dyDescent="0.2">
      <c r="B477" s="9">
        <v>17.766666666666666</v>
      </c>
      <c r="C477" s="5">
        <v>31.263999999999999</v>
      </c>
      <c r="D477" s="5">
        <v>43.337000000000003</v>
      </c>
      <c r="E477" s="5">
        <v>43.500999999999998</v>
      </c>
      <c r="F477" s="9">
        <v>40.929000000000002</v>
      </c>
      <c r="G477" s="9">
        <v>52.045999999999999</v>
      </c>
      <c r="H477" s="9">
        <v>48.289000000000001</v>
      </c>
      <c r="I477" s="9">
        <v>56.744</v>
      </c>
      <c r="J477" s="9">
        <v>42.381</v>
      </c>
      <c r="K477" s="9">
        <v>37.640999999999998</v>
      </c>
    </row>
    <row r="478" spans="2:11" x14ac:dyDescent="0.2">
      <c r="B478" s="9">
        <v>17.783333333333335</v>
      </c>
      <c r="C478" s="5">
        <v>31.18</v>
      </c>
      <c r="D478" s="5">
        <v>43.326999999999998</v>
      </c>
      <c r="E478" s="5">
        <v>43.524000000000001</v>
      </c>
      <c r="F478" s="9">
        <v>40.9</v>
      </c>
      <c r="G478" s="9">
        <v>52.024999999999999</v>
      </c>
      <c r="H478" s="9">
        <v>48.231999999999999</v>
      </c>
      <c r="I478" s="9">
        <v>56.695</v>
      </c>
      <c r="J478" s="9">
        <v>42.313000000000002</v>
      </c>
      <c r="K478" s="9">
        <v>37.575000000000003</v>
      </c>
    </row>
    <row r="479" spans="2:11" x14ac:dyDescent="0.2">
      <c r="B479" s="9">
        <v>17.8</v>
      </c>
      <c r="C479" s="5">
        <v>31.13</v>
      </c>
      <c r="D479" s="5">
        <v>43.280999999999999</v>
      </c>
      <c r="E479" s="5">
        <v>43.457999999999998</v>
      </c>
      <c r="F479" s="9">
        <v>40.865000000000002</v>
      </c>
      <c r="G479" s="9">
        <v>52.003</v>
      </c>
      <c r="H479" s="9">
        <v>48.122</v>
      </c>
      <c r="I479" s="9">
        <v>56.668999999999997</v>
      </c>
      <c r="J479" s="9">
        <v>42.268000000000001</v>
      </c>
      <c r="K479" s="9">
        <v>37.505000000000003</v>
      </c>
    </row>
    <row r="480" spans="2:11" x14ac:dyDescent="0.2">
      <c r="B480" s="9">
        <v>17.816666666666666</v>
      </c>
      <c r="C480" s="5">
        <v>31.131</v>
      </c>
      <c r="D480" s="5">
        <v>43.286999999999999</v>
      </c>
      <c r="E480" s="5">
        <v>43.363999999999997</v>
      </c>
      <c r="F480" s="9">
        <v>40.819000000000003</v>
      </c>
      <c r="G480" s="9">
        <v>52.003999999999998</v>
      </c>
      <c r="H480" s="9">
        <v>48.171999999999997</v>
      </c>
      <c r="I480" s="9">
        <v>56.634</v>
      </c>
      <c r="J480" s="9">
        <v>42.228999999999999</v>
      </c>
      <c r="K480" s="9">
        <v>37.481999999999999</v>
      </c>
    </row>
    <row r="481" spans="2:11" x14ac:dyDescent="0.2">
      <c r="B481" s="9">
        <v>17.833333333333332</v>
      </c>
      <c r="C481" s="5">
        <v>31.033000000000001</v>
      </c>
      <c r="D481" s="5">
        <v>43.213000000000001</v>
      </c>
      <c r="E481" s="5">
        <v>43.356999999999999</v>
      </c>
      <c r="F481" s="9">
        <v>40.792000000000002</v>
      </c>
      <c r="G481" s="9">
        <v>51.963000000000001</v>
      </c>
      <c r="H481" s="9">
        <v>48.143000000000001</v>
      </c>
      <c r="I481" s="9">
        <v>56.609000000000002</v>
      </c>
      <c r="J481" s="9">
        <v>42.216000000000001</v>
      </c>
      <c r="K481" s="9">
        <v>37.448</v>
      </c>
    </row>
    <row r="482" spans="2:11" x14ac:dyDescent="0.2">
      <c r="B482" s="9">
        <v>17.850000000000001</v>
      </c>
      <c r="C482" s="5">
        <v>31.021999999999998</v>
      </c>
      <c r="D482" s="5">
        <v>43.209000000000003</v>
      </c>
      <c r="E482" s="5">
        <v>43.311999999999998</v>
      </c>
      <c r="F482" s="9">
        <v>40.779000000000003</v>
      </c>
      <c r="G482" s="9">
        <v>51.959000000000003</v>
      </c>
      <c r="H482" s="9">
        <v>48.014000000000003</v>
      </c>
      <c r="I482" s="9">
        <v>56.59</v>
      </c>
      <c r="J482" s="9">
        <v>42.137</v>
      </c>
      <c r="K482" s="9">
        <v>37.402000000000001</v>
      </c>
    </row>
    <row r="483" spans="2:11" x14ac:dyDescent="0.2">
      <c r="B483" s="9">
        <v>17.866666666666667</v>
      </c>
      <c r="C483" s="5">
        <v>30.946999999999999</v>
      </c>
      <c r="D483" s="5">
        <v>43.177999999999997</v>
      </c>
      <c r="E483" s="5">
        <v>43.307000000000002</v>
      </c>
      <c r="F483" s="9">
        <v>40.741999999999997</v>
      </c>
      <c r="G483" s="9">
        <v>51.921999999999997</v>
      </c>
      <c r="H483" s="9">
        <v>48.093000000000004</v>
      </c>
      <c r="I483" s="9">
        <v>56.564</v>
      </c>
      <c r="J483" s="9">
        <v>42.104999999999997</v>
      </c>
      <c r="K483" s="9">
        <v>37.380000000000003</v>
      </c>
    </row>
    <row r="484" spans="2:11" x14ac:dyDescent="0.2">
      <c r="B484" s="9">
        <v>17.883333333333333</v>
      </c>
      <c r="C484" s="5">
        <v>30.928999999999998</v>
      </c>
      <c r="D484" s="5">
        <v>43.133000000000003</v>
      </c>
      <c r="E484" s="5">
        <v>43.289000000000001</v>
      </c>
      <c r="F484" s="9">
        <v>40.695</v>
      </c>
      <c r="G484" s="9">
        <v>51.868000000000002</v>
      </c>
      <c r="H484" s="9">
        <v>48.076000000000001</v>
      </c>
      <c r="I484" s="9">
        <v>56.542999999999999</v>
      </c>
      <c r="J484" s="9">
        <v>42.07</v>
      </c>
      <c r="K484" s="9">
        <v>37.341999999999999</v>
      </c>
    </row>
    <row r="485" spans="2:11" x14ac:dyDescent="0.2">
      <c r="B485" s="9">
        <v>17.899999999999999</v>
      </c>
      <c r="C485" s="5">
        <v>30.838000000000001</v>
      </c>
      <c r="D485" s="5">
        <v>43.101999999999997</v>
      </c>
      <c r="E485" s="5">
        <v>43.253999999999998</v>
      </c>
      <c r="F485" s="9">
        <v>40.68</v>
      </c>
      <c r="G485" s="9">
        <v>51.850999999999999</v>
      </c>
      <c r="H485" s="9">
        <v>48.088000000000001</v>
      </c>
      <c r="I485" s="9">
        <v>56.512</v>
      </c>
      <c r="J485" s="9">
        <v>42.043999999999997</v>
      </c>
      <c r="K485" s="9">
        <v>37.273000000000003</v>
      </c>
    </row>
    <row r="486" spans="2:11" x14ac:dyDescent="0.2">
      <c r="B486" s="9">
        <v>17.916666666666668</v>
      </c>
      <c r="C486" s="5">
        <v>30.846</v>
      </c>
      <c r="D486" s="5">
        <v>43.078000000000003</v>
      </c>
      <c r="E486" s="5">
        <v>43.188000000000002</v>
      </c>
      <c r="F486" s="9">
        <v>40.654000000000003</v>
      </c>
      <c r="G486" s="9">
        <v>51.829000000000001</v>
      </c>
      <c r="H486" s="9">
        <v>47.996000000000002</v>
      </c>
      <c r="I486" s="9">
        <v>56.491999999999997</v>
      </c>
      <c r="J486" s="9">
        <v>42.006</v>
      </c>
      <c r="K486" s="9">
        <v>37.22</v>
      </c>
    </row>
    <row r="487" spans="2:11" x14ac:dyDescent="0.2">
      <c r="B487" s="9">
        <v>17.933333333333334</v>
      </c>
      <c r="C487" s="5">
        <v>30.8</v>
      </c>
      <c r="D487" s="5">
        <v>43.051000000000002</v>
      </c>
      <c r="E487" s="5">
        <v>43.183</v>
      </c>
      <c r="F487" s="9">
        <v>40.613</v>
      </c>
      <c r="G487" s="9">
        <v>51.765000000000001</v>
      </c>
      <c r="H487" s="9">
        <v>47.889000000000003</v>
      </c>
      <c r="I487" s="9">
        <v>56.421999999999997</v>
      </c>
      <c r="J487" s="9">
        <v>41.935000000000002</v>
      </c>
      <c r="K487" s="9">
        <v>37.200000000000003</v>
      </c>
    </row>
    <row r="488" spans="2:11" x14ac:dyDescent="0.2">
      <c r="B488" s="9">
        <v>17.95</v>
      </c>
      <c r="C488" s="5">
        <v>30.763999999999999</v>
      </c>
      <c r="D488" s="5">
        <v>42.988</v>
      </c>
      <c r="E488" s="5">
        <v>43.145000000000003</v>
      </c>
      <c r="F488" s="9">
        <v>40.567</v>
      </c>
      <c r="G488" s="9">
        <v>51.749000000000002</v>
      </c>
      <c r="H488" s="9">
        <v>47.944000000000003</v>
      </c>
      <c r="I488" s="9">
        <v>56.414999999999999</v>
      </c>
      <c r="J488" s="9">
        <v>41.875</v>
      </c>
      <c r="K488" s="9">
        <v>37.151000000000003</v>
      </c>
    </row>
    <row r="489" spans="2:11" x14ac:dyDescent="0.2">
      <c r="B489" s="9">
        <v>17.966666666666665</v>
      </c>
      <c r="C489" s="5">
        <v>30.751999999999999</v>
      </c>
      <c r="D489" s="5">
        <v>42.963000000000001</v>
      </c>
      <c r="E489" s="5">
        <v>43.094000000000001</v>
      </c>
      <c r="F489" s="9">
        <v>40.567</v>
      </c>
      <c r="G489" s="9">
        <v>51.710999999999999</v>
      </c>
      <c r="H489" s="9">
        <v>47.845999999999997</v>
      </c>
      <c r="I489" s="9">
        <v>56.384</v>
      </c>
      <c r="J489" s="9">
        <v>41.871000000000002</v>
      </c>
      <c r="K489" s="9">
        <v>37.119999999999997</v>
      </c>
    </row>
    <row r="490" spans="2:11" x14ac:dyDescent="0.2">
      <c r="B490" s="9">
        <v>17.983333333333334</v>
      </c>
      <c r="C490" s="5">
        <v>30.673999999999999</v>
      </c>
      <c r="D490" s="5">
        <v>42.939</v>
      </c>
      <c r="E490" s="5">
        <v>43.055</v>
      </c>
      <c r="F490" s="9">
        <v>40.530999999999999</v>
      </c>
      <c r="G490" s="9">
        <v>51.674999999999997</v>
      </c>
      <c r="H490" s="9">
        <v>47.826000000000001</v>
      </c>
      <c r="I490" s="9">
        <v>56.390999999999998</v>
      </c>
      <c r="J490" s="9">
        <v>41.862000000000002</v>
      </c>
      <c r="K490" s="9">
        <v>37.063000000000002</v>
      </c>
    </row>
    <row r="491" spans="2:11" x14ac:dyDescent="0.2">
      <c r="B491" s="9">
        <v>18</v>
      </c>
      <c r="C491" s="5">
        <v>30.655000000000001</v>
      </c>
      <c r="D491" s="5">
        <v>42.915999999999997</v>
      </c>
      <c r="E491" s="5">
        <v>43.095999999999997</v>
      </c>
      <c r="F491" s="9">
        <v>40.488</v>
      </c>
      <c r="G491" s="9">
        <v>51.636000000000003</v>
      </c>
      <c r="H491" s="9">
        <v>47.786000000000001</v>
      </c>
      <c r="I491" s="9">
        <v>56.268000000000001</v>
      </c>
      <c r="J491" s="9">
        <v>41.795999999999999</v>
      </c>
      <c r="K491" s="9">
        <v>37.018000000000001</v>
      </c>
    </row>
    <row r="492" spans="2:11" x14ac:dyDescent="0.2">
      <c r="B492" s="9">
        <v>18.016666666666666</v>
      </c>
      <c r="C492" s="5">
        <v>30.597999999999999</v>
      </c>
      <c r="D492" s="5">
        <v>42.908000000000001</v>
      </c>
      <c r="E492" s="5">
        <v>42.994999999999997</v>
      </c>
      <c r="F492" s="9">
        <v>40.463999999999999</v>
      </c>
      <c r="G492" s="9">
        <v>51.601999999999997</v>
      </c>
      <c r="H492" s="9">
        <v>47.72</v>
      </c>
      <c r="I492" s="9">
        <v>56.308999999999997</v>
      </c>
      <c r="J492" s="9">
        <v>41.738999999999997</v>
      </c>
      <c r="K492" s="9">
        <v>36.975999999999999</v>
      </c>
    </row>
    <row r="493" spans="2:11" x14ac:dyDescent="0.2">
      <c r="B493" s="9">
        <v>18.033333333333335</v>
      </c>
      <c r="C493" s="5">
        <v>30.571000000000002</v>
      </c>
      <c r="D493" s="5">
        <v>42.838000000000001</v>
      </c>
      <c r="E493" s="5">
        <v>42.988</v>
      </c>
      <c r="F493" s="9">
        <v>40.423000000000002</v>
      </c>
      <c r="G493" s="9">
        <v>51.591999999999999</v>
      </c>
      <c r="H493" s="9">
        <v>47.561</v>
      </c>
      <c r="I493" s="9">
        <v>56.271999999999998</v>
      </c>
      <c r="J493" s="9">
        <v>41.725999999999999</v>
      </c>
      <c r="K493" s="9">
        <v>36.942</v>
      </c>
    </row>
    <row r="494" spans="2:11" x14ac:dyDescent="0.2">
      <c r="B494" s="9">
        <v>18.05</v>
      </c>
      <c r="C494" s="5">
        <v>30.535</v>
      </c>
      <c r="D494" s="5">
        <v>42.856000000000002</v>
      </c>
      <c r="E494" s="5">
        <v>42.929000000000002</v>
      </c>
      <c r="F494" s="9">
        <v>40.378</v>
      </c>
      <c r="G494" s="9">
        <v>51.573999999999998</v>
      </c>
      <c r="H494" s="9">
        <v>47.713999999999999</v>
      </c>
      <c r="I494" s="9">
        <v>56.259</v>
      </c>
      <c r="J494" s="9">
        <v>41.66</v>
      </c>
      <c r="K494" s="9">
        <v>36.899000000000001</v>
      </c>
    </row>
    <row r="495" spans="2:11" x14ac:dyDescent="0.2">
      <c r="B495" s="9">
        <v>18.066666666666666</v>
      </c>
      <c r="C495" s="5">
        <v>30.459</v>
      </c>
      <c r="D495" s="5">
        <v>42.808999999999997</v>
      </c>
      <c r="E495" s="5">
        <v>42.898000000000003</v>
      </c>
      <c r="F495" s="9">
        <v>40.360999999999997</v>
      </c>
      <c r="G495" s="9">
        <v>51.54</v>
      </c>
      <c r="H495" s="9">
        <v>47.701999999999998</v>
      </c>
      <c r="I495" s="9">
        <v>56.209000000000003</v>
      </c>
      <c r="J495" s="9">
        <v>41.615000000000002</v>
      </c>
      <c r="K495" s="9">
        <v>36.847000000000001</v>
      </c>
    </row>
    <row r="496" spans="2:11" x14ac:dyDescent="0.2">
      <c r="B496" s="9">
        <v>18.083333333333332</v>
      </c>
      <c r="C496" s="5">
        <v>30.46</v>
      </c>
      <c r="D496" s="5">
        <v>42.743000000000002</v>
      </c>
      <c r="E496" s="5">
        <v>42.874000000000002</v>
      </c>
      <c r="F496" s="9">
        <v>40.340000000000003</v>
      </c>
      <c r="G496" s="9">
        <v>51.517000000000003</v>
      </c>
      <c r="H496" s="9">
        <v>47.649000000000001</v>
      </c>
      <c r="I496" s="9">
        <v>56.218000000000004</v>
      </c>
      <c r="J496" s="9">
        <v>41.601999999999997</v>
      </c>
      <c r="K496" s="9">
        <v>36.828000000000003</v>
      </c>
    </row>
    <row r="497" spans="2:11" x14ac:dyDescent="0.2">
      <c r="B497" s="9">
        <v>18.100000000000001</v>
      </c>
      <c r="C497" s="5">
        <v>30.393000000000001</v>
      </c>
      <c r="D497" s="5">
        <v>42.695999999999998</v>
      </c>
      <c r="E497" s="5">
        <v>42.808</v>
      </c>
      <c r="F497" s="9">
        <v>40.299999999999997</v>
      </c>
      <c r="G497" s="9">
        <v>51.527999999999999</v>
      </c>
      <c r="H497" s="9">
        <v>47.625</v>
      </c>
      <c r="I497" s="9">
        <v>56.167000000000002</v>
      </c>
      <c r="J497" s="9">
        <v>41.564999999999998</v>
      </c>
      <c r="K497" s="9">
        <v>36.76</v>
      </c>
    </row>
    <row r="498" spans="2:11" x14ac:dyDescent="0.2">
      <c r="B498" s="9">
        <v>18.116666666666667</v>
      </c>
      <c r="C498" s="5">
        <v>30.347000000000001</v>
      </c>
      <c r="D498" s="5">
        <v>42.642000000000003</v>
      </c>
      <c r="E498" s="5">
        <v>42.808999999999997</v>
      </c>
      <c r="F498" s="9">
        <v>40.274999999999999</v>
      </c>
      <c r="G498" s="9">
        <v>51.484000000000002</v>
      </c>
      <c r="H498" s="9">
        <v>47.328000000000003</v>
      </c>
      <c r="I498" s="9">
        <v>56.162999999999997</v>
      </c>
      <c r="J498" s="9">
        <v>41.503999999999998</v>
      </c>
      <c r="K498" s="9">
        <v>36.738</v>
      </c>
    </row>
    <row r="499" spans="2:11" x14ac:dyDescent="0.2">
      <c r="B499" s="9">
        <v>18.133333333333333</v>
      </c>
      <c r="C499" s="5">
        <v>30.268000000000001</v>
      </c>
      <c r="D499" s="5">
        <v>42.634</v>
      </c>
      <c r="E499" s="5">
        <v>42.719000000000001</v>
      </c>
      <c r="F499" s="9">
        <v>40.261000000000003</v>
      </c>
      <c r="G499" s="9">
        <v>51.472999999999999</v>
      </c>
      <c r="H499" s="9">
        <v>47.646999999999998</v>
      </c>
      <c r="I499" s="9">
        <v>56.146000000000001</v>
      </c>
      <c r="J499" s="9">
        <v>41.514000000000003</v>
      </c>
      <c r="K499" s="9">
        <v>36.689</v>
      </c>
    </row>
    <row r="500" spans="2:11" x14ac:dyDescent="0.2">
      <c r="B500" s="9">
        <v>18.149999999999999</v>
      </c>
      <c r="C500" s="5">
        <v>30.257999999999999</v>
      </c>
      <c r="D500" s="5">
        <v>42.628</v>
      </c>
      <c r="E500" s="5">
        <v>42.68</v>
      </c>
      <c r="F500" s="9">
        <v>40.186999999999998</v>
      </c>
      <c r="G500" s="9">
        <v>51.453000000000003</v>
      </c>
      <c r="H500" s="9">
        <v>47.545000000000002</v>
      </c>
      <c r="I500" s="9">
        <v>56.125999999999998</v>
      </c>
      <c r="J500" s="9">
        <v>41.459000000000003</v>
      </c>
      <c r="K500" s="9">
        <v>36.654000000000003</v>
      </c>
    </row>
    <row r="501" spans="2:11" x14ac:dyDescent="0.2">
      <c r="B501" s="9">
        <v>18.166666666666668</v>
      </c>
      <c r="C501" s="5">
        <v>30.221</v>
      </c>
      <c r="D501" s="5">
        <v>42.64</v>
      </c>
      <c r="E501" s="5">
        <v>42.676000000000002</v>
      </c>
      <c r="F501" s="9">
        <v>40.158000000000001</v>
      </c>
      <c r="G501" s="9">
        <v>51.414000000000001</v>
      </c>
      <c r="H501" s="9">
        <v>47.465000000000003</v>
      </c>
      <c r="I501" s="9">
        <v>56.073999999999998</v>
      </c>
      <c r="J501" s="9">
        <v>41.421999999999997</v>
      </c>
      <c r="K501" s="9">
        <v>36.61</v>
      </c>
    </row>
    <row r="502" spans="2:11" x14ac:dyDescent="0.2">
      <c r="B502" s="9">
        <v>18.183333333333334</v>
      </c>
      <c r="C502" s="5">
        <v>30.167000000000002</v>
      </c>
      <c r="D502" s="5">
        <v>42.569000000000003</v>
      </c>
      <c r="E502" s="5">
        <v>42.645000000000003</v>
      </c>
      <c r="F502" s="9">
        <v>40.116</v>
      </c>
      <c r="G502" s="9">
        <v>51.381999999999998</v>
      </c>
      <c r="H502" s="9">
        <v>47.476999999999997</v>
      </c>
      <c r="I502" s="9">
        <v>56.098999999999997</v>
      </c>
      <c r="J502" s="9">
        <v>41.417999999999999</v>
      </c>
      <c r="K502" s="9">
        <v>36.567999999999998</v>
      </c>
    </row>
    <row r="503" spans="2:11" x14ac:dyDescent="0.2">
      <c r="B503" s="9">
        <v>18.2</v>
      </c>
      <c r="C503" s="5">
        <v>30.143000000000001</v>
      </c>
      <c r="D503" s="5">
        <v>42.558999999999997</v>
      </c>
      <c r="E503" s="5">
        <v>42.593000000000004</v>
      </c>
      <c r="F503" s="9">
        <v>40.08</v>
      </c>
      <c r="G503" s="9">
        <v>51.411999999999999</v>
      </c>
      <c r="H503" s="9">
        <v>47.398000000000003</v>
      </c>
      <c r="I503" s="9">
        <v>56.095999999999997</v>
      </c>
      <c r="J503" s="9">
        <v>41.323</v>
      </c>
      <c r="K503" s="9">
        <v>36.526000000000003</v>
      </c>
    </row>
    <row r="504" spans="2:11" x14ac:dyDescent="0.2">
      <c r="B504" s="9">
        <v>18.216666666666665</v>
      </c>
      <c r="C504" s="5">
        <v>30.117000000000001</v>
      </c>
      <c r="D504" s="5">
        <v>42.554000000000002</v>
      </c>
      <c r="E504" s="5">
        <v>42.600999999999999</v>
      </c>
      <c r="F504" s="9">
        <v>40.015000000000001</v>
      </c>
      <c r="G504" s="9">
        <v>51.348999999999997</v>
      </c>
      <c r="H504" s="9">
        <v>47.381</v>
      </c>
      <c r="I504" s="9">
        <v>56.03</v>
      </c>
      <c r="J504" s="9">
        <v>41.313000000000002</v>
      </c>
      <c r="K504" s="9">
        <v>36.445</v>
      </c>
    </row>
    <row r="505" spans="2:11" x14ac:dyDescent="0.2">
      <c r="B505" s="9">
        <v>18.233333333333334</v>
      </c>
      <c r="C505" s="5">
        <v>30.048999999999999</v>
      </c>
      <c r="D505" s="5">
        <v>42.511000000000003</v>
      </c>
      <c r="E505" s="5">
        <v>42.563000000000002</v>
      </c>
      <c r="F505" s="9">
        <v>39.966000000000001</v>
      </c>
      <c r="G505" s="9">
        <v>51.302999999999997</v>
      </c>
      <c r="H505" s="9">
        <v>47.335000000000001</v>
      </c>
      <c r="I505" s="9">
        <v>56.054000000000002</v>
      </c>
      <c r="J505" s="9">
        <v>41.308</v>
      </c>
      <c r="K505" s="9">
        <v>36.426000000000002</v>
      </c>
    </row>
    <row r="506" spans="2:11" x14ac:dyDescent="0.2">
      <c r="B506" s="9">
        <v>18.25</v>
      </c>
      <c r="C506" s="5">
        <v>29.954999999999998</v>
      </c>
      <c r="D506" s="5">
        <v>42.472000000000001</v>
      </c>
      <c r="E506" s="5">
        <v>42.494999999999997</v>
      </c>
      <c r="F506" s="9">
        <v>39.936999999999998</v>
      </c>
      <c r="G506" s="9">
        <v>51.274000000000001</v>
      </c>
      <c r="H506" s="9">
        <v>47.347999999999999</v>
      </c>
      <c r="I506" s="9">
        <v>56.031999999999996</v>
      </c>
      <c r="J506" s="9">
        <v>41.25</v>
      </c>
      <c r="K506" s="9">
        <v>36.383000000000003</v>
      </c>
    </row>
    <row r="507" spans="2:11" x14ac:dyDescent="0.2">
      <c r="B507" s="9">
        <v>18.266666666666666</v>
      </c>
      <c r="C507" s="5">
        <v>29.923999999999999</v>
      </c>
      <c r="D507" s="5">
        <v>42.392000000000003</v>
      </c>
      <c r="E507" s="5">
        <v>42.436999999999998</v>
      </c>
      <c r="F507" s="9">
        <v>39.918999999999997</v>
      </c>
      <c r="G507" s="9">
        <v>51.253999999999998</v>
      </c>
      <c r="H507" s="9">
        <v>47.334000000000003</v>
      </c>
      <c r="I507" s="9">
        <v>55.997</v>
      </c>
      <c r="J507" s="9">
        <v>41.206000000000003</v>
      </c>
      <c r="K507" s="9">
        <v>36.334000000000003</v>
      </c>
    </row>
    <row r="508" spans="2:11" x14ac:dyDescent="0.2">
      <c r="B508" s="9">
        <v>18.283333333333335</v>
      </c>
      <c r="C508" s="5">
        <v>29.925999999999998</v>
      </c>
      <c r="D508" s="5">
        <v>42.331000000000003</v>
      </c>
      <c r="E508" s="5">
        <v>42.484000000000002</v>
      </c>
      <c r="F508" s="9">
        <v>39.826999999999998</v>
      </c>
      <c r="G508" s="9">
        <v>51.226999999999997</v>
      </c>
      <c r="H508" s="9">
        <v>47.293999999999997</v>
      </c>
      <c r="I508" s="9">
        <v>55.951999999999998</v>
      </c>
      <c r="J508" s="9">
        <v>41.128</v>
      </c>
      <c r="K508" s="9">
        <v>36.331000000000003</v>
      </c>
    </row>
    <row r="509" spans="2:11" x14ac:dyDescent="0.2">
      <c r="B509" s="9">
        <v>18.3</v>
      </c>
      <c r="C509" s="5">
        <v>29.84</v>
      </c>
      <c r="D509" s="5">
        <v>42.338000000000001</v>
      </c>
      <c r="E509" s="5">
        <v>42.408999999999999</v>
      </c>
      <c r="F509" s="9">
        <v>39.783000000000001</v>
      </c>
      <c r="G509" s="9">
        <v>51.2</v>
      </c>
      <c r="H509" s="9">
        <v>47.085999999999999</v>
      </c>
      <c r="I509" s="9">
        <v>55.915999999999997</v>
      </c>
      <c r="J509" s="9">
        <v>41.116999999999997</v>
      </c>
      <c r="K509" s="9">
        <v>36.271000000000001</v>
      </c>
    </row>
    <row r="510" spans="2:11" x14ac:dyDescent="0.2">
      <c r="B510" s="9">
        <v>18.316666666666666</v>
      </c>
      <c r="C510" s="5">
        <v>29.742000000000001</v>
      </c>
      <c r="D510" s="5">
        <v>42.296999999999997</v>
      </c>
      <c r="E510" s="5">
        <v>42.334000000000003</v>
      </c>
      <c r="F510" s="9">
        <v>39.764000000000003</v>
      </c>
      <c r="G510" s="9">
        <v>51.155999999999999</v>
      </c>
      <c r="H510" s="9">
        <v>47.23</v>
      </c>
      <c r="I510" s="9">
        <v>55.89</v>
      </c>
      <c r="J510" s="9">
        <v>41.058999999999997</v>
      </c>
      <c r="K510" s="9">
        <v>36.228000000000002</v>
      </c>
    </row>
    <row r="511" spans="2:11" x14ac:dyDescent="0.2">
      <c r="B511" s="9">
        <v>18.333333333333332</v>
      </c>
      <c r="C511" s="5">
        <v>29.744</v>
      </c>
      <c r="D511" s="5">
        <v>42.250999999999998</v>
      </c>
      <c r="E511" s="5">
        <v>42.341999999999999</v>
      </c>
      <c r="F511" s="9">
        <v>39.723999999999997</v>
      </c>
      <c r="G511" s="9">
        <v>51.161000000000001</v>
      </c>
      <c r="H511" s="9">
        <v>47.19</v>
      </c>
      <c r="I511" s="9">
        <v>55.88</v>
      </c>
      <c r="J511" s="9">
        <v>41.012</v>
      </c>
      <c r="K511" s="9">
        <v>36.168999999999997</v>
      </c>
    </row>
    <row r="512" spans="2:11" x14ac:dyDescent="0.2">
      <c r="B512" s="9">
        <v>18.350000000000001</v>
      </c>
      <c r="C512" s="5">
        <v>29.715</v>
      </c>
      <c r="D512" s="5">
        <v>42.225999999999999</v>
      </c>
      <c r="E512" s="5">
        <v>42.320999999999998</v>
      </c>
      <c r="F512" s="9">
        <v>39.677999999999997</v>
      </c>
      <c r="G512" s="9">
        <v>51.128</v>
      </c>
      <c r="H512" s="9">
        <v>47.091000000000001</v>
      </c>
      <c r="I512" s="9">
        <v>55.83</v>
      </c>
      <c r="J512" s="9">
        <v>41.023000000000003</v>
      </c>
      <c r="K512" s="9">
        <v>36.134</v>
      </c>
    </row>
    <row r="513" spans="2:11" x14ac:dyDescent="0.2">
      <c r="B513" s="9">
        <v>18.366666666666667</v>
      </c>
      <c r="C513" s="5">
        <v>29.635000000000002</v>
      </c>
      <c r="D513" s="5">
        <v>42.188000000000002</v>
      </c>
      <c r="E513" s="5">
        <v>42.314999999999998</v>
      </c>
      <c r="F513" s="9">
        <v>39.636000000000003</v>
      </c>
      <c r="G513" s="9">
        <v>51.094999999999999</v>
      </c>
      <c r="H513" s="9">
        <v>47.061999999999998</v>
      </c>
      <c r="I513" s="9">
        <v>55.851999999999997</v>
      </c>
      <c r="J513" s="9">
        <v>40.972000000000001</v>
      </c>
      <c r="K513" s="9">
        <v>36.131</v>
      </c>
    </row>
    <row r="514" spans="2:11" x14ac:dyDescent="0.2">
      <c r="B514" s="9">
        <v>18.383333333333333</v>
      </c>
      <c r="C514" s="5">
        <v>29.593</v>
      </c>
      <c r="D514" s="5">
        <v>42.17</v>
      </c>
      <c r="E514" s="5">
        <v>42.268999999999998</v>
      </c>
      <c r="F514" s="9">
        <v>39.625999999999998</v>
      </c>
      <c r="G514" s="9">
        <v>51.107999999999997</v>
      </c>
      <c r="H514" s="9">
        <v>47.048000000000002</v>
      </c>
      <c r="I514" s="9">
        <v>55.84</v>
      </c>
      <c r="J514" s="9">
        <v>40.921999999999997</v>
      </c>
      <c r="K514" s="9">
        <v>36.076000000000001</v>
      </c>
    </row>
    <row r="515" spans="2:11" x14ac:dyDescent="0.2">
      <c r="B515" s="9">
        <v>18.399999999999999</v>
      </c>
      <c r="C515" s="5">
        <v>29.591999999999999</v>
      </c>
      <c r="D515" s="5">
        <v>42.128</v>
      </c>
      <c r="E515" s="5">
        <v>42.226999999999997</v>
      </c>
      <c r="F515" s="9">
        <v>39.613</v>
      </c>
      <c r="G515" s="9">
        <v>51.045999999999999</v>
      </c>
      <c r="H515" s="9">
        <v>47.024000000000001</v>
      </c>
      <c r="I515" s="9">
        <v>55.768000000000001</v>
      </c>
      <c r="J515" s="9">
        <v>40.890999999999998</v>
      </c>
      <c r="K515" s="9">
        <v>36.034999999999997</v>
      </c>
    </row>
    <row r="516" spans="2:11" x14ac:dyDescent="0.2">
      <c r="B516" s="9">
        <v>18.416666666666668</v>
      </c>
      <c r="C516" s="5">
        <v>29.516999999999999</v>
      </c>
      <c r="D516" s="5">
        <v>42.091999999999999</v>
      </c>
      <c r="E516" s="5">
        <v>42.209000000000003</v>
      </c>
      <c r="F516" s="9">
        <v>39.548000000000002</v>
      </c>
      <c r="G516" s="9">
        <v>51.040999999999997</v>
      </c>
      <c r="H516" s="9">
        <v>47.031999999999996</v>
      </c>
      <c r="I516" s="9">
        <v>55.808999999999997</v>
      </c>
      <c r="J516" s="9">
        <v>40.860999999999997</v>
      </c>
      <c r="K516" s="9">
        <v>36.008000000000003</v>
      </c>
    </row>
    <row r="517" spans="2:11" x14ac:dyDescent="0.2">
      <c r="B517" s="9">
        <v>18.433333333333334</v>
      </c>
      <c r="C517" s="5">
        <v>29.457000000000001</v>
      </c>
      <c r="D517" s="5">
        <v>42.048999999999999</v>
      </c>
      <c r="E517" s="5">
        <v>42.173000000000002</v>
      </c>
      <c r="F517" s="9">
        <v>39.545000000000002</v>
      </c>
      <c r="G517" s="9">
        <v>51.027999999999999</v>
      </c>
      <c r="H517" s="9">
        <v>46.981999999999999</v>
      </c>
      <c r="I517" s="9">
        <v>55.79</v>
      </c>
      <c r="J517" s="9">
        <v>40.826999999999998</v>
      </c>
      <c r="K517" s="9">
        <v>35.985999999999997</v>
      </c>
    </row>
    <row r="518" spans="2:11" x14ac:dyDescent="0.2">
      <c r="B518" s="9">
        <v>18.45</v>
      </c>
      <c r="C518" s="5">
        <v>29.419</v>
      </c>
      <c r="D518" s="5">
        <v>42.021999999999998</v>
      </c>
      <c r="E518" s="5">
        <v>42.133000000000003</v>
      </c>
      <c r="F518" s="9">
        <v>39.524999999999999</v>
      </c>
      <c r="G518" s="9">
        <v>50.999000000000002</v>
      </c>
      <c r="H518" s="9">
        <v>47.003999999999998</v>
      </c>
      <c r="I518" s="9">
        <v>55.715000000000003</v>
      </c>
      <c r="J518" s="9">
        <v>40.805</v>
      </c>
      <c r="K518" s="9">
        <v>35.927999999999997</v>
      </c>
    </row>
    <row r="519" spans="2:11" x14ac:dyDescent="0.2">
      <c r="B519" s="9">
        <v>18.466666666666665</v>
      </c>
      <c r="C519" s="5">
        <v>29.363</v>
      </c>
      <c r="D519" s="5">
        <v>41.976999999999997</v>
      </c>
      <c r="E519" s="5">
        <v>42.088999999999999</v>
      </c>
      <c r="F519" s="9">
        <v>39.478999999999999</v>
      </c>
      <c r="G519" s="9">
        <v>50.984000000000002</v>
      </c>
      <c r="H519" s="9">
        <v>46.988</v>
      </c>
      <c r="I519" s="9">
        <v>55.667000000000002</v>
      </c>
      <c r="J519" s="9">
        <v>40.765000000000001</v>
      </c>
      <c r="K519" s="9">
        <v>35.917000000000002</v>
      </c>
    </row>
    <row r="520" spans="2:11" x14ac:dyDescent="0.2">
      <c r="B520" s="9">
        <v>18.483333333333334</v>
      </c>
      <c r="C520" s="5">
        <v>29.369</v>
      </c>
      <c r="D520" s="5">
        <v>41.94</v>
      </c>
      <c r="E520" s="5">
        <v>42.063000000000002</v>
      </c>
      <c r="F520" s="9">
        <v>39.442</v>
      </c>
      <c r="G520" s="9">
        <v>50.962000000000003</v>
      </c>
      <c r="H520" s="9">
        <v>46.466999999999999</v>
      </c>
      <c r="I520" s="9">
        <v>55.637</v>
      </c>
      <c r="J520" s="9">
        <v>40.713000000000001</v>
      </c>
      <c r="K520" s="9">
        <v>35.875</v>
      </c>
    </row>
    <row r="521" spans="2:11" x14ac:dyDescent="0.2">
      <c r="B521" s="9">
        <v>18.5</v>
      </c>
      <c r="C521" s="5">
        <v>29.335999999999999</v>
      </c>
      <c r="D521" s="5">
        <v>41.923999999999999</v>
      </c>
      <c r="E521" s="5">
        <v>42.048999999999999</v>
      </c>
      <c r="F521" s="9">
        <v>39.417999999999999</v>
      </c>
      <c r="G521" s="9">
        <v>50.954999999999998</v>
      </c>
      <c r="H521" s="9">
        <v>46.832000000000001</v>
      </c>
      <c r="I521" s="9">
        <v>55.652000000000001</v>
      </c>
      <c r="J521" s="9">
        <v>40.680999999999997</v>
      </c>
      <c r="K521" s="9">
        <v>35.822000000000003</v>
      </c>
    </row>
    <row r="522" spans="2:11" x14ac:dyDescent="0.2">
      <c r="B522" s="9">
        <v>18.516666666666666</v>
      </c>
      <c r="C522" s="5">
        <v>29.245999999999999</v>
      </c>
      <c r="D522" s="5">
        <v>41.901000000000003</v>
      </c>
      <c r="E522" s="5">
        <v>41.978000000000002</v>
      </c>
      <c r="F522" s="9">
        <v>39.378</v>
      </c>
      <c r="G522" s="9">
        <v>50.908000000000001</v>
      </c>
      <c r="H522" s="9">
        <v>46.808</v>
      </c>
      <c r="I522" s="9">
        <v>55.66</v>
      </c>
      <c r="J522" s="9">
        <v>40.652999999999999</v>
      </c>
      <c r="K522" s="9">
        <v>35.823</v>
      </c>
    </row>
    <row r="523" spans="2:11" x14ac:dyDescent="0.2">
      <c r="B523" s="9">
        <v>18.533333333333335</v>
      </c>
      <c r="C523" s="5">
        <v>29.216999999999999</v>
      </c>
      <c r="D523" s="5">
        <v>41.890999999999998</v>
      </c>
      <c r="E523" s="5">
        <v>41.963999999999999</v>
      </c>
      <c r="F523" s="9">
        <v>39.366999999999997</v>
      </c>
      <c r="G523" s="9">
        <v>50.904000000000003</v>
      </c>
      <c r="H523" s="9">
        <v>46.69</v>
      </c>
      <c r="I523" s="9">
        <v>55.606999999999999</v>
      </c>
      <c r="J523" s="9">
        <v>40.631999999999998</v>
      </c>
      <c r="K523" s="9">
        <v>35.777000000000001</v>
      </c>
    </row>
    <row r="524" spans="2:11" x14ac:dyDescent="0.2">
      <c r="B524" s="9">
        <v>18.55</v>
      </c>
      <c r="C524" s="5">
        <v>29.166</v>
      </c>
      <c r="D524" s="5">
        <v>41.848999999999997</v>
      </c>
      <c r="E524" s="5">
        <v>41.948</v>
      </c>
      <c r="F524" s="9">
        <v>39.338999999999999</v>
      </c>
      <c r="G524" s="9">
        <v>50.877000000000002</v>
      </c>
      <c r="H524" s="9">
        <v>46.725000000000001</v>
      </c>
      <c r="I524" s="9">
        <v>55.506999999999998</v>
      </c>
      <c r="J524" s="9">
        <v>40.581000000000003</v>
      </c>
      <c r="K524" s="9">
        <v>35.725999999999999</v>
      </c>
    </row>
    <row r="525" spans="2:11" x14ac:dyDescent="0.2">
      <c r="B525" s="9">
        <v>18.566666666666666</v>
      </c>
      <c r="C525" s="5">
        <v>29.149000000000001</v>
      </c>
      <c r="D525" s="5">
        <v>41.835000000000001</v>
      </c>
      <c r="E525" s="5">
        <v>41.87</v>
      </c>
      <c r="F525" s="9">
        <v>39.293999999999997</v>
      </c>
      <c r="G525" s="9">
        <v>50.88</v>
      </c>
      <c r="H525" s="9">
        <v>46.640999999999998</v>
      </c>
      <c r="I525" s="9">
        <v>55.454000000000001</v>
      </c>
      <c r="J525" s="9">
        <v>40.53</v>
      </c>
      <c r="K525" s="9">
        <v>35.69</v>
      </c>
    </row>
    <row r="526" spans="2:11" x14ac:dyDescent="0.2">
      <c r="B526" s="9">
        <v>18.583333333333332</v>
      </c>
      <c r="C526" s="5">
        <v>29.114999999999998</v>
      </c>
      <c r="D526" s="5">
        <v>41.779000000000003</v>
      </c>
      <c r="E526" s="5">
        <v>41.887999999999998</v>
      </c>
      <c r="F526" s="9">
        <v>39.277999999999999</v>
      </c>
      <c r="G526" s="9">
        <v>50.847999999999999</v>
      </c>
      <c r="H526" s="9">
        <v>46.598999999999997</v>
      </c>
      <c r="I526" s="9">
        <v>55.462000000000003</v>
      </c>
      <c r="J526" s="9">
        <v>40.517000000000003</v>
      </c>
      <c r="K526" s="9">
        <v>35.664000000000001</v>
      </c>
    </row>
    <row r="527" spans="2:11" x14ac:dyDescent="0.2">
      <c r="B527" s="9">
        <v>18.600000000000001</v>
      </c>
      <c r="C527" s="5">
        <v>29.065999999999999</v>
      </c>
      <c r="D527" s="5">
        <v>41.759</v>
      </c>
      <c r="E527" s="5">
        <v>41.784999999999997</v>
      </c>
      <c r="F527" s="9">
        <v>39.235999999999997</v>
      </c>
      <c r="G527" s="9">
        <v>50.787999999999997</v>
      </c>
      <c r="H527" s="9">
        <v>46.548000000000002</v>
      </c>
      <c r="I527" s="9">
        <v>55.481999999999999</v>
      </c>
      <c r="J527" s="9">
        <v>40.473999999999997</v>
      </c>
      <c r="K527" s="9">
        <v>35.606000000000002</v>
      </c>
    </row>
    <row r="528" spans="2:11" x14ac:dyDescent="0.2">
      <c r="B528" s="9">
        <v>18.616666666666667</v>
      </c>
      <c r="C528" s="5">
        <v>29.015999999999998</v>
      </c>
      <c r="D528" s="5">
        <v>41.732999999999997</v>
      </c>
      <c r="E528" s="5">
        <v>41.81</v>
      </c>
      <c r="F528" s="9">
        <v>39.195999999999998</v>
      </c>
      <c r="G528" s="9">
        <v>50.771000000000001</v>
      </c>
      <c r="H528" s="9">
        <v>46.506999999999998</v>
      </c>
      <c r="I528" s="9">
        <v>55.433</v>
      </c>
      <c r="J528" s="9">
        <v>40.445</v>
      </c>
      <c r="K528" s="9">
        <v>35.563000000000002</v>
      </c>
    </row>
    <row r="529" spans="2:11" x14ac:dyDescent="0.2">
      <c r="B529" s="9">
        <v>18.633333333333333</v>
      </c>
      <c r="C529" s="5">
        <v>28.984999999999999</v>
      </c>
      <c r="D529" s="5">
        <v>41.683</v>
      </c>
      <c r="E529" s="5">
        <v>41.707999999999998</v>
      </c>
      <c r="F529" s="9">
        <v>39.158000000000001</v>
      </c>
      <c r="G529" s="9">
        <v>50.725000000000001</v>
      </c>
      <c r="H529" s="9">
        <v>46.502000000000002</v>
      </c>
      <c r="I529" s="9">
        <v>55.405999999999999</v>
      </c>
      <c r="J529" s="9">
        <v>40.412999999999997</v>
      </c>
      <c r="K529" s="9">
        <v>35.527999999999999</v>
      </c>
    </row>
    <row r="530" spans="2:11" x14ac:dyDescent="0.2">
      <c r="B530" s="9">
        <v>18.649999999999999</v>
      </c>
      <c r="C530" s="5">
        <v>28.917000000000002</v>
      </c>
      <c r="D530" s="5">
        <v>41.704000000000001</v>
      </c>
      <c r="E530" s="5">
        <v>41.662999999999997</v>
      </c>
      <c r="F530" s="9">
        <v>39.125</v>
      </c>
      <c r="G530" s="9">
        <v>50.677</v>
      </c>
      <c r="H530" s="9">
        <v>46.164000000000001</v>
      </c>
      <c r="I530" s="9">
        <v>55.353000000000002</v>
      </c>
      <c r="J530" s="9">
        <v>40.326999999999998</v>
      </c>
      <c r="K530" s="9">
        <v>35.472000000000001</v>
      </c>
    </row>
    <row r="531" spans="2:11" x14ac:dyDescent="0.2">
      <c r="B531" s="9">
        <v>18.666666666666668</v>
      </c>
      <c r="C531" s="5">
        <v>28.920999999999999</v>
      </c>
      <c r="D531" s="5">
        <v>41.631</v>
      </c>
      <c r="E531" s="5">
        <v>41.65</v>
      </c>
      <c r="F531" s="9">
        <v>39.076999999999998</v>
      </c>
      <c r="G531" s="9">
        <v>50.634</v>
      </c>
      <c r="H531" s="9">
        <v>46.41</v>
      </c>
      <c r="I531" s="9">
        <v>55.326000000000001</v>
      </c>
      <c r="J531" s="9">
        <v>40.320999999999998</v>
      </c>
      <c r="K531" s="9">
        <v>35.418999999999997</v>
      </c>
    </row>
    <row r="532" spans="2:11" x14ac:dyDescent="0.2">
      <c r="B532" s="9">
        <v>18.683333333333334</v>
      </c>
      <c r="C532" s="5">
        <v>28.847999999999999</v>
      </c>
      <c r="D532" s="5">
        <v>41.588999999999999</v>
      </c>
      <c r="E532" s="5">
        <v>41.631</v>
      </c>
      <c r="F532" s="9">
        <v>39.033999999999999</v>
      </c>
      <c r="G532" s="9">
        <v>50.597999999999999</v>
      </c>
      <c r="H532" s="9">
        <v>46.436</v>
      </c>
      <c r="I532" s="9">
        <v>55.308999999999997</v>
      </c>
      <c r="J532" s="9">
        <v>40.286999999999999</v>
      </c>
      <c r="K532" s="9">
        <v>35.384999999999998</v>
      </c>
    </row>
    <row r="533" spans="2:11" x14ac:dyDescent="0.2">
      <c r="B533" s="9">
        <v>18.7</v>
      </c>
      <c r="C533" s="5">
        <v>28.821999999999999</v>
      </c>
      <c r="D533" s="5">
        <v>41.536000000000001</v>
      </c>
      <c r="E533" s="5">
        <v>41.578000000000003</v>
      </c>
      <c r="F533" s="9">
        <v>38.984000000000002</v>
      </c>
      <c r="G533" s="9">
        <v>50.597000000000001</v>
      </c>
      <c r="H533" s="9">
        <v>46.420999999999999</v>
      </c>
      <c r="I533" s="9">
        <v>55.3</v>
      </c>
      <c r="J533" s="9">
        <v>40.241999999999997</v>
      </c>
      <c r="K533" s="9">
        <v>35.332999999999998</v>
      </c>
    </row>
    <row r="534" spans="2:11" x14ac:dyDescent="0.2">
      <c r="B534" s="9">
        <v>18.716666666666665</v>
      </c>
      <c r="C534" s="5">
        <v>28.760999999999999</v>
      </c>
      <c r="D534" s="5">
        <v>41.52</v>
      </c>
      <c r="E534" s="5">
        <v>41.6</v>
      </c>
      <c r="F534" s="9">
        <v>38.966000000000001</v>
      </c>
      <c r="G534" s="9">
        <v>50.564</v>
      </c>
      <c r="H534" s="9">
        <v>46.173999999999999</v>
      </c>
      <c r="I534" s="9">
        <v>55.274000000000001</v>
      </c>
      <c r="J534" s="9">
        <v>40.186</v>
      </c>
      <c r="K534" s="9">
        <v>35.280999999999999</v>
      </c>
    </row>
    <row r="535" spans="2:11" x14ac:dyDescent="0.2">
      <c r="B535" s="9">
        <v>18.733333333333334</v>
      </c>
      <c r="C535" s="5">
        <v>28.728000000000002</v>
      </c>
      <c r="D535" s="5">
        <v>41.478999999999999</v>
      </c>
      <c r="E535" s="5">
        <v>41.500999999999998</v>
      </c>
      <c r="F535" s="9">
        <v>38.921999999999997</v>
      </c>
      <c r="G535" s="9">
        <v>50.512999999999998</v>
      </c>
      <c r="H535" s="9">
        <v>46.325000000000003</v>
      </c>
      <c r="I535" s="9">
        <v>55.265999999999998</v>
      </c>
      <c r="J535" s="9">
        <v>40.140999999999998</v>
      </c>
      <c r="K535" s="9">
        <v>35.238</v>
      </c>
    </row>
    <row r="536" spans="2:11" x14ac:dyDescent="0.2">
      <c r="B536" s="9">
        <v>18.75</v>
      </c>
      <c r="C536" s="5">
        <v>28.670999999999999</v>
      </c>
      <c r="D536" s="5">
        <v>41.466000000000001</v>
      </c>
      <c r="E536" s="5">
        <v>41.487000000000002</v>
      </c>
      <c r="F536" s="9">
        <v>38.896000000000001</v>
      </c>
      <c r="G536" s="9">
        <v>50.478999999999999</v>
      </c>
      <c r="H536" s="9">
        <v>46.256999999999998</v>
      </c>
      <c r="I536" s="9">
        <v>55.215000000000003</v>
      </c>
      <c r="J536" s="9">
        <v>40.131999999999998</v>
      </c>
      <c r="K536" s="9">
        <v>35.177999999999997</v>
      </c>
    </row>
    <row r="537" spans="2:11" x14ac:dyDescent="0.2">
      <c r="B537" s="9">
        <v>18.766666666666666</v>
      </c>
      <c r="C537" s="5">
        <v>28.65</v>
      </c>
      <c r="D537" s="5">
        <v>41.435000000000002</v>
      </c>
      <c r="E537" s="5">
        <v>41.435000000000002</v>
      </c>
      <c r="F537" s="9">
        <v>38.844999999999999</v>
      </c>
      <c r="G537" s="9">
        <v>50.466000000000001</v>
      </c>
      <c r="H537" s="9">
        <v>46.127000000000002</v>
      </c>
      <c r="I537" s="9">
        <v>55.210999999999999</v>
      </c>
      <c r="J537" s="9">
        <v>40.036000000000001</v>
      </c>
      <c r="K537" s="9">
        <v>35.158999999999999</v>
      </c>
    </row>
    <row r="538" spans="2:11" x14ac:dyDescent="0.2">
      <c r="B538" s="9">
        <v>18.783333333333335</v>
      </c>
      <c r="C538" s="5">
        <v>28.591000000000001</v>
      </c>
      <c r="D538" s="5">
        <v>41.375</v>
      </c>
      <c r="E538" s="5">
        <v>41.439</v>
      </c>
      <c r="F538" s="9">
        <v>38.789000000000001</v>
      </c>
      <c r="G538" s="9">
        <v>50.433999999999997</v>
      </c>
      <c r="H538" s="9">
        <v>46.231000000000002</v>
      </c>
      <c r="I538" s="9">
        <v>55.165999999999997</v>
      </c>
      <c r="J538" s="9">
        <v>40.01</v>
      </c>
      <c r="K538" s="9">
        <v>35.113999999999997</v>
      </c>
    </row>
    <row r="539" spans="2:11" x14ac:dyDescent="0.2">
      <c r="B539" s="9">
        <v>18.8</v>
      </c>
      <c r="C539" s="5">
        <v>28.542999999999999</v>
      </c>
      <c r="D539" s="5">
        <v>41.369</v>
      </c>
      <c r="E539" s="5">
        <v>41.375999999999998</v>
      </c>
      <c r="F539" s="9">
        <v>38.784999999999997</v>
      </c>
      <c r="G539" s="9">
        <v>50.39</v>
      </c>
      <c r="H539" s="9">
        <v>46.231000000000002</v>
      </c>
      <c r="I539" s="9">
        <v>55.140999999999998</v>
      </c>
      <c r="J539" s="9">
        <v>39.978999999999999</v>
      </c>
      <c r="K539" s="9">
        <v>35.045999999999999</v>
      </c>
    </row>
    <row r="540" spans="2:11" x14ac:dyDescent="0.2">
      <c r="B540" s="9">
        <v>18.816666666666666</v>
      </c>
      <c r="C540" s="5">
        <v>28.515999999999998</v>
      </c>
      <c r="D540" s="5">
        <v>41.345999999999997</v>
      </c>
      <c r="E540" s="5">
        <v>41.326999999999998</v>
      </c>
      <c r="F540" s="9">
        <v>38.753999999999998</v>
      </c>
      <c r="G540" s="9">
        <v>50.348999999999997</v>
      </c>
      <c r="H540" s="9">
        <v>46.164000000000001</v>
      </c>
      <c r="I540" s="9">
        <v>55.122</v>
      </c>
      <c r="J540" s="9">
        <v>39.948</v>
      </c>
      <c r="K540" s="9">
        <v>34.991999999999997</v>
      </c>
    </row>
    <row r="541" spans="2:11" x14ac:dyDescent="0.2">
      <c r="B541" s="9">
        <v>18.833333333333332</v>
      </c>
      <c r="C541" s="5">
        <v>28.469000000000001</v>
      </c>
      <c r="D541" s="5">
        <v>41.331000000000003</v>
      </c>
      <c r="E541" s="5">
        <v>41.277999999999999</v>
      </c>
      <c r="F541" s="9">
        <v>38.698999999999998</v>
      </c>
      <c r="G541" s="9">
        <v>50.323999999999998</v>
      </c>
      <c r="H541" s="9">
        <v>46.225000000000001</v>
      </c>
      <c r="I541" s="9">
        <v>55.088000000000001</v>
      </c>
      <c r="J541" s="9">
        <v>39.901000000000003</v>
      </c>
      <c r="K541" s="9">
        <v>34.954000000000001</v>
      </c>
    </row>
    <row r="542" spans="2:11" x14ac:dyDescent="0.2">
      <c r="B542" s="9">
        <v>18.850000000000001</v>
      </c>
      <c r="C542" s="5">
        <v>28.443999999999999</v>
      </c>
      <c r="D542" s="5">
        <v>41.308</v>
      </c>
      <c r="E542" s="5">
        <v>41.265000000000001</v>
      </c>
      <c r="F542" s="9">
        <v>38.667000000000002</v>
      </c>
      <c r="G542" s="9">
        <v>50.29</v>
      </c>
      <c r="H542" s="9">
        <v>46.139000000000003</v>
      </c>
      <c r="I542" s="9">
        <v>55.09</v>
      </c>
      <c r="J542" s="9">
        <v>39.854999999999997</v>
      </c>
      <c r="K542" s="9">
        <v>34.923999999999999</v>
      </c>
    </row>
    <row r="543" spans="2:11" x14ac:dyDescent="0.2">
      <c r="B543" s="9">
        <v>18.866666666666667</v>
      </c>
      <c r="C543" s="5">
        <v>28.370999999999999</v>
      </c>
      <c r="D543" s="5">
        <v>41.274000000000001</v>
      </c>
      <c r="E543" s="5">
        <v>41.215000000000003</v>
      </c>
      <c r="F543" s="9">
        <v>38.667999999999999</v>
      </c>
      <c r="G543" s="9">
        <v>50.262</v>
      </c>
      <c r="H543" s="9">
        <v>46.115000000000002</v>
      </c>
      <c r="I543" s="9">
        <v>55.042000000000002</v>
      </c>
      <c r="J543" s="9">
        <v>39.814</v>
      </c>
      <c r="K543" s="9">
        <v>34.868000000000002</v>
      </c>
    </row>
    <row r="544" spans="2:11" x14ac:dyDescent="0.2">
      <c r="B544" s="9">
        <v>18.883333333333333</v>
      </c>
      <c r="C544" s="5">
        <v>28.364999999999998</v>
      </c>
      <c r="D544" s="5">
        <v>41.222999999999999</v>
      </c>
      <c r="E544" s="5">
        <v>41.173000000000002</v>
      </c>
      <c r="F544" s="9">
        <v>38.625999999999998</v>
      </c>
      <c r="G544" s="9">
        <v>50.276000000000003</v>
      </c>
      <c r="H544" s="9">
        <v>45.780999999999999</v>
      </c>
      <c r="I544" s="9">
        <v>55.023000000000003</v>
      </c>
      <c r="J544" s="9">
        <v>39.756999999999998</v>
      </c>
      <c r="K544" s="9">
        <v>34.814</v>
      </c>
    </row>
    <row r="545" spans="2:11" x14ac:dyDescent="0.2">
      <c r="B545" s="9">
        <v>18.899999999999999</v>
      </c>
      <c r="C545" s="5">
        <v>28.318999999999999</v>
      </c>
      <c r="D545" s="5">
        <v>41.194000000000003</v>
      </c>
      <c r="E545" s="5">
        <v>41.168999999999997</v>
      </c>
      <c r="F545" s="9">
        <v>38.597999999999999</v>
      </c>
      <c r="G545" s="9">
        <v>50.235999999999997</v>
      </c>
      <c r="H545" s="9">
        <v>46.037999999999997</v>
      </c>
      <c r="I545" s="9">
        <v>54.984999999999999</v>
      </c>
      <c r="J545" s="9">
        <v>39.746000000000002</v>
      </c>
      <c r="K545" s="9">
        <v>34.802999999999997</v>
      </c>
    </row>
    <row r="546" spans="2:11" x14ac:dyDescent="0.2">
      <c r="B546" s="9">
        <v>18.916666666666668</v>
      </c>
      <c r="C546" s="5">
        <v>28.242000000000001</v>
      </c>
      <c r="D546" s="5">
        <v>41.167999999999999</v>
      </c>
      <c r="E546" s="5">
        <v>41.125999999999998</v>
      </c>
      <c r="F546" s="9">
        <v>38.524000000000001</v>
      </c>
      <c r="G546" s="9">
        <v>50.191000000000003</v>
      </c>
      <c r="H546" s="9">
        <v>45.968000000000004</v>
      </c>
      <c r="I546" s="9">
        <v>54.929000000000002</v>
      </c>
      <c r="J546" s="9">
        <v>39.654000000000003</v>
      </c>
      <c r="K546" s="9">
        <v>34.752000000000002</v>
      </c>
    </row>
    <row r="547" spans="2:11" x14ac:dyDescent="0.2">
      <c r="B547" s="9">
        <v>18.933333333333334</v>
      </c>
      <c r="C547" s="5">
        <v>28.253</v>
      </c>
      <c r="D547" s="5">
        <v>41.158999999999999</v>
      </c>
      <c r="E547" s="5">
        <v>41.042999999999999</v>
      </c>
      <c r="F547" s="9">
        <v>38.503</v>
      </c>
      <c r="G547" s="9">
        <v>50.182000000000002</v>
      </c>
      <c r="H547" s="9">
        <v>45.953000000000003</v>
      </c>
      <c r="I547" s="9">
        <v>54.933999999999997</v>
      </c>
      <c r="J547" s="9">
        <v>39.603999999999999</v>
      </c>
      <c r="K547" s="9">
        <v>34.691000000000003</v>
      </c>
    </row>
    <row r="548" spans="2:11" x14ac:dyDescent="0.2">
      <c r="B548" s="9">
        <v>18.95</v>
      </c>
      <c r="C548" s="5">
        <v>28.148</v>
      </c>
      <c r="D548" s="5">
        <v>41.13</v>
      </c>
      <c r="E548" s="5">
        <v>41.061</v>
      </c>
      <c r="F548" s="9">
        <v>38.427999999999997</v>
      </c>
      <c r="G548" s="9">
        <v>50.161999999999999</v>
      </c>
      <c r="H548" s="9">
        <v>45.911999999999999</v>
      </c>
      <c r="I548" s="9">
        <v>54.923000000000002</v>
      </c>
      <c r="J548" s="9">
        <v>39.609000000000002</v>
      </c>
      <c r="K548" s="9">
        <v>34.655999999999999</v>
      </c>
    </row>
    <row r="549" spans="2:11" x14ac:dyDescent="0.2">
      <c r="B549" s="9">
        <v>18.966666666666665</v>
      </c>
      <c r="C549" s="5">
        <v>28.12</v>
      </c>
      <c r="D549" s="5">
        <v>41.115000000000002</v>
      </c>
      <c r="E549" s="5">
        <v>40.999000000000002</v>
      </c>
      <c r="F549" s="9">
        <v>38.405000000000001</v>
      </c>
      <c r="G549" s="9">
        <v>50.128999999999998</v>
      </c>
      <c r="H549" s="9">
        <v>45.848999999999997</v>
      </c>
      <c r="I549" s="9">
        <v>54.886000000000003</v>
      </c>
      <c r="J549" s="9">
        <v>39.594999999999999</v>
      </c>
      <c r="K549" s="9">
        <v>34.588000000000001</v>
      </c>
    </row>
    <row r="550" spans="2:11" x14ac:dyDescent="0.2">
      <c r="B550" s="9">
        <v>18.983333333333334</v>
      </c>
      <c r="C550" s="5">
        <v>28.111000000000001</v>
      </c>
      <c r="D550" s="5">
        <v>41.067999999999998</v>
      </c>
      <c r="E550" s="5">
        <v>40.959000000000003</v>
      </c>
      <c r="F550" s="9">
        <v>38.389000000000003</v>
      </c>
      <c r="G550" s="9">
        <v>50.097999999999999</v>
      </c>
      <c r="H550" s="9">
        <v>45.814999999999998</v>
      </c>
      <c r="I550" s="9">
        <v>54.825000000000003</v>
      </c>
      <c r="J550" s="9">
        <v>39.512</v>
      </c>
      <c r="K550" s="9">
        <v>34.524999999999999</v>
      </c>
    </row>
    <row r="551" spans="2:11" x14ac:dyDescent="0.2">
      <c r="B551" s="9">
        <v>19</v>
      </c>
      <c r="C551" s="5">
        <v>28.029</v>
      </c>
      <c r="D551" s="5">
        <v>41.033000000000001</v>
      </c>
      <c r="E551" s="5">
        <v>40.895000000000003</v>
      </c>
      <c r="F551" s="9">
        <v>38.356999999999999</v>
      </c>
      <c r="G551" s="9">
        <v>50.070999999999998</v>
      </c>
      <c r="H551" s="9">
        <v>45.826999999999998</v>
      </c>
      <c r="I551" s="9">
        <v>54.829000000000001</v>
      </c>
      <c r="J551" s="9">
        <v>39.494999999999997</v>
      </c>
      <c r="K551" s="9">
        <v>34.521999999999998</v>
      </c>
    </row>
    <row r="552" spans="2:11" x14ac:dyDescent="0.2">
      <c r="B552" s="9">
        <v>19.016666666666666</v>
      </c>
      <c r="C552" s="5">
        <v>28.033999999999999</v>
      </c>
      <c r="D552" s="5">
        <v>41.015000000000001</v>
      </c>
      <c r="E552" s="5">
        <v>40.884</v>
      </c>
      <c r="F552" s="9">
        <v>38.323999999999998</v>
      </c>
      <c r="G552" s="9">
        <v>50.023000000000003</v>
      </c>
      <c r="H552" s="9">
        <v>45.7</v>
      </c>
      <c r="I552" s="9">
        <v>54.808999999999997</v>
      </c>
      <c r="J552" s="9">
        <v>39.390999999999998</v>
      </c>
      <c r="K552" s="9">
        <v>34.445999999999998</v>
      </c>
    </row>
    <row r="553" spans="2:11" x14ac:dyDescent="0.2">
      <c r="B553" s="9">
        <v>19.033333333333335</v>
      </c>
      <c r="C553" s="5">
        <v>27.940999999999999</v>
      </c>
      <c r="D553" s="5">
        <v>41.000999999999998</v>
      </c>
      <c r="E553" s="5">
        <v>40.838999999999999</v>
      </c>
      <c r="F553" s="9">
        <v>38.283999999999999</v>
      </c>
      <c r="G553" s="9">
        <v>50.009</v>
      </c>
      <c r="H553" s="9">
        <v>45.698999999999998</v>
      </c>
      <c r="I553" s="9">
        <v>54.777999999999999</v>
      </c>
      <c r="J553" s="9">
        <v>39.353000000000002</v>
      </c>
      <c r="K553" s="9">
        <v>34.377000000000002</v>
      </c>
    </row>
    <row r="554" spans="2:11" x14ac:dyDescent="0.2">
      <c r="B554" s="9">
        <v>19.05</v>
      </c>
      <c r="C554" s="5">
        <v>27.852</v>
      </c>
      <c r="D554" s="5">
        <v>40.978000000000002</v>
      </c>
      <c r="E554" s="5">
        <v>40.79</v>
      </c>
      <c r="F554" s="9">
        <v>38.250999999999998</v>
      </c>
      <c r="G554" s="9">
        <v>49.978999999999999</v>
      </c>
      <c r="H554" s="9">
        <v>45.499000000000002</v>
      </c>
      <c r="I554" s="9">
        <v>54.728000000000002</v>
      </c>
      <c r="J554" s="9">
        <v>39.316000000000003</v>
      </c>
      <c r="K554" s="9">
        <v>34.360999999999997</v>
      </c>
    </row>
    <row r="555" spans="2:11" x14ac:dyDescent="0.2">
      <c r="B555" s="9">
        <v>19.066666666666666</v>
      </c>
      <c r="C555" s="5">
        <v>27.824000000000002</v>
      </c>
      <c r="D555" s="5">
        <v>40.932000000000002</v>
      </c>
      <c r="E555" s="5">
        <v>40.792999999999999</v>
      </c>
      <c r="F555" s="9">
        <v>38.234000000000002</v>
      </c>
      <c r="G555" s="9">
        <v>49.95</v>
      </c>
      <c r="H555" s="9">
        <v>45.658000000000001</v>
      </c>
      <c r="I555" s="9">
        <v>54.731000000000002</v>
      </c>
      <c r="J555" s="9">
        <v>39.238999999999997</v>
      </c>
      <c r="K555" s="9">
        <v>34.316000000000003</v>
      </c>
    </row>
    <row r="556" spans="2:11" x14ac:dyDescent="0.2">
      <c r="B556" s="9">
        <v>19.083333333333332</v>
      </c>
      <c r="C556" s="5">
        <v>27.792000000000002</v>
      </c>
      <c r="D556" s="5">
        <v>40.887999999999998</v>
      </c>
      <c r="E556" s="5">
        <v>40.762999999999998</v>
      </c>
      <c r="F556" s="9">
        <v>38.186999999999998</v>
      </c>
      <c r="G556" s="9">
        <v>49.945999999999998</v>
      </c>
      <c r="H556" s="9">
        <v>45.603999999999999</v>
      </c>
      <c r="I556" s="9">
        <v>54.704000000000001</v>
      </c>
      <c r="J556" s="9">
        <v>39.198999999999998</v>
      </c>
      <c r="K556" s="9">
        <v>34.271999999999998</v>
      </c>
    </row>
    <row r="557" spans="2:11" x14ac:dyDescent="0.2">
      <c r="B557" s="9">
        <v>19.100000000000001</v>
      </c>
      <c r="C557" s="5">
        <v>27.690999999999999</v>
      </c>
      <c r="D557" s="5">
        <v>40.859000000000002</v>
      </c>
      <c r="E557" s="5">
        <v>40.662999999999997</v>
      </c>
      <c r="F557" s="9">
        <v>38.167999999999999</v>
      </c>
      <c r="G557" s="9">
        <v>49.935000000000002</v>
      </c>
      <c r="H557" s="9">
        <v>45.408999999999999</v>
      </c>
      <c r="I557" s="9">
        <v>54.665999999999997</v>
      </c>
      <c r="J557" s="9">
        <v>39.134999999999998</v>
      </c>
      <c r="K557" s="9">
        <v>34.235999999999997</v>
      </c>
    </row>
    <row r="558" spans="2:11" x14ac:dyDescent="0.2">
      <c r="B558" s="9">
        <v>19.116666666666667</v>
      </c>
      <c r="C558" s="5">
        <v>27.696999999999999</v>
      </c>
      <c r="D558" s="5">
        <v>40.841999999999999</v>
      </c>
      <c r="E558" s="5">
        <v>40.625999999999998</v>
      </c>
      <c r="F558" s="9">
        <v>38.101999999999997</v>
      </c>
      <c r="G558" s="9">
        <v>49.898000000000003</v>
      </c>
      <c r="H558" s="9">
        <v>45.576999999999998</v>
      </c>
      <c r="I558" s="9">
        <v>54.634</v>
      </c>
      <c r="J558" s="9">
        <v>39.112000000000002</v>
      </c>
      <c r="K558" s="9">
        <v>34.21</v>
      </c>
    </row>
    <row r="559" spans="2:11" x14ac:dyDescent="0.2">
      <c r="B559" s="9">
        <v>19.133333333333333</v>
      </c>
      <c r="C559" s="5">
        <v>27.678000000000001</v>
      </c>
      <c r="D559" s="5">
        <v>40.823</v>
      </c>
      <c r="E559" s="5">
        <v>40.631999999999998</v>
      </c>
      <c r="F559" s="9">
        <v>38.076999999999998</v>
      </c>
      <c r="G559" s="9">
        <v>49.865000000000002</v>
      </c>
      <c r="H559" s="9">
        <v>45.521000000000001</v>
      </c>
      <c r="I559" s="9">
        <v>54.613</v>
      </c>
      <c r="J559" s="9">
        <v>39.055999999999997</v>
      </c>
      <c r="K559" s="9">
        <v>34.134999999999998</v>
      </c>
    </row>
    <row r="560" spans="2:11" x14ac:dyDescent="0.2">
      <c r="B560" s="9">
        <v>19.149999999999999</v>
      </c>
      <c r="C560" s="5">
        <v>27.67</v>
      </c>
      <c r="D560" s="5">
        <v>40.780999999999999</v>
      </c>
      <c r="E560" s="5">
        <v>40.561999999999998</v>
      </c>
      <c r="F560" s="9">
        <v>38.021999999999998</v>
      </c>
      <c r="G560" s="9">
        <v>49.847999999999999</v>
      </c>
      <c r="H560" s="9">
        <v>45.478000000000002</v>
      </c>
      <c r="I560" s="9">
        <v>54.606000000000002</v>
      </c>
      <c r="J560" s="9">
        <v>38.984000000000002</v>
      </c>
      <c r="K560" s="9">
        <v>34.075000000000003</v>
      </c>
    </row>
    <row r="561" spans="2:11" x14ac:dyDescent="0.2">
      <c r="B561" s="9">
        <v>19.166666666666668</v>
      </c>
      <c r="C561" s="5">
        <v>27.649000000000001</v>
      </c>
      <c r="D561" s="5">
        <v>40.776000000000003</v>
      </c>
      <c r="E561" s="5">
        <v>40.533999999999999</v>
      </c>
      <c r="F561" s="9">
        <v>38.018999999999998</v>
      </c>
      <c r="G561" s="9">
        <v>49.805999999999997</v>
      </c>
      <c r="H561" s="9">
        <v>45.435000000000002</v>
      </c>
      <c r="I561" s="9">
        <v>54.558</v>
      </c>
      <c r="J561" s="9">
        <v>38.960999999999999</v>
      </c>
      <c r="K561" s="9">
        <v>34.036999999999999</v>
      </c>
    </row>
    <row r="562" spans="2:11" x14ac:dyDescent="0.2">
      <c r="B562" s="9">
        <v>19.183333333333334</v>
      </c>
      <c r="C562" s="5">
        <v>27.602</v>
      </c>
      <c r="D562" s="5">
        <v>40.728999999999999</v>
      </c>
      <c r="E562" s="5">
        <v>40.512</v>
      </c>
      <c r="F562" s="9">
        <v>37.984000000000002</v>
      </c>
      <c r="G562" s="9">
        <v>49.783000000000001</v>
      </c>
      <c r="H562" s="9">
        <v>45.46</v>
      </c>
      <c r="I562" s="9">
        <v>54.561</v>
      </c>
      <c r="J562" s="9">
        <v>38.886000000000003</v>
      </c>
      <c r="K562" s="9">
        <v>33.978000000000002</v>
      </c>
    </row>
    <row r="563" spans="2:11" x14ac:dyDescent="0.2">
      <c r="B563" s="9">
        <v>19.2</v>
      </c>
      <c r="C563" s="5">
        <v>27.571000000000002</v>
      </c>
      <c r="D563" s="5">
        <v>40.683999999999997</v>
      </c>
      <c r="E563" s="5">
        <v>40.503</v>
      </c>
      <c r="F563" s="9">
        <v>37.968000000000004</v>
      </c>
      <c r="G563" s="9">
        <v>49.78</v>
      </c>
      <c r="H563" s="9">
        <v>45.473999999999997</v>
      </c>
      <c r="I563" s="9">
        <v>54.503999999999998</v>
      </c>
      <c r="J563" s="9">
        <v>38.808</v>
      </c>
      <c r="K563" s="9">
        <v>33.933</v>
      </c>
    </row>
    <row r="564" spans="2:11" x14ac:dyDescent="0.2">
      <c r="B564" s="9">
        <v>19.216666666666665</v>
      </c>
      <c r="C564" s="5">
        <v>27.527000000000001</v>
      </c>
      <c r="D564" s="5">
        <v>40.654000000000003</v>
      </c>
      <c r="E564" s="5">
        <v>40.454000000000001</v>
      </c>
      <c r="F564" s="9">
        <v>37.886000000000003</v>
      </c>
      <c r="G564" s="9">
        <v>49.716999999999999</v>
      </c>
      <c r="H564" s="9">
        <v>45.322000000000003</v>
      </c>
      <c r="I564" s="9">
        <v>54.524999999999999</v>
      </c>
      <c r="J564" s="9">
        <v>38.779000000000003</v>
      </c>
      <c r="K564" s="9">
        <v>33.887</v>
      </c>
    </row>
    <row r="565" spans="2:11" x14ac:dyDescent="0.2">
      <c r="B565" s="9">
        <v>19.233333333333334</v>
      </c>
      <c r="C565" s="5">
        <v>27.475000000000001</v>
      </c>
      <c r="D565" s="5">
        <v>40.624000000000002</v>
      </c>
      <c r="E565" s="5">
        <v>40.371000000000002</v>
      </c>
      <c r="F565" s="9">
        <v>37.856999999999999</v>
      </c>
      <c r="G565" s="9">
        <v>49.686999999999998</v>
      </c>
      <c r="H565" s="9">
        <v>45.381999999999998</v>
      </c>
      <c r="I565" s="9">
        <v>54.448999999999998</v>
      </c>
      <c r="J565" s="9">
        <v>38.768000000000001</v>
      </c>
      <c r="K565" s="9">
        <v>33.896000000000001</v>
      </c>
    </row>
    <row r="566" spans="2:11" x14ac:dyDescent="0.2">
      <c r="B566" s="9">
        <v>19.25</v>
      </c>
      <c r="C566" s="5">
        <v>27.428999999999998</v>
      </c>
      <c r="D566" s="5">
        <v>40.585999999999999</v>
      </c>
      <c r="E566" s="5">
        <v>40.380000000000003</v>
      </c>
      <c r="F566" s="9">
        <v>37.856000000000002</v>
      </c>
      <c r="G566" s="9">
        <v>49.667999999999999</v>
      </c>
      <c r="H566" s="9">
        <v>45.353000000000002</v>
      </c>
      <c r="I566" s="9">
        <v>54.398000000000003</v>
      </c>
      <c r="J566" s="9">
        <v>38.713000000000001</v>
      </c>
      <c r="K566" s="9">
        <v>33.828000000000003</v>
      </c>
    </row>
    <row r="567" spans="2:11" x14ac:dyDescent="0.2">
      <c r="B567" s="9">
        <v>19.266666666666666</v>
      </c>
      <c r="C567" s="5">
        <v>27.4</v>
      </c>
      <c r="D567" s="5">
        <v>40.564999999999998</v>
      </c>
      <c r="E567" s="5">
        <v>40.319000000000003</v>
      </c>
      <c r="F567" s="9">
        <v>37.780999999999999</v>
      </c>
      <c r="G567" s="9">
        <v>49.628</v>
      </c>
      <c r="H567" s="9">
        <v>45.3</v>
      </c>
      <c r="I567" s="9">
        <v>54.377000000000002</v>
      </c>
      <c r="J567" s="9">
        <v>38.661000000000001</v>
      </c>
      <c r="K567" s="9">
        <v>33.783000000000001</v>
      </c>
    </row>
    <row r="568" spans="2:11" x14ac:dyDescent="0.2">
      <c r="B568" s="9">
        <v>19.283333333333335</v>
      </c>
      <c r="C568" s="5">
        <v>27.317</v>
      </c>
      <c r="D568" s="5">
        <v>40.537999999999997</v>
      </c>
      <c r="E568" s="5">
        <v>40.302</v>
      </c>
      <c r="F568" s="9">
        <v>37.783000000000001</v>
      </c>
      <c r="G568" s="9">
        <v>49.600999999999999</v>
      </c>
      <c r="H568" s="9">
        <v>44.988</v>
      </c>
      <c r="I568" s="9">
        <v>54.401000000000003</v>
      </c>
      <c r="J568" s="9">
        <v>38.655999999999999</v>
      </c>
      <c r="K568" s="9">
        <v>33.752000000000002</v>
      </c>
    </row>
    <row r="569" spans="2:11" x14ac:dyDescent="0.2">
      <c r="B569" s="9">
        <v>19.3</v>
      </c>
      <c r="C569" s="5">
        <v>27.335000000000001</v>
      </c>
      <c r="D569" s="5">
        <v>40.479999999999997</v>
      </c>
      <c r="E569" s="5">
        <v>40.253999999999998</v>
      </c>
      <c r="F569" s="9">
        <v>37.713999999999999</v>
      </c>
      <c r="G569" s="9">
        <v>49.61</v>
      </c>
      <c r="H569" s="9">
        <v>45.218000000000004</v>
      </c>
      <c r="I569" s="9">
        <v>54.353000000000002</v>
      </c>
      <c r="J569" s="9">
        <v>38.612000000000002</v>
      </c>
      <c r="K569" s="9">
        <v>33.686999999999998</v>
      </c>
    </row>
    <row r="570" spans="2:11" x14ac:dyDescent="0.2">
      <c r="B570" s="9">
        <v>19.316666666666666</v>
      </c>
      <c r="C570" s="5">
        <v>27.244</v>
      </c>
      <c r="D570" s="5">
        <v>40.494999999999997</v>
      </c>
      <c r="E570" s="5">
        <v>40.24</v>
      </c>
      <c r="F570" s="9">
        <v>37.677999999999997</v>
      </c>
      <c r="G570" s="9">
        <v>49.527000000000001</v>
      </c>
      <c r="H570" s="9">
        <v>45.131</v>
      </c>
      <c r="I570" s="9">
        <v>54.31</v>
      </c>
      <c r="J570" s="9">
        <v>38.545000000000002</v>
      </c>
      <c r="K570" s="9">
        <v>33.655999999999999</v>
      </c>
    </row>
    <row r="571" spans="2:11" x14ac:dyDescent="0.2">
      <c r="B571" s="9">
        <v>19.333333333333332</v>
      </c>
      <c r="C571" s="5">
        <v>27.16</v>
      </c>
      <c r="D571" s="5">
        <v>40.459000000000003</v>
      </c>
      <c r="E571" s="5">
        <v>40.197000000000003</v>
      </c>
      <c r="F571" s="9">
        <v>37.664000000000001</v>
      </c>
      <c r="G571" s="9">
        <v>49.52</v>
      </c>
      <c r="H571" s="9">
        <v>45.155999999999999</v>
      </c>
      <c r="I571" s="9">
        <v>54.295000000000002</v>
      </c>
      <c r="J571" s="9">
        <v>38.518000000000001</v>
      </c>
      <c r="K571" s="9">
        <v>33.613</v>
      </c>
    </row>
    <row r="572" spans="2:11" x14ac:dyDescent="0.2">
      <c r="B572" s="9">
        <v>19.350000000000001</v>
      </c>
      <c r="C572" s="5">
        <v>27.082999999999998</v>
      </c>
      <c r="D572" s="5">
        <v>40.404000000000003</v>
      </c>
      <c r="E572" s="5">
        <v>40.164000000000001</v>
      </c>
      <c r="F572" s="9">
        <v>37.6</v>
      </c>
      <c r="G572" s="9">
        <v>49.429000000000002</v>
      </c>
      <c r="H572" s="9">
        <v>45.13</v>
      </c>
      <c r="I572" s="9">
        <v>54.246000000000002</v>
      </c>
      <c r="J572" s="9">
        <v>38.506</v>
      </c>
      <c r="K572" s="9">
        <v>33.576000000000001</v>
      </c>
    </row>
    <row r="573" spans="2:11" x14ac:dyDescent="0.2">
      <c r="B573" s="9">
        <v>19.366666666666667</v>
      </c>
      <c r="C573" s="5">
        <v>27.122</v>
      </c>
      <c r="D573" s="5">
        <v>40.375999999999998</v>
      </c>
      <c r="E573" s="5">
        <v>40.151000000000003</v>
      </c>
      <c r="F573" s="9">
        <v>37.569000000000003</v>
      </c>
      <c r="G573" s="9">
        <v>49.415999999999997</v>
      </c>
      <c r="H573" s="9">
        <v>45.015999999999998</v>
      </c>
      <c r="I573" s="9">
        <v>54.238999999999997</v>
      </c>
      <c r="J573" s="9">
        <v>38.444000000000003</v>
      </c>
      <c r="K573" s="9">
        <v>33.478999999999999</v>
      </c>
    </row>
    <row r="574" spans="2:11" x14ac:dyDescent="0.2">
      <c r="B574" s="9">
        <v>19.383333333333333</v>
      </c>
      <c r="C574" s="5">
        <v>27.071000000000002</v>
      </c>
      <c r="D574" s="5">
        <v>40.344999999999999</v>
      </c>
      <c r="E574" s="5">
        <v>40.073999999999998</v>
      </c>
      <c r="F574" s="9">
        <v>37.534999999999997</v>
      </c>
      <c r="G574" s="9">
        <v>49.415999999999997</v>
      </c>
      <c r="H574" s="9">
        <v>45.024000000000001</v>
      </c>
      <c r="I574" s="9">
        <v>54.212000000000003</v>
      </c>
      <c r="J574" s="9">
        <v>38.411000000000001</v>
      </c>
      <c r="K574" s="9">
        <v>33.509</v>
      </c>
    </row>
    <row r="575" spans="2:11" x14ac:dyDescent="0.2">
      <c r="B575" s="9">
        <v>19.399999999999999</v>
      </c>
      <c r="C575" s="5">
        <v>27.039000000000001</v>
      </c>
      <c r="D575" s="5">
        <v>40.357999999999997</v>
      </c>
      <c r="E575" s="5">
        <v>40.057000000000002</v>
      </c>
      <c r="F575" s="9">
        <v>37.47</v>
      </c>
      <c r="G575" s="9">
        <v>49.356000000000002</v>
      </c>
      <c r="H575" s="9">
        <v>44.976999999999997</v>
      </c>
      <c r="I575" s="9">
        <v>54.186999999999998</v>
      </c>
      <c r="J575" s="9">
        <v>38.353000000000002</v>
      </c>
      <c r="K575" s="9">
        <v>33.454999999999998</v>
      </c>
    </row>
    <row r="576" spans="2:11" x14ac:dyDescent="0.2">
      <c r="B576" s="9">
        <v>19.416666666666668</v>
      </c>
      <c r="C576" s="5">
        <v>26.951000000000001</v>
      </c>
      <c r="D576" s="5">
        <v>40.277999999999999</v>
      </c>
      <c r="E576" s="5">
        <v>39.979999999999997</v>
      </c>
      <c r="F576" s="9">
        <v>37.445999999999998</v>
      </c>
      <c r="G576" s="9">
        <v>49.323999999999998</v>
      </c>
      <c r="H576" s="9">
        <v>44.875999999999998</v>
      </c>
      <c r="I576" s="9">
        <v>54.128</v>
      </c>
      <c r="J576" s="9">
        <v>38.314</v>
      </c>
      <c r="K576" s="9">
        <v>33.386000000000003</v>
      </c>
    </row>
    <row r="577" spans="2:11" x14ac:dyDescent="0.2">
      <c r="B577" s="9">
        <v>19.433333333333334</v>
      </c>
      <c r="C577" s="5">
        <v>26.957999999999998</v>
      </c>
      <c r="D577" s="5">
        <v>40.259</v>
      </c>
      <c r="E577" s="5">
        <v>39.984000000000002</v>
      </c>
      <c r="F577" s="9">
        <v>37.404000000000003</v>
      </c>
      <c r="G577" s="9">
        <v>49.293999999999997</v>
      </c>
      <c r="H577" s="9">
        <v>44.905999999999999</v>
      </c>
      <c r="I577" s="9">
        <v>54.139000000000003</v>
      </c>
      <c r="J577" s="9">
        <v>38.295000000000002</v>
      </c>
      <c r="K577" s="9">
        <v>33.344999999999999</v>
      </c>
    </row>
    <row r="578" spans="2:11" x14ac:dyDescent="0.2">
      <c r="B578" s="9">
        <v>19.45</v>
      </c>
      <c r="C578" s="5">
        <v>26.905999999999999</v>
      </c>
      <c r="D578" s="5">
        <v>40.253999999999998</v>
      </c>
      <c r="E578" s="5">
        <v>39.947000000000003</v>
      </c>
      <c r="F578" s="9">
        <v>37.357999999999997</v>
      </c>
      <c r="G578" s="9">
        <v>49.26</v>
      </c>
      <c r="H578" s="9">
        <v>44.786999999999999</v>
      </c>
      <c r="I578" s="9">
        <v>54.127000000000002</v>
      </c>
      <c r="J578" s="9">
        <v>38.244</v>
      </c>
      <c r="K578" s="9">
        <v>33.286000000000001</v>
      </c>
    </row>
    <row r="579" spans="2:11" x14ac:dyDescent="0.2">
      <c r="B579" s="9">
        <v>19.466666666666665</v>
      </c>
      <c r="C579" s="5">
        <v>26.870999999999999</v>
      </c>
      <c r="D579" s="5">
        <v>40.229999999999997</v>
      </c>
      <c r="E579" s="5">
        <v>39.875999999999998</v>
      </c>
      <c r="F579" s="9">
        <v>37.340000000000003</v>
      </c>
      <c r="G579" s="9">
        <v>49.237000000000002</v>
      </c>
      <c r="H579" s="9">
        <v>44.792999999999999</v>
      </c>
      <c r="I579" s="9">
        <v>54.109000000000002</v>
      </c>
      <c r="J579" s="9">
        <v>38.228999999999999</v>
      </c>
      <c r="K579" s="9">
        <v>33.250999999999998</v>
      </c>
    </row>
    <row r="580" spans="2:11" x14ac:dyDescent="0.2">
      <c r="B580" s="9">
        <v>19.483333333333334</v>
      </c>
      <c r="C580" s="5">
        <v>26.856999999999999</v>
      </c>
      <c r="D580" s="5">
        <v>40.22</v>
      </c>
      <c r="E580" s="5">
        <v>39.9</v>
      </c>
      <c r="F580" s="9">
        <v>37.308999999999997</v>
      </c>
      <c r="G580" s="9">
        <v>49.183999999999997</v>
      </c>
      <c r="H580" s="9">
        <v>44.698999999999998</v>
      </c>
      <c r="I580" s="9">
        <v>54.110999999999997</v>
      </c>
      <c r="J580" s="9">
        <v>38.155999999999999</v>
      </c>
      <c r="K580" s="9">
        <v>33.237000000000002</v>
      </c>
    </row>
    <row r="581" spans="2:11" x14ac:dyDescent="0.2">
      <c r="B581" s="9">
        <v>19.5</v>
      </c>
      <c r="C581" s="5">
        <v>26.765999999999998</v>
      </c>
      <c r="D581" s="5">
        <v>40.161999999999999</v>
      </c>
      <c r="E581" s="5">
        <v>39.822000000000003</v>
      </c>
      <c r="F581" s="9">
        <v>37.271999999999998</v>
      </c>
      <c r="G581" s="9">
        <v>49.140999999999998</v>
      </c>
      <c r="H581" s="9">
        <v>44.728000000000002</v>
      </c>
      <c r="I581" s="9">
        <v>54.033999999999999</v>
      </c>
      <c r="J581" s="9">
        <v>38.146000000000001</v>
      </c>
      <c r="K581" s="9">
        <v>33.182000000000002</v>
      </c>
    </row>
    <row r="582" spans="2:11" x14ac:dyDescent="0.2">
      <c r="B582" s="9">
        <v>19.516666666666666</v>
      </c>
      <c r="C582" s="5">
        <v>26.768999999999998</v>
      </c>
      <c r="D582" s="5">
        <v>40.151000000000003</v>
      </c>
      <c r="E582" s="5">
        <v>39.81</v>
      </c>
      <c r="F582" s="9">
        <v>37.216999999999999</v>
      </c>
      <c r="G582" s="9">
        <v>49.142000000000003</v>
      </c>
      <c r="H582" s="9">
        <v>44.673000000000002</v>
      </c>
      <c r="I582" s="9">
        <v>54.027999999999999</v>
      </c>
      <c r="J582" s="9">
        <v>38.128</v>
      </c>
      <c r="K582" s="9">
        <v>33.088000000000001</v>
      </c>
    </row>
    <row r="583" spans="2:11" x14ac:dyDescent="0.2">
      <c r="B583" s="9">
        <v>19.533333333333335</v>
      </c>
      <c r="C583" s="5">
        <v>26.731999999999999</v>
      </c>
      <c r="D583" s="5">
        <v>40.097000000000001</v>
      </c>
      <c r="E583" s="5">
        <v>39.802</v>
      </c>
      <c r="F583" s="9">
        <v>37.179000000000002</v>
      </c>
      <c r="G583" s="9">
        <v>49.128</v>
      </c>
      <c r="H583" s="9">
        <v>44.363</v>
      </c>
      <c r="I583" s="9">
        <v>54.045000000000002</v>
      </c>
      <c r="J583" s="9">
        <v>38.07</v>
      </c>
      <c r="K583" s="9">
        <v>33.094000000000001</v>
      </c>
    </row>
    <row r="584" spans="2:11" x14ac:dyDescent="0.2">
      <c r="B584" s="9">
        <v>19.55</v>
      </c>
      <c r="C584" s="5">
        <v>26.64</v>
      </c>
      <c r="D584" s="5">
        <v>40.039000000000001</v>
      </c>
      <c r="E584" s="5">
        <v>39.783000000000001</v>
      </c>
      <c r="F584" s="9">
        <v>37.146999999999998</v>
      </c>
      <c r="G584" s="9">
        <v>49.093000000000004</v>
      </c>
      <c r="H584" s="9">
        <v>44.63</v>
      </c>
      <c r="I584" s="9">
        <v>53.973999999999997</v>
      </c>
      <c r="J584" s="9">
        <v>37.996000000000002</v>
      </c>
      <c r="K584" s="9">
        <v>33.012</v>
      </c>
    </row>
    <row r="585" spans="2:11" x14ac:dyDescent="0.2">
      <c r="B585" s="9">
        <v>19.566666666666666</v>
      </c>
      <c r="C585" s="5">
        <v>26.617000000000001</v>
      </c>
      <c r="D585" s="5">
        <v>39.97</v>
      </c>
      <c r="E585" s="5">
        <v>39.731000000000002</v>
      </c>
      <c r="F585" s="9">
        <v>37.134999999999998</v>
      </c>
      <c r="G585" s="9">
        <v>49.076999999999998</v>
      </c>
      <c r="H585" s="9">
        <v>44.533000000000001</v>
      </c>
      <c r="I585" s="9">
        <v>53.947000000000003</v>
      </c>
      <c r="J585" s="9">
        <v>38.006999999999998</v>
      </c>
      <c r="K585" s="9">
        <v>33.015999999999998</v>
      </c>
    </row>
    <row r="586" spans="2:11" x14ac:dyDescent="0.2">
      <c r="B586" s="9">
        <v>19.583333333333332</v>
      </c>
      <c r="C586" s="5">
        <v>26.6</v>
      </c>
      <c r="D586" s="5">
        <v>39.962000000000003</v>
      </c>
      <c r="E586" s="5">
        <v>39.658000000000001</v>
      </c>
      <c r="F586" s="9">
        <v>37.085999999999999</v>
      </c>
      <c r="G586" s="9">
        <v>49.063000000000002</v>
      </c>
      <c r="H586" s="9">
        <v>44.478000000000002</v>
      </c>
      <c r="I586" s="9">
        <v>53.954000000000001</v>
      </c>
      <c r="J586" s="9">
        <v>37.936999999999998</v>
      </c>
      <c r="K586" s="9">
        <v>32.921999999999997</v>
      </c>
    </row>
    <row r="587" spans="2:11" x14ac:dyDescent="0.2">
      <c r="B587" s="9">
        <v>19.600000000000001</v>
      </c>
      <c r="C587" s="5">
        <v>26.553999999999998</v>
      </c>
      <c r="D587" s="5">
        <v>39.944000000000003</v>
      </c>
      <c r="E587" s="5">
        <v>39.640999999999998</v>
      </c>
      <c r="F587" s="9">
        <v>37.034999999999997</v>
      </c>
      <c r="G587" s="9">
        <v>49.02</v>
      </c>
      <c r="H587" s="9">
        <v>44.52</v>
      </c>
      <c r="I587" s="9">
        <v>53.893999999999998</v>
      </c>
      <c r="J587" s="9">
        <v>37.914000000000001</v>
      </c>
      <c r="K587" s="9">
        <v>32.892000000000003</v>
      </c>
    </row>
    <row r="588" spans="2:11" x14ac:dyDescent="0.2">
      <c r="B588" s="9">
        <v>19.616666666666667</v>
      </c>
      <c r="C588" s="5">
        <v>26.506</v>
      </c>
      <c r="D588" s="5">
        <v>39.930999999999997</v>
      </c>
      <c r="E588" s="5">
        <v>39.616</v>
      </c>
      <c r="F588" s="9">
        <v>37.024000000000001</v>
      </c>
      <c r="G588" s="9">
        <v>48.981000000000002</v>
      </c>
      <c r="H588" s="9">
        <v>44.433999999999997</v>
      </c>
      <c r="I588" s="9">
        <v>53.898000000000003</v>
      </c>
      <c r="J588" s="9">
        <v>37.901000000000003</v>
      </c>
      <c r="K588" s="9">
        <v>32.814999999999998</v>
      </c>
    </row>
    <row r="589" spans="2:11" x14ac:dyDescent="0.2">
      <c r="B589" s="9">
        <v>19.633333333333333</v>
      </c>
      <c r="C589" s="5">
        <v>26.46</v>
      </c>
      <c r="D589" s="5">
        <v>39.902000000000001</v>
      </c>
      <c r="E589" s="5">
        <v>39.607999999999997</v>
      </c>
      <c r="F589" s="9">
        <v>36.988999999999997</v>
      </c>
      <c r="G589" s="9">
        <v>48.970999999999997</v>
      </c>
      <c r="H589" s="9">
        <v>44.314</v>
      </c>
      <c r="I589" s="9">
        <v>53.834000000000003</v>
      </c>
      <c r="J589" s="9">
        <v>37.835000000000001</v>
      </c>
      <c r="K589" s="9">
        <v>32.81</v>
      </c>
    </row>
    <row r="590" spans="2:11" x14ac:dyDescent="0.2">
      <c r="B590" s="9">
        <v>19.649999999999999</v>
      </c>
      <c r="C590" s="5">
        <v>26.434999999999999</v>
      </c>
      <c r="D590" s="5">
        <v>39.856999999999999</v>
      </c>
      <c r="E590" s="5">
        <v>39.561</v>
      </c>
      <c r="F590" s="9">
        <v>36.965000000000003</v>
      </c>
      <c r="G590" s="9">
        <v>48.944000000000003</v>
      </c>
      <c r="H590" s="9">
        <v>44.347000000000001</v>
      </c>
      <c r="I590" s="9">
        <v>53.868000000000002</v>
      </c>
      <c r="J590" s="9">
        <v>37.820999999999998</v>
      </c>
      <c r="K590" s="9">
        <v>32.762999999999998</v>
      </c>
    </row>
    <row r="591" spans="2:11" x14ac:dyDescent="0.2">
      <c r="B591" s="9">
        <v>19.666666666666668</v>
      </c>
      <c r="C591" s="5">
        <v>26.396000000000001</v>
      </c>
      <c r="D591" s="5">
        <v>39.832000000000001</v>
      </c>
      <c r="E591" s="5">
        <v>39.530999999999999</v>
      </c>
      <c r="F591" s="9">
        <v>36.924999999999997</v>
      </c>
      <c r="G591" s="9">
        <v>48.932000000000002</v>
      </c>
      <c r="H591" s="9">
        <v>44.314</v>
      </c>
      <c r="I591" s="9">
        <v>53.822000000000003</v>
      </c>
      <c r="J591" s="9">
        <v>37.811</v>
      </c>
      <c r="K591" s="9">
        <v>32.689</v>
      </c>
    </row>
    <row r="592" spans="2:11" x14ac:dyDescent="0.2">
      <c r="B592" s="9">
        <v>19.683333333333334</v>
      </c>
      <c r="C592" s="5">
        <v>26.338999999999999</v>
      </c>
      <c r="D592" s="5">
        <v>39.765000000000001</v>
      </c>
      <c r="E592" s="5">
        <v>39.487000000000002</v>
      </c>
      <c r="F592" s="9">
        <v>36.914999999999999</v>
      </c>
      <c r="G592" s="9">
        <v>48.887999999999998</v>
      </c>
      <c r="H592" s="9">
        <v>44.241999999999997</v>
      </c>
      <c r="I592" s="9">
        <v>53.802999999999997</v>
      </c>
      <c r="J592" s="9">
        <v>37.729999999999997</v>
      </c>
      <c r="K592" s="9">
        <v>32.674999999999997</v>
      </c>
    </row>
    <row r="593" spans="2:11" x14ac:dyDescent="0.2">
      <c r="B593" s="9">
        <v>19.7</v>
      </c>
      <c r="C593" s="5">
        <v>26.276</v>
      </c>
      <c r="D593" s="5">
        <v>39.774000000000001</v>
      </c>
      <c r="E593" s="5">
        <v>39.475000000000001</v>
      </c>
      <c r="F593" s="9">
        <v>36.859000000000002</v>
      </c>
      <c r="G593" s="9">
        <v>48.866999999999997</v>
      </c>
      <c r="H593" s="9">
        <v>44.232999999999997</v>
      </c>
      <c r="I593" s="9">
        <v>53.761000000000003</v>
      </c>
      <c r="J593" s="9">
        <v>37.719000000000001</v>
      </c>
      <c r="K593" s="9">
        <v>32.621000000000002</v>
      </c>
    </row>
    <row r="594" spans="2:11" x14ac:dyDescent="0.2">
      <c r="B594" s="9">
        <v>19.716666666666665</v>
      </c>
      <c r="C594" s="5">
        <v>26.265000000000001</v>
      </c>
      <c r="D594" s="5">
        <v>39.744</v>
      </c>
      <c r="E594" s="5">
        <v>39.4</v>
      </c>
      <c r="F594" s="9">
        <v>36.83</v>
      </c>
      <c r="G594" s="9">
        <v>48.808</v>
      </c>
      <c r="H594" s="9">
        <v>44.148000000000003</v>
      </c>
      <c r="I594" s="9">
        <v>53.780999999999999</v>
      </c>
      <c r="J594" s="9">
        <v>37.689</v>
      </c>
      <c r="K594" s="9">
        <v>32.573999999999998</v>
      </c>
    </row>
    <row r="595" spans="2:11" x14ac:dyDescent="0.2">
      <c r="B595" s="9">
        <v>19.733333333333334</v>
      </c>
      <c r="C595" s="5">
        <v>26.221</v>
      </c>
      <c r="D595" s="5">
        <v>39.667999999999999</v>
      </c>
      <c r="E595" s="5">
        <v>39.405999999999999</v>
      </c>
      <c r="F595" s="9">
        <v>36.814999999999998</v>
      </c>
      <c r="G595" s="9">
        <v>48.804000000000002</v>
      </c>
      <c r="H595" s="9">
        <v>43.878</v>
      </c>
      <c r="I595" s="9">
        <v>53.722999999999999</v>
      </c>
      <c r="J595" s="9">
        <v>37.630000000000003</v>
      </c>
      <c r="K595" s="9">
        <v>32.529000000000003</v>
      </c>
    </row>
    <row r="596" spans="2:11" x14ac:dyDescent="0.2">
      <c r="B596" s="9">
        <v>19.75</v>
      </c>
      <c r="C596" s="5">
        <v>26.17</v>
      </c>
      <c r="D596" s="5">
        <v>39.655000000000001</v>
      </c>
      <c r="E596" s="5">
        <v>39.393999999999998</v>
      </c>
      <c r="F596" s="9">
        <v>36.75</v>
      </c>
      <c r="G596" s="9">
        <v>48.747</v>
      </c>
      <c r="H596" s="9">
        <v>44.106000000000002</v>
      </c>
      <c r="I596" s="9">
        <v>53.731999999999999</v>
      </c>
      <c r="J596" s="9">
        <v>37.633000000000003</v>
      </c>
      <c r="K596" s="9">
        <v>32.494999999999997</v>
      </c>
    </row>
    <row r="597" spans="2:11" x14ac:dyDescent="0.2">
      <c r="B597" s="9">
        <v>19.766666666666666</v>
      </c>
      <c r="C597" s="5">
        <v>26.129000000000001</v>
      </c>
      <c r="D597" s="5">
        <v>39.636000000000003</v>
      </c>
      <c r="E597" s="5">
        <v>39.317999999999998</v>
      </c>
      <c r="F597" s="9">
        <v>36.747999999999998</v>
      </c>
      <c r="G597" s="9">
        <v>48.777000000000001</v>
      </c>
      <c r="H597" s="9">
        <v>44.005000000000003</v>
      </c>
      <c r="I597" s="9">
        <v>53.683999999999997</v>
      </c>
      <c r="J597" s="9">
        <v>37.564</v>
      </c>
      <c r="K597" s="9">
        <v>32.432000000000002</v>
      </c>
    </row>
    <row r="598" spans="2:11" x14ac:dyDescent="0.2">
      <c r="B598" s="9">
        <v>19.783333333333335</v>
      </c>
      <c r="C598" s="5">
        <v>26.088999999999999</v>
      </c>
      <c r="D598" s="5">
        <v>39.613</v>
      </c>
      <c r="E598" s="5">
        <v>39.299999999999997</v>
      </c>
      <c r="F598" s="9">
        <v>36.683999999999997</v>
      </c>
      <c r="G598" s="9">
        <v>48.713000000000001</v>
      </c>
      <c r="H598" s="9">
        <v>44.018000000000001</v>
      </c>
      <c r="I598" s="9">
        <v>53.628</v>
      </c>
      <c r="J598" s="9">
        <v>37.518999999999998</v>
      </c>
      <c r="K598" s="9">
        <v>32.384</v>
      </c>
    </row>
    <row r="599" spans="2:11" x14ac:dyDescent="0.2">
      <c r="B599" s="9">
        <v>19.8</v>
      </c>
      <c r="C599" s="5">
        <v>26.035</v>
      </c>
      <c r="D599" s="5">
        <v>39.572000000000003</v>
      </c>
      <c r="E599" s="5">
        <v>39.273000000000003</v>
      </c>
      <c r="F599" s="9">
        <v>36.676000000000002</v>
      </c>
      <c r="G599" s="9">
        <v>48.695999999999998</v>
      </c>
      <c r="H599" s="9">
        <v>43.988999999999997</v>
      </c>
      <c r="I599" s="9">
        <v>53.606999999999999</v>
      </c>
      <c r="J599" s="9">
        <v>37.472000000000001</v>
      </c>
      <c r="K599" s="9">
        <v>32.322000000000003</v>
      </c>
    </row>
    <row r="600" spans="2:11" x14ac:dyDescent="0.2">
      <c r="B600" s="9">
        <v>19.816666666666666</v>
      </c>
      <c r="C600" s="5">
        <v>26.010999999999999</v>
      </c>
      <c r="D600" s="5">
        <v>39.536000000000001</v>
      </c>
      <c r="E600" s="5">
        <v>39.228000000000002</v>
      </c>
      <c r="F600" s="9">
        <v>36.655999999999999</v>
      </c>
      <c r="G600" s="9">
        <v>48.66</v>
      </c>
      <c r="H600" s="9">
        <v>43.911999999999999</v>
      </c>
      <c r="I600" s="9">
        <v>53.603000000000002</v>
      </c>
      <c r="J600" s="9">
        <v>37.475000000000001</v>
      </c>
      <c r="K600" s="9">
        <v>32.305999999999997</v>
      </c>
    </row>
    <row r="601" spans="2:11" x14ac:dyDescent="0.2">
      <c r="B601" s="9">
        <v>19.833333333333332</v>
      </c>
      <c r="C601" s="5">
        <v>26.004000000000001</v>
      </c>
      <c r="D601" s="5">
        <v>39.530999999999999</v>
      </c>
      <c r="E601" s="5">
        <v>39.164999999999999</v>
      </c>
      <c r="F601" s="9">
        <v>36.631</v>
      </c>
      <c r="G601" s="9">
        <v>48.658000000000001</v>
      </c>
      <c r="H601" s="9">
        <v>43.868000000000002</v>
      </c>
      <c r="I601" s="9">
        <v>53.552999999999997</v>
      </c>
      <c r="J601" s="9">
        <v>37.386000000000003</v>
      </c>
      <c r="K601" s="9">
        <v>32.265999999999998</v>
      </c>
    </row>
    <row r="602" spans="2:11" x14ac:dyDescent="0.2">
      <c r="B602" s="9">
        <v>19.850000000000001</v>
      </c>
      <c r="C602" s="5">
        <v>25.927</v>
      </c>
      <c r="D602" s="5">
        <v>39.482999999999997</v>
      </c>
      <c r="E602" s="5">
        <v>39.146000000000001</v>
      </c>
      <c r="F602" s="9">
        <v>36.575000000000003</v>
      </c>
      <c r="G602" s="9">
        <v>48.616</v>
      </c>
      <c r="H602" s="9">
        <v>43.591000000000001</v>
      </c>
      <c r="I602" s="9">
        <v>53.551000000000002</v>
      </c>
      <c r="J602" s="9">
        <v>37.338000000000001</v>
      </c>
      <c r="K602" s="9">
        <v>32.180999999999997</v>
      </c>
    </row>
    <row r="603" spans="2:11" x14ac:dyDescent="0.2">
      <c r="B603" s="9">
        <v>19.866666666666667</v>
      </c>
      <c r="C603" s="5">
        <v>25.876999999999999</v>
      </c>
      <c r="D603" s="5">
        <v>39.445999999999998</v>
      </c>
      <c r="E603" s="5">
        <v>39.085000000000001</v>
      </c>
      <c r="F603" s="9">
        <v>36.530999999999999</v>
      </c>
      <c r="G603" s="9">
        <v>48.576999999999998</v>
      </c>
      <c r="H603" s="9">
        <v>43.817999999999998</v>
      </c>
      <c r="I603" s="9">
        <v>53.508000000000003</v>
      </c>
      <c r="J603" s="9">
        <v>37.343000000000004</v>
      </c>
      <c r="K603" s="9">
        <v>32.179000000000002</v>
      </c>
    </row>
    <row r="604" spans="2:11" x14ac:dyDescent="0.2">
      <c r="B604" s="9">
        <v>19.883333333333333</v>
      </c>
      <c r="C604" s="5">
        <v>25.817</v>
      </c>
      <c r="D604" s="5">
        <v>39.417999999999999</v>
      </c>
      <c r="E604" s="5">
        <v>39.058999999999997</v>
      </c>
      <c r="F604" s="9">
        <v>36.485999999999997</v>
      </c>
      <c r="G604" s="9">
        <v>48.563000000000002</v>
      </c>
      <c r="H604" s="9">
        <v>43.814999999999998</v>
      </c>
      <c r="I604" s="9">
        <v>53.463999999999999</v>
      </c>
      <c r="J604" s="9">
        <v>37.302</v>
      </c>
      <c r="K604" s="9">
        <v>32.079000000000001</v>
      </c>
    </row>
    <row r="605" spans="2:11" x14ac:dyDescent="0.2">
      <c r="B605" s="9">
        <v>19.899999999999999</v>
      </c>
      <c r="C605" s="5">
        <v>25.795999999999999</v>
      </c>
      <c r="D605" s="5">
        <v>39.386000000000003</v>
      </c>
      <c r="E605" s="5">
        <v>39.061999999999998</v>
      </c>
      <c r="F605" s="9">
        <v>36.462000000000003</v>
      </c>
      <c r="G605" s="9">
        <v>48.530999999999999</v>
      </c>
      <c r="H605" s="9">
        <v>43.655000000000001</v>
      </c>
      <c r="I605" s="9">
        <v>53.411999999999999</v>
      </c>
      <c r="J605" s="9">
        <v>37.246000000000002</v>
      </c>
      <c r="K605" s="9">
        <v>32.066000000000003</v>
      </c>
    </row>
    <row r="606" spans="2:11" x14ac:dyDescent="0.2">
      <c r="B606" s="9">
        <v>19.916666666666668</v>
      </c>
      <c r="C606" s="5">
        <v>25.771999999999998</v>
      </c>
      <c r="D606" s="5">
        <v>39.371000000000002</v>
      </c>
      <c r="E606" s="5">
        <v>38.963999999999999</v>
      </c>
      <c r="F606" s="9">
        <v>36.426000000000002</v>
      </c>
      <c r="G606" s="9">
        <v>48.485999999999997</v>
      </c>
      <c r="H606" s="9">
        <v>43.643999999999998</v>
      </c>
      <c r="I606" s="9">
        <v>53.392000000000003</v>
      </c>
      <c r="J606" s="9">
        <v>37.201999999999998</v>
      </c>
      <c r="K606" s="9">
        <v>32.030999999999999</v>
      </c>
    </row>
    <row r="607" spans="2:11" x14ac:dyDescent="0.2">
      <c r="B607" s="9">
        <v>19.933333333333334</v>
      </c>
      <c r="C607" s="5">
        <v>25.693999999999999</v>
      </c>
      <c r="D607" s="5">
        <v>39.325000000000003</v>
      </c>
      <c r="E607" s="5">
        <v>38.933999999999997</v>
      </c>
      <c r="F607" s="9">
        <v>36.4</v>
      </c>
      <c r="G607" s="9">
        <v>48.497</v>
      </c>
      <c r="H607" s="9">
        <v>43.628999999999998</v>
      </c>
      <c r="I607" s="9">
        <v>53.39</v>
      </c>
      <c r="J607" s="9">
        <v>37.180999999999997</v>
      </c>
      <c r="K607" s="9">
        <v>31.975000000000001</v>
      </c>
    </row>
    <row r="608" spans="2:11" x14ac:dyDescent="0.2">
      <c r="B608" s="9">
        <v>19.95</v>
      </c>
      <c r="C608" s="5">
        <v>25.690999999999999</v>
      </c>
      <c r="D608" s="5">
        <v>39.334000000000003</v>
      </c>
      <c r="E608" s="5">
        <v>38.853999999999999</v>
      </c>
      <c r="F608" s="9">
        <v>36.356000000000002</v>
      </c>
      <c r="G608" s="9">
        <v>48.463999999999999</v>
      </c>
      <c r="H608" s="9">
        <v>43.643999999999998</v>
      </c>
      <c r="I608" s="9">
        <v>53.344000000000001</v>
      </c>
      <c r="J608" s="9">
        <v>37.149000000000001</v>
      </c>
      <c r="K608" s="9">
        <v>31.951000000000001</v>
      </c>
    </row>
    <row r="609" spans="2:11" x14ac:dyDescent="0.2">
      <c r="B609" s="9">
        <v>19.966666666666665</v>
      </c>
      <c r="C609" s="5">
        <v>25.623999999999999</v>
      </c>
      <c r="D609" s="5">
        <v>39.281999999999996</v>
      </c>
      <c r="E609" s="5">
        <v>38.881999999999998</v>
      </c>
      <c r="F609" s="9">
        <v>36.307000000000002</v>
      </c>
      <c r="G609" s="9">
        <v>48.43</v>
      </c>
      <c r="H609" s="9">
        <v>43.621000000000002</v>
      </c>
      <c r="I609" s="9">
        <v>53.326000000000001</v>
      </c>
      <c r="J609" s="9">
        <v>37.106999999999999</v>
      </c>
      <c r="K609" s="9">
        <v>31.864999999999998</v>
      </c>
    </row>
    <row r="610" spans="2:11" x14ac:dyDescent="0.2">
      <c r="B610" s="9">
        <v>19.983333333333334</v>
      </c>
      <c r="C610" s="5">
        <v>25.550999999999998</v>
      </c>
      <c r="D610" s="5">
        <v>39.235999999999997</v>
      </c>
      <c r="E610" s="5">
        <v>38.843000000000004</v>
      </c>
      <c r="F610" s="9">
        <v>36.259</v>
      </c>
      <c r="G610" s="9">
        <v>48.386000000000003</v>
      </c>
      <c r="H610" s="9">
        <v>43.537999999999997</v>
      </c>
      <c r="I610" s="9">
        <v>53.261000000000003</v>
      </c>
      <c r="J610" s="9">
        <v>37.039000000000001</v>
      </c>
      <c r="K610" s="9">
        <v>31.818999999999999</v>
      </c>
    </row>
    <row r="611" spans="2:11" x14ac:dyDescent="0.2">
      <c r="B611" s="9">
        <v>20</v>
      </c>
      <c r="C611" s="5">
        <v>25.556999999999999</v>
      </c>
      <c r="D611" s="5">
        <v>39.219000000000001</v>
      </c>
      <c r="E611" s="5">
        <v>38.790999999999997</v>
      </c>
      <c r="F611" s="9">
        <v>36.18</v>
      </c>
      <c r="G611" s="9">
        <v>48.359000000000002</v>
      </c>
      <c r="H611" s="9">
        <v>43.420999999999999</v>
      </c>
      <c r="I611" s="9">
        <v>53.256</v>
      </c>
      <c r="J611" s="9">
        <v>37.015000000000001</v>
      </c>
      <c r="K611" s="9">
        <v>31.794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9"/>
  <sheetViews>
    <sheetView workbookViewId="0">
      <selection activeCell="B1" sqref="B1:K2"/>
    </sheetView>
  </sheetViews>
  <sheetFormatPr baseColWidth="10" defaultRowHeight="16" x14ac:dyDescent="0.2"/>
  <cols>
    <col min="1" max="1" width="10.83203125" style="5"/>
    <col min="2" max="2" width="13.33203125" style="5" bestFit="1" customWidth="1"/>
    <col min="3" max="11" width="10.83203125" style="5"/>
  </cols>
  <sheetData>
    <row r="1" spans="2:22" x14ac:dyDescent="0.2">
      <c r="B1" s="123" t="s">
        <v>75</v>
      </c>
      <c r="C1" s="77">
        <v>52.48</v>
      </c>
      <c r="D1" s="77">
        <v>68.349999999999994</v>
      </c>
      <c r="E1" s="77">
        <v>60.33</v>
      </c>
      <c r="F1" s="77">
        <v>66.14</v>
      </c>
      <c r="G1" s="77">
        <v>67.959999999999994</v>
      </c>
      <c r="H1" s="77">
        <v>59.91</v>
      </c>
      <c r="I1" s="77">
        <v>47.14</v>
      </c>
      <c r="J1" s="77">
        <v>77.64</v>
      </c>
      <c r="K1" s="78">
        <v>52.11</v>
      </c>
    </row>
    <row r="2" spans="2:22" x14ac:dyDescent="0.2">
      <c r="B2" s="51" t="s">
        <v>39</v>
      </c>
      <c r="C2" s="13">
        <v>5.444</v>
      </c>
      <c r="D2" s="13">
        <v>6.5549999999999997</v>
      </c>
      <c r="E2" s="13">
        <v>4.6459999999999999</v>
      </c>
      <c r="F2" s="13">
        <v>4.9710000000000001</v>
      </c>
      <c r="G2" s="13">
        <v>5.3150000000000004</v>
      </c>
      <c r="H2" s="13">
        <v>4.7389999999999999</v>
      </c>
      <c r="I2" s="13">
        <v>3.1850000000000001</v>
      </c>
      <c r="J2" s="13">
        <v>6.8470000000000004</v>
      </c>
      <c r="K2" s="80">
        <v>4.47</v>
      </c>
    </row>
    <row r="3" spans="2:22" s="31" customFormat="1" x14ac:dyDescent="0.2">
      <c r="B3" s="51" t="s">
        <v>48</v>
      </c>
      <c r="C3" s="33">
        <v>1895</v>
      </c>
      <c r="D3" s="33">
        <v>1830</v>
      </c>
      <c r="E3" s="33">
        <v>1835</v>
      </c>
      <c r="F3" s="33">
        <v>1920</v>
      </c>
      <c r="G3" s="33">
        <v>1875</v>
      </c>
      <c r="H3" s="33">
        <v>1670</v>
      </c>
      <c r="I3" s="33">
        <v>1895</v>
      </c>
      <c r="J3" s="33">
        <v>1835</v>
      </c>
      <c r="K3" s="79">
        <v>1920</v>
      </c>
    </row>
    <row r="4" spans="2:22" x14ac:dyDescent="0.2">
      <c r="B4" s="51" t="s">
        <v>47</v>
      </c>
      <c r="C4" s="13">
        <v>42</v>
      </c>
      <c r="D4" s="13">
        <v>56</v>
      </c>
      <c r="E4" s="13">
        <v>54</v>
      </c>
      <c r="F4" s="13">
        <v>65</v>
      </c>
      <c r="G4" s="13">
        <v>64</v>
      </c>
      <c r="H4" s="13">
        <v>56</v>
      </c>
      <c r="I4" s="13">
        <v>49</v>
      </c>
      <c r="J4" s="13">
        <v>71</v>
      </c>
      <c r="K4" s="80">
        <v>52</v>
      </c>
    </row>
    <row r="5" spans="2:22" x14ac:dyDescent="0.2">
      <c r="B5" s="51" t="s">
        <v>17</v>
      </c>
      <c r="C5" s="13">
        <f t="shared" ref="C5" si="0">(C3-C4)/1000</f>
        <v>1.853</v>
      </c>
      <c r="D5" s="13">
        <f t="shared" ref="D5" si="1">(D3-D4)/1000</f>
        <v>1.774</v>
      </c>
      <c r="E5" s="13">
        <f t="shared" ref="E5" si="2">(E3-E4)/1000</f>
        <v>1.7809999999999999</v>
      </c>
      <c r="F5" s="13">
        <f t="shared" ref="F5" si="3">(F3-F4)/1000</f>
        <v>1.855</v>
      </c>
      <c r="G5" s="13">
        <f t="shared" ref="G5" si="4">(G3-G4)/1000</f>
        <v>1.8109999999999999</v>
      </c>
      <c r="H5" s="13">
        <f t="shared" ref="H5" si="5">(H3-H4)/1000</f>
        <v>1.6140000000000001</v>
      </c>
      <c r="I5" s="13">
        <f t="shared" ref="I5" si="6">(I3-I4)/1000</f>
        <v>1.8460000000000001</v>
      </c>
      <c r="J5" s="13">
        <f t="shared" ref="J5" si="7">(J3-J4)/1000</f>
        <v>1.764</v>
      </c>
      <c r="K5" s="80">
        <f t="shared" ref="K5" si="8">(K3-K4)/1000</f>
        <v>1.8680000000000001</v>
      </c>
    </row>
    <row r="6" spans="2:22" x14ac:dyDescent="0.2">
      <c r="B6" s="51" t="s">
        <v>20</v>
      </c>
      <c r="C6" s="22">
        <f>SLOPE(C9:C249,$B9:$B249)</f>
        <v>-6.5458965570453662</v>
      </c>
      <c r="D6" s="22">
        <f t="shared" ref="D6:K6" si="9">SLOPE(D9:D249,$B9:$B249)</f>
        <v>-5.8599822708411944</v>
      </c>
      <c r="E6" s="22">
        <f t="shared" si="9"/>
        <v>-6.0100855594801272</v>
      </c>
      <c r="F6" s="22">
        <f t="shared" si="9"/>
        <v>-7.2965039436233292</v>
      </c>
      <c r="G6" s="22">
        <f t="shared" si="9"/>
        <v>-5.6725027433901438</v>
      </c>
      <c r="H6" s="22">
        <f t="shared" si="9"/>
        <v>-5.5817029251397381</v>
      </c>
      <c r="I6" s="22">
        <f t="shared" si="9"/>
        <v>-6.5506364665134917</v>
      </c>
      <c r="J6" s="22">
        <f t="shared" si="9"/>
        <v>-7.0506425191180062</v>
      </c>
      <c r="K6" s="81">
        <f t="shared" si="9"/>
        <v>-5.8235259078906783</v>
      </c>
    </row>
    <row r="7" spans="2:22" x14ac:dyDescent="0.2">
      <c r="B7" s="54" t="s">
        <v>49</v>
      </c>
      <c r="C7" s="22">
        <f t="shared" ref="C7:I7" si="10">(-1*C5*(C6-(-1.05))*5.31)/100</f>
        <v>0.54076489460288879</v>
      </c>
      <c r="D7" s="22">
        <f t="shared" si="10"/>
        <v>0.45309744392387807</v>
      </c>
      <c r="E7" s="22">
        <f t="shared" si="10"/>
        <v>0.46908074745415107</v>
      </c>
      <c r="F7" s="22">
        <f t="shared" si="10"/>
        <v>0.61528376169886978</v>
      </c>
      <c r="G7" s="22">
        <f t="shared" si="10"/>
        <v>0.44451881606564408</v>
      </c>
      <c r="H7" s="22">
        <f t="shared" si="10"/>
        <v>0.38838234847442105</v>
      </c>
      <c r="I7" s="22">
        <f t="shared" si="10"/>
        <v>0.53918668810246539</v>
      </c>
      <c r="J7" s="22">
        <f>(-1*J5*(J6-(-0.33))*5.31)/100</f>
        <v>0.62951183173775294</v>
      </c>
      <c r="K7" s="81">
        <f>(-1*K5*(K6-(-0.33))*5.31)/100</f>
        <v>0.54490722962440263</v>
      </c>
      <c r="L7" s="12"/>
    </row>
    <row r="8" spans="2:22" x14ac:dyDescent="0.2">
      <c r="B8" s="82" t="s">
        <v>29</v>
      </c>
      <c r="C8" s="83" t="s">
        <v>6</v>
      </c>
      <c r="D8" s="83" t="s">
        <v>7</v>
      </c>
      <c r="E8" s="83" t="s">
        <v>8</v>
      </c>
      <c r="F8" s="83" t="s">
        <v>9</v>
      </c>
      <c r="G8" s="83" t="s">
        <v>10</v>
      </c>
      <c r="H8" s="83" t="s">
        <v>11</v>
      </c>
      <c r="I8" s="83" t="s">
        <v>12</v>
      </c>
      <c r="J8" s="83" t="s">
        <v>13</v>
      </c>
      <c r="K8" s="84" t="s">
        <v>14</v>
      </c>
      <c r="M8" s="11"/>
      <c r="N8" s="12"/>
      <c r="O8" s="12"/>
      <c r="P8" s="12"/>
      <c r="Q8" s="12"/>
      <c r="R8" s="12"/>
      <c r="S8" s="12"/>
      <c r="T8" s="12"/>
      <c r="U8" s="12"/>
      <c r="V8" s="12"/>
    </row>
    <row r="9" spans="2:22" x14ac:dyDescent="0.2">
      <c r="B9" s="17">
        <v>2</v>
      </c>
      <c r="C9" s="17">
        <v>101.69</v>
      </c>
      <c r="D9" s="17">
        <v>101.39</v>
      </c>
      <c r="E9" s="17">
        <v>92.847999999999999</v>
      </c>
      <c r="F9" s="17">
        <v>93.623999999999995</v>
      </c>
      <c r="G9" s="17">
        <v>91.924999999999997</v>
      </c>
      <c r="H9" s="17">
        <v>91.067999999999998</v>
      </c>
      <c r="I9" s="17">
        <v>53.316000000000003</v>
      </c>
      <c r="J9" s="17">
        <v>53.698999999999998</v>
      </c>
      <c r="K9" s="17">
        <v>73.760000000000005</v>
      </c>
      <c r="M9" s="6"/>
    </row>
    <row r="10" spans="2:22" x14ac:dyDescent="0.2">
      <c r="B10" s="17">
        <v>2.0166666666666666</v>
      </c>
      <c r="C10" s="17">
        <v>101.61</v>
      </c>
      <c r="D10" s="17">
        <v>101.4</v>
      </c>
      <c r="E10" s="17">
        <v>92.992000000000004</v>
      </c>
      <c r="F10" s="17">
        <v>93.356999999999999</v>
      </c>
      <c r="G10" s="17">
        <v>91.644000000000005</v>
      </c>
      <c r="H10" s="17">
        <v>90.944999999999993</v>
      </c>
      <c r="I10" s="17">
        <v>53.16</v>
      </c>
      <c r="J10" s="17">
        <v>53.55</v>
      </c>
      <c r="K10" s="17">
        <v>73.594999999999999</v>
      </c>
      <c r="M10" s="6"/>
    </row>
    <row r="11" spans="2:22" x14ac:dyDescent="0.2">
      <c r="B11" s="17">
        <v>2.0333333333333332</v>
      </c>
      <c r="C11" s="17">
        <v>101.43</v>
      </c>
      <c r="D11" s="17">
        <v>101.41</v>
      </c>
      <c r="E11" s="17">
        <v>92.927999999999997</v>
      </c>
      <c r="F11" s="17">
        <v>93.268000000000001</v>
      </c>
      <c r="G11" s="17">
        <v>91.650999999999996</v>
      </c>
      <c r="H11" s="17">
        <v>90.956999999999994</v>
      </c>
      <c r="I11" s="17">
        <v>53.097999999999999</v>
      </c>
      <c r="J11" s="17">
        <v>53.296999999999997</v>
      </c>
      <c r="K11" s="17">
        <v>73.590999999999994</v>
      </c>
      <c r="M11" s="3"/>
      <c r="N11" s="12"/>
      <c r="O11" s="12"/>
      <c r="P11" s="12"/>
      <c r="Q11" s="12"/>
      <c r="R11" s="12"/>
      <c r="S11" s="13"/>
      <c r="T11" s="12"/>
      <c r="U11" s="12"/>
      <c r="V11" s="122"/>
    </row>
    <row r="12" spans="2:22" x14ac:dyDescent="0.2">
      <c r="B12" s="17">
        <v>2.0499999999999998</v>
      </c>
      <c r="C12" s="17">
        <v>101.36</v>
      </c>
      <c r="D12" s="17">
        <v>101.34</v>
      </c>
      <c r="E12" s="17">
        <v>92.781999999999996</v>
      </c>
      <c r="F12" s="17">
        <v>92.873000000000005</v>
      </c>
      <c r="G12" s="17">
        <v>91.691000000000003</v>
      </c>
      <c r="H12" s="17">
        <v>90.754999999999995</v>
      </c>
      <c r="I12" s="17">
        <v>52.927999999999997</v>
      </c>
      <c r="J12" s="17">
        <v>53.29</v>
      </c>
      <c r="K12" s="17">
        <v>73.486999999999995</v>
      </c>
    </row>
    <row r="13" spans="2:22" x14ac:dyDescent="0.2">
      <c r="B13" s="17">
        <v>2.0666666666666669</v>
      </c>
      <c r="C13" s="17">
        <v>101.1</v>
      </c>
      <c r="D13" s="17">
        <v>101.36</v>
      </c>
      <c r="E13" s="17">
        <v>92.423000000000002</v>
      </c>
      <c r="F13" s="17">
        <v>92.81</v>
      </c>
      <c r="G13" s="17">
        <v>91.59</v>
      </c>
      <c r="H13" s="17">
        <v>90.823999999999998</v>
      </c>
      <c r="I13" s="17">
        <v>52.905999999999999</v>
      </c>
      <c r="J13" s="17">
        <v>53.079000000000001</v>
      </c>
      <c r="K13" s="17">
        <v>73.481999999999999</v>
      </c>
    </row>
    <row r="14" spans="2:22" x14ac:dyDescent="0.2">
      <c r="B14" s="17">
        <v>2.0833333333333335</v>
      </c>
      <c r="C14" s="17">
        <v>101.1</v>
      </c>
      <c r="D14" s="17">
        <v>101.33</v>
      </c>
      <c r="E14" s="17">
        <v>92.578999999999994</v>
      </c>
      <c r="F14" s="17">
        <v>92.778999999999996</v>
      </c>
      <c r="G14" s="17">
        <v>91.468000000000004</v>
      </c>
      <c r="H14" s="17">
        <v>90.781000000000006</v>
      </c>
      <c r="I14" s="17">
        <v>52.77</v>
      </c>
      <c r="J14" s="17">
        <v>52.95</v>
      </c>
      <c r="K14" s="17">
        <v>73.269000000000005</v>
      </c>
    </row>
    <row r="15" spans="2:22" x14ac:dyDescent="0.2">
      <c r="B15" s="17">
        <v>2.1</v>
      </c>
      <c r="C15" s="17">
        <v>101.03</v>
      </c>
      <c r="D15" s="17">
        <v>101.33</v>
      </c>
      <c r="E15" s="17">
        <v>92.227999999999994</v>
      </c>
      <c r="F15" s="17">
        <v>92.457999999999998</v>
      </c>
      <c r="G15" s="17">
        <v>91.447999999999993</v>
      </c>
      <c r="H15" s="17">
        <v>90.578000000000003</v>
      </c>
      <c r="I15" s="17">
        <v>52.622999999999998</v>
      </c>
      <c r="J15" s="17">
        <v>52.841999999999999</v>
      </c>
      <c r="K15" s="17">
        <v>73.263000000000005</v>
      </c>
    </row>
    <row r="16" spans="2:22" x14ac:dyDescent="0.2">
      <c r="B16" s="17">
        <v>2.1166666666666667</v>
      </c>
      <c r="C16" s="17">
        <v>100.86</v>
      </c>
      <c r="D16" s="17">
        <v>101.37</v>
      </c>
      <c r="E16" s="17">
        <v>92.375</v>
      </c>
      <c r="F16" s="17">
        <v>92.171000000000006</v>
      </c>
      <c r="G16" s="17">
        <v>91.43</v>
      </c>
      <c r="H16" s="17">
        <v>90.734999999999999</v>
      </c>
      <c r="I16" s="17">
        <v>52.478000000000002</v>
      </c>
      <c r="J16" s="17">
        <v>52.71</v>
      </c>
      <c r="K16" s="17">
        <v>73.179000000000002</v>
      </c>
    </row>
    <row r="17" spans="2:11" x14ac:dyDescent="0.2">
      <c r="B17" s="17">
        <v>2.1333333333333333</v>
      </c>
      <c r="C17" s="17">
        <v>100.75</v>
      </c>
      <c r="D17" s="17">
        <v>101.39</v>
      </c>
      <c r="E17" s="17">
        <v>92.36</v>
      </c>
      <c r="F17" s="17">
        <v>91.805999999999997</v>
      </c>
      <c r="G17" s="17">
        <v>91.269000000000005</v>
      </c>
      <c r="H17" s="17">
        <v>90.275000000000006</v>
      </c>
      <c r="I17" s="17">
        <v>52.375</v>
      </c>
      <c r="J17" s="17">
        <v>52.512999999999998</v>
      </c>
      <c r="K17" s="17">
        <v>73.159000000000006</v>
      </c>
    </row>
    <row r="18" spans="2:11" x14ac:dyDescent="0.2">
      <c r="B18" s="17">
        <v>2.15</v>
      </c>
      <c r="C18" s="17">
        <v>100.42</v>
      </c>
      <c r="D18" s="17">
        <v>101.26</v>
      </c>
      <c r="E18" s="17">
        <v>92.117000000000004</v>
      </c>
      <c r="F18" s="17">
        <v>91.432000000000002</v>
      </c>
      <c r="G18" s="17">
        <v>91.266999999999996</v>
      </c>
      <c r="H18" s="17">
        <v>90.459000000000003</v>
      </c>
      <c r="I18" s="17">
        <v>52.262999999999998</v>
      </c>
      <c r="J18" s="17">
        <v>52.435000000000002</v>
      </c>
      <c r="K18" s="17">
        <v>73.055000000000007</v>
      </c>
    </row>
    <row r="19" spans="2:11" x14ac:dyDescent="0.2">
      <c r="B19" s="17">
        <v>2.1666666666666665</v>
      </c>
      <c r="C19" s="17">
        <v>100.32</v>
      </c>
      <c r="D19" s="17">
        <v>101.33</v>
      </c>
      <c r="E19" s="17">
        <v>92.075000000000003</v>
      </c>
      <c r="F19" s="17">
        <v>91.245999999999995</v>
      </c>
      <c r="G19" s="17">
        <v>91.194000000000003</v>
      </c>
      <c r="H19" s="17">
        <v>90.385999999999996</v>
      </c>
      <c r="I19" s="17">
        <v>52.113</v>
      </c>
      <c r="J19" s="17">
        <v>52.274000000000001</v>
      </c>
      <c r="K19" s="17">
        <v>72.909000000000006</v>
      </c>
    </row>
    <row r="20" spans="2:11" x14ac:dyDescent="0.2">
      <c r="B20" s="17">
        <v>2.1833333333333331</v>
      </c>
      <c r="C20" s="17">
        <v>100.28</v>
      </c>
      <c r="D20" s="17">
        <v>101.24</v>
      </c>
      <c r="E20" s="17">
        <v>92.004999999999995</v>
      </c>
      <c r="F20" s="17">
        <v>91.037000000000006</v>
      </c>
      <c r="G20" s="17">
        <v>91.218000000000004</v>
      </c>
      <c r="H20" s="17">
        <v>90.391999999999996</v>
      </c>
      <c r="I20" s="17">
        <v>52.042000000000002</v>
      </c>
      <c r="J20" s="17">
        <v>52.207999999999998</v>
      </c>
      <c r="K20" s="17">
        <v>72.849999999999994</v>
      </c>
    </row>
    <row r="21" spans="2:11" x14ac:dyDescent="0.2">
      <c r="B21" s="17">
        <v>2.2000000000000002</v>
      </c>
      <c r="C21" s="17">
        <v>100.02</v>
      </c>
      <c r="D21" s="17">
        <v>101.27</v>
      </c>
      <c r="E21" s="17">
        <v>92.070999999999998</v>
      </c>
      <c r="F21" s="17">
        <v>90.784000000000006</v>
      </c>
      <c r="G21" s="17">
        <v>90.942999999999998</v>
      </c>
      <c r="H21" s="17">
        <v>90.32</v>
      </c>
      <c r="I21" s="17">
        <v>51.902999999999999</v>
      </c>
      <c r="J21" s="17">
        <v>52.029000000000003</v>
      </c>
      <c r="K21" s="17">
        <v>72.819999999999993</v>
      </c>
    </row>
    <row r="22" spans="2:11" x14ac:dyDescent="0.2">
      <c r="B22" s="17">
        <v>2.2166666666666668</v>
      </c>
      <c r="C22" s="17">
        <v>100.12</v>
      </c>
      <c r="D22" s="17">
        <v>101.36</v>
      </c>
      <c r="E22" s="17">
        <v>92.099000000000004</v>
      </c>
      <c r="F22" s="17">
        <v>90.665000000000006</v>
      </c>
      <c r="G22" s="17">
        <v>90.965999999999994</v>
      </c>
      <c r="H22" s="17">
        <v>89.831000000000003</v>
      </c>
      <c r="I22" s="17">
        <v>51.817</v>
      </c>
      <c r="J22" s="17">
        <v>51.884999999999998</v>
      </c>
      <c r="K22" s="17">
        <v>72.75</v>
      </c>
    </row>
    <row r="23" spans="2:11" x14ac:dyDescent="0.2">
      <c r="B23" s="17">
        <v>2.2333333333333334</v>
      </c>
      <c r="C23" s="17">
        <v>99.986999999999995</v>
      </c>
      <c r="D23" s="17">
        <v>101.28</v>
      </c>
      <c r="E23" s="17">
        <v>91.942999999999998</v>
      </c>
      <c r="F23" s="17">
        <v>90.245000000000005</v>
      </c>
      <c r="G23" s="17">
        <v>90.911000000000001</v>
      </c>
      <c r="H23" s="17">
        <v>89.981999999999999</v>
      </c>
      <c r="I23" s="17">
        <v>51.655999999999999</v>
      </c>
      <c r="J23" s="17">
        <v>51.573</v>
      </c>
      <c r="K23" s="17">
        <v>72.587999999999994</v>
      </c>
    </row>
    <row r="24" spans="2:11" x14ac:dyDescent="0.2">
      <c r="B24" s="17">
        <v>2.25</v>
      </c>
      <c r="C24" s="17">
        <v>99.95</v>
      </c>
      <c r="D24" s="17">
        <v>101.33</v>
      </c>
      <c r="E24" s="17">
        <v>92.040999999999997</v>
      </c>
      <c r="F24" s="17">
        <v>89.900999999999996</v>
      </c>
      <c r="G24" s="17">
        <v>90.736000000000004</v>
      </c>
      <c r="H24" s="17">
        <v>89.828000000000003</v>
      </c>
      <c r="I24" s="17">
        <v>51.526000000000003</v>
      </c>
      <c r="J24" s="17">
        <v>51.584000000000003</v>
      </c>
      <c r="K24" s="17">
        <v>72.539000000000001</v>
      </c>
    </row>
    <row r="25" spans="2:11" x14ac:dyDescent="0.2">
      <c r="B25" s="17">
        <v>2.2666666666666666</v>
      </c>
      <c r="C25" s="17">
        <v>99.546000000000006</v>
      </c>
      <c r="D25" s="17">
        <v>101.33</v>
      </c>
      <c r="E25" s="17">
        <v>91.992000000000004</v>
      </c>
      <c r="F25" s="17">
        <v>89.608999999999995</v>
      </c>
      <c r="G25" s="17">
        <v>90.566000000000003</v>
      </c>
      <c r="H25" s="17">
        <v>89.802999999999997</v>
      </c>
      <c r="I25" s="17">
        <v>51.371000000000002</v>
      </c>
      <c r="J25" s="17">
        <v>51.478999999999999</v>
      </c>
      <c r="K25" s="17">
        <v>72.465999999999994</v>
      </c>
    </row>
    <row r="26" spans="2:11" x14ac:dyDescent="0.2">
      <c r="B26" s="17">
        <v>2.2833333333333332</v>
      </c>
      <c r="C26" s="17">
        <v>99.570999999999998</v>
      </c>
      <c r="D26" s="17">
        <v>101.33</v>
      </c>
      <c r="E26" s="17">
        <v>91.784999999999997</v>
      </c>
      <c r="F26" s="17">
        <v>89.417000000000002</v>
      </c>
      <c r="G26" s="17">
        <v>90.546000000000006</v>
      </c>
      <c r="H26" s="17">
        <v>89.739000000000004</v>
      </c>
      <c r="I26" s="17">
        <v>51.268999999999998</v>
      </c>
      <c r="J26" s="17">
        <v>51.325000000000003</v>
      </c>
      <c r="K26" s="17">
        <v>72.387</v>
      </c>
    </row>
    <row r="27" spans="2:11" x14ac:dyDescent="0.2">
      <c r="B27" s="17">
        <v>2.2999999999999998</v>
      </c>
      <c r="C27" s="17">
        <v>99.447999999999993</v>
      </c>
      <c r="D27" s="17">
        <v>101.26</v>
      </c>
      <c r="E27" s="17">
        <v>91.632000000000005</v>
      </c>
      <c r="F27" s="17">
        <v>89.111999999999995</v>
      </c>
      <c r="G27" s="17">
        <v>90.44</v>
      </c>
      <c r="H27" s="17">
        <v>89.79</v>
      </c>
      <c r="I27" s="17">
        <v>51.231999999999999</v>
      </c>
      <c r="J27" s="17">
        <v>51.170999999999999</v>
      </c>
      <c r="K27" s="17">
        <v>72.289000000000001</v>
      </c>
    </row>
    <row r="28" spans="2:11" x14ac:dyDescent="0.2">
      <c r="B28" s="17">
        <v>2.3166666666666669</v>
      </c>
      <c r="C28" s="17">
        <v>99.230999999999995</v>
      </c>
      <c r="D28" s="17">
        <v>101.27</v>
      </c>
      <c r="E28" s="17">
        <v>91.522999999999996</v>
      </c>
      <c r="F28" s="17">
        <v>88.905000000000001</v>
      </c>
      <c r="G28" s="17">
        <v>90.424999999999997</v>
      </c>
      <c r="H28" s="17">
        <v>89.361000000000004</v>
      </c>
      <c r="I28" s="17">
        <v>51.100999999999999</v>
      </c>
      <c r="J28" s="17">
        <v>51.121000000000002</v>
      </c>
      <c r="K28" s="17">
        <v>72.180000000000007</v>
      </c>
    </row>
    <row r="29" spans="2:11" x14ac:dyDescent="0.2">
      <c r="B29" s="17">
        <v>2.3333333333333335</v>
      </c>
      <c r="C29" s="17">
        <v>99.192999999999998</v>
      </c>
      <c r="D29" s="17">
        <v>101.25</v>
      </c>
      <c r="E29" s="17">
        <v>91.165999999999997</v>
      </c>
      <c r="F29" s="17">
        <v>88.77</v>
      </c>
      <c r="G29" s="17">
        <v>90.233999999999995</v>
      </c>
      <c r="H29" s="17">
        <v>89.471999999999994</v>
      </c>
      <c r="I29" s="17">
        <v>50.936999999999998</v>
      </c>
      <c r="J29" s="17">
        <v>50.871000000000002</v>
      </c>
      <c r="K29" s="17">
        <v>72.158000000000001</v>
      </c>
    </row>
    <row r="30" spans="2:11" x14ac:dyDescent="0.2">
      <c r="B30" s="17">
        <v>2.35</v>
      </c>
      <c r="C30" s="17">
        <v>99.069000000000003</v>
      </c>
      <c r="D30" s="17">
        <v>101.18</v>
      </c>
      <c r="E30" s="17">
        <v>91.179000000000002</v>
      </c>
      <c r="F30" s="17">
        <v>88.552999999999997</v>
      </c>
      <c r="G30" s="17">
        <v>90.241</v>
      </c>
      <c r="H30" s="17">
        <v>89.412000000000006</v>
      </c>
      <c r="I30" s="17">
        <v>50.862000000000002</v>
      </c>
      <c r="J30" s="17">
        <v>50.816000000000003</v>
      </c>
      <c r="K30" s="17">
        <v>71.994</v>
      </c>
    </row>
    <row r="31" spans="2:11" x14ac:dyDescent="0.2">
      <c r="B31" s="17">
        <v>2.3666666666666667</v>
      </c>
      <c r="C31" s="17">
        <v>99.275000000000006</v>
      </c>
      <c r="D31" s="17">
        <v>101.25</v>
      </c>
      <c r="E31" s="17">
        <v>91.314999999999998</v>
      </c>
      <c r="F31" s="17">
        <v>88.275999999999996</v>
      </c>
      <c r="G31" s="17">
        <v>90.141000000000005</v>
      </c>
      <c r="H31" s="17">
        <v>89.325999999999993</v>
      </c>
      <c r="I31" s="17">
        <v>50.744999999999997</v>
      </c>
      <c r="J31" s="17">
        <v>50.542000000000002</v>
      </c>
      <c r="K31" s="17">
        <v>71.908000000000001</v>
      </c>
    </row>
    <row r="32" spans="2:11" x14ac:dyDescent="0.2">
      <c r="B32" s="17">
        <v>2.3833333333333333</v>
      </c>
      <c r="C32" s="17">
        <v>98.757000000000005</v>
      </c>
      <c r="D32" s="17">
        <v>101.22</v>
      </c>
      <c r="E32" s="17">
        <v>91.29</v>
      </c>
      <c r="F32" s="17">
        <v>88.069000000000003</v>
      </c>
      <c r="G32" s="17">
        <v>90.043000000000006</v>
      </c>
      <c r="H32" s="17">
        <v>89.259</v>
      </c>
      <c r="I32" s="17">
        <v>50.670999999999999</v>
      </c>
      <c r="J32" s="17">
        <v>50.497999999999998</v>
      </c>
      <c r="K32" s="17">
        <v>71.81</v>
      </c>
    </row>
    <row r="33" spans="2:11" x14ac:dyDescent="0.2">
      <c r="B33" s="17">
        <v>2.4</v>
      </c>
      <c r="C33" s="17">
        <v>98.736999999999995</v>
      </c>
      <c r="D33" s="17">
        <v>101.18</v>
      </c>
      <c r="E33" s="17">
        <v>91.167000000000002</v>
      </c>
      <c r="F33" s="17">
        <v>88.123999999999995</v>
      </c>
      <c r="G33" s="17">
        <v>89.947999999999993</v>
      </c>
      <c r="H33" s="17">
        <v>89.272000000000006</v>
      </c>
      <c r="I33" s="17">
        <v>50.58</v>
      </c>
      <c r="J33" s="17">
        <v>50.430999999999997</v>
      </c>
      <c r="K33" s="17">
        <v>71.763999999999996</v>
      </c>
    </row>
    <row r="34" spans="2:11" x14ac:dyDescent="0.2">
      <c r="B34" s="17">
        <v>2.4166666666666665</v>
      </c>
      <c r="C34" s="17">
        <v>98.495999999999995</v>
      </c>
      <c r="D34" s="17">
        <v>101.15</v>
      </c>
      <c r="E34" s="17">
        <v>90.942999999999998</v>
      </c>
      <c r="F34" s="17">
        <v>87.763000000000005</v>
      </c>
      <c r="G34" s="17">
        <v>89.951999999999998</v>
      </c>
      <c r="H34" s="17">
        <v>89.106999999999999</v>
      </c>
      <c r="I34" s="17">
        <v>50.466000000000001</v>
      </c>
      <c r="J34" s="17">
        <v>50.237000000000002</v>
      </c>
      <c r="K34" s="17">
        <v>71.751999999999995</v>
      </c>
    </row>
    <row r="35" spans="2:11" x14ac:dyDescent="0.2">
      <c r="B35" s="17">
        <v>2.4333333333333331</v>
      </c>
      <c r="C35" s="17">
        <v>98.293999999999997</v>
      </c>
      <c r="D35" s="17">
        <v>101.16</v>
      </c>
      <c r="E35" s="17">
        <v>90.888999999999996</v>
      </c>
      <c r="F35" s="17">
        <v>87.513999999999996</v>
      </c>
      <c r="G35" s="17">
        <v>89.81</v>
      </c>
      <c r="H35" s="17">
        <v>89.057000000000002</v>
      </c>
      <c r="I35" s="17">
        <v>50.372</v>
      </c>
      <c r="J35" s="17">
        <v>50.125999999999998</v>
      </c>
      <c r="K35" s="17">
        <v>71.602000000000004</v>
      </c>
    </row>
    <row r="36" spans="2:11" x14ac:dyDescent="0.2">
      <c r="B36" s="17">
        <v>2.4500000000000002</v>
      </c>
      <c r="C36" s="17">
        <v>98.299000000000007</v>
      </c>
      <c r="D36" s="17">
        <v>101.22</v>
      </c>
      <c r="E36" s="17">
        <v>90.822999999999993</v>
      </c>
      <c r="F36" s="17">
        <v>87.573999999999998</v>
      </c>
      <c r="G36" s="17">
        <v>89.706000000000003</v>
      </c>
      <c r="H36" s="17">
        <v>88.869</v>
      </c>
      <c r="I36" s="17">
        <v>50.290999999999997</v>
      </c>
      <c r="J36" s="17">
        <v>49.911999999999999</v>
      </c>
      <c r="K36" s="17">
        <v>71.528999999999996</v>
      </c>
    </row>
    <row r="37" spans="2:11" x14ac:dyDescent="0.2">
      <c r="B37" s="17">
        <v>2.4666666666666668</v>
      </c>
      <c r="C37" s="17">
        <v>98.13</v>
      </c>
      <c r="D37" s="17">
        <v>101.12</v>
      </c>
      <c r="E37" s="17">
        <v>90.722999999999999</v>
      </c>
      <c r="F37" s="17">
        <v>87.537000000000006</v>
      </c>
      <c r="G37" s="17">
        <v>89.677000000000007</v>
      </c>
      <c r="H37" s="17">
        <v>88.843000000000004</v>
      </c>
      <c r="I37" s="17">
        <v>50.137</v>
      </c>
      <c r="J37" s="17">
        <v>49.87</v>
      </c>
      <c r="K37" s="17">
        <v>71.457999999999998</v>
      </c>
    </row>
    <row r="38" spans="2:11" x14ac:dyDescent="0.2">
      <c r="B38" s="17">
        <v>2.4833333333333334</v>
      </c>
      <c r="C38" s="17">
        <v>98.128</v>
      </c>
      <c r="D38" s="17">
        <v>101.23</v>
      </c>
      <c r="E38" s="17">
        <v>90.727000000000004</v>
      </c>
      <c r="F38" s="17">
        <v>87.337000000000003</v>
      </c>
      <c r="G38" s="17">
        <v>89.578000000000003</v>
      </c>
      <c r="H38" s="17">
        <v>88.840999999999994</v>
      </c>
      <c r="I38" s="17">
        <v>50.076999999999998</v>
      </c>
      <c r="J38" s="17">
        <v>49.756</v>
      </c>
      <c r="K38" s="17">
        <v>71.334999999999994</v>
      </c>
    </row>
    <row r="39" spans="2:11" x14ac:dyDescent="0.2">
      <c r="B39" s="17">
        <v>2.5</v>
      </c>
      <c r="C39" s="17">
        <v>97.814999999999998</v>
      </c>
      <c r="D39" s="17">
        <v>101.18</v>
      </c>
      <c r="E39" s="17">
        <v>90.456999999999994</v>
      </c>
      <c r="F39" s="17">
        <v>87.135999999999996</v>
      </c>
      <c r="G39" s="17">
        <v>89.67</v>
      </c>
      <c r="H39" s="17">
        <v>88.849000000000004</v>
      </c>
      <c r="I39" s="17">
        <v>49.957999999999998</v>
      </c>
      <c r="J39" s="17">
        <v>49.642000000000003</v>
      </c>
      <c r="K39" s="17">
        <v>71.215999999999994</v>
      </c>
    </row>
    <row r="40" spans="2:11" x14ac:dyDescent="0.2">
      <c r="B40" s="17">
        <v>2.5166666666666666</v>
      </c>
      <c r="C40" s="17">
        <v>97.73</v>
      </c>
      <c r="D40" s="17">
        <v>101.12</v>
      </c>
      <c r="E40" s="17">
        <v>90.373999999999995</v>
      </c>
      <c r="F40" s="17">
        <v>86.971999999999994</v>
      </c>
      <c r="G40" s="17">
        <v>89.293999999999997</v>
      </c>
      <c r="H40" s="17">
        <v>88.763999999999996</v>
      </c>
      <c r="I40" s="17">
        <v>49.875999999999998</v>
      </c>
      <c r="J40" s="17">
        <v>49.539000000000001</v>
      </c>
      <c r="K40" s="17">
        <v>71.135000000000005</v>
      </c>
    </row>
    <row r="41" spans="2:11" x14ac:dyDescent="0.2">
      <c r="B41" s="17">
        <v>2.5333333333333332</v>
      </c>
      <c r="C41" s="17">
        <v>97.688000000000002</v>
      </c>
      <c r="D41" s="17">
        <v>101.2</v>
      </c>
      <c r="E41" s="17">
        <v>90.206999999999994</v>
      </c>
      <c r="F41" s="17">
        <v>86.891999999999996</v>
      </c>
      <c r="G41" s="17">
        <v>89.213999999999999</v>
      </c>
      <c r="H41" s="17">
        <v>88.718000000000004</v>
      </c>
      <c r="I41" s="17">
        <v>49.744</v>
      </c>
      <c r="J41" s="17">
        <v>49.4</v>
      </c>
      <c r="K41" s="17">
        <v>71.031000000000006</v>
      </c>
    </row>
    <row r="42" spans="2:11" x14ac:dyDescent="0.2">
      <c r="B42" s="17">
        <v>2.5499999999999998</v>
      </c>
      <c r="C42" s="17">
        <v>97.635999999999996</v>
      </c>
      <c r="D42" s="17">
        <v>101.17</v>
      </c>
      <c r="E42" s="17">
        <v>90.183000000000007</v>
      </c>
      <c r="F42" s="17">
        <v>86.808999999999997</v>
      </c>
      <c r="G42" s="17">
        <v>89.224000000000004</v>
      </c>
      <c r="H42" s="17">
        <v>88.453000000000003</v>
      </c>
      <c r="I42" s="17">
        <v>49.625</v>
      </c>
      <c r="J42" s="17">
        <v>49.329000000000001</v>
      </c>
      <c r="K42" s="17">
        <v>70.914000000000001</v>
      </c>
    </row>
    <row r="43" spans="2:11" x14ac:dyDescent="0.2">
      <c r="B43" s="17">
        <v>2.5666666666666669</v>
      </c>
      <c r="C43" s="17">
        <v>97.474999999999994</v>
      </c>
      <c r="D43" s="17">
        <v>101.12</v>
      </c>
      <c r="E43" s="17">
        <v>89.986000000000004</v>
      </c>
      <c r="F43" s="17">
        <v>86.536000000000001</v>
      </c>
      <c r="G43" s="17">
        <v>89.105000000000004</v>
      </c>
      <c r="H43" s="17">
        <v>88.503</v>
      </c>
      <c r="I43" s="17">
        <v>49.515999999999998</v>
      </c>
      <c r="J43" s="17">
        <v>49.182000000000002</v>
      </c>
      <c r="K43" s="17">
        <v>70.808000000000007</v>
      </c>
    </row>
    <row r="44" spans="2:11" x14ac:dyDescent="0.2">
      <c r="B44" s="17">
        <v>2.5833333333333335</v>
      </c>
      <c r="C44" s="17">
        <v>97.301000000000002</v>
      </c>
      <c r="D44" s="17">
        <v>101.07</v>
      </c>
      <c r="E44" s="17">
        <v>89.831000000000003</v>
      </c>
      <c r="F44" s="17">
        <v>86.210999999999999</v>
      </c>
      <c r="G44" s="17">
        <v>88.905000000000001</v>
      </c>
      <c r="H44" s="17">
        <v>88.287000000000006</v>
      </c>
      <c r="I44" s="17">
        <v>49.424999999999997</v>
      </c>
      <c r="J44" s="17">
        <v>48.984999999999999</v>
      </c>
      <c r="K44" s="17">
        <v>70.706000000000003</v>
      </c>
    </row>
    <row r="45" spans="2:11" x14ac:dyDescent="0.2">
      <c r="B45" s="17">
        <v>2.6</v>
      </c>
      <c r="C45" s="17">
        <v>97.231999999999999</v>
      </c>
      <c r="D45" s="17">
        <v>101.05</v>
      </c>
      <c r="E45" s="17">
        <v>89.674000000000007</v>
      </c>
      <c r="F45" s="17">
        <v>86.2</v>
      </c>
      <c r="G45" s="17">
        <v>88.89</v>
      </c>
      <c r="H45" s="17">
        <v>88.308999999999997</v>
      </c>
      <c r="I45" s="17">
        <v>49.29</v>
      </c>
      <c r="J45" s="17">
        <v>48.927999999999997</v>
      </c>
      <c r="K45" s="17">
        <v>70.623999999999995</v>
      </c>
    </row>
    <row r="46" spans="2:11" x14ac:dyDescent="0.2">
      <c r="B46" s="17">
        <v>2.6166666666666667</v>
      </c>
      <c r="C46" s="17">
        <v>97.087999999999994</v>
      </c>
      <c r="D46" s="17">
        <v>101.19</v>
      </c>
      <c r="E46" s="17">
        <v>89.665999999999997</v>
      </c>
      <c r="F46" s="17">
        <v>86.242999999999995</v>
      </c>
      <c r="G46" s="17">
        <v>88.820999999999998</v>
      </c>
      <c r="H46" s="17">
        <v>88.28</v>
      </c>
      <c r="I46" s="17">
        <v>49.232999999999997</v>
      </c>
      <c r="J46" s="17">
        <v>48.761000000000003</v>
      </c>
      <c r="K46" s="17">
        <v>70.441999999999993</v>
      </c>
    </row>
    <row r="47" spans="2:11" x14ac:dyDescent="0.2">
      <c r="B47" s="17">
        <v>2.6333333333333333</v>
      </c>
      <c r="C47" s="17">
        <v>96.911000000000001</v>
      </c>
      <c r="D47" s="17">
        <v>101.13</v>
      </c>
      <c r="E47" s="17">
        <v>89.584000000000003</v>
      </c>
      <c r="F47" s="17">
        <v>86.251999999999995</v>
      </c>
      <c r="G47" s="17">
        <v>88.722999999999999</v>
      </c>
      <c r="H47" s="17">
        <v>88.162999999999997</v>
      </c>
      <c r="I47" s="17">
        <v>49.088999999999999</v>
      </c>
      <c r="J47" s="17">
        <v>48.597000000000001</v>
      </c>
      <c r="K47" s="17">
        <v>70.337000000000003</v>
      </c>
    </row>
    <row r="48" spans="2:11" x14ac:dyDescent="0.2">
      <c r="B48" s="17">
        <v>2.65</v>
      </c>
      <c r="C48" s="17">
        <v>96.965999999999994</v>
      </c>
      <c r="D48" s="17">
        <v>101.06</v>
      </c>
      <c r="E48" s="17">
        <v>89.483000000000004</v>
      </c>
      <c r="F48" s="17">
        <v>86.244</v>
      </c>
      <c r="G48" s="17">
        <v>88.662999999999997</v>
      </c>
      <c r="H48" s="17">
        <v>87.99</v>
      </c>
      <c r="I48" s="17">
        <v>48.905000000000001</v>
      </c>
      <c r="J48" s="17">
        <v>48.465000000000003</v>
      </c>
      <c r="K48" s="17">
        <v>70.274000000000001</v>
      </c>
    </row>
    <row r="49" spans="2:11" x14ac:dyDescent="0.2">
      <c r="B49" s="17">
        <v>2.6666666666666665</v>
      </c>
      <c r="C49" s="17">
        <v>96.555000000000007</v>
      </c>
      <c r="D49" s="17">
        <v>101.07</v>
      </c>
      <c r="E49" s="17">
        <v>89.350999999999999</v>
      </c>
      <c r="F49" s="17">
        <v>86.186999999999998</v>
      </c>
      <c r="G49" s="17">
        <v>88.453999999999994</v>
      </c>
      <c r="H49" s="17">
        <v>87.873999999999995</v>
      </c>
      <c r="I49" s="17">
        <v>48.851999999999997</v>
      </c>
      <c r="J49" s="17">
        <v>48.317</v>
      </c>
      <c r="K49" s="17">
        <v>70.093000000000004</v>
      </c>
    </row>
    <row r="50" spans="2:11" x14ac:dyDescent="0.2">
      <c r="B50" s="17">
        <v>2.6833333333333331</v>
      </c>
      <c r="C50" s="17">
        <v>96.415999999999997</v>
      </c>
      <c r="D50" s="17">
        <v>101.14</v>
      </c>
      <c r="E50" s="17">
        <v>89.405000000000001</v>
      </c>
      <c r="F50" s="17">
        <v>86.216999999999999</v>
      </c>
      <c r="G50" s="17">
        <v>88.468000000000004</v>
      </c>
      <c r="H50" s="17">
        <v>87.747</v>
      </c>
      <c r="I50" s="17">
        <v>48.716000000000001</v>
      </c>
      <c r="J50" s="17">
        <v>48.223999999999997</v>
      </c>
      <c r="K50" s="17">
        <v>70.197000000000003</v>
      </c>
    </row>
    <row r="51" spans="2:11" x14ac:dyDescent="0.2">
      <c r="B51" s="17">
        <v>2.7</v>
      </c>
      <c r="C51" s="17">
        <v>96.519000000000005</v>
      </c>
      <c r="D51" s="17">
        <v>101.02</v>
      </c>
      <c r="E51" s="17">
        <v>89.201999999999998</v>
      </c>
      <c r="F51" s="17">
        <v>86.111000000000004</v>
      </c>
      <c r="G51" s="17">
        <v>88.418999999999997</v>
      </c>
      <c r="H51" s="17">
        <v>87.811999999999998</v>
      </c>
      <c r="I51" s="17">
        <v>48.576999999999998</v>
      </c>
      <c r="J51" s="17">
        <v>48.128</v>
      </c>
      <c r="K51" s="17">
        <v>69.915000000000006</v>
      </c>
    </row>
    <row r="52" spans="2:11" x14ac:dyDescent="0.2">
      <c r="B52" s="17">
        <v>2.7166666666666668</v>
      </c>
      <c r="C52" s="17">
        <v>96.364000000000004</v>
      </c>
      <c r="D52" s="17">
        <v>101.07</v>
      </c>
      <c r="E52" s="17">
        <v>89.171999999999997</v>
      </c>
      <c r="F52" s="17">
        <v>86.123000000000005</v>
      </c>
      <c r="G52" s="17">
        <v>88.323999999999998</v>
      </c>
      <c r="H52" s="17">
        <v>87.665999999999997</v>
      </c>
      <c r="I52" s="17">
        <v>48.454000000000001</v>
      </c>
      <c r="J52" s="17">
        <v>47.966999999999999</v>
      </c>
      <c r="K52" s="17">
        <v>69.945999999999998</v>
      </c>
    </row>
    <row r="53" spans="2:11" x14ac:dyDescent="0.2">
      <c r="B53" s="17">
        <v>2.7333333333333334</v>
      </c>
      <c r="C53" s="17">
        <v>96.427999999999997</v>
      </c>
      <c r="D53" s="17">
        <v>101.08</v>
      </c>
      <c r="E53" s="17">
        <v>89.019000000000005</v>
      </c>
      <c r="F53" s="17">
        <v>86.040999999999997</v>
      </c>
      <c r="G53" s="17">
        <v>88.296999999999997</v>
      </c>
      <c r="H53" s="17">
        <v>87.492000000000004</v>
      </c>
      <c r="I53" s="17">
        <v>48.328000000000003</v>
      </c>
      <c r="J53" s="17">
        <v>47.848999999999997</v>
      </c>
      <c r="K53" s="17">
        <v>69.834000000000003</v>
      </c>
    </row>
    <row r="54" spans="2:11" x14ac:dyDescent="0.2">
      <c r="B54" s="17">
        <v>2.75</v>
      </c>
      <c r="C54" s="17">
        <v>96.378</v>
      </c>
      <c r="D54" s="17">
        <v>100.96</v>
      </c>
      <c r="E54" s="17">
        <v>88.85</v>
      </c>
      <c r="F54" s="17">
        <v>86.072999999999993</v>
      </c>
      <c r="G54" s="17">
        <v>88.150999999999996</v>
      </c>
      <c r="H54" s="17">
        <v>87.397999999999996</v>
      </c>
      <c r="I54" s="17">
        <v>48.21</v>
      </c>
      <c r="J54" s="17">
        <v>47.756999999999998</v>
      </c>
      <c r="K54" s="17">
        <v>69.709999999999994</v>
      </c>
    </row>
    <row r="55" spans="2:11" x14ac:dyDescent="0.2">
      <c r="B55" s="17">
        <v>2.7666666666666666</v>
      </c>
      <c r="C55" s="17">
        <v>96.03</v>
      </c>
      <c r="D55" s="17">
        <v>101.09</v>
      </c>
      <c r="E55" s="17">
        <v>88.757000000000005</v>
      </c>
      <c r="F55" s="17">
        <v>85.468000000000004</v>
      </c>
      <c r="G55" s="17">
        <v>88.137</v>
      </c>
      <c r="H55" s="17">
        <v>87.376000000000005</v>
      </c>
      <c r="I55" s="17">
        <v>48.06</v>
      </c>
      <c r="J55" s="17">
        <v>47.694000000000003</v>
      </c>
      <c r="K55" s="17">
        <v>69.605999999999995</v>
      </c>
    </row>
    <row r="56" spans="2:11" x14ac:dyDescent="0.2">
      <c r="B56" s="17">
        <v>2.7833333333333332</v>
      </c>
      <c r="C56" s="17">
        <v>95.817999999999998</v>
      </c>
      <c r="D56" s="17">
        <v>101.06</v>
      </c>
      <c r="E56" s="17">
        <v>88.649000000000001</v>
      </c>
      <c r="F56" s="17">
        <v>85.557000000000002</v>
      </c>
      <c r="G56" s="17">
        <v>88.177000000000007</v>
      </c>
      <c r="H56" s="17">
        <v>87.281000000000006</v>
      </c>
      <c r="I56" s="17">
        <v>47.938000000000002</v>
      </c>
      <c r="J56" s="17">
        <v>47.566000000000003</v>
      </c>
      <c r="K56" s="17">
        <v>69.522000000000006</v>
      </c>
    </row>
    <row r="57" spans="2:11" x14ac:dyDescent="0.2">
      <c r="B57" s="17">
        <v>2.8</v>
      </c>
      <c r="C57" s="17">
        <v>95.721999999999994</v>
      </c>
      <c r="D57" s="17">
        <v>101.06</v>
      </c>
      <c r="E57" s="17">
        <v>88.611000000000004</v>
      </c>
      <c r="F57" s="17">
        <v>85.456999999999994</v>
      </c>
      <c r="G57" s="17">
        <v>87.953999999999994</v>
      </c>
      <c r="H57" s="17">
        <v>87.156000000000006</v>
      </c>
      <c r="I57" s="17">
        <v>47.843000000000004</v>
      </c>
      <c r="J57" s="17">
        <v>47.344000000000001</v>
      </c>
      <c r="K57" s="17">
        <v>69.442999999999998</v>
      </c>
    </row>
    <row r="58" spans="2:11" x14ac:dyDescent="0.2">
      <c r="B58" s="17">
        <v>2.8166666666666669</v>
      </c>
      <c r="C58" s="17">
        <v>95.808999999999997</v>
      </c>
      <c r="D58" s="17">
        <v>101.02</v>
      </c>
      <c r="E58" s="17">
        <v>88.451999999999998</v>
      </c>
      <c r="F58" s="17">
        <v>85.435000000000002</v>
      </c>
      <c r="G58" s="17">
        <v>87.861000000000004</v>
      </c>
      <c r="H58" s="17">
        <v>87.03</v>
      </c>
      <c r="I58" s="17">
        <v>47.694000000000003</v>
      </c>
      <c r="J58" s="17">
        <v>47.256999999999998</v>
      </c>
      <c r="K58" s="17">
        <v>69.290999999999997</v>
      </c>
    </row>
    <row r="59" spans="2:11" x14ac:dyDescent="0.2">
      <c r="B59" s="17">
        <v>2.8333333333333335</v>
      </c>
      <c r="C59" s="17">
        <v>95.593999999999994</v>
      </c>
      <c r="D59" s="17">
        <v>101.01</v>
      </c>
      <c r="E59" s="17">
        <v>88.474999999999994</v>
      </c>
      <c r="F59" s="17">
        <v>85.441999999999993</v>
      </c>
      <c r="G59" s="17">
        <v>87.777000000000001</v>
      </c>
      <c r="H59" s="17">
        <v>86.915000000000006</v>
      </c>
      <c r="I59" s="17">
        <v>47.634999999999998</v>
      </c>
      <c r="J59" s="17">
        <v>47.045999999999999</v>
      </c>
      <c r="K59" s="17">
        <v>69.159000000000006</v>
      </c>
    </row>
    <row r="60" spans="2:11" x14ac:dyDescent="0.2">
      <c r="B60" s="17">
        <v>2.85</v>
      </c>
      <c r="C60" s="17">
        <v>95.412999999999997</v>
      </c>
      <c r="D60" s="17">
        <v>100.99</v>
      </c>
      <c r="E60" s="17">
        <v>88.25</v>
      </c>
      <c r="F60" s="17">
        <v>85.402000000000001</v>
      </c>
      <c r="G60" s="17">
        <v>87.561000000000007</v>
      </c>
      <c r="H60" s="17">
        <v>86.991</v>
      </c>
      <c r="I60" s="17">
        <v>47.485999999999997</v>
      </c>
      <c r="J60" s="17">
        <v>47.003999999999998</v>
      </c>
      <c r="K60" s="17">
        <v>69.126000000000005</v>
      </c>
    </row>
    <row r="61" spans="2:11" x14ac:dyDescent="0.2">
      <c r="B61" s="17">
        <v>2.8666666666666667</v>
      </c>
      <c r="C61" s="17">
        <v>95.403000000000006</v>
      </c>
      <c r="D61" s="17">
        <v>100.95</v>
      </c>
      <c r="E61" s="17">
        <v>88.177999999999997</v>
      </c>
      <c r="F61" s="17">
        <v>85.385000000000005</v>
      </c>
      <c r="G61" s="17">
        <v>87.525000000000006</v>
      </c>
      <c r="H61" s="17">
        <v>86.941999999999993</v>
      </c>
      <c r="I61" s="17">
        <v>47.320999999999998</v>
      </c>
      <c r="J61" s="17">
        <v>46.779000000000003</v>
      </c>
      <c r="K61" s="17">
        <v>68.983000000000004</v>
      </c>
    </row>
    <row r="62" spans="2:11" x14ac:dyDescent="0.2">
      <c r="B62" s="17">
        <v>2.8833333333333333</v>
      </c>
      <c r="C62" s="17">
        <v>95.21</v>
      </c>
      <c r="D62" s="17">
        <v>101</v>
      </c>
      <c r="E62" s="17">
        <v>88.111000000000004</v>
      </c>
      <c r="F62" s="17">
        <v>85.403000000000006</v>
      </c>
      <c r="G62" s="17">
        <v>87.498000000000005</v>
      </c>
      <c r="H62" s="17">
        <v>86.908000000000001</v>
      </c>
      <c r="I62" s="17">
        <v>47.188000000000002</v>
      </c>
      <c r="J62" s="17">
        <v>46.750999999999998</v>
      </c>
      <c r="K62" s="17">
        <v>68.903000000000006</v>
      </c>
    </row>
    <row r="63" spans="2:11" x14ac:dyDescent="0.2">
      <c r="B63" s="17">
        <v>2.9</v>
      </c>
      <c r="C63" s="17">
        <v>95.281999999999996</v>
      </c>
      <c r="D63" s="17">
        <v>101.01</v>
      </c>
      <c r="E63" s="17">
        <v>88.046000000000006</v>
      </c>
      <c r="F63" s="17">
        <v>85.418999999999997</v>
      </c>
      <c r="G63" s="17">
        <v>87.174999999999997</v>
      </c>
      <c r="H63" s="17">
        <v>86.792000000000002</v>
      </c>
      <c r="I63" s="17">
        <v>47.058999999999997</v>
      </c>
      <c r="J63" s="17">
        <v>46.57</v>
      </c>
      <c r="K63" s="17">
        <v>68.805999999999997</v>
      </c>
    </row>
    <row r="64" spans="2:11" x14ac:dyDescent="0.2">
      <c r="B64" s="17">
        <v>2.9166666666666665</v>
      </c>
      <c r="C64" s="17">
        <v>95.072000000000003</v>
      </c>
      <c r="D64" s="17">
        <v>100.93</v>
      </c>
      <c r="E64" s="17">
        <v>87.966999999999999</v>
      </c>
      <c r="F64" s="17">
        <v>85.468000000000004</v>
      </c>
      <c r="G64" s="17">
        <v>87.242000000000004</v>
      </c>
      <c r="H64" s="17">
        <v>86.703999999999994</v>
      </c>
      <c r="I64" s="17">
        <v>46.982999999999997</v>
      </c>
      <c r="J64" s="17">
        <v>46.466999999999999</v>
      </c>
      <c r="K64" s="17">
        <v>68.772000000000006</v>
      </c>
    </row>
    <row r="65" spans="2:11" x14ac:dyDescent="0.2">
      <c r="B65" s="17">
        <v>2.9333333333333331</v>
      </c>
      <c r="C65" s="17">
        <v>94.826999999999998</v>
      </c>
      <c r="D65" s="17">
        <v>100.91</v>
      </c>
      <c r="E65" s="17">
        <v>87.736999999999995</v>
      </c>
      <c r="F65" s="17">
        <v>85.424000000000007</v>
      </c>
      <c r="G65" s="17">
        <v>87.171999999999997</v>
      </c>
      <c r="H65" s="17">
        <v>86.628</v>
      </c>
      <c r="I65" s="17">
        <v>46.753999999999998</v>
      </c>
      <c r="J65" s="17">
        <v>46.32</v>
      </c>
      <c r="K65" s="17">
        <v>68.661000000000001</v>
      </c>
    </row>
    <row r="66" spans="2:11" x14ac:dyDescent="0.2">
      <c r="B66" s="17">
        <v>2.95</v>
      </c>
      <c r="C66" s="17">
        <v>94.861000000000004</v>
      </c>
      <c r="D66" s="17">
        <v>100.99</v>
      </c>
      <c r="E66" s="17">
        <v>87.777000000000001</v>
      </c>
      <c r="F66" s="17">
        <v>85.46</v>
      </c>
      <c r="G66" s="17">
        <v>87.149000000000001</v>
      </c>
      <c r="H66" s="17">
        <v>86.566000000000003</v>
      </c>
      <c r="I66" s="17">
        <v>46.725999999999999</v>
      </c>
      <c r="J66" s="17">
        <v>46.151000000000003</v>
      </c>
      <c r="K66" s="17">
        <v>68.62</v>
      </c>
    </row>
    <row r="67" spans="2:11" x14ac:dyDescent="0.2">
      <c r="B67" s="17">
        <v>2.9666666666666668</v>
      </c>
      <c r="C67" s="17">
        <v>94.792000000000002</v>
      </c>
      <c r="D67" s="17">
        <v>100.94</v>
      </c>
      <c r="E67" s="17">
        <v>87.647000000000006</v>
      </c>
      <c r="F67" s="17">
        <v>85.331000000000003</v>
      </c>
      <c r="G67" s="17">
        <v>86.977999999999994</v>
      </c>
      <c r="H67" s="17">
        <v>86.372</v>
      </c>
      <c r="I67" s="17">
        <v>46.582999999999998</v>
      </c>
      <c r="J67" s="17">
        <v>46.06</v>
      </c>
      <c r="K67" s="17">
        <v>68.513000000000005</v>
      </c>
    </row>
    <row r="68" spans="2:11" x14ac:dyDescent="0.2">
      <c r="B68" s="17">
        <v>2.9833333333333334</v>
      </c>
      <c r="C68" s="17">
        <v>94.671000000000006</v>
      </c>
      <c r="D68" s="17">
        <v>100.9</v>
      </c>
      <c r="E68" s="17">
        <v>87.474999999999994</v>
      </c>
      <c r="F68" s="17">
        <v>85.415000000000006</v>
      </c>
      <c r="G68" s="17">
        <v>86.75</v>
      </c>
      <c r="H68" s="17">
        <v>86.563999999999993</v>
      </c>
      <c r="I68" s="17">
        <v>46.387999999999998</v>
      </c>
      <c r="J68" s="17">
        <v>45.908999999999999</v>
      </c>
      <c r="K68" s="17">
        <v>68.399000000000001</v>
      </c>
    </row>
    <row r="69" spans="2:11" x14ac:dyDescent="0.2">
      <c r="B69" s="17">
        <v>3</v>
      </c>
      <c r="C69" s="17">
        <v>94.552000000000007</v>
      </c>
      <c r="D69" s="17">
        <v>100.87</v>
      </c>
      <c r="E69" s="17">
        <v>87.424000000000007</v>
      </c>
      <c r="F69" s="17">
        <v>85.361999999999995</v>
      </c>
      <c r="G69" s="17">
        <v>86.635000000000005</v>
      </c>
      <c r="H69" s="17">
        <v>86.123000000000005</v>
      </c>
      <c r="I69" s="17">
        <v>46.292000000000002</v>
      </c>
      <c r="J69" s="17">
        <v>45.780999999999999</v>
      </c>
      <c r="K69" s="17">
        <v>68.326999999999998</v>
      </c>
    </row>
    <row r="70" spans="2:11" x14ac:dyDescent="0.2">
      <c r="B70" s="17">
        <v>3.0166666666666666</v>
      </c>
      <c r="C70" s="17">
        <v>94.322999999999993</v>
      </c>
      <c r="D70" s="17">
        <v>100.92</v>
      </c>
      <c r="E70" s="17">
        <v>87.236000000000004</v>
      </c>
      <c r="F70" s="17">
        <v>85.370999999999995</v>
      </c>
      <c r="G70" s="17">
        <v>86.858000000000004</v>
      </c>
      <c r="H70" s="17">
        <v>86.177000000000007</v>
      </c>
      <c r="I70" s="17">
        <v>46.188000000000002</v>
      </c>
      <c r="J70" s="17">
        <v>45.713999999999999</v>
      </c>
      <c r="K70" s="17">
        <v>68.183999999999997</v>
      </c>
    </row>
    <row r="71" spans="2:11" x14ac:dyDescent="0.2">
      <c r="B71" s="17">
        <v>3.0333333333333332</v>
      </c>
      <c r="C71" s="17">
        <v>94.268000000000001</v>
      </c>
      <c r="D71" s="17">
        <v>100.9</v>
      </c>
      <c r="E71" s="17">
        <v>87.212999999999994</v>
      </c>
      <c r="F71" s="17">
        <v>85.298000000000002</v>
      </c>
      <c r="G71" s="17">
        <v>86.805999999999997</v>
      </c>
      <c r="H71" s="17">
        <v>86.111999999999995</v>
      </c>
      <c r="I71" s="17">
        <v>46.018000000000001</v>
      </c>
      <c r="J71" s="17">
        <v>45.542000000000002</v>
      </c>
      <c r="K71" s="17">
        <v>68.067999999999998</v>
      </c>
    </row>
    <row r="72" spans="2:11" x14ac:dyDescent="0.2">
      <c r="B72" s="17">
        <v>3.05</v>
      </c>
      <c r="C72" s="17">
        <v>94.08</v>
      </c>
      <c r="D72" s="17">
        <v>100.89</v>
      </c>
      <c r="E72" s="17">
        <v>87.18</v>
      </c>
      <c r="F72" s="17">
        <v>85.293000000000006</v>
      </c>
      <c r="G72" s="17">
        <v>86.930999999999997</v>
      </c>
      <c r="H72" s="17">
        <v>85.725999999999999</v>
      </c>
      <c r="I72" s="17">
        <v>45.905999999999999</v>
      </c>
      <c r="J72" s="17">
        <v>45.411000000000001</v>
      </c>
      <c r="K72" s="17">
        <v>67.978999999999999</v>
      </c>
    </row>
    <row r="73" spans="2:11" x14ac:dyDescent="0.2">
      <c r="B73" s="17">
        <v>3.0666666666666669</v>
      </c>
      <c r="C73" s="17">
        <v>94.027000000000001</v>
      </c>
      <c r="D73" s="17">
        <v>100.92</v>
      </c>
      <c r="E73" s="17">
        <v>86.995000000000005</v>
      </c>
      <c r="F73" s="17">
        <v>85.245000000000005</v>
      </c>
      <c r="G73" s="17">
        <v>86.912000000000006</v>
      </c>
      <c r="H73" s="17">
        <v>85.718999999999994</v>
      </c>
      <c r="I73" s="17">
        <v>45.741</v>
      </c>
      <c r="J73" s="17">
        <v>45.252000000000002</v>
      </c>
      <c r="K73" s="17">
        <v>67.911000000000001</v>
      </c>
    </row>
    <row r="74" spans="2:11" x14ac:dyDescent="0.2">
      <c r="B74" s="17">
        <v>3.0833333333333335</v>
      </c>
      <c r="C74" s="17">
        <v>94.021000000000001</v>
      </c>
      <c r="D74" s="17">
        <v>100.83</v>
      </c>
      <c r="E74" s="17">
        <v>86.95</v>
      </c>
      <c r="F74" s="17">
        <v>85.287999999999997</v>
      </c>
      <c r="G74" s="17">
        <v>86.69</v>
      </c>
      <c r="H74" s="17">
        <v>85.578000000000003</v>
      </c>
      <c r="I74" s="17">
        <v>45.610999999999997</v>
      </c>
      <c r="J74" s="17">
        <v>45.21</v>
      </c>
      <c r="K74" s="17">
        <v>67.81</v>
      </c>
    </row>
    <row r="75" spans="2:11" x14ac:dyDescent="0.2">
      <c r="B75" s="17">
        <v>3.1</v>
      </c>
      <c r="C75" s="17">
        <v>93.691000000000003</v>
      </c>
      <c r="D75" s="17">
        <v>100.89</v>
      </c>
      <c r="E75" s="17">
        <v>86.897999999999996</v>
      </c>
      <c r="F75" s="17">
        <v>85.302000000000007</v>
      </c>
      <c r="G75" s="17">
        <v>86.593999999999994</v>
      </c>
      <c r="H75" s="17">
        <v>85.405000000000001</v>
      </c>
      <c r="I75" s="17">
        <v>45.537999999999997</v>
      </c>
      <c r="J75" s="17">
        <v>45.073999999999998</v>
      </c>
      <c r="K75" s="17">
        <v>67.691999999999993</v>
      </c>
    </row>
    <row r="76" spans="2:11" x14ac:dyDescent="0.2">
      <c r="B76" s="17">
        <v>3.1166666666666667</v>
      </c>
      <c r="C76" s="17">
        <v>93.566000000000003</v>
      </c>
      <c r="D76" s="17">
        <v>100.87</v>
      </c>
      <c r="E76" s="17">
        <v>86.847999999999999</v>
      </c>
      <c r="F76" s="17">
        <v>85.180999999999997</v>
      </c>
      <c r="G76" s="17">
        <v>86.497</v>
      </c>
      <c r="H76" s="17">
        <v>85.369</v>
      </c>
      <c r="I76" s="17">
        <v>45.411999999999999</v>
      </c>
      <c r="J76" s="17">
        <v>45.006</v>
      </c>
      <c r="K76" s="17">
        <v>67.555000000000007</v>
      </c>
    </row>
    <row r="77" spans="2:11" x14ac:dyDescent="0.2">
      <c r="B77" s="17">
        <v>3.1333333333333333</v>
      </c>
      <c r="C77" s="17">
        <v>93.551000000000002</v>
      </c>
      <c r="D77" s="17">
        <v>100.77</v>
      </c>
      <c r="E77" s="17">
        <v>86.68</v>
      </c>
      <c r="F77" s="17">
        <v>85.119</v>
      </c>
      <c r="G77" s="17">
        <v>86.444000000000003</v>
      </c>
      <c r="H77" s="17">
        <v>85.284999999999997</v>
      </c>
      <c r="I77" s="17">
        <v>45.311</v>
      </c>
      <c r="J77" s="17">
        <v>44.784999999999997</v>
      </c>
      <c r="K77" s="17">
        <v>67.540000000000006</v>
      </c>
    </row>
    <row r="78" spans="2:11" x14ac:dyDescent="0.2">
      <c r="B78" s="17">
        <v>3.15</v>
      </c>
      <c r="C78" s="17">
        <v>93.451999999999998</v>
      </c>
      <c r="D78" s="17">
        <v>100.87</v>
      </c>
      <c r="E78" s="17">
        <v>86.515000000000001</v>
      </c>
      <c r="F78" s="17">
        <v>85.075000000000003</v>
      </c>
      <c r="G78" s="17">
        <v>86.198999999999998</v>
      </c>
      <c r="H78" s="17">
        <v>85.215999999999994</v>
      </c>
      <c r="I78" s="17">
        <v>45.158999999999999</v>
      </c>
      <c r="J78" s="17">
        <v>44.622</v>
      </c>
      <c r="K78" s="17">
        <v>67.429000000000002</v>
      </c>
    </row>
    <row r="79" spans="2:11" x14ac:dyDescent="0.2">
      <c r="B79" s="17">
        <v>3.1666666666666665</v>
      </c>
      <c r="C79" s="17">
        <v>93.415000000000006</v>
      </c>
      <c r="D79" s="17">
        <v>100.81</v>
      </c>
      <c r="E79" s="17">
        <v>86.331999999999994</v>
      </c>
      <c r="F79" s="17">
        <v>85.03</v>
      </c>
      <c r="G79" s="17">
        <v>86.355000000000004</v>
      </c>
      <c r="H79" s="17">
        <v>85.048000000000002</v>
      </c>
      <c r="I79" s="17">
        <v>45.072000000000003</v>
      </c>
      <c r="J79" s="17">
        <v>44.491</v>
      </c>
      <c r="K79" s="17">
        <v>67.299000000000007</v>
      </c>
    </row>
    <row r="80" spans="2:11" x14ac:dyDescent="0.2">
      <c r="B80" s="17">
        <v>3.1833333333333331</v>
      </c>
      <c r="C80" s="17">
        <v>93.210999999999999</v>
      </c>
      <c r="D80" s="17">
        <v>100.78</v>
      </c>
      <c r="E80" s="17">
        <v>86.353999999999999</v>
      </c>
      <c r="F80" s="17">
        <v>84.938000000000002</v>
      </c>
      <c r="G80" s="17">
        <v>86.192999999999998</v>
      </c>
      <c r="H80" s="17">
        <v>85.11</v>
      </c>
      <c r="I80" s="17">
        <v>44.988</v>
      </c>
      <c r="J80" s="17">
        <v>44.356000000000002</v>
      </c>
      <c r="K80" s="17">
        <v>67.218999999999994</v>
      </c>
    </row>
    <row r="81" spans="2:11" x14ac:dyDescent="0.2">
      <c r="B81" s="17">
        <v>3.2</v>
      </c>
      <c r="C81" s="17">
        <v>93.167000000000002</v>
      </c>
      <c r="D81" s="17">
        <v>100.8</v>
      </c>
      <c r="E81" s="17">
        <v>86.302000000000007</v>
      </c>
      <c r="F81" s="17">
        <v>84.911000000000001</v>
      </c>
      <c r="G81" s="17">
        <v>85.820999999999998</v>
      </c>
      <c r="H81" s="17">
        <v>84.866</v>
      </c>
      <c r="I81" s="17">
        <v>44.896999999999998</v>
      </c>
      <c r="J81" s="17">
        <v>44.326999999999998</v>
      </c>
      <c r="K81" s="17">
        <v>67.126000000000005</v>
      </c>
    </row>
    <row r="82" spans="2:11" x14ac:dyDescent="0.2">
      <c r="B82" s="17">
        <v>3.2166666666666668</v>
      </c>
      <c r="C82" s="17">
        <v>93.149000000000001</v>
      </c>
      <c r="D82" s="17">
        <v>100.83</v>
      </c>
      <c r="E82" s="17">
        <v>86.081999999999994</v>
      </c>
      <c r="F82" s="17">
        <v>84.820999999999998</v>
      </c>
      <c r="G82" s="17">
        <v>85.981999999999999</v>
      </c>
      <c r="H82" s="17">
        <v>85.004000000000005</v>
      </c>
      <c r="I82" s="17">
        <v>44.738999999999997</v>
      </c>
      <c r="J82" s="17">
        <v>44.097000000000001</v>
      </c>
      <c r="K82" s="17">
        <v>66.988</v>
      </c>
    </row>
    <row r="83" spans="2:11" x14ac:dyDescent="0.2">
      <c r="B83" s="17">
        <v>3.2333333333333334</v>
      </c>
      <c r="C83" s="17">
        <v>92.867999999999995</v>
      </c>
      <c r="D83" s="17">
        <v>100.76</v>
      </c>
      <c r="E83" s="17">
        <v>85.983999999999995</v>
      </c>
      <c r="F83" s="17">
        <v>84.825000000000003</v>
      </c>
      <c r="G83" s="17">
        <v>85.674000000000007</v>
      </c>
      <c r="H83" s="17">
        <v>84.858999999999995</v>
      </c>
      <c r="I83" s="17">
        <v>44.603000000000002</v>
      </c>
      <c r="J83" s="17">
        <v>44.054000000000002</v>
      </c>
      <c r="K83" s="17">
        <v>66.909000000000006</v>
      </c>
    </row>
    <row r="84" spans="2:11" x14ac:dyDescent="0.2">
      <c r="B84" s="17">
        <v>3.25</v>
      </c>
      <c r="C84" s="17">
        <v>92.869</v>
      </c>
      <c r="D84" s="17">
        <v>100.79</v>
      </c>
      <c r="E84" s="17">
        <v>85.912999999999997</v>
      </c>
      <c r="F84" s="17">
        <v>84.753</v>
      </c>
      <c r="G84" s="17">
        <v>85.769000000000005</v>
      </c>
      <c r="H84" s="17">
        <v>84.584999999999994</v>
      </c>
      <c r="I84" s="17">
        <v>44.478000000000002</v>
      </c>
      <c r="J84" s="17">
        <v>43.823</v>
      </c>
      <c r="K84" s="17">
        <v>66.772000000000006</v>
      </c>
    </row>
    <row r="85" spans="2:11" x14ac:dyDescent="0.2">
      <c r="B85" s="17">
        <v>3.2666666666666666</v>
      </c>
      <c r="C85" s="17">
        <v>92.715999999999994</v>
      </c>
      <c r="D85" s="17">
        <v>100.73</v>
      </c>
      <c r="E85" s="17">
        <v>85.801000000000002</v>
      </c>
      <c r="F85" s="17">
        <v>84.593000000000004</v>
      </c>
      <c r="G85" s="17">
        <v>85.790999999999997</v>
      </c>
      <c r="H85" s="17">
        <v>84.57</v>
      </c>
      <c r="I85" s="17">
        <v>44.362000000000002</v>
      </c>
      <c r="J85" s="17">
        <v>43.557000000000002</v>
      </c>
      <c r="K85" s="17">
        <v>66.66</v>
      </c>
    </row>
    <row r="86" spans="2:11" x14ac:dyDescent="0.2">
      <c r="B86" s="17">
        <v>3.2833333333333332</v>
      </c>
      <c r="C86" s="17">
        <v>92.691000000000003</v>
      </c>
      <c r="D86" s="17">
        <v>100.86</v>
      </c>
      <c r="E86" s="17">
        <v>85.831000000000003</v>
      </c>
      <c r="F86" s="17">
        <v>83.272999999999996</v>
      </c>
      <c r="G86" s="17">
        <v>85.546000000000006</v>
      </c>
      <c r="H86" s="17">
        <v>84.355000000000004</v>
      </c>
      <c r="I86" s="17">
        <v>44.213000000000001</v>
      </c>
      <c r="J86" s="17">
        <v>43.293999999999997</v>
      </c>
      <c r="K86" s="17">
        <v>66.481999999999999</v>
      </c>
    </row>
    <row r="87" spans="2:11" x14ac:dyDescent="0.2">
      <c r="B87" s="17">
        <v>3.3</v>
      </c>
      <c r="C87" s="17">
        <v>92.644999999999996</v>
      </c>
      <c r="D87" s="17">
        <v>100.84</v>
      </c>
      <c r="E87" s="17">
        <v>85.72</v>
      </c>
      <c r="F87" s="17">
        <v>83.275000000000006</v>
      </c>
      <c r="G87" s="17">
        <v>85.518000000000001</v>
      </c>
      <c r="H87" s="17">
        <v>84.513000000000005</v>
      </c>
      <c r="I87" s="17">
        <v>44.094000000000001</v>
      </c>
      <c r="J87" s="17">
        <v>43.256</v>
      </c>
      <c r="K87" s="17">
        <v>66.418999999999997</v>
      </c>
    </row>
    <row r="88" spans="2:11" x14ac:dyDescent="0.2">
      <c r="B88" s="17">
        <v>3.3166666666666669</v>
      </c>
      <c r="C88" s="17">
        <v>92.585999999999999</v>
      </c>
      <c r="D88" s="17">
        <v>100.82</v>
      </c>
      <c r="E88" s="17">
        <v>85.62</v>
      </c>
      <c r="F88" s="17">
        <v>83.343000000000004</v>
      </c>
      <c r="G88" s="17">
        <v>85.215000000000003</v>
      </c>
      <c r="H88" s="17">
        <v>84.367000000000004</v>
      </c>
      <c r="I88" s="17">
        <v>43.988999999999997</v>
      </c>
      <c r="J88" s="17">
        <v>43.253</v>
      </c>
      <c r="K88" s="17">
        <v>66.322999999999993</v>
      </c>
    </row>
    <row r="89" spans="2:11" x14ac:dyDescent="0.2">
      <c r="B89" s="17">
        <v>3.3333333333333335</v>
      </c>
      <c r="C89" s="17">
        <v>92.358999999999995</v>
      </c>
      <c r="D89" s="17">
        <v>100.74</v>
      </c>
      <c r="E89" s="17">
        <v>85.543999999999997</v>
      </c>
      <c r="F89" s="17">
        <v>83.552000000000007</v>
      </c>
      <c r="G89" s="17">
        <v>85.231999999999999</v>
      </c>
      <c r="H89" s="17">
        <v>84.308000000000007</v>
      </c>
      <c r="I89" s="17">
        <v>43.875</v>
      </c>
      <c r="J89" s="17">
        <v>43.2</v>
      </c>
      <c r="K89" s="17">
        <v>66.179000000000002</v>
      </c>
    </row>
    <row r="90" spans="2:11" x14ac:dyDescent="0.2">
      <c r="B90" s="17">
        <v>3.35</v>
      </c>
      <c r="C90" s="17">
        <v>92.466999999999999</v>
      </c>
      <c r="D90" s="17">
        <v>100.42</v>
      </c>
      <c r="E90" s="17">
        <v>85.384</v>
      </c>
      <c r="F90" s="17">
        <v>83.465999999999994</v>
      </c>
      <c r="G90" s="17">
        <v>85.244</v>
      </c>
      <c r="H90" s="17">
        <v>83.968000000000004</v>
      </c>
      <c r="I90" s="17">
        <v>43.706000000000003</v>
      </c>
      <c r="J90" s="17">
        <v>43.084000000000003</v>
      </c>
      <c r="K90" s="17">
        <v>66.120999999999995</v>
      </c>
    </row>
    <row r="91" spans="2:11" x14ac:dyDescent="0.2">
      <c r="B91" s="17">
        <v>3.3666666666666667</v>
      </c>
      <c r="C91" s="17">
        <v>92.33</v>
      </c>
      <c r="D91" s="17">
        <v>100.41</v>
      </c>
      <c r="E91" s="17">
        <v>85.349000000000004</v>
      </c>
      <c r="F91" s="17">
        <v>83.103999999999999</v>
      </c>
      <c r="G91" s="17">
        <v>85.028000000000006</v>
      </c>
      <c r="H91" s="17">
        <v>83.96</v>
      </c>
      <c r="I91" s="17">
        <v>43.637</v>
      </c>
      <c r="J91" s="17">
        <v>42.982999999999997</v>
      </c>
      <c r="K91" s="17">
        <v>66.02</v>
      </c>
    </row>
    <row r="92" spans="2:11" x14ac:dyDescent="0.2">
      <c r="B92" s="17">
        <v>3.3833333333333333</v>
      </c>
      <c r="C92" s="17">
        <v>92.281999999999996</v>
      </c>
      <c r="D92" s="17">
        <v>100.25</v>
      </c>
      <c r="E92" s="17">
        <v>85.27</v>
      </c>
      <c r="F92" s="17">
        <v>83.013000000000005</v>
      </c>
      <c r="G92" s="17">
        <v>84.834999999999994</v>
      </c>
      <c r="H92" s="17">
        <v>83.822999999999993</v>
      </c>
      <c r="I92" s="17">
        <v>43.503</v>
      </c>
      <c r="J92" s="17">
        <v>42.875</v>
      </c>
      <c r="K92" s="17">
        <v>65.909000000000006</v>
      </c>
    </row>
    <row r="93" spans="2:11" x14ac:dyDescent="0.2">
      <c r="B93" s="17">
        <v>3.4</v>
      </c>
      <c r="C93" s="17">
        <v>92.153999999999996</v>
      </c>
      <c r="D93" s="17">
        <v>99.793999999999997</v>
      </c>
      <c r="E93" s="17">
        <v>85.186999999999998</v>
      </c>
      <c r="F93" s="17">
        <v>82.89</v>
      </c>
      <c r="G93" s="17">
        <v>84.759</v>
      </c>
      <c r="H93" s="17">
        <v>83.81</v>
      </c>
      <c r="I93" s="17">
        <v>43.38</v>
      </c>
      <c r="J93" s="17">
        <v>42.780999999999999</v>
      </c>
      <c r="K93" s="17">
        <v>65.83</v>
      </c>
    </row>
    <row r="94" spans="2:11" x14ac:dyDescent="0.2">
      <c r="B94" s="17">
        <v>3.4166666666666665</v>
      </c>
      <c r="C94" s="17">
        <v>92.018000000000001</v>
      </c>
      <c r="D94" s="17">
        <v>99.917000000000002</v>
      </c>
      <c r="E94" s="17">
        <v>85.131</v>
      </c>
      <c r="F94" s="17">
        <v>82.566000000000003</v>
      </c>
      <c r="G94" s="17">
        <v>84.762</v>
      </c>
      <c r="H94" s="17">
        <v>83.677999999999997</v>
      </c>
      <c r="I94" s="17">
        <v>43.302999999999997</v>
      </c>
      <c r="J94" s="17">
        <v>42.689</v>
      </c>
      <c r="K94" s="17">
        <v>65.772999999999996</v>
      </c>
    </row>
    <row r="95" spans="2:11" x14ac:dyDescent="0.2">
      <c r="B95" s="17">
        <v>3.4333333333333331</v>
      </c>
      <c r="C95" s="17">
        <v>92.111000000000004</v>
      </c>
      <c r="D95" s="17">
        <v>99.823999999999998</v>
      </c>
      <c r="E95" s="17">
        <v>84.936000000000007</v>
      </c>
      <c r="F95" s="17">
        <v>82.564999999999998</v>
      </c>
      <c r="G95" s="17">
        <v>84.605000000000004</v>
      </c>
      <c r="H95" s="17">
        <v>83.503</v>
      </c>
      <c r="I95" s="17">
        <v>43.188000000000002</v>
      </c>
      <c r="J95" s="17">
        <v>42.604999999999997</v>
      </c>
      <c r="K95" s="17">
        <v>65.706999999999994</v>
      </c>
    </row>
    <row r="96" spans="2:11" x14ac:dyDescent="0.2">
      <c r="B96" s="17">
        <v>3.45</v>
      </c>
      <c r="C96" s="17">
        <v>91.841999999999999</v>
      </c>
      <c r="D96" s="17">
        <v>99.600999999999999</v>
      </c>
      <c r="E96" s="17">
        <v>84.816999999999993</v>
      </c>
      <c r="F96" s="17">
        <v>82.230999999999995</v>
      </c>
      <c r="G96" s="17">
        <v>84.55</v>
      </c>
      <c r="H96" s="17">
        <v>83.397999999999996</v>
      </c>
      <c r="I96" s="17">
        <v>43.106000000000002</v>
      </c>
      <c r="J96" s="17">
        <v>42.298999999999999</v>
      </c>
      <c r="K96" s="17">
        <v>65.484999999999999</v>
      </c>
    </row>
    <row r="97" spans="2:11" x14ac:dyDescent="0.2">
      <c r="B97" s="17">
        <v>3.4666666666666668</v>
      </c>
      <c r="C97" s="17">
        <v>91.774000000000001</v>
      </c>
      <c r="D97" s="17">
        <v>99.447999999999993</v>
      </c>
      <c r="E97" s="17">
        <v>84.804000000000002</v>
      </c>
      <c r="F97" s="17">
        <v>82.013000000000005</v>
      </c>
      <c r="G97" s="17">
        <v>84.394000000000005</v>
      </c>
      <c r="H97" s="17">
        <v>83.331999999999994</v>
      </c>
      <c r="I97" s="17">
        <v>42.960999999999999</v>
      </c>
      <c r="J97" s="17">
        <v>42.191000000000003</v>
      </c>
      <c r="K97" s="17">
        <v>65.424999999999997</v>
      </c>
    </row>
    <row r="98" spans="2:11" x14ac:dyDescent="0.2">
      <c r="B98" s="17">
        <v>3.4833333333333334</v>
      </c>
      <c r="C98" s="17">
        <v>91.623999999999995</v>
      </c>
      <c r="D98" s="17">
        <v>99.59</v>
      </c>
      <c r="E98" s="17">
        <v>84.611999999999995</v>
      </c>
      <c r="F98" s="17">
        <v>81.707999999999998</v>
      </c>
      <c r="G98" s="17">
        <v>84.418999999999997</v>
      </c>
      <c r="H98" s="17">
        <v>83.215000000000003</v>
      </c>
      <c r="I98" s="17">
        <v>42.853000000000002</v>
      </c>
      <c r="J98" s="17">
        <v>42.125</v>
      </c>
      <c r="K98" s="17">
        <v>65.350999999999999</v>
      </c>
    </row>
    <row r="99" spans="2:11" x14ac:dyDescent="0.2">
      <c r="B99" s="17">
        <v>3.5</v>
      </c>
      <c r="C99" s="17">
        <v>91.373000000000005</v>
      </c>
      <c r="D99" s="17">
        <v>99.341999999999999</v>
      </c>
      <c r="E99" s="17">
        <v>84.492000000000004</v>
      </c>
      <c r="F99" s="17">
        <v>81.363</v>
      </c>
      <c r="G99" s="17">
        <v>84.28</v>
      </c>
      <c r="H99" s="17">
        <v>83.12</v>
      </c>
      <c r="I99" s="17">
        <v>42.716999999999999</v>
      </c>
      <c r="J99" s="17">
        <v>42.07</v>
      </c>
      <c r="K99" s="17">
        <v>65.233000000000004</v>
      </c>
    </row>
    <row r="100" spans="2:11" x14ac:dyDescent="0.2">
      <c r="B100" s="17">
        <v>3.5166666666666666</v>
      </c>
      <c r="C100" s="17">
        <v>91.212000000000003</v>
      </c>
      <c r="D100" s="17">
        <v>99.302000000000007</v>
      </c>
      <c r="E100" s="17">
        <v>84.319000000000003</v>
      </c>
      <c r="F100" s="17">
        <v>81.144999999999996</v>
      </c>
      <c r="G100" s="17">
        <v>83.864000000000004</v>
      </c>
      <c r="H100" s="17">
        <v>83.149000000000001</v>
      </c>
      <c r="I100" s="17">
        <v>42.622</v>
      </c>
      <c r="J100" s="17">
        <v>41.866</v>
      </c>
      <c r="K100" s="17">
        <v>65.12</v>
      </c>
    </row>
    <row r="101" spans="2:11" x14ac:dyDescent="0.2">
      <c r="B101" s="17">
        <v>3.5333333333333332</v>
      </c>
      <c r="C101" s="17">
        <v>91.218000000000004</v>
      </c>
      <c r="D101" s="17">
        <v>99.057000000000002</v>
      </c>
      <c r="E101" s="17">
        <v>84.397999999999996</v>
      </c>
      <c r="F101" s="17">
        <v>80.754000000000005</v>
      </c>
      <c r="G101" s="17">
        <v>84.090999999999994</v>
      </c>
      <c r="H101" s="17">
        <v>83.073999999999998</v>
      </c>
      <c r="I101" s="17">
        <v>42.517000000000003</v>
      </c>
      <c r="J101" s="17">
        <v>41.762999999999998</v>
      </c>
      <c r="K101" s="17">
        <v>64.94</v>
      </c>
    </row>
    <row r="102" spans="2:11" x14ac:dyDescent="0.2">
      <c r="B102" s="17">
        <v>3.55</v>
      </c>
      <c r="C102" s="17">
        <v>91.358000000000004</v>
      </c>
      <c r="D102" s="17">
        <v>99.021000000000001</v>
      </c>
      <c r="E102" s="17">
        <v>83.881</v>
      </c>
      <c r="F102" s="17">
        <v>80.516000000000005</v>
      </c>
      <c r="G102" s="17">
        <v>84.01</v>
      </c>
      <c r="H102" s="17">
        <v>82.983000000000004</v>
      </c>
      <c r="I102" s="17">
        <v>42.415999999999997</v>
      </c>
      <c r="J102" s="17">
        <v>41.607999999999997</v>
      </c>
      <c r="K102" s="17">
        <v>65.016000000000005</v>
      </c>
    </row>
    <row r="103" spans="2:11" x14ac:dyDescent="0.2">
      <c r="B103" s="17">
        <v>3.5666666666666669</v>
      </c>
      <c r="C103" s="17">
        <v>91.02</v>
      </c>
      <c r="D103" s="17">
        <v>98.747</v>
      </c>
      <c r="E103" s="17">
        <v>83.8</v>
      </c>
      <c r="F103" s="17">
        <v>80.177999999999997</v>
      </c>
      <c r="G103" s="17">
        <v>83.902000000000001</v>
      </c>
      <c r="H103" s="17">
        <v>82.971000000000004</v>
      </c>
      <c r="I103" s="17">
        <v>42.292000000000002</v>
      </c>
      <c r="J103" s="17">
        <v>41.451999999999998</v>
      </c>
      <c r="K103" s="17">
        <v>64.769000000000005</v>
      </c>
    </row>
    <row r="104" spans="2:11" x14ac:dyDescent="0.2">
      <c r="B104" s="17">
        <v>3.5833333333333335</v>
      </c>
      <c r="C104" s="17">
        <v>90.885999999999996</v>
      </c>
      <c r="D104" s="17">
        <v>98.721999999999994</v>
      </c>
      <c r="E104" s="17">
        <v>83.801000000000002</v>
      </c>
      <c r="F104" s="17">
        <v>79.888000000000005</v>
      </c>
      <c r="G104" s="17">
        <v>83.688000000000002</v>
      </c>
      <c r="H104" s="17">
        <v>82.768000000000001</v>
      </c>
      <c r="I104" s="17">
        <v>42.167000000000002</v>
      </c>
      <c r="J104" s="17">
        <v>41.363999999999997</v>
      </c>
      <c r="K104" s="17">
        <v>64.766999999999996</v>
      </c>
    </row>
    <row r="105" spans="2:11" x14ac:dyDescent="0.2">
      <c r="B105" s="17">
        <v>3.6</v>
      </c>
      <c r="C105" s="17">
        <v>90.828000000000003</v>
      </c>
      <c r="D105" s="17">
        <v>98.524000000000001</v>
      </c>
      <c r="E105" s="17">
        <v>83.867999999999995</v>
      </c>
      <c r="F105" s="17">
        <v>79.725999999999999</v>
      </c>
      <c r="G105" s="17">
        <v>83.64</v>
      </c>
      <c r="H105" s="17">
        <v>82.724999999999994</v>
      </c>
      <c r="I105" s="17">
        <v>42.073999999999998</v>
      </c>
      <c r="J105" s="17">
        <v>41.231000000000002</v>
      </c>
      <c r="K105" s="17">
        <v>64.682000000000002</v>
      </c>
    </row>
    <row r="106" spans="2:11" x14ac:dyDescent="0.2">
      <c r="B106" s="17">
        <v>3.6166666666666667</v>
      </c>
      <c r="C106" s="17">
        <v>90.846999999999994</v>
      </c>
      <c r="D106" s="17">
        <v>98.262</v>
      </c>
      <c r="E106" s="17">
        <v>83.602000000000004</v>
      </c>
      <c r="F106" s="17">
        <v>79.513999999999996</v>
      </c>
      <c r="G106" s="17">
        <v>83.55</v>
      </c>
      <c r="H106" s="17">
        <v>82.631</v>
      </c>
      <c r="I106" s="17">
        <v>41.918999999999997</v>
      </c>
      <c r="J106" s="17">
        <v>41.085999999999999</v>
      </c>
      <c r="K106" s="17">
        <v>64.503</v>
      </c>
    </row>
    <row r="107" spans="2:11" x14ac:dyDescent="0.2">
      <c r="B107" s="17">
        <v>3.6333333333333333</v>
      </c>
      <c r="C107" s="17">
        <v>90.551000000000002</v>
      </c>
      <c r="D107" s="17">
        <v>98.036000000000001</v>
      </c>
      <c r="E107" s="17">
        <v>83.358000000000004</v>
      </c>
      <c r="F107" s="17">
        <v>79.382999999999996</v>
      </c>
      <c r="G107" s="17">
        <v>83.444999999999993</v>
      </c>
      <c r="H107" s="17">
        <v>82.510999999999996</v>
      </c>
      <c r="I107" s="17">
        <v>41.817999999999998</v>
      </c>
      <c r="J107" s="17">
        <v>40.963000000000001</v>
      </c>
      <c r="K107" s="17">
        <v>64.417000000000002</v>
      </c>
    </row>
    <row r="108" spans="2:11" x14ac:dyDescent="0.2">
      <c r="B108" s="17">
        <v>3.65</v>
      </c>
      <c r="C108" s="17">
        <v>90.340999999999994</v>
      </c>
      <c r="D108" s="17">
        <v>98.031000000000006</v>
      </c>
      <c r="E108" s="17">
        <v>83.111000000000004</v>
      </c>
      <c r="F108" s="17">
        <v>78.89</v>
      </c>
      <c r="G108" s="17">
        <v>83.165999999999997</v>
      </c>
      <c r="H108" s="17">
        <v>82.444000000000003</v>
      </c>
      <c r="I108" s="17">
        <v>41.689</v>
      </c>
      <c r="J108" s="17">
        <v>40.884999999999998</v>
      </c>
      <c r="K108" s="17">
        <v>64.325999999999993</v>
      </c>
    </row>
    <row r="109" spans="2:11" x14ac:dyDescent="0.2">
      <c r="B109" s="17">
        <v>3.6666666666666665</v>
      </c>
      <c r="C109" s="17">
        <v>90.114000000000004</v>
      </c>
      <c r="D109" s="17">
        <v>97.891000000000005</v>
      </c>
      <c r="E109" s="17">
        <v>83.238</v>
      </c>
      <c r="F109" s="17">
        <v>78.625</v>
      </c>
      <c r="G109" s="17">
        <v>83.322999999999993</v>
      </c>
      <c r="H109" s="17">
        <v>82.352000000000004</v>
      </c>
      <c r="I109" s="17">
        <v>41.619</v>
      </c>
      <c r="J109" s="17">
        <v>40.704999999999998</v>
      </c>
      <c r="K109" s="17">
        <v>64.242000000000004</v>
      </c>
    </row>
    <row r="110" spans="2:11" x14ac:dyDescent="0.2">
      <c r="B110" s="17">
        <v>3.6833333333333331</v>
      </c>
      <c r="C110" s="17">
        <v>90.141999999999996</v>
      </c>
      <c r="D110" s="17">
        <v>97.887</v>
      </c>
      <c r="E110" s="17">
        <v>83.18</v>
      </c>
      <c r="F110" s="17">
        <v>78.881</v>
      </c>
      <c r="G110" s="17">
        <v>83.162000000000006</v>
      </c>
      <c r="H110" s="17">
        <v>82.21</v>
      </c>
      <c r="I110" s="17">
        <v>41.494</v>
      </c>
      <c r="J110" s="17">
        <v>40.637999999999998</v>
      </c>
      <c r="K110" s="17">
        <v>64.141000000000005</v>
      </c>
    </row>
    <row r="111" spans="2:11" x14ac:dyDescent="0.2">
      <c r="B111" s="17">
        <v>3.7</v>
      </c>
      <c r="C111" s="17">
        <v>90.001000000000005</v>
      </c>
      <c r="D111" s="17">
        <v>97.623000000000005</v>
      </c>
      <c r="E111" s="17">
        <v>82.716999999999999</v>
      </c>
      <c r="F111" s="17">
        <v>78.864000000000004</v>
      </c>
      <c r="G111" s="17">
        <v>83.046999999999997</v>
      </c>
      <c r="H111" s="17">
        <v>82.186999999999998</v>
      </c>
      <c r="I111" s="17">
        <v>41.423000000000002</v>
      </c>
      <c r="J111" s="17">
        <v>40.457000000000001</v>
      </c>
      <c r="K111" s="17">
        <v>64.066000000000003</v>
      </c>
    </row>
    <row r="112" spans="2:11" x14ac:dyDescent="0.2">
      <c r="B112" s="17">
        <v>3.7166666666666668</v>
      </c>
      <c r="C112" s="17">
        <v>89.837999999999994</v>
      </c>
      <c r="D112" s="17">
        <v>97.471999999999994</v>
      </c>
      <c r="E112" s="17">
        <v>82.873000000000005</v>
      </c>
      <c r="F112" s="17">
        <v>78.834000000000003</v>
      </c>
      <c r="G112" s="17">
        <v>82.994</v>
      </c>
      <c r="H112" s="17">
        <v>82.081000000000003</v>
      </c>
      <c r="I112" s="17">
        <v>41.335999999999999</v>
      </c>
      <c r="J112" s="17">
        <v>40.420999999999999</v>
      </c>
      <c r="K112" s="17">
        <v>63.963000000000001</v>
      </c>
    </row>
    <row r="113" spans="2:11" x14ac:dyDescent="0.2">
      <c r="B113" s="17">
        <v>3.7333333333333334</v>
      </c>
      <c r="C113" s="17">
        <v>89.807000000000002</v>
      </c>
      <c r="D113" s="17">
        <v>97.433000000000007</v>
      </c>
      <c r="E113" s="17">
        <v>82.733000000000004</v>
      </c>
      <c r="F113" s="17">
        <v>78.869</v>
      </c>
      <c r="G113" s="17">
        <v>82.945999999999998</v>
      </c>
      <c r="H113" s="17">
        <v>81.944000000000003</v>
      </c>
      <c r="I113" s="17">
        <v>41.2</v>
      </c>
      <c r="J113" s="17">
        <v>40.262999999999998</v>
      </c>
      <c r="K113" s="17">
        <v>63.79</v>
      </c>
    </row>
    <row r="114" spans="2:11" x14ac:dyDescent="0.2">
      <c r="B114" s="17">
        <v>3.75</v>
      </c>
      <c r="C114" s="17">
        <v>89.564999999999998</v>
      </c>
      <c r="D114" s="17">
        <v>97.394000000000005</v>
      </c>
      <c r="E114" s="17">
        <v>82.665000000000006</v>
      </c>
      <c r="F114" s="17">
        <v>78.825999999999993</v>
      </c>
      <c r="G114" s="17">
        <v>82.843999999999994</v>
      </c>
      <c r="H114" s="17">
        <v>81.866</v>
      </c>
      <c r="I114" s="17">
        <v>41.16</v>
      </c>
      <c r="J114" s="17">
        <v>40.183</v>
      </c>
      <c r="K114" s="17">
        <v>63.744999999999997</v>
      </c>
    </row>
    <row r="115" spans="2:11" x14ac:dyDescent="0.2">
      <c r="B115" s="17">
        <v>3.7666666666666666</v>
      </c>
      <c r="C115" s="17">
        <v>89.525000000000006</v>
      </c>
      <c r="D115" s="17">
        <v>97.21</v>
      </c>
      <c r="E115" s="17">
        <v>82.525000000000006</v>
      </c>
      <c r="F115" s="17">
        <v>78.683999999999997</v>
      </c>
      <c r="G115" s="17">
        <v>82.697000000000003</v>
      </c>
      <c r="H115" s="17">
        <v>81.656000000000006</v>
      </c>
      <c r="I115" s="17">
        <v>41.052</v>
      </c>
      <c r="J115" s="17">
        <v>40.030999999999999</v>
      </c>
      <c r="K115" s="17">
        <v>63.698999999999998</v>
      </c>
    </row>
    <row r="116" spans="2:11" x14ac:dyDescent="0.2">
      <c r="B116" s="17">
        <v>3.7833333333333332</v>
      </c>
      <c r="C116" s="17">
        <v>89.408000000000001</v>
      </c>
      <c r="D116" s="17">
        <v>96.975999999999999</v>
      </c>
      <c r="E116" s="17">
        <v>82.491</v>
      </c>
      <c r="F116" s="17">
        <v>78.688999999999993</v>
      </c>
      <c r="G116" s="17">
        <v>82.656000000000006</v>
      </c>
      <c r="H116" s="17">
        <v>81.516000000000005</v>
      </c>
      <c r="I116" s="17">
        <v>40.957000000000001</v>
      </c>
      <c r="J116" s="17">
        <v>39.982999999999997</v>
      </c>
      <c r="K116" s="17">
        <v>63.463000000000001</v>
      </c>
    </row>
    <row r="117" spans="2:11" x14ac:dyDescent="0.2">
      <c r="B117" s="17">
        <v>3.8</v>
      </c>
      <c r="C117" s="17">
        <v>89.378</v>
      </c>
      <c r="D117" s="17">
        <v>96.929000000000002</v>
      </c>
      <c r="E117" s="17">
        <v>82.29</v>
      </c>
      <c r="F117" s="17">
        <v>78.695999999999998</v>
      </c>
      <c r="G117" s="17">
        <v>82.438999999999993</v>
      </c>
      <c r="H117" s="17">
        <v>81.652000000000001</v>
      </c>
      <c r="I117" s="17">
        <v>40.844000000000001</v>
      </c>
      <c r="J117" s="17">
        <v>39.677999999999997</v>
      </c>
      <c r="K117" s="17">
        <v>63.466000000000001</v>
      </c>
    </row>
    <row r="118" spans="2:11" x14ac:dyDescent="0.2">
      <c r="B118" s="17">
        <v>3.8166666666666669</v>
      </c>
      <c r="C118" s="17">
        <v>89.251000000000005</v>
      </c>
      <c r="D118" s="17">
        <v>96.751999999999995</v>
      </c>
      <c r="E118" s="17">
        <v>82.236000000000004</v>
      </c>
      <c r="F118" s="17">
        <v>78.186000000000007</v>
      </c>
      <c r="G118" s="17">
        <v>82.533000000000001</v>
      </c>
      <c r="H118" s="17">
        <v>81.67</v>
      </c>
      <c r="I118" s="17">
        <v>40.725000000000001</v>
      </c>
      <c r="J118" s="17">
        <v>39.558</v>
      </c>
      <c r="K118" s="17">
        <v>63.363</v>
      </c>
    </row>
    <row r="119" spans="2:11" x14ac:dyDescent="0.2">
      <c r="B119" s="17">
        <v>3.8333333333333335</v>
      </c>
      <c r="C119" s="17">
        <v>89.036000000000001</v>
      </c>
      <c r="D119" s="17">
        <v>96.504999999999995</v>
      </c>
      <c r="E119" s="17">
        <v>81.998999999999995</v>
      </c>
      <c r="F119" s="17">
        <v>77.813000000000002</v>
      </c>
      <c r="G119" s="17">
        <v>82.403999999999996</v>
      </c>
      <c r="H119" s="17">
        <v>81.44</v>
      </c>
      <c r="I119" s="17">
        <v>40.665999999999997</v>
      </c>
      <c r="J119" s="17">
        <v>39.499000000000002</v>
      </c>
      <c r="K119" s="17">
        <v>63.237000000000002</v>
      </c>
    </row>
    <row r="120" spans="2:11" x14ac:dyDescent="0.2">
      <c r="B120" s="17">
        <v>3.85</v>
      </c>
      <c r="C120" s="17">
        <v>88.909000000000006</v>
      </c>
      <c r="D120" s="17">
        <v>96.459000000000003</v>
      </c>
      <c r="E120" s="17">
        <v>81.867000000000004</v>
      </c>
      <c r="F120" s="17">
        <v>77.257999999999996</v>
      </c>
      <c r="G120" s="17">
        <v>82.200999999999993</v>
      </c>
      <c r="H120" s="17">
        <v>81.319000000000003</v>
      </c>
      <c r="I120" s="17">
        <v>40.552999999999997</v>
      </c>
      <c r="J120" s="17">
        <v>39.363999999999997</v>
      </c>
      <c r="K120" s="17">
        <v>63.142000000000003</v>
      </c>
    </row>
    <row r="121" spans="2:11" x14ac:dyDescent="0.2">
      <c r="B121" s="17">
        <v>3.8666666666666667</v>
      </c>
      <c r="C121" s="17">
        <v>88.793000000000006</v>
      </c>
      <c r="D121" s="17">
        <v>96.426000000000002</v>
      </c>
      <c r="E121" s="17">
        <v>81.962000000000003</v>
      </c>
      <c r="F121" s="17">
        <v>77.478999999999999</v>
      </c>
      <c r="G121" s="17">
        <v>82.031000000000006</v>
      </c>
      <c r="H121" s="17">
        <v>81.162000000000006</v>
      </c>
      <c r="I121" s="17">
        <v>40.459000000000003</v>
      </c>
      <c r="J121" s="17">
        <v>39.225999999999999</v>
      </c>
      <c r="K121" s="17">
        <v>63.173999999999999</v>
      </c>
    </row>
    <row r="122" spans="2:11" x14ac:dyDescent="0.2">
      <c r="B122" s="17">
        <v>3.8833333333333333</v>
      </c>
      <c r="C122" s="17">
        <v>88.856999999999999</v>
      </c>
      <c r="D122" s="17">
        <v>96.251000000000005</v>
      </c>
      <c r="E122" s="17">
        <v>81.918000000000006</v>
      </c>
      <c r="F122" s="17">
        <v>77.176000000000002</v>
      </c>
      <c r="G122" s="17">
        <v>82.224000000000004</v>
      </c>
      <c r="H122" s="17">
        <v>81.165999999999997</v>
      </c>
      <c r="I122" s="17">
        <v>40.329000000000001</v>
      </c>
      <c r="J122" s="17">
        <v>39.072000000000003</v>
      </c>
      <c r="K122" s="17">
        <v>62.935000000000002</v>
      </c>
    </row>
    <row r="123" spans="2:11" x14ac:dyDescent="0.2">
      <c r="B123" s="17">
        <v>3.9</v>
      </c>
      <c r="C123" s="17">
        <v>88.728999999999999</v>
      </c>
      <c r="D123" s="17">
        <v>96.075000000000003</v>
      </c>
      <c r="E123" s="17">
        <v>81.78</v>
      </c>
      <c r="F123" s="17">
        <v>77.138999999999996</v>
      </c>
      <c r="G123" s="17">
        <v>81.88</v>
      </c>
      <c r="H123" s="17">
        <v>81.055999999999997</v>
      </c>
      <c r="I123" s="17">
        <v>40.206000000000003</v>
      </c>
      <c r="J123" s="17">
        <v>38.908999999999999</v>
      </c>
      <c r="K123" s="17">
        <v>62.86</v>
      </c>
    </row>
    <row r="124" spans="2:11" x14ac:dyDescent="0.2">
      <c r="B124" s="17">
        <v>3.9166666666666665</v>
      </c>
      <c r="C124" s="17">
        <v>88.893000000000001</v>
      </c>
      <c r="D124" s="17">
        <v>96.129000000000005</v>
      </c>
      <c r="E124" s="17">
        <v>81.75</v>
      </c>
      <c r="F124" s="17">
        <v>76.897000000000006</v>
      </c>
      <c r="G124" s="17">
        <v>81.674000000000007</v>
      </c>
      <c r="H124" s="17">
        <v>81.013999999999996</v>
      </c>
      <c r="I124" s="17">
        <v>40.104999999999997</v>
      </c>
      <c r="J124" s="17">
        <v>38.799999999999997</v>
      </c>
      <c r="K124" s="17">
        <v>62.762999999999998</v>
      </c>
    </row>
    <row r="125" spans="2:11" x14ac:dyDescent="0.2">
      <c r="B125" s="17">
        <v>3.9333333333333331</v>
      </c>
      <c r="C125" s="17">
        <v>88.445999999999998</v>
      </c>
      <c r="D125" s="17">
        <v>95.923000000000002</v>
      </c>
      <c r="E125" s="17">
        <v>81.548000000000002</v>
      </c>
      <c r="F125" s="17">
        <v>76.858000000000004</v>
      </c>
      <c r="G125" s="17">
        <v>81.736000000000004</v>
      </c>
      <c r="H125" s="17">
        <v>80.813999999999993</v>
      </c>
      <c r="I125" s="17">
        <v>40.033999999999999</v>
      </c>
      <c r="J125" s="17">
        <v>38.659999999999997</v>
      </c>
      <c r="K125" s="17">
        <v>62.680999999999997</v>
      </c>
    </row>
    <row r="126" spans="2:11" x14ac:dyDescent="0.2">
      <c r="B126" s="17">
        <v>3.95</v>
      </c>
      <c r="C126" s="17">
        <v>88.34</v>
      </c>
      <c r="D126" s="17">
        <v>95.587999999999994</v>
      </c>
      <c r="E126" s="17">
        <v>81.575000000000003</v>
      </c>
      <c r="F126" s="17">
        <v>76.277000000000001</v>
      </c>
      <c r="G126" s="17">
        <v>81.686999999999998</v>
      </c>
      <c r="H126" s="17">
        <v>80.703000000000003</v>
      </c>
      <c r="I126" s="17">
        <v>39.909999999999997</v>
      </c>
      <c r="J126" s="17">
        <v>38.540999999999997</v>
      </c>
      <c r="K126" s="17">
        <v>62.575000000000003</v>
      </c>
    </row>
    <row r="127" spans="2:11" x14ac:dyDescent="0.2">
      <c r="B127" s="17">
        <v>3.9666666666666668</v>
      </c>
      <c r="C127" s="17">
        <v>88.102999999999994</v>
      </c>
      <c r="D127" s="17">
        <v>95.713999999999999</v>
      </c>
      <c r="E127" s="17">
        <v>81.391000000000005</v>
      </c>
      <c r="F127" s="17">
        <v>76.197999999999993</v>
      </c>
      <c r="G127" s="17">
        <v>81.376000000000005</v>
      </c>
      <c r="H127" s="17">
        <v>80.665999999999997</v>
      </c>
      <c r="I127" s="17">
        <v>39.853000000000002</v>
      </c>
      <c r="J127" s="17">
        <v>38.481000000000002</v>
      </c>
      <c r="K127" s="17">
        <v>62.481000000000002</v>
      </c>
    </row>
    <row r="128" spans="2:11" x14ac:dyDescent="0.2">
      <c r="B128" s="17">
        <v>3.9833333333333334</v>
      </c>
      <c r="C128" s="17">
        <v>87.956999999999994</v>
      </c>
      <c r="D128" s="17">
        <v>95.501000000000005</v>
      </c>
      <c r="E128" s="17">
        <v>81.322999999999993</v>
      </c>
      <c r="F128" s="17">
        <v>76.099999999999994</v>
      </c>
      <c r="G128" s="17">
        <v>81.384</v>
      </c>
      <c r="H128" s="17">
        <v>80.703999999999994</v>
      </c>
      <c r="I128" s="17">
        <v>39.750999999999998</v>
      </c>
      <c r="J128" s="17">
        <v>38.337000000000003</v>
      </c>
      <c r="K128" s="17">
        <v>62.314999999999998</v>
      </c>
    </row>
    <row r="129" spans="2:11" x14ac:dyDescent="0.2">
      <c r="B129" s="17">
        <v>4</v>
      </c>
      <c r="C129" s="17">
        <v>87.917000000000002</v>
      </c>
      <c r="D129" s="17">
        <v>95.513000000000005</v>
      </c>
      <c r="E129" s="17">
        <v>81.200999999999993</v>
      </c>
      <c r="F129" s="17">
        <v>76.141999999999996</v>
      </c>
      <c r="G129" s="17">
        <v>81.322000000000003</v>
      </c>
      <c r="H129" s="17">
        <v>80.48</v>
      </c>
      <c r="I129" s="17">
        <v>39.649000000000001</v>
      </c>
      <c r="J129" s="17">
        <v>38.210999999999999</v>
      </c>
      <c r="K129" s="17">
        <v>62.262999999999998</v>
      </c>
    </row>
    <row r="130" spans="2:11" x14ac:dyDescent="0.2">
      <c r="B130" s="17">
        <v>4.0166666666666666</v>
      </c>
      <c r="C130" s="17">
        <v>87.769000000000005</v>
      </c>
      <c r="D130" s="17">
        <v>95.349000000000004</v>
      </c>
      <c r="E130" s="17">
        <v>81.210999999999999</v>
      </c>
      <c r="F130" s="17">
        <v>76.001000000000005</v>
      </c>
      <c r="G130" s="17">
        <v>81.120999999999995</v>
      </c>
      <c r="H130" s="17">
        <v>80.414000000000001</v>
      </c>
      <c r="I130" s="17">
        <v>39.555999999999997</v>
      </c>
      <c r="J130" s="17">
        <v>38.116</v>
      </c>
      <c r="K130" s="17">
        <v>62.161000000000001</v>
      </c>
    </row>
    <row r="131" spans="2:11" x14ac:dyDescent="0.2">
      <c r="B131" s="17">
        <v>4.0333333333333332</v>
      </c>
      <c r="C131" s="17">
        <v>87.679000000000002</v>
      </c>
      <c r="D131" s="17">
        <v>95.15</v>
      </c>
      <c r="E131" s="17">
        <v>81.037999999999997</v>
      </c>
      <c r="F131" s="17">
        <v>75.891000000000005</v>
      </c>
      <c r="G131" s="17">
        <v>81.114999999999995</v>
      </c>
      <c r="H131" s="17">
        <v>80.221000000000004</v>
      </c>
      <c r="I131" s="17">
        <v>39.49</v>
      </c>
      <c r="J131" s="17">
        <v>37.972000000000001</v>
      </c>
      <c r="K131" s="17">
        <v>62.072000000000003</v>
      </c>
    </row>
    <row r="132" spans="2:11" x14ac:dyDescent="0.2">
      <c r="B132" s="17">
        <v>4.05</v>
      </c>
      <c r="C132" s="17">
        <v>87.551000000000002</v>
      </c>
      <c r="D132" s="17">
        <v>95.143000000000001</v>
      </c>
      <c r="E132" s="17">
        <v>80.944000000000003</v>
      </c>
      <c r="F132" s="17">
        <v>76.040000000000006</v>
      </c>
      <c r="G132" s="17">
        <v>80.927999999999997</v>
      </c>
      <c r="H132" s="17">
        <v>80.260999999999996</v>
      </c>
      <c r="I132" s="17">
        <v>39.363</v>
      </c>
      <c r="J132" s="17">
        <v>37.814999999999998</v>
      </c>
      <c r="K132" s="17">
        <v>62.027000000000001</v>
      </c>
    </row>
    <row r="133" spans="2:11" x14ac:dyDescent="0.2">
      <c r="B133" s="17">
        <v>4.0666666666666664</v>
      </c>
      <c r="C133" s="17">
        <v>87.49</v>
      </c>
      <c r="D133" s="17">
        <v>94.762</v>
      </c>
      <c r="E133" s="17">
        <v>80.834000000000003</v>
      </c>
      <c r="F133" s="17">
        <v>75.572000000000003</v>
      </c>
      <c r="G133" s="17">
        <v>81.040000000000006</v>
      </c>
      <c r="H133" s="17">
        <v>80.221000000000004</v>
      </c>
      <c r="I133" s="17">
        <v>39.277999999999999</v>
      </c>
      <c r="J133" s="17">
        <v>37.777000000000001</v>
      </c>
      <c r="K133" s="17">
        <v>61.981000000000002</v>
      </c>
    </row>
    <row r="134" spans="2:11" x14ac:dyDescent="0.2">
      <c r="B134" s="17">
        <v>4.083333333333333</v>
      </c>
      <c r="C134" s="17">
        <v>87.372</v>
      </c>
      <c r="D134" s="17">
        <v>94.686999999999998</v>
      </c>
      <c r="E134" s="17">
        <v>80.83</v>
      </c>
      <c r="F134" s="17">
        <v>75.768000000000001</v>
      </c>
      <c r="G134" s="17">
        <v>80.995000000000005</v>
      </c>
      <c r="H134" s="17">
        <v>80.013000000000005</v>
      </c>
      <c r="I134" s="17">
        <v>39.173000000000002</v>
      </c>
      <c r="J134" s="17">
        <v>37.616999999999997</v>
      </c>
      <c r="K134" s="17">
        <v>61.837000000000003</v>
      </c>
    </row>
    <row r="135" spans="2:11" x14ac:dyDescent="0.2">
      <c r="B135" s="17">
        <v>4.0999999999999996</v>
      </c>
      <c r="C135" s="17">
        <v>87.281000000000006</v>
      </c>
      <c r="D135" s="17">
        <v>94.311000000000007</v>
      </c>
      <c r="E135" s="17">
        <v>80.626000000000005</v>
      </c>
      <c r="F135" s="17">
        <v>75.55</v>
      </c>
      <c r="G135" s="17">
        <v>80.915000000000006</v>
      </c>
      <c r="H135" s="17">
        <v>79.905000000000001</v>
      </c>
      <c r="I135" s="17">
        <v>39.070999999999998</v>
      </c>
      <c r="J135" s="17">
        <v>37.524000000000001</v>
      </c>
      <c r="K135" s="17">
        <v>61.725999999999999</v>
      </c>
    </row>
    <row r="136" spans="2:11" x14ac:dyDescent="0.2">
      <c r="B136" s="17">
        <v>4.1166666666666663</v>
      </c>
      <c r="C136" s="17">
        <v>87.114999999999995</v>
      </c>
      <c r="D136" s="17">
        <v>94.444000000000003</v>
      </c>
      <c r="E136" s="17">
        <v>80.272999999999996</v>
      </c>
      <c r="F136" s="17">
        <v>75.421999999999997</v>
      </c>
      <c r="G136" s="17">
        <v>80.537999999999997</v>
      </c>
      <c r="H136" s="17">
        <v>79.738</v>
      </c>
      <c r="I136" s="17">
        <v>38.953000000000003</v>
      </c>
      <c r="J136" s="17">
        <v>37.421999999999997</v>
      </c>
      <c r="K136" s="17">
        <v>61.591000000000001</v>
      </c>
    </row>
    <row r="137" spans="2:11" x14ac:dyDescent="0.2">
      <c r="B137" s="17">
        <v>4.1333333333333337</v>
      </c>
      <c r="C137" s="17">
        <v>86.974999999999994</v>
      </c>
      <c r="D137" s="17">
        <v>94.626000000000005</v>
      </c>
      <c r="E137" s="17">
        <v>80.304000000000002</v>
      </c>
      <c r="F137" s="17">
        <v>75.287000000000006</v>
      </c>
      <c r="G137" s="17">
        <v>80.513000000000005</v>
      </c>
      <c r="H137" s="17">
        <v>79.722999999999999</v>
      </c>
      <c r="I137" s="17">
        <v>38.853000000000002</v>
      </c>
      <c r="J137" s="17">
        <v>37.295000000000002</v>
      </c>
      <c r="K137" s="17">
        <v>61.524999999999999</v>
      </c>
    </row>
    <row r="138" spans="2:11" x14ac:dyDescent="0.2">
      <c r="B138" s="17">
        <v>4.1500000000000004</v>
      </c>
      <c r="C138" s="17">
        <v>86.902000000000001</v>
      </c>
      <c r="D138" s="17">
        <v>94.206999999999994</v>
      </c>
      <c r="E138" s="17">
        <v>80.304000000000002</v>
      </c>
      <c r="F138" s="17">
        <v>75.2</v>
      </c>
      <c r="G138" s="17">
        <v>80.417000000000002</v>
      </c>
      <c r="H138" s="17">
        <v>79.697000000000003</v>
      </c>
      <c r="I138" s="17">
        <v>38.76</v>
      </c>
      <c r="J138" s="17">
        <v>37.143999999999998</v>
      </c>
      <c r="K138" s="17">
        <v>61.395000000000003</v>
      </c>
    </row>
    <row r="139" spans="2:11" x14ac:dyDescent="0.2">
      <c r="B139" s="17">
        <v>4.166666666666667</v>
      </c>
      <c r="C139" s="17">
        <v>86.697999999999993</v>
      </c>
      <c r="D139" s="17">
        <v>94.091999999999999</v>
      </c>
      <c r="E139" s="17">
        <v>80.084000000000003</v>
      </c>
      <c r="F139" s="17">
        <v>75.055999999999997</v>
      </c>
      <c r="G139" s="17">
        <v>80.284000000000006</v>
      </c>
      <c r="H139" s="17">
        <v>79.628</v>
      </c>
      <c r="I139" s="17">
        <v>38.591000000000001</v>
      </c>
      <c r="J139" s="17">
        <v>36.932000000000002</v>
      </c>
      <c r="K139" s="17">
        <v>61.341000000000001</v>
      </c>
    </row>
    <row r="140" spans="2:11" x14ac:dyDescent="0.2">
      <c r="B140" s="17">
        <v>4.1833333333333336</v>
      </c>
      <c r="C140" s="17">
        <v>86.656999999999996</v>
      </c>
      <c r="D140" s="17">
        <v>93.510999999999996</v>
      </c>
      <c r="E140" s="17">
        <v>80.078000000000003</v>
      </c>
      <c r="F140" s="17">
        <v>75.084000000000003</v>
      </c>
      <c r="G140" s="17">
        <v>80.284999999999997</v>
      </c>
      <c r="H140" s="17">
        <v>79.659000000000006</v>
      </c>
      <c r="I140" s="17">
        <v>38.502000000000002</v>
      </c>
      <c r="J140" s="17">
        <v>36.860999999999997</v>
      </c>
      <c r="K140" s="17">
        <v>61.201000000000001</v>
      </c>
    </row>
    <row r="141" spans="2:11" x14ac:dyDescent="0.2">
      <c r="B141" s="17">
        <v>4.2</v>
      </c>
      <c r="C141" s="17">
        <v>86.495999999999995</v>
      </c>
      <c r="D141" s="17">
        <v>93.814999999999998</v>
      </c>
      <c r="E141" s="17">
        <v>79.932000000000002</v>
      </c>
      <c r="F141" s="17">
        <v>74.924999999999997</v>
      </c>
      <c r="G141" s="17">
        <v>80.257000000000005</v>
      </c>
      <c r="H141" s="17">
        <v>79.397000000000006</v>
      </c>
      <c r="I141" s="17">
        <v>38.351999999999997</v>
      </c>
      <c r="J141" s="17">
        <v>36.814999999999998</v>
      </c>
      <c r="K141" s="17">
        <v>61.107999999999997</v>
      </c>
    </row>
    <row r="142" spans="2:11" x14ac:dyDescent="0.2">
      <c r="B142" s="17">
        <v>4.2166666666666668</v>
      </c>
      <c r="C142" s="17">
        <v>86.465000000000003</v>
      </c>
      <c r="D142" s="17">
        <v>93.418999999999997</v>
      </c>
      <c r="E142" s="17">
        <v>79.671999999999997</v>
      </c>
      <c r="F142" s="17">
        <v>74.944999999999993</v>
      </c>
      <c r="G142" s="17">
        <v>80.156999999999996</v>
      </c>
      <c r="H142" s="17">
        <v>79.317999999999998</v>
      </c>
      <c r="I142" s="17">
        <v>38.247</v>
      </c>
      <c r="J142" s="17">
        <v>36.677999999999997</v>
      </c>
      <c r="K142" s="17">
        <v>61.017000000000003</v>
      </c>
    </row>
    <row r="143" spans="2:11" x14ac:dyDescent="0.2">
      <c r="B143" s="17">
        <v>4.2333333333333334</v>
      </c>
      <c r="C143" s="17">
        <v>86.281999999999996</v>
      </c>
      <c r="D143" s="17">
        <v>93.600999999999999</v>
      </c>
      <c r="E143" s="17">
        <v>79.760999999999996</v>
      </c>
      <c r="F143" s="17">
        <v>74.619</v>
      </c>
      <c r="G143" s="17">
        <v>80.043000000000006</v>
      </c>
      <c r="H143" s="17">
        <v>79.355999999999995</v>
      </c>
      <c r="I143" s="17">
        <v>38.073999999999998</v>
      </c>
      <c r="J143" s="17">
        <v>36.576999999999998</v>
      </c>
      <c r="K143" s="17">
        <v>60.942</v>
      </c>
    </row>
    <row r="144" spans="2:11" x14ac:dyDescent="0.2">
      <c r="B144" s="17">
        <v>4.25</v>
      </c>
      <c r="C144" s="17">
        <v>86.113</v>
      </c>
      <c r="D144" s="17">
        <v>93.275000000000006</v>
      </c>
      <c r="E144" s="17">
        <v>79.674999999999997</v>
      </c>
      <c r="F144" s="17">
        <v>74.635000000000005</v>
      </c>
      <c r="G144" s="17">
        <v>79.837000000000003</v>
      </c>
      <c r="H144" s="17">
        <v>79.308000000000007</v>
      </c>
      <c r="I144" s="17">
        <v>37.981999999999999</v>
      </c>
      <c r="J144" s="17">
        <v>36.520000000000003</v>
      </c>
      <c r="K144" s="17">
        <v>60.816000000000003</v>
      </c>
    </row>
    <row r="145" spans="2:11" x14ac:dyDescent="0.2">
      <c r="B145" s="17">
        <v>4.2666666666666666</v>
      </c>
      <c r="C145" s="17">
        <v>86</v>
      </c>
      <c r="D145" s="17">
        <v>93.361000000000004</v>
      </c>
      <c r="E145" s="17">
        <v>79.460999999999999</v>
      </c>
      <c r="F145" s="17">
        <v>74.537000000000006</v>
      </c>
      <c r="G145" s="17">
        <v>79.826999999999998</v>
      </c>
      <c r="H145" s="17">
        <v>79.212000000000003</v>
      </c>
      <c r="I145" s="17">
        <v>37.859000000000002</v>
      </c>
      <c r="J145" s="17">
        <v>36.316000000000003</v>
      </c>
      <c r="K145" s="17">
        <v>60.765000000000001</v>
      </c>
    </row>
    <row r="146" spans="2:11" x14ac:dyDescent="0.2">
      <c r="B146" s="17">
        <v>4.2833333333333332</v>
      </c>
      <c r="C146" s="17">
        <v>85.822999999999993</v>
      </c>
      <c r="D146" s="17">
        <v>92.938000000000002</v>
      </c>
      <c r="E146" s="17">
        <v>79.409000000000006</v>
      </c>
      <c r="F146" s="17">
        <v>74.388000000000005</v>
      </c>
      <c r="G146" s="17">
        <v>79.588999999999999</v>
      </c>
      <c r="H146" s="17">
        <v>79.02</v>
      </c>
      <c r="I146" s="17">
        <v>37.744</v>
      </c>
      <c r="J146" s="17">
        <v>36.280999999999999</v>
      </c>
      <c r="K146" s="17">
        <v>60.661999999999999</v>
      </c>
    </row>
    <row r="147" spans="2:11" x14ac:dyDescent="0.2">
      <c r="B147" s="17">
        <v>4.3</v>
      </c>
      <c r="C147" s="17">
        <v>85.747</v>
      </c>
      <c r="D147" s="17">
        <v>92.942999999999998</v>
      </c>
      <c r="E147" s="17">
        <v>79.305999999999997</v>
      </c>
      <c r="F147" s="17">
        <v>74.281999999999996</v>
      </c>
      <c r="G147" s="17">
        <v>79.677000000000007</v>
      </c>
      <c r="H147" s="17">
        <v>78.864999999999995</v>
      </c>
      <c r="I147" s="17">
        <v>37.625999999999998</v>
      </c>
      <c r="J147" s="17">
        <v>36.154000000000003</v>
      </c>
      <c r="K147" s="17">
        <v>60.536999999999999</v>
      </c>
    </row>
    <row r="148" spans="2:11" x14ac:dyDescent="0.2">
      <c r="B148" s="17">
        <v>4.3166666666666664</v>
      </c>
      <c r="C148" s="17">
        <v>85.7</v>
      </c>
      <c r="D148" s="17">
        <v>92.93</v>
      </c>
      <c r="E148" s="17">
        <v>79.12</v>
      </c>
      <c r="F148" s="17">
        <v>74.173000000000002</v>
      </c>
      <c r="G148" s="17">
        <v>79.254000000000005</v>
      </c>
      <c r="H148" s="17">
        <v>78.742000000000004</v>
      </c>
      <c r="I148" s="17">
        <v>37.514000000000003</v>
      </c>
      <c r="J148" s="17">
        <v>36.075000000000003</v>
      </c>
      <c r="K148" s="17">
        <v>60.466000000000001</v>
      </c>
    </row>
    <row r="149" spans="2:11" x14ac:dyDescent="0.2">
      <c r="B149" s="17">
        <v>4.333333333333333</v>
      </c>
      <c r="C149" s="17">
        <v>85.501000000000005</v>
      </c>
      <c r="D149" s="17">
        <v>92.301000000000002</v>
      </c>
      <c r="E149" s="17">
        <v>79.150000000000006</v>
      </c>
      <c r="F149" s="17">
        <v>74.040999999999997</v>
      </c>
      <c r="G149" s="17">
        <v>79.483999999999995</v>
      </c>
      <c r="H149" s="17">
        <v>78.811999999999998</v>
      </c>
      <c r="I149" s="17">
        <v>37.353000000000002</v>
      </c>
      <c r="J149" s="17">
        <v>35.929000000000002</v>
      </c>
      <c r="K149" s="17">
        <v>60.289000000000001</v>
      </c>
    </row>
    <row r="150" spans="2:11" x14ac:dyDescent="0.2">
      <c r="B150" s="17">
        <v>4.3499999999999996</v>
      </c>
      <c r="C150" s="17">
        <v>85.450999999999993</v>
      </c>
      <c r="D150" s="17">
        <v>92.733999999999995</v>
      </c>
      <c r="E150" s="17">
        <v>78.953999999999994</v>
      </c>
      <c r="F150" s="17">
        <v>73.923000000000002</v>
      </c>
      <c r="G150" s="17">
        <v>79.191999999999993</v>
      </c>
      <c r="H150" s="17">
        <v>78.528999999999996</v>
      </c>
      <c r="I150" s="17">
        <v>37.277999999999999</v>
      </c>
      <c r="J150" s="17">
        <v>35.887</v>
      </c>
      <c r="K150" s="17">
        <v>60.234999999999999</v>
      </c>
    </row>
    <row r="151" spans="2:11" x14ac:dyDescent="0.2">
      <c r="B151" s="17">
        <v>4.3666666666666663</v>
      </c>
      <c r="C151" s="17">
        <v>85.292000000000002</v>
      </c>
      <c r="D151" s="17">
        <v>92.507000000000005</v>
      </c>
      <c r="E151" s="17">
        <v>78.938000000000002</v>
      </c>
      <c r="F151" s="17">
        <v>73.807000000000002</v>
      </c>
      <c r="G151" s="17">
        <v>79.126999999999995</v>
      </c>
      <c r="H151" s="17">
        <v>78.585999999999999</v>
      </c>
      <c r="I151" s="17">
        <v>37.212000000000003</v>
      </c>
      <c r="J151" s="17">
        <v>35.72</v>
      </c>
      <c r="K151" s="17">
        <v>60.158999999999999</v>
      </c>
    </row>
    <row r="152" spans="2:11" x14ac:dyDescent="0.2">
      <c r="B152" s="17">
        <v>4.3833333333333337</v>
      </c>
      <c r="C152" s="17">
        <v>85.165000000000006</v>
      </c>
      <c r="D152" s="17">
        <v>92.394999999999996</v>
      </c>
      <c r="E152" s="17">
        <v>78.789000000000001</v>
      </c>
      <c r="F152" s="17">
        <v>73.73</v>
      </c>
      <c r="G152" s="17">
        <v>79.207999999999998</v>
      </c>
      <c r="H152" s="17">
        <v>78.38</v>
      </c>
      <c r="I152" s="17">
        <v>37.073</v>
      </c>
      <c r="J152" s="17">
        <v>35.61</v>
      </c>
      <c r="K152" s="17">
        <v>60.098999999999997</v>
      </c>
    </row>
    <row r="153" spans="2:11" x14ac:dyDescent="0.2">
      <c r="B153" s="17">
        <v>4.4000000000000004</v>
      </c>
      <c r="C153" s="17">
        <v>85.100999999999999</v>
      </c>
      <c r="D153" s="17">
        <v>92.203000000000003</v>
      </c>
      <c r="E153" s="17">
        <v>78.718000000000004</v>
      </c>
      <c r="F153" s="17">
        <v>73.965000000000003</v>
      </c>
      <c r="G153" s="17">
        <v>79.004999999999995</v>
      </c>
      <c r="H153" s="17">
        <v>78.298000000000002</v>
      </c>
      <c r="I153" s="17">
        <v>36.981999999999999</v>
      </c>
      <c r="J153" s="17">
        <v>35.536999999999999</v>
      </c>
      <c r="K153" s="17">
        <v>60.014000000000003</v>
      </c>
    </row>
    <row r="154" spans="2:11" x14ac:dyDescent="0.2">
      <c r="B154" s="17">
        <v>4.416666666666667</v>
      </c>
      <c r="C154" s="17">
        <v>85.078999999999994</v>
      </c>
      <c r="D154" s="17">
        <v>92.114000000000004</v>
      </c>
      <c r="E154" s="17">
        <v>78.588999999999999</v>
      </c>
      <c r="F154" s="17">
        <v>73.561000000000007</v>
      </c>
      <c r="G154" s="17">
        <v>78.941000000000003</v>
      </c>
      <c r="H154" s="17">
        <v>78.102999999999994</v>
      </c>
      <c r="I154" s="17">
        <v>36.865000000000002</v>
      </c>
      <c r="J154" s="17">
        <v>35.417000000000002</v>
      </c>
      <c r="K154" s="17">
        <v>59.901000000000003</v>
      </c>
    </row>
    <row r="155" spans="2:11" x14ac:dyDescent="0.2">
      <c r="B155" s="17">
        <v>4.4333333333333336</v>
      </c>
      <c r="C155" s="17">
        <v>84.885000000000005</v>
      </c>
      <c r="D155" s="17">
        <v>91.856999999999999</v>
      </c>
      <c r="E155" s="17">
        <v>78.367999999999995</v>
      </c>
      <c r="F155" s="17">
        <v>73.263000000000005</v>
      </c>
      <c r="G155" s="17">
        <v>78.712000000000003</v>
      </c>
      <c r="H155" s="17">
        <v>77.968000000000004</v>
      </c>
      <c r="I155" s="17">
        <v>36.776000000000003</v>
      </c>
      <c r="J155" s="17">
        <v>35.276000000000003</v>
      </c>
      <c r="K155" s="17">
        <v>59.783000000000001</v>
      </c>
    </row>
    <row r="156" spans="2:11" x14ac:dyDescent="0.2">
      <c r="B156" s="17">
        <v>4.45</v>
      </c>
      <c r="C156" s="17">
        <v>84.850999999999999</v>
      </c>
      <c r="D156" s="17">
        <v>91.989000000000004</v>
      </c>
      <c r="E156" s="17">
        <v>78.433000000000007</v>
      </c>
      <c r="F156" s="17">
        <v>73.198999999999998</v>
      </c>
      <c r="G156" s="17">
        <v>78.91</v>
      </c>
      <c r="H156" s="17">
        <v>77.915000000000006</v>
      </c>
      <c r="I156" s="17">
        <v>36.652999999999999</v>
      </c>
      <c r="J156" s="17">
        <v>35.168999999999997</v>
      </c>
      <c r="K156" s="17">
        <v>59.715000000000003</v>
      </c>
    </row>
    <row r="157" spans="2:11" x14ac:dyDescent="0.2">
      <c r="B157" s="17">
        <v>4.4666666666666668</v>
      </c>
      <c r="C157" s="17">
        <v>84.671999999999997</v>
      </c>
      <c r="D157" s="17">
        <v>91.540999999999997</v>
      </c>
      <c r="E157" s="17">
        <v>78.268000000000001</v>
      </c>
      <c r="F157" s="17">
        <v>73.141999999999996</v>
      </c>
      <c r="G157" s="17">
        <v>78.483999999999995</v>
      </c>
      <c r="H157" s="17">
        <v>77.893000000000001</v>
      </c>
      <c r="I157" s="17">
        <v>36.543999999999997</v>
      </c>
      <c r="J157" s="17">
        <v>35.027999999999999</v>
      </c>
      <c r="K157" s="17">
        <v>59.673999999999999</v>
      </c>
    </row>
    <row r="158" spans="2:11" x14ac:dyDescent="0.2">
      <c r="B158" s="17">
        <v>4.4833333333333334</v>
      </c>
      <c r="C158" s="17">
        <v>84.603999999999999</v>
      </c>
      <c r="D158" s="17">
        <v>91.790999999999997</v>
      </c>
      <c r="E158" s="17">
        <v>78.215999999999994</v>
      </c>
      <c r="F158" s="17">
        <v>73.013000000000005</v>
      </c>
      <c r="G158" s="17">
        <v>78.563000000000002</v>
      </c>
      <c r="H158" s="17">
        <v>77.804000000000002</v>
      </c>
      <c r="I158" s="17">
        <v>36.390999999999998</v>
      </c>
      <c r="J158" s="17">
        <v>34.987000000000002</v>
      </c>
      <c r="K158" s="17">
        <v>59.411000000000001</v>
      </c>
    </row>
    <row r="159" spans="2:11" x14ac:dyDescent="0.2">
      <c r="B159" s="17">
        <v>4.5</v>
      </c>
      <c r="C159" s="17">
        <v>84.456999999999994</v>
      </c>
      <c r="D159" s="17">
        <v>91.462999999999994</v>
      </c>
      <c r="E159" s="17">
        <v>78.075000000000003</v>
      </c>
      <c r="F159" s="17">
        <v>72.867999999999995</v>
      </c>
      <c r="G159" s="17">
        <v>78.453000000000003</v>
      </c>
      <c r="H159" s="17">
        <v>77.608000000000004</v>
      </c>
      <c r="I159" s="17">
        <v>36.314999999999998</v>
      </c>
      <c r="J159" s="17">
        <v>34.82</v>
      </c>
      <c r="K159" s="17">
        <v>59.408000000000001</v>
      </c>
    </row>
    <row r="160" spans="2:11" x14ac:dyDescent="0.2">
      <c r="B160" s="17">
        <v>4.5166666666666666</v>
      </c>
      <c r="C160" s="17">
        <v>84.296000000000006</v>
      </c>
      <c r="D160" s="17">
        <v>91.338999999999999</v>
      </c>
      <c r="E160" s="17">
        <v>78.022999999999996</v>
      </c>
      <c r="F160" s="17">
        <v>72.725999999999999</v>
      </c>
      <c r="G160" s="17">
        <v>78.551000000000002</v>
      </c>
      <c r="H160" s="17">
        <v>77.507000000000005</v>
      </c>
      <c r="I160" s="17">
        <v>36.146999999999998</v>
      </c>
      <c r="J160" s="17">
        <v>34.750999999999998</v>
      </c>
      <c r="K160" s="17">
        <v>59.37</v>
      </c>
    </row>
    <row r="161" spans="2:11" x14ac:dyDescent="0.2">
      <c r="B161" s="17">
        <v>4.5333333333333332</v>
      </c>
      <c r="C161" s="17">
        <v>84.287000000000006</v>
      </c>
      <c r="D161" s="17">
        <v>91.308999999999997</v>
      </c>
      <c r="E161" s="17">
        <v>77.975999999999999</v>
      </c>
      <c r="F161" s="17">
        <v>72.682000000000002</v>
      </c>
      <c r="G161" s="17">
        <v>78.201999999999998</v>
      </c>
      <c r="H161" s="17">
        <v>77.384</v>
      </c>
      <c r="I161" s="17">
        <v>36.094999999999999</v>
      </c>
      <c r="J161" s="17">
        <v>34.610999999999997</v>
      </c>
      <c r="K161" s="17">
        <v>59.210999999999999</v>
      </c>
    </row>
    <row r="162" spans="2:11" x14ac:dyDescent="0.2">
      <c r="B162" s="17">
        <v>4.55</v>
      </c>
      <c r="C162" s="17">
        <v>84.150999999999996</v>
      </c>
      <c r="D162" s="17">
        <v>91.06</v>
      </c>
      <c r="E162" s="17">
        <v>77.709000000000003</v>
      </c>
      <c r="F162" s="17">
        <v>72.593999999999994</v>
      </c>
      <c r="G162" s="17">
        <v>78.094999999999999</v>
      </c>
      <c r="H162" s="17">
        <v>77.393000000000001</v>
      </c>
      <c r="I162" s="17">
        <v>35.948999999999998</v>
      </c>
      <c r="J162" s="17">
        <v>34.533999999999999</v>
      </c>
      <c r="K162" s="17">
        <v>59.185000000000002</v>
      </c>
    </row>
    <row r="163" spans="2:11" x14ac:dyDescent="0.2">
      <c r="B163" s="17">
        <v>4.5666666666666664</v>
      </c>
      <c r="C163" s="17">
        <v>84.093999999999994</v>
      </c>
      <c r="D163" s="17">
        <v>90.998000000000005</v>
      </c>
      <c r="E163" s="17">
        <v>77.8</v>
      </c>
      <c r="F163" s="17">
        <v>72.483000000000004</v>
      </c>
      <c r="G163" s="17">
        <v>78.087999999999994</v>
      </c>
      <c r="H163" s="17">
        <v>77.203000000000003</v>
      </c>
      <c r="I163" s="17">
        <v>35.875</v>
      </c>
      <c r="J163" s="17">
        <v>34.39</v>
      </c>
      <c r="K163" s="17">
        <v>59.027999999999999</v>
      </c>
    </row>
    <row r="164" spans="2:11" x14ac:dyDescent="0.2">
      <c r="B164" s="17">
        <v>4.583333333333333</v>
      </c>
      <c r="C164" s="17">
        <v>83.978999999999999</v>
      </c>
      <c r="D164" s="17">
        <v>90.870999999999995</v>
      </c>
      <c r="E164" s="17">
        <v>77.531999999999996</v>
      </c>
      <c r="F164" s="17">
        <v>72.301000000000002</v>
      </c>
      <c r="G164" s="17">
        <v>77.983999999999995</v>
      </c>
      <c r="H164" s="17">
        <v>77.349000000000004</v>
      </c>
      <c r="I164" s="17">
        <v>35.765999999999998</v>
      </c>
      <c r="J164" s="17">
        <v>34.332000000000001</v>
      </c>
      <c r="K164" s="17">
        <v>58.954999999999998</v>
      </c>
    </row>
    <row r="165" spans="2:11" x14ac:dyDescent="0.2">
      <c r="B165" s="17">
        <v>4.5999999999999996</v>
      </c>
      <c r="C165" s="17">
        <v>84.075000000000003</v>
      </c>
      <c r="D165" s="17">
        <v>90.606999999999999</v>
      </c>
      <c r="E165" s="17">
        <v>77.516000000000005</v>
      </c>
      <c r="F165" s="17">
        <v>72.242999999999995</v>
      </c>
      <c r="G165" s="17">
        <v>77.843999999999994</v>
      </c>
      <c r="H165" s="17">
        <v>77.078000000000003</v>
      </c>
      <c r="I165" s="17">
        <v>35.636000000000003</v>
      </c>
      <c r="J165" s="17">
        <v>34.1</v>
      </c>
      <c r="K165" s="17">
        <v>58.835999999999999</v>
      </c>
    </row>
    <row r="166" spans="2:11" x14ac:dyDescent="0.2">
      <c r="B166" s="17">
        <v>4.6166666666666663</v>
      </c>
      <c r="C166" s="17">
        <v>83.777000000000001</v>
      </c>
      <c r="D166" s="17">
        <v>90.864000000000004</v>
      </c>
      <c r="E166" s="17">
        <v>77.484999999999999</v>
      </c>
      <c r="F166" s="17">
        <v>72.147000000000006</v>
      </c>
      <c r="G166" s="17">
        <v>77.781000000000006</v>
      </c>
      <c r="H166" s="17">
        <v>77.048000000000002</v>
      </c>
      <c r="I166" s="17">
        <v>35.51</v>
      </c>
      <c r="J166" s="17">
        <v>34.079000000000001</v>
      </c>
      <c r="K166" s="17">
        <v>58.749000000000002</v>
      </c>
    </row>
    <row r="167" spans="2:11" x14ac:dyDescent="0.2">
      <c r="B167" s="17">
        <v>4.6333333333333337</v>
      </c>
      <c r="C167" s="17">
        <v>83.718000000000004</v>
      </c>
      <c r="D167" s="17">
        <v>90.605999999999995</v>
      </c>
      <c r="E167" s="17">
        <v>77.373000000000005</v>
      </c>
      <c r="F167" s="17">
        <v>72.028000000000006</v>
      </c>
      <c r="G167" s="17">
        <v>77.581999999999994</v>
      </c>
      <c r="H167" s="17">
        <v>76.948999999999998</v>
      </c>
      <c r="I167" s="17">
        <v>35.423000000000002</v>
      </c>
      <c r="J167" s="17">
        <v>33.969000000000001</v>
      </c>
      <c r="K167" s="17">
        <v>58.671999999999997</v>
      </c>
    </row>
    <row r="168" spans="2:11" x14ac:dyDescent="0.2">
      <c r="B168" s="17">
        <v>4.6500000000000004</v>
      </c>
      <c r="C168" s="17">
        <v>83.641000000000005</v>
      </c>
      <c r="D168" s="17">
        <v>90.444000000000003</v>
      </c>
      <c r="E168" s="17">
        <v>77.295000000000002</v>
      </c>
      <c r="F168" s="17">
        <v>71.876000000000005</v>
      </c>
      <c r="G168" s="17">
        <v>77.542000000000002</v>
      </c>
      <c r="H168" s="17">
        <v>76.86</v>
      </c>
      <c r="I168" s="17">
        <v>35.302999999999997</v>
      </c>
      <c r="J168" s="17">
        <v>33.887</v>
      </c>
      <c r="K168" s="17">
        <v>58.496000000000002</v>
      </c>
    </row>
    <row r="169" spans="2:11" x14ac:dyDescent="0.2">
      <c r="B169" s="17">
        <v>4.666666666666667</v>
      </c>
      <c r="C169" s="17">
        <v>83.498999999999995</v>
      </c>
      <c r="D169" s="17">
        <v>90.412000000000006</v>
      </c>
      <c r="E169" s="17">
        <v>77.134</v>
      </c>
      <c r="F169" s="17">
        <v>71.808000000000007</v>
      </c>
      <c r="G169" s="17">
        <v>77.450999999999993</v>
      </c>
      <c r="H169" s="17">
        <v>76.674000000000007</v>
      </c>
      <c r="I169" s="17">
        <v>35.198</v>
      </c>
      <c r="J169" s="17">
        <v>33.731000000000002</v>
      </c>
      <c r="K169" s="17">
        <v>58.488</v>
      </c>
    </row>
    <row r="170" spans="2:11" x14ac:dyDescent="0.2">
      <c r="B170" s="17">
        <v>4.6833333333333336</v>
      </c>
      <c r="C170" s="17">
        <v>83.447000000000003</v>
      </c>
      <c r="D170" s="17">
        <v>90.3</v>
      </c>
      <c r="E170" s="17">
        <v>77.064999999999998</v>
      </c>
      <c r="F170" s="17">
        <v>71.650000000000006</v>
      </c>
      <c r="G170" s="17">
        <v>77.356999999999999</v>
      </c>
      <c r="H170" s="17">
        <v>76.635000000000005</v>
      </c>
      <c r="I170" s="17">
        <v>35.101999999999997</v>
      </c>
      <c r="J170" s="17">
        <v>33.642000000000003</v>
      </c>
      <c r="K170" s="17">
        <v>58.329000000000001</v>
      </c>
    </row>
    <row r="171" spans="2:11" x14ac:dyDescent="0.2">
      <c r="B171" s="17">
        <v>4.7</v>
      </c>
      <c r="C171" s="17">
        <v>83.275000000000006</v>
      </c>
      <c r="D171" s="17">
        <v>90.158000000000001</v>
      </c>
      <c r="E171" s="17">
        <v>76.944000000000003</v>
      </c>
      <c r="F171" s="17">
        <v>71.628</v>
      </c>
      <c r="G171" s="17">
        <v>77.236999999999995</v>
      </c>
      <c r="H171" s="17">
        <v>76.581000000000003</v>
      </c>
      <c r="I171" s="17">
        <v>34.979999999999997</v>
      </c>
      <c r="J171" s="17">
        <v>33.42</v>
      </c>
      <c r="K171" s="17">
        <v>58.183999999999997</v>
      </c>
    </row>
    <row r="172" spans="2:11" x14ac:dyDescent="0.2">
      <c r="B172" s="17">
        <v>4.7166666666666668</v>
      </c>
      <c r="C172" s="17">
        <v>83.218999999999994</v>
      </c>
      <c r="D172" s="17">
        <v>90.114999999999995</v>
      </c>
      <c r="E172" s="17">
        <v>76.843999999999994</v>
      </c>
      <c r="F172" s="17">
        <v>71.537999999999997</v>
      </c>
      <c r="G172" s="17">
        <v>76.912000000000006</v>
      </c>
      <c r="H172" s="17">
        <v>76.376000000000005</v>
      </c>
      <c r="I172" s="17">
        <v>34.886000000000003</v>
      </c>
      <c r="J172" s="17">
        <v>33.426000000000002</v>
      </c>
      <c r="K172" s="17">
        <v>58.133000000000003</v>
      </c>
    </row>
    <row r="173" spans="2:11" x14ac:dyDescent="0.2">
      <c r="B173" s="17">
        <v>4.7333333333333334</v>
      </c>
      <c r="C173" s="17">
        <v>83.185000000000002</v>
      </c>
      <c r="D173" s="17">
        <v>89.855999999999995</v>
      </c>
      <c r="E173" s="17">
        <v>76.784000000000006</v>
      </c>
      <c r="F173" s="17">
        <v>71.498000000000005</v>
      </c>
      <c r="G173" s="17">
        <v>77.162000000000006</v>
      </c>
      <c r="H173" s="17">
        <v>76.516000000000005</v>
      </c>
      <c r="I173" s="17">
        <v>34.753</v>
      </c>
      <c r="J173" s="17">
        <v>33.316000000000003</v>
      </c>
      <c r="K173" s="17">
        <v>58.05</v>
      </c>
    </row>
    <row r="174" spans="2:11" x14ac:dyDescent="0.2">
      <c r="B174" s="17">
        <v>4.75</v>
      </c>
      <c r="C174" s="17">
        <v>82.98</v>
      </c>
      <c r="D174" s="17">
        <v>89.801000000000002</v>
      </c>
      <c r="E174" s="17">
        <v>76.896000000000001</v>
      </c>
      <c r="F174" s="17">
        <v>71.305999999999997</v>
      </c>
      <c r="G174" s="17">
        <v>76.983000000000004</v>
      </c>
      <c r="H174" s="17">
        <v>76.302000000000007</v>
      </c>
      <c r="I174" s="17">
        <v>34.576000000000001</v>
      </c>
      <c r="J174" s="17">
        <v>33.161999999999999</v>
      </c>
      <c r="K174" s="17">
        <v>57.959000000000003</v>
      </c>
    </row>
    <row r="175" spans="2:11" x14ac:dyDescent="0.2">
      <c r="B175" s="17">
        <v>4.7666666666666666</v>
      </c>
      <c r="C175" s="17">
        <v>83.13</v>
      </c>
      <c r="D175" s="17">
        <v>89.545000000000002</v>
      </c>
      <c r="E175" s="17">
        <v>76.584000000000003</v>
      </c>
      <c r="F175" s="17">
        <v>71.59</v>
      </c>
      <c r="G175" s="17">
        <v>76.994</v>
      </c>
      <c r="H175" s="17">
        <v>76.236000000000004</v>
      </c>
      <c r="I175" s="17">
        <v>34.539000000000001</v>
      </c>
      <c r="J175" s="17">
        <v>33.061999999999998</v>
      </c>
      <c r="K175" s="17">
        <v>57.860999999999997</v>
      </c>
    </row>
    <row r="176" spans="2:11" x14ac:dyDescent="0.2">
      <c r="B176" s="17">
        <v>4.7833333333333332</v>
      </c>
      <c r="C176" s="17">
        <v>82.680999999999997</v>
      </c>
      <c r="D176" s="17">
        <v>89.536000000000001</v>
      </c>
      <c r="E176" s="17">
        <v>76.573999999999998</v>
      </c>
      <c r="F176" s="17">
        <v>71.230999999999995</v>
      </c>
      <c r="G176" s="17">
        <v>76.683999999999997</v>
      </c>
      <c r="H176" s="17">
        <v>76.034999999999997</v>
      </c>
      <c r="I176" s="17">
        <v>34.470999999999997</v>
      </c>
      <c r="J176" s="17">
        <v>33.037999999999997</v>
      </c>
      <c r="K176" s="17">
        <v>57.8</v>
      </c>
    </row>
    <row r="177" spans="2:11" x14ac:dyDescent="0.2">
      <c r="B177" s="17">
        <v>4.8</v>
      </c>
      <c r="C177" s="17">
        <v>82.703999999999994</v>
      </c>
      <c r="D177" s="17">
        <v>89.447000000000003</v>
      </c>
      <c r="E177" s="17">
        <v>76.388999999999996</v>
      </c>
      <c r="F177" s="17">
        <v>71.186000000000007</v>
      </c>
      <c r="G177" s="17">
        <v>76.688000000000002</v>
      </c>
      <c r="H177" s="17">
        <v>75.825999999999993</v>
      </c>
      <c r="I177" s="17">
        <v>34.359000000000002</v>
      </c>
      <c r="J177" s="17">
        <v>32.881</v>
      </c>
      <c r="K177" s="17">
        <v>57.695999999999998</v>
      </c>
    </row>
    <row r="178" spans="2:11" x14ac:dyDescent="0.2">
      <c r="B178" s="17">
        <v>4.8166666666666664</v>
      </c>
      <c r="C178" s="17">
        <v>82.600999999999999</v>
      </c>
      <c r="D178" s="17">
        <v>89.308999999999997</v>
      </c>
      <c r="E178" s="17">
        <v>76.292000000000002</v>
      </c>
      <c r="F178" s="17">
        <v>70.873000000000005</v>
      </c>
      <c r="G178" s="17">
        <v>76.650000000000006</v>
      </c>
      <c r="H178" s="17">
        <v>75.834000000000003</v>
      </c>
      <c r="I178" s="17">
        <v>34.219000000000001</v>
      </c>
      <c r="J178" s="17">
        <v>32.802999999999997</v>
      </c>
      <c r="K178" s="17">
        <v>57.572000000000003</v>
      </c>
    </row>
    <row r="179" spans="2:11" x14ac:dyDescent="0.2">
      <c r="B179" s="17">
        <v>4.833333333333333</v>
      </c>
      <c r="C179" s="17">
        <v>82.575999999999993</v>
      </c>
      <c r="D179" s="17">
        <v>89.001000000000005</v>
      </c>
      <c r="E179" s="17">
        <v>76.126999999999995</v>
      </c>
      <c r="F179" s="17">
        <v>70.861999999999995</v>
      </c>
      <c r="G179" s="17">
        <v>76.361999999999995</v>
      </c>
      <c r="H179" s="17">
        <v>75.733000000000004</v>
      </c>
      <c r="I179" s="17">
        <v>34.116999999999997</v>
      </c>
      <c r="J179" s="17">
        <v>32.659999999999997</v>
      </c>
      <c r="K179" s="17">
        <v>57.469000000000001</v>
      </c>
    </row>
    <row r="180" spans="2:11" x14ac:dyDescent="0.2">
      <c r="B180" s="17">
        <v>4.8499999999999996</v>
      </c>
      <c r="C180" s="17">
        <v>82.463999999999999</v>
      </c>
      <c r="D180" s="17">
        <v>89.004999999999995</v>
      </c>
      <c r="E180" s="17">
        <v>76.180999999999997</v>
      </c>
      <c r="F180" s="17">
        <v>70.724999999999994</v>
      </c>
      <c r="G180" s="17">
        <v>76.319000000000003</v>
      </c>
      <c r="H180" s="17">
        <v>75.635000000000005</v>
      </c>
      <c r="I180" s="17">
        <v>33.987000000000002</v>
      </c>
      <c r="J180" s="17">
        <v>32.564999999999998</v>
      </c>
      <c r="K180" s="17">
        <v>57.421999999999997</v>
      </c>
    </row>
    <row r="181" spans="2:11" x14ac:dyDescent="0.2">
      <c r="B181" s="17">
        <v>4.8666666666666663</v>
      </c>
      <c r="C181" s="17">
        <v>82.623000000000005</v>
      </c>
      <c r="D181" s="17">
        <v>88.730999999999995</v>
      </c>
      <c r="E181" s="17">
        <v>76.025999999999996</v>
      </c>
      <c r="F181" s="17">
        <v>70.527000000000001</v>
      </c>
      <c r="G181" s="17">
        <v>76.213999999999999</v>
      </c>
      <c r="H181" s="17">
        <v>75.546000000000006</v>
      </c>
      <c r="I181" s="17">
        <v>33.89</v>
      </c>
      <c r="J181" s="17">
        <v>32.368000000000002</v>
      </c>
      <c r="K181" s="17">
        <v>57.304000000000002</v>
      </c>
    </row>
    <row r="182" spans="2:11" x14ac:dyDescent="0.2">
      <c r="B182" s="17">
        <v>4.8833333333333337</v>
      </c>
      <c r="C182" s="17">
        <v>82.165000000000006</v>
      </c>
      <c r="D182" s="17">
        <v>88.784000000000006</v>
      </c>
      <c r="E182" s="17">
        <v>75.891000000000005</v>
      </c>
      <c r="F182" s="17">
        <v>70.501000000000005</v>
      </c>
      <c r="G182" s="17">
        <v>76.186000000000007</v>
      </c>
      <c r="H182" s="17">
        <v>75.405000000000001</v>
      </c>
      <c r="I182" s="17">
        <v>33.811</v>
      </c>
      <c r="J182" s="17">
        <v>32.326999999999998</v>
      </c>
      <c r="K182" s="17">
        <v>57.225999999999999</v>
      </c>
    </row>
    <row r="183" spans="2:11" x14ac:dyDescent="0.2">
      <c r="B183" s="17">
        <v>4.9000000000000004</v>
      </c>
      <c r="C183" s="17">
        <v>82.215000000000003</v>
      </c>
      <c r="D183" s="17">
        <v>88.552000000000007</v>
      </c>
      <c r="E183" s="17">
        <v>75.77</v>
      </c>
      <c r="F183" s="17">
        <v>70.528000000000006</v>
      </c>
      <c r="G183" s="17">
        <v>75.938999999999993</v>
      </c>
      <c r="H183" s="17">
        <v>75.494</v>
      </c>
      <c r="I183" s="17">
        <v>33.701999999999998</v>
      </c>
      <c r="J183" s="17">
        <v>32.232999999999997</v>
      </c>
      <c r="K183" s="17">
        <v>57.107999999999997</v>
      </c>
    </row>
    <row r="184" spans="2:11" x14ac:dyDescent="0.2">
      <c r="B184" s="17">
        <v>4.916666666666667</v>
      </c>
      <c r="C184" s="17">
        <v>81.995000000000005</v>
      </c>
      <c r="D184" s="17">
        <v>88.358000000000004</v>
      </c>
      <c r="E184" s="17">
        <v>75.744</v>
      </c>
      <c r="F184" s="17">
        <v>70.241</v>
      </c>
      <c r="G184" s="17">
        <v>76.015000000000001</v>
      </c>
      <c r="H184" s="17">
        <v>75.450999999999993</v>
      </c>
      <c r="I184" s="17">
        <v>33.585000000000001</v>
      </c>
      <c r="J184" s="17">
        <v>32.101999999999997</v>
      </c>
      <c r="K184" s="17">
        <v>57.054000000000002</v>
      </c>
    </row>
    <row r="185" spans="2:11" x14ac:dyDescent="0.2">
      <c r="B185" s="17">
        <v>4.9333333333333336</v>
      </c>
      <c r="C185" s="17">
        <v>81.866</v>
      </c>
      <c r="D185" s="17">
        <v>88.41</v>
      </c>
      <c r="E185" s="17">
        <v>75.557000000000002</v>
      </c>
      <c r="F185" s="17">
        <v>70.180000000000007</v>
      </c>
      <c r="G185" s="17">
        <v>75.823999999999998</v>
      </c>
      <c r="H185" s="17">
        <v>75.349999999999994</v>
      </c>
      <c r="I185" s="17">
        <v>33.499000000000002</v>
      </c>
      <c r="J185" s="17">
        <v>31.972999999999999</v>
      </c>
      <c r="K185" s="17">
        <v>56.875999999999998</v>
      </c>
    </row>
    <row r="186" spans="2:11" x14ac:dyDescent="0.2">
      <c r="B186" s="17">
        <v>4.95</v>
      </c>
      <c r="C186" s="17">
        <v>81.787000000000006</v>
      </c>
      <c r="D186" s="17">
        <v>88.281999999999996</v>
      </c>
      <c r="E186" s="17">
        <v>75.561999999999998</v>
      </c>
      <c r="F186" s="17">
        <v>70.072000000000003</v>
      </c>
      <c r="G186" s="17">
        <v>75.683999999999997</v>
      </c>
      <c r="H186" s="17">
        <v>75.248999999999995</v>
      </c>
      <c r="I186" s="17">
        <v>33.368000000000002</v>
      </c>
      <c r="J186" s="17">
        <v>31.853999999999999</v>
      </c>
      <c r="K186" s="17">
        <v>56.834000000000003</v>
      </c>
    </row>
    <row r="187" spans="2:11" x14ac:dyDescent="0.2">
      <c r="B187" s="17">
        <v>4.9666666666666668</v>
      </c>
      <c r="C187" s="17">
        <v>81.734999999999999</v>
      </c>
      <c r="D187" s="17">
        <v>88.277000000000001</v>
      </c>
      <c r="E187" s="17">
        <v>75.481999999999999</v>
      </c>
      <c r="F187" s="17">
        <v>70.042000000000002</v>
      </c>
      <c r="G187" s="17">
        <v>75.674000000000007</v>
      </c>
      <c r="H187" s="17">
        <v>75.052000000000007</v>
      </c>
      <c r="I187" s="17">
        <v>33.271999999999998</v>
      </c>
      <c r="J187" s="17">
        <v>31.771000000000001</v>
      </c>
      <c r="K187" s="17">
        <v>56.726999999999997</v>
      </c>
    </row>
    <row r="188" spans="2:11" x14ac:dyDescent="0.2">
      <c r="B188" s="17">
        <v>4.9833333333333334</v>
      </c>
      <c r="C188" s="17">
        <v>81.513000000000005</v>
      </c>
      <c r="D188" s="17">
        <v>88.149000000000001</v>
      </c>
      <c r="E188" s="17">
        <v>75.361000000000004</v>
      </c>
      <c r="F188" s="17">
        <v>70.066000000000003</v>
      </c>
      <c r="G188" s="17">
        <v>75.510000000000005</v>
      </c>
      <c r="H188" s="17">
        <v>75.138999999999996</v>
      </c>
      <c r="I188" s="17">
        <v>33.131999999999998</v>
      </c>
      <c r="J188" s="17">
        <v>31.728999999999999</v>
      </c>
      <c r="K188" s="17">
        <v>56.65</v>
      </c>
    </row>
    <row r="189" spans="2:11" x14ac:dyDescent="0.2">
      <c r="B189" s="17">
        <v>5</v>
      </c>
      <c r="C189" s="17">
        <v>81.405000000000001</v>
      </c>
      <c r="D189" s="17">
        <v>87.683999999999997</v>
      </c>
      <c r="E189" s="17">
        <v>75.141999999999996</v>
      </c>
      <c r="F189" s="17">
        <v>69.715000000000003</v>
      </c>
      <c r="G189" s="17">
        <v>75.465000000000003</v>
      </c>
      <c r="H189" s="17">
        <v>74.936000000000007</v>
      </c>
      <c r="I189" s="17">
        <v>33.042999999999999</v>
      </c>
      <c r="J189" s="17">
        <v>31.611999999999998</v>
      </c>
      <c r="K189" s="17">
        <v>56.546999999999997</v>
      </c>
    </row>
    <row r="190" spans="2:11" x14ac:dyDescent="0.2">
      <c r="B190" s="17">
        <v>5.0166666666666666</v>
      </c>
      <c r="C190" s="17">
        <v>81.498999999999995</v>
      </c>
      <c r="D190" s="17">
        <v>87.802000000000007</v>
      </c>
      <c r="E190" s="17">
        <v>75.135999999999996</v>
      </c>
      <c r="F190" s="17">
        <v>69.613</v>
      </c>
      <c r="G190" s="17">
        <v>75.331000000000003</v>
      </c>
      <c r="H190" s="17">
        <v>74.781000000000006</v>
      </c>
      <c r="I190" s="17">
        <v>32.954000000000001</v>
      </c>
      <c r="J190" s="17">
        <v>31.422000000000001</v>
      </c>
      <c r="K190" s="17">
        <v>56.468000000000004</v>
      </c>
    </row>
    <row r="191" spans="2:11" x14ac:dyDescent="0.2">
      <c r="B191" s="17">
        <v>5.0333333333333332</v>
      </c>
      <c r="C191" s="17">
        <v>81.245000000000005</v>
      </c>
      <c r="D191" s="17">
        <v>87.581000000000003</v>
      </c>
      <c r="E191" s="17">
        <v>75.057000000000002</v>
      </c>
      <c r="F191" s="17">
        <v>69.581999999999994</v>
      </c>
      <c r="G191" s="17">
        <v>75.231999999999999</v>
      </c>
      <c r="H191" s="17">
        <v>74.741</v>
      </c>
      <c r="I191" s="17">
        <v>32.848999999999997</v>
      </c>
      <c r="J191" s="17">
        <v>31.393999999999998</v>
      </c>
      <c r="K191" s="17">
        <v>56.38</v>
      </c>
    </row>
    <row r="192" spans="2:11" x14ac:dyDescent="0.2">
      <c r="B192" s="17">
        <v>5.05</v>
      </c>
      <c r="C192" s="17">
        <v>81.227999999999994</v>
      </c>
      <c r="D192" s="17">
        <v>87.558000000000007</v>
      </c>
      <c r="E192" s="17">
        <v>74.945999999999998</v>
      </c>
      <c r="F192" s="17">
        <v>69.494</v>
      </c>
      <c r="G192" s="17">
        <v>75.001000000000005</v>
      </c>
      <c r="H192" s="17">
        <v>74.533000000000001</v>
      </c>
      <c r="I192" s="17">
        <v>32.667000000000002</v>
      </c>
      <c r="J192" s="17">
        <v>31.222000000000001</v>
      </c>
      <c r="K192" s="17">
        <v>56.296999999999997</v>
      </c>
    </row>
    <row r="193" spans="2:11" x14ac:dyDescent="0.2">
      <c r="B193" s="17">
        <v>5.0666666666666664</v>
      </c>
      <c r="C193" s="17">
        <v>81.055000000000007</v>
      </c>
      <c r="D193" s="17">
        <v>87.432000000000002</v>
      </c>
      <c r="E193" s="17">
        <v>74.837999999999994</v>
      </c>
      <c r="F193" s="17">
        <v>69.396000000000001</v>
      </c>
      <c r="G193" s="17">
        <v>74.94</v>
      </c>
      <c r="H193" s="17">
        <v>74.47</v>
      </c>
      <c r="I193" s="17">
        <v>32.627000000000002</v>
      </c>
      <c r="J193" s="17">
        <v>31.172999999999998</v>
      </c>
      <c r="K193" s="17">
        <v>56.198999999999998</v>
      </c>
    </row>
    <row r="194" spans="2:11" x14ac:dyDescent="0.2">
      <c r="B194" s="17">
        <v>5.083333333333333</v>
      </c>
      <c r="C194" s="17">
        <v>80.884</v>
      </c>
      <c r="D194" s="17">
        <v>87.25</v>
      </c>
      <c r="E194" s="17">
        <v>74.733000000000004</v>
      </c>
      <c r="F194" s="17">
        <v>69.239000000000004</v>
      </c>
      <c r="G194" s="17">
        <v>74.944000000000003</v>
      </c>
      <c r="H194" s="17">
        <v>74.316000000000003</v>
      </c>
      <c r="I194" s="17">
        <v>32.496000000000002</v>
      </c>
      <c r="J194" s="17">
        <v>31.097000000000001</v>
      </c>
      <c r="K194" s="17">
        <v>56.042000000000002</v>
      </c>
    </row>
    <row r="195" spans="2:11" x14ac:dyDescent="0.2">
      <c r="B195" s="17">
        <v>5.0999999999999996</v>
      </c>
      <c r="C195" s="17">
        <v>80.930000000000007</v>
      </c>
      <c r="D195" s="17">
        <v>87.114000000000004</v>
      </c>
      <c r="E195" s="17">
        <v>74.731999999999999</v>
      </c>
      <c r="F195" s="17">
        <v>69.206999999999994</v>
      </c>
      <c r="G195" s="17">
        <v>74.914000000000001</v>
      </c>
      <c r="H195" s="17">
        <v>74.239000000000004</v>
      </c>
      <c r="I195" s="17">
        <v>32.463999999999999</v>
      </c>
      <c r="J195" s="17">
        <v>31.030999999999999</v>
      </c>
      <c r="K195" s="17">
        <v>55.953000000000003</v>
      </c>
    </row>
    <row r="196" spans="2:11" x14ac:dyDescent="0.2">
      <c r="B196" s="17">
        <v>5.1166666666666663</v>
      </c>
      <c r="C196" s="17">
        <v>80.825000000000003</v>
      </c>
      <c r="D196" s="17">
        <v>86.968000000000004</v>
      </c>
      <c r="E196" s="17">
        <v>74.613</v>
      </c>
      <c r="F196" s="17">
        <v>69.088999999999999</v>
      </c>
      <c r="G196" s="17">
        <v>74.75</v>
      </c>
      <c r="H196" s="17">
        <v>74.256</v>
      </c>
      <c r="I196" s="17">
        <v>32.378999999999998</v>
      </c>
      <c r="J196" s="17">
        <v>30.937999999999999</v>
      </c>
      <c r="K196" s="17">
        <v>55.863</v>
      </c>
    </row>
    <row r="197" spans="2:11" x14ac:dyDescent="0.2">
      <c r="B197" s="17">
        <v>5.1333333333333337</v>
      </c>
      <c r="C197" s="17">
        <v>80.626999999999995</v>
      </c>
      <c r="D197" s="17">
        <v>86.835999999999999</v>
      </c>
      <c r="E197" s="17">
        <v>74.382000000000005</v>
      </c>
      <c r="F197" s="17">
        <v>68.856999999999999</v>
      </c>
      <c r="G197" s="17">
        <v>74.462000000000003</v>
      </c>
      <c r="H197" s="17">
        <v>74.087000000000003</v>
      </c>
      <c r="I197" s="17">
        <v>32.247</v>
      </c>
      <c r="J197" s="17">
        <v>30.766999999999999</v>
      </c>
      <c r="K197" s="17">
        <v>55.786000000000001</v>
      </c>
    </row>
    <row r="198" spans="2:11" x14ac:dyDescent="0.2">
      <c r="B198" s="17">
        <v>5.15</v>
      </c>
      <c r="C198" s="17">
        <v>80.81</v>
      </c>
      <c r="D198" s="17">
        <v>86.605999999999995</v>
      </c>
      <c r="E198" s="17">
        <v>74.441000000000003</v>
      </c>
      <c r="F198" s="17">
        <v>68.811000000000007</v>
      </c>
      <c r="G198" s="17">
        <v>74.566000000000003</v>
      </c>
      <c r="H198" s="17">
        <v>74.063000000000002</v>
      </c>
      <c r="I198" s="17">
        <v>32.140999999999998</v>
      </c>
      <c r="J198" s="17">
        <v>30.643999999999998</v>
      </c>
      <c r="K198" s="17">
        <v>55.677999999999997</v>
      </c>
    </row>
    <row r="199" spans="2:11" x14ac:dyDescent="0.2">
      <c r="B199" s="17">
        <v>5.166666666666667</v>
      </c>
      <c r="C199" s="17">
        <v>80.305000000000007</v>
      </c>
      <c r="D199" s="17">
        <v>86.349000000000004</v>
      </c>
      <c r="E199" s="17">
        <v>74.296999999999997</v>
      </c>
      <c r="F199" s="17">
        <v>68.715999999999994</v>
      </c>
      <c r="G199" s="17">
        <v>74.385999999999996</v>
      </c>
      <c r="H199" s="17">
        <v>73.977000000000004</v>
      </c>
      <c r="I199" s="17">
        <v>32.119999999999997</v>
      </c>
      <c r="J199" s="17">
        <v>30.565999999999999</v>
      </c>
      <c r="K199" s="17">
        <v>55.555999999999997</v>
      </c>
    </row>
    <row r="200" spans="2:11" x14ac:dyDescent="0.2">
      <c r="B200" s="17">
        <v>5.1833333333333336</v>
      </c>
      <c r="C200" s="17">
        <v>80.304000000000002</v>
      </c>
      <c r="D200" s="17">
        <v>86.411000000000001</v>
      </c>
      <c r="E200" s="17">
        <v>74.066999999999993</v>
      </c>
      <c r="F200" s="17">
        <v>68.515000000000001</v>
      </c>
      <c r="G200" s="17">
        <v>74.349999999999994</v>
      </c>
      <c r="H200" s="17">
        <v>73.819000000000003</v>
      </c>
      <c r="I200" s="17">
        <v>31.986000000000001</v>
      </c>
      <c r="J200" s="17">
        <v>30.542999999999999</v>
      </c>
      <c r="K200" s="17">
        <v>55.430999999999997</v>
      </c>
    </row>
    <row r="201" spans="2:11" x14ac:dyDescent="0.2">
      <c r="B201" s="17">
        <v>5.2</v>
      </c>
      <c r="C201" s="17">
        <v>80.167000000000002</v>
      </c>
      <c r="D201" s="17">
        <v>86.486999999999995</v>
      </c>
      <c r="E201" s="17">
        <v>74.207999999999998</v>
      </c>
      <c r="F201" s="17">
        <v>68.384</v>
      </c>
      <c r="G201" s="17">
        <v>74.070999999999998</v>
      </c>
      <c r="H201" s="17">
        <v>73.748000000000005</v>
      </c>
      <c r="I201" s="17">
        <v>31.885000000000002</v>
      </c>
      <c r="J201" s="17">
        <v>30.359000000000002</v>
      </c>
      <c r="K201" s="17">
        <v>55.360999999999997</v>
      </c>
    </row>
    <row r="202" spans="2:11" x14ac:dyDescent="0.2">
      <c r="B202" s="17">
        <v>5.2166666666666668</v>
      </c>
      <c r="C202" s="17">
        <v>80.260000000000005</v>
      </c>
      <c r="D202" s="17">
        <v>85.971999999999994</v>
      </c>
      <c r="E202" s="17">
        <v>73.867000000000004</v>
      </c>
      <c r="F202" s="17">
        <v>68.331000000000003</v>
      </c>
      <c r="G202" s="17">
        <v>74.096000000000004</v>
      </c>
      <c r="H202" s="17">
        <v>73.665000000000006</v>
      </c>
      <c r="I202" s="17">
        <v>31.818000000000001</v>
      </c>
      <c r="J202" s="17">
        <v>30.32</v>
      </c>
      <c r="K202" s="17">
        <v>55.287999999999997</v>
      </c>
    </row>
    <row r="203" spans="2:11" x14ac:dyDescent="0.2">
      <c r="B203" s="17">
        <v>5.2333333333333334</v>
      </c>
      <c r="C203" s="17">
        <v>79.938999999999993</v>
      </c>
      <c r="D203" s="17">
        <v>86.007000000000005</v>
      </c>
      <c r="E203" s="17">
        <v>73.790000000000006</v>
      </c>
      <c r="F203" s="17">
        <v>68.272000000000006</v>
      </c>
      <c r="G203" s="17">
        <v>73.917000000000002</v>
      </c>
      <c r="H203" s="17">
        <v>73.572999999999993</v>
      </c>
      <c r="I203" s="17">
        <v>31.738</v>
      </c>
      <c r="J203" s="17">
        <v>30.11</v>
      </c>
      <c r="K203" s="17">
        <v>55.164999999999999</v>
      </c>
    </row>
    <row r="204" spans="2:11" x14ac:dyDescent="0.2">
      <c r="B204" s="17">
        <v>5.25</v>
      </c>
      <c r="C204" s="17">
        <v>79.92</v>
      </c>
      <c r="D204" s="17">
        <v>85.989000000000004</v>
      </c>
      <c r="E204" s="17">
        <v>73.712999999999994</v>
      </c>
      <c r="F204" s="17">
        <v>68.120999999999995</v>
      </c>
      <c r="G204" s="17">
        <v>73.888000000000005</v>
      </c>
      <c r="H204" s="17">
        <v>73.564999999999998</v>
      </c>
      <c r="I204" s="17">
        <v>31.600999999999999</v>
      </c>
      <c r="J204" s="17">
        <v>30.129000000000001</v>
      </c>
      <c r="K204" s="17">
        <v>55.061</v>
      </c>
    </row>
    <row r="205" spans="2:11" x14ac:dyDescent="0.2">
      <c r="B205" s="17">
        <v>5.2666666666666666</v>
      </c>
      <c r="C205" s="17">
        <v>79.766999999999996</v>
      </c>
      <c r="D205" s="17">
        <v>85.86</v>
      </c>
      <c r="E205" s="17">
        <v>73.659000000000006</v>
      </c>
      <c r="F205" s="17">
        <v>67.957999999999998</v>
      </c>
      <c r="G205" s="17">
        <v>73.936999999999998</v>
      </c>
      <c r="H205" s="17">
        <v>73.275999999999996</v>
      </c>
      <c r="I205" s="17">
        <v>31.550999999999998</v>
      </c>
      <c r="J205" s="17">
        <v>29.85</v>
      </c>
      <c r="K205" s="17">
        <v>54.991</v>
      </c>
    </row>
    <row r="206" spans="2:11" x14ac:dyDescent="0.2">
      <c r="B206" s="17">
        <v>5.2833333333333332</v>
      </c>
      <c r="C206" s="17">
        <v>79.724999999999994</v>
      </c>
      <c r="D206" s="17">
        <v>85.447000000000003</v>
      </c>
      <c r="E206" s="17">
        <v>73.477999999999994</v>
      </c>
      <c r="F206" s="17">
        <v>67.881</v>
      </c>
      <c r="G206" s="17">
        <v>73.742999999999995</v>
      </c>
      <c r="H206" s="17">
        <v>73.111999999999995</v>
      </c>
      <c r="I206" s="17">
        <v>31.478000000000002</v>
      </c>
      <c r="J206" s="17">
        <v>29.702999999999999</v>
      </c>
      <c r="K206" s="17">
        <v>54.853000000000002</v>
      </c>
    </row>
    <row r="207" spans="2:11" x14ac:dyDescent="0.2">
      <c r="B207" s="17">
        <v>5.3</v>
      </c>
      <c r="C207" s="17">
        <v>79.638999999999996</v>
      </c>
      <c r="D207" s="17">
        <v>85.778000000000006</v>
      </c>
      <c r="E207" s="17">
        <v>73.405000000000001</v>
      </c>
      <c r="F207" s="17">
        <v>67.778999999999996</v>
      </c>
      <c r="G207" s="17">
        <v>73.576999999999998</v>
      </c>
      <c r="H207" s="17">
        <v>73.213999999999999</v>
      </c>
      <c r="I207" s="17">
        <v>31.352</v>
      </c>
      <c r="J207" s="17">
        <v>29.609000000000002</v>
      </c>
      <c r="K207" s="17">
        <v>54.807000000000002</v>
      </c>
    </row>
    <row r="208" spans="2:11" x14ac:dyDescent="0.2">
      <c r="B208" s="17">
        <v>5.3166666666666664</v>
      </c>
      <c r="C208" s="17">
        <v>79.472999999999999</v>
      </c>
      <c r="D208" s="17">
        <v>85.216999999999999</v>
      </c>
      <c r="E208" s="17">
        <v>73.311999999999998</v>
      </c>
      <c r="F208" s="17">
        <v>67.622</v>
      </c>
      <c r="G208" s="17">
        <v>73.558999999999997</v>
      </c>
      <c r="H208" s="17">
        <v>73.123999999999995</v>
      </c>
      <c r="I208" s="17">
        <v>31.265000000000001</v>
      </c>
      <c r="J208" s="17">
        <v>29.49</v>
      </c>
      <c r="K208" s="17">
        <v>54.695</v>
      </c>
    </row>
    <row r="209" spans="2:11" x14ac:dyDescent="0.2">
      <c r="B209" s="17">
        <v>5.333333333333333</v>
      </c>
      <c r="C209" s="17">
        <v>79.447999999999993</v>
      </c>
      <c r="D209" s="17">
        <v>85.123000000000005</v>
      </c>
      <c r="E209" s="17">
        <v>73.302999999999997</v>
      </c>
      <c r="F209" s="17">
        <v>67.599000000000004</v>
      </c>
      <c r="G209" s="17">
        <v>73.305000000000007</v>
      </c>
      <c r="H209" s="17">
        <v>72.926000000000002</v>
      </c>
      <c r="I209" s="17">
        <v>31.184000000000001</v>
      </c>
      <c r="J209" s="17">
        <v>29.428000000000001</v>
      </c>
      <c r="K209" s="17">
        <v>54.585999999999999</v>
      </c>
    </row>
    <row r="210" spans="2:11" x14ac:dyDescent="0.2">
      <c r="B210" s="17">
        <v>5.35</v>
      </c>
      <c r="C210" s="17">
        <v>79.352000000000004</v>
      </c>
      <c r="D210" s="17">
        <v>85.058000000000007</v>
      </c>
      <c r="E210" s="17">
        <v>73.41</v>
      </c>
      <c r="F210" s="17">
        <v>67.367000000000004</v>
      </c>
      <c r="G210" s="17">
        <v>73.332999999999998</v>
      </c>
      <c r="H210" s="17">
        <v>73.004999999999995</v>
      </c>
      <c r="I210" s="17">
        <v>31.073</v>
      </c>
      <c r="J210" s="17">
        <v>29.303999999999998</v>
      </c>
      <c r="K210" s="17">
        <v>54.462000000000003</v>
      </c>
    </row>
    <row r="211" spans="2:11" x14ac:dyDescent="0.2">
      <c r="B211" s="17">
        <v>5.3666666666666663</v>
      </c>
      <c r="C211" s="17">
        <v>79.215999999999994</v>
      </c>
      <c r="D211" s="17">
        <v>84.974999999999994</v>
      </c>
      <c r="E211" s="17">
        <v>73.11</v>
      </c>
      <c r="F211" s="17">
        <v>67.304000000000002</v>
      </c>
      <c r="G211" s="17">
        <v>73.278000000000006</v>
      </c>
      <c r="H211" s="17">
        <v>72.88</v>
      </c>
      <c r="I211" s="17">
        <v>30.991</v>
      </c>
      <c r="J211" s="17">
        <v>29.195</v>
      </c>
      <c r="K211" s="17">
        <v>54.344000000000001</v>
      </c>
    </row>
    <row r="212" spans="2:11" x14ac:dyDescent="0.2">
      <c r="B212" s="17">
        <v>5.3833333333333337</v>
      </c>
      <c r="C212" s="17">
        <v>79.001999999999995</v>
      </c>
      <c r="D212" s="17">
        <v>84.831000000000003</v>
      </c>
      <c r="E212" s="17">
        <v>73.066999999999993</v>
      </c>
      <c r="F212" s="17">
        <v>67.152000000000001</v>
      </c>
      <c r="G212" s="17">
        <v>72.960999999999999</v>
      </c>
      <c r="H212" s="17">
        <v>72.853999999999999</v>
      </c>
      <c r="I212" s="17">
        <v>30.946000000000002</v>
      </c>
      <c r="J212" s="17">
        <v>29.135999999999999</v>
      </c>
      <c r="K212" s="17">
        <v>54.274999999999999</v>
      </c>
    </row>
    <row r="213" spans="2:11" x14ac:dyDescent="0.2">
      <c r="B213" s="17">
        <v>5.4</v>
      </c>
      <c r="C213" s="17">
        <v>79.033000000000001</v>
      </c>
      <c r="D213" s="17">
        <v>84.545000000000002</v>
      </c>
      <c r="E213" s="17">
        <v>72.903000000000006</v>
      </c>
      <c r="F213" s="17">
        <v>67.185000000000002</v>
      </c>
      <c r="G213" s="17">
        <v>72.98</v>
      </c>
      <c r="H213" s="17">
        <v>72.742000000000004</v>
      </c>
      <c r="I213" s="17">
        <v>30.876000000000001</v>
      </c>
      <c r="J213" s="17">
        <v>29.009</v>
      </c>
      <c r="K213" s="17">
        <v>54.210999999999999</v>
      </c>
    </row>
    <row r="214" spans="2:11" x14ac:dyDescent="0.2">
      <c r="B214" s="17">
        <v>5.416666666666667</v>
      </c>
      <c r="C214" s="17">
        <v>78.894000000000005</v>
      </c>
      <c r="D214" s="17">
        <v>84.480999999999995</v>
      </c>
      <c r="E214" s="17">
        <v>72.772999999999996</v>
      </c>
      <c r="F214" s="17">
        <v>67.045000000000002</v>
      </c>
      <c r="G214" s="17">
        <v>72.813000000000002</v>
      </c>
      <c r="H214" s="17">
        <v>72.706000000000003</v>
      </c>
      <c r="I214" s="17">
        <v>30.725999999999999</v>
      </c>
      <c r="J214" s="17">
        <v>28.899000000000001</v>
      </c>
      <c r="K214" s="17">
        <v>54.133000000000003</v>
      </c>
    </row>
    <row r="215" spans="2:11" x14ac:dyDescent="0.2">
      <c r="B215" s="17">
        <v>5.4333333333333336</v>
      </c>
      <c r="C215" s="17">
        <v>78.837000000000003</v>
      </c>
      <c r="D215" s="17">
        <v>84.07</v>
      </c>
      <c r="E215" s="17">
        <v>72.763000000000005</v>
      </c>
      <c r="F215" s="17">
        <v>66.885000000000005</v>
      </c>
      <c r="G215" s="17">
        <v>72.789000000000001</v>
      </c>
      <c r="H215" s="17">
        <v>72.641999999999996</v>
      </c>
      <c r="I215" s="17">
        <v>30.648</v>
      </c>
      <c r="J215" s="17">
        <v>28.818999999999999</v>
      </c>
      <c r="K215" s="17">
        <v>54.054000000000002</v>
      </c>
    </row>
    <row r="216" spans="2:11" x14ac:dyDescent="0.2">
      <c r="B216" s="17">
        <v>5.45</v>
      </c>
      <c r="C216" s="17">
        <v>78.697000000000003</v>
      </c>
      <c r="D216" s="17">
        <v>84.317999999999998</v>
      </c>
      <c r="E216" s="17">
        <v>72.566999999999993</v>
      </c>
      <c r="F216" s="17">
        <v>66.855999999999995</v>
      </c>
      <c r="G216" s="17">
        <v>72.807000000000002</v>
      </c>
      <c r="H216" s="17">
        <v>72.478999999999999</v>
      </c>
      <c r="I216" s="17">
        <v>30.568999999999999</v>
      </c>
      <c r="J216" s="17">
        <v>28.776</v>
      </c>
      <c r="K216" s="17">
        <v>53.902999999999999</v>
      </c>
    </row>
    <row r="217" spans="2:11" x14ac:dyDescent="0.2">
      <c r="B217" s="17">
        <v>5.4666666666666668</v>
      </c>
      <c r="C217" s="17">
        <v>78.534999999999997</v>
      </c>
      <c r="D217" s="17">
        <v>84.012</v>
      </c>
      <c r="E217" s="17">
        <v>72.593999999999994</v>
      </c>
      <c r="F217" s="17">
        <v>66.61</v>
      </c>
      <c r="G217" s="17">
        <v>72.724999999999994</v>
      </c>
      <c r="H217" s="17">
        <v>72.34</v>
      </c>
      <c r="I217" s="17">
        <v>30.434999999999999</v>
      </c>
      <c r="J217" s="17">
        <v>28.613</v>
      </c>
      <c r="K217" s="17">
        <v>53.826999999999998</v>
      </c>
    </row>
    <row r="218" spans="2:11" x14ac:dyDescent="0.2">
      <c r="B218" s="17">
        <v>5.4833333333333334</v>
      </c>
      <c r="C218" s="17">
        <v>78.561000000000007</v>
      </c>
      <c r="D218" s="17">
        <v>83.98</v>
      </c>
      <c r="E218" s="17">
        <v>72.688999999999993</v>
      </c>
      <c r="F218" s="17">
        <v>66.637</v>
      </c>
      <c r="G218" s="17">
        <v>72.555000000000007</v>
      </c>
      <c r="H218" s="17">
        <v>72.203000000000003</v>
      </c>
      <c r="I218" s="17">
        <v>30.39</v>
      </c>
      <c r="J218" s="17">
        <v>28.504000000000001</v>
      </c>
      <c r="K218" s="17">
        <v>53.747999999999998</v>
      </c>
    </row>
    <row r="219" spans="2:11" x14ac:dyDescent="0.2">
      <c r="B219" s="17">
        <v>5.5</v>
      </c>
      <c r="C219" s="17">
        <v>78.313999999999993</v>
      </c>
      <c r="D219" s="17">
        <v>83.817999999999998</v>
      </c>
      <c r="E219" s="17">
        <v>72.358999999999995</v>
      </c>
      <c r="F219" s="17">
        <v>66.426000000000002</v>
      </c>
      <c r="G219" s="17">
        <v>72.481999999999999</v>
      </c>
      <c r="H219" s="17">
        <v>71.965999999999994</v>
      </c>
      <c r="I219" s="17">
        <v>30.289000000000001</v>
      </c>
      <c r="J219" s="17">
        <v>28.452000000000002</v>
      </c>
      <c r="K219" s="17">
        <v>53.658999999999999</v>
      </c>
    </row>
    <row r="220" spans="2:11" x14ac:dyDescent="0.2">
      <c r="B220" s="17">
        <v>5.5166666666666666</v>
      </c>
      <c r="C220" s="17">
        <v>78.272999999999996</v>
      </c>
      <c r="D220" s="17">
        <v>83.647000000000006</v>
      </c>
      <c r="E220" s="17">
        <v>72.242999999999995</v>
      </c>
      <c r="F220" s="17">
        <v>66.290999999999997</v>
      </c>
      <c r="G220" s="17">
        <v>72.364999999999995</v>
      </c>
      <c r="H220" s="17">
        <v>71.763000000000005</v>
      </c>
      <c r="I220" s="17">
        <v>30.178999999999998</v>
      </c>
      <c r="J220" s="17">
        <v>28.356000000000002</v>
      </c>
      <c r="K220" s="17">
        <v>53.473999999999997</v>
      </c>
    </row>
    <row r="221" spans="2:11" x14ac:dyDescent="0.2">
      <c r="B221" s="17">
        <v>5.5333333333333332</v>
      </c>
      <c r="C221" s="17">
        <v>78.248999999999995</v>
      </c>
      <c r="D221" s="17">
        <v>83.772999999999996</v>
      </c>
      <c r="E221" s="17">
        <v>72.19</v>
      </c>
      <c r="F221" s="17">
        <v>66.248000000000005</v>
      </c>
      <c r="G221" s="17">
        <v>72.128</v>
      </c>
      <c r="H221" s="17">
        <v>71.831000000000003</v>
      </c>
      <c r="I221" s="17">
        <v>30.08</v>
      </c>
      <c r="J221" s="17">
        <v>28.210999999999999</v>
      </c>
      <c r="K221" s="17">
        <v>53.432000000000002</v>
      </c>
    </row>
    <row r="222" spans="2:11" x14ac:dyDescent="0.2">
      <c r="B222" s="17">
        <v>5.55</v>
      </c>
      <c r="C222" s="17">
        <v>78.052999999999997</v>
      </c>
      <c r="D222" s="17">
        <v>83.665000000000006</v>
      </c>
      <c r="E222" s="17">
        <v>72.183000000000007</v>
      </c>
      <c r="F222" s="17">
        <v>66.418000000000006</v>
      </c>
      <c r="G222" s="17">
        <v>72.099999999999994</v>
      </c>
      <c r="H222" s="17">
        <v>71.697000000000003</v>
      </c>
      <c r="I222" s="17">
        <v>30.053000000000001</v>
      </c>
      <c r="J222" s="17">
        <v>28.152000000000001</v>
      </c>
      <c r="K222" s="17">
        <v>53.35</v>
      </c>
    </row>
    <row r="223" spans="2:11" x14ac:dyDescent="0.2">
      <c r="B223" s="17">
        <v>5.5666666666666664</v>
      </c>
      <c r="C223" s="17">
        <v>78.015000000000001</v>
      </c>
      <c r="D223" s="17">
        <v>83.363</v>
      </c>
      <c r="E223" s="17">
        <v>72.2</v>
      </c>
      <c r="F223" s="17">
        <v>66.084000000000003</v>
      </c>
      <c r="G223" s="17">
        <v>72.048000000000002</v>
      </c>
      <c r="H223" s="17">
        <v>71.662999999999997</v>
      </c>
      <c r="I223" s="17">
        <v>29.895</v>
      </c>
      <c r="J223" s="17">
        <v>28.047000000000001</v>
      </c>
      <c r="K223" s="17">
        <v>53.256999999999998</v>
      </c>
    </row>
    <row r="224" spans="2:11" x14ac:dyDescent="0.2">
      <c r="B224" s="17">
        <v>5.583333333333333</v>
      </c>
      <c r="C224" s="17">
        <v>77.870999999999995</v>
      </c>
      <c r="D224" s="17">
        <v>83.277000000000001</v>
      </c>
      <c r="E224" s="17">
        <v>72.042000000000002</v>
      </c>
      <c r="F224" s="17">
        <v>65.986000000000004</v>
      </c>
      <c r="G224" s="17">
        <v>71.995000000000005</v>
      </c>
      <c r="H224" s="17">
        <v>71.540999999999997</v>
      </c>
      <c r="I224" s="17">
        <v>29.826000000000001</v>
      </c>
      <c r="J224" s="17">
        <v>27.931999999999999</v>
      </c>
      <c r="K224" s="17">
        <v>53.164999999999999</v>
      </c>
    </row>
    <row r="225" spans="2:11" x14ac:dyDescent="0.2">
      <c r="B225" s="17">
        <v>5.6</v>
      </c>
      <c r="C225" s="17">
        <v>77.77</v>
      </c>
      <c r="D225" s="17">
        <v>83.558999999999997</v>
      </c>
      <c r="E225" s="17">
        <v>71.87</v>
      </c>
      <c r="F225" s="17">
        <v>65.959999999999994</v>
      </c>
      <c r="G225" s="17">
        <v>71.763000000000005</v>
      </c>
      <c r="H225" s="17">
        <v>71.539000000000001</v>
      </c>
      <c r="I225" s="17">
        <v>29.684000000000001</v>
      </c>
      <c r="J225" s="17">
        <v>27.777999999999999</v>
      </c>
      <c r="K225" s="17">
        <v>53.029000000000003</v>
      </c>
    </row>
    <row r="226" spans="2:11" x14ac:dyDescent="0.2">
      <c r="B226" s="17">
        <v>5.6166666666666663</v>
      </c>
      <c r="C226" s="17">
        <v>77.751999999999995</v>
      </c>
      <c r="D226" s="17">
        <v>83.24</v>
      </c>
      <c r="E226" s="17">
        <v>71.653999999999996</v>
      </c>
      <c r="F226" s="17">
        <v>65.912000000000006</v>
      </c>
      <c r="G226" s="17">
        <v>71.790999999999997</v>
      </c>
      <c r="H226" s="17">
        <v>71.394999999999996</v>
      </c>
      <c r="I226" s="17">
        <v>29.594000000000001</v>
      </c>
      <c r="J226" s="17">
        <v>27.713000000000001</v>
      </c>
      <c r="K226" s="17">
        <v>52.984999999999999</v>
      </c>
    </row>
    <row r="227" spans="2:11" x14ac:dyDescent="0.2">
      <c r="B227" s="17">
        <v>5.6333333333333337</v>
      </c>
      <c r="C227" s="17">
        <v>77.513000000000005</v>
      </c>
      <c r="D227" s="17">
        <v>82.731999999999999</v>
      </c>
      <c r="E227" s="17">
        <v>71.875</v>
      </c>
      <c r="F227" s="17">
        <v>65.744</v>
      </c>
      <c r="G227" s="17">
        <v>71.665000000000006</v>
      </c>
      <c r="H227" s="17">
        <v>71.034000000000006</v>
      </c>
      <c r="I227" s="17">
        <v>29.457999999999998</v>
      </c>
      <c r="J227" s="17">
        <v>27.727</v>
      </c>
      <c r="K227" s="17">
        <v>52.872</v>
      </c>
    </row>
    <row r="228" spans="2:11" x14ac:dyDescent="0.2">
      <c r="B228" s="17">
        <v>5.65</v>
      </c>
      <c r="C228" s="17">
        <v>77.536000000000001</v>
      </c>
      <c r="D228" s="17">
        <v>82.822999999999993</v>
      </c>
      <c r="E228" s="17">
        <v>71.611999999999995</v>
      </c>
      <c r="F228" s="17">
        <v>65.558999999999997</v>
      </c>
      <c r="G228" s="17">
        <v>71.492000000000004</v>
      </c>
      <c r="H228" s="17">
        <v>71.069000000000003</v>
      </c>
      <c r="I228" s="17">
        <v>29.352</v>
      </c>
      <c r="J228" s="17">
        <v>27.628</v>
      </c>
      <c r="K228" s="17">
        <v>52.738999999999997</v>
      </c>
    </row>
    <row r="229" spans="2:11" x14ac:dyDescent="0.2">
      <c r="B229" s="17">
        <v>5.666666666666667</v>
      </c>
      <c r="C229" s="17">
        <v>77.387</v>
      </c>
      <c r="D229" s="17">
        <v>82.742000000000004</v>
      </c>
      <c r="E229" s="17">
        <v>71.515000000000001</v>
      </c>
      <c r="F229" s="17">
        <v>65.536000000000001</v>
      </c>
      <c r="G229" s="17">
        <v>71.41</v>
      </c>
      <c r="H229" s="17">
        <v>70.88</v>
      </c>
      <c r="I229" s="17">
        <v>29.262</v>
      </c>
      <c r="J229" s="17">
        <v>27.507000000000001</v>
      </c>
      <c r="K229" s="17">
        <v>52.713999999999999</v>
      </c>
    </row>
    <row r="230" spans="2:11" x14ac:dyDescent="0.2">
      <c r="B230" s="17">
        <v>5.6833333333333336</v>
      </c>
      <c r="C230" s="17">
        <v>77.414000000000001</v>
      </c>
      <c r="D230" s="17">
        <v>82.617999999999995</v>
      </c>
      <c r="E230" s="17">
        <v>71.402000000000001</v>
      </c>
      <c r="F230" s="17">
        <v>65.361999999999995</v>
      </c>
      <c r="G230" s="17">
        <v>71.430000000000007</v>
      </c>
      <c r="H230" s="17">
        <v>70.692999999999998</v>
      </c>
      <c r="I230" s="17">
        <v>29.151</v>
      </c>
      <c r="J230" s="17">
        <v>27.422000000000001</v>
      </c>
      <c r="K230" s="17">
        <v>52.636000000000003</v>
      </c>
    </row>
    <row r="231" spans="2:11" x14ac:dyDescent="0.2">
      <c r="B231" s="17">
        <v>5.7</v>
      </c>
      <c r="C231" s="17">
        <v>77.183000000000007</v>
      </c>
      <c r="D231" s="17">
        <v>82.403000000000006</v>
      </c>
      <c r="E231" s="17">
        <v>71.277000000000001</v>
      </c>
      <c r="F231" s="17">
        <v>65.260999999999996</v>
      </c>
      <c r="G231" s="17">
        <v>71.290000000000006</v>
      </c>
      <c r="H231" s="17">
        <v>70.619</v>
      </c>
      <c r="I231" s="17">
        <v>29.077000000000002</v>
      </c>
      <c r="J231" s="17">
        <v>27.31</v>
      </c>
      <c r="K231" s="17">
        <v>52.44</v>
      </c>
    </row>
    <row r="232" spans="2:11" x14ac:dyDescent="0.2">
      <c r="B232" s="17">
        <v>5.7166666666666668</v>
      </c>
      <c r="C232" s="17">
        <v>77.096999999999994</v>
      </c>
      <c r="D232" s="17">
        <v>82.305999999999997</v>
      </c>
      <c r="E232" s="17">
        <v>71.207999999999998</v>
      </c>
      <c r="F232" s="17">
        <v>65.188000000000002</v>
      </c>
      <c r="G232" s="17">
        <v>71.234999999999999</v>
      </c>
      <c r="H232" s="17">
        <v>70.515000000000001</v>
      </c>
      <c r="I232" s="17">
        <v>28.948</v>
      </c>
      <c r="J232" s="17">
        <v>27.231999999999999</v>
      </c>
      <c r="K232" s="17">
        <v>52.398000000000003</v>
      </c>
    </row>
    <row r="233" spans="2:11" x14ac:dyDescent="0.2">
      <c r="B233" s="17">
        <v>5.7333333333333334</v>
      </c>
      <c r="C233" s="17">
        <v>76.983000000000004</v>
      </c>
      <c r="D233" s="17">
        <v>82.087000000000003</v>
      </c>
      <c r="E233" s="17">
        <v>71.052000000000007</v>
      </c>
      <c r="F233" s="17">
        <v>65.058999999999997</v>
      </c>
      <c r="G233" s="17">
        <v>71.137</v>
      </c>
      <c r="H233" s="17">
        <v>70.507999999999996</v>
      </c>
      <c r="I233" s="17">
        <v>28.838999999999999</v>
      </c>
      <c r="J233" s="17">
        <v>27.113</v>
      </c>
      <c r="K233" s="17">
        <v>52.292999999999999</v>
      </c>
    </row>
    <row r="234" spans="2:11" x14ac:dyDescent="0.2">
      <c r="B234" s="17">
        <v>5.75</v>
      </c>
      <c r="C234" s="17">
        <v>76.927000000000007</v>
      </c>
      <c r="D234" s="17">
        <v>82.18</v>
      </c>
      <c r="E234" s="17">
        <v>70.873000000000005</v>
      </c>
      <c r="F234" s="17">
        <v>64.992999999999995</v>
      </c>
      <c r="G234" s="17">
        <v>70.995999999999995</v>
      </c>
      <c r="H234" s="17">
        <v>70.33</v>
      </c>
      <c r="I234" s="17">
        <v>28.738</v>
      </c>
      <c r="J234" s="17">
        <v>27.1</v>
      </c>
      <c r="K234" s="17">
        <v>52.237000000000002</v>
      </c>
    </row>
    <row r="235" spans="2:11" x14ac:dyDescent="0.2">
      <c r="B235" s="17">
        <v>5.7666666666666666</v>
      </c>
      <c r="C235" s="17">
        <v>76.786000000000001</v>
      </c>
      <c r="D235" s="17">
        <v>82.159000000000006</v>
      </c>
      <c r="E235" s="17">
        <v>70.733000000000004</v>
      </c>
      <c r="F235" s="17">
        <v>64.870999999999995</v>
      </c>
      <c r="G235" s="17">
        <v>70.823999999999998</v>
      </c>
      <c r="H235" s="17">
        <v>70.236000000000004</v>
      </c>
      <c r="I235" s="17">
        <v>28.625</v>
      </c>
      <c r="J235" s="17">
        <v>26.986999999999998</v>
      </c>
      <c r="K235" s="17">
        <v>52.075000000000003</v>
      </c>
    </row>
    <row r="236" spans="2:11" x14ac:dyDescent="0.2">
      <c r="B236" s="17">
        <v>5.7833333333333332</v>
      </c>
      <c r="C236" s="17">
        <v>76.847999999999999</v>
      </c>
      <c r="D236" s="17">
        <v>81.998999999999995</v>
      </c>
      <c r="E236" s="17">
        <v>70.658000000000001</v>
      </c>
      <c r="F236" s="17">
        <v>64.793999999999997</v>
      </c>
      <c r="G236" s="17">
        <v>70.912000000000006</v>
      </c>
      <c r="H236" s="17">
        <v>70.16</v>
      </c>
      <c r="I236" s="17">
        <v>28.484000000000002</v>
      </c>
      <c r="J236" s="17">
        <v>26.83</v>
      </c>
      <c r="K236" s="17">
        <v>51.963999999999999</v>
      </c>
    </row>
    <row r="237" spans="2:11" x14ac:dyDescent="0.2">
      <c r="B237" s="17">
        <v>5.8</v>
      </c>
      <c r="C237" s="17">
        <v>76.617000000000004</v>
      </c>
      <c r="D237" s="17">
        <v>81.628</v>
      </c>
      <c r="E237" s="17">
        <v>70.575999999999993</v>
      </c>
      <c r="F237" s="17">
        <v>64.721999999999994</v>
      </c>
      <c r="G237" s="17">
        <v>70.975999999999999</v>
      </c>
      <c r="H237" s="17">
        <v>70.209999999999994</v>
      </c>
      <c r="I237" s="17">
        <v>28.434000000000001</v>
      </c>
      <c r="J237" s="17">
        <v>26.731999999999999</v>
      </c>
      <c r="K237" s="17">
        <v>51.912999999999997</v>
      </c>
    </row>
    <row r="238" spans="2:11" x14ac:dyDescent="0.2">
      <c r="B238" s="17">
        <v>5.8166666666666664</v>
      </c>
      <c r="C238" s="17">
        <v>76.566000000000003</v>
      </c>
      <c r="D238" s="17">
        <v>81.662000000000006</v>
      </c>
      <c r="E238" s="17">
        <v>70.501999999999995</v>
      </c>
      <c r="F238" s="17">
        <v>64.619</v>
      </c>
      <c r="G238" s="17">
        <v>70.850999999999999</v>
      </c>
      <c r="H238" s="17">
        <v>69.95</v>
      </c>
      <c r="I238" s="17">
        <v>28.364000000000001</v>
      </c>
      <c r="J238" s="17">
        <v>26.625</v>
      </c>
      <c r="K238" s="17">
        <v>51.84</v>
      </c>
    </row>
    <row r="239" spans="2:11" x14ac:dyDescent="0.2">
      <c r="B239" s="17">
        <v>5.833333333333333</v>
      </c>
      <c r="C239" s="17">
        <v>76.337000000000003</v>
      </c>
      <c r="D239" s="17">
        <v>81.516000000000005</v>
      </c>
      <c r="E239" s="17">
        <v>70.335999999999999</v>
      </c>
      <c r="F239" s="17">
        <v>64.512</v>
      </c>
      <c r="G239" s="17">
        <v>70.691999999999993</v>
      </c>
      <c r="H239" s="17">
        <v>69.900999999999996</v>
      </c>
      <c r="I239" s="17">
        <v>28.215</v>
      </c>
      <c r="J239" s="17">
        <v>26.574999999999999</v>
      </c>
      <c r="K239" s="17">
        <v>51.792000000000002</v>
      </c>
    </row>
    <row r="240" spans="2:11" x14ac:dyDescent="0.2">
      <c r="B240" s="17">
        <v>5.85</v>
      </c>
      <c r="C240" s="17">
        <v>76.34</v>
      </c>
      <c r="D240" s="17">
        <v>81.152000000000001</v>
      </c>
      <c r="E240" s="17">
        <v>70.236000000000004</v>
      </c>
      <c r="F240" s="17">
        <v>64.394999999999996</v>
      </c>
      <c r="G240" s="17">
        <v>70.429000000000002</v>
      </c>
      <c r="H240" s="17">
        <v>69.7</v>
      </c>
      <c r="I240" s="17">
        <v>28.131</v>
      </c>
      <c r="J240" s="17">
        <v>26.443000000000001</v>
      </c>
      <c r="K240" s="17">
        <v>51.649000000000001</v>
      </c>
    </row>
    <row r="241" spans="2:11" x14ac:dyDescent="0.2">
      <c r="B241" s="17">
        <v>5.8666666666666663</v>
      </c>
      <c r="C241" s="17">
        <v>76.2</v>
      </c>
      <c r="D241" s="17">
        <v>81.207999999999998</v>
      </c>
      <c r="E241" s="17">
        <v>70.253</v>
      </c>
      <c r="F241" s="17">
        <v>64.447999999999993</v>
      </c>
      <c r="G241" s="17">
        <v>70.358999999999995</v>
      </c>
      <c r="H241" s="17">
        <v>69.674000000000007</v>
      </c>
      <c r="I241" s="17">
        <v>28.047000000000001</v>
      </c>
      <c r="J241" s="17">
        <v>26.408000000000001</v>
      </c>
      <c r="K241" s="17">
        <v>51.511000000000003</v>
      </c>
    </row>
    <row r="242" spans="2:11" x14ac:dyDescent="0.2">
      <c r="B242" s="17">
        <v>5.8833333333333337</v>
      </c>
      <c r="C242" s="17">
        <v>76.165999999999997</v>
      </c>
      <c r="D242" s="17">
        <v>80.855000000000004</v>
      </c>
      <c r="E242" s="17">
        <v>70.064999999999998</v>
      </c>
      <c r="F242" s="17">
        <v>64.361999999999995</v>
      </c>
      <c r="G242" s="17">
        <v>70.231999999999999</v>
      </c>
      <c r="H242" s="17">
        <v>69.468000000000004</v>
      </c>
      <c r="I242" s="17">
        <v>27.9</v>
      </c>
      <c r="J242" s="17">
        <v>26.251999999999999</v>
      </c>
      <c r="K242" s="17">
        <v>51.436999999999998</v>
      </c>
    </row>
    <row r="243" spans="2:11" x14ac:dyDescent="0.2">
      <c r="B243" s="17">
        <v>5.9</v>
      </c>
      <c r="C243" s="17">
        <v>76.001000000000005</v>
      </c>
      <c r="D243" s="17">
        <v>80.843000000000004</v>
      </c>
      <c r="E243" s="17">
        <v>70.025999999999996</v>
      </c>
      <c r="F243" s="17">
        <v>64.281000000000006</v>
      </c>
      <c r="G243" s="17">
        <v>70.171999999999997</v>
      </c>
      <c r="H243" s="17">
        <v>69.332999999999998</v>
      </c>
      <c r="I243" s="17">
        <v>27.841000000000001</v>
      </c>
      <c r="J243" s="17">
        <v>26.286999999999999</v>
      </c>
      <c r="K243" s="17">
        <v>51.338000000000001</v>
      </c>
    </row>
    <row r="244" spans="2:11" x14ac:dyDescent="0.2">
      <c r="B244" s="17">
        <v>5.916666666666667</v>
      </c>
      <c r="C244" s="17">
        <v>75.876999999999995</v>
      </c>
      <c r="D244" s="17">
        <v>80.83</v>
      </c>
      <c r="E244" s="17">
        <v>69.986999999999995</v>
      </c>
      <c r="F244" s="17">
        <v>64.272999999999996</v>
      </c>
      <c r="G244" s="17">
        <v>69.933999999999997</v>
      </c>
      <c r="H244" s="17">
        <v>69.301000000000002</v>
      </c>
      <c r="I244" s="17">
        <v>27.707999999999998</v>
      </c>
      <c r="J244" s="17">
        <v>26.193000000000001</v>
      </c>
      <c r="K244" s="17">
        <v>51.262</v>
      </c>
    </row>
    <row r="245" spans="2:11" x14ac:dyDescent="0.2">
      <c r="B245" s="17">
        <v>5.9333333333333336</v>
      </c>
      <c r="C245" s="17">
        <v>75.676000000000002</v>
      </c>
      <c r="D245" s="17">
        <v>80.641999999999996</v>
      </c>
      <c r="E245" s="17">
        <v>69.677000000000007</v>
      </c>
      <c r="F245" s="17">
        <v>64.093999999999994</v>
      </c>
      <c r="G245" s="17">
        <v>69.974000000000004</v>
      </c>
      <c r="H245" s="17">
        <v>69.355999999999995</v>
      </c>
      <c r="I245" s="17">
        <v>27.638999999999999</v>
      </c>
      <c r="J245" s="17">
        <v>26.016999999999999</v>
      </c>
      <c r="K245" s="17">
        <v>51.152999999999999</v>
      </c>
    </row>
    <row r="246" spans="2:11" x14ac:dyDescent="0.2">
      <c r="B246" s="17">
        <v>5.95</v>
      </c>
      <c r="C246" s="17">
        <v>75.674999999999997</v>
      </c>
      <c r="D246" s="17">
        <v>80.585999999999999</v>
      </c>
      <c r="E246" s="17">
        <v>69.677999999999997</v>
      </c>
      <c r="F246" s="17">
        <v>64.075000000000003</v>
      </c>
      <c r="G246" s="17">
        <v>69.748000000000005</v>
      </c>
      <c r="H246" s="17">
        <v>69.185000000000002</v>
      </c>
      <c r="I246" s="17">
        <v>27.539000000000001</v>
      </c>
      <c r="J246" s="17">
        <v>25.997</v>
      </c>
      <c r="K246" s="17">
        <v>51.029000000000003</v>
      </c>
    </row>
    <row r="247" spans="2:11" x14ac:dyDescent="0.2">
      <c r="B247" s="17">
        <v>5.9666666666666668</v>
      </c>
      <c r="C247" s="17">
        <v>75.466999999999999</v>
      </c>
      <c r="D247" s="17">
        <v>80.331000000000003</v>
      </c>
      <c r="E247" s="17">
        <v>69.546999999999997</v>
      </c>
      <c r="F247" s="17">
        <v>63.968000000000004</v>
      </c>
      <c r="G247" s="17">
        <v>69.646000000000001</v>
      </c>
      <c r="H247" s="17">
        <v>69.087999999999994</v>
      </c>
      <c r="I247" s="17">
        <v>27.4</v>
      </c>
      <c r="J247" s="17">
        <v>25.88</v>
      </c>
      <c r="K247" s="17">
        <v>51.012999999999998</v>
      </c>
    </row>
    <row r="248" spans="2:11" x14ac:dyDescent="0.2">
      <c r="B248" s="17">
        <v>5.9833333333333334</v>
      </c>
      <c r="C248" s="17">
        <v>75.468000000000004</v>
      </c>
      <c r="D248" s="17">
        <v>80.111999999999995</v>
      </c>
      <c r="E248" s="17">
        <v>69.481999999999999</v>
      </c>
      <c r="F248" s="17">
        <v>63.926000000000002</v>
      </c>
      <c r="G248" s="17">
        <v>69.61</v>
      </c>
      <c r="H248" s="17">
        <v>68.846999999999994</v>
      </c>
      <c r="I248" s="17">
        <v>27.300999999999998</v>
      </c>
      <c r="J248" s="17">
        <v>25.792000000000002</v>
      </c>
      <c r="K248" s="17">
        <v>50.884999999999998</v>
      </c>
    </row>
    <row r="249" spans="2:11" x14ac:dyDescent="0.2">
      <c r="B249" s="17">
        <v>6</v>
      </c>
      <c r="C249" s="17">
        <v>75.296000000000006</v>
      </c>
      <c r="D249" s="17">
        <v>80.287000000000006</v>
      </c>
      <c r="E249" s="17">
        <v>69.346999999999994</v>
      </c>
      <c r="F249" s="17">
        <v>64.23</v>
      </c>
      <c r="G249" s="17">
        <v>69.418999999999997</v>
      </c>
      <c r="H249" s="17">
        <v>68.888999999999996</v>
      </c>
      <c r="I249" s="17">
        <v>27.248000000000001</v>
      </c>
      <c r="J249" s="17">
        <v>25.713000000000001</v>
      </c>
      <c r="K249" s="17">
        <v>50.756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0"/>
  <sheetViews>
    <sheetView topLeftCell="B1" workbookViewId="0">
      <selection activeCell="D1" sqref="D1:M2"/>
    </sheetView>
  </sheetViews>
  <sheetFormatPr baseColWidth="10" defaultRowHeight="16" x14ac:dyDescent="0.2"/>
  <cols>
    <col min="2" max="2" width="12.83203125" style="37" bestFit="1" customWidth="1"/>
    <col min="3" max="8" width="10.83203125" style="35"/>
  </cols>
  <sheetData>
    <row r="1" spans="1:13" x14ac:dyDescent="0.2">
      <c r="D1" s="48" t="s">
        <v>77</v>
      </c>
      <c r="E1" s="116">
        <v>45.75</v>
      </c>
      <c r="F1" s="116">
        <v>46.21</v>
      </c>
      <c r="G1" s="116">
        <v>61.33</v>
      </c>
      <c r="H1" s="116">
        <v>58.75</v>
      </c>
      <c r="I1" s="32">
        <v>58.26</v>
      </c>
      <c r="J1" s="32">
        <v>70.94</v>
      </c>
      <c r="K1" s="32">
        <v>78.91</v>
      </c>
      <c r="L1" s="32">
        <v>58.54</v>
      </c>
      <c r="M1" s="32">
        <v>47.2</v>
      </c>
    </row>
    <row r="2" spans="1:13" x14ac:dyDescent="0.2">
      <c r="D2" s="51" t="s">
        <v>39</v>
      </c>
      <c r="E2" s="35">
        <v>3.1040000000000001</v>
      </c>
      <c r="F2" s="35">
        <v>4.1050000000000004</v>
      </c>
      <c r="G2" s="35">
        <v>3.903</v>
      </c>
      <c r="H2" s="35">
        <v>3.456</v>
      </c>
      <c r="I2" s="3">
        <v>6.5579999999999998</v>
      </c>
      <c r="J2" s="3">
        <v>4.9240000000000004</v>
      </c>
      <c r="K2" s="3">
        <v>4.9139999999999997</v>
      </c>
      <c r="L2" s="3">
        <v>4.1749999999999998</v>
      </c>
      <c r="M2" s="3">
        <v>6.92</v>
      </c>
    </row>
    <row r="3" spans="1:13" x14ac:dyDescent="0.2">
      <c r="B3" s="5"/>
      <c r="D3" s="51" t="s">
        <v>48</v>
      </c>
      <c r="E3" s="35">
        <v>1830</v>
      </c>
      <c r="F3" s="35">
        <v>1835</v>
      </c>
      <c r="G3" s="35">
        <v>1860</v>
      </c>
      <c r="H3" s="35">
        <v>1920</v>
      </c>
      <c r="I3" s="3">
        <v>1895</v>
      </c>
      <c r="J3" s="3">
        <v>1830</v>
      </c>
      <c r="K3" s="3">
        <v>1840</v>
      </c>
      <c r="L3" s="3">
        <v>1875</v>
      </c>
      <c r="M3" s="3">
        <v>1835</v>
      </c>
    </row>
    <row r="4" spans="1:13" x14ac:dyDescent="0.2">
      <c r="B4" s="5"/>
      <c r="D4" s="51" t="s">
        <v>47</v>
      </c>
      <c r="E4" s="35">
        <v>47</v>
      </c>
      <c r="F4" s="35">
        <v>45</v>
      </c>
      <c r="G4" s="35">
        <v>52</v>
      </c>
      <c r="H4" s="35">
        <v>55</v>
      </c>
      <c r="I4" s="3">
        <v>59</v>
      </c>
      <c r="J4" s="3">
        <v>69</v>
      </c>
      <c r="K4" s="3">
        <v>77</v>
      </c>
      <c r="L4" s="3">
        <v>55</v>
      </c>
      <c r="M4" s="3">
        <v>48</v>
      </c>
    </row>
    <row r="5" spans="1:13" x14ac:dyDescent="0.2">
      <c r="B5" s="5"/>
      <c r="D5" s="51" t="s">
        <v>17</v>
      </c>
      <c r="E5" s="35">
        <v>1.7829999999999999</v>
      </c>
      <c r="F5" s="35">
        <v>1.79</v>
      </c>
      <c r="G5" s="35">
        <v>1.8080000000000001</v>
      </c>
      <c r="H5" s="35">
        <v>1.865</v>
      </c>
      <c r="I5" s="3">
        <v>1.8360000000000001</v>
      </c>
      <c r="J5" s="3">
        <v>1.7609999999999999</v>
      </c>
      <c r="K5" s="3">
        <v>1.7629999999999999</v>
      </c>
      <c r="L5" s="3">
        <v>1.82</v>
      </c>
      <c r="M5" s="3">
        <v>1.7869999999999999</v>
      </c>
    </row>
    <row r="6" spans="1:13" x14ac:dyDescent="0.2">
      <c r="B6" s="34"/>
      <c r="D6" s="51" t="s">
        <v>20</v>
      </c>
      <c r="E6" s="36">
        <f t="shared" ref="E6:M6" si="0">SLOPE(E10:E130,$D10:$D130)</f>
        <v>-6.9573759653163521</v>
      </c>
      <c r="F6" s="36">
        <f t="shared" si="0"/>
        <v>-7.0238068012464403</v>
      </c>
      <c r="G6" s="36">
        <f t="shared" si="0"/>
        <v>-8.1564431648828037</v>
      </c>
      <c r="H6" s="36">
        <f t="shared" si="0"/>
        <v>-7.566799485164613</v>
      </c>
      <c r="I6" s="36">
        <f t="shared" si="0"/>
        <v>-8.0655851510635408</v>
      </c>
      <c r="J6" s="36">
        <f t="shared" si="0"/>
        <v>-7.419261346700984</v>
      </c>
      <c r="K6" s="36">
        <f t="shared" si="0"/>
        <v>-6.7989076005961282</v>
      </c>
      <c r="L6" s="36">
        <f t="shared" si="0"/>
        <v>-7.054659124779838</v>
      </c>
      <c r="M6" s="36">
        <f t="shared" si="0"/>
        <v>-6.1892861400894192</v>
      </c>
    </row>
    <row r="7" spans="1:13" x14ac:dyDescent="0.2">
      <c r="A7" s="3"/>
      <c r="B7" s="114"/>
      <c r="D7" s="54" t="s">
        <v>49</v>
      </c>
      <c r="E7" s="35">
        <f>(-1*E5*(E6-(-1.21))*5.31)/100</f>
        <v>0.54414603848104581</v>
      </c>
      <c r="F7" s="35">
        <f>(-1*F5*(F6-(-1.21))*5.31)/100</f>
        <v>0.55259652265167292</v>
      </c>
      <c r="G7" s="35">
        <f>(-1*G5*(G6-(-1.18))*5.31)/100</f>
        <v>0.66977203075594061</v>
      </c>
      <c r="H7" s="35">
        <f>(-1*H5*(H6-(-1.18))*5.31)/100</f>
        <v>0.63249433321507931</v>
      </c>
      <c r="I7" s="3">
        <f>(-1*I5*(I6-(-0.5))*5.31)/100</f>
        <v>0.7375810013134263</v>
      </c>
      <c r="J7" s="3">
        <f t="shared" ref="J7:M7" si="1">(-1*J5*(J6-(-0.5))*5.31)/100</f>
        <v>0.64701390119479696</v>
      </c>
      <c r="K7" s="3">
        <f t="shared" si="1"/>
        <v>0.58967412470208669</v>
      </c>
      <c r="L7" s="3">
        <f t="shared" si="1"/>
        <v>0.63345536713697304</v>
      </c>
      <c r="M7" s="3">
        <f t="shared" si="1"/>
        <v>0.53985465504724295</v>
      </c>
    </row>
    <row r="8" spans="1:13" x14ac:dyDescent="0.2">
      <c r="A8" s="3"/>
      <c r="B8" s="114"/>
    </row>
    <row r="9" spans="1:13" x14ac:dyDescent="0.2">
      <c r="A9" s="3"/>
      <c r="B9" s="36"/>
      <c r="D9" s="35" t="s">
        <v>74</v>
      </c>
      <c r="E9" s="35" t="s">
        <v>6</v>
      </c>
      <c r="F9" s="35" t="s">
        <v>7</v>
      </c>
      <c r="G9" s="35" t="s">
        <v>8</v>
      </c>
      <c r="H9" s="35" t="s">
        <v>9</v>
      </c>
      <c r="I9" s="115" t="s">
        <v>10</v>
      </c>
      <c r="J9" s="115" t="s">
        <v>11</v>
      </c>
      <c r="K9" s="115" t="s">
        <v>12</v>
      </c>
      <c r="L9" s="115" t="s">
        <v>13</v>
      </c>
      <c r="M9" s="115" t="s">
        <v>14</v>
      </c>
    </row>
    <row r="10" spans="1:13" x14ac:dyDescent="0.2">
      <c r="A10" s="3"/>
      <c r="B10" s="36"/>
      <c r="D10" s="35">
        <v>5</v>
      </c>
      <c r="E10" s="35">
        <v>55.463000000000001</v>
      </c>
      <c r="F10" s="35">
        <v>56.957999999999998</v>
      </c>
      <c r="G10" s="35">
        <v>64.960999999999999</v>
      </c>
      <c r="H10" s="35">
        <v>63.673000000000002</v>
      </c>
      <c r="I10">
        <v>54.892000000000003</v>
      </c>
      <c r="J10">
        <v>64.805999999999997</v>
      </c>
      <c r="K10">
        <v>42.326999999999998</v>
      </c>
      <c r="L10">
        <v>48.345999999999997</v>
      </c>
      <c r="M10">
        <v>60.808999999999997</v>
      </c>
    </row>
    <row r="11" spans="1:13" x14ac:dyDescent="0.2">
      <c r="A11" s="3"/>
      <c r="B11" s="36"/>
      <c r="D11" s="35">
        <v>5.0166666666666666</v>
      </c>
      <c r="E11" s="35">
        <v>54.866</v>
      </c>
      <c r="F11" s="35">
        <v>56.826000000000001</v>
      </c>
      <c r="G11" s="35">
        <v>64.804000000000002</v>
      </c>
      <c r="H11" s="35">
        <v>63.771000000000001</v>
      </c>
      <c r="I11">
        <v>54.744999999999997</v>
      </c>
      <c r="J11">
        <v>64.63</v>
      </c>
      <c r="K11">
        <v>42.192</v>
      </c>
      <c r="L11">
        <v>48.179000000000002</v>
      </c>
      <c r="M11">
        <v>60.686</v>
      </c>
    </row>
    <row r="12" spans="1:13" x14ac:dyDescent="0.2">
      <c r="A12" s="3"/>
      <c r="B12" s="36"/>
      <c r="D12" s="35">
        <v>5.0333333333333332</v>
      </c>
      <c r="E12" s="35">
        <v>55.265000000000001</v>
      </c>
      <c r="F12" s="35">
        <v>56.753999999999998</v>
      </c>
      <c r="G12" s="35">
        <v>64.683000000000007</v>
      </c>
      <c r="H12" s="35">
        <v>63.701000000000001</v>
      </c>
      <c r="I12">
        <v>54.63</v>
      </c>
      <c r="J12">
        <v>64.491</v>
      </c>
      <c r="K12">
        <v>42.054000000000002</v>
      </c>
      <c r="L12">
        <v>48.122999999999998</v>
      </c>
      <c r="M12">
        <v>60.633000000000003</v>
      </c>
    </row>
    <row r="13" spans="1:13" x14ac:dyDescent="0.2">
      <c r="A13" s="3"/>
      <c r="B13" s="36"/>
      <c r="D13" s="35">
        <v>5.05</v>
      </c>
      <c r="E13" s="35">
        <v>55.173000000000002</v>
      </c>
      <c r="F13" s="35">
        <v>56.652000000000001</v>
      </c>
      <c r="G13" s="35">
        <v>64.498000000000005</v>
      </c>
      <c r="H13" s="35">
        <v>63.595999999999997</v>
      </c>
      <c r="I13">
        <v>54.311999999999998</v>
      </c>
      <c r="J13">
        <v>64.39</v>
      </c>
      <c r="K13">
        <v>42.005000000000003</v>
      </c>
      <c r="L13">
        <v>47.942999999999998</v>
      </c>
      <c r="M13">
        <v>60.451000000000001</v>
      </c>
    </row>
    <row r="14" spans="1:13" x14ac:dyDescent="0.2">
      <c r="A14" s="3"/>
      <c r="B14" s="36"/>
      <c r="D14" s="35">
        <v>5.0666666666666664</v>
      </c>
      <c r="E14" s="35">
        <v>55.064999999999998</v>
      </c>
      <c r="F14" s="35">
        <v>56.506</v>
      </c>
      <c r="G14" s="35">
        <v>64.382000000000005</v>
      </c>
      <c r="H14" s="35">
        <v>63.45</v>
      </c>
      <c r="I14">
        <v>54.222000000000001</v>
      </c>
      <c r="J14">
        <v>64.284000000000006</v>
      </c>
      <c r="K14">
        <v>41.774999999999999</v>
      </c>
      <c r="L14">
        <v>47.741</v>
      </c>
      <c r="M14">
        <v>60.354999999999997</v>
      </c>
    </row>
    <row r="15" spans="1:13" x14ac:dyDescent="0.2">
      <c r="A15" s="3"/>
      <c r="B15" s="36"/>
      <c r="D15" s="35">
        <v>5.083333333333333</v>
      </c>
      <c r="E15" s="35">
        <v>54.598999999999997</v>
      </c>
      <c r="F15" s="35">
        <v>56.378</v>
      </c>
      <c r="G15" s="35">
        <v>64.182000000000002</v>
      </c>
      <c r="H15" s="35">
        <v>63.292000000000002</v>
      </c>
      <c r="I15">
        <v>54.119</v>
      </c>
      <c r="J15">
        <v>64.063999999999993</v>
      </c>
      <c r="K15">
        <v>41.710999999999999</v>
      </c>
      <c r="L15">
        <v>47.677999999999997</v>
      </c>
      <c r="M15">
        <v>60.256999999999998</v>
      </c>
    </row>
    <row r="16" spans="1:13" x14ac:dyDescent="0.2">
      <c r="A16" s="3"/>
      <c r="B16" s="36"/>
      <c r="D16" s="35">
        <v>5.0999999999999996</v>
      </c>
      <c r="E16" s="35">
        <v>54.637</v>
      </c>
      <c r="F16" s="35">
        <v>56.167000000000002</v>
      </c>
      <c r="G16" s="35">
        <v>64.082999999999998</v>
      </c>
      <c r="H16" s="35">
        <v>63.176000000000002</v>
      </c>
      <c r="I16">
        <v>53.850999999999999</v>
      </c>
      <c r="J16">
        <v>64.001000000000005</v>
      </c>
      <c r="K16">
        <v>41.515000000000001</v>
      </c>
      <c r="L16">
        <v>47.582000000000001</v>
      </c>
      <c r="M16">
        <v>60.189</v>
      </c>
    </row>
    <row r="17" spans="1:13" x14ac:dyDescent="0.2">
      <c r="A17" s="3"/>
      <c r="B17" s="36"/>
      <c r="D17" s="35">
        <v>5.1166666666666663</v>
      </c>
      <c r="E17" s="35">
        <v>54.613999999999997</v>
      </c>
      <c r="F17" s="35">
        <v>56.162999999999997</v>
      </c>
      <c r="G17" s="35">
        <v>64.007999999999996</v>
      </c>
      <c r="H17" s="35">
        <v>63.107999999999997</v>
      </c>
      <c r="I17">
        <v>53.779000000000003</v>
      </c>
      <c r="J17">
        <v>63.908999999999999</v>
      </c>
      <c r="K17">
        <v>41.426000000000002</v>
      </c>
      <c r="L17">
        <v>47.436999999999998</v>
      </c>
      <c r="M17">
        <v>59.933999999999997</v>
      </c>
    </row>
    <row r="18" spans="1:13" x14ac:dyDescent="0.2">
      <c r="A18" s="3"/>
      <c r="B18" s="36"/>
      <c r="D18" s="35">
        <v>5.1333333333333337</v>
      </c>
      <c r="E18" s="35">
        <v>54.524999999999999</v>
      </c>
      <c r="F18" s="35">
        <v>56.036000000000001</v>
      </c>
      <c r="G18" s="35">
        <v>63.776000000000003</v>
      </c>
      <c r="H18" s="35">
        <v>62.851999999999997</v>
      </c>
      <c r="I18">
        <v>53.576999999999998</v>
      </c>
      <c r="J18">
        <v>63.783000000000001</v>
      </c>
      <c r="K18">
        <v>41.265999999999998</v>
      </c>
      <c r="L18">
        <v>47.348999999999997</v>
      </c>
      <c r="M18">
        <v>59.856999999999999</v>
      </c>
    </row>
    <row r="19" spans="1:13" x14ac:dyDescent="0.2">
      <c r="A19" s="3"/>
      <c r="B19" s="36"/>
      <c r="D19" s="35">
        <v>5.15</v>
      </c>
      <c r="E19" s="35">
        <v>54.432000000000002</v>
      </c>
      <c r="F19" s="35">
        <v>55.88</v>
      </c>
      <c r="G19" s="35">
        <v>63.765999999999998</v>
      </c>
      <c r="H19" s="35">
        <v>62.758000000000003</v>
      </c>
      <c r="I19">
        <v>53.511000000000003</v>
      </c>
      <c r="J19">
        <v>63.69</v>
      </c>
      <c r="K19">
        <v>41.204999999999998</v>
      </c>
      <c r="L19">
        <v>47.162999999999997</v>
      </c>
      <c r="M19">
        <v>59.725999999999999</v>
      </c>
    </row>
    <row r="20" spans="1:13" x14ac:dyDescent="0.2">
      <c r="A20" s="3"/>
      <c r="B20" s="36"/>
      <c r="D20" s="35">
        <v>5.166666666666667</v>
      </c>
      <c r="E20" s="35">
        <v>53.878</v>
      </c>
      <c r="F20" s="35">
        <v>55.718000000000004</v>
      </c>
      <c r="G20" s="35">
        <v>63.526000000000003</v>
      </c>
      <c r="H20" s="35">
        <v>62.649000000000001</v>
      </c>
      <c r="I20">
        <v>53.338999999999999</v>
      </c>
      <c r="J20">
        <v>63.597000000000001</v>
      </c>
      <c r="K20">
        <v>40.927</v>
      </c>
      <c r="L20">
        <v>47.081000000000003</v>
      </c>
      <c r="M20">
        <v>59.645000000000003</v>
      </c>
    </row>
    <row r="21" spans="1:13" x14ac:dyDescent="0.2">
      <c r="A21" s="3"/>
      <c r="B21" s="36"/>
      <c r="D21" s="35">
        <v>5.1833333333333336</v>
      </c>
      <c r="E21" s="35">
        <v>54.142000000000003</v>
      </c>
      <c r="F21" s="35">
        <v>55.667000000000002</v>
      </c>
      <c r="G21" s="35">
        <v>63.432000000000002</v>
      </c>
      <c r="H21" s="35">
        <v>62.460999999999999</v>
      </c>
      <c r="I21">
        <v>53.203000000000003</v>
      </c>
      <c r="J21">
        <v>63.448999999999998</v>
      </c>
      <c r="K21">
        <v>40.927999999999997</v>
      </c>
      <c r="L21">
        <v>46.988</v>
      </c>
      <c r="M21">
        <v>59.598999999999997</v>
      </c>
    </row>
    <row r="22" spans="1:13" x14ac:dyDescent="0.2">
      <c r="A22" s="3"/>
      <c r="B22" s="36"/>
      <c r="D22" s="35">
        <v>5.2</v>
      </c>
      <c r="E22" s="35">
        <v>53.997</v>
      </c>
      <c r="F22" s="35">
        <v>55.539000000000001</v>
      </c>
      <c r="G22" s="35">
        <v>63.283000000000001</v>
      </c>
      <c r="H22" s="35">
        <v>62.317999999999998</v>
      </c>
      <c r="I22">
        <v>53.081000000000003</v>
      </c>
      <c r="J22">
        <v>63.323999999999998</v>
      </c>
      <c r="K22">
        <v>40.847999999999999</v>
      </c>
      <c r="L22">
        <v>46.725000000000001</v>
      </c>
      <c r="M22">
        <v>59.506</v>
      </c>
    </row>
    <row r="23" spans="1:13" x14ac:dyDescent="0.2">
      <c r="A23" s="3"/>
      <c r="B23" s="36"/>
      <c r="D23" s="35">
        <v>5.2166666666666668</v>
      </c>
      <c r="E23" s="35">
        <v>53.914999999999999</v>
      </c>
      <c r="F23" s="35">
        <v>55.465000000000003</v>
      </c>
      <c r="G23" s="35">
        <v>63.118000000000002</v>
      </c>
      <c r="H23" s="35">
        <v>62.225999999999999</v>
      </c>
      <c r="I23">
        <v>52.938000000000002</v>
      </c>
      <c r="J23">
        <v>63.207000000000001</v>
      </c>
      <c r="K23">
        <v>40.555</v>
      </c>
      <c r="L23">
        <v>46.642000000000003</v>
      </c>
      <c r="M23">
        <v>59.405999999999999</v>
      </c>
    </row>
    <row r="24" spans="1:13" x14ac:dyDescent="0.2">
      <c r="A24" s="3"/>
      <c r="B24" s="36"/>
      <c r="D24" s="35">
        <v>5.2333333333333334</v>
      </c>
      <c r="E24" s="35">
        <v>53.847000000000001</v>
      </c>
      <c r="F24" s="35">
        <v>55.262</v>
      </c>
      <c r="G24" s="35">
        <v>62.944000000000003</v>
      </c>
      <c r="H24" s="35">
        <v>62.133000000000003</v>
      </c>
      <c r="I24">
        <v>52.859000000000002</v>
      </c>
      <c r="J24">
        <v>63.006</v>
      </c>
      <c r="K24">
        <v>40.476999999999997</v>
      </c>
      <c r="L24">
        <v>46.567999999999998</v>
      </c>
      <c r="M24">
        <v>59.320999999999998</v>
      </c>
    </row>
    <row r="25" spans="1:13" x14ac:dyDescent="0.2">
      <c r="A25" s="3"/>
      <c r="B25" s="36"/>
      <c r="D25" s="35">
        <v>5.25</v>
      </c>
      <c r="E25" s="35">
        <v>53.197000000000003</v>
      </c>
      <c r="F25" s="35">
        <v>55.204999999999998</v>
      </c>
      <c r="G25" s="35">
        <v>62.896000000000001</v>
      </c>
      <c r="H25" s="35">
        <v>61.948999999999998</v>
      </c>
      <c r="I25">
        <v>52.683999999999997</v>
      </c>
      <c r="J25">
        <v>62.944000000000003</v>
      </c>
      <c r="K25">
        <v>40.375</v>
      </c>
      <c r="L25">
        <v>46.427999999999997</v>
      </c>
      <c r="M25">
        <v>59.256</v>
      </c>
    </row>
    <row r="26" spans="1:13" x14ac:dyDescent="0.2">
      <c r="A26" s="3"/>
      <c r="B26" s="36"/>
      <c r="D26" s="35">
        <v>5.2666666666666666</v>
      </c>
      <c r="E26" s="35">
        <v>53.582000000000001</v>
      </c>
      <c r="F26" s="35">
        <v>54.984999999999999</v>
      </c>
      <c r="G26" s="35">
        <v>62.679000000000002</v>
      </c>
      <c r="H26" s="35">
        <v>61.8</v>
      </c>
      <c r="I26">
        <v>52.639000000000003</v>
      </c>
      <c r="J26">
        <v>62.76</v>
      </c>
      <c r="K26">
        <v>40.317999999999998</v>
      </c>
      <c r="L26">
        <v>46.320999999999998</v>
      </c>
      <c r="M26">
        <v>59.094999999999999</v>
      </c>
    </row>
    <row r="27" spans="1:13" x14ac:dyDescent="0.2">
      <c r="A27" s="3"/>
      <c r="B27" s="36"/>
      <c r="D27" s="35">
        <v>5.2833333333333332</v>
      </c>
      <c r="E27" s="35">
        <v>53.32</v>
      </c>
      <c r="F27" s="35">
        <v>54.869</v>
      </c>
      <c r="G27" s="35">
        <v>62.554000000000002</v>
      </c>
      <c r="H27" s="35">
        <v>61.622</v>
      </c>
      <c r="I27">
        <v>52.439</v>
      </c>
      <c r="J27">
        <v>62.802999999999997</v>
      </c>
      <c r="K27">
        <v>40.156999999999996</v>
      </c>
      <c r="L27">
        <v>46.136000000000003</v>
      </c>
      <c r="M27">
        <v>59.04</v>
      </c>
    </row>
    <row r="28" spans="1:13" x14ac:dyDescent="0.2">
      <c r="A28" s="3"/>
      <c r="B28" s="36"/>
      <c r="D28" s="35">
        <v>5.3</v>
      </c>
      <c r="E28" s="35">
        <v>53.279000000000003</v>
      </c>
      <c r="F28" s="35">
        <v>54.786000000000001</v>
      </c>
      <c r="G28" s="35">
        <v>62.466000000000001</v>
      </c>
      <c r="H28" s="35">
        <v>61.558</v>
      </c>
      <c r="I28">
        <v>52.25</v>
      </c>
      <c r="J28">
        <v>62.716999999999999</v>
      </c>
      <c r="K28">
        <v>40.040999999999997</v>
      </c>
      <c r="L28">
        <v>46.015999999999998</v>
      </c>
      <c r="M28">
        <v>58.966999999999999</v>
      </c>
    </row>
    <row r="29" spans="1:13" x14ac:dyDescent="0.2">
      <c r="A29" s="3"/>
      <c r="B29" s="36"/>
      <c r="D29" s="35">
        <v>5.3166666666666664</v>
      </c>
      <c r="E29" s="35">
        <v>52.762999999999998</v>
      </c>
      <c r="F29" s="35">
        <v>54.738999999999997</v>
      </c>
      <c r="G29" s="35">
        <v>62.204999999999998</v>
      </c>
      <c r="H29" s="35">
        <v>61.393000000000001</v>
      </c>
      <c r="I29">
        <v>52.19</v>
      </c>
      <c r="J29">
        <v>62.536999999999999</v>
      </c>
      <c r="K29">
        <v>39.899000000000001</v>
      </c>
      <c r="L29">
        <v>45.932000000000002</v>
      </c>
      <c r="M29">
        <v>58.796999999999997</v>
      </c>
    </row>
    <row r="30" spans="1:13" x14ac:dyDescent="0.2">
      <c r="A30" s="3"/>
      <c r="B30" s="36"/>
      <c r="D30" s="35">
        <v>5.333333333333333</v>
      </c>
      <c r="E30" s="35">
        <v>52.972000000000001</v>
      </c>
      <c r="F30" s="35">
        <v>54.564999999999998</v>
      </c>
      <c r="G30" s="35">
        <v>62.186</v>
      </c>
      <c r="H30" s="35">
        <v>61.215000000000003</v>
      </c>
      <c r="I30">
        <v>52.097999999999999</v>
      </c>
      <c r="J30">
        <v>62.448</v>
      </c>
      <c r="K30">
        <v>39.776000000000003</v>
      </c>
      <c r="L30">
        <v>45.817</v>
      </c>
      <c r="M30">
        <v>58.628</v>
      </c>
    </row>
    <row r="31" spans="1:13" x14ac:dyDescent="0.2">
      <c r="A31" s="3"/>
      <c r="B31" s="36"/>
      <c r="D31" s="35">
        <v>5.35</v>
      </c>
      <c r="E31" s="35">
        <v>52.856000000000002</v>
      </c>
      <c r="F31" s="35">
        <v>54.457000000000001</v>
      </c>
      <c r="G31" s="35">
        <v>61.857999999999997</v>
      </c>
      <c r="H31" s="35">
        <v>61.103000000000002</v>
      </c>
      <c r="I31">
        <v>51.899000000000001</v>
      </c>
      <c r="J31">
        <v>62.337000000000003</v>
      </c>
      <c r="K31">
        <v>39.633000000000003</v>
      </c>
      <c r="L31">
        <v>45.636000000000003</v>
      </c>
      <c r="M31">
        <v>58.609000000000002</v>
      </c>
    </row>
    <row r="32" spans="1:13" x14ac:dyDescent="0.2">
      <c r="A32" s="3"/>
      <c r="B32" s="36"/>
      <c r="D32" s="35">
        <v>5.3666666666666663</v>
      </c>
      <c r="E32" s="35">
        <v>52.320999999999998</v>
      </c>
      <c r="F32" s="35">
        <v>54.29</v>
      </c>
      <c r="G32" s="35">
        <v>61.89</v>
      </c>
      <c r="H32" s="35">
        <v>60.933999999999997</v>
      </c>
      <c r="I32">
        <v>51.845999999999997</v>
      </c>
      <c r="J32">
        <v>62.186999999999998</v>
      </c>
      <c r="K32">
        <v>39.584000000000003</v>
      </c>
      <c r="L32">
        <v>45.567999999999998</v>
      </c>
      <c r="M32">
        <v>58.567999999999998</v>
      </c>
    </row>
    <row r="33" spans="1:13" x14ac:dyDescent="0.2">
      <c r="A33" s="3"/>
      <c r="B33" s="36"/>
      <c r="D33" s="35">
        <v>5.3833333333333337</v>
      </c>
      <c r="E33" s="35">
        <v>52.585000000000001</v>
      </c>
      <c r="F33" s="35">
        <v>54.11</v>
      </c>
      <c r="G33" s="35">
        <v>61.61</v>
      </c>
      <c r="H33" s="35">
        <v>60.854999999999997</v>
      </c>
      <c r="I33">
        <v>51.667999999999999</v>
      </c>
      <c r="J33">
        <v>62.033000000000001</v>
      </c>
      <c r="K33">
        <v>39.375999999999998</v>
      </c>
      <c r="L33">
        <v>45.488999999999997</v>
      </c>
      <c r="M33">
        <v>58.478999999999999</v>
      </c>
    </row>
    <row r="34" spans="1:13" x14ac:dyDescent="0.2">
      <c r="A34" s="3"/>
      <c r="B34" s="36"/>
      <c r="D34" s="35">
        <v>5.4</v>
      </c>
      <c r="E34" s="35">
        <v>52.448999999999998</v>
      </c>
      <c r="F34" s="35">
        <v>54.006999999999998</v>
      </c>
      <c r="G34" s="35">
        <v>61.665999999999997</v>
      </c>
      <c r="H34" s="35">
        <v>60.716999999999999</v>
      </c>
      <c r="I34">
        <v>51.59</v>
      </c>
      <c r="J34">
        <v>61.89</v>
      </c>
      <c r="K34">
        <v>39.241</v>
      </c>
      <c r="L34">
        <v>45.298999999999999</v>
      </c>
      <c r="M34">
        <v>58.292000000000002</v>
      </c>
    </row>
    <row r="35" spans="1:13" x14ac:dyDescent="0.2">
      <c r="A35" s="3"/>
      <c r="B35" s="36"/>
      <c r="D35" s="35">
        <v>5.416666666666667</v>
      </c>
      <c r="E35" s="35">
        <v>52.371000000000002</v>
      </c>
      <c r="F35" s="35">
        <v>53.847000000000001</v>
      </c>
      <c r="G35" s="35">
        <v>61.457999999999998</v>
      </c>
      <c r="H35" s="35">
        <v>60.613999999999997</v>
      </c>
      <c r="I35">
        <v>51.451000000000001</v>
      </c>
      <c r="J35">
        <v>61.728000000000002</v>
      </c>
      <c r="K35">
        <v>39.152999999999999</v>
      </c>
      <c r="L35">
        <v>45.228000000000002</v>
      </c>
      <c r="M35">
        <v>58.226999999999997</v>
      </c>
    </row>
    <row r="36" spans="1:13" x14ac:dyDescent="0.2">
      <c r="A36" s="3"/>
      <c r="B36" s="36"/>
      <c r="D36" s="35">
        <v>5.4333333333333336</v>
      </c>
      <c r="E36" s="35">
        <v>51.98</v>
      </c>
      <c r="F36" s="35">
        <v>53.707999999999998</v>
      </c>
      <c r="G36" s="35">
        <v>61.235999999999997</v>
      </c>
      <c r="H36" s="35">
        <v>60.515999999999998</v>
      </c>
      <c r="I36">
        <v>51.37</v>
      </c>
      <c r="J36">
        <v>61.781999999999996</v>
      </c>
      <c r="K36">
        <v>39.067</v>
      </c>
      <c r="L36">
        <v>45.125999999999998</v>
      </c>
      <c r="M36">
        <v>58.143999999999998</v>
      </c>
    </row>
    <row r="37" spans="1:13" x14ac:dyDescent="0.2">
      <c r="A37" s="3"/>
      <c r="B37" s="36"/>
      <c r="D37" s="35">
        <v>5.45</v>
      </c>
      <c r="E37" s="35">
        <v>52.073</v>
      </c>
      <c r="F37" s="35">
        <v>53.581000000000003</v>
      </c>
      <c r="G37" s="35">
        <v>61.216999999999999</v>
      </c>
      <c r="H37" s="35">
        <v>60.313000000000002</v>
      </c>
      <c r="I37">
        <v>51.194000000000003</v>
      </c>
      <c r="J37">
        <v>61.61</v>
      </c>
      <c r="K37">
        <v>38.917999999999999</v>
      </c>
      <c r="L37">
        <v>45.021999999999998</v>
      </c>
      <c r="M37">
        <v>57.912999999999997</v>
      </c>
    </row>
    <row r="38" spans="1:13" x14ac:dyDescent="0.2">
      <c r="A38" s="3"/>
      <c r="B38" s="36"/>
      <c r="D38" s="35">
        <v>5.4666666666666668</v>
      </c>
      <c r="E38" s="35">
        <v>52.034999999999997</v>
      </c>
      <c r="F38" s="35">
        <v>53.418999999999997</v>
      </c>
      <c r="G38" s="35">
        <v>61.040999999999997</v>
      </c>
      <c r="H38" s="35">
        <v>60.219000000000001</v>
      </c>
      <c r="I38">
        <v>51.018000000000001</v>
      </c>
      <c r="J38">
        <v>61.517000000000003</v>
      </c>
      <c r="K38">
        <v>38.753</v>
      </c>
      <c r="L38">
        <v>44.844000000000001</v>
      </c>
      <c r="M38">
        <v>57.887</v>
      </c>
    </row>
    <row r="39" spans="1:13" x14ac:dyDescent="0.2">
      <c r="A39" s="3"/>
      <c r="B39" s="36"/>
      <c r="D39" s="35">
        <v>5.4833333333333334</v>
      </c>
      <c r="E39" s="35">
        <v>51.688000000000002</v>
      </c>
      <c r="F39" s="35">
        <v>53.319000000000003</v>
      </c>
      <c r="G39" s="35">
        <v>60.939</v>
      </c>
      <c r="H39" s="35">
        <v>60.158000000000001</v>
      </c>
      <c r="I39">
        <v>50.908000000000001</v>
      </c>
      <c r="J39">
        <v>61.279000000000003</v>
      </c>
      <c r="K39">
        <v>38.648000000000003</v>
      </c>
      <c r="L39">
        <v>44.664999999999999</v>
      </c>
      <c r="M39">
        <v>57.853000000000002</v>
      </c>
    </row>
    <row r="40" spans="1:13" x14ac:dyDescent="0.2">
      <c r="A40" s="3"/>
      <c r="B40" s="36"/>
      <c r="D40" s="35">
        <v>5.5</v>
      </c>
      <c r="E40" s="35">
        <v>51.7</v>
      </c>
      <c r="F40" s="35">
        <v>53.161000000000001</v>
      </c>
      <c r="G40" s="35">
        <v>60.793999999999997</v>
      </c>
      <c r="H40" s="35">
        <v>59.970999999999997</v>
      </c>
      <c r="I40">
        <v>50.838000000000001</v>
      </c>
      <c r="J40">
        <v>61.185000000000002</v>
      </c>
      <c r="K40">
        <v>38.500999999999998</v>
      </c>
      <c r="L40">
        <v>44.567999999999998</v>
      </c>
      <c r="M40">
        <v>57.722000000000001</v>
      </c>
    </row>
    <row r="41" spans="1:13" x14ac:dyDescent="0.2">
      <c r="A41" s="3"/>
      <c r="B41" s="36"/>
      <c r="D41" s="35">
        <v>5.5166666666666666</v>
      </c>
      <c r="E41" s="35">
        <v>51.61</v>
      </c>
      <c r="F41" s="35">
        <v>52.988999999999997</v>
      </c>
      <c r="G41" s="35">
        <v>60.63</v>
      </c>
      <c r="H41" s="35">
        <v>59.942</v>
      </c>
      <c r="I41">
        <v>50.62</v>
      </c>
      <c r="J41">
        <v>61.064999999999998</v>
      </c>
      <c r="K41">
        <v>38.393999999999998</v>
      </c>
      <c r="L41">
        <v>44.478000000000002</v>
      </c>
      <c r="M41">
        <v>57.643000000000001</v>
      </c>
    </row>
    <row r="42" spans="1:13" x14ac:dyDescent="0.2">
      <c r="A42" s="3"/>
      <c r="B42" s="36"/>
      <c r="D42" s="35">
        <v>5.5333333333333332</v>
      </c>
      <c r="E42" s="35">
        <v>51.084000000000003</v>
      </c>
      <c r="F42" s="35">
        <v>52.997999999999998</v>
      </c>
      <c r="G42" s="35">
        <v>60.335999999999999</v>
      </c>
      <c r="H42" s="35">
        <v>59.726999999999997</v>
      </c>
      <c r="I42">
        <v>50.347999999999999</v>
      </c>
      <c r="J42">
        <v>60.956000000000003</v>
      </c>
      <c r="K42">
        <v>38.325000000000003</v>
      </c>
      <c r="L42">
        <v>44.353000000000002</v>
      </c>
      <c r="M42">
        <v>57.476999999999997</v>
      </c>
    </row>
    <row r="43" spans="1:13" x14ac:dyDescent="0.2">
      <c r="A43" s="3"/>
      <c r="B43" s="36"/>
      <c r="D43" s="35">
        <v>5.55</v>
      </c>
      <c r="E43" s="35">
        <v>51.292999999999999</v>
      </c>
      <c r="F43" s="35">
        <v>52.853999999999999</v>
      </c>
      <c r="G43" s="35">
        <v>60.363</v>
      </c>
      <c r="H43" s="35">
        <v>59.52</v>
      </c>
      <c r="I43">
        <v>50.22</v>
      </c>
      <c r="J43">
        <v>60.753</v>
      </c>
      <c r="K43">
        <v>38.183</v>
      </c>
      <c r="L43">
        <v>44.247</v>
      </c>
      <c r="M43">
        <v>57.42</v>
      </c>
    </row>
    <row r="44" spans="1:13" x14ac:dyDescent="0.2">
      <c r="A44" s="3"/>
      <c r="B44" s="36"/>
      <c r="D44" s="35">
        <v>5.5666666666666664</v>
      </c>
      <c r="E44" s="35">
        <v>51.176000000000002</v>
      </c>
      <c r="F44" s="35">
        <v>52.722000000000001</v>
      </c>
      <c r="G44" s="35">
        <v>60.194000000000003</v>
      </c>
      <c r="H44" s="35">
        <v>59.47</v>
      </c>
      <c r="I44">
        <v>50.223999999999997</v>
      </c>
      <c r="J44">
        <v>60.563000000000002</v>
      </c>
      <c r="K44">
        <v>38.046999999999997</v>
      </c>
      <c r="L44">
        <v>44.073</v>
      </c>
      <c r="M44">
        <v>57.36</v>
      </c>
    </row>
    <row r="45" spans="1:13" x14ac:dyDescent="0.2">
      <c r="A45" s="3"/>
      <c r="B45" s="36"/>
      <c r="D45" s="35">
        <v>5.583333333333333</v>
      </c>
      <c r="E45" s="35">
        <v>51.091000000000001</v>
      </c>
      <c r="F45" s="35">
        <v>52.628999999999998</v>
      </c>
      <c r="G45" s="35">
        <v>60.072000000000003</v>
      </c>
      <c r="H45" s="35">
        <v>59.345999999999997</v>
      </c>
      <c r="I45">
        <v>50.026000000000003</v>
      </c>
      <c r="J45">
        <v>60.628999999999998</v>
      </c>
      <c r="K45">
        <v>37.976999999999997</v>
      </c>
      <c r="L45">
        <v>43.997</v>
      </c>
      <c r="M45">
        <v>57.204000000000001</v>
      </c>
    </row>
    <row r="46" spans="1:13" x14ac:dyDescent="0.2">
      <c r="A46" s="3"/>
      <c r="B46" s="36"/>
      <c r="D46" s="35">
        <v>5.6</v>
      </c>
      <c r="E46" s="35">
        <v>50.677999999999997</v>
      </c>
      <c r="F46" s="35">
        <v>52.503999999999998</v>
      </c>
      <c r="G46" s="35">
        <v>59.805</v>
      </c>
      <c r="H46" s="35">
        <v>59.231999999999999</v>
      </c>
      <c r="I46">
        <v>49.905999999999999</v>
      </c>
      <c r="J46">
        <v>60.484000000000002</v>
      </c>
      <c r="K46">
        <v>37.789000000000001</v>
      </c>
      <c r="L46">
        <v>43.872999999999998</v>
      </c>
      <c r="M46">
        <v>57.116</v>
      </c>
    </row>
    <row r="47" spans="1:13" x14ac:dyDescent="0.2">
      <c r="A47" s="3"/>
      <c r="B47" s="36"/>
      <c r="D47" s="35">
        <v>5.6166666666666663</v>
      </c>
      <c r="E47" s="35">
        <v>50.747999999999998</v>
      </c>
      <c r="F47" s="35">
        <v>52.372999999999998</v>
      </c>
      <c r="G47" s="35">
        <v>59.656999999999996</v>
      </c>
      <c r="H47" s="35">
        <v>59.133000000000003</v>
      </c>
      <c r="I47">
        <v>49.777999999999999</v>
      </c>
      <c r="J47">
        <v>60.271999999999998</v>
      </c>
      <c r="K47">
        <v>37.709000000000003</v>
      </c>
      <c r="L47">
        <v>43.762999999999998</v>
      </c>
      <c r="M47">
        <v>56.996000000000002</v>
      </c>
    </row>
    <row r="48" spans="1:13" x14ac:dyDescent="0.2">
      <c r="A48" s="3"/>
      <c r="B48" s="36"/>
      <c r="D48" s="35">
        <v>5.6333333333333337</v>
      </c>
      <c r="E48" s="35">
        <v>50.642000000000003</v>
      </c>
      <c r="F48" s="35">
        <v>52.258000000000003</v>
      </c>
      <c r="G48" s="35">
        <v>59.691000000000003</v>
      </c>
      <c r="H48" s="35">
        <v>59.036999999999999</v>
      </c>
      <c r="I48">
        <v>49.639000000000003</v>
      </c>
      <c r="J48">
        <v>60.011000000000003</v>
      </c>
      <c r="K48">
        <v>37.558999999999997</v>
      </c>
      <c r="L48">
        <v>43.618000000000002</v>
      </c>
      <c r="M48">
        <v>56.869</v>
      </c>
    </row>
    <row r="49" spans="1:13" x14ac:dyDescent="0.2">
      <c r="A49" s="3"/>
      <c r="B49" s="36"/>
      <c r="D49" s="35">
        <v>5.65</v>
      </c>
      <c r="E49" s="35">
        <v>50.173000000000002</v>
      </c>
      <c r="F49" s="35">
        <v>52.134</v>
      </c>
      <c r="G49" s="35">
        <v>59.371000000000002</v>
      </c>
      <c r="H49" s="35">
        <v>58.863999999999997</v>
      </c>
      <c r="I49">
        <v>49.402999999999999</v>
      </c>
      <c r="J49">
        <v>59.963999999999999</v>
      </c>
      <c r="K49">
        <v>37.512</v>
      </c>
      <c r="L49">
        <v>43.527999999999999</v>
      </c>
      <c r="M49">
        <v>56.822000000000003</v>
      </c>
    </row>
    <row r="50" spans="1:13" x14ac:dyDescent="0.2">
      <c r="A50" s="3"/>
      <c r="B50" s="36"/>
      <c r="D50" s="35">
        <v>5.666666666666667</v>
      </c>
      <c r="E50" s="35">
        <v>50.433</v>
      </c>
      <c r="F50" s="35">
        <v>51.936999999999998</v>
      </c>
      <c r="G50" s="35">
        <v>59.343000000000004</v>
      </c>
      <c r="H50" s="35">
        <v>58.789000000000001</v>
      </c>
      <c r="I50">
        <v>49.289000000000001</v>
      </c>
      <c r="J50">
        <v>59.889000000000003</v>
      </c>
      <c r="K50">
        <v>37.396000000000001</v>
      </c>
      <c r="L50">
        <v>43.401000000000003</v>
      </c>
      <c r="M50">
        <v>56.668999999999997</v>
      </c>
    </row>
    <row r="51" spans="1:13" x14ac:dyDescent="0.2">
      <c r="A51" s="3"/>
      <c r="B51" s="36"/>
      <c r="D51" s="35">
        <v>5.6833333333333336</v>
      </c>
      <c r="E51" s="35">
        <v>50.24</v>
      </c>
      <c r="F51" s="35">
        <v>51.96</v>
      </c>
      <c r="G51" s="35">
        <v>59.155999999999999</v>
      </c>
      <c r="H51" s="35">
        <v>58.652999999999999</v>
      </c>
      <c r="I51">
        <v>49.243000000000002</v>
      </c>
      <c r="J51">
        <v>59.735999999999997</v>
      </c>
      <c r="K51">
        <v>37.225999999999999</v>
      </c>
      <c r="L51">
        <v>43.234000000000002</v>
      </c>
      <c r="M51">
        <v>56.436</v>
      </c>
    </row>
    <row r="52" spans="1:13" x14ac:dyDescent="0.2">
      <c r="A52" s="3"/>
      <c r="B52" s="36"/>
      <c r="D52" s="35">
        <v>5.7</v>
      </c>
      <c r="E52" s="35">
        <v>50.2</v>
      </c>
      <c r="F52" s="35">
        <v>51.752000000000002</v>
      </c>
      <c r="G52" s="35">
        <v>59.031999999999996</v>
      </c>
      <c r="H52" s="35">
        <v>58.542999999999999</v>
      </c>
      <c r="I52">
        <v>49.113999999999997</v>
      </c>
      <c r="J52">
        <v>59.658999999999999</v>
      </c>
      <c r="K52">
        <v>37.130000000000003</v>
      </c>
      <c r="L52">
        <v>43.201999999999998</v>
      </c>
      <c r="M52">
        <v>56.478999999999999</v>
      </c>
    </row>
    <row r="53" spans="1:13" x14ac:dyDescent="0.2">
      <c r="A53" s="3"/>
      <c r="B53" s="36"/>
      <c r="D53" s="35">
        <v>5.7166666666666668</v>
      </c>
      <c r="E53" s="35">
        <v>50.036000000000001</v>
      </c>
      <c r="F53" s="35">
        <v>51.69</v>
      </c>
      <c r="G53" s="35">
        <v>58.954000000000001</v>
      </c>
      <c r="H53" s="35">
        <v>58.374000000000002</v>
      </c>
      <c r="I53">
        <v>48.927</v>
      </c>
      <c r="J53">
        <v>59.424999999999997</v>
      </c>
      <c r="K53">
        <v>37.042000000000002</v>
      </c>
      <c r="L53">
        <v>43.04</v>
      </c>
      <c r="M53">
        <v>56.343000000000004</v>
      </c>
    </row>
    <row r="54" spans="1:13" x14ac:dyDescent="0.2">
      <c r="A54" s="3"/>
      <c r="B54" s="36"/>
      <c r="D54" s="35">
        <v>5.7333333333333334</v>
      </c>
      <c r="E54" s="35">
        <v>49.755000000000003</v>
      </c>
      <c r="F54" s="35">
        <v>51.46</v>
      </c>
      <c r="G54" s="35">
        <v>58.738</v>
      </c>
      <c r="H54" s="35">
        <v>58.210999999999999</v>
      </c>
      <c r="I54">
        <v>48.735999999999997</v>
      </c>
      <c r="J54">
        <v>59.366</v>
      </c>
      <c r="K54">
        <v>36.857999999999997</v>
      </c>
      <c r="L54">
        <v>42.975000000000001</v>
      </c>
      <c r="M54">
        <v>56.244999999999997</v>
      </c>
    </row>
    <row r="55" spans="1:13" x14ac:dyDescent="0.2">
      <c r="A55" s="3"/>
      <c r="B55" s="36"/>
      <c r="D55" s="35">
        <v>5.75</v>
      </c>
      <c r="E55" s="35">
        <v>49.704999999999998</v>
      </c>
      <c r="F55" s="35">
        <v>51.277000000000001</v>
      </c>
      <c r="G55" s="35">
        <v>58.7</v>
      </c>
      <c r="H55" s="35">
        <v>58.107999999999997</v>
      </c>
      <c r="I55">
        <v>48.622</v>
      </c>
      <c r="J55">
        <v>59.204999999999998</v>
      </c>
      <c r="K55">
        <v>36.847999999999999</v>
      </c>
      <c r="L55">
        <v>42.884</v>
      </c>
      <c r="M55">
        <v>56.182000000000002</v>
      </c>
    </row>
    <row r="56" spans="1:13" x14ac:dyDescent="0.2">
      <c r="A56" s="3"/>
      <c r="B56" s="36"/>
      <c r="D56" s="35">
        <v>5.7666666666666666</v>
      </c>
      <c r="E56" s="35">
        <v>49.604999999999997</v>
      </c>
      <c r="F56" s="35">
        <v>51.256999999999998</v>
      </c>
      <c r="G56" s="35">
        <v>58.558</v>
      </c>
      <c r="H56" s="35">
        <v>58.082000000000001</v>
      </c>
      <c r="I56">
        <v>48.47</v>
      </c>
      <c r="J56">
        <v>59.113999999999997</v>
      </c>
      <c r="K56">
        <v>36.700000000000003</v>
      </c>
      <c r="L56">
        <v>42.703000000000003</v>
      </c>
      <c r="M56">
        <v>56.024999999999999</v>
      </c>
    </row>
    <row r="57" spans="1:13" x14ac:dyDescent="0.2">
      <c r="A57" s="3"/>
      <c r="B57" s="36"/>
      <c r="D57" s="35">
        <v>5.7833333333333332</v>
      </c>
      <c r="E57" s="35">
        <v>49.253</v>
      </c>
      <c r="F57" s="35">
        <v>51.122999999999998</v>
      </c>
      <c r="G57" s="35">
        <v>58.433999999999997</v>
      </c>
      <c r="H57" s="35">
        <v>57.886000000000003</v>
      </c>
      <c r="I57">
        <v>48.372999999999998</v>
      </c>
      <c r="J57">
        <v>59</v>
      </c>
      <c r="K57">
        <v>36.536000000000001</v>
      </c>
      <c r="L57">
        <v>42.56</v>
      </c>
      <c r="M57">
        <v>55.975999999999999</v>
      </c>
    </row>
    <row r="58" spans="1:13" x14ac:dyDescent="0.2">
      <c r="A58" s="3"/>
      <c r="B58" s="36"/>
      <c r="D58" s="35">
        <v>5.8</v>
      </c>
      <c r="E58" s="35">
        <v>49.308999999999997</v>
      </c>
      <c r="F58" s="35">
        <v>51.008000000000003</v>
      </c>
      <c r="G58" s="35">
        <v>58.33</v>
      </c>
      <c r="H58" s="35">
        <v>57.765000000000001</v>
      </c>
      <c r="I58">
        <v>48.173000000000002</v>
      </c>
      <c r="J58">
        <v>58.9</v>
      </c>
      <c r="K58">
        <v>36.369999999999997</v>
      </c>
      <c r="L58">
        <v>42.475000000000001</v>
      </c>
      <c r="M58">
        <v>55.889000000000003</v>
      </c>
    </row>
    <row r="59" spans="1:13" x14ac:dyDescent="0.2">
      <c r="A59" s="3"/>
      <c r="B59" s="36"/>
      <c r="D59" s="35">
        <v>5.8166666666666664</v>
      </c>
      <c r="E59" s="35">
        <v>49.223999999999997</v>
      </c>
      <c r="F59" s="35">
        <v>50.929000000000002</v>
      </c>
      <c r="G59" s="35">
        <v>57.963999999999999</v>
      </c>
      <c r="H59" s="35">
        <v>57.633000000000003</v>
      </c>
      <c r="I59">
        <v>48.070999999999998</v>
      </c>
      <c r="J59">
        <v>58.713000000000001</v>
      </c>
      <c r="K59">
        <v>36.289000000000001</v>
      </c>
      <c r="L59">
        <v>42.326999999999998</v>
      </c>
      <c r="M59">
        <v>55.764000000000003</v>
      </c>
    </row>
    <row r="60" spans="1:13" x14ac:dyDescent="0.2">
      <c r="A60" s="3"/>
      <c r="B60" s="36"/>
      <c r="D60" s="35">
        <v>5.833333333333333</v>
      </c>
      <c r="E60" s="35">
        <v>48.973999999999997</v>
      </c>
      <c r="F60" s="35">
        <v>50.786999999999999</v>
      </c>
      <c r="G60" s="35">
        <v>58.023000000000003</v>
      </c>
      <c r="H60" s="35">
        <v>57.412999999999997</v>
      </c>
      <c r="I60">
        <v>47.87</v>
      </c>
      <c r="J60">
        <v>58.648000000000003</v>
      </c>
      <c r="K60">
        <v>36.14</v>
      </c>
      <c r="L60">
        <v>42.24</v>
      </c>
      <c r="M60">
        <v>55.664999999999999</v>
      </c>
    </row>
    <row r="61" spans="1:13" x14ac:dyDescent="0.2">
      <c r="A61" s="3"/>
      <c r="B61" s="36"/>
      <c r="D61" s="35">
        <v>5.85</v>
      </c>
      <c r="E61" s="35">
        <v>49.03</v>
      </c>
      <c r="F61" s="35">
        <v>50.668999999999997</v>
      </c>
      <c r="G61" s="35">
        <v>57.664000000000001</v>
      </c>
      <c r="H61" s="35">
        <v>57.332999999999998</v>
      </c>
      <c r="I61">
        <v>47.716000000000001</v>
      </c>
      <c r="J61">
        <v>58.521000000000001</v>
      </c>
      <c r="K61">
        <v>36.07</v>
      </c>
      <c r="L61">
        <v>42.112000000000002</v>
      </c>
      <c r="M61">
        <v>55.552999999999997</v>
      </c>
    </row>
    <row r="62" spans="1:13" x14ac:dyDescent="0.2">
      <c r="A62" s="3"/>
      <c r="B62" s="36"/>
      <c r="D62" s="35">
        <v>5.8666666666666663</v>
      </c>
      <c r="E62" s="35">
        <v>48.615000000000002</v>
      </c>
      <c r="F62" s="35">
        <v>50.587000000000003</v>
      </c>
      <c r="G62" s="35">
        <v>57.744999999999997</v>
      </c>
      <c r="H62" s="35">
        <v>57.232999999999997</v>
      </c>
      <c r="I62">
        <v>47.691000000000003</v>
      </c>
      <c r="J62">
        <v>58.255000000000003</v>
      </c>
      <c r="K62">
        <v>35.921999999999997</v>
      </c>
      <c r="L62">
        <v>41.997</v>
      </c>
      <c r="M62">
        <v>55.43</v>
      </c>
    </row>
    <row r="63" spans="1:13" x14ac:dyDescent="0.2">
      <c r="A63" s="3"/>
      <c r="B63" s="36"/>
      <c r="D63" s="35">
        <v>5.8833333333333337</v>
      </c>
      <c r="E63" s="35">
        <v>48.750999999999998</v>
      </c>
      <c r="F63" s="35">
        <v>50.48</v>
      </c>
      <c r="G63" s="35">
        <v>57.497999999999998</v>
      </c>
      <c r="H63" s="35">
        <v>57.088999999999999</v>
      </c>
      <c r="I63">
        <v>47.497999999999998</v>
      </c>
      <c r="J63">
        <v>58.279000000000003</v>
      </c>
      <c r="K63">
        <v>35.869</v>
      </c>
      <c r="L63">
        <v>41.832999999999998</v>
      </c>
      <c r="M63">
        <v>55.277000000000001</v>
      </c>
    </row>
    <row r="64" spans="1:13" x14ac:dyDescent="0.2">
      <c r="A64" s="3"/>
      <c r="B64" s="36"/>
      <c r="D64" s="35">
        <v>5.9</v>
      </c>
      <c r="E64" s="35">
        <v>48.22</v>
      </c>
      <c r="F64" s="35">
        <v>50.354999999999997</v>
      </c>
      <c r="G64" s="35">
        <v>57.481000000000002</v>
      </c>
      <c r="H64" s="35">
        <v>56.95</v>
      </c>
      <c r="I64">
        <v>47.368000000000002</v>
      </c>
      <c r="J64">
        <v>58.113999999999997</v>
      </c>
      <c r="K64">
        <v>35.716999999999999</v>
      </c>
      <c r="L64">
        <v>41.753999999999998</v>
      </c>
      <c r="M64">
        <v>55.216000000000001</v>
      </c>
    </row>
    <row r="65" spans="1:13" x14ac:dyDescent="0.2">
      <c r="A65" s="3"/>
      <c r="B65" s="36"/>
      <c r="D65" s="35">
        <v>5.916666666666667</v>
      </c>
      <c r="E65" s="35">
        <v>48.540999999999997</v>
      </c>
      <c r="F65" s="35">
        <v>50.207999999999998</v>
      </c>
      <c r="G65" s="35">
        <v>57.22</v>
      </c>
      <c r="H65" s="35">
        <v>56.792999999999999</v>
      </c>
      <c r="I65">
        <v>47.268000000000001</v>
      </c>
      <c r="J65">
        <v>58.009</v>
      </c>
      <c r="K65">
        <v>35.659999999999997</v>
      </c>
      <c r="L65">
        <v>41.607999999999997</v>
      </c>
      <c r="M65">
        <v>55.067999999999998</v>
      </c>
    </row>
    <row r="66" spans="1:13" x14ac:dyDescent="0.2">
      <c r="A66" s="3"/>
      <c r="B66" s="36"/>
      <c r="D66" s="35">
        <v>5.9333333333333336</v>
      </c>
      <c r="E66" s="35">
        <v>48.423000000000002</v>
      </c>
      <c r="F66" s="35">
        <v>50.113999999999997</v>
      </c>
      <c r="G66" s="35">
        <v>57.091999999999999</v>
      </c>
      <c r="H66" s="35">
        <v>56.628999999999998</v>
      </c>
      <c r="I66">
        <v>47.158000000000001</v>
      </c>
      <c r="J66">
        <v>57.914000000000001</v>
      </c>
      <c r="K66">
        <v>35.451000000000001</v>
      </c>
      <c r="L66">
        <v>41.496000000000002</v>
      </c>
      <c r="M66">
        <v>54.984999999999999</v>
      </c>
    </row>
    <row r="67" spans="1:13" x14ac:dyDescent="0.2">
      <c r="A67" s="3"/>
      <c r="B67" s="36"/>
      <c r="D67" s="35">
        <v>5.95</v>
      </c>
      <c r="E67" s="35">
        <v>48.344999999999999</v>
      </c>
      <c r="F67" s="35">
        <v>50.048999999999999</v>
      </c>
      <c r="G67" s="35">
        <v>57.027999999999999</v>
      </c>
      <c r="H67" s="35">
        <v>56.481999999999999</v>
      </c>
      <c r="I67">
        <v>47</v>
      </c>
      <c r="J67">
        <v>57.697000000000003</v>
      </c>
      <c r="K67">
        <v>35.47</v>
      </c>
      <c r="L67">
        <v>41.369</v>
      </c>
      <c r="M67">
        <v>54.860999999999997</v>
      </c>
    </row>
    <row r="68" spans="1:13" x14ac:dyDescent="0.2">
      <c r="A68" s="3"/>
      <c r="B68" s="36"/>
      <c r="D68" s="35">
        <v>5.9666666666666668</v>
      </c>
      <c r="E68" s="35">
        <v>48.131</v>
      </c>
      <c r="F68" s="35">
        <v>49.895000000000003</v>
      </c>
      <c r="G68" s="35">
        <v>56.866999999999997</v>
      </c>
      <c r="H68" s="35">
        <v>56.302</v>
      </c>
      <c r="I68">
        <v>46.847000000000001</v>
      </c>
      <c r="J68">
        <v>57.518000000000001</v>
      </c>
      <c r="K68">
        <v>35.389000000000003</v>
      </c>
      <c r="L68">
        <v>41.29</v>
      </c>
      <c r="M68">
        <v>54.805999999999997</v>
      </c>
    </row>
    <row r="69" spans="1:13" x14ac:dyDescent="0.2">
      <c r="A69" s="3"/>
      <c r="B69" s="36"/>
      <c r="D69" s="35">
        <v>5.9833333333333334</v>
      </c>
      <c r="E69" s="35">
        <v>48.067</v>
      </c>
      <c r="F69" s="35">
        <v>49.814999999999998</v>
      </c>
      <c r="G69" s="35">
        <v>56.692999999999998</v>
      </c>
      <c r="H69" s="35">
        <v>56.252000000000002</v>
      </c>
      <c r="I69">
        <v>46.698999999999998</v>
      </c>
      <c r="J69">
        <v>57.412999999999997</v>
      </c>
      <c r="K69">
        <v>35.182000000000002</v>
      </c>
      <c r="L69">
        <v>41.158999999999999</v>
      </c>
      <c r="M69">
        <v>54.710999999999999</v>
      </c>
    </row>
    <row r="70" spans="1:13" x14ac:dyDescent="0.2">
      <c r="A70" s="3"/>
      <c r="B70" s="36"/>
      <c r="D70" s="35">
        <v>6</v>
      </c>
      <c r="E70" s="35">
        <v>47.575000000000003</v>
      </c>
      <c r="F70" s="35">
        <v>49.621000000000002</v>
      </c>
      <c r="G70" s="35">
        <v>56.64</v>
      </c>
      <c r="H70" s="35">
        <v>55.929000000000002</v>
      </c>
      <c r="I70">
        <v>46.530999999999999</v>
      </c>
      <c r="J70">
        <v>57.323</v>
      </c>
      <c r="K70">
        <v>35.161000000000001</v>
      </c>
      <c r="L70">
        <v>41.03</v>
      </c>
      <c r="M70">
        <v>54.54</v>
      </c>
    </row>
    <row r="71" spans="1:13" x14ac:dyDescent="0.2">
      <c r="A71" s="3"/>
      <c r="B71" s="36"/>
      <c r="D71" s="35">
        <v>6.0166666666666666</v>
      </c>
      <c r="E71" s="35">
        <v>47.795000000000002</v>
      </c>
      <c r="F71" s="35">
        <v>49.55</v>
      </c>
      <c r="G71" s="35">
        <v>56.362000000000002</v>
      </c>
      <c r="H71" s="35">
        <v>56.006999999999998</v>
      </c>
      <c r="I71">
        <v>46.375999999999998</v>
      </c>
      <c r="J71">
        <v>57.185000000000002</v>
      </c>
      <c r="K71">
        <v>34.997</v>
      </c>
      <c r="L71">
        <v>40.9</v>
      </c>
      <c r="M71">
        <v>54.478999999999999</v>
      </c>
    </row>
    <row r="72" spans="1:13" x14ac:dyDescent="0.2">
      <c r="A72" s="3"/>
      <c r="B72" s="36"/>
      <c r="D72" s="35">
        <v>6.0333333333333332</v>
      </c>
      <c r="E72" s="35">
        <v>47.719000000000001</v>
      </c>
      <c r="F72" s="35">
        <v>49.430999999999997</v>
      </c>
      <c r="G72" s="35">
        <v>56.345999999999997</v>
      </c>
      <c r="H72" s="35">
        <v>55.947000000000003</v>
      </c>
      <c r="I72">
        <v>46.307000000000002</v>
      </c>
      <c r="J72">
        <v>57.177</v>
      </c>
      <c r="K72">
        <v>34.923999999999999</v>
      </c>
      <c r="L72">
        <v>40.801000000000002</v>
      </c>
      <c r="M72">
        <v>54.3</v>
      </c>
    </row>
    <row r="73" spans="1:13" x14ac:dyDescent="0.2">
      <c r="A73" s="3"/>
      <c r="B73" s="36"/>
      <c r="D73" s="35">
        <v>6.05</v>
      </c>
      <c r="E73" s="35">
        <v>47.472999999999999</v>
      </c>
      <c r="F73" s="35">
        <v>49.353000000000002</v>
      </c>
      <c r="G73" s="35">
        <v>56.207999999999998</v>
      </c>
      <c r="H73" s="35">
        <v>55.747</v>
      </c>
      <c r="I73">
        <v>46.155999999999999</v>
      </c>
      <c r="J73">
        <v>56.951999999999998</v>
      </c>
      <c r="K73">
        <v>34.789000000000001</v>
      </c>
      <c r="L73">
        <v>40.682000000000002</v>
      </c>
      <c r="M73">
        <v>54.204000000000001</v>
      </c>
    </row>
    <row r="74" spans="1:13" x14ac:dyDescent="0.2">
      <c r="A74" s="3"/>
      <c r="B74" s="36"/>
      <c r="D74" s="35">
        <v>6.0666666666666664</v>
      </c>
      <c r="E74" s="35">
        <v>47.561</v>
      </c>
      <c r="F74" s="35">
        <v>49.271999999999998</v>
      </c>
      <c r="G74" s="35">
        <v>56.058999999999997</v>
      </c>
      <c r="H74" s="35">
        <v>55.645000000000003</v>
      </c>
      <c r="I74">
        <v>46.023000000000003</v>
      </c>
      <c r="J74">
        <v>56.845999999999997</v>
      </c>
      <c r="K74">
        <v>34.668999999999997</v>
      </c>
      <c r="L74">
        <v>40.570999999999998</v>
      </c>
      <c r="M74">
        <v>54.095999999999997</v>
      </c>
    </row>
    <row r="75" spans="1:13" x14ac:dyDescent="0.2">
      <c r="A75" s="3"/>
      <c r="B75" s="36"/>
      <c r="D75" s="35">
        <v>6.083333333333333</v>
      </c>
      <c r="E75" s="35">
        <v>46.856999999999999</v>
      </c>
      <c r="F75" s="35">
        <v>49.137</v>
      </c>
      <c r="G75" s="35">
        <v>55.709000000000003</v>
      </c>
      <c r="H75" s="35">
        <v>55.529000000000003</v>
      </c>
      <c r="I75">
        <v>45.923999999999999</v>
      </c>
      <c r="J75">
        <v>56.686999999999998</v>
      </c>
      <c r="K75">
        <v>34.588000000000001</v>
      </c>
      <c r="L75">
        <v>40.484000000000002</v>
      </c>
      <c r="M75">
        <v>54.011000000000003</v>
      </c>
    </row>
    <row r="76" spans="1:13" x14ac:dyDescent="0.2">
      <c r="A76" s="3"/>
      <c r="B76" s="36"/>
      <c r="D76" s="35">
        <v>6.1</v>
      </c>
      <c r="E76" s="35">
        <v>47.323999999999998</v>
      </c>
      <c r="F76" s="35">
        <v>48.944000000000003</v>
      </c>
      <c r="G76" s="35">
        <v>55.795999999999999</v>
      </c>
      <c r="H76" s="35">
        <v>55.435000000000002</v>
      </c>
      <c r="I76">
        <v>45.768999999999998</v>
      </c>
      <c r="J76">
        <v>56.625</v>
      </c>
      <c r="K76">
        <v>34.433999999999997</v>
      </c>
      <c r="L76">
        <v>40.268999999999998</v>
      </c>
      <c r="M76">
        <v>53.902000000000001</v>
      </c>
    </row>
    <row r="77" spans="1:13" x14ac:dyDescent="0.2">
      <c r="A77" s="3"/>
      <c r="B77" s="36"/>
      <c r="D77" s="35">
        <v>6.1166666666666663</v>
      </c>
      <c r="E77" s="35">
        <v>47.238</v>
      </c>
      <c r="F77" s="35">
        <v>48.923000000000002</v>
      </c>
      <c r="G77" s="35">
        <v>55.619</v>
      </c>
      <c r="H77" s="35">
        <v>55.25</v>
      </c>
      <c r="I77">
        <v>45.570999999999998</v>
      </c>
      <c r="J77">
        <v>56.521000000000001</v>
      </c>
      <c r="K77">
        <v>34.366999999999997</v>
      </c>
      <c r="L77">
        <v>40.218000000000004</v>
      </c>
      <c r="M77">
        <v>53.777000000000001</v>
      </c>
    </row>
    <row r="78" spans="1:13" x14ac:dyDescent="0.2">
      <c r="A78" s="3"/>
      <c r="B78" s="36"/>
      <c r="D78" s="35">
        <v>6.1333333333333337</v>
      </c>
      <c r="E78" s="35">
        <v>47.183999999999997</v>
      </c>
      <c r="F78" s="35">
        <v>48.8</v>
      </c>
      <c r="G78" s="35">
        <v>55.496000000000002</v>
      </c>
      <c r="H78" s="35">
        <v>55.136000000000003</v>
      </c>
      <c r="I78">
        <v>45.444000000000003</v>
      </c>
      <c r="J78">
        <v>56.305999999999997</v>
      </c>
      <c r="K78">
        <v>34.179000000000002</v>
      </c>
      <c r="L78">
        <v>40.134999999999998</v>
      </c>
      <c r="M78">
        <v>53.643000000000001</v>
      </c>
    </row>
    <row r="79" spans="1:13" x14ac:dyDescent="0.2">
      <c r="A79" s="3"/>
      <c r="B79" s="36"/>
      <c r="D79" s="35">
        <v>6.15</v>
      </c>
      <c r="E79" s="35">
        <v>47.115000000000002</v>
      </c>
      <c r="F79" s="35">
        <v>48.67</v>
      </c>
      <c r="G79" s="35">
        <v>55.228000000000002</v>
      </c>
      <c r="H79" s="35">
        <v>54.838000000000001</v>
      </c>
      <c r="I79">
        <v>45.378999999999998</v>
      </c>
      <c r="J79">
        <v>56.216000000000001</v>
      </c>
      <c r="K79">
        <v>34.119</v>
      </c>
      <c r="L79">
        <v>40.03</v>
      </c>
      <c r="M79">
        <v>53.557000000000002</v>
      </c>
    </row>
    <row r="80" spans="1:13" x14ac:dyDescent="0.2">
      <c r="A80" s="3"/>
      <c r="B80" s="36"/>
      <c r="D80" s="35">
        <v>6.166666666666667</v>
      </c>
      <c r="E80" s="35">
        <v>46.835000000000001</v>
      </c>
      <c r="F80" s="35">
        <v>48.573999999999998</v>
      </c>
      <c r="G80" s="35">
        <v>55.03</v>
      </c>
      <c r="H80" s="35">
        <v>54.814999999999998</v>
      </c>
      <c r="I80">
        <v>45.237000000000002</v>
      </c>
      <c r="J80">
        <v>56.067</v>
      </c>
      <c r="K80">
        <v>33.954000000000001</v>
      </c>
      <c r="L80">
        <v>39.911999999999999</v>
      </c>
      <c r="M80">
        <v>53.463000000000001</v>
      </c>
    </row>
    <row r="81" spans="1:13" x14ac:dyDescent="0.2">
      <c r="A81" s="3"/>
      <c r="B81" s="36"/>
      <c r="D81" s="35">
        <v>6.1833333333333336</v>
      </c>
      <c r="E81" s="35">
        <v>46.835000000000001</v>
      </c>
      <c r="F81" s="35">
        <v>48.436</v>
      </c>
      <c r="G81" s="35">
        <v>55.082999999999998</v>
      </c>
      <c r="H81" s="35">
        <v>54.747</v>
      </c>
      <c r="I81">
        <v>45.042000000000002</v>
      </c>
      <c r="J81">
        <v>55.927</v>
      </c>
      <c r="K81">
        <v>33.896000000000001</v>
      </c>
      <c r="L81">
        <v>39.762999999999998</v>
      </c>
      <c r="M81">
        <v>53.415999999999997</v>
      </c>
    </row>
    <row r="82" spans="1:13" x14ac:dyDescent="0.2">
      <c r="A82" s="3"/>
      <c r="B82" s="36"/>
      <c r="D82" s="35">
        <v>6.2</v>
      </c>
      <c r="E82" s="35">
        <v>46.771999999999998</v>
      </c>
      <c r="F82" s="35">
        <v>48.337000000000003</v>
      </c>
      <c r="G82" s="35">
        <v>54.939</v>
      </c>
      <c r="H82" s="35">
        <v>54.566000000000003</v>
      </c>
      <c r="I82">
        <v>44.844000000000001</v>
      </c>
      <c r="J82">
        <v>55.841000000000001</v>
      </c>
      <c r="K82">
        <v>33.747</v>
      </c>
      <c r="L82">
        <v>39.691000000000003</v>
      </c>
      <c r="M82">
        <v>53.247999999999998</v>
      </c>
    </row>
    <row r="83" spans="1:13" x14ac:dyDescent="0.2">
      <c r="A83" s="3"/>
      <c r="B83" s="36"/>
      <c r="D83" s="35">
        <v>6.2166666666666668</v>
      </c>
      <c r="E83" s="35">
        <v>46.119</v>
      </c>
      <c r="F83" s="35">
        <v>48.162999999999997</v>
      </c>
      <c r="G83" s="35">
        <v>54.761000000000003</v>
      </c>
      <c r="H83" s="35">
        <v>54.470999999999997</v>
      </c>
      <c r="I83">
        <v>44.79</v>
      </c>
      <c r="J83">
        <v>55.691000000000003</v>
      </c>
      <c r="K83">
        <v>33.680999999999997</v>
      </c>
      <c r="L83">
        <v>39.552</v>
      </c>
      <c r="M83">
        <v>53.170999999999999</v>
      </c>
    </row>
    <row r="84" spans="1:13" x14ac:dyDescent="0.2">
      <c r="A84" s="3"/>
      <c r="B84" s="36"/>
      <c r="D84" s="35">
        <v>6.2333333333333334</v>
      </c>
      <c r="E84" s="35">
        <v>46.537999999999997</v>
      </c>
      <c r="F84" s="35">
        <v>48.128999999999998</v>
      </c>
      <c r="G84" s="35">
        <v>54.677</v>
      </c>
      <c r="H84" s="35">
        <v>54.408000000000001</v>
      </c>
      <c r="I84">
        <v>44.723999999999997</v>
      </c>
      <c r="J84">
        <v>55.585000000000001</v>
      </c>
      <c r="K84">
        <v>33.561</v>
      </c>
      <c r="L84">
        <v>39.481000000000002</v>
      </c>
      <c r="M84">
        <v>53.045000000000002</v>
      </c>
    </row>
    <row r="85" spans="1:13" x14ac:dyDescent="0.2">
      <c r="A85" s="3"/>
      <c r="B85" s="36"/>
      <c r="D85" s="35">
        <v>6.25</v>
      </c>
      <c r="E85" s="35">
        <v>45.868000000000002</v>
      </c>
      <c r="F85" s="35">
        <v>47.957999999999998</v>
      </c>
      <c r="G85" s="35">
        <v>54.619</v>
      </c>
      <c r="H85" s="35">
        <v>54.273000000000003</v>
      </c>
      <c r="I85">
        <v>44.57</v>
      </c>
      <c r="J85">
        <v>55.460999999999999</v>
      </c>
      <c r="K85">
        <v>33.478999999999999</v>
      </c>
      <c r="L85">
        <v>39.305999999999997</v>
      </c>
      <c r="M85">
        <v>52.904000000000003</v>
      </c>
    </row>
    <row r="86" spans="1:13" x14ac:dyDescent="0.2">
      <c r="A86" s="3"/>
      <c r="B86" s="36"/>
      <c r="D86" s="35">
        <v>6.2666666666666666</v>
      </c>
      <c r="E86" s="35">
        <v>46.314999999999998</v>
      </c>
      <c r="F86" s="35">
        <v>47.851999999999997</v>
      </c>
      <c r="G86" s="35">
        <v>54.456000000000003</v>
      </c>
      <c r="H86" s="35">
        <v>54.189</v>
      </c>
      <c r="I86">
        <v>44.402999999999999</v>
      </c>
      <c r="J86">
        <v>55.335999999999999</v>
      </c>
      <c r="K86">
        <v>33.414999999999999</v>
      </c>
      <c r="L86">
        <v>39.250999999999998</v>
      </c>
      <c r="M86">
        <v>52.869</v>
      </c>
    </row>
    <row r="87" spans="1:13" x14ac:dyDescent="0.2">
      <c r="A87" s="3"/>
      <c r="B87" s="36"/>
      <c r="D87" s="35">
        <v>6.2833333333333332</v>
      </c>
      <c r="E87" s="35">
        <v>46.247999999999998</v>
      </c>
      <c r="F87" s="35">
        <v>47.715000000000003</v>
      </c>
      <c r="G87" s="35">
        <v>54.328000000000003</v>
      </c>
      <c r="H87" s="35">
        <v>54.048000000000002</v>
      </c>
      <c r="I87">
        <v>44.241999999999997</v>
      </c>
      <c r="J87">
        <v>55.158999999999999</v>
      </c>
      <c r="K87">
        <v>33.283999999999999</v>
      </c>
      <c r="L87">
        <v>39.113</v>
      </c>
      <c r="M87">
        <v>52.701999999999998</v>
      </c>
    </row>
    <row r="88" spans="1:13" x14ac:dyDescent="0.2">
      <c r="A88" s="3"/>
      <c r="B88" s="36"/>
      <c r="D88" s="35">
        <v>6.3</v>
      </c>
      <c r="E88" s="35">
        <v>45.774999999999999</v>
      </c>
      <c r="F88" s="35">
        <v>47.662999999999997</v>
      </c>
      <c r="G88" s="35">
        <v>54.137999999999998</v>
      </c>
      <c r="H88" s="35">
        <v>53.936999999999998</v>
      </c>
      <c r="I88">
        <v>44.106999999999999</v>
      </c>
      <c r="J88">
        <v>55.018999999999998</v>
      </c>
      <c r="K88">
        <v>33.207999999999998</v>
      </c>
      <c r="L88">
        <v>39.006999999999998</v>
      </c>
      <c r="M88">
        <v>52.673000000000002</v>
      </c>
    </row>
    <row r="89" spans="1:13" x14ac:dyDescent="0.2">
      <c r="A89" s="3"/>
      <c r="B89" s="36"/>
      <c r="D89" s="35">
        <v>6.3166666666666664</v>
      </c>
      <c r="E89" s="35">
        <v>46.031999999999996</v>
      </c>
      <c r="F89" s="35">
        <v>47.576999999999998</v>
      </c>
      <c r="G89" s="35">
        <v>54.088999999999999</v>
      </c>
      <c r="H89" s="35">
        <v>53.835000000000001</v>
      </c>
      <c r="I89">
        <v>43.993000000000002</v>
      </c>
      <c r="J89">
        <v>55</v>
      </c>
      <c r="K89">
        <v>32.988999999999997</v>
      </c>
      <c r="L89">
        <v>38.860999999999997</v>
      </c>
      <c r="M89">
        <v>52.524999999999999</v>
      </c>
    </row>
    <row r="90" spans="1:13" x14ac:dyDescent="0.2">
      <c r="A90" s="3"/>
      <c r="B90" s="36"/>
      <c r="D90" s="35">
        <v>6.333333333333333</v>
      </c>
      <c r="E90" s="35">
        <v>45.689</v>
      </c>
      <c r="F90" s="35">
        <v>47.47</v>
      </c>
      <c r="G90" s="35">
        <v>53.914999999999999</v>
      </c>
      <c r="H90" s="35">
        <v>53.671999999999997</v>
      </c>
      <c r="I90">
        <v>43.826000000000001</v>
      </c>
      <c r="J90">
        <v>54.86</v>
      </c>
      <c r="K90">
        <v>32.951000000000001</v>
      </c>
      <c r="L90">
        <v>38.710999999999999</v>
      </c>
      <c r="M90">
        <v>52.465000000000003</v>
      </c>
    </row>
    <row r="91" spans="1:13" x14ac:dyDescent="0.2">
      <c r="A91" s="3"/>
      <c r="B91" s="36"/>
      <c r="D91" s="35">
        <v>6.35</v>
      </c>
      <c r="E91" s="35">
        <v>45.381999999999998</v>
      </c>
      <c r="F91" s="35">
        <v>47.302999999999997</v>
      </c>
      <c r="G91" s="35">
        <v>53.823999999999998</v>
      </c>
      <c r="H91" s="35">
        <v>53.59</v>
      </c>
      <c r="I91">
        <v>43.811999999999998</v>
      </c>
      <c r="J91">
        <v>54.664999999999999</v>
      </c>
      <c r="K91">
        <v>32.792999999999999</v>
      </c>
      <c r="L91">
        <v>38.651000000000003</v>
      </c>
      <c r="M91">
        <v>52.366999999999997</v>
      </c>
    </row>
    <row r="92" spans="1:13" x14ac:dyDescent="0.2">
      <c r="A92" s="3"/>
      <c r="B92" s="36"/>
      <c r="D92" s="35">
        <v>6.3666666666666663</v>
      </c>
      <c r="E92" s="35">
        <v>45.598999999999997</v>
      </c>
      <c r="F92" s="35">
        <v>47.280999999999999</v>
      </c>
      <c r="G92" s="35">
        <v>53.484000000000002</v>
      </c>
      <c r="H92" s="35">
        <v>53.45</v>
      </c>
      <c r="I92">
        <v>43.600999999999999</v>
      </c>
      <c r="J92">
        <v>54.58</v>
      </c>
      <c r="K92">
        <v>32.698999999999998</v>
      </c>
      <c r="L92">
        <v>38.529000000000003</v>
      </c>
      <c r="M92">
        <v>52.203000000000003</v>
      </c>
    </row>
    <row r="93" spans="1:13" x14ac:dyDescent="0.2">
      <c r="A93" s="3"/>
      <c r="B93" s="36"/>
      <c r="D93" s="35">
        <v>6.3833333333333337</v>
      </c>
      <c r="E93" s="35">
        <v>45.511000000000003</v>
      </c>
      <c r="F93" s="35">
        <v>47.134999999999998</v>
      </c>
      <c r="G93" s="35">
        <v>53.555999999999997</v>
      </c>
      <c r="H93" s="35">
        <v>53.335000000000001</v>
      </c>
      <c r="I93">
        <v>43.475999999999999</v>
      </c>
      <c r="J93">
        <v>54.436</v>
      </c>
      <c r="K93">
        <v>32.555999999999997</v>
      </c>
      <c r="L93">
        <v>38.337000000000003</v>
      </c>
      <c r="M93">
        <v>52.067999999999998</v>
      </c>
    </row>
    <row r="94" spans="1:13" x14ac:dyDescent="0.2">
      <c r="A94" s="3"/>
      <c r="B94" s="36"/>
      <c r="D94" s="35">
        <v>6.4</v>
      </c>
      <c r="E94" s="35">
        <v>45.494999999999997</v>
      </c>
      <c r="F94" s="35">
        <v>47.002000000000002</v>
      </c>
      <c r="G94" s="35">
        <v>53.341000000000001</v>
      </c>
      <c r="H94" s="35">
        <v>53.195999999999998</v>
      </c>
      <c r="I94">
        <v>43.332999999999998</v>
      </c>
      <c r="J94">
        <v>54.351999999999997</v>
      </c>
      <c r="K94">
        <v>32.442</v>
      </c>
      <c r="L94">
        <v>38.276000000000003</v>
      </c>
      <c r="M94">
        <v>52.018000000000001</v>
      </c>
    </row>
    <row r="95" spans="1:13" x14ac:dyDescent="0.2">
      <c r="A95" s="3"/>
      <c r="B95" s="36"/>
      <c r="D95" s="35">
        <v>6.416666666666667</v>
      </c>
      <c r="E95" s="35">
        <v>45.21</v>
      </c>
      <c r="F95" s="35">
        <v>46.904000000000003</v>
      </c>
      <c r="G95" s="35">
        <v>53.21</v>
      </c>
      <c r="H95" s="35">
        <v>53.029000000000003</v>
      </c>
      <c r="I95">
        <v>43.344999999999999</v>
      </c>
      <c r="J95">
        <v>54.234000000000002</v>
      </c>
      <c r="K95">
        <v>32.264000000000003</v>
      </c>
      <c r="L95">
        <v>38.094999999999999</v>
      </c>
      <c r="M95">
        <v>51.917999999999999</v>
      </c>
    </row>
    <row r="96" spans="1:13" x14ac:dyDescent="0.2">
      <c r="A96" s="3"/>
      <c r="B96" s="36"/>
      <c r="D96" s="35">
        <v>6.4333333333333336</v>
      </c>
      <c r="E96" s="35">
        <v>44.966999999999999</v>
      </c>
      <c r="F96" s="35">
        <v>46.756999999999998</v>
      </c>
      <c r="G96" s="35">
        <v>53.039000000000001</v>
      </c>
      <c r="H96" s="35">
        <v>52.942999999999998</v>
      </c>
      <c r="I96">
        <v>43.113999999999997</v>
      </c>
      <c r="J96">
        <v>54.095999999999997</v>
      </c>
      <c r="K96">
        <v>32.231999999999999</v>
      </c>
      <c r="L96">
        <v>38.009</v>
      </c>
      <c r="M96">
        <v>51.856000000000002</v>
      </c>
    </row>
    <row r="97" spans="1:13" x14ac:dyDescent="0.2">
      <c r="A97" s="3"/>
      <c r="B97" s="36"/>
      <c r="D97" s="35">
        <v>6.45</v>
      </c>
      <c r="E97" s="35">
        <v>45.042000000000002</v>
      </c>
      <c r="F97" s="35">
        <v>46.688000000000002</v>
      </c>
      <c r="G97" s="35">
        <v>52.935000000000002</v>
      </c>
      <c r="H97" s="35">
        <v>52.755000000000003</v>
      </c>
      <c r="I97">
        <v>42.98</v>
      </c>
      <c r="J97">
        <v>53.96</v>
      </c>
      <c r="K97">
        <v>32.146000000000001</v>
      </c>
      <c r="L97">
        <v>37.814</v>
      </c>
      <c r="M97">
        <v>51.765999999999998</v>
      </c>
    </row>
    <row r="98" spans="1:13" x14ac:dyDescent="0.2">
      <c r="A98" s="3"/>
      <c r="B98" s="36"/>
      <c r="D98" s="35">
        <v>6.4666666666666668</v>
      </c>
      <c r="E98" s="35">
        <v>45.03</v>
      </c>
      <c r="F98" s="35">
        <v>46.552999999999997</v>
      </c>
      <c r="G98" s="35">
        <v>52.738</v>
      </c>
      <c r="H98" s="35">
        <v>52.720999999999997</v>
      </c>
      <c r="I98">
        <v>42.884999999999998</v>
      </c>
      <c r="J98">
        <v>53.859000000000002</v>
      </c>
      <c r="K98">
        <v>32.040999999999997</v>
      </c>
      <c r="L98">
        <v>37.783999999999999</v>
      </c>
      <c r="M98">
        <v>51.646999999999998</v>
      </c>
    </row>
    <row r="99" spans="1:13" x14ac:dyDescent="0.2">
      <c r="A99" s="3"/>
      <c r="B99" s="36"/>
      <c r="D99" s="35">
        <v>6.4833333333333334</v>
      </c>
      <c r="E99" s="35">
        <v>44.593000000000004</v>
      </c>
      <c r="F99" s="35">
        <v>46.502000000000002</v>
      </c>
      <c r="G99" s="35">
        <v>52.704999999999998</v>
      </c>
      <c r="H99" s="35">
        <v>52.575000000000003</v>
      </c>
      <c r="I99">
        <v>42.743000000000002</v>
      </c>
      <c r="J99">
        <v>53.697000000000003</v>
      </c>
      <c r="K99">
        <v>31.864999999999998</v>
      </c>
      <c r="L99">
        <v>37.71</v>
      </c>
      <c r="M99">
        <v>51.493000000000002</v>
      </c>
    </row>
    <row r="100" spans="1:13" x14ac:dyDescent="0.2">
      <c r="A100" s="3"/>
      <c r="B100" s="36"/>
      <c r="D100" s="35">
        <v>6.5</v>
      </c>
      <c r="E100" s="35">
        <v>44.851999999999997</v>
      </c>
      <c r="F100" s="35">
        <v>46.371000000000002</v>
      </c>
      <c r="G100" s="35">
        <v>52.523000000000003</v>
      </c>
      <c r="H100" s="35">
        <v>52.445999999999998</v>
      </c>
      <c r="I100">
        <v>42.594000000000001</v>
      </c>
      <c r="J100">
        <v>53.579000000000001</v>
      </c>
      <c r="K100">
        <v>31.858000000000001</v>
      </c>
      <c r="L100">
        <v>37.558999999999997</v>
      </c>
      <c r="M100">
        <v>51.404000000000003</v>
      </c>
    </row>
    <row r="101" spans="1:13" x14ac:dyDescent="0.2">
      <c r="A101" s="3"/>
      <c r="B101" s="36"/>
      <c r="D101" s="35">
        <v>6.5166666666666666</v>
      </c>
      <c r="E101" s="35">
        <v>44.776000000000003</v>
      </c>
      <c r="F101" s="35">
        <v>46.292999999999999</v>
      </c>
      <c r="G101" s="35">
        <v>52.357999999999997</v>
      </c>
      <c r="H101" s="35">
        <v>52.308999999999997</v>
      </c>
      <c r="I101">
        <v>42.49</v>
      </c>
      <c r="J101">
        <v>53.448999999999998</v>
      </c>
      <c r="K101">
        <v>31.690999999999999</v>
      </c>
      <c r="L101">
        <v>37.468000000000004</v>
      </c>
      <c r="M101">
        <v>51.311</v>
      </c>
    </row>
    <row r="102" spans="1:13" x14ac:dyDescent="0.2">
      <c r="A102" s="3"/>
      <c r="B102" s="36"/>
      <c r="D102" s="35">
        <v>6.5333333333333332</v>
      </c>
      <c r="E102" s="35">
        <v>44.506999999999998</v>
      </c>
      <c r="F102" s="35">
        <v>46.087000000000003</v>
      </c>
      <c r="G102" s="35">
        <v>52.307000000000002</v>
      </c>
      <c r="H102" s="35">
        <v>52.186</v>
      </c>
      <c r="I102">
        <v>42.344000000000001</v>
      </c>
      <c r="J102">
        <v>53.433</v>
      </c>
      <c r="K102">
        <v>31.672999999999998</v>
      </c>
      <c r="L102">
        <v>37.320999999999998</v>
      </c>
      <c r="M102">
        <v>51.137999999999998</v>
      </c>
    </row>
    <row r="103" spans="1:13" x14ac:dyDescent="0.2">
      <c r="A103" s="3"/>
      <c r="B103" s="36"/>
      <c r="D103" s="35">
        <v>6.55</v>
      </c>
      <c r="E103" s="35">
        <v>44.546999999999997</v>
      </c>
      <c r="F103" s="35">
        <v>45.954999999999998</v>
      </c>
      <c r="G103" s="35">
        <v>52.128</v>
      </c>
      <c r="H103" s="35">
        <v>52.08</v>
      </c>
      <c r="I103">
        <v>42.185000000000002</v>
      </c>
      <c r="J103">
        <v>53.250999999999998</v>
      </c>
      <c r="K103">
        <v>31.495999999999999</v>
      </c>
      <c r="L103">
        <v>37.216000000000001</v>
      </c>
      <c r="M103">
        <v>51.13</v>
      </c>
    </row>
    <row r="104" spans="1:13" x14ac:dyDescent="0.2">
      <c r="A104" s="3"/>
      <c r="B104" s="36"/>
      <c r="D104" s="35">
        <v>6.5666666666666664</v>
      </c>
      <c r="E104" s="35">
        <v>44.293999999999997</v>
      </c>
      <c r="F104" s="35">
        <v>45.896000000000001</v>
      </c>
      <c r="G104" s="35">
        <v>52.021000000000001</v>
      </c>
      <c r="H104" s="35">
        <v>51.962000000000003</v>
      </c>
      <c r="I104">
        <v>42.003</v>
      </c>
      <c r="J104">
        <v>53.149000000000001</v>
      </c>
      <c r="K104">
        <v>31.385000000000002</v>
      </c>
      <c r="L104">
        <v>37.094999999999999</v>
      </c>
      <c r="M104">
        <v>51.006</v>
      </c>
    </row>
    <row r="105" spans="1:13" x14ac:dyDescent="0.2">
      <c r="A105" s="3"/>
      <c r="B105" s="36"/>
      <c r="D105" s="35">
        <v>6.583333333333333</v>
      </c>
      <c r="E105" s="35">
        <v>44.216999999999999</v>
      </c>
      <c r="F105" s="35">
        <v>45.83</v>
      </c>
      <c r="G105" s="35">
        <v>51.930999999999997</v>
      </c>
      <c r="H105" s="35">
        <v>51.792999999999999</v>
      </c>
      <c r="I105">
        <v>41.93</v>
      </c>
      <c r="J105">
        <v>53.125</v>
      </c>
      <c r="K105">
        <v>31.231999999999999</v>
      </c>
      <c r="L105">
        <v>36.984000000000002</v>
      </c>
      <c r="M105">
        <v>50.887999999999998</v>
      </c>
    </row>
    <row r="106" spans="1:13" x14ac:dyDescent="0.2">
      <c r="A106" s="3"/>
      <c r="B106" s="36"/>
      <c r="D106" s="35">
        <v>6.6</v>
      </c>
      <c r="E106" s="35">
        <v>44.250999999999998</v>
      </c>
      <c r="F106" s="35">
        <v>45.68</v>
      </c>
      <c r="G106" s="35">
        <v>51.85</v>
      </c>
      <c r="H106" s="35">
        <v>51.643000000000001</v>
      </c>
      <c r="I106">
        <v>41.859000000000002</v>
      </c>
      <c r="J106">
        <v>52.962000000000003</v>
      </c>
      <c r="K106">
        <v>31.155999999999999</v>
      </c>
      <c r="L106">
        <v>36.875999999999998</v>
      </c>
      <c r="M106">
        <v>50.823999999999998</v>
      </c>
    </row>
    <row r="107" spans="1:13" x14ac:dyDescent="0.2">
      <c r="A107" s="3"/>
      <c r="B107" s="36"/>
      <c r="D107" s="35">
        <v>6.6166666666666663</v>
      </c>
      <c r="E107" s="35">
        <v>44.091999999999999</v>
      </c>
      <c r="F107" s="35">
        <v>45.485999999999997</v>
      </c>
      <c r="G107" s="35">
        <v>51.609000000000002</v>
      </c>
      <c r="H107" s="35">
        <v>51.597999999999999</v>
      </c>
      <c r="I107">
        <v>41.688000000000002</v>
      </c>
      <c r="J107">
        <v>52.819000000000003</v>
      </c>
      <c r="K107">
        <v>31.042000000000002</v>
      </c>
      <c r="L107">
        <v>36.770000000000003</v>
      </c>
      <c r="M107">
        <v>50.726999999999997</v>
      </c>
    </row>
    <row r="108" spans="1:13" x14ac:dyDescent="0.2">
      <c r="A108" s="3"/>
      <c r="B108" s="36"/>
      <c r="D108" s="35">
        <v>6.6333333333333337</v>
      </c>
      <c r="E108" s="35">
        <v>43.865000000000002</v>
      </c>
      <c r="F108" s="35">
        <v>45.445</v>
      </c>
      <c r="G108" s="35">
        <v>51.558</v>
      </c>
      <c r="H108" s="35">
        <v>51.52</v>
      </c>
      <c r="I108">
        <v>41.552999999999997</v>
      </c>
      <c r="J108">
        <v>52.652000000000001</v>
      </c>
      <c r="K108">
        <v>30.821000000000002</v>
      </c>
      <c r="L108">
        <v>36.640999999999998</v>
      </c>
      <c r="M108">
        <v>50.573</v>
      </c>
    </row>
    <row r="109" spans="1:13" x14ac:dyDescent="0.2">
      <c r="A109" s="3"/>
      <c r="B109" s="36"/>
      <c r="D109" s="35">
        <v>6.65</v>
      </c>
      <c r="E109" s="35">
        <v>43.936</v>
      </c>
      <c r="F109" s="35">
        <v>45.281999999999996</v>
      </c>
      <c r="G109" s="35">
        <v>51.448999999999998</v>
      </c>
      <c r="H109" s="35">
        <v>51.426000000000002</v>
      </c>
      <c r="I109">
        <v>41.457000000000001</v>
      </c>
      <c r="J109">
        <v>52.603000000000002</v>
      </c>
      <c r="K109">
        <v>30.785</v>
      </c>
      <c r="L109">
        <v>36.548999999999999</v>
      </c>
      <c r="M109">
        <v>50.470999999999997</v>
      </c>
    </row>
    <row r="110" spans="1:13" x14ac:dyDescent="0.2">
      <c r="A110" s="3"/>
      <c r="B110" s="36"/>
      <c r="D110" s="35">
        <v>6.666666666666667</v>
      </c>
      <c r="E110" s="35">
        <v>43.869</v>
      </c>
      <c r="F110" s="35">
        <v>45.155999999999999</v>
      </c>
      <c r="G110" s="35">
        <v>51.244999999999997</v>
      </c>
      <c r="H110" s="35">
        <v>51.029000000000003</v>
      </c>
      <c r="I110">
        <v>41.231999999999999</v>
      </c>
      <c r="J110">
        <v>52.430999999999997</v>
      </c>
      <c r="K110">
        <v>30.696999999999999</v>
      </c>
      <c r="L110">
        <v>36.444000000000003</v>
      </c>
      <c r="M110">
        <v>50.393999999999998</v>
      </c>
    </row>
    <row r="111" spans="1:13" x14ac:dyDescent="0.2">
      <c r="A111" s="3"/>
      <c r="B111" s="36"/>
      <c r="D111" s="35">
        <v>6.6833333333333336</v>
      </c>
      <c r="E111" s="35">
        <v>43.451000000000001</v>
      </c>
      <c r="F111" s="35">
        <v>45.088999999999999</v>
      </c>
      <c r="G111" s="35">
        <v>51.137999999999998</v>
      </c>
      <c r="H111" s="35">
        <v>51.042000000000002</v>
      </c>
      <c r="I111">
        <v>41.122</v>
      </c>
      <c r="J111">
        <v>52.360999999999997</v>
      </c>
      <c r="K111">
        <v>30.55</v>
      </c>
      <c r="L111">
        <v>36.252000000000002</v>
      </c>
      <c r="M111">
        <v>50.325000000000003</v>
      </c>
    </row>
    <row r="112" spans="1:13" x14ac:dyDescent="0.2">
      <c r="A112" s="3"/>
      <c r="B112" s="36"/>
      <c r="D112" s="35">
        <v>6.7</v>
      </c>
      <c r="E112" s="35">
        <v>43.6</v>
      </c>
      <c r="F112" s="35">
        <v>45.000999999999998</v>
      </c>
      <c r="G112" s="35">
        <v>50.892000000000003</v>
      </c>
      <c r="H112" s="35">
        <v>50.993000000000002</v>
      </c>
      <c r="I112">
        <v>41.055</v>
      </c>
      <c r="J112">
        <v>52.255000000000003</v>
      </c>
      <c r="K112">
        <v>30.509</v>
      </c>
      <c r="L112">
        <v>36.177</v>
      </c>
      <c r="M112">
        <v>50.179000000000002</v>
      </c>
    </row>
    <row r="113" spans="1:13" x14ac:dyDescent="0.2">
      <c r="A113" s="3"/>
      <c r="B113" s="36"/>
      <c r="D113" s="35">
        <v>6.7166666666666668</v>
      </c>
      <c r="E113" s="35">
        <v>43.244999999999997</v>
      </c>
      <c r="F113" s="35">
        <v>44.817999999999998</v>
      </c>
      <c r="G113" s="35">
        <v>50.933999999999997</v>
      </c>
      <c r="H113" s="35">
        <v>50.884999999999998</v>
      </c>
      <c r="I113">
        <v>40.948999999999998</v>
      </c>
      <c r="J113">
        <v>52.121000000000002</v>
      </c>
      <c r="K113">
        <v>30.448</v>
      </c>
      <c r="L113">
        <v>36.081000000000003</v>
      </c>
      <c r="M113">
        <v>50.134</v>
      </c>
    </row>
    <row r="114" spans="1:13" x14ac:dyDescent="0.2">
      <c r="A114" s="3"/>
      <c r="B114" s="36"/>
      <c r="D114" s="35">
        <v>6.7333333333333334</v>
      </c>
      <c r="E114" s="35">
        <v>43.31</v>
      </c>
      <c r="F114" s="35">
        <v>44.662999999999997</v>
      </c>
      <c r="G114" s="35">
        <v>50.720999999999997</v>
      </c>
      <c r="H114" s="35">
        <v>50.718000000000004</v>
      </c>
      <c r="I114">
        <v>40.792000000000002</v>
      </c>
      <c r="J114">
        <v>52.012</v>
      </c>
      <c r="K114">
        <v>30.268999999999998</v>
      </c>
      <c r="L114">
        <v>35.97</v>
      </c>
      <c r="M114">
        <v>50.015000000000001</v>
      </c>
    </row>
    <row r="115" spans="1:13" x14ac:dyDescent="0.2">
      <c r="A115" s="3"/>
      <c r="B115" s="36"/>
      <c r="D115" s="35">
        <v>6.75</v>
      </c>
      <c r="E115" s="35">
        <v>42.991999999999997</v>
      </c>
      <c r="F115" s="35">
        <v>44.561</v>
      </c>
      <c r="G115" s="35">
        <v>50.540999999999997</v>
      </c>
      <c r="H115" s="35">
        <v>50.631999999999998</v>
      </c>
      <c r="I115">
        <v>40.692</v>
      </c>
      <c r="J115">
        <v>51.887</v>
      </c>
      <c r="K115">
        <v>30.222999999999999</v>
      </c>
      <c r="L115">
        <v>35.843000000000004</v>
      </c>
      <c r="M115">
        <v>49.942</v>
      </c>
    </row>
    <row r="116" spans="1:13" x14ac:dyDescent="0.2">
      <c r="A116" s="3"/>
      <c r="B116" s="36"/>
      <c r="D116" s="35">
        <v>6.7666666666666666</v>
      </c>
      <c r="E116" s="35">
        <v>43.034999999999997</v>
      </c>
      <c r="F116" s="35">
        <v>44.423999999999999</v>
      </c>
      <c r="G116" s="35">
        <v>50.506999999999998</v>
      </c>
      <c r="H116" s="35">
        <v>50.494</v>
      </c>
      <c r="I116">
        <v>40.552999999999997</v>
      </c>
      <c r="J116">
        <v>51.779000000000003</v>
      </c>
      <c r="K116">
        <v>30.056000000000001</v>
      </c>
      <c r="L116">
        <v>35.720999999999997</v>
      </c>
      <c r="M116">
        <v>49.908000000000001</v>
      </c>
    </row>
    <row r="117" spans="1:13" x14ac:dyDescent="0.2">
      <c r="A117" s="3"/>
      <c r="B117" s="36"/>
      <c r="D117" s="35">
        <v>6.7833333333333332</v>
      </c>
      <c r="E117" s="35">
        <v>42.944000000000003</v>
      </c>
      <c r="F117" s="35">
        <v>44.351999999999997</v>
      </c>
      <c r="G117" s="35">
        <v>50.347000000000001</v>
      </c>
      <c r="H117" s="35">
        <v>50.378</v>
      </c>
      <c r="I117">
        <v>40.478000000000002</v>
      </c>
      <c r="J117">
        <v>51.636000000000003</v>
      </c>
      <c r="K117">
        <v>29.997</v>
      </c>
      <c r="L117">
        <v>35.603000000000002</v>
      </c>
      <c r="M117">
        <v>49.863999999999997</v>
      </c>
    </row>
    <row r="118" spans="1:13" x14ac:dyDescent="0.2">
      <c r="A118" s="3"/>
      <c r="B118" s="36"/>
      <c r="D118" s="35">
        <v>6.8</v>
      </c>
      <c r="E118" s="35">
        <v>42.628999999999998</v>
      </c>
      <c r="F118" s="35">
        <v>44.222999999999999</v>
      </c>
      <c r="G118" s="35">
        <v>50.2</v>
      </c>
      <c r="H118" s="35">
        <v>50.256</v>
      </c>
      <c r="I118">
        <v>40.33</v>
      </c>
      <c r="J118">
        <v>51.567</v>
      </c>
      <c r="K118">
        <v>29.824999999999999</v>
      </c>
      <c r="L118">
        <v>35.503999999999998</v>
      </c>
      <c r="M118">
        <v>49.749000000000002</v>
      </c>
    </row>
    <row r="119" spans="1:13" x14ac:dyDescent="0.2">
      <c r="A119" s="3"/>
      <c r="B119" s="36"/>
      <c r="D119" s="35">
        <v>6.8166666666666664</v>
      </c>
      <c r="E119" s="35">
        <v>42.7</v>
      </c>
      <c r="F119" s="35">
        <v>44.088999999999999</v>
      </c>
      <c r="G119" s="35">
        <v>50.137999999999998</v>
      </c>
      <c r="H119" s="35">
        <v>50.113999999999997</v>
      </c>
      <c r="I119">
        <v>40.192</v>
      </c>
      <c r="J119">
        <v>51.478999999999999</v>
      </c>
      <c r="K119">
        <v>29.736999999999998</v>
      </c>
      <c r="L119">
        <v>35.433999999999997</v>
      </c>
      <c r="M119">
        <v>49.661000000000001</v>
      </c>
    </row>
    <row r="120" spans="1:13" x14ac:dyDescent="0.2">
      <c r="A120" s="3"/>
      <c r="B120" s="36"/>
      <c r="D120" s="35">
        <v>6.833333333333333</v>
      </c>
      <c r="E120" s="35">
        <v>42.551000000000002</v>
      </c>
      <c r="F120" s="35">
        <v>43.988999999999997</v>
      </c>
      <c r="G120" s="35">
        <v>50.082000000000001</v>
      </c>
      <c r="H120" s="35">
        <v>49.895000000000003</v>
      </c>
      <c r="I120">
        <v>40.058</v>
      </c>
      <c r="J120">
        <v>51.320999999999998</v>
      </c>
      <c r="K120">
        <v>29.634</v>
      </c>
      <c r="L120">
        <v>35.259</v>
      </c>
      <c r="M120">
        <v>49.500999999999998</v>
      </c>
    </row>
    <row r="121" spans="1:13" x14ac:dyDescent="0.2">
      <c r="A121" s="3"/>
      <c r="B121" s="36"/>
      <c r="D121" s="35">
        <v>6.85</v>
      </c>
      <c r="E121" s="35">
        <v>42.485999999999997</v>
      </c>
      <c r="F121" s="35">
        <v>43.762999999999998</v>
      </c>
      <c r="G121" s="35">
        <v>49.917000000000002</v>
      </c>
      <c r="H121" s="35">
        <v>49.88</v>
      </c>
      <c r="I121">
        <v>39.962000000000003</v>
      </c>
      <c r="J121">
        <v>51.134</v>
      </c>
      <c r="K121">
        <v>29.544</v>
      </c>
      <c r="L121">
        <v>35.173000000000002</v>
      </c>
      <c r="M121">
        <v>49.459000000000003</v>
      </c>
    </row>
    <row r="122" spans="1:13" x14ac:dyDescent="0.2">
      <c r="A122" s="3"/>
      <c r="B122" s="36"/>
      <c r="D122" s="35">
        <v>6.8666666666666663</v>
      </c>
      <c r="E122" s="35">
        <v>42.040999999999997</v>
      </c>
      <c r="F122" s="35">
        <v>43.746000000000002</v>
      </c>
      <c r="G122" s="35">
        <v>49.645000000000003</v>
      </c>
      <c r="H122" s="35">
        <v>49.783999999999999</v>
      </c>
      <c r="I122">
        <v>39.753</v>
      </c>
      <c r="J122">
        <v>51.034999999999997</v>
      </c>
      <c r="K122">
        <v>29.465</v>
      </c>
      <c r="L122">
        <v>35.037999999999997</v>
      </c>
      <c r="M122">
        <v>49.418999999999997</v>
      </c>
    </row>
    <row r="123" spans="1:13" x14ac:dyDescent="0.2">
      <c r="A123" s="3"/>
      <c r="B123" s="36"/>
      <c r="D123" s="35">
        <v>6.8833333333333337</v>
      </c>
      <c r="E123" s="35">
        <v>42.191000000000003</v>
      </c>
      <c r="F123" s="35">
        <v>43.585999999999999</v>
      </c>
      <c r="G123" s="35">
        <v>49.639000000000003</v>
      </c>
      <c r="H123" s="35">
        <v>49.658000000000001</v>
      </c>
      <c r="I123">
        <v>39.619999999999997</v>
      </c>
      <c r="J123">
        <v>50.948</v>
      </c>
      <c r="K123">
        <v>29.329000000000001</v>
      </c>
      <c r="L123">
        <v>34.942999999999998</v>
      </c>
      <c r="M123">
        <v>49.216999999999999</v>
      </c>
    </row>
    <row r="124" spans="1:13" x14ac:dyDescent="0.2">
      <c r="A124" s="3"/>
      <c r="B124" s="36"/>
      <c r="D124" s="35">
        <v>6.9</v>
      </c>
      <c r="E124" s="35">
        <v>42.231000000000002</v>
      </c>
      <c r="F124" s="35">
        <v>43.515999999999998</v>
      </c>
      <c r="G124" s="35">
        <v>49.453000000000003</v>
      </c>
      <c r="H124" s="35">
        <v>49.503999999999998</v>
      </c>
      <c r="I124">
        <v>39.432000000000002</v>
      </c>
      <c r="J124">
        <v>50.795000000000002</v>
      </c>
      <c r="K124">
        <v>29.280999999999999</v>
      </c>
      <c r="L124">
        <v>34.844999999999999</v>
      </c>
      <c r="M124">
        <v>49.125</v>
      </c>
    </row>
    <row r="125" spans="1:13" x14ac:dyDescent="0.2">
      <c r="A125" s="3"/>
      <c r="B125" s="36"/>
      <c r="D125" s="35">
        <v>6.916666666666667</v>
      </c>
      <c r="E125" s="35">
        <v>41.862000000000002</v>
      </c>
      <c r="F125" s="35">
        <v>43.338000000000001</v>
      </c>
      <c r="G125" s="35">
        <v>49.33</v>
      </c>
      <c r="H125" s="35">
        <v>49.378999999999998</v>
      </c>
      <c r="I125">
        <v>39.25</v>
      </c>
      <c r="J125">
        <v>50.682000000000002</v>
      </c>
      <c r="K125">
        <v>29.167999999999999</v>
      </c>
      <c r="L125">
        <v>34.729999999999997</v>
      </c>
      <c r="M125">
        <v>48.993000000000002</v>
      </c>
    </row>
    <row r="126" spans="1:13" x14ac:dyDescent="0.2">
      <c r="A126" s="3"/>
      <c r="B126" s="36"/>
      <c r="D126" s="35">
        <v>6.9333333333333336</v>
      </c>
      <c r="E126" s="35">
        <v>41.896999999999998</v>
      </c>
      <c r="F126" s="35">
        <v>43.273000000000003</v>
      </c>
      <c r="G126" s="35">
        <v>49.091999999999999</v>
      </c>
      <c r="H126" s="35">
        <v>49.252000000000002</v>
      </c>
      <c r="I126">
        <v>39.201999999999998</v>
      </c>
      <c r="J126">
        <v>50.523000000000003</v>
      </c>
      <c r="K126">
        <v>29.064</v>
      </c>
      <c r="L126">
        <v>34.603999999999999</v>
      </c>
      <c r="M126">
        <v>48.966999999999999</v>
      </c>
    </row>
    <row r="127" spans="1:13" x14ac:dyDescent="0.2">
      <c r="A127" s="3"/>
      <c r="B127" s="36"/>
      <c r="D127" s="35">
        <v>6.95</v>
      </c>
      <c r="E127" s="35">
        <v>41.587000000000003</v>
      </c>
      <c r="F127" s="35">
        <v>43.133000000000003</v>
      </c>
      <c r="G127" s="35">
        <v>48.962000000000003</v>
      </c>
      <c r="H127" s="35">
        <v>49.145000000000003</v>
      </c>
      <c r="I127">
        <v>39.045999999999999</v>
      </c>
      <c r="J127">
        <v>50.363</v>
      </c>
      <c r="K127">
        <v>28.972999999999999</v>
      </c>
      <c r="L127">
        <v>34.493000000000002</v>
      </c>
      <c r="M127">
        <v>48.762</v>
      </c>
    </row>
    <row r="128" spans="1:13" x14ac:dyDescent="0.2">
      <c r="A128" s="3"/>
      <c r="B128" s="36"/>
      <c r="D128" s="35">
        <v>6.9666666666666668</v>
      </c>
      <c r="E128" s="35">
        <v>41.561999999999998</v>
      </c>
      <c r="F128" s="35">
        <v>43.048999999999999</v>
      </c>
      <c r="G128" s="35">
        <v>48.957999999999998</v>
      </c>
      <c r="H128" s="35">
        <v>48.942999999999998</v>
      </c>
      <c r="I128">
        <v>38.97</v>
      </c>
      <c r="J128">
        <v>50.293999999999997</v>
      </c>
      <c r="K128">
        <v>28.826000000000001</v>
      </c>
      <c r="L128">
        <v>34.405999999999999</v>
      </c>
      <c r="M128">
        <v>48.654000000000003</v>
      </c>
    </row>
    <row r="129" spans="1:13" x14ac:dyDescent="0.2">
      <c r="A129" s="3"/>
      <c r="B129" s="36"/>
      <c r="D129" s="35">
        <v>6.9833333333333334</v>
      </c>
      <c r="E129" s="35">
        <v>41.290999999999997</v>
      </c>
      <c r="F129" s="35">
        <v>42.915999999999997</v>
      </c>
      <c r="G129" s="35">
        <v>48.756999999999998</v>
      </c>
      <c r="H129" s="35">
        <v>48.904000000000003</v>
      </c>
      <c r="I129">
        <v>38.799999999999997</v>
      </c>
      <c r="J129">
        <v>50.113999999999997</v>
      </c>
      <c r="K129">
        <v>28.728999999999999</v>
      </c>
      <c r="L129">
        <v>34.314999999999998</v>
      </c>
      <c r="M129">
        <v>48.473999999999997</v>
      </c>
    </row>
    <row r="130" spans="1:13" x14ac:dyDescent="0.2">
      <c r="A130" s="3"/>
      <c r="B130" s="36"/>
      <c r="D130" s="35">
        <v>7</v>
      </c>
      <c r="E130" s="35">
        <v>41.366999999999997</v>
      </c>
      <c r="F130" s="35">
        <v>42.771000000000001</v>
      </c>
      <c r="G130" s="35">
        <v>48.655999999999999</v>
      </c>
      <c r="H130" s="35">
        <v>48.81</v>
      </c>
      <c r="I130">
        <v>38.679000000000002</v>
      </c>
      <c r="J130">
        <v>50.011000000000003</v>
      </c>
      <c r="K130">
        <v>28.638999999999999</v>
      </c>
      <c r="L130">
        <v>34.162999999999997</v>
      </c>
      <c r="M130">
        <v>48.420999999999999</v>
      </c>
    </row>
    <row r="131" spans="1:13" x14ac:dyDescent="0.2">
      <c r="A131" s="3"/>
      <c r="B131" s="36"/>
      <c r="D131" s="35">
        <v>7.0166666666666666</v>
      </c>
      <c r="E131" s="35">
        <v>41.320999999999998</v>
      </c>
      <c r="F131" s="35">
        <v>42.639000000000003</v>
      </c>
      <c r="G131" s="35">
        <v>48.484000000000002</v>
      </c>
      <c r="H131" s="35">
        <v>48.652000000000001</v>
      </c>
      <c r="I131">
        <v>38.573</v>
      </c>
      <c r="J131">
        <v>49.893999999999998</v>
      </c>
      <c r="K131">
        <v>28.579000000000001</v>
      </c>
      <c r="L131">
        <v>34.085000000000001</v>
      </c>
      <c r="M131">
        <v>48.359000000000002</v>
      </c>
    </row>
    <row r="132" spans="1:13" x14ac:dyDescent="0.2">
      <c r="A132" s="3"/>
      <c r="B132" s="36"/>
    </row>
    <row r="133" spans="1:13" x14ac:dyDescent="0.2">
      <c r="A133" s="3"/>
      <c r="B133" s="36"/>
    </row>
    <row r="134" spans="1:13" x14ac:dyDescent="0.2">
      <c r="A134" s="3"/>
      <c r="B134" s="36"/>
    </row>
    <row r="135" spans="1:13" x14ac:dyDescent="0.2">
      <c r="A135" s="3"/>
      <c r="B135" s="36"/>
    </row>
    <row r="136" spans="1:13" x14ac:dyDescent="0.2">
      <c r="A136" s="3"/>
      <c r="B136" s="36"/>
    </row>
    <row r="137" spans="1:13" x14ac:dyDescent="0.2">
      <c r="A137" s="3"/>
      <c r="B137" s="36"/>
    </row>
    <row r="138" spans="1:13" x14ac:dyDescent="0.2">
      <c r="A138" s="3"/>
      <c r="B138" s="36"/>
    </row>
    <row r="139" spans="1:13" x14ac:dyDescent="0.2">
      <c r="A139" s="3"/>
      <c r="B139" s="36"/>
    </row>
    <row r="140" spans="1:13" x14ac:dyDescent="0.2">
      <c r="A140" s="3"/>
      <c r="B140" s="36"/>
    </row>
    <row r="141" spans="1:13" x14ac:dyDescent="0.2">
      <c r="A141" s="3"/>
      <c r="B141" s="36"/>
    </row>
    <row r="142" spans="1:13" x14ac:dyDescent="0.2">
      <c r="A142" s="3"/>
      <c r="B142" s="36"/>
    </row>
    <row r="143" spans="1:13" x14ac:dyDescent="0.2">
      <c r="A143" s="3"/>
      <c r="B143" s="36"/>
    </row>
    <row r="144" spans="1:13" x14ac:dyDescent="0.2">
      <c r="A144" s="3"/>
      <c r="B144" s="36"/>
    </row>
    <row r="145" spans="1:2" x14ac:dyDescent="0.2">
      <c r="A145" s="3"/>
      <c r="B145" s="36"/>
    </row>
    <row r="146" spans="1:2" x14ac:dyDescent="0.2">
      <c r="A146" s="3"/>
      <c r="B146" s="36"/>
    </row>
    <row r="147" spans="1:2" x14ac:dyDescent="0.2">
      <c r="A147" s="3"/>
      <c r="B147" s="36"/>
    </row>
    <row r="148" spans="1:2" x14ac:dyDescent="0.2">
      <c r="A148" s="3"/>
      <c r="B148" s="36"/>
    </row>
    <row r="149" spans="1:2" x14ac:dyDescent="0.2">
      <c r="A149" s="3"/>
      <c r="B149" s="36"/>
    </row>
    <row r="150" spans="1:2" x14ac:dyDescent="0.2">
      <c r="A150" s="3"/>
      <c r="B150" s="36"/>
    </row>
    <row r="151" spans="1:2" x14ac:dyDescent="0.2">
      <c r="A151" s="3"/>
      <c r="B151" s="36"/>
    </row>
    <row r="152" spans="1:2" x14ac:dyDescent="0.2">
      <c r="A152" s="3"/>
      <c r="B152" s="36"/>
    </row>
    <row r="153" spans="1:2" x14ac:dyDescent="0.2">
      <c r="A153" s="3"/>
      <c r="B153" s="36"/>
    </row>
    <row r="154" spans="1:2" x14ac:dyDescent="0.2">
      <c r="A154" s="3"/>
      <c r="B154" s="36"/>
    </row>
    <row r="155" spans="1:2" x14ac:dyDescent="0.2">
      <c r="A155" s="3"/>
      <c r="B155" s="36"/>
    </row>
    <row r="156" spans="1:2" x14ac:dyDescent="0.2">
      <c r="A156" s="3"/>
      <c r="B156" s="36"/>
    </row>
    <row r="157" spans="1:2" x14ac:dyDescent="0.2">
      <c r="A157" s="3"/>
      <c r="B157" s="36"/>
    </row>
    <row r="158" spans="1:2" x14ac:dyDescent="0.2">
      <c r="A158" s="3"/>
      <c r="B158" s="36"/>
    </row>
    <row r="159" spans="1:2" x14ac:dyDescent="0.2">
      <c r="A159" s="3"/>
      <c r="B159" s="36"/>
    </row>
    <row r="160" spans="1:2" x14ac:dyDescent="0.2">
      <c r="A160" s="3"/>
      <c r="B160" s="36"/>
    </row>
    <row r="161" spans="1:2" x14ac:dyDescent="0.2">
      <c r="A161" s="3"/>
      <c r="B161" s="36"/>
    </row>
    <row r="162" spans="1:2" x14ac:dyDescent="0.2">
      <c r="A162" s="3"/>
      <c r="B162" s="36"/>
    </row>
    <row r="163" spans="1:2" x14ac:dyDescent="0.2">
      <c r="A163" s="3"/>
      <c r="B163" s="36"/>
    </row>
    <row r="164" spans="1:2" x14ac:dyDescent="0.2">
      <c r="A164" s="3"/>
      <c r="B164" s="36"/>
    </row>
    <row r="165" spans="1:2" x14ac:dyDescent="0.2">
      <c r="A165" s="3"/>
      <c r="B165" s="36"/>
    </row>
    <row r="166" spans="1:2" x14ac:dyDescent="0.2">
      <c r="A166" s="3"/>
      <c r="B166" s="36"/>
    </row>
    <row r="167" spans="1:2" x14ac:dyDescent="0.2">
      <c r="A167" s="3"/>
      <c r="B167" s="36"/>
    </row>
    <row r="168" spans="1:2" x14ac:dyDescent="0.2">
      <c r="A168" s="3"/>
      <c r="B168" s="36"/>
    </row>
    <row r="169" spans="1:2" x14ac:dyDescent="0.2">
      <c r="A169" s="3"/>
      <c r="B169" s="36"/>
    </row>
    <row r="170" spans="1:2" x14ac:dyDescent="0.2">
      <c r="A170" s="3"/>
      <c r="B170" s="36"/>
    </row>
    <row r="171" spans="1:2" x14ac:dyDescent="0.2">
      <c r="A171" s="3"/>
      <c r="B171" s="36"/>
    </row>
    <row r="172" spans="1:2" x14ac:dyDescent="0.2">
      <c r="A172" s="3"/>
      <c r="B172" s="36"/>
    </row>
    <row r="173" spans="1:2" x14ac:dyDescent="0.2">
      <c r="A173" s="3"/>
      <c r="B173" s="36"/>
    </row>
    <row r="174" spans="1:2" x14ac:dyDescent="0.2">
      <c r="A174" s="3"/>
      <c r="B174" s="36"/>
    </row>
    <row r="175" spans="1:2" x14ac:dyDescent="0.2">
      <c r="A175" s="3"/>
      <c r="B175" s="36"/>
    </row>
    <row r="176" spans="1:2" x14ac:dyDescent="0.2">
      <c r="A176" s="3"/>
      <c r="B176" s="36"/>
    </row>
    <row r="177" spans="1:2" x14ac:dyDescent="0.2">
      <c r="A177" s="3"/>
      <c r="B177" s="36"/>
    </row>
    <row r="178" spans="1:2" x14ac:dyDescent="0.2">
      <c r="A178" s="3"/>
      <c r="B178" s="36"/>
    </row>
    <row r="179" spans="1:2" x14ac:dyDescent="0.2">
      <c r="A179" s="3"/>
      <c r="B179" s="36"/>
    </row>
    <row r="180" spans="1:2" x14ac:dyDescent="0.2">
      <c r="A180" s="3"/>
      <c r="B180" s="36"/>
    </row>
    <row r="181" spans="1:2" x14ac:dyDescent="0.2">
      <c r="A181" s="3"/>
      <c r="B181" s="36"/>
    </row>
    <row r="182" spans="1:2" x14ac:dyDescent="0.2">
      <c r="A182" s="3"/>
      <c r="B182" s="36"/>
    </row>
    <row r="183" spans="1:2" x14ac:dyDescent="0.2">
      <c r="A183" s="3"/>
      <c r="B183" s="36"/>
    </row>
    <row r="184" spans="1:2" x14ac:dyDescent="0.2">
      <c r="A184" s="3"/>
      <c r="B184" s="36"/>
    </row>
    <row r="185" spans="1:2" x14ac:dyDescent="0.2">
      <c r="A185" s="3"/>
      <c r="B185" s="36"/>
    </row>
    <row r="186" spans="1:2" x14ac:dyDescent="0.2">
      <c r="A186" s="3"/>
      <c r="B186" s="36"/>
    </row>
    <row r="187" spans="1:2" x14ac:dyDescent="0.2">
      <c r="A187" s="3"/>
      <c r="B187" s="36"/>
    </row>
    <row r="188" spans="1:2" x14ac:dyDescent="0.2">
      <c r="A188" s="3"/>
      <c r="B188" s="36"/>
    </row>
    <row r="189" spans="1:2" x14ac:dyDescent="0.2">
      <c r="A189" s="3"/>
      <c r="B189" s="36"/>
    </row>
    <row r="190" spans="1:2" x14ac:dyDescent="0.2">
      <c r="A190" s="3"/>
      <c r="B190" s="36"/>
    </row>
    <row r="191" spans="1:2" x14ac:dyDescent="0.2">
      <c r="A191" s="3"/>
      <c r="B191" s="36"/>
    </row>
    <row r="192" spans="1:2" x14ac:dyDescent="0.2">
      <c r="A192" s="3"/>
      <c r="B192" s="36"/>
    </row>
    <row r="193" spans="1:2" x14ac:dyDescent="0.2">
      <c r="A193" s="3"/>
      <c r="B193" s="36"/>
    </row>
    <row r="194" spans="1:2" x14ac:dyDescent="0.2">
      <c r="A194" s="3"/>
      <c r="B194" s="36"/>
    </row>
    <row r="195" spans="1:2" x14ac:dyDescent="0.2">
      <c r="A195" s="3"/>
      <c r="B195" s="36"/>
    </row>
    <row r="196" spans="1:2" x14ac:dyDescent="0.2">
      <c r="A196" s="3"/>
      <c r="B196" s="36"/>
    </row>
    <row r="197" spans="1:2" x14ac:dyDescent="0.2">
      <c r="A197" s="3"/>
      <c r="B197" s="36"/>
    </row>
    <row r="198" spans="1:2" x14ac:dyDescent="0.2">
      <c r="A198" s="3"/>
      <c r="B198" s="36"/>
    </row>
    <row r="199" spans="1:2" x14ac:dyDescent="0.2">
      <c r="A199" s="3"/>
      <c r="B199" s="36"/>
    </row>
    <row r="200" spans="1:2" x14ac:dyDescent="0.2">
      <c r="A200" s="3"/>
      <c r="B200" s="36"/>
    </row>
    <row r="201" spans="1:2" x14ac:dyDescent="0.2">
      <c r="A201" s="3"/>
      <c r="B201" s="36"/>
    </row>
    <row r="202" spans="1:2" x14ac:dyDescent="0.2">
      <c r="A202" s="3"/>
      <c r="B202" s="36"/>
    </row>
    <row r="203" spans="1:2" x14ac:dyDescent="0.2">
      <c r="A203" s="3"/>
      <c r="B203" s="36"/>
    </row>
    <row r="204" spans="1:2" x14ac:dyDescent="0.2">
      <c r="A204" s="3"/>
      <c r="B204" s="36"/>
    </row>
    <row r="205" spans="1:2" x14ac:dyDescent="0.2">
      <c r="A205" s="3"/>
      <c r="B205" s="36"/>
    </row>
    <row r="206" spans="1:2" x14ac:dyDescent="0.2">
      <c r="A206" s="3"/>
      <c r="B206" s="36"/>
    </row>
    <row r="207" spans="1:2" x14ac:dyDescent="0.2">
      <c r="A207" s="3"/>
      <c r="B207" s="36"/>
    </row>
    <row r="208" spans="1:2" x14ac:dyDescent="0.2">
      <c r="A208" s="3"/>
      <c r="B208" s="36"/>
    </row>
    <row r="209" spans="1:2" x14ac:dyDescent="0.2">
      <c r="A209" s="3"/>
      <c r="B209" s="36"/>
    </row>
    <row r="210" spans="1:2" x14ac:dyDescent="0.2">
      <c r="A210" s="3"/>
      <c r="B210" s="36"/>
    </row>
    <row r="211" spans="1:2" x14ac:dyDescent="0.2">
      <c r="A211" s="3"/>
      <c r="B211" s="36"/>
    </row>
    <row r="212" spans="1:2" x14ac:dyDescent="0.2">
      <c r="A212" s="3"/>
      <c r="B212" s="36"/>
    </row>
    <row r="213" spans="1:2" x14ac:dyDescent="0.2">
      <c r="A213" s="3"/>
      <c r="B213" s="36"/>
    </row>
    <row r="214" spans="1:2" x14ac:dyDescent="0.2">
      <c r="A214" s="3"/>
      <c r="B214" s="36"/>
    </row>
    <row r="215" spans="1:2" x14ac:dyDescent="0.2">
      <c r="A215" s="3"/>
      <c r="B215" s="36"/>
    </row>
    <row r="216" spans="1:2" x14ac:dyDescent="0.2">
      <c r="A216" s="3"/>
      <c r="B216" s="36"/>
    </row>
    <row r="217" spans="1:2" x14ac:dyDescent="0.2">
      <c r="A217" s="3"/>
      <c r="B217" s="36"/>
    </row>
    <row r="218" spans="1:2" x14ac:dyDescent="0.2">
      <c r="A218" s="3"/>
      <c r="B218" s="36"/>
    </row>
    <row r="219" spans="1:2" x14ac:dyDescent="0.2">
      <c r="A219" s="3"/>
      <c r="B219" s="36"/>
    </row>
    <row r="220" spans="1:2" x14ac:dyDescent="0.2">
      <c r="A220" s="3"/>
      <c r="B220" s="36"/>
    </row>
    <row r="221" spans="1:2" x14ac:dyDescent="0.2">
      <c r="A221" s="3"/>
      <c r="B221" s="36"/>
    </row>
    <row r="222" spans="1:2" x14ac:dyDescent="0.2">
      <c r="A222" s="3"/>
      <c r="B222" s="36"/>
    </row>
    <row r="223" spans="1:2" x14ac:dyDescent="0.2">
      <c r="A223" s="3"/>
      <c r="B223" s="36"/>
    </row>
    <row r="224" spans="1:2" x14ac:dyDescent="0.2">
      <c r="A224" s="3"/>
      <c r="B224" s="36"/>
    </row>
    <row r="225" spans="1:2" x14ac:dyDescent="0.2">
      <c r="A225" s="3"/>
      <c r="B225" s="36"/>
    </row>
    <row r="226" spans="1:2" x14ac:dyDescent="0.2">
      <c r="A226" s="3"/>
      <c r="B226" s="36"/>
    </row>
    <row r="227" spans="1:2" x14ac:dyDescent="0.2">
      <c r="A227" s="3"/>
      <c r="B227" s="36"/>
    </row>
    <row r="228" spans="1:2" x14ac:dyDescent="0.2">
      <c r="A228" s="3"/>
      <c r="B228" s="36"/>
    </row>
    <row r="229" spans="1:2" x14ac:dyDescent="0.2">
      <c r="A229" s="3"/>
      <c r="B229" s="36"/>
    </row>
    <row r="230" spans="1:2" x14ac:dyDescent="0.2">
      <c r="A230" s="3"/>
      <c r="B230" s="36"/>
    </row>
    <row r="231" spans="1:2" x14ac:dyDescent="0.2">
      <c r="A231" s="3"/>
      <c r="B231" s="36"/>
    </row>
    <row r="232" spans="1:2" x14ac:dyDescent="0.2">
      <c r="A232" s="3"/>
      <c r="B232" s="36"/>
    </row>
    <row r="233" spans="1:2" x14ac:dyDescent="0.2">
      <c r="A233" s="3"/>
      <c r="B233" s="36"/>
    </row>
    <row r="234" spans="1:2" x14ac:dyDescent="0.2">
      <c r="A234" s="3"/>
      <c r="B234" s="36"/>
    </row>
    <row r="235" spans="1:2" x14ac:dyDescent="0.2">
      <c r="A235" s="3"/>
      <c r="B235" s="36"/>
    </row>
    <row r="236" spans="1:2" x14ac:dyDescent="0.2">
      <c r="A236" s="3"/>
      <c r="B236" s="36"/>
    </row>
    <row r="237" spans="1:2" x14ac:dyDescent="0.2">
      <c r="A237" s="3"/>
      <c r="B237" s="36"/>
    </row>
    <row r="238" spans="1:2" x14ac:dyDescent="0.2">
      <c r="A238" s="3"/>
      <c r="B238" s="36"/>
    </row>
    <row r="239" spans="1:2" x14ac:dyDescent="0.2">
      <c r="A239" s="3"/>
      <c r="B239" s="36"/>
    </row>
    <row r="240" spans="1:2" x14ac:dyDescent="0.2">
      <c r="A240" s="3"/>
      <c r="B240" s="36"/>
    </row>
    <row r="241" spans="1:2" x14ac:dyDescent="0.2">
      <c r="A241" s="3"/>
      <c r="B241" s="36"/>
    </row>
    <row r="242" spans="1:2" x14ac:dyDescent="0.2">
      <c r="A242" s="3"/>
      <c r="B242" s="36"/>
    </row>
    <row r="243" spans="1:2" x14ac:dyDescent="0.2">
      <c r="A243" s="3"/>
      <c r="B243" s="36"/>
    </row>
    <row r="244" spans="1:2" x14ac:dyDescent="0.2">
      <c r="A244" s="3"/>
      <c r="B244" s="36"/>
    </row>
    <row r="245" spans="1:2" x14ac:dyDescent="0.2">
      <c r="A245" s="3"/>
      <c r="B245" s="36"/>
    </row>
    <row r="246" spans="1:2" x14ac:dyDescent="0.2">
      <c r="A246" s="3"/>
      <c r="B246" s="36"/>
    </row>
    <row r="247" spans="1:2" x14ac:dyDescent="0.2">
      <c r="A247" s="3"/>
      <c r="B247" s="36"/>
    </row>
    <row r="248" spans="1:2" x14ac:dyDescent="0.2">
      <c r="A248" s="3"/>
      <c r="B248" s="36"/>
    </row>
    <row r="249" spans="1:2" x14ac:dyDescent="0.2">
      <c r="A249" s="3"/>
      <c r="B249" s="36"/>
    </row>
    <row r="250" spans="1:2" x14ac:dyDescent="0.2">
      <c r="A250" s="3"/>
      <c r="B250" s="36"/>
    </row>
    <row r="251" spans="1:2" x14ac:dyDescent="0.2">
      <c r="A251" s="3"/>
      <c r="B251" s="36"/>
    </row>
    <row r="252" spans="1:2" x14ac:dyDescent="0.2">
      <c r="A252" s="3"/>
      <c r="B252" s="36"/>
    </row>
    <row r="253" spans="1:2" x14ac:dyDescent="0.2">
      <c r="A253" s="3"/>
      <c r="B253" s="36"/>
    </row>
    <row r="254" spans="1:2" x14ac:dyDescent="0.2">
      <c r="A254" s="3"/>
      <c r="B254" s="36"/>
    </row>
    <row r="255" spans="1:2" x14ac:dyDescent="0.2">
      <c r="A255" s="3"/>
      <c r="B255" s="36"/>
    </row>
    <row r="256" spans="1:2" x14ac:dyDescent="0.2">
      <c r="A256" s="3"/>
      <c r="B256" s="36"/>
    </row>
    <row r="257" spans="1:2" x14ac:dyDescent="0.2">
      <c r="A257" s="3"/>
      <c r="B257" s="36"/>
    </row>
    <row r="258" spans="1:2" x14ac:dyDescent="0.2">
      <c r="A258" s="3"/>
      <c r="B258" s="36"/>
    </row>
    <row r="259" spans="1:2" x14ac:dyDescent="0.2">
      <c r="A259" s="3"/>
      <c r="B259" s="36"/>
    </row>
    <row r="260" spans="1:2" x14ac:dyDescent="0.2">
      <c r="A260" s="3"/>
      <c r="B260" s="36"/>
    </row>
    <row r="261" spans="1:2" x14ac:dyDescent="0.2">
      <c r="A261" s="3"/>
      <c r="B261" s="36"/>
    </row>
    <row r="262" spans="1:2" x14ac:dyDescent="0.2">
      <c r="A262" s="3"/>
      <c r="B262" s="36"/>
    </row>
    <row r="263" spans="1:2" x14ac:dyDescent="0.2">
      <c r="A263" s="3"/>
      <c r="B263" s="36"/>
    </row>
    <row r="264" spans="1:2" x14ac:dyDescent="0.2">
      <c r="A264" s="3"/>
      <c r="B264" s="36"/>
    </row>
    <row r="265" spans="1:2" x14ac:dyDescent="0.2">
      <c r="A265" s="3"/>
      <c r="B265" s="36"/>
    </row>
    <row r="266" spans="1:2" x14ac:dyDescent="0.2">
      <c r="A266" s="3"/>
      <c r="B266" s="36"/>
    </row>
    <row r="267" spans="1:2" x14ac:dyDescent="0.2">
      <c r="A267" s="3"/>
      <c r="B267" s="36"/>
    </row>
    <row r="268" spans="1:2" x14ac:dyDescent="0.2">
      <c r="A268" s="3"/>
      <c r="B268" s="36"/>
    </row>
    <row r="269" spans="1:2" x14ac:dyDescent="0.2">
      <c r="A269" s="3"/>
      <c r="B269" s="36"/>
    </row>
    <row r="270" spans="1:2" x14ac:dyDescent="0.2">
      <c r="A270" s="3"/>
      <c r="B270" s="36"/>
    </row>
    <row r="271" spans="1:2" x14ac:dyDescent="0.2">
      <c r="A271" s="3"/>
      <c r="B271" s="36"/>
    </row>
    <row r="272" spans="1:2" x14ac:dyDescent="0.2">
      <c r="A272" s="3"/>
      <c r="B272" s="36"/>
    </row>
    <row r="273" spans="1:2" x14ac:dyDescent="0.2">
      <c r="A273" s="3"/>
      <c r="B273" s="36"/>
    </row>
    <row r="274" spans="1:2" x14ac:dyDescent="0.2">
      <c r="A274" s="3"/>
      <c r="B274" s="36"/>
    </row>
    <row r="275" spans="1:2" x14ac:dyDescent="0.2">
      <c r="A275" s="3"/>
      <c r="B275" s="36"/>
    </row>
    <row r="276" spans="1:2" x14ac:dyDescent="0.2">
      <c r="A276" s="3"/>
      <c r="B276" s="36"/>
    </row>
    <row r="277" spans="1:2" x14ac:dyDescent="0.2">
      <c r="A277" s="3"/>
      <c r="B277" s="36"/>
    </row>
    <row r="278" spans="1:2" x14ac:dyDescent="0.2">
      <c r="A278" s="3"/>
      <c r="B278" s="36"/>
    </row>
    <row r="279" spans="1:2" x14ac:dyDescent="0.2">
      <c r="A279" s="3"/>
      <c r="B279" s="36"/>
    </row>
    <row r="280" spans="1:2" x14ac:dyDescent="0.2">
      <c r="A280" s="3"/>
      <c r="B280" s="36"/>
    </row>
    <row r="281" spans="1:2" x14ac:dyDescent="0.2">
      <c r="A281" s="3"/>
      <c r="B281" s="36"/>
    </row>
    <row r="282" spans="1:2" x14ac:dyDescent="0.2">
      <c r="A282" s="3"/>
      <c r="B282" s="36"/>
    </row>
    <row r="283" spans="1:2" x14ac:dyDescent="0.2">
      <c r="A283" s="3"/>
      <c r="B283" s="36"/>
    </row>
    <row r="284" spans="1:2" x14ac:dyDescent="0.2">
      <c r="A284" s="3"/>
      <c r="B284" s="36"/>
    </row>
    <row r="285" spans="1:2" x14ac:dyDescent="0.2">
      <c r="A285" s="3"/>
      <c r="B285" s="36"/>
    </row>
    <row r="286" spans="1:2" x14ac:dyDescent="0.2">
      <c r="A286" s="3"/>
      <c r="B286" s="36"/>
    </row>
    <row r="287" spans="1:2" x14ac:dyDescent="0.2">
      <c r="A287" s="3"/>
      <c r="B287" s="36"/>
    </row>
    <row r="288" spans="1:2" x14ac:dyDescent="0.2">
      <c r="A288" s="3"/>
      <c r="B288" s="36"/>
    </row>
    <row r="289" spans="1:2" x14ac:dyDescent="0.2">
      <c r="A289" s="3"/>
      <c r="B289" s="36"/>
    </row>
    <row r="290" spans="1:2" x14ac:dyDescent="0.2">
      <c r="A290" s="3"/>
      <c r="B290" s="36"/>
    </row>
    <row r="291" spans="1:2" x14ac:dyDescent="0.2">
      <c r="A291" s="3"/>
      <c r="B291" s="36"/>
    </row>
    <row r="292" spans="1:2" x14ac:dyDescent="0.2">
      <c r="A292" s="3"/>
      <c r="B292" s="36"/>
    </row>
    <row r="293" spans="1:2" x14ac:dyDescent="0.2">
      <c r="A293" s="3"/>
      <c r="B293" s="36"/>
    </row>
    <row r="294" spans="1:2" x14ac:dyDescent="0.2">
      <c r="A294" s="3"/>
      <c r="B294" s="36"/>
    </row>
    <row r="295" spans="1:2" x14ac:dyDescent="0.2">
      <c r="A295" s="3"/>
      <c r="B295" s="36"/>
    </row>
    <row r="296" spans="1:2" x14ac:dyDescent="0.2">
      <c r="A296" s="3"/>
      <c r="B296" s="36"/>
    </row>
    <row r="297" spans="1:2" x14ac:dyDescent="0.2">
      <c r="A297" s="3"/>
      <c r="B297" s="36"/>
    </row>
    <row r="298" spans="1:2" x14ac:dyDescent="0.2">
      <c r="A298" s="3"/>
      <c r="B298" s="36"/>
    </row>
    <row r="299" spans="1:2" x14ac:dyDescent="0.2">
      <c r="A299" s="3"/>
      <c r="B299" s="36"/>
    </row>
    <row r="300" spans="1:2" x14ac:dyDescent="0.2">
      <c r="A300" s="3"/>
      <c r="B300" s="36"/>
    </row>
    <row r="301" spans="1:2" x14ac:dyDescent="0.2">
      <c r="A301" s="3"/>
      <c r="B301" s="36"/>
    </row>
    <row r="302" spans="1:2" x14ac:dyDescent="0.2">
      <c r="A302" s="3"/>
      <c r="B302" s="36"/>
    </row>
    <row r="303" spans="1:2" x14ac:dyDescent="0.2">
      <c r="A303" s="3"/>
      <c r="B303" s="36"/>
    </row>
    <row r="304" spans="1:2" x14ac:dyDescent="0.2">
      <c r="A304" s="3"/>
      <c r="B304" s="36"/>
    </row>
    <row r="305" spans="1:2" x14ac:dyDescent="0.2">
      <c r="A305" s="3"/>
      <c r="B305" s="36"/>
    </row>
    <row r="306" spans="1:2" x14ac:dyDescent="0.2">
      <c r="A306" s="3"/>
      <c r="B306" s="36"/>
    </row>
    <row r="307" spans="1:2" x14ac:dyDescent="0.2">
      <c r="A307" s="3"/>
      <c r="B307" s="36"/>
    </row>
    <row r="308" spans="1:2" x14ac:dyDescent="0.2">
      <c r="A308" s="3"/>
      <c r="B308" s="36"/>
    </row>
    <row r="309" spans="1:2" x14ac:dyDescent="0.2">
      <c r="A309" s="3"/>
      <c r="B309" s="36"/>
    </row>
    <row r="310" spans="1:2" x14ac:dyDescent="0.2">
      <c r="A310" s="3"/>
      <c r="B310" s="36"/>
    </row>
    <row r="311" spans="1:2" x14ac:dyDescent="0.2">
      <c r="A311" s="3"/>
      <c r="B311" s="36"/>
    </row>
    <row r="312" spans="1:2" x14ac:dyDescent="0.2">
      <c r="A312" s="3"/>
      <c r="B312" s="36"/>
    </row>
    <row r="313" spans="1:2" x14ac:dyDescent="0.2">
      <c r="A313" s="3"/>
      <c r="B313" s="36"/>
    </row>
    <row r="314" spans="1:2" x14ac:dyDescent="0.2">
      <c r="A314" s="3"/>
      <c r="B314" s="36"/>
    </row>
    <row r="315" spans="1:2" x14ac:dyDescent="0.2">
      <c r="A315" s="3"/>
      <c r="B315" s="36"/>
    </row>
    <row r="316" spans="1:2" x14ac:dyDescent="0.2">
      <c r="A316" s="3"/>
      <c r="B316" s="36"/>
    </row>
    <row r="317" spans="1:2" x14ac:dyDescent="0.2">
      <c r="A317" s="3"/>
      <c r="B317" s="36"/>
    </row>
    <row r="318" spans="1:2" x14ac:dyDescent="0.2">
      <c r="A318" s="3"/>
      <c r="B318" s="36"/>
    </row>
    <row r="319" spans="1:2" x14ac:dyDescent="0.2">
      <c r="A319" s="3"/>
      <c r="B319" s="36"/>
    </row>
    <row r="320" spans="1:2" x14ac:dyDescent="0.2">
      <c r="A320" s="3"/>
      <c r="B320" s="36"/>
    </row>
    <row r="321" spans="1:2" x14ac:dyDescent="0.2">
      <c r="A321" s="3"/>
      <c r="B321" s="36"/>
    </row>
    <row r="322" spans="1:2" x14ac:dyDescent="0.2">
      <c r="A322" s="3"/>
      <c r="B322" s="36"/>
    </row>
    <row r="323" spans="1:2" x14ac:dyDescent="0.2">
      <c r="A323" s="3"/>
      <c r="B323" s="36"/>
    </row>
    <row r="324" spans="1:2" x14ac:dyDescent="0.2">
      <c r="A324" s="3"/>
      <c r="B324" s="36"/>
    </row>
    <row r="325" spans="1:2" x14ac:dyDescent="0.2">
      <c r="A325" s="3"/>
      <c r="B325" s="36"/>
    </row>
    <row r="326" spans="1:2" x14ac:dyDescent="0.2">
      <c r="A326" s="3"/>
      <c r="B326" s="36"/>
    </row>
    <row r="327" spans="1:2" x14ac:dyDescent="0.2">
      <c r="A327" s="3"/>
      <c r="B327" s="36"/>
    </row>
    <row r="328" spans="1:2" x14ac:dyDescent="0.2">
      <c r="A328" s="3"/>
      <c r="B328" s="36"/>
    </row>
    <row r="329" spans="1:2" x14ac:dyDescent="0.2">
      <c r="A329" s="3"/>
      <c r="B329" s="36"/>
    </row>
    <row r="330" spans="1:2" x14ac:dyDescent="0.2">
      <c r="A330" s="3"/>
      <c r="B330" s="36"/>
    </row>
    <row r="331" spans="1:2" x14ac:dyDescent="0.2">
      <c r="A331" s="3"/>
      <c r="B331" s="36"/>
    </row>
    <row r="332" spans="1:2" x14ac:dyDescent="0.2">
      <c r="A332" s="3"/>
      <c r="B332" s="36"/>
    </row>
    <row r="333" spans="1:2" x14ac:dyDescent="0.2">
      <c r="A333" s="3"/>
      <c r="B333" s="36"/>
    </row>
    <row r="334" spans="1:2" x14ac:dyDescent="0.2">
      <c r="A334" s="3"/>
      <c r="B334" s="36"/>
    </row>
    <row r="335" spans="1:2" x14ac:dyDescent="0.2">
      <c r="A335" s="3"/>
      <c r="B335" s="36"/>
    </row>
    <row r="336" spans="1:2" x14ac:dyDescent="0.2">
      <c r="A336" s="3"/>
      <c r="B336" s="36"/>
    </row>
    <row r="337" spans="1:2" x14ac:dyDescent="0.2">
      <c r="A337" s="3"/>
      <c r="B337" s="36"/>
    </row>
    <row r="338" spans="1:2" x14ac:dyDescent="0.2">
      <c r="A338" s="3"/>
      <c r="B338" s="36"/>
    </row>
    <row r="339" spans="1:2" x14ac:dyDescent="0.2">
      <c r="A339" s="3"/>
      <c r="B339" s="36"/>
    </row>
    <row r="340" spans="1:2" x14ac:dyDescent="0.2">
      <c r="A340" s="3"/>
      <c r="B340" s="36"/>
    </row>
    <row r="341" spans="1:2" x14ac:dyDescent="0.2">
      <c r="A341" s="3"/>
      <c r="B341" s="36"/>
    </row>
    <row r="342" spans="1:2" x14ac:dyDescent="0.2">
      <c r="A342" s="3"/>
      <c r="B342" s="36"/>
    </row>
    <row r="343" spans="1:2" x14ac:dyDescent="0.2">
      <c r="A343" s="3"/>
      <c r="B343" s="36"/>
    </row>
    <row r="344" spans="1:2" x14ac:dyDescent="0.2">
      <c r="A344" s="3"/>
      <c r="B344" s="36"/>
    </row>
    <row r="345" spans="1:2" x14ac:dyDescent="0.2">
      <c r="A345" s="3"/>
      <c r="B345" s="36"/>
    </row>
    <row r="346" spans="1:2" x14ac:dyDescent="0.2">
      <c r="A346" s="3"/>
      <c r="B346" s="36"/>
    </row>
    <row r="347" spans="1:2" x14ac:dyDescent="0.2">
      <c r="A347" s="3"/>
      <c r="B347" s="36"/>
    </row>
    <row r="348" spans="1:2" x14ac:dyDescent="0.2">
      <c r="A348" s="3"/>
      <c r="B348" s="36"/>
    </row>
    <row r="349" spans="1:2" x14ac:dyDescent="0.2">
      <c r="A349" s="3"/>
      <c r="B349" s="36"/>
    </row>
    <row r="350" spans="1:2" x14ac:dyDescent="0.2">
      <c r="A350" s="3"/>
      <c r="B350" s="36"/>
    </row>
    <row r="351" spans="1:2" x14ac:dyDescent="0.2">
      <c r="A351" s="3"/>
      <c r="B351" s="36"/>
    </row>
    <row r="352" spans="1:2" x14ac:dyDescent="0.2">
      <c r="A352" s="3"/>
      <c r="B352" s="36"/>
    </row>
    <row r="353" spans="1:2" x14ac:dyDescent="0.2">
      <c r="A353" s="3"/>
      <c r="B353" s="36"/>
    </row>
    <row r="354" spans="1:2" x14ac:dyDescent="0.2">
      <c r="A354" s="3"/>
      <c r="B354" s="36"/>
    </row>
    <row r="355" spans="1:2" x14ac:dyDescent="0.2">
      <c r="A355" s="3"/>
      <c r="B355" s="36"/>
    </row>
    <row r="356" spans="1:2" x14ac:dyDescent="0.2">
      <c r="A356" s="3"/>
      <c r="B356" s="36"/>
    </row>
    <row r="357" spans="1:2" x14ac:dyDescent="0.2">
      <c r="A357" s="3"/>
      <c r="B357" s="36"/>
    </row>
    <row r="358" spans="1:2" x14ac:dyDescent="0.2">
      <c r="A358" s="3"/>
      <c r="B358" s="36"/>
    </row>
    <row r="359" spans="1:2" x14ac:dyDescent="0.2">
      <c r="A359" s="3"/>
      <c r="B359" s="36"/>
    </row>
    <row r="360" spans="1:2" x14ac:dyDescent="0.2">
      <c r="A360" s="3"/>
      <c r="B360" s="36"/>
    </row>
    <row r="361" spans="1:2" x14ac:dyDescent="0.2">
      <c r="A361" s="3"/>
      <c r="B361" s="36"/>
    </row>
    <row r="362" spans="1:2" x14ac:dyDescent="0.2">
      <c r="A362" s="3"/>
      <c r="B362" s="36"/>
    </row>
    <row r="363" spans="1:2" x14ac:dyDescent="0.2">
      <c r="A363" s="3"/>
      <c r="B363" s="36"/>
    </row>
    <row r="364" spans="1:2" x14ac:dyDescent="0.2">
      <c r="A364" s="3"/>
      <c r="B364" s="36"/>
    </row>
    <row r="365" spans="1:2" x14ac:dyDescent="0.2">
      <c r="A365" s="3"/>
      <c r="B365" s="36"/>
    </row>
    <row r="366" spans="1:2" x14ac:dyDescent="0.2">
      <c r="A366" s="3"/>
      <c r="B366" s="36"/>
    </row>
    <row r="367" spans="1:2" x14ac:dyDescent="0.2">
      <c r="A367" s="3"/>
      <c r="B367" s="36"/>
    </row>
    <row r="368" spans="1:2" x14ac:dyDescent="0.2">
      <c r="A368" s="3"/>
      <c r="B368" s="36"/>
    </row>
    <row r="369" spans="1:2" x14ac:dyDescent="0.2">
      <c r="A369" s="3"/>
      <c r="B369" s="36"/>
    </row>
    <row r="370" spans="1:2" x14ac:dyDescent="0.2">
      <c r="A370" s="3"/>
      <c r="B370" s="36"/>
    </row>
    <row r="371" spans="1:2" x14ac:dyDescent="0.2">
      <c r="A371" s="3"/>
      <c r="B371" s="36"/>
    </row>
    <row r="372" spans="1:2" x14ac:dyDescent="0.2">
      <c r="A372" s="3"/>
      <c r="B372" s="36"/>
    </row>
    <row r="373" spans="1:2" x14ac:dyDescent="0.2">
      <c r="A373" s="3"/>
      <c r="B373" s="36"/>
    </row>
    <row r="374" spans="1:2" x14ac:dyDescent="0.2">
      <c r="A374" s="3"/>
      <c r="B374" s="36"/>
    </row>
    <row r="375" spans="1:2" x14ac:dyDescent="0.2">
      <c r="A375" s="3"/>
      <c r="B375" s="36"/>
    </row>
    <row r="376" spans="1:2" x14ac:dyDescent="0.2">
      <c r="A376" s="3"/>
      <c r="B376" s="36"/>
    </row>
    <row r="377" spans="1:2" x14ac:dyDescent="0.2">
      <c r="A377" s="3"/>
      <c r="B377" s="36"/>
    </row>
    <row r="378" spans="1:2" x14ac:dyDescent="0.2">
      <c r="A378" s="3"/>
      <c r="B378" s="36"/>
    </row>
    <row r="379" spans="1:2" x14ac:dyDescent="0.2">
      <c r="A379" s="3"/>
      <c r="B379" s="36"/>
    </row>
    <row r="380" spans="1:2" x14ac:dyDescent="0.2">
      <c r="A380" s="3"/>
      <c r="B380" s="36"/>
    </row>
    <row r="381" spans="1:2" x14ac:dyDescent="0.2">
      <c r="A381" s="3"/>
      <c r="B381" s="36"/>
    </row>
    <row r="382" spans="1:2" x14ac:dyDescent="0.2">
      <c r="A382" s="3"/>
      <c r="B382" s="36"/>
    </row>
    <row r="383" spans="1:2" x14ac:dyDescent="0.2">
      <c r="A383" s="3"/>
      <c r="B383" s="36"/>
    </row>
    <row r="384" spans="1:2" x14ac:dyDescent="0.2">
      <c r="A384" s="3"/>
      <c r="B384" s="36"/>
    </row>
    <row r="385" spans="1:2" x14ac:dyDescent="0.2">
      <c r="A385" s="3"/>
      <c r="B385" s="36"/>
    </row>
    <row r="386" spans="1:2" x14ac:dyDescent="0.2">
      <c r="A386" s="3"/>
      <c r="B386" s="36"/>
    </row>
    <row r="387" spans="1:2" x14ac:dyDescent="0.2">
      <c r="A387" s="3"/>
      <c r="B387" s="36"/>
    </row>
    <row r="388" spans="1:2" x14ac:dyDescent="0.2">
      <c r="A388" s="3"/>
      <c r="B388" s="36"/>
    </row>
    <row r="389" spans="1:2" x14ac:dyDescent="0.2">
      <c r="A389" s="3"/>
      <c r="B389" s="36"/>
    </row>
    <row r="390" spans="1:2" x14ac:dyDescent="0.2">
      <c r="A390" s="3"/>
      <c r="B390" s="36"/>
    </row>
    <row r="391" spans="1:2" x14ac:dyDescent="0.2">
      <c r="A391" s="3"/>
      <c r="B391" s="36"/>
    </row>
    <row r="392" spans="1:2" x14ac:dyDescent="0.2">
      <c r="A392" s="3"/>
      <c r="B392" s="36"/>
    </row>
    <row r="393" spans="1:2" x14ac:dyDescent="0.2">
      <c r="A393" s="3"/>
      <c r="B393" s="36"/>
    </row>
    <row r="394" spans="1:2" x14ac:dyDescent="0.2">
      <c r="A394" s="3"/>
      <c r="B394" s="36"/>
    </row>
    <row r="395" spans="1:2" x14ac:dyDescent="0.2">
      <c r="A395" s="3"/>
      <c r="B395" s="36"/>
    </row>
    <row r="396" spans="1:2" x14ac:dyDescent="0.2">
      <c r="A396" s="3"/>
      <c r="B396" s="36"/>
    </row>
    <row r="397" spans="1:2" x14ac:dyDescent="0.2">
      <c r="A397" s="3"/>
      <c r="B397" s="36"/>
    </row>
    <row r="398" spans="1:2" x14ac:dyDescent="0.2">
      <c r="A398" s="3"/>
      <c r="B398" s="36"/>
    </row>
    <row r="399" spans="1:2" x14ac:dyDescent="0.2">
      <c r="A399" s="3"/>
      <c r="B399" s="36"/>
    </row>
    <row r="400" spans="1:2" x14ac:dyDescent="0.2">
      <c r="A400" s="3"/>
      <c r="B400" s="36"/>
    </row>
    <row r="401" spans="1:2" x14ac:dyDescent="0.2">
      <c r="A401" s="3"/>
      <c r="B401" s="36"/>
    </row>
    <row r="402" spans="1:2" x14ac:dyDescent="0.2">
      <c r="A402" s="3"/>
      <c r="B402" s="36"/>
    </row>
    <row r="403" spans="1:2" x14ac:dyDescent="0.2">
      <c r="A403" s="3"/>
      <c r="B403" s="36"/>
    </row>
    <row r="404" spans="1:2" x14ac:dyDescent="0.2">
      <c r="A404" s="3"/>
      <c r="B404" s="36"/>
    </row>
    <row r="405" spans="1:2" x14ac:dyDescent="0.2">
      <c r="A405" s="3"/>
      <c r="B405" s="36"/>
    </row>
    <row r="406" spans="1:2" x14ac:dyDescent="0.2">
      <c r="A406" s="3"/>
      <c r="B406" s="36"/>
    </row>
    <row r="407" spans="1:2" x14ac:dyDescent="0.2">
      <c r="A407" s="3"/>
      <c r="B407" s="36"/>
    </row>
    <row r="408" spans="1:2" x14ac:dyDescent="0.2">
      <c r="A408" s="3"/>
      <c r="B408" s="36"/>
    </row>
    <row r="409" spans="1:2" x14ac:dyDescent="0.2">
      <c r="A409" s="3"/>
      <c r="B409" s="36"/>
    </row>
    <row r="410" spans="1:2" x14ac:dyDescent="0.2">
      <c r="A410" s="3"/>
      <c r="B410" s="36"/>
    </row>
    <row r="411" spans="1:2" x14ac:dyDescent="0.2">
      <c r="A411" s="3"/>
      <c r="B411" s="36"/>
    </row>
    <row r="412" spans="1:2" x14ac:dyDescent="0.2">
      <c r="A412" s="3"/>
      <c r="B412" s="36"/>
    </row>
    <row r="413" spans="1:2" x14ac:dyDescent="0.2">
      <c r="A413" s="3"/>
      <c r="B413" s="36"/>
    </row>
    <row r="414" spans="1:2" x14ac:dyDescent="0.2">
      <c r="A414" s="3"/>
      <c r="B414" s="36"/>
    </row>
    <row r="415" spans="1:2" x14ac:dyDescent="0.2">
      <c r="A415" s="3"/>
      <c r="B415" s="36"/>
    </row>
    <row r="416" spans="1:2" x14ac:dyDescent="0.2">
      <c r="A416" s="3"/>
      <c r="B416" s="36"/>
    </row>
    <row r="417" spans="1:2" x14ac:dyDescent="0.2">
      <c r="A417" s="3"/>
      <c r="B417" s="36"/>
    </row>
    <row r="418" spans="1:2" x14ac:dyDescent="0.2">
      <c r="A418" s="3"/>
      <c r="B418" s="36"/>
    </row>
    <row r="419" spans="1:2" x14ac:dyDescent="0.2">
      <c r="A419" s="3"/>
      <c r="B419" s="36"/>
    </row>
    <row r="420" spans="1:2" x14ac:dyDescent="0.2">
      <c r="A420" s="3"/>
      <c r="B420" s="36"/>
    </row>
    <row r="421" spans="1:2" x14ac:dyDescent="0.2">
      <c r="A421" s="3"/>
      <c r="B421" s="36"/>
    </row>
    <row r="422" spans="1:2" x14ac:dyDescent="0.2">
      <c r="A422" s="3"/>
      <c r="B422" s="36"/>
    </row>
    <row r="423" spans="1:2" x14ac:dyDescent="0.2">
      <c r="A423" s="3"/>
      <c r="B423" s="36"/>
    </row>
    <row r="424" spans="1:2" x14ac:dyDescent="0.2">
      <c r="A424" s="3"/>
      <c r="B424" s="36"/>
    </row>
    <row r="425" spans="1:2" x14ac:dyDescent="0.2">
      <c r="A425" s="3"/>
      <c r="B425" s="36"/>
    </row>
    <row r="426" spans="1:2" x14ac:dyDescent="0.2">
      <c r="A426" s="3"/>
      <c r="B426" s="36"/>
    </row>
    <row r="427" spans="1:2" x14ac:dyDescent="0.2">
      <c r="A427" s="3"/>
      <c r="B427" s="36"/>
    </row>
    <row r="428" spans="1:2" x14ac:dyDescent="0.2">
      <c r="A428" s="3"/>
      <c r="B428" s="36"/>
    </row>
    <row r="429" spans="1:2" x14ac:dyDescent="0.2">
      <c r="A429" s="3"/>
      <c r="B429" s="36"/>
    </row>
    <row r="430" spans="1:2" x14ac:dyDescent="0.2">
      <c r="A430" s="3"/>
      <c r="B430" s="36"/>
    </row>
    <row r="431" spans="1:2" x14ac:dyDescent="0.2">
      <c r="A431" s="3"/>
      <c r="B431" s="36"/>
    </row>
    <row r="432" spans="1:2" x14ac:dyDescent="0.2">
      <c r="A432" s="3"/>
      <c r="B432" s="36"/>
    </row>
    <row r="433" spans="1:2" x14ac:dyDescent="0.2">
      <c r="A433" s="3"/>
      <c r="B433" s="36"/>
    </row>
    <row r="434" spans="1:2" x14ac:dyDescent="0.2">
      <c r="A434" s="3"/>
      <c r="B434" s="36"/>
    </row>
    <row r="435" spans="1:2" x14ac:dyDescent="0.2">
      <c r="A435" s="3"/>
      <c r="B435" s="36"/>
    </row>
    <row r="436" spans="1:2" x14ac:dyDescent="0.2">
      <c r="A436" s="3"/>
      <c r="B436" s="36"/>
    </row>
    <row r="437" spans="1:2" x14ac:dyDescent="0.2">
      <c r="A437" s="3"/>
      <c r="B437" s="36"/>
    </row>
    <row r="438" spans="1:2" x14ac:dyDescent="0.2">
      <c r="A438" s="3"/>
      <c r="B438" s="36"/>
    </row>
    <row r="439" spans="1:2" x14ac:dyDescent="0.2">
      <c r="A439" s="3"/>
      <c r="B439" s="36"/>
    </row>
    <row r="440" spans="1:2" x14ac:dyDescent="0.2">
      <c r="A440" s="3"/>
      <c r="B440" s="36"/>
    </row>
    <row r="441" spans="1:2" x14ac:dyDescent="0.2">
      <c r="A441" s="3"/>
      <c r="B441" s="36"/>
    </row>
    <row r="442" spans="1:2" x14ac:dyDescent="0.2">
      <c r="A442" s="3"/>
      <c r="B442" s="36"/>
    </row>
    <row r="443" spans="1:2" x14ac:dyDescent="0.2">
      <c r="A443" s="3"/>
      <c r="B443" s="36"/>
    </row>
    <row r="444" spans="1:2" x14ac:dyDescent="0.2">
      <c r="A444" s="3"/>
      <c r="B444" s="36"/>
    </row>
    <row r="445" spans="1:2" x14ac:dyDescent="0.2">
      <c r="A445" s="3"/>
      <c r="B445" s="36"/>
    </row>
    <row r="446" spans="1:2" x14ac:dyDescent="0.2">
      <c r="A446" s="3"/>
      <c r="B446" s="36"/>
    </row>
    <row r="447" spans="1:2" x14ac:dyDescent="0.2">
      <c r="A447" s="3"/>
      <c r="B447" s="36"/>
    </row>
    <row r="448" spans="1:2" x14ac:dyDescent="0.2">
      <c r="A448" s="3"/>
      <c r="B448" s="36"/>
    </row>
    <row r="449" spans="1:2" x14ac:dyDescent="0.2">
      <c r="A449" s="3"/>
      <c r="B449" s="36"/>
    </row>
    <row r="450" spans="1:2" x14ac:dyDescent="0.2">
      <c r="A450" s="3"/>
      <c r="B450" s="36"/>
    </row>
    <row r="451" spans="1:2" x14ac:dyDescent="0.2">
      <c r="A451" s="3"/>
      <c r="B451" s="36"/>
    </row>
    <row r="452" spans="1:2" x14ac:dyDescent="0.2">
      <c r="A452" s="3"/>
      <c r="B452" s="36"/>
    </row>
    <row r="453" spans="1:2" x14ac:dyDescent="0.2">
      <c r="A453" s="3"/>
      <c r="B453" s="36"/>
    </row>
    <row r="454" spans="1:2" x14ac:dyDescent="0.2">
      <c r="A454" s="3"/>
      <c r="B454" s="36"/>
    </row>
    <row r="455" spans="1:2" x14ac:dyDescent="0.2">
      <c r="A455" s="3"/>
      <c r="B455" s="36"/>
    </row>
    <row r="456" spans="1:2" x14ac:dyDescent="0.2">
      <c r="A456" s="3"/>
      <c r="B456" s="36"/>
    </row>
    <row r="457" spans="1:2" x14ac:dyDescent="0.2">
      <c r="A457" s="3"/>
      <c r="B457" s="36"/>
    </row>
    <row r="458" spans="1:2" x14ac:dyDescent="0.2">
      <c r="A458" s="3"/>
      <c r="B458" s="36"/>
    </row>
    <row r="459" spans="1:2" x14ac:dyDescent="0.2">
      <c r="A459" s="3"/>
      <c r="B459" s="36"/>
    </row>
    <row r="460" spans="1:2" x14ac:dyDescent="0.2">
      <c r="A460" s="3"/>
      <c r="B460" s="36"/>
    </row>
    <row r="461" spans="1:2" x14ac:dyDescent="0.2">
      <c r="A461" s="3"/>
      <c r="B461" s="36"/>
    </row>
    <row r="462" spans="1:2" x14ac:dyDescent="0.2">
      <c r="A462" s="3"/>
      <c r="B462" s="36"/>
    </row>
    <row r="463" spans="1:2" x14ac:dyDescent="0.2">
      <c r="A463" s="3"/>
      <c r="B463" s="36"/>
    </row>
    <row r="464" spans="1:2" x14ac:dyDescent="0.2">
      <c r="A464" s="3"/>
      <c r="B464" s="36"/>
    </row>
    <row r="465" spans="1:2" x14ac:dyDescent="0.2">
      <c r="A465" s="3"/>
      <c r="B465" s="36"/>
    </row>
    <row r="466" spans="1:2" x14ac:dyDescent="0.2">
      <c r="A466" s="3"/>
      <c r="B466" s="36"/>
    </row>
    <row r="467" spans="1:2" x14ac:dyDescent="0.2">
      <c r="A467" s="3"/>
      <c r="B467" s="36"/>
    </row>
    <row r="468" spans="1:2" x14ac:dyDescent="0.2">
      <c r="A468" s="3"/>
      <c r="B468" s="36"/>
    </row>
    <row r="469" spans="1:2" x14ac:dyDescent="0.2">
      <c r="A469" s="3"/>
      <c r="B469" s="36"/>
    </row>
    <row r="470" spans="1:2" x14ac:dyDescent="0.2">
      <c r="A470" s="3"/>
      <c r="B470" s="36"/>
    </row>
    <row r="471" spans="1:2" x14ac:dyDescent="0.2">
      <c r="A471" s="3"/>
      <c r="B471" s="36"/>
    </row>
    <row r="472" spans="1:2" x14ac:dyDescent="0.2">
      <c r="A472" s="3"/>
      <c r="B472" s="36"/>
    </row>
    <row r="473" spans="1:2" x14ac:dyDescent="0.2">
      <c r="A473" s="3"/>
      <c r="B473" s="36"/>
    </row>
    <row r="474" spans="1:2" x14ac:dyDescent="0.2">
      <c r="A474" s="3"/>
      <c r="B474" s="36"/>
    </row>
    <row r="475" spans="1:2" x14ac:dyDescent="0.2">
      <c r="A475" s="3"/>
      <c r="B475" s="36"/>
    </row>
    <row r="476" spans="1:2" x14ac:dyDescent="0.2">
      <c r="A476" s="3"/>
      <c r="B476" s="36"/>
    </row>
    <row r="477" spans="1:2" x14ac:dyDescent="0.2">
      <c r="A477" s="3"/>
      <c r="B477" s="36"/>
    </row>
    <row r="478" spans="1:2" x14ac:dyDescent="0.2">
      <c r="A478" s="3"/>
      <c r="B478" s="36"/>
    </row>
    <row r="479" spans="1:2" x14ac:dyDescent="0.2">
      <c r="A479" s="3"/>
      <c r="B479" s="36"/>
    </row>
    <row r="480" spans="1:2" x14ac:dyDescent="0.2">
      <c r="A480" s="3"/>
      <c r="B480" s="36"/>
    </row>
    <row r="481" spans="1:2" x14ac:dyDescent="0.2">
      <c r="A481" s="3"/>
      <c r="B481" s="36"/>
    </row>
    <row r="482" spans="1:2" x14ac:dyDescent="0.2">
      <c r="A482" s="3"/>
      <c r="B482" s="36"/>
    </row>
    <row r="483" spans="1:2" x14ac:dyDescent="0.2">
      <c r="A483" s="3"/>
      <c r="B483" s="36"/>
    </row>
    <row r="484" spans="1:2" x14ac:dyDescent="0.2">
      <c r="A484" s="3"/>
      <c r="B484" s="36"/>
    </row>
    <row r="485" spans="1:2" x14ac:dyDescent="0.2">
      <c r="A485" s="3"/>
      <c r="B485" s="36"/>
    </row>
    <row r="486" spans="1:2" x14ac:dyDescent="0.2">
      <c r="A486" s="3"/>
      <c r="B486" s="36"/>
    </row>
    <row r="487" spans="1:2" x14ac:dyDescent="0.2">
      <c r="A487" s="3"/>
      <c r="B487" s="36"/>
    </row>
    <row r="488" spans="1:2" x14ac:dyDescent="0.2">
      <c r="A488" s="3"/>
      <c r="B488" s="36"/>
    </row>
    <row r="489" spans="1:2" x14ac:dyDescent="0.2">
      <c r="A489" s="3"/>
      <c r="B489" s="36"/>
    </row>
    <row r="490" spans="1:2" x14ac:dyDescent="0.2">
      <c r="A490" s="3"/>
      <c r="B490" s="36"/>
    </row>
    <row r="491" spans="1:2" x14ac:dyDescent="0.2">
      <c r="A491" s="3"/>
      <c r="B491" s="36"/>
    </row>
    <row r="492" spans="1:2" x14ac:dyDescent="0.2">
      <c r="A492" s="3"/>
      <c r="B492" s="36"/>
    </row>
    <row r="493" spans="1:2" x14ac:dyDescent="0.2">
      <c r="A493" s="3"/>
      <c r="B493" s="36"/>
    </row>
    <row r="494" spans="1:2" x14ac:dyDescent="0.2">
      <c r="A494" s="3"/>
      <c r="B494" s="36"/>
    </row>
    <row r="495" spans="1:2" x14ac:dyDescent="0.2">
      <c r="A495" s="3"/>
      <c r="B495" s="36"/>
    </row>
    <row r="496" spans="1:2" x14ac:dyDescent="0.2">
      <c r="A496" s="3"/>
      <c r="B496" s="36"/>
    </row>
    <row r="497" spans="1:2" x14ac:dyDescent="0.2">
      <c r="A497" s="3"/>
      <c r="B497" s="36"/>
    </row>
    <row r="498" spans="1:2" x14ac:dyDescent="0.2">
      <c r="A498" s="3"/>
      <c r="B498" s="36"/>
    </row>
    <row r="499" spans="1:2" x14ac:dyDescent="0.2">
      <c r="A499" s="3"/>
      <c r="B499" s="36"/>
    </row>
    <row r="500" spans="1:2" x14ac:dyDescent="0.2">
      <c r="A500" s="3"/>
      <c r="B500" s="36"/>
    </row>
    <row r="501" spans="1:2" x14ac:dyDescent="0.2">
      <c r="A501" s="3"/>
      <c r="B501" s="36"/>
    </row>
    <row r="502" spans="1:2" x14ac:dyDescent="0.2">
      <c r="A502" s="3"/>
      <c r="B502" s="36"/>
    </row>
    <row r="503" spans="1:2" x14ac:dyDescent="0.2">
      <c r="A503" s="3"/>
      <c r="B503" s="36"/>
    </row>
    <row r="504" spans="1:2" x14ac:dyDescent="0.2">
      <c r="A504" s="3"/>
      <c r="B504" s="36"/>
    </row>
    <row r="505" spans="1:2" x14ac:dyDescent="0.2">
      <c r="A505" s="3"/>
      <c r="B505" s="36"/>
    </row>
    <row r="506" spans="1:2" x14ac:dyDescent="0.2">
      <c r="A506" s="3"/>
      <c r="B506" s="36"/>
    </row>
    <row r="507" spans="1:2" x14ac:dyDescent="0.2">
      <c r="A507" s="3"/>
      <c r="B507" s="36"/>
    </row>
    <row r="508" spans="1:2" x14ac:dyDescent="0.2">
      <c r="A508" s="3"/>
      <c r="B508" s="36"/>
    </row>
    <row r="509" spans="1:2" x14ac:dyDescent="0.2">
      <c r="A509" s="3"/>
      <c r="B509" s="36"/>
    </row>
    <row r="510" spans="1:2" x14ac:dyDescent="0.2">
      <c r="A510" s="3"/>
      <c r="B510" s="36"/>
    </row>
    <row r="511" spans="1:2" x14ac:dyDescent="0.2">
      <c r="A511" s="3"/>
      <c r="B511" s="36"/>
    </row>
    <row r="512" spans="1:2" x14ac:dyDescent="0.2">
      <c r="A512" s="3"/>
      <c r="B512" s="36"/>
    </row>
    <row r="513" spans="1:2" x14ac:dyDescent="0.2">
      <c r="A513" s="3"/>
      <c r="B513" s="36"/>
    </row>
    <row r="514" spans="1:2" x14ac:dyDescent="0.2">
      <c r="A514" s="3"/>
      <c r="B514" s="36"/>
    </row>
    <row r="515" spans="1:2" x14ac:dyDescent="0.2">
      <c r="A515" s="3"/>
      <c r="B515" s="36"/>
    </row>
    <row r="516" spans="1:2" x14ac:dyDescent="0.2">
      <c r="A516" s="3"/>
      <c r="B516" s="36"/>
    </row>
    <row r="517" spans="1:2" x14ac:dyDescent="0.2">
      <c r="A517" s="3"/>
      <c r="B517" s="36"/>
    </row>
    <row r="518" spans="1:2" x14ac:dyDescent="0.2">
      <c r="A518" s="3"/>
      <c r="B518" s="36"/>
    </row>
    <row r="519" spans="1:2" x14ac:dyDescent="0.2">
      <c r="A519" s="3"/>
      <c r="B519" s="36"/>
    </row>
    <row r="520" spans="1:2" x14ac:dyDescent="0.2">
      <c r="A520" s="3"/>
      <c r="B520" s="36"/>
    </row>
    <row r="521" spans="1:2" x14ac:dyDescent="0.2">
      <c r="A521" s="3"/>
      <c r="B521" s="36"/>
    </row>
    <row r="522" spans="1:2" x14ac:dyDescent="0.2">
      <c r="A522" s="3"/>
      <c r="B522" s="36"/>
    </row>
    <row r="523" spans="1:2" x14ac:dyDescent="0.2">
      <c r="A523" s="3"/>
      <c r="B523" s="36"/>
    </row>
    <row r="524" spans="1:2" x14ac:dyDescent="0.2">
      <c r="A524" s="3"/>
      <c r="B524" s="36"/>
    </row>
    <row r="525" spans="1:2" x14ac:dyDescent="0.2">
      <c r="A525" s="3"/>
      <c r="B525" s="36"/>
    </row>
    <row r="526" spans="1:2" x14ac:dyDescent="0.2">
      <c r="A526" s="3"/>
      <c r="B526" s="36"/>
    </row>
    <row r="527" spans="1:2" x14ac:dyDescent="0.2">
      <c r="A527" s="3"/>
      <c r="B527" s="36"/>
    </row>
    <row r="528" spans="1:2" x14ac:dyDescent="0.2">
      <c r="A528" s="3"/>
      <c r="B528" s="36"/>
    </row>
    <row r="529" spans="1:2" x14ac:dyDescent="0.2">
      <c r="A529" s="3"/>
      <c r="B529" s="36"/>
    </row>
    <row r="530" spans="1:2" x14ac:dyDescent="0.2">
      <c r="A530" s="3"/>
      <c r="B530" s="36"/>
    </row>
    <row r="531" spans="1:2" x14ac:dyDescent="0.2">
      <c r="A531" s="3"/>
      <c r="B531" s="36"/>
    </row>
    <row r="532" spans="1:2" x14ac:dyDescent="0.2">
      <c r="A532" s="3"/>
      <c r="B532" s="36"/>
    </row>
    <row r="533" spans="1:2" x14ac:dyDescent="0.2">
      <c r="A533" s="3"/>
      <c r="B533" s="36"/>
    </row>
    <row r="534" spans="1:2" x14ac:dyDescent="0.2">
      <c r="A534" s="3"/>
      <c r="B534" s="36"/>
    </row>
    <row r="535" spans="1:2" x14ac:dyDescent="0.2">
      <c r="A535" s="3"/>
      <c r="B535" s="36"/>
    </row>
    <row r="536" spans="1:2" x14ac:dyDescent="0.2">
      <c r="A536" s="3"/>
      <c r="B536" s="36"/>
    </row>
    <row r="537" spans="1:2" x14ac:dyDescent="0.2">
      <c r="A537" s="3"/>
      <c r="B537" s="36"/>
    </row>
    <row r="538" spans="1:2" x14ac:dyDescent="0.2">
      <c r="A538" s="3"/>
      <c r="B538" s="36"/>
    </row>
    <row r="539" spans="1:2" x14ac:dyDescent="0.2">
      <c r="A539" s="3"/>
      <c r="B539" s="36"/>
    </row>
    <row r="540" spans="1:2" x14ac:dyDescent="0.2">
      <c r="A540" s="3"/>
      <c r="B540" s="36"/>
    </row>
    <row r="541" spans="1:2" x14ac:dyDescent="0.2">
      <c r="A541" s="3"/>
      <c r="B541" s="36"/>
    </row>
    <row r="542" spans="1:2" x14ac:dyDescent="0.2">
      <c r="A542" s="3"/>
      <c r="B542" s="36"/>
    </row>
    <row r="543" spans="1:2" x14ac:dyDescent="0.2">
      <c r="A543" s="3"/>
      <c r="B543" s="36"/>
    </row>
    <row r="544" spans="1:2" x14ac:dyDescent="0.2">
      <c r="A544" s="3"/>
      <c r="B544" s="36"/>
    </row>
    <row r="545" spans="1:2" x14ac:dyDescent="0.2">
      <c r="A545" s="3"/>
      <c r="B545" s="36"/>
    </row>
    <row r="546" spans="1:2" x14ac:dyDescent="0.2">
      <c r="A546" s="3"/>
      <c r="B546" s="36"/>
    </row>
    <row r="547" spans="1:2" x14ac:dyDescent="0.2">
      <c r="A547" s="3"/>
      <c r="B547" s="36"/>
    </row>
    <row r="548" spans="1:2" x14ac:dyDescent="0.2">
      <c r="A548" s="3"/>
      <c r="B548" s="36"/>
    </row>
    <row r="549" spans="1:2" x14ac:dyDescent="0.2">
      <c r="A549" s="3"/>
      <c r="B549" s="36"/>
    </row>
    <row r="550" spans="1:2" x14ac:dyDescent="0.2">
      <c r="A550" s="3"/>
      <c r="B550" s="36"/>
    </row>
    <row r="551" spans="1:2" x14ac:dyDescent="0.2">
      <c r="A551" s="3"/>
      <c r="B551" s="36"/>
    </row>
    <row r="552" spans="1:2" x14ac:dyDescent="0.2">
      <c r="A552" s="3"/>
      <c r="B552" s="36"/>
    </row>
    <row r="553" spans="1:2" x14ac:dyDescent="0.2">
      <c r="A553" s="3"/>
      <c r="B553" s="36"/>
    </row>
    <row r="554" spans="1:2" x14ac:dyDescent="0.2">
      <c r="A554" s="3"/>
      <c r="B554" s="36"/>
    </row>
    <row r="555" spans="1:2" x14ac:dyDescent="0.2">
      <c r="A555" s="3"/>
      <c r="B555" s="36"/>
    </row>
    <row r="556" spans="1:2" x14ac:dyDescent="0.2">
      <c r="A556" s="3"/>
      <c r="B556" s="36"/>
    </row>
    <row r="557" spans="1:2" x14ac:dyDescent="0.2">
      <c r="A557" s="3"/>
      <c r="B557" s="36"/>
    </row>
    <row r="558" spans="1:2" x14ac:dyDescent="0.2">
      <c r="A558" s="3"/>
      <c r="B558" s="36"/>
    </row>
    <row r="559" spans="1:2" x14ac:dyDescent="0.2">
      <c r="A559" s="3"/>
      <c r="B559" s="36"/>
    </row>
    <row r="560" spans="1:2" x14ac:dyDescent="0.2">
      <c r="A560" s="3"/>
      <c r="B560" s="36"/>
    </row>
    <row r="561" spans="1:2" x14ac:dyDescent="0.2">
      <c r="A561" s="3"/>
      <c r="B561" s="36"/>
    </row>
    <row r="562" spans="1:2" x14ac:dyDescent="0.2">
      <c r="A562" s="3"/>
      <c r="B562" s="36"/>
    </row>
    <row r="563" spans="1:2" x14ac:dyDescent="0.2">
      <c r="A563" s="3"/>
      <c r="B563" s="36"/>
    </row>
    <row r="564" spans="1:2" x14ac:dyDescent="0.2">
      <c r="A564" s="3"/>
      <c r="B564" s="36"/>
    </row>
    <row r="565" spans="1:2" x14ac:dyDescent="0.2">
      <c r="A565" s="3"/>
      <c r="B565" s="36"/>
    </row>
    <row r="566" spans="1:2" x14ac:dyDescent="0.2">
      <c r="A566" s="3"/>
      <c r="B566" s="36"/>
    </row>
    <row r="567" spans="1:2" x14ac:dyDescent="0.2">
      <c r="A567" s="3"/>
      <c r="B567" s="36"/>
    </row>
    <row r="568" spans="1:2" x14ac:dyDescent="0.2">
      <c r="A568" s="3"/>
      <c r="B568" s="36"/>
    </row>
    <row r="569" spans="1:2" x14ac:dyDescent="0.2">
      <c r="A569" s="3"/>
      <c r="B569" s="36"/>
    </row>
    <row r="570" spans="1:2" x14ac:dyDescent="0.2">
      <c r="A570" s="3"/>
      <c r="B570" s="36"/>
    </row>
    <row r="571" spans="1:2" x14ac:dyDescent="0.2">
      <c r="A571" s="3"/>
      <c r="B571" s="36"/>
    </row>
    <row r="572" spans="1:2" x14ac:dyDescent="0.2">
      <c r="A572" s="3"/>
      <c r="B572" s="36"/>
    </row>
    <row r="573" spans="1:2" x14ac:dyDescent="0.2">
      <c r="A573" s="3"/>
      <c r="B573" s="36"/>
    </row>
    <row r="574" spans="1:2" x14ac:dyDescent="0.2">
      <c r="A574" s="3"/>
      <c r="B574" s="36"/>
    </row>
    <row r="575" spans="1:2" x14ac:dyDescent="0.2">
      <c r="A575" s="3"/>
      <c r="B575" s="36"/>
    </row>
    <row r="576" spans="1:2" x14ac:dyDescent="0.2">
      <c r="A576" s="3"/>
      <c r="B576" s="36"/>
    </row>
    <row r="577" spans="1:2" x14ac:dyDescent="0.2">
      <c r="A577" s="3"/>
      <c r="B577" s="36"/>
    </row>
    <row r="578" spans="1:2" x14ac:dyDescent="0.2">
      <c r="A578" s="3"/>
      <c r="B578" s="36"/>
    </row>
    <row r="579" spans="1:2" x14ac:dyDescent="0.2">
      <c r="A579" s="3"/>
      <c r="B579" s="36"/>
    </row>
    <row r="580" spans="1:2" x14ac:dyDescent="0.2">
      <c r="A580" s="3"/>
      <c r="B580" s="36"/>
    </row>
    <row r="581" spans="1:2" x14ac:dyDescent="0.2">
      <c r="A581" s="3"/>
      <c r="B581" s="36"/>
    </row>
    <row r="582" spans="1:2" x14ac:dyDescent="0.2">
      <c r="A582" s="3"/>
      <c r="B582" s="36"/>
    </row>
    <row r="583" spans="1:2" x14ac:dyDescent="0.2">
      <c r="A583" s="3"/>
      <c r="B583" s="36"/>
    </row>
    <row r="584" spans="1:2" x14ac:dyDescent="0.2">
      <c r="A584" s="3"/>
      <c r="B584" s="36"/>
    </row>
    <row r="585" spans="1:2" x14ac:dyDescent="0.2">
      <c r="A585" s="3"/>
      <c r="B585" s="36"/>
    </row>
    <row r="586" spans="1:2" x14ac:dyDescent="0.2">
      <c r="A586" s="3"/>
      <c r="B586" s="36"/>
    </row>
    <row r="587" spans="1:2" x14ac:dyDescent="0.2">
      <c r="A587" s="3"/>
      <c r="B587" s="36"/>
    </row>
    <row r="588" spans="1:2" x14ac:dyDescent="0.2">
      <c r="A588" s="3"/>
      <c r="B588" s="36"/>
    </row>
    <row r="589" spans="1:2" x14ac:dyDescent="0.2">
      <c r="A589" s="3"/>
      <c r="B589" s="36"/>
    </row>
    <row r="590" spans="1:2" x14ac:dyDescent="0.2">
      <c r="A590" s="3"/>
      <c r="B590" s="36"/>
    </row>
    <row r="591" spans="1:2" x14ac:dyDescent="0.2">
      <c r="A591" s="3"/>
      <c r="B591" s="36"/>
    </row>
    <row r="592" spans="1:2" x14ac:dyDescent="0.2">
      <c r="A592" s="3"/>
      <c r="B592" s="36"/>
    </row>
    <row r="593" spans="1:2" x14ac:dyDescent="0.2">
      <c r="A593" s="3"/>
      <c r="B593" s="36"/>
    </row>
    <row r="594" spans="1:2" x14ac:dyDescent="0.2">
      <c r="A594" s="3"/>
      <c r="B594" s="36"/>
    </row>
    <row r="595" spans="1:2" x14ac:dyDescent="0.2">
      <c r="A595" s="3"/>
      <c r="B595" s="36"/>
    </row>
    <row r="596" spans="1:2" x14ac:dyDescent="0.2">
      <c r="A596" s="3"/>
      <c r="B596" s="36"/>
    </row>
    <row r="597" spans="1:2" x14ac:dyDescent="0.2">
      <c r="A597" s="3"/>
      <c r="B597" s="36"/>
    </row>
    <row r="598" spans="1:2" x14ac:dyDescent="0.2">
      <c r="A598" s="3"/>
      <c r="B598" s="36"/>
    </row>
    <row r="599" spans="1:2" x14ac:dyDescent="0.2">
      <c r="A599" s="3"/>
      <c r="B599" s="36"/>
    </row>
    <row r="600" spans="1:2" x14ac:dyDescent="0.2">
      <c r="A600" s="3"/>
      <c r="B600" s="36"/>
    </row>
    <row r="601" spans="1:2" x14ac:dyDescent="0.2">
      <c r="A601" s="3"/>
      <c r="B601" s="36"/>
    </row>
    <row r="602" spans="1:2" x14ac:dyDescent="0.2">
      <c r="A602" s="3"/>
      <c r="B602" s="36"/>
    </row>
    <row r="603" spans="1:2" x14ac:dyDescent="0.2">
      <c r="A603" s="3"/>
      <c r="B603" s="36"/>
    </row>
    <row r="604" spans="1:2" x14ac:dyDescent="0.2">
      <c r="A604" s="3"/>
      <c r="B604" s="36"/>
    </row>
    <row r="605" spans="1:2" x14ac:dyDescent="0.2">
      <c r="A605" s="3"/>
      <c r="B605" s="36"/>
    </row>
    <row r="606" spans="1:2" x14ac:dyDescent="0.2">
      <c r="A606" s="3"/>
      <c r="B606" s="36"/>
    </row>
    <row r="607" spans="1:2" x14ac:dyDescent="0.2">
      <c r="A607" s="3"/>
      <c r="B607" s="36"/>
    </row>
    <row r="608" spans="1:2" x14ac:dyDescent="0.2">
      <c r="A608" s="3"/>
      <c r="B608" s="36"/>
    </row>
    <row r="609" spans="1:2" x14ac:dyDescent="0.2">
      <c r="A609" s="3"/>
      <c r="B609" s="36"/>
    </row>
    <row r="610" spans="1:2" x14ac:dyDescent="0.2">
      <c r="A610" s="3"/>
      <c r="B610" s="36"/>
    </row>
    <row r="611" spans="1:2" x14ac:dyDescent="0.2">
      <c r="A611" s="3"/>
      <c r="B611" s="36"/>
    </row>
    <row r="612" spans="1:2" x14ac:dyDescent="0.2">
      <c r="A612" s="3"/>
      <c r="B612" s="36"/>
    </row>
    <row r="613" spans="1:2" x14ac:dyDescent="0.2">
      <c r="A613" s="3"/>
      <c r="B613" s="36"/>
    </row>
    <row r="614" spans="1:2" x14ac:dyDescent="0.2">
      <c r="A614" s="3"/>
      <c r="B614" s="36"/>
    </row>
    <row r="615" spans="1:2" x14ac:dyDescent="0.2">
      <c r="A615" s="3"/>
      <c r="B615" s="36"/>
    </row>
    <row r="616" spans="1:2" x14ac:dyDescent="0.2">
      <c r="A616" s="3"/>
      <c r="B616" s="36"/>
    </row>
    <row r="617" spans="1:2" x14ac:dyDescent="0.2">
      <c r="A617" s="3"/>
      <c r="B617" s="36"/>
    </row>
    <row r="618" spans="1:2" x14ac:dyDescent="0.2">
      <c r="A618" s="3"/>
      <c r="B618" s="36"/>
    </row>
    <row r="619" spans="1:2" x14ac:dyDescent="0.2">
      <c r="A619" s="3"/>
      <c r="B619" s="36"/>
    </row>
    <row r="620" spans="1:2" x14ac:dyDescent="0.2">
      <c r="A620" s="3"/>
      <c r="B620" s="36"/>
    </row>
    <row r="621" spans="1:2" x14ac:dyDescent="0.2">
      <c r="A621" s="3"/>
      <c r="B621" s="36"/>
    </row>
    <row r="622" spans="1:2" x14ac:dyDescent="0.2">
      <c r="A622" s="3"/>
      <c r="B622" s="36"/>
    </row>
    <row r="623" spans="1:2" x14ac:dyDescent="0.2">
      <c r="A623" s="3"/>
      <c r="B623" s="36"/>
    </row>
    <row r="624" spans="1:2" x14ac:dyDescent="0.2">
      <c r="A624" s="3"/>
      <c r="B624" s="36"/>
    </row>
    <row r="625" spans="1:2" x14ac:dyDescent="0.2">
      <c r="A625" s="3"/>
      <c r="B625" s="36"/>
    </row>
    <row r="626" spans="1:2" x14ac:dyDescent="0.2">
      <c r="A626" s="3"/>
      <c r="B626" s="36"/>
    </row>
    <row r="627" spans="1:2" x14ac:dyDescent="0.2">
      <c r="A627" s="3"/>
      <c r="B627" s="36"/>
    </row>
    <row r="628" spans="1:2" x14ac:dyDescent="0.2">
      <c r="A628" s="3"/>
      <c r="B628" s="36"/>
    </row>
    <row r="629" spans="1:2" x14ac:dyDescent="0.2">
      <c r="A629" s="3"/>
      <c r="B629" s="36"/>
    </row>
    <row r="630" spans="1:2" x14ac:dyDescent="0.2">
      <c r="A630" s="3"/>
      <c r="B630" s="36"/>
    </row>
    <row r="631" spans="1:2" x14ac:dyDescent="0.2">
      <c r="A631" s="3"/>
      <c r="B631" s="36"/>
    </row>
    <row r="632" spans="1:2" x14ac:dyDescent="0.2">
      <c r="A632" s="3"/>
      <c r="B632" s="36"/>
    </row>
    <row r="633" spans="1:2" x14ac:dyDescent="0.2">
      <c r="A633" s="3"/>
      <c r="B633" s="36"/>
    </row>
    <row r="634" spans="1:2" x14ac:dyDescent="0.2">
      <c r="A634" s="3"/>
      <c r="B634" s="36"/>
    </row>
    <row r="635" spans="1:2" x14ac:dyDescent="0.2">
      <c r="A635" s="3"/>
      <c r="B635" s="36"/>
    </row>
    <row r="636" spans="1:2" x14ac:dyDescent="0.2">
      <c r="A636" s="3"/>
      <c r="B636" s="36"/>
    </row>
    <row r="637" spans="1:2" x14ac:dyDescent="0.2">
      <c r="A637" s="3"/>
      <c r="B637" s="36"/>
    </row>
    <row r="638" spans="1:2" x14ac:dyDescent="0.2">
      <c r="A638" s="3"/>
      <c r="B638" s="36"/>
    </row>
    <row r="639" spans="1:2" x14ac:dyDescent="0.2">
      <c r="A639" s="3"/>
      <c r="B639" s="36"/>
    </row>
    <row r="640" spans="1:2" x14ac:dyDescent="0.2">
      <c r="A640" s="3"/>
      <c r="B640" s="36"/>
    </row>
    <row r="641" spans="1:2" x14ac:dyDescent="0.2">
      <c r="A641" s="3"/>
      <c r="B641" s="36"/>
    </row>
    <row r="642" spans="1:2" x14ac:dyDescent="0.2">
      <c r="A642" s="3"/>
      <c r="B642" s="36"/>
    </row>
    <row r="643" spans="1:2" x14ac:dyDescent="0.2">
      <c r="A643" s="3"/>
      <c r="B643" s="36"/>
    </row>
    <row r="644" spans="1:2" x14ac:dyDescent="0.2">
      <c r="A644" s="3"/>
      <c r="B644" s="36"/>
    </row>
    <row r="645" spans="1:2" x14ac:dyDescent="0.2">
      <c r="A645" s="3"/>
      <c r="B645" s="36"/>
    </row>
    <row r="646" spans="1:2" x14ac:dyDescent="0.2">
      <c r="A646" s="3"/>
      <c r="B646" s="36"/>
    </row>
    <row r="647" spans="1:2" x14ac:dyDescent="0.2">
      <c r="A647" s="3"/>
      <c r="B647" s="36"/>
    </row>
    <row r="648" spans="1:2" x14ac:dyDescent="0.2">
      <c r="A648" s="3"/>
      <c r="B648" s="36"/>
    </row>
    <row r="649" spans="1:2" x14ac:dyDescent="0.2">
      <c r="A649" s="3"/>
      <c r="B649" s="36"/>
    </row>
    <row r="650" spans="1:2" x14ac:dyDescent="0.2">
      <c r="A650" s="3"/>
      <c r="B650" s="36"/>
    </row>
    <row r="651" spans="1:2" x14ac:dyDescent="0.2">
      <c r="A651" s="3"/>
      <c r="B651" s="36"/>
    </row>
    <row r="652" spans="1:2" x14ac:dyDescent="0.2">
      <c r="A652" s="3"/>
      <c r="B652" s="36"/>
    </row>
    <row r="653" spans="1:2" x14ac:dyDescent="0.2">
      <c r="A653" s="3"/>
      <c r="B653" s="36"/>
    </row>
    <row r="654" spans="1:2" x14ac:dyDescent="0.2">
      <c r="A654" s="3"/>
      <c r="B654" s="36"/>
    </row>
    <row r="655" spans="1:2" x14ac:dyDescent="0.2">
      <c r="A655" s="3"/>
      <c r="B655" s="36"/>
    </row>
    <row r="656" spans="1:2" x14ac:dyDescent="0.2">
      <c r="A656" s="3"/>
      <c r="B656" s="36"/>
    </row>
    <row r="657" spans="1:2" x14ac:dyDescent="0.2">
      <c r="A657" s="3"/>
      <c r="B657" s="36"/>
    </row>
    <row r="658" spans="1:2" x14ac:dyDescent="0.2">
      <c r="A658" s="3"/>
      <c r="B658" s="36"/>
    </row>
    <row r="659" spans="1:2" x14ac:dyDescent="0.2">
      <c r="A659" s="3"/>
      <c r="B659" s="36"/>
    </row>
    <row r="660" spans="1:2" x14ac:dyDescent="0.2">
      <c r="A660" s="3"/>
      <c r="B660" s="36"/>
    </row>
    <row r="661" spans="1:2" x14ac:dyDescent="0.2">
      <c r="A661" s="3"/>
      <c r="B661" s="36"/>
    </row>
    <row r="662" spans="1:2" x14ac:dyDescent="0.2">
      <c r="A662" s="3"/>
      <c r="B662" s="36"/>
    </row>
    <row r="663" spans="1:2" x14ac:dyDescent="0.2">
      <c r="A663" s="3"/>
      <c r="B663" s="36"/>
    </row>
    <row r="664" spans="1:2" x14ac:dyDescent="0.2">
      <c r="A664" s="3"/>
      <c r="B664" s="36"/>
    </row>
    <row r="665" spans="1:2" x14ac:dyDescent="0.2">
      <c r="A665" s="3"/>
      <c r="B665" s="36"/>
    </row>
    <row r="666" spans="1:2" x14ac:dyDescent="0.2">
      <c r="A666" s="3"/>
      <c r="B666" s="36"/>
    </row>
    <row r="667" spans="1:2" x14ac:dyDescent="0.2">
      <c r="A667" s="3"/>
      <c r="B667" s="36"/>
    </row>
    <row r="668" spans="1:2" x14ac:dyDescent="0.2">
      <c r="A668" s="3"/>
      <c r="B668" s="36"/>
    </row>
    <row r="669" spans="1:2" x14ac:dyDescent="0.2">
      <c r="A669" s="3"/>
      <c r="B669" s="36"/>
    </row>
    <row r="670" spans="1:2" x14ac:dyDescent="0.2">
      <c r="A670" s="3"/>
      <c r="B670" s="36"/>
    </row>
    <row r="671" spans="1:2" x14ac:dyDescent="0.2">
      <c r="A671" s="3"/>
      <c r="B671" s="36"/>
    </row>
    <row r="672" spans="1:2" x14ac:dyDescent="0.2">
      <c r="A672" s="3"/>
      <c r="B672" s="36"/>
    </row>
    <row r="673" spans="1:2" x14ac:dyDescent="0.2">
      <c r="A673" s="3"/>
      <c r="B673" s="36"/>
    </row>
    <row r="674" spans="1:2" x14ac:dyDescent="0.2">
      <c r="A674" s="3"/>
      <c r="B674" s="36"/>
    </row>
    <row r="675" spans="1:2" x14ac:dyDescent="0.2">
      <c r="A675" s="3"/>
      <c r="B675" s="36"/>
    </row>
    <row r="676" spans="1:2" x14ac:dyDescent="0.2">
      <c r="A676" s="3"/>
      <c r="B676" s="36"/>
    </row>
    <row r="677" spans="1:2" x14ac:dyDescent="0.2">
      <c r="A677" s="3"/>
      <c r="B677" s="36"/>
    </row>
    <row r="678" spans="1:2" x14ac:dyDescent="0.2">
      <c r="A678" s="3"/>
      <c r="B678" s="36"/>
    </row>
    <row r="679" spans="1:2" x14ac:dyDescent="0.2">
      <c r="A679" s="3"/>
      <c r="B679" s="36"/>
    </row>
    <row r="680" spans="1:2" x14ac:dyDescent="0.2">
      <c r="A680" s="3"/>
      <c r="B680" s="36"/>
    </row>
    <row r="681" spans="1:2" x14ac:dyDescent="0.2">
      <c r="A681" s="3"/>
      <c r="B681" s="36"/>
    </row>
    <row r="682" spans="1:2" x14ac:dyDescent="0.2">
      <c r="A682" s="3"/>
      <c r="B682" s="36"/>
    </row>
    <row r="683" spans="1:2" x14ac:dyDescent="0.2">
      <c r="A683" s="3"/>
      <c r="B683" s="36"/>
    </row>
    <row r="684" spans="1:2" x14ac:dyDescent="0.2">
      <c r="A684" s="3"/>
      <c r="B684" s="36"/>
    </row>
    <row r="685" spans="1:2" x14ac:dyDescent="0.2">
      <c r="A685" s="3"/>
      <c r="B685" s="36"/>
    </row>
    <row r="686" spans="1:2" x14ac:dyDescent="0.2">
      <c r="A686" s="3"/>
      <c r="B686" s="36"/>
    </row>
    <row r="687" spans="1:2" x14ac:dyDescent="0.2">
      <c r="A687" s="3"/>
      <c r="B687" s="36"/>
    </row>
    <row r="688" spans="1:2" x14ac:dyDescent="0.2">
      <c r="A688" s="3"/>
      <c r="B688" s="36"/>
    </row>
    <row r="689" spans="1:2" x14ac:dyDescent="0.2">
      <c r="A689" s="3"/>
      <c r="B689" s="36"/>
    </row>
    <row r="690" spans="1:2" x14ac:dyDescent="0.2">
      <c r="A690" s="3"/>
      <c r="B690" s="36"/>
    </row>
    <row r="691" spans="1:2" x14ac:dyDescent="0.2">
      <c r="A691" s="3"/>
      <c r="B691" s="36"/>
    </row>
    <row r="692" spans="1:2" x14ac:dyDescent="0.2">
      <c r="A692" s="3"/>
      <c r="B692" s="36"/>
    </row>
    <row r="693" spans="1:2" x14ac:dyDescent="0.2">
      <c r="A693" s="3"/>
      <c r="B693" s="36"/>
    </row>
    <row r="694" spans="1:2" x14ac:dyDescent="0.2">
      <c r="A694" s="3"/>
      <c r="B694" s="36"/>
    </row>
    <row r="695" spans="1:2" x14ac:dyDescent="0.2">
      <c r="A695" s="3"/>
      <c r="B695" s="36"/>
    </row>
    <row r="696" spans="1:2" x14ac:dyDescent="0.2">
      <c r="A696" s="3"/>
      <c r="B696" s="36"/>
    </row>
    <row r="697" spans="1:2" x14ac:dyDescent="0.2">
      <c r="A697" s="3"/>
      <c r="B697" s="36"/>
    </row>
    <row r="698" spans="1:2" x14ac:dyDescent="0.2">
      <c r="A698" s="3"/>
      <c r="B698" s="36"/>
    </row>
    <row r="699" spans="1:2" x14ac:dyDescent="0.2">
      <c r="A699" s="3"/>
      <c r="B699" s="36"/>
    </row>
    <row r="700" spans="1:2" x14ac:dyDescent="0.2">
      <c r="A700" s="3"/>
      <c r="B700" s="36"/>
    </row>
    <row r="701" spans="1:2" x14ac:dyDescent="0.2">
      <c r="A701" s="3"/>
      <c r="B701" s="36"/>
    </row>
    <row r="702" spans="1:2" x14ac:dyDescent="0.2">
      <c r="A702" s="3"/>
      <c r="B702" s="36"/>
    </row>
    <row r="703" spans="1:2" x14ac:dyDescent="0.2">
      <c r="A703" s="3"/>
      <c r="B703" s="36"/>
    </row>
    <row r="704" spans="1:2" x14ac:dyDescent="0.2">
      <c r="A704" s="3"/>
      <c r="B704" s="36"/>
    </row>
    <row r="705" spans="1:2" x14ac:dyDescent="0.2">
      <c r="A705" s="3"/>
      <c r="B705" s="36"/>
    </row>
    <row r="706" spans="1:2" x14ac:dyDescent="0.2">
      <c r="A706" s="3"/>
      <c r="B706" s="36"/>
    </row>
    <row r="707" spans="1:2" x14ac:dyDescent="0.2">
      <c r="A707" s="3"/>
      <c r="B707" s="36"/>
    </row>
    <row r="708" spans="1:2" x14ac:dyDescent="0.2">
      <c r="A708" s="3"/>
      <c r="B708" s="36"/>
    </row>
    <row r="709" spans="1:2" x14ac:dyDescent="0.2">
      <c r="A709" s="3"/>
      <c r="B709" s="36"/>
    </row>
    <row r="710" spans="1:2" x14ac:dyDescent="0.2">
      <c r="A710" s="3"/>
      <c r="B710" s="36"/>
    </row>
    <row r="711" spans="1:2" x14ac:dyDescent="0.2">
      <c r="A711" s="3"/>
      <c r="B711" s="36"/>
    </row>
    <row r="712" spans="1:2" x14ac:dyDescent="0.2">
      <c r="A712" s="3"/>
      <c r="B712" s="36"/>
    </row>
    <row r="713" spans="1:2" x14ac:dyDescent="0.2">
      <c r="A713" s="3"/>
      <c r="B713" s="36"/>
    </row>
    <row r="714" spans="1:2" x14ac:dyDescent="0.2">
      <c r="A714" s="3"/>
      <c r="B714" s="36"/>
    </row>
    <row r="715" spans="1:2" x14ac:dyDescent="0.2">
      <c r="A715" s="3"/>
      <c r="B715" s="36"/>
    </row>
    <row r="716" spans="1:2" x14ac:dyDescent="0.2">
      <c r="A716" s="3"/>
      <c r="B716" s="36"/>
    </row>
    <row r="717" spans="1:2" x14ac:dyDescent="0.2">
      <c r="A717" s="3"/>
      <c r="B717" s="36"/>
    </row>
    <row r="718" spans="1:2" x14ac:dyDescent="0.2">
      <c r="A718" s="3"/>
      <c r="B718" s="36"/>
    </row>
    <row r="719" spans="1:2" x14ac:dyDescent="0.2">
      <c r="A719" s="3"/>
      <c r="B719" s="36"/>
    </row>
    <row r="720" spans="1:2" x14ac:dyDescent="0.2">
      <c r="A720" s="3"/>
      <c r="B720" s="36"/>
    </row>
    <row r="721" spans="1:2" x14ac:dyDescent="0.2">
      <c r="A721" s="3"/>
      <c r="B721" s="36"/>
    </row>
    <row r="722" spans="1:2" x14ac:dyDescent="0.2">
      <c r="A722" s="3"/>
      <c r="B722" s="36"/>
    </row>
    <row r="723" spans="1:2" x14ac:dyDescent="0.2">
      <c r="A723" s="3"/>
      <c r="B723" s="36"/>
    </row>
    <row r="724" spans="1:2" x14ac:dyDescent="0.2">
      <c r="A724" s="3"/>
      <c r="B724" s="36"/>
    </row>
    <row r="725" spans="1:2" x14ac:dyDescent="0.2">
      <c r="A725" s="3"/>
      <c r="B725" s="36"/>
    </row>
    <row r="726" spans="1:2" x14ac:dyDescent="0.2">
      <c r="A726" s="3"/>
      <c r="B726" s="36"/>
    </row>
    <row r="727" spans="1:2" x14ac:dyDescent="0.2">
      <c r="A727" s="3"/>
      <c r="B727" s="36"/>
    </row>
    <row r="728" spans="1:2" x14ac:dyDescent="0.2">
      <c r="A728" s="3"/>
      <c r="B728" s="36"/>
    </row>
    <row r="729" spans="1:2" x14ac:dyDescent="0.2">
      <c r="A729" s="3"/>
      <c r="B729" s="36"/>
    </row>
    <row r="730" spans="1:2" x14ac:dyDescent="0.2">
      <c r="A730" s="3"/>
      <c r="B730" s="36"/>
    </row>
    <row r="731" spans="1:2" x14ac:dyDescent="0.2">
      <c r="A731" s="3"/>
      <c r="B731" s="36"/>
    </row>
    <row r="732" spans="1:2" x14ac:dyDescent="0.2">
      <c r="A732" s="3"/>
      <c r="B732" s="36"/>
    </row>
    <row r="733" spans="1:2" x14ac:dyDescent="0.2">
      <c r="A733" s="3"/>
      <c r="B733" s="36"/>
    </row>
    <row r="734" spans="1:2" x14ac:dyDescent="0.2">
      <c r="A734" s="3"/>
      <c r="B734" s="36"/>
    </row>
    <row r="735" spans="1:2" x14ac:dyDescent="0.2">
      <c r="A735" s="3"/>
      <c r="B735" s="36"/>
    </row>
    <row r="736" spans="1:2" x14ac:dyDescent="0.2">
      <c r="A736" s="3"/>
      <c r="B736" s="36"/>
    </row>
    <row r="737" spans="1:2" x14ac:dyDescent="0.2">
      <c r="A737" s="3"/>
      <c r="B737" s="36"/>
    </row>
    <row r="738" spans="1:2" x14ac:dyDescent="0.2">
      <c r="A738" s="3"/>
      <c r="B738" s="36"/>
    </row>
    <row r="739" spans="1:2" x14ac:dyDescent="0.2">
      <c r="A739" s="3"/>
      <c r="B739" s="36"/>
    </row>
    <row r="740" spans="1:2" x14ac:dyDescent="0.2">
      <c r="A740" s="3"/>
      <c r="B740" s="36"/>
    </row>
    <row r="741" spans="1:2" x14ac:dyDescent="0.2">
      <c r="A741" s="3"/>
      <c r="B741" s="36"/>
    </row>
    <row r="742" spans="1:2" x14ac:dyDescent="0.2">
      <c r="A742" s="3"/>
      <c r="B742" s="36"/>
    </row>
    <row r="743" spans="1:2" x14ac:dyDescent="0.2">
      <c r="A743" s="3"/>
      <c r="B743" s="36"/>
    </row>
    <row r="744" spans="1:2" x14ac:dyDescent="0.2">
      <c r="A744" s="3"/>
      <c r="B744" s="36"/>
    </row>
    <row r="745" spans="1:2" x14ac:dyDescent="0.2">
      <c r="A745" s="3"/>
      <c r="B745" s="36"/>
    </row>
    <row r="746" spans="1:2" x14ac:dyDescent="0.2">
      <c r="A746" s="3"/>
      <c r="B746" s="36"/>
    </row>
    <row r="747" spans="1:2" x14ac:dyDescent="0.2">
      <c r="A747" s="3"/>
      <c r="B747" s="36"/>
    </row>
    <row r="748" spans="1:2" x14ac:dyDescent="0.2">
      <c r="A748" s="3"/>
      <c r="B748" s="36"/>
    </row>
    <row r="749" spans="1:2" x14ac:dyDescent="0.2">
      <c r="A749" s="3"/>
      <c r="B749" s="36"/>
    </row>
    <row r="750" spans="1:2" x14ac:dyDescent="0.2">
      <c r="A750" s="3"/>
      <c r="B750" s="36"/>
    </row>
    <row r="751" spans="1:2" x14ac:dyDescent="0.2">
      <c r="A751" s="3"/>
      <c r="B751" s="36"/>
    </row>
    <row r="752" spans="1:2" x14ac:dyDescent="0.2">
      <c r="A752" s="3"/>
      <c r="B752" s="36"/>
    </row>
    <row r="753" spans="1:2" x14ac:dyDescent="0.2">
      <c r="A753" s="3"/>
      <c r="B753" s="36"/>
    </row>
    <row r="754" spans="1:2" x14ac:dyDescent="0.2">
      <c r="A754" s="3"/>
      <c r="B754" s="36"/>
    </row>
    <row r="755" spans="1:2" x14ac:dyDescent="0.2">
      <c r="A755" s="3"/>
      <c r="B755" s="36"/>
    </row>
    <row r="756" spans="1:2" x14ac:dyDescent="0.2">
      <c r="A756" s="3"/>
      <c r="B756" s="36"/>
    </row>
    <row r="757" spans="1:2" x14ac:dyDescent="0.2">
      <c r="A757" s="3"/>
      <c r="B757" s="36"/>
    </row>
    <row r="758" spans="1:2" x14ac:dyDescent="0.2">
      <c r="A758" s="3"/>
      <c r="B758" s="36"/>
    </row>
    <row r="759" spans="1:2" x14ac:dyDescent="0.2">
      <c r="A759" s="3"/>
      <c r="B759" s="36"/>
    </row>
    <row r="760" spans="1:2" x14ac:dyDescent="0.2">
      <c r="A760" s="3"/>
      <c r="B760" s="36"/>
    </row>
    <row r="761" spans="1:2" x14ac:dyDescent="0.2">
      <c r="A761" s="3"/>
      <c r="B761" s="36"/>
    </row>
    <row r="762" spans="1:2" x14ac:dyDescent="0.2">
      <c r="A762" s="3"/>
      <c r="B762" s="36"/>
    </row>
    <row r="763" spans="1:2" x14ac:dyDescent="0.2">
      <c r="A763" s="3"/>
      <c r="B763" s="36"/>
    </row>
    <row r="764" spans="1:2" x14ac:dyDescent="0.2">
      <c r="A764" s="3"/>
      <c r="B764" s="36"/>
    </row>
    <row r="765" spans="1:2" x14ac:dyDescent="0.2">
      <c r="A765" s="3"/>
      <c r="B765" s="36"/>
    </row>
    <row r="766" spans="1:2" x14ac:dyDescent="0.2">
      <c r="A766" s="3"/>
      <c r="B766" s="36"/>
    </row>
    <row r="767" spans="1:2" x14ac:dyDescent="0.2">
      <c r="A767" s="3"/>
      <c r="B767" s="36"/>
    </row>
    <row r="768" spans="1:2" x14ac:dyDescent="0.2">
      <c r="A768" s="3"/>
      <c r="B768" s="36"/>
    </row>
    <row r="769" spans="1:2" x14ac:dyDescent="0.2">
      <c r="A769" s="3"/>
      <c r="B769" s="36"/>
    </row>
    <row r="770" spans="1:2" x14ac:dyDescent="0.2">
      <c r="A770" s="3"/>
      <c r="B770" s="36"/>
    </row>
    <row r="771" spans="1:2" x14ac:dyDescent="0.2">
      <c r="A771" s="3"/>
      <c r="B771" s="36"/>
    </row>
    <row r="772" spans="1:2" x14ac:dyDescent="0.2">
      <c r="A772" s="3"/>
      <c r="B772" s="36"/>
    </row>
    <row r="773" spans="1:2" x14ac:dyDescent="0.2">
      <c r="A773" s="3"/>
      <c r="B773" s="36"/>
    </row>
    <row r="774" spans="1:2" x14ac:dyDescent="0.2">
      <c r="A774" s="3"/>
      <c r="B774" s="36"/>
    </row>
    <row r="775" spans="1:2" x14ac:dyDescent="0.2">
      <c r="A775" s="3"/>
      <c r="B775" s="36"/>
    </row>
    <row r="776" spans="1:2" x14ac:dyDescent="0.2">
      <c r="A776" s="3"/>
      <c r="B776" s="36"/>
    </row>
    <row r="777" spans="1:2" x14ac:dyDescent="0.2">
      <c r="A777" s="3"/>
      <c r="B777" s="36"/>
    </row>
    <row r="778" spans="1:2" x14ac:dyDescent="0.2">
      <c r="A778" s="3"/>
      <c r="B778" s="36"/>
    </row>
    <row r="779" spans="1:2" x14ac:dyDescent="0.2">
      <c r="A779" s="3"/>
      <c r="B779" s="36"/>
    </row>
    <row r="780" spans="1:2" x14ac:dyDescent="0.2">
      <c r="A780" s="3"/>
      <c r="B780" s="36"/>
    </row>
    <row r="781" spans="1:2" x14ac:dyDescent="0.2">
      <c r="A781" s="3"/>
      <c r="B781" s="36"/>
    </row>
    <row r="782" spans="1:2" x14ac:dyDescent="0.2">
      <c r="A782" s="3"/>
      <c r="B782" s="36"/>
    </row>
    <row r="783" spans="1:2" x14ac:dyDescent="0.2">
      <c r="A783" s="3"/>
      <c r="B783" s="36"/>
    </row>
    <row r="784" spans="1:2" x14ac:dyDescent="0.2">
      <c r="A784" s="3"/>
      <c r="B784" s="36"/>
    </row>
    <row r="785" spans="1:2" x14ac:dyDescent="0.2">
      <c r="A785" s="3"/>
      <c r="B785" s="36"/>
    </row>
    <row r="786" spans="1:2" x14ac:dyDescent="0.2">
      <c r="A786" s="3"/>
      <c r="B786" s="36"/>
    </row>
    <row r="787" spans="1:2" x14ac:dyDescent="0.2">
      <c r="A787" s="3"/>
      <c r="B787" s="36"/>
    </row>
    <row r="788" spans="1:2" x14ac:dyDescent="0.2">
      <c r="A788" s="3"/>
      <c r="B788" s="36"/>
    </row>
    <row r="789" spans="1:2" x14ac:dyDescent="0.2">
      <c r="A789" s="3"/>
      <c r="B789" s="36"/>
    </row>
    <row r="790" spans="1:2" x14ac:dyDescent="0.2">
      <c r="A790" s="3"/>
      <c r="B790" s="36"/>
    </row>
    <row r="791" spans="1:2" x14ac:dyDescent="0.2">
      <c r="A791" s="3"/>
      <c r="B791" s="36"/>
    </row>
    <row r="792" spans="1:2" x14ac:dyDescent="0.2">
      <c r="A792" s="3"/>
      <c r="B792" s="36"/>
    </row>
    <row r="793" spans="1:2" x14ac:dyDescent="0.2">
      <c r="A793" s="3"/>
      <c r="B793" s="36"/>
    </row>
    <row r="794" spans="1:2" x14ac:dyDescent="0.2">
      <c r="A794" s="3"/>
      <c r="B794" s="36"/>
    </row>
    <row r="795" spans="1:2" x14ac:dyDescent="0.2">
      <c r="A795" s="3"/>
      <c r="B795" s="36"/>
    </row>
    <row r="796" spans="1:2" x14ac:dyDescent="0.2">
      <c r="A796" s="3"/>
      <c r="B796" s="36"/>
    </row>
    <row r="797" spans="1:2" x14ac:dyDescent="0.2">
      <c r="A797" s="3"/>
      <c r="B797" s="36"/>
    </row>
    <row r="798" spans="1:2" x14ac:dyDescent="0.2">
      <c r="A798" s="3"/>
      <c r="B798" s="36"/>
    </row>
    <row r="799" spans="1:2" x14ac:dyDescent="0.2">
      <c r="A799" s="3"/>
      <c r="B799" s="36"/>
    </row>
    <row r="800" spans="1:2" x14ac:dyDescent="0.2">
      <c r="A800" s="3"/>
      <c r="B800" s="36"/>
    </row>
    <row r="801" spans="1:2" x14ac:dyDescent="0.2">
      <c r="A801" s="3"/>
      <c r="B801" s="36"/>
    </row>
    <row r="802" spans="1:2" x14ac:dyDescent="0.2">
      <c r="A802" s="3"/>
      <c r="B802" s="36"/>
    </row>
    <row r="803" spans="1:2" x14ac:dyDescent="0.2">
      <c r="A803" s="3"/>
      <c r="B803" s="36"/>
    </row>
    <row r="804" spans="1:2" x14ac:dyDescent="0.2">
      <c r="A804" s="3"/>
      <c r="B804" s="36"/>
    </row>
    <row r="805" spans="1:2" x14ac:dyDescent="0.2">
      <c r="A805" s="3"/>
      <c r="B805" s="36"/>
    </row>
    <row r="806" spans="1:2" x14ac:dyDescent="0.2">
      <c r="A806" s="3"/>
      <c r="B806" s="36"/>
    </row>
    <row r="807" spans="1:2" x14ac:dyDescent="0.2">
      <c r="A807" s="3"/>
      <c r="B807" s="36"/>
    </row>
    <row r="808" spans="1:2" x14ac:dyDescent="0.2">
      <c r="A808" s="3"/>
      <c r="B808" s="36"/>
    </row>
    <row r="809" spans="1:2" x14ac:dyDescent="0.2">
      <c r="A809" s="3"/>
      <c r="B809" s="36"/>
    </row>
    <row r="810" spans="1:2" x14ac:dyDescent="0.2">
      <c r="A810" s="3"/>
      <c r="B810" s="36"/>
    </row>
    <row r="811" spans="1:2" x14ac:dyDescent="0.2">
      <c r="A811" s="3"/>
      <c r="B811" s="36"/>
    </row>
    <row r="812" spans="1:2" x14ac:dyDescent="0.2">
      <c r="A812" s="3"/>
      <c r="B812" s="36"/>
    </row>
    <row r="813" spans="1:2" x14ac:dyDescent="0.2">
      <c r="A813" s="3"/>
      <c r="B813" s="36"/>
    </row>
    <row r="814" spans="1:2" x14ac:dyDescent="0.2">
      <c r="A814" s="3"/>
      <c r="B814" s="36"/>
    </row>
    <row r="815" spans="1:2" x14ac:dyDescent="0.2">
      <c r="A815" s="3"/>
      <c r="B815" s="36"/>
    </row>
    <row r="816" spans="1:2" x14ac:dyDescent="0.2">
      <c r="A816" s="3"/>
      <c r="B816" s="36"/>
    </row>
    <row r="817" spans="1:2" x14ac:dyDescent="0.2">
      <c r="A817" s="3"/>
      <c r="B817" s="36"/>
    </row>
    <row r="818" spans="1:2" x14ac:dyDescent="0.2">
      <c r="A818" s="3"/>
      <c r="B818" s="36"/>
    </row>
    <row r="819" spans="1:2" x14ac:dyDescent="0.2">
      <c r="A819" s="3"/>
      <c r="B819" s="36"/>
    </row>
    <row r="820" spans="1:2" x14ac:dyDescent="0.2">
      <c r="A820" s="3"/>
      <c r="B820" s="36"/>
    </row>
    <row r="821" spans="1:2" x14ac:dyDescent="0.2">
      <c r="A821" s="3"/>
      <c r="B821" s="36"/>
    </row>
    <row r="822" spans="1:2" x14ac:dyDescent="0.2">
      <c r="A822" s="3"/>
      <c r="B822" s="36"/>
    </row>
    <row r="823" spans="1:2" x14ac:dyDescent="0.2">
      <c r="A823" s="3"/>
      <c r="B823" s="36"/>
    </row>
    <row r="824" spans="1:2" x14ac:dyDescent="0.2">
      <c r="A824" s="3"/>
      <c r="B824" s="36"/>
    </row>
    <row r="825" spans="1:2" x14ac:dyDescent="0.2">
      <c r="A825" s="3"/>
      <c r="B825" s="36"/>
    </row>
    <row r="826" spans="1:2" x14ac:dyDescent="0.2">
      <c r="A826" s="3"/>
      <c r="B826" s="36"/>
    </row>
    <row r="827" spans="1:2" x14ac:dyDescent="0.2">
      <c r="A827" s="3"/>
      <c r="B827" s="36"/>
    </row>
    <row r="828" spans="1:2" x14ac:dyDescent="0.2">
      <c r="A828" s="3"/>
      <c r="B828" s="36"/>
    </row>
    <row r="829" spans="1:2" x14ac:dyDescent="0.2">
      <c r="A829" s="3"/>
      <c r="B829" s="36"/>
    </row>
    <row r="830" spans="1:2" x14ac:dyDescent="0.2">
      <c r="A830" s="3"/>
      <c r="B830" s="36"/>
    </row>
    <row r="831" spans="1:2" x14ac:dyDescent="0.2">
      <c r="A831" s="3"/>
      <c r="B831" s="36"/>
    </row>
    <row r="832" spans="1:2" x14ac:dyDescent="0.2">
      <c r="A832" s="3"/>
      <c r="B832" s="36"/>
    </row>
    <row r="833" spans="1:2" x14ac:dyDescent="0.2">
      <c r="A833" s="3"/>
      <c r="B833" s="36"/>
    </row>
    <row r="834" spans="1:2" x14ac:dyDescent="0.2">
      <c r="A834" s="3"/>
      <c r="B834" s="36"/>
    </row>
    <row r="835" spans="1:2" x14ac:dyDescent="0.2">
      <c r="A835" s="3"/>
      <c r="B835" s="36"/>
    </row>
    <row r="836" spans="1:2" x14ac:dyDescent="0.2">
      <c r="A836" s="3"/>
      <c r="B836" s="36"/>
    </row>
    <row r="837" spans="1:2" x14ac:dyDescent="0.2">
      <c r="A837" s="3"/>
      <c r="B837" s="36"/>
    </row>
    <row r="838" spans="1:2" x14ac:dyDescent="0.2">
      <c r="A838" s="3"/>
      <c r="B838" s="36"/>
    </row>
    <row r="839" spans="1:2" x14ac:dyDescent="0.2">
      <c r="A839" s="3"/>
      <c r="B839" s="36"/>
    </row>
    <row r="840" spans="1:2" x14ac:dyDescent="0.2">
      <c r="A840" s="3"/>
      <c r="B840" s="36"/>
    </row>
    <row r="841" spans="1:2" x14ac:dyDescent="0.2">
      <c r="A841" s="3"/>
      <c r="B841" s="36"/>
    </row>
    <row r="842" spans="1:2" x14ac:dyDescent="0.2">
      <c r="A842" s="3"/>
      <c r="B842" s="36"/>
    </row>
    <row r="843" spans="1:2" x14ac:dyDescent="0.2">
      <c r="A843" s="3"/>
      <c r="B843" s="36"/>
    </row>
    <row r="844" spans="1:2" x14ac:dyDescent="0.2">
      <c r="A844" s="3"/>
      <c r="B844" s="36"/>
    </row>
    <row r="845" spans="1:2" x14ac:dyDescent="0.2">
      <c r="A845" s="3"/>
      <c r="B845" s="36"/>
    </row>
    <row r="846" spans="1:2" x14ac:dyDescent="0.2">
      <c r="A846" s="3"/>
      <c r="B846" s="36"/>
    </row>
    <row r="847" spans="1:2" x14ac:dyDescent="0.2">
      <c r="A847" s="3"/>
      <c r="B847" s="36"/>
    </row>
    <row r="848" spans="1:2" x14ac:dyDescent="0.2">
      <c r="A848" s="3"/>
      <c r="B848" s="36"/>
    </row>
    <row r="849" spans="1:2" x14ac:dyDescent="0.2">
      <c r="A849" s="3"/>
      <c r="B849" s="36"/>
    </row>
    <row r="850" spans="1:2" x14ac:dyDescent="0.2">
      <c r="A850" s="3"/>
      <c r="B850" s="36"/>
    </row>
    <row r="851" spans="1:2" x14ac:dyDescent="0.2">
      <c r="A851" s="3"/>
      <c r="B851" s="36"/>
    </row>
    <row r="852" spans="1:2" x14ac:dyDescent="0.2">
      <c r="A852" s="3"/>
      <c r="B852" s="36"/>
    </row>
    <row r="853" spans="1:2" x14ac:dyDescent="0.2">
      <c r="A853" s="3"/>
      <c r="B853" s="36"/>
    </row>
    <row r="854" spans="1:2" x14ac:dyDescent="0.2">
      <c r="A854" s="3"/>
      <c r="B854" s="36"/>
    </row>
    <row r="855" spans="1:2" x14ac:dyDescent="0.2">
      <c r="A855" s="3"/>
      <c r="B855" s="36"/>
    </row>
    <row r="856" spans="1:2" x14ac:dyDescent="0.2">
      <c r="A856" s="3"/>
      <c r="B856" s="36"/>
    </row>
    <row r="857" spans="1:2" x14ac:dyDescent="0.2">
      <c r="A857" s="3"/>
      <c r="B857" s="36"/>
    </row>
    <row r="858" spans="1:2" x14ac:dyDescent="0.2">
      <c r="A858" s="3"/>
      <c r="B858" s="36"/>
    </row>
    <row r="859" spans="1:2" x14ac:dyDescent="0.2">
      <c r="A859" s="3"/>
      <c r="B859" s="36"/>
    </row>
    <row r="860" spans="1:2" x14ac:dyDescent="0.2">
      <c r="A860" s="3"/>
      <c r="B860" s="36"/>
    </row>
    <row r="861" spans="1:2" x14ac:dyDescent="0.2">
      <c r="A861" s="3"/>
      <c r="B861" s="36"/>
    </row>
    <row r="862" spans="1:2" x14ac:dyDescent="0.2">
      <c r="A862" s="3"/>
      <c r="B862" s="36"/>
    </row>
    <row r="863" spans="1:2" x14ac:dyDescent="0.2">
      <c r="A863" s="3"/>
      <c r="B863" s="36"/>
    </row>
    <row r="864" spans="1:2" x14ac:dyDescent="0.2">
      <c r="A864" s="3"/>
      <c r="B864" s="36"/>
    </row>
    <row r="865" spans="1:2" x14ac:dyDescent="0.2">
      <c r="A865" s="3"/>
      <c r="B865" s="36"/>
    </row>
    <row r="866" spans="1:2" x14ac:dyDescent="0.2">
      <c r="A866" s="3"/>
      <c r="B866" s="36"/>
    </row>
    <row r="867" spans="1:2" x14ac:dyDescent="0.2">
      <c r="A867" s="3"/>
      <c r="B867" s="36"/>
    </row>
    <row r="868" spans="1:2" x14ac:dyDescent="0.2">
      <c r="A868" s="3"/>
      <c r="B868" s="36"/>
    </row>
    <row r="869" spans="1:2" x14ac:dyDescent="0.2">
      <c r="A869" s="3"/>
      <c r="B869" s="36"/>
    </row>
    <row r="870" spans="1:2" x14ac:dyDescent="0.2">
      <c r="A870" s="3"/>
      <c r="B870" s="36"/>
    </row>
    <row r="871" spans="1:2" x14ac:dyDescent="0.2">
      <c r="A871" s="3"/>
      <c r="B871" s="36"/>
    </row>
    <row r="872" spans="1:2" x14ac:dyDescent="0.2">
      <c r="A872" s="3"/>
      <c r="B872" s="36"/>
    </row>
    <row r="873" spans="1:2" x14ac:dyDescent="0.2">
      <c r="A873" s="3"/>
      <c r="B873" s="36"/>
    </row>
    <row r="874" spans="1:2" x14ac:dyDescent="0.2">
      <c r="A874" s="3"/>
      <c r="B874" s="36"/>
    </row>
    <row r="875" spans="1:2" x14ac:dyDescent="0.2">
      <c r="A875" s="3"/>
      <c r="B875" s="36"/>
    </row>
    <row r="876" spans="1:2" x14ac:dyDescent="0.2">
      <c r="A876" s="3"/>
      <c r="B876" s="36"/>
    </row>
    <row r="877" spans="1:2" x14ac:dyDescent="0.2">
      <c r="A877" s="3"/>
      <c r="B877" s="36"/>
    </row>
    <row r="878" spans="1:2" x14ac:dyDescent="0.2">
      <c r="A878" s="3"/>
      <c r="B878" s="36"/>
    </row>
    <row r="879" spans="1:2" x14ac:dyDescent="0.2">
      <c r="A879" s="3"/>
      <c r="B879" s="36"/>
    </row>
    <row r="880" spans="1:2" x14ac:dyDescent="0.2">
      <c r="A880" s="3"/>
      <c r="B880" s="36"/>
    </row>
    <row r="881" spans="1:2" x14ac:dyDescent="0.2">
      <c r="A881" s="3"/>
      <c r="B881" s="36"/>
    </row>
    <row r="882" spans="1:2" x14ac:dyDescent="0.2">
      <c r="A882" s="3"/>
      <c r="B882" s="36"/>
    </row>
    <row r="883" spans="1:2" x14ac:dyDescent="0.2">
      <c r="A883" s="3"/>
      <c r="B883" s="36"/>
    </row>
    <row r="884" spans="1:2" x14ac:dyDescent="0.2">
      <c r="A884" s="3"/>
      <c r="B884" s="36"/>
    </row>
    <row r="885" spans="1:2" x14ac:dyDescent="0.2">
      <c r="A885" s="3"/>
      <c r="B885" s="36"/>
    </row>
    <row r="886" spans="1:2" x14ac:dyDescent="0.2">
      <c r="A886" s="3"/>
      <c r="B886" s="36"/>
    </row>
    <row r="887" spans="1:2" x14ac:dyDescent="0.2">
      <c r="A887" s="3"/>
      <c r="B887" s="36"/>
    </row>
    <row r="888" spans="1:2" x14ac:dyDescent="0.2">
      <c r="A888" s="3"/>
      <c r="B888" s="36"/>
    </row>
    <row r="889" spans="1:2" x14ac:dyDescent="0.2">
      <c r="A889" s="3"/>
      <c r="B889" s="36"/>
    </row>
    <row r="890" spans="1:2" x14ac:dyDescent="0.2">
      <c r="A890" s="3"/>
      <c r="B890" s="36"/>
    </row>
    <row r="891" spans="1:2" x14ac:dyDescent="0.2">
      <c r="A891" s="3"/>
      <c r="B891" s="36"/>
    </row>
    <row r="892" spans="1:2" x14ac:dyDescent="0.2">
      <c r="A892" s="3"/>
      <c r="B892" s="36"/>
    </row>
    <row r="893" spans="1:2" x14ac:dyDescent="0.2">
      <c r="A893" s="3"/>
      <c r="B893" s="36"/>
    </row>
    <row r="894" spans="1:2" x14ac:dyDescent="0.2">
      <c r="A894" s="3"/>
      <c r="B894" s="36"/>
    </row>
    <row r="895" spans="1:2" x14ac:dyDescent="0.2">
      <c r="A895" s="3"/>
      <c r="B895" s="36"/>
    </row>
    <row r="896" spans="1:2" x14ac:dyDescent="0.2">
      <c r="A896" s="3"/>
      <c r="B896" s="36"/>
    </row>
    <row r="897" spans="1:2" x14ac:dyDescent="0.2">
      <c r="A897" s="3"/>
      <c r="B897" s="36"/>
    </row>
    <row r="898" spans="1:2" x14ac:dyDescent="0.2">
      <c r="A898" s="3"/>
      <c r="B898" s="36"/>
    </row>
    <row r="899" spans="1:2" x14ac:dyDescent="0.2">
      <c r="A899" s="3"/>
      <c r="B899" s="36"/>
    </row>
    <row r="900" spans="1:2" x14ac:dyDescent="0.2">
      <c r="A900" s="3"/>
      <c r="B900" s="36"/>
    </row>
    <row r="901" spans="1:2" x14ac:dyDescent="0.2">
      <c r="A901" s="3"/>
      <c r="B901" s="36"/>
    </row>
    <row r="902" spans="1:2" x14ac:dyDescent="0.2">
      <c r="A902" s="3"/>
      <c r="B902" s="36"/>
    </row>
    <row r="903" spans="1:2" x14ac:dyDescent="0.2">
      <c r="A903" s="3"/>
      <c r="B903" s="36"/>
    </row>
    <row r="904" spans="1:2" x14ac:dyDescent="0.2">
      <c r="A904" s="3"/>
      <c r="B904" s="36"/>
    </row>
    <row r="905" spans="1:2" x14ac:dyDescent="0.2">
      <c r="A905" s="3"/>
      <c r="B905" s="36"/>
    </row>
    <row r="906" spans="1:2" x14ac:dyDescent="0.2">
      <c r="A906" s="3"/>
      <c r="B906" s="36"/>
    </row>
    <row r="907" spans="1:2" x14ac:dyDescent="0.2">
      <c r="A907" s="3"/>
      <c r="B907" s="36"/>
    </row>
    <row r="908" spans="1:2" x14ac:dyDescent="0.2">
      <c r="A908" s="3"/>
      <c r="B908" s="36"/>
    </row>
    <row r="909" spans="1:2" x14ac:dyDescent="0.2">
      <c r="A909" s="3"/>
      <c r="B909" s="36"/>
    </row>
    <row r="910" spans="1:2" x14ac:dyDescent="0.2">
      <c r="A910" s="3"/>
      <c r="B910" s="36"/>
    </row>
    <row r="911" spans="1:2" x14ac:dyDescent="0.2">
      <c r="A911" s="3"/>
      <c r="B911" s="36"/>
    </row>
    <row r="912" spans="1:2" x14ac:dyDescent="0.2">
      <c r="A912" s="3"/>
      <c r="B912" s="36"/>
    </row>
    <row r="913" spans="1:2" x14ac:dyDescent="0.2">
      <c r="A913" s="3"/>
      <c r="B913" s="36"/>
    </row>
    <row r="914" spans="1:2" x14ac:dyDescent="0.2">
      <c r="A914" s="3"/>
      <c r="B914" s="36"/>
    </row>
    <row r="915" spans="1:2" x14ac:dyDescent="0.2">
      <c r="A915" s="3"/>
      <c r="B915" s="36"/>
    </row>
    <row r="916" spans="1:2" x14ac:dyDescent="0.2">
      <c r="A916" s="3"/>
      <c r="B916" s="36"/>
    </row>
    <row r="917" spans="1:2" x14ac:dyDescent="0.2">
      <c r="A917" s="3"/>
      <c r="B917" s="36"/>
    </row>
    <row r="918" spans="1:2" x14ac:dyDescent="0.2">
      <c r="A918" s="3"/>
      <c r="B918" s="36"/>
    </row>
    <row r="919" spans="1:2" x14ac:dyDescent="0.2">
      <c r="A919" s="3"/>
      <c r="B919" s="36"/>
    </row>
    <row r="920" spans="1:2" x14ac:dyDescent="0.2">
      <c r="A920" s="3"/>
      <c r="B920" s="36"/>
    </row>
    <row r="921" spans="1:2" x14ac:dyDescent="0.2">
      <c r="A921" s="3"/>
      <c r="B921" s="36"/>
    </row>
    <row r="922" spans="1:2" x14ac:dyDescent="0.2">
      <c r="A922" s="3"/>
      <c r="B922" s="36"/>
    </row>
    <row r="923" spans="1:2" x14ac:dyDescent="0.2">
      <c r="A923" s="3"/>
      <c r="B923" s="36"/>
    </row>
    <row r="924" spans="1:2" x14ac:dyDescent="0.2">
      <c r="A924" s="3"/>
      <c r="B924" s="36"/>
    </row>
    <row r="925" spans="1:2" x14ac:dyDescent="0.2">
      <c r="A925" s="3"/>
      <c r="B925" s="36"/>
    </row>
    <row r="926" spans="1:2" x14ac:dyDescent="0.2">
      <c r="A926" s="3"/>
      <c r="B926" s="36"/>
    </row>
    <row r="927" spans="1:2" x14ac:dyDescent="0.2">
      <c r="A927" s="3"/>
      <c r="B927" s="36"/>
    </row>
    <row r="928" spans="1:2" x14ac:dyDescent="0.2">
      <c r="A928" s="3"/>
      <c r="B928" s="36"/>
    </row>
    <row r="929" spans="1:2" x14ac:dyDescent="0.2">
      <c r="A929" s="3"/>
      <c r="B929" s="36"/>
    </row>
    <row r="930" spans="1:2" x14ac:dyDescent="0.2">
      <c r="A930" s="3"/>
      <c r="B930" s="36"/>
    </row>
    <row r="931" spans="1:2" x14ac:dyDescent="0.2">
      <c r="A931" s="3"/>
      <c r="B931" s="36"/>
    </row>
    <row r="932" spans="1:2" x14ac:dyDescent="0.2">
      <c r="A932" s="3"/>
      <c r="B932" s="36"/>
    </row>
    <row r="933" spans="1:2" x14ac:dyDescent="0.2">
      <c r="A933" s="3"/>
      <c r="B933" s="36"/>
    </row>
    <row r="934" spans="1:2" x14ac:dyDescent="0.2">
      <c r="A934" s="3"/>
      <c r="B934" s="36"/>
    </row>
    <row r="935" spans="1:2" x14ac:dyDescent="0.2">
      <c r="A935" s="3"/>
      <c r="B935" s="36"/>
    </row>
    <row r="936" spans="1:2" x14ac:dyDescent="0.2">
      <c r="A936" s="3"/>
      <c r="B936" s="36"/>
    </row>
    <row r="937" spans="1:2" x14ac:dyDescent="0.2">
      <c r="A937" s="3"/>
      <c r="B937" s="36"/>
    </row>
    <row r="938" spans="1:2" x14ac:dyDescent="0.2">
      <c r="A938" s="3"/>
      <c r="B938" s="36"/>
    </row>
    <row r="939" spans="1:2" x14ac:dyDescent="0.2">
      <c r="A939" s="3"/>
      <c r="B939" s="36"/>
    </row>
    <row r="940" spans="1:2" x14ac:dyDescent="0.2">
      <c r="A940" s="3"/>
      <c r="B940" s="36"/>
    </row>
    <row r="941" spans="1:2" x14ac:dyDescent="0.2">
      <c r="A941" s="3"/>
      <c r="B941" s="36"/>
    </row>
    <row r="942" spans="1:2" x14ac:dyDescent="0.2">
      <c r="A942" s="3"/>
      <c r="B942" s="36"/>
    </row>
    <row r="943" spans="1:2" x14ac:dyDescent="0.2">
      <c r="A943" s="3"/>
      <c r="B943" s="36"/>
    </row>
    <row r="944" spans="1:2" x14ac:dyDescent="0.2">
      <c r="A944" s="3"/>
      <c r="B944" s="36"/>
    </row>
    <row r="945" spans="1:2" x14ac:dyDescent="0.2">
      <c r="A945" s="3"/>
      <c r="B945" s="36"/>
    </row>
    <row r="946" spans="1:2" x14ac:dyDescent="0.2">
      <c r="A946" s="3"/>
      <c r="B946" s="36"/>
    </row>
    <row r="947" spans="1:2" x14ac:dyDescent="0.2">
      <c r="A947" s="3"/>
      <c r="B947" s="36"/>
    </row>
    <row r="948" spans="1:2" x14ac:dyDescent="0.2">
      <c r="A948" s="3"/>
      <c r="B948" s="36"/>
    </row>
    <row r="949" spans="1:2" x14ac:dyDescent="0.2">
      <c r="A949" s="3"/>
      <c r="B949" s="36"/>
    </row>
    <row r="950" spans="1:2" x14ac:dyDescent="0.2">
      <c r="A950" s="3"/>
      <c r="B950" s="36"/>
    </row>
    <row r="951" spans="1:2" x14ac:dyDescent="0.2">
      <c r="A951" s="3"/>
      <c r="B951" s="36"/>
    </row>
    <row r="952" spans="1:2" x14ac:dyDescent="0.2">
      <c r="A952" s="3"/>
      <c r="B952" s="36"/>
    </row>
    <row r="953" spans="1:2" x14ac:dyDescent="0.2">
      <c r="A953" s="3"/>
      <c r="B953" s="36"/>
    </row>
    <row r="954" spans="1:2" x14ac:dyDescent="0.2">
      <c r="A954" s="3"/>
      <c r="B954" s="36"/>
    </row>
    <row r="955" spans="1:2" x14ac:dyDescent="0.2">
      <c r="A955" s="3"/>
      <c r="B955" s="36"/>
    </row>
    <row r="956" spans="1:2" x14ac:dyDescent="0.2">
      <c r="A956" s="3"/>
      <c r="B956" s="36"/>
    </row>
    <row r="957" spans="1:2" x14ac:dyDescent="0.2">
      <c r="A957" s="3"/>
      <c r="B957" s="36"/>
    </row>
    <row r="958" spans="1:2" x14ac:dyDescent="0.2">
      <c r="A958" s="3"/>
      <c r="B958" s="36"/>
    </row>
    <row r="959" spans="1:2" x14ac:dyDescent="0.2">
      <c r="A959" s="3"/>
      <c r="B959" s="36"/>
    </row>
    <row r="960" spans="1:2" x14ac:dyDescent="0.2">
      <c r="A960" s="3"/>
      <c r="B960" s="36"/>
    </row>
    <row r="961" spans="1:2" x14ac:dyDescent="0.2">
      <c r="A961" s="3"/>
      <c r="B961" s="36"/>
    </row>
    <row r="962" spans="1:2" x14ac:dyDescent="0.2">
      <c r="A962" s="3"/>
      <c r="B962" s="36"/>
    </row>
    <row r="963" spans="1:2" x14ac:dyDescent="0.2">
      <c r="A963" s="3"/>
      <c r="B963" s="36"/>
    </row>
    <row r="964" spans="1:2" x14ac:dyDescent="0.2">
      <c r="A964" s="3"/>
      <c r="B964" s="36"/>
    </row>
    <row r="965" spans="1:2" x14ac:dyDescent="0.2">
      <c r="A965" s="3"/>
      <c r="B965" s="36"/>
    </row>
    <row r="966" spans="1:2" x14ac:dyDescent="0.2">
      <c r="A966" s="3"/>
      <c r="B966" s="36"/>
    </row>
    <row r="967" spans="1:2" x14ac:dyDescent="0.2">
      <c r="A967" s="3"/>
      <c r="B967" s="36"/>
    </row>
    <row r="968" spans="1:2" x14ac:dyDescent="0.2">
      <c r="A968" s="3"/>
      <c r="B968" s="36"/>
    </row>
    <row r="969" spans="1:2" x14ac:dyDescent="0.2">
      <c r="A969" s="3"/>
      <c r="B969" s="36"/>
    </row>
    <row r="970" spans="1:2" x14ac:dyDescent="0.2">
      <c r="A970" s="3"/>
      <c r="B970" s="36"/>
    </row>
    <row r="971" spans="1:2" x14ac:dyDescent="0.2">
      <c r="A971" s="3"/>
      <c r="B971" s="36"/>
    </row>
    <row r="972" spans="1:2" x14ac:dyDescent="0.2">
      <c r="A972" s="3"/>
      <c r="B972" s="36"/>
    </row>
    <row r="973" spans="1:2" x14ac:dyDescent="0.2">
      <c r="A973" s="3"/>
      <c r="B973" s="36"/>
    </row>
    <row r="974" spans="1:2" x14ac:dyDescent="0.2">
      <c r="A974" s="3"/>
      <c r="B974" s="36"/>
    </row>
    <row r="975" spans="1:2" x14ac:dyDescent="0.2">
      <c r="A975" s="3"/>
      <c r="B975" s="36"/>
    </row>
    <row r="976" spans="1:2" x14ac:dyDescent="0.2">
      <c r="A976" s="3"/>
      <c r="B976" s="36"/>
    </row>
    <row r="977" spans="1:2" x14ac:dyDescent="0.2">
      <c r="A977" s="3"/>
      <c r="B977" s="36"/>
    </row>
    <row r="978" spans="1:2" x14ac:dyDescent="0.2">
      <c r="A978" s="3"/>
      <c r="B978" s="36"/>
    </row>
    <row r="979" spans="1:2" x14ac:dyDescent="0.2">
      <c r="A979" s="3"/>
      <c r="B979" s="36"/>
    </row>
    <row r="980" spans="1:2" x14ac:dyDescent="0.2">
      <c r="A980" s="3"/>
      <c r="B980" s="36"/>
    </row>
    <row r="981" spans="1:2" x14ac:dyDescent="0.2">
      <c r="A981" s="3"/>
      <c r="B981" s="36"/>
    </row>
    <row r="982" spans="1:2" x14ac:dyDescent="0.2">
      <c r="A982" s="3"/>
      <c r="B982" s="36"/>
    </row>
    <row r="983" spans="1:2" x14ac:dyDescent="0.2">
      <c r="A983" s="3"/>
      <c r="B983" s="36"/>
    </row>
    <row r="984" spans="1:2" x14ac:dyDescent="0.2">
      <c r="A984" s="3"/>
      <c r="B984" s="36"/>
    </row>
    <row r="985" spans="1:2" x14ac:dyDescent="0.2">
      <c r="A985" s="3"/>
      <c r="B985" s="36"/>
    </row>
    <row r="986" spans="1:2" x14ac:dyDescent="0.2">
      <c r="A986" s="3"/>
      <c r="B986" s="36"/>
    </row>
    <row r="987" spans="1:2" x14ac:dyDescent="0.2">
      <c r="A987" s="3"/>
      <c r="B987" s="36"/>
    </row>
    <row r="988" spans="1:2" x14ac:dyDescent="0.2">
      <c r="A988" s="3"/>
      <c r="B988" s="36"/>
    </row>
    <row r="989" spans="1:2" x14ac:dyDescent="0.2">
      <c r="A989" s="3"/>
      <c r="B989" s="36"/>
    </row>
    <row r="990" spans="1:2" x14ac:dyDescent="0.2">
      <c r="A990" s="3"/>
      <c r="B990" s="36"/>
    </row>
  </sheetData>
  <pageMargins left="0.75" right="0.75" top="1" bottom="1" header="0.5" footer="0.5"/>
  <pageSetup paperSize="9" orientation="portrait" horizontalDpi="4294967292" verticalDpi="429496729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2105"/>
  <sheetViews>
    <sheetView workbookViewId="0">
      <selection activeCell="B2" sqref="B2:R3"/>
    </sheetView>
  </sheetViews>
  <sheetFormatPr baseColWidth="10" defaultRowHeight="16" x14ac:dyDescent="0.2"/>
  <cols>
    <col min="1" max="1" width="10.83203125" style="15"/>
    <col min="2" max="2" width="13.33203125" style="15" bestFit="1" customWidth="1"/>
    <col min="3" max="7" width="10.83203125" style="3"/>
    <col min="8" max="9" width="10.83203125" style="17"/>
    <col min="10" max="23" width="10.83203125" style="3"/>
  </cols>
  <sheetData>
    <row r="2" spans="1:24" x14ac:dyDescent="0.2">
      <c r="A2" s="48"/>
      <c r="B2" s="48" t="s">
        <v>75</v>
      </c>
      <c r="C2" s="85">
        <v>31.52</v>
      </c>
      <c r="D2" s="85">
        <v>39.08</v>
      </c>
      <c r="E2" s="85">
        <v>68.540000000000006</v>
      </c>
      <c r="F2" s="85">
        <v>72.900000000000006</v>
      </c>
      <c r="G2" s="85">
        <v>44.29</v>
      </c>
      <c r="H2" s="85">
        <v>44.13</v>
      </c>
      <c r="I2" s="85">
        <v>23.07</v>
      </c>
      <c r="J2" s="85">
        <v>16.28</v>
      </c>
      <c r="K2" s="85">
        <v>88.21</v>
      </c>
      <c r="L2" s="85">
        <v>21.36</v>
      </c>
      <c r="M2" s="85">
        <v>38.32</v>
      </c>
      <c r="N2" s="85">
        <v>47.52</v>
      </c>
      <c r="O2" s="85">
        <v>18</v>
      </c>
      <c r="P2" s="85">
        <v>51.4</v>
      </c>
      <c r="Q2" s="85">
        <v>42.11</v>
      </c>
      <c r="R2" s="86">
        <v>44.17</v>
      </c>
    </row>
    <row r="3" spans="1:24" x14ac:dyDescent="0.2">
      <c r="A3" s="51"/>
      <c r="B3" s="51" t="s">
        <v>39</v>
      </c>
      <c r="C3" s="17">
        <v>1.34</v>
      </c>
      <c r="D3" s="17">
        <v>1.9570000000000001</v>
      </c>
      <c r="E3" s="17">
        <v>3.8879999999999999</v>
      </c>
      <c r="F3" s="17">
        <v>2.5880000000000001</v>
      </c>
      <c r="G3" s="17">
        <v>2.141</v>
      </c>
      <c r="H3" s="17">
        <v>1.94</v>
      </c>
      <c r="I3" s="17">
        <v>1.196</v>
      </c>
      <c r="J3" s="17">
        <v>0.78700000000000003</v>
      </c>
      <c r="K3" s="17">
        <v>3.9510000000000001</v>
      </c>
      <c r="L3" s="17">
        <v>0.95299999999999996</v>
      </c>
      <c r="M3" s="17">
        <v>1.988</v>
      </c>
      <c r="N3" s="17">
        <v>1.4990000000000001</v>
      </c>
      <c r="O3" s="17">
        <v>0.84799999999999998</v>
      </c>
      <c r="P3" s="17">
        <v>2.036</v>
      </c>
      <c r="Q3" s="17">
        <v>1.79</v>
      </c>
      <c r="R3" s="87">
        <v>1.887</v>
      </c>
    </row>
    <row r="4" spans="1:24" s="31" customFormat="1" x14ac:dyDescent="0.2">
      <c r="A4" s="51"/>
      <c r="B4" s="51" t="s">
        <v>48</v>
      </c>
      <c r="C4" s="33">
        <v>1790</v>
      </c>
      <c r="D4" s="39">
        <v>1895</v>
      </c>
      <c r="E4" s="39">
        <v>1830</v>
      </c>
      <c r="F4" s="39">
        <v>1920</v>
      </c>
      <c r="G4" s="39">
        <v>1875</v>
      </c>
      <c r="H4" s="39">
        <v>1860</v>
      </c>
      <c r="I4" s="33">
        <v>1790</v>
      </c>
      <c r="J4" s="39">
        <v>1830</v>
      </c>
      <c r="K4" s="39">
        <v>1835</v>
      </c>
      <c r="L4" s="39">
        <v>1860</v>
      </c>
      <c r="M4" s="33">
        <v>1790</v>
      </c>
      <c r="N4" s="39">
        <v>1830</v>
      </c>
      <c r="O4" s="39">
        <v>1835</v>
      </c>
      <c r="P4" s="39">
        <v>1840</v>
      </c>
      <c r="Q4" s="39">
        <v>1875</v>
      </c>
      <c r="R4" s="40">
        <v>1860</v>
      </c>
      <c r="S4" s="32"/>
    </row>
    <row r="5" spans="1:24" x14ac:dyDescent="0.2">
      <c r="A5" s="51"/>
      <c r="B5" s="51" t="s">
        <v>47</v>
      </c>
      <c r="C5" s="17">
        <v>35</v>
      </c>
      <c r="D5" s="17">
        <v>42</v>
      </c>
      <c r="E5" s="17">
        <v>70</v>
      </c>
      <c r="F5" s="17">
        <v>72</v>
      </c>
      <c r="G5" s="17">
        <v>50</v>
      </c>
      <c r="H5" s="17">
        <v>48</v>
      </c>
      <c r="I5" s="17">
        <v>28</v>
      </c>
      <c r="J5" s="17">
        <v>19</v>
      </c>
      <c r="K5" s="17">
        <v>89</v>
      </c>
      <c r="L5" s="17">
        <v>27</v>
      </c>
      <c r="M5" s="17">
        <v>40</v>
      </c>
      <c r="N5" s="17">
        <v>51</v>
      </c>
      <c r="O5" s="17">
        <v>28</v>
      </c>
      <c r="P5" s="17">
        <v>51</v>
      </c>
      <c r="Q5" s="17">
        <v>48</v>
      </c>
      <c r="R5" s="87">
        <v>51</v>
      </c>
      <c r="X5" s="24"/>
    </row>
    <row r="6" spans="1:24" x14ac:dyDescent="0.2">
      <c r="A6" s="51"/>
      <c r="B6" s="51" t="s">
        <v>17</v>
      </c>
      <c r="C6" s="17">
        <f>(C4-C5)/1000</f>
        <v>1.7549999999999999</v>
      </c>
      <c r="D6" s="17">
        <f t="shared" ref="D6:R6" si="0">(D4-D5)/1000</f>
        <v>1.853</v>
      </c>
      <c r="E6" s="17">
        <f t="shared" si="0"/>
        <v>1.76</v>
      </c>
      <c r="F6" s="17">
        <f t="shared" si="0"/>
        <v>1.8480000000000001</v>
      </c>
      <c r="G6" s="17">
        <f t="shared" si="0"/>
        <v>1.825</v>
      </c>
      <c r="H6" s="17">
        <f t="shared" si="0"/>
        <v>1.8120000000000001</v>
      </c>
      <c r="I6" s="17">
        <f t="shared" si="0"/>
        <v>1.762</v>
      </c>
      <c r="J6" s="17">
        <f t="shared" si="0"/>
        <v>1.8109999999999999</v>
      </c>
      <c r="K6" s="17">
        <f t="shared" si="0"/>
        <v>1.746</v>
      </c>
      <c r="L6" s="17">
        <f t="shared" si="0"/>
        <v>1.833</v>
      </c>
      <c r="M6" s="17">
        <f t="shared" si="0"/>
        <v>1.75</v>
      </c>
      <c r="N6" s="17">
        <f t="shared" si="0"/>
        <v>1.7789999999999999</v>
      </c>
      <c r="O6" s="17">
        <f t="shared" si="0"/>
        <v>1.8069999999999999</v>
      </c>
      <c r="P6" s="17">
        <f t="shared" si="0"/>
        <v>1.7889999999999999</v>
      </c>
      <c r="Q6" s="17">
        <f t="shared" si="0"/>
        <v>1.827</v>
      </c>
      <c r="R6" s="87">
        <f t="shared" si="0"/>
        <v>1.8089999999999999</v>
      </c>
      <c r="X6" s="24"/>
    </row>
    <row r="7" spans="1:24" x14ac:dyDescent="0.2">
      <c r="A7" s="51"/>
      <c r="B7" s="51" t="s">
        <v>20</v>
      </c>
      <c r="C7" s="9">
        <f t="shared" ref="C7:R7" si="1">SLOPE(C10:C310,$B10:$B310)</f>
        <v>-9.8018796242106987</v>
      </c>
      <c r="D7" s="9">
        <f t="shared" si="1"/>
        <v>-5.8574128270005072</v>
      </c>
      <c r="E7" s="9">
        <f t="shared" si="1"/>
        <v>-5.6940544674484634</v>
      </c>
      <c r="F7" s="9">
        <f t="shared" si="1"/>
        <v>-6.6794349519262548</v>
      </c>
      <c r="G7" s="9">
        <f t="shared" si="1"/>
        <v>-8.433081885987125</v>
      </c>
      <c r="H7" s="9">
        <f t="shared" si="1"/>
        <v>-5.6450068601350916</v>
      </c>
      <c r="I7" s="9">
        <f t="shared" si="1"/>
        <v>-6.0363232668148141</v>
      </c>
      <c r="J7" s="9">
        <f t="shared" si="1"/>
        <v>-5.1531351477415281</v>
      </c>
      <c r="K7" s="9">
        <f t="shared" si="1"/>
        <v>-10.587426036830875</v>
      </c>
      <c r="L7" s="9">
        <f t="shared" si="1"/>
        <v>-5.8847895975886164</v>
      </c>
      <c r="M7" s="9">
        <f t="shared" si="1"/>
        <v>-5.1406960286902406</v>
      </c>
      <c r="N7" s="9">
        <f t="shared" si="1"/>
        <v>-3.8144358627972998</v>
      </c>
      <c r="O7" s="9">
        <f t="shared" si="1"/>
        <v>-1.5720138346791055</v>
      </c>
      <c r="P7" s="9">
        <f t="shared" si="1"/>
        <v>-4.9285861081164333</v>
      </c>
      <c r="Q7" s="9">
        <f t="shared" si="1"/>
        <v>-5.182199062726891</v>
      </c>
      <c r="R7" s="62">
        <f t="shared" si="1"/>
        <v>-5.0179151525819075</v>
      </c>
      <c r="X7" s="24"/>
    </row>
    <row r="8" spans="1:24" x14ac:dyDescent="0.2">
      <c r="A8" s="54"/>
      <c r="B8" s="88" t="s">
        <v>46</v>
      </c>
      <c r="C8" s="72">
        <f>(-1*C6*(C7-(-0.83))*5.31)/100</f>
        <v>0.83609394812000704</v>
      </c>
      <c r="D8" s="72">
        <f>(-1*D6*(D7-(-0.83))*5.31)/100</f>
        <v>0.49466876592373604</v>
      </c>
      <c r="E8" s="72">
        <f>(-1*E6*(E7-(-0.83))*5.31)/100</f>
        <v>0.45457507430986355</v>
      </c>
      <c r="F8" s="72">
        <f>(-1*F6*(F7-(-1.34))*5.31)/100</f>
        <v>0.52395234451058104</v>
      </c>
      <c r="G8" s="72">
        <f>(-1*G6*(G7-(-1.34))*5.31)/100</f>
        <v>0.68737283286629713</v>
      </c>
      <c r="H8" s="72">
        <f>(-1*H6*(H7-(-1.34))*5.31)/100</f>
        <v>0.41421570606299013</v>
      </c>
      <c r="I8" s="72">
        <f>(-1*I6*(I7-(-2.63))*5.31)/100</f>
        <v>0.31870309875438096</v>
      </c>
      <c r="J8" s="72">
        <f>(-1*J6*(J7-(-2.63))*5.31)/100</f>
        <v>0.24263502066093107</v>
      </c>
      <c r="K8" s="72">
        <f>(-1*K6*(K7-(-2.63))*5.31)/100</f>
        <v>0.73775365718228614</v>
      </c>
      <c r="L8" s="72">
        <f>(-1*L6*(L7-(-1.61))*5.31)/100</f>
        <v>0.41607510354937438</v>
      </c>
      <c r="M8" s="72">
        <f>(-1*M6*(M7-(-1.61))*5.31)/100</f>
        <v>0.32808992846604057</v>
      </c>
      <c r="N8" s="72">
        <f>(-1*N6*(N7-(-1.22))*5.31)/100</f>
        <v>0.24508312433556068</v>
      </c>
      <c r="O8" s="72">
        <f>(-1*O6*(O7-(-1.22))*5.31)/100</f>
        <v>3.3776325860979124E-2</v>
      </c>
      <c r="P8" s="72">
        <f>(-1*P6*(P7-(-1.22))*5.31)/100</f>
        <v>0.35230047506801787</v>
      </c>
      <c r="Q8" s="72">
        <f>(-1*Q6*(Q7-(-0.6))*5.31)/100</f>
        <v>0.44453608521166776</v>
      </c>
      <c r="R8" s="73">
        <f>(-1*R6*(R7-(-0.6))*5.31)/100</f>
        <v>0.42437565193519761</v>
      </c>
      <c r="X8" s="24"/>
    </row>
    <row r="9" spans="1:24" x14ac:dyDescent="0.2">
      <c r="A9"/>
      <c r="B9" t="s">
        <v>30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17" t="s">
        <v>11</v>
      </c>
      <c r="I9" s="17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19</v>
      </c>
      <c r="O9" s="3" t="s">
        <v>21</v>
      </c>
      <c r="P9" s="3" t="s">
        <v>22</v>
      </c>
      <c r="Q9" s="3" t="s">
        <v>23</v>
      </c>
      <c r="R9" s="3" t="s">
        <v>24</v>
      </c>
    </row>
    <row r="10" spans="1:24" x14ac:dyDescent="0.2">
      <c r="A10" s="3"/>
      <c r="B10" s="23">
        <v>2.5</v>
      </c>
      <c r="C10" s="3">
        <v>67.984999999999999</v>
      </c>
      <c r="D10" s="3">
        <v>67.528000000000006</v>
      </c>
      <c r="E10" s="3">
        <v>70.629000000000005</v>
      </c>
      <c r="F10" s="3">
        <v>65.253</v>
      </c>
      <c r="G10" s="3">
        <v>72.863</v>
      </c>
      <c r="H10" s="17">
        <v>69.997</v>
      </c>
      <c r="I10" s="17">
        <v>79.212000000000003</v>
      </c>
      <c r="J10" s="3">
        <v>78.909000000000006</v>
      </c>
      <c r="K10" s="3">
        <v>74.997</v>
      </c>
      <c r="L10" s="3">
        <v>79.120999999999995</v>
      </c>
      <c r="M10" s="3">
        <v>67.177999999999997</v>
      </c>
      <c r="N10" s="3">
        <v>72.320999999999998</v>
      </c>
      <c r="O10" s="3">
        <v>77.204999999999998</v>
      </c>
      <c r="P10" s="3">
        <v>65.135000000000005</v>
      </c>
      <c r="Q10" s="3">
        <v>65.147000000000006</v>
      </c>
      <c r="R10" s="3">
        <v>68.626999999999995</v>
      </c>
    </row>
    <row r="11" spans="1:24" x14ac:dyDescent="0.2">
      <c r="A11" s="3"/>
      <c r="B11" s="23">
        <v>2.5166666666666666</v>
      </c>
      <c r="C11" s="3">
        <v>67.816999999999993</v>
      </c>
      <c r="D11" s="3">
        <v>67.370999999999995</v>
      </c>
      <c r="E11" s="3">
        <v>70.498000000000005</v>
      </c>
      <c r="F11" s="3">
        <v>65.313000000000002</v>
      </c>
      <c r="G11" s="3">
        <v>72.253</v>
      </c>
      <c r="H11" s="17">
        <v>69.917000000000002</v>
      </c>
      <c r="I11" s="17">
        <v>79.058999999999997</v>
      </c>
      <c r="J11" s="3">
        <v>78.792000000000002</v>
      </c>
      <c r="K11" s="3">
        <v>74.8</v>
      </c>
      <c r="L11" s="3">
        <v>79.024000000000001</v>
      </c>
      <c r="M11" s="3">
        <v>67.06</v>
      </c>
      <c r="N11" s="3">
        <v>72.203999999999994</v>
      </c>
      <c r="O11" s="3">
        <v>77.158000000000001</v>
      </c>
      <c r="P11" s="3">
        <v>64.849999999999994</v>
      </c>
      <c r="Q11" s="3">
        <v>65.233999999999995</v>
      </c>
      <c r="R11" s="3">
        <v>68.397000000000006</v>
      </c>
      <c r="X11" s="24"/>
    </row>
    <row r="12" spans="1:24" x14ac:dyDescent="0.2">
      <c r="A12" s="3"/>
      <c r="B12" s="23">
        <v>2.5333333333333332</v>
      </c>
      <c r="C12" s="3">
        <v>67.721000000000004</v>
      </c>
      <c r="D12" s="3">
        <v>67.334000000000003</v>
      </c>
      <c r="E12" s="3">
        <v>70.388999999999996</v>
      </c>
      <c r="F12" s="3">
        <v>65.456000000000003</v>
      </c>
      <c r="G12" s="3">
        <v>72.340999999999994</v>
      </c>
      <c r="H12" s="17">
        <v>69.843000000000004</v>
      </c>
      <c r="I12" s="17">
        <v>78.986000000000004</v>
      </c>
      <c r="J12" s="3">
        <v>78.63</v>
      </c>
      <c r="K12" s="3">
        <v>74.656000000000006</v>
      </c>
      <c r="L12" s="3">
        <v>78.968999999999994</v>
      </c>
      <c r="M12" s="3">
        <v>67.08</v>
      </c>
      <c r="N12" s="3">
        <v>72.213999999999999</v>
      </c>
      <c r="O12" s="3">
        <v>77.106999999999999</v>
      </c>
      <c r="P12" s="3">
        <v>64.888000000000005</v>
      </c>
      <c r="Q12" s="3">
        <v>65.236000000000004</v>
      </c>
      <c r="R12" s="3">
        <v>68.492999999999995</v>
      </c>
    </row>
    <row r="13" spans="1:24" x14ac:dyDescent="0.2">
      <c r="A13" s="3"/>
      <c r="B13" s="23">
        <v>2.5499999999999998</v>
      </c>
      <c r="C13" s="3">
        <v>67.593999999999994</v>
      </c>
      <c r="D13" s="3">
        <v>66.863</v>
      </c>
      <c r="E13" s="3">
        <v>70.323999999999998</v>
      </c>
      <c r="F13" s="3">
        <v>64.950999999999993</v>
      </c>
      <c r="G13" s="3">
        <v>72.225999999999999</v>
      </c>
      <c r="H13" s="17">
        <v>69.754000000000005</v>
      </c>
      <c r="I13" s="17">
        <v>78.756</v>
      </c>
      <c r="J13" s="3">
        <v>78.593000000000004</v>
      </c>
      <c r="K13" s="3">
        <v>74.456999999999994</v>
      </c>
      <c r="L13" s="3">
        <v>78.903000000000006</v>
      </c>
      <c r="M13" s="3">
        <v>66.986000000000004</v>
      </c>
      <c r="N13" s="3">
        <v>72.180000000000007</v>
      </c>
      <c r="O13" s="3">
        <v>77.141999999999996</v>
      </c>
      <c r="P13" s="3">
        <v>64.909000000000006</v>
      </c>
      <c r="Q13" s="3">
        <v>65.17</v>
      </c>
      <c r="R13" s="3">
        <v>68.451999999999998</v>
      </c>
      <c r="X13" s="24"/>
    </row>
    <row r="14" spans="1:24" x14ac:dyDescent="0.2">
      <c r="A14" s="3"/>
      <c r="B14" s="23">
        <v>2.5666666666666669</v>
      </c>
      <c r="C14" s="3">
        <v>67.519000000000005</v>
      </c>
      <c r="D14" s="3">
        <v>67.138999999999996</v>
      </c>
      <c r="E14" s="3">
        <v>70.221000000000004</v>
      </c>
      <c r="F14" s="3">
        <v>64.692999999999998</v>
      </c>
      <c r="G14" s="3">
        <v>72.222999999999999</v>
      </c>
      <c r="H14" s="17">
        <v>69.686999999999998</v>
      </c>
      <c r="I14" s="17">
        <v>78.686999999999998</v>
      </c>
      <c r="J14" s="3">
        <v>78.444000000000003</v>
      </c>
      <c r="K14" s="3">
        <v>73.995000000000005</v>
      </c>
      <c r="L14" s="3">
        <v>78.766999999999996</v>
      </c>
      <c r="M14" s="3">
        <v>66.966999999999999</v>
      </c>
      <c r="N14" s="3">
        <v>72.227999999999994</v>
      </c>
      <c r="O14" s="3">
        <v>77.138000000000005</v>
      </c>
      <c r="P14" s="3">
        <v>64.811999999999998</v>
      </c>
      <c r="Q14" s="3">
        <v>64.971000000000004</v>
      </c>
      <c r="R14" s="3">
        <v>68.366</v>
      </c>
    </row>
    <row r="15" spans="1:24" x14ac:dyDescent="0.2">
      <c r="A15" s="3"/>
      <c r="B15" s="23">
        <v>2.5833333333333335</v>
      </c>
      <c r="C15" s="3">
        <v>67.325999999999993</v>
      </c>
      <c r="D15" s="3">
        <v>67.004000000000005</v>
      </c>
      <c r="E15" s="3">
        <v>70.114999999999995</v>
      </c>
      <c r="F15" s="3">
        <v>64.658000000000001</v>
      </c>
      <c r="G15" s="3">
        <v>71.978999999999999</v>
      </c>
      <c r="H15" s="17">
        <v>69.572999999999993</v>
      </c>
      <c r="I15" s="17">
        <v>78.596000000000004</v>
      </c>
      <c r="J15" s="3">
        <v>78.393000000000001</v>
      </c>
      <c r="K15" s="3">
        <v>74.007000000000005</v>
      </c>
      <c r="L15" s="3">
        <v>78.652000000000001</v>
      </c>
      <c r="M15" s="3">
        <v>66.894999999999996</v>
      </c>
      <c r="N15" s="3">
        <v>72.165000000000006</v>
      </c>
      <c r="O15" s="3">
        <v>76.98</v>
      </c>
      <c r="P15" s="3">
        <v>64.805999999999997</v>
      </c>
      <c r="Q15" s="3">
        <v>64.903999999999996</v>
      </c>
      <c r="R15" s="3">
        <v>68.325999999999993</v>
      </c>
      <c r="X15" s="24"/>
    </row>
    <row r="16" spans="1:24" x14ac:dyDescent="0.2">
      <c r="A16" s="3"/>
      <c r="B16" s="23">
        <v>2.6</v>
      </c>
      <c r="C16" s="3">
        <v>67.103999999999999</v>
      </c>
      <c r="D16" s="3">
        <v>66.918999999999997</v>
      </c>
      <c r="E16" s="3">
        <v>69.991</v>
      </c>
      <c r="F16" s="3">
        <v>64.58</v>
      </c>
      <c r="G16" s="3">
        <v>71.86</v>
      </c>
      <c r="H16" s="17">
        <v>69.5</v>
      </c>
      <c r="I16" s="17">
        <v>78.460999999999999</v>
      </c>
      <c r="J16" s="3">
        <v>78.245999999999995</v>
      </c>
      <c r="K16" s="3">
        <v>73.924999999999997</v>
      </c>
      <c r="L16" s="3">
        <v>78.572000000000003</v>
      </c>
      <c r="M16" s="3">
        <v>66.808999999999997</v>
      </c>
      <c r="N16" s="3">
        <v>72.180999999999997</v>
      </c>
      <c r="O16" s="3">
        <v>76.929000000000002</v>
      </c>
      <c r="P16" s="3">
        <v>64.753</v>
      </c>
      <c r="Q16" s="3">
        <v>64.897999999999996</v>
      </c>
      <c r="R16" s="3">
        <v>68.323999999999998</v>
      </c>
    </row>
    <row r="17" spans="1:24" x14ac:dyDescent="0.2">
      <c r="A17" s="3"/>
      <c r="B17" s="23">
        <v>2.6166666666666667</v>
      </c>
      <c r="C17" s="3">
        <v>67.147000000000006</v>
      </c>
      <c r="D17" s="3">
        <v>66.83</v>
      </c>
      <c r="E17" s="3">
        <v>70.025000000000006</v>
      </c>
      <c r="F17" s="3">
        <v>64.489000000000004</v>
      </c>
      <c r="G17" s="3">
        <v>71.58</v>
      </c>
      <c r="H17" s="17">
        <v>69.412000000000006</v>
      </c>
      <c r="I17" s="17">
        <v>78.384</v>
      </c>
      <c r="J17" s="3">
        <v>78.102999999999994</v>
      </c>
      <c r="K17" s="3">
        <v>73.774000000000001</v>
      </c>
      <c r="L17" s="3">
        <v>78.460999999999999</v>
      </c>
      <c r="M17" s="3">
        <v>66.822000000000003</v>
      </c>
      <c r="N17" s="3">
        <v>72.152000000000001</v>
      </c>
      <c r="O17" s="3">
        <v>76.97</v>
      </c>
      <c r="P17" s="3">
        <v>64.661000000000001</v>
      </c>
      <c r="Q17" s="3">
        <v>64.552000000000007</v>
      </c>
      <c r="R17" s="3">
        <v>68.03</v>
      </c>
      <c r="X17" s="24"/>
    </row>
    <row r="18" spans="1:24" x14ac:dyDescent="0.2">
      <c r="A18" s="3"/>
      <c r="B18" s="23">
        <v>2.6333333333333333</v>
      </c>
      <c r="C18" s="3">
        <v>67.016000000000005</v>
      </c>
      <c r="D18" s="3">
        <v>66.334999999999994</v>
      </c>
      <c r="E18" s="3">
        <v>69.918999999999997</v>
      </c>
      <c r="F18" s="3">
        <v>64.525000000000006</v>
      </c>
      <c r="G18" s="3">
        <v>71.430000000000007</v>
      </c>
      <c r="H18" s="17">
        <v>69.325000000000003</v>
      </c>
      <c r="I18" s="17">
        <v>78.343000000000004</v>
      </c>
      <c r="J18" s="3">
        <v>77.977999999999994</v>
      </c>
      <c r="K18" s="3">
        <v>73.572999999999993</v>
      </c>
      <c r="L18" s="3">
        <v>78.352999999999994</v>
      </c>
      <c r="M18" s="3">
        <v>66.703000000000003</v>
      </c>
      <c r="N18" s="3">
        <v>72.108999999999995</v>
      </c>
      <c r="O18" s="3">
        <v>77.015000000000001</v>
      </c>
      <c r="P18" s="3">
        <v>64.620999999999995</v>
      </c>
      <c r="Q18" s="3">
        <v>64.602999999999994</v>
      </c>
      <c r="R18" s="3">
        <v>68.025000000000006</v>
      </c>
    </row>
    <row r="19" spans="1:24" x14ac:dyDescent="0.2">
      <c r="A19" s="3"/>
      <c r="B19" s="23">
        <v>2.65</v>
      </c>
      <c r="C19" s="3">
        <v>66.864999999999995</v>
      </c>
      <c r="D19" s="3">
        <v>66.581999999999994</v>
      </c>
      <c r="E19" s="3">
        <v>69.822999999999993</v>
      </c>
      <c r="F19" s="3">
        <v>64.061000000000007</v>
      </c>
      <c r="G19" s="3">
        <v>71.363</v>
      </c>
      <c r="H19" s="17">
        <v>69.212999999999994</v>
      </c>
      <c r="I19" s="17">
        <v>78.272999999999996</v>
      </c>
      <c r="J19" s="3">
        <v>77.912000000000006</v>
      </c>
      <c r="K19" s="3">
        <v>73.366</v>
      </c>
      <c r="L19" s="3">
        <v>78.287000000000006</v>
      </c>
      <c r="M19" s="3">
        <v>66.620999999999995</v>
      </c>
      <c r="N19" s="3">
        <v>72.093999999999994</v>
      </c>
      <c r="O19" s="3">
        <v>77.007999999999996</v>
      </c>
      <c r="P19" s="3">
        <v>64.466999999999999</v>
      </c>
      <c r="Q19" s="3">
        <v>64.567999999999998</v>
      </c>
      <c r="R19" s="3">
        <v>67.963999999999999</v>
      </c>
      <c r="X19" s="24"/>
    </row>
    <row r="20" spans="1:24" x14ac:dyDescent="0.2">
      <c r="A20" s="3"/>
      <c r="B20" s="23">
        <v>2.6666666666666665</v>
      </c>
      <c r="C20" s="3">
        <v>66.683000000000007</v>
      </c>
      <c r="D20" s="3">
        <v>66.44</v>
      </c>
      <c r="E20" s="3">
        <v>69.683999999999997</v>
      </c>
      <c r="F20" s="3">
        <v>64.066000000000003</v>
      </c>
      <c r="G20" s="3">
        <v>71.299000000000007</v>
      </c>
      <c r="H20" s="17">
        <v>69.093999999999994</v>
      </c>
      <c r="I20" s="17">
        <v>78.144000000000005</v>
      </c>
      <c r="J20" s="3">
        <v>77.756</v>
      </c>
      <c r="K20" s="3">
        <v>73.102000000000004</v>
      </c>
      <c r="L20" s="3">
        <v>78.147000000000006</v>
      </c>
      <c r="M20" s="3">
        <v>66.463999999999999</v>
      </c>
      <c r="N20" s="3">
        <v>72.025999999999996</v>
      </c>
      <c r="O20" s="3">
        <v>76.944000000000003</v>
      </c>
      <c r="P20" s="3">
        <v>64.325000000000003</v>
      </c>
      <c r="Q20" s="3">
        <v>64.504000000000005</v>
      </c>
      <c r="R20" s="3">
        <v>67.912000000000006</v>
      </c>
    </row>
    <row r="21" spans="1:24" x14ac:dyDescent="0.2">
      <c r="A21" s="3"/>
      <c r="B21" s="23">
        <v>2.6833333333333331</v>
      </c>
      <c r="C21" s="3">
        <v>66.58</v>
      </c>
      <c r="D21" s="3">
        <v>66.340999999999994</v>
      </c>
      <c r="E21" s="3">
        <v>69.686999999999998</v>
      </c>
      <c r="F21" s="3">
        <v>64.03</v>
      </c>
      <c r="G21" s="3">
        <v>71.215999999999994</v>
      </c>
      <c r="H21" s="17">
        <v>69.034000000000006</v>
      </c>
      <c r="I21" s="17">
        <v>78.08</v>
      </c>
      <c r="J21" s="3">
        <v>77.625</v>
      </c>
      <c r="K21" s="3">
        <v>73.003</v>
      </c>
      <c r="L21" s="3">
        <v>78.058000000000007</v>
      </c>
      <c r="M21" s="3">
        <v>66.436000000000007</v>
      </c>
      <c r="N21" s="3">
        <v>71.997</v>
      </c>
      <c r="O21" s="3">
        <v>76.902000000000001</v>
      </c>
      <c r="P21" s="3">
        <v>64.281000000000006</v>
      </c>
      <c r="Q21" s="3">
        <v>64.459999999999994</v>
      </c>
      <c r="R21" s="3">
        <v>67.525000000000006</v>
      </c>
      <c r="X21" s="24"/>
    </row>
    <row r="22" spans="1:24" x14ac:dyDescent="0.2">
      <c r="A22" s="3"/>
      <c r="B22" s="23">
        <v>2.7</v>
      </c>
      <c r="C22" s="3">
        <v>66.525000000000006</v>
      </c>
      <c r="D22" s="3">
        <v>66.284999999999997</v>
      </c>
      <c r="E22" s="3">
        <v>69.543999999999997</v>
      </c>
      <c r="F22" s="3">
        <v>63.957000000000001</v>
      </c>
      <c r="G22" s="3">
        <v>70.635999999999996</v>
      </c>
      <c r="H22" s="17">
        <v>68.954999999999998</v>
      </c>
      <c r="I22" s="17">
        <v>77.972999999999999</v>
      </c>
      <c r="J22" s="3">
        <v>77.528000000000006</v>
      </c>
      <c r="K22" s="3">
        <v>72.813999999999993</v>
      </c>
      <c r="L22" s="3">
        <v>77.915000000000006</v>
      </c>
      <c r="M22" s="3">
        <v>66.256</v>
      </c>
      <c r="N22" s="3">
        <v>72</v>
      </c>
      <c r="O22" s="3">
        <v>76.759</v>
      </c>
      <c r="P22" s="3">
        <v>64.207999999999998</v>
      </c>
      <c r="Q22" s="3">
        <v>64.438000000000002</v>
      </c>
      <c r="R22" s="3">
        <v>67.340999999999994</v>
      </c>
    </row>
    <row r="23" spans="1:24" x14ac:dyDescent="0.2">
      <c r="A23" s="3"/>
      <c r="B23" s="23">
        <v>2.7166666666666668</v>
      </c>
      <c r="C23" s="3">
        <v>66.248999999999995</v>
      </c>
      <c r="D23" s="3">
        <v>66.225999999999999</v>
      </c>
      <c r="E23" s="3">
        <v>69.489000000000004</v>
      </c>
      <c r="F23" s="3">
        <v>63.941000000000003</v>
      </c>
      <c r="G23" s="3">
        <v>70.808000000000007</v>
      </c>
      <c r="H23" s="17">
        <v>68.822000000000003</v>
      </c>
      <c r="I23" s="17">
        <v>77.945999999999998</v>
      </c>
      <c r="J23" s="3">
        <v>77.503</v>
      </c>
      <c r="K23" s="3">
        <v>72.212000000000003</v>
      </c>
      <c r="L23" s="3">
        <v>77.802999999999997</v>
      </c>
      <c r="M23" s="3">
        <v>66.2</v>
      </c>
      <c r="N23" s="3">
        <v>71.917000000000002</v>
      </c>
      <c r="O23" s="3">
        <v>76.849999999999994</v>
      </c>
      <c r="P23" s="3">
        <v>64.186999999999998</v>
      </c>
      <c r="Q23" s="3">
        <v>64.396000000000001</v>
      </c>
      <c r="R23" s="3">
        <v>67.397999999999996</v>
      </c>
      <c r="X23" s="24"/>
    </row>
    <row r="24" spans="1:24" x14ac:dyDescent="0.2">
      <c r="A24" s="3"/>
      <c r="B24" s="23">
        <v>2.7333333333333334</v>
      </c>
      <c r="C24" s="3">
        <v>66.183999999999997</v>
      </c>
      <c r="D24" s="3">
        <v>66.162000000000006</v>
      </c>
      <c r="E24" s="3">
        <v>69.352999999999994</v>
      </c>
      <c r="F24" s="3">
        <v>63.725000000000001</v>
      </c>
      <c r="G24" s="3">
        <v>70.715999999999994</v>
      </c>
      <c r="H24" s="17">
        <v>68.72</v>
      </c>
      <c r="I24" s="17">
        <v>77.805000000000007</v>
      </c>
      <c r="J24" s="3">
        <v>77.356999999999999</v>
      </c>
      <c r="K24" s="3">
        <v>72.317999999999998</v>
      </c>
      <c r="L24" s="3">
        <v>77.763999999999996</v>
      </c>
      <c r="M24" s="3">
        <v>66.082999999999998</v>
      </c>
      <c r="N24" s="3">
        <v>71.861000000000004</v>
      </c>
      <c r="O24" s="3">
        <v>76.872</v>
      </c>
      <c r="P24" s="3">
        <v>64.111999999999995</v>
      </c>
      <c r="Q24" s="3">
        <v>64.322000000000003</v>
      </c>
      <c r="R24" s="3">
        <v>67.334000000000003</v>
      </c>
    </row>
    <row r="25" spans="1:24" x14ac:dyDescent="0.2">
      <c r="A25" s="3"/>
      <c r="B25" s="23">
        <v>2.75</v>
      </c>
      <c r="C25" s="3">
        <v>66.055000000000007</v>
      </c>
      <c r="D25" s="3">
        <v>66.081999999999994</v>
      </c>
      <c r="E25" s="3">
        <v>69.364000000000004</v>
      </c>
      <c r="F25" s="3">
        <v>63.881</v>
      </c>
      <c r="G25" s="3">
        <v>70.671000000000006</v>
      </c>
      <c r="H25" s="17">
        <v>68.703999999999994</v>
      </c>
      <c r="I25" s="17">
        <v>77.697999999999993</v>
      </c>
      <c r="J25" s="3">
        <v>77.239999999999995</v>
      </c>
      <c r="K25" s="3">
        <v>72.123000000000005</v>
      </c>
      <c r="L25" s="3">
        <v>77.626000000000005</v>
      </c>
      <c r="M25" s="3">
        <v>65.995999999999995</v>
      </c>
      <c r="N25" s="3">
        <v>71.882999999999996</v>
      </c>
      <c r="O25" s="3">
        <v>76.736000000000004</v>
      </c>
      <c r="P25" s="3">
        <v>64.001000000000005</v>
      </c>
      <c r="Q25" s="3">
        <v>64.241</v>
      </c>
      <c r="R25" s="3">
        <v>67.182000000000002</v>
      </c>
      <c r="X25" s="24"/>
    </row>
    <row r="26" spans="1:24" x14ac:dyDescent="0.2">
      <c r="A26" s="3"/>
      <c r="B26" s="23">
        <v>2.7666666666666666</v>
      </c>
      <c r="C26" s="3">
        <v>65.725999999999999</v>
      </c>
      <c r="D26" s="3">
        <v>66.078999999999994</v>
      </c>
      <c r="E26" s="3">
        <v>69.073999999999998</v>
      </c>
      <c r="F26" s="3">
        <v>63.795000000000002</v>
      </c>
      <c r="G26" s="3">
        <v>69.850999999999999</v>
      </c>
      <c r="H26" s="17">
        <v>68.584000000000003</v>
      </c>
      <c r="I26" s="17">
        <v>77.61</v>
      </c>
      <c r="J26" s="3">
        <v>77.27</v>
      </c>
      <c r="K26" s="3">
        <v>71.870999999999995</v>
      </c>
      <c r="L26" s="3">
        <v>77.488</v>
      </c>
      <c r="M26" s="3">
        <v>65.932000000000002</v>
      </c>
      <c r="N26" s="3">
        <v>71.768000000000001</v>
      </c>
      <c r="O26" s="3">
        <v>76.721000000000004</v>
      </c>
      <c r="P26" s="3">
        <v>63.951999999999998</v>
      </c>
      <c r="Q26" s="3">
        <v>63.975000000000001</v>
      </c>
      <c r="R26" s="3">
        <v>67.186000000000007</v>
      </c>
    </row>
    <row r="27" spans="1:24" x14ac:dyDescent="0.2">
      <c r="A27" s="3"/>
      <c r="B27" s="23">
        <v>2.7833333333333332</v>
      </c>
      <c r="C27" s="3">
        <v>65.808999999999997</v>
      </c>
      <c r="D27" s="3">
        <v>65.94</v>
      </c>
      <c r="E27" s="3">
        <v>69.144999999999996</v>
      </c>
      <c r="F27" s="3">
        <v>63.744</v>
      </c>
      <c r="G27" s="3">
        <v>70.263999999999996</v>
      </c>
      <c r="H27" s="17">
        <v>68.542000000000002</v>
      </c>
      <c r="I27" s="17">
        <v>77.480999999999995</v>
      </c>
      <c r="J27" s="3">
        <v>77.14</v>
      </c>
      <c r="K27" s="3">
        <v>71.728999999999999</v>
      </c>
      <c r="L27" s="3">
        <v>77.468000000000004</v>
      </c>
      <c r="M27" s="3">
        <v>65.870999999999995</v>
      </c>
      <c r="N27" s="3">
        <v>71.843000000000004</v>
      </c>
      <c r="O27" s="3">
        <v>76.653999999999996</v>
      </c>
      <c r="P27" s="3">
        <v>63.808999999999997</v>
      </c>
      <c r="Q27" s="3">
        <v>63.936999999999998</v>
      </c>
      <c r="R27" s="3">
        <v>67.143000000000001</v>
      </c>
      <c r="X27" s="24"/>
    </row>
    <row r="28" spans="1:24" x14ac:dyDescent="0.2">
      <c r="A28" s="3"/>
      <c r="B28" s="23">
        <v>2.8</v>
      </c>
      <c r="C28" s="3">
        <v>65.721000000000004</v>
      </c>
      <c r="D28" s="3">
        <v>65.887</v>
      </c>
      <c r="E28" s="3">
        <v>68.906999999999996</v>
      </c>
      <c r="F28" s="3">
        <v>63.564</v>
      </c>
      <c r="G28" s="3">
        <v>70.213999999999999</v>
      </c>
      <c r="H28" s="17">
        <v>68.438000000000002</v>
      </c>
      <c r="I28" s="17">
        <v>77.430999999999997</v>
      </c>
      <c r="J28" s="3">
        <v>77.123999999999995</v>
      </c>
      <c r="K28" s="3">
        <v>71.596000000000004</v>
      </c>
      <c r="L28" s="3">
        <v>77.340999999999994</v>
      </c>
      <c r="M28" s="3">
        <v>65.790999999999997</v>
      </c>
      <c r="N28" s="3">
        <v>71.682000000000002</v>
      </c>
      <c r="O28" s="3">
        <v>76.593999999999994</v>
      </c>
      <c r="P28" s="3">
        <v>63.756</v>
      </c>
      <c r="Q28" s="3">
        <v>63.899000000000001</v>
      </c>
      <c r="R28" s="3">
        <v>66.905000000000001</v>
      </c>
    </row>
    <row r="29" spans="1:24" x14ac:dyDescent="0.2">
      <c r="A29" s="3"/>
      <c r="B29" s="23">
        <v>2.8166666666666669</v>
      </c>
      <c r="C29" s="3">
        <v>65.63</v>
      </c>
      <c r="D29" s="3">
        <v>65.817999999999998</v>
      </c>
      <c r="E29" s="3">
        <v>69.034000000000006</v>
      </c>
      <c r="F29" s="3">
        <v>63.606999999999999</v>
      </c>
      <c r="G29" s="3">
        <v>70.090999999999994</v>
      </c>
      <c r="H29" s="17">
        <v>68.384</v>
      </c>
      <c r="I29" s="17">
        <v>77.349000000000004</v>
      </c>
      <c r="J29" s="3">
        <v>76.988</v>
      </c>
      <c r="K29" s="3">
        <v>71.376000000000005</v>
      </c>
      <c r="L29" s="3">
        <v>77.319999999999993</v>
      </c>
      <c r="M29" s="3">
        <v>65.745999999999995</v>
      </c>
      <c r="N29" s="3">
        <v>71.653999999999996</v>
      </c>
      <c r="O29" s="3">
        <v>76.608000000000004</v>
      </c>
      <c r="P29" s="3">
        <v>63.682000000000002</v>
      </c>
      <c r="Q29" s="3">
        <v>63.725000000000001</v>
      </c>
      <c r="R29" s="3">
        <v>66.658000000000001</v>
      </c>
      <c r="X29" s="24"/>
    </row>
    <row r="30" spans="1:24" x14ac:dyDescent="0.2">
      <c r="A30" s="3"/>
      <c r="B30" s="23">
        <v>2.8333333333333335</v>
      </c>
      <c r="C30" s="3">
        <v>65.521000000000001</v>
      </c>
      <c r="D30" s="3">
        <v>65.688999999999993</v>
      </c>
      <c r="E30" s="3">
        <v>68.837999999999994</v>
      </c>
      <c r="F30" s="3">
        <v>63.57</v>
      </c>
      <c r="G30" s="3">
        <v>69.972999999999999</v>
      </c>
      <c r="H30" s="17">
        <v>68.209000000000003</v>
      </c>
      <c r="I30" s="17">
        <v>77.266000000000005</v>
      </c>
      <c r="J30" s="3">
        <v>76.832999999999998</v>
      </c>
      <c r="K30" s="3">
        <v>71.206000000000003</v>
      </c>
      <c r="L30" s="3">
        <v>77.221000000000004</v>
      </c>
      <c r="M30" s="3">
        <v>65.716999999999999</v>
      </c>
      <c r="N30" s="3">
        <v>71.569999999999993</v>
      </c>
      <c r="O30" s="3">
        <v>76.551000000000002</v>
      </c>
      <c r="P30" s="3">
        <v>63.613999999999997</v>
      </c>
      <c r="Q30" s="3">
        <v>63.761000000000003</v>
      </c>
      <c r="R30" s="3">
        <v>66.650999999999996</v>
      </c>
    </row>
    <row r="31" spans="1:24" x14ac:dyDescent="0.2">
      <c r="A31" s="3"/>
      <c r="B31" s="23">
        <v>2.85</v>
      </c>
      <c r="C31" s="3">
        <v>65.456000000000003</v>
      </c>
      <c r="D31" s="3">
        <v>65.694999999999993</v>
      </c>
      <c r="E31" s="3">
        <v>68.704999999999998</v>
      </c>
      <c r="F31" s="3">
        <v>63.537999999999997</v>
      </c>
      <c r="G31" s="3">
        <v>69.756</v>
      </c>
      <c r="H31" s="17">
        <v>68.134</v>
      </c>
      <c r="I31" s="17">
        <v>77.242000000000004</v>
      </c>
      <c r="J31" s="3">
        <v>76.790999999999997</v>
      </c>
      <c r="K31" s="3">
        <v>71.033000000000001</v>
      </c>
      <c r="L31" s="3">
        <v>77.165000000000006</v>
      </c>
      <c r="M31" s="3">
        <v>65.665000000000006</v>
      </c>
      <c r="N31" s="3">
        <v>71.575000000000003</v>
      </c>
      <c r="O31" s="3">
        <v>76.466999999999999</v>
      </c>
      <c r="P31" s="3">
        <v>63.537999999999997</v>
      </c>
      <c r="Q31" s="3">
        <v>63.688000000000002</v>
      </c>
      <c r="R31" s="3">
        <v>66.662999999999997</v>
      </c>
      <c r="X31" s="24"/>
    </row>
    <row r="32" spans="1:24" x14ac:dyDescent="0.2">
      <c r="A32" s="3"/>
      <c r="B32" s="23">
        <v>2.8666666666666667</v>
      </c>
      <c r="C32" s="3">
        <v>65.293999999999997</v>
      </c>
      <c r="D32" s="3">
        <v>65.623000000000005</v>
      </c>
      <c r="E32" s="3">
        <v>68.528999999999996</v>
      </c>
      <c r="F32" s="3">
        <v>62.786000000000001</v>
      </c>
      <c r="G32" s="3">
        <v>69.563999999999993</v>
      </c>
      <c r="H32" s="17">
        <v>67.994</v>
      </c>
      <c r="I32" s="17">
        <v>77.091999999999999</v>
      </c>
      <c r="J32" s="3">
        <v>76.694000000000003</v>
      </c>
      <c r="K32" s="3">
        <v>70.796000000000006</v>
      </c>
      <c r="L32" s="3">
        <v>77.061000000000007</v>
      </c>
      <c r="M32" s="3">
        <v>65.484999999999999</v>
      </c>
      <c r="N32" s="3">
        <v>71.418000000000006</v>
      </c>
      <c r="O32" s="3">
        <v>76.582999999999998</v>
      </c>
      <c r="P32" s="3">
        <v>63.457000000000001</v>
      </c>
      <c r="Q32" s="3">
        <v>63.652000000000001</v>
      </c>
      <c r="R32" s="3">
        <v>66.456999999999994</v>
      </c>
    </row>
    <row r="33" spans="1:24" x14ac:dyDescent="0.2">
      <c r="A33" s="3"/>
      <c r="B33" s="23">
        <v>2.8833333333333333</v>
      </c>
      <c r="C33" s="3">
        <v>65.234999999999999</v>
      </c>
      <c r="D33" s="3">
        <v>65.59</v>
      </c>
      <c r="E33" s="3">
        <v>68.465999999999994</v>
      </c>
      <c r="F33" s="3">
        <v>62.786000000000001</v>
      </c>
      <c r="G33" s="3">
        <v>69.204999999999998</v>
      </c>
      <c r="H33" s="17">
        <v>67.912000000000006</v>
      </c>
      <c r="I33" s="17">
        <v>77.058000000000007</v>
      </c>
      <c r="J33" s="3">
        <v>76.73</v>
      </c>
      <c r="K33" s="3">
        <v>70.533000000000001</v>
      </c>
      <c r="L33" s="3">
        <v>77.016999999999996</v>
      </c>
      <c r="M33" s="3">
        <v>65.430999999999997</v>
      </c>
      <c r="N33" s="3">
        <v>71.173000000000002</v>
      </c>
      <c r="O33" s="3">
        <v>76.456000000000003</v>
      </c>
      <c r="P33" s="3">
        <v>63.295999999999999</v>
      </c>
      <c r="Q33" s="3">
        <v>63.542999999999999</v>
      </c>
      <c r="R33" s="3">
        <v>66.325000000000003</v>
      </c>
      <c r="X33" s="24"/>
    </row>
    <row r="34" spans="1:24" x14ac:dyDescent="0.2">
      <c r="A34" s="3"/>
      <c r="B34" s="23">
        <v>2.9</v>
      </c>
      <c r="C34" s="3">
        <v>65.100999999999999</v>
      </c>
      <c r="D34" s="3">
        <v>65.478999999999999</v>
      </c>
      <c r="E34" s="3">
        <v>68.376999999999995</v>
      </c>
      <c r="F34" s="3">
        <v>62.768000000000001</v>
      </c>
      <c r="G34" s="3">
        <v>69.203000000000003</v>
      </c>
      <c r="H34" s="17">
        <v>67.766000000000005</v>
      </c>
      <c r="I34" s="17">
        <v>76.997</v>
      </c>
      <c r="J34" s="3">
        <v>76.626000000000005</v>
      </c>
      <c r="K34" s="3">
        <v>70.284000000000006</v>
      </c>
      <c r="L34" s="3">
        <v>76.933000000000007</v>
      </c>
      <c r="M34" s="3">
        <v>65.423000000000002</v>
      </c>
      <c r="N34" s="3">
        <v>70.933000000000007</v>
      </c>
      <c r="O34" s="3">
        <v>76.498999999999995</v>
      </c>
      <c r="P34" s="3">
        <v>63.271999999999998</v>
      </c>
      <c r="Q34" s="3">
        <v>63.21</v>
      </c>
      <c r="R34" s="3">
        <v>66.277000000000001</v>
      </c>
    </row>
    <row r="35" spans="1:24" x14ac:dyDescent="0.2">
      <c r="A35" s="3"/>
      <c r="B35" s="23">
        <v>2.9166666666666665</v>
      </c>
      <c r="C35" s="3">
        <v>64.902000000000001</v>
      </c>
      <c r="D35" s="3">
        <v>65.403999999999996</v>
      </c>
      <c r="E35" s="3">
        <v>68.456999999999994</v>
      </c>
      <c r="F35" s="3">
        <v>62.582999999999998</v>
      </c>
      <c r="G35" s="3">
        <v>69.097999999999999</v>
      </c>
      <c r="H35" s="17">
        <v>67.697999999999993</v>
      </c>
      <c r="I35" s="17">
        <v>76.927000000000007</v>
      </c>
      <c r="J35" s="3">
        <v>76.58</v>
      </c>
      <c r="K35" s="3">
        <v>70.171999999999997</v>
      </c>
      <c r="L35" s="3">
        <v>76.813000000000002</v>
      </c>
      <c r="M35" s="3">
        <v>65.347999999999999</v>
      </c>
      <c r="N35" s="3">
        <v>70.866</v>
      </c>
      <c r="O35" s="3">
        <v>76.501999999999995</v>
      </c>
      <c r="P35" s="3">
        <v>63.162999999999997</v>
      </c>
      <c r="Q35" s="3">
        <v>63.338999999999999</v>
      </c>
      <c r="R35" s="3">
        <v>66.194999999999993</v>
      </c>
      <c r="X35" s="24"/>
    </row>
    <row r="36" spans="1:24" x14ac:dyDescent="0.2">
      <c r="A36" s="3"/>
      <c r="B36" s="23">
        <v>2.9333333333333331</v>
      </c>
      <c r="C36" s="3">
        <v>64.790999999999997</v>
      </c>
      <c r="D36" s="3">
        <v>65.387</v>
      </c>
      <c r="E36" s="3">
        <v>68.096000000000004</v>
      </c>
      <c r="F36" s="3">
        <v>62.408999999999999</v>
      </c>
      <c r="G36" s="3">
        <v>69.009</v>
      </c>
      <c r="H36" s="17">
        <v>67.600999999999999</v>
      </c>
      <c r="I36" s="17">
        <v>76.840999999999994</v>
      </c>
      <c r="J36" s="3">
        <v>76.564999999999998</v>
      </c>
      <c r="K36" s="3">
        <v>70.040999999999997</v>
      </c>
      <c r="L36" s="3">
        <v>76.727999999999994</v>
      </c>
      <c r="M36" s="3">
        <v>65.212999999999994</v>
      </c>
      <c r="N36" s="3">
        <v>70.774000000000001</v>
      </c>
      <c r="O36" s="3">
        <v>76.531999999999996</v>
      </c>
      <c r="P36" s="3">
        <v>63.076000000000001</v>
      </c>
      <c r="Q36" s="3">
        <v>63.265000000000001</v>
      </c>
      <c r="R36" s="3">
        <v>66.040999999999997</v>
      </c>
    </row>
    <row r="37" spans="1:24" x14ac:dyDescent="0.2">
      <c r="A37" s="3"/>
      <c r="B37" s="23">
        <v>2.95</v>
      </c>
      <c r="C37" s="3">
        <v>64.724000000000004</v>
      </c>
      <c r="D37" s="3">
        <v>65.200999999999993</v>
      </c>
      <c r="E37" s="3">
        <v>68.058000000000007</v>
      </c>
      <c r="F37" s="3">
        <v>62.338000000000001</v>
      </c>
      <c r="G37" s="3">
        <v>68.475999999999999</v>
      </c>
      <c r="H37" s="17">
        <v>66.936999999999998</v>
      </c>
      <c r="I37" s="17">
        <v>76.753</v>
      </c>
      <c r="J37" s="3">
        <v>76.522999999999996</v>
      </c>
      <c r="K37" s="3">
        <v>69.843999999999994</v>
      </c>
      <c r="L37" s="3">
        <v>76.671999999999997</v>
      </c>
      <c r="M37" s="3">
        <v>65.16</v>
      </c>
      <c r="N37" s="3">
        <v>70.706999999999994</v>
      </c>
      <c r="O37" s="3">
        <v>76.546000000000006</v>
      </c>
      <c r="P37" s="3">
        <v>62.966999999999999</v>
      </c>
      <c r="Q37" s="3">
        <v>63.17</v>
      </c>
      <c r="R37" s="3">
        <v>65.954999999999998</v>
      </c>
      <c r="X37" s="24"/>
    </row>
    <row r="38" spans="1:24" x14ac:dyDescent="0.2">
      <c r="A38" s="3"/>
      <c r="B38" s="23">
        <v>2.9666666666666668</v>
      </c>
      <c r="C38" s="3">
        <v>64.61</v>
      </c>
      <c r="D38" s="3">
        <v>65.135000000000005</v>
      </c>
      <c r="E38" s="3">
        <v>67.841999999999999</v>
      </c>
      <c r="F38" s="3">
        <v>62.261000000000003</v>
      </c>
      <c r="G38" s="3">
        <v>68.528999999999996</v>
      </c>
      <c r="H38" s="17">
        <v>67.39</v>
      </c>
      <c r="I38" s="17">
        <v>76.647000000000006</v>
      </c>
      <c r="J38" s="3">
        <v>76.444000000000003</v>
      </c>
      <c r="K38" s="3">
        <v>69.677999999999997</v>
      </c>
      <c r="L38" s="3">
        <v>76.593999999999994</v>
      </c>
      <c r="M38" s="3">
        <v>65.072000000000003</v>
      </c>
      <c r="N38" s="3">
        <v>70.584999999999994</v>
      </c>
      <c r="O38" s="3">
        <v>76.509</v>
      </c>
      <c r="P38" s="3">
        <v>62.905999999999999</v>
      </c>
      <c r="Q38" s="3">
        <v>63.057000000000002</v>
      </c>
      <c r="R38" s="3">
        <v>66.016000000000005</v>
      </c>
    </row>
    <row r="39" spans="1:24" x14ac:dyDescent="0.2">
      <c r="A39" s="3"/>
      <c r="B39" s="23">
        <v>2.9833333333333334</v>
      </c>
      <c r="C39" s="3">
        <v>64.486999999999995</v>
      </c>
      <c r="D39" s="3">
        <v>65.135999999999996</v>
      </c>
      <c r="E39" s="3">
        <v>67.878</v>
      </c>
      <c r="F39" s="3">
        <v>62.13</v>
      </c>
      <c r="G39" s="3">
        <v>68.488</v>
      </c>
      <c r="H39" s="17">
        <v>67.242000000000004</v>
      </c>
      <c r="I39" s="17">
        <v>76.504000000000005</v>
      </c>
      <c r="J39" s="3">
        <v>76.37</v>
      </c>
      <c r="K39" s="3">
        <v>69.585999999999999</v>
      </c>
      <c r="L39" s="3">
        <v>76.525999999999996</v>
      </c>
      <c r="M39" s="3">
        <v>65.004000000000005</v>
      </c>
      <c r="N39" s="3">
        <v>70.635000000000005</v>
      </c>
      <c r="O39" s="3">
        <v>76.399000000000001</v>
      </c>
      <c r="P39" s="3">
        <v>62.874000000000002</v>
      </c>
      <c r="Q39" s="3">
        <v>62.997999999999998</v>
      </c>
      <c r="R39" s="3">
        <v>65.995000000000005</v>
      </c>
      <c r="X39" s="24"/>
    </row>
    <row r="40" spans="1:24" x14ac:dyDescent="0.2">
      <c r="A40" s="3"/>
      <c r="B40" s="23">
        <v>3</v>
      </c>
      <c r="C40" s="3">
        <v>64.340999999999994</v>
      </c>
      <c r="D40" s="3">
        <v>65.05</v>
      </c>
      <c r="E40" s="3">
        <v>67.707999999999998</v>
      </c>
      <c r="F40" s="3">
        <v>62.274000000000001</v>
      </c>
      <c r="G40" s="3">
        <v>68.171000000000006</v>
      </c>
      <c r="H40" s="17">
        <v>67.180999999999997</v>
      </c>
      <c r="I40" s="17">
        <v>76.331999999999994</v>
      </c>
      <c r="J40" s="3">
        <v>76.378</v>
      </c>
      <c r="K40" s="3">
        <v>69.242999999999995</v>
      </c>
      <c r="L40" s="3">
        <v>76.433999999999997</v>
      </c>
      <c r="M40" s="3">
        <v>64.998999999999995</v>
      </c>
      <c r="N40" s="3">
        <v>70.590999999999994</v>
      </c>
      <c r="O40" s="3">
        <v>76.441000000000003</v>
      </c>
      <c r="P40" s="3">
        <v>62.74</v>
      </c>
      <c r="Q40" s="3">
        <v>62.966000000000001</v>
      </c>
      <c r="R40" s="3">
        <v>65.908000000000001</v>
      </c>
    </row>
    <row r="41" spans="1:24" x14ac:dyDescent="0.2">
      <c r="A41" s="3"/>
      <c r="B41" s="23">
        <v>3.0166666666666666</v>
      </c>
      <c r="C41" s="3">
        <v>64.28</v>
      </c>
      <c r="D41" s="3">
        <v>64.968000000000004</v>
      </c>
      <c r="E41" s="3">
        <v>67.686000000000007</v>
      </c>
      <c r="F41" s="3">
        <v>62.234999999999999</v>
      </c>
      <c r="G41" s="3">
        <v>68.131</v>
      </c>
      <c r="H41" s="17">
        <v>67.102999999999994</v>
      </c>
      <c r="I41" s="17">
        <v>76.251000000000005</v>
      </c>
      <c r="J41" s="3">
        <v>76.305999999999997</v>
      </c>
      <c r="K41" s="3">
        <v>69.091999999999999</v>
      </c>
      <c r="L41" s="3">
        <v>76.369</v>
      </c>
      <c r="M41" s="3">
        <v>64.866</v>
      </c>
      <c r="N41" s="3">
        <v>70.552999999999997</v>
      </c>
      <c r="O41" s="3">
        <v>76.406000000000006</v>
      </c>
      <c r="P41" s="3">
        <v>62.746000000000002</v>
      </c>
      <c r="Q41" s="3">
        <v>62.841000000000001</v>
      </c>
      <c r="R41" s="3">
        <v>65.924999999999997</v>
      </c>
      <c r="X41" s="24"/>
    </row>
    <row r="42" spans="1:24" x14ac:dyDescent="0.2">
      <c r="A42" s="3"/>
      <c r="B42" s="23">
        <v>3.0333333333333332</v>
      </c>
      <c r="C42" s="3">
        <v>64.204999999999998</v>
      </c>
      <c r="D42" s="3">
        <v>64.748000000000005</v>
      </c>
      <c r="E42" s="3">
        <v>67.498999999999995</v>
      </c>
      <c r="F42" s="3">
        <v>62.213000000000001</v>
      </c>
      <c r="G42" s="3">
        <v>67.968999999999994</v>
      </c>
      <c r="H42" s="17">
        <v>66.995000000000005</v>
      </c>
      <c r="I42" s="17">
        <v>76.132000000000005</v>
      </c>
      <c r="J42" s="3">
        <v>76.197000000000003</v>
      </c>
      <c r="K42" s="3">
        <v>69.022999999999996</v>
      </c>
      <c r="L42" s="3">
        <v>76.22</v>
      </c>
      <c r="M42" s="3">
        <v>64.787000000000006</v>
      </c>
      <c r="N42" s="3">
        <v>70.513000000000005</v>
      </c>
      <c r="O42" s="3">
        <v>76.328000000000003</v>
      </c>
      <c r="P42" s="3">
        <v>61.923999999999999</v>
      </c>
      <c r="Q42" s="3">
        <v>62.817</v>
      </c>
      <c r="R42" s="3">
        <v>65.861999999999995</v>
      </c>
    </row>
    <row r="43" spans="1:24" x14ac:dyDescent="0.2">
      <c r="A43" s="3"/>
      <c r="B43" s="23">
        <v>3.05</v>
      </c>
      <c r="C43" s="3">
        <v>64.076999999999998</v>
      </c>
      <c r="D43" s="3">
        <v>64.748999999999995</v>
      </c>
      <c r="E43" s="3">
        <v>67.311000000000007</v>
      </c>
      <c r="F43" s="3">
        <v>61.685000000000002</v>
      </c>
      <c r="G43" s="3">
        <v>67.849000000000004</v>
      </c>
      <c r="H43" s="17">
        <v>66.894999999999996</v>
      </c>
      <c r="I43" s="17">
        <v>76.03</v>
      </c>
      <c r="J43" s="3">
        <v>76.150000000000006</v>
      </c>
      <c r="K43" s="3">
        <v>68.927000000000007</v>
      </c>
      <c r="L43" s="3">
        <v>76.105999999999995</v>
      </c>
      <c r="M43" s="3">
        <v>64.659000000000006</v>
      </c>
      <c r="N43" s="3">
        <v>70.376999999999995</v>
      </c>
      <c r="O43" s="3">
        <v>76.34</v>
      </c>
      <c r="P43" s="3">
        <v>62.097999999999999</v>
      </c>
      <c r="Q43" s="3">
        <v>62.658999999999999</v>
      </c>
      <c r="R43" s="3">
        <v>65.813000000000002</v>
      </c>
      <c r="X43" s="24"/>
    </row>
    <row r="44" spans="1:24" x14ac:dyDescent="0.2">
      <c r="A44" s="3"/>
      <c r="B44" s="23">
        <v>3.0666666666666669</v>
      </c>
      <c r="C44" s="3">
        <v>63.764000000000003</v>
      </c>
      <c r="D44" s="3">
        <v>64.728999999999999</v>
      </c>
      <c r="E44" s="3">
        <v>67.251999999999995</v>
      </c>
      <c r="F44" s="3">
        <v>61.526000000000003</v>
      </c>
      <c r="G44" s="3">
        <v>67.864999999999995</v>
      </c>
      <c r="H44" s="17">
        <v>66.808000000000007</v>
      </c>
      <c r="I44" s="17">
        <v>75.995000000000005</v>
      </c>
      <c r="J44" s="3">
        <v>76.100999999999999</v>
      </c>
      <c r="K44" s="3">
        <v>68.744</v>
      </c>
      <c r="L44" s="3">
        <v>76.001999999999995</v>
      </c>
      <c r="M44" s="3">
        <v>64.647999999999996</v>
      </c>
      <c r="N44" s="3">
        <v>70.463999999999999</v>
      </c>
      <c r="O44" s="3">
        <v>76.36</v>
      </c>
      <c r="P44" s="3">
        <v>62.076999999999998</v>
      </c>
      <c r="Q44" s="3">
        <v>62.372999999999998</v>
      </c>
      <c r="R44" s="3">
        <v>65.763999999999996</v>
      </c>
    </row>
    <row r="45" spans="1:24" x14ac:dyDescent="0.2">
      <c r="A45" s="3"/>
      <c r="B45" s="23">
        <v>3.0833333333333335</v>
      </c>
      <c r="C45" s="3">
        <v>63.725000000000001</v>
      </c>
      <c r="D45" s="3">
        <v>64.614000000000004</v>
      </c>
      <c r="E45" s="3">
        <v>67.132000000000005</v>
      </c>
      <c r="F45" s="3">
        <v>61.466999999999999</v>
      </c>
      <c r="G45" s="3">
        <v>67.31</v>
      </c>
      <c r="H45" s="17">
        <v>66.697000000000003</v>
      </c>
      <c r="I45" s="17">
        <v>75.805000000000007</v>
      </c>
      <c r="J45" s="3">
        <v>76.039000000000001</v>
      </c>
      <c r="K45" s="3">
        <v>68.495999999999995</v>
      </c>
      <c r="L45" s="3">
        <v>75.941999999999993</v>
      </c>
      <c r="M45" s="3">
        <v>64.566000000000003</v>
      </c>
      <c r="N45" s="3">
        <v>70.361999999999995</v>
      </c>
      <c r="O45" s="3">
        <v>76.363</v>
      </c>
      <c r="P45" s="3">
        <v>62.081000000000003</v>
      </c>
      <c r="Q45" s="3">
        <v>62.488</v>
      </c>
      <c r="R45" s="3">
        <v>65.739999999999995</v>
      </c>
      <c r="X45" s="24"/>
    </row>
    <row r="46" spans="1:24" x14ac:dyDescent="0.2">
      <c r="A46" s="3"/>
      <c r="B46" s="23">
        <v>3.1</v>
      </c>
      <c r="C46" s="3">
        <v>63.442</v>
      </c>
      <c r="D46" s="3">
        <v>64.465999999999994</v>
      </c>
      <c r="E46" s="3">
        <v>66.974000000000004</v>
      </c>
      <c r="F46" s="3">
        <v>61.646999999999998</v>
      </c>
      <c r="G46" s="3">
        <v>67.474999999999994</v>
      </c>
      <c r="H46" s="17">
        <v>66.488</v>
      </c>
      <c r="I46" s="17">
        <v>75.724999999999994</v>
      </c>
      <c r="J46" s="3">
        <v>75.989000000000004</v>
      </c>
      <c r="K46" s="3">
        <v>68.379000000000005</v>
      </c>
      <c r="L46" s="3">
        <v>75.879000000000005</v>
      </c>
      <c r="M46" s="3">
        <v>64.412999999999997</v>
      </c>
      <c r="N46" s="3">
        <v>70.454999999999998</v>
      </c>
      <c r="O46" s="3">
        <v>76.334000000000003</v>
      </c>
      <c r="P46" s="3">
        <v>61.881999999999998</v>
      </c>
      <c r="Q46" s="3">
        <v>62.427999999999997</v>
      </c>
      <c r="R46" s="3">
        <v>65.72</v>
      </c>
    </row>
    <row r="47" spans="1:24" x14ac:dyDescent="0.2">
      <c r="A47" s="3"/>
      <c r="B47" s="23">
        <v>3.1166666666666667</v>
      </c>
      <c r="C47" s="3">
        <v>63.302999999999997</v>
      </c>
      <c r="D47" s="3">
        <v>63.771000000000001</v>
      </c>
      <c r="E47" s="3">
        <v>66.902000000000001</v>
      </c>
      <c r="F47" s="3">
        <v>61.183999999999997</v>
      </c>
      <c r="G47" s="3">
        <v>67.400999999999996</v>
      </c>
      <c r="H47" s="17">
        <v>66.379000000000005</v>
      </c>
      <c r="I47" s="17">
        <v>75.593000000000004</v>
      </c>
      <c r="J47" s="3">
        <v>75.933000000000007</v>
      </c>
      <c r="K47" s="3">
        <v>68.114999999999995</v>
      </c>
      <c r="L47" s="3">
        <v>75.796999999999997</v>
      </c>
      <c r="M47" s="3">
        <v>64.358000000000004</v>
      </c>
      <c r="N47" s="3">
        <v>70.393000000000001</v>
      </c>
      <c r="O47" s="3">
        <v>76.313000000000002</v>
      </c>
      <c r="P47" s="3">
        <v>61.851999999999997</v>
      </c>
      <c r="Q47" s="3">
        <v>62.331000000000003</v>
      </c>
      <c r="R47" s="3">
        <v>65.653999999999996</v>
      </c>
      <c r="X47" s="24"/>
    </row>
    <row r="48" spans="1:24" x14ac:dyDescent="0.2">
      <c r="A48" s="3"/>
      <c r="B48" s="23">
        <v>3.1333333333333333</v>
      </c>
      <c r="C48" s="3">
        <v>63.234999999999999</v>
      </c>
      <c r="D48" s="3">
        <v>64.183000000000007</v>
      </c>
      <c r="E48" s="3">
        <v>66.677000000000007</v>
      </c>
      <c r="F48" s="3">
        <v>61.384999999999998</v>
      </c>
      <c r="G48" s="3">
        <v>67.055000000000007</v>
      </c>
      <c r="H48" s="17">
        <v>66.331000000000003</v>
      </c>
      <c r="I48" s="17">
        <v>75.564999999999998</v>
      </c>
      <c r="J48" s="3">
        <v>75.891000000000005</v>
      </c>
      <c r="K48" s="3">
        <v>68.021000000000001</v>
      </c>
      <c r="L48" s="3">
        <v>75.745999999999995</v>
      </c>
      <c r="M48" s="3">
        <v>64.304000000000002</v>
      </c>
      <c r="N48" s="3">
        <v>70.358000000000004</v>
      </c>
      <c r="O48" s="3">
        <v>76.364999999999995</v>
      </c>
      <c r="P48" s="3">
        <v>61.755000000000003</v>
      </c>
      <c r="Q48" s="3">
        <v>62.29</v>
      </c>
      <c r="R48" s="3">
        <v>65.650000000000006</v>
      </c>
    </row>
    <row r="49" spans="1:24" x14ac:dyDescent="0.2">
      <c r="A49" s="3"/>
      <c r="B49" s="23">
        <v>3.15</v>
      </c>
      <c r="C49" s="3">
        <v>63.061</v>
      </c>
      <c r="D49" s="3">
        <v>64.08</v>
      </c>
      <c r="E49" s="3">
        <v>66.703999999999994</v>
      </c>
      <c r="F49" s="3">
        <v>60.972999999999999</v>
      </c>
      <c r="G49" s="3">
        <v>66.918000000000006</v>
      </c>
      <c r="H49" s="17">
        <v>66.164000000000001</v>
      </c>
      <c r="I49" s="17">
        <v>75.522000000000006</v>
      </c>
      <c r="J49" s="3">
        <v>75.78</v>
      </c>
      <c r="K49" s="3">
        <v>67.866</v>
      </c>
      <c r="L49" s="3">
        <v>75.650000000000006</v>
      </c>
      <c r="M49" s="3">
        <v>64.275999999999996</v>
      </c>
      <c r="N49" s="3">
        <v>70.289000000000001</v>
      </c>
      <c r="O49" s="3">
        <v>76.263000000000005</v>
      </c>
      <c r="P49" s="3">
        <v>61.204999999999998</v>
      </c>
      <c r="Q49" s="3">
        <v>62.024999999999999</v>
      </c>
      <c r="R49" s="3">
        <v>65.62</v>
      </c>
      <c r="X49" s="24"/>
    </row>
    <row r="50" spans="1:24" x14ac:dyDescent="0.2">
      <c r="A50" s="3"/>
      <c r="B50" s="23">
        <v>3.1666666666666665</v>
      </c>
      <c r="C50" s="3">
        <v>62.982999999999997</v>
      </c>
      <c r="D50" s="3">
        <v>63.738</v>
      </c>
      <c r="E50" s="3">
        <v>66.632000000000005</v>
      </c>
      <c r="F50" s="3">
        <v>60.77</v>
      </c>
      <c r="G50" s="3">
        <v>66.902000000000001</v>
      </c>
      <c r="H50" s="17">
        <v>66.094999999999999</v>
      </c>
      <c r="I50" s="17">
        <v>75.403000000000006</v>
      </c>
      <c r="J50" s="3">
        <v>75.417000000000002</v>
      </c>
      <c r="K50" s="3">
        <v>67.665000000000006</v>
      </c>
      <c r="L50" s="3">
        <v>75.542000000000002</v>
      </c>
      <c r="M50" s="3">
        <v>64.156999999999996</v>
      </c>
      <c r="N50" s="3">
        <v>70.248999999999995</v>
      </c>
      <c r="O50" s="3">
        <v>76.355000000000004</v>
      </c>
      <c r="P50" s="3">
        <v>61.456000000000003</v>
      </c>
      <c r="Q50" s="3">
        <v>62.133000000000003</v>
      </c>
      <c r="R50" s="3">
        <v>65.537999999999997</v>
      </c>
    </row>
    <row r="51" spans="1:24" x14ac:dyDescent="0.2">
      <c r="A51" s="3"/>
      <c r="B51" s="23">
        <v>3.1833333333333331</v>
      </c>
      <c r="C51" s="3">
        <v>62.801000000000002</v>
      </c>
      <c r="D51" s="3">
        <v>63.631999999999998</v>
      </c>
      <c r="E51" s="3">
        <v>66.337000000000003</v>
      </c>
      <c r="F51" s="3">
        <v>61.055999999999997</v>
      </c>
      <c r="G51" s="3">
        <v>66.838999999999999</v>
      </c>
      <c r="H51" s="17">
        <v>66.019000000000005</v>
      </c>
      <c r="I51" s="17">
        <v>75.290999999999997</v>
      </c>
      <c r="J51" s="3">
        <v>75.343999999999994</v>
      </c>
      <c r="K51" s="3">
        <v>67.575000000000003</v>
      </c>
      <c r="L51" s="3">
        <v>75.427999999999997</v>
      </c>
      <c r="M51" s="3">
        <v>64.088999999999999</v>
      </c>
      <c r="N51" s="3">
        <v>70.150999999999996</v>
      </c>
      <c r="O51" s="3">
        <v>76.242999999999995</v>
      </c>
      <c r="P51" s="3">
        <v>61.368000000000002</v>
      </c>
      <c r="Q51" s="3">
        <v>62.073999999999998</v>
      </c>
      <c r="R51" s="3">
        <v>65.453000000000003</v>
      </c>
      <c r="X51" s="24"/>
    </row>
    <row r="52" spans="1:24" x14ac:dyDescent="0.2">
      <c r="A52" s="3"/>
      <c r="B52" s="23">
        <v>3.2</v>
      </c>
      <c r="C52" s="3">
        <v>62.201000000000001</v>
      </c>
      <c r="D52" s="3">
        <v>63.561</v>
      </c>
      <c r="E52" s="3">
        <v>66.373000000000005</v>
      </c>
      <c r="F52" s="3">
        <v>60.831000000000003</v>
      </c>
      <c r="G52" s="3">
        <v>66.763000000000005</v>
      </c>
      <c r="H52" s="17">
        <v>65.902000000000001</v>
      </c>
      <c r="I52" s="17">
        <v>75.284999999999997</v>
      </c>
      <c r="J52" s="3">
        <v>75.430000000000007</v>
      </c>
      <c r="K52" s="3">
        <v>67.418000000000006</v>
      </c>
      <c r="L52" s="3">
        <v>75.369</v>
      </c>
      <c r="M52" s="3">
        <v>64.034999999999997</v>
      </c>
      <c r="N52" s="3">
        <v>70.141999999999996</v>
      </c>
      <c r="O52" s="3">
        <v>76.281999999999996</v>
      </c>
      <c r="P52" s="3">
        <v>61.335999999999999</v>
      </c>
      <c r="Q52" s="3">
        <v>61.993000000000002</v>
      </c>
      <c r="R52" s="3">
        <v>65.165999999999997</v>
      </c>
    </row>
    <row r="53" spans="1:24" x14ac:dyDescent="0.2">
      <c r="A53" s="3"/>
      <c r="B53" s="23">
        <v>3.2166666666666668</v>
      </c>
      <c r="C53" s="3">
        <v>62.351999999999997</v>
      </c>
      <c r="D53" s="3">
        <v>63.447000000000003</v>
      </c>
      <c r="E53" s="3">
        <v>66.137</v>
      </c>
      <c r="F53" s="3">
        <v>60.615000000000002</v>
      </c>
      <c r="G53" s="3">
        <v>66.605000000000004</v>
      </c>
      <c r="H53" s="17">
        <v>65.766000000000005</v>
      </c>
      <c r="I53" s="17">
        <v>75.174999999999997</v>
      </c>
      <c r="J53" s="3">
        <v>75.287000000000006</v>
      </c>
      <c r="K53" s="3">
        <v>67.155000000000001</v>
      </c>
      <c r="L53" s="3">
        <v>75.302000000000007</v>
      </c>
      <c r="M53" s="3">
        <v>63.935000000000002</v>
      </c>
      <c r="N53" s="3">
        <v>70.009</v>
      </c>
      <c r="O53" s="3">
        <v>76.346000000000004</v>
      </c>
      <c r="P53" s="3">
        <v>61.354999999999997</v>
      </c>
      <c r="Q53" s="3">
        <v>61.942</v>
      </c>
      <c r="R53" s="3">
        <v>65.218999999999994</v>
      </c>
      <c r="X53" s="24"/>
    </row>
    <row r="54" spans="1:24" x14ac:dyDescent="0.2">
      <c r="A54" s="3"/>
      <c r="B54" s="23">
        <v>3.2333333333333334</v>
      </c>
      <c r="C54" s="3">
        <v>62.171999999999997</v>
      </c>
      <c r="D54" s="3">
        <v>63.320999999999998</v>
      </c>
      <c r="E54" s="3">
        <v>66.058999999999997</v>
      </c>
      <c r="F54" s="3">
        <v>60.383000000000003</v>
      </c>
      <c r="G54" s="3">
        <v>66.510999999999996</v>
      </c>
      <c r="H54" s="17">
        <v>65.67</v>
      </c>
      <c r="I54" s="17">
        <v>75.012</v>
      </c>
      <c r="J54" s="3">
        <v>75.287000000000006</v>
      </c>
      <c r="K54" s="3">
        <v>66.998999999999995</v>
      </c>
      <c r="L54" s="3">
        <v>75.221000000000004</v>
      </c>
      <c r="M54" s="3">
        <v>63.905999999999999</v>
      </c>
      <c r="N54" s="3">
        <v>69.983999999999995</v>
      </c>
      <c r="O54" s="3">
        <v>76.378</v>
      </c>
      <c r="P54" s="3">
        <v>61.301000000000002</v>
      </c>
      <c r="Q54" s="3">
        <v>61.735999999999997</v>
      </c>
      <c r="R54" s="3">
        <v>65.075999999999993</v>
      </c>
    </row>
    <row r="55" spans="1:24" x14ac:dyDescent="0.2">
      <c r="A55" s="3"/>
      <c r="B55" s="23">
        <v>3.25</v>
      </c>
      <c r="C55" s="3">
        <v>62.033000000000001</v>
      </c>
      <c r="D55" s="3">
        <v>62.87</v>
      </c>
      <c r="E55" s="3">
        <v>66.099999999999994</v>
      </c>
      <c r="F55" s="3">
        <v>60.557000000000002</v>
      </c>
      <c r="G55" s="3">
        <v>66.162000000000006</v>
      </c>
      <c r="H55" s="17">
        <v>65.563000000000002</v>
      </c>
      <c r="I55" s="17">
        <v>74.927999999999997</v>
      </c>
      <c r="J55" s="3">
        <v>75.180999999999997</v>
      </c>
      <c r="K55" s="3">
        <v>66.841999999999999</v>
      </c>
      <c r="L55" s="3">
        <v>75.099999999999994</v>
      </c>
      <c r="M55" s="3">
        <v>63.9</v>
      </c>
      <c r="N55" s="3">
        <v>69.954999999999998</v>
      </c>
      <c r="O55" s="3">
        <v>76.332999999999998</v>
      </c>
      <c r="P55" s="3">
        <v>61.283999999999999</v>
      </c>
      <c r="Q55" s="3">
        <v>61.780999999999999</v>
      </c>
      <c r="R55" s="3">
        <v>65.05</v>
      </c>
      <c r="X55" s="24"/>
    </row>
    <row r="56" spans="1:24" x14ac:dyDescent="0.2">
      <c r="A56" s="3"/>
      <c r="B56" s="23">
        <v>3.2666666666666666</v>
      </c>
      <c r="C56" s="3">
        <v>61.765000000000001</v>
      </c>
      <c r="D56" s="3">
        <v>63.006</v>
      </c>
      <c r="E56" s="3">
        <v>65.802999999999997</v>
      </c>
      <c r="F56" s="3">
        <v>60.284999999999997</v>
      </c>
      <c r="G56" s="3">
        <v>66.153000000000006</v>
      </c>
      <c r="H56" s="17">
        <v>65.483000000000004</v>
      </c>
      <c r="I56" s="17">
        <v>74.814999999999998</v>
      </c>
      <c r="J56" s="3">
        <v>75.106999999999999</v>
      </c>
      <c r="K56" s="3">
        <v>66.531000000000006</v>
      </c>
      <c r="L56" s="3">
        <v>75.046000000000006</v>
      </c>
      <c r="M56" s="3">
        <v>63.81</v>
      </c>
      <c r="N56" s="3">
        <v>69.936999999999998</v>
      </c>
      <c r="O56" s="3">
        <v>76.356999999999999</v>
      </c>
      <c r="P56" s="3">
        <v>61.253999999999998</v>
      </c>
      <c r="Q56" s="3">
        <v>61.698999999999998</v>
      </c>
      <c r="R56" s="3">
        <v>64.983000000000004</v>
      </c>
    </row>
    <row r="57" spans="1:24" x14ac:dyDescent="0.2">
      <c r="A57" s="3"/>
      <c r="B57" s="23">
        <v>3.2833333333333332</v>
      </c>
      <c r="C57" s="3">
        <v>61.622</v>
      </c>
      <c r="D57" s="3">
        <v>62.828000000000003</v>
      </c>
      <c r="E57" s="3">
        <v>65.748999999999995</v>
      </c>
      <c r="F57" s="3">
        <v>60.222999999999999</v>
      </c>
      <c r="G57" s="3">
        <v>66.061999999999998</v>
      </c>
      <c r="H57" s="17">
        <v>65.367000000000004</v>
      </c>
      <c r="I57" s="17">
        <v>74.69</v>
      </c>
      <c r="J57" s="3">
        <v>75.004999999999995</v>
      </c>
      <c r="K57" s="3">
        <v>66.459000000000003</v>
      </c>
      <c r="L57" s="3">
        <v>74.974000000000004</v>
      </c>
      <c r="M57" s="3">
        <v>63.789000000000001</v>
      </c>
      <c r="N57" s="3">
        <v>69.825999999999993</v>
      </c>
      <c r="O57" s="3">
        <v>76.307000000000002</v>
      </c>
      <c r="P57" s="3">
        <v>61.216000000000001</v>
      </c>
      <c r="Q57" s="3">
        <v>61.441000000000003</v>
      </c>
      <c r="R57" s="3">
        <v>64.945999999999998</v>
      </c>
      <c r="X57" s="24"/>
    </row>
    <row r="58" spans="1:24" x14ac:dyDescent="0.2">
      <c r="A58" s="3"/>
      <c r="B58" s="23">
        <v>3.3</v>
      </c>
      <c r="C58" s="3">
        <v>61.597000000000001</v>
      </c>
      <c r="D58" s="3">
        <v>62.36</v>
      </c>
      <c r="E58" s="3">
        <v>65.665999999999997</v>
      </c>
      <c r="F58" s="3">
        <v>59.951000000000001</v>
      </c>
      <c r="G58" s="3">
        <v>65.861000000000004</v>
      </c>
      <c r="H58" s="17">
        <v>65.33</v>
      </c>
      <c r="I58" s="17">
        <v>74.632999999999996</v>
      </c>
      <c r="J58" s="3">
        <v>74.978999999999999</v>
      </c>
      <c r="K58" s="3">
        <v>66.125</v>
      </c>
      <c r="L58" s="3">
        <v>74.896000000000001</v>
      </c>
      <c r="M58" s="3">
        <v>63.615000000000002</v>
      </c>
      <c r="N58" s="3">
        <v>69.614999999999995</v>
      </c>
      <c r="O58" s="3">
        <v>76.356999999999999</v>
      </c>
      <c r="P58" s="3">
        <v>61.173999999999999</v>
      </c>
      <c r="Q58" s="3">
        <v>61.411999999999999</v>
      </c>
      <c r="R58" s="3">
        <v>64.912000000000006</v>
      </c>
    </row>
    <row r="59" spans="1:24" x14ac:dyDescent="0.2">
      <c r="A59" s="3"/>
      <c r="B59" s="23">
        <v>3.3166666666666669</v>
      </c>
      <c r="C59" s="3">
        <v>61.201000000000001</v>
      </c>
      <c r="D59" s="3">
        <v>62.539000000000001</v>
      </c>
      <c r="E59" s="3">
        <v>65.528000000000006</v>
      </c>
      <c r="F59" s="3">
        <v>59.793999999999997</v>
      </c>
      <c r="G59" s="3">
        <v>65.578000000000003</v>
      </c>
      <c r="H59" s="17">
        <v>65.222999999999999</v>
      </c>
      <c r="I59" s="17">
        <v>74.534999999999997</v>
      </c>
      <c r="J59" s="3">
        <v>74.930000000000007</v>
      </c>
      <c r="K59" s="3">
        <v>65.825999999999993</v>
      </c>
      <c r="L59" s="3">
        <v>74.841999999999999</v>
      </c>
      <c r="M59" s="3">
        <v>63.554000000000002</v>
      </c>
      <c r="N59" s="3">
        <v>69.515000000000001</v>
      </c>
      <c r="O59" s="3">
        <v>76.287999999999997</v>
      </c>
      <c r="P59" s="3">
        <v>61.110999999999997</v>
      </c>
      <c r="Q59" s="3">
        <v>61.433999999999997</v>
      </c>
      <c r="R59" s="3">
        <v>64.787999999999997</v>
      </c>
      <c r="X59" s="24"/>
    </row>
    <row r="60" spans="1:24" x14ac:dyDescent="0.2">
      <c r="A60" s="3"/>
      <c r="B60" s="23">
        <v>3.3333333333333335</v>
      </c>
      <c r="C60" s="3">
        <v>61.25</v>
      </c>
      <c r="D60" s="3">
        <v>62.366999999999997</v>
      </c>
      <c r="E60" s="3">
        <v>65.447999999999993</v>
      </c>
      <c r="F60" s="3">
        <v>59.841999999999999</v>
      </c>
      <c r="G60" s="3">
        <v>65.31</v>
      </c>
      <c r="H60" s="17">
        <v>65.052999999999997</v>
      </c>
      <c r="I60" s="17">
        <v>74.438000000000002</v>
      </c>
      <c r="J60" s="3">
        <v>74.869</v>
      </c>
      <c r="K60" s="3">
        <v>65.634</v>
      </c>
      <c r="L60" s="3">
        <v>74.733000000000004</v>
      </c>
      <c r="M60" s="3">
        <v>63.485999999999997</v>
      </c>
      <c r="N60" s="3">
        <v>69.643000000000001</v>
      </c>
      <c r="O60" s="3">
        <v>76.25</v>
      </c>
      <c r="P60" s="3">
        <v>61.110999999999997</v>
      </c>
      <c r="Q60" s="3">
        <v>61.424999999999997</v>
      </c>
      <c r="R60" s="3">
        <v>64.781999999999996</v>
      </c>
    </row>
    <row r="61" spans="1:24" x14ac:dyDescent="0.2">
      <c r="A61" s="3"/>
      <c r="B61" s="23">
        <v>3.35</v>
      </c>
      <c r="C61" s="3">
        <v>60.973999999999997</v>
      </c>
      <c r="D61" s="3">
        <v>62.237000000000002</v>
      </c>
      <c r="E61" s="3">
        <v>65.331999999999994</v>
      </c>
      <c r="F61" s="3">
        <v>59.639000000000003</v>
      </c>
      <c r="G61" s="3">
        <v>65.263000000000005</v>
      </c>
      <c r="H61" s="17">
        <v>64.977999999999994</v>
      </c>
      <c r="I61" s="17">
        <v>74.296999999999997</v>
      </c>
      <c r="J61" s="3">
        <v>74.765000000000001</v>
      </c>
      <c r="K61" s="3">
        <v>65.227999999999994</v>
      </c>
      <c r="L61" s="3">
        <v>74.66</v>
      </c>
      <c r="M61" s="3">
        <v>63.463000000000001</v>
      </c>
      <c r="N61" s="3">
        <v>69.536000000000001</v>
      </c>
      <c r="O61" s="3">
        <v>76.287999999999997</v>
      </c>
      <c r="P61" s="3">
        <v>61.088000000000001</v>
      </c>
      <c r="Q61" s="3">
        <v>61.337000000000003</v>
      </c>
      <c r="R61" s="3">
        <v>64.635999999999996</v>
      </c>
      <c r="X61" s="24"/>
    </row>
    <row r="62" spans="1:24" x14ac:dyDescent="0.2">
      <c r="A62" s="3"/>
      <c r="B62" s="23">
        <v>3.3666666666666667</v>
      </c>
      <c r="C62" s="3">
        <v>60.875999999999998</v>
      </c>
      <c r="D62" s="3">
        <v>62.204000000000001</v>
      </c>
      <c r="E62" s="3">
        <v>65.379000000000005</v>
      </c>
      <c r="F62" s="3">
        <v>59.658000000000001</v>
      </c>
      <c r="G62" s="3">
        <v>65.236000000000004</v>
      </c>
      <c r="H62" s="17">
        <v>64.86</v>
      </c>
      <c r="I62" s="17">
        <v>74.242000000000004</v>
      </c>
      <c r="J62" s="3">
        <v>74.745999999999995</v>
      </c>
      <c r="K62" s="3">
        <v>65.119</v>
      </c>
      <c r="L62" s="3">
        <v>74.558999999999997</v>
      </c>
      <c r="M62" s="3">
        <v>63.42</v>
      </c>
      <c r="N62" s="3">
        <v>69.521000000000001</v>
      </c>
      <c r="O62" s="3">
        <v>76.227999999999994</v>
      </c>
      <c r="P62" s="3">
        <v>61.064</v>
      </c>
      <c r="Q62" s="3">
        <v>61.249000000000002</v>
      </c>
      <c r="R62" s="3">
        <v>64.411000000000001</v>
      </c>
    </row>
    <row r="63" spans="1:24" x14ac:dyDescent="0.2">
      <c r="A63" s="3"/>
      <c r="B63" s="23">
        <v>3.3833333333333333</v>
      </c>
      <c r="C63" s="3">
        <v>60.576000000000001</v>
      </c>
      <c r="D63" s="3">
        <v>62.003999999999998</v>
      </c>
      <c r="E63" s="3">
        <v>65.135999999999996</v>
      </c>
      <c r="F63" s="3">
        <v>59.470999999999997</v>
      </c>
      <c r="G63" s="3">
        <v>64.968000000000004</v>
      </c>
      <c r="H63" s="17">
        <v>64.778000000000006</v>
      </c>
      <c r="I63" s="17">
        <v>74.149000000000001</v>
      </c>
      <c r="J63" s="3">
        <v>74.605000000000004</v>
      </c>
      <c r="K63" s="3">
        <v>65.021000000000001</v>
      </c>
      <c r="L63" s="3">
        <v>74.119</v>
      </c>
      <c r="M63" s="3">
        <v>63.345999999999997</v>
      </c>
      <c r="N63" s="3">
        <v>69.489000000000004</v>
      </c>
      <c r="O63" s="3">
        <v>76.206000000000003</v>
      </c>
      <c r="P63" s="3">
        <v>61.024999999999999</v>
      </c>
      <c r="Q63" s="3">
        <v>61.13</v>
      </c>
      <c r="R63" s="3">
        <v>64.34</v>
      </c>
      <c r="X63" s="24"/>
    </row>
    <row r="64" spans="1:24" x14ac:dyDescent="0.2">
      <c r="A64" s="3"/>
      <c r="B64" s="23">
        <v>3.4</v>
      </c>
      <c r="C64" s="3">
        <v>60.423999999999999</v>
      </c>
      <c r="D64" s="3">
        <v>61.917999999999999</v>
      </c>
      <c r="E64" s="3">
        <v>65.069000000000003</v>
      </c>
      <c r="F64" s="3">
        <v>59.573999999999998</v>
      </c>
      <c r="G64" s="3">
        <v>64.619</v>
      </c>
      <c r="H64" s="17">
        <v>64.596999999999994</v>
      </c>
      <c r="I64" s="17">
        <v>74.031000000000006</v>
      </c>
      <c r="J64" s="3">
        <v>74.635000000000005</v>
      </c>
      <c r="K64" s="3">
        <v>64.87</v>
      </c>
      <c r="L64" s="3">
        <v>74.293999999999997</v>
      </c>
      <c r="M64" s="3">
        <v>63.231000000000002</v>
      </c>
      <c r="N64" s="3">
        <v>69.42</v>
      </c>
      <c r="O64" s="3">
        <v>76.153999999999996</v>
      </c>
      <c r="P64" s="3">
        <v>60.926000000000002</v>
      </c>
      <c r="Q64" s="3">
        <v>60.936999999999998</v>
      </c>
      <c r="R64" s="3">
        <v>64.278000000000006</v>
      </c>
    </row>
    <row r="65" spans="1:24" x14ac:dyDescent="0.2">
      <c r="A65" s="3"/>
      <c r="B65" s="23">
        <v>3.4166666666666665</v>
      </c>
      <c r="C65" s="3">
        <v>60.267000000000003</v>
      </c>
      <c r="D65" s="3">
        <v>61.395000000000003</v>
      </c>
      <c r="E65" s="3">
        <v>64.95</v>
      </c>
      <c r="F65" s="3">
        <v>59.286999999999999</v>
      </c>
      <c r="G65" s="3">
        <v>64.828999999999994</v>
      </c>
      <c r="H65" s="17">
        <v>64.557000000000002</v>
      </c>
      <c r="I65" s="17">
        <v>73.849000000000004</v>
      </c>
      <c r="J65" s="3">
        <v>74.209999999999994</v>
      </c>
      <c r="K65" s="3">
        <v>64.566000000000003</v>
      </c>
      <c r="L65" s="3">
        <v>73.994</v>
      </c>
      <c r="M65" s="3">
        <v>63.185000000000002</v>
      </c>
      <c r="N65" s="3">
        <v>69.391999999999996</v>
      </c>
      <c r="O65" s="3">
        <v>76.078000000000003</v>
      </c>
      <c r="P65" s="3">
        <v>60.89</v>
      </c>
      <c r="Q65" s="3">
        <v>60.88</v>
      </c>
      <c r="R65" s="3">
        <v>64.144000000000005</v>
      </c>
      <c r="X65" s="24"/>
    </row>
    <row r="66" spans="1:24" x14ac:dyDescent="0.2">
      <c r="A66" s="3"/>
      <c r="B66" s="23">
        <v>3.4333333333333331</v>
      </c>
      <c r="C66" s="3">
        <v>60.234000000000002</v>
      </c>
      <c r="D66" s="3">
        <v>61.539000000000001</v>
      </c>
      <c r="E66" s="3">
        <v>64.738</v>
      </c>
      <c r="F66" s="3">
        <v>59.32</v>
      </c>
      <c r="G66" s="3">
        <v>64.634</v>
      </c>
      <c r="H66" s="17">
        <v>64.456999999999994</v>
      </c>
      <c r="I66" s="17">
        <v>73.72</v>
      </c>
      <c r="J66" s="3">
        <v>74.325000000000003</v>
      </c>
      <c r="K66" s="3">
        <v>64.421000000000006</v>
      </c>
      <c r="L66" s="3">
        <v>73.938999999999993</v>
      </c>
      <c r="M66" s="3">
        <v>63.045000000000002</v>
      </c>
      <c r="N66" s="3">
        <v>69.272000000000006</v>
      </c>
      <c r="O66" s="3">
        <v>76.108000000000004</v>
      </c>
      <c r="P66" s="3">
        <v>60.844999999999999</v>
      </c>
      <c r="Q66" s="3">
        <v>60.892000000000003</v>
      </c>
      <c r="R66" s="3">
        <v>64.010000000000005</v>
      </c>
    </row>
    <row r="67" spans="1:24" x14ac:dyDescent="0.2">
      <c r="A67" s="3"/>
      <c r="B67" s="23">
        <v>3.45</v>
      </c>
      <c r="C67" s="3">
        <v>60.164999999999999</v>
      </c>
      <c r="D67" s="3">
        <v>61.322000000000003</v>
      </c>
      <c r="E67" s="3">
        <v>64.638999999999996</v>
      </c>
      <c r="F67" s="3">
        <v>59.180999999999997</v>
      </c>
      <c r="G67" s="3">
        <v>64.552000000000007</v>
      </c>
      <c r="H67" s="17">
        <v>64.337000000000003</v>
      </c>
      <c r="I67" s="17">
        <v>73.626999999999995</v>
      </c>
      <c r="J67" s="3">
        <v>74.242000000000004</v>
      </c>
      <c r="K67" s="3">
        <v>63.973999999999997</v>
      </c>
      <c r="L67" s="3">
        <v>73.884</v>
      </c>
      <c r="M67" s="3">
        <v>62.965000000000003</v>
      </c>
      <c r="N67" s="3">
        <v>69.194999999999993</v>
      </c>
      <c r="O67" s="3">
        <v>76.120999999999995</v>
      </c>
      <c r="P67" s="3">
        <v>60.703000000000003</v>
      </c>
      <c r="Q67" s="3">
        <v>60.603000000000002</v>
      </c>
      <c r="R67" s="3">
        <v>63.935000000000002</v>
      </c>
      <c r="X67" s="24"/>
    </row>
    <row r="68" spans="1:24" x14ac:dyDescent="0.2">
      <c r="A68" s="3"/>
      <c r="B68" s="23">
        <v>3.4666666666666668</v>
      </c>
      <c r="C68" s="3">
        <v>59.970999999999997</v>
      </c>
      <c r="D68" s="3">
        <v>61.268999999999998</v>
      </c>
      <c r="E68" s="3">
        <v>64.695999999999998</v>
      </c>
      <c r="F68" s="3">
        <v>58.996000000000002</v>
      </c>
      <c r="G68" s="3">
        <v>64.471000000000004</v>
      </c>
      <c r="H68" s="17">
        <v>64.262</v>
      </c>
      <c r="I68" s="17">
        <v>73.524000000000001</v>
      </c>
      <c r="J68" s="3">
        <v>74.16</v>
      </c>
      <c r="K68" s="3">
        <v>63.893000000000001</v>
      </c>
      <c r="L68" s="3">
        <v>73.695999999999998</v>
      </c>
      <c r="M68" s="3">
        <v>62.866999999999997</v>
      </c>
      <c r="N68" s="3">
        <v>69.128</v>
      </c>
      <c r="O68" s="3">
        <v>76.153999999999996</v>
      </c>
      <c r="P68" s="3">
        <v>60.71</v>
      </c>
      <c r="Q68" s="3">
        <v>60.731000000000002</v>
      </c>
      <c r="R68" s="3">
        <v>63.795000000000002</v>
      </c>
    </row>
    <row r="69" spans="1:24" x14ac:dyDescent="0.2">
      <c r="A69" s="3"/>
      <c r="B69" s="23">
        <v>3.4833333333333334</v>
      </c>
      <c r="C69" s="3">
        <v>59.75</v>
      </c>
      <c r="D69" s="3">
        <v>61.170999999999999</v>
      </c>
      <c r="E69" s="3">
        <v>64.540999999999997</v>
      </c>
      <c r="F69" s="3">
        <v>58.966999999999999</v>
      </c>
      <c r="G69" s="3">
        <v>64.278999999999996</v>
      </c>
      <c r="H69" s="17">
        <v>64.146000000000001</v>
      </c>
      <c r="I69" s="17">
        <v>73.369</v>
      </c>
      <c r="J69" s="3">
        <v>74.188000000000002</v>
      </c>
      <c r="K69" s="3">
        <v>63.811</v>
      </c>
      <c r="L69" s="3">
        <v>73.63</v>
      </c>
      <c r="M69" s="3">
        <v>62.747</v>
      </c>
      <c r="N69" s="3">
        <v>69.108000000000004</v>
      </c>
      <c r="O69" s="3">
        <v>76.126000000000005</v>
      </c>
      <c r="P69" s="3">
        <v>60.65</v>
      </c>
      <c r="Q69" s="3">
        <v>60.353999999999999</v>
      </c>
      <c r="R69" s="3">
        <v>63.746000000000002</v>
      </c>
      <c r="X69" s="24"/>
    </row>
    <row r="70" spans="1:24" x14ac:dyDescent="0.2">
      <c r="A70" s="3"/>
      <c r="B70" s="23">
        <v>3.5</v>
      </c>
      <c r="C70" s="3">
        <v>59.625999999999998</v>
      </c>
      <c r="D70" s="3">
        <v>61.124000000000002</v>
      </c>
      <c r="E70" s="3">
        <v>64.376000000000005</v>
      </c>
      <c r="F70" s="3">
        <v>58.832000000000001</v>
      </c>
      <c r="G70" s="3">
        <v>64.122</v>
      </c>
      <c r="H70" s="17">
        <v>64.066000000000003</v>
      </c>
      <c r="I70" s="17">
        <v>73.301000000000002</v>
      </c>
      <c r="J70" s="3">
        <v>74.078999999999994</v>
      </c>
      <c r="K70" s="3">
        <v>63.661000000000001</v>
      </c>
      <c r="L70" s="3">
        <v>73.551000000000002</v>
      </c>
      <c r="M70" s="3">
        <v>62.688000000000002</v>
      </c>
      <c r="N70" s="3">
        <v>68.959000000000003</v>
      </c>
      <c r="O70" s="3">
        <v>75.879000000000005</v>
      </c>
      <c r="P70" s="3">
        <v>60.597999999999999</v>
      </c>
      <c r="Q70" s="3">
        <v>60.421999999999997</v>
      </c>
      <c r="R70" s="3">
        <v>63.723999999999997</v>
      </c>
    </row>
    <row r="71" spans="1:24" x14ac:dyDescent="0.2">
      <c r="A71" s="3"/>
      <c r="B71" s="23">
        <v>3.5166666666666666</v>
      </c>
      <c r="C71" s="3">
        <v>59.38</v>
      </c>
      <c r="D71" s="3">
        <v>61.106999999999999</v>
      </c>
      <c r="E71" s="3">
        <v>64.281999999999996</v>
      </c>
      <c r="F71" s="3">
        <v>58.843000000000004</v>
      </c>
      <c r="G71" s="3">
        <v>64.022000000000006</v>
      </c>
      <c r="H71" s="17">
        <v>63.906999999999996</v>
      </c>
      <c r="I71" s="17">
        <v>73.174000000000007</v>
      </c>
      <c r="J71" s="3">
        <v>74.102999999999994</v>
      </c>
      <c r="K71" s="3">
        <v>63.527000000000001</v>
      </c>
      <c r="L71" s="3">
        <v>73.483000000000004</v>
      </c>
      <c r="M71" s="3">
        <v>62.679000000000002</v>
      </c>
      <c r="N71" s="3">
        <v>68.863</v>
      </c>
      <c r="O71" s="3">
        <v>75.847999999999999</v>
      </c>
      <c r="P71" s="3">
        <v>60.487000000000002</v>
      </c>
      <c r="Q71" s="3">
        <v>60.49</v>
      </c>
      <c r="R71" s="3">
        <v>63.56</v>
      </c>
      <c r="X71" s="24"/>
    </row>
    <row r="72" spans="1:24" x14ac:dyDescent="0.2">
      <c r="A72" s="3"/>
      <c r="B72" s="23">
        <v>3.5333333333333332</v>
      </c>
      <c r="C72" s="3">
        <v>59.345999999999997</v>
      </c>
      <c r="D72" s="3">
        <v>61.046999999999997</v>
      </c>
      <c r="E72" s="3">
        <v>64.278000000000006</v>
      </c>
      <c r="F72" s="3">
        <v>58.814</v>
      </c>
      <c r="G72" s="3">
        <v>63.896999999999998</v>
      </c>
      <c r="H72" s="17">
        <v>63.798000000000002</v>
      </c>
      <c r="I72" s="17">
        <v>73.099000000000004</v>
      </c>
      <c r="J72" s="3">
        <v>74.073999999999998</v>
      </c>
      <c r="K72" s="3">
        <v>63.308999999999997</v>
      </c>
      <c r="L72" s="3">
        <v>73.400000000000006</v>
      </c>
      <c r="M72" s="3">
        <v>62.587000000000003</v>
      </c>
      <c r="N72" s="3">
        <v>68.787000000000006</v>
      </c>
      <c r="O72" s="3">
        <v>75.685000000000002</v>
      </c>
      <c r="P72" s="3">
        <v>60.427</v>
      </c>
      <c r="Q72" s="3">
        <v>60.170999999999999</v>
      </c>
      <c r="R72" s="3">
        <v>63.470999999999997</v>
      </c>
    </row>
    <row r="73" spans="1:24" x14ac:dyDescent="0.2">
      <c r="A73" s="3"/>
      <c r="B73" s="23">
        <v>3.55</v>
      </c>
      <c r="C73" s="3">
        <v>59.057000000000002</v>
      </c>
      <c r="D73" s="3">
        <v>60.731999999999999</v>
      </c>
      <c r="E73" s="3">
        <v>64.174999999999997</v>
      </c>
      <c r="F73" s="3">
        <v>58.518000000000001</v>
      </c>
      <c r="G73" s="3">
        <v>63.843000000000004</v>
      </c>
      <c r="H73" s="17">
        <v>63.728999999999999</v>
      </c>
      <c r="I73" s="17">
        <v>73.11</v>
      </c>
      <c r="J73" s="3">
        <v>74.039000000000001</v>
      </c>
      <c r="K73" s="3">
        <v>63.180999999999997</v>
      </c>
      <c r="L73" s="3">
        <v>73.316000000000003</v>
      </c>
      <c r="M73" s="3">
        <v>62.485999999999997</v>
      </c>
      <c r="N73" s="3">
        <v>68.775000000000006</v>
      </c>
      <c r="O73" s="3">
        <v>75.849000000000004</v>
      </c>
      <c r="P73" s="3">
        <v>60.389000000000003</v>
      </c>
      <c r="Q73" s="3">
        <v>60.267000000000003</v>
      </c>
      <c r="R73" s="3">
        <v>63.341000000000001</v>
      </c>
      <c r="X73" s="24"/>
    </row>
    <row r="74" spans="1:24" x14ac:dyDescent="0.2">
      <c r="A74" s="3"/>
      <c r="B74" s="23">
        <v>3.5666666666666669</v>
      </c>
      <c r="C74" s="3">
        <v>59.023000000000003</v>
      </c>
      <c r="D74" s="3">
        <v>60.829000000000001</v>
      </c>
      <c r="E74" s="3">
        <v>64.114999999999995</v>
      </c>
      <c r="F74" s="3">
        <v>58.414999999999999</v>
      </c>
      <c r="G74" s="3">
        <v>63.658000000000001</v>
      </c>
      <c r="H74" s="17">
        <v>63.668999999999997</v>
      </c>
      <c r="I74" s="17">
        <v>72.968000000000004</v>
      </c>
      <c r="J74" s="3">
        <v>73.965000000000003</v>
      </c>
      <c r="K74" s="3">
        <v>62.999000000000002</v>
      </c>
      <c r="L74" s="3">
        <v>73.245999999999995</v>
      </c>
      <c r="M74" s="3">
        <v>62.405999999999999</v>
      </c>
      <c r="N74" s="3">
        <v>68.727999999999994</v>
      </c>
      <c r="O74" s="3">
        <v>75.775000000000006</v>
      </c>
      <c r="P74" s="3">
        <v>60.335999999999999</v>
      </c>
      <c r="Q74" s="3">
        <v>60.186</v>
      </c>
      <c r="R74" s="3">
        <v>63.238999999999997</v>
      </c>
    </row>
    <row r="75" spans="1:24" x14ac:dyDescent="0.2">
      <c r="A75" s="3"/>
      <c r="B75" s="23">
        <v>3.5833333333333335</v>
      </c>
      <c r="C75" s="3">
        <v>58.854999999999997</v>
      </c>
      <c r="D75" s="3">
        <v>60.771000000000001</v>
      </c>
      <c r="E75" s="3">
        <v>63.944000000000003</v>
      </c>
      <c r="F75" s="3">
        <v>58.384999999999998</v>
      </c>
      <c r="G75" s="3">
        <v>63.62</v>
      </c>
      <c r="H75" s="17">
        <v>63.545999999999999</v>
      </c>
      <c r="I75" s="17">
        <v>72.947999999999993</v>
      </c>
      <c r="J75" s="3">
        <v>73.882000000000005</v>
      </c>
      <c r="K75" s="3">
        <v>62.829000000000001</v>
      </c>
      <c r="L75" s="3">
        <v>73.147000000000006</v>
      </c>
      <c r="M75" s="3">
        <v>62.395000000000003</v>
      </c>
      <c r="N75" s="3">
        <v>68.697999999999993</v>
      </c>
      <c r="O75" s="3">
        <v>75.781999999999996</v>
      </c>
      <c r="P75" s="3">
        <v>60.308999999999997</v>
      </c>
      <c r="Q75" s="3">
        <v>59.933999999999997</v>
      </c>
      <c r="R75" s="3">
        <v>63.031999999999996</v>
      </c>
      <c r="X75" s="24"/>
    </row>
    <row r="76" spans="1:24" x14ac:dyDescent="0.2">
      <c r="A76" s="3"/>
      <c r="B76" s="23">
        <v>3.6</v>
      </c>
      <c r="C76" s="3">
        <v>58.768000000000001</v>
      </c>
      <c r="D76" s="3">
        <v>60.753</v>
      </c>
      <c r="E76" s="3">
        <v>63.906999999999996</v>
      </c>
      <c r="F76" s="3">
        <v>58.322000000000003</v>
      </c>
      <c r="G76" s="3">
        <v>63.561</v>
      </c>
      <c r="H76" s="17">
        <v>63.497999999999998</v>
      </c>
      <c r="I76" s="17">
        <v>72.828000000000003</v>
      </c>
      <c r="J76" s="3">
        <v>73.774000000000001</v>
      </c>
      <c r="K76" s="3">
        <v>62.701000000000001</v>
      </c>
      <c r="L76" s="3">
        <v>73.054000000000002</v>
      </c>
      <c r="M76" s="3">
        <v>62.165999999999997</v>
      </c>
      <c r="N76" s="3">
        <v>68.653999999999996</v>
      </c>
      <c r="O76" s="3">
        <v>75.566999999999993</v>
      </c>
      <c r="P76" s="3">
        <v>60.252000000000002</v>
      </c>
      <c r="Q76" s="3">
        <v>59.942</v>
      </c>
      <c r="R76" s="3">
        <v>63.000999999999998</v>
      </c>
    </row>
    <row r="77" spans="1:24" x14ac:dyDescent="0.2">
      <c r="A77" s="3"/>
      <c r="B77" s="23">
        <v>3.6166666666666667</v>
      </c>
      <c r="C77" s="3">
        <v>58.612000000000002</v>
      </c>
      <c r="D77" s="3">
        <v>60.691000000000003</v>
      </c>
      <c r="E77" s="3">
        <v>63.877000000000002</v>
      </c>
      <c r="F77" s="3">
        <v>58.209000000000003</v>
      </c>
      <c r="G77" s="3">
        <v>63.335000000000001</v>
      </c>
      <c r="H77" s="17">
        <v>63.335000000000001</v>
      </c>
      <c r="I77" s="17">
        <v>72.734999999999999</v>
      </c>
      <c r="J77" s="3">
        <v>73.596999999999994</v>
      </c>
      <c r="K77" s="3">
        <v>62.448</v>
      </c>
      <c r="L77" s="3">
        <v>72.972999999999999</v>
      </c>
      <c r="M77" s="3">
        <v>62.139000000000003</v>
      </c>
      <c r="N77" s="3">
        <v>68.653999999999996</v>
      </c>
      <c r="O77" s="3">
        <v>75.603999999999999</v>
      </c>
      <c r="P77" s="3">
        <v>60.125999999999998</v>
      </c>
      <c r="Q77" s="3">
        <v>59.933999999999997</v>
      </c>
      <c r="R77" s="3">
        <v>62.853999999999999</v>
      </c>
      <c r="X77" s="24"/>
    </row>
    <row r="78" spans="1:24" x14ac:dyDescent="0.2">
      <c r="A78" s="3"/>
      <c r="B78" s="23">
        <v>3.6333333333333333</v>
      </c>
      <c r="C78" s="3">
        <v>58.514000000000003</v>
      </c>
      <c r="D78" s="3">
        <v>60.686999999999998</v>
      </c>
      <c r="E78" s="3">
        <v>63.68</v>
      </c>
      <c r="F78" s="3">
        <v>58.121000000000002</v>
      </c>
      <c r="G78" s="3">
        <v>63.143000000000001</v>
      </c>
      <c r="H78" s="17">
        <v>63.307000000000002</v>
      </c>
      <c r="I78" s="17">
        <v>72.647000000000006</v>
      </c>
      <c r="J78" s="3">
        <v>73.566000000000003</v>
      </c>
      <c r="K78" s="3">
        <v>62.302999999999997</v>
      </c>
      <c r="L78" s="3">
        <v>72.888000000000005</v>
      </c>
      <c r="M78" s="3">
        <v>62.091999999999999</v>
      </c>
      <c r="N78" s="3">
        <v>68.613</v>
      </c>
      <c r="O78" s="3">
        <v>75.581000000000003</v>
      </c>
      <c r="P78" s="3">
        <v>60.055</v>
      </c>
      <c r="Q78" s="3">
        <v>59.808</v>
      </c>
      <c r="R78" s="3">
        <v>62.828000000000003</v>
      </c>
    </row>
    <row r="79" spans="1:24" x14ac:dyDescent="0.2">
      <c r="A79" s="3"/>
      <c r="B79" s="23">
        <v>3.65</v>
      </c>
      <c r="C79" s="3">
        <v>58.337000000000003</v>
      </c>
      <c r="D79" s="3">
        <v>60.377000000000002</v>
      </c>
      <c r="E79" s="3">
        <v>63.685000000000002</v>
      </c>
      <c r="F79" s="3">
        <v>57.994</v>
      </c>
      <c r="G79" s="3">
        <v>63.043999999999997</v>
      </c>
      <c r="H79" s="17">
        <v>63.234999999999999</v>
      </c>
      <c r="I79" s="17">
        <v>72.599000000000004</v>
      </c>
      <c r="J79" s="3">
        <v>73.426000000000002</v>
      </c>
      <c r="K79" s="3">
        <v>61.831000000000003</v>
      </c>
      <c r="L79" s="3">
        <v>72.751000000000005</v>
      </c>
      <c r="M79" s="3">
        <v>62.073</v>
      </c>
      <c r="N79" s="3">
        <v>68.531999999999996</v>
      </c>
      <c r="O79" s="3">
        <v>75.546000000000006</v>
      </c>
      <c r="P79" s="3">
        <v>59.963999999999999</v>
      </c>
      <c r="Q79" s="3">
        <v>59.787999999999997</v>
      </c>
      <c r="R79" s="3">
        <v>62.707000000000001</v>
      </c>
      <c r="X79" s="24"/>
    </row>
    <row r="80" spans="1:24" x14ac:dyDescent="0.2">
      <c r="A80" s="3"/>
      <c r="B80" s="23">
        <v>3.6666666666666665</v>
      </c>
      <c r="C80" s="3">
        <v>58.207000000000001</v>
      </c>
      <c r="D80" s="3">
        <v>60.348999999999997</v>
      </c>
      <c r="E80" s="3">
        <v>63.554000000000002</v>
      </c>
      <c r="F80" s="3">
        <v>57.956000000000003</v>
      </c>
      <c r="G80" s="3">
        <v>62.911999999999999</v>
      </c>
      <c r="H80" s="17">
        <v>63.125999999999998</v>
      </c>
      <c r="I80" s="17">
        <v>72.447000000000003</v>
      </c>
      <c r="J80" s="3">
        <v>73.256</v>
      </c>
      <c r="K80" s="3">
        <v>61.777000000000001</v>
      </c>
      <c r="L80" s="3">
        <v>72.686999999999998</v>
      </c>
      <c r="M80" s="3">
        <v>61.954999999999998</v>
      </c>
      <c r="N80" s="3">
        <v>68.528000000000006</v>
      </c>
      <c r="O80" s="3">
        <v>75.495999999999995</v>
      </c>
      <c r="P80" s="3">
        <v>59.878999999999998</v>
      </c>
      <c r="Q80" s="3">
        <v>59.692999999999998</v>
      </c>
      <c r="R80" s="3">
        <v>62.6</v>
      </c>
    </row>
    <row r="81" spans="1:24" x14ac:dyDescent="0.2">
      <c r="A81" s="3"/>
      <c r="B81" s="23">
        <v>3.6833333333333331</v>
      </c>
      <c r="C81" s="3">
        <v>58.042000000000002</v>
      </c>
      <c r="D81" s="3">
        <v>60.011000000000003</v>
      </c>
      <c r="E81" s="3">
        <v>63.433</v>
      </c>
      <c r="F81" s="3">
        <v>57.628</v>
      </c>
      <c r="G81" s="3">
        <v>62.866999999999997</v>
      </c>
      <c r="H81" s="17">
        <v>63.029000000000003</v>
      </c>
      <c r="I81" s="17">
        <v>72.370999999999995</v>
      </c>
      <c r="J81" s="3">
        <v>73.253</v>
      </c>
      <c r="K81" s="3">
        <v>61.633000000000003</v>
      </c>
      <c r="L81" s="3">
        <v>72.578000000000003</v>
      </c>
      <c r="M81" s="3">
        <v>61.893000000000001</v>
      </c>
      <c r="N81" s="3">
        <v>68.429000000000002</v>
      </c>
      <c r="O81" s="3">
        <v>75.570999999999998</v>
      </c>
      <c r="P81" s="3">
        <v>59.725999999999999</v>
      </c>
      <c r="Q81" s="3">
        <v>59.655999999999999</v>
      </c>
      <c r="R81" s="3">
        <v>62.292999999999999</v>
      </c>
      <c r="X81" s="24"/>
    </row>
    <row r="82" spans="1:24" x14ac:dyDescent="0.2">
      <c r="A82" s="3"/>
      <c r="B82" s="23">
        <v>3.7</v>
      </c>
      <c r="C82" s="3">
        <v>58.055999999999997</v>
      </c>
      <c r="D82" s="3">
        <v>60.164999999999999</v>
      </c>
      <c r="E82" s="3">
        <v>63.38</v>
      </c>
      <c r="F82" s="3">
        <v>57.552</v>
      </c>
      <c r="G82" s="3">
        <v>62.716000000000001</v>
      </c>
      <c r="H82" s="17">
        <v>62.956000000000003</v>
      </c>
      <c r="I82" s="17">
        <v>72.209000000000003</v>
      </c>
      <c r="J82" s="3">
        <v>73.087999999999994</v>
      </c>
      <c r="K82" s="3">
        <v>61.414999999999999</v>
      </c>
      <c r="L82" s="3">
        <v>72.430999999999997</v>
      </c>
      <c r="M82" s="3">
        <v>61.7</v>
      </c>
      <c r="N82" s="3">
        <v>68.376999999999995</v>
      </c>
      <c r="O82" s="3">
        <v>75.567999999999998</v>
      </c>
      <c r="P82" s="3">
        <v>59.606999999999999</v>
      </c>
      <c r="Q82" s="3">
        <v>59.396999999999998</v>
      </c>
      <c r="R82" s="3">
        <v>62.168999999999997</v>
      </c>
    </row>
    <row r="83" spans="1:24" x14ac:dyDescent="0.2">
      <c r="A83" s="3"/>
      <c r="B83" s="23">
        <v>3.7166666666666668</v>
      </c>
      <c r="C83" s="3">
        <v>57.621000000000002</v>
      </c>
      <c r="D83" s="3">
        <v>60.07</v>
      </c>
      <c r="E83" s="3">
        <v>63.204999999999998</v>
      </c>
      <c r="F83" s="3">
        <v>57.319000000000003</v>
      </c>
      <c r="G83" s="3">
        <v>62.575000000000003</v>
      </c>
      <c r="H83" s="17">
        <v>62.881999999999998</v>
      </c>
      <c r="I83" s="17">
        <v>72.122</v>
      </c>
      <c r="J83" s="3">
        <v>73.013000000000005</v>
      </c>
      <c r="K83" s="3">
        <v>61.104999999999997</v>
      </c>
      <c r="L83" s="3">
        <v>72.382000000000005</v>
      </c>
      <c r="M83" s="3">
        <v>61.610999999999997</v>
      </c>
      <c r="N83" s="3">
        <v>68.331000000000003</v>
      </c>
      <c r="O83" s="3">
        <v>75.56</v>
      </c>
      <c r="P83" s="3">
        <v>59.570999999999998</v>
      </c>
      <c r="Q83" s="3">
        <v>59.404000000000003</v>
      </c>
      <c r="R83" s="3">
        <v>62.116</v>
      </c>
      <c r="X83" s="24"/>
    </row>
    <row r="84" spans="1:24" x14ac:dyDescent="0.2">
      <c r="A84" s="3"/>
      <c r="B84" s="23">
        <v>3.7333333333333334</v>
      </c>
      <c r="C84" s="3">
        <v>57.515000000000001</v>
      </c>
      <c r="D84" s="3">
        <v>59.698999999999998</v>
      </c>
      <c r="E84" s="3">
        <v>63.234999999999999</v>
      </c>
      <c r="F84" s="3">
        <v>57.232999999999997</v>
      </c>
      <c r="G84" s="3">
        <v>62.396999999999998</v>
      </c>
      <c r="H84" s="17">
        <v>62.822000000000003</v>
      </c>
      <c r="I84" s="17">
        <v>72.061999999999998</v>
      </c>
      <c r="J84" s="3">
        <v>73.018000000000001</v>
      </c>
      <c r="K84" s="3">
        <v>60.966000000000001</v>
      </c>
      <c r="L84" s="3">
        <v>72.241</v>
      </c>
      <c r="M84" s="3">
        <v>61.524999999999999</v>
      </c>
      <c r="N84" s="3">
        <v>68.358999999999995</v>
      </c>
      <c r="O84" s="3">
        <v>75.337000000000003</v>
      </c>
      <c r="P84" s="3">
        <v>59.457000000000001</v>
      </c>
      <c r="Q84" s="3">
        <v>59.372</v>
      </c>
      <c r="R84" s="3">
        <v>61.951000000000001</v>
      </c>
    </row>
    <row r="85" spans="1:24" x14ac:dyDescent="0.2">
      <c r="A85" s="3"/>
      <c r="B85" s="23">
        <v>3.75</v>
      </c>
      <c r="C85" s="3">
        <v>57.381999999999998</v>
      </c>
      <c r="D85" s="3">
        <v>59.844999999999999</v>
      </c>
      <c r="E85" s="3">
        <v>63.116999999999997</v>
      </c>
      <c r="F85" s="3">
        <v>57.131999999999998</v>
      </c>
      <c r="G85" s="3">
        <v>62.298999999999999</v>
      </c>
      <c r="H85" s="17">
        <v>62.715000000000003</v>
      </c>
      <c r="I85" s="17">
        <v>71.908000000000001</v>
      </c>
      <c r="J85" s="3">
        <v>72.888999999999996</v>
      </c>
      <c r="K85" s="3">
        <v>60.561999999999998</v>
      </c>
      <c r="L85" s="3">
        <v>72.162000000000006</v>
      </c>
      <c r="M85" s="3">
        <v>61.439</v>
      </c>
      <c r="N85" s="3">
        <v>68.364000000000004</v>
      </c>
      <c r="O85" s="3">
        <v>75.510000000000005</v>
      </c>
      <c r="P85" s="3">
        <v>59.415999999999997</v>
      </c>
      <c r="Q85" s="3">
        <v>59.170999999999999</v>
      </c>
      <c r="R85" s="3">
        <v>61.941000000000003</v>
      </c>
      <c r="X85" s="24"/>
    </row>
    <row r="86" spans="1:24" x14ac:dyDescent="0.2">
      <c r="A86" s="3"/>
      <c r="B86" s="23">
        <v>3.7666666666666666</v>
      </c>
      <c r="C86" s="3">
        <v>57.222999999999999</v>
      </c>
      <c r="D86" s="3">
        <v>59.207000000000001</v>
      </c>
      <c r="E86" s="3">
        <v>62.969000000000001</v>
      </c>
      <c r="F86" s="3">
        <v>56.975999999999999</v>
      </c>
      <c r="G86" s="3">
        <v>62.167999999999999</v>
      </c>
      <c r="H86" s="17">
        <v>62.555999999999997</v>
      </c>
      <c r="I86" s="17">
        <v>71.819000000000003</v>
      </c>
      <c r="J86" s="3">
        <v>72.867000000000004</v>
      </c>
      <c r="K86" s="3">
        <v>60.57</v>
      </c>
      <c r="L86" s="3">
        <v>72.081999999999994</v>
      </c>
      <c r="M86" s="3">
        <v>61.34</v>
      </c>
      <c r="N86" s="3">
        <v>68.266000000000005</v>
      </c>
      <c r="O86" s="3">
        <v>75.369</v>
      </c>
      <c r="P86" s="3">
        <v>59.398000000000003</v>
      </c>
      <c r="Q86" s="3">
        <v>59.152999999999999</v>
      </c>
      <c r="R86" s="3">
        <v>61.966000000000001</v>
      </c>
    </row>
    <row r="87" spans="1:24" x14ac:dyDescent="0.2">
      <c r="A87" s="3"/>
      <c r="B87" s="23">
        <v>3.7833333333333332</v>
      </c>
      <c r="C87" s="3">
        <v>57.209000000000003</v>
      </c>
      <c r="D87" s="3">
        <v>59.569000000000003</v>
      </c>
      <c r="E87" s="3">
        <v>62.976999999999997</v>
      </c>
      <c r="F87" s="3">
        <v>56.895000000000003</v>
      </c>
      <c r="G87" s="3">
        <v>61.948</v>
      </c>
      <c r="H87" s="17">
        <v>62.496000000000002</v>
      </c>
      <c r="I87" s="17">
        <v>71.683999999999997</v>
      </c>
      <c r="J87" s="3">
        <v>72.834999999999994</v>
      </c>
      <c r="K87" s="3">
        <v>60.502000000000002</v>
      </c>
      <c r="L87" s="3">
        <v>71.963999999999999</v>
      </c>
      <c r="M87" s="3">
        <v>61.326000000000001</v>
      </c>
      <c r="N87" s="3">
        <v>68.263000000000005</v>
      </c>
      <c r="O87" s="3">
        <v>75.369</v>
      </c>
      <c r="P87" s="3">
        <v>59.301000000000002</v>
      </c>
      <c r="Q87" s="3">
        <v>59.128999999999998</v>
      </c>
      <c r="R87" s="3">
        <v>61.935000000000002</v>
      </c>
      <c r="X87" s="24"/>
    </row>
    <row r="88" spans="1:24" x14ac:dyDescent="0.2">
      <c r="A88" s="3"/>
      <c r="B88" s="23">
        <v>3.8</v>
      </c>
      <c r="C88" s="3">
        <v>57.088999999999999</v>
      </c>
      <c r="D88" s="3">
        <v>59.515000000000001</v>
      </c>
      <c r="E88" s="3">
        <v>62.704999999999998</v>
      </c>
      <c r="F88" s="3">
        <v>56.786999999999999</v>
      </c>
      <c r="G88" s="3">
        <v>61.783999999999999</v>
      </c>
      <c r="H88" s="17">
        <v>62.39</v>
      </c>
      <c r="I88" s="17">
        <v>71.465000000000003</v>
      </c>
      <c r="J88" s="3">
        <v>72.64</v>
      </c>
      <c r="K88" s="3">
        <v>60.286000000000001</v>
      </c>
      <c r="L88" s="3">
        <v>71.894000000000005</v>
      </c>
      <c r="M88" s="3">
        <v>61.267000000000003</v>
      </c>
      <c r="N88" s="3">
        <v>67.774000000000001</v>
      </c>
      <c r="O88" s="3">
        <v>75.326999999999998</v>
      </c>
      <c r="P88" s="3">
        <v>58.369</v>
      </c>
      <c r="Q88" s="3">
        <v>58.936999999999998</v>
      </c>
      <c r="R88" s="3">
        <v>61.915999999999997</v>
      </c>
    </row>
    <row r="89" spans="1:24" x14ac:dyDescent="0.2">
      <c r="A89" s="3"/>
      <c r="B89" s="23">
        <v>3.8166666666666669</v>
      </c>
      <c r="C89" s="3">
        <v>56.563000000000002</v>
      </c>
      <c r="D89" s="3">
        <v>59.015999999999998</v>
      </c>
      <c r="E89" s="3">
        <v>62.774999999999999</v>
      </c>
      <c r="F89" s="3">
        <v>56.633000000000003</v>
      </c>
      <c r="G89" s="3">
        <v>61.576999999999998</v>
      </c>
      <c r="H89" s="17">
        <v>62.295999999999999</v>
      </c>
      <c r="I89" s="17">
        <v>71.415000000000006</v>
      </c>
      <c r="J89" s="3">
        <v>72.582999999999998</v>
      </c>
      <c r="K89" s="3">
        <v>60.095999999999997</v>
      </c>
      <c r="L89" s="3">
        <v>71.789000000000001</v>
      </c>
      <c r="M89" s="3">
        <v>61.146999999999998</v>
      </c>
      <c r="N89" s="3">
        <v>67.659000000000006</v>
      </c>
      <c r="O89" s="3">
        <v>75.177999999999997</v>
      </c>
      <c r="P89" s="3">
        <v>58.49</v>
      </c>
      <c r="Q89" s="3">
        <v>58.960999999999999</v>
      </c>
      <c r="R89" s="3">
        <v>61.851999999999997</v>
      </c>
      <c r="X89" s="24"/>
    </row>
    <row r="90" spans="1:24" x14ac:dyDescent="0.2">
      <c r="A90" s="3"/>
      <c r="B90" s="23">
        <v>3.8333333333333335</v>
      </c>
      <c r="C90" s="3">
        <v>56.701000000000001</v>
      </c>
      <c r="D90" s="3">
        <v>59.238999999999997</v>
      </c>
      <c r="E90" s="3">
        <v>62.610999999999997</v>
      </c>
      <c r="F90" s="3">
        <v>56.015000000000001</v>
      </c>
      <c r="G90" s="3">
        <v>61.463999999999999</v>
      </c>
      <c r="H90" s="17">
        <v>62.148000000000003</v>
      </c>
      <c r="I90" s="17">
        <v>71.378</v>
      </c>
      <c r="J90" s="3">
        <v>72.625</v>
      </c>
      <c r="K90" s="3">
        <v>59.97</v>
      </c>
      <c r="L90" s="3">
        <v>71.709000000000003</v>
      </c>
      <c r="M90" s="3">
        <v>60.939</v>
      </c>
      <c r="N90" s="3">
        <v>67.543999999999997</v>
      </c>
      <c r="O90" s="3">
        <v>75.152000000000001</v>
      </c>
      <c r="P90" s="3">
        <v>58.430999999999997</v>
      </c>
      <c r="Q90" s="3">
        <v>58.527999999999999</v>
      </c>
      <c r="R90" s="3">
        <v>61.765999999999998</v>
      </c>
    </row>
    <row r="91" spans="1:24" x14ac:dyDescent="0.2">
      <c r="A91" s="3"/>
      <c r="B91" s="23">
        <v>3.85</v>
      </c>
      <c r="C91" s="3">
        <v>56.621000000000002</v>
      </c>
      <c r="D91" s="3">
        <v>59.238</v>
      </c>
      <c r="E91" s="3">
        <v>62.521000000000001</v>
      </c>
      <c r="F91" s="3">
        <v>56.176000000000002</v>
      </c>
      <c r="G91" s="3">
        <v>61.231000000000002</v>
      </c>
      <c r="H91" s="17">
        <v>61.999000000000002</v>
      </c>
      <c r="I91" s="17">
        <v>71.332999999999998</v>
      </c>
      <c r="J91" s="3">
        <v>72.533000000000001</v>
      </c>
      <c r="K91" s="3">
        <v>59.811999999999998</v>
      </c>
      <c r="L91" s="3">
        <v>71.566000000000003</v>
      </c>
      <c r="M91" s="3">
        <v>60.877000000000002</v>
      </c>
      <c r="N91" s="3">
        <v>67.474000000000004</v>
      </c>
      <c r="O91" s="3">
        <v>75.221999999999994</v>
      </c>
      <c r="P91" s="3">
        <v>58.311</v>
      </c>
      <c r="Q91" s="3">
        <v>58.627000000000002</v>
      </c>
      <c r="R91" s="3">
        <v>61.671999999999997</v>
      </c>
      <c r="X91" s="24"/>
    </row>
    <row r="92" spans="1:24" x14ac:dyDescent="0.2">
      <c r="A92" s="3"/>
      <c r="B92" s="23">
        <v>3.8666666666666667</v>
      </c>
      <c r="C92" s="3">
        <v>56.402999999999999</v>
      </c>
      <c r="D92" s="3">
        <v>59.078000000000003</v>
      </c>
      <c r="E92" s="3">
        <v>62.465000000000003</v>
      </c>
      <c r="F92" s="3">
        <v>56.079000000000001</v>
      </c>
      <c r="G92" s="3">
        <v>61.284999999999997</v>
      </c>
      <c r="H92" s="17">
        <v>61.893999999999998</v>
      </c>
      <c r="I92" s="17">
        <v>71.283000000000001</v>
      </c>
      <c r="J92" s="3">
        <v>72.463999999999999</v>
      </c>
      <c r="K92" s="3">
        <v>59.658999999999999</v>
      </c>
      <c r="L92" s="3">
        <v>71.472999999999999</v>
      </c>
      <c r="M92" s="3">
        <v>60.808</v>
      </c>
      <c r="N92" s="3">
        <v>67.459000000000003</v>
      </c>
      <c r="O92" s="3">
        <v>75.144000000000005</v>
      </c>
      <c r="P92" s="3">
        <v>58.232999999999997</v>
      </c>
      <c r="Q92" s="3">
        <v>58.643000000000001</v>
      </c>
      <c r="R92" s="3">
        <v>61.639000000000003</v>
      </c>
    </row>
    <row r="93" spans="1:24" x14ac:dyDescent="0.2">
      <c r="A93" s="3"/>
      <c r="B93" s="23">
        <v>3.8833333333333333</v>
      </c>
      <c r="C93" s="3">
        <v>56.173999999999999</v>
      </c>
      <c r="D93" s="3">
        <v>58.944000000000003</v>
      </c>
      <c r="E93" s="3">
        <v>62.234000000000002</v>
      </c>
      <c r="F93" s="3">
        <v>55.593000000000004</v>
      </c>
      <c r="G93" s="3">
        <v>61.069000000000003</v>
      </c>
      <c r="H93" s="17">
        <v>61.832999999999998</v>
      </c>
      <c r="I93" s="17">
        <v>71.14</v>
      </c>
      <c r="J93" s="3">
        <v>72.396000000000001</v>
      </c>
      <c r="K93" s="3">
        <v>59.45</v>
      </c>
      <c r="L93" s="3">
        <v>71.347999999999999</v>
      </c>
      <c r="M93" s="3">
        <v>60.673999999999999</v>
      </c>
      <c r="N93" s="3">
        <v>67.39</v>
      </c>
      <c r="O93" s="3">
        <v>75.106999999999999</v>
      </c>
      <c r="P93" s="3">
        <v>58.183</v>
      </c>
      <c r="Q93" s="3">
        <v>58.548000000000002</v>
      </c>
      <c r="R93" s="3">
        <v>61.551000000000002</v>
      </c>
      <c r="X93" s="24"/>
    </row>
    <row r="94" spans="1:24" x14ac:dyDescent="0.2">
      <c r="A94" s="3"/>
      <c r="B94" s="23">
        <v>3.9</v>
      </c>
      <c r="C94" s="3">
        <v>56.195999999999998</v>
      </c>
      <c r="D94" s="3">
        <v>58.902999999999999</v>
      </c>
      <c r="E94" s="3">
        <v>62.268999999999998</v>
      </c>
      <c r="F94" s="3">
        <v>55.781999999999996</v>
      </c>
      <c r="G94" s="3">
        <v>60.920999999999999</v>
      </c>
      <c r="H94" s="17">
        <v>61.747999999999998</v>
      </c>
      <c r="I94" s="17">
        <v>71.055999999999997</v>
      </c>
      <c r="J94" s="3">
        <v>72.406999999999996</v>
      </c>
      <c r="K94" s="3">
        <v>59.238</v>
      </c>
      <c r="L94" s="3">
        <v>71.311999999999998</v>
      </c>
      <c r="M94" s="3">
        <v>60.661999999999999</v>
      </c>
      <c r="N94" s="3">
        <v>67.394000000000005</v>
      </c>
      <c r="O94" s="3">
        <v>75.007999999999996</v>
      </c>
      <c r="P94" s="3">
        <v>58.115000000000002</v>
      </c>
      <c r="Q94" s="3">
        <v>58.521999999999998</v>
      </c>
      <c r="R94" s="3">
        <v>61.517000000000003</v>
      </c>
    </row>
    <row r="95" spans="1:24" x14ac:dyDescent="0.2">
      <c r="A95" s="3"/>
      <c r="B95" s="23">
        <v>3.9166666666666665</v>
      </c>
      <c r="C95" s="3">
        <v>55.895000000000003</v>
      </c>
      <c r="D95" s="3">
        <v>58.738999999999997</v>
      </c>
      <c r="E95" s="3">
        <v>62.076999999999998</v>
      </c>
      <c r="F95" s="3">
        <v>55.716000000000001</v>
      </c>
      <c r="G95" s="3">
        <v>60.738999999999997</v>
      </c>
      <c r="H95" s="17">
        <v>61.534999999999997</v>
      </c>
      <c r="I95" s="17">
        <v>70.998000000000005</v>
      </c>
      <c r="J95" s="3">
        <v>72.296999999999997</v>
      </c>
      <c r="K95" s="3">
        <v>59.003</v>
      </c>
      <c r="L95" s="3">
        <v>71.191000000000003</v>
      </c>
      <c r="M95" s="3">
        <v>60.515000000000001</v>
      </c>
      <c r="N95" s="3">
        <v>67.076999999999998</v>
      </c>
      <c r="O95" s="3">
        <v>75.019000000000005</v>
      </c>
      <c r="P95" s="3">
        <v>58.09</v>
      </c>
      <c r="Q95" s="3">
        <v>58.39</v>
      </c>
      <c r="R95" s="3">
        <v>61.527000000000001</v>
      </c>
      <c r="X95" s="24"/>
    </row>
    <row r="96" spans="1:24" x14ac:dyDescent="0.2">
      <c r="A96" s="3"/>
      <c r="B96" s="23">
        <v>3.9333333333333331</v>
      </c>
      <c r="C96" s="3">
        <v>55.722999999999999</v>
      </c>
      <c r="D96" s="3">
        <v>58.738999999999997</v>
      </c>
      <c r="E96" s="3">
        <v>61.936</v>
      </c>
      <c r="F96" s="3">
        <v>55.311</v>
      </c>
      <c r="G96" s="3">
        <v>60.616999999999997</v>
      </c>
      <c r="H96" s="17">
        <v>61.469000000000001</v>
      </c>
      <c r="I96" s="17">
        <v>70.917000000000002</v>
      </c>
      <c r="J96" s="3">
        <v>72.278000000000006</v>
      </c>
      <c r="K96" s="3">
        <v>58.741999999999997</v>
      </c>
      <c r="L96" s="3">
        <v>71.114000000000004</v>
      </c>
      <c r="M96" s="3">
        <v>60.542000000000002</v>
      </c>
      <c r="N96" s="3">
        <v>67.025999999999996</v>
      </c>
      <c r="O96" s="3">
        <v>75.081999999999994</v>
      </c>
      <c r="P96" s="3">
        <v>57.988999999999997</v>
      </c>
      <c r="Q96" s="3">
        <v>58.311</v>
      </c>
      <c r="R96" s="3">
        <v>61.426000000000002</v>
      </c>
    </row>
    <row r="97" spans="1:24" x14ac:dyDescent="0.2">
      <c r="A97" s="3"/>
      <c r="B97" s="23">
        <v>3.95</v>
      </c>
      <c r="C97" s="3">
        <v>55.613</v>
      </c>
      <c r="D97" s="3">
        <v>58.573999999999998</v>
      </c>
      <c r="E97" s="3">
        <v>61.978000000000002</v>
      </c>
      <c r="F97" s="3">
        <v>55.219000000000001</v>
      </c>
      <c r="G97" s="3">
        <v>60.436</v>
      </c>
      <c r="H97" s="17">
        <v>61.345999999999997</v>
      </c>
      <c r="I97" s="17">
        <v>70.817999999999998</v>
      </c>
      <c r="J97" s="3">
        <v>72.174000000000007</v>
      </c>
      <c r="K97" s="3">
        <v>58.292000000000002</v>
      </c>
      <c r="L97" s="3">
        <v>70.998999999999995</v>
      </c>
      <c r="M97" s="3">
        <v>60.332999999999998</v>
      </c>
      <c r="N97" s="3">
        <v>66.861000000000004</v>
      </c>
      <c r="O97" s="3">
        <v>75.006</v>
      </c>
      <c r="P97" s="3">
        <v>57.905000000000001</v>
      </c>
      <c r="Q97" s="3">
        <v>58.052999999999997</v>
      </c>
      <c r="R97" s="3">
        <v>61.372</v>
      </c>
      <c r="X97" s="24"/>
    </row>
    <row r="98" spans="1:24" x14ac:dyDescent="0.2">
      <c r="A98" s="3"/>
      <c r="B98" s="23">
        <v>3.9666666666666668</v>
      </c>
      <c r="C98" s="3">
        <v>55.564</v>
      </c>
      <c r="D98" s="3">
        <v>58.42</v>
      </c>
      <c r="E98" s="3">
        <v>61.75</v>
      </c>
      <c r="F98" s="3">
        <v>54.837000000000003</v>
      </c>
      <c r="G98" s="3">
        <v>60.314</v>
      </c>
      <c r="H98" s="17">
        <v>61.308</v>
      </c>
      <c r="I98" s="17">
        <v>70.661000000000001</v>
      </c>
      <c r="J98" s="3">
        <v>72.090999999999994</v>
      </c>
      <c r="K98" s="3">
        <v>58.180999999999997</v>
      </c>
      <c r="L98" s="3">
        <v>70.953999999999994</v>
      </c>
      <c r="M98" s="3">
        <v>60.305</v>
      </c>
      <c r="N98" s="3">
        <v>66.757999999999996</v>
      </c>
      <c r="O98" s="3">
        <v>74.951999999999998</v>
      </c>
      <c r="P98" s="3">
        <v>57.822000000000003</v>
      </c>
      <c r="Q98" s="3">
        <v>57.805</v>
      </c>
      <c r="R98" s="3">
        <v>61.191000000000003</v>
      </c>
    </row>
    <row r="99" spans="1:24" x14ac:dyDescent="0.2">
      <c r="A99" s="3"/>
      <c r="B99" s="23">
        <v>3.9833333333333334</v>
      </c>
      <c r="C99" s="3">
        <v>55.329000000000001</v>
      </c>
      <c r="D99" s="3">
        <v>58.404000000000003</v>
      </c>
      <c r="E99" s="3">
        <v>61.777000000000001</v>
      </c>
      <c r="F99" s="3">
        <v>55.1</v>
      </c>
      <c r="G99" s="3">
        <v>60.164000000000001</v>
      </c>
      <c r="H99" s="17">
        <v>61.194000000000003</v>
      </c>
      <c r="I99" s="17">
        <v>70.576999999999998</v>
      </c>
      <c r="J99" s="3">
        <v>71.977999999999994</v>
      </c>
      <c r="K99" s="3">
        <v>58.097999999999999</v>
      </c>
      <c r="L99" s="3">
        <v>70.867000000000004</v>
      </c>
      <c r="M99" s="3">
        <v>60.143999999999998</v>
      </c>
      <c r="N99" s="3">
        <v>66.698999999999998</v>
      </c>
      <c r="O99" s="3">
        <v>75.022000000000006</v>
      </c>
      <c r="P99" s="3">
        <v>57.773000000000003</v>
      </c>
      <c r="Q99" s="3">
        <v>57.978999999999999</v>
      </c>
      <c r="R99" s="3">
        <v>61.098999999999997</v>
      </c>
      <c r="X99" s="24"/>
    </row>
    <row r="100" spans="1:24" x14ac:dyDescent="0.2">
      <c r="A100" s="3"/>
      <c r="B100" s="23">
        <v>4</v>
      </c>
      <c r="C100" s="3">
        <v>55.232999999999997</v>
      </c>
      <c r="D100" s="3">
        <v>58.323999999999998</v>
      </c>
      <c r="E100" s="3">
        <v>61.75</v>
      </c>
      <c r="F100" s="3">
        <v>54.744</v>
      </c>
      <c r="G100" s="3">
        <v>60.119</v>
      </c>
      <c r="H100" s="17">
        <v>61.045000000000002</v>
      </c>
      <c r="I100" s="17">
        <v>70.412000000000006</v>
      </c>
      <c r="J100" s="3">
        <v>71.819000000000003</v>
      </c>
      <c r="K100" s="3">
        <v>57.957999999999998</v>
      </c>
      <c r="L100" s="3">
        <v>70.763000000000005</v>
      </c>
      <c r="M100" s="3">
        <v>60.133000000000003</v>
      </c>
      <c r="N100" s="3">
        <v>66.698999999999998</v>
      </c>
      <c r="O100" s="3">
        <v>74.942999999999998</v>
      </c>
      <c r="P100" s="3">
        <v>57.67</v>
      </c>
      <c r="Q100" s="3">
        <v>57.91</v>
      </c>
      <c r="R100" s="3">
        <v>61.034999999999997</v>
      </c>
    </row>
    <row r="101" spans="1:24" x14ac:dyDescent="0.2">
      <c r="A101" s="3"/>
      <c r="B101" s="23">
        <v>4.0166666666666666</v>
      </c>
      <c r="C101" s="3">
        <v>55.109000000000002</v>
      </c>
      <c r="D101" s="3">
        <v>58.216999999999999</v>
      </c>
      <c r="E101" s="3">
        <v>61.499000000000002</v>
      </c>
      <c r="F101" s="3">
        <v>54.52</v>
      </c>
      <c r="G101" s="3">
        <v>59.999000000000002</v>
      </c>
      <c r="H101" s="17">
        <v>61.015999999999998</v>
      </c>
      <c r="I101" s="17">
        <v>70.364000000000004</v>
      </c>
      <c r="J101" s="3">
        <v>71.69</v>
      </c>
      <c r="K101" s="3">
        <v>57.765999999999998</v>
      </c>
      <c r="L101" s="3">
        <v>70.712000000000003</v>
      </c>
      <c r="M101" s="3">
        <v>60.064999999999998</v>
      </c>
      <c r="N101" s="3">
        <v>66.596999999999994</v>
      </c>
      <c r="O101" s="3">
        <v>74.881</v>
      </c>
      <c r="P101" s="3">
        <v>57.610999999999997</v>
      </c>
      <c r="Q101" s="3">
        <v>57.912999999999997</v>
      </c>
      <c r="R101" s="3">
        <v>60.645000000000003</v>
      </c>
      <c r="X101" s="24"/>
    </row>
    <row r="102" spans="1:24" x14ac:dyDescent="0.2">
      <c r="A102" s="3"/>
      <c r="B102" s="23">
        <v>4.0333333333333332</v>
      </c>
      <c r="C102" s="3">
        <v>54.935000000000002</v>
      </c>
      <c r="D102" s="3">
        <v>58.125999999999998</v>
      </c>
      <c r="E102" s="3">
        <v>61.466999999999999</v>
      </c>
      <c r="F102" s="3">
        <v>54.595999999999997</v>
      </c>
      <c r="G102" s="3">
        <v>59.848999999999997</v>
      </c>
      <c r="H102" s="17">
        <v>60.898000000000003</v>
      </c>
      <c r="I102" s="17">
        <v>70.251999999999995</v>
      </c>
      <c r="J102" s="3">
        <v>71.617000000000004</v>
      </c>
      <c r="K102" s="3">
        <v>57.588999999999999</v>
      </c>
      <c r="L102" s="3">
        <v>70.635000000000005</v>
      </c>
      <c r="M102" s="3">
        <v>59.851999999999997</v>
      </c>
      <c r="N102" s="3">
        <v>66.475999999999999</v>
      </c>
      <c r="O102" s="3">
        <v>74.834000000000003</v>
      </c>
      <c r="P102" s="3">
        <v>57.542000000000002</v>
      </c>
      <c r="Q102" s="3">
        <v>57.814999999999998</v>
      </c>
      <c r="R102" s="3">
        <v>60.731000000000002</v>
      </c>
    </row>
    <row r="103" spans="1:24" x14ac:dyDescent="0.2">
      <c r="A103" s="3"/>
      <c r="B103" s="23">
        <v>4.05</v>
      </c>
      <c r="C103" s="3">
        <v>54.6</v>
      </c>
      <c r="D103" s="3">
        <v>58.01</v>
      </c>
      <c r="E103" s="3">
        <v>61.359000000000002</v>
      </c>
      <c r="F103" s="3">
        <v>54.707999999999998</v>
      </c>
      <c r="G103" s="3">
        <v>59.79</v>
      </c>
      <c r="H103" s="17">
        <v>60.831000000000003</v>
      </c>
      <c r="I103" s="17">
        <v>70.153000000000006</v>
      </c>
      <c r="J103" s="3">
        <v>71.527000000000001</v>
      </c>
      <c r="K103" s="3">
        <v>57.381</v>
      </c>
      <c r="L103" s="3">
        <v>70.537999999999997</v>
      </c>
      <c r="M103" s="3">
        <v>59.786999999999999</v>
      </c>
      <c r="N103" s="3">
        <v>66.245000000000005</v>
      </c>
      <c r="O103" s="3">
        <v>74.796000000000006</v>
      </c>
      <c r="P103" s="3">
        <v>57.472999999999999</v>
      </c>
      <c r="Q103" s="3">
        <v>57.701000000000001</v>
      </c>
      <c r="R103" s="3">
        <v>60.664000000000001</v>
      </c>
      <c r="X103" s="24"/>
    </row>
    <row r="104" spans="1:24" x14ac:dyDescent="0.2">
      <c r="A104" s="3"/>
      <c r="B104" s="23">
        <v>4.0666666666666664</v>
      </c>
      <c r="C104" s="3">
        <v>54.61</v>
      </c>
      <c r="D104" s="3">
        <v>57.97</v>
      </c>
      <c r="E104" s="3">
        <v>61.246000000000002</v>
      </c>
      <c r="F104" s="3">
        <v>54.69</v>
      </c>
      <c r="G104" s="3">
        <v>59.598999999999997</v>
      </c>
      <c r="H104" s="17">
        <v>60.747999999999998</v>
      </c>
      <c r="I104" s="17">
        <v>70.05</v>
      </c>
      <c r="J104" s="3">
        <v>71.445999999999998</v>
      </c>
      <c r="K104" s="3">
        <v>57.167999999999999</v>
      </c>
      <c r="L104" s="3">
        <v>70.453000000000003</v>
      </c>
      <c r="M104" s="3">
        <v>59.720999999999997</v>
      </c>
      <c r="N104" s="3">
        <v>66.224999999999994</v>
      </c>
      <c r="O104" s="3">
        <v>74.784999999999997</v>
      </c>
      <c r="P104" s="3">
        <v>57.45</v>
      </c>
      <c r="Q104" s="3">
        <v>57.621000000000002</v>
      </c>
      <c r="R104" s="3">
        <v>60.670999999999999</v>
      </c>
    </row>
    <row r="105" spans="1:24" x14ac:dyDescent="0.2">
      <c r="A105" s="3"/>
      <c r="B105" s="23">
        <v>4.083333333333333</v>
      </c>
      <c r="C105" s="3">
        <v>54.515999999999998</v>
      </c>
      <c r="D105" s="3">
        <v>57.927</v>
      </c>
      <c r="E105" s="3">
        <v>61.067</v>
      </c>
      <c r="F105" s="3">
        <v>54.648000000000003</v>
      </c>
      <c r="G105" s="3">
        <v>59.457000000000001</v>
      </c>
      <c r="H105" s="17">
        <v>60.631</v>
      </c>
      <c r="I105" s="17">
        <v>69.858999999999995</v>
      </c>
      <c r="J105" s="3">
        <v>71.316000000000003</v>
      </c>
      <c r="K105" s="3">
        <v>56.951999999999998</v>
      </c>
      <c r="L105" s="3">
        <v>70.39</v>
      </c>
      <c r="M105" s="3">
        <v>59.686</v>
      </c>
      <c r="N105" s="3">
        <v>66.158000000000001</v>
      </c>
      <c r="O105" s="3">
        <v>74.801000000000002</v>
      </c>
      <c r="P105" s="3">
        <v>57.247</v>
      </c>
      <c r="Q105" s="3">
        <v>57.503999999999998</v>
      </c>
      <c r="R105" s="3">
        <v>60.661000000000001</v>
      </c>
      <c r="X105" s="24"/>
    </row>
    <row r="106" spans="1:24" x14ac:dyDescent="0.2">
      <c r="A106" s="3"/>
      <c r="B106" s="23">
        <v>4.0999999999999996</v>
      </c>
      <c r="C106" s="3">
        <v>54.28</v>
      </c>
      <c r="D106" s="3">
        <v>57.673999999999999</v>
      </c>
      <c r="E106" s="3">
        <v>60.875</v>
      </c>
      <c r="F106" s="3">
        <v>54.188000000000002</v>
      </c>
      <c r="G106" s="3">
        <v>59.207999999999998</v>
      </c>
      <c r="H106" s="17">
        <v>60.512</v>
      </c>
      <c r="I106" s="17">
        <v>69.802999999999997</v>
      </c>
      <c r="J106" s="3">
        <v>71.213999999999999</v>
      </c>
      <c r="K106" s="3">
        <v>56.789000000000001</v>
      </c>
      <c r="L106" s="3">
        <v>70.302999999999997</v>
      </c>
      <c r="M106" s="3">
        <v>59.637999999999998</v>
      </c>
      <c r="N106" s="3">
        <v>66.180000000000007</v>
      </c>
      <c r="O106" s="3">
        <v>74.798000000000002</v>
      </c>
      <c r="P106" s="3">
        <v>57.201000000000001</v>
      </c>
      <c r="Q106" s="3">
        <v>57.293999999999997</v>
      </c>
      <c r="R106" s="3">
        <v>60.24</v>
      </c>
    </row>
    <row r="107" spans="1:24" x14ac:dyDescent="0.2">
      <c r="A107" s="3"/>
      <c r="B107" s="23">
        <v>4.1166666666666663</v>
      </c>
      <c r="C107" s="3">
        <v>54.119</v>
      </c>
      <c r="D107" s="3">
        <v>57.505000000000003</v>
      </c>
      <c r="E107" s="3">
        <v>60.838000000000001</v>
      </c>
      <c r="F107" s="3">
        <v>53.686999999999998</v>
      </c>
      <c r="G107" s="3">
        <v>59.079000000000001</v>
      </c>
      <c r="H107" s="17">
        <v>60.404000000000003</v>
      </c>
      <c r="I107" s="17">
        <v>69.691999999999993</v>
      </c>
      <c r="J107" s="3">
        <v>71.120999999999995</v>
      </c>
      <c r="K107" s="3">
        <v>56.567999999999998</v>
      </c>
      <c r="L107" s="3">
        <v>70.233000000000004</v>
      </c>
      <c r="M107" s="3">
        <v>59.43</v>
      </c>
      <c r="N107" s="3">
        <v>66.149000000000001</v>
      </c>
      <c r="O107" s="3">
        <v>74.828000000000003</v>
      </c>
      <c r="P107" s="3">
        <v>57.216000000000001</v>
      </c>
      <c r="Q107" s="3">
        <v>57.39</v>
      </c>
      <c r="R107" s="3">
        <v>60.445999999999998</v>
      </c>
      <c r="X107" s="24"/>
    </row>
    <row r="108" spans="1:24" x14ac:dyDescent="0.2">
      <c r="A108" s="3"/>
      <c r="B108" s="23">
        <v>4.1333333333333337</v>
      </c>
      <c r="C108" s="3">
        <v>54.018000000000001</v>
      </c>
      <c r="D108" s="3">
        <v>57.441000000000003</v>
      </c>
      <c r="E108" s="3">
        <v>60.616999999999997</v>
      </c>
      <c r="F108" s="3">
        <v>53.746000000000002</v>
      </c>
      <c r="G108" s="3">
        <v>58.768999999999998</v>
      </c>
      <c r="H108" s="17">
        <v>60.347000000000001</v>
      </c>
      <c r="I108" s="17">
        <v>69.629000000000005</v>
      </c>
      <c r="J108" s="3">
        <v>71.042000000000002</v>
      </c>
      <c r="K108" s="3">
        <v>56.396999999999998</v>
      </c>
      <c r="L108" s="3">
        <v>70.144000000000005</v>
      </c>
      <c r="M108" s="3">
        <v>59.51</v>
      </c>
      <c r="N108" s="3">
        <v>66.13</v>
      </c>
      <c r="O108" s="3">
        <v>74.760999999999996</v>
      </c>
      <c r="P108" s="3">
        <v>57.155999999999999</v>
      </c>
      <c r="Q108" s="3">
        <v>57.302</v>
      </c>
      <c r="R108" s="3">
        <v>60.317999999999998</v>
      </c>
    </row>
    <row r="109" spans="1:24" x14ac:dyDescent="0.2">
      <c r="A109" s="3"/>
      <c r="B109" s="23">
        <v>4.1500000000000004</v>
      </c>
      <c r="C109" s="3">
        <v>53.844000000000001</v>
      </c>
      <c r="D109" s="3">
        <v>57.183</v>
      </c>
      <c r="E109" s="3">
        <v>60.423999999999999</v>
      </c>
      <c r="F109" s="3">
        <v>53.777000000000001</v>
      </c>
      <c r="G109" s="3">
        <v>58.692999999999998</v>
      </c>
      <c r="H109" s="17">
        <v>60.314999999999998</v>
      </c>
      <c r="I109" s="17">
        <v>69.542000000000002</v>
      </c>
      <c r="J109" s="3">
        <v>70.960999999999999</v>
      </c>
      <c r="K109" s="3">
        <v>56.348999999999997</v>
      </c>
      <c r="L109" s="3">
        <v>70.048000000000002</v>
      </c>
      <c r="M109" s="3">
        <v>59.444000000000003</v>
      </c>
      <c r="N109" s="3">
        <v>66.066999999999993</v>
      </c>
      <c r="O109" s="3">
        <v>74.762</v>
      </c>
      <c r="P109" s="3">
        <v>56.969000000000001</v>
      </c>
      <c r="Q109" s="3">
        <v>57.033999999999999</v>
      </c>
      <c r="R109" s="3">
        <v>60.232999999999997</v>
      </c>
      <c r="X109" s="24"/>
    </row>
    <row r="110" spans="1:24" x14ac:dyDescent="0.2">
      <c r="A110" s="3"/>
      <c r="B110" s="23">
        <v>4.166666666666667</v>
      </c>
      <c r="C110" s="3">
        <v>53.737000000000002</v>
      </c>
      <c r="D110" s="3">
        <v>57.131999999999998</v>
      </c>
      <c r="E110" s="3">
        <v>60.488999999999997</v>
      </c>
      <c r="F110" s="3">
        <v>53.756999999999998</v>
      </c>
      <c r="G110" s="3">
        <v>58.688000000000002</v>
      </c>
      <c r="H110" s="17">
        <v>60.259</v>
      </c>
      <c r="I110" s="17">
        <v>69.435000000000002</v>
      </c>
      <c r="J110" s="3">
        <v>70.834000000000003</v>
      </c>
      <c r="K110" s="3">
        <v>56.182000000000002</v>
      </c>
      <c r="L110" s="3">
        <v>69.921999999999997</v>
      </c>
      <c r="M110" s="3">
        <v>59.259</v>
      </c>
      <c r="N110" s="3">
        <v>66.022999999999996</v>
      </c>
      <c r="O110" s="3">
        <v>74.778999999999996</v>
      </c>
      <c r="P110" s="3">
        <v>56.936</v>
      </c>
      <c r="Q110" s="3">
        <v>57.121000000000002</v>
      </c>
      <c r="R110" s="3">
        <v>59.808999999999997</v>
      </c>
    </row>
    <row r="111" spans="1:24" x14ac:dyDescent="0.2">
      <c r="A111" s="3"/>
      <c r="B111" s="23">
        <v>4.1833333333333336</v>
      </c>
      <c r="C111" s="3">
        <v>53.613999999999997</v>
      </c>
      <c r="D111" s="3">
        <v>56.984000000000002</v>
      </c>
      <c r="E111" s="3">
        <v>60.24</v>
      </c>
      <c r="F111" s="3">
        <v>53.69</v>
      </c>
      <c r="G111" s="3">
        <v>58.292000000000002</v>
      </c>
      <c r="H111" s="17">
        <v>60.124000000000002</v>
      </c>
      <c r="I111" s="17">
        <v>69.325999999999993</v>
      </c>
      <c r="J111" s="3">
        <v>70.843000000000004</v>
      </c>
      <c r="K111" s="3">
        <v>56.03</v>
      </c>
      <c r="L111" s="3">
        <v>69.850999999999999</v>
      </c>
      <c r="M111" s="3">
        <v>59.121000000000002</v>
      </c>
      <c r="N111" s="3">
        <v>65.935000000000002</v>
      </c>
      <c r="O111" s="3">
        <v>74.759</v>
      </c>
      <c r="P111" s="3">
        <v>56.896999999999998</v>
      </c>
      <c r="Q111" s="3">
        <v>56.774999999999999</v>
      </c>
      <c r="R111" s="3">
        <v>60.124000000000002</v>
      </c>
      <c r="X111" s="24"/>
    </row>
    <row r="112" spans="1:24" x14ac:dyDescent="0.2">
      <c r="A112" s="3"/>
      <c r="B112" s="23">
        <v>4.2</v>
      </c>
      <c r="C112" s="3">
        <v>53.238</v>
      </c>
      <c r="D112" s="3">
        <v>56.713999999999999</v>
      </c>
      <c r="E112" s="3">
        <v>60.238</v>
      </c>
      <c r="F112" s="3">
        <v>53.649000000000001</v>
      </c>
      <c r="G112" s="3">
        <v>58.267000000000003</v>
      </c>
      <c r="H112" s="17">
        <v>60.01</v>
      </c>
      <c r="I112" s="17">
        <v>69.263000000000005</v>
      </c>
      <c r="J112" s="3">
        <v>70.77</v>
      </c>
      <c r="K112" s="3">
        <v>55.753</v>
      </c>
      <c r="L112" s="3">
        <v>69.724000000000004</v>
      </c>
      <c r="M112" s="3">
        <v>59.06</v>
      </c>
      <c r="N112" s="3">
        <v>65.92</v>
      </c>
      <c r="O112" s="3">
        <v>74.697999999999993</v>
      </c>
      <c r="P112" s="3">
        <v>56.826999999999998</v>
      </c>
      <c r="Q112" s="3">
        <v>56.844000000000001</v>
      </c>
      <c r="R112" s="3">
        <v>59.973999999999997</v>
      </c>
    </row>
    <row r="113" spans="1:24" x14ac:dyDescent="0.2">
      <c r="A113" s="3"/>
      <c r="B113" s="23">
        <v>4.2166666666666668</v>
      </c>
      <c r="C113" s="3">
        <v>53.210999999999999</v>
      </c>
      <c r="D113" s="3">
        <v>56.756</v>
      </c>
      <c r="E113" s="3">
        <v>60.048999999999999</v>
      </c>
      <c r="F113" s="3">
        <v>53.569000000000003</v>
      </c>
      <c r="G113" s="3">
        <v>58.209000000000003</v>
      </c>
      <c r="H113" s="17">
        <v>59.82</v>
      </c>
      <c r="I113" s="17">
        <v>69.210999999999999</v>
      </c>
      <c r="J113" s="3">
        <v>70.697999999999993</v>
      </c>
      <c r="K113" s="3">
        <v>55.642000000000003</v>
      </c>
      <c r="L113" s="3">
        <v>69.623999999999995</v>
      </c>
      <c r="M113" s="3">
        <v>59.055</v>
      </c>
      <c r="N113" s="3">
        <v>65.923000000000002</v>
      </c>
      <c r="O113" s="3">
        <v>74.721999999999994</v>
      </c>
      <c r="P113" s="3">
        <v>56.768000000000001</v>
      </c>
      <c r="Q113" s="3">
        <v>56.87</v>
      </c>
      <c r="R113" s="3">
        <v>59.896000000000001</v>
      </c>
      <c r="X113" s="24"/>
    </row>
    <row r="114" spans="1:24" x14ac:dyDescent="0.2">
      <c r="A114" s="3"/>
      <c r="B114" s="23">
        <v>4.2333333333333334</v>
      </c>
      <c r="C114" s="3">
        <v>53.024000000000001</v>
      </c>
      <c r="D114" s="3">
        <v>56.664000000000001</v>
      </c>
      <c r="E114" s="3">
        <v>60.039000000000001</v>
      </c>
      <c r="F114" s="3">
        <v>53.194000000000003</v>
      </c>
      <c r="G114" s="3">
        <v>58.042000000000002</v>
      </c>
      <c r="H114" s="17">
        <v>59.77</v>
      </c>
      <c r="I114" s="17">
        <v>69.138000000000005</v>
      </c>
      <c r="J114" s="3">
        <v>70.394999999999996</v>
      </c>
      <c r="K114" s="3">
        <v>55.311999999999998</v>
      </c>
      <c r="L114" s="3">
        <v>69.497</v>
      </c>
      <c r="M114" s="3">
        <v>59.003999999999998</v>
      </c>
      <c r="N114" s="3">
        <v>65.91</v>
      </c>
      <c r="O114" s="3">
        <v>74.781000000000006</v>
      </c>
      <c r="P114" s="3">
        <v>56.658000000000001</v>
      </c>
      <c r="Q114" s="3">
        <v>56.621000000000002</v>
      </c>
      <c r="R114" s="3">
        <v>59.866999999999997</v>
      </c>
    </row>
    <row r="115" spans="1:24" x14ac:dyDescent="0.2">
      <c r="A115" s="3"/>
      <c r="B115" s="23">
        <v>4.25</v>
      </c>
      <c r="C115" s="3">
        <v>52.857999999999997</v>
      </c>
      <c r="D115" s="3">
        <v>56.463000000000001</v>
      </c>
      <c r="E115" s="3">
        <v>59.832000000000001</v>
      </c>
      <c r="F115" s="3">
        <v>53.213999999999999</v>
      </c>
      <c r="G115" s="3">
        <v>57.680999999999997</v>
      </c>
      <c r="H115" s="17">
        <v>59.668999999999997</v>
      </c>
      <c r="I115" s="17">
        <v>68.998999999999995</v>
      </c>
      <c r="J115" s="3">
        <v>70.474999999999994</v>
      </c>
      <c r="K115" s="3">
        <v>54.918999999999997</v>
      </c>
      <c r="L115" s="3">
        <v>69.472999999999999</v>
      </c>
      <c r="M115" s="3">
        <v>58.960999999999999</v>
      </c>
      <c r="N115" s="3">
        <v>65.835999999999999</v>
      </c>
      <c r="O115" s="3">
        <v>74.683000000000007</v>
      </c>
      <c r="P115" s="3">
        <v>56.677</v>
      </c>
      <c r="Q115" s="3">
        <v>56.783000000000001</v>
      </c>
      <c r="R115" s="3">
        <v>59.738999999999997</v>
      </c>
      <c r="X115" s="24"/>
    </row>
    <row r="116" spans="1:24" x14ac:dyDescent="0.2">
      <c r="A116" s="3"/>
      <c r="B116" s="23">
        <v>4.2666666666666666</v>
      </c>
      <c r="C116" s="3">
        <v>52.616999999999997</v>
      </c>
      <c r="D116" s="3">
        <v>56.334000000000003</v>
      </c>
      <c r="E116" s="3">
        <v>59.906999999999996</v>
      </c>
      <c r="F116" s="3">
        <v>53.006999999999998</v>
      </c>
      <c r="G116" s="3">
        <v>57.524000000000001</v>
      </c>
      <c r="H116" s="17">
        <v>59.548000000000002</v>
      </c>
      <c r="I116" s="17">
        <v>68.900999999999996</v>
      </c>
      <c r="J116" s="3">
        <v>70.41</v>
      </c>
      <c r="K116" s="3">
        <v>54.863</v>
      </c>
      <c r="L116" s="3">
        <v>69.370999999999995</v>
      </c>
      <c r="M116" s="3">
        <v>58.792999999999999</v>
      </c>
      <c r="N116" s="3">
        <v>65.849000000000004</v>
      </c>
      <c r="O116" s="3">
        <v>74.668000000000006</v>
      </c>
      <c r="P116" s="3">
        <v>56.572000000000003</v>
      </c>
      <c r="Q116" s="3">
        <v>56.670999999999999</v>
      </c>
      <c r="R116" s="3">
        <v>59.795999999999999</v>
      </c>
    </row>
    <row r="117" spans="1:24" x14ac:dyDescent="0.2">
      <c r="A117" s="3"/>
      <c r="B117" s="23">
        <v>4.2833333333333332</v>
      </c>
      <c r="C117" s="3">
        <v>52.435000000000002</v>
      </c>
      <c r="D117" s="3">
        <v>56.212000000000003</v>
      </c>
      <c r="E117" s="3">
        <v>59.552999999999997</v>
      </c>
      <c r="F117" s="3">
        <v>52.905999999999999</v>
      </c>
      <c r="G117" s="3">
        <v>57.305</v>
      </c>
      <c r="H117" s="17">
        <v>59.537999999999997</v>
      </c>
      <c r="I117" s="17">
        <v>68.781000000000006</v>
      </c>
      <c r="J117" s="3">
        <v>70.248999999999995</v>
      </c>
      <c r="K117" s="3">
        <v>54.66</v>
      </c>
      <c r="L117" s="3">
        <v>69.254000000000005</v>
      </c>
      <c r="M117" s="3">
        <v>58.756999999999998</v>
      </c>
      <c r="N117" s="3">
        <v>65.807000000000002</v>
      </c>
      <c r="O117" s="3">
        <v>74.575999999999993</v>
      </c>
      <c r="P117" s="3">
        <v>56.426000000000002</v>
      </c>
      <c r="Q117" s="3">
        <v>56.250999999999998</v>
      </c>
      <c r="R117" s="3">
        <v>59.530999999999999</v>
      </c>
      <c r="X117" s="24"/>
    </row>
    <row r="118" spans="1:24" x14ac:dyDescent="0.2">
      <c r="A118" s="3"/>
      <c r="B118" s="23">
        <v>4.3</v>
      </c>
      <c r="C118" s="3">
        <v>51.984999999999999</v>
      </c>
      <c r="D118" s="3">
        <v>55.906999999999996</v>
      </c>
      <c r="E118" s="3">
        <v>59.527999999999999</v>
      </c>
      <c r="F118" s="3">
        <v>52.689</v>
      </c>
      <c r="G118" s="3">
        <v>57.039000000000001</v>
      </c>
      <c r="H118" s="17">
        <v>59.472999999999999</v>
      </c>
      <c r="I118" s="17">
        <v>68.727999999999994</v>
      </c>
      <c r="J118" s="3">
        <v>70.2</v>
      </c>
      <c r="K118" s="3">
        <v>54.573</v>
      </c>
      <c r="L118" s="3">
        <v>69.167000000000002</v>
      </c>
      <c r="M118" s="3">
        <v>58.636000000000003</v>
      </c>
      <c r="N118" s="3">
        <v>65.745000000000005</v>
      </c>
      <c r="O118" s="3">
        <v>74.64</v>
      </c>
      <c r="P118" s="3">
        <v>56.362000000000002</v>
      </c>
      <c r="Q118" s="3">
        <v>56.444000000000003</v>
      </c>
      <c r="R118" s="3">
        <v>59.244</v>
      </c>
    </row>
    <row r="119" spans="1:24" x14ac:dyDescent="0.2">
      <c r="A119" s="3"/>
      <c r="B119" s="23">
        <v>4.3166666666666664</v>
      </c>
      <c r="C119" s="3">
        <v>51.988</v>
      </c>
      <c r="D119" s="3">
        <v>55.96</v>
      </c>
      <c r="E119" s="3">
        <v>59.404000000000003</v>
      </c>
      <c r="F119" s="3">
        <v>52.616</v>
      </c>
      <c r="G119" s="3">
        <v>57.061</v>
      </c>
      <c r="H119" s="17">
        <v>59.405999999999999</v>
      </c>
      <c r="I119" s="17">
        <v>68.677000000000007</v>
      </c>
      <c r="J119" s="3">
        <v>70.141999999999996</v>
      </c>
      <c r="K119" s="3">
        <v>54.390999999999998</v>
      </c>
      <c r="L119" s="3">
        <v>69.075999999999993</v>
      </c>
      <c r="M119" s="3">
        <v>58.597000000000001</v>
      </c>
      <c r="N119" s="3">
        <v>65.787999999999997</v>
      </c>
      <c r="O119" s="3">
        <v>74.676000000000002</v>
      </c>
      <c r="P119" s="3">
        <v>56.100999999999999</v>
      </c>
      <c r="Q119" s="3">
        <v>56.415999999999997</v>
      </c>
      <c r="R119" s="3">
        <v>59.268999999999998</v>
      </c>
      <c r="X119" s="24"/>
    </row>
    <row r="120" spans="1:24" x14ac:dyDescent="0.2">
      <c r="A120" s="3"/>
      <c r="B120" s="23">
        <v>4.333333333333333</v>
      </c>
      <c r="C120" s="3">
        <v>51.741</v>
      </c>
      <c r="D120" s="3">
        <v>55.808999999999997</v>
      </c>
      <c r="E120" s="3">
        <v>59.375</v>
      </c>
      <c r="F120" s="3">
        <v>52.497</v>
      </c>
      <c r="G120" s="3">
        <v>56.786000000000001</v>
      </c>
      <c r="H120" s="17">
        <v>59.32</v>
      </c>
      <c r="I120" s="17">
        <v>68.578999999999994</v>
      </c>
      <c r="J120" s="3">
        <v>70.024000000000001</v>
      </c>
      <c r="K120" s="3">
        <v>54.31</v>
      </c>
      <c r="L120" s="3">
        <v>69.018000000000001</v>
      </c>
      <c r="M120" s="3">
        <v>58.468000000000004</v>
      </c>
      <c r="N120" s="3">
        <v>65.741</v>
      </c>
      <c r="O120" s="3">
        <v>74.569000000000003</v>
      </c>
      <c r="P120" s="3">
        <v>56.206000000000003</v>
      </c>
      <c r="Q120" s="3">
        <v>56.348999999999997</v>
      </c>
      <c r="R120" s="3">
        <v>59.179000000000002</v>
      </c>
    </row>
    <row r="121" spans="1:24" x14ac:dyDescent="0.2">
      <c r="A121" s="3"/>
      <c r="B121" s="23">
        <v>4.3499999999999996</v>
      </c>
      <c r="C121" s="3">
        <v>51.603000000000002</v>
      </c>
      <c r="D121" s="3">
        <v>55.753</v>
      </c>
      <c r="E121" s="3">
        <v>59.155000000000001</v>
      </c>
      <c r="F121" s="3">
        <v>52.345999999999997</v>
      </c>
      <c r="G121" s="3">
        <v>56.750999999999998</v>
      </c>
      <c r="H121" s="17">
        <v>59.191000000000003</v>
      </c>
      <c r="I121" s="17">
        <v>68.28</v>
      </c>
      <c r="J121" s="3">
        <v>69.932000000000002</v>
      </c>
      <c r="K121" s="3">
        <v>54.148000000000003</v>
      </c>
      <c r="L121" s="3">
        <v>68.924999999999997</v>
      </c>
      <c r="M121" s="3">
        <v>58.429000000000002</v>
      </c>
      <c r="N121" s="3">
        <v>65.697999999999993</v>
      </c>
      <c r="O121" s="3">
        <v>74.582999999999998</v>
      </c>
      <c r="P121" s="3">
        <v>56.15</v>
      </c>
      <c r="Q121" s="3">
        <v>56.271999999999998</v>
      </c>
      <c r="R121" s="3">
        <v>59.253</v>
      </c>
      <c r="X121" s="24"/>
    </row>
    <row r="122" spans="1:24" x14ac:dyDescent="0.2">
      <c r="A122" s="3"/>
      <c r="B122" s="23">
        <v>4.3666666666666663</v>
      </c>
      <c r="C122" s="3">
        <v>51.393999999999998</v>
      </c>
      <c r="D122" s="3">
        <v>55.673000000000002</v>
      </c>
      <c r="E122" s="3">
        <v>59.109000000000002</v>
      </c>
      <c r="F122" s="3">
        <v>52.168999999999997</v>
      </c>
      <c r="G122" s="3">
        <v>56.706000000000003</v>
      </c>
      <c r="H122" s="17">
        <v>59.13</v>
      </c>
      <c r="I122" s="17">
        <v>68.397999999999996</v>
      </c>
      <c r="J122" s="3">
        <v>69.903999999999996</v>
      </c>
      <c r="K122" s="3">
        <v>53.939</v>
      </c>
      <c r="L122" s="3">
        <v>68.825000000000003</v>
      </c>
      <c r="M122" s="3">
        <v>58.341000000000001</v>
      </c>
      <c r="N122" s="3">
        <v>65.698999999999998</v>
      </c>
      <c r="O122" s="3">
        <v>74.415999999999997</v>
      </c>
      <c r="P122" s="3">
        <v>56.091999999999999</v>
      </c>
      <c r="Q122" s="3">
        <v>55.926000000000002</v>
      </c>
      <c r="R122" s="3">
        <v>59.212000000000003</v>
      </c>
    </row>
    <row r="123" spans="1:24" x14ac:dyDescent="0.2">
      <c r="A123" s="3"/>
      <c r="B123" s="23">
        <v>4.3833333333333337</v>
      </c>
      <c r="C123" s="3">
        <v>51.1</v>
      </c>
      <c r="D123" s="3">
        <v>55.610999999999997</v>
      </c>
      <c r="E123" s="3">
        <v>58.932000000000002</v>
      </c>
      <c r="F123" s="3">
        <v>52.036000000000001</v>
      </c>
      <c r="G123" s="3">
        <v>56.305</v>
      </c>
      <c r="H123" s="17">
        <v>59.040999999999997</v>
      </c>
      <c r="I123" s="17">
        <v>68.180000000000007</v>
      </c>
      <c r="J123" s="3">
        <v>69.766000000000005</v>
      </c>
      <c r="K123" s="3">
        <v>53.783000000000001</v>
      </c>
      <c r="L123" s="3">
        <v>68.789000000000001</v>
      </c>
      <c r="M123" s="3">
        <v>58.243000000000002</v>
      </c>
      <c r="N123" s="3">
        <v>65.668999999999997</v>
      </c>
      <c r="O123" s="3">
        <v>74.507999999999996</v>
      </c>
      <c r="P123" s="3">
        <v>55.713999999999999</v>
      </c>
      <c r="Q123" s="3">
        <v>56.012999999999998</v>
      </c>
      <c r="R123" s="3">
        <v>59.16</v>
      </c>
      <c r="X123" s="24"/>
    </row>
    <row r="124" spans="1:24" x14ac:dyDescent="0.2">
      <c r="A124" s="3"/>
      <c r="B124" s="23">
        <v>4.4000000000000004</v>
      </c>
      <c r="C124" s="3">
        <v>50.905999999999999</v>
      </c>
      <c r="D124" s="3">
        <v>55.427</v>
      </c>
      <c r="E124" s="3">
        <v>58.734000000000002</v>
      </c>
      <c r="F124" s="3">
        <v>51.887999999999998</v>
      </c>
      <c r="G124" s="3">
        <v>56.241999999999997</v>
      </c>
      <c r="H124" s="17">
        <v>58.970999999999997</v>
      </c>
      <c r="I124" s="17">
        <v>68.116</v>
      </c>
      <c r="J124" s="3">
        <v>69.751000000000005</v>
      </c>
      <c r="K124" s="3">
        <v>53.631</v>
      </c>
      <c r="L124" s="3">
        <v>68.680999999999997</v>
      </c>
      <c r="M124" s="3">
        <v>58.201000000000001</v>
      </c>
      <c r="N124" s="3">
        <v>65.658000000000001</v>
      </c>
      <c r="O124" s="3">
        <v>74.477999999999994</v>
      </c>
      <c r="P124" s="3">
        <v>55.798000000000002</v>
      </c>
      <c r="Q124" s="3">
        <v>55.978000000000002</v>
      </c>
      <c r="R124" s="3">
        <v>59.082999999999998</v>
      </c>
    </row>
    <row r="125" spans="1:24" x14ac:dyDescent="0.2">
      <c r="A125" s="3"/>
      <c r="B125" s="23">
        <v>4.416666666666667</v>
      </c>
      <c r="C125" s="3">
        <v>50.945</v>
      </c>
      <c r="D125" s="3">
        <v>55.277000000000001</v>
      </c>
      <c r="E125" s="3">
        <v>58.860999999999997</v>
      </c>
      <c r="F125" s="3">
        <v>51.731999999999999</v>
      </c>
      <c r="G125" s="3">
        <v>56.222000000000001</v>
      </c>
      <c r="H125" s="17">
        <v>58.869</v>
      </c>
      <c r="I125" s="17">
        <v>68.097999999999999</v>
      </c>
      <c r="J125" s="3">
        <v>69.697000000000003</v>
      </c>
      <c r="K125" s="3">
        <v>52.942</v>
      </c>
      <c r="L125" s="3">
        <v>68.572000000000003</v>
      </c>
      <c r="M125" s="3">
        <v>58.140999999999998</v>
      </c>
      <c r="N125" s="3">
        <v>65.637</v>
      </c>
      <c r="O125" s="3">
        <v>74.444000000000003</v>
      </c>
      <c r="P125" s="3">
        <v>55.677</v>
      </c>
      <c r="Q125" s="3">
        <v>55.86</v>
      </c>
      <c r="R125" s="3">
        <v>59.064999999999998</v>
      </c>
      <c r="X125" s="24"/>
    </row>
    <row r="126" spans="1:24" x14ac:dyDescent="0.2">
      <c r="A126" s="3"/>
      <c r="B126" s="23">
        <v>4.4333333333333336</v>
      </c>
      <c r="C126" s="3">
        <v>50.689</v>
      </c>
      <c r="D126" s="3">
        <v>55.139000000000003</v>
      </c>
      <c r="E126" s="3">
        <v>58.735999999999997</v>
      </c>
      <c r="F126" s="3">
        <v>51.634</v>
      </c>
      <c r="G126" s="3">
        <v>56.027999999999999</v>
      </c>
      <c r="H126" s="17">
        <v>58.8</v>
      </c>
      <c r="I126" s="17">
        <v>67.994</v>
      </c>
      <c r="J126" s="3">
        <v>69.572000000000003</v>
      </c>
      <c r="K126" s="3">
        <v>53.11</v>
      </c>
      <c r="L126" s="3">
        <v>68.444999999999993</v>
      </c>
      <c r="M126" s="3">
        <v>57.996000000000002</v>
      </c>
      <c r="N126" s="3">
        <v>65.67</v>
      </c>
      <c r="O126" s="3">
        <v>74.488</v>
      </c>
      <c r="P126" s="3">
        <v>55.649000000000001</v>
      </c>
      <c r="Q126" s="3">
        <v>55.802999999999997</v>
      </c>
      <c r="R126" s="3">
        <v>59.040999999999997</v>
      </c>
    </row>
    <row r="127" spans="1:24" x14ac:dyDescent="0.2">
      <c r="A127" s="3"/>
      <c r="B127" s="23">
        <v>4.45</v>
      </c>
      <c r="C127" s="3">
        <v>50.53</v>
      </c>
      <c r="D127" s="3">
        <v>55.152000000000001</v>
      </c>
      <c r="E127" s="3">
        <v>58.67</v>
      </c>
      <c r="F127" s="3">
        <v>51.561999999999998</v>
      </c>
      <c r="G127" s="3">
        <v>55.841999999999999</v>
      </c>
      <c r="H127" s="17">
        <v>58.710999999999999</v>
      </c>
      <c r="I127" s="17">
        <v>67.930999999999997</v>
      </c>
      <c r="J127" s="3">
        <v>69.498999999999995</v>
      </c>
      <c r="K127" s="3">
        <v>52.920999999999999</v>
      </c>
      <c r="L127" s="3">
        <v>68.396000000000001</v>
      </c>
      <c r="M127" s="3">
        <v>57.906999999999996</v>
      </c>
      <c r="N127" s="3">
        <v>65.643000000000001</v>
      </c>
      <c r="O127" s="3">
        <v>74.488</v>
      </c>
      <c r="P127" s="3">
        <v>55.631</v>
      </c>
      <c r="Q127" s="3">
        <v>55.738</v>
      </c>
      <c r="R127" s="3">
        <v>59.082000000000001</v>
      </c>
      <c r="X127" s="24"/>
    </row>
    <row r="128" spans="1:24" x14ac:dyDescent="0.2">
      <c r="A128" s="3"/>
      <c r="B128" s="23">
        <v>4.4666666666666668</v>
      </c>
      <c r="C128" s="3">
        <v>50.323</v>
      </c>
      <c r="D128" s="3">
        <v>54.838000000000001</v>
      </c>
      <c r="E128" s="3">
        <v>58.451999999999998</v>
      </c>
      <c r="F128" s="3">
        <v>51.511000000000003</v>
      </c>
      <c r="G128" s="3">
        <v>55.651000000000003</v>
      </c>
      <c r="H128" s="17">
        <v>58.595999999999997</v>
      </c>
      <c r="I128" s="17">
        <v>67.850999999999999</v>
      </c>
      <c r="J128" s="3">
        <v>69.418000000000006</v>
      </c>
      <c r="K128" s="3">
        <v>52.838999999999999</v>
      </c>
      <c r="L128" s="3">
        <v>68.325000000000003</v>
      </c>
      <c r="M128" s="3">
        <v>57.829000000000001</v>
      </c>
      <c r="N128" s="3">
        <v>65.582999999999998</v>
      </c>
      <c r="O128" s="3">
        <v>74.400000000000006</v>
      </c>
      <c r="P128" s="3">
        <v>55.570999999999998</v>
      </c>
      <c r="Q128" s="3">
        <v>55.234999999999999</v>
      </c>
      <c r="R128" s="3">
        <v>59.066000000000003</v>
      </c>
    </row>
    <row r="129" spans="1:24" x14ac:dyDescent="0.2">
      <c r="A129" s="3"/>
      <c r="B129" s="23">
        <v>4.4833333333333334</v>
      </c>
      <c r="C129" s="3">
        <v>50.15</v>
      </c>
      <c r="D129" s="3">
        <v>54.935000000000002</v>
      </c>
      <c r="E129" s="3">
        <v>58.411999999999999</v>
      </c>
      <c r="F129" s="3">
        <v>51.406999999999996</v>
      </c>
      <c r="G129" s="3">
        <v>55.595999999999997</v>
      </c>
      <c r="H129" s="17">
        <v>58.451999999999998</v>
      </c>
      <c r="I129" s="17">
        <v>67.754999999999995</v>
      </c>
      <c r="J129" s="3">
        <v>69.376999999999995</v>
      </c>
      <c r="K129" s="3">
        <v>52.686</v>
      </c>
      <c r="L129" s="3">
        <v>68.224000000000004</v>
      </c>
      <c r="M129" s="3">
        <v>57.798000000000002</v>
      </c>
      <c r="N129" s="3">
        <v>65.650000000000006</v>
      </c>
      <c r="O129" s="3">
        <v>74.415999999999997</v>
      </c>
      <c r="P129" s="3">
        <v>55.500999999999998</v>
      </c>
      <c r="Q129" s="3">
        <v>55.444000000000003</v>
      </c>
      <c r="R129" s="3">
        <v>58.725999999999999</v>
      </c>
      <c r="X129" s="24"/>
    </row>
    <row r="130" spans="1:24" x14ac:dyDescent="0.2">
      <c r="A130" s="3"/>
      <c r="B130" s="23">
        <v>4.5</v>
      </c>
      <c r="C130" s="3">
        <v>49.942</v>
      </c>
      <c r="D130" s="3">
        <v>54.637999999999998</v>
      </c>
      <c r="E130" s="3">
        <v>58.305</v>
      </c>
      <c r="F130" s="3">
        <v>51.375999999999998</v>
      </c>
      <c r="G130" s="3">
        <v>55.378</v>
      </c>
      <c r="H130" s="17">
        <v>58.404000000000003</v>
      </c>
      <c r="I130" s="17">
        <v>67.710999999999999</v>
      </c>
      <c r="J130" s="3">
        <v>69.317999999999998</v>
      </c>
      <c r="K130" s="3">
        <v>52.526000000000003</v>
      </c>
      <c r="L130" s="3">
        <v>68.13</v>
      </c>
      <c r="M130" s="3">
        <v>57.780999999999999</v>
      </c>
      <c r="N130" s="3">
        <v>65.554000000000002</v>
      </c>
      <c r="O130" s="3">
        <v>74.379000000000005</v>
      </c>
      <c r="P130" s="3">
        <v>55.436</v>
      </c>
      <c r="Q130" s="3">
        <v>55.201000000000001</v>
      </c>
      <c r="R130" s="3">
        <v>58.82</v>
      </c>
    </row>
    <row r="131" spans="1:24" x14ac:dyDescent="0.2">
      <c r="A131" s="3"/>
      <c r="B131" s="23">
        <v>4.5166666666666666</v>
      </c>
      <c r="C131" s="3">
        <v>49.697000000000003</v>
      </c>
      <c r="D131" s="3">
        <v>54.69</v>
      </c>
      <c r="E131" s="3">
        <v>58.238999999999997</v>
      </c>
      <c r="F131" s="3">
        <v>51.319000000000003</v>
      </c>
      <c r="G131" s="3">
        <v>55.247</v>
      </c>
      <c r="H131" s="17">
        <v>58.329000000000001</v>
      </c>
      <c r="I131" s="17">
        <v>67.576999999999998</v>
      </c>
      <c r="J131" s="3">
        <v>69.245000000000005</v>
      </c>
      <c r="K131" s="3">
        <v>52.296999999999997</v>
      </c>
      <c r="L131" s="3">
        <v>68.052000000000007</v>
      </c>
      <c r="M131" s="3">
        <v>57.698</v>
      </c>
      <c r="N131" s="3">
        <v>65.501000000000005</v>
      </c>
      <c r="O131" s="3">
        <v>74.323999999999998</v>
      </c>
      <c r="P131" s="3">
        <v>55.421999999999997</v>
      </c>
      <c r="Q131" s="3">
        <v>55.305</v>
      </c>
      <c r="R131" s="3">
        <v>58.811</v>
      </c>
      <c r="X131" s="24"/>
    </row>
    <row r="132" spans="1:24" x14ac:dyDescent="0.2">
      <c r="A132" s="3"/>
      <c r="B132" s="23">
        <v>4.5333333333333332</v>
      </c>
      <c r="C132" s="3">
        <v>49.540999999999997</v>
      </c>
      <c r="D132" s="3">
        <v>54.512</v>
      </c>
      <c r="E132" s="3">
        <v>57.987000000000002</v>
      </c>
      <c r="F132" s="3">
        <v>51.237000000000002</v>
      </c>
      <c r="G132" s="3">
        <v>55.140999999999998</v>
      </c>
      <c r="H132" s="17">
        <v>58.215000000000003</v>
      </c>
      <c r="I132" s="17">
        <v>67.454999999999998</v>
      </c>
      <c r="J132" s="3">
        <v>69.106999999999999</v>
      </c>
      <c r="K132" s="3">
        <v>52.17</v>
      </c>
      <c r="L132" s="3">
        <v>67.941000000000003</v>
      </c>
      <c r="M132" s="3">
        <v>57.591000000000001</v>
      </c>
      <c r="N132" s="3">
        <v>65.524000000000001</v>
      </c>
      <c r="O132" s="3">
        <v>74.343000000000004</v>
      </c>
      <c r="P132" s="3">
        <v>55.366999999999997</v>
      </c>
      <c r="Q132" s="3">
        <v>55.231999999999999</v>
      </c>
      <c r="R132" s="3">
        <v>58.706000000000003</v>
      </c>
    </row>
    <row r="133" spans="1:24" x14ac:dyDescent="0.2">
      <c r="A133" s="3"/>
      <c r="B133" s="23">
        <v>4.55</v>
      </c>
      <c r="C133" s="3">
        <v>49.417000000000002</v>
      </c>
      <c r="D133" s="3">
        <v>54.456000000000003</v>
      </c>
      <c r="E133" s="3">
        <v>57.993000000000002</v>
      </c>
      <c r="F133" s="3">
        <v>51.113</v>
      </c>
      <c r="G133" s="3">
        <v>55.103000000000002</v>
      </c>
      <c r="H133" s="17">
        <v>58.192</v>
      </c>
      <c r="I133" s="17">
        <v>67.412999999999997</v>
      </c>
      <c r="J133" s="3">
        <v>69.064999999999998</v>
      </c>
      <c r="K133" s="3">
        <v>51.957999999999998</v>
      </c>
      <c r="L133" s="3">
        <v>67.850999999999999</v>
      </c>
      <c r="M133" s="3">
        <v>57.491</v>
      </c>
      <c r="N133" s="3">
        <v>65.52</v>
      </c>
      <c r="O133" s="3">
        <v>74.27</v>
      </c>
      <c r="P133" s="3">
        <v>55.304000000000002</v>
      </c>
      <c r="Q133" s="3">
        <v>55.106999999999999</v>
      </c>
      <c r="R133" s="3">
        <v>58.624000000000002</v>
      </c>
      <c r="X133" s="24"/>
    </row>
    <row r="134" spans="1:24" x14ac:dyDescent="0.2">
      <c r="A134" s="3"/>
      <c r="B134" s="23">
        <v>4.5666666666666664</v>
      </c>
      <c r="C134" s="3">
        <v>49.179000000000002</v>
      </c>
      <c r="D134" s="3">
        <v>54.334000000000003</v>
      </c>
      <c r="E134" s="3">
        <v>57.771000000000001</v>
      </c>
      <c r="F134" s="3">
        <v>51.051000000000002</v>
      </c>
      <c r="G134" s="3">
        <v>54.981000000000002</v>
      </c>
      <c r="H134" s="17">
        <v>57.902999999999999</v>
      </c>
      <c r="I134" s="17">
        <v>67.316999999999993</v>
      </c>
      <c r="J134" s="3">
        <v>68.805999999999997</v>
      </c>
      <c r="K134" s="3">
        <v>51.646999999999998</v>
      </c>
      <c r="L134" s="3">
        <v>67.754000000000005</v>
      </c>
      <c r="M134" s="3">
        <v>57.384</v>
      </c>
      <c r="N134" s="3">
        <v>65.522999999999996</v>
      </c>
      <c r="O134" s="3">
        <v>74.33</v>
      </c>
      <c r="P134" s="3">
        <v>54.656999999999996</v>
      </c>
      <c r="Q134" s="3">
        <v>55.061</v>
      </c>
      <c r="R134" s="3">
        <v>58.267000000000003</v>
      </c>
    </row>
    <row r="135" spans="1:24" x14ac:dyDescent="0.2">
      <c r="A135" s="3"/>
      <c r="B135" s="23">
        <v>4.583333333333333</v>
      </c>
      <c r="C135" s="3">
        <v>49.014000000000003</v>
      </c>
      <c r="D135" s="3">
        <v>54.247</v>
      </c>
      <c r="E135" s="3">
        <v>57.75</v>
      </c>
      <c r="F135" s="3">
        <v>50.942</v>
      </c>
      <c r="G135" s="3">
        <v>54.841999999999999</v>
      </c>
      <c r="H135" s="17">
        <v>57.875999999999998</v>
      </c>
      <c r="I135" s="17">
        <v>67.23</v>
      </c>
      <c r="J135" s="3">
        <v>68.66</v>
      </c>
      <c r="K135" s="3">
        <v>51.618000000000002</v>
      </c>
      <c r="L135" s="3">
        <v>67.688999999999993</v>
      </c>
      <c r="M135" s="3">
        <v>57.273000000000003</v>
      </c>
      <c r="N135" s="3">
        <v>65.516000000000005</v>
      </c>
      <c r="O135" s="3">
        <v>74.200999999999993</v>
      </c>
      <c r="P135" s="3">
        <v>54.988</v>
      </c>
      <c r="Q135" s="3">
        <v>54.807000000000002</v>
      </c>
      <c r="R135" s="3">
        <v>58.411999999999999</v>
      </c>
      <c r="X135" s="24"/>
    </row>
    <row r="136" spans="1:24" x14ac:dyDescent="0.2">
      <c r="A136" s="3"/>
      <c r="B136" s="23">
        <v>4.5999999999999996</v>
      </c>
      <c r="C136" s="3">
        <v>48.723999999999997</v>
      </c>
      <c r="D136" s="3">
        <v>53.951000000000001</v>
      </c>
      <c r="E136" s="3">
        <v>57.716000000000001</v>
      </c>
      <c r="F136" s="3">
        <v>50.73</v>
      </c>
      <c r="G136" s="3">
        <v>54.787999999999997</v>
      </c>
      <c r="H136" s="17">
        <v>57.831000000000003</v>
      </c>
      <c r="I136" s="17">
        <v>67.072999999999993</v>
      </c>
      <c r="J136" s="3">
        <v>68.581000000000003</v>
      </c>
      <c r="K136" s="3">
        <v>51.497</v>
      </c>
      <c r="L136" s="3">
        <v>67.596999999999994</v>
      </c>
      <c r="M136" s="3">
        <v>57.118000000000002</v>
      </c>
      <c r="N136" s="3">
        <v>65.430999999999997</v>
      </c>
      <c r="O136" s="3">
        <v>74.131</v>
      </c>
      <c r="P136" s="3">
        <v>54.798000000000002</v>
      </c>
      <c r="Q136" s="3">
        <v>54.628999999999998</v>
      </c>
      <c r="R136" s="3">
        <v>58.383000000000003</v>
      </c>
    </row>
    <row r="137" spans="1:24" x14ac:dyDescent="0.2">
      <c r="A137" s="3"/>
      <c r="B137" s="23">
        <v>4.6166666666666663</v>
      </c>
      <c r="C137" s="3">
        <v>48.584000000000003</v>
      </c>
      <c r="D137" s="3">
        <v>53.975999999999999</v>
      </c>
      <c r="E137" s="3">
        <v>57.646999999999998</v>
      </c>
      <c r="F137" s="3">
        <v>50.548999999999999</v>
      </c>
      <c r="G137" s="3">
        <v>54.683999999999997</v>
      </c>
      <c r="H137" s="17">
        <v>57.725999999999999</v>
      </c>
      <c r="I137" s="17">
        <v>67.034999999999997</v>
      </c>
      <c r="J137" s="3">
        <v>68.522999999999996</v>
      </c>
      <c r="K137" s="3">
        <v>51.399000000000001</v>
      </c>
      <c r="L137" s="3">
        <v>67.567999999999998</v>
      </c>
      <c r="M137" s="3">
        <v>57.057000000000002</v>
      </c>
      <c r="N137" s="3">
        <v>65.361999999999995</v>
      </c>
      <c r="O137" s="3">
        <v>74.114999999999995</v>
      </c>
      <c r="P137" s="3">
        <v>54.728999999999999</v>
      </c>
      <c r="Q137" s="3">
        <v>54.731000000000002</v>
      </c>
      <c r="R137" s="3">
        <v>57.994999999999997</v>
      </c>
      <c r="X137" s="24"/>
    </row>
    <row r="138" spans="1:24" x14ac:dyDescent="0.2">
      <c r="A138" s="3"/>
      <c r="B138" s="23">
        <v>4.6333333333333337</v>
      </c>
      <c r="C138" s="3">
        <v>48.198999999999998</v>
      </c>
      <c r="D138" s="3">
        <v>53.843000000000004</v>
      </c>
      <c r="E138" s="3">
        <v>57.39</v>
      </c>
      <c r="F138" s="3">
        <v>50.276000000000003</v>
      </c>
      <c r="G138" s="3">
        <v>54.493000000000002</v>
      </c>
      <c r="H138" s="17">
        <v>57.631999999999998</v>
      </c>
      <c r="I138" s="17">
        <v>66.950999999999993</v>
      </c>
      <c r="J138" s="3">
        <v>68.427000000000007</v>
      </c>
      <c r="K138" s="3">
        <v>51.222000000000001</v>
      </c>
      <c r="L138" s="3">
        <v>67.477000000000004</v>
      </c>
      <c r="M138" s="3">
        <v>56.905999999999999</v>
      </c>
      <c r="N138" s="3">
        <v>65.078999999999994</v>
      </c>
      <c r="O138" s="3">
        <v>74.072999999999993</v>
      </c>
      <c r="P138" s="3">
        <v>54.722000000000001</v>
      </c>
      <c r="Q138" s="3">
        <v>54.661000000000001</v>
      </c>
      <c r="R138" s="3">
        <v>58.262</v>
      </c>
    </row>
    <row r="139" spans="1:24" x14ac:dyDescent="0.2">
      <c r="A139" s="3"/>
      <c r="B139" s="23">
        <v>4.6500000000000004</v>
      </c>
      <c r="C139" s="3">
        <v>48.222999999999999</v>
      </c>
      <c r="D139" s="3">
        <v>53.697000000000003</v>
      </c>
      <c r="E139" s="3">
        <v>57.258000000000003</v>
      </c>
      <c r="F139" s="3">
        <v>50.17</v>
      </c>
      <c r="G139" s="3">
        <v>54.415999999999997</v>
      </c>
      <c r="H139" s="17">
        <v>57.585999999999999</v>
      </c>
      <c r="I139" s="17">
        <v>66.840999999999994</v>
      </c>
      <c r="J139" s="3">
        <v>68.388999999999996</v>
      </c>
      <c r="K139" s="3">
        <v>51.091000000000001</v>
      </c>
      <c r="L139" s="3">
        <v>67.385999999999996</v>
      </c>
      <c r="M139" s="3">
        <v>56.847000000000001</v>
      </c>
      <c r="N139" s="3">
        <v>65.179000000000002</v>
      </c>
      <c r="O139" s="3">
        <v>73.977999999999994</v>
      </c>
      <c r="P139" s="3">
        <v>54.631</v>
      </c>
      <c r="Q139" s="3">
        <v>54.438000000000002</v>
      </c>
      <c r="R139" s="3">
        <v>58.152999999999999</v>
      </c>
      <c r="X139" s="24"/>
    </row>
    <row r="140" spans="1:24" x14ac:dyDescent="0.2">
      <c r="A140" s="3"/>
      <c r="B140" s="23">
        <v>4.666666666666667</v>
      </c>
      <c r="C140" s="3">
        <v>47.970999999999997</v>
      </c>
      <c r="D140" s="3">
        <v>53.497</v>
      </c>
      <c r="E140" s="3">
        <v>57.176000000000002</v>
      </c>
      <c r="F140" s="3">
        <v>49.959000000000003</v>
      </c>
      <c r="G140" s="3">
        <v>54.305</v>
      </c>
      <c r="H140" s="17">
        <v>57.494999999999997</v>
      </c>
      <c r="I140" s="17">
        <v>66.534999999999997</v>
      </c>
      <c r="J140" s="3">
        <v>68.272000000000006</v>
      </c>
      <c r="K140" s="3">
        <v>50.835000000000001</v>
      </c>
      <c r="L140" s="3">
        <v>67.313999999999993</v>
      </c>
      <c r="M140" s="3">
        <v>56.71</v>
      </c>
      <c r="N140" s="3">
        <v>65.070999999999998</v>
      </c>
      <c r="O140" s="3">
        <v>74.063999999999993</v>
      </c>
      <c r="P140" s="3">
        <v>54.584000000000003</v>
      </c>
      <c r="Q140" s="3">
        <v>54.360999999999997</v>
      </c>
      <c r="R140" s="3">
        <v>58.051000000000002</v>
      </c>
    </row>
    <row r="141" spans="1:24" x14ac:dyDescent="0.2">
      <c r="A141" s="3"/>
      <c r="B141" s="23">
        <v>4.6833333333333336</v>
      </c>
      <c r="C141" s="3">
        <v>47.945</v>
      </c>
      <c r="D141" s="3">
        <v>53.389000000000003</v>
      </c>
      <c r="E141" s="3">
        <v>57.15</v>
      </c>
      <c r="F141" s="3">
        <v>49.877000000000002</v>
      </c>
      <c r="G141" s="3">
        <v>54.22</v>
      </c>
      <c r="H141" s="17">
        <v>57.43</v>
      </c>
      <c r="I141" s="17">
        <v>66.525999999999996</v>
      </c>
      <c r="J141" s="3">
        <v>68.227999999999994</v>
      </c>
      <c r="K141" s="3">
        <v>50.646000000000001</v>
      </c>
      <c r="L141" s="3">
        <v>67.268000000000001</v>
      </c>
      <c r="M141" s="3">
        <v>56.661999999999999</v>
      </c>
      <c r="N141" s="3">
        <v>64.963999999999999</v>
      </c>
      <c r="O141" s="3">
        <v>73.941999999999993</v>
      </c>
      <c r="P141" s="3">
        <v>54.524999999999999</v>
      </c>
      <c r="Q141" s="3">
        <v>54.317</v>
      </c>
      <c r="R141" s="3">
        <v>57.981999999999999</v>
      </c>
      <c r="X141" s="24"/>
    </row>
    <row r="142" spans="1:24" x14ac:dyDescent="0.2">
      <c r="A142" s="3"/>
      <c r="B142" s="23">
        <v>4.7</v>
      </c>
      <c r="C142" s="3">
        <v>47.713999999999999</v>
      </c>
      <c r="D142" s="3">
        <v>53.344999999999999</v>
      </c>
      <c r="E142" s="3">
        <v>56.994</v>
      </c>
      <c r="F142" s="3">
        <v>49.895000000000003</v>
      </c>
      <c r="G142" s="3">
        <v>54.070999999999998</v>
      </c>
      <c r="H142" s="17">
        <v>57.177</v>
      </c>
      <c r="I142" s="17">
        <v>66.498999999999995</v>
      </c>
      <c r="J142" s="3">
        <v>68.183999999999997</v>
      </c>
      <c r="K142" s="3">
        <v>50.366999999999997</v>
      </c>
      <c r="L142" s="3">
        <v>67.135999999999996</v>
      </c>
      <c r="M142" s="3">
        <v>56.598999999999997</v>
      </c>
      <c r="N142" s="3">
        <v>64.84</v>
      </c>
      <c r="O142" s="3">
        <v>73.856999999999999</v>
      </c>
      <c r="P142" s="3">
        <v>54.414999999999999</v>
      </c>
      <c r="Q142" s="3">
        <v>54.289000000000001</v>
      </c>
      <c r="R142" s="3">
        <v>57.901000000000003</v>
      </c>
    </row>
    <row r="143" spans="1:24" x14ac:dyDescent="0.2">
      <c r="A143" s="3"/>
      <c r="B143" s="23">
        <v>4.7166666666666668</v>
      </c>
      <c r="C143" s="3">
        <v>47.533000000000001</v>
      </c>
      <c r="D143" s="3">
        <v>53.301000000000002</v>
      </c>
      <c r="E143" s="3">
        <v>56.915999999999997</v>
      </c>
      <c r="F143" s="3">
        <v>49.658999999999999</v>
      </c>
      <c r="G143" s="3">
        <v>53.862000000000002</v>
      </c>
      <c r="H143" s="17">
        <v>57.048999999999999</v>
      </c>
      <c r="I143" s="17">
        <v>66.370999999999995</v>
      </c>
      <c r="J143" s="3">
        <v>68.091999999999999</v>
      </c>
      <c r="K143" s="3">
        <v>50.07</v>
      </c>
      <c r="L143" s="3">
        <v>67.061000000000007</v>
      </c>
      <c r="M143" s="3">
        <v>56.515999999999998</v>
      </c>
      <c r="N143" s="3">
        <v>64.926000000000002</v>
      </c>
      <c r="O143" s="3">
        <v>73.947000000000003</v>
      </c>
      <c r="P143" s="3">
        <v>54.305999999999997</v>
      </c>
      <c r="Q143" s="3">
        <v>54.173999999999999</v>
      </c>
      <c r="R143" s="3">
        <v>57.767000000000003</v>
      </c>
      <c r="X143" s="24"/>
    </row>
    <row r="144" spans="1:24" x14ac:dyDescent="0.2">
      <c r="A144" s="3"/>
      <c r="B144" s="23">
        <v>4.7333333333333334</v>
      </c>
      <c r="C144" s="3">
        <v>47.293999999999997</v>
      </c>
      <c r="D144" s="3">
        <v>53.15</v>
      </c>
      <c r="E144" s="3">
        <v>56.765000000000001</v>
      </c>
      <c r="F144" s="3">
        <v>49.524999999999999</v>
      </c>
      <c r="G144" s="3">
        <v>53.762999999999998</v>
      </c>
      <c r="H144" s="17">
        <v>57.012</v>
      </c>
      <c r="I144" s="17">
        <v>66.221999999999994</v>
      </c>
      <c r="J144" s="3">
        <v>68.072999999999993</v>
      </c>
      <c r="K144" s="3">
        <v>49.966999999999999</v>
      </c>
      <c r="L144" s="3">
        <v>66.908000000000001</v>
      </c>
      <c r="M144" s="3">
        <v>56.276000000000003</v>
      </c>
      <c r="N144" s="3">
        <v>64.671000000000006</v>
      </c>
      <c r="O144" s="3">
        <v>73.885000000000005</v>
      </c>
      <c r="P144" s="3">
        <v>54.308</v>
      </c>
      <c r="Q144" s="3">
        <v>54.201000000000001</v>
      </c>
      <c r="R144" s="3">
        <v>57.643000000000001</v>
      </c>
    </row>
    <row r="145" spans="1:24" x14ac:dyDescent="0.2">
      <c r="A145" s="3"/>
      <c r="B145" s="23">
        <v>4.75</v>
      </c>
      <c r="C145" s="3">
        <v>47.216000000000001</v>
      </c>
      <c r="D145" s="3">
        <v>53.036000000000001</v>
      </c>
      <c r="E145" s="3">
        <v>56.701000000000001</v>
      </c>
      <c r="F145" s="3">
        <v>49.561</v>
      </c>
      <c r="G145" s="3">
        <v>53.567</v>
      </c>
      <c r="H145" s="17">
        <v>56.893999999999998</v>
      </c>
      <c r="I145" s="17">
        <v>66.153000000000006</v>
      </c>
      <c r="J145" s="3">
        <v>67.971999999999994</v>
      </c>
      <c r="K145" s="3">
        <v>49.813000000000002</v>
      </c>
      <c r="L145" s="3">
        <v>66.569999999999993</v>
      </c>
      <c r="M145" s="3">
        <v>56.276000000000003</v>
      </c>
      <c r="N145" s="3">
        <v>64.108000000000004</v>
      </c>
      <c r="O145" s="3">
        <v>73.935000000000002</v>
      </c>
      <c r="P145" s="3">
        <v>54.195</v>
      </c>
      <c r="Q145" s="3">
        <v>53.915999999999997</v>
      </c>
      <c r="R145" s="3">
        <v>57.058999999999997</v>
      </c>
      <c r="X145" s="24"/>
    </row>
    <row r="146" spans="1:24" x14ac:dyDescent="0.2">
      <c r="A146" s="3"/>
      <c r="B146" s="23">
        <v>4.7666666666666666</v>
      </c>
      <c r="C146" s="3">
        <v>47.01</v>
      </c>
      <c r="D146" s="3">
        <v>53.003999999999998</v>
      </c>
      <c r="E146" s="3">
        <v>56.555999999999997</v>
      </c>
      <c r="F146" s="3">
        <v>49.195</v>
      </c>
      <c r="G146" s="3">
        <v>53.424999999999997</v>
      </c>
      <c r="H146" s="17">
        <v>56.826000000000001</v>
      </c>
      <c r="I146" s="17">
        <v>66.058999999999997</v>
      </c>
      <c r="J146" s="3">
        <v>67.894000000000005</v>
      </c>
      <c r="K146" s="3">
        <v>49.643000000000001</v>
      </c>
      <c r="L146" s="3">
        <v>66.549000000000007</v>
      </c>
      <c r="M146" s="3">
        <v>56.174999999999997</v>
      </c>
      <c r="N146" s="3">
        <v>64.394999999999996</v>
      </c>
      <c r="O146" s="3">
        <v>73.796999999999997</v>
      </c>
      <c r="P146" s="3">
        <v>54.158999999999999</v>
      </c>
      <c r="Q146" s="3">
        <v>53.936999999999998</v>
      </c>
      <c r="R146" s="3">
        <v>57.265000000000001</v>
      </c>
    </row>
    <row r="147" spans="1:24" x14ac:dyDescent="0.2">
      <c r="A147" s="3"/>
      <c r="B147" s="23">
        <v>4.7833333333333332</v>
      </c>
      <c r="C147" s="3">
        <v>46.677999999999997</v>
      </c>
      <c r="D147" s="3">
        <v>52.951999999999998</v>
      </c>
      <c r="E147" s="3">
        <v>56.515999999999998</v>
      </c>
      <c r="F147" s="3">
        <v>49.255000000000003</v>
      </c>
      <c r="G147" s="3">
        <v>53.389000000000003</v>
      </c>
      <c r="H147" s="17">
        <v>56.732999999999997</v>
      </c>
      <c r="I147" s="17">
        <v>65.989999999999995</v>
      </c>
      <c r="J147" s="3">
        <v>67.891000000000005</v>
      </c>
      <c r="K147" s="3">
        <v>49.448</v>
      </c>
      <c r="L147" s="3">
        <v>66.296999999999997</v>
      </c>
      <c r="M147" s="3">
        <v>56.018999999999998</v>
      </c>
      <c r="N147" s="3">
        <v>64.299000000000007</v>
      </c>
      <c r="O147" s="3">
        <v>73.706000000000003</v>
      </c>
      <c r="P147" s="3">
        <v>53.732999999999997</v>
      </c>
      <c r="Q147" s="3">
        <v>53.823999999999998</v>
      </c>
      <c r="R147" s="3">
        <v>57.298999999999999</v>
      </c>
      <c r="X147" s="24"/>
    </row>
    <row r="148" spans="1:24" x14ac:dyDescent="0.2">
      <c r="A148" s="3"/>
      <c r="B148" s="23">
        <v>4.8</v>
      </c>
      <c r="C148" s="3">
        <v>46.536000000000001</v>
      </c>
      <c r="D148" s="3">
        <v>52.953000000000003</v>
      </c>
      <c r="E148" s="3">
        <v>56.292000000000002</v>
      </c>
      <c r="F148" s="3">
        <v>49.017000000000003</v>
      </c>
      <c r="G148" s="3">
        <v>53.188000000000002</v>
      </c>
      <c r="H148" s="17">
        <v>56.634</v>
      </c>
      <c r="I148" s="17">
        <v>65.896000000000001</v>
      </c>
      <c r="J148" s="3">
        <v>67.805999999999997</v>
      </c>
      <c r="K148" s="3">
        <v>49.351999999999997</v>
      </c>
      <c r="L148" s="3">
        <v>66.188000000000002</v>
      </c>
      <c r="M148" s="3">
        <v>56.012</v>
      </c>
      <c r="N148" s="3">
        <v>64.244</v>
      </c>
      <c r="O148" s="3">
        <v>73.653999999999996</v>
      </c>
      <c r="P148" s="3">
        <v>53.576000000000001</v>
      </c>
      <c r="Q148" s="3">
        <v>53.774000000000001</v>
      </c>
      <c r="R148" s="3">
        <v>57.356000000000002</v>
      </c>
    </row>
    <row r="149" spans="1:24" x14ac:dyDescent="0.2">
      <c r="A149" s="3"/>
      <c r="B149" s="23">
        <v>4.8166666666666664</v>
      </c>
      <c r="C149" s="3">
        <v>46.393999999999998</v>
      </c>
      <c r="D149" s="3">
        <v>52.841999999999999</v>
      </c>
      <c r="E149" s="3">
        <v>56.43</v>
      </c>
      <c r="F149" s="3">
        <v>48.877000000000002</v>
      </c>
      <c r="G149" s="3">
        <v>52.941000000000003</v>
      </c>
      <c r="H149" s="17">
        <v>56.619</v>
      </c>
      <c r="I149" s="17">
        <v>65.831999999999994</v>
      </c>
      <c r="J149" s="3">
        <v>67.718999999999994</v>
      </c>
      <c r="K149" s="3">
        <v>49.116</v>
      </c>
      <c r="L149" s="3">
        <v>66.097999999999999</v>
      </c>
      <c r="M149" s="3">
        <v>55.912999999999997</v>
      </c>
      <c r="N149" s="3">
        <v>64.096000000000004</v>
      </c>
      <c r="O149" s="3">
        <v>73.724999999999994</v>
      </c>
      <c r="P149" s="3">
        <v>53.271000000000001</v>
      </c>
      <c r="Q149" s="3">
        <v>53.667000000000002</v>
      </c>
      <c r="R149" s="3">
        <v>57.259</v>
      </c>
      <c r="X149" s="24"/>
    </row>
    <row r="150" spans="1:24" x14ac:dyDescent="0.2">
      <c r="A150" s="3"/>
      <c r="B150" s="23">
        <v>4.833333333333333</v>
      </c>
      <c r="C150" s="3">
        <v>46.326999999999998</v>
      </c>
      <c r="D150" s="3">
        <v>52.859000000000002</v>
      </c>
      <c r="E150" s="3">
        <v>56.314</v>
      </c>
      <c r="F150" s="3">
        <v>48.816000000000003</v>
      </c>
      <c r="G150" s="3">
        <v>52.847000000000001</v>
      </c>
      <c r="H150" s="17">
        <v>56.51</v>
      </c>
      <c r="I150" s="17">
        <v>65.716999999999999</v>
      </c>
      <c r="J150" s="3">
        <v>67.673000000000002</v>
      </c>
      <c r="K150" s="3">
        <v>48.738999999999997</v>
      </c>
      <c r="L150" s="3">
        <v>65.974999999999994</v>
      </c>
      <c r="M150" s="3">
        <v>55.677</v>
      </c>
      <c r="N150" s="3">
        <v>64.097999999999999</v>
      </c>
      <c r="O150" s="3">
        <v>73.644000000000005</v>
      </c>
      <c r="P150" s="3">
        <v>53.36</v>
      </c>
      <c r="Q150" s="3">
        <v>53.595999999999997</v>
      </c>
      <c r="R150" s="3">
        <v>56.755000000000003</v>
      </c>
    </row>
    <row r="151" spans="1:24" x14ac:dyDescent="0.2">
      <c r="A151" s="3"/>
      <c r="B151" s="23">
        <v>4.8499999999999996</v>
      </c>
      <c r="C151" s="3">
        <v>46.091000000000001</v>
      </c>
      <c r="D151" s="3">
        <v>52.88</v>
      </c>
      <c r="E151" s="3">
        <v>56.127000000000002</v>
      </c>
      <c r="F151" s="3">
        <v>48.750999999999998</v>
      </c>
      <c r="G151" s="3">
        <v>52.738</v>
      </c>
      <c r="H151" s="17">
        <v>56.363999999999997</v>
      </c>
      <c r="I151" s="17">
        <v>65.569999999999993</v>
      </c>
      <c r="J151" s="3">
        <v>67.578000000000003</v>
      </c>
      <c r="K151" s="3">
        <v>48.698999999999998</v>
      </c>
      <c r="L151" s="3">
        <v>65.878</v>
      </c>
      <c r="M151" s="3">
        <v>55.744</v>
      </c>
      <c r="N151" s="3">
        <v>63.997999999999998</v>
      </c>
      <c r="O151" s="3">
        <v>73.602000000000004</v>
      </c>
      <c r="P151" s="3">
        <v>53.384999999999998</v>
      </c>
      <c r="Q151" s="3">
        <v>53.491</v>
      </c>
      <c r="R151" s="3">
        <v>56.805999999999997</v>
      </c>
      <c r="X151" s="24"/>
    </row>
    <row r="152" spans="1:24" x14ac:dyDescent="0.2">
      <c r="A152" s="3"/>
      <c r="B152" s="23">
        <v>4.8666666666666663</v>
      </c>
      <c r="C152" s="3">
        <v>45.99</v>
      </c>
      <c r="D152" s="3">
        <v>52.802</v>
      </c>
      <c r="E152" s="3">
        <v>56.113999999999997</v>
      </c>
      <c r="F152" s="3">
        <v>48.773000000000003</v>
      </c>
      <c r="G152" s="3">
        <v>52.506</v>
      </c>
      <c r="H152" s="17">
        <v>56.26</v>
      </c>
      <c r="I152" s="17">
        <v>65.427000000000007</v>
      </c>
      <c r="J152" s="3">
        <v>67.334000000000003</v>
      </c>
      <c r="K152" s="3">
        <v>48.548000000000002</v>
      </c>
      <c r="L152" s="3">
        <v>65.763999999999996</v>
      </c>
      <c r="M152" s="3">
        <v>55.588000000000001</v>
      </c>
      <c r="N152" s="3">
        <v>63.953000000000003</v>
      </c>
      <c r="O152" s="3">
        <v>73.549000000000007</v>
      </c>
      <c r="P152" s="3">
        <v>53.274000000000001</v>
      </c>
      <c r="Q152" s="3">
        <v>53.448</v>
      </c>
      <c r="R152" s="3">
        <v>55.845999999999997</v>
      </c>
    </row>
    <row r="153" spans="1:24" x14ac:dyDescent="0.2">
      <c r="A153" s="3"/>
      <c r="B153" s="23">
        <v>4.8833333333333337</v>
      </c>
      <c r="C153" s="3">
        <v>45.792999999999999</v>
      </c>
      <c r="D153" s="3">
        <v>52.506</v>
      </c>
      <c r="E153" s="3">
        <v>56.069000000000003</v>
      </c>
      <c r="F153" s="3">
        <v>48.451000000000001</v>
      </c>
      <c r="G153" s="3">
        <v>52.398000000000003</v>
      </c>
      <c r="H153" s="17">
        <v>56.164000000000001</v>
      </c>
      <c r="I153" s="17">
        <v>65.382000000000005</v>
      </c>
      <c r="J153" s="3">
        <v>67.149000000000001</v>
      </c>
      <c r="K153" s="3">
        <v>48.420999999999999</v>
      </c>
      <c r="L153" s="3">
        <v>65.671999999999997</v>
      </c>
      <c r="M153" s="3">
        <v>55.478000000000002</v>
      </c>
      <c r="N153" s="3">
        <v>63.817</v>
      </c>
      <c r="O153" s="3">
        <v>73.486999999999995</v>
      </c>
      <c r="P153" s="3">
        <v>53.104999999999997</v>
      </c>
      <c r="Q153" s="3">
        <v>53.176000000000002</v>
      </c>
      <c r="R153" s="3">
        <v>56.405000000000001</v>
      </c>
      <c r="X153" s="24"/>
    </row>
    <row r="154" spans="1:24" x14ac:dyDescent="0.2">
      <c r="A154" s="3"/>
      <c r="B154" s="23">
        <v>4.9000000000000004</v>
      </c>
      <c r="C154" s="3">
        <v>45.604999999999997</v>
      </c>
      <c r="D154" s="3">
        <v>52.62</v>
      </c>
      <c r="E154" s="3">
        <v>55.86</v>
      </c>
      <c r="F154" s="3">
        <v>48.524999999999999</v>
      </c>
      <c r="G154" s="3">
        <v>52.276000000000003</v>
      </c>
      <c r="H154" s="17">
        <v>56.057000000000002</v>
      </c>
      <c r="I154" s="17">
        <v>65.215999999999994</v>
      </c>
      <c r="J154" s="3">
        <v>67.034000000000006</v>
      </c>
      <c r="K154" s="3">
        <v>48.301000000000002</v>
      </c>
      <c r="L154" s="3">
        <v>65.596000000000004</v>
      </c>
      <c r="M154" s="3">
        <v>55.36</v>
      </c>
      <c r="N154" s="3">
        <v>63.73</v>
      </c>
      <c r="O154" s="3">
        <v>73.453000000000003</v>
      </c>
      <c r="P154" s="3">
        <v>53.139000000000003</v>
      </c>
      <c r="Q154" s="3">
        <v>53.225999999999999</v>
      </c>
      <c r="R154" s="3">
        <v>56.429000000000002</v>
      </c>
    </row>
    <row r="155" spans="1:24" x14ac:dyDescent="0.2">
      <c r="A155" s="3"/>
      <c r="B155" s="23">
        <v>4.916666666666667</v>
      </c>
      <c r="C155" s="3">
        <v>45.527999999999999</v>
      </c>
      <c r="D155" s="3">
        <v>52.738999999999997</v>
      </c>
      <c r="E155" s="3">
        <v>55.790999999999997</v>
      </c>
      <c r="F155" s="3">
        <v>48.487000000000002</v>
      </c>
      <c r="G155" s="3">
        <v>52.142000000000003</v>
      </c>
      <c r="H155" s="17">
        <v>55.801000000000002</v>
      </c>
      <c r="I155" s="17">
        <v>65.102000000000004</v>
      </c>
      <c r="J155" s="3">
        <v>66.843000000000004</v>
      </c>
      <c r="K155" s="3">
        <v>48.151000000000003</v>
      </c>
      <c r="L155" s="3">
        <v>65.518000000000001</v>
      </c>
      <c r="M155" s="3">
        <v>55.338000000000001</v>
      </c>
      <c r="N155" s="3">
        <v>63.62</v>
      </c>
      <c r="O155" s="3">
        <v>73.474999999999994</v>
      </c>
      <c r="P155" s="3">
        <v>52.777999999999999</v>
      </c>
      <c r="Q155" s="3">
        <v>53.052999999999997</v>
      </c>
      <c r="R155" s="3">
        <v>56.44</v>
      </c>
      <c r="X155" s="24"/>
    </row>
    <row r="156" spans="1:24" x14ac:dyDescent="0.2">
      <c r="A156" s="3"/>
      <c r="B156" s="23">
        <v>4.9333333333333336</v>
      </c>
      <c r="C156" s="3">
        <v>45.384</v>
      </c>
      <c r="D156" s="3">
        <v>52.42</v>
      </c>
      <c r="E156" s="3">
        <v>55.683</v>
      </c>
      <c r="F156" s="3">
        <v>48.462000000000003</v>
      </c>
      <c r="G156" s="3">
        <v>52.018999999999998</v>
      </c>
      <c r="H156" s="17">
        <v>55.576000000000001</v>
      </c>
      <c r="I156" s="17">
        <v>65.027000000000001</v>
      </c>
      <c r="J156" s="3">
        <v>66.778999999999996</v>
      </c>
      <c r="K156" s="3">
        <v>47.886000000000003</v>
      </c>
      <c r="L156" s="3">
        <v>65.427000000000007</v>
      </c>
      <c r="M156" s="3">
        <v>55.262</v>
      </c>
      <c r="N156" s="3">
        <v>63.62</v>
      </c>
      <c r="O156" s="3">
        <v>73.503</v>
      </c>
      <c r="P156" s="3">
        <v>52.773000000000003</v>
      </c>
      <c r="Q156" s="3">
        <v>53.01</v>
      </c>
      <c r="R156" s="3">
        <v>56.44</v>
      </c>
    </row>
    <row r="157" spans="1:24" x14ac:dyDescent="0.2">
      <c r="A157" s="3"/>
      <c r="B157" s="23">
        <v>4.95</v>
      </c>
      <c r="C157" s="3">
        <v>45.302999999999997</v>
      </c>
      <c r="D157" s="3">
        <v>52.491</v>
      </c>
      <c r="E157" s="3">
        <v>55.591000000000001</v>
      </c>
      <c r="F157" s="3">
        <v>47.927</v>
      </c>
      <c r="G157" s="3">
        <v>51.887</v>
      </c>
      <c r="H157" s="17">
        <v>55.552999999999997</v>
      </c>
      <c r="I157" s="17">
        <v>64.858000000000004</v>
      </c>
      <c r="J157" s="3">
        <v>66.668000000000006</v>
      </c>
      <c r="K157" s="3">
        <v>47.582000000000001</v>
      </c>
      <c r="L157" s="3">
        <v>65.328000000000003</v>
      </c>
      <c r="M157" s="3">
        <v>55.247999999999998</v>
      </c>
      <c r="N157" s="3">
        <v>63.49</v>
      </c>
      <c r="O157" s="3">
        <v>73.504000000000005</v>
      </c>
      <c r="P157" s="3">
        <v>52.798999999999999</v>
      </c>
      <c r="Q157" s="3">
        <v>52.898000000000003</v>
      </c>
      <c r="R157" s="3">
        <v>56.093000000000004</v>
      </c>
      <c r="X157" s="24"/>
    </row>
    <row r="158" spans="1:24" x14ac:dyDescent="0.2">
      <c r="A158" s="3"/>
      <c r="B158" s="23">
        <v>4.9666666666666668</v>
      </c>
      <c r="C158" s="3">
        <v>45.12</v>
      </c>
      <c r="D158" s="3">
        <v>52.073</v>
      </c>
      <c r="E158" s="3">
        <v>55.707000000000001</v>
      </c>
      <c r="F158" s="3">
        <v>48.027999999999999</v>
      </c>
      <c r="G158" s="3">
        <v>51.732999999999997</v>
      </c>
      <c r="H158" s="17">
        <v>55.506</v>
      </c>
      <c r="I158" s="17">
        <v>64.762</v>
      </c>
      <c r="J158" s="3">
        <v>66.555999999999997</v>
      </c>
      <c r="K158" s="3">
        <v>47.517000000000003</v>
      </c>
      <c r="L158" s="3">
        <v>65.231999999999999</v>
      </c>
      <c r="M158" s="3">
        <v>55.128</v>
      </c>
      <c r="N158" s="3">
        <v>63.356999999999999</v>
      </c>
      <c r="O158" s="3">
        <v>73.328000000000003</v>
      </c>
      <c r="P158" s="3">
        <v>52.720999999999997</v>
      </c>
      <c r="Q158" s="3">
        <v>52.777999999999999</v>
      </c>
      <c r="R158" s="3">
        <v>55.792999999999999</v>
      </c>
    </row>
    <row r="159" spans="1:24" x14ac:dyDescent="0.2">
      <c r="A159" s="3"/>
      <c r="B159" s="23">
        <v>4.9833333333333334</v>
      </c>
      <c r="C159" s="3">
        <v>44.954000000000001</v>
      </c>
      <c r="D159" s="3">
        <v>52.195</v>
      </c>
      <c r="E159" s="3">
        <v>55.372</v>
      </c>
      <c r="F159" s="3">
        <v>48.225000000000001</v>
      </c>
      <c r="G159" s="3">
        <v>51.506</v>
      </c>
      <c r="H159" s="17">
        <v>55.485999999999997</v>
      </c>
      <c r="I159" s="17">
        <v>64.623000000000005</v>
      </c>
      <c r="J159" s="3">
        <v>66.447000000000003</v>
      </c>
      <c r="K159" s="3">
        <v>47.19</v>
      </c>
      <c r="L159" s="3">
        <v>65.111999999999995</v>
      </c>
      <c r="M159" s="3">
        <v>55.000999999999998</v>
      </c>
      <c r="N159" s="3">
        <v>63.317999999999998</v>
      </c>
      <c r="O159" s="3">
        <v>73.331000000000003</v>
      </c>
      <c r="P159" s="3">
        <v>52.642000000000003</v>
      </c>
      <c r="Q159" s="3">
        <v>52.591999999999999</v>
      </c>
      <c r="R159" s="3">
        <v>55.713000000000001</v>
      </c>
      <c r="X159" s="24"/>
    </row>
    <row r="160" spans="1:24" x14ac:dyDescent="0.2">
      <c r="A160" s="3"/>
      <c r="B160" s="23">
        <v>5</v>
      </c>
      <c r="C160" s="3">
        <v>44.773000000000003</v>
      </c>
      <c r="D160" s="3">
        <v>52.154000000000003</v>
      </c>
      <c r="E160" s="3">
        <v>55.279000000000003</v>
      </c>
      <c r="F160" s="3">
        <v>48.247999999999998</v>
      </c>
      <c r="G160" s="3">
        <v>51.186999999999998</v>
      </c>
      <c r="H160" s="17">
        <v>55.421999999999997</v>
      </c>
      <c r="I160" s="17">
        <v>64.540000000000006</v>
      </c>
      <c r="J160" s="3">
        <v>66.403999999999996</v>
      </c>
      <c r="K160" s="3">
        <v>47.048000000000002</v>
      </c>
      <c r="L160" s="3">
        <v>65.013999999999996</v>
      </c>
      <c r="M160" s="3">
        <v>54.938000000000002</v>
      </c>
      <c r="N160" s="3">
        <v>63.231999999999999</v>
      </c>
      <c r="O160" s="3">
        <v>73.298000000000002</v>
      </c>
      <c r="P160" s="3">
        <v>52.645000000000003</v>
      </c>
      <c r="Q160" s="3">
        <v>52.603000000000002</v>
      </c>
      <c r="R160" s="3">
        <v>55.607999999999997</v>
      </c>
    </row>
    <row r="161" spans="1:24" x14ac:dyDescent="0.2">
      <c r="A161" s="3"/>
      <c r="B161" s="23">
        <v>5.0166666666666666</v>
      </c>
      <c r="C161" s="3">
        <v>44.654000000000003</v>
      </c>
      <c r="D161" s="3">
        <v>51.732999999999997</v>
      </c>
      <c r="E161" s="3">
        <v>55.290999999999997</v>
      </c>
      <c r="F161" s="3">
        <v>48.109000000000002</v>
      </c>
      <c r="G161" s="3">
        <v>51.331000000000003</v>
      </c>
      <c r="H161" s="17">
        <v>55.335999999999999</v>
      </c>
      <c r="I161" s="17">
        <v>64.427999999999997</v>
      </c>
      <c r="J161" s="3">
        <v>66.376999999999995</v>
      </c>
      <c r="K161" s="3">
        <v>46.843000000000004</v>
      </c>
      <c r="L161" s="3">
        <v>64.926000000000002</v>
      </c>
      <c r="M161" s="3">
        <v>54.783999999999999</v>
      </c>
      <c r="N161" s="3">
        <v>63.146999999999998</v>
      </c>
      <c r="O161" s="3">
        <v>73.284999999999997</v>
      </c>
      <c r="P161" s="3">
        <v>52.57</v>
      </c>
      <c r="Q161" s="3">
        <v>52.497999999999998</v>
      </c>
      <c r="R161" s="3">
        <v>55.582999999999998</v>
      </c>
      <c r="X161" s="24"/>
    </row>
    <row r="162" spans="1:24" x14ac:dyDescent="0.2">
      <c r="A162" s="3"/>
      <c r="B162" s="23">
        <v>5.0333333333333332</v>
      </c>
      <c r="C162" s="3">
        <v>44.576000000000001</v>
      </c>
      <c r="D162" s="3">
        <v>51.893999999999998</v>
      </c>
      <c r="E162" s="3">
        <v>55.223999999999997</v>
      </c>
      <c r="F162" s="3">
        <v>48.113999999999997</v>
      </c>
      <c r="G162" s="3">
        <v>50.627000000000002</v>
      </c>
      <c r="H162" s="17">
        <v>55.195</v>
      </c>
      <c r="I162" s="17">
        <v>64.402000000000001</v>
      </c>
      <c r="J162" s="3">
        <v>66.266999999999996</v>
      </c>
      <c r="K162" s="3">
        <v>46.695</v>
      </c>
      <c r="L162" s="3">
        <v>64.787000000000006</v>
      </c>
      <c r="M162" s="3">
        <v>54.710999999999999</v>
      </c>
      <c r="N162" s="3">
        <v>63.127000000000002</v>
      </c>
      <c r="O162" s="3">
        <v>73.266000000000005</v>
      </c>
      <c r="P162" s="3">
        <v>52.542999999999999</v>
      </c>
      <c r="Q162" s="3">
        <v>52.454000000000001</v>
      </c>
      <c r="R162" s="3">
        <v>55.51</v>
      </c>
    </row>
    <row r="163" spans="1:24" x14ac:dyDescent="0.2">
      <c r="A163" s="3"/>
      <c r="B163" s="23">
        <v>5.05</v>
      </c>
      <c r="C163" s="3">
        <v>44.417999999999999</v>
      </c>
      <c r="D163" s="3">
        <v>51.808999999999997</v>
      </c>
      <c r="E163" s="3">
        <v>55.15</v>
      </c>
      <c r="F163" s="3">
        <v>48.015000000000001</v>
      </c>
      <c r="G163" s="3">
        <v>50.908000000000001</v>
      </c>
      <c r="H163" s="17">
        <v>55.122999999999998</v>
      </c>
      <c r="I163" s="17">
        <v>64.263999999999996</v>
      </c>
      <c r="J163" s="3">
        <v>66.185000000000002</v>
      </c>
      <c r="K163" s="3">
        <v>46.5</v>
      </c>
      <c r="L163" s="3">
        <v>64.694000000000003</v>
      </c>
      <c r="M163" s="3">
        <v>54.616</v>
      </c>
      <c r="N163" s="3">
        <v>63.082000000000001</v>
      </c>
      <c r="O163" s="3">
        <v>73.33</v>
      </c>
      <c r="P163" s="3">
        <v>52.457000000000001</v>
      </c>
      <c r="Q163" s="3">
        <v>52.167999999999999</v>
      </c>
      <c r="R163" s="3">
        <v>55.601999999999997</v>
      </c>
      <c r="X163" s="24"/>
    </row>
    <row r="164" spans="1:24" x14ac:dyDescent="0.2">
      <c r="A164" s="3"/>
      <c r="B164" s="23">
        <v>5.0666666666666664</v>
      </c>
      <c r="C164" s="3">
        <v>44.085999999999999</v>
      </c>
      <c r="D164" s="3">
        <v>51.691000000000003</v>
      </c>
      <c r="E164" s="3">
        <v>55.052</v>
      </c>
      <c r="F164" s="3">
        <v>48.012999999999998</v>
      </c>
      <c r="G164" s="3">
        <v>50.854999999999997</v>
      </c>
      <c r="H164" s="17">
        <v>55.06</v>
      </c>
      <c r="I164" s="17">
        <v>64.180000000000007</v>
      </c>
      <c r="J164" s="3">
        <v>66.161000000000001</v>
      </c>
      <c r="K164" s="3">
        <v>46.359000000000002</v>
      </c>
      <c r="L164" s="3">
        <v>64.534000000000006</v>
      </c>
      <c r="M164" s="3">
        <v>54.521000000000001</v>
      </c>
      <c r="N164" s="3">
        <v>62.924999999999997</v>
      </c>
      <c r="O164" s="3">
        <v>73.179000000000002</v>
      </c>
      <c r="P164" s="3">
        <v>52.374000000000002</v>
      </c>
      <c r="Q164" s="3">
        <v>52.25</v>
      </c>
      <c r="R164" s="3">
        <v>55.203000000000003</v>
      </c>
    </row>
    <row r="165" spans="1:24" x14ac:dyDescent="0.2">
      <c r="A165" s="3"/>
      <c r="B165" s="23">
        <v>5.083333333333333</v>
      </c>
      <c r="C165" s="3">
        <v>44.031999999999996</v>
      </c>
      <c r="D165" s="3">
        <v>51.683</v>
      </c>
      <c r="E165" s="3">
        <v>54.966000000000001</v>
      </c>
      <c r="F165" s="3">
        <v>47.863999999999997</v>
      </c>
      <c r="G165" s="3">
        <v>50.777999999999999</v>
      </c>
      <c r="H165" s="17">
        <v>54.994</v>
      </c>
      <c r="I165" s="17">
        <v>63.95</v>
      </c>
      <c r="J165" s="3">
        <v>65.986999999999995</v>
      </c>
      <c r="K165" s="3">
        <v>46.206000000000003</v>
      </c>
      <c r="L165" s="3">
        <v>64.44</v>
      </c>
      <c r="M165" s="3">
        <v>54.378999999999998</v>
      </c>
      <c r="N165" s="3">
        <v>62.85</v>
      </c>
      <c r="O165" s="3">
        <v>73.126000000000005</v>
      </c>
      <c r="P165" s="3">
        <v>52.189</v>
      </c>
      <c r="Q165" s="3">
        <v>52.216000000000001</v>
      </c>
      <c r="R165" s="3">
        <v>55.173999999999999</v>
      </c>
      <c r="X165" s="24"/>
    </row>
    <row r="166" spans="1:24" x14ac:dyDescent="0.2">
      <c r="A166" s="3"/>
      <c r="B166" s="23">
        <v>5.0999999999999996</v>
      </c>
      <c r="C166" s="3">
        <v>43.912999999999997</v>
      </c>
      <c r="D166" s="3">
        <v>51.529000000000003</v>
      </c>
      <c r="E166" s="3">
        <v>54.771000000000001</v>
      </c>
      <c r="F166" s="3">
        <v>47.795000000000002</v>
      </c>
      <c r="G166" s="3">
        <v>50.485999999999997</v>
      </c>
      <c r="H166" s="17">
        <v>54.899000000000001</v>
      </c>
      <c r="I166" s="17">
        <v>63.813000000000002</v>
      </c>
      <c r="J166" s="3">
        <v>65.927999999999997</v>
      </c>
      <c r="K166" s="3">
        <v>45.914000000000001</v>
      </c>
      <c r="L166" s="3">
        <v>64.334999999999994</v>
      </c>
      <c r="M166" s="3">
        <v>54.326000000000001</v>
      </c>
      <c r="N166" s="3">
        <v>62.805</v>
      </c>
      <c r="O166" s="3">
        <v>73.076999999999998</v>
      </c>
      <c r="P166" s="3">
        <v>52.064</v>
      </c>
      <c r="Q166" s="3">
        <v>52.18</v>
      </c>
      <c r="R166" s="3">
        <v>55.311999999999998</v>
      </c>
    </row>
    <row r="167" spans="1:24" x14ac:dyDescent="0.2">
      <c r="A167" s="3"/>
      <c r="B167" s="23">
        <v>5.1166666666666663</v>
      </c>
      <c r="C167" s="3">
        <v>43.756999999999998</v>
      </c>
      <c r="D167" s="3">
        <v>51.231000000000002</v>
      </c>
      <c r="E167" s="3">
        <v>54.587000000000003</v>
      </c>
      <c r="F167" s="3">
        <v>47.613999999999997</v>
      </c>
      <c r="G167" s="3">
        <v>50.255000000000003</v>
      </c>
      <c r="H167" s="17">
        <v>54.88</v>
      </c>
      <c r="I167" s="17">
        <v>63.771000000000001</v>
      </c>
      <c r="J167" s="3">
        <v>65.787999999999997</v>
      </c>
      <c r="K167" s="3">
        <v>45.529000000000003</v>
      </c>
      <c r="L167" s="3">
        <v>64.247</v>
      </c>
      <c r="M167" s="3">
        <v>54.26</v>
      </c>
      <c r="N167" s="3">
        <v>62.832999999999998</v>
      </c>
      <c r="O167" s="3">
        <v>73.100999999999999</v>
      </c>
      <c r="P167" s="3">
        <v>52.017000000000003</v>
      </c>
      <c r="Q167" s="3">
        <v>52.003</v>
      </c>
      <c r="R167" s="3">
        <v>54.956000000000003</v>
      </c>
      <c r="X167" s="24"/>
    </row>
    <row r="168" spans="1:24" x14ac:dyDescent="0.2">
      <c r="A168" s="3"/>
      <c r="B168" s="23">
        <v>5.1333333333333337</v>
      </c>
      <c r="C168" s="3">
        <v>43.667999999999999</v>
      </c>
      <c r="D168" s="3">
        <v>51.246000000000002</v>
      </c>
      <c r="E168" s="3">
        <v>54.618000000000002</v>
      </c>
      <c r="F168" s="3">
        <v>47.05</v>
      </c>
      <c r="G168" s="3">
        <v>50.456000000000003</v>
      </c>
      <c r="H168" s="17">
        <v>54.718000000000004</v>
      </c>
      <c r="I168" s="17">
        <v>63.633000000000003</v>
      </c>
      <c r="J168" s="3">
        <v>65.659000000000006</v>
      </c>
      <c r="K168" s="3">
        <v>45.758000000000003</v>
      </c>
      <c r="L168" s="3">
        <v>64.090999999999994</v>
      </c>
      <c r="M168" s="3">
        <v>54.142000000000003</v>
      </c>
      <c r="N168" s="3">
        <v>62.723999999999997</v>
      </c>
      <c r="O168" s="3">
        <v>73.180999999999997</v>
      </c>
      <c r="P168" s="3">
        <v>51.893000000000001</v>
      </c>
      <c r="Q168" s="3">
        <v>51.960999999999999</v>
      </c>
      <c r="R168" s="3">
        <v>54.924999999999997</v>
      </c>
    </row>
    <row r="169" spans="1:24" x14ac:dyDescent="0.2">
      <c r="A169" s="3"/>
      <c r="B169" s="23">
        <v>5.15</v>
      </c>
      <c r="C169" s="3">
        <v>43.338999999999999</v>
      </c>
      <c r="D169" s="3">
        <v>51.2</v>
      </c>
      <c r="E169" s="3">
        <v>54.435000000000002</v>
      </c>
      <c r="F169" s="3">
        <v>47.134</v>
      </c>
      <c r="G169" s="3">
        <v>50.177</v>
      </c>
      <c r="H169" s="17">
        <v>54.673000000000002</v>
      </c>
      <c r="I169" s="17">
        <v>63.604999999999997</v>
      </c>
      <c r="J169" s="3">
        <v>65.62</v>
      </c>
      <c r="K169" s="3">
        <v>45.37</v>
      </c>
      <c r="L169" s="3">
        <v>63.982999999999997</v>
      </c>
      <c r="M169" s="3">
        <v>54.08</v>
      </c>
      <c r="N169" s="3">
        <v>62.671999999999997</v>
      </c>
      <c r="O169" s="3">
        <v>73.043000000000006</v>
      </c>
      <c r="P169" s="3">
        <v>51.901000000000003</v>
      </c>
      <c r="Q169" s="3">
        <v>51.877000000000002</v>
      </c>
      <c r="R169" s="3">
        <v>54.792999999999999</v>
      </c>
      <c r="X169" s="24"/>
    </row>
    <row r="170" spans="1:24" x14ac:dyDescent="0.2">
      <c r="A170" s="3"/>
      <c r="B170" s="23">
        <v>5.166666666666667</v>
      </c>
      <c r="C170" s="3">
        <v>43.164000000000001</v>
      </c>
      <c r="D170" s="3">
        <v>50.923999999999999</v>
      </c>
      <c r="E170" s="3">
        <v>54.402000000000001</v>
      </c>
      <c r="F170" s="3">
        <v>47.155999999999999</v>
      </c>
      <c r="G170" s="3">
        <v>50.174999999999997</v>
      </c>
      <c r="H170" s="17">
        <v>54.531999999999996</v>
      </c>
      <c r="I170" s="17">
        <v>63.347999999999999</v>
      </c>
      <c r="J170" s="3">
        <v>65.474000000000004</v>
      </c>
      <c r="K170" s="3">
        <v>45.305</v>
      </c>
      <c r="L170" s="3">
        <v>63.911000000000001</v>
      </c>
      <c r="M170" s="3">
        <v>53.927</v>
      </c>
      <c r="N170" s="3">
        <v>62.603000000000002</v>
      </c>
      <c r="O170" s="3">
        <v>73.012</v>
      </c>
      <c r="P170" s="3">
        <v>51.758000000000003</v>
      </c>
      <c r="Q170" s="3">
        <v>51.762999999999998</v>
      </c>
      <c r="R170" s="3">
        <v>54.65</v>
      </c>
    </row>
    <row r="171" spans="1:24" x14ac:dyDescent="0.2">
      <c r="A171" s="3"/>
      <c r="B171" s="23">
        <v>5.1833333333333336</v>
      </c>
      <c r="C171" s="3">
        <v>43.097999999999999</v>
      </c>
      <c r="D171" s="3">
        <v>50.99</v>
      </c>
      <c r="E171" s="3">
        <v>54.374000000000002</v>
      </c>
      <c r="F171" s="3">
        <v>47.043999999999997</v>
      </c>
      <c r="G171" s="3">
        <v>50.067</v>
      </c>
      <c r="H171" s="17">
        <v>54.427</v>
      </c>
      <c r="I171" s="17">
        <v>63.319000000000003</v>
      </c>
      <c r="J171" s="3">
        <v>65.376999999999995</v>
      </c>
      <c r="K171" s="3">
        <v>45.13</v>
      </c>
      <c r="L171" s="3">
        <v>63.786999999999999</v>
      </c>
      <c r="M171" s="3">
        <v>53.853000000000002</v>
      </c>
      <c r="N171" s="3">
        <v>62.548000000000002</v>
      </c>
      <c r="O171" s="3">
        <v>72.978999999999999</v>
      </c>
      <c r="P171" s="3">
        <v>51.750999999999998</v>
      </c>
      <c r="Q171" s="3">
        <v>51.756</v>
      </c>
      <c r="R171" s="3">
        <v>54.563000000000002</v>
      </c>
      <c r="X171" s="24"/>
    </row>
    <row r="172" spans="1:24" x14ac:dyDescent="0.2">
      <c r="A172" s="3"/>
      <c r="B172" s="23">
        <v>5.2</v>
      </c>
      <c r="C172" s="3">
        <v>42.978000000000002</v>
      </c>
      <c r="D172" s="3">
        <v>50.72</v>
      </c>
      <c r="E172" s="3">
        <v>54.203000000000003</v>
      </c>
      <c r="F172" s="3">
        <v>46.83</v>
      </c>
      <c r="G172" s="3">
        <v>49.661999999999999</v>
      </c>
      <c r="H172" s="17">
        <v>54.317999999999998</v>
      </c>
      <c r="I172" s="17">
        <v>63.273000000000003</v>
      </c>
      <c r="J172" s="3">
        <v>65.248000000000005</v>
      </c>
      <c r="K172" s="3">
        <v>44.834000000000003</v>
      </c>
      <c r="L172" s="3">
        <v>63.680999999999997</v>
      </c>
      <c r="M172" s="3">
        <v>53.798000000000002</v>
      </c>
      <c r="N172" s="3">
        <v>62.518000000000001</v>
      </c>
      <c r="O172" s="3">
        <v>72.923000000000002</v>
      </c>
      <c r="P172" s="3">
        <v>51.680999999999997</v>
      </c>
      <c r="Q172" s="3">
        <v>51.567999999999998</v>
      </c>
      <c r="R172" s="3">
        <v>54.515000000000001</v>
      </c>
    </row>
    <row r="173" spans="1:24" x14ac:dyDescent="0.2">
      <c r="A173" s="3"/>
      <c r="B173" s="23">
        <v>5.2166666666666668</v>
      </c>
      <c r="C173" s="3">
        <v>42.844999999999999</v>
      </c>
      <c r="D173" s="3">
        <v>50.731000000000002</v>
      </c>
      <c r="E173" s="3">
        <v>54.116</v>
      </c>
      <c r="F173" s="3">
        <v>46.527999999999999</v>
      </c>
      <c r="G173" s="3">
        <v>49.695999999999998</v>
      </c>
      <c r="H173" s="17">
        <v>54.292000000000002</v>
      </c>
      <c r="I173" s="17">
        <v>63.219000000000001</v>
      </c>
      <c r="J173" s="3">
        <v>65.191999999999993</v>
      </c>
      <c r="K173" s="3">
        <v>44.628999999999998</v>
      </c>
      <c r="L173" s="3">
        <v>63.548999999999999</v>
      </c>
      <c r="M173" s="3">
        <v>53.665999999999997</v>
      </c>
      <c r="N173" s="3">
        <v>62.445999999999998</v>
      </c>
      <c r="O173" s="3">
        <v>72.897000000000006</v>
      </c>
      <c r="P173" s="3">
        <v>51.665999999999997</v>
      </c>
      <c r="Q173" s="3">
        <v>51.420999999999999</v>
      </c>
      <c r="R173" s="3">
        <v>54.43</v>
      </c>
      <c r="X173" s="24"/>
    </row>
    <row r="174" spans="1:24" x14ac:dyDescent="0.2">
      <c r="A174" s="3"/>
      <c r="B174" s="23">
        <v>5.2333333333333334</v>
      </c>
      <c r="C174" s="3">
        <v>42.695</v>
      </c>
      <c r="D174" s="3">
        <v>50.575000000000003</v>
      </c>
      <c r="E174" s="3">
        <v>54.085999999999999</v>
      </c>
      <c r="F174" s="3">
        <v>46.591999999999999</v>
      </c>
      <c r="G174" s="3">
        <v>49.631999999999998</v>
      </c>
      <c r="H174" s="17">
        <v>54.191000000000003</v>
      </c>
      <c r="I174" s="17">
        <v>63.131</v>
      </c>
      <c r="J174" s="3">
        <v>65.117000000000004</v>
      </c>
      <c r="K174" s="3">
        <v>44.52</v>
      </c>
      <c r="L174" s="3">
        <v>63.447000000000003</v>
      </c>
      <c r="M174" s="3">
        <v>53.606999999999999</v>
      </c>
      <c r="N174" s="3">
        <v>62.476999999999997</v>
      </c>
      <c r="O174" s="3">
        <v>72.838999999999999</v>
      </c>
      <c r="P174" s="3">
        <v>51.475999999999999</v>
      </c>
      <c r="Q174" s="3">
        <v>51.456000000000003</v>
      </c>
      <c r="R174" s="3">
        <v>54.28</v>
      </c>
    </row>
    <row r="175" spans="1:24" x14ac:dyDescent="0.2">
      <c r="A175" s="3"/>
      <c r="B175" s="23">
        <v>5.25</v>
      </c>
      <c r="C175" s="3">
        <v>42.493000000000002</v>
      </c>
      <c r="D175" s="3">
        <v>50.573999999999998</v>
      </c>
      <c r="E175" s="3">
        <v>54</v>
      </c>
      <c r="F175" s="3">
        <v>46.558999999999997</v>
      </c>
      <c r="G175" s="3">
        <v>49.545999999999999</v>
      </c>
      <c r="H175" s="17">
        <v>54.143999999999998</v>
      </c>
      <c r="I175" s="17">
        <v>63.033000000000001</v>
      </c>
      <c r="J175" s="3">
        <v>65.016999999999996</v>
      </c>
      <c r="K175" s="3">
        <v>44.389000000000003</v>
      </c>
      <c r="L175" s="3">
        <v>63.332000000000001</v>
      </c>
      <c r="M175" s="3">
        <v>53.484000000000002</v>
      </c>
      <c r="N175" s="3">
        <v>62.344000000000001</v>
      </c>
      <c r="O175" s="3">
        <v>72.858999999999995</v>
      </c>
      <c r="P175" s="3">
        <v>51.396000000000001</v>
      </c>
      <c r="Q175" s="3">
        <v>51.247</v>
      </c>
      <c r="R175" s="3">
        <v>54.414000000000001</v>
      </c>
      <c r="X175" s="24"/>
    </row>
    <row r="176" spans="1:24" x14ac:dyDescent="0.2">
      <c r="A176" s="3"/>
      <c r="B176" s="23">
        <v>5.2666666666666666</v>
      </c>
      <c r="C176" s="3">
        <v>42.39</v>
      </c>
      <c r="D176" s="3">
        <v>50.286999999999999</v>
      </c>
      <c r="E176" s="3">
        <v>53.902999999999999</v>
      </c>
      <c r="F176" s="3">
        <v>46.521000000000001</v>
      </c>
      <c r="G176" s="3">
        <v>49.430999999999997</v>
      </c>
      <c r="H176" s="17">
        <v>54.061</v>
      </c>
      <c r="I176" s="17">
        <v>62.927999999999997</v>
      </c>
      <c r="J176" s="3">
        <v>64.959000000000003</v>
      </c>
      <c r="K176" s="3">
        <v>44.216999999999999</v>
      </c>
      <c r="L176" s="3">
        <v>63.186</v>
      </c>
      <c r="M176" s="3">
        <v>53.412999999999997</v>
      </c>
      <c r="N176" s="3">
        <v>62.390999999999998</v>
      </c>
      <c r="O176" s="3">
        <v>72.882000000000005</v>
      </c>
      <c r="P176" s="3">
        <v>51.069000000000003</v>
      </c>
      <c r="Q176" s="3">
        <v>51.222000000000001</v>
      </c>
      <c r="R176" s="3">
        <v>54.39</v>
      </c>
    </row>
    <row r="177" spans="1:24" x14ac:dyDescent="0.2">
      <c r="A177" s="3"/>
      <c r="B177" s="23">
        <v>5.2833333333333332</v>
      </c>
      <c r="C177" s="3">
        <v>42.246000000000002</v>
      </c>
      <c r="D177" s="3">
        <v>50.347999999999999</v>
      </c>
      <c r="E177" s="3">
        <v>53.805999999999997</v>
      </c>
      <c r="F177" s="3">
        <v>46.430999999999997</v>
      </c>
      <c r="G177" s="3">
        <v>49.3</v>
      </c>
      <c r="H177" s="17">
        <v>53.975999999999999</v>
      </c>
      <c r="I177" s="17">
        <v>62.683999999999997</v>
      </c>
      <c r="J177" s="3">
        <v>64.888999999999996</v>
      </c>
      <c r="K177" s="3">
        <v>44.046999999999997</v>
      </c>
      <c r="L177" s="3">
        <v>63.107999999999997</v>
      </c>
      <c r="M177" s="3">
        <v>53.261000000000003</v>
      </c>
      <c r="N177" s="3">
        <v>62.323</v>
      </c>
      <c r="O177" s="3">
        <v>72.843999999999994</v>
      </c>
      <c r="P177" s="3">
        <v>51.148000000000003</v>
      </c>
      <c r="Q177" s="3">
        <v>51.109000000000002</v>
      </c>
      <c r="R177" s="3">
        <v>54.323</v>
      </c>
      <c r="X177" s="24"/>
    </row>
    <row r="178" spans="1:24" x14ac:dyDescent="0.2">
      <c r="A178" s="3"/>
      <c r="B178" s="23">
        <v>5.3</v>
      </c>
      <c r="C178" s="3">
        <v>42.164000000000001</v>
      </c>
      <c r="D178" s="3">
        <v>50.281999999999996</v>
      </c>
      <c r="E178" s="3">
        <v>53.728999999999999</v>
      </c>
      <c r="F178" s="3">
        <v>46.372</v>
      </c>
      <c r="G178" s="3">
        <v>49.234999999999999</v>
      </c>
      <c r="H178" s="17">
        <v>53.86</v>
      </c>
      <c r="I178" s="17">
        <v>62.720999999999997</v>
      </c>
      <c r="J178" s="3">
        <v>64.783000000000001</v>
      </c>
      <c r="K178" s="3">
        <v>43.838000000000001</v>
      </c>
      <c r="L178" s="3">
        <v>63.003</v>
      </c>
      <c r="M178" s="3">
        <v>53.209000000000003</v>
      </c>
      <c r="N178" s="3">
        <v>62.292999999999999</v>
      </c>
      <c r="O178" s="3">
        <v>72.712999999999994</v>
      </c>
      <c r="P178" s="3">
        <v>51.042000000000002</v>
      </c>
      <c r="Q178" s="3">
        <v>51.048000000000002</v>
      </c>
      <c r="R178" s="3">
        <v>53.814999999999998</v>
      </c>
    </row>
    <row r="179" spans="1:24" x14ac:dyDescent="0.2">
      <c r="A179" s="3"/>
      <c r="B179" s="23">
        <v>5.3166666666666664</v>
      </c>
      <c r="C179" s="3">
        <v>42.02</v>
      </c>
      <c r="D179" s="3">
        <v>49.996000000000002</v>
      </c>
      <c r="E179" s="3">
        <v>53.685000000000002</v>
      </c>
      <c r="F179" s="3">
        <v>46.323999999999998</v>
      </c>
      <c r="G179" s="3">
        <v>48.844999999999999</v>
      </c>
      <c r="H179" s="17">
        <v>53.732999999999997</v>
      </c>
      <c r="I179" s="17">
        <v>62.546999999999997</v>
      </c>
      <c r="J179" s="3">
        <v>64.709999999999994</v>
      </c>
      <c r="K179" s="3">
        <v>43.658000000000001</v>
      </c>
      <c r="L179" s="3">
        <v>62.951999999999998</v>
      </c>
      <c r="M179" s="3">
        <v>53.042000000000002</v>
      </c>
      <c r="N179" s="3">
        <v>62.228999999999999</v>
      </c>
      <c r="O179" s="3">
        <v>72.766999999999996</v>
      </c>
      <c r="P179" s="3">
        <v>50.963999999999999</v>
      </c>
      <c r="Q179" s="3">
        <v>50.845999999999997</v>
      </c>
      <c r="R179" s="3">
        <v>53.884999999999998</v>
      </c>
      <c r="X179" s="24"/>
    </row>
    <row r="180" spans="1:24" x14ac:dyDescent="0.2">
      <c r="A180" s="3"/>
      <c r="B180" s="23">
        <v>5.333333333333333</v>
      </c>
      <c r="C180" s="3">
        <v>41.396999999999998</v>
      </c>
      <c r="D180" s="3">
        <v>50.037999999999997</v>
      </c>
      <c r="E180" s="3">
        <v>53.582000000000001</v>
      </c>
      <c r="F180" s="3">
        <v>46.13</v>
      </c>
      <c r="G180" s="3">
        <v>48.945999999999998</v>
      </c>
      <c r="H180" s="17">
        <v>53.645000000000003</v>
      </c>
      <c r="I180" s="17">
        <v>62.451000000000001</v>
      </c>
      <c r="J180" s="3">
        <v>64.596000000000004</v>
      </c>
      <c r="K180" s="3">
        <v>43.066000000000003</v>
      </c>
      <c r="L180" s="3">
        <v>62.817</v>
      </c>
      <c r="M180" s="3">
        <v>53.061999999999998</v>
      </c>
      <c r="N180" s="3">
        <v>61.878</v>
      </c>
      <c r="O180" s="3">
        <v>72.647000000000006</v>
      </c>
      <c r="P180" s="3">
        <v>50.831000000000003</v>
      </c>
      <c r="Q180" s="3">
        <v>50.844000000000001</v>
      </c>
      <c r="R180" s="3">
        <v>53.784999999999997</v>
      </c>
    </row>
    <row r="181" spans="1:24" x14ac:dyDescent="0.2">
      <c r="A181" s="3"/>
      <c r="B181" s="23">
        <v>5.35</v>
      </c>
      <c r="C181" s="3">
        <v>41.531999999999996</v>
      </c>
      <c r="D181" s="3">
        <v>49.837000000000003</v>
      </c>
      <c r="E181" s="3">
        <v>53.505000000000003</v>
      </c>
      <c r="F181" s="3">
        <v>46.027000000000001</v>
      </c>
      <c r="G181" s="3">
        <v>48.816000000000003</v>
      </c>
      <c r="H181" s="17">
        <v>53.557000000000002</v>
      </c>
      <c r="I181" s="17">
        <v>62.286000000000001</v>
      </c>
      <c r="J181" s="3">
        <v>64.573999999999998</v>
      </c>
      <c r="K181" s="3">
        <v>43.276000000000003</v>
      </c>
      <c r="L181" s="3">
        <v>62.719000000000001</v>
      </c>
      <c r="M181" s="3">
        <v>52.975999999999999</v>
      </c>
      <c r="N181" s="3">
        <v>62.095999999999997</v>
      </c>
      <c r="O181" s="3">
        <v>72.727999999999994</v>
      </c>
      <c r="P181" s="3">
        <v>50.914999999999999</v>
      </c>
      <c r="Q181" s="3">
        <v>50.820999999999998</v>
      </c>
      <c r="R181" s="3">
        <v>53.622</v>
      </c>
      <c r="X181" s="24"/>
    </row>
    <row r="182" spans="1:24" x14ac:dyDescent="0.2">
      <c r="A182" s="3"/>
      <c r="B182" s="23">
        <v>5.3666666666666663</v>
      </c>
      <c r="C182" s="3">
        <v>41.421999999999997</v>
      </c>
      <c r="D182" s="3">
        <v>49.908999999999999</v>
      </c>
      <c r="E182" s="3">
        <v>53.368000000000002</v>
      </c>
      <c r="F182" s="3">
        <v>45.863999999999997</v>
      </c>
      <c r="G182" s="3">
        <v>48.585000000000001</v>
      </c>
      <c r="H182" s="17">
        <v>53.499000000000002</v>
      </c>
      <c r="I182" s="17">
        <v>62.244</v>
      </c>
      <c r="J182" s="3">
        <v>64.447999999999993</v>
      </c>
      <c r="K182" s="3">
        <v>43.137</v>
      </c>
      <c r="L182" s="3">
        <v>62.581000000000003</v>
      </c>
      <c r="M182" s="3">
        <v>52.822000000000003</v>
      </c>
      <c r="N182" s="3">
        <v>62.069000000000003</v>
      </c>
      <c r="O182" s="3">
        <v>72.72</v>
      </c>
      <c r="P182" s="3">
        <v>50.850999999999999</v>
      </c>
      <c r="Q182" s="3">
        <v>50.765999999999998</v>
      </c>
      <c r="R182" s="3">
        <v>53.841999999999999</v>
      </c>
    </row>
    <row r="183" spans="1:24" x14ac:dyDescent="0.2">
      <c r="A183" s="3"/>
      <c r="B183" s="23">
        <v>5.3833333333333337</v>
      </c>
      <c r="C183" s="3">
        <v>41.244999999999997</v>
      </c>
      <c r="D183" s="3">
        <v>49.744</v>
      </c>
      <c r="E183" s="3">
        <v>53.104999999999997</v>
      </c>
      <c r="F183" s="3">
        <v>45.783000000000001</v>
      </c>
      <c r="G183" s="3">
        <v>48.521999999999998</v>
      </c>
      <c r="H183" s="17">
        <v>53.414999999999999</v>
      </c>
      <c r="I183" s="17">
        <v>62.146000000000001</v>
      </c>
      <c r="J183" s="3">
        <v>64.355999999999995</v>
      </c>
      <c r="K183" s="3">
        <v>42.938000000000002</v>
      </c>
      <c r="L183" s="3">
        <v>62.497999999999998</v>
      </c>
      <c r="M183" s="3">
        <v>52.683999999999997</v>
      </c>
      <c r="N183" s="3">
        <v>61.984000000000002</v>
      </c>
      <c r="O183" s="3">
        <v>72.634</v>
      </c>
      <c r="P183" s="3">
        <v>50.808999999999997</v>
      </c>
      <c r="Q183" s="3">
        <v>50.392000000000003</v>
      </c>
      <c r="R183" s="3">
        <v>53.773000000000003</v>
      </c>
      <c r="X183" s="24"/>
    </row>
    <row r="184" spans="1:24" x14ac:dyDescent="0.2">
      <c r="A184" s="3"/>
      <c r="B184" s="23">
        <v>5.4</v>
      </c>
      <c r="C184" s="3">
        <v>41.164999999999999</v>
      </c>
      <c r="D184" s="3">
        <v>49.682000000000002</v>
      </c>
      <c r="E184" s="3">
        <v>53.155999999999999</v>
      </c>
      <c r="F184" s="3">
        <v>45.709000000000003</v>
      </c>
      <c r="G184" s="3">
        <v>48.457000000000001</v>
      </c>
      <c r="H184" s="17">
        <v>53.363</v>
      </c>
      <c r="I184" s="17">
        <v>62.046999999999997</v>
      </c>
      <c r="J184" s="3">
        <v>64.31</v>
      </c>
      <c r="K184" s="3">
        <v>42.814</v>
      </c>
      <c r="L184" s="3">
        <v>62.393999999999998</v>
      </c>
      <c r="M184" s="3">
        <v>52.643000000000001</v>
      </c>
      <c r="N184" s="3">
        <v>61.856000000000002</v>
      </c>
      <c r="O184" s="3">
        <v>72.548000000000002</v>
      </c>
      <c r="P184" s="3">
        <v>50.511000000000003</v>
      </c>
      <c r="Q184" s="3">
        <v>50.569000000000003</v>
      </c>
      <c r="R184" s="3">
        <v>53.744999999999997</v>
      </c>
    </row>
    <row r="185" spans="1:24" x14ac:dyDescent="0.2">
      <c r="A185" s="3"/>
      <c r="B185" s="23">
        <v>5.416666666666667</v>
      </c>
      <c r="C185" s="3">
        <v>40.973999999999997</v>
      </c>
      <c r="D185" s="3">
        <v>49.595999999999997</v>
      </c>
      <c r="E185" s="3">
        <v>53.100999999999999</v>
      </c>
      <c r="F185" s="3">
        <v>45.6</v>
      </c>
      <c r="G185" s="3">
        <v>48.06</v>
      </c>
      <c r="H185" s="17">
        <v>53.286000000000001</v>
      </c>
      <c r="I185" s="17">
        <v>61.969000000000001</v>
      </c>
      <c r="J185" s="3">
        <v>64.230999999999995</v>
      </c>
      <c r="K185" s="3">
        <v>42.38</v>
      </c>
      <c r="L185" s="3">
        <v>62.27</v>
      </c>
      <c r="M185" s="3">
        <v>52.531999999999996</v>
      </c>
      <c r="N185" s="3">
        <v>61.798999999999999</v>
      </c>
      <c r="O185" s="3">
        <v>72.527000000000001</v>
      </c>
      <c r="P185" s="3">
        <v>50.496000000000002</v>
      </c>
      <c r="Q185" s="3">
        <v>50.508000000000003</v>
      </c>
      <c r="R185" s="3">
        <v>53.155000000000001</v>
      </c>
      <c r="X185" s="24"/>
    </row>
    <row r="186" spans="1:24" x14ac:dyDescent="0.2">
      <c r="A186" s="3"/>
      <c r="B186" s="23">
        <v>5.4333333333333336</v>
      </c>
      <c r="C186" s="3">
        <v>40.799999999999997</v>
      </c>
      <c r="D186" s="3">
        <v>49.503999999999998</v>
      </c>
      <c r="E186" s="3">
        <v>52.908999999999999</v>
      </c>
      <c r="F186" s="3">
        <v>45.518000000000001</v>
      </c>
      <c r="G186" s="3">
        <v>48.029000000000003</v>
      </c>
      <c r="H186" s="17">
        <v>53.210999999999999</v>
      </c>
      <c r="I186" s="17">
        <v>61.863</v>
      </c>
      <c r="J186" s="3">
        <v>64.161000000000001</v>
      </c>
      <c r="K186" s="3">
        <v>42.481999999999999</v>
      </c>
      <c r="L186" s="3">
        <v>62.170999999999999</v>
      </c>
      <c r="M186" s="3">
        <v>52.512999999999998</v>
      </c>
      <c r="N186" s="3">
        <v>61.706000000000003</v>
      </c>
      <c r="O186" s="3">
        <v>72.528999999999996</v>
      </c>
      <c r="P186" s="3">
        <v>50.36</v>
      </c>
      <c r="Q186" s="3">
        <v>50.453000000000003</v>
      </c>
      <c r="R186" s="3">
        <v>53.149000000000001</v>
      </c>
    </row>
    <row r="187" spans="1:24" x14ac:dyDescent="0.2">
      <c r="A187" s="3"/>
      <c r="B187" s="23">
        <v>5.45</v>
      </c>
      <c r="C187" s="3">
        <v>40.692999999999998</v>
      </c>
      <c r="D187" s="3">
        <v>49.372999999999998</v>
      </c>
      <c r="E187" s="3">
        <v>52.84</v>
      </c>
      <c r="F187" s="3">
        <v>45.478999999999999</v>
      </c>
      <c r="G187" s="3">
        <v>47.94</v>
      </c>
      <c r="H187" s="17">
        <v>53.100999999999999</v>
      </c>
      <c r="I187" s="17">
        <v>61.771999999999998</v>
      </c>
      <c r="J187" s="3">
        <v>64.106999999999999</v>
      </c>
      <c r="K187" s="3">
        <v>42.277000000000001</v>
      </c>
      <c r="L187" s="3">
        <v>62.008000000000003</v>
      </c>
      <c r="M187" s="3">
        <v>52.344000000000001</v>
      </c>
      <c r="N187" s="3">
        <v>61.646999999999998</v>
      </c>
      <c r="O187" s="3">
        <v>72.39</v>
      </c>
      <c r="P187" s="3">
        <v>50.338999999999999</v>
      </c>
      <c r="Q187" s="3">
        <v>50.395000000000003</v>
      </c>
      <c r="R187" s="3">
        <v>53.151000000000003</v>
      </c>
      <c r="X187" s="24"/>
    </row>
    <row r="188" spans="1:24" x14ac:dyDescent="0.2">
      <c r="A188" s="3"/>
      <c r="B188" s="23">
        <v>5.4666666666666668</v>
      </c>
      <c r="C188" s="3">
        <v>40.526000000000003</v>
      </c>
      <c r="D188" s="3">
        <v>49.268999999999998</v>
      </c>
      <c r="E188" s="3">
        <v>52.783000000000001</v>
      </c>
      <c r="F188" s="3">
        <v>45.393000000000001</v>
      </c>
      <c r="G188" s="3">
        <v>47.814999999999998</v>
      </c>
      <c r="H188" s="17">
        <v>53.05</v>
      </c>
      <c r="I188" s="17">
        <v>61.661999999999999</v>
      </c>
      <c r="J188" s="3">
        <v>64.025999999999996</v>
      </c>
      <c r="K188" s="3">
        <v>42.136000000000003</v>
      </c>
      <c r="L188" s="3">
        <v>61.865000000000002</v>
      </c>
      <c r="M188" s="3">
        <v>52.253999999999998</v>
      </c>
      <c r="N188" s="3">
        <v>61.591999999999999</v>
      </c>
      <c r="O188" s="3">
        <v>72.447000000000003</v>
      </c>
      <c r="P188" s="3">
        <v>50.307000000000002</v>
      </c>
      <c r="Q188" s="3">
        <v>50.106999999999999</v>
      </c>
      <c r="R188" s="3">
        <v>52.997</v>
      </c>
    </row>
    <row r="189" spans="1:24" x14ac:dyDescent="0.2">
      <c r="A189" s="3"/>
      <c r="B189" s="23">
        <v>5.4833333333333334</v>
      </c>
      <c r="C189" s="3">
        <v>40.436</v>
      </c>
      <c r="D189" s="3">
        <v>49.149000000000001</v>
      </c>
      <c r="E189" s="3">
        <v>52.67</v>
      </c>
      <c r="F189" s="3">
        <v>45.316000000000003</v>
      </c>
      <c r="G189" s="3">
        <v>47.697000000000003</v>
      </c>
      <c r="H189" s="17">
        <v>52.97</v>
      </c>
      <c r="I189" s="17">
        <v>61.639000000000003</v>
      </c>
      <c r="J189" s="3">
        <v>63.933999999999997</v>
      </c>
      <c r="K189" s="3">
        <v>41.933999999999997</v>
      </c>
      <c r="L189" s="3">
        <v>61.811999999999998</v>
      </c>
      <c r="M189" s="3">
        <v>52.15</v>
      </c>
      <c r="N189" s="3">
        <v>61.430999999999997</v>
      </c>
      <c r="O189" s="3">
        <v>72.415999999999997</v>
      </c>
      <c r="P189" s="3">
        <v>50.08</v>
      </c>
      <c r="Q189" s="3">
        <v>50.167999999999999</v>
      </c>
      <c r="R189" s="3">
        <v>52.890999999999998</v>
      </c>
      <c r="X189" s="24"/>
    </row>
    <row r="190" spans="1:24" x14ac:dyDescent="0.2">
      <c r="A190" s="3"/>
      <c r="B190" s="23">
        <v>5.5</v>
      </c>
      <c r="C190" s="3">
        <v>40.075000000000003</v>
      </c>
      <c r="D190" s="3">
        <v>49.094000000000001</v>
      </c>
      <c r="E190" s="3">
        <v>52.622</v>
      </c>
      <c r="F190" s="3">
        <v>45.167999999999999</v>
      </c>
      <c r="G190" s="3">
        <v>47.45</v>
      </c>
      <c r="H190" s="17">
        <v>52.886000000000003</v>
      </c>
      <c r="I190" s="17">
        <v>61.465000000000003</v>
      </c>
      <c r="J190" s="3">
        <v>63.674999999999997</v>
      </c>
      <c r="K190" s="3">
        <v>41.712000000000003</v>
      </c>
      <c r="L190" s="3">
        <v>61.68</v>
      </c>
      <c r="M190" s="3">
        <v>52.085000000000001</v>
      </c>
      <c r="N190" s="3">
        <v>61.481000000000002</v>
      </c>
      <c r="O190" s="3">
        <v>72.450999999999993</v>
      </c>
      <c r="P190" s="3">
        <v>49.930999999999997</v>
      </c>
      <c r="Q190" s="3">
        <v>50.110999999999997</v>
      </c>
      <c r="R190" s="3">
        <v>52.819000000000003</v>
      </c>
    </row>
    <row r="191" spans="1:24" x14ac:dyDescent="0.2">
      <c r="A191" s="3"/>
      <c r="B191" s="23">
        <v>5.5166666666666666</v>
      </c>
      <c r="C191" s="3">
        <v>40.091000000000001</v>
      </c>
      <c r="D191" s="3">
        <v>48.987000000000002</v>
      </c>
      <c r="E191" s="3">
        <v>52.45</v>
      </c>
      <c r="F191" s="3">
        <v>45.034999999999997</v>
      </c>
      <c r="G191" s="3">
        <v>46.875999999999998</v>
      </c>
      <c r="H191" s="17">
        <v>52.716999999999999</v>
      </c>
      <c r="I191" s="17">
        <v>61.387999999999998</v>
      </c>
      <c r="J191" s="3">
        <v>63.792000000000002</v>
      </c>
      <c r="K191" s="3">
        <v>41.631999999999998</v>
      </c>
      <c r="L191" s="3">
        <v>61.46</v>
      </c>
      <c r="M191" s="3">
        <v>51.896999999999998</v>
      </c>
      <c r="N191" s="3">
        <v>61.313000000000002</v>
      </c>
      <c r="O191" s="3">
        <v>72.388999999999996</v>
      </c>
      <c r="P191" s="3">
        <v>49.887</v>
      </c>
      <c r="Q191" s="3">
        <v>50.021999999999998</v>
      </c>
      <c r="R191" s="3">
        <v>53.003999999999998</v>
      </c>
      <c r="X191" s="24"/>
    </row>
    <row r="192" spans="1:24" x14ac:dyDescent="0.2">
      <c r="A192" s="3"/>
      <c r="B192" s="23">
        <v>5.5333333333333332</v>
      </c>
      <c r="C192" s="3">
        <v>39.951999999999998</v>
      </c>
      <c r="D192" s="3">
        <v>48.948999999999998</v>
      </c>
      <c r="E192" s="3">
        <v>52.353999999999999</v>
      </c>
      <c r="F192" s="3">
        <v>44.887999999999998</v>
      </c>
      <c r="G192" s="3">
        <v>47.087000000000003</v>
      </c>
      <c r="H192" s="17">
        <v>52.640999999999998</v>
      </c>
      <c r="I192" s="17">
        <v>61.298999999999999</v>
      </c>
      <c r="J192" s="3">
        <v>63.676000000000002</v>
      </c>
      <c r="K192" s="3">
        <v>41.444000000000003</v>
      </c>
      <c r="L192" s="3">
        <v>61.468000000000004</v>
      </c>
      <c r="M192" s="3">
        <v>51.918999999999997</v>
      </c>
      <c r="N192" s="3">
        <v>61.192999999999998</v>
      </c>
      <c r="O192" s="3">
        <v>72.352999999999994</v>
      </c>
      <c r="P192" s="3">
        <v>49.85</v>
      </c>
      <c r="Q192" s="3">
        <v>49.796999999999997</v>
      </c>
      <c r="R192" s="3">
        <v>52.923000000000002</v>
      </c>
    </row>
    <row r="193" spans="1:24" x14ac:dyDescent="0.2">
      <c r="A193" s="3"/>
      <c r="B193" s="23">
        <v>5.55</v>
      </c>
      <c r="C193" s="3">
        <v>39.725000000000001</v>
      </c>
      <c r="D193" s="3">
        <v>48.857999999999997</v>
      </c>
      <c r="E193" s="3">
        <v>52.337000000000003</v>
      </c>
      <c r="F193" s="3">
        <v>44.728999999999999</v>
      </c>
      <c r="G193" s="3">
        <v>46.966999999999999</v>
      </c>
      <c r="H193" s="17">
        <v>52.485999999999997</v>
      </c>
      <c r="I193" s="17">
        <v>61.218000000000004</v>
      </c>
      <c r="J193" s="3">
        <v>63.573</v>
      </c>
      <c r="K193" s="3">
        <v>41.191000000000003</v>
      </c>
      <c r="L193" s="3">
        <v>61.356000000000002</v>
      </c>
      <c r="M193" s="3">
        <v>51.853000000000002</v>
      </c>
      <c r="N193" s="3">
        <v>61.164999999999999</v>
      </c>
      <c r="O193" s="3">
        <v>72.201999999999998</v>
      </c>
      <c r="P193" s="3">
        <v>49.802</v>
      </c>
      <c r="Q193" s="3">
        <v>49.786999999999999</v>
      </c>
      <c r="R193" s="3">
        <v>52.933</v>
      </c>
      <c r="X193" s="24"/>
    </row>
    <row r="194" spans="1:24" x14ac:dyDescent="0.2">
      <c r="A194" s="3"/>
      <c r="B194" s="23">
        <v>5.5666666666666664</v>
      </c>
      <c r="C194" s="3">
        <v>39.575000000000003</v>
      </c>
      <c r="D194" s="3">
        <v>48.665999999999997</v>
      </c>
      <c r="E194" s="3">
        <v>52.192999999999998</v>
      </c>
      <c r="F194" s="3">
        <v>44.679000000000002</v>
      </c>
      <c r="G194" s="3">
        <v>46.883000000000003</v>
      </c>
      <c r="H194" s="17">
        <v>52.415999999999997</v>
      </c>
      <c r="I194" s="17">
        <v>61.052999999999997</v>
      </c>
      <c r="J194" s="3">
        <v>63.466000000000001</v>
      </c>
      <c r="K194" s="3">
        <v>41.015000000000001</v>
      </c>
      <c r="L194" s="3">
        <v>61.246000000000002</v>
      </c>
      <c r="M194" s="3">
        <v>51.787999999999997</v>
      </c>
      <c r="N194" s="3">
        <v>61.045999999999999</v>
      </c>
      <c r="O194" s="3">
        <v>72.274000000000001</v>
      </c>
      <c r="P194" s="3">
        <v>49.725000000000001</v>
      </c>
      <c r="Q194" s="3">
        <v>49.639000000000003</v>
      </c>
      <c r="R194" s="3">
        <v>52.765999999999998</v>
      </c>
    </row>
    <row r="195" spans="1:24" x14ac:dyDescent="0.2">
      <c r="A195" s="3"/>
      <c r="B195" s="23">
        <v>5.583333333333333</v>
      </c>
      <c r="C195" s="3">
        <v>39.414000000000001</v>
      </c>
      <c r="D195" s="3">
        <v>48.636000000000003</v>
      </c>
      <c r="E195" s="3">
        <v>52.198999999999998</v>
      </c>
      <c r="F195" s="3">
        <v>44.545000000000002</v>
      </c>
      <c r="G195" s="3">
        <v>46.752000000000002</v>
      </c>
      <c r="H195" s="17">
        <v>52.183</v>
      </c>
      <c r="I195" s="17">
        <v>60.929000000000002</v>
      </c>
      <c r="J195" s="3">
        <v>63.398000000000003</v>
      </c>
      <c r="K195" s="3">
        <v>40.930999999999997</v>
      </c>
      <c r="L195" s="3">
        <v>61.128</v>
      </c>
      <c r="M195" s="3">
        <v>51.662999999999997</v>
      </c>
      <c r="N195" s="3">
        <v>60.99</v>
      </c>
      <c r="O195" s="3">
        <v>72.257000000000005</v>
      </c>
      <c r="P195" s="3">
        <v>49.686</v>
      </c>
      <c r="Q195" s="3">
        <v>49.512</v>
      </c>
      <c r="R195" s="3">
        <v>52.677</v>
      </c>
      <c r="X195" s="24"/>
    </row>
    <row r="196" spans="1:24" x14ac:dyDescent="0.2">
      <c r="A196" s="3"/>
      <c r="B196" s="23">
        <v>5.6</v>
      </c>
      <c r="C196" s="3">
        <v>39.356000000000002</v>
      </c>
      <c r="D196" s="3">
        <v>48.447000000000003</v>
      </c>
      <c r="E196" s="3">
        <v>51.981999999999999</v>
      </c>
      <c r="F196" s="3">
        <v>44.468000000000004</v>
      </c>
      <c r="G196" s="3">
        <v>46.399000000000001</v>
      </c>
      <c r="H196" s="17">
        <v>52.13</v>
      </c>
      <c r="I196" s="17">
        <v>60.87</v>
      </c>
      <c r="J196" s="3">
        <v>63.265999999999998</v>
      </c>
      <c r="K196" s="3">
        <v>40.652999999999999</v>
      </c>
      <c r="L196" s="3">
        <v>61.026000000000003</v>
      </c>
      <c r="M196" s="3">
        <v>51.503</v>
      </c>
      <c r="N196" s="3">
        <v>60.896000000000001</v>
      </c>
      <c r="O196" s="3">
        <v>72.27</v>
      </c>
      <c r="P196" s="3">
        <v>49.61</v>
      </c>
      <c r="Q196" s="3">
        <v>49.45</v>
      </c>
      <c r="R196" s="3">
        <v>52.277999999999999</v>
      </c>
    </row>
    <row r="197" spans="1:24" x14ac:dyDescent="0.2">
      <c r="A197" s="3"/>
      <c r="B197" s="23">
        <v>5.6166666666666663</v>
      </c>
      <c r="C197" s="3">
        <v>39.090000000000003</v>
      </c>
      <c r="D197" s="3">
        <v>48.417000000000002</v>
      </c>
      <c r="E197" s="3">
        <v>51.926000000000002</v>
      </c>
      <c r="F197" s="3">
        <v>44.308</v>
      </c>
      <c r="G197" s="3">
        <v>46.47</v>
      </c>
      <c r="H197" s="17">
        <v>52.02</v>
      </c>
      <c r="I197" s="17">
        <v>60.744</v>
      </c>
      <c r="J197" s="3">
        <v>63.232999999999997</v>
      </c>
      <c r="K197" s="3">
        <v>40.478000000000002</v>
      </c>
      <c r="L197" s="3">
        <v>60.991999999999997</v>
      </c>
      <c r="M197" s="3">
        <v>51.469000000000001</v>
      </c>
      <c r="N197" s="3">
        <v>60.84</v>
      </c>
      <c r="O197" s="3">
        <v>72.268000000000001</v>
      </c>
      <c r="P197" s="3">
        <v>49.323</v>
      </c>
      <c r="Q197" s="3">
        <v>49.398000000000003</v>
      </c>
      <c r="R197" s="3">
        <v>52.295999999999999</v>
      </c>
      <c r="X197" s="24"/>
    </row>
    <row r="198" spans="1:24" x14ac:dyDescent="0.2">
      <c r="A198" s="3"/>
      <c r="B198" s="23">
        <v>5.6333333333333337</v>
      </c>
      <c r="C198" s="3">
        <v>38.951999999999998</v>
      </c>
      <c r="D198" s="3">
        <v>48.307000000000002</v>
      </c>
      <c r="E198" s="3">
        <v>51.712000000000003</v>
      </c>
      <c r="F198" s="3">
        <v>44.212000000000003</v>
      </c>
      <c r="G198" s="3">
        <v>46.302999999999997</v>
      </c>
      <c r="H198" s="17">
        <v>51.918999999999997</v>
      </c>
      <c r="I198" s="17">
        <v>60.615000000000002</v>
      </c>
      <c r="J198" s="3">
        <v>63.113999999999997</v>
      </c>
      <c r="K198" s="3">
        <v>40.348999999999997</v>
      </c>
      <c r="L198" s="3">
        <v>60.823999999999998</v>
      </c>
      <c r="M198" s="3">
        <v>51.283999999999999</v>
      </c>
      <c r="N198" s="3">
        <v>60.74</v>
      </c>
      <c r="O198" s="3">
        <v>72.174000000000007</v>
      </c>
      <c r="P198" s="3">
        <v>49.356000000000002</v>
      </c>
      <c r="Q198" s="3">
        <v>49.305999999999997</v>
      </c>
      <c r="R198" s="3">
        <v>52.218000000000004</v>
      </c>
    </row>
    <row r="199" spans="1:24" x14ac:dyDescent="0.2">
      <c r="A199" s="3"/>
      <c r="B199" s="23">
        <v>5.65</v>
      </c>
      <c r="C199" s="3">
        <v>38.646000000000001</v>
      </c>
      <c r="D199" s="3">
        <v>48.231000000000002</v>
      </c>
      <c r="E199" s="3">
        <v>51.695</v>
      </c>
      <c r="F199" s="3">
        <v>44.04</v>
      </c>
      <c r="G199" s="3">
        <v>46.177</v>
      </c>
      <c r="H199" s="17">
        <v>51.829000000000001</v>
      </c>
      <c r="I199" s="17">
        <v>60.503</v>
      </c>
      <c r="J199" s="3">
        <v>63.048000000000002</v>
      </c>
      <c r="K199" s="3">
        <v>40.246000000000002</v>
      </c>
      <c r="L199" s="3">
        <v>60.722000000000001</v>
      </c>
      <c r="M199" s="3">
        <v>51.331000000000003</v>
      </c>
      <c r="N199" s="3">
        <v>60.686</v>
      </c>
      <c r="O199" s="3">
        <v>72.164000000000001</v>
      </c>
      <c r="P199" s="3">
        <v>49.170999999999999</v>
      </c>
      <c r="Q199" s="3">
        <v>49.204000000000001</v>
      </c>
      <c r="R199" s="3">
        <v>52.328000000000003</v>
      </c>
      <c r="X199" s="24"/>
    </row>
    <row r="200" spans="1:24" x14ac:dyDescent="0.2">
      <c r="A200" s="3"/>
      <c r="B200" s="23">
        <v>5.666666666666667</v>
      </c>
      <c r="C200" s="3">
        <v>38.531999999999996</v>
      </c>
      <c r="D200" s="3">
        <v>48.03</v>
      </c>
      <c r="E200" s="3">
        <v>51.595999999999997</v>
      </c>
      <c r="F200" s="3">
        <v>43.98</v>
      </c>
      <c r="G200" s="3">
        <v>46.08</v>
      </c>
      <c r="H200" s="17">
        <v>51.749000000000002</v>
      </c>
      <c r="I200" s="17">
        <v>60.433999999999997</v>
      </c>
      <c r="J200" s="3">
        <v>62.883000000000003</v>
      </c>
      <c r="K200" s="3">
        <v>40.031999999999996</v>
      </c>
      <c r="L200" s="3">
        <v>60.652999999999999</v>
      </c>
      <c r="M200" s="3">
        <v>51.238999999999997</v>
      </c>
      <c r="N200" s="3">
        <v>60.598999999999997</v>
      </c>
      <c r="O200" s="3">
        <v>72.150999999999996</v>
      </c>
      <c r="P200" s="3">
        <v>49.024000000000001</v>
      </c>
      <c r="Q200" s="3">
        <v>49.142000000000003</v>
      </c>
      <c r="R200" s="3">
        <v>51.984000000000002</v>
      </c>
    </row>
    <row r="201" spans="1:24" x14ac:dyDescent="0.2">
      <c r="A201" s="3"/>
      <c r="B201" s="23">
        <v>5.6833333333333336</v>
      </c>
      <c r="C201" s="3">
        <v>38.384999999999998</v>
      </c>
      <c r="D201" s="3">
        <v>47.877000000000002</v>
      </c>
      <c r="E201" s="3">
        <v>51.502000000000002</v>
      </c>
      <c r="F201" s="3">
        <v>43.2</v>
      </c>
      <c r="G201" s="3">
        <v>45.97</v>
      </c>
      <c r="H201" s="17">
        <v>51.655000000000001</v>
      </c>
      <c r="I201" s="17">
        <v>60.37</v>
      </c>
      <c r="J201" s="3">
        <v>62.787999999999997</v>
      </c>
      <c r="K201" s="3">
        <v>39.877000000000002</v>
      </c>
      <c r="L201" s="3">
        <v>60.591000000000001</v>
      </c>
      <c r="M201" s="3">
        <v>51.128999999999998</v>
      </c>
      <c r="N201" s="3">
        <v>60.414999999999999</v>
      </c>
      <c r="O201" s="3">
        <v>72.120999999999995</v>
      </c>
      <c r="P201" s="3">
        <v>49.031999999999996</v>
      </c>
      <c r="Q201" s="3">
        <v>48.972999999999999</v>
      </c>
      <c r="R201" s="3">
        <v>51.933</v>
      </c>
      <c r="X201" s="24"/>
    </row>
    <row r="202" spans="1:24" x14ac:dyDescent="0.2">
      <c r="A202" s="3"/>
      <c r="B202" s="23">
        <v>5.7</v>
      </c>
      <c r="C202" s="3">
        <v>38.173000000000002</v>
      </c>
      <c r="D202" s="3">
        <v>47.731000000000002</v>
      </c>
      <c r="E202" s="3">
        <v>51.470999999999997</v>
      </c>
      <c r="F202" s="3">
        <v>43.509</v>
      </c>
      <c r="G202" s="3">
        <v>45.558999999999997</v>
      </c>
      <c r="H202" s="17">
        <v>51.606000000000002</v>
      </c>
      <c r="I202" s="17">
        <v>60.268000000000001</v>
      </c>
      <c r="J202" s="3">
        <v>62.726999999999997</v>
      </c>
      <c r="K202" s="3">
        <v>39.814</v>
      </c>
      <c r="L202" s="3">
        <v>60.515000000000001</v>
      </c>
      <c r="M202" s="3">
        <v>51.040999999999997</v>
      </c>
      <c r="N202" s="3">
        <v>59.978999999999999</v>
      </c>
      <c r="O202" s="3">
        <v>72.144999999999996</v>
      </c>
      <c r="P202" s="3">
        <v>49.036000000000001</v>
      </c>
      <c r="Q202" s="3">
        <v>48.968000000000004</v>
      </c>
      <c r="R202" s="3">
        <v>51.99</v>
      </c>
    </row>
    <row r="203" spans="1:24" x14ac:dyDescent="0.2">
      <c r="A203" s="3"/>
      <c r="B203" s="23">
        <v>5.7166666666666668</v>
      </c>
      <c r="C203" s="3">
        <v>37.802999999999997</v>
      </c>
      <c r="D203" s="3">
        <v>47.802</v>
      </c>
      <c r="E203" s="3">
        <v>51.31</v>
      </c>
      <c r="F203" s="3">
        <v>43.408999999999999</v>
      </c>
      <c r="G203" s="3">
        <v>45.548000000000002</v>
      </c>
      <c r="H203" s="17">
        <v>51.500999999999998</v>
      </c>
      <c r="I203" s="17">
        <v>59.76</v>
      </c>
      <c r="J203" s="3">
        <v>62.646999999999998</v>
      </c>
      <c r="K203" s="3">
        <v>39.585000000000001</v>
      </c>
      <c r="L203" s="3">
        <v>60.406999999999996</v>
      </c>
      <c r="M203" s="3">
        <v>50.987000000000002</v>
      </c>
      <c r="N203" s="3">
        <v>60.253999999999998</v>
      </c>
      <c r="O203" s="3">
        <v>72.037000000000006</v>
      </c>
      <c r="P203" s="3">
        <v>48.988999999999997</v>
      </c>
      <c r="Q203" s="3">
        <v>48.908999999999999</v>
      </c>
      <c r="R203" s="3">
        <v>51.768000000000001</v>
      </c>
      <c r="X203" s="24"/>
    </row>
    <row r="204" spans="1:24" x14ac:dyDescent="0.2">
      <c r="A204" s="3"/>
      <c r="B204" s="23">
        <v>5.7333333333333334</v>
      </c>
      <c r="C204" s="3">
        <v>37.854999999999997</v>
      </c>
      <c r="D204" s="3">
        <v>47.515999999999998</v>
      </c>
      <c r="E204" s="3">
        <v>51.234999999999999</v>
      </c>
      <c r="F204" s="3">
        <v>42.872</v>
      </c>
      <c r="G204" s="3">
        <v>45.438000000000002</v>
      </c>
      <c r="H204" s="17">
        <v>51.369</v>
      </c>
      <c r="I204" s="17">
        <v>59.96</v>
      </c>
      <c r="J204" s="3">
        <v>62.527000000000001</v>
      </c>
      <c r="K204" s="3">
        <v>39.329000000000001</v>
      </c>
      <c r="L204" s="3">
        <v>60.292000000000002</v>
      </c>
      <c r="M204" s="3">
        <v>50.906999999999996</v>
      </c>
      <c r="N204" s="3">
        <v>60.148000000000003</v>
      </c>
      <c r="O204" s="3">
        <v>72.058000000000007</v>
      </c>
      <c r="P204" s="3">
        <v>48.939</v>
      </c>
      <c r="Q204" s="3">
        <v>48.792000000000002</v>
      </c>
      <c r="R204" s="3">
        <v>51.893000000000001</v>
      </c>
    </row>
    <row r="205" spans="1:24" x14ac:dyDescent="0.2">
      <c r="A205" s="3"/>
      <c r="B205" s="23">
        <v>5.75</v>
      </c>
      <c r="C205" s="3">
        <v>37.545000000000002</v>
      </c>
      <c r="D205" s="3">
        <v>47.475000000000001</v>
      </c>
      <c r="E205" s="3">
        <v>50.936999999999998</v>
      </c>
      <c r="F205" s="3">
        <v>42.85</v>
      </c>
      <c r="G205" s="3">
        <v>44.962000000000003</v>
      </c>
      <c r="H205" s="17">
        <v>51.241</v>
      </c>
      <c r="I205" s="17">
        <v>59.832999999999998</v>
      </c>
      <c r="J205" s="3">
        <v>62.545999999999999</v>
      </c>
      <c r="K205" s="3">
        <v>39.168999999999997</v>
      </c>
      <c r="L205" s="3">
        <v>60.203000000000003</v>
      </c>
      <c r="M205" s="3">
        <v>50.811</v>
      </c>
      <c r="N205" s="3">
        <v>60.143999999999998</v>
      </c>
      <c r="O205" s="3">
        <v>71.997</v>
      </c>
      <c r="P205" s="3">
        <v>48.886000000000003</v>
      </c>
      <c r="Q205" s="3">
        <v>48.67</v>
      </c>
      <c r="R205" s="3">
        <v>51.823999999999998</v>
      </c>
      <c r="X205" s="24"/>
    </row>
    <row r="206" spans="1:24" x14ac:dyDescent="0.2">
      <c r="A206" s="3"/>
      <c r="B206" s="23">
        <v>5.7666666666666666</v>
      </c>
      <c r="C206" s="3">
        <v>37.293999999999997</v>
      </c>
      <c r="D206" s="3">
        <v>47.344000000000001</v>
      </c>
      <c r="E206" s="3">
        <v>50.954000000000001</v>
      </c>
      <c r="F206" s="3">
        <v>42.947000000000003</v>
      </c>
      <c r="G206" s="3">
        <v>45.093000000000004</v>
      </c>
      <c r="H206" s="17">
        <v>51.197000000000003</v>
      </c>
      <c r="I206" s="17">
        <v>59.713000000000001</v>
      </c>
      <c r="J206" s="3">
        <v>62.459000000000003</v>
      </c>
      <c r="K206" s="3">
        <v>39.008000000000003</v>
      </c>
      <c r="L206" s="3">
        <v>60.128999999999998</v>
      </c>
      <c r="M206" s="3">
        <v>50.728000000000002</v>
      </c>
      <c r="N206" s="3">
        <v>60.109000000000002</v>
      </c>
      <c r="O206" s="3">
        <v>72.070999999999998</v>
      </c>
      <c r="P206" s="3">
        <v>48.78</v>
      </c>
      <c r="Q206" s="3">
        <v>48.600999999999999</v>
      </c>
      <c r="R206" s="3">
        <v>51.843000000000004</v>
      </c>
    </row>
    <row r="207" spans="1:24" x14ac:dyDescent="0.2">
      <c r="A207" s="3"/>
      <c r="B207" s="23">
        <v>5.7833333333333332</v>
      </c>
      <c r="C207" s="3">
        <v>37.156999999999996</v>
      </c>
      <c r="D207" s="3">
        <v>47.124000000000002</v>
      </c>
      <c r="E207" s="3">
        <v>50.823999999999998</v>
      </c>
      <c r="F207" s="3">
        <v>42.566000000000003</v>
      </c>
      <c r="G207" s="3">
        <v>45.078000000000003</v>
      </c>
      <c r="H207" s="17">
        <v>51.134</v>
      </c>
      <c r="I207" s="17">
        <v>59.664999999999999</v>
      </c>
      <c r="J207" s="3">
        <v>62.396999999999998</v>
      </c>
      <c r="K207" s="3">
        <v>38.905999999999999</v>
      </c>
      <c r="L207" s="3">
        <v>60.06</v>
      </c>
      <c r="M207" s="3">
        <v>50.612000000000002</v>
      </c>
      <c r="N207" s="3">
        <v>60.055999999999997</v>
      </c>
      <c r="O207" s="3">
        <v>72.001999999999995</v>
      </c>
      <c r="P207" s="3">
        <v>48.774999999999999</v>
      </c>
      <c r="Q207" s="3">
        <v>48.473999999999997</v>
      </c>
      <c r="R207" s="3">
        <v>51.841999999999999</v>
      </c>
      <c r="X207" s="24"/>
    </row>
    <row r="208" spans="1:24" x14ac:dyDescent="0.2">
      <c r="A208" s="3"/>
      <c r="B208" s="23">
        <v>5.8</v>
      </c>
      <c r="C208" s="3">
        <v>36.921999999999997</v>
      </c>
      <c r="D208" s="3">
        <v>47.06</v>
      </c>
      <c r="E208" s="3">
        <v>50.679000000000002</v>
      </c>
      <c r="F208" s="3">
        <v>42.31</v>
      </c>
      <c r="G208" s="3">
        <v>44.862000000000002</v>
      </c>
      <c r="H208" s="17">
        <v>51.012999999999998</v>
      </c>
      <c r="I208" s="17">
        <v>59.557000000000002</v>
      </c>
      <c r="J208" s="3">
        <v>62.325000000000003</v>
      </c>
      <c r="K208" s="3">
        <v>38.707999999999998</v>
      </c>
      <c r="L208" s="3">
        <v>59.906999999999996</v>
      </c>
      <c r="M208" s="3">
        <v>50.542000000000002</v>
      </c>
      <c r="N208" s="3">
        <v>59.994999999999997</v>
      </c>
      <c r="O208" s="3">
        <v>71.896000000000001</v>
      </c>
      <c r="P208" s="3">
        <v>48.726999999999997</v>
      </c>
      <c r="Q208" s="3">
        <v>48.445999999999998</v>
      </c>
      <c r="R208" s="3">
        <v>51.11</v>
      </c>
    </row>
    <row r="209" spans="1:24" x14ac:dyDescent="0.2">
      <c r="A209" s="3"/>
      <c r="B209" s="23">
        <v>5.8166666666666664</v>
      </c>
      <c r="C209" s="3">
        <v>36.76</v>
      </c>
      <c r="D209" s="3">
        <v>47.002000000000002</v>
      </c>
      <c r="E209" s="3">
        <v>50.551000000000002</v>
      </c>
      <c r="F209" s="3">
        <v>42.506</v>
      </c>
      <c r="G209" s="3">
        <v>44.642000000000003</v>
      </c>
      <c r="H209" s="17">
        <v>50.902000000000001</v>
      </c>
      <c r="I209" s="17">
        <v>59.451999999999998</v>
      </c>
      <c r="J209" s="3">
        <v>62.286000000000001</v>
      </c>
      <c r="K209" s="3">
        <v>38.450000000000003</v>
      </c>
      <c r="L209" s="3">
        <v>59.834000000000003</v>
      </c>
      <c r="M209" s="3">
        <v>50.469000000000001</v>
      </c>
      <c r="N209" s="3">
        <v>59.997</v>
      </c>
      <c r="O209" s="3">
        <v>71.965000000000003</v>
      </c>
      <c r="P209" s="3">
        <v>48.530999999999999</v>
      </c>
      <c r="Q209" s="3">
        <v>48.39</v>
      </c>
      <c r="R209" s="3">
        <v>51.515000000000001</v>
      </c>
      <c r="X209" s="24"/>
    </row>
    <row r="210" spans="1:24" x14ac:dyDescent="0.2">
      <c r="A210" s="3"/>
      <c r="B210" s="23">
        <v>5.833333333333333</v>
      </c>
      <c r="C210" s="3">
        <v>36.576000000000001</v>
      </c>
      <c r="D210" s="3">
        <v>46.918999999999997</v>
      </c>
      <c r="E210" s="3">
        <v>50.598999999999997</v>
      </c>
      <c r="F210" s="3">
        <v>42.311999999999998</v>
      </c>
      <c r="G210" s="3">
        <v>44.503</v>
      </c>
      <c r="H210" s="17">
        <v>50.814</v>
      </c>
      <c r="I210" s="17">
        <v>59.36</v>
      </c>
      <c r="J210" s="3">
        <v>62.212000000000003</v>
      </c>
      <c r="K210" s="3">
        <v>38.284999999999997</v>
      </c>
      <c r="L210" s="3">
        <v>59.811999999999998</v>
      </c>
      <c r="M210" s="3">
        <v>50.387999999999998</v>
      </c>
      <c r="N210" s="3">
        <v>59.924999999999997</v>
      </c>
      <c r="O210" s="3">
        <v>72.013000000000005</v>
      </c>
      <c r="P210" s="3">
        <v>48.472000000000001</v>
      </c>
      <c r="Q210" s="3">
        <v>48.225000000000001</v>
      </c>
      <c r="R210" s="3">
        <v>51.247</v>
      </c>
    </row>
    <row r="211" spans="1:24" x14ac:dyDescent="0.2">
      <c r="A211" s="3"/>
      <c r="B211" s="23">
        <v>5.85</v>
      </c>
      <c r="C211" s="3">
        <v>36.340000000000003</v>
      </c>
      <c r="D211" s="3">
        <v>46.954999999999998</v>
      </c>
      <c r="E211" s="3">
        <v>50.459000000000003</v>
      </c>
      <c r="F211" s="3">
        <v>42.271000000000001</v>
      </c>
      <c r="G211" s="3">
        <v>44.38</v>
      </c>
      <c r="H211" s="17">
        <v>50.741999999999997</v>
      </c>
      <c r="I211" s="17">
        <v>59.228999999999999</v>
      </c>
      <c r="J211" s="3">
        <v>62.146999999999998</v>
      </c>
      <c r="K211" s="3">
        <v>38.118000000000002</v>
      </c>
      <c r="L211" s="3">
        <v>59.7</v>
      </c>
      <c r="M211" s="3">
        <v>50.304000000000002</v>
      </c>
      <c r="N211" s="3">
        <v>59.871000000000002</v>
      </c>
      <c r="O211" s="3">
        <v>71.971000000000004</v>
      </c>
      <c r="P211" s="3">
        <v>48.354999999999997</v>
      </c>
      <c r="Q211" s="3">
        <v>48.146999999999998</v>
      </c>
      <c r="R211" s="3">
        <v>51.17</v>
      </c>
      <c r="X211" s="24"/>
    </row>
    <row r="212" spans="1:24" x14ac:dyDescent="0.2">
      <c r="A212" s="3"/>
      <c r="B212" s="23">
        <v>5.8666666666666663</v>
      </c>
      <c r="C212" s="3">
        <v>36.164999999999999</v>
      </c>
      <c r="D212" s="3">
        <v>46.787999999999997</v>
      </c>
      <c r="E212" s="3">
        <v>50.384</v>
      </c>
      <c r="F212" s="3">
        <v>41.433</v>
      </c>
      <c r="G212" s="3">
        <v>44.3</v>
      </c>
      <c r="H212" s="17">
        <v>50.622</v>
      </c>
      <c r="I212" s="17">
        <v>59.118000000000002</v>
      </c>
      <c r="J212" s="3">
        <v>62.002000000000002</v>
      </c>
      <c r="K212" s="3">
        <v>38.006</v>
      </c>
      <c r="L212" s="3">
        <v>59.624000000000002</v>
      </c>
      <c r="M212" s="3">
        <v>50.215000000000003</v>
      </c>
      <c r="N212" s="3">
        <v>59.814999999999998</v>
      </c>
      <c r="O212" s="3">
        <v>71.930000000000007</v>
      </c>
      <c r="P212" s="3">
        <v>48.320999999999998</v>
      </c>
      <c r="Q212" s="3">
        <v>48.085000000000001</v>
      </c>
      <c r="R212" s="3">
        <v>51.161000000000001</v>
      </c>
    </row>
    <row r="213" spans="1:24" x14ac:dyDescent="0.2">
      <c r="A213" s="3"/>
      <c r="B213" s="23">
        <v>5.8833333333333337</v>
      </c>
      <c r="C213" s="3">
        <v>35.965000000000003</v>
      </c>
      <c r="D213" s="3">
        <v>46.67</v>
      </c>
      <c r="E213" s="3">
        <v>50.261000000000003</v>
      </c>
      <c r="F213" s="3">
        <v>41.99</v>
      </c>
      <c r="G213" s="3">
        <v>44.201999999999998</v>
      </c>
      <c r="H213" s="17">
        <v>50.555</v>
      </c>
      <c r="I213" s="17">
        <v>59.054000000000002</v>
      </c>
      <c r="J213" s="3">
        <v>61.978000000000002</v>
      </c>
      <c r="K213" s="3">
        <v>37.780999999999999</v>
      </c>
      <c r="L213" s="3">
        <v>59.542000000000002</v>
      </c>
      <c r="M213" s="3">
        <v>50.13</v>
      </c>
      <c r="N213" s="3">
        <v>59.814</v>
      </c>
      <c r="O213" s="3">
        <v>71.881</v>
      </c>
      <c r="P213" s="3">
        <v>48.293999999999997</v>
      </c>
      <c r="Q213" s="3">
        <v>47.927999999999997</v>
      </c>
      <c r="R213" s="3">
        <v>51.143000000000001</v>
      </c>
      <c r="X213" s="24"/>
    </row>
    <row r="214" spans="1:24" x14ac:dyDescent="0.2">
      <c r="A214" s="3"/>
      <c r="B214" s="23">
        <v>5.9</v>
      </c>
      <c r="C214" s="3">
        <v>35.807000000000002</v>
      </c>
      <c r="D214" s="3">
        <v>46.59</v>
      </c>
      <c r="E214" s="3">
        <v>50.08</v>
      </c>
      <c r="F214" s="3">
        <v>41.948</v>
      </c>
      <c r="G214" s="3">
        <v>43.954000000000001</v>
      </c>
      <c r="H214" s="17">
        <v>50.445999999999998</v>
      </c>
      <c r="I214" s="17">
        <v>58.808</v>
      </c>
      <c r="J214" s="3">
        <v>61.893000000000001</v>
      </c>
      <c r="K214" s="3">
        <v>37.536000000000001</v>
      </c>
      <c r="L214" s="3">
        <v>59.456000000000003</v>
      </c>
      <c r="M214" s="3">
        <v>50.1</v>
      </c>
      <c r="N214" s="3">
        <v>59.73</v>
      </c>
      <c r="O214" s="3">
        <v>71.933000000000007</v>
      </c>
      <c r="P214" s="3">
        <v>48.246000000000002</v>
      </c>
      <c r="Q214" s="3">
        <v>47.963000000000001</v>
      </c>
      <c r="R214" s="3">
        <v>51.066000000000003</v>
      </c>
    </row>
    <row r="215" spans="1:24" x14ac:dyDescent="0.2">
      <c r="A215" s="3"/>
      <c r="B215" s="23">
        <v>5.916666666666667</v>
      </c>
      <c r="C215" s="3">
        <v>35.689</v>
      </c>
      <c r="D215" s="3">
        <v>46.548000000000002</v>
      </c>
      <c r="E215" s="3">
        <v>50.076000000000001</v>
      </c>
      <c r="F215" s="3">
        <v>41.537999999999997</v>
      </c>
      <c r="G215" s="3">
        <v>43.857999999999997</v>
      </c>
      <c r="H215" s="17">
        <v>50.41</v>
      </c>
      <c r="I215" s="17">
        <v>58.798999999999999</v>
      </c>
      <c r="J215" s="3">
        <v>61.795000000000002</v>
      </c>
      <c r="K215" s="3">
        <v>37.426000000000002</v>
      </c>
      <c r="L215" s="3">
        <v>59.341999999999999</v>
      </c>
      <c r="M215" s="3">
        <v>49.941000000000003</v>
      </c>
      <c r="N215" s="3">
        <v>59.704000000000001</v>
      </c>
      <c r="O215" s="3">
        <v>71.783000000000001</v>
      </c>
      <c r="P215" s="3">
        <v>48.151000000000003</v>
      </c>
      <c r="Q215" s="3">
        <v>47.884</v>
      </c>
      <c r="R215" s="3">
        <v>51.158000000000001</v>
      </c>
      <c r="X215" s="24"/>
    </row>
    <row r="216" spans="1:24" x14ac:dyDescent="0.2">
      <c r="A216" s="3"/>
      <c r="B216" s="23">
        <v>5.9333333333333336</v>
      </c>
      <c r="C216" s="3">
        <v>35.265000000000001</v>
      </c>
      <c r="D216" s="3">
        <v>46.369</v>
      </c>
      <c r="E216" s="3">
        <v>49.887</v>
      </c>
      <c r="F216" s="3">
        <v>41.283999999999999</v>
      </c>
      <c r="G216" s="3">
        <v>43.64</v>
      </c>
      <c r="H216" s="17">
        <v>50.311999999999998</v>
      </c>
      <c r="I216" s="17">
        <v>58.588999999999999</v>
      </c>
      <c r="J216" s="3">
        <v>61.698999999999998</v>
      </c>
      <c r="K216" s="3">
        <v>37.319000000000003</v>
      </c>
      <c r="L216" s="3">
        <v>59.115000000000002</v>
      </c>
      <c r="M216" s="3">
        <v>49.865000000000002</v>
      </c>
      <c r="N216" s="3">
        <v>59.662999999999997</v>
      </c>
      <c r="O216" s="3">
        <v>71.915000000000006</v>
      </c>
      <c r="P216" s="3">
        <v>47.933</v>
      </c>
      <c r="Q216" s="3">
        <v>47.77</v>
      </c>
      <c r="R216" s="3">
        <v>51.095999999999997</v>
      </c>
    </row>
    <row r="217" spans="1:24" x14ac:dyDescent="0.2">
      <c r="A217" s="3"/>
      <c r="B217" s="23">
        <v>5.95</v>
      </c>
      <c r="C217" s="3">
        <v>35.168999999999997</v>
      </c>
      <c r="D217" s="3">
        <v>46.307000000000002</v>
      </c>
      <c r="E217" s="3">
        <v>49.921999999999997</v>
      </c>
      <c r="F217" s="3">
        <v>41.545000000000002</v>
      </c>
      <c r="G217" s="3">
        <v>43.406999999999996</v>
      </c>
      <c r="H217" s="17">
        <v>50.223999999999997</v>
      </c>
      <c r="I217" s="17">
        <v>58.49</v>
      </c>
      <c r="J217" s="3">
        <v>61.661999999999999</v>
      </c>
      <c r="K217" s="3">
        <v>37.000999999999998</v>
      </c>
      <c r="L217" s="3">
        <v>59.131</v>
      </c>
      <c r="M217" s="3">
        <v>49.86</v>
      </c>
      <c r="N217" s="3">
        <v>59.561</v>
      </c>
      <c r="O217" s="3">
        <v>71.902000000000001</v>
      </c>
      <c r="P217" s="3">
        <v>47.970999999999997</v>
      </c>
      <c r="Q217" s="3">
        <v>47.628999999999998</v>
      </c>
      <c r="R217" s="3">
        <v>51.061999999999998</v>
      </c>
      <c r="X217" s="24"/>
    </row>
    <row r="218" spans="1:24" x14ac:dyDescent="0.2">
      <c r="A218" s="3"/>
      <c r="B218" s="23">
        <v>5.9666666666666668</v>
      </c>
      <c r="C218" s="3">
        <v>35.073999999999998</v>
      </c>
      <c r="D218" s="3">
        <v>46.331000000000003</v>
      </c>
      <c r="E218" s="3">
        <v>49.758000000000003</v>
      </c>
      <c r="F218" s="3">
        <v>41.027000000000001</v>
      </c>
      <c r="G218" s="3">
        <v>43.280999999999999</v>
      </c>
      <c r="H218" s="17">
        <v>50.1</v>
      </c>
      <c r="I218" s="17">
        <v>58.405999999999999</v>
      </c>
      <c r="J218" s="3">
        <v>61.548000000000002</v>
      </c>
      <c r="K218" s="3">
        <v>36.945</v>
      </c>
      <c r="L218" s="3">
        <v>59.097000000000001</v>
      </c>
      <c r="M218" s="3">
        <v>49.75</v>
      </c>
      <c r="N218" s="3">
        <v>59.514000000000003</v>
      </c>
      <c r="O218" s="3">
        <v>71.929000000000002</v>
      </c>
      <c r="P218" s="3">
        <v>47.932000000000002</v>
      </c>
      <c r="Q218" s="3">
        <v>47.634</v>
      </c>
      <c r="R218" s="3">
        <v>50.581000000000003</v>
      </c>
    </row>
    <row r="219" spans="1:24" x14ac:dyDescent="0.2">
      <c r="A219" s="3"/>
      <c r="B219" s="23">
        <v>5.9833333333333334</v>
      </c>
      <c r="C219" s="3">
        <v>34.771999999999998</v>
      </c>
      <c r="D219" s="3">
        <v>46.030999999999999</v>
      </c>
      <c r="E219" s="3">
        <v>49.634</v>
      </c>
      <c r="F219" s="3">
        <v>41.212000000000003</v>
      </c>
      <c r="G219" s="3">
        <v>43.101999999999997</v>
      </c>
      <c r="H219" s="17">
        <v>50.040999999999997</v>
      </c>
      <c r="I219" s="17">
        <v>58.415999999999997</v>
      </c>
      <c r="J219" s="3">
        <v>61.423999999999999</v>
      </c>
      <c r="K219" s="3">
        <v>36.683999999999997</v>
      </c>
      <c r="L219" s="3">
        <v>58.975999999999999</v>
      </c>
      <c r="M219" s="3">
        <v>49.616</v>
      </c>
      <c r="N219" s="3">
        <v>59.466999999999999</v>
      </c>
      <c r="O219" s="3">
        <v>71.882000000000005</v>
      </c>
      <c r="P219" s="3">
        <v>47.838999999999999</v>
      </c>
      <c r="Q219" s="3">
        <v>47.505000000000003</v>
      </c>
      <c r="R219" s="3">
        <v>50.58</v>
      </c>
      <c r="X219" s="24"/>
    </row>
    <row r="220" spans="1:24" x14ac:dyDescent="0.2">
      <c r="A220" s="3"/>
      <c r="B220" s="23">
        <v>6</v>
      </c>
      <c r="C220" s="3">
        <v>34.488</v>
      </c>
      <c r="D220" s="3">
        <v>45.896000000000001</v>
      </c>
      <c r="E220" s="3">
        <v>49.536999999999999</v>
      </c>
      <c r="F220" s="3">
        <v>41.13</v>
      </c>
      <c r="G220" s="3">
        <v>42.973999999999997</v>
      </c>
      <c r="H220" s="17">
        <v>49.911999999999999</v>
      </c>
      <c r="I220" s="17">
        <v>58.368000000000002</v>
      </c>
      <c r="J220" s="3">
        <v>61.345999999999997</v>
      </c>
      <c r="K220" s="3">
        <v>36.531999999999996</v>
      </c>
      <c r="L220" s="3">
        <v>58.895000000000003</v>
      </c>
      <c r="M220" s="3">
        <v>49.594000000000001</v>
      </c>
      <c r="N220" s="3">
        <v>59.411000000000001</v>
      </c>
      <c r="O220" s="3">
        <v>71.908000000000001</v>
      </c>
      <c r="P220" s="3">
        <v>47.82</v>
      </c>
      <c r="Q220" s="3">
        <v>47.475000000000001</v>
      </c>
      <c r="R220" s="3">
        <v>50.667999999999999</v>
      </c>
    </row>
    <row r="221" spans="1:24" x14ac:dyDescent="0.2">
      <c r="A221" s="3"/>
      <c r="B221" s="23">
        <v>6.0166666666666666</v>
      </c>
      <c r="C221" s="3">
        <v>34.448999999999998</v>
      </c>
      <c r="D221" s="3">
        <v>45.911999999999999</v>
      </c>
      <c r="E221" s="3">
        <v>49.436</v>
      </c>
      <c r="F221" s="3">
        <v>40.634</v>
      </c>
      <c r="G221" s="3">
        <v>42.898000000000003</v>
      </c>
      <c r="H221" s="17">
        <v>49.848999999999997</v>
      </c>
      <c r="I221" s="17">
        <v>58.276000000000003</v>
      </c>
      <c r="J221" s="3">
        <v>61.323999999999998</v>
      </c>
      <c r="K221" s="3">
        <v>36.398000000000003</v>
      </c>
      <c r="L221" s="3">
        <v>58.786000000000001</v>
      </c>
      <c r="M221" s="3">
        <v>49.54</v>
      </c>
      <c r="N221" s="3">
        <v>59.38</v>
      </c>
      <c r="O221" s="3">
        <v>71.873999999999995</v>
      </c>
      <c r="P221" s="3">
        <v>47.758000000000003</v>
      </c>
      <c r="Q221" s="3">
        <v>47.29</v>
      </c>
      <c r="R221" s="3">
        <v>50.661000000000001</v>
      </c>
      <c r="X221" s="24"/>
    </row>
    <row r="222" spans="1:24" x14ac:dyDescent="0.2">
      <c r="A222" s="3"/>
      <c r="B222" s="23">
        <v>6.0333333333333332</v>
      </c>
      <c r="C222" s="3">
        <v>34.302999999999997</v>
      </c>
      <c r="D222" s="3">
        <v>45.759</v>
      </c>
      <c r="E222" s="3">
        <v>49.444000000000003</v>
      </c>
      <c r="F222" s="3">
        <v>41.088000000000001</v>
      </c>
      <c r="G222" s="3">
        <v>42.598999999999997</v>
      </c>
      <c r="H222" s="17">
        <v>49.826000000000001</v>
      </c>
      <c r="I222" s="17">
        <v>58.216000000000001</v>
      </c>
      <c r="J222" s="3">
        <v>61.262999999999998</v>
      </c>
      <c r="K222" s="3">
        <v>36.279000000000003</v>
      </c>
      <c r="L222" s="3">
        <v>58.701000000000001</v>
      </c>
      <c r="M222" s="3">
        <v>49.371000000000002</v>
      </c>
      <c r="N222" s="3">
        <v>59.292000000000002</v>
      </c>
      <c r="O222" s="3">
        <v>71.87</v>
      </c>
      <c r="P222" s="3">
        <v>47.718000000000004</v>
      </c>
      <c r="Q222" s="3">
        <v>47.265000000000001</v>
      </c>
      <c r="R222" s="3">
        <v>50.600999999999999</v>
      </c>
    </row>
    <row r="223" spans="1:24" x14ac:dyDescent="0.2">
      <c r="A223" s="3"/>
      <c r="B223" s="23">
        <v>6.05</v>
      </c>
      <c r="C223" s="3">
        <v>34.100999999999999</v>
      </c>
      <c r="D223" s="3">
        <v>45.658000000000001</v>
      </c>
      <c r="E223" s="3">
        <v>49.268000000000001</v>
      </c>
      <c r="F223" s="3">
        <v>40.914000000000001</v>
      </c>
      <c r="G223" s="3">
        <v>42.494</v>
      </c>
      <c r="H223" s="17">
        <v>49.741</v>
      </c>
      <c r="I223" s="17">
        <v>58</v>
      </c>
      <c r="J223" s="3">
        <v>61.097000000000001</v>
      </c>
      <c r="K223" s="3">
        <v>36.134999999999998</v>
      </c>
      <c r="L223" s="3">
        <v>58.631999999999998</v>
      </c>
      <c r="M223" s="3">
        <v>49.335999999999999</v>
      </c>
      <c r="N223" s="3">
        <v>59.286000000000001</v>
      </c>
      <c r="O223" s="3">
        <v>71.834000000000003</v>
      </c>
      <c r="P223" s="3">
        <v>47.688000000000002</v>
      </c>
      <c r="Q223" s="3">
        <v>47.104999999999997</v>
      </c>
      <c r="R223" s="3">
        <v>50.295000000000002</v>
      </c>
      <c r="X223" s="24"/>
    </row>
    <row r="224" spans="1:24" x14ac:dyDescent="0.2">
      <c r="A224" s="3"/>
      <c r="B224" s="23">
        <v>6.0666666666666664</v>
      </c>
      <c r="C224" s="3">
        <v>33.813000000000002</v>
      </c>
      <c r="D224" s="3">
        <v>45.530999999999999</v>
      </c>
      <c r="E224" s="3">
        <v>49.28</v>
      </c>
      <c r="F224" s="3">
        <v>40.872</v>
      </c>
      <c r="G224" s="3">
        <v>42.472000000000001</v>
      </c>
      <c r="H224" s="17">
        <v>49.622999999999998</v>
      </c>
      <c r="I224" s="17">
        <v>57.973999999999997</v>
      </c>
      <c r="J224" s="3">
        <v>61.021000000000001</v>
      </c>
      <c r="K224" s="3">
        <v>35.86</v>
      </c>
      <c r="L224" s="3">
        <v>58.542999999999999</v>
      </c>
      <c r="M224" s="3">
        <v>49.265999999999998</v>
      </c>
      <c r="N224" s="3">
        <v>59.194000000000003</v>
      </c>
      <c r="O224" s="3">
        <v>71.834000000000003</v>
      </c>
      <c r="P224" s="3">
        <v>47.658999999999999</v>
      </c>
      <c r="Q224" s="3">
        <v>47.057000000000002</v>
      </c>
      <c r="R224" s="3">
        <v>50.301000000000002</v>
      </c>
    </row>
    <row r="225" spans="1:24" x14ac:dyDescent="0.2">
      <c r="A225" s="3"/>
      <c r="B225" s="23">
        <v>6.083333333333333</v>
      </c>
      <c r="C225" s="3">
        <v>33.716999999999999</v>
      </c>
      <c r="D225" s="3">
        <v>45.457999999999998</v>
      </c>
      <c r="E225" s="3">
        <v>48.98</v>
      </c>
      <c r="F225" s="3">
        <v>40.405000000000001</v>
      </c>
      <c r="G225" s="3">
        <v>42.366</v>
      </c>
      <c r="H225" s="17">
        <v>49.542000000000002</v>
      </c>
      <c r="I225" s="17">
        <v>57.845999999999997</v>
      </c>
      <c r="J225" s="3">
        <v>60.905999999999999</v>
      </c>
      <c r="K225" s="3">
        <v>35.792999999999999</v>
      </c>
      <c r="L225" s="3">
        <v>58.472999999999999</v>
      </c>
      <c r="M225" s="3">
        <v>49.203000000000003</v>
      </c>
      <c r="N225" s="3">
        <v>59.258000000000003</v>
      </c>
      <c r="O225" s="3">
        <v>71.83</v>
      </c>
      <c r="P225" s="3">
        <v>47.597000000000001</v>
      </c>
      <c r="Q225" s="3">
        <v>47.015000000000001</v>
      </c>
      <c r="R225" s="3">
        <v>50.097000000000001</v>
      </c>
      <c r="X225" s="24"/>
    </row>
    <row r="226" spans="1:24" x14ac:dyDescent="0.2">
      <c r="A226" s="3"/>
      <c r="B226" s="23">
        <v>6.1</v>
      </c>
      <c r="C226" s="3">
        <v>33.497</v>
      </c>
      <c r="D226" s="3">
        <v>45.381</v>
      </c>
      <c r="E226" s="3">
        <v>49.107999999999997</v>
      </c>
      <c r="F226" s="3">
        <v>40.789000000000001</v>
      </c>
      <c r="G226" s="3">
        <v>42.223999999999997</v>
      </c>
      <c r="H226" s="17">
        <v>49.442999999999998</v>
      </c>
      <c r="I226" s="17">
        <v>57.802</v>
      </c>
      <c r="J226" s="3">
        <v>60.875</v>
      </c>
      <c r="K226" s="3">
        <v>35.628</v>
      </c>
      <c r="L226" s="3">
        <v>58.396000000000001</v>
      </c>
      <c r="M226" s="3">
        <v>49.145000000000003</v>
      </c>
      <c r="N226" s="3">
        <v>59.177999999999997</v>
      </c>
      <c r="O226" s="3">
        <v>71.751000000000005</v>
      </c>
      <c r="P226" s="3">
        <v>47.548000000000002</v>
      </c>
      <c r="Q226" s="3">
        <v>46.962000000000003</v>
      </c>
      <c r="R226" s="3">
        <v>50.018000000000001</v>
      </c>
    </row>
    <row r="227" spans="1:24" x14ac:dyDescent="0.2">
      <c r="A227" s="3"/>
      <c r="B227" s="23">
        <v>6.1166666666666663</v>
      </c>
      <c r="C227" s="3">
        <v>33.405000000000001</v>
      </c>
      <c r="D227" s="3">
        <v>45.377000000000002</v>
      </c>
      <c r="E227" s="3">
        <v>48.884</v>
      </c>
      <c r="F227" s="3">
        <v>40.728000000000002</v>
      </c>
      <c r="G227" s="3">
        <v>42.01</v>
      </c>
      <c r="H227" s="17">
        <v>49.363999999999997</v>
      </c>
      <c r="I227" s="17">
        <v>57.686</v>
      </c>
      <c r="J227" s="3">
        <v>60.616999999999997</v>
      </c>
      <c r="K227" s="3">
        <v>35.546999999999997</v>
      </c>
      <c r="L227" s="3">
        <v>58.328000000000003</v>
      </c>
      <c r="M227" s="3">
        <v>49.100999999999999</v>
      </c>
      <c r="N227" s="3">
        <v>59.14</v>
      </c>
      <c r="O227" s="3">
        <v>71.789000000000001</v>
      </c>
      <c r="P227" s="3">
        <v>47.494999999999997</v>
      </c>
      <c r="Q227" s="3">
        <v>46.848999999999997</v>
      </c>
      <c r="R227" s="3">
        <v>49.939</v>
      </c>
      <c r="X227" s="24"/>
    </row>
    <row r="228" spans="1:24" x14ac:dyDescent="0.2">
      <c r="A228" s="3"/>
      <c r="B228" s="23">
        <v>6.1333333333333337</v>
      </c>
      <c r="C228" s="3">
        <v>33.063000000000002</v>
      </c>
      <c r="D228" s="3">
        <v>45.31</v>
      </c>
      <c r="E228" s="3">
        <v>48.731000000000002</v>
      </c>
      <c r="F228" s="3">
        <v>40.527999999999999</v>
      </c>
      <c r="G228" s="3">
        <v>41.875999999999998</v>
      </c>
      <c r="H228" s="17">
        <v>49.24</v>
      </c>
      <c r="I228" s="17">
        <v>57.579000000000001</v>
      </c>
      <c r="J228" s="3">
        <v>60.585000000000001</v>
      </c>
      <c r="K228" s="3">
        <v>35.317999999999998</v>
      </c>
      <c r="L228" s="3">
        <v>58.238999999999997</v>
      </c>
      <c r="M228" s="3">
        <v>49.052</v>
      </c>
      <c r="N228" s="3">
        <v>59.082000000000001</v>
      </c>
      <c r="O228" s="3">
        <v>71.808999999999997</v>
      </c>
      <c r="P228" s="3">
        <v>47.468000000000004</v>
      </c>
      <c r="Q228" s="3">
        <v>46.667999999999999</v>
      </c>
      <c r="R228" s="3">
        <v>50.069000000000003</v>
      </c>
    </row>
    <row r="229" spans="1:24" x14ac:dyDescent="0.2">
      <c r="A229" s="3"/>
      <c r="B229" s="23">
        <v>6.15</v>
      </c>
      <c r="C229" s="3">
        <v>32.982999999999997</v>
      </c>
      <c r="D229" s="3">
        <v>45.127000000000002</v>
      </c>
      <c r="E229" s="3">
        <v>48.780999999999999</v>
      </c>
      <c r="F229" s="3">
        <v>40.515000000000001</v>
      </c>
      <c r="G229" s="3">
        <v>41.692999999999998</v>
      </c>
      <c r="H229" s="17">
        <v>49.142000000000003</v>
      </c>
      <c r="I229" s="17">
        <v>57.447000000000003</v>
      </c>
      <c r="J229" s="3">
        <v>60.524999999999999</v>
      </c>
      <c r="K229" s="3">
        <v>35.151000000000003</v>
      </c>
      <c r="L229" s="3">
        <v>58.158000000000001</v>
      </c>
      <c r="M229" s="3">
        <v>48.914000000000001</v>
      </c>
      <c r="N229" s="3">
        <v>59.051000000000002</v>
      </c>
      <c r="O229" s="3">
        <v>71.677000000000007</v>
      </c>
      <c r="P229" s="3">
        <v>47.424999999999997</v>
      </c>
      <c r="Q229" s="3">
        <v>46.648000000000003</v>
      </c>
      <c r="R229" s="3">
        <v>49.985999999999997</v>
      </c>
      <c r="X229" s="24"/>
    </row>
    <row r="230" spans="1:24" x14ac:dyDescent="0.2">
      <c r="A230" s="3"/>
      <c r="B230" s="23">
        <v>6.166666666666667</v>
      </c>
      <c r="C230" s="3">
        <v>32.738999999999997</v>
      </c>
      <c r="D230" s="3">
        <v>45.12</v>
      </c>
      <c r="E230" s="3">
        <v>48.625999999999998</v>
      </c>
      <c r="F230" s="3">
        <v>40.210999999999999</v>
      </c>
      <c r="G230" s="3">
        <v>41.661999999999999</v>
      </c>
      <c r="H230" s="17">
        <v>48.947000000000003</v>
      </c>
      <c r="I230" s="17">
        <v>57.356999999999999</v>
      </c>
      <c r="J230" s="3">
        <v>60.463000000000001</v>
      </c>
      <c r="K230" s="3">
        <v>34.953000000000003</v>
      </c>
      <c r="L230" s="3">
        <v>58.078000000000003</v>
      </c>
      <c r="M230" s="3">
        <v>48.848999999999997</v>
      </c>
      <c r="N230" s="3">
        <v>58.991999999999997</v>
      </c>
      <c r="O230" s="3">
        <v>71.759</v>
      </c>
      <c r="P230" s="3">
        <v>46.948999999999998</v>
      </c>
      <c r="Q230" s="3">
        <v>46.625999999999998</v>
      </c>
      <c r="R230" s="3">
        <v>49.988</v>
      </c>
    </row>
    <row r="231" spans="1:24" x14ac:dyDescent="0.2">
      <c r="A231" s="3"/>
      <c r="B231" s="23">
        <v>6.1833333333333336</v>
      </c>
      <c r="C231" s="3">
        <v>32.686999999999998</v>
      </c>
      <c r="D231" s="3">
        <v>45.158999999999999</v>
      </c>
      <c r="E231" s="3">
        <v>48.485999999999997</v>
      </c>
      <c r="F231" s="3">
        <v>40.350999999999999</v>
      </c>
      <c r="G231" s="3">
        <v>41.555999999999997</v>
      </c>
      <c r="H231" s="17">
        <v>48.966000000000001</v>
      </c>
      <c r="I231" s="17">
        <v>57.204999999999998</v>
      </c>
      <c r="J231" s="3">
        <v>60.319000000000003</v>
      </c>
      <c r="K231" s="3">
        <v>34.841000000000001</v>
      </c>
      <c r="L231" s="3">
        <v>58.003999999999998</v>
      </c>
      <c r="M231" s="3">
        <v>48.741</v>
      </c>
      <c r="N231" s="3">
        <v>58.896999999999998</v>
      </c>
      <c r="O231" s="3">
        <v>71.668000000000006</v>
      </c>
      <c r="P231" s="3">
        <v>47.067</v>
      </c>
      <c r="Q231" s="3">
        <v>46.453000000000003</v>
      </c>
      <c r="R231" s="3">
        <v>49.953000000000003</v>
      </c>
      <c r="X231" s="24"/>
    </row>
    <row r="232" spans="1:24" x14ac:dyDescent="0.2">
      <c r="A232" s="3"/>
      <c r="B232" s="23">
        <v>6.2</v>
      </c>
      <c r="C232" s="3">
        <v>32.548999999999999</v>
      </c>
      <c r="D232" s="3">
        <v>45.124000000000002</v>
      </c>
      <c r="E232" s="3">
        <v>48.572000000000003</v>
      </c>
      <c r="F232" s="3">
        <v>40.320999999999998</v>
      </c>
      <c r="G232" s="3">
        <v>41.427999999999997</v>
      </c>
      <c r="H232" s="17">
        <v>48.792000000000002</v>
      </c>
      <c r="I232" s="17">
        <v>57.109000000000002</v>
      </c>
      <c r="J232" s="3">
        <v>60.146999999999998</v>
      </c>
      <c r="K232" s="3">
        <v>34.738999999999997</v>
      </c>
      <c r="L232" s="3">
        <v>57.914000000000001</v>
      </c>
      <c r="M232" s="3">
        <v>48.633000000000003</v>
      </c>
      <c r="N232" s="3">
        <v>58.898000000000003</v>
      </c>
      <c r="O232" s="3">
        <v>71.659000000000006</v>
      </c>
      <c r="P232" s="3">
        <v>46.947000000000003</v>
      </c>
      <c r="Q232" s="3">
        <v>46.377000000000002</v>
      </c>
      <c r="R232" s="3">
        <v>49.817</v>
      </c>
    </row>
    <row r="233" spans="1:24" x14ac:dyDescent="0.2">
      <c r="A233" s="3"/>
      <c r="B233" s="23">
        <v>6.2166666666666668</v>
      </c>
      <c r="C233" s="3">
        <v>32.347000000000001</v>
      </c>
      <c r="D233" s="3">
        <v>45.021999999999998</v>
      </c>
      <c r="E233" s="3">
        <v>48.503</v>
      </c>
      <c r="F233" s="3">
        <v>39.978000000000002</v>
      </c>
      <c r="G233" s="3">
        <v>41.329000000000001</v>
      </c>
      <c r="H233" s="17">
        <v>48.658000000000001</v>
      </c>
      <c r="I233" s="17">
        <v>57.04</v>
      </c>
      <c r="J233" s="3">
        <v>60.003999999999998</v>
      </c>
      <c r="K233" s="3">
        <v>34.512999999999998</v>
      </c>
      <c r="L233" s="3">
        <v>57.823999999999998</v>
      </c>
      <c r="M233" s="3">
        <v>48.517000000000003</v>
      </c>
      <c r="N233" s="3">
        <v>58.832000000000001</v>
      </c>
      <c r="O233" s="3">
        <v>71.703000000000003</v>
      </c>
      <c r="P233" s="3">
        <v>46.817999999999998</v>
      </c>
      <c r="Q233" s="3">
        <v>46.274999999999999</v>
      </c>
      <c r="R233" s="3">
        <v>49.787999999999997</v>
      </c>
      <c r="X233" s="24"/>
    </row>
    <row r="234" spans="1:24" x14ac:dyDescent="0.2">
      <c r="A234" s="3"/>
      <c r="B234" s="23">
        <v>6.2333333333333334</v>
      </c>
      <c r="C234" s="3">
        <v>32.146000000000001</v>
      </c>
      <c r="D234" s="3">
        <v>45.030999999999999</v>
      </c>
      <c r="E234" s="3">
        <v>48.569000000000003</v>
      </c>
      <c r="F234" s="3">
        <v>39.823</v>
      </c>
      <c r="G234" s="3">
        <v>41.165999999999997</v>
      </c>
      <c r="H234" s="17">
        <v>48.534999999999997</v>
      </c>
      <c r="I234" s="17">
        <v>56.951000000000001</v>
      </c>
      <c r="J234" s="3">
        <v>59.95</v>
      </c>
      <c r="K234" s="3">
        <v>34.36</v>
      </c>
      <c r="L234" s="3">
        <v>57.718000000000004</v>
      </c>
      <c r="M234" s="3">
        <v>48.475000000000001</v>
      </c>
      <c r="N234" s="3">
        <v>58.228000000000002</v>
      </c>
      <c r="O234" s="3">
        <v>71.626999999999995</v>
      </c>
      <c r="P234" s="3">
        <v>46.704999999999998</v>
      </c>
      <c r="Q234" s="3">
        <v>46.207000000000001</v>
      </c>
      <c r="R234" s="3">
        <v>49.752000000000002</v>
      </c>
    </row>
    <row r="235" spans="1:24" x14ac:dyDescent="0.2">
      <c r="A235" s="3"/>
      <c r="B235" s="23">
        <v>6.25</v>
      </c>
      <c r="C235" s="3">
        <v>32.122999999999998</v>
      </c>
      <c r="D235" s="3">
        <v>44.975000000000001</v>
      </c>
      <c r="E235" s="3">
        <v>48.274000000000001</v>
      </c>
      <c r="F235" s="3">
        <v>39.935000000000002</v>
      </c>
      <c r="G235" s="3">
        <v>41.03</v>
      </c>
      <c r="H235" s="17">
        <v>48.429000000000002</v>
      </c>
      <c r="I235" s="17">
        <v>56.838000000000001</v>
      </c>
      <c r="J235" s="3">
        <v>59.875</v>
      </c>
      <c r="K235" s="3">
        <v>34.167000000000002</v>
      </c>
      <c r="L235" s="3">
        <v>57.627000000000002</v>
      </c>
      <c r="M235" s="3">
        <v>48.396000000000001</v>
      </c>
      <c r="N235" s="3">
        <v>58.475999999999999</v>
      </c>
      <c r="O235" s="3">
        <v>71.495999999999995</v>
      </c>
      <c r="P235" s="3">
        <v>46.707000000000001</v>
      </c>
      <c r="Q235" s="3">
        <v>46.128999999999998</v>
      </c>
      <c r="R235" s="3">
        <v>49.677999999999997</v>
      </c>
      <c r="X235" s="24"/>
    </row>
    <row r="236" spans="1:24" x14ac:dyDescent="0.2">
      <c r="A236" s="3"/>
      <c r="B236" s="23">
        <v>6.2666666666666666</v>
      </c>
      <c r="C236" s="3">
        <v>31.952000000000002</v>
      </c>
      <c r="D236" s="3">
        <v>44.945</v>
      </c>
      <c r="E236" s="3">
        <v>48.301000000000002</v>
      </c>
      <c r="F236" s="3">
        <v>39.893000000000001</v>
      </c>
      <c r="G236" s="3">
        <v>40.869999999999997</v>
      </c>
      <c r="H236" s="17">
        <v>48.347999999999999</v>
      </c>
      <c r="I236" s="17">
        <v>56.744</v>
      </c>
      <c r="J236" s="3">
        <v>59.820999999999998</v>
      </c>
      <c r="K236" s="3">
        <v>34.127000000000002</v>
      </c>
      <c r="L236" s="3">
        <v>57.572000000000003</v>
      </c>
      <c r="M236" s="3">
        <v>48.213999999999999</v>
      </c>
      <c r="N236" s="3">
        <v>58.378999999999998</v>
      </c>
      <c r="O236" s="3">
        <v>71.456000000000003</v>
      </c>
      <c r="P236" s="3">
        <v>46.398000000000003</v>
      </c>
      <c r="Q236" s="3">
        <v>46.097999999999999</v>
      </c>
      <c r="R236" s="3">
        <v>49.551000000000002</v>
      </c>
    </row>
    <row r="237" spans="1:24" x14ac:dyDescent="0.2">
      <c r="A237" s="3"/>
      <c r="B237" s="23">
        <v>6.2833333333333332</v>
      </c>
      <c r="C237" s="3">
        <v>31.721</v>
      </c>
      <c r="D237" s="3">
        <v>44.912999999999997</v>
      </c>
      <c r="E237" s="3">
        <v>48.305999999999997</v>
      </c>
      <c r="F237" s="3">
        <v>39.570999999999998</v>
      </c>
      <c r="G237" s="3">
        <v>40.817999999999998</v>
      </c>
      <c r="H237" s="17">
        <v>48.283999999999999</v>
      </c>
      <c r="I237" s="17">
        <v>56.59</v>
      </c>
      <c r="J237" s="3">
        <v>59.713999999999999</v>
      </c>
      <c r="K237" s="3">
        <v>34.003999999999998</v>
      </c>
      <c r="L237" s="3">
        <v>57.463999999999999</v>
      </c>
      <c r="M237" s="3">
        <v>48.179000000000002</v>
      </c>
      <c r="N237" s="3">
        <v>58.267000000000003</v>
      </c>
      <c r="O237" s="3">
        <v>71.486999999999995</v>
      </c>
      <c r="P237" s="3">
        <v>46.462000000000003</v>
      </c>
      <c r="Q237" s="3">
        <v>46.023000000000003</v>
      </c>
      <c r="R237" s="3">
        <v>49.494999999999997</v>
      </c>
      <c r="X237" s="24"/>
    </row>
    <row r="238" spans="1:24" x14ac:dyDescent="0.2">
      <c r="A238" s="3"/>
      <c r="B238" s="23">
        <v>6.3</v>
      </c>
      <c r="C238" s="3">
        <v>31.646999999999998</v>
      </c>
      <c r="D238" s="3">
        <v>44.951999999999998</v>
      </c>
      <c r="E238" s="3">
        <v>48.323999999999998</v>
      </c>
      <c r="F238" s="3">
        <v>39.152999999999999</v>
      </c>
      <c r="G238" s="3">
        <v>40.69</v>
      </c>
      <c r="H238" s="17">
        <v>48.142000000000003</v>
      </c>
      <c r="I238" s="17">
        <v>56.456000000000003</v>
      </c>
      <c r="J238" s="3">
        <v>59.609000000000002</v>
      </c>
      <c r="K238" s="3">
        <v>33.823999999999998</v>
      </c>
      <c r="L238" s="3">
        <v>57.073</v>
      </c>
      <c r="M238" s="3">
        <v>48.093000000000004</v>
      </c>
      <c r="N238" s="3">
        <v>58.256</v>
      </c>
      <c r="O238" s="3">
        <v>71.37</v>
      </c>
      <c r="P238" s="3">
        <v>46.417999999999999</v>
      </c>
      <c r="Q238" s="3">
        <v>45.973999999999997</v>
      </c>
      <c r="R238" s="3">
        <v>49.460999999999999</v>
      </c>
    </row>
    <row r="239" spans="1:24" x14ac:dyDescent="0.2">
      <c r="A239" s="3"/>
      <c r="B239" s="23">
        <v>6.3166666666666664</v>
      </c>
      <c r="C239" s="3">
        <v>31.448</v>
      </c>
      <c r="D239" s="3">
        <v>44.531999999999996</v>
      </c>
      <c r="E239" s="3">
        <v>48.051000000000002</v>
      </c>
      <c r="F239" s="3">
        <v>39.746000000000002</v>
      </c>
      <c r="G239" s="3">
        <v>40.479999999999997</v>
      </c>
      <c r="H239" s="17">
        <v>48.097000000000001</v>
      </c>
      <c r="I239" s="17">
        <v>56.345999999999997</v>
      </c>
      <c r="J239" s="3">
        <v>59.509</v>
      </c>
      <c r="K239" s="3">
        <v>33.698999999999998</v>
      </c>
      <c r="L239" s="3">
        <v>57.265999999999998</v>
      </c>
      <c r="M239" s="3">
        <v>47.972000000000001</v>
      </c>
      <c r="N239" s="3">
        <v>58.198</v>
      </c>
      <c r="O239" s="3">
        <v>71.361999999999995</v>
      </c>
      <c r="P239" s="3">
        <v>46.356000000000002</v>
      </c>
      <c r="Q239" s="3">
        <v>45.831000000000003</v>
      </c>
      <c r="R239" s="3">
        <v>49.381</v>
      </c>
      <c r="X239" s="24"/>
    </row>
    <row r="240" spans="1:24" x14ac:dyDescent="0.2">
      <c r="A240" s="3"/>
      <c r="B240" s="23">
        <v>6.333333333333333</v>
      </c>
      <c r="C240" s="3">
        <v>31.280999999999999</v>
      </c>
      <c r="D240" s="3">
        <v>44.704000000000001</v>
      </c>
      <c r="E240" s="3">
        <v>48.006</v>
      </c>
      <c r="F240" s="3">
        <v>39.685000000000002</v>
      </c>
      <c r="G240" s="3">
        <v>40.334000000000003</v>
      </c>
      <c r="H240" s="17">
        <v>48.067</v>
      </c>
      <c r="I240" s="17">
        <v>56.253</v>
      </c>
      <c r="J240" s="3">
        <v>59.374000000000002</v>
      </c>
      <c r="K240" s="3">
        <v>33.539000000000001</v>
      </c>
      <c r="L240" s="3">
        <v>57.155000000000001</v>
      </c>
      <c r="M240" s="3">
        <v>47.902000000000001</v>
      </c>
      <c r="N240" s="3">
        <v>58.113999999999997</v>
      </c>
      <c r="O240" s="3">
        <v>71.37</v>
      </c>
      <c r="P240" s="3">
        <v>46.307000000000002</v>
      </c>
      <c r="Q240" s="3">
        <v>45.609000000000002</v>
      </c>
      <c r="R240" s="3">
        <v>49.328000000000003</v>
      </c>
    </row>
    <row r="241" spans="1:24" x14ac:dyDescent="0.2">
      <c r="A241" s="3"/>
      <c r="B241" s="23">
        <v>6.35</v>
      </c>
      <c r="C241" s="3">
        <v>31.082999999999998</v>
      </c>
      <c r="D241" s="3">
        <v>44.527000000000001</v>
      </c>
      <c r="E241" s="3">
        <v>47.884999999999998</v>
      </c>
      <c r="F241" s="3">
        <v>39.313000000000002</v>
      </c>
      <c r="G241" s="3">
        <v>40.26</v>
      </c>
      <c r="H241" s="17">
        <v>47.969000000000001</v>
      </c>
      <c r="I241" s="17">
        <v>56.16</v>
      </c>
      <c r="J241" s="3">
        <v>59.314</v>
      </c>
      <c r="K241" s="3">
        <v>33.378</v>
      </c>
      <c r="L241" s="3">
        <v>57.021000000000001</v>
      </c>
      <c r="M241" s="3">
        <v>47.8</v>
      </c>
      <c r="N241" s="3">
        <v>58.127000000000002</v>
      </c>
      <c r="O241" s="3">
        <v>71.366</v>
      </c>
      <c r="P241" s="3">
        <v>46.241999999999997</v>
      </c>
      <c r="Q241" s="3">
        <v>45.491999999999997</v>
      </c>
      <c r="R241" s="3">
        <v>49.113</v>
      </c>
      <c r="X241" s="24"/>
    </row>
    <row r="242" spans="1:24" x14ac:dyDescent="0.2">
      <c r="A242" s="3"/>
      <c r="B242" s="23">
        <v>6.3666666666666663</v>
      </c>
      <c r="C242" s="3">
        <v>30.977</v>
      </c>
      <c r="D242" s="3">
        <v>44.606000000000002</v>
      </c>
      <c r="E242" s="3">
        <v>47.762</v>
      </c>
      <c r="F242" s="3">
        <v>39.484000000000002</v>
      </c>
      <c r="G242" s="3">
        <v>40.073999999999998</v>
      </c>
      <c r="H242" s="17">
        <v>47.847999999999999</v>
      </c>
      <c r="I242" s="17">
        <v>56.015999999999998</v>
      </c>
      <c r="J242" s="3">
        <v>59.26</v>
      </c>
      <c r="K242" s="3">
        <v>33.159999999999997</v>
      </c>
      <c r="L242" s="3">
        <v>56.884999999999998</v>
      </c>
      <c r="M242" s="3">
        <v>47.758000000000003</v>
      </c>
      <c r="N242" s="3">
        <v>58.106000000000002</v>
      </c>
      <c r="O242" s="3">
        <v>71.388999999999996</v>
      </c>
      <c r="P242" s="3">
        <v>46.177999999999997</v>
      </c>
      <c r="Q242" s="3">
        <v>45.51</v>
      </c>
      <c r="R242" s="3">
        <v>49.046999999999997</v>
      </c>
    </row>
    <row r="243" spans="1:24" x14ac:dyDescent="0.2">
      <c r="A243" s="3"/>
      <c r="B243" s="23">
        <v>6.3833333333333337</v>
      </c>
      <c r="C243" s="3">
        <v>30.739000000000001</v>
      </c>
      <c r="D243" s="3">
        <v>44.43</v>
      </c>
      <c r="E243" s="3">
        <v>47.741</v>
      </c>
      <c r="F243" s="3">
        <v>39.463999999999999</v>
      </c>
      <c r="G243" s="3">
        <v>39.917000000000002</v>
      </c>
      <c r="H243" s="17">
        <v>47.764000000000003</v>
      </c>
      <c r="I243" s="17">
        <v>55.912999999999997</v>
      </c>
      <c r="J243" s="3">
        <v>59.203000000000003</v>
      </c>
      <c r="K243" s="3">
        <v>33.011000000000003</v>
      </c>
      <c r="L243" s="3">
        <v>56.832000000000001</v>
      </c>
      <c r="M243" s="3">
        <v>47.704000000000001</v>
      </c>
      <c r="N243" s="3">
        <v>58.082000000000001</v>
      </c>
      <c r="O243" s="3">
        <v>71.328000000000003</v>
      </c>
      <c r="P243" s="3">
        <v>45.713999999999999</v>
      </c>
      <c r="Q243" s="3">
        <v>45.347999999999999</v>
      </c>
      <c r="R243" s="3">
        <v>49.07</v>
      </c>
      <c r="X243" s="24"/>
    </row>
    <row r="244" spans="1:24" x14ac:dyDescent="0.2">
      <c r="A244" s="3"/>
      <c r="B244" s="23">
        <v>6.4</v>
      </c>
      <c r="C244" s="3">
        <v>30.67</v>
      </c>
      <c r="D244" s="3">
        <v>44.390999999999998</v>
      </c>
      <c r="E244" s="3">
        <v>47.756999999999998</v>
      </c>
      <c r="F244" s="3">
        <v>39.33</v>
      </c>
      <c r="G244" s="3">
        <v>39.834000000000003</v>
      </c>
      <c r="H244" s="17">
        <v>47.689</v>
      </c>
      <c r="I244" s="17">
        <v>55.808</v>
      </c>
      <c r="J244" s="3">
        <v>58.954000000000001</v>
      </c>
      <c r="K244" s="3">
        <v>32.840000000000003</v>
      </c>
      <c r="L244" s="3">
        <v>56.363</v>
      </c>
      <c r="M244" s="3">
        <v>47.595999999999997</v>
      </c>
      <c r="N244" s="3">
        <v>58.052999999999997</v>
      </c>
      <c r="O244" s="3">
        <v>71.340999999999994</v>
      </c>
      <c r="P244" s="3">
        <v>45.862000000000002</v>
      </c>
      <c r="Q244" s="3">
        <v>45.33</v>
      </c>
      <c r="R244" s="3">
        <v>49.018000000000001</v>
      </c>
    </row>
    <row r="245" spans="1:24" x14ac:dyDescent="0.2">
      <c r="A245" s="3"/>
      <c r="B245" s="23">
        <v>6.416666666666667</v>
      </c>
      <c r="C245" s="3">
        <v>30.49</v>
      </c>
      <c r="D245" s="3">
        <v>44.249000000000002</v>
      </c>
      <c r="E245" s="3">
        <v>47.636000000000003</v>
      </c>
      <c r="F245" s="3">
        <v>39.040999999999997</v>
      </c>
      <c r="G245" s="3">
        <v>39.741</v>
      </c>
      <c r="H245" s="17">
        <v>47.591999999999999</v>
      </c>
      <c r="I245" s="17">
        <v>55.685000000000002</v>
      </c>
      <c r="J245" s="3">
        <v>58.911999999999999</v>
      </c>
      <c r="K245" s="3">
        <v>32.665999999999997</v>
      </c>
      <c r="L245" s="3">
        <v>56.529000000000003</v>
      </c>
      <c r="M245" s="3">
        <v>47.478999999999999</v>
      </c>
      <c r="N245" s="3">
        <v>58.045999999999999</v>
      </c>
      <c r="O245" s="3">
        <v>71.257999999999996</v>
      </c>
      <c r="P245" s="3">
        <v>45.81</v>
      </c>
      <c r="Q245" s="3">
        <v>45.27</v>
      </c>
      <c r="R245" s="3">
        <v>48.932000000000002</v>
      </c>
      <c r="X245" s="24"/>
    </row>
    <row r="246" spans="1:24" x14ac:dyDescent="0.2">
      <c r="A246" s="3"/>
      <c r="B246" s="23">
        <v>6.4333333333333336</v>
      </c>
      <c r="C246" s="3">
        <v>30.39</v>
      </c>
      <c r="D246" s="3">
        <v>44.180999999999997</v>
      </c>
      <c r="E246" s="3">
        <v>47.658000000000001</v>
      </c>
      <c r="F246" s="3">
        <v>38.659999999999997</v>
      </c>
      <c r="G246" s="3">
        <v>39.609000000000002</v>
      </c>
      <c r="H246" s="17">
        <v>47.511000000000003</v>
      </c>
      <c r="I246" s="17">
        <v>55.603999999999999</v>
      </c>
      <c r="J246" s="3">
        <v>58.896999999999998</v>
      </c>
      <c r="K246" s="3">
        <v>32.411000000000001</v>
      </c>
      <c r="L246" s="3">
        <v>56.192999999999998</v>
      </c>
      <c r="M246" s="3">
        <v>47.375</v>
      </c>
      <c r="N246" s="3">
        <v>57.951999999999998</v>
      </c>
      <c r="O246" s="3">
        <v>71.138999999999996</v>
      </c>
      <c r="P246" s="3">
        <v>45.753</v>
      </c>
      <c r="Q246" s="3">
        <v>45.14</v>
      </c>
      <c r="R246" s="3">
        <v>48.944000000000003</v>
      </c>
    </row>
    <row r="247" spans="1:24" x14ac:dyDescent="0.2">
      <c r="A247" s="3"/>
      <c r="B247" s="23">
        <v>6.45</v>
      </c>
      <c r="C247" s="3">
        <v>30.172000000000001</v>
      </c>
      <c r="D247" s="3">
        <v>44.064999999999998</v>
      </c>
      <c r="E247" s="3">
        <v>47.56</v>
      </c>
      <c r="F247" s="3">
        <v>38.816000000000003</v>
      </c>
      <c r="G247" s="3">
        <v>39.369</v>
      </c>
      <c r="H247" s="17">
        <v>47.429000000000002</v>
      </c>
      <c r="I247" s="17">
        <v>55.424999999999997</v>
      </c>
      <c r="J247" s="3">
        <v>58.79</v>
      </c>
      <c r="K247" s="3">
        <v>32.298999999999999</v>
      </c>
      <c r="L247" s="3">
        <v>56.250999999999998</v>
      </c>
      <c r="M247" s="3">
        <v>47.293999999999997</v>
      </c>
      <c r="N247" s="3">
        <v>57.932000000000002</v>
      </c>
      <c r="O247" s="3">
        <v>71.216999999999999</v>
      </c>
      <c r="P247" s="3">
        <v>45.707999999999998</v>
      </c>
      <c r="Q247" s="3">
        <v>45.064999999999998</v>
      </c>
      <c r="R247" s="3">
        <v>48.902000000000001</v>
      </c>
      <c r="X247" s="24"/>
    </row>
    <row r="248" spans="1:24" x14ac:dyDescent="0.2">
      <c r="A248" s="3"/>
      <c r="B248" s="23">
        <v>6.4666666666666668</v>
      </c>
      <c r="C248" s="3">
        <v>30.08</v>
      </c>
      <c r="D248" s="3">
        <v>43.914999999999999</v>
      </c>
      <c r="E248" s="3">
        <v>47.531999999999996</v>
      </c>
      <c r="F248" s="3">
        <v>38.927</v>
      </c>
      <c r="G248" s="3">
        <v>39.156999999999996</v>
      </c>
      <c r="H248" s="17">
        <v>47.311999999999998</v>
      </c>
      <c r="I248" s="17">
        <v>55.36</v>
      </c>
      <c r="J248" s="3">
        <v>58.68</v>
      </c>
      <c r="K248" s="3">
        <v>32.183</v>
      </c>
      <c r="L248" s="3">
        <v>55.706000000000003</v>
      </c>
      <c r="M248" s="3">
        <v>47.201999999999998</v>
      </c>
      <c r="N248" s="3">
        <v>57.853000000000002</v>
      </c>
      <c r="O248" s="3">
        <v>71.070999999999998</v>
      </c>
      <c r="P248" s="3">
        <v>45.656999999999996</v>
      </c>
      <c r="Q248" s="3">
        <v>45.024999999999999</v>
      </c>
      <c r="R248" s="3">
        <v>48.741</v>
      </c>
    </row>
    <row r="249" spans="1:24" x14ac:dyDescent="0.2">
      <c r="A249" s="3"/>
      <c r="B249" s="23">
        <v>6.4833333333333334</v>
      </c>
      <c r="C249" s="3">
        <v>29.931000000000001</v>
      </c>
      <c r="D249" s="3">
        <v>43.868000000000002</v>
      </c>
      <c r="E249" s="3">
        <v>47.37</v>
      </c>
      <c r="F249" s="3">
        <v>38.677</v>
      </c>
      <c r="G249" s="3">
        <v>39.027000000000001</v>
      </c>
      <c r="H249" s="17">
        <v>47.222999999999999</v>
      </c>
      <c r="I249" s="17">
        <v>55.292000000000002</v>
      </c>
      <c r="J249" s="3">
        <v>58.633000000000003</v>
      </c>
      <c r="K249" s="3">
        <v>31.978000000000002</v>
      </c>
      <c r="L249" s="3">
        <v>55.798999999999999</v>
      </c>
      <c r="M249" s="3">
        <v>47.113999999999997</v>
      </c>
      <c r="N249" s="3">
        <v>57.872999999999998</v>
      </c>
      <c r="O249" s="3">
        <v>71.034999999999997</v>
      </c>
      <c r="P249" s="3">
        <v>45.576999999999998</v>
      </c>
      <c r="Q249" s="3">
        <v>44.933</v>
      </c>
      <c r="R249" s="3">
        <v>48.637</v>
      </c>
      <c r="X249" s="24"/>
    </row>
    <row r="250" spans="1:24" x14ac:dyDescent="0.2">
      <c r="A250" s="3"/>
      <c r="B250" s="23">
        <v>6.5</v>
      </c>
      <c r="C250" s="3">
        <v>29.748000000000001</v>
      </c>
      <c r="D250" s="3">
        <v>43.710999999999999</v>
      </c>
      <c r="E250" s="3">
        <v>47.101999999999997</v>
      </c>
      <c r="F250" s="3">
        <v>38.594000000000001</v>
      </c>
      <c r="G250" s="3">
        <v>39.018000000000001</v>
      </c>
      <c r="H250" s="17">
        <v>47.191000000000003</v>
      </c>
      <c r="I250" s="17">
        <v>55.186</v>
      </c>
      <c r="J250" s="3">
        <v>58.484999999999999</v>
      </c>
      <c r="K250" s="3">
        <v>31.782</v>
      </c>
      <c r="L250" s="3">
        <v>55.911000000000001</v>
      </c>
      <c r="M250" s="3">
        <v>47.042000000000002</v>
      </c>
      <c r="N250" s="3">
        <v>57.847000000000001</v>
      </c>
      <c r="O250" s="3">
        <v>71.019000000000005</v>
      </c>
      <c r="P250" s="3">
        <v>45.337000000000003</v>
      </c>
      <c r="Q250" s="3">
        <v>44.875</v>
      </c>
      <c r="R250" s="3">
        <v>48.61</v>
      </c>
    </row>
    <row r="251" spans="1:24" x14ac:dyDescent="0.2">
      <c r="A251" s="3"/>
      <c r="B251" s="23">
        <v>6.5166666666666666</v>
      </c>
      <c r="C251" s="3">
        <v>29.588999999999999</v>
      </c>
      <c r="D251" s="3">
        <v>43.68</v>
      </c>
      <c r="E251" s="3">
        <v>47.179000000000002</v>
      </c>
      <c r="F251" s="3">
        <v>38.072000000000003</v>
      </c>
      <c r="G251" s="3">
        <v>38.892000000000003</v>
      </c>
      <c r="H251" s="17">
        <v>47.094000000000001</v>
      </c>
      <c r="I251" s="17">
        <v>55.084000000000003</v>
      </c>
      <c r="J251" s="3">
        <v>58.47</v>
      </c>
      <c r="K251" s="3">
        <v>31.658999999999999</v>
      </c>
      <c r="L251" s="3">
        <v>55.561</v>
      </c>
      <c r="M251" s="3">
        <v>46.932000000000002</v>
      </c>
      <c r="N251" s="3">
        <v>57.761000000000003</v>
      </c>
      <c r="O251" s="3">
        <v>70.974000000000004</v>
      </c>
      <c r="P251" s="3">
        <v>45.341999999999999</v>
      </c>
      <c r="Q251" s="3">
        <v>44.655000000000001</v>
      </c>
      <c r="R251" s="3">
        <v>48.497</v>
      </c>
      <c r="X251" s="24"/>
    </row>
    <row r="252" spans="1:24" x14ac:dyDescent="0.2">
      <c r="A252" s="3"/>
      <c r="B252" s="23">
        <v>6.5333333333333332</v>
      </c>
      <c r="C252" s="3">
        <v>29.459</v>
      </c>
      <c r="D252" s="3">
        <v>43.465000000000003</v>
      </c>
      <c r="E252" s="3">
        <v>46.991</v>
      </c>
      <c r="F252" s="3">
        <v>38.107999999999997</v>
      </c>
      <c r="G252" s="3">
        <v>38.462000000000003</v>
      </c>
      <c r="H252" s="17">
        <v>47.045000000000002</v>
      </c>
      <c r="I252" s="17">
        <v>54.993000000000002</v>
      </c>
      <c r="J252" s="3">
        <v>58.396999999999998</v>
      </c>
      <c r="K252" s="3">
        <v>31.44</v>
      </c>
      <c r="L252" s="3">
        <v>55.66</v>
      </c>
      <c r="M252" s="3">
        <v>46.834000000000003</v>
      </c>
      <c r="N252" s="3">
        <v>57.749000000000002</v>
      </c>
      <c r="O252" s="3">
        <v>70.983000000000004</v>
      </c>
      <c r="P252" s="3">
        <v>45.283000000000001</v>
      </c>
      <c r="Q252" s="3">
        <v>44.664999999999999</v>
      </c>
      <c r="R252" s="3">
        <v>48.396999999999998</v>
      </c>
    </row>
    <row r="253" spans="1:24" x14ac:dyDescent="0.2">
      <c r="A253" s="3"/>
      <c r="B253" s="23">
        <v>6.55</v>
      </c>
      <c r="C253" s="3">
        <v>29.31</v>
      </c>
      <c r="D253" s="3">
        <v>43.393999999999998</v>
      </c>
      <c r="E253" s="3">
        <v>47.033000000000001</v>
      </c>
      <c r="F253" s="3">
        <v>37.576000000000001</v>
      </c>
      <c r="G253" s="3">
        <v>38.575000000000003</v>
      </c>
      <c r="H253" s="17">
        <v>46.988999999999997</v>
      </c>
      <c r="I253" s="17">
        <v>54.896999999999998</v>
      </c>
      <c r="J253" s="3">
        <v>58.265000000000001</v>
      </c>
      <c r="K253" s="3">
        <v>31.309000000000001</v>
      </c>
      <c r="L253" s="3">
        <v>55.258000000000003</v>
      </c>
      <c r="M253" s="3">
        <v>46.744</v>
      </c>
      <c r="N253" s="3">
        <v>57.69</v>
      </c>
      <c r="O253" s="3">
        <v>70.994</v>
      </c>
      <c r="P253" s="3">
        <v>45.237000000000002</v>
      </c>
      <c r="Q253" s="3">
        <v>44.582000000000001</v>
      </c>
      <c r="R253" s="3">
        <v>48.326000000000001</v>
      </c>
      <c r="X253" s="24"/>
    </row>
    <row r="254" spans="1:24" x14ac:dyDescent="0.2">
      <c r="A254" s="3"/>
      <c r="B254" s="23">
        <v>6.5666666666666664</v>
      </c>
      <c r="C254" s="3">
        <v>29.143000000000001</v>
      </c>
      <c r="D254" s="3">
        <v>43.250999999999998</v>
      </c>
      <c r="E254" s="3">
        <v>46.853999999999999</v>
      </c>
      <c r="F254" s="3">
        <v>37.712000000000003</v>
      </c>
      <c r="G254" s="3">
        <v>38.402000000000001</v>
      </c>
      <c r="H254" s="17">
        <v>46.908999999999999</v>
      </c>
      <c r="I254" s="17">
        <v>54.773000000000003</v>
      </c>
      <c r="J254" s="3">
        <v>58.158000000000001</v>
      </c>
      <c r="K254" s="3">
        <v>31.021999999999998</v>
      </c>
      <c r="L254" s="3">
        <v>55.441000000000003</v>
      </c>
      <c r="M254" s="3">
        <v>46.655999999999999</v>
      </c>
      <c r="N254" s="3">
        <v>57.633000000000003</v>
      </c>
      <c r="O254" s="3">
        <v>70.906000000000006</v>
      </c>
      <c r="P254" s="3">
        <v>45.234000000000002</v>
      </c>
      <c r="Q254" s="3">
        <v>44.515999999999998</v>
      </c>
      <c r="R254" s="3">
        <v>48.018999999999998</v>
      </c>
    </row>
    <row r="255" spans="1:24" x14ac:dyDescent="0.2">
      <c r="A255" s="3"/>
      <c r="B255" s="23">
        <v>6.583333333333333</v>
      </c>
      <c r="C255" s="3">
        <v>29.027999999999999</v>
      </c>
      <c r="D255" s="3">
        <v>43.253</v>
      </c>
      <c r="E255" s="3">
        <v>47.085000000000001</v>
      </c>
      <c r="F255" s="3">
        <v>38.078000000000003</v>
      </c>
      <c r="G255" s="3">
        <v>38.283999999999999</v>
      </c>
      <c r="H255" s="17">
        <v>46.853000000000002</v>
      </c>
      <c r="I255" s="17">
        <v>54.588999999999999</v>
      </c>
      <c r="J255" s="3">
        <v>58.073999999999998</v>
      </c>
      <c r="K255" s="3">
        <v>30.902999999999999</v>
      </c>
      <c r="L255" s="3">
        <v>55.033000000000001</v>
      </c>
      <c r="M255" s="3">
        <v>46.584000000000003</v>
      </c>
      <c r="N255" s="3">
        <v>57.552</v>
      </c>
      <c r="O255" s="3">
        <v>70.872</v>
      </c>
      <c r="P255" s="3">
        <v>45.143999999999998</v>
      </c>
      <c r="Q255" s="3">
        <v>44.406999999999996</v>
      </c>
      <c r="R255" s="3">
        <v>48.08</v>
      </c>
      <c r="X255" s="24"/>
    </row>
    <row r="256" spans="1:24" x14ac:dyDescent="0.2">
      <c r="A256" s="3"/>
      <c r="B256" s="23">
        <v>6.6</v>
      </c>
      <c r="C256" s="3">
        <v>28.908000000000001</v>
      </c>
      <c r="D256" s="3">
        <v>43.176000000000002</v>
      </c>
      <c r="E256" s="3">
        <v>46.795000000000002</v>
      </c>
      <c r="F256" s="3">
        <v>37.395000000000003</v>
      </c>
      <c r="G256" s="3">
        <v>38.116</v>
      </c>
      <c r="H256" s="17">
        <v>46.774000000000001</v>
      </c>
      <c r="I256" s="17">
        <v>54.548000000000002</v>
      </c>
      <c r="J256" s="3">
        <v>57.94</v>
      </c>
      <c r="K256" s="3">
        <v>30.742999999999999</v>
      </c>
      <c r="L256" s="3">
        <v>54.942999999999998</v>
      </c>
      <c r="M256" s="3">
        <v>46.5</v>
      </c>
      <c r="N256" s="3">
        <v>57.478999999999999</v>
      </c>
      <c r="O256" s="3">
        <v>70.777000000000001</v>
      </c>
      <c r="P256" s="3">
        <v>45.000999999999998</v>
      </c>
      <c r="Q256" s="3">
        <v>44.267000000000003</v>
      </c>
      <c r="R256" s="3">
        <v>47.981000000000002</v>
      </c>
    </row>
    <row r="257" spans="1:24" x14ac:dyDescent="0.2">
      <c r="A257" s="3"/>
      <c r="B257" s="23">
        <v>6.6166666666666663</v>
      </c>
      <c r="C257" s="3">
        <v>28.748000000000001</v>
      </c>
      <c r="D257" s="3">
        <v>42.98</v>
      </c>
      <c r="E257" s="3">
        <v>46.692</v>
      </c>
      <c r="F257" s="3">
        <v>37.417000000000002</v>
      </c>
      <c r="G257" s="3">
        <v>37.968000000000004</v>
      </c>
      <c r="H257" s="17">
        <v>46.677999999999997</v>
      </c>
      <c r="I257" s="17">
        <v>54.454999999999998</v>
      </c>
      <c r="J257" s="3">
        <v>57.878999999999998</v>
      </c>
      <c r="K257" s="3">
        <v>30.670999999999999</v>
      </c>
      <c r="L257" s="3">
        <v>55.057000000000002</v>
      </c>
      <c r="M257" s="3">
        <v>46.210999999999999</v>
      </c>
      <c r="N257" s="3">
        <v>57.465000000000003</v>
      </c>
      <c r="O257" s="3">
        <v>70.771000000000001</v>
      </c>
      <c r="P257" s="3">
        <v>45.036000000000001</v>
      </c>
      <c r="Q257" s="3">
        <v>44.234000000000002</v>
      </c>
      <c r="R257" s="3">
        <v>48.005000000000003</v>
      </c>
      <c r="X257" s="24"/>
    </row>
    <row r="258" spans="1:24" x14ac:dyDescent="0.2">
      <c r="A258" s="3"/>
      <c r="B258" s="23">
        <v>6.6333333333333337</v>
      </c>
      <c r="C258" s="3">
        <v>28.584</v>
      </c>
      <c r="D258" s="3">
        <v>42.988</v>
      </c>
      <c r="E258" s="3">
        <v>47.204000000000001</v>
      </c>
      <c r="F258" s="3">
        <v>37.646000000000001</v>
      </c>
      <c r="G258" s="3">
        <v>37.899000000000001</v>
      </c>
      <c r="H258" s="17">
        <v>46.618000000000002</v>
      </c>
      <c r="I258" s="17">
        <v>54.332999999999998</v>
      </c>
      <c r="J258" s="3">
        <v>57.811</v>
      </c>
      <c r="K258" s="3">
        <v>30.417999999999999</v>
      </c>
      <c r="L258" s="3">
        <v>54.957999999999998</v>
      </c>
      <c r="M258" s="3">
        <v>46.250999999999998</v>
      </c>
      <c r="N258" s="3">
        <v>57.415999999999997</v>
      </c>
      <c r="O258" s="3">
        <v>70.849000000000004</v>
      </c>
      <c r="P258" s="3">
        <v>44.787999999999997</v>
      </c>
      <c r="Q258" s="3">
        <v>44.082999999999998</v>
      </c>
      <c r="R258" s="3">
        <v>47.845999999999997</v>
      </c>
    </row>
    <row r="259" spans="1:24" x14ac:dyDescent="0.2">
      <c r="A259" s="3"/>
      <c r="B259" s="23">
        <v>6.65</v>
      </c>
      <c r="C259" s="3">
        <v>28.416</v>
      </c>
      <c r="D259" s="3">
        <v>42.768000000000001</v>
      </c>
      <c r="E259" s="3">
        <v>46.625</v>
      </c>
      <c r="F259" s="3">
        <v>37.277000000000001</v>
      </c>
      <c r="G259" s="3">
        <v>37.756999999999998</v>
      </c>
      <c r="H259" s="17">
        <v>46.515000000000001</v>
      </c>
      <c r="I259" s="17">
        <v>54.22</v>
      </c>
      <c r="J259" s="3">
        <v>57.715000000000003</v>
      </c>
      <c r="K259" s="3">
        <v>30.15</v>
      </c>
      <c r="L259" s="3">
        <v>54.780999999999999</v>
      </c>
      <c r="M259" s="3">
        <v>46.177999999999997</v>
      </c>
      <c r="N259" s="3">
        <v>57.3</v>
      </c>
      <c r="O259" s="3">
        <v>70.783000000000001</v>
      </c>
      <c r="P259" s="3">
        <v>44.793999999999997</v>
      </c>
      <c r="Q259" s="3">
        <v>43.954000000000001</v>
      </c>
      <c r="R259" s="3">
        <v>47.784999999999997</v>
      </c>
      <c r="X259" s="24"/>
    </row>
    <row r="260" spans="1:24" x14ac:dyDescent="0.2">
      <c r="A260" s="3"/>
      <c r="B260" s="23">
        <v>6.666666666666667</v>
      </c>
      <c r="C260" s="3">
        <v>28.221</v>
      </c>
      <c r="D260" s="3">
        <v>42.896999999999998</v>
      </c>
      <c r="E260" s="3">
        <v>46.594999999999999</v>
      </c>
      <c r="F260" s="3">
        <v>37.249000000000002</v>
      </c>
      <c r="G260" s="3">
        <v>37.67</v>
      </c>
      <c r="H260" s="17">
        <v>46.307000000000002</v>
      </c>
      <c r="I260" s="17">
        <v>54.08</v>
      </c>
      <c r="J260" s="3">
        <v>57.686999999999998</v>
      </c>
      <c r="K260" s="3">
        <v>30.100999999999999</v>
      </c>
      <c r="L260" s="3">
        <v>54.731999999999999</v>
      </c>
      <c r="M260" s="3">
        <v>46.145000000000003</v>
      </c>
      <c r="N260" s="3">
        <v>56.631</v>
      </c>
      <c r="O260" s="3">
        <v>70.808000000000007</v>
      </c>
      <c r="P260" s="3">
        <v>44.472999999999999</v>
      </c>
      <c r="Q260" s="3">
        <v>43.893000000000001</v>
      </c>
      <c r="R260" s="3">
        <v>47.600999999999999</v>
      </c>
    </row>
    <row r="261" spans="1:24" x14ac:dyDescent="0.2">
      <c r="A261" s="3"/>
      <c r="B261" s="23">
        <v>6.6833333333333336</v>
      </c>
      <c r="C261" s="3">
        <v>28.093</v>
      </c>
      <c r="D261" s="3">
        <v>42.680999999999997</v>
      </c>
      <c r="E261" s="3">
        <v>46.506</v>
      </c>
      <c r="F261" s="3">
        <v>37.259</v>
      </c>
      <c r="G261" s="3">
        <v>37.436999999999998</v>
      </c>
      <c r="H261" s="17">
        <v>46.213000000000001</v>
      </c>
      <c r="I261" s="17">
        <v>54.021000000000001</v>
      </c>
      <c r="J261" s="3">
        <v>57.591000000000001</v>
      </c>
      <c r="K261" s="3">
        <v>30.01</v>
      </c>
      <c r="L261" s="3">
        <v>54.692</v>
      </c>
      <c r="M261" s="3">
        <v>46.070999999999998</v>
      </c>
      <c r="N261" s="3">
        <v>56.786000000000001</v>
      </c>
      <c r="O261" s="3">
        <v>70.762</v>
      </c>
      <c r="P261" s="3">
        <v>44.517000000000003</v>
      </c>
      <c r="Q261" s="3">
        <v>43.9</v>
      </c>
      <c r="R261" s="3">
        <v>47.496000000000002</v>
      </c>
      <c r="X261" s="24"/>
    </row>
    <row r="262" spans="1:24" x14ac:dyDescent="0.2">
      <c r="A262" s="3"/>
      <c r="B262" s="23">
        <v>6.7</v>
      </c>
      <c r="C262" s="3">
        <v>27.914999999999999</v>
      </c>
      <c r="D262" s="3">
        <v>42.616</v>
      </c>
      <c r="E262" s="3">
        <v>46.435000000000002</v>
      </c>
      <c r="F262" s="3">
        <v>36.871000000000002</v>
      </c>
      <c r="G262" s="3">
        <v>37.340000000000003</v>
      </c>
      <c r="H262" s="17">
        <v>46.122999999999998</v>
      </c>
      <c r="I262" s="17">
        <v>53.926000000000002</v>
      </c>
      <c r="J262" s="3">
        <v>57.537999999999997</v>
      </c>
      <c r="K262" s="3">
        <v>29.818999999999999</v>
      </c>
      <c r="L262" s="3">
        <v>54.633000000000003</v>
      </c>
      <c r="M262" s="3">
        <v>45.968000000000004</v>
      </c>
      <c r="N262" s="3">
        <v>56.695999999999998</v>
      </c>
      <c r="O262" s="3">
        <v>70.697000000000003</v>
      </c>
      <c r="P262" s="3">
        <v>44.481000000000002</v>
      </c>
      <c r="Q262" s="3">
        <v>43.776000000000003</v>
      </c>
      <c r="R262" s="3">
        <v>47.508000000000003</v>
      </c>
    </row>
    <row r="263" spans="1:24" x14ac:dyDescent="0.2">
      <c r="A263" s="3"/>
      <c r="B263" s="23">
        <v>6.7166666666666668</v>
      </c>
      <c r="C263" s="3">
        <v>27.754000000000001</v>
      </c>
      <c r="D263" s="3">
        <v>42.634999999999998</v>
      </c>
      <c r="E263" s="3">
        <v>46.326999999999998</v>
      </c>
      <c r="F263" s="3">
        <v>37.158000000000001</v>
      </c>
      <c r="G263" s="3">
        <v>37.267000000000003</v>
      </c>
      <c r="H263" s="17">
        <v>46.003</v>
      </c>
      <c r="I263" s="17">
        <v>53.822000000000003</v>
      </c>
      <c r="J263" s="3">
        <v>57.106000000000002</v>
      </c>
      <c r="K263" s="3">
        <v>29.722000000000001</v>
      </c>
      <c r="L263" s="3">
        <v>54.566000000000003</v>
      </c>
      <c r="M263" s="3">
        <v>45.938000000000002</v>
      </c>
      <c r="N263" s="3">
        <v>56.692999999999998</v>
      </c>
      <c r="O263" s="3">
        <v>70.66</v>
      </c>
      <c r="P263" s="3">
        <v>44.393999999999998</v>
      </c>
      <c r="Q263" s="3">
        <v>43.533000000000001</v>
      </c>
      <c r="R263" s="3">
        <v>47.51</v>
      </c>
      <c r="X263" s="24"/>
    </row>
    <row r="264" spans="1:24" x14ac:dyDescent="0.2">
      <c r="A264" s="3"/>
      <c r="B264" s="23">
        <v>6.7333333333333334</v>
      </c>
      <c r="C264" s="3">
        <v>27.640999999999998</v>
      </c>
      <c r="D264" s="3">
        <v>42.503</v>
      </c>
      <c r="E264" s="3">
        <v>46.219000000000001</v>
      </c>
      <c r="F264" s="3">
        <v>36.878999999999998</v>
      </c>
      <c r="G264" s="3">
        <v>37.171999999999997</v>
      </c>
      <c r="H264" s="17">
        <v>45.866999999999997</v>
      </c>
      <c r="I264" s="17">
        <v>53.722999999999999</v>
      </c>
      <c r="J264" s="3">
        <v>57.011000000000003</v>
      </c>
      <c r="K264" s="3">
        <v>29.536000000000001</v>
      </c>
      <c r="L264" s="3">
        <v>54.360999999999997</v>
      </c>
      <c r="M264" s="3">
        <v>45.848999999999997</v>
      </c>
      <c r="N264" s="3">
        <v>56.567</v>
      </c>
      <c r="O264" s="3">
        <v>70.652000000000001</v>
      </c>
      <c r="P264" s="3">
        <v>44.39</v>
      </c>
      <c r="Q264" s="3">
        <v>43.509</v>
      </c>
      <c r="R264" s="3">
        <v>47.387</v>
      </c>
    </row>
    <row r="265" spans="1:24" x14ac:dyDescent="0.2">
      <c r="A265" s="3"/>
      <c r="B265" s="23">
        <v>6.75</v>
      </c>
      <c r="C265" s="3">
        <v>27.477</v>
      </c>
      <c r="D265" s="3">
        <v>42.417999999999999</v>
      </c>
      <c r="E265" s="3">
        <v>46.387999999999998</v>
      </c>
      <c r="F265" s="3">
        <v>36.826999999999998</v>
      </c>
      <c r="G265" s="3">
        <v>36.854999999999997</v>
      </c>
      <c r="H265" s="17">
        <v>45.804000000000002</v>
      </c>
      <c r="I265" s="17">
        <v>53.642000000000003</v>
      </c>
      <c r="J265" s="3">
        <v>56.908000000000001</v>
      </c>
      <c r="K265" s="3">
        <v>29.446000000000002</v>
      </c>
      <c r="L265" s="3">
        <v>54.258000000000003</v>
      </c>
      <c r="M265" s="3">
        <v>45.747999999999998</v>
      </c>
      <c r="N265" s="3">
        <v>56.533000000000001</v>
      </c>
      <c r="O265" s="3">
        <v>70.662000000000006</v>
      </c>
      <c r="P265" s="3">
        <v>44.137</v>
      </c>
      <c r="Q265" s="3">
        <v>43.491999999999997</v>
      </c>
      <c r="R265" s="3">
        <v>47.341000000000001</v>
      </c>
      <c r="X265" s="24"/>
    </row>
    <row r="266" spans="1:24" x14ac:dyDescent="0.2">
      <c r="A266" s="3"/>
      <c r="B266" s="23">
        <v>6.7666666666666666</v>
      </c>
      <c r="C266" s="3">
        <v>27.329000000000001</v>
      </c>
      <c r="D266" s="3">
        <v>42.313000000000002</v>
      </c>
      <c r="E266" s="3">
        <v>46.156999999999996</v>
      </c>
      <c r="F266" s="3">
        <v>36.823</v>
      </c>
      <c r="G266" s="3">
        <v>36.808</v>
      </c>
      <c r="H266" s="17">
        <v>45.722000000000001</v>
      </c>
      <c r="I266" s="17">
        <v>53.54</v>
      </c>
      <c r="J266" s="3">
        <v>56.835999999999999</v>
      </c>
      <c r="K266" s="3">
        <v>28.884</v>
      </c>
      <c r="L266" s="3">
        <v>54.167999999999999</v>
      </c>
      <c r="M266" s="3">
        <v>45.722000000000001</v>
      </c>
      <c r="N266" s="3">
        <v>56.478000000000002</v>
      </c>
      <c r="O266" s="3">
        <v>70.644999999999996</v>
      </c>
      <c r="P266" s="3">
        <v>44.072000000000003</v>
      </c>
      <c r="Q266" s="3">
        <v>43.453000000000003</v>
      </c>
      <c r="R266" s="3">
        <v>47.29</v>
      </c>
    </row>
    <row r="267" spans="1:24" x14ac:dyDescent="0.2">
      <c r="A267" s="3"/>
      <c r="B267" s="23">
        <v>6.7833333333333332</v>
      </c>
      <c r="C267" s="3">
        <v>27.172999999999998</v>
      </c>
      <c r="D267" s="3">
        <v>42.468000000000004</v>
      </c>
      <c r="E267" s="3">
        <v>46.113</v>
      </c>
      <c r="F267" s="3">
        <v>36.444000000000003</v>
      </c>
      <c r="G267" s="3">
        <v>36.701999999999998</v>
      </c>
      <c r="H267" s="17">
        <v>45.697000000000003</v>
      </c>
      <c r="I267" s="17">
        <v>53.451999999999998</v>
      </c>
      <c r="J267" s="3">
        <v>56.881</v>
      </c>
      <c r="K267" s="3">
        <v>29.033999999999999</v>
      </c>
      <c r="L267" s="3">
        <v>54.148000000000003</v>
      </c>
      <c r="M267" s="3">
        <v>45.567</v>
      </c>
      <c r="N267" s="3">
        <v>56.396000000000001</v>
      </c>
      <c r="O267" s="3">
        <v>70.516000000000005</v>
      </c>
      <c r="P267" s="3">
        <v>43.993000000000002</v>
      </c>
      <c r="Q267" s="3">
        <v>43.390999999999998</v>
      </c>
      <c r="R267" s="3">
        <v>47.143000000000001</v>
      </c>
      <c r="X267" s="24"/>
    </row>
    <row r="268" spans="1:24" x14ac:dyDescent="0.2">
      <c r="A268" s="3"/>
      <c r="B268" s="23">
        <v>6.8</v>
      </c>
      <c r="C268" s="3">
        <v>27.033999999999999</v>
      </c>
      <c r="D268" s="3">
        <v>42.155000000000001</v>
      </c>
      <c r="E268" s="3">
        <v>46.009</v>
      </c>
      <c r="F268" s="3">
        <v>36.325000000000003</v>
      </c>
      <c r="G268" s="3">
        <v>36.186</v>
      </c>
      <c r="H268" s="17">
        <v>45.582000000000001</v>
      </c>
      <c r="I268" s="17">
        <v>53.292000000000002</v>
      </c>
      <c r="J268" s="3">
        <v>56.825000000000003</v>
      </c>
      <c r="K268" s="3">
        <v>28.907</v>
      </c>
      <c r="L268" s="3">
        <v>54.015000000000001</v>
      </c>
      <c r="M268" s="3">
        <v>45.518000000000001</v>
      </c>
      <c r="N268" s="3">
        <v>56.313000000000002</v>
      </c>
      <c r="O268" s="3">
        <v>70.593000000000004</v>
      </c>
      <c r="P268" s="3">
        <v>43.841999999999999</v>
      </c>
      <c r="Q268" s="3">
        <v>43.332000000000001</v>
      </c>
      <c r="R268" s="3">
        <v>47.124000000000002</v>
      </c>
    </row>
    <row r="269" spans="1:24" x14ac:dyDescent="0.2">
      <c r="A269" s="3"/>
      <c r="B269" s="23">
        <v>6.8166666666666664</v>
      </c>
      <c r="C269" s="3">
        <v>26.936</v>
      </c>
      <c r="D269" s="3">
        <v>42.143000000000001</v>
      </c>
      <c r="E269" s="3">
        <v>45.996000000000002</v>
      </c>
      <c r="F269" s="3">
        <v>36.353999999999999</v>
      </c>
      <c r="G269" s="3">
        <v>36.326000000000001</v>
      </c>
      <c r="H269" s="17">
        <v>45.497</v>
      </c>
      <c r="I269" s="17">
        <v>53.271000000000001</v>
      </c>
      <c r="J269" s="3">
        <v>56.680999999999997</v>
      </c>
      <c r="K269" s="3">
        <v>28.693999999999999</v>
      </c>
      <c r="L269" s="3">
        <v>53.829000000000001</v>
      </c>
      <c r="M269" s="3">
        <v>45.463999999999999</v>
      </c>
      <c r="N269" s="3">
        <v>56.334000000000003</v>
      </c>
      <c r="O269" s="3">
        <v>70.509</v>
      </c>
      <c r="P269" s="3">
        <v>43.872</v>
      </c>
      <c r="Q269" s="3">
        <v>43.213999999999999</v>
      </c>
      <c r="R269" s="3">
        <v>46.978999999999999</v>
      </c>
      <c r="X269" s="24"/>
    </row>
    <row r="270" spans="1:24" x14ac:dyDescent="0.2">
      <c r="A270" s="3"/>
      <c r="B270" s="23">
        <v>6.833333333333333</v>
      </c>
      <c r="C270" s="3">
        <v>26.736999999999998</v>
      </c>
      <c r="D270" s="3">
        <v>42.095999999999997</v>
      </c>
      <c r="E270" s="3">
        <v>45.753999999999998</v>
      </c>
      <c r="F270" s="3">
        <v>36.505000000000003</v>
      </c>
      <c r="G270" s="3">
        <v>36.143000000000001</v>
      </c>
      <c r="H270" s="17">
        <v>45.354999999999997</v>
      </c>
      <c r="I270" s="17">
        <v>53.116</v>
      </c>
      <c r="J270" s="3">
        <v>56.597000000000001</v>
      </c>
      <c r="K270" s="3">
        <v>28.649000000000001</v>
      </c>
      <c r="L270" s="3">
        <v>53.753999999999998</v>
      </c>
      <c r="M270" s="3">
        <v>45.281999999999996</v>
      </c>
      <c r="N270" s="3">
        <v>56.188000000000002</v>
      </c>
      <c r="O270" s="3">
        <v>70.55</v>
      </c>
      <c r="P270" s="3">
        <v>43.838000000000001</v>
      </c>
      <c r="Q270" s="3">
        <v>43.128</v>
      </c>
      <c r="R270" s="3">
        <v>46.889000000000003</v>
      </c>
    </row>
    <row r="271" spans="1:24" x14ac:dyDescent="0.2">
      <c r="A271" s="3"/>
      <c r="B271" s="23">
        <v>6.85</v>
      </c>
      <c r="C271" s="3">
        <v>26.556999999999999</v>
      </c>
      <c r="D271" s="3">
        <v>41.95</v>
      </c>
      <c r="E271" s="3">
        <v>45.7</v>
      </c>
      <c r="F271" s="3">
        <v>36.436999999999998</v>
      </c>
      <c r="G271" s="3">
        <v>36.091000000000001</v>
      </c>
      <c r="H271" s="17">
        <v>45.286999999999999</v>
      </c>
      <c r="I271" s="17">
        <v>53.027000000000001</v>
      </c>
      <c r="J271" s="3">
        <v>56.59</v>
      </c>
      <c r="K271" s="3">
        <v>28.355</v>
      </c>
      <c r="L271" s="3">
        <v>53.723999999999997</v>
      </c>
      <c r="M271" s="3">
        <v>45.262</v>
      </c>
      <c r="N271" s="3">
        <v>56.067</v>
      </c>
      <c r="O271" s="3">
        <v>70.394999999999996</v>
      </c>
      <c r="P271" s="3">
        <v>43.709000000000003</v>
      </c>
      <c r="Q271" s="3">
        <v>42.976999999999997</v>
      </c>
      <c r="R271" s="3">
        <v>46.755000000000003</v>
      </c>
      <c r="X271" s="24"/>
    </row>
    <row r="272" spans="1:24" x14ac:dyDescent="0.2">
      <c r="A272" s="3"/>
      <c r="B272" s="23">
        <v>6.8666666666666663</v>
      </c>
      <c r="C272" s="3">
        <v>26.523</v>
      </c>
      <c r="D272" s="3">
        <v>42.040999999999997</v>
      </c>
      <c r="E272" s="3">
        <v>45.69</v>
      </c>
      <c r="F272" s="3">
        <v>36.231999999999999</v>
      </c>
      <c r="G272" s="3">
        <v>35.972999999999999</v>
      </c>
      <c r="H272" s="17">
        <v>45.204999999999998</v>
      </c>
      <c r="I272" s="17">
        <v>52.956000000000003</v>
      </c>
      <c r="J272" s="3">
        <v>56.497</v>
      </c>
      <c r="K272" s="3">
        <v>28.225000000000001</v>
      </c>
      <c r="L272" s="3">
        <v>53.512999999999998</v>
      </c>
      <c r="M272" s="3">
        <v>45.192</v>
      </c>
      <c r="N272" s="3">
        <v>56.033000000000001</v>
      </c>
      <c r="O272" s="3">
        <v>70.435000000000002</v>
      </c>
      <c r="P272" s="3">
        <v>43.689</v>
      </c>
      <c r="Q272" s="3">
        <v>42.82</v>
      </c>
      <c r="R272" s="3">
        <v>46.701999999999998</v>
      </c>
    </row>
    <row r="273" spans="1:24" x14ac:dyDescent="0.2">
      <c r="A273" s="3"/>
      <c r="B273" s="23">
        <v>6.8833333333333337</v>
      </c>
      <c r="C273" s="3">
        <v>26.363</v>
      </c>
      <c r="D273" s="3">
        <v>41.865000000000002</v>
      </c>
      <c r="E273" s="3">
        <v>45.569000000000003</v>
      </c>
      <c r="F273" s="3">
        <v>36.122</v>
      </c>
      <c r="G273" s="3">
        <v>35.694000000000003</v>
      </c>
      <c r="H273" s="17">
        <v>45.127000000000002</v>
      </c>
      <c r="I273" s="17">
        <v>52.828000000000003</v>
      </c>
      <c r="J273" s="3">
        <v>56.118000000000002</v>
      </c>
      <c r="K273" s="3">
        <v>28.184000000000001</v>
      </c>
      <c r="L273" s="3">
        <v>53.423000000000002</v>
      </c>
      <c r="M273" s="3">
        <v>45.078000000000003</v>
      </c>
      <c r="N273" s="3">
        <v>55.948</v>
      </c>
      <c r="O273" s="3">
        <v>70.355000000000004</v>
      </c>
      <c r="P273" s="3">
        <v>43.679000000000002</v>
      </c>
      <c r="Q273" s="3">
        <v>42.823999999999998</v>
      </c>
      <c r="R273" s="3">
        <v>46.722000000000001</v>
      </c>
      <c r="X273" s="24"/>
    </row>
    <row r="274" spans="1:24" x14ac:dyDescent="0.2">
      <c r="A274" s="3"/>
      <c r="B274" s="23">
        <v>6.9</v>
      </c>
      <c r="C274" s="3">
        <v>26.048999999999999</v>
      </c>
      <c r="D274" s="3">
        <v>41.786999999999999</v>
      </c>
      <c r="E274" s="3">
        <v>45.555</v>
      </c>
      <c r="F274" s="3">
        <v>36.192</v>
      </c>
      <c r="G274" s="3">
        <v>35.606999999999999</v>
      </c>
      <c r="H274" s="17">
        <v>45.076000000000001</v>
      </c>
      <c r="I274" s="17">
        <v>52.743000000000002</v>
      </c>
      <c r="J274" s="3">
        <v>56.311999999999998</v>
      </c>
      <c r="K274" s="3">
        <v>27.972999999999999</v>
      </c>
      <c r="L274" s="3">
        <v>53.328000000000003</v>
      </c>
      <c r="M274" s="3">
        <v>44.999000000000002</v>
      </c>
      <c r="N274" s="3">
        <v>55.91</v>
      </c>
      <c r="O274" s="3">
        <v>70.337000000000003</v>
      </c>
      <c r="P274" s="3">
        <v>43.393000000000001</v>
      </c>
      <c r="Q274" s="3">
        <v>42.713999999999999</v>
      </c>
      <c r="R274" s="3">
        <v>46.591000000000001</v>
      </c>
    </row>
    <row r="275" spans="1:24" x14ac:dyDescent="0.2">
      <c r="A275" s="3"/>
      <c r="B275" s="23">
        <v>6.916666666666667</v>
      </c>
      <c r="C275" s="3">
        <v>25.984000000000002</v>
      </c>
      <c r="D275" s="3">
        <v>41.661999999999999</v>
      </c>
      <c r="E275" s="3">
        <v>45.593000000000004</v>
      </c>
      <c r="F275" s="3">
        <v>36.173000000000002</v>
      </c>
      <c r="G275" s="3">
        <v>35.520000000000003</v>
      </c>
      <c r="H275" s="17">
        <v>44.944000000000003</v>
      </c>
      <c r="I275" s="17">
        <v>52.633000000000003</v>
      </c>
      <c r="J275" s="3">
        <v>56.206000000000003</v>
      </c>
      <c r="K275" s="3">
        <v>27.777999999999999</v>
      </c>
      <c r="L275" s="3">
        <v>53.207999999999998</v>
      </c>
      <c r="M275" s="3">
        <v>44.929000000000002</v>
      </c>
      <c r="N275" s="3">
        <v>55.859000000000002</v>
      </c>
      <c r="O275" s="3">
        <v>70.331000000000003</v>
      </c>
      <c r="P275" s="3">
        <v>43.363999999999997</v>
      </c>
      <c r="Q275" s="3">
        <v>42.676000000000002</v>
      </c>
      <c r="R275" s="3">
        <v>46.619</v>
      </c>
      <c r="X275" s="24"/>
    </row>
    <row r="276" spans="1:24" x14ac:dyDescent="0.2">
      <c r="A276" s="3"/>
      <c r="B276" s="23">
        <v>6.9333333333333336</v>
      </c>
      <c r="C276" s="3">
        <v>25.876000000000001</v>
      </c>
      <c r="D276" s="3">
        <v>41.543999999999997</v>
      </c>
      <c r="E276" s="3">
        <v>45.383000000000003</v>
      </c>
      <c r="F276" s="3">
        <v>35.838999999999999</v>
      </c>
      <c r="G276" s="3">
        <v>35.222000000000001</v>
      </c>
      <c r="H276" s="17">
        <v>44.83</v>
      </c>
      <c r="I276" s="17">
        <v>52.561</v>
      </c>
      <c r="J276" s="3">
        <v>56.036000000000001</v>
      </c>
      <c r="K276" s="3">
        <v>27.643999999999998</v>
      </c>
      <c r="L276" s="3">
        <v>53.143999999999998</v>
      </c>
      <c r="M276" s="3">
        <v>44.76</v>
      </c>
      <c r="N276" s="3">
        <v>55.779000000000003</v>
      </c>
      <c r="O276" s="3">
        <v>70.231999999999999</v>
      </c>
      <c r="P276" s="3">
        <v>43.264000000000003</v>
      </c>
      <c r="Q276" s="3">
        <v>42.628</v>
      </c>
      <c r="R276" s="3">
        <v>46.399000000000001</v>
      </c>
    </row>
    <row r="277" spans="1:24" x14ac:dyDescent="0.2">
      <c r="A277" s="3"/>
      <c r="B277" s="23">
        <v>6.95</v>
      </c>
      <c r="C277" s="3">
        <v>25.701000000000001</v>
      </c>
      <c r="D277" s="3">
        <v>41.524000000000001</v>
      </c>
      <c r="E277" s="3">
        <v>45.378</v>
      </c>
      <c r="F277" s="3">
        <v>35.991</v>
      </c>
      <c r="G277" s="3">
        <v>35.095999999999997</v>
      </c>
      <c r="H277" s="17">
        <v>44.808999999999997</v>
      </c>
      <c r="I277" s="17">
        <v>52.424999999999997</v>
      </c>
      <c r="J277" s="3">
        <v>55.996000000000002</v>
      </c>
      <c r="K277" s="3">
        <v>27.547000000000001</v>
      </c>
      <c r="L277" s="3">
        <v>53.103000000000002</v>
      </c>
      <c r="M277" s="3">
        <v>44.731999999999999</v>
      </c>
      <c r="N277" s="3">
        <v>55.718000000000004</v>
      </c>
      <c r="O277" s="3">
        <v>70.311999999999998</v>
      </c>
      <c r="P277" s="3">
        <v>43.176000000000002</v>
      </c>
      <c r="Q277" s="3">
        <v>42.564</v>
      </c>
      <c r="R277" s="3">
        <v>46.451999999999998</v>
      </c>
      <c r="X277" s="24"/>
    </row>
    <row r="278" spans="1:24" x14ac:dyDescent="0.2">
      <c r="A278" s="3"/>
      <c r="B278" s="23">
        <v>6.9666666666666668</v>
      </c>
      <c r="C278" s="3">
        <v>25.518000000000001</v>
      </c>
      <c r="D278" s="3">
        <v>41.411999999999999</v>
      </c>
      <c r="E278" s="3">
        <v>45.213999999999999</v>
      </c>
      <c r="F278" s="3">
        <v>35.854999999999997</v>
      </c>
      <c r="G278" s="3">
        <v>35.012999999999998</v>
      </c>
      <c r="H278" s="17">
        <v>44.731999999999999</v>
      </c>
      <c r="I278" s="17">
        <v>52.283999999999999</v>
      </c>
      <c r="J278" s="3">
        <v>55.994999999999997</v>
      </c>
      <c r="K278" s="3">
        <v>27.344000000000001</v>
      </c>
      <c r="L278" s="3">
        <v>52.996000000000002</v>
      </c>
      <c r="M278" s="3">
        <v>44.667000000000002</v>
      </c>
      <c r="N278" s="3">
        <v>55.607999999999997</v>
      </c>
      <c r="O278" s="3">
        <v>70.180999999999997</v>
      </c>
      <c r="P278" s="3">
        <v>43.078000000000003</v>
      </c>
      <c r="Q278" s="3">
        <v>42.386000000000003</v>
      </c>
      <c r="R278" s="3">
        <v>46.222000000000001</v>
      </c>
    </row>
    <row r="279" spans="1:24" x14ac:dyDescent="0.2">
      <c r="A279" s="3"/>
      <c r="B279" s="23">
        <v>6.9833333333333334</v>
      </c>
      <c r="C279" s="3">
        <v>25.382999999999999</v>
      </c>
      <c r="D279" s="3">
        <v>41.357999999999997</v>
      </c>
      <c r="E279" s="3">
        <v>45.185000000000002</v>
      </c>
      <c r="F279" s="3">
        <v>35.427</v>
      </c>
      <c r="G279" s="3">
        <v>34.814999999999998</v>
      </c>
      <c r="H279" s="17">
        <v>44.679000000000002</v>
      </c>
      <c r="I279" s="17">
        <v>52.262999999999998</v>
      </c>
      <c r="J279" s="3">
        <v>55.901000000000003</v>
      </c>
      <c r="K279" s="3">
        <v>27.131</v>
      </c>
      <c r="L279" s="3">
        <v>52.914000000000001</v>
      </c>
      <c r="M279" s="3">
        <v>44.552999999999997</v>
      </c>
      <c r="N279" s="3">
        <v>55.515999999999998</v>
      </c>
      <c r="O279" s="3">
        <v>70.168000000000006</v>
      </c>
      <c r="P279" s="3">
        <v>43.052999999999997</v>
      </c>
      <c r="Q279" s="3">
        <v>42.356999999999999</v>
      </c>
      <c r="R279" s="3">
        <v>46.103999999999999</v>
      </c>
      <c r="X279" s="24"/>
    </row>
    <row r="280" spans="1:24" x14ac:dyDescent="0.2">
      <c r="A280" s="3"/>
      <c r="B280" s="23">
        <v>7</v>
      </c>
      <c r="C280" s="3">
        <v>25.231000000000002</v>
      </c>
      <c r="D280" s="3">
        <v>41.183999999999997</v>
      </c>
      <c r="E280" s="3">
        <v>45.143999999999998</v>
      </c>
      <c r="F280" s="3">
        <v>35.578000000000003</v>
      </c>
      <c r="G280" s="3">
        <v>34.695</v>
      </c>
      <c r="H280" s="17">
        <v>44.576999999999998</v>
      </c>
      <c r="I280" s="17">
        <v>52.122</v>
      </c>
      <c r="J280" s="3">
        <v>55.828000000000003</v>
      </c>
      <c r="K280" s="3">
        <v>27</v>
      </c>
      <c r="L280" s="3">
        <v>52.854999999999997</v>
      </c>
      <c r="M280" s="3">
        <v>44.518000000000001</v>
      </c>
      <c r="N280" s="3">
        <v>55.494999999999997</v>
      </c>
      <c r="O280" s="3">
        <v>70.094999999999999</v>
      </c>
      <c r="P280" s="3">
        <v>42.987000000000002</v>
      </c>
      <c r="Q280" s="3">
        <v>42.279000000000003</v>
      </c>
      <c r="R280" s="3">
        <v>46.06</v>
      </c>
    </row>
    <row r="281" spans="1:24" x14ac:dyDescent="0.2">
      <c r="A281" s="3"/>
      <c r="B281" s="23">
        <v>7.0166666666666666</v>
      </c>
      <c r="C281" s="3">
        <v>25.052</v>
      </c>
      <c r="D281" s="3">
        <v>41.213000000000001</v>
      </c>
      <c r="E281" s="3">
        <v>45.015999999999998</v>
      </c>
      <c r="F281" s="3">
        <v>35.643000000000001</v>
      </c>
      <c r="G281" s="3">
        <v>34.582999999999998</v>
      </c>
      <c r="H281" s="17">
        <v>44.51</v>
      </c>
      <c r="I281" s="17">
        <v>52.1</v>
      </c>
      <c r="J281" s="3">
        <v>55.722000000000001</v>
      </c>
      <c r="K281" s="3">
        <v>26.855</v>
      </c>
      <c r="L281" s="3">
        <v>52.78</v>
      </c>
      <c r="M281" s="3">
        <v>44.432000000000002</v>
      </c>
      <c r="N281" s="3">
        <v>55.436</v>
      </c>
      <c r="O281" s="3">
        <v>70.091999999999999</v>
      </c>
      <c r="P281" s="3">
        <v>42.912999999999997</v>
      </c>
      <c r="Q281" s="3">
        <v>42.142000000000003</v>
      </c>
      <c r="R281" s="3">
        <v>46.027000000000001</v>
      </c>
      <c r="X281" s="24"/>
    </row>
    <row r="282" spans="1:24" x14ac:dyDescent="0.2">
      <c r="A282" s="3"/>
      <c r="B282" s="23">
        <v>7.0333333333333332</v>
      </c>
      <c r="C282" s="3">
        <v>24.882999999999999</v>
      </c>
      <c r="D282" s="3">
        <v>41.018999999999998</v>
      </c>
      <c r="E282" s="3">
        <v>44.941000000000003</v>
      </c>
      <c r="F282" s="3">
        <v>35.457999999999998</v>
      </c>
      <c r="G282" s="3">
        <v>34.231000000000002</v>
      </c>
      <c r="H282" s="17">
        <v>44.460999999999999</v>
      </c>
      <c r="I282" s="17">
        <v>51.96</v>
      </c>
      <c r="J282" s="3">
        <v>55.658000000000001</v>
      </c>
      <c r="K282" s="3">
        <v>26.666</v>
      </c>
      <c r="L282" s="3">
        <v>52.688000000000002</v>
      </c>
      <c r="M282" s="3">
        <v>44.381999999999998</v>
      </c>
      <c r="N282" s="3">
        <v>55.36</v>
      </c>
      <c r="O282" s="3">
        <v>70.010000000000005</v>
      </c>
      <c r="P282" s="3">
        <v>42.88</v>
      </c>
      <c r="Q282" s="3">
        <v>42.076000000000001</v>
      </c>
      <c r="R282" s="3">
        <v>45.984000000000002</v>
      </c>
    </row>
    <row r="283" spans="1:24" x14ac:dyDescent="0.2">
      <c r="A283" s="3"/>
      <c r="B283" s="23">
        <v>7.05</v>
      </c>
      <c r="C283" s="3">
        <v>24.757000000000001</v>
      </c>
      <c r="D283" s="3">
        <v>40.98</v>
      </c>
      <c r="E283" s="3">
        <v>44.66</v>
      </c>
      <c r="F283" s="3">
        <v>35.500999999999998</v>
      </c>
      <c r="G283" s="3">
        <v>34.225000000000001</v>
      </c>
      <c r="H283" s="17">
        <v>44.283000000000001</v>
      </c>
      <c r="I283" s="17">
        <v>51.850999999999999</v>
      </c>
      <c r="J283" s="3">
        <v>55.552999999999997</v>
      </c>
      <c r="K283" s="3">
        <v>26.594999999999999</v>
      </c>
      <c r="L283" s="3">
        <v>52.607999999999997</v>
      </c>
      <c r="M283" s="3">
        <v>44.232999999999997</v>
      </c>
      <c r="N283" s="3">
        <v>55.101999999999997</v>
      </c>
      <c r="O283" s="3">
        <v>70.033000000000001</v>
      </c>
      <c r="P283" s="3">
        <v>42.771999999999998</v>
      </c>
      <c r="Q283" s="3">
        <v>41.865000000000002</v>
      </c>
      <c r="R283" s="3">
        <v>46.021000000000001</v>
      </c>
      <c r="X283" s="24"/>
    </row>
    <row r="284" spans="1:24" x14ac:dyDescent="0.2">
      <c r="A284" s="3"/>
      <c r="B284" s="23">
        <v>7.0666666666666664</v>
      </c>
      <c r="C284" s="3">
        <v>24.574999999999999</v>
      </c>
      <c r="D284" s="3">
        <v>40.880000000000003</v>
      </c>
      <c r="E284" s="3">
        <v>44.637999999999998</v>
      </c>
      <c r="F284" s="3">
        <v>35.124000000000002</v>
      </c>
      <c r="G284" s="3">
        <v>34.091999999999999</v>
      </c>
      <c r="H284" s="17">
        <v>44.231999999999999</v>
      </c>
      <c r="I284" s="17">
        <v>51.750999999999998</v>
      </c>
      <c r="J284" s="3">
        <v>55.465000000000003</v>
      </c>
      <c r="K284" s="3">
        <v>26.41</v>
      </c>
      <c r="L284" s="3">
        <v>52.421999999999997</v>
      </c>
      <c r="M284" s="3">
        <v>44.030999999999999</v>
      </c>
      <c r="N284" s="3">
        <v>55.073</v>
      </c>
      <c r="O284" s="3">
        <v>69.95</v>
      </c>
      <c r="P284" s="3">
        <v>42.658999999999999</v>
      </c>
      <c r="Q284" s="3">
        <v>41.857999999999997</v>
      </c>
      <c r="R284" s="3">
        <v>45.527000000000001</v>
      </c>
    </row>
    <row r="285" spans="1:24" x14ac:dyDescent="0.2">
      <c r="A285" s="3"/>
      <c r="B285" s="23">
        <v>7.083333333333333</v>
      </c>
      <c r="C285" s="3">
        <v>24.355</v>
      </c>
      <c r="D285" s="3">
        <v>40.691000000000003</v>
      </c>
      <c r="E285" s="3">
        <v>44.506</v>
      </c>
      <c r="F285" s="3">
        <v>35.341999999999999</v>
      </c>
      <c r="G285" s="3">
        <v>33.950000000000003</v>
      </c>
      <c r="H285" s="17">
        <v>44.104999999999997</v>
      </c>
      <c r="I285" s="17">
        <v>51.680999999999997</v>
      </c>
      <c r="J285" s="3">
        <v>55.347000000000001</v>
      </c>
      <c r="K285" s="3">
        <v>26.29</v>
      </c>
      <c r="L285" s="3">
        <v>52.363</v>
      </c>
      <c r="M285" s="3">
        <v>44.073999999999998</v>
      </c>
      <c r="N285" s="3">
        <v>55.037999999999997</v>
      </c>
      <c r="O285" s="3">
        <v>70.02</v>
      </c>
      <c r="P285" s="3">
        <v>42.503999999999998</v>
      </c>
      <c r="Q285" s="3">
        <v>41.762999999999998</v>
      </c>
      <c r="R285" s="3">
        <v>45.695999999999998</v>
      </c>
      <c r="X285" s="24"/>
    </row>
    <row r="286" spans="1:24" x14ac:dyDescent="0.2">
      <c r="A286" s="3"/>
      <c r="B286" s="23">
        <v>7.1</v>
      </c>
      <c r="C286" s="3">
        <v>24.204000000000001</v>
      </c>
      <c r="D286" s="3">
        <v>40.877000000000002</v>
      </c>
      <c r="E286" s="3">
        <v>44.375</v>
      </c>
      <c r="F286" s="3">
        <v>35.095999999999997</v>
      </c>
      <c r="G286" s="3">
        <v>33.392000000000003</v>
      </c>
      <c r="H286" s="17">
        <v>43.975000000000001</v>
      </c>
      <c r="I286" s="17">
        <v>51.59</v>
      </c>
      <c r="J286" s="3">
        <v>55.255000000000003</v>
      </c>
      <c r="K286" s="3">
        <v>26.141999999999999</v>
      </c>
      <c r="L286" s="3">
        <v>52.289000000000001</v>
      </c>
      <c r="M286" s="3">
        <v>43.953000000000003</v>
      </c>
      <c r="N286" s="3">
        <v>54.948999999999998</v>
      </c>
      <c r="O286" s="3">
        <v>69.974000000000004</v>
      </c>
      <c r="P286" s="3">
        <v>42.491</v>
      </c>
      <c r="Q286" s="3">
        <v>41.738</v>
      </c>
      <c r="R286" s="3">
        <v>45.63</v>
      </c>
    </row>
    <row r="287" spans="1:24" x14ac:dyDescent="0.2">
      <c r="A287" s="3"/>
      <c r="B287" s="23">
        <v>7.1166666666666663</v>
      </c>
      <c r="C287" s="3">
        <v>23.998999999999999</v>
      </c>
      <c r="D287" s="3">
        <v>40.545999999999999</v>
      </c>
      <c r="E287" s="3">
        <v>44.414000000000001</v>
      </c>
      <c r="F287" s="3">
        <v>34.886000000000003</v>
      </c>
      <c r="G287" s="3">
        <v>33.459000000000003</v>
      </c>
      <c r="H287" s="17">
        <v>43.923000000000002</v>
      </c>
      <c r="I287" s="17">
        <v>51.505000000000003</v>
      </c>
      <c r="J287" s="3">
        <v>55.19</v>
      </c>
      <c r="K287" s="3">
        <v>25.975000000000001</v>
      </c>
      <c r="L287" s="3">
        <v>52.173999999999999</v>
      </c>
      <c r="M287" s="3">
        <v>43.871000000000002</v>
      </c>
      <c r="N287" s="3">
        <v>54.911999999999999</v>
      </c>
      <c r="O287" s="3">
        <v>69.881</v>
      </c>
      <c r="P287" s="3">
        <v>42.408000000000001</v>
      </c>
      <c r="Q287" s="3">
        <v>41.636000000000003</v>
      </c>
      <c r="R287" s="3">
        <v>45.567999999999998</v>
      </c>
      <c r="X287" s="24"/>
    </row>
    <row r="288" spans="1:24" x14ac:dyDescent="0.2">
      <c r="A288" s="3"/>
      <c r="B288" s="23">
        <v>7.1333333333333337</v>
      </c>
      <c r="C288" s="3">
        <v>23.850999999999999</v>
      </c>
      <c r="D288" s="3">
        <v>40.369</v>
      </c>
      <c r="E288" s="3">
        <v>44.73</v>
      </c>
      <c r="F288" s="3">
        <v>34.825000000000003</v>
      </c>
      <c r="G288" s="3">
        <v>33.375999999999998</v>
      </c>
      <c r="H288" s="17">
        <v>43.871000000000002</v>
      </c>
      <c r="I288" s="17">
        <v>51.421999999999997</v>
      </c>
      <c r="J288" s="3">
        <v>55.058</v>
      </c>
      <c r="K288" s="3">
        <v>25.805</v>
      </c>
      <c r="L288" s="3">
        <v>52.137999999999998</v>
      </c>
      <c r="M288" s="3">
        <v>43.798999999999999</v>
      </c>
      <c r="N288" s="3">
        <v>54.84</v>
      </c>
      <c r="O288" s="3">
        <v>69.94</v>
      </c>
      <c r="P288" s="3">
        <v>42.341000000000001</v>
      </c>
      <c r="Q288" s="3">
        <v>41.508000000000003</v>
      </c>
      <c r="R288" s="3">
        <v>45.482999999999997</v>
      </c>
    </row>
    <row r="289" spans="1:24" x14ac:dyDescent="0.2">
      <c r="A289" s="3"/>
      <c r="B289" s="23">
        <v>7.15</v>
      </c>
      <c r="C289" s="3">
        <v>23.623000000000001</v>
      </c>
      <c r="D289" s="3">
        <v>40.414999999999999</v>
      </c>
      <c r="E289" s="3">
        <v>44.418999999999997</v>
      </c>
      <c r="F289" s="3">
        <v>34.536000000000001</v>
      </c>
      <c r="G289" s="3">
        <v>33.256</v>
      </c>
      <c r="H289" s="17">
        <v>43.784999999999997</v>
      </c>
      <c r="I289" s="17">
        <v>51.284999999999997</v>
      </c>
      <c r="J289" s="3">
        <v>55.031999999999996</v>
      </c>
      <c r="K289" s="3">
        <v>25.664999999999999</v>
      </c>
      <c r="L289" s="3">
        <v>52.021000000000001</v>
      </c>
      <c r="M289" s="3">
        <v>43.741999999999997</v>
      </c>
      <c r="N289" s="3">
        <v>54.802</v>
      </c>
      <c r="O289" s="3">
        <v>69.988</v>
      </c>
      <c r="P289" s="3">
        <v>42.338999999999999</v>
      </c>
      <c r="Q289" s="3">
        <v>41.436</v>
      </c>
      <c r="R289" s="3">
        <v>45.192</v>
      </c>
      <c r="X289" s="24"/>
    </row>
    <row r="290" spans="1:24" x14ac:dyDescent="0.2">
      <c r="A290" s="3"/>
      <c r="B290" s="23">
        <v>7.166666666666667</v>
      </c>
      <c r="C290" s="3">
        <v>23.472000000000001</v>
      </c>
      <c r="D290" s="3">
        <v>40.280999999999999</v>
      </c>
      <c r="E290" s="3">
        <v>44.182000000000002</v>
      </c>
      <c r="F290" s="3">
        <v>34.499000000000002</v>
      </c>
      <c r="G290" s="3">
        <v>33.021999999999998</v>
      </c>
      <c r="H290" s="17">
        <v>43.72</v>
      </c>
      <c r="I290" s="17">
        <v>51.234000000000002</v>
      </c>
      <c r="J290" s="3">
        <v>54.755000000000003</v>
      </c>
      <c r="K290" s="3">
        <v>25.532</v>
      </c>
      <c r="L290" s="3">
        <v>51.972999999999999</v>
      </c>
      <c r="M290" s="3">
        <v>43.695</v>
      </c>
      <c r="N290" s="3">
        <v>54.7</v>
      </c>
      <c r="O290" s="3">
        <v>69.891999999999996</v>
      </c>
      <c r="P290" s="3">
        <v>42.232999999999997</v>
      </c>
      <c r="Q290" s="3">
        <v>41.334000000000003</v>
      </c>
      <c r="R290" s="3">
        <v>45.186</v>
      </c>
    </row>
    <row r="291" spans="1:24" x14ac:dyDescent="0.2">
      <c r="A291" s="3"/>
      <c r="B291" s="23">
        <v>7.1833333333333336</v>
      </c>
      <c r="C291" s="3">
        <v>23.276</v>
      </c>
      <c r="D291" s="3">
        <v>40.270000000000003</v>
      </c>
      <c r="E291" s="3">
        <v>44.17</v>
      </c>
      <c r="F291" s="3">
        <v>34.451000000000001</v>
      </c>
      <c r="G291" s="3">
        <v>33.005000000000003</v>
      </c>
      <c r="H291" s="17">
        <v>43.664999999999999</v>
      </c>
      <c r="I291" s="17">
        <v>51.165999999999997</v>
      </c>
      <c r="J291" s="3">
        <v>54.808999999999997</v>
      </c>
      <c r="K291" s="3">
        <v>25.422999999999998</v>
      </c>
      <c r="L291" s="3">
        <v>51.914000000000001</v>
      </c>
      <c r="M291" s="3">
        <v>43.478000000000002</v>
      </c>
      <c r="N291" s="3">
        <v>54.631</v>
      </c>
      <c r="O291" s="3">
        <v>69.926000000000002</v>
      </c>
      <c r="P291" s="3">
        <v>42.158999999999999</v>
      </c>
      <c r="Q291" s="3">
        <v>41.265999999999998</v>
      </c>
      <c r="R291" s="3">
        <v>45.167999999999999</v>
      </c>
      <c r="X291" s="24"/>
    </row>
    <row r="292" spans="1:24" x14ac:dyDescent="0.2">
      <c r="A292" s="3"/>
      <c r="B292" s="23">
        <v>7.2</v>
      </c>
      <c r="C292" s="3">
        <v>23.117000000000001</v>
      </c>
      <c r="D292" s="3">
        <v>40.262999999999998</v>
      </c>
      <c r="E292" s="3">
        <v>43.847999999999999</v>
      </c>
      <c r="F292" s="3">
        <v>34.456000000000003</v>
      </c>
      <c r="G292" s="3">
        <v>32.837000000000003</v>
      </c>
      <c r="H292" s="17">
        <v>43.598999999999997</v>
      </c>
      <c r="I292" s="17">
        <v>51.043999999999997</v>
      </c>
      <c r="J292" s="3">
        <v>54.744</v>
      </c>
      <c r="K292" s="3">
        <v>25.23</v>
      </c>
      <c r="L292" s="3">
        <v>51.834000000000003</v>
      </c>
      <c r="M292" s="3">
        <v>43.5</v>
      </c>
      <c r="N292" s="3">
        <v>54.606999999999999</v>
      </c>
      <c r="O292" s="3">
        <v>69.867000000000004</v>
      </c>
      <c r="P292" s="3">
        <v>42.167999999999999</v>
      </c>
      <c r="Q292" s="3">
        <v>41.235999999999997</v>
      </c>
      <c r="R292" s="3">
        <v>45.128999999999998</v>
      </c>
    </row>
    <row r="293" spans="1:24" x14ac:dyDescent="0.2">
      <c r="A293" s="3"/>
      <c r="B293" s="23">
        <v>7.2166666666666668</v>
      </c>
      <c r="C293" s="3">
        <v>22.997</v>
      </c>
      <c r="D293" s="3">
        <v>40.048000000000002</v>
      </c>
      <c r="E293" s="3">
        <v>44.066000000000003</v>
      </c>
      <c r="F293" s="3">
        <v>34.167999999999999</v>
      </c>
      <c r="G293" s="3">
        <v>32.741999999999997</v>
      </c>
      <c r="H293" s="17">
        <v>43.462000000000003</v>
      </c>
      <c r="I293" s="17">
        <v>50.874000000000002</v>
      </c>
      <c r="J293" s="3">
        <v>54.600999999999999</v>
      </c>
      <c r="K293" s="3">
        <v>25.077000000000002</v>
      </c>
      <c r="L293" s="3">
        <v>51.743000000000002</v>
      </c>
      <c r="M293" s="3">
        <v>43.453000000000003</v>
      </c>
      <c r="N293" s="3">
        <v>54.597000000000001</v>
      </c>
      <c r="O293" s="3">
        <v>69.89</v>
      </c>
      <c r="P293" s="3">
        <v>42.07</v>
      </c>
      <c r="Q293" s="3">
        <v>41.167000000000002</v>
      </c>
      <c r="R293" s="3">
        <v>45.058</v>
      </c>
      <c r="X293" s="24"/>
    </row>
    <row r="294" spans="1:24" x14ac:dyDescent="0.2">
      <c r="A294" s="3"/>
      <c r="B294" s="23">
        <v>7.2333333333333334</v>
      </c>
      <c r="C294" s="3">
        <v>22.802</v>
      </c>
      <c r="D294" s="3">
        <v>40.069000000000003</v>
      </c>
      <c r="E294" s="3">
        <v>43.767000000000003</v>
      </c>
      <c r="F294" s="3">
        <v>34.151000000000003</v>
      </c>
      <c r="G294" s="3">
        <v>32.633000000000003</v>
      </c>
      <c r="H294" s="17">
        <v>43.41</v>
      </c>
      <c r="I294" s="17">
        <v>50.872999999999998</v>
      </c>
      <c r="J294" s="3">
        <v>54.398000000000003</v>
      </c>
      <c r="K294" s="3">
        <v>24.946000000000002</v>
      </c>
      <c r="L294" s="3">
        <v>51.67</v>
      </c>
      <c r="M294" s="3">
        <v>43.363999999999997</v>
      </c>
      <c r="N294" s="3">
        <v>54.512999999999998</v>
      </c>
      <c r="O294" s="3">
        <v>69.831000000000003</v>
      </c>
      <c r="P294" s="3">
        <v>42.024000000000001</v>
      </c>
      <c r="Q294" s="3">
        <v>41.018000000000001</v>
      </c>
      <c r="R294" s="3">
        <v>45.069000000000003</v>
      </c>
    </row>
    <row r="295" spans="1:24" x14ac:dyDescent="0.2">
      <c r="A295" s="3"/>
      <c r="B295" s="23">
        <v>7.25</v>
      </c>
      <c r="C295" s="3">
        <v>22.588999999999999</v>
      </c>
      <c r="D295" s="3">
        <v>39.947000000000003</v>
      </c>
      <c r="E295" s="3">
        <v>43.680999999999997</v>
      </c>
      <c r="F295" s="3">
        <v>34.021000000000001</v>
      </c>
      <c r="G295" s="3">
        <v>32.484000000000002</v>
      </c>
      <c r="H295" s="17">
        <v>43.35</v>
      </c>
      <c r="I295" s="17">
        <v>50.793999999999997</v>
      </c>
      <c r="J295" s="3">
        <v>54.5</v>
      </c>
      <c r="K295" s="3">
        <v>24.643000000000001</v>
      </c>
      <c r="L295" s="3">
        <v>51.579000000000001</v>
      </c>
      <c r="M295" s="3">
        <v>43.289000000000001</v>
      </c>
      <c r="N295" s="3">
        <v>54.404000000000003</v>
      </c>
      <c r="O295" s="3">
        <v>69.796000000000006</v>
      </c>
      <c r="P295" s="3">
        <v>42.006</v>
      </c>
      <c r="Q295" s="3">
        <v>41.002000000000002</v>
      </c>
      <c r="R295" s="3">
        <v>44.866</v>
      </c>
      <c r="X295" s="24"/>
    </row>
    <row r="296" spans="1:24" x14ac:dyDescent="0.2">
      <c r="A296" s="3"/>
      <c r="B296" s="23">
        <v>7.2666666666666666</v>
      </c>
      <c r="C296" s="3">
        <v>22.434999999999999</v>
      </c>
      <c r="D296" s="3">
        <v>39.978000000000002</v>
      </c>
      <c r="E296" s="3">
        <v>43.871000000000002</v>
      </c>
      <c r="F296" s="3">
        <v>34.024999999999999</v>
      </c>
      <c r="G296" s="3">
        <v>32.168999999999997</v>
      </c>
      <c r="H296" s="17">
        <v>43.209000000000003</v>
      </c>
      <c r="I296" s="17">
        <v>50.685000000000002</v>
      </c>
      <c r="J296" s="3">
        <v>54.420999999999999</v>
      </c>
      <c r="K296" s="3">
        <v>24.675999999999998</v>
      </c>
      <c r="L296" s="3">
        <v>51.475999999999999</v>
      </c>
      <c r="M296" s="3">
        <v>43.246000000000002</v>
      </c>
      <c r="N296" s="3">
        <v>54.325000000000003</v>
      </c>
      <c r="O296" s="3">
        <v>69.786000000000001</v>
      </c>
      <c r="P296" s="3">
        <v>41.853999999999999</v>
      </c>
      <c r="Q296" s="3">
        <v>40.970999999999997</v>
      </c>
      <c r="R296" s="3">
        <v>44.899000000000001</v>
      </c>
    </row>
    <row r="297" spans="1:24" x14ac:dyDescent="0.2">
      <c r="A297" s="3"/>
      <c r="B297" s="23">
        <v>7.2833333333333332</v>
      </c>
      <c r="C297" s="3">
        <v>22.303000000000001</v>
      </c>
      <c r="D297" s="3">
        <v>39.908999999999999</v>
      </c>
      <c r="E297" s="3">
        <v>43.768999999999998</v>
      </c>
      <c r="F297" s="3">
        <v>33.744</v>
      </c>
      <c r="G297" s="3">
        <v>32.228999999999999</v>
      </c>
      <c r="H297" s="17">
        <v>43.026000000000003</v>
      </c>
      <c r="I297" s="17">
        <v>50.55</v>
      </c>
      <c r="J297" s="3">
        <v>54.311</v>
      </c>
      <c r="K297" s="3">
        <v>24.494</v>
      </c>
      <c r="L297" s="3">
        <v>51.42</v>
      </c>
      <c r="M297" s="3">
        <v>43.076999999999998</v>
      </c>
      <c r="N297" s="3">
        <v>54.225000000000001</v>
      </c>
      <c r="O297" s="3">
        <v>69.801000000000002</v>
      </c>
      <c r="P297" s="3">
        <v>41.607999999999997</v>
      </c>
      <c r="Q297" s="3">
        <v>40.835000000000001</v>
      </c>
      <c r="R297" s="3">
        <v>44.762999999999998</v>
      </c>
      <c r="X297" s="24"/>
    </row>
    <row r="298" spans="1:24" x14ac:dyDescent="0.2">
      <c r="A298" s="3"/>
      <c r="B298" s="23">
        <v>7.3</v>
      </c>
      <c r="C298" s="3">
        <v>22.125</v>
      </c>
      <c r="D298" s="3">
        <v>39.835999999999999</v>
      </c>
      <c r="E298" s="3">
        <v>43.558</v>
      </c>
      <c r="F298" s="3">
        <v>33.537999999999997</v>
      </c>
      <c r="G298" s="3">
        <v>32.1</v>
      </c>
      <c r="H298" s="17">
        <v>42.86</v>
      </c>
      <c r="I298" s="17">
        <v>50.375999999999998</v>
      </c>
      <c r="J298" s="3">
        <v>54.186999999999998</v>
      </c>
      <c r="K298" s="3">
        <v>24.335999999999999</v>
      </c>
      <c r="L298" s="3">
        <v>51.337000000000003</v>
      </c>
      <c r="M298" s="3">
        <v>43.076999999999998</v>
      </c>
      <c r="N298" s="3">
        <v>54.12</v>
      </c>
      <c r="O298" s="3">
        <v>69.804000000000002</v>
      </c>
      <c r="P298" s="3">
        <v>41.676000000000002</v>
      </c>
      <c r="Q298" s="3">
        <v>40.715000000000003</v>
      </c>
      <c r="R298" s="3">
        <v>44.795999999999999</v>
      </c>
    </row>
    <row r="299" spans="1:24" x14ac:dyDescent="0.2">
      <c r="A299" s="3"/>
      <c r="B299" s="23">
        <v>7.3166666666666664</v>
      </c>
      <c r="C299" s="3">
        <v>22.064</v>
      </c>
      <c r="D299" s="3">
        <v>39.634999999999998</v>
      </c>
      <c r="E299" s="3">
        <v>43.579000000000001</v>
      </c>
      <c r="F299" s="3">
        <v>33.667000000000002</v>
      </c>
      <c r="G299" s="3">
        <v>31.98</v>
      </c>
      <c r="H299" s="17">
        <v>42.698999999999998</v>
      </c>
      <c r="I299" s="17">
        <v>50.335000000000001</v>
      </c>
      <c r="J299" s="3">
        <v>54.145000000000003</v>
      </c>
      <c r="K299" s="3">
        <v>24.145</v>
      </c>
      <c r="L299" s="3">
        <v>51.244999999999997</v>
      </c>
      <c r="M299" s="3">
        <v>42.96</v>
      </c>
      <c r="N299" s="3">
        <v>54.101999999999997</v>
      </c>
      <c r="O299" s="3">
        <v>69.771000000000001</v>
      </c>
      <c r="P299" s="3">
        <v>41.633000000000003</v>
      </c>
      <c r="Q299" s="3">
        <v>40.627000000000002</v>
      </c>
      <c r="R299" s="3">
        <v>44.692999999999998</v>
      </c>
      <c r="X299" s="24"/>
    </row>
    <row r="300" spans="1:24" x14ac:dyDescent="0.2">
      <c r="A300" s="3"/>
      <c r="B300" s="23">
        <v>7.333333333333333</v>
      </c>
      <c r="C300" s="3">
        <v>21.893999999999998</v>
      </c>
      <c r="D300" s="3">
        <v>39.700000000000003</v>
      </c>
      <c r="E300" s="3">
        <v>43.356000000000002</v>
      </c>
      <c r="F300" s="3">
        <v>33.527999999999999</v>
      </c>
      <c r="G300" s="3">
        <v>31.638999999999999</v>
      </c>
      <c r="H300" s="17">
        <v>42.543999999999997</v>
      </c>
      <c r="I300" s="17">
        <v>50.182000000000002</v>
      </c>
      <c r="J300" s="3">
        <v>54.082000000000001</v>
      </c>
      <c r="K300" s="3">
        <v>24.068999999999999</v>
      </c>
      <c r="L300" s="3">
        <v>51.088999999999999</v>
      </c>
      <c r="M300" s="3">
        <v>42.887999999999998</v>
      </c>
      <c r="N300" s="3">
        <v>54.027999999999999</v>
      </c>
      <c r="O300" s="3">
        <v>69.813000000000002</v>
      </c>
      <c r="P300" s="3">
        <v>41.591000000000001</v>
      </c>
      <c r="Q300" s="3">
        <v>40.549999999999997</v>
      </c>
      <c r="R300" s="3">
        <v>44.652000000000001</v>
      </c>
    </row>
    <row r="301" spans="1:24" x14ac:dyDescent="0.2">
      <c r="A301" s="3"/>
      <c r="B301" s="23">
        <v>7.35</v>
      </c>
      <c r="C301" s="3">
        <v>21.760999999999999</v>
      </c>
      <c r="D301" s="3">
        <v>39.570999999999998</v>
      </c>
      <c r="E301" s="3">
        <v>43.484000000000002</v>
      </c>
      <c r="F301" s="3">
        <v>33.390999999999998</v>
      </c>
      <c r="G301" s="3">
        <v>31.606999999999999</v>
      </c>
      <c r="H301" s="17">
        <v>42.463999999999999</v>
      </c>
      <c r="I301" s="17">
        <v>50.115000000000002</v>
      </c>
      <c r="J301" s="3">
        <v>53.978000000000002</v>
      </c>
      <c r="K301" s="3">
        <v>23.832999999999998</v>
      </c>
      <c r="L301" s="3">
        <v>50.996000000000002</v>
      </c>
      <c r="M301" s="3">
        <v>42.841999999999999</v>
      </c>
      <c r="N301" s="3">
        <v>53.948</v>
      </c>
      <c r="O301" s="3">
        <v>69.774000000000001</v>
      </c>
      <c r="P301" s="3">
        <v>41.554000000000002</v>
      </c>
      <c r="Q301" s="3">
        <v>40.451999999999998</v>
      </c>
      <c r="R301" s="3">
        <v>44.624000000000002</v>
      </c>
      <c r="X301" s="24"/>
    </row>
    <row r="302" spans="1:24" x14ac:dyDescent="0.2">
      <c r="A302" s="3"/>
      <c r="B302" s="23">
        <v>7.3666666666666663</v>
      </c>
      <c r="C302" s="3">
        <v>21.596</v>
      </c>
      <c r="D302" s="3">
        <v>39.487000000000002</v>
      </c>
      <c r="E302" s="3">
        <v>43.326000000000001</v>
      </c>
      <c r="F302" s="3">
        <v>33.24</v>
      </c>
      <c r="G302" s="3">
        <v>31.41</v>
      </c>
      <c r="H302" s="17">
        <v>42.384</v>
      </c>
      <c r="I302" s="17">
        <v>50.021000000000001</v>
      </c>
      <c r="J302" s="3">
        <v>53.781999999999996</v>
      </c>
      <c r="K302" s="3">
        <v>23.702000000000002</v>
      </c>
      <c r="L302" s="3">
        <v>50.917000000000002</v>
      </c>
      <c r="M302" s="3">
        <v>42.783000000000001</v>
      </c>
      <c r="N302" s="3">
        <v>53.912999999999997</v>
      </c>
      <c r="O302" s="3">
        <v>69.75</v>
      </c>
      <c r="P302" s="3">
        <v>41.448999999999998</v>
      </c>
      <c r="Q302" s="3">
        <v>40.395000000000003</v>
      </c>
      <c r="R302" s="3">
        <v>44.496000000000002</v>
      </c>
    </row>
    <row r="303" spans="1:24" x14ac:dyDescent="0.2">
      <c r="A303" s="3"/>
      <c r="B303" s="23">
        <v>7.3833333333333337</v>
      </c>
      <c r="C303" s="3">
        <v>21.385999999999999</v>
      </c>
      <c r="D303" s="3">
        <v>39.509</v>
      </c>
      <c r="E303" s="3">
        <v>43.082999999999998</v>
      </c>
      <c r="F303" s="3">
        <v>33.103999999999999</v>
      </c>
      <c r="G303" s="3">
        <v>31.207999999999998</v>
      </c>
      <c r="H303" s="17">
        <v>42.31</v>
      </c>
      <c r="I303" s="17">
        <v>49.914000000000001</v>
      </c>
      <c r="J303" s="3">
        <v>53.823999999999998</v>
      </c>
      <c r="K303" s="3">
        <v>23.568999999999999</v>
      </c>
      <c r="L303" s="3">
        <v>50.817999999999998</v>
      </c>
      <c r="M303" s="3">
        <v>42.691000000000003</v>
      </c>
      <c r="N303" s="3">
        <v>53.83</v>
      </c>
      <c r="O303" s="3">
        <v>69.769000000000005</v>
      </c>
      <c r="P303" s="3">
        <v>41.406999999999996</v>
      </c>
      <c r="Q303" s="3">
        <v>40.262</v>
      </c>
      <c r="R303" s="3">
        <v>44.5</v>
      </c>
      <c r="X303" s="24"/>
    </row>
    <row r="304" spans="1:24" x14ac:dyDescent="0.2">
      <c r="A304" s="3"/>
      <c r="B304" s="23">
        <v>7.4</v>
      </c>
      <c r="C304" s="3">
        <v>21.306999999999999</v>
      </c>
      <c r="D304" s="3">
        <v>39.314</v>
      </c>
      <c r="E304" s="3">
        <v>43.143000000000001</v>
      </c>
      <c r="F304" s="3">
        <v>33.073999999999998</v>
      </c>
      <c r="G304" s="3">
        <v>30.995000000000001</v>
      </c>
      <c r="H304" s="17">
        <v>42.231999999999999</v>
      </c>
      <c r="I304" s="17">
        <v>49.807000000000002</v>
      </c>
      <c r="J304" s="3">
        <v>53.734000000000002</v>
      </c>
      <c r="K304" s="3">
        <v>23.385999999999999</v>
      </c>
      <c r="L304" s="3">
        <v>50.744</v>
      </c>
      <c r="M304" s="3">
        <v>42.591000000000001</v>
      </c>
      <c r="N304" s="3">
        <v>53.762</v>
      </c>
      <c r="O304" s="3">
        <v>69.754999999999995</v>
      </c>
      <c r="P304" s="3">
        <v>41.314999999999998</v>
      </c>
      <c r="Q304" s="3">
        <v>40.222000000000001</v>
      </c>
      <c r="R304" s="3">
        <v>44.415999999999997</v>
      </c>
    </row>
    <row r="305" spans="1:24" x14ac:dyDescent="0.2">
      <c r="A305" s="3"/>
      <c r="B305" s="23">
        <v>7.416666666666667</v>
      </c>
      <c r="C305" s="3">
        <v>21.163</v>
      </c>
      <c r="D305" s="3">
        <v>39.287999999999997</v>
      </c>
      <c r="E305" s="3">
        <v>43.081000000000003</v>
      </c>
      <c r="F305" s="3">
        <v>33.023000000000003</v>
      </c>
      <c r="G305" s="3">
        <v>30.864000000000001</v>
      </c>
      <c r="H305" s="17">
        <v>42.125</v>
      </c>
      <c r="I305" s="17">
        <v>49.71</v>
      </c>
      <c r="J305" s="3">
        <v>53.529000000000003</v>
      </c>
      <c r="K305" s="3">
        <v>23.222999999999999</v>
      </c>
      <c r="L305" s="3">
        <v>50.668999999999997</v>
      </c>
      <c r="M305" s="3">
        <v>42.564999999999998</v>
      </c>
      <c r="N305" s="3">
        <v>53.645000000000003</v>
      </c>
      <c r="O305" s="3">
        <v>69.710999999999999</v>
      </c>
      <c r="P305" s="3">
        <v>41.290999999999997</v>
      </c>
      <c r="Q305" s="3">
        <v>40.076000000000001</v>
      </c>
      <c r="R305" s="3">
        <v>44.274000000000001</v>
      </c>
      <c r="X305" s="24"/>
    </row>
    <row r="306" spans="1:24" x14ac:dyDescent="0.2">
      <c r="A306" s="3"/>
      <c r="B306" s="23">
        <v>7.4333333333333336</v>
      </c>
      <c r="C306" s="3">
        <v>21.033000000000001</v>
      </c>
      <c r="D306" s="3">
        <v>39.204999999999998</v>
      </c>
      <c r="E306" s="3">
        <v>43.043999999999997</v>
      </c>
      <c r="F306" s="3">
        <v>32.848999999999997</v>
      </c>
      <c r="G306" s="3">
        <v>30.771999999999998</v>
      </c>
      <c r="H306" s="17">
        <v>42.082999999999998</v>
      </c>
      <c r="I306" s="17">
        <v>49.673999999999999</v>
      </c>
      <c r="J306" s="3">
        <v>53.591000000000001</v>
      </c>
      <c r="K306" s="3">
        <v>23.108000000000001</v>
      </c>
      <c r="L306" s="3">
        <v>50.597000000000001</v>
      </c>
      <c r="M306" s="3">
        <v>42.472000000000001</v>
      </c>
      <c r="N306" s="3">
        <v>53.578000000000003</v>
      </c>
      <c r="O306" s="3">
        <v>69.718000000000004</v>
      </c>
      <c r="P306" s="3">
        <v>41.262999999999998</v>
      </c>
      <c r="Q306" s="3">
        <v>40.021999999999998</v>
      </c>
      <c r="R306" s="3">
        <v>44.271000000000001</v>
      </c>
    </row>
    <row r="307" spans="1:24" x14ac:dyDescent="0.2">
      <c r="A307" s="3"/>
      <c r="B307" s="23">
        <v>7.45</v>
      </c>
      <c r="C307" s="3">
        <v>20.832000000000001</v>
      </c>
      <c r="D307" s="3">
        <v>39.067</v>
      </c>
      <c r="E307" s="3">
        <v>42.837000000000003</v>
      </c>
      <c r="F307" s="3">
        <v>32.808999999999997</v>
      </c>
      <c r="G307" s="3">
        <v>30.6</v>
      </c>
      <c r="H307" s="17">
        <v>42.005000000000003</v>
      </c>
      <c r="I307" s="17">
        <v>49.545999999999999</v>
      </c>
      <c r="J307" s="3">
        <v>53.466000000000001</v>
      </c>
      <c r="K307" s="3">
        <v>22.951000000000001</v>
      </c>
      <c r="L307" s="3">
        <v>50.509</v>
      </c>
      <c r="M307" s="3">
        <v>42.395000000000003</v>
      </c>
      <c r="N307" s="3">
        <v>53.515999999999998</v>
      </c>
      <c r="O307" s="3">
        <v>69.77</v>
      </c>
      <c r="P307" s="3">
        <v>41.186</v>
      </c>
      <c r="Q307" s="3">
        <v>39.953000000000003</v>
      </c>
      <c r="R307" s="3">
        <v>44.223999999999997</v>
      </c>
      <c r="X307" s="24"/>
    </row>
    <row r="308" spans="1:24" x14ac:dyDescent="0.2">
      <c r="A308" s="3"/>
      <c r="B308" s="23">
        <v>7.4666666666666668</v>
      </c>
      <c r="C308" s="3">
        <v>20.690999999999999</v>
      </c>
      <c r="D308" s="3">
        <v>39.046999999999997</v>
      </c>
      <c r="E308" s="3">
        <v>42.917000000000002</v>
      </c>
      <c r="F308" s="3">
        <v>32.707999999999998</v>
      </c>
      <c r="G308" s="3">
        <v>30.457999999999998</v>
      </c>
      <c r="H308" s="17">
        <v>41.908000000000001</v>
      </c>
      <c r="I308" s="17">
        <v>49.478000000000002</v>
      </c>
      <c r="J308" s="3">
        <v>53.439</v>
      </c>
      <c r="K308" s="3">
        <v>22.817</v>
      </c>
      <c r="L308" s="3">
        <v>50.359000000000002</v>
      </c>
      <c r="M308" s="3">
        <v>42.280999999999999</v>
      </c>
      <c r="N308" s="3">
        <v>53.545000000000002</v>
      </c>
      <c r="O308" s="3">
        <v>69.784000000000006</v>
      </c>
      <c r="P308" s="3">
        <v>41.137</v>
      </c>
      <c r="Q308" s="3">
        <v>39.904000000000003</v>
      </c>
      <c r="R308" s="3">
        <v>44.051000000000002</v>
      </c>
    </row>
    <row r="309" spans="1:24" x14ac:dyDescent="0.2">
      <c r="A309" s="3"/>
      <c r="B309" s="23">
        <v>7.4833333333333334</v>
      </c>
      <c r="C309" s="3">
        <v>20.58</v>
      </c>
      <c r="D309" s="3">
        <v>38.92</v>
      </c>
      <c r="E309" s="3">
        <v>42.783000000000001</v>
      </c>
      <c r="F309" s="3">
        <v>32.558999999999997</v>
      </c>
      <c r="G309" s="3">
        <v>30.315000000000001</v>
      </c>
      <c r="H309" s="17">
        <v>41.863</v>
      </c>
      <c r="I309" s="17">
        <v>49.415999999999997</v>
      </c>
      <c r="J309" s="3">
        <v>53.264000000000003</v>
      </c>
      <c r="K309" s="3">
        <v>22.698</v>
      </c>
      <c r="L309" s="3">
        <v>50.27</v>
      </c>
      <c r="M309" s="3">
        <v>42.281999999999996</v>
      </c>
      <c r="N309" s="3">
        <v>53.438000000000002</v>
      </c>
      <c r="O309" s="3">
        <v>69.736000000000004</v>
      </c>
      <c r="P309" s="3">
        <v>41.03</v>
      </c>
      <c r="Q309" s="3">
        <v>39.856999999999999</v>
      </c>
      <c r="R309" s="3">
        <v>44.085999999999999</v>
      </c>
      <c r="X309" s="24"/>
    </row>
    <row r="310" spans="1:24" x14ac:dyDescent="0.2">
      <c r="A310" s="3"/>
      <c r="B310" s="23">
        <v>7.5</v>
      </c>
      <c r="C310" s="3">
        <v>20.408000000000001</v>
      </c>
      <c r="D310" s="3">
        <v>38.826999999999998</v>
      </c>
      <c r="E310" s="3">
        <v>42.59</v>
      </c>
      <c r="F310" s="3">
        <v>32.363999999999997</v>
      </c>
      <c r="G310" s="3">
        <v>30.236999999999998</v>
      </c>
      <c r="H310" s="17">
        <v>41.832000000000001</v>
      </c>
      <c r="I310" s="17">
        <v>49.360999999999997</v>
      </c>
      <c r="J310" s="3">
        <v>53.216000000000001</v>
      </c>
      <c r="K310" s="3">
        <v>22.561</v>
      </c>
      <c r="L310" s="3">
        <v>50.171999999999997</v>
      </c>
      <c r="M310" s="3">
        <v>42.168999999999997</v>
      </c>
      <c r="N310" s="3">
        <v>53.41</v>
      </c>
      <c r="O310" s="3">
        <v>69.683999999999997</v>
      </c>
      <c r="P310" s="3">
        <v>41.008000000000003</v>
      </c>
      <c r="Q310" s="3">
        <v>39.69</v>
      </c>
      <c r="R310" s="3">
        <v>43.817</v>
      </c>
    </row>
    <row r="311" spans="1:24" x14ac:dyDescent="0.2">
      <c r="A311" s="3"/>
      <c r="B311" s="23"/>
      <c r="X311" s="24"/>
    </row>
    <row r="312" spans="1:24" x14ac:dyDescent="0.2">
      <c r="A312" s="3"/>
      <c r="B312" s="23"/>
    </row>
    <row r="313" spans="1:24" x14ac:dyDescent="0.2">
      <c r="A313" s="3"/>
      <c r="B313" s="23"/>
      <c r="X313" s="24"/>
    </row>
    <row r="314" spans="1:24" x14ac:dyDescent="0.2">
      <c r="A314" s="3"/>
      <c r="B314" s="23"/>
    </row>
    <row r="315" spans="1:24" x14ac:dyDescent="0.2">
      <c r="A315" s="3"/>
      <c r="B315" s="23"/>
      <c r="X315" s="24"/>
    </row>
    <row r="316" spans="1:24" x14ac:dyDescent="0.2">
      <c r="A316" s="3"/>
      <c r="B316" s="23"/>
    </row>
    <row r="317" spans="1:24" x14ac:dyDescent="0.2">
      <c r="A317" s="3"/>
      <c r="B317" s="23"/>
      <c r="X317" s="24"/>
    </row>
    <row r="318" spans="1:24" x14ac:dyDescent="0.2">
      <c r="A318" s="3"/>
      <c r="B318" s="23"/>
    </row>
    <row r="319" spans="1:24" x14ac:dyDescent="0.2">
      <c r="A319" s="3"/>
      <c r="B319" s="23"/>
      <c r="X319" s="24"/>
    </row>
    <row r="320" spans="1:24" x14ac:dyDescent="0.2">
      <c r="A320" s="3"/>
      <c r="B320" s="23"/>
    </row>
    <row r="321" spans="1:24" x14ac:dyDescent="0.2">
      <c r="A321" s="3"/>
      <c r="B321" s="23"/>
      <c r="X321" s="24"/>
    </row>
    <row r="322" spans="1:24" x14ac:dyDescent="0.2">
      <c r="A322" s="3"/>
      <c r="B322" s="23"/>
    </row>
    <row r="323" spans="1:24" x14ac:dyDescent="0.2">
      <c r="A323" s="3"/>
      <c r="B323" s="23"/>
      <c r="X323" s="24"/>
    </row>
    <row r="324" spans="1:24" x14ac:dyDescent="0.2">
      <c r="A324" s="3"/>
      <c r="B324" s="23"/>
    </row>
    <row r="325" spans="1:24" x14ac:dyDescent="0.2">
      <c r="A325" s="3"/>
      <c r="B325" s="23"/>
      <c r="X325" s="24"/>
    </row>
    <row r="326" spans="1:24" x14ac:dyDescent="0.2">
      <c r="A326" s="3"/>
      <c r="B326" s="23"/>
    </row>
    <row r="327" spans="1:24" x14ac:dyDescent="0.2">
      <c r="A327" s="3"/>
      <c r="B327" s="23"/>
      <c r="X327" s="24"/>
    </row>
    <row r="328" spans="1:24" x14ac:dyDescent="0.2">
      <c r="A328" s="3"/>
      <c r="B328" s="23"/>
    </row>
    <row r="329" spans="1:24" x14ac:dyDescent="0.2">
      <c r="A329" s="3"/>
      <c r="B329" s="23"/>
      <c r="X329" s="24"/>
    </row>
    <row r="330" spans="1:24" x14ac:dyDescent="0.2">
      <c r="A330" s="3"/>
      <c r="B330" s="23"/>
    </row>
    <row r="331" spans="1:24" x14ac:dyDescent="0.2">
      <c r="A331" s="3"/>
      <c r="B331" s="23"/>
      <c r="X331" s="24"/>
    </row>
    <row r="332" spans="1:24" x14ac:dyDescent="0.2">
      <c r="A332" s="3"/>
      <c r="B332" s="23"/>
    </row>
    <row r="333" spans="1:24" x14ac:dyDescent="0.2">
      <c r="A333" s="3"/>
      <c r="B333" s="23"/>
      <c r="X333" s="24"/>
    </row>
    <row r="334" spans="1:24" x14ac:dyDescent="0.2">
      <c r="A334" s="3"/>
      <c r="B334" s="23"/>
    </row>
    <row r="335" spans="1:24" x14ac:dyDescent="0.2">
      <c r="A335" s="3"/>
      <c r="B335" s="23"/>
      <c r="X335" s="24"/>
    </row>
    <row r="336" spans="1:24" x14ac:dyDescent="0.2">
      <c r="A336" s="3"/>
      <c r="B336" s="23"/>
    </row>
    <row r="337" spans="1:24" x14ac:dyDescent="0.2">
      <c r="A337" s="3"/>
      <c r="B337" s="23"/>
      <c r="X337" s="24"/>
    </row>
    <row r="338" spans="1:24" x14ac:dyDescent="0.2">
      <c r="A338" s="3"/>
      <c r="B338" s="23"/>
    </row>
    <row r="339" spans="1:24" x14ac:dyDescent="0.2">
      <c r="A339" s="3"/>
      <c r="B339" s="23"/>
      <c r="X339" s="24"/>
    </row>
    <row r="340" spans="1:24" x14ac:dyDescent="0.2">
      <c r="A340" s="3"/>
      <c r="B340" s="23"/>
    </row>
    <row r="341" spans="1:24" x14ac:dyDescent="0.2">
      <c r="A341" s="3"/>
      <c r="B341" s="23"/>
      <c r="X341" s="24"/>
    </row>
    <row r="342" spans="1:24" x14ac:dyDescent="0.2">
      <c r="A342" s="3"/>
      <c r="B342" s="23"/>
    </row>
    <row r="343" spans="1:24" x14ac:dyDescent="0.2">
      <c r="A343" s="3"/>
      <c r="B343" s="23"/>
      <c r="X343" s="24"/>
    </row>
    <row r="344" spans="1:24" x14ac:dyDescent="0.2">
      <c r="A344" s="3"/>
      <c r="B344" s="23"/>
    </row>
    <row r="345" spans="1:24" x14ac:dyDescent="0.2">
      <c r="A345" s="3"/>
      <c r="B345" s="23"/>
      <c r="X345" s="24"/>
    </row>
    <row r="346" spans="1:24" x14ac:dyDescent="0.2">
      <c r="A346" s="3"/>
      <c r="B346" s="23"/>
    </row>
    <row r="347" spans="1:24" x14ac:dyDescent="0.2">
      <c r="A347" s="3"/>
      <c r="B347" s="23"/>
      <c r="X347" s="24"/>
    </row>
    <row r="348" spans="1:24" x14ac:dyDescent="0.2">
      <c r="A348" s="3"/>
      <c r="B348" s="23"/>
    </row>
    <row r="349" spans="1:24" x14ac:dyDescent="0.2">
      <c r="A349" s="3"/>
      <c r="B349" s="23"/>
      <c r="X349" s="24"/>
    </row>
    <row r="350" spans="1:24" x14ac:dyDescent="0.2">
      <c r="A350" s="3"/>
      <c r="B350" s="23"/>
    </row>
    <row r="351" spans="1:24" x14ac:dyDescent="0.2">
      <c r="A351" s="3"/>
      <c r="B351" s="23"/>
      <c r="X351" s="24"/>
    </row>
    <row r="352" spans="1:24" x14ac:dyDescent="0.2">
      <c r="A352" s="3"/>
      <c r="B352" s="23"/>
    </row>
    <row r="353" spans="1:24" x14ac:dyDescent="0.2">
      <c r="A353" s="3"/>
      <c r="B353" s="23"/>
      <c r="X353" s="24"/>
    </row>
    <row r="354" spans="1:24" x14ac:dyDescent="0.2">
      <c r="A354" s="3"/>
      <c r="B354" s="23"/>
    </row>
    <row r="355" spans="1:24" x14ac:dyDescent="0.2">
      <c r="A355" s="3"/>
      <c r="B355" s="23"/>
      <c r="X355" s="24"/>
    </row>
    <row r="356" spans="1:24" x14ac:dyDescent="0.2">
      <c r="A356" s="3"/>
      <c r="B356" s="23"/>
    </row>
    <row r="357" spans="1:24" x14ac:dyDescent="0.2">
      <c r="A357" s="3"/>
      <c r="B357" s="23"/>
      <c r="X357" s="24"/>
    </row>
    <row r="358" spans="1:24" x14ac:dyDescent="0.2">
      <c r="A358" s="3"/>
      <c r="B358" s="23"/>
    </row>
    <row r="359" spans="1:24" x14ac:dyDescent="0.2">
      <c r="A359" s="3"/>
      <c r="B359" s="23"/>
      <c r="X359" s="24"/>
    </row>
    <row r="360" spans="1:24" x14ac:dyDescent="0.2">
      <c r="A360" s="3"/>
      <c r="B360" s="23"/>
    </row>
    <row r="361" spans="1:24" x14ac:dyDescent="0.2">
      <c r="A361" s="3"/>
      <c r="B361" s="23"/>
      <c r="X361" s="24"/>
    </row>
    <row r="362" spans="1:24" x14ac:dyDescent="0.2">
      <c r="A362" s="3"/>
      <c r="B362" s="23"/>
    </row>
    <row r="363" spans="1:24" x14ac:dyDescent="0.2">
      <c r="A363" s="3"/>
      <c r="B363" s="23"/>
      <c r="X363" s="24"/>
    </row>
    <row r="364" spans="1:24" x14ac:dyDescent="0.2">
      <c r="A364" s="3"/>
      <c r="B364" s="23"/>
    </row>
    <row r="365" spans="1:24" x14ac:dyDescent="0.2">
      <c r="A365" s="3"/>
      <c r="B365" s="23"/>
      <c r="X365" s="24"/>
    </row>
    <row r="366" spans="1:24" x14ac:dyDescent="0.2">
      <c r="A366" s="3"/>
      <c r="B366" s="23"/>
    </row>
    <row r="367" spans="1:24" x14ac:dyDescent="0.2">
      <c r="A367" s="3"/>
      <c r="B367" s="23"/>
      <c r="X367" s="24"/>
    </row>
    <row r="368" spans="1:24" x14ac:dyDescent="0.2">
      <c r="A368" s="3"/>
      <c r="B368" s="23"/>
    </row>
    <row r="369" spans="1:24" x14ac:dyDescent="0.2">
      <c r="A369" s="3"/>
      <c r="B369" s="23"/>
      <c r="X369" s="24"/>
    </row>
    <row r="370" spans="1:24" x14ac:dyDescent="0.2">
      <c r="A370" s="3"/>
      <c r="B370" s="23"/>
    </row>
    <row r="371" spans="1:24" x14ac:dyDescent="0.2">
      <c r="A371" s="3"/>
      <c r="B371" s="23"/>
      <c r="X371" s="24"/>
    </row>
    <row r="372" spans="1:24" x14ac:dyDescent="0.2">
      <c r="A372" s="3"/>
      <c r="B372" s="23"/>
    </row>
    <row r="373" spans="1:24" x14ac:dyDescent="0.2">
      <c r="A373" s="3"/>
      <c r="B373" s="23"/>
      <c r="X373" s="24"/>
    </row>
    <row r="374" spans="1:24" x14ac:dyDescent="0.2">
      <c r="A374" s="3"/>
      <c r="B374" s="23"/>
    </row>
    <row r="375" spans="1:24" x14ac:dyDescent="0.2">
      <c r="A375" s="3"/>
      <c r="B375" s="23"/>
      <c r="X375" s="24"/>
    </row>
    <row r="376" spans="1:24" x14ac:dyDescent="0.2">
      <c r="A376" s="3"/>
      <c r="B376" s="23"/>
    </row>
    <row r="377" spans="1:24" x14ac:dyDescent="0.2">
      <c r="A377" s="3"/>
      <c r="B377" s="23"/>
      <c r="X377" s="24"/>
    </row>
    <row r="378" spans="1:24" x14ac:dyDescent="0.2">
      <c r="A378" s="3"/>
      <c r="B378" s="23"/>
    </row>
    <row r="379" spans="1:24" x14ac:dyDescent="0.2">
      <c r="A379" s="3"/>
      <c r="B379" s="23"/>
      <c r="X379" s="24"/>
    </row>
    <row r="380" spans="1:24" x14ac:dyDescent="0.2">
      <c r="A380" s="3"/>
      <c r="B380" s="23"/>
    </row>
    <row r="381" spans="1:24" x14ac:dyDescent="0.2">
      <c r="A381" s="3"/>
      <c r="B381" s="23"/>
      <c r="X381" s="24"/>
    </row>
    <row r="382" spans="1:24" x14ac:dyDescent="0.2">
      <c r="A382" s="3"/>
      <c r="B382" s="23"/>
    </row>
    <row r="383" spans="1:24" x14ac:dyDescent="0.2">
      <c r="A383" s="3"/>
      <c r="B383" s="23"/>
      <c r="X383" s="24"/>
    </row>
    <row r="384" spans="1:24" x14ac:dyDescent="0.2">
      <c r="A384" s="3"/>
      <c r="B384" s="23"/>
    </row>
    <row r="385" spans="1:24" x14ac:dyDescent="0.2">
      <c r="A385" s="3"/>
      <c r="B385" s="23"/>
      <c r="X385" s="24"/>
    </row>
    <row r="386" spans="1:24" x14ac:dyDescent="0.2">
      <c r="A386" s="3"/>
      <c r="B386" s="23"/>
    </row>
    <row r="387" spans="1:24" x14ac:dyDescent="0.2">
      <c r="A387" s="3"/>
      <c r="B387" s="23"/>
      <c r="X387" s="24"/>
    </row>
    <row r="388" spans="1:24" x14ac:dyDescent="0.2">
      <c r="A388" s="3"/>
      <c r="B388" s="23"/>
    </row>
    <row r="389" spans="1:24" x14ac:dyDescent="0.2">
      <c r="A389" s="3"/>
      <c r="B389" s="23"/>
      <c r="X389" s="24"/>
    </row>
    <row r="390" spans="1:24" x14ac:dyDescent="0.2">
      <c r="A390" s="3"/>
      <c r="B390" s="23"/>
    </row>
    <row r="391" spans="1:24" x14ac:dyDescent="0.2">
      <c r="A391" s="3"/>
      <c r="B391" s="23"/>
      <c r="X391" s="24"/>
    </row>
    <row r="392" spans="1:24" x14ac:dyDescent="0.2">
      <c r="A392" s="3"/>
      <c r="B392" s="23"/>
    </row>
    <row r="393" spans="1:24" x14ac:dyDescent="0.2">
      <c r="A393" s="3"/>
      <c r="B393" s="23"/>
      <c r="X393" s="24"/>
    </row>
    <row r="394" spans="1:24" x14ac:dyDescent="0.2">
      <c r="A394" s="3"/>
      <c r="B394" s="23"/>
    </row>
    <row r="395" spans="1:24" x14ac:dyDescent="0.2">
      <c r="A395" s="3"/>
      <c r="B395" s="23"/>
      <c r="X395" s="24"/>
    </row>
    <row r="396" spans="1:24" x14ac:dyDescent="0.2">
      <c r="A396" s="3"/>
      <c r="B396" s="23"/>
    </row>
    <row r="397" spans="1:24" x14ac:dyDescent="0.2">
      <c r="A397" s="3"/>
      <c r="B397" s="23"/>
      <c r="X397" s="24"/>
    </row>
    <row r="398" spans="1:24" x14ac:dyDescent="0.2">
      <c r="A398" s="3"/>
      <c r="B398" s="23"/>
    </row>
    <row r="399" spans="1:24" x14ac:dyDescent="0.2">
      <c r="A399" s="3"/>
      <c r="B399" s="23"/>
      <c r="X399" s="24"/>
    </row>
    <row r="400" spans="1:24" x14ac:dyDescent="0.2">
      <c r="A400" s="3"/>
      <c r="B400" s="23"/>
    </row>
    <row r="401" spans="1:24" x14ac:dyDescent="0.2">
      <c r="A401" s="3"/>
      <c r="B401" s="23"/>
      <c r="X401" s="24"/>
    </row>
    <row r="402" spans="1:24" x14ac:dyDescent="0.2">
      <c r="A402" s="3"/>
      <c r="B402" s="23"/>
    </row>
    <row r="403" spans="1:24" x14ac:dyDescent="0.2">
      <c r="A403" s="3"/>
      <c r="B403" s="23"/>
      <c r="X403" s="24"/>
    </row>
    <row r="404" spans="1:24" x14ac:dyDescent="0.2">
      <c r="A404" s="3"/>
      <c r="B404" s="23"/>
    </row>
    <row r="405" spans="1:24" x14ac:dyDescent="0.2">
      <c r="A405" s="3"/>
      <c r="B405" s="23"/>
      <c r="X405" s="24"/>
    </row>
    <row r="406" spans="1:24" x14ac:dyDescent="0.2">
      <c r="A406" s="3"/>
      <c r="B406" s="23"/>
    </row>
    <row r="407" spans="1:24" x14ac:dyDescent="0.2">
      <c r="A407" s="3"/>
      <c r="B407" s="23"/>
      <c r="X407" s="24"/>
    </row>
    <row r="408" spans="1:24" x14ac:dyDescent="0.2">
      <c r="A408" s="3"/>
      <c r="B408" s="23"/>
    </row>
    <row r="409" spans="1:24" x14ac:dyDescent="0.2">
      <c r="A409" s="3"/>
      <c r="B409" s="23"/>
      <c r="X409" s="24"/>
    </row>
    <row r="410" spans="1:24" x14ac:dyDescent="0.2">
      <c r="A410" s="3"/>
      <c r="B410" s="23"/>
    </row>
    <row r="411" spans="1:24" x14ac:dyDescent="0.2">
      <c r="A411" s="3"/>
      <c r="B411" s="23"/>
      <c r="X411" s="24"/>
    </row>
    <row r="412" spans="1:24" x14ac:dyDescent="0.2">
      <c r="A412" s="3"/>
      <c r="B412" s="23"/>
    </row>
    <row r="413" spans="1:24" x14ac:dyDescent="0.2">
      <c r="A413" s="3"/>
      <c r="B413" s="23"/>
      <c r="X413" s="24"/>
    </row>
    <row r="414" spans="1:24" x14ac:dyDescent="0.2">
      <c r="A414" s="3"/>
      <c r="B414" s="23"/>
    </row>
    <row r="415" spans="1:24" x14ac:dyDescent="0.2">
      <c r="A415" s="3"/>
      <c r="B415" s="23"/>
      <c r="X415" s="24"/>
    </row>
    <row r="416" spans="1:24" x14ac:dyDescent="0.2">
      <c r="A416" s="3"/>
      <c r="B416" s="23"/>
    </row>
    <row r="417" spans="1:24" x14ac:dyDescent="0.2">
      <c r="A417" s="3"/>
      <c r="B417" s="23"/>
      <c r="X417" s="24"/>
    </row>
    <row r="418" spans="1:24" x14ac:dyDescent="0.2">
      <c r="A418" s="3"/>
      <c r="B418" s="23"/>
    </row>
    <row r="419" spans="1:24" x14ac:dyDescent="0.2">
      <c r="A419" s="3"/>
      <c r="B419" s="23"/>
      <c r="X419" s="24"/>
    </row>
    <row r="420" spans="1:24" x14ac:dyDescent="0.2">
      <c r="A420" s="3"/>
      <c r="B420" s="23"/>
    </row>
    <row r="421" spans="1:24" x14ac:dyDescent="0.2">
      <c r="A421" s="3"/>
      <c r="B421" s="23"/>
      <c r="X421" s="24"/>
    </row>
    <row r="422" spans="1:24" x14ac:dyDescent="0.2">
      <c r="A422" s="3"/>
      <c r="B422" s="23"/>
    </row>
    <row r="423" spans="1:24" x14ac:dyDescent="0.2">
      <c r="A423" s="3"/>
      <c r="B423" s="23"/>
      <c r="X423" s="24"/>
    </row>
    <row r="424" spans="1:24" x14ac:dyDescent="0.2">
      <c r="A424" s="3"/>
      <c r="B424" s="23"/>
    </row>
    <row r="425" spans="1:24" x14ac:dyDescent="0.2">
      <c r="A425" s="3"/>
      <c r="B425" s="23"/>
      <c r="X425" s="24"/>
    </row>
    <row r="426" spans="1:24" x14ac:dyDescent="0.2">
      <c r="A426" s="3"/>
      <c r="B426" s="23"/>
    </row>
    <row r="427" spans="1:24" x14ac:dyDescent="0.2">
      <c r="A427" s="3"/>
      <c r="B427" s="23"/>
      <c r="X427" s="24"/>
    </row>
    <row r="428" spans="1:24" x14ac:dyDescent="0.2">
      <c r="A428" s="3"/>
      <c r="B428" s="23"/>
    </row>
    <row r="429" spans="1:24" x14ac:dyDescent="0.2">
      <c r="A429" s="3"/>
      <c r="B429" s="23"/>
      <c r="X429" s="24"/>
    </row>
    <row r="430" spans="1:24" x14ac:dyDescent="0.2">
      <c r="A430" s="3"/>
      <c r="B430" s="23"/>
    </row>
    <row r="431" spans="1:24" x14ac:dyDescent="0.2">
      <c r="A431" s="3"/>
      <c r="B431" s="23"/>
      <c r="X431" s="24"/>
    </row>
    <row r="432" spans="1:24" x14ac:dyDescent="0.2">
      <c r="A432" s="3"/>
      <c r="B432" s="23"/>
    </row>
    <row r="433" spans="1:24" x14ac:dyDescent="0.2">
      <c r="A433" s="3"/>
      <c r="B433" s="23"/>
      <c r="X433" s="24"/>
    </row>
    <row r="434" spans="1:24" x14ac:dyDescent="0.2">
      <c r="A434" s="3"/>
      <c r="B434" s="23"/>
    </row>
    <row r="435" spans="1:24" x14ac:dyDescent="0.2">
      <c r="A435" s="3"/>
      <c r="B435" s="23"/>
      <c r="X435" s="24"/>
    </row>
    <row r="436" spans="1:24" x14ac:dyDescent="0.2">
      <c r="A436" s="3"/>
      <c r="B436" s="23"/>
    </row>
    <row r="437" spans="1:24" x14ac:dyDescent="0.2">
      <c r="A437" s="3"/>
      <c r="B437" s="23"/>
      <c r="X437" s="24"/>
    </row>
    <row r="438" spans="1:24" x14ac:dyDescent="0.2">
      <c r="A438" s="3"/>
      <c r="B438" s="23"/>
    </row>
    <row r="439" spans="1:24" x14ac:dyDescent="0.2">
      <c r="A439" s="3"/>
      <c r="B439" s="23"/>
      <c r="X439" s="24"/>
    </row>
    <row r="440" spans="1:24" x14ac:dyDescent="0.2">
      <c r="A440" s="3"/>
      <c r="B440" s="23"/>
    </row>
    <row r="441" spans="1:24" x14ac:dyDescent="0.2">
      <c r="A441" s="3"/>
      <c r="B441" s="23"/>
      <c r="X441" s="24"/>
    </row>
    <row r="442" spans="1:24" x14ac:dyDescent="0.2">
      <c r="A442" s="3"/>
      <c r="B442" s="23"/>
    </row>
    <row r="443" spans="1:24" x14ac:dyDescent="0.2">
      <c r="A443" s="3"/>
      <c r="B443" s="23"/>
      <c r="X443" s="24"/>
    </row>
    <row r="444" spans="1:24" x14ac:dyDescent="0.2">
      <c r="A444" s="3"/>
      <c r="B444" s="23"/>
    </row>
    <row r="445" spans="1:24" x14ac:dyDescent="0.2">
      <c r="A445" s="3"/>
      <c r="B445" s="23"/>
      <c r="X445" s="24"/>
    </row>
    <row r="446" spans="1:24" x14ac:dyDescent="0.2">
      <c r="A446" s="3"/>
      <c r="B446" s="23"/>
    </row>
    <row r="447" spans="1:24" x14ac:dyDescent="0.2">
      <c r="A447" s="3"/>
      <c r="B447" s="23"/>
      <c r="X447" s="24"/>
    </row>
    <row r="448" spans="1:24" x14ac:dyDescent="0.2">
      <c r="A448" s="3"/>
      <c r="B448" s="23"/>
    </row>
    <row r="449" spans="1:24" x14ac:dyDescent="0.2">
      <c r="A449" s="3"/>
      <c r="B449" s="23"/>
      <c r="X449" s="24"/>
    </row>
    <row r="450" spans="1:24" x14ac:dyDescent="0.2">
      <c r="A450" s="3"/>
      <c r="B450" s="23"/>
    </row>
    <row r="451" spans="1:24" x14ac:dyDescent="0.2">
      <c r="A451" s="3"/>
      <c r="B451" s="23"/>
      <c r="X451" s="24"/>
    </row>
    <row r="452" spans="1:24" x14ac:dyDescent="0.2">
      <c r="A452" s="3"/>
      <c r="B452" s="23"/>
    </row>
    <row r="453" spans="1:24" x14ac:dyDescent="0.2">
      <c r="A453" s="3"/>
      <c r="B453" s="23"/>
      <c r="X453" s="24"/>
    </row>
    <row r="454" spans="1:24" x14ac:dyDescent="0.2">
      <c r="A454" s="3"/>
      <c r="B454" s="23"/>
    </row>
    <row r="455" spans="1:24" x14ac:dyDescent="0.2">
      <c r="A455" s="3"/>
      <c r="B455" s="23"/>
      <c r="X455" s="24"/>
    </row>
    <row r="456" spans="1:24" x14ac:dyDescent="0.2">
      <c r="A456" s="3"/>
      <c r="B456" s="23"/>
    </row>
    <row r="457" spans="1:24" x14ac:dyDescent="0.2">
      <c r="A457" s="3"/>
      <c r="B457" s="23"/>
      <c r="X457" s="24"/>
    </row>
    <row r="458" spans="1:24" x14ac:dyDescent="0.2">
      <c r="A458" s="3"/>
      <c r="B458" s="23"/>
    </row>
    <row r="459" spans="1:24" x14ac:dyDescent="0.2">
      <c r="A459" s="3"/>
      <c r="B459" s="23"/>
      <c r="X459" s="24"/>
    </row>
    <row r="460" spans="1:24" x14ac:dyDescent="0.2">
      <c r="A460" s="3"/>
      <c r="B460" s="23"/>
    </row>
    <row r="461" spans="1:24" x14ac:dyDescent="0.2">
      <c r="A461" s="3"/>
      <c r="B461" s="23"/>
      <c r="X461" s="24"/>
    </row>
    <row r="462" spans="1:24" x14ac:dyDescent="0.2">
      <c r="A462" s="3"/>
      <c r="B462" s="23"/>
    </row>
    <row r="463" spans="1:24" x14ac:dyDescent="0.2">
      <c r="A463" s="3"/>
      <c r="B463" s="23"/>
      <c r="X463" s="24"/>
    </row>
    <row r="464" spans="1:24" x14ac:dyDescent="0.2">
      <c r="A464" s="3"/>
      <c r="B464" s="23"/>
    </row>
    <row r="465" spans="1:24" x14ac:dyDescent="0.2">
      <c r="A465" s="3"/>
      <c r="B465" s="23"/>
      <c r="X465" s="24"/>
    </row>
    <row r="466" spans="1:24" x14ac:dyDescent="0.2">
      <c r="A466" s="3"/>
      <c r="B466" s="23"/>
    </row>
    <row r="467" spans="1:24" x14ac:dyDescent="0.2">
      <c r="A467" s="3"/>
      <c r="B467" s="23"/>
      <c r="X467" s="24"/>
    </row>
    <row r="468" spans="1:24" x14ac:dyDescent="0.2">
      <c r="A468" s="3"/>
      <c r="B468" s="23"/>
    </row>
    <row r="469" spans="1:24" x14ac:dyDescent="0.2">
      <c r="A469" s="3"/>
      <c r="B469" s="23"/>
      <c r="X469" s="24"/>
    </row>
    <row r="470" spans="1:24" x14ac:dyDescent="0.2">
      <c r="A470" s="3"/>
      <c r="B470" s="23"/>
    </row>
    <row r="471" spans="1:24" x14ac:dyDescent="0.2">
      <c r="A471" s="3"/>
      <c r="B471" s="23"/>
      <c r="X471" s="24"/>
    </row>
    <row r="472" spans="1:24" x14ac:dyDescent="0.2">
      <c r="A472" s="3"/>
      <c r="B472" s="23"/>
    </row>
    <row r="473" spans="1:24" x14ac:dyDescent="0.2">
      <c r="A473" s="3"/>
      <c r="B473" s="23"/>
      <c r="X473" s="24"/>
    </row>
    <row r="474" spans="1:24" x14ac:dyDescent="0.2">
      <c r="A474" s="3"/>
      <c r="B474" s="23"/>
    </row>
    <row r="475" spans="1:24" x14ac:dyDescent="0.2">
      <c r="A475" s="3"/>
      <c r="B475" s="23"/>
      <c r="X475" s="24"/>
    </row>
    <row r="476" spans="1:24" x14ac:dyDescent="0.2">
      <c r="A476" s="3"/>
      <c r="B476" s="23"/>
    </row>
    <row r="477" spans="1:24" x14ac:dyDescent="0.2">
      <c r="A477" s="3"/>
      <c r="B477" s="23"/>
      <c r="X477" s="24"/>
    </row>
    <row r="478" spans="1:24" x14ac:dyDescent="0.2">
      <c r="A478" s="3"/>
      <c r="B478" s="23"/>
    </row>
    <row r="479" spans="1:24" x14ac:dyDescent="0.2">
      <c r="A479" s="3"/>
      <c r="B479" s="23"/>
      <c r="X479" s="24"/>
    </row>
    <row r="480" spans="1:24" x14ac:dyDescent="0.2">
      <c r="A480" s="3"/>
      <c r="B480" s="23"/>
    </row>
    <row r="481" spans="1:24" x14ac:dyDescent="0.2">
      <c r="A481" s="3"/>
      <c r="B481" s="23"/>
      <c r="X481" s="24"/>
    </row>
    <row r="482" spans="1:24" x14ac:dyDescent="0.2">
      <c r="A482" s="3"/>
      <c r="B482" s="23"/>
    </row>
    <row r="483" spans="1:24" x14ac:dyDescent="0.2">
      <c r="A483" s="3"/>
      <c r="B483" s="23"/>
      <c r="X483" s="24"/>
    </row>
    <row r="484" spans="1:24" x14ac:dyDescent="0.2">
      <c r="A484" s="3"/>
      <c r="B484" s="23"/>
    </row>
    <row r="485" spans="1:24" x14ac:dyDescent="0.2">
      <c r="A485" s="3"/>
      <c r="B485" s="23"/>
      <c r="X485" s="24"/>
    </row>
    <row r="486" spans="1:24" x14ac:dyDescent="0.2">
      <c r="A486" s="3"/>
      <c r="B486" s="23"/>
    </row>
    <row r="487" spans="1:24" x14ac:dyDescent="0.2">
      <c r="A487" s="3"/>
      <c r="B487" s="23"/>
      <c r="X487" s="24"/>
    </row>
    <row r="488" spans="1:24" x14ac:dyDescent="0.2">
      <c r="A488" s="3"/>
      <c r="B488" s="23"/>
    </row>
    <row r="489" spans="1:24" x14ac:dyDescent="0.2">
      <c r="A489" s="3"/>
      <c r="B489" s="23"/>
      <c r="X489" s="24"/>
    </row>
    <row r="490" spans="1:24" x14ac:dyDescent="0.2">
      <c r="A490" s="3"/>
      <c r="B490" s="23"/>
    </row>
    <row r="491" spans="1:24" x14ac:dyDescent="0.2">
      <c r="A491" s="3"/>
      <c r="B491" s="23"/>
      <c r="X491" s="24"/>
    </row>
    <row r="492" spans="1:24" x14ac:dyDescent="0.2">
      <c r="A492" s="3"/>
      <c r="B492" s="23"/>
    </row>
    <row r="493" spans="1:24" x14ac:dyDescent="0.2">
      <c r="A493" s="3"/>
      <c r="B493" s="23"/>
      <c r="X493" s="24"/>
    </row>
    <row r="494" spans="1:24" x14ac:dyDescent="0.2">
      <c r="A494" s="3"/>
      <c r="B494" s="23"/>
    </row>
    <row r="495" spans="1:24" x14ac:dyDescent="0.2">
      <c r="A495" s="3"/>
      <c r="B495" s="23"/>
      <c r="X495" s="24"/>
    </row>
    <row r="496" spans="1:24" x14ac:dyDescent="0.2">
      <c r="A496" s="3"/>
      <c r="B496" s="23"/>
    </row>
    <row r="497" spans="1:24" x14ac:dyDescent="0.2">
      <c r="A497" s="3"/>
      <c r="B497" s="23"/>
      <c r="X497" s="24"/>
    </row>
    <row r="498" spans="1:24" x14ac:dyDescent="0.2">
      <c r="A498" s="3"/>
      <c r="B498" s="23"/>
    </row>
    <row r="499" spans="1:24" x14ac:dyDescent="0.2">
      <c r="A499" s="3"/>
      <c r="B499" s="23"/>
      <c r="X499" s="24"/>
    </row>
    <row r="500" spans="1:24" x14ac:dyDescent="0.2">
      <c r="A500" s="3"/>
      <c r="B500" s="23"/>
    </row>
    <row r="501" spans="1:24" x14ac:dyDescent="0.2">
      <c r="A501" s="3"/>
      <c r="B501" s="23"/>
      <c r="X501" s="24"/>
    </row>
    <row r="502" spans="1:24" x14ac:dyDescent="0.2">
      <c r="A502" s="3"/>
      <c r="B502" s="23"/>
    </row>
    <row r="503" spans="1:24" x14ac:dyDescent="0.2">
      <c r="A503" s="3"/>
      <c r="B503" s="23"/>
      <c r="X503" s="24"/>
    </row>
    <row r="504" spans="1:24" x14ac:dyDescent="0.2">
      <c r="A504" s="3"/>
      <c r="B504" s="23"/>
    </row>
    <row r="505" spans="1:24" x14ac:dyDescent="0.2">
      <c r="A505" s="3"/>
      <c r="B505" s="23"/>
      <c r="X505" s="24"/>
    </row>
    <row r="506" spans="1:24" x14ac:dyDescent="0.2">
      <c r="A506" s="3"/>
      <c r="B506" s="23"/>
    </row>
    <row r="507" spans="1:24" x14ac:dyDescent="0.2">
      <c r="A507" s="3"/>
      <c r="B507" s="23"/>
      <c r="X507" s="24"/>
    </row>
    <row r="508" spans="1:24" x14ac:dyDescent="0.2">
      <c r="A508" s="3"/>
      <c r="B508" s="23"/>
    </row>
    <row r="509" spans="1:24" x14ac:dyDescent="0.2">
      <c r="A509" s="3"/>
      <c r="B509" s="23"/>
      <c r="X509" s="24"/>
    </row>
    <row r="510" spans="1:24" x14ac:dyDescent="0.2">
      <c r="A510" s="3"/>
      <c r="B510" s="23"/>
    </row>
    <row r="511" spans="1:24" x14ac:dyDescent="0.2">
      <c r="A511" s="3"/>
      <c r="B511" s="23"/>
      <c r="X511" s="24"/>
    </row>
    <row r="512" spans="1:24" x14ac:dyDescent="0.2">
      <c r="A512" s="3"/>
      <c r="B512" s="23"/>
    </row>
    <row r="513" spans="1:24" x14ac:dyDescent="0.2">
      <c r="A513" s="3"/>
      <c r="B513" s="23"/>
      <c r="X513" s="24"/>
    </row>
    <row r="514" spans="1:24" x14ac:dyDescent="0.2">
      <c r="A514" s="3"/>
      <c r="B514" s="23"/>
    </row>
    <row r="515" spans="1:24" x14ac:dyDescent="0.2">
      <c r="A515" s="3"/>
      <c r="B515" s="23"/>
      <c r="X515" s="24"/>
    </row>
    <row r="516" spans="1:24" x14ac:dyDescent="0.2">
      <c r="A516" s="3"/>
      <c r="B516" s="23"/>
    </row>
    <row r="517" spans="1:24" x14ac:dyDescent="0.2">
      <c r="A517" s="3"/>
      <c r="B517" s="23"/>
      <c r="X517" s="24"/>
    </row>
    <row r="518" spans="1:24" x14ac:dyDescent="0.2">
      <c r="A518" s="3"/>
      <c r="B518" s="23"/>
    </row>
    <row r="519" spans="1:24" x14ac:dyDescent="0.2">
      <c r="A519" s="3"/>
      <c r="B519" s="23"/>
      <c r="X519" s="24"/>
    </row>
    <row r="520" spans="1:24" x14ac:dyDescent="0.2">
      <c r="A520" s="3"/>
      <c r="B520" s="23"/>
    </row>
    <row r="521" spans="1:24" x14ac:dyDescent="0.2">
      <c r="A521" s="3"/>
      <c r="B521" s="23"/>
      <c r="X521" s="24"/>
    </row>
    <row r="522" spans="1:24" x14ac:dyDescent="0.2">
      <c r="A522" s="3"/>
      <c r="B522" s="23"/>
    </row>
    <row r="523" spans="1:24" x14ac:dyDescent="0.2">
      <c r="A523" s="3"/>
      <c r="B523" s="23"/>
      <c r="X523" s="24"/>
    </row>
    <row r="524" spans="1:24" x14ac:dyDescent="0.2">
      <c r="A524" s="3"/>
      <c r="B524" s="23"/>
    </row>
    <row r="525" spans="1:24" x14ac:dyDescent="0.2">
      <c r="A525" s="3"/>
      <c r="B525" s="23"/>
      <c r="X525" s="24"/>
    </row>
    <row r="526" spans="1:24" x14ac:dyDescent="0.2">
      <c r="A526" s="3"/>
      <c r="B526" s="23"/>
    </row>
    <row r="527" spans="1:24" x14ac:dyDescent="0.2">
      <c r="A527" s="3"/>
      <c r="B527" s="23"/>
      <c r="X527" s="24"/>
    </row>
    <row r="528" spans="1:24" x14ac:dyDescent="0.2">
      <c r="A528" s="3"/>
      <c r="B528" s="23"/>
    </row>
    <row r="529" spans="1:24" x14ac:dyDescent="0.2">
      <c r="A529" s="3"/>
      <c r="B529" s="23"/>
      <c r="X529" s="24"/>
    </row>
    <row r="530" spans="1:24" x14ac:dyDescent="0.2">
      <c r="A530" s="3"/>
      <c r="B530" s="23"/>
    </row>
    <row r="531" spans="1:24" x14ac:dyDescent="0.2">
      <c r="A531" s="3"/>
      <c r="B531" s="23"/>
      <c r="X531" s="24"/>
    </row>
    <row r="532" spans="1:24" x14ac:dyDescent="0.2">
      <c r="A532" s="3"/>
      <c r="B532" s="23"/>
    </row>
    <row r="533" spans="1:24" x14ac:dyDescent="0.2">
      <c r="A533" s="3"/>
      <c r="B533" s="23"/>
      <c r="X533" s="24"/>
    </row>
    <row r="534" spans="1:24" x14ac:dyDescent="0.2">
      <c r="A534" s="3"/>
      <c r="B534" s="23"/>
    </row>
    <row r="535" spans="1:24" x14ac:dyDescent="0.2">
      <c r="A535" s="3"/>
      <c r="B535" s="23"/>
      <c r="X535" s="24"/>
    </row>
    <row r="536" spans="1:24" x14ac:dyDescent="0.2">
      <c r="A536" s="3"/>
      <c r="B536" s="23"/>
    </row>
    <row r="537" spans="1:24" x14ac:dyDescent="0.2">
      <c r="A537" s="3"/>
      <c r="B537" s="23"/>
      <c r="X537" s="24"/>
    </row>
    <row r="538" spans="1:24" x14ac:dyDescent="0.2">
      <c r="A538" s="3"/>
      <c r="B538" s="23"/>
    </row>
    <row r="539" spans="1:24" x14ac:dyDescent="0.2">
      <c r="A539" s="3"/>
      <c r="B539" s="23"/>
      <c r="X539" s="24"/>
    </row>
    <row r="540" spans="1:24" x14ac:dyDescent="0.2">
      <c r="A540" s="3"/>
      <c r="B540" s="23"/>
    </row>
    <row r="541" spans="1:24" x14ac:dyDescent="0.2">
      <c r="A541" s="3"/>
      <c r="B541" s="23"/>
      <c r="X541" s="24"/>
    </row>
    <row r="542" spans="1:24" x14ac:dyDescent="0.2">
      <c r="A542" s="3"/>
      <c r="B542" s="23"/>
    </row>
    <row r="543" spans="1:24" x14ac:dyDescent="0.2">
      <c r="A543" s="3"/>
      <c r="B543" s="23"/>
      <c r="X543" s="24"/>
    </row>
    <row r="544" spans="1:24" x14ac:dyDescent="0.2">
      <c r="A544" s="3"/>
      <c r="B544" s="23"/>
    </row>
    <row r="545" spans="1:24" x14ac:dyDescent="0.2">
      <c r="A545" s="3"/>
      <c r="B545" s="23"/>
      <c r="X545" s="24"/>
    </row>
    <row r="546" spans="1:24" x14ac:dyDescent="0.2">
      <c r="A546" s="3"/>
      <c r="B546" s="23"/>
    </row>
    <row r="547" spans="1:24" x14ac:dyDescent="0.2">
      <c r="A547" s="3"/>
      <c r="B547" s="23"/>
      <c r="X547" s="24"/>
    </row>
    <row r="548" spans="1:24" x14ac:dyDescent="0.2">
      <c r="A548" s="3"/>
      <c r="B548" s="23"/>
    </row>
    <row r="549" spans="1:24" x14ac:dyDescent="0.2">
      <c r="A549" s="3"/>
      <c r="B549" s="23"/>
      <c r="X549" s="24"/>
    </row>
    <row r="550" spans="1:24" x14ac:dyDescent="0.2">
      <c r="A550" s="3"/>
      <c r="B550" s="23"/>
    </row>
    <row r="551" spans="1:24" x14ac:dyDescent="0.2">
      <c r="A551" s="3"/>
      <c r="B551" s="23"/>
      <c r="X551" s="24"/>
    </row>
    <row r="552" spans="1:24" x14ac:dyDescent="0.2">
      <c r="A552" s="3"/>
      <c r="B552" s="23"/>
    </row>
    <row r="553" spans="1:24" x14ac:dyDescent="0.2">
      <c r="A553" s="3"/>
      <c r="B553" s="23"/>
      <c r="X553" s="24"/>
    </row>
    <row r="554" spans="1:24" x14ac:dyDescent="0.2">
      <c r="A554" s="3"/>
      <c r="B554" s="23"/>
    </row>
    <row r="555" spans="1:24" x14ac:dyDescent="0.2">
      <c r="A555" s="3"/>
      <c r="B555" s="23"/>
      <c r="X555" s="24"/>
    </row>
    <row r="556" spans="1:24" x14ac:dyDescent="0.2">
      <c r="A556" s="3"/>
      <c r="B556" s="23"/>
    </row>
    <row r="557" spans="1:24" x14ac:dyDescent="0.2">
      <c r="A557" s="3"/>
      <c r="B557" s="23"/>
      <c r="X557" s="24"/>
    </row>
    <row r="558" spans="1:24" x14ac:dyDescent="0.2">
      <c r="A558" s="3"/>
      <c r="B558" s="23"/>
    </row>
    <row r="559" spans="1:24" x14ac:dyDescent="0.2">
      <c r="A559" s="3"/>
      <c r="B559" s="23"/>
      <c r="X559" s="24"/>
    </row>
    <row r="560" spans="1:24" x14ac:dyDescent="0.2">
      <c r="A560" s="3"/>
      <c r="B560" s="23"/>
    </row>
    <row r="561" spans="1:24" x14ac:dyDescent="0.2">
      <c r="A561" s="3"/>
      <c r="B561" s="23"/>
      <c r="X561" s="24"/>
    </row>
    <row r="562" spans="1:24" x14ac:dyDescent="0.2">
      <c r="A562" s="3"/>
      <c r="B562" s="23"/>
    </row>
    <row r="563" spans="1:24" x14ac:dyDescent="0.2">
      <c r="A563" s="3"/>
      <c r="B563" s="23"/>
      <c r="X563" s="24"/>
    </row>
    <row r="564" spans="1:24" x14ac:dyDescent="0.2">
      <c r="A564" s="3"/>
      <c r="B564" s="23"/>
    </row>
    <row r="565" spans="1:24" x14ac:dyDescent="0.2">
      <c r="A565" s="3"/>
      <c r="B565" s="23"/>
      <c r="X565" s="24"/>
    </row>
    <row r="566" spans="1:24" x14ac:dyDescent="0.2">
      <c r="A566" s="3"/>
      <c r="B566" s="23"/>
    </row>
    <row r="567" spans="1:24" x14ac:dyDescent="0.2">
      <c r="A567" s="3"/>
      <c r="B567" s="23"/>
      <c r="X567" s="24"/>
    </row>
    <row r="568" spans="1:24" x14ac:dyDescent="0.2">
      <c r="A568" s="3"/>
      <c r="B568" s="23"/>
    </row>
    <row r="569" spans="1:24" x14ac:dyDescent="0.2">
      <c r="A569" s="3"/>
      <c r="B569" s="23"/>
      <c r="X569" s="24"/>
    </row>
    <row r="570" spans="1:24" x14ac:dyDescent="0.2">
      <c r="A570" s="3"/>
      <c r="B570" s="23"/>
    </row>
    <row r="571" spans="1:24" x14ac:dyDescent="0.2">
      <c r="A571" s="3"/>
      <c r="B571" s="23"/>
      <c r="X571" s="24"/>
    </row>
    <row r="572" spans="1:24" x14ac:dyDescent="0.2">
      <c r="A572" s="3"/>
      <c r="B572" s="23"/>
    </row>
    <row r="573" spans="1:24" x14ac:dyDescent="0.2">
      <c r="A573" s="3"/>
      <c r="B573" s="23"/>
      <c r="X573" s="24"/>
    </row>
    <row r="574" spans="1:24" x14ac:dyDescent="0.2">
      <c r="A574" s="3"/>
      <c r="B574" s="23"/>
    </row>
    <row r="575" spans="1:24" x14ac:dyDescent="0.2">
      <c r="A575" s="3"/>
      <c r="B575" s="23"/>
      <c r="X575" s="24"/>
    </row>
    <row r="576" spans="1:24" x14ac:dyDescent="0.2">
      <c r="A576" s="3"/>
      <c r="B576" s="23"/>
    </row>
    <row r="577" spans="1:24" x14ac:dyDescent="0.2">
      <c r="A577" s="3"/>
      <c r="B577" s="23"/>
      <c r="X577" s="24"/>
    </row>
    <row r="578" spans="1:24" x14ac:dyDescent="0.2">
      <c r="A578" s="3"/>
      <c r="B578" s="23"/>
    </row>
    <row r="579" spans="1:24" x14ac:dyDescent="0.2">
      <c r="A579" s="3"/>
      <c r="B579" s="23"/>
      <c r="X579" s="24"/>
    </row>
    <row r="580" spans="1:24" x14ac:dyDescent="0.2">
      <c r="A580" s="3"/>
      <c r="B580" s="23"/>
    </row>
    <row r="581" spans="1:24" x14ac:dyDescent="0.2">
      <c r="A581" s="3"/>
      <c r="B581" s="23"/>
      <c r="X581" s="24"/>
    </row>
    <row r="582" spans="1:24" x14ac:dyDescent="0.2">
      <c r="A582" s="3"/>
      <c r="B582" s="23"/>
    </row>
    <row r="583" spans="1:24" x14ac:dyDescent="0.2">
      <c r="A583" s="3"/>
      <c r="B583" s="23"/>
      <c r="X583" s="24"/>
    </row>
    <row r="584" spans="1:24" x14ac:dyDescent="0.2">
      <c r="A584" s="3"/>
      <c r="B584" s="23"/>
    </row>
    <row r="585" spans="1:24" x14ac:dyDescent="0.2">
      <c r="A585" s="3"/>
      <c r="B585" s="23"/>
      <c r="X585" s="24"/>
    </row>
    <row r="586" spans="1:24" x14ac:dyDescent="0.2">
      <c r="A586" s="3"/>
      <c r="B586" s="23"/>
    </row>
    <row r="587" spans="1:24" x14ac:dyDescent="0.2">
      <c r="A587" s="3"/>
      <c r="B587" s="23"/>
      <c r="X587" s="24"/>
    </row>
    <row r="588" spans="1:24" x14ac:dyDescent="0.2">
      <c r="A588" s="3"/>
      <c r="B588" s="23"/>
    </row>
    <row r="589" spans="1:24" x14ac:dyDescent="0.2">
      <c r="A589" s="3"/>
      <c r="B589" s="23"/>
      <c r="X589" s="24"/>
    </row>
    <row r="590" spans="1:24" x14ac:dyDescent="0.2">
      <c r="A590" s="3"/>
      <c r="B590" s="23"/>
    </row>
    <row r="591" spans="1:24" x14ac:dyDescent="0.2">
      <c r="A591" s="3"/>
      <c r="B591" s="23"/>
      <c r="X591" s="24"/>
    </row>
    <row r="592" spans="1:24" x14ac:dyDescent="0.2">
      <c r="A592" s="3"/>
      <c r="B592" s="23"/>
    </row>
    <row r="593" spans="1:24" x14ac:dyDescent="0.2">
      <c r="A593" s="3"/>
      <c r="B593" s="23"/>
      <c r="X593" s="24"/>
    </row>
    <row r="594" spans="1:24" x14ac:dyDescent="0.2">
      <c r="A594" s="3"/>
      <c r="B594" s="23"/>
    </row>
    <row r="595" spans="1:24" x14ac:dyDescent="0.2">
      <c r="A595" s="3"/>
      <c r="B595" s="23"/>
      <c r="X595" s="24"/>
    </row>
    <row r="596" spans="1:24" x14ac:dyDescent="0.2">
      <c r="A596" s="3"/>
      <c r="B596" s="23"/>
    </row>
    <row r="597" spans="1:24" x14ac:dyDescent="0.2">
      <c r="A597" s="3"/>
      <c r="B597" s="23"/>
      <c r="X597" s="24"/>
    </row>
    <row r="598" spans="1:24" x14ac:dyDescent="0.2">
      <c r="A598" s="3"/>
      <c r="B598" s="23"/>
    </row>
    <row r="599" spans="1:24" x14ac:dyDescent="0.2">
      <c r="A599" s="3"/>
      <c r="B599" s="23"/>
      <c r="X599" s="24"/>
    </row>
    <row r="600" spans="1:24" x14ac:dyDescent="0.2">
      <c r="A600" s="3"/>
      <c r="B600" s="23"/>
    </row>
    <row r="601" spans="1:24" x14ac:dyDescent="0.2">
      <c r="A601" s="3"/>
      <c r="B601" s="23"/>
      <c r="X601" s="24"/>
    </row>
    <row r="602" spans="1:24" x14ac:dyDescent="0.2">
      <c r="A602" s="3"/>
      <c r="B602" s="23"/>
    </row>
    <row r="603" spans="1:24" x14ac:dyDescent="0.2">
      <c r="A603" s="3"/>
      <c r="B603" s="23"/>
      <c r="X603" s="24"/>
    </row>
    <row r="604" spans="1:24" x14ac:dyDescent="0.2">
      <c r="A604" s="3"/>
      <c r="B604" s="23"/>
    </row>
    <row r="605" spans="1:24" x14ac:dyDescent="0.2">
      <c r="A605" s="3"/>
      <c r="B605" s="23"/>
      <c r="X605" s="24"/>
    </row>
    <row r="606" spans="1:24" x14ac:dyDescent="0.2">
      <c r="A606" s="3"/>
      <c r="B606" s="23"/>
    </row>
    <row r="607" spans="1:24" x14ac:dyDescent="0.2">
      <c r="A607" s="3"/>
      <c r="B607" s="23"/>
      <c r="X607" s="24"/>
    </row>
    <row r="608" spans="1:24" x14ac:dyDescent="0.2">
      <c r="A608" s="3"/>
      <c r="B608" s="23"/>
    </row>
    <row r="609" spans="1:24" x14ac:dyDescent="0.2">
      <c r="A609" s="3"/>
      <c r="B609" s="23"/>
      <c r="X609" s="24"/>
    </row>
    <row r="610" spans="1:24" x14ac:dyDescent="0.2">
      <c r="A610" s="3"/>
      <c r="B610" s="23"/>
    </row>
    <row r="611" spans="1:24" x14ac:dyDescent="0.2">
      <c r="A611" s="3"/>
      <c r="B611" s="23"/>
      <c r="X611" s="24"/>
    </row>
    <row r="612" spans="1:24" x14ac:dyDescent="0.2">
      <c r="A612" s="3"/>
      <c r="B612" s="23"/>
    </row>
    <row r="613" spans="1:24" x14ac:dyDescent="0.2">
      <c r="A613" s="3"/>
      <c r="B613" s="23"/>
      <c r="X613" s="24"/>
    </row>
    <row r="614" spans="1:24" x14ac:dyDescent="0.2">
      <c r="A614" s="3"/>
      <c r="B614" s="23"/>
    </row>
    <row r="615" spans="1:24" x14ac:dyDescent="0.2">
      <c r="A615" s="3"/>
      <c r="B615" s="23"/>
      <c r="X615" s="24"/>
    </row>
    <row r="616" spans="1:24" x14ac:dyDescent="0.2">
      <c r="A616" s="3"/>
      <c r="B616" s="23"/>
    </row>
    <row r="617" spans="1:24" x14ac:dyDescent="0.2">
      <c r="A617" s="3"/>
      <c r="B617" s="23"/>
      <c r="X617" s="24"/>
    </row>
    <row r="618" spans="1:24" x14ac:dyDescent="0.2">
      <c r="A618" s="3"/>
      <c r="B618" s="23"/>
    </row>
    <row r="619" spans="1:24" x14ac:dyDescent="0.2">
      <c r="A619" s="3"/>
      <c r="B619" s="23"/>
      <c r="X619" s="24"/>
    </row>
    <row r="620" spans="1:24" x14ac:dyDescent="0.2">
      <c r="A620" s="3"/>
      <c r="B620" s="23"/>
    </row>
    <row r="621" spans="1:24" x14ac:dyDescent="0.2">
      <c r="A621" s="3"/>
      <c r="B621" s="23"/>
      <c r="X621" s="24"/>
    </row>
    <row r="622" spans="1:24" x14ac:dyDescent="0.2">
      <c r="A622" s="3"/>
      <c r="B622" s="23"/>
    </row>
    <row r="623" spans="1:24" x14ac:dyDescent="0.2">
      <c r="A623" s="3"/>
      <c r="B623" s="23"/>
      <c r="X623" s="24"/>
    </row>
    <row r="624" spans="1:24" x14ac:dyDescent="0.2">
      <c r="A624" s="3"/>
      <c r="B624" s="23"/>
    </row>
    <row r="625" spans="1:24" x14ac:dyDescent="0.2">
      <c r="A625" s="3"/>
      <c r="B625" s="23"/>
      <c r="X625" s="24"/>
    </row>
    <row r="626" spans="1:24" x14ac:dyDescent="0.2">
      <c r="A626" s="3"/>
      <c r="B626" s="23"/>
    </row>
    <row r="627" spans="1:24" x14ac:dyDescent="0.2">
      <c r="A627" s="3"/>
      <c r="B627" s="23"/>
      <c r="X627" s="24"/>
    </row>
    <row r="628" spans="1:24" x14ac:dyDescent="0.2">
      <c r="A628" s="3"/>
      <c r="B628" s="23"/>
    </row>
    <row r="629" spans="1:24" x14ac:dyDescent="0.2">
      <c r="A629" s="3"/>
      <c r="B629" s="23"/>
      <c r="X629" s="24"/>
    </row>
    <row r="630" spans="1:24" x14ac:dyDescent="0.2">
      <c r="A630" s="3"/>
      <c r="B630" s="23"/>
    </row>
    <row r="631" spans="1:24" x14ac:dyDescent="0.2">
      <c r="A631" s="3"/>
      <c r="B631" s="23"/>
      <c r="X631" s="24"/>
    </row>
    <row r="632" spans="1:24" x14ac:dyDescent="0.2">
      <c r="A632" s="3"/>
      <c r="B632" s="23"/>
    </row>
    <row r="633" spans="1:24" x14ac:dyDescent="0.2">
      <c r="A633" s="3"/>
      <c r="B633" s="23"/>
      <c r="X633" s="24"/>
    </row>
    <row r="634" spans="1:24" x14ac:dyDescent="0.2">
      <c r="A634" s="3"/>
      <c r="B634" s="23"/>
    </row>
    <row r="635" spans="1:24" x14ac:dyDescent="0.2">
      <c r="A635" s="3"/>
      <c r="B635" s="23"/>
      <c r="X635" s="24"/>
    </row>
    <row r="636" spans="1:24" x14ac:dyDescent="0.2">
      <c r="A636" s="3"/>
      <c r="B636" s="23"/>
    </row>
    <row r="637" spans="1:24" x14ac:dyDescent="0.2">
      <c r="A637" s="3"/>
      <c r="B637" s="23"/>
      <c r="X637" s="24"/>
    </row>
    <row r="638" spans="1:24" x14ac:dyDescent="0.2">
      <c r="A638" s="3"/>
      <c r="B638" s="23"/>
    </row>
    <row r="639" spans="1:24" x14ac:dyDescent="0.2">
      <c r="A639" s="3"/>
      <c r="B639" s="23"/>
      <c r="X639" s="24"/>
    </row>
    <row r="640" spans="1:24" x14ac:dyDescent="0.2">
      <c r="A640" s="3"/>
      <c r="B640" s="23"/>
    </row>
    <row r="641" spans="1:24" x14ac:dyDescent="0.2">
      <c r="A641" s="3"/>
      <c r="B641" s="23"/>
      <c r="X641" s="24"/>
    </row>
    <row r="642" spans="1:24" x14ac:dyDescent="0.2">
      <c r="A642" s="3"/>
      <c r="B642" s="23"/>
    </row>
    <row r="643" spans="1:24" x14ac:dyDescent="0.2">
      <c r="A643" s="3"/>
      <c r="B643" s="23"/>
      <c r="X643" s="24"/>
    </row>
    <row r="644" spans="1:24" x14ac:dyDescent="0.2">
      <c r="A644" s="3"/>
      <c r="B644" s="23"/>
    </row>
    <row r="645" spans="1:24" x14ac:dyDescent="0.2">
      <c r="A645" s="3"/>
      <c r="B645" s="23"/>
      <c r="X645" s="24"/>
    </row>
    <row r="646" spans="1:24" x14ac:dyDescent="0.2">
      <c r="A646" s="3"/>
      <c r="B646" s="23"/>
    </row>
    <row r="647" spans="1:24" x14ac:dyDescent="0.2">
      <c r="A647" s="3"/>
      <c r="B647" s="23"/>
      <c r="X647" s="24"/>
    </row>
    <row r="648" spans="1:24" x14ac:dyDescent="0.2">
      <c r="A648" s="3"/>
      <c r="B648" s="23"/>
    </row>
    <row r="649" spans="1:24" x14ac:dyDescent="0.2">
      <c r="A649" s="3"/>
      <c r="B649" s="23"/>
      <c r="X649" s="24"/>
    </row>
    <row r="650" spans="1:24" x14ac:dyDescent="0.2">
      <c r="A650" s="3"/>
      <c r="B650" s="23"/>
    </row>
    <row r="651" spans="1:24" x14ac:dyDescent="0.2">
      <c r="A651" s="3"/>
      <c r="B651" s="23"/>
      <c r="X651" s="24"/>
    </row>
    <row r="652" spans="1:24" x14ac:dyDescent="0.2">
      <c r="A652" s="3"/>
      <c r="B652" s="23"/>
    </row>
    <row r="653" spans="1:24" x14ac:dyDescent="0.2">
      <c r="A653" s="3"/>
      <c r="B653" s="23"/>
      <c r="X653" s="24"/>
    </row>
    <row r="654" spans="1:24" x14ac:dyDescent="0.2">
      <c r="A654" s="3"/>
      <c r="B654" s="23"/>
    </row>
    <row r="655" spans="1:24" x14ac:dyDescent="0.2">
      <c r="A655" s="3"/>
      <c r="B655" s="23"/>
      <c r="X655" s="24"/>
    </row>
    <row r="656" spans="1:24" x14ac:dyDescent="0.2">
      <c r="A656" s="3"/>
      <c r="B656" s="23"/>
    </row>
    <row r="657" spans="1:24" x14ac:dyDescent="0.2">
      <c r="A657" s="3"/>
      <c r="B657" s="23"/>
      <c r="X657" s="24"/>
    </row>
    <row r="658" spans="1:24" x14ac:dyDescent="0.2">
      <c r="A658" s="3"/>
      <c r="B658" s="23"/>
    </row>
    <row r="659" spans="1:24" x14ac:dyDescent="0.2">
      <c r="A659" s="3"/>
      <c r="B659" s="23"/>
      <c r="X659" s="24"/>
    </row>
    <row r="660" spans="1:24" x14ac:dyDescent="0.2">
      <c r="A660" s="3"/>
      <c r="B660" s="23"/>
    </row>
    <row r="661" spans="1:24" x14ac:dyDescent="0.2">
      <c r="A661" s="3"/>
      <c r="B661" s="23"/>
      <c r="X661" s="24"/>
    </row>
    <row r="662" spans="1:24" x14ac:dyDescent="0.2">
      <c r="A662" s="3"/>
      <c r="B662" s="23"/>
    </row>
    <row r="663" spans="1:24" x14ac:dyDescent="0.2">
      <c r="A663" s="3"/>
      <c r="B663" s="23"/>
      <c r="X663" s="24"/>
    </row>
    <row r="664" spans="1:24" x14ac:dyDescent="0.2">
      <c r="A664" s="3"/>
      <c r="B664" s="23"/>
    </row>
    <row r="665" spans="1:24" x14ac:dyDescent="0.2">
      <c r="A665" s="3"/>
      <c r="B665" s="23"/>
      <c r="X665" s="24"/>
    </row>
    <row r="666" spans="1:24" x14ac:dyDescent="0.2">
      <c r="A666" s="3"/>
      <c r="B666" s="23"/>
    </row>
    <row r="667" spans="1:24" x14ac:dyDescent="0.2">
      <c r="A667" s="3"/>
      <c r="B667" s="23"/>
      <c r="X667" s="24"/>
    </row>
    <row r="668" spans="1:24" x14ac:dyDescent="0.2">
      <c r="A668" s="3"/>
      <c r="B668" s="23"/>
    </row>
    <row r="669" spans="1:24" x14ac:dyDescent="0.2">
      <c r="A669" s="3"/>
      <c r="B669" s="23"/>
      <c r="X669" s="24"/>
    </row>
    <row r="670" spans="1:24" x14ac:dyDescent="0.2">
      <c r="A670" s="3"/>
      <c r="B670" s="23"/>
    </row>
    <row r="671" spans="1:24" x14ac:dyDescent="0.2">
      <c r="A671" s="3"/>
      <c r="B671" s="23"/>
      <c r="X671" s="24"/>
    </row>
    <row r="672" spans="1:24" x14ac:dyDescent="0.2">
      <c r="A672" s="3"/>
      <c r="B672" s="23"/>
    </row>
    <row r="673" spans="1:24" x14ac:dyDescent="0.2">
      <c r="A673" s="3"/>
      <c r="B673" s="23"/>
      <c r="X673" s="24"/>
    </row>
    <row r="674" spans="1:24" x14ac:dyDescent="0.2">
      <c r="A674" s="3"/>
      <c r="B674" s="23"/>
    </row>
    <row r="675" spans="1:24" x14ac:dyDescent="0.2">
      <c r="A675" s="3"/>
      <c r="B675" s="23"/>
      <c r="X675" s="24"/>
    </row>
    <row r="676" spans="1:24" x14ac:dyDescent="0.2">
      <c r="A676" s="3"/>
      <c r="B676" s="23"/>
    </row>
    <row r="677" spans="1:24" x14ac:dyDescent="0.2">
      <c r="A677" s="3"/>
      <c r="B677" s="23"/>
      <c r="X677" s="24"/>
    </row>
    <row r="678" spans="1:24" x14ac:dyDescent="0.2">
      <c r="A678" s="3"/>
      <c r="B678" s="23"/>
    </row>
    <row r="679" spans="1:24" x14ac:dyDescent="0.2">
      <c r="A679" s="3"/>
      <c r="B679" s="23"/>
      <c r="X679" s="24"/>
    </row>
    <row r="680" spans="1:24" x14ac:dyDescent="0.2">
      <c r="A680" s="3"/>
      <c r="B680" s="23"/>
    </row>
    <row r="681" spans="1:24" x14ac:dyDescent="0.2">
      <c r="A681" s="3"/>
      <c r="B681" s="23"/>
      <c r="X681" s="24"/>
    </row>
    <row r="682" spans="1:24" x14ac:dyDescent="0.2">
      <c r="A682" s="3"/>
      <c r="B682" s="23"/>
    </row>
    <row r="683" spans="1:24" x14ac:dyDescent="0.2">
      <c r="A683" s="3"/>
      <c r="B683" s="23"/>
      <c r="X683" s="24"/>
    </row>
    <row r="684" spans="1:24" x14ac:dyDescent="0.2">
      <c r="A684" s="3"/>
      <c r="B684" s="23"/>
    </row>
    <row r="685" spans="1:24" x14ac:dyDescent="0.2">
      <c r="A685" s="3"/>
      <c r="B685" s="23"/>
      <c r="X685" s="24"/>
    </row>
    <row r="686" spans="1:24" x14ac:dyDescent="0.2">
      <c r="A686" s="3"/>
      <c r="B686" s="23"/>
    </row>
    <row r="687" spans="1:24" x14ac:dyDescent="0.2">
      <c r="A687" s="3"/>
      <c r="B687" s="23"/>
      <c r="X687" s="24"/>
    </row>
    <row r="688" spans="1:24" x14ac:dyDescent="0.2">
      <c r="A688" s="3"/>
      <c r="B688" s="23"/>
    </row>
    <row r="689" spans="1:24" x14ac:dyDescent="0.2">
      <c r="A689" s="3"/>
      <c r="B689" s="23"/>
      <c r="X689" s="24"/>
    </row>
    <row r="690" spans="1:24" x14ac:dyDescent="0.2">
      <c r="A690" s="3"/>
      <c r="B690" s="23"/>
    </row>
    <row r="691" spans="1:24" x14ac:dyDescent="0.2">
      <c r="A691" s="3"/>
      <c r="B691" s="23"/>
      <c r="X691" s="24"/>
    </row>
    <row r="692" spans="1:24" x14ac:dyDescent="0.2">
      <c r="A692" s="3"/>
      <c r="B692" s="23"/>
    </row>
    <row r="693" spans="1:24" x14ac:dyDescent="0.2">
      <c r="A693" s="3"/>
      <c r="B693" s="23"/>
      <c r="X693" s="24"/>
    </row>
    <row r="694" spans="1:24" x14ac:dyDescent="0.2">
      <c r="A694" s="3"/>
      <c r="B694" s="23"/>
    </row>
    <row r="695" spans="1:24" x14ac:dyDescent="0.2">
      <c r="A695" s="3"/>
      <c r="B695" s="23"/>
      <c r="X695" s="24"/>
    </row>
    <row r="696" spans="1:24" x14ac:dyDescent="0.2">
      <c r="A696" s="3"/>
      <c r="B696" s="23"/>
    </row>
    <row r="697" spans="1:24" x14ac:dyDescent="0.2">
      <c r="A697" s="3"/>
      <c r="B697" s="23"/>
      <c r="X697" s="24"/>
    </row>
    <row r="698" spans="1:24" x14ac:dyDescent="0.2">
      <c r="A698" s="3"/>
      <c r="B698" s="23"/>
    </row>
    <row r="699" spans="1:24" x14ac:dyDescent="0.2">
      <c r="A699" s="3"/>
      <c r="B699" s="23"/>
      <c r="X699" s="24"/>
    </row>
    <row r="700" spans="1:24" x14ac:dyDescent="0.2">
      <c r="A700" s="3"/>
      <c r="B700" s="23"/>
    </row>
    <row r="701" spans="1:24" x14ac:dyDescent="0.2">
      <c r="A701" s="3"/>
      <c r="B701" s="23"/>
      <c r="X701" s="24"/>
    </row>
    <row r="702" spans="1:24" x14ac:dyDescent="0.2">
      <c r="A702" s="3"/>
      <c r="B702" s="23"/>
    </row>
    <row r="703" spans="1:24" x14ac:dyDescent="0.2">
      <c r="A703" s="3"/>
      <c r="B703" s="23"/>
      <c r="X703" s="24"/>
    </row>
    <row r="704" spans="1:24" x14ac:dyDescent="0.2">
      <c r="A704" s="3"/>
      <c r="B704" s="23"/>
    </row>
    <row r="705" spans="1:24" x14ac:dyDescent="0.2">
      <c r="A705" s="3"/>
      <c r="B705" s="23"/>
      <c r="X705" s="24"/>
    </row>
    <row r="706" spans="1:24" x14ac:dyDescent="0.2">
      <c r="A706" s="3"/>
      <c r="B706" s="23"/>
    </row>
    <row r="707" spans="1:24" x14ac:dyDescent="0.2">
      <c r="A707" s="3"/>
      <c r="B707" s="23"/>
      <c r="X707" s="24"/>
    </row>
    <row r="708" spans="1:24" x14ac:dyDescent="0.2">
      <c r="A708" s="3"/>
      <c r="B708" s="23"/>
    </row>
    <row r="709" spans="1:24" x14ac:dyDescent="0.2">
      <c r="A709" s="3"/>
      <c r="B709" s="23"/>
      <c r="X709" s="24"/>
    </row>
    <row r="710" spans="1:24" x14ac:dyDescent="0.2">
      <c r="A710" s="3"/>
      <c r="B710" s="23"/>
    </row>
    <row r="711" spans="1:24" x14ac:dyDescent="0.2">
      <c r="A711" s="3"/>
      <c r="B711" s="23"/>
      <c r="X711" s="24"/>
    </row>
    <row r="712" spans="1:24" x14ac:dyDescent="0.2">
      <c r="A712" s="3"/>
      <c r="B712" s="23"/>
    </row>
    <row r="713" spans="1:24" x14ac:dyDescent="0.2">
      <c r="A713" s="3"/>
      <c r="B713" s="23"/>
      <c r="X713" s="24"/>
    </row>
    <row r="714" spans="1:24" x14ac:dyDescent="0.2">
      <c r="A714" s="3"/>
      <c r="B714" s="23"/>
    </row>
    <row r="715" spans="1:24" x14ac:dyDescent="0.2">
      <c r="A715" s="3"/>
      <c r="B715" s="23"/>
      <c r="X715" s="24"/>
    </row>
    <row r="716" spans="1:24" x14ac:dyDescent="0.2">
      <c r="A716" s="3"/>
      <c r="B716" s="23"/>
    </row>
    <row r="717" spans="1:24" x14ac:dyDescent="0.2">
      <c r="A717" s="3"/>
      <c r="B717" s="23"/>
      <c r="X717" s="24"/>
    </row>
    <row r="718" spans="1:24" x14ac:dyDescent="0.2">
      <c r="A718" s="3"/>
      <c r="B718" s="23"/>
    </row>
    <row r="719" spans="1:24" x14ac:dyDescent="0.2">
      <c r="A719" s="3"/>
      <c r="B719" s="23"/>
      <c r="X719" s="24"/>
    </row>
    <row r="720" spans="1:24" x14ac:dyDescent="0.2">
      <c r="A720" s="3"/>
      <c r="B720" s="23"/>
    </row>
    <row r="721" spans="1:24" x14ac:dyDescent="0.2">
      <c r="A721" s="3"/>
      <c r="B721" s="23"/>
      <c r="X721" s="24"/>
    </row>
    <row r="722" spans="1:24" x14ac:dyDescent="0.2">
      <c r="A722" s="3"/>
      <c r="B722" s="23"/>
    </row>
    <row r="723" spans="1:24" x14ac:dyDescent="0.2">
      <c r="A723" s="3"/>
      <c r="B723" s="23"/>
      <c r="X723" s="24"/>
    </row>
    <row r="724" spans="1:24" x14ac:dyDescent="0.2">
      <c r="A724" s="3"/>
      <c r="B724" s="23"/>
    </row>
    <row r="725" spans="1:24" x14ac:dyDescent="0.2">
      <c r="A725" s="3"/>
      <c r="B725" s="23"/>
      <c r="X725" s="24"/>
    </row>
    <row r="726" spans="1:24" x14ac:dyDescent="0.2">
      <c r="A726" s="3"/>
      <c r="B726" s="23"/>
    </row>
    <row r="727" spans="1:24" x14ac:dyDescent="0.2">
      <c r="A727" s="3"/>
      <c r="B727" s="23"/>
      <c r="X727" s="24"/>
    </row>
    <row r="728" spans="1:24" x14ac:dyDescent="0.2">
      <c r="A728" s="3"/>
      <c r="B728" s="23"/>
    </row>
    <row r="729" spans="1:24" x14ac:dyDescent="0.2">
      <c r="A729" s="3"/>
      <c r="B729" s="23"/>
      <c r="X729" s="24"/>
    </row>
    <row r="730" spans="1:24" x14ac:dyDescent="0.2">
      <c r="A730" s="3"/>
      <c r="B730" s="23"/>
    </row>
    <row r="731" spans="1:24" x14ac:dyDescent="0.2">
      <c r="A731" s="3"/>
      <c r="B731" s="23"/>
      <c r="X731" s="24"/>
    </row>
    <row r="732" spans="1:24" x14ac:dyDescent="0.2">
      <c r="A732" s="3"/>
      <c r="B732" s="23"/>
    </row>
    <row r="733" spans="1:24" x14ac:dyDescent="0.2">
      <c r="A733" s="3"/>
      <c r="B733" s="23"/>
      <c r="X733" s="24"/>
    </row>
    <row r="734" spans="1:24" x14ac:dyDescent="0.2">
      <c r="A734" s="3"/>
      <c r="B734" s="23"/>
    </row>
    <row r="735" spans="1:24" x14ac:dyDescent="0.2">
      <c r="A735" s="3"/>
      <c r="B735" s="23"/>
      <c r="X735" s="24"/>
    </row>
    <row r="736" spans="1:24" x14ac:dyDescent="0.2">
      <c r="A736" s="3"/>
      <c r="B736" s="23"/>
    </row>
    <row r="737" spans="1:24" x14ac:dyDescent="0.2">
      <c r="A737" s="3"/>
      <c r="B737" s="23"/>
      <c r="X737" s="24"/>
    </row>
    <row r="738" spans="1:24" x14ac:dyDescent="0.2">
      <c r="A738" s="3"/>
      <c r="B738" s="23"/>
    </row>
    <row r="739" spans="1:24" x14ac:dyDescent="0.2">
      <c r="A739" s="3"/>
      <c r="B739" s="23"/>
      <c r="X739" s="24"/>
    </row>
    <row r="740" spans="1:24" x14ac:dyDescent="0.2">
      <c r="A740" s="3"/>
      <c r="B740" s="23"/>
    </row>
    <row r="741" spans="1:24" x14ac:dyDescent="0.2">
      <c r="A741" s="3"/>
      <c r="B741" s="23"/>
      <c r="X741" s="24"/>
    </row>
    <row r="742" spans="1:24" x14ac:dyDescent="0.2">
      <c r="A742" s="3"/>
      <c r="B742" s="23"/>
    </row>
    <row r="743" spans="1:24" x14ac:dyDescent="0.2">
      <c r="A743" s="3"/>
      <c r="B743" s="23"/>
      <c r="X743" s="24"/>
    </row>
    <row r="744" spans="1:24" x14ac:dyDescent="0.2">
      <c r="A744" s="3"/>
      <c r="B744" s="23"/>
    </row>
    <row r="745" spans="1:24" x14ac:dyDescent="0.2">
      <c r="A745" s="3"/>
      <c r="B745" s="23"/>
      <c r="X745" s="24"/>
    </row>
    <row r="746" spans="1:24" x14ac:dyDescent="0.2">
      <c r="A746" s="3"/>
      <c r="B746" s="23"/>
    </row>
    <row r="747" spans="1:24" x14ac:dyDescent="0.2">
      <c r="A747" s="3"/>
      <c r="B747" s="23"/>
      <c r="X747" s="24"/>
    </row>
    <row r="748" spans="1:24" x14ac:dyDescent="0.2">
      <c r="A748" s="3"/>
      <c r="B748" s="23"/>
    </row>
    <row r="749" spans="1:24" x14ac:dyDescent="0.2">
      <c r="A749" s="3"/>
      <c r="B749" s="23"/>
      <c r="X749" s="24"/>
    </row>
    <row r="750" spans="1:24" x14ac:dyDescent="0.2">
      <c r="A750" s="3"/>
      <c r="B750" s="23"/>
    </row>
    <row r="751" spans="1:24" x14ac:dyDescent="0.2">
      <c r="A751" s="3"/>
      <c r="B751" s="23"/>
      <c r="X751" s="24"/>
    </row>
    <row r="752" spans="1:24" x14ac:dyDescent="0.2">
      <c r="A752" s="3"/>
      <c r="B752" s="23"/>
    </row>
    <row r="753" spans="1:24" x14ac:dyDescent="0.2">
      <c r="A753" s="3"/>
      <c r="B753" s="23"/>
      <c r="X753" s="24"/>
    </row>
    <row r="754" spans="1:24" x14ac:dyDescent="0.2">
      <c r="A754" s="3"/>
      <c r="B754" s="23"/>
    </row>
    <row r="755" spans="1:24" x14ac:dyDescent="0.2">
      <c r="A755" s="3"/>
      <c r="B755" s="23"/>
      <c r="X755" s="24"/>
    </row>
    <row r="756" spans="1:24" x14ac:dyDescent="0.2">
      <c r="A756" s="3"/>
      <c r="B756" s="23"/>
    </row>
    <row r="757" spans="1:24" x14ac:dyDescent="0.2">
      <c r="A757" s="3"/>
      <c r="B757" s="23"/>
      <c r="X757" s="24"/>
    </row>
    <row r="758" spans="1:24" x14ac:dyDescent="0.2">
      <c r="A758" s="3"/>
      <c r="B758" s="23"/>
    </row>
    <row r="759" spans="1:24" x14ac:dyDescent="0.2">
      <c r="A759" s="3"/>
      <c r="B759" s="23"/>
      <c r="X759" s="24"/>
    </row>
    <row r="760" spans="1:24" x14ac:dyDescent="0.2">
      <c r="A760" s="3"/>
      <c r="B760" s="23"/>
    </row>
    <row r="761" spans="1:24" x14ac:dyDescent="0.2">
      <c r="A761" s="3"/>
      <c r="B761" s="23"/>
      <c r="X761" s="24"/>
    </row>
    <row r="762" spans="1:24" x14ac:dyDescent="0.2">
      <c r="A762" s="3"/>
      <c r="B762" s="23"/>
    </row>
    <row r="763" spans="1:24" x14ac:dyDescent="0.2">
      <c r="A763" s="3"/>
      <c r="B763" s="23"/>
      <c r="X763" s="24"/>
    </row>
    <row r="764" spans="1:24" x14ac:dyDescent="0.2">
      <c r="A764" s="3"/>
      <c r="B764" s="23"/>
    </row>
    <row r="765" spans="1:24" x14ac:dyDescent="0.2">
      <c r="A765" s="3"/>
      <c r="B765" s="23"/>
      <c r="X765" s="24"/>
    </row>
    <row r="766" spans="1:24" x14ac:dyDescent="0.2">
      <c r="A766" s="3"/>
      <c r="B766" s="23"/>
    </row>
    <row r="767" spans="1:24" x14ac:dyDescent="0.2">
      <c r="A767" s="3"/>
      <c r="B767" s="23"/>
      <c r="X767" s="24"/>
    </row>
    <row r="768" spans="1:24" x14ac:dyDescent="0.2">
      <c r="A768" s="3"/>
      <c r="B768" s="23"/>
    </row>
    <row r="769" spans="1:24" x14ac:dyDescent="0.2">
      <c r="A769" s="3"/>
      <c r="B769" s="23"/>
      <c r="X769" s="24"/>
    </row>
    <row r="770" spans="1:24" x14ac:dyDescent="0.2">
      <c r="A770" s="3"/>
      <c r="B770" s="23"/>
    </row>
    <row r="771" spans="1:24" x14ac:dyDescent="0.2">
      <c r="A771" s="3"/>
      <c r="B771" s="23"/>
      <c r="X771" s="24"/>
    </row>
    <row r="772" spans="1:24" x14ac:dyDescent="0.2">
      <c r="A772" s="3"/>
      <c r="B772" s="23"/>
    </row>
    <row r="773" spans="1:24" x14ac:dyDescent="0.2">
      <c r="A773" s="3"/>
      <c r="B773" s="23"/>
      <c r="X773" s="24"/>
    </row>
    <row r="774" spans="1:24" x14ac:dyDescent="0.2">
      <c r="A774" s="3"/>
      <c r="B774" s="23"/>
    </row>
    <row r="775" spans="1:24" x14ac:dyDescent="0.2">
      <c r="A775" s="3"/>
      <c r="B775" s="23"/>
      <c r="X775" s="24"/>
    </row>
    <row r="776" spans="1:24" x14ac:dyDescent="0.2">
      <c r="A776" s="3"/>
      <c r="B776" s="23"/>
    </row>
    <row r="777" spans="1:24" x14ac:dyDescent="0.2">
      <c r="A777" s="3"/>
      <c r="B777" s="23"/>
      <c r="X777" s="24"/>
    </row>
    <row r="778" spans="1:24" x14ac:dyDescent="0.2">
      <c r="A778" s="3"/>
      <c r="B778" s="23"/>
    </row>
    <row r="779" spans="1:24" x14ac:dyDescent="0.2">
      <c r="A779" s="3"/>
      <c r="B779" s="23"/>
      <c r="X779" s="24"/>
    </row>
    <row r="780" spans="1:24" x14ac:dyDescent="0.2">
      <c r="A780" s="3"/>
      <c r="B780" s="23"/>
    </row>
    <row r="781" spans="1:24" x14ac:dyDescent="0.2">
      <c r="A781" s="3"/>
      <c r="B781" s="23"/>
      <c r="X781" s="24"/>
    </row>
    <row r="782" spans="1:24" x14ac:dyDescent="0.2">
      <c r="A782" s="3"/>
      <c r="B782" s="23"/>
    </row>
    <row r="783" spans="1:24" x14ac:dyDescent="0.2">
      <c r="A783" s="3"/>
      <c r="B783" s="23"/>
      <c r="X783" s="24"/>
    </row>
    <row r="784" spans="1:24" x14ac:dyDescent="0.2">
      <c r="A784" s="3"/>
      <c r="B784" s="23"/>
    </row>
    <row r="785" spans="1:24" x14ac:dyDescent="0.2">
      <c r="A785" s="3"/>
      <c r="B785" s="23"/>
      <c r="X785" s="24"/>
    </row>
    <row r="786" spans="1:24" x14ac:dyDescent="0.2">
      <c r="A786" s="3"/>
      <c r="B786" s="23"/>
    </row>
    <row r="787" spans="1:24" x14ac:dyDescent="0.2">
      <c r="A787" s="3"/>
      <c r="B787" s="23"/>
      <c r="X787" s="24"/>
    </row>
    <row r="788" spans="1:24" x14ac:dyDescent="0.2">
      <c r="A788" s="3"/>
      <c r="B788" s="23"/>
    </row>
    <row r="789" spans="1:24" x14ac:dyDescent="0.2">
      <c r="A789" s="3"/>
      <c r="B789" s="23"/>
      <c r="X789" s="24"/>
    </row>
    <row r="790" spans="1:24" x14ac:dyDescent="0.2">
      <c r="A790" s="3"/>
      <c r="B790" s="23"/>
    </row>
    <row r="791" spans="1:24" x14ac:dyDescent="0.2">
      <c r="A791" s="3"/>
      <c r="B791" s="23"/>
      <c r="X791" s="24"/>
    </row>
    <row r="792" spans="1:24" x14ac:dyDescent="0.2">
      <c r="A792" s="3"/>
      <c r="B792" s="23"/>
    </row>
    <row r="793" spans="1:24" x14ac:dyDescent="0.2">
      <c r="A793" s="3"/>
      <c r="B793" s="23"/>
      <c r="X793" s="24"/>
    </row>
    <row r="794" spans="1:24" x14ac:dyDescent="0.2">
      <c r="A794" s="3"/>
      <c r="B794" s="23"/>
    </row>
    <row r="795" spans="1:24" x14ac:dyDescent="0.2">
      <c r="A795" s="3"/>
      <c r="B795" s="23"/>
      <c r="X795" s="24"/>
    </row>
    <row r="796" spans="1:24" x14ac:dyDescent="0.2">
      <c r="A796" s="3"/>
      <c r="B796" s="23"/>
    </row>
    <row r="797" spans="1:24" x14ac:dyDescent="0.2">
      <c r="A797" s="3"/>
      <c r="B797" s="23"/>
      <c r="X797" s="24"/>
    </row>
    <row r="798" spans="1:24" x14ac:dyDescent="0.2">
      <c r="A798" s="3"/>
      <c r="B798" s="23"/>
    </row>
    <row r="799" spans="1:24" x14ac:dyDescent="0.2">
      <c r="A799" s="3"/>
      <c r="B799" s="23"/>
      <c r="X799" s="24"/>
    </row>
    <row r="800" spans="1:24" x14ac:dyDescent="0.2">
      <c r="A800" s="3"/>
      <c r="B800" s="23"/>
    </row>
    <row r="801" spans="1:24" x14ac:dyDescent="0.2">
      <c r="A801" s="3"/>
      <c r="B801" s="23"/>
      <c r="X801" s="24"/>
    </row>
    <row r="802" spans="1:24" x14ac:dyDescent="0.2">
      <c r="A802" s="3"/>
      <c r="B802" s="23"/>
    </row>
    <row r="803" spans="1:24" x14ac:dyDescent="0.2">
      <c r="A803" s="3"/>
      <c r="B803" s="23"/>
      <c r="X803" s="24"/>
    </row>
    <row r="804" spans="1:24" x14ac:dyDescent="0.2">
      <c r="A804" s="3"/>
      <c r="B804" s="23"/>
    </row>
    <row r="805" spans="1:24" x14ac:dyDescent="0.2">
      <c r="A805" s="3"/>
      <c r="B805" s="23"/>
      <c r="X805" s="24"/>
    </row>
    <row r="806" spans="1:24" x14ac:dyDescent="0.2">
      <c r="A806" s="3"/>
      <c r="B806" s="23"/>
    </row>
    <row r="807" spans="1:24" x14ac:dyDescent="0.2">
      <c r="A807" s="3"/>
      <c r="B807" s="23"/>
      <c r="X807" s="24"/>
    </row>
    <row r="808" spans="1:24" x14ac:dyDescent="0.2">
      <c r="A808" s="3"/>
      <c r="B808" s="23"/>
    </row>
    <row r="809" spans="1:24" x14ac:dyDescent="0.2">
      <c r="A809" s="3"/>
      <c r="B809" s="23"/>
      <c r="X809" s="24"/>
    </row>
    <row r="810" spans="1:24" x14ac:dyDescent="0.2">
      <c r="A810" s="3"/>
      <c r="B810" s="23"/>
    </row>
    <row r="811" spans="1:24" x14ac:dyDescent="0.2">
      <c r="A811" s="3"/>
      <c r="B811" s="23"/>
      <c r="X811" s="24"/>
    </row>
    <row r="812" spans="1:24" x14ac:dyDescent="0.2">
      <c r="A812" s="3"/>
      <c r="B812" s="23"/>
    </row>
    <row r="813" spans="1:24" x14ac:dyDescent="0.2">
      <c r="A813" s="3"/>
      <c r="B813" s="23"/>
      <c r="X813" s="24"/>
    </row>
    <row r="814" spans="1:24" x14ac:dyDescent="0.2">
      <c r="A814" s="3"/>
      <c r="B814" s="23"/>
    </row>
    <row r="815" spans="1:24" x14ac:dyDescent="0.2">
      <c r="A815" s="3"/>
      <c r="B815" s="23"/>
      <c r="X815" s="24"/>
    </row>
    <row r="816" spans="1:24" x14ac:dyDescent="0.2">
      <c r="A816" s="3"/>
      <c r="B816" s="23"/>
    </row>
    <row r="817" spans="1:24" x14ac:dyDescent="0.2">
      <c r="A817" s="3"/>
      <c r="B817" s="23"/>
      <c r="X817" s="24"/>
    </row>
    <row r="818" spans="1:24" x14ac:dyDescent="0.2">
      <c r="A818" s="3"/>
      <c r="B818" s="23"/>
    </row>
    <row r="819" spans="1:24" x14ac:dyDescent="0.2">
      <c r="A819" s="3"/>
      <c r="B819" s="23"/>
      <c r="X819" s="24"/>
    </row>
    <row r="820" spans="1:24" x14ac:dyDescent="0.2">
      <c r="A820" s="3"/>
      <c r="B820" s="23"/>
    </row>
    <row r="821" spans="1:24" x14ac:dyDescent="0.2">
      <c r="A821" s="3"/>
      <c r="B821" s="23"/>
      <c r="X821" s="24"/>
    </row>
    <row r="822" spans="1:24" x14ac:dyDescent="0.2">
      <c r="A822" s="3"/>
      <c r="B822" s="23"/>
    </row>
    <row r="823" spans="1:24" x14ac:dyDescent="0.2">
      <c r="A823" s="3"/>
      <c r="B823" s="23"/>
      <c r="X823" s="24"/>
    </row>
    <row r="824" spans="1:24" x14ac:dyDescent="0.2">
      <c r="A824" s="3"/>
      <c r="B824" s="23"/>
    </row>
    <row r="825" spans="1:24" x14ac:dyDescent="0.2">
      <c r="A825" s="3"/>
      <c r="B825" s="23"/>
      <c r="X825" s="24"/>
    </row>
    <row r="826" spans="1:24" x14ac:dyDescent="0.2">
      <c r="A826" s="3"/>
      <c r="B826" s="23"/>
    </row>
    <row r="827" spans="1:24" x14ac:dyDescent="0.2">
      <c r="A827" s="3"/>
      <c r="B827" s="23"/>
      <c r="X827" s="24"/>
    </row>
    <row r="828" spans="1:24" x14ac:dyDescent="0.2">
      <c r="A828" s="3"/>
      <c r="B828" s="23"/>
    </row>
    <row r="829" spans="1:24" x14ac:dyDescent="0.2">
      <c r="A829" s="3"/>
      <c r="B829" s="23"/>
      <c r="X829" s="24"/>
    </row>
    <row r="830" spans="1:24" x14ac:dyDescent="0.2">
      <c r="A830" s="3"/>
      <c r="B830" s="23"/>
    </row>
    <row r="831" spans="1:24" x14ac:dyDescent="0.2">
      <c r="A831" s="3"/>
      <c r="B831" s="23"/>
      <c r="X831" s="24"/>
    </row>
    <row r="832" spans="1:24" x14ac:dyDescent="0.2">
      <c r="A832" s="3"/>
      <c r="B832" s="23"/>
    </row>
    <row r="833" spans="1:24" x14ac:dyDescent="0.2">
      <c r="A833" s="3"/>
      <c r="B833" s="23"/>
      <c r="X833" s="24"/>
    </row>
    <row r="834" spans="1:24" x14ac:dyDescent="0.2">
      <c r="A834" s="3"/>
      <c r="B834" s="23"/>
    </row>
    <row r="835" spans="1:24" x14ac:dyDescent="0.2">
      <c r="A835" s="3"/>
      <c r="B835" s="23"/>
      <c r="X835" s="24"/>
    </row>
    <row r="836" spans="1:24" x14ac:dyDescent="0.2">
      <c r="A836" s="3"/>
      <c r="B836" s="23"/>
    </row>
    <row r="837" spans="1:24" x14ac:dyDescent="0.2">
      <c r="A837" s="3"/>
      <c r="B837" s="23"/>
      <c r="X837" s="24"/>
    </row>
    <row r="838" spans="1:24" x14ac:dyDescent="0.2">
      <c r="A838" s="3"/>
      <c r="B838" s="23"/>
    </row>
    <row r="839" spans="1:24" x14ac:dyDescent="0.2">
      <c r="A839" s="3"/>
      <c r="B839" s="23"/>
      <c r="X839" s="24"/>
    </row>
    <row r="840" spans="1:24" x14ac:dyDescent="0.2">
      <c r="A840" s="3"/>
      <c r="B840" s="23"/>
    </row>
    <row r="841" spans="1:24" x14ac:dyDescent="0.2">
      <c r="A841" s="3"/>
      <c r="B841" s="23"/>
      <c r="X841" s="24"/>
    </row>
    <row r="842" spans="1:24" x14ac:dyDescent="0.2">
      <c r="A842" s="3"/>
      <c r="B842" s="23"/>
    </row>
    <row r="843" spans="1:24" x14ac:dyDescent="0.2">
      <c r="A843" s="3"/>
      <c r="B843" s="23"/>
      <c r="X843" s="24"/>
    </row>
    <row r="844" spans="1:24" x14ac:dyDescent="0.2">
      <c r="A844" s="3"/>
      <c r="B844" s="23"/>
    </row>
    <row r="845" spans="1:24" x14ac:dyDescent="0.2">
      <c r="A845" s="3"/>
      <c r="B845" s="23"/>
      <c r="X845" s="24"/>
    </row>
    <row r="846" spans="1:24" x14ac:dyDescent="0.2">
      <c r="A846" s="3"/>
      <c r="B846" s="23"/>
    </row>
    <row r="847" spans="1:24" x14ac:dyDescent="0.2">
      <c r="A847" s="3"/>
      <c r="B847" s="23"/>
      <c r="X847" s="24"/>
    </row>
    <row r="848" spans="1:24" x14ac:dyDescent="0.2">
      <c r="A848" s="3"/>
      <c r="B848" s="23"/>
    </row>
    <row r="849" spans="1:24" x14ac:dyDescent="0.2">
      <c r="A849" s="3"/>
      <c r="B849" s="23"/>
      <c r="X849" s="24"/>
    </row>
    <row r="850" spans="1:24" x14ac:dyDescent="0.2">
      <c r="A850" s="3"/>
      <c r="B850" s="23"/>
    </row>
    <row r="851" spans="1:24" x14ac:dyDescent="0.2">
      <c r="A851" s="3"/>
      <c r="B851" s="23"/>
      <c r="X851" s="24"/>
    </row>
    <row r="852" spans="1:24" x14ac:dyDescent="0.2">
      <c r="A852" s="3"/>
      <c r="B852" s="23"/>
    </row>
    <row r="853" spans="1:24" x14ac:dyDescent="0.2">
      <c r="A853" s="3"/>
      <c r="B853" s="23"/>
      <c r="X853" s="24"/>
    </row>
    <row r="854" spans="1:24" x14ac:dyDescent="0.2">
      <c r="A854" s="3"/>
      <c r="B854" s="23"/>
    </row>
    <row r="855" spans="1:24" x14ac:dyDescent="0.2">
      <c r="A855" s="3"/>
      <c r="B855" s="23"/>
      <c r="X855" s="24"/>
    </row>
    <row r="856" spans="1:24" x14ac:dyDescent="0.2">
      <c r="A856" s="3"/>
      <c r="B856" s="23"/>
    </row>
    <row r="857" spans="1:24" x14ac:dyDescent="0.2">
      <c r="A857" s="3"/>
      <c r="B857" s="23"/>
      <c r="X857" s="24"/>
    </row>
    <row r="858" spans="1:24" x14ac:dyDescent="0.2">
      <c r="A858" s="3"/>
      <c r="B858" s="23"/>
    </row>
    <row r="859" spans="1:24" x14ac:dyDescent="0.2">
      <c r="A859" s="3"/>
      <c r="B859" s="23"/>
      <c r="X859" s="24"/>
    </row>
    <row r="860" spans="1:24" x14ac:dyDescent="0.2">
      <c r="A860" s="3"/>
      <c r="B860" s="23"/>
    </row>
    <row r="861" spans="1:24" x14ac:dyDescent="0.2">
      <c r="A861" s="3"/>
      <c r="B861" s="23"/>
      <c r="X861" s="24"/>
    </row>
    <row r="862" spans="1:24" x14ac:dyDescent="0.2">
      <c r="A862" s="3"/>
      <c r="B862" s="23"/>
    </row>
    <row r="863" spans="1:24" x14ac:dyDescent="0.2">
      <c r="A863" s="3"/>
      <c r="B863" s="23"/>
      <c r="X863" s="24"/>
    </row>
    <row r="864" spans="1:24" x14ac:dyDescent="0.2">
      <c r="A864" s="3"/>
      <c r="B864" s="23"/>
    </row>
    <row r="865" spans="1:24" x14ac:dyDescent="0.2">
      <c r="A865" s="3"/>
      <c r="B865" s="23"/>
      <c r="X865" s="24"/>
    </row>
    <row r="866" spans="1:24" x14ac:dyDescent="0.2">
      <c r="A866" s="3"/>
      <c r="B866" s="23"/>
    </row>
    <row r="867" spans="1:24" x14ac:dyDescent="0.2">
      <c r="A867" s="3"/>
      <c r="B867" s="23"/>
      <c r="X867" s="24"/>
    </row>
    <row r="868" spans="1:24" x14ac:dyDescent="0.2">
      <c r="A868" s="3"/>
      <c r="B868" s="23"/>
    </row>
    <row r="869" spans="1:24" x14ac:dyDescent="0.2">
      <c r="A869" s="3"/>
      <c r="B869" s="23"/>
      <c r="X869" s="24"/>
    </row>
    <row r="870" spans="1:24" x14ac:dyDescent="0.2">
      <c r="A870" s="3"/>
      <c r="B870" s="23"/>
    </row>
    <row r="871" spans="1:24" x14ac:dyDescent="0.2">
      <c r="A871" s="3"/>
      <c r="B871" s="23"/>
      <c r="X871" s="24"/>
    </row>
    <row r="872" spans="1:24" x14ac:dyDescent="0.2">
      <c r="A872" s="3"/>
      <c r="B872" s="23"/>
    </row>
    <row r="873" spans="1:24" x14ac:dyDescent="0.2">
      <c r="A873" s="3"/>
      <c r="B873" s="23"/>
      <c r="X873" s="24"/>
    </row>
    <row r="874" spans="1:24" x14ac:dyDescent="0.2">
      <c r="A874" s="3"/>
      <c r="B874" s="23"/>
    </row>
    <row r="875" spans="1:24" x14ac:dyDescent="0.2">
      <c r="A875" s="3"/>
      <c r="B875" s="23"/>
      <c r="X875" s="24"/>
    </row>
    <row r="876" spans="1:24" x14ac:dyDescent="0.2">
      <c r="A876" s="3"/>
      <c r="B876" s="23"/>
    </row>
    <row r="877" spans="1:24" x14ac:dyDescent="0.2">
      <c r="A877" s="3"/>
      <c r="B877" s="23"/>
      <c r="X877" s="24"/>
    </row>
    <row r="878" spans="1:24" x14ac:dyDescent="0.2">
      <c r="A878" s="3"/>
      <c r="B878" s="23"/>
    </row>
    <row r="879" spans="1:24" x14ac:dyDescent="0.2">
      <c r="A879" s="3"/>
      <c r="B879" s="23"/>
      <c r="X879" s="24"/>
    </row>
    <row r="880" spans="1:24" x14ac:dyDescent="0.2">
      <c r="A880" s="3"/>
      <c r="B880" s="23"/>
    </row>
    <row r="881" spans="1:24" x14ac:dyDescent="0.2">
      <c r="A881" s="3"/>
      <c r="B881" s="23"/>
      <c r="X881" s="24"/>
    </row>
    <row r="882" spans="1:24" x14ac:dyDescent="0.2">
      <c r="A882" s="3"/>
      <c r="B882" s="23"/>
    </row>
    <row r="883" spans="1:24" x14ac:dyDescent="0.2">
      <c r="A883" s="3"/>
      <c r="B883" s="23"/>
      <c r="X883" s="24"/>
    </row>
    <row r="884" spans="1:24" x14ac:dyDescent="0.2">
      <c r="A884" s="3"/>
      <c r="B884" s="23"/>
    </row>
    <row r="885" spans="1:24" x14ac:dyDescent="0.2">
      <c r="A885" s="3"/>
      <c r="B885" s="23"/>
      <c r="X885" s="24"/>
    </row>
    <row r="886" spans="1:24" x14ac:dyDescent="0.2">
      <c r="A886" s="3"/>
      <c r="B886" s="23"/>
    </row>
    <row r="887" spans="1:24" x14ac:dyDescent="0.2">
      <c r="A887" s="3"/>
      <c r="B887" s="23"/>
      <c r="X887" s="24"/>
    </row>
    <row r="888" spans="1:24" x14ac:dyDescent="0.2">
      <c r="A888" s="3"/>
      <c r="B888" s="23"/>
    </row>
    <row r="889" spans="1:24" x14ac:dyDescent="0.2">
      <c r="A889" s="3"/>
      <c r="B889" s="23"/>
      <c r="X889" s="24"/>
    </row>
    <row r="890" spans="1:24" x14ac:dyDescent="0.2">
      <c r="A890" s="3"/>
      <c r="B890" s="23"/>
    </row>
    <row r="891" spans="1:24" x14ac:dyDescent="0.2">
      <c r="A891" s="3"/>
      <c r="B891" s="23"/>
      <c r="X891" s="24"/>
    </row>
    <row r="892" spans="1:24" x14ac:dyDescent="0.2">
      <c r="A892" s="3"/>
      <c r="B892" s="23"/>
    </row>
    <row r="893" spans="1:24" x14ac:dyDescent="0.2">
      <c r="A893" s="3"/>
      <c r="B893" s="23"/>
      <c r="X893" s="24"/>
    </row>
    <row r="894" spans="1:24" x14ac:dyDescent="0.2">
      <c r="A894" s="3"/>
      <c r="B894" s="23"/>
    </row>
    <row r="895" spans="1:24" x14ac:dyDescent="0.2">
      <c r="A895" s="3"/>
      <c r="B895" s="23"/>
      <c r="X895" s="24"/>
    </row>
    <row r="896" spans="1:24" x14ac:dyDescent="0.2">
      <c r="A896" s="3"/>
      <c r="B896" s="23"/>
    </row>
    <row r="897" spans="1:24" x14ac:dyDescent="0.2">
      <c r="A897" s="3"/>
      <c r="B897" s="23"/>
      <c r="X897" s="24"/>
    </row>
    <row r="898" spans="1:24" x14ac:dyDescent="0.2">
      <c r="A898" s="3"/>
      <c r="B898" s="23"/>
    </row>
    <row r="899" spans="1:24" x14ac:dyDescent="0.2">
      <c r="A899" s="3"/>
      <c r="B899" s="23"/>
    </row>
    <row r="900" spans="1:24" x14ac:dyDescent="0.2">
      <c r="A900" s="3"/>
      <c r="B900" s="23"/>
    </row>
    <row r="901" spans="1:24" x14ac:dyDescent="0.2">
      <c r="A901" s="3"/>
      <c r="B901" s="23"/>
      <c r="X901" s="24"/>
    </row>
    <row r="902" spans="1:24" x14ac:dyDescent="0.2">
      <c r="A902" s="3"/>
      <c r="B902" s="23"/>
    </row>
    <row r="903" spans="1:24" x14ac:dyDescent="0.2">
      <c r="A903" s="3"/>
      <c r="B903" s="23"/>
      <c r="X903" s="24"/>
    </row>
    <row r="904" spans="1:24" x14ac:dyDescent="0.2">
      <c r="A904" s="3"/>
      <c r="B904" s="23"/>
    </row>
    <row r="905" spans="1:24" x14ac:dyDescent="0.2">
      <c r="A905" s="3"/>
      <c r="B905" s="23"/>
      <c r="X905" s="24"/>
    </row>
    <row r="906" spans="1:24" x14ac:dyDescent="0.2">
      <c r="A906" s="3"/>
      <c r="B906" s="23"/>
    </row>
    <row r="907" spans="1:24" x14ac:dyDescent="0.2">
      <c r="A907" s="3"/>
      <c r="B907" s="23"/>
      <c r="X907" s="24"/>
    </row>
    <row r="908" spans="1:24" x14ac:dyDescent="0.2">
      <c r="A908" s="3"/>
      <c r="B908" s="23"/>
    </row>
    <row r="909" spans="1:24" x14ac:dyDescent="0.2">
      <c r="A909" s="3"/>
      <c r="B909" s="23"/>
      <c r="X909" s="24"/>
    </row>
    <row r="910" spans="1:24" x14ac:dyDescent="0.2">
      <c r="A910" s="3"/>
      <c r="B910" s="23"/>
    </row>
    <row r="911" spans="1:24" x14ac:dyDescent="0.2">
      <c r="A911" s="3"/>
      <c r="B911" s="23"/>
      <c r="X911" s="24"/>
    </row>
    <row r="912" spans="1:24" x14ac:dyDescent="0.2">
      <c r="A912" s="3"/>
      <c r="B912" s="23"/>
    </row>
    <row r="913" spans="1:24" x14ac:dyDescent="0.2">
      <c r="A913" s="3"/>
      <c r="B913" s="23"/>
      <c r="X913" s="24"/>
    </row>
    <row r="914" spans="1:24" x14ac:dyDescent="0.2">
      <c r="A914" s="3"/>
      <c r="B914" s="23"/>
    </row>
    <row r="915" spans="1:24" x14ac:dyDescent="0.2">
      <c r="A915" s="3"/>
      <c r="B915" s="23"/>
      <c r="X915" s="24"/>
    </row>
    <row r="916" spans="1:24" x14ac:dyDescent="0.2">
      <c r="A916" s="3"/>
      <c r="B916" s="23"/>
    </row>
    <row r="917" spans="1:24" x14ac:dyDescent="0.2">
      <c r="A917" s="3"/>
      <c r="B917" s="23"/>
      <c r="X917" s="24"/>
    </row>
    <row r="918" spans="1:24" x14ac:dyDescent="0.2">
      <c r="A918" s="3"/>
      <c r="B918" s="23"/>
    </row>
    <row r="919" spans="1:24" x14ac:dyDescent="0.2">
      <c r="A919" s="3"/>
      <c r="B919" s="23"/>
      <c r="X919" s="24"/>
    </row>
    <row r="920" spans="1:24" x14ac:dyDescent="0.2">
      <c r="A920" s="3"/>
      <c r="B920" s="23"/>
    </row>
    <row r="921" spans="1:24" x14ac:dyDescent="0.2">
      <c r="A921" s="3"/>
      <c r="B921" s="23"/>
      <c r="X921" s="24"/>
    </row>
    <row r="922" spans="1:24" x14ac:dyDescent="0.2">
      <c r="A922" s="3"/>
      <c r="B922" s="23"/>
    </row>
    <row r="923" spans="1:24" x14ac:dyDescent="0.2">
      <c r="A923" s="3"/>
      <c r="B923" s="23"/>
      <c r="X923" s="24"/>
    </row>
    <row r="924" spans="1:24" x14ac:dyDescent="0.2">
      <c r="A924" s="3"/>
      <c r="B924" s="23"/>
    </row>
    <row r="925" spans="1:24" x14ac:dyDescent="0.2">
      <c r="A925" s="3"/>
      <c r="B925" s="23"/>
      <c r="X925" s="24"/>
    </row>
    <row r="926" spans="1:24" x14ac:dyDescent="0.2">
      <c r="A926" s="3"/>
      <c r="B926" s="23"/>
    </row>
    <row r="927" spans="1:24" x14ac:dyDescent="0.2">
      <c r="A927" s="3"/>
      <c r="B927" s="23"/>
      <c r="X927" s="24"/>
    </row>
    <row r="928" spans="1:24" x14ac:dyDescent="0.2">
      <c r="A928" s="3"/>
      <c r="B928" s="23"/>
    </row>
    <row r="929" spans="1:24" x14ac:dyDescent="0.2">
      <c r="A929" s="3"/>
      <c r="B929" s="23"/>
      <c r="X929" s="24"/>
    </row>
    <row r="930" spans="1:24" x14ac:dyDescent="0.2">
      <c r="A930" s="3"/>
      <c r="B930" s="23"/>
    </row>
    <row r="931" spans="1:24" x14ac:dyDescent="0.2">
      <c r="A931" s="3"/>
      <c r="B931" s="23"/>
      <c r="X931" s="24"/>
    </row>
    <row r="932" spans="1:24" x14ac:dyDescent="0.2">
      <c r="A932" s="3"/>
      <c r="B932" s="23"/>
    </row>
    <row r="933" spans="1:24" x14ac:dyDescent="0.2">
      <c r="A933" s="3"/>
      <c r="B933" s="23"/>
      <c r="X933" s="24"/>
    </row>
    <row r="934" spans="1:24" x14ac:dyDescent="0.2">
      <c r="A934" s="3"/>
      <c r="B934" s="23"/>
    </row>
    <row r="935" spans="1:24" x14ac:dyDescent="0.2">
      <c r="A935" s="3"/>
      <c r="B935" s="23"/>
      <c r="X935" s="24"/>
    </row>
    <row r="936" spans="1:24" x14ac:dyDescent="0.2">
      <c r="A936" s="3"/>
      <c r="B936" s="23"/>
    </row>
    <row r="937" spans="1:24" x14ac:dyDescent="0.2">
      <c r="A937" s="3"/>
      <c r="B937" s="23"/>
      <c r="X937" s="24"/>
    </row>
    <row r="938" spans="1:24" x14ac:dyDescent="0.2">
      <c r="A938" s="3"/>
      <c r="B938" s="23"/>
    </row>
    <row r="939" spans="1:24" x14ac:dyDescent="0.2">
      <c r="A939" s="3"/>
      <c r="B939" s="23"/>
      <c r="X939" s="24"/>
    </row>
    <row r="940" spans="1:24" x14ac:dyDescent="0.2">
      <c r="A940" s="3"/>
      <c r="B940" s="23"/>
    </row>
    <row r="941" spans="1:24" x14ac:dyDescent="0.2">
      <c r="A941" s="3"/>
      <c r="B941" s="23"/>
      <c r="X941" s="24"/>
    </row>
    <row r="942" spans="1:24" x14ac:dyDescent="0.2">
      <c r="A942" s="3"/>
      <c r="B942" s="23"/>
    </row>
    <row r="943" spans="1:24" x14ac:dyDescent="0.2">
      <c r="A943" s="3"/>
      <c r="B943" s="23"/>
      <c r="X943" s="24"/>
    </row>
    <row r="944" spans="1:24" x14ac:dyDescent="0.2">
      <c r="A944" s="3"/>
      <c r="B944" s="23"/>
    </row>
    <row r="945" spans="1:24" x14ac:dyDescent="0.2">
      <c r="A945" s="3"/>
      <c r="B945" s="23"/>
      <c r="X945" s="24"/>
    </row>
    <row r="946" spans="1:24" x14ac:dyDescent="0.2">
      <c r="A946" s="3"/>
      <c r="B946" s="23"/>
    </row>
    <row r="947" spans="1:24" x14ac:dyDescent="0.2">
      <c r="A947" s="3"/>
      <c r="B947" s="23"/>
      <c r="X947" s="24"/>
    </row>
    <row r="948" spans="1:24" x14ac:dyDescent="0.2">
      <c r="A948" s="3"/>
      <c r="B948" s="23"/>
    </row>
    <row r="949" spans="1:24" x14ac:dyDescent="0.2">
      <c r="A949" s="3"/>
      <c r="B949" s="23"/>
      <c r="X949" s="24"/>
    </row>
    <row r="950" spans="1:24" x14ac:dyDescent="0.2">
      <c r="A950" s="3"/>
      <c r="B950" s="23"/>
    </row>
    <row r="951" spans="1:24" x14ac:dyDescent="0.2">
      <c r="A951" s="3"/>
      <c r="B951" s="23"/>
      <c r="X951" s="24"/>
    </row>
    <row r="952" spans="1:24" x14ac:dyDescent="0.2">
      <c r="A952" s="3"/>
      <c r="B952" s="23"/>
    </row>
    <row r="953" spans="1:24" x14ac:dyDescent="0.2">
      <c r="A953" s="3"/>
      <c r="B953" s="23"/>
      <c r="X953" s="24"/>
    </row>
    <row r="954" spans="1:24" x14ac:dyDescent="0.2">
      <c r="A954" s="3"/>
      <c r="B954" s="23"/>
    </row>
    <row r="955" spans="1:24" x14ac:dyDescent="0.2">
      <c r="A955" s="3"/>
      <c r="B955" s="23"/>
      <c r="X955" s="24"/>
    </row>
    <row r="956" spans="1:24" x14ac:dyDescent="0.2">
      <c r="A956" s="3"/>
      <c r="B956" s="23"/>
    </row>
    <row r="957" spans="1:24" x14ac:dyDescent="0.2">
      <c r="A957" s="3"/>
      <c r="B957" s="23"/>
      <c r="X957" s="24"/>
    </row>
    <row r="958" spans="1:24" x14ac:dyDescent="0.2">
      <c r="A958" s="3"/>
      <c r="B958" s="23"/>
    </row>
    <row r="959" spans="1:24" x14ac:dyDescent="0.2">
      <c r="A959" s="3"/>
      <c r="B959" s="23"/>
      <c r="X959" s="24"/>
    </row>
    <row r="960" spans="1:24" x14ac:dyDescent="0.2">
      <c r="A960" s="3"/>
      <c r="B960" s="23"/>
    </row>
    <row r="961" spans="1:24" x14ac:dyDescent="0.2">
      <c r="A961" s="3"/>
      <c r="B961" s="23"/>
      <c r="X961" s="24"/>
    </row>
    <row r="962" spans="1:24" x14ac:dyDescent="0.2">
      <c r="A962" s="3"/>
      <c r="B962" s="23"/>
    </row>
    <row r="963" spans="1:24" x14ac:dyDescent="0.2">
      <c r="A963" s="3"/>
      <c r="B963" s="23"/>
      <c r="X963" s="24"/>
    </row>
    <row r="964" spans="1:24" x14ac:dyDescent="0.2">
      <c r="A964" s="3"/>
      <c r="B964" s="23"/>
    </row>
    <row r="965" spans="1:24" x14ac:dyDescent="0.2">
      <c r="A965" s="3"/>
      <c r="B965" s="23"/>
      <c r="X965" s="24"/>
    </row>
    <row r="966" spans="1:24" x14ac:dyDescent="0.2">
      <c r="A966" s="3"/>
      <c r="B966" s="23"/>
    </row>
    <row r="967" spans="1:24" x14ac:dyDescent="0.2">
      <c r="A967" s="3"/>
      <c r="B967" s="23"/>
      <c r="X967" s="24"/>
    </row>
    <row r="968" spans="1:24" x14ac:dyDescent="0.2">
      <c r="A968" s="3"/>
      <c r="B968" s="23"/>
    </row>
    <row r="969" spans="1:24" x14ac:dyDescent="0.2">
      <c r="A969" s="3"/>
      <c r="B969" s="23"/>
      <c r="X969" s="24"/>
    </row>
    <row r="970" spans="1:24" x14ac:dyDescent="0.2">
      <c r="A970" s="3"/>
      <c r="B970" s="23"/>
    </row>
    <row r="971" spans="1:24" x14ac:dyDescent="0.2">
      <c r="A971" s="3"/>
      <c r="B971" s="23"/>
      <c r="X971" s="24"/>
    </row>
    <row r="972" spans="1:24" x14ac:dyDescent="0.2">
      <c r="A972" s="3"/>
      <c r="B972" s="23"/>
    </row>
    <row r="973" spans="1:24" x14ac:dyDescent="0.2">
      <c r="A973" s="3"/>
      <c r="B973" s="23"/>
      <c r="X973" s="24"/>
    </row>
    <row r="974" spans="1:24" x14ac:dyDescent="0.2">
      <c r="A974" s="3"/>
      <c r="B974" s="23"/>
    </row>
    <row r="975" spans="1:24" x14ac:dyDescent="0.2">
      <c r="A975" s="3"/>
      <c r="B975" s="23"/>
      <c r="X975" s="24"/>
    </row>
    <row r="976" spans="1:24" x14ac:dyDescent="0.2">
      <c r="A976" s="3"/>
      <c r="B976" s="23"/>
    </row>
    <row r="977" spans="1:24" x14ac:dyDescent="0.2">
      <c r="A977" s="3"/>
      <c r="B977" s="23"/>
      <c r="X977" s="24"/>
    </row>
    <row r="978" spans="1:24" x14ac:dyDescent="0.2">
      <c r="A978" s="3"/>
      <c r="B978" s="23"/>
    </row>
    <row r="979" spans="1:24" x14ac:dyDescent="0.2">
      <c r="A979" s="3"/>
      <c r="B979" s="23"/>
      <c r="X979" s="24"/>
    </row>
    <row r="980" spans="1:24" x14ac:dyDescent="0.2">
      <c r="A980" s="3"/>
      <c r="B980" s="23"/>
    </row>
    <row r="981" spans="1:24" x14ac:dyDescent="0.2">
      <c r="A981" s="3"/>
      <c r="B981" s="23"/>
      <c r="X981" s="24"/>
    </row>
    <row r="982" spans="1:24" x14ac:dyDescent="0.2">
      <c r="A982" s="3"/>
      <c r="B982" s="23"/>
    </row>
    <row r="983" spans="1:24" x14ac:dyDescent="0.2">
      <c r="A983" s="3"/>
      <c r="B983" s="23"/>
      <c r="X983" s="24"/>
    </row>
    <row r="984" spans="1:24" x14ac:dyDescent="0.2">
      <c r="A984" s="3"/>
      <c r="B984" s="23"/>
    </row>
    <row r="985" spans="1:24" x14ac:dyDescent="0.2">
      <c r="A985" s="3"/>
      <c r="B985" s="23"/>
      <c r="X985" s="24"/>
    </row>
    <row r="986" spans="1:24" x14ac:dyDescent="0.2">
      <c r="A986" s="3"/>
      <c r="B986" s="23"/>
    </row>
    <row r="987" spans="1:24" x14ac:dyDescent="0.2">
      <c r="A987" s="3"/>
      <c r="B987" s="23"/>
      <c r="X987" s="24"/>
    </row>
    <row r="988" spans="1:24" x14ac:dyDescent="0.2">
      <c r="A988" s="3"/>
      <c r="B988" s="23"/>
    </row>
    <row r="989" spans="1:24" x14ac:dyDescent="0.2">
      <c r="A989" s="3"/>
      <c r="B989" s="23"/>
      <c r="X989" s="24"/>
    </row>
    <row r="990" spans="1:24" x14ac:dyDescent="0.2">
      <c r="A990" s="3"/>
      <c r="B990" s="23"/>
    </row>
    <row r="991" spans="1:24" x14ac:dyDescent="0.2">
      <c r="A991" s="3"/>
      <c r="B991" s="23"/>
      <c r="X991" s="24"/>
    </row>
    <row r="992" spans="1:24" x14ac:dyDescent="0.2">
      <c r="A992" s="3"/>
      <c r="B992" s="23"/>
    </row>
    <row r="993" spans="1:24" x14ac:dyDescent="0.2">
      <c r="A993" s="3"/>
      <c r="B993" s="23"/>
      <c r="X993" s="24"/>
    </row>
    <row r="994" spans="1:24" x14ac:dyDescent="0.2">
      <c r="A994" s="3"/>
      <c r="B994" s="23"/>
    </row>
    <row r="995" spans="1:24" x14ac:dyDescent="0.2">
      <c r="A995" s="3"/>
      <c r="B995" s="23"/>
      <c r="X995" s="24"/>
    </row>
    <row r="996" spans="1:24" x14ac:dyDescent="0.2">
      <c r="A996" s="3"/>
      <c r="B996" s="23"/>
    </row>
    <row r="997" spans="1:24" x14ac:dyDescent="0.2">
      <c r="A997" s="3"/>
      <c r="B997" s="23"/>
      <c r="X997" s="24"/>
    </row>
    <row r="998" spans="1:24" x14ac:dyDescent="0.2">
      <c r="A998" s="3"/>
      <c r="B998" s="23"/>
    </row>
    <row r="999" spans="1:24" x14ac:dyDescent="0.2">
      <c r="A999" s="3"/>
      <c r="B999" s="23"/>
      <c r="X999" s="24"/>
    </row>
    <row r="1000" spans="1:24" x14ac:dyDescent="0.2">
      <c r="A1000" s="3"/>
      <c r="B1000" s="23"/>
    </row>
    <row r="1001" spans="1:24" x14ac:dyDescent="0.2">
      <c r="A1001" s="3"/>
      <c r="B1001" s="23"/>
      <c r="X1001" s="24"/>
    </row>
    <row r="1002" spans="1:24" x14ac:dyDescent="0.2">
      <c r="A1002" s="3"/>
      <c r="B1002" s="23"/>
    </row>
    <row r="1003" spans="1:24" x14ac:dyDescent="0.2">
      <c r="A1003" s="3"/>
      <c r="B1003" s="23"/>
      <c r="X1003" s="24"/>
    </row>
    <row r="1004" spans="1:24" x14ac:dyDescent="0.2">
      <c r="A1004" s="3"/>
      <c r="B1004" s="23"/>
    </row>
    <row r="1005" spans="1:24" x14ac:dyDescent="0.2">
      <c r="A1005" s="3"/>
      <c r="B1005" s="23"/>
      <c r="X1005" s="24"/>
    </row>
    <row r="1006" spans="1:24" x14ac:dyDescent="0.2">
      <c r="A1006" s="3"/>
      <c r="B1006" s="23"/>
    </row>
    <row r="1007" spans="1:24" x14ac:dyDescent="0.2">
      <c r="A1007" s="3"/>
      <c r="B1007" s="23"/>
      <c r="X1007" s="24"/>
    </row>
    <row r="1008" spans="1:24" x14ac:dyDescent="0.2">
      <c r="A1008" s="3"/>
      <c r="B1008" s="23"/>
    </row>
    <row r="1009" spans="1:24" x14ac:dyDescent="0.2">
      <c r="A1009" s="3"/>
      <c r="B1009" s="23"/>
      <c r="X1009" s="24"/>
    </row>
    <row r="1010" spans="1:24" x14ac:dyDescent="0.2">
      <c r="A1010" s="3"/>
      <c r="B1010" s="23"/>
    </row>
    <row r="1011" spans="1:24" x14ac:dyDescent="0.2">
      <c r="A1011" s="3"/>
      <c r="B1011" s="23"/>
      <c r="X1011" s="24"/>
    </row>
    <row r="1012" spans="1:24" x14ac:dyDescent="0.2">
      <c r="A1012" s="3"/>
      <c r="B1012" s="23"/>
    </row>
    <row r="1013" spans="1:24" x14ac:dyDescent="0.2">
      <c r="A1013" s="3"/>
      <c r="B1013" s="23"/>
      <c r="X1013" s="24"/>
    </row>
    <row r="1014" spans="1:24" x14ac:dyDescent="0.2">
      <c r="A1014" s="3"/>
      <c r="B1014" s="23"/>
    </row>
    <row r="1015" spans="1:24" x14ac:dyDescent="0.2">
      <c r="A1015" s="3"/>
      <c r="B1015" s="23"/>
      <c r="X1015" s="24"/>
    </row>
    <row r="1016" spans="1:24" x14ac:dyDescent="0.2">
      <c r="A1016" s="3"/>
      <c r="B1016" s="23"/>
    </row>
    <row r="1017" spans="1:24" x14ac:dyDescent="0.2">
      <c r="A1017" s="3"/>
      <c r="B1017" s="23"/>
      <c r="X1017" s="24"/>
    </row>
    <row r="1018" spans="1:24" x14ac:dyDescent="0.2">
      <c r="A1018" s="3"/>
      <c r="B1018" s="23"/>
    </row>
    <row r="1019" spans="1:24" x14ac:dyDescent="0.2">
      <c r="A1019" s="3"/>
      <c r="B1019" s="23"/>
      <c r="X1019" s="24"/>
    </row>
    <row r="1020" spans="1:24" x14ac:dyDescent="0.2">
      <c r="A1020" s="3"/>
      <c r="B1020" s="23"/>
    </row>
    <row r="1021" spans="1:24" x14ac:dyDescent="0.2">
      <c r="A1021" s="3"/>
      <c r="B1021" s="23"/>
      <c r="X1021" s="24"/>
    </row>
    <row r="1022" spans="1:24" x14ac:dyDescent="0.2">
      <c r="A1022" s="3"/>
      <c r="B1022" s="23"/>
    </row>
    <row r="1023" spans="1:24" x14ac:dyDescent="0.2">
      <c r="A1023" s="3"/>
      <c r="B1023" s="23"/>
      <c r="X1023" s="24"/>
    </row>
    <row r="1024" spans="1:24" x14ac:dyDescent="0.2">
      <c r="A1024" s="3"/>
      <c r="B1024" s="23"/>
    </row>
    <row r="1025" spans="1:24" x14ac:dyDescent="0.2">
      <c r="A1025" s="3"/>
      <c r="B1025" s="23"/>
      <c r="X1025" s="24"/>
    </row>
    <row r="1026" spans="1:24" x14ac:dyDescent="0.2">
      <c r="A1026" s="3"/>
      <c r="B1026" s="23"/>
    </row>
    <row r="1027" spans="1:24" x14ac:dyDescent="0.2">
      <c r="A1027" s="3"/>
      <c r="B1027" s="23"/>
      <c r="X1027" s="24"/>
    </row>
    <row r="1028" spans="1:24" x14ac:dyDescent="0.2">
      <c r="A1028" s="3"/>
      <c r="B1028" s="23"/>
    </row>
    <row r="1029" spans="1:24" x14ac:dyDescent="0.2">
      <c r="A1029" s="3"/>
      <c r="B1029" s="23"/>
      <c r="X1029" s="24"/>
    </row>
    <row r="1030" spans="1:24" x14ac:dyDescent="0.2">
      <c r="A1030" s="3"/>
      <c r="B1030" s="23"/>
    </row>
    <row r="1031" spans="1:24" x14ac:dyDescent="0.2">
      <c r="A1031" s="3"/>
      <c r="B1031" s="23"/>
      <c r="X1031" s="24"/>
    </row>
    <row r="1032" spans="1:24" x14ac:dyDescent="0.2">
      <c r="A1032" s="3"/>
      <c r="B1032" s="23"/>
    </row>
    <row r="1033" spans="1:24" x14ac:dyDescent="0.2">
      <c r="A1033" s="3"/>
      <c r="B1033" s="23"/>
      <c r="X1033" s="24"/>
    </row>
    <row r="1034" spans="1:24" x14ac:dyDescent="0.2">
      <c r="A1034" s="3"/>
      <c r="B1034" s="23"/>
    </row>
    <row r="1035" spans="1:24" x14ac:dyDescent="0.2">
      <c r="A1035" s="3"/>
      <c r="B1035" s="23"/>
      <c r="X1035" s="24"/>
    </row>
    <row r="1036" spans="1:24" x14ac:dyDescent="0.2">
      <c r="A1036" s="3"/>
      <c r="B1036" s="23"/>
    </row>
    <row r="1037" spans="1:24" x14ac:dyDescent="0.2">
      <c r="A1037" s="3"/>
      <c r="B1037" s="23"/>
      <c r="X1037" s="24"/>
    </row>
    <row r="1038" spans="1:24" x14ac:dyDescent="0.2">
      <c r="A1038" s="3"/>
      <c r="B1038" s="23"/>
    </row>
    <row r="1039" spans="1:24" x14ac:dyDescent="0.2">
      <c r="A1039" s="3"/>
      <c r="B1039" s="23"/>
      <c r="X1039" s="24"/>
    </row>
    <row r="1040" spans="1:24" x14ac:dyDescent="0.2">
      <c r="A1040" s="3"/>
      <c r="B1040" s="23"/>
    </row>
    <row r="1041" spans="1:24" x14ac:dyDescent="0.2">
      <c r="A1041" s="3"/>
      <c r="B1041" s="23"/>
      <c r="X1041" s="24"/>
    </row>
    <row r="1042" spans="1:24" x14ac:dyDescent="0.2">
      <c r="A1042" s="3"/>
      <c r="B1042" s="23"/>
    </row>
    <row r="1043" spans="1:24" x14ac:dyDescent="0.2">
      <c r="A1043" s="3"/>
      <c r="B1043" s="23"/>
      <c r="X1043" s="24"/>
    </row>
    <row r="1044" spans="1:24" x14ac:dyDescent="0.2">
      <c r="A1044" s="3"/>
      <c r="B1044" s="23"/>
    </row>
    <row r="1045" spans="1:24" x14ac:dyDescent="0.2">
      <c r="A1045" s="3"/>
      <c r="B1045" s="23"/>
      <c r="X1045" s="24"/>
    </row>
    <row r="1047" spans="1:24" x14ac:dyDescent="0.2">
      <c r="X1047" s="24"/>
    </row>
    <row r="1049" spans="1:24" x14ac:dyDescent="0.2">
      <c r="X1049" s="24"/>
    </row>
    <row r="1051" spans="1:24" x14ac:dyDescent="0.2">
      <c r="X1051" s="24"/>
    </row>
    <row r="1053" spans="1:24" x14ac:dyDescent="0.2">
      <c r="X1053" s="24"/>
    </row>
    <row r="1055" spans="1:24" x14ac:dyDescent="0.2">
      <c r="X1055" s="24"/>
    </row>
    <row r="1057" spans="24:24" x14ac:dyDescent="0.2">
      <c r="X1057" s="24"/>
    </row>
    <row r="1059" spans="24:24" x14ac:dyDescent="0.2">
      <c r="X1059" s="24"/>
    </row>
    <row r="1061" spans="24:24" x14ac:dyDescent="0.2">
      <c r="X1061" s="24"/>
    </row>
    <row r="1063" spans="24:24" x14ac:dyDescent="0.2">
      <c r="X1063" s="24"/>
    </row>
    <row r="1065" spans="24:24" x14ac:dyDescent="0.2">
      <c r="X1065" s="24"/>
    </row>
    <row r="1067" spans="24:24" x14ac:dyDescent="0.2">
      <c r="X1067" s="24"/>
    </row>
    <row r="1069" spans="24:24" x14ac:dyDescent="0.2">
      <c r="X1069" s="24"/>
    </row>
    <row r="1071" spans="24:24" x14ac:dyDescent="0.2">
      <c r="X1071" s="24"/>
    </row>
    <row r="1073" spans="24:24" x14ac:dyDescent="0.2">
      <c r="X1073" s="24"/>
    </row>
    <row r="1075" spans="24:24" x14ac:dyDescent="0.2">
      <c r="X1075" s="24"/>
    </row>
    <row r="1077" spans="24:24" x14ac:dyDescent="0.2">
      <c r="X1077" s="24"/>
    </row>
    <row r="1079" spans="24:24" x14ac:dyDescent="0.2">
      <c r="X1079" s="24"/>
    </row>
    <row r="1081" spans="24:24" x14ac:dyDescent="0.2">
      <c r="X1081" s="24"/>
    </row>
    <row r="1083" spans="24:24" x14ac:dyDescent="0.2">
      <c r="X1083" s="24"/>
    </row>
    <row r="1085" spans="24:24" x14ac:dyDescent="0.2">
      <c r="X1085" s="24"/>
    </row>
    <row r="1087" spans="24:24" x14ac:dyDescent="0.2">
      <c r="X1087" s="24"/>
    </row>
    <row r="1089" spans="24:24" x14ac:dyDescent="0.2">
      <c r="X1089" s="24"/>
    </row>
    <row r="1091" spans="24:24" x14ac:dyDescent="0.2">
      <c r="X1091" s="24"/>
    </row>
    <row r="1093" spans="24:24" x14ac:dyDescent="0.2">
      <c r="X1093" s="24"/>
    </row>
    <row r="1095" spans="24:24" x14ac:dyDescent="0.2">
      <c r="X1095" s="24"/>
    </row>
    <row r="1097" spans="24:24" x14ac:dyDescent="0.2">
      <c r="X1097" s="24"/>
    </row>
    <row r="1099" spans="24:24" x14ac:dyDescent="0.2">
      <c r="X1099" s="24"/>
    </row>
    <row r="1101" spans="24:24" x14ac:dyDescent="0.2">
      <c r="X1101" s="24"/>
    </row>
    <row r="1103" spans="24:24" x14ac:dyDescent="0.2">
      <c r="X1103" s="24"/>
    </row>
    <row r="1105" spans="24:24" x14ac:dyDescent="0.2">
      <c r="X1105" s="24"/>
    </row>
    <row r="1107" spans="24:24" x14ac:dyDescent="0.2">
      <c r="X1107" s="24"/>
    </row>
    <row r="1109" spans="24:24" x14ac:dyDescent="0.2">
      <c r="X1109" s="24"/>
    </row>
    <row r="1111" spans="24:24" x14ac:dyDescent="0.2">
      <c r="X1111" s="24"/>
    </row>
    <row r="1113" spans="24:24" x14ac:dyDescent="0.2">
      <c r="X1113" s="24"/>
    </row>
    <row r="1115" spans="24:24" x14ac:dyDescent="0.2">
      <c r="X1115" s="24"/>
    </row>
    <row r="1117" spans="24:24" x14ac:dyDescent="0.2">
      <c r="X1117" s="24"/>
    </row>
    <row r="1119" spans="24:24" x14ac:dyDescent="0.2">
      <c r="X1119" s="24"/>
    </row>
    <row r="1121" spans="24:24" x14ac:dyDescent="0.2">
      <c r="X1121" s="24"/>
    </row>
    <row r="1123" spans="24:24" x14ac:dyDescent="0.2">
      <c r="X1123" s="24"/>
    </row>
    <row r="1125" spans="24:24" x14ac:dyDescent="0.2">
      <c r="X1125" s="24"/>
    </row>
    <row r="1127" spans="24:24" x14ac:dyDescent="0.2">
      <c r="X1127" s="24"/>
    </row>
    <row r="1129" spans="24:24" x14ac:dyDescent="0.2">
      <c r="X1129" s="24"/>
    </row>
    <row r="1131" spans="24:24" x14ac:dyDescent="0.2">
      <c r="X1131" s="24"/>
    </row>
    <row r="1133" spans="24:24" x14ac:dyDescent="0.2">
      <c r="X1133" s="24"/>
    </row>
    <row r="1135" spans="24:24" x14ac:dyDescent="0.2">
      <c r="X1135" s="24"/>
    </row>
    <row r="1137" spans="24:24" x14ac:dyDescent="0.2">
      <c r="X1137" s="24"/>
    </row>
    <row r="1139" spans="24:24" x14ac:dyDescent="0.2">
      <c r="X1139" s="24"/>
    </row>
    <row r="1141" spans="24:24" x14ac:dyDescent="0.2">
      <c r="X1141" s="24"/>
    </row>
    <row r="1143" spans="24:24" x14ac:dyDescent="0.2">
      <c r="X1143" s="24"/>
    </row>
    <row r="1145" spans="24:24" x14ac:dyDescent="0.2">
      <c r="X1145" s="24"/>
    </row>
    <row r="1147" spans="24:24" x14ac:dyDescent="0.2">
      <c r="X1147" s="24"/>
    </row>
    <row r="1149" spans="24:24" x14ac:dyDescent="0.2">
      <c r="X1149" s="24"/>
    </row>
    <row r="1151" spans="24:24" x14ac:dyDescent="0.2">
      <c r="X1151" s="24"/>
    </row>
    <row r="1153" spans="24:24" x14ac:dyDescent="0.2">
      <c r="X1153" s="24"/>
    </row>
    <row r="1155" spans="24:24" x14ac:dyDescent="0.2">
      <c r="X1155" s="24"/>
    </row>
    <row r="1157" spans="24:24" x14ac:dyDescent="0.2">
      <c r="X1157" s="24"/>
    </row>
    <row r="1159" spans="24:24" x14ac:dyDescent="0.2">
      <c r="X1159" s="24"/>
    </row>
    <row r="1161" spans="24:24" x14ac:dyDescent="0.2">
      <c r="X1161" s="24"/>
    </row>
    <row r="1163" spans="24:24" x14ac:dyDescent="0.2">
      <c r="X1163" s="24"/>
    </row>
    <row r="1165" spans="24:24" x14ac:dyDescent="0.2">
      <c r="X1165" s="24"/>
    </row>
    <row r="1167" spans="24:24" x14ac:dyDescent="0.2">
      <c r="X1167" s="24"/>
    </row>
    <row r="1169" spans="24:24" x14ac:dyDescent="0.2">
      <c r="X1169" s="24"/>
    </row>
    <row r="1171" spans="24:24" x14ac:dyDescent="0.2">
      <c r="X1171" s="24"/>
    </row>
    <row r="1173" spans="24:24" x14ac:dyDescent="0.2">
      <c r="X1173" s="24"/>
    </row>
    <row r="1175" spans="24:24" x14ac:dyDescent="0.2">
      <c r="X1175" s="24"/>
    </row>
    <row r="1177" spans="24:24" x14ac:dyDescent="0.2">
      <c r="X1177" s="24"/>
    </row>
    <row r="1179" spans="24:24" x14ac:dyDescent="0.2">
      <c r="X1179" s="24"/>
    </row>
    <row r="1181" spans="24:24" x14ac:dyDescent="0.2">
      <c r="X1181" s="24"/>
    </row>
    <row r="1183" spans="24:24" x14ac:dyDescent="0.2">
      <c r="X1183" s="24"/>
    </row>
    <row r="1185" spans="24:24" x14ac:dyDescent="0.2">
      <c r="X1185" s="24"/>
    </row>
    <row r="1187" spans="24:24" x14ac:dyDescent="0.2">
      <c r="X1187" s="24"/>
    </row>
    <row r="1189" spans="24:24" x14ac:dyDescent="0.2">
      <c r="X1189" s="24"/>
    </row>
    <row r="1191" spans="24:24" x14ac:dyDescent="0.2">
      <c r="X1191" s="24"/>
    </row>
    <row r="1193" spans="24:24" x14ac:dyDescent="0.2">
      <c r="X1193" s="24"/>
    </row>
    <row r="1195" spans="24:24" x14ac:dyDescent="0.2">
      <c r="X1195" s="24"/>
    </row>
    <row r="1197" spans="24:24" x14ac:dyDescent="0.2">
      <c r="X1197" s="24"/>
    </row>
    <row r="1199" spans="24:24" x14ac:dyDescent="0.2">
      <c r="X1199" s="24"/>
    </row>
    <row r="1201" spans="24:24" x14ac:dyDescent="0.2">
      <c r="X1201" s="24"/>
    </row>
    <row r="1203" spans="24:24" x14ac:dyDescent="0.2">
      <c r="X1203" s="24"/>
    </row>
    <row r="1205" spans="24:24" x14ac:dyDescent="0.2">
      <c r="X1205" s="24"/>
    </row>
    <row r="1207" spans="24:24" x14ac:dyDescent="0.2">
      <c r="X1207" s="24"/>
    </row>
    <row r="1209" spans="24:24" x14ac:dyDescent="0.2">
      <c r="X1209" s="24"/>
    </row>
    <row r="1211" spans="24:24" x14ac:dyDescent="0.2">
      <c r="X1211" s="24"/>
    </row>
    <row r="1213" spans="24:24" x14ac:dyDescent="0.2">
      <c r="X1213" s="24"/>
    </row>
    <row r="1215" spans="24:24" x14ac:dyDescent="0.2">
      <c r="X1215" s="24"/>
    </row>
    <row r="1217" spans="24:24" x14ac:dyDescent="0.2">
      <c r="X1217" s="24"/>
    </row>
    <row r="1219" spans="24:24" x14ac:dyDescent="0.2">
      <c r="X1219" s="24"/>
    </row>
    <row r="1221" spans="24:24" x14ac:dyDescent="0.2">
      <c r="X1221" s="24"/>
    </row>
    <row r="1223" spans="24:24" x14ac:dyDescent="0.2">
      <c r="X1223" s="24"/>
    </row>
    <row r="1225" spans="24:24" x14ac:dyDescent="0.2">
      <c r="X1225" s="24"/>
    </row>
    <row r="1227" spans="24:24" x14ac:dyDescent="0.2">
      <c r="X1227" s="24"/>
    </row>
    <row r="1229" spans="24:24" x14ac:dyDescent="0.2">
      <c r="X1229" s="24"/>
    </row>
    <row r="1231" spans="24:24" x14ac:dyDescent="0.2">
      <c r="X1231" s="24"/>
    </row>
    <row r="1233" spans="24:24" x14ac:dyDescent="0.2">
      <c r="X1233" s="24"/>
    </row>
    <row r="1235" spans="24:24" x14ac:dyDescent="0.2">
      <c r="X1235" s="24"/>
    </row>
    <row r="1237" spans="24:24" x14ac:dyDescent="0.2">
      <c r="X1237" s="24"/>
    </row>
    <row r="1239" spans="24:24" x14ac:dyDescent="0.2">
      <c r="X1239" s="24"/>
    </row>
    <row r="1241" spans="24:24" x14ac:dyDescent="0.2">
      <c r="X1241" s="24"/>
    </row>
    <row r="1243" spans="24:24" x14ac:dyDescent="0.2">
      <c r="X1243" s="24"/>
    </row>
    <row r="1245" spans="24:24" x14ac:dyDescent="0.2">
      <c r="X1245" s="24"/>
    </row>
    <row r="1247" spans="24:24" x14ac:dyDescent="0.2">
      <c r="X1247" s="24"/>
    </row>
    <row r="1249" spans="24:24" x14ac:dyDescent="0.2">
      <c r="X1249" s="24"/>
    </row>
    <row r="1251" spans="24:24" x14ac:dyDescent="0.2">
      <c r="X1251" s="24"/>
    </row>
    <row r="1253" spans="24:24" x14ac:dyDescent="0.2">
      <c r="X1253" s="24"/>
    </row>
    <row r="1255" spans="24:24" x14ac:dyDescent="0.2">
      <c r="X1255" s="24"/>
    </row>
    <row r="1257" spans="24:24" x14ac:dyDescent="0.2">
      <c r="X1257" s="24"/>
    </row>
    <row r="1259" spans="24:24" x14ac:dyDescent="0.2">
      <c r="X1259" s="24"/>
    </row>
    <row r="1261" spans="24:24" x14ac:dyDescent="0.2">
      <c r="X1261" s="24"/>
    </row>
    <row r="1263" spans="24:24" x14ac:dyDescent="0.2">
      <c r="X1263" s="24"/>
    </row>
    <row r="1265" spans="24:24" x14ac:dyDescent="0.2">
      <c r="X1265" s="24"/>
    </row>
    <row r="1267" spans="24:24" x14ac:dyDescent="0.2">
      <c r="X1267" s="24"/>
    </row>
    <row r="1269" spans="24:24" x14ac:dyDescent="0.2">
      <c r="X1269" s="24"/>
    </row>
    <row r="1271" spans="24:24" x14ac:dyDescent="0.2">
      <c r="X1271" s="24"/>
    </row>
    <row r="1273" spans="24:24" x14ac:dyDescent="0.2">
      <c r="X1273" s="24"/>
    </row>
    <row r="1275" spans="24:24" x14ac:dyDescent="0.2">
      <c r="X1275" s="24"/>
    </row>
    <row r="1277" spans="24:24" x14ac:dyDescent="0.2">
      <c r="X1277" s="24"/>
    </row>
    <row r="1279" spans="24:24" x14ac:dyDescent="0.2">
      <c r="X1279" s="24"/>
    </row>
    <row r="1281" spans="24:24" x14ac:dyDescent="0.2">
      <c r="X1281" s="24"/>
    </row>
    <row r="1283" spans="24:24" x14ac:dyDescent="0.2">
      <c r="X1283" s="24"/>
    </row>
    <row r="1285" spans="24:24" x14ac:dyDescent="0.2">
      <c r="X1285" s="24"/>
    </row>
    <row r="1287" spans="24:24" x14ac:dyDescent="0.2">
      <c r="X1287" s="24"/>
    </row>
    <row r="1289" spans="24:24" x14ac:dyDescent="0.2">
      <c r="X1289" s="24"/>
    </row>
    <row r="1291" spans="24:24" x14ac:dyDescent="0.2">
      <c r="X1291" s="24"/>
    </row>
    <row r="1293" spans="24:24" x14ac:dyDescent="0.2">
      <c r="X1293" s="24"/>
    </row>
    <row r="1295" spans="24:24" x14ac:dyDescent="0.2">
      <c r="X1295" s="24"/>
    </row>
    <row r="1297" spans="24:24" x14ac:dyDescent="0.2">
      <c r="X1297" s="24"/>
    </row>
    <row r="1299" spans="24:24" x14ac:dyDescent="0.2">
      <c r="X1299" s="24"/>
    </row>
    <row r="1301" spans="24:24" x14ac:dyDescent="0.2">
      <c r="X1301" s="24"/>
    </row>
    <row r="1303" spans="24:24" x14ac:dyDescent="0.2">
      <c r="X1303" s="24"/>
    </row>
    <row r="1305" spans="24:24" x14ac:dyDescent="0.2">
      <c r="X1305" s="24"/>
    </row>
    <row r="1307" spans="24:24" x14ac:dyDescent="0.2">
      <c r="X1307" s="24"/>
    </row>
    <row r="1309" spans="24:24" x14ac:dyDescent="0.2">
      <c r="X1309" s="24"/>
    </row>
    <row r="1311" spans="24:24" x14ac:dyDescent="0.2">
      <c r="X1311" s="24"/>
    </row>
    <row r="1313" spans="24:24" x14ac:dyDescent="0.2">
      <c r="X1313" s="24"/>
    </row>
    <row r="1315" spans="24:24" x14ac:dyDescent="0.2">
      <c r="X1315" s="24"/>
    </row>
    <row r="1317" spans="24:24" x14ac:dyDescent="0.2">
      <c r="X1317" s="24"/>
    </row>
    <row r="1319" spans="24:24" x14ac:dyDescent="0.2">
      <c r="X1319" s="24"/>
    </row>
    <row r="1321" spans="24:24" x14ac:dyDescent="0.2">
      <c r="X1321" s="24"/>
    </row>
    <row r="1323" spans="24:24" x14ac:dyDescent="0.2">
      <c r="X1323" s="24"/>
    </row>
    <row r="1325" spans="24:24" x14ac:dyDescent="0.2">
      <c r="X1325" s="24"/>
    </row>
    <row r="1327" spans="24:24" x14ac:dyDescent="0.2">
      <c r="X1327" s="24"/>
    </row>
    <row r="1329" spans="24:24" x14ac:dyDescent="0.2">
      <c r="X1329" s="24"/>
    </row>
    <row r="1331" spans="24:24" x14ac:dyDescent="0.2">
      <c r="X1331" s="24"/>
    </row>
    <row r="1333" spans="24:24" x14ac:dyDescent="0.2">
      <c r="X1333" s="24"/>
    </row>
    <row r="1335" spans="24:24" x14ac:dyDescent="0.2">
      <c r="X1335" s="24"/>
    </row>
    <row r="1337" spans="24:24" x14ac:dyDescent="0.2">
      <c r="X1337" s="24"/>
    </row>
    <row r="1339" spans="24:24" x14ac:dyDescent="0.2">
      <c r="X1339" s="24"/>
    </row>
    <row r="1341" spans="24:24" x14ac:dyDescent="0.2">
      <c r="X1341" s="24"/>
    </row>
    <row r="1343" spans="24:24" x14ac:dyDescent="0.2">
      <c r="X1343" s="24"/>
    </row>
    <row r="1345" spans="24:24" x14ac:dyDescent="0.2">
      <c r="X1345" s="24"/>
    </row>
    <row r="1347" spans="24:24" x14ac:dyDescent="0.2">
      <c r="X1347" s="24"/>
    </row>
    <row r="1349" spans="24:24" x14ac:dyDescent="0.2">
      <c r="X1349" s="24"/>
    </row>
    <row r="1351" spans="24:24" x14ac:dyDescent="0.2">
      <c r="X1351" s="24"/>
    </row>
    <row r="1353" spans="24:24" x14ac:dyDescent="0.2">
      <c r="X1353" s="24"/>
    </row>
    <row r="1355" spans="24:24" x14ac:dyDescent="0.2">
      <c r="X1355" s="24"/>
    </row>
    <row r="1357" spans="24:24" x14ac:dyDescent="0.2">
      <c r="X1357" s="24"/>
    </row>
    <row r="1359" spans="24:24" x14ac:dyDescent="0.2">
      <c r="X1359" s="24"/>
    </row>
    <row r="1361" spans="24:24" x14ac:dyDescent="0.2">
      <c r="X1361" s="24"/>
    </row>
    <row r="1363" spans="24:24" x14ac:dyDescent="0.2">
      <c r="X1363" s="24"/>
    </row>
    <row r="1365" spans="24:24" x14ac:dyDescent="0.2">
      <c r="X1365" s="24"/>
    </row>
    <row r="1367" spans="24:24" x14ac:dyDescent="0.2">
      <c r="X1367" s="24"/>
    </row>
    <row r="1369" spans="24:24" x14ac:dyDescent="0.2">
      <c r="X1369" s="24"/>
    </row>
    <row r="1371" spans="24:24" x14ac:dyDescent="0.2">
      <c r="X1371" s="24"/>
    </row>
    <row r="1373" spans="24:24" x14ac:dyDescent="0.2">
      <c r="X1373" s="24"/>
    </row>
    <row r="1375" spans="24:24" x14ac:dyDescent="0.2">
      <c r="X1375" s="24"/>
    </row>
    <row r="1377" spans="24:24" x14ac:dyDescent="0.2">
      <c r="X1377" s="24"/>
    </row>
    <row r="1379" spans="24:24" x14ac:dyDescent="0.2">
      <c r="X1379" s="24"/>
    </row>
    <row r="1381" spans="24:24" x14ac:dyDescent="0.2">
      <c r="X1381" s="24"/>
    </row>
    <row r="1383" spans="24:24" x14ac:dyDescent="0.2">
      <c r="X1383" s="24"/>
    </row>
    <row r="1385" spans="24:24" x14ac:dyDescent="0.2">
      <c r="X1385" s="24"/>
    </row>
    <row r="1387" spans="24:24" x14ac:dyDescent="0.2">
      <c r="X1387" s="24"/>
    </row>
    <row r="1389" spans="24:24" x14ac:dyDescent="0.2">
      <c r="X1389" s="24"/>
    </row>
    <row r="1391" spans="24:24" x14ac:dyDescent="0.2">
      <c r="X1391" s="24"/>
    </row>
    <row r="1393" spans="24:24" x14ac:dyDescent="0.2">
      <c r="X1393" s="24"/>
    </row>
    <row r="1395" spans="24:24" x14ac:dyDescent="0.2">
      <c r="X1395" s="24"/>
    </row>
    <row r="1397" spans="24:24" x14ac:dyDescent="0.2">
      <c r="X1397" s="24"/>
    </row>
    <row r="1399" spans="24:24" x14ac:dyDescent="0.2">
      <c r="X1399" s="24"/>
    </row>
    <row r="1401" spans="24:24" x14ac:dyDescent="0.2">
      <c r="X1401" s="24"/>
    </row>
    <row r="1403" spans="24:24" x14ac:dyDescent="0.2">
      <c r="X1403" s="24"/>
    </row>
    <row r="1405" spans="24:24" x14ac:dyDescent="0.2">
      <c r="X1405" s="24"/>
    </row>
    <row r="1407" spans="24:24" x14ac:dyDescent="0.2">
      <c r="X1407" s="24"/>
    </row>
    <row r="1409" spans="24:24" x14ac:dyDescent="0.2">
      <c r="X1409" s="24"/>
    </row>
    <row r="1411" spans="24:24" x14ac:dyDescent="0.2">
      <c r="X1411" s="24"/>
    </row>
    <row r="1413" spans="24:24" x14ac:dyDescent="0.2">
      <c r="X1413" s="24"/>
    </row>
    <row r="1415" spans="24:24" x14ac:dyDescent="0.2">
      <c r="X1415" s="24"/>
    </row>
    <row r="1417" spans="24:24" x14ac:dyDescent="0.2">
      <c r="X1417" s="24"/>
    </row>
    <row r="1419" spans="24:24" x14ac:dyDescent="0.2">
      <c r="X1419" s="24"/>
    </row>
    <row r="1421" spans="24:24" x14ac:dyDescent="0.2">
      <c r="X1421" s="24"/>
    </row>
    <row r="1423" spans="24:24" x14ac:dyDescent="0.2">
      <c r="X1423" s="24"/>
    </row>
    <row r="1425" spans="24:24" x14ac:dyDescent="0.2">
      <c r="X1425" s="24"/>
    </row>
    <row r="1427" spans="24:24" x14ac:dyDescent="0.2">
      <c r="X1427" s="24"/>
    </row>
    <row r="1429" spans="24:24" x14ac:dyDescent="0.2">
      <c r="X1429" s="24"/>
    </row>
    <row r="1431" spans="24:24" x14ac:dyDescent="0.2">
      <c r="X1431" s="24"/>
    </row>
    <row r="1433" spans="24:24" x14ac:dyDescent="0.2">
      <c r="X1433" s="24"/>
    </row>
    <row r="1435" spans="24:24" x14ac:dyDescent="0.2">
      <c r="X1435" s="24"/>
    </row>
    <row r="1437" spans="24:24" x14ac:dyDescent="0.2">
      <c r="X1437" s="24"/>
    </row>
    <row r="1439" spans="24:24" x14ac:dyDescent="0.2">
      <c r="X1439" s="24"/>
    </row>
    <row r="1441" spans="24:24" x14ac:dyDescent="0.2">
      <c r="X1441" s="24"/>
    </row>
    <row r="1443" spans="24:24" x14ac:dyDescent="0.2">
      <c r="X1443" s="24"/>
    </row>
    <row r="1445" spans="24:24" x14ac:dyDescent="0.2">
      <c r="X1445" s="24"/>
    </row>
    <row r="1447" spans="24:24" x14ac:dyDescent="0.2">
      <c r="X1447" s="24"/>
    </row>
    <row r="1449" spans="24:24" x14ac:dyDescent="0.2">
      <c r="X1449" s="24"/>
    </row>
    <row r="1451" spans="24:24" x14ac:dyDescent="0.2">
      <c r="X1451" s="24"/>
    </row>
    <row r="1453" spans="24:24" x14ac:dyDescent="0.2">
      <c r="X1453" s="24"/>
    </row>
    <row r="1455" spans="24:24" x14ac:dyDescent="0.2">
      <c r="X1455" s="24"/>
    </row>
    <row r="1457" spans="24:24" x14ac:dyDescent="0.2">
      <c r="X1457" s="24"/>
    </row>
    <row r="1459" spans="24:24" x14ac:dyDescent="0.2">
      <c r="X1459" s="24"/>
    </row>
    <row r="1461" spans="24:24" x14ac:dyDescent="0.2">
      <c r="X1461" s="24"/>
    </row>
    <row r="1463" spans="24:24" x14ac:dyDescent="0.2">
      <c r="X1463" s="24"/>
    </row>
    <row r="1465" spans="24:24" x14ac:dyDescent="0.2">
      <c r="X1465" s="24"/>
    </row>
    <row r="1467" spans="24:24" x14ac:dyDescent="0.2">
      <c r="X1467" s="24"/>
    </row>
    <row r="1469" spans="24:24" x14ac:dyDescent="0.2">
      <c r="X1469" s="24"/>
    </row>
    <row r="1471" spans="24:24" x14ac:dyDescent="0.2">
      <c r="X1471" s="24"/>
    </row>
    <row r="1473" spans="24:24" x14ac:dyDescent="0.2">
      <c r="X1473" s="24"/>
    </row>
    <row r="1475" spans="24:24" x14ac:dyDescent="0.2">
      <c r="X1475" s="24"/>
    </row>
    <row r="1477" spans="24:24" x14ac:dyDescent="0.2">
      <c r="X1477" s="24"/>
    </row>
    <row r="1479" spans="24:24" x14ac:dyDescent="0.2">
      <c r="X1479" s="24"/>
    </row>
    <row r="1481" spans="24:24" x14ac:dyDescent="0.2">
      <c r="X1481" s="24"/>
    </row>
    <row r="1483" spans="24:24" x14ac:dyDescent="0.2">
      <c r="X1483" s="24"/>
    </row>
    <row r="1485" spans="24:24" x14ac:dyDescent="0.2">
      <c r="X1485" s="24"/>
    </row>
    <row r="1487" spans="24:24" x14ac:dyDescent="0.2">
      <c r="X1487" s="24"/>
    </row>
    <row r="1489" spans="24:24" x14ac:dyDescent="0.2">
      <c r="X1489" s="24"/>
    </row>
    <row r="1491" spans="24:24" x14ac:dyDescent="0.2">
      <c r="X1491" s="24"/>
    </row>
    <row r="1493" spans="24:24" x14ac:dyDescent="0.2">
      <c r="X1493" s="24"/>
    </row>
    <row r="1495" spans="24:24" x14ac:dyDescent="0.2">
      <c r="X1495" s="24"/>
    </row>
    <row r="1497" spans="24:24" x14ac:dyDescent="0.2">
      <c r="X1497" s="24"/>
    </row>
    <row r="1499" spans="24:24" x14ac:dyDescent="0.2">
      <c r="X1499" s="24"/>
    </row>
    <row r="1501" spans="24:24" x14ac:dyDescent="0.2">
      <c r="X1501" s="24"/>
    </row>
    <row r="1503" spans="24:24" x14ac:dyDescent="0.2">
      <c r="X1503" s="24"/>
    </row>
    <row r="1505" spans="24:24" x14ac:dyDescent="0.2">
      <c r="X1505" s="24"/>
    </row>
    <row r="1507" spans="24:24" x14ac:dyDescent="0.2">
      <c r="X1507" s="24"/>
    </row>
    <row r="1509" spans="24:24" x14ac:dyDescent="0.2">
      <c r="X1509" s="24"/>
    </row>
    <row r="1511" spans="24:24" x14ac:dyDescent="0.2">
      <c r="X1511" s="24"/>
    </row>
    <row r="1513" spans="24:24" x14ac:dyDescent="0.2">
      <c r="X1513" s="24"/>
    </row>
    <row r="1515" spans="24:24" x14ac:dyDescent="0.2">
      <c r="X1515" s="24"/>
    </row>
    <row r="1517" spans="24:24" x14ac:dyDescent="0.2">
      <c r="X1517" s="24"/>
    </row>
    <row r="1519" spans="24:24" x14ac:dyDescent="0.2">
      <c r="X1519" s="24"/>
    </row>
    <row r="1521" spans="24:24" x14ac:dyDescent="0.2">
      <c r="X1521" s="24"/>
    </row>
    <row r="1523" spans="24:24" x14ac:dyDescent="0.2">
      <c r="X1523" s="24"/>
    </row>
    <row r="1525" spans="24:24" x14ac:dyDescent="0.2">
      <c r="X1525" s="24"/>
    </row>
    <row r="1527" spans="24:24" x14ac:dyDescent="0.2">
      <c r="X1527" s="24"/>
    </row>
    <row r="1529" spans="24:24" x14ac:dyDescent="0.2">
      <c r="X1529" s="24"/>
    </row>
    <row r="1531" spans="24:24" x14ac:dyDescent="0.2">
      <c r="X1531" s="24"/>
    </row>
    <row r="1533" spans="24:24" x14ac:dyDescent="0.2">
      <c r="X1533" s="24"/>
    </row>
    <row r="1535" spans="24:24" x14ac:dyDescent="0.2">
      <c r="X1535" s="24"/>
    </row>
    <row r="1537" spans="24:24" x14ac:dyDescent="0.2">
      <c r="X1537" s="24"/>
    </row>
    <row r="1539" spans="24:24" x14ac:dyDescent="0.2">
      <c r="X1539" s="24"/>
    </row>
    <row r="1541" spans="24:24" x14ac:dyDescent="0.2">
      <c r="X1541" s="24"/>
    </row>
    <row r="1543" spans="24:24" x14ac:dyDescent="0.2">
      <c r="X1543" s="24"/>
    </row>
    <row r="1545" spans="24:24" x14ac:dyDescent="0.2">
      <c r="X1545" s="24"/>
    </row>
    <row r="1547" spans="24:24" x14ac:dyDescent="0.2">
      <c r="X1547" s="24"/>
    </row>
    <row r="1549" spans="24:24" x14ac:dyDescent="0.2">
      <c r="X1549" s="24"/>
    </row>
    <row r="1551" spans="24:24" x14ac:dyDescent="0.2">
      <c r="X1551" s="24"/>
    </row>
    <row r="1553" spans="24:24" x14ac:dyDescent="0.2">
      <c r="X1553" s="24"/>
    </row>
    <row r="1555" spans="24:24" x14ac:dyDescent="0.2">
      <c r="X1555" s="24"/>
    </row>
    <row r="1557" spans="24:24" x14ac:dyDescent="0.2">
      <c r="X1557" s="24"/>
    </row>
    <row r="1559" spans="24:24" x14ac:dyDescent="0.2">
      <c r="X1559" s="24"/>
    </row>
    <row r="1561" spans="24:24" x14ac:dyDescent="0.2">
      <c r="X1561" s="24"/>
    </row>
    <row r="1563" spans="24:24" x14ac:dyDescent="0.2">
      <c r="X1563" s="24"/>
    </row>
    <row r="1565" spans="24:24" x14ac:dyDescent="0.2">
      <c r="X1565" s="24"/>
    </row>
    <row r="1567" spans="24:24" x14ac:dyDescent="0.2">
      <c r="X1567" s="24"/>
    </row>
    <row r="1569" spans="24:24" x14ac:dyDescent="0.2">
      <c r="X1569" s="24"/>
    </row>
    <row r="1571" spans="24:24" x14ac:dyDescent="0.2">
      <c r="X1571" s="24"/>
    </row>
    <row r="1573" spans="24:24" x14ac:dyDescent="0.2">
      <c r="X1573" s="24"/>
    </row>
    <row r="1575" spans="24:24" x14ac:dyDescent="0.2">
      <c r="X1575" s="24"/>
    </row>
    <row r="1577" spans="24:24" x14ac:dyDescent="0.2">
      <c r="X1577" s="24"/>
    </row>
    <row r="1579" spans="24:24" x14ac:dyDescent="0.2">
      <c r="X1579" s="24"/>
    </row>
    <row r="1581" spans="24:24" x14ac:dyDescent="0.2">
      <c r="X1581" s="24"/>
    </row>
    <row r="1583" spans="24:24" x14ac:dyDescent="0.2">
      <c r="X1583" s="24"/>
    </row>
    <row r="1585" spans="24:24" x14ac:dyDescent="0.2">
      <c r="X1585" s="24"/>
    </row>
    <row r="1587" spans="24:24" x14ac:dyDescent="0.2">
      <c r="X1587" s="24"/>
    </row>
    <row r="1589" spans="24:24" x14ac:dyDescent="0.2">
      <c r="X1589" s="24"/>
    </row>
    <row r="1591" spans="24:24" x14ac:dyDescent="0.2">
      <c r="X1591" s="24"/>
    </row>
    <row r="1593" spans="24:24" x14ac:dyDescent="0.2">
      <c r="X1593" s="24"/>
    </row>
    <row r="1595" spans="24:24" x14ac:dyDescent="0.2">
      <c r="X1595" s="24"/>
    </row>
    <row r="1597" spans="24:24" x14ac:dyDescent="0.2">
      <c r="X1597" s="24"/>
    </row>
    <row r="1599" spans="24:24" x14ac:dyDescent="0.2">
      <c r="X1599" s="24"/>
    </row>
    <row r="1601" spans="24:24" x14ac:dyDescent="0.2">
      <c r="X1601" s="24"/>
    </row>
    <row r="1603" spans="24:24" x14ac:dyDescent="0.2">
      <c r="X1603" s="24"/>
    </row>
    <row r="1605" spans="24:24" x14ac:dyDescent="0.2">
      <c r="X1605" s="24"/>
    </row>
    <row r="1607" spans="24:24" x14ac:dyDescent="0.2">
      <c r="X1607" s="24"/>
    </row>
    <row r="1609" spans="24:24" x14ac:dyDescent="0.2">
      <c r="X1609" s="24"/>
    </row>
    <row r="1611" spans="24:24" x14ac:dyDescent="0.2">
      <c r="X1611" s="24"/>
    </row>
    <row r="1613" spans="24:24" x14ac:dyDescent="0.2">
      <c r="X1613" s="24"/>
    </row>
    <row r="1615" spans="24:24" x14ac:dyDescent="0.2">
      <c r="X1615" s="24"/>
    </row>
    <row r="1617" spans="24:24" x14ac:dyDescent="0.2">
      <c r="X1617" s="24"/>
    </row>
    <row r="1619" spans="24:24" x14ac:dyDescent="0.2">
      <c r="X1619" s="24"/>
    </row>
    <row r="1621" spans="24:24" x14ac:dyDescent="0.2">
      <c r="X1621" s="24"/>
    </row>
    <row r="1623" spans="24:24" x14ac:dyDescent="0.2">
      <c r="X1623" s="24"/>
    </row>
    <row r="1625" spans="24:24" x14ac:dyDescent="0.2">
      <c r="X1625" s="24"/>
    </row>
    <row r="1627" spans="24:24" x14ac:dyDescent="0.2">
      <c r="X1627" s="24"/>
    </row>
    <row r="1629" spans="24:24" x14ac:dyDescent="0.2">
      <c r="X1629" s="24"/>
    </row>
    <row r="1631" spans="24:24" x14ac:dyDescent="0.2">
      <c r="X1631" s="24"/>
    </row>
    <row r="1633" spans="24:24" x14ac:dyDescent="0.2">
      <c r="X1633" s="24"/>
    </row>
    <row r="1635" spans="24:24" x14ac:dyDescent="0.2">
      <c r="X1635" s="24"/>
    </row>
    <row r="1637" spans="24:24" x14ac:dyDescent="0.2">
      <c r="X1637" s="24"/>
    </row>
    <row r="1639" spans="24:24" x14ac:dyDescent="0.2">
      <c r="X1639" s="24"/>
    </row>
    <row r="1641" spans="24:24" x14ac:dyDescent="0.2">
      <c r="X1641" s="24"/>
    </row>
    <row r="1643" spans="24:24" x14ac:dyDescent="0.2">
      <c r="X1643" s="24"/>
    </row>
    <row r="1645" spans="24:24" x14ac:dyDescent="0.2">
      <c r="X1645" s="24"/>
    </row>
    <row r="1647" spans="24:24" x14ac:dyDescent="0.2">
      <c r="X1647" s="24"/>
    </row>
    <row r="1649" spans="24:24" x14ac:dyDescent="0.2">
      <c r="X1649" s="24"/>
    </row>
    <row r="1651" spans="24:24" x14ac:dyDescent="0.2">
      <c r="X1651" s="24"/>
    </row>
    <row r="1653" spans="24:24" x14ac:dyDescent="0.2">
      <c r="X1653" s="24"/>
    </row>
    <row r="1655" spans="24:24" x14ac:dyDescent="0.2">
      <c r="X1655" s="24"/>
    </row>
    <row r="1657" spans="24:24" x14ac:dyDescent="0.2">
      <c r="X1657" s="24"/>
    </row>
    <row r="1659" spans="24:24" x14ac:dyDescent="0.2">
      <c r="X1659" s="24"/>
    </row>
    <row r="1661" spans="24:24" x14ac:dyDescent="0.2">
      <c r="X1661" s="24"/>
    </row>
    <row r="1663" spans="24:24" x14ac:dyDescent="0.2">
      <c r="X1663" s="24"/>
    </row>
    <row r="1665" spans="24:24" x14ac:dyDescent="0.2">
      <c r="X1665" s="24"/>
    </row>
    <row r="1667" spans="24:24" x14ac:dyDescent="0.2">
      <c r="X1667" s="24"/>
    </row>
    <row r="1669" spans="24:24" x14ac:dyDescent="0.2">
      <c r="X1669" s="24"/>
    </row>
    <row r="1671" spans="24:24" x14ac:dyDescent="0.2">
      <c r="X1671" s="24"/>
    </row>
    <row r="1673" spans="24:24" x14ac:dyDescent="0.2">
      <c r="X1673" s="24"/>
    </row>
    <row r="1675" spans="24:24" x14ac:dyDescent="0.2">
      <c r="X1675" s="24"/>
    </row>
    <row r="1677" spans="24:24" x14ac:dyDescent="0.2">
      <c r="X1677" s="24"/>
    </row>
    <row r="1679" spans="24:24" x14ac:dyDescent="0.2">
      <c r="X1679" s="24"/>
    </row>
    <row r="1681" spans="24:24" x14ac:dyDescent="0.2">
      <c r="X1681" s="24"/>
    </row>
    <row r="1683" spans="24:24" x14ac:dyDescent="0.2">
      <c r="X1683" s="24"/>
    </row>
    <row r="1685" spans="24:24" x14ac:dyDescent="0.2">
      <c r="X1685" s="24"/>
    </row>
    <row r="1687" spans="24:24" x14ac:dyDescent="0.2">
      <c r="X1687" s="24"/>
    </row>
    <row r="1689" spans="24:24" x14ac:dyDescent="0.2">
      <c r="X1689" s="24"/>
    </row>
    <row r="1691" spans="24:24" x14ac:dyDescent="0.2">
      <c r="X1691" s="24"/>
    </row>
    <row r="1693" spans="24:24" x14ac:dyDescent="0.2">
      <c r="X1693" s="24"/>
    </row>
    <row r="1695" spans="24:24" x14ac:dyDescent="0.2">
      <c r="X1695" s="24"/>
    </row>
    <row r="1697" spans="24:24" x14ac:dyDescent="0.2">
      <c r="X1697" s="24"/>
    </row>
    <row r="1699" spans="24:24" x14ac:dyDescent="0.2">
      <c r="X1699" s="24"/>
    </row>
    <row r="1701" spans="24:24" x14ac:dyDescent="0.2">
      <c r="X1701" s="24"/>
    </row>
    <row r="1703" spans="24:24" x14ac:dyDescent="0.2">
      <c r="X1703" s="24"/>
    </row>
    <row r="1705" spans="24:24" x14ac:dyDescent="0.2">
      <c r="X1705" s="24"/>
    </row>
    <row r="1707" spans="24:24" x14ac:dyDescent="0.2">
      <c r="X1707" s="24"/>
    </row>
    <row r="1709" spans="24:24" x14ac:dyDescent="0.2">
      <c r="X1709" s="24"/>
    </row>
    <row r="1711" spans="24:24" x14ac:dyDescent="0.2">
      <c r="X1711" s="24"/>
    </row>
    <row r="1713" spans="24:24" x14ac:dyDescent="0.2">
      <c r="X1713" s="24"/>
    </row>
    <row r="1715" spans="24:24" x14ac:dyDescent="0.2">
      <c r="X1715" s="24"/>
    </row>
    <row r="1717" spans="24:24" x14ac:dyDescent="0.2">
      <c r="X1717" s="24"/>
    </row>
    <row r="1719" spans="24:24" x14ac:dyDescent="0.2">
      <c r="X1719" s="24"/>
    </row>
    <row r="1721" spans="24:24" x14ac:dyDescent="0.2">
      <c r="X1721" s="24"/>
    </row>
    <row r="1723" spans="24:24" x14ac:dyDescent="0.2">
      <c r="X1723" s="24"/>
    </row>
    <row r="1725" spans="24:24" x14ac:dyDescent="0.2">
      <c r="X1725" s="24"/>
    </row>
    <row r="1727" spans="24:24" x14ac:dyDescent="0.2">
      <c r="X1727" s="24"/>
    </row>
    <row r="1729" spans="24:24" x14ac:dyDescent="0.2">
      <c r="X1729" s="24"/>
    </row>
    <row r="1731" spans="24:24" x14ac:dyDescent="0.2">
      <c r="X1731" s="24"/>
    </row>
    <row r="1733" spans="24:24" x14ac:dyDescent="0.2">
      <c r="X1733" s="24"/>
    </row>
    <row r="1735" spans="24:24" x14ac:dyDescent="0.2">
      <c r="X1735" s="24"/>
    </row>
    <row r="1737" spans="24:24" x14ac:dyDescent="0.2">
      <c r="X1737" s="24"/>
    </row>
    <row r="1739" spans="24:24" x14ac:dyDescent="0.2">
      <c r="X1739" s="24"/>
    </row>
    <row r="1741" spans="24:24" x14ac:dyDescent="0.2">
      <c r="X1741" s="24"/>
    </row>
    <row r="1743" spans="24:24" x14ac:dyDescent="0.2">
      <c r="X1743" s="24"/>
    </row>
    <row r="1745" spans="24:24" x14ac:dyDescent="0.2">
      <c r="X1745" s="24"/>
    </row>
    <row r="1747" spans="24:24" x14ac:dyDescent="0.2">
      <c r="X1747" s="24"/>
    </row>
    <row r="1749" spans="24:24" x14ac:dyDescent="0.2">
      <c r="X1749" s="24"/>
    </row>
    <row r="1751" spans="24:24" x14ac:dyDescent="0.2">
      <c r="X1751" s="24"/>
    </row>
    <row r="1753" spans="24:24" x14ac:dyDescent="0.2">
      <c r="X1753" s="24"/>
    </row>
    <row r="1755" spans="24:24" x14ac:dyDescent="0.2">
      <c r="X1755" s="24"/>
    </row>
    <row r="1757" spans="24:24" x14ac:dyDescent="0.2">
      <c r="X1757" s="24"/>
    </row>
    <row r="1759" spans="24:24" x14ac:dyDescent="0.2">
      <c r="X1759" s="24"/>
    </row>
    <row r="1761" spans="24:24" x14ac:dyDescent="0.2">
      <c r="X1761" s="24"/>
    </row>
    <row r="1763" spans="24:24" x14ac:dyDescent="0.2">
      <c r="X1763" s="24"/>
    </row>
    <row r="1765" spans="24:24" x14ac:dyDescent="0.2">
      <c r="X1765" s="24"/>
    </row>
    <row r="1767" spans="24:24" x14ac:dyDescent="0.2">
      <c r="X1767" s="24"/>
    </row>
    <row r="1769" spans="24:24" x14ac:dyDescent="0.2">
      <c r="X1769" s="24"/>
    </row>
    <row r="1771" spans="24:24" x14ac:dyDescent="0.2">
      <c r="X1771" s="24"/>
    </row>
    <row r="1773" spans="24:24" x14ac:dyDescent="0.2">
      <c r="X1773" s="24"/>
    </row>
    <row r="1775" spans="24:24" x14ac:dyDescent="0.2">
      <c r="X1775" s="24"/>
    </row>
    <row r="1777" spans="24:24" x14ac:dyDescent="0.2">
      <c r="X1777" s="24"/>
    </row>
    <row r="1779" spans="24:24" x14ac:dyDescent="0.2">
      <c r="X1779" s="24"/>
    </row>
    <row r="1781" spans="24:24" x14ac:dyDescent="0.2">
      <c r="X1781" s="24"/>
    </row>
    <row r="1783" spans="24:24" x14ac:dyDescent="0.2">
      <c r="X1783" s="24"/>
    </row>
    <row r="1785" spans="24:24" x14ac:dyDescent="0.2">
      <c r="X1785" s="24"/>
    </row>
    <row r="1787" spans="24:24" x14ac:dyDescent="0.2">
      <c r="X1787" s="24"/>
    </row>
    <row r="1789" spans="24:24" x14ac:dyDescent="0.2">
      <c r="X1789" s="24"/>
    </row>
    <row r="1791" spans="24:24" x14ac:dyDescent="0.2">
      <c r="X1791" s="24"/>
    </row>
    <row r="1793" spans="24:24" x14ac:dyDescent="0.2">
      <c r="X1793" s="24"/>
    </row>
    <row r="1795" spans="24:24" x14ac:dyDescent="0.2">
      <c r="X1795" s="24"/>
    </row>
    <row r="1797" spans="24:24" x14ac:dyDescent="0.2">
      <c r="X1797" s="24"/>
    </row>
    <row r="1799" spans="24:24" x14ac:dyDescent="0.2">
      <c r="X1799" s="24"/>
    </row>
    <row r="1801" spans="24:24" x14ac:dyDescent="0.2">
      <c r="X1801" s="24"/>
    </row>
    <row r="1803" spans="24:24" x14ac:dyDescent="0.2">
      <c r="X1803" s="24"/>
    </row>
    <row r="1805" spans="24:24" x14ac:dyDescent="0.2">
      <c r="X1805" s="24"/>
    </row>
    <row r="1807" spans="24:24" x14ac:dyDescent="0.2">
      <c r="X1807" s="24"/>
    </row>
    <row r="1809" spans="24:24" x14ac:dyDescent="0.2">
      <c r="X1809" s="24"/>
    </row>
    <row r="1811" spans="24:24" x14ac:dyDescent="0.2">
      <c r="X1811" s="24"/>
    </row>
    <row r="1813" spans="24:24" x14ac:dyDescent="0.2">
      <c r="X1813" s="24"/>
    </row>
    <row r="1815" spans="24:24" x14ac:dyDescent="0.2">
      <c r="X1815" s="24"/>
    </row>
    <row r="1817" spans="24:24" x14ac:dyDescent="0.2">
      <c r="X1817" s="24"/>
    </row>
    <row r="1819" spans="24:24" x14ac:dyDescent="0.2">
      <c r="X1819" s="24"/>
    </row>
    <row r="1821" spans="24:24" x14ac:dyDescent="0.2">
      <c r="X1821" s="24"/>
    </row>
    <row r="1823" spans="24:24" x14ac:dyDescent="0.2">
      <c r="X1823" s="24"/>
    </row>
    <row r="1825" spans="24:24" x14ac:dyDescent="0.2">
      <c r="X1825" s="24"/>
    </row>
    <row r="1827" spans="24:24" x14ac:dyDescent="0.2">
      <c r="X1827" s="24"/>
    </row>
    <row r="1829" spans="24:24" x14ac:dyDescent="0.2">
      <c r="X1829" s="24"/>
    </row>
    <row r="1831" spans="24:24" x14ac:dyDescent="0.2">
      <c r="X1831" s="24"/>
    </row>
    <row r="1833" spans="24:24" x14ac:dyDescent="0.2">
      <c r="X1833" s="24"/>
    </row>
    <row r="1835" spans="24:24" x14ac:dyDescent="0.2">
      <c r="X1835" s="24"/>
    </row>
    <row r="1837" spans="24:24" x14ac:dyDescent="0.2">
      <c r="X1837" s="24"/>
    </row>
    <row r="1839" spans="24:24" x14ac:dyDescent="0.2">
      <c r="X1839" s="24"/>
    </row>
    <row r="1841" spans="24:24" x14ac:dyDescent="0.2">
      <c r="X1841" s="24"/>
    </row>
    <row r="1843" spans="24:24" x14ac:dyDescent="0.2">
      <c r="X1843" s="24"/>
    </row>
    <row r="1845" spans="24:24" x14ac:dyDescent="0.2">
      <c r="X1845" s="24"/>
    </row>
    <row r="1847" spans="24:24" x14ac:dyDescent="0.2">
      <c r="X1847" s="24"/>
    </row>
    <row r="1849" spans="24:24" x14ac:dyDescent="0.2">
      <c r="X1849" s="24"/>
    </row>
    <row r="1851" spans="24:24" x14ac:dyDescent="0.2">
      <c r="X1851" s="24"/>
    </row>
    <row r="1853" spans="24:24" x14ac:dyDescent="0.2">
      <c r="X1853" s="24"/>
    </row>
    <row r="1855" spans="24:24" x14ac:dyDescent="0.2">
      <c r="X1855" s="24"/>
    </row>
    <row r="1857" spans="24:24" x14ac:dyDescent="0.2">
      <c r="X1857" s="24"/>
    </row>
    <row r="1859" spans="24:24" x14ac:dyDescent="0.2">
      <c r="X1859" s="24"/>
    </row>
    <row r="1861" spans="24:24" x14ac:dyDescent="0.2">
      <c r="X1861" s="24"/>
    </row>
    <row r="1863" spans="24:24" x14ac:dyDescent="0.2">
      <c r="X1863" s="24"/>
    </row>
    <row r="1865" spans="24:24" x14ac:dyDescent="0.2">
      <c r="X1865" s="24"/>
    </row>
    <row r="1867" spans="24:24" x14ac:dyDescent="0.2">
      <c r="X1867" s="24"/>
    </row>
    <row r="1869" spans="24:24" x14ac:dyDescent="0.2">
      <c r="X1869" s="24"/>
    </row>
    <row r="1871" spans="24:24" x14ac:dyDescent="0.2">
      <c r="X1871" s="24"/>
    </row>
    <row r="1873" spans="24:24" x14ac:dyDescent="0.2">
      <c r="X1873" s="24"/>
    </row>
    <row r="1875" spans="24:24" x14ac:dyDescent="0.2">
      <c r="X1875" s="24"/>
    </row>
    <row r="1877" spans="24:24" x14ac:dyDescent="0.2">
      <c r="X1877" s="24"/>
    </row>
    <row r="1879" spans="24:24" x14ac:dyDescent="0.2">
      <c r="X1879" s="24"/>
    </row>
    <row r="1881" spans="24:24" x14ac:dyDescent="0.2">
      <c r="X1881" s="24"/>
    </row>
    <row r="1883" spans="24:24" x14ac:dyDescent="0.2">
      <c r="X1883" s="24"/>
    </row>
    <row r="1885" spans="24:24" x14ac:dyDescent="0.2">
      <c r="X1885" s="24"/>
    </row>
    <row r="1887" spans="24:24" x14ac:dyDescent="0.2">
      <c r="X1887" s="24"/>
    </row>
    <row r="1889" spans="24:24" x14ac:dyDescent="0.2">
      <c r="X1889" s="24"/>
    </row>
    <row r="1891" spans="24:24" x14ac:dyDescent="0.2">
      <c r="X1891" s="24"/>
    </row>
    <row r="1893" spans="24:24" x14ac:dyDescent="0.2">
      <c r="X1893" s="24"/>
    </row>
    <row r="1895" spans="24:24" x14ac:dyDescent="0.2">
      <c r="X1895" s="24"/>
    </row>
    <row r="1897" spans="24:24" x14ac:dyDescent="0.2">
      <c r="X1897" s="24"/>
    </row>
    <row r="1899" spans="24:24" x14ac:dyDescent="0.2">
      <c r="X1899" s="24"/>
    </row>
    <row r="1901" spans="24:24" x14ac:dyDescent="0.2">
      <c r="X1901" s="24"/>
    </row>
    <row r="1903" spans="24:24" x14ac:dyDescent="0.2">
      <c r="X1903" s="24"/>
    </row>
    <row r="1905" spans="24:24" x14ac:dyDescent="0.2">
      <c r="X1905" s="24"/>
    </row>
    <row r="1907" spans="24:24" x14ac:dyDescent="0.2">
      <c r="X1907" s="24"/>
    </row>
    <row r="1909" spans="24:24" x14ac:dyDescent="0.2">
      <c r="X1909" s="24"/>
    </row>
    <row r="1911" spans="24:24" x14ac:dyDescent="0.2">
      <c r="X1911" s="24"/>
    </row>
    <row r="1913" spans="24:24" x14ac:dyDescent="0.2">
      <c r="X1913" s="24"/>
    </row>
    <row r="1915" spans="24:24" x14ac:dyDescent="0.2">
      <c r="X1915" s="24"/>
    </row>
    <row r="1917" spans="24:24" x14ac:dyDescent="0.2">
      <c r="X1917" s="24"/>
    </row>
    <row r="1919" spans="24:24" x14ac:dyDescent="0.2">
      <c r="X1919" s="24"/>
    </row>
    <row r="1921" spans="24:24" x14ac:dyDescent="0.2">
      <c r="X1921" s="24"/>
    </row>
    <row r="1923" spans="24:24" x14ac:dyDescent="0.2">
      <c r="X1923" s="24"/>
    </row>
    <row r="1925" spans="24:24" x14ac:dyDescent="0.2">
      <c r="X1925" s="24"/>
    </row>
    <row r="1927" spans="24:24" x14ac:dyDescent="0.2">
      <c r="X1927" s="24"/>
    </row>
    <row r="1929" spans="24:24" x14ac:dyDescent="0.2">
      <c r="X1929" s="24"/>
    </row>
    <row r="1931" spans="24:24" x14ac:dyDescent="0.2">
      <c r="X1931" s="24"/>
    </row>
    <row r="1933" spans="24:24" x14ac:dyDescent="0.2">
      <c r="X1933" s="24"/>
    </row>
    <row r="1935" spans="24:24" x14ac:dyDescent="0.2">
      <c r="X1935" s="24"/>
    </row>
    <row r="1937" spans="24:24" x14ac:dyDescent="0.2">
      <c r="X1937" s="24"/>
    </row>
    <row r="1939" spans="24:24" x14ac:dyDescent="0.2">
      <c r="X1939" s="24"/>
    </row>
    <row r="1941" spans="24:24" x14ac:dyDescent="0.2">
      <c r="X1941" s="24"/>
    </row>
    <row r="1943" spans="24:24" x14ac:dyDescent="0.2">
      <c r="X1943" s="24"/>
    </row>
    <row r="1945" spans="24:24" x14ac:dyDescent="0.2">
      <c r="X1945" s="24"/>
    </row>
    <row r="1947" spans="24:24" x14ac:dyDescent="0.2">
      <c r="X1947" s="24"/>
    </row>
    <row r="1949" spans="24:24" x14ac:dyDescent="0.2">
      <c r="X1949" s="24"/>
    </row>
    <row r="1951" spans="24:24" x14ac:dyDescent="0.2">
      <c r="X1951" s="24"/>
    </row>
    <row r="1953" spans="24:24" x14ac:dyDescent="0.2">
      <c r="X1953" s="24"/>
    </row>
    <row r="1955" spans="24:24" x14ac:dyDescent="0.2">
      <c r="X1955" s="24"/>
    </row>
    <row r="1957" spans="24:24" x14ac:dyDescent="0.2">
      <c r="X1957" s="24"/>
    </row>
    <row r="1959" spans="24:24" x14ac:dyDescent="0.2">
      <c r="X1959" s="24"/>
    </row>
    <row r="1961" spans="24:24" x14ac:dyDescent="0.2">
      <c r="X1961" s="24"/>
    </row>
    <row r="1963" spans="24:24" x14ac:dyDescent="0.2">
      <c r="X1963" s="24"/>
    </row>
    <row r="1965" spans="24:24" x14ac:dyDescent="0.2">
      <c r="X1965" s="24"/>
    </row>
    <row r="1967" spans="24:24" x14ac:dyDescent="0.2">
      <c r="X1967" s="24"/>
    </row>
    <row r="1969" spans="24:24" x14ac:dyDescent="0.2">
      <c r="X1969" s="24"/>
    </row>
    <row r="1971" spans="24:24" x14ac:dyDescent="0.2">
      <c r="X1971" s="24"/>
    </row>
    <row r="1973" spans="24:24" x14ac:dyDescent="0.2">
      <c r="X1973" s="24"/>
    </row>
    <row r="1975" spans="24:24" x14ac:dyDescent="0.2">
      <c r="X1975" s="24"/>
    </row>
    <row r="1977" spans="24:24" x14ac:dyDescent="0.2">
      <c r="X1977" s="24"/>
    </row>
    <row r="1979" spans="24:24" x14ac:dyDescent="0.2">
      <c r="X1979" s="24"/>
    </row>
    <row r="1981" spans="24:24" x14ac:dyDescent="0.2">
      <c r="X1981" s="24"/>
    </row>
    <row r="1983" spans="24:24" x14ac:dyDescent="0.2">
      <c r="X1983" s="24"/>
    </row>
    <row r="1985" spans="24:24" x14ac:dyDescent="0.2">
      <c r="X1985" s="24"/>
    </row>
    <row r="1987" spans="24:24" x14ac:dyDescent="0.2">
      <c r="X1987" s="24"/>
    </row>
    <row r="1989" spans="24:24" x14ac:dyDescent="0.2">
      <c r="X1989" s="24"/>
    </row>
    <row r="1991" spans="24:24" x14ac:dyDescent="0.2">
      <c r="X1991" s="24"/>
    </row>
    <row r="1993" spans="24:24" x14ac:dyDescent="0.2">
      <c r="X1993" s="24"/>
    </row>
    <row r="1995" spans="24:24" x14ac:dyDescent="0.2">
      <c r="X1995" s="24"/>
    </row>
    <row r="1997" spans="24:24" x14ac:dyDescent="0.2">
      <c r="X1997" s="24"/>
    </row>
    <row r="1999" spans="24:24" x14ac:dyDescent="0.2">
      <c r="X1999" s="24"/>
    </row>
    <row r="2001" spans="24:24" x14ac:dyDescent="0.2">
      <c r="X2001" s="24"/>
    </row>
    <row r="2003" spans="24:24" x14ac:dyDescent="0.2">
      <c r="X2003" s="24"/>
    </row>
    <row r="2005" spans="24:24" x14ac:dyDescent="0.2">
      <c r="X2005" s="24"/>
    </row>
    <row r="2007" spans="24:24" x14ac:dyDescent="0.2">
      <c r="X2007" s="24"/>
    </row>
    <row r="2009" spans="24:24" x14ac:dyDescent="0.2">
      <c r="X2009" s="24"/>
    </row>
    <row r="2011" spans="24:24" x14ac:dyDescent="0.2">
      <c r="X2011" s="24"/>
    </row>
    <row r="2013" spans="24:24" x14ac:dyDescent="0.2">
      <c r="X2013" s="24"/>
    </row>
    <row r="2015" spans="24:24" x14ac:dyDescent="0.2">
      <c r="X2015" s="24"/>
    </row>
    <row r="2017" spans="24:24" x14ac:dyDescent="0.2">
      <c r="X2017" s="24"/>
    </row>
    <row r="2019" spans="24:24" x14ac:dyDescent="0.2">
      <c r="X2019" s="24"/>
    </row>
    <row r="2021" spans="24:24" x14ac:dyDescent="0.2">
      <c r="X2021" s="24"/>
    </row>
    <row r="2023" spans="24:24" x14ac:dyDescent="0.2">
      <c r="X2023" s="24"/>
    </row>
    <row r="2025" spans="24:24" x14ac:dyDescent="0.2">
      <c r="X2025" s="24"/>
    </row>
    <row r="2027" spans="24:24" x14ac:dyDescent="0.2">
      <c r="X2027" s="24"/>
    </row>
    <row r="2029" spans="24:24" x14ac:dyDescent="0.2">
      <c r="X2029" s="24"/>
    </row>
    <row r="2031" spans="24:24" x14ac:dyDescent="0.2">
      <c r="X2031" s="24"/>
    </row>
    <row r="2033" spans="24:24" x14ac:dyDescent="0.2">
      <c r="X2033" s="24"/>
    </row>
    <row r="2035" spans="24:24" x14ac:dyDescent="0.2">
      <c r="X2035" s="24"/>
    </row>
    <row r="2037" spans="24:24" x14ac:dyDescent="0.2">
      <c r="X2037" s="24"/>
    </row>
    <row r="2039" spans="24:24" x14ac:dyDescent="0.2">
      <c r="X2039" s="24"/>
    </row>
    <row r="2041" spans="24:24" x14ac:dyDescent="0.2">
      <c r="X2041" s="24"/>
    </row>
    <row r="2043" spans="24:24" x14ac:dyDescent="0.2">
      <c r="X2043" s="24"/>
    </row>
    <row r="2045" spans="24:24" x14ac:dyDescent="0.2">
      <c r="X2045" s="24"/>
    </row>
    <row r="2047" spans="24:24" x14ac:dyDescent="0.2">
      <c r="X2047" s="24"/>
    </row>
    <row r="2049" spans="24:24" x14ac:dyDescent="0.2">
      <c r="X2049" s="24"/>
    </row>
    <row r="2051" spans="24:24" x14ac:dyDescent="0.2">
      <c r="X2051" s="24"/>
    </row>
    <row r="2053" spans="24:24" x14ac:dyDescent="0.2">
      <c r="X2053" s="24"/>
    </row>
    <row r="2055" spans="24:24" x14ac:dyDescent="0.2">
      <c r="X2055" s="24"/>
    </row>
    <row r="2057" spans="24:24" x14ac:dyDescent="0.2">
      <c r="X2057" s="24"/>
    </row>
    <row r="2059" spans="24:24" x14ac:dyDescent="0.2">
      <c r="X2059" s="24"/>
    </row>
    <row r="2061" spans="24:24" x14ac:dyDescent="0.2">
      <c r="X2061" s="24"/>
    </row>
    <row r="2063" spans="24:24" x14ac:dyDescent="0.2">
      <c r="X2063" s="24"/>
    </row>
    <row r="2065" spans="24:24" x14ac:dyDescent="0.2">
      <c r="X2065" s="24"/>
    </row>
    <row r="2067" spans="24:24" x14ac:dyDescent="0.2">
      <c r="X2067" s="24"/>
    </row>
    <row r="2069" spans="24:24" x14ac:dyDescent="0.2">
      <c r="X2069" s="24"/>
    </row>
    <row r="2071" spans="24:24" x14ac:dyDescent="0.2">
      <c r="X2071" s="24"/>
    </row>
    <row r="2073" spans="24:24" x14ac:dyDescent="0.2">
      <c r="X2073" s="24"/>
    </row>
    <row r="2075" spans="24:24" x14ac:dyDescent="0.2">
      <c r="X2075" s="24"/>
    </row>
    <row r="2077" spans="24:24" x14ac:dyDescent="0.2">
      <c r="X2077" s="24"/>
    </row>
    <row r="2079" spans="24:24" x14ac:dyDescent="0.2">
      <c r="X2079" s="24"/>
    </row>
    <row r="2081" spans="24:24" x14ac:dyDescent="0.2">
      <c r="X2081" s="24"/>
    </row>
    <row r="2083" spans="24:24" x14ac:dyDescent="0.2">
      <c r="X2083" s="24"/>
    </row>
    <row r="2085" spans="24:24" x14ac:dyDescent="0.2">
      <c r="X2085" s="24"/>
    </row>
    <row r="2087" spans="24:24" x14ac:dyDescent="0.2">
      <c r="X2087" s="24"/>
    </row>
    <row r="2089" spans="24:24" x14ac:dyDescent="0.2">
      <c r="X2089" s="24"/>
    </row>
    <row r="2091" spans="24:24" x14ac:dyDescent="0.2">
      <c r="X2091" s="24"/>
    </row>
    <row r="2093" spans="24:24" x14ac:dyDescent="0.2">
      <c r="X2093" s="24"/>
    </row>
    <row r="2095" spans="24:24" x14ac:dyDescent="0.2">
      <c r="X2095" s="24"/>
    </row>
    <row r="2097" spans="24:24" x14ac:dyDescent="0.2">
      <c r="X2097" s="24"/>
    </row>
    <row r="2099" spans="24:24" x14ac:dyDescent="0.2">
      <c r="X2099" s="24"/>
    </row>
    <row r="2101" spans="24:24" x14ac:dyDescent="0.2">
      <c r="X2101" s="24"/>
    </row>
    <row r="2103" spans="24:24" x14ac:dyDescent="0.2">
      <c r="X2103" s="24"/>
    </row>
    <row r="2105" spans="24:24" x14ac:dyDescent="0.2">
      <c r="X2105" s="2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661"/>
  <sheetViews>
    <sheetView zoomScale="95" zoomScaleNormal="95" zoomScalePageLayoutView="95" workbookViewId="0">
      <selection activeCell="B3" sqref="B3:W9"/>
    </sheetView>
  </sheetViews>
  <sheetFormatPr baseColWidth="10" defaultRowHeight="16" x14ac:dyDescent="0.2"/>
  <cols>
    <col min="2" max="2" width="13.33203125" style="17" bestFit="1" customWidth="1"/>
    <col min="3" max="8" width="10.83203125" style="17"/>
    <col min="9" max="11" width="10.83203125" style="5"/>
    <col min="12" max="21" width="10.83203125" style="17"/>
    <col min="22" max="27" width="10.83203125" style="5"/>
  </cols>
  <sheetData>
    <row r="1" spans="2:26" x14ac:dyDescent="0.2">
      <c r="M1" s="42"/>
      <c r="N1" s="42"/>
      <c r="O1" s="42"/>
      <c r="P1" s="42"/>
      <c r="Q1" s="42"/>
      <c r="R1" s="42"/>
      <c r="S1" s="42"/>
      <c r="T1" s="42"/>
      <c r="U1" s="42"/>
      <c r="V1" s="34"/>
      <c r="W1" s="34"/>
      <c r="X1" s="34"/>
    </row>
    <row r="2" spans="2:26" x14ac:dyDescent="0.2">
      <c r="C2" s="5"/>
      <c r="D2"/>
      <c r="E2"/>
      <c r="F2"/>
      <c r="G2"/>
      <c r="H2"/>
      <c r="I2"/>
      <c r="J2"/>
      <c r="K2"/>
      <c r="L2" s="41"/>
      <c r="M2" s="42"/>
      <c r="N2"/>
      <c r="O2"/>
      <c r="P2"/>
      <c r="Q2"/>
      <c r="R2"/>
      <c r="S2"/>
      <c r="T2"/>
      <c r="U2"/>
      <c r="V2"/>
      <c r="W2"/>
      <c r="X2" s="34"/>
    </row>
    <row r="3" spans="2:26" x14ac:dyDescent="0.2">
      <c r="B3" s="123" t="s">
        <v>76</v>
      </c>
      <c r="C3" s="109">
        <v>19.23</v>
      </c>
      <c r="D3" s="109">
        <v>20.3</v>
      </c>
      <c r="E3" s="109">
        <v>21.51</v>
      </c>
      <c r="F3" s="109">
        <v>11.27</v>
      </c>
      <c r="G3" s="109">
        <v>12.14</v>
      </c>
      <c r="H3" s="109">
        <v>13.13</v>
      </c>
      <c r="I3" s="109">
        <v>13.41</v>
      </c>
      <c r="J3" s="109">
        <v>7.23</v>
      </c>
      <c r="K3" s="110">
        <v>10.82</v>
      </c>
      <c r="L3" s="41"/>
      <c r="M3" s="124" t="s">
        <v>75</v>
      </c>
      <c r="N3" s="109">
        <v>33.270000000000003</v>
      </c>
      <c r="O3" s="109">
        <v>43.89</v>
      </c>
      <c r="P3" s="109">
        <v>29.43</v>
      </c>
      <c r="Q3" s="109">
        <v>22.5</v>
      </c>
      <c r="R3" s="109">
        <v>31.97</v>
      </c>
      <c r="S3" s="109">
        <v>30.152000000000001</v>
      </c>
      <c r="T3" s="109">
        <v>17.09</v>
      </c>
      <c r="U3" s="109">
        <v>29.18</v>
      </c>
      <c r="V3" s="109">
        <v>21.1</v>
      </c>
      <c r="W3" s="110">
        <v>28.14</v>
      </c>
      <c r="X3" s="34"/>
    </row>
    <row r="4" spans="2:26" x14ac:dyDescent="0.2">
      <c r="B4" s="51" t="s">
        <v>39</v>
      </c>
      <c r="C4" s="35">
        <v>0.6</v>
      </c>
      <c r="D4" s="35">
        <v>0.71599999999999997</v>
      </c>
      <c r="E4" s="35">
        <v>0.59699999999999998</v>
      </c>
      <c r="F4" s="35">
        <v>0.51</v>
      </c>
      <c r="G4" s="35">
        <v>0.58899999999999997</v>
      </c>
      <c r="H4" s="35">
        <v>0.623</v>
      </c>
      <c r="I4" s="37">
        <v>0.63600000000000001</v>
      </c>
      <c r="J4" s="37">
        <v>0.34300000000000003</v>
      </c>
      <c r="K4" s="89">
        <v>0.48</v>
      </c>
      <c r="L4" s="41"/>
      <c r="M4" s="51" t="s">
        <v>39</v>
      </c>
      <c r="N4" s="42">
        <v>1.2809999999999999</v>
      </c>
      <c r="O4" s="42">
        <v>1.6259999999999999</v>
      </c>
      <c r="P4" s="42">
        <v>1.1319999999999999</v>
      </c>
      <c r="Q4" s="42">
        <v>0.81</v>
      </c>
      <c r="R4" s="42">
        <v>1.173</v>
      </c>
      <c r="S4" s="42">
        <v>0.96499999999999997</v>
      </c>
      <c r="T4" s="42">
        <v>0.46500000000000002</v>
      </c>
      <c r="U4" s="42">
        <v>0.98699999999999999</v>
      </c>
      <c r="V4" s="42">
        <v>0.747</v>
      </c>
      <c r="W4" s="90">
        <v>0.61599999999999999</v>
      </c>
      <c r="X4" s="34"/>
    </row>
    <row r="5" spans="2:26" s="31" customFormat="1" x14ac:dyDescent="0.2">
      <c r="B5" s="51" t="s">
        <v>48</v>
      </c>
      <c r="C5" s="38">
        <v>1790</v>
      </c>
      <c r="D5" s="38">
        <v>1830</v>
      </c>
      <c r="E5" s="38">
        <v>1835</v>
      </c>
      <c r="F5" s="38">
        <v>1790</v>
      </c>
      <c r="G5" s="38">
        <v>1895</v>
      </c>
      <c r="H5" s="38">
        <v>1830</v>
      </c>
      <c r="I5" s="38">
        <v>1840</v>
      </c>
      <c r="J5" s="38">
        <v>1920</v>
      </c>
      <c r="K5" s="75">
        <v>1875</v>
      </c>
      <c r="L5" s="42"/>
      <c r="M5" s="51" t="s">
        <v>48</v>
      </c>
      <c r="N5" s="39">
        <v>1895</v>
      </c>
      <c r="O5" s="39">
        <v>1830</v>
      </c>
      <c r="P5" s="39">
        <v>1835</v>
      </c>
      <c r="Q5" s="39">
        <v>1920</v>
      </c>
      <c r="R5" s="39">
        <v>1860</v>
      </c>
      <c r="S5" s="39">
        <v>1895</v>
      </c>
      <c r="T5" s="39">
        <v>1830</v>
      </c>
      <c r="U5" s="39">
        <v>1835</v>
      </c>
      <c r="V5" s="39">
        <v>1840</v>
      </c>
      <c r="W5" s="40">
        <v>1860</v>
      </c>
      <c r="X5" s="34"/>
      <c r="Y5" s="34"/>
      <c r="Z5" s="34"/>
    </row>
    <row r="6" spans="2:26" x14ac:dyDescent="0.2">
      <c r="B6" s="51" t="s">
        <v>47</v>
      </c>
      <c r="C6" s="35">
        <v>19</v>
      </c>
      <c r="D6" s="35">
        <v>20</v>
      </c>
      <c r="E6" s="35">
        <v>21</v>
      </c>
      <c r="F6" s="35">
        <v>12</v>
      </c>
      <c r="G6" s="35">
        <v>11.5</v>
      </c>
      <c r="H6" s="35">
        <v>14</v>
      </c>
      <c r="I6" s="37">
        <v>14</v>
      </c>
      <c r="J6" s="37">
        <v>8</v>
      </c>
      <c r="K6" s="89">
        <v>12</v>
      </c>
      <c r="L6" s="41"/>
      <c r="M6" s="51" t="s">
        <v>47</v>
      </c>
      <c r="N6" s="42">
        <v>20</v>
      </c>
      <c r="O6" s="42">
        <v>43</v>
      </c>
      <c r="P6" s="42">
        <v>16</v>
      </c>
      <c r="Q6" s="42">
        <v>20</v>
      </c>
      <c r="R6" s="42">
        <v>21</v>
      </c>
      <c r="S6" s="42">
        <v>28</v>
      </c>
      <c r="T6" s="42">
        <v>14</v>
      </c>
      <c r="U6" s="42">
        <v>24</v>
      </c>
      <c r="V6" s="42">
        <v>20</v>
      </c>
      <c r="W6" s="90">
        <v>25</v>
      </c>
      <c r="X6" s="34"/>
    </row>
    <row r="7" spans="2:26" x14ac:dyDescent="0.2">
      <c r="B7" s="51" t="s">
        <v>17</v>
      </c>
      <c r="C7" s="35">
        <f>(C5-C6)/1000</f>
        <v>1.7709999999999999</v>
      </c>
      <c r="D7" s="35">
        <f t="shared" ref="D7:K7" si="0">(D5-D6)/1000</f>
        <v>1.81</v>
      </c>
      <c r="E7" s="35">
        <f t="shared" si="0"/>
        <v>1.8140000000000001</v>
      </c>
      <c r="F7" s="35">
        <f t="shared" si="0"/>
        <v>1.778</v>
      </c>
      <c r="G7" s="35">
        <f t="shared" si="0"/>
        <v>1.8835</v>
      </c>
      <c r="H7" s="35">
        <f t="shared" si="0"/>
        <v>1.8160000000000001</v>
      </c>
      <c r="I7" s="35">
        <f t="shared" si="0"/>
        <v>1.8260000000000001</v>
      </c>
      <c r="J7" s="35">
        <f t="shared" si="0"/>
        <v>1.9119999999999999</v>
      </c>
      <c r="K7" s="74">
        <f t="shared" si="0"/>
        <v>1.863</v>
      </c>
      <c r="L7" s="41"/>
      <c r="M7" s="51" t="s">
        <v>17</v>
      </c>
      <c r="N7" s="42">
        <f>(N5-N6)/1000</f>
        <v>1.875</v>
      </c>
      <c r="O7" s="42">
        <f t="shared" ref="O7:W7" si="1">(O5-O6)/1000</f>
        <v>1.7869999999999999</v>
      </c>
      <c r="P7" s="42">
        <f t="shared" si="1"/>
        <v>1.819</v>
      </c>
      <c r="Q7" s="42">
        <f t="shared" si="1"/>
        <v>1.9</v>
      </c>
      <c r="R7" s="42">
        <f t="shared" si="1"/>
        <v>1.839</v>
      </c>
      <c r="S7" s="42">
        <f t="shared" si="1"/>
        <v>1.867</v>
      </c>
      <c r="T7" s="42">
        <f t="shared" si="1"/>
        <v>1.8160000000000001</v>
      </c>
      <c r="U7" s="42">
        <f t="shared" si="1"/>
        <v>1.8109999999999999</v>
      </c>
      <c r="V7" s="42">
        <f t="shared" si="1"/>
        <v>1.82</v>
      </c>
      <c r="W7" s="90">
        <f t="shared" si="1"/>
        <v>1.835</v>
      </c>
      <c r="X7" s="34"/>
    </row>
    <row r="8" spans="2:26" x14ac:dyDescent="0.2">
      <c r="B8" s="51" t="s">
        <v>20</v>
      </c>
      <c r="C8" s="36">
        <f t="shared" ref="C8:K8" si="2">SLOPE(C11:C311,$B11:$B311)</f>
        <v>-2.1318305075795903</v>
      </c>
      <c r="D8" s="36">
        <f t="shared" si="2"/>
        <v>-2.334657516886316</v>
      </c>
      <c r="E8" s="36">
        <f t="shared" si="2"/>
        <v>-1.2793015423203011</v>
      </c>
      <c r="F8" s="36">
        <f t="shared" si="2"/>
        <v>-2.52562414028294</v>
      </c>
      <c r="G8" s="36">
        <f t="shared" si="2"/>
        <v>-2.7604438978240311</v>
      </c>
      <c r="H8" s="36">
        <f t="shared" si="2"/>
        <v>-3.6578257376075332</v>
      </c>
      <c r="I8" s="36">
        <f t="shared" si="2"/>
        <v>-4.0299006138478779</v>
      </c>
      <c r="J8" s="36">
        <f t="shared" si="2"/>
        <v>-2.9660799806384897</v>
      </c>
      <c r="K8" s="76">
        <f t="shared" si="2"/>
        <v>-3.0998703570878501</v>
      </c>
      <c r="L8" s="41"/>
      <c r="M8" s="51" t="s">
        <v>20</v>
      </c>
      <c r="N8" s="30">
        <f t="shared" ref="N8:W8" si="3">SLOPE(N11:N161,$M11:$M161)</f>
        <v>-4.6682570233530836</v>
      </c>
      <c r="O8" s="30">
        <f t="shared" si="3"/>
        <v>-4.1917056117113969</v>
      </c>
      <c r="P8" s="30">
        <f t="shared" si="3"/>
        <v>-7.1346540606483133</v>
      </c>
      <c r="Q8" s="30">
        <f t="shared" si="3"/>
        <v>-2.2152203903799235</v>
      </c>
      <c r="R8" s="30">
        <f t="shared" si="3"/>
        <v>-2.0890153363541306</v>
      </c>
      <c r="S8" s="30">
        <f t="shared" si="3"/>
        <v>-3.5482262112234224</v>
      </c>
      <c r="T8" s="30">
        <f t="shared" si="3"/>
        <v>-2.8551123387940045</v>
      </c>
      <c r="U8" s="30">
        <f t="shared" si="3"/>
        <v>-4.2248815963750461</v>
      </c>
      <c r="V8" s="30">
        <f t="shared" si="3"/>
        <v>-4.4298966190310232</v>
      </c>
      <c r="W8" s="91">
        <f t="shared" si="3"/>
        <v>-2.3875732659463234</v>
      </c>
      <c r="X8" s="34"/>
    </row>
    <row r="9" spans="2:26" x14ac:dyDescent="0.2">
      <c r="B9" s="54" t="s">
        <v>46</v>
      </c>
      <c r="C9" s="36">
        <f>(-1*C7*(C8-(-0.89))*5.31)/100</f>
        <v>0.1167818651158354</v>
      </c>
      <c r="D9" s="36">
        <f>(-1*D7*(D8-(-0.89))*5.31)/100</f>
        <v>0.13884747860546068</v>
      </c>
      <c r="E9" s="43">
        <f>(-1*E7*(E8-(-0.92))*5.31)/100</f>
        <v>3.4609146181535287E-2</v>
      </c>
      <c r="F9" s="36">
        <f>(-1*F7*(F8-(-1.08))*5.31)/100</f>
        <v>0.13648397720756486</v>
      </c>
      <c r="G9" s="36">
        <f>(-1*G7*(G8-(-1.08))*5.31)/100</f>
        <v>0.16806766393038797</v>
      </c>
      <c r="H9" s="36">
        <f>(-1*H7*(H8-(-1.08))*5.31)/100</f>
        <v>0.24857870474719937</v>
      </c>
      <c r="I9" s="36">
        <f>(-1*I7*(I8-(-1.33))*5.31)/100</f>
        <v>0.26178398345905857</v>
      </c>
      <c r="J9" s="36">
        <f>(-1*J7*(J8-(-1.33))*5.31)/100</f>
        <v>0.16610661941028002</v>
      </c>
      <c r="K9" s="76">
        <f>(-1*K7*(K8-(-1.33))*5.31)/100</f>
        <v>0.17508495603602267</v>
      </c>
      <c r="L9" s="41"/>
      <c r="M9" s="54" t="s">
        <v>46</v>
      </c>
      <c r="N9" s="42">
        <f>(-1*N7*(N8-(-1.4))*5.31)/100</f>
        <v>0.32539583988759135</v>
      </c>
      <c r="O9" s="42">
        <f>(-1*O7*(O8-(-1.4))*5.31)/100</f>
        <v>0.26490410798361091</v>
      </c>
      <c r="P9" s="42">
        <f>(-1*P7*(P8-(-1.4))*5.31)/100</f>
        <v>0.55390392759855378</v>
      </c>
      <c r="Q9" s="42">
        <f>(-1*Q7*(Q8-(-1.4))*5.31)/100</f>
        <v>8.2247585185430475E-2</v>
      </c>
      <c r="R9" s="42">
        <f>(-1*R7*(R8-(-1.4))*5.31)/100</f>
        <v>6.7282967708783573E-2</v>
      </c>
      <c r="S9" s="42">
        <f>(-1*S7*(S8-(-1.34))*5.31)/100</f>
        <v>0.21891846766040426</v>
      </c>
      <c r="T9" s="42">
        <f>(-1*T7*(T8-(-1.34))*5.31)/100</f>
        <v>0.14610167678497032</v>
      </c>
      <c r="U9" s="42">
        <f>(-1*U7*(U8-(-1.34))*5.31)/100</f>
        <v>0.27742204232196954</v>
      </c>
      <c r="V9" s="42">
        <f>(-1*V7*(V8-(-1.63))*5.31)/100</f>
        <v>0.27058760905639612</v>
      </c>
      <c r="W9" s="90">
        <f>(-1*W7*(W8-(-1.63))*5.31)/100</f>
        <v>7.3816802673910831E-2</v>
      </c>
      <c r="X9" s="34"/>
    </row>
    <row r="10" spans="2:26" x14ac:dyDescent="0.2">
      <c r="B10" s="82" t="s">
        <v>31</v>
      </c>
      <c r="C10" s="83" t="s">
        <v>6</v>
      </c>
      <c r="D10" s="83" t="s">
        <v>7</v>
      </c>
      <c r="E10" s="83" t="s">
        <v>8</v>
      </c>
      <c r="F10" s="83" t="s">
        <v>9</v>
      </c>
      <c r="G10" s="83" t="s">
        <v>10</v>
      </c>
      <c r="H10" s="83" t="s">
        <v>11</v>
      </c>
      <c r="I10" s="83" t="s">
        <v>12</v>
      </c>
      <c r="J10" s="83" t="s">
        <v>13</v>
      </c>
      <c r="K10" s="84" t="s">
        <v>14</v>
      </c>
      <c r="L10" s="41"/>
      <c r="M10" s="92" t="s">
        <v>32</v>
      </c>
      <c r="N10" s="93" t="s">
        <v>15</v>
      </c>
      <c r="O10" s="93" t="s">
        <v>16</v>
      </c>
      <c r="P10" s="93" t="s">
        <v>19</v>
      </c>
      <c r="Q10" s="93" t="s">
        <v>21</v>
      </c>
      <c r="R10" s="93" t="s">
        <v>22</v>
      </c>
      <c r="S10" s="93" t="s">
        <v>23</v>
      </c>
      <c r="T10" s="93" t="s">
        <v>24</v>
      </c>
      <c r="U10" s="93" t="s">
        <v>25</v>
      </c>
      <c r="V10" s="93" t="s">
        <v>26</v>
      </c>
      <c r="W10" s="94" t="s">
        <v>27</v>
      </c>
      <c r="X10" s="34"/>
    </row>
    <row r="11" spans="2:26" x14ac:dyDescent="0.2">
      <c r="B11" s="17">
        <v>5</v>
      </c>
      <c r="C11" s="17">
        <v>83.513999999999996</v>
      </c>
      <c r="D11" s="17">
        <v>80.783000000000001</v>
      </c>
      <c r="E11" s="17">
        <v>89.998000000000005</v>
      </c>
      <c r="F11" s="17">
        <v>69.069000000000003</v>
      </c>
      <c r="G11" s="17">
        <v>65.596000000000004</v>
      </c>
      <c r="H11" s="17">
        <v>63.762</v>
      </c>
      <c r="I11" s="5">
        <v>45.893999999999998</v>
      </c>
      <c r="J11" s="5">
        <v>62.628999999999998</v>
      </c>
      <c r="K11" s="5">
        <v>53.177</v>
      </c>
      <c r="M11" s="42">
        <v>5</v>
      </c>
      <c r="N11" s="42">
        <v>93.171000000000006</v>
      </c>
      <c r="O11" s="42">
        <v>84.625</v>
      </c>
      <c r="P11" s="42">
        <v>77.412999999999997</v>
      </c>
      <c r="Q11" s="42">
        <v>89.662999999999997</v>
      </c>
      <c r="R11" s="42">
        <v>96.367999999999995</v>
      </c>
      <c r="S11" s="42">
        <v>81.078999999999994</v>
      </c>
      <c r="T11" s="42">
        <v>79.03</v>
      </c>
      <c r="U11" s="42">
        <v>71.834999999999994</v>
      </c>
      <c r="V11" s="34">
        <v>72.858000000000004</v>
      </c>
      <c r="W11" s="34">
        <v>84.960999999999999</v>
      </c>
      <c r="X11" s="34"/>
    </row>
    <row r="12" spans="2:26" x14ac:dyDescent="0.2">
      <c r="B12" s="17">
        <v>5.0166666666666666</v>
      </c>
      <c r="C12" s="17">
        <v>83.465999999999994</v>
      </c>
      <c r="D12" s="17">
        <v>80.721999999999994</v>
      </c>
      <c r="E12" s="17">
        <v>90.048000000000002</v>
      </c>
      <c r="F12" s="17">
        <v>69.084999999999994</v>
      </c>
      <c r="G12" s="17">
        <v>65.58</v>
      </c>
      <c r="H12" s="17">
        <v>63.673999999999999</v>
      </c>
      <c r="I12" s="5">
        <v>45.863</v>
      </c>
      <c r="J12" s="5">
        <v>62.628</v>
      </c>
      <c r="K12" s="5">
        <v>53.113</v>
      </c>
      <c r="M12" s="42">
        <v>5.0333333333333332</v>
      </c>
      <c r="N12" s="42">
        <v>92.968000000000004</v>
      </c>
      <c r="O12" s="42">
        <v>84.510999999999996</v>
      </c>
      <c r="P12" s="42">
        <v>77.194999999999993</v>
      </c>
      <c r="Q12" s="42">
        <v>89.73</v>
      </c>
      <c r="R12" s="42">
        <v>96.231999999999999</v>
      </c>
      <c r="S12" s="42">
        <v>80.822000000000003</v>
      </c>
      <c r="T12" s="42">
        <v>78.918999999999997</v>
      </c>
      <c r="U12" s="42">
        <v>71.58</v>
      </c>
      <c r="V12" s="34">
        <v>72.787000000000006</v>
      </c>
      <c r="W12" s="34">
        <v>84.858999999999995</v>
      </c>
      <c r="X12" s="34"/>
    </row>
    <row r="13" spans="2:26" x14ac:dyDescent="0.2">
      <c r="B13" s="17">
        <v>5.0333333333333332</v>
      </c>
      <c r="C13" s="17">
        <v>83.367000000000004</v>
      </c>
      <c r="D13" s="17">
        <v>80.691999999999993</v>
      </c>
      <c r="E13" s="17">
        <v>89.97</v>
      </c>
      <c r="F13" s="17">
        <v>69.114999999999995</v>
      </c>
      <c r="G13" s="17">
        <v>65.555000000000007</v>
      </c>
      <c r="H13" s="17">
        <v>63.637</v>
      </c>
      <c r="I13" s="5">
        <v>45.786999999999999</v>
      </c>
      <c r="J13" s="5">
        <v>62.499000000000002</v>
      </c>
      <c r="K13" s="5">
        <v>53.055999999999997</v>
      </c>
      <c r="M13" s="42">
        <v>5.0666666666666664</v>
      </c>
      <c r="N13" s="42">
        <v>92.822000000000003</v>
      </c>
      <c r="O13" s="42">
        <v>84.221000000000004</v>
      </c>
      <c r="P13" s="42">
        <v>77.096000000000004</v>
      </c>
      <c r="Q13" s="42">
        <v>89.86</v>
      </c>
      <c r="R13" s="42">
        <v>96.063999999999993</v>
      </c>
      <c r="S13" s="42">
        <v>80.840999999999994</v>
      </c>
      <c r="T13" s="42">
        <v>78.819000000000003</v>
      </c>
      <c r="U13" s="42">
        <v>71.48</v>
      </c>
      <c r="V13" s="34">
        <v>72.665000000000006</v>
      </c>
      <c r="W13" s="34">
        <v>84.738</v>
      </c>
      <c r="X13" s="34"/>
    </row>
    <row r="14" spans="2:26" x14ac:dyDescent="0.2">
      <c r="B14" s="17">
        <v>5.05</v>
      </c>
      <c r="C14" s="17">
        <v>83.316000000000003</v>
      </c>
      <c r="D14" s="17">
        <v>80.692999999999998</v>
      </c>
      <c r="E14" s="17">
        <v>90.004999999999995</v>
      </c>
      <c r="F14" s="17">
        <v>68.989000000000004</v>
      </c>
      <c r="G14" s="17">
        <v>65.537000000000006</v>
      </c>
      <c r="H14" s="17">
        <v>63.551000000000002</v>
      </c>
      <c r="I14" s="5">
        <v>45.716000000000001</v>
      </c>
      <c r="J14" s="5">
        <v>62.554000000000002</v>
      </c>
      <c r="K14" s="5">
        <v>53.000999999999998</v>
      </c>
      <c r="M14" s="17">
        <v>5.0999999999999996</v>
      </c>
      <c r="N14" s="17">
        <v>92.563999999999993</v>
      </c>
      <c r="O14" s="17">
        <v>84.081999999999994</v>
      </c>
      <c r="P14" s="17">
        <v>76.832999999999998</v>
      </c>
      <c r="Q14" s="17">
        <v>89.724999999999994</v>
      </c>
      <c r="R14" s="17">
        <v>95.977000000000004</v>
      </c>
      <c r="S14" s="17">
        <v>80.649000000000001</v>
      </c>
      <c r="T14" s="17">
        <v>78.656999999999996</v>
      </c>
      <c r="U14" s="17">
        <v>71.364000000000004</v>
      </c>
      <c r="V14" s="5">
        <v>72.45</v>
      </c>
      <c r="W14" s="5">
        <v>84.527000000000001</v>
      </c>
    </row>
    <row r="15" spans="2:26" x14ac:dyDescent="0.2">
      <c r="B15" s="17">
        <v>5.0666666666666664</v>
      </c>
      <c r="C15" s="17">
        <v>83.34</v>
      </c>
      <c r="D15" s="17">
        <v>80.738</v>
      </c>
      <c r="E15" s="17">
        <v>89.929000000000002</v>
      </c>
      <c r="F15" s="17">
        <v>69.076999999999998</v>
      </c>
      <c r="G15" s="17">
        <v>65.471000000000004</v>
      </c>
      <c r="H15" s="17">
        <v>63.576000000000001</v>
      </c>
      <c r="I15" s="5">
        <v>45.63</v>
      </c>
      <c r="J15" s="5">
        <v>62.563000000000002</v>
      </c>
      <c r="K15" s="5">
        <v>52.970999999999997</v>
      </c>
      <c r="M15" s="17">
        <v>5.1333333333333337</v>
      </c>
      <c r="N15" s="17">
        <v>92.438000000000002</v>
      </c>
      <c r="O15" s="17">
        <v>83.888999999999996</v>
      </c>
      <c r="P15" s="17">
        <v>76.594999999999999</v>
      </c>
      <c r="Q15" s="17">
        <v>89.415999999999997</v>
      </c>
      <c r="R15" s="17">
        <v>95.977000000000004</v>
      </c>
      <c r="S15" s="17">
        <v>80.477000000000004</v>
      </c>
      <c r="T15" s="17">
        <v>78.704999999999998</v>
      </c>
      <c r="U15" s="17">
        <v>71.144999999999996</v>
      </c>
      <c r="V15" s="5">
        <v>72.224999999999994</v>
      </c>
      <c r="W15" s="5">
        <v>84.399000000000001</v>
      </c>
    </row>
    <row r="16" spans="2:26" x14ac:dyDescent="0.2">
      <c r="B16" s="17">
        <v>5.083333333333333</v>
      </c>
      <c r="C16" s="17">
        <v>83.271000000000001</v>
      </c>
      <c r="D16" s="17">
        <v>80.634</v>
      </c>
      <c r="E16" s="17">
        <v>89.968000000000004</v>
      </c>
      <c r="F16" s="17">
        <v>69.021000000000001</v>
      </c>
      <c r="G16" s="17">
        <v>65.453000000000003</v>
      </c>
      <c r="H16" s="17">
        <v>63.473999999999997</v>
      </c>
      <c r="I16" s="5">
        <v>45.597000000000001</v>
      </c>
      <c r="J16" s="5">
        <v>62.554000000000002</v>
      </c>
      <c r="K16" s="5">
        <v>52.904000000000003</v>
      </c>
      <c r="M16" s="17">
        <v>5.166666666666667</v>
      </c>
      <c r="N16" s="17">
        <v>92.463999999999999</v>
      </c>
      <c r="O16" s="17">
        <v>83.760999999999996</v>
      </c>
      <c r="P16" s="17">
        <v>76.27</v>
      </c>
      <c r="Q16" s="17">
        <v>89.492999999999995</v>
      </c>
      <c r="R16" s="17">
        <v>95.856999999999999</v>
      </c>
      <c r="S16" s="17">
        <v>80.408000000000001</v>
      </c>
      <c r="T16" s="17">
        <v>78.548000000000002</v>
      </c>
      <c r="U16" s="17">
        <v>71.06</v>
      </c>
      <c r="V16" s="5">
        <v>72.033000000000001</v>
      </c>
      <c r="W16" s="5">
        <v>84.313999999999993</v>
      </c>
    </row>
    <row r="17" spans="2:23" x14ac:dyDescent="0.2">
      <c r="B17" s="17">
        <v>5.0999999999999996</v>
      </c>
      <c r="C17" s="17">
        <v>83.25</v>
      </c>
      <c r="D17" s="17">
        <v>80.650000000000006</v>
      </c>
      <c r="E17" s="17">
        <v>89.956999999999994</v>
      </c>
      <c r="F17" s="17">
        <v>68.938999999999993</v>
      </c>
      <c r="G17" s="17">
        <v>65.376999999999995</v>
      </c>
      <c r="H17" s="17">
        <v>63.433999999999997</v>
      </c>
      <c r="I17" s="5">
        <v>45.537999999999997</v>
      </c>
      <c r="J17" s="5">
        <v>62.423999999999999</v>
      </c>
      <c r="K17" s="5">
        <v>52.875</v>
      </c>
      <c r="M17" s="17">
        <v>5.2</v>
      </c>
      <c r="N17" s="17">
        <v>92.277000000000001</v>
      </c>
      <c r="O17" s="17">
        <v>83.566999999999993</v>
      </c>
      <c r="P17" s="17">
        <v>75.998999999999995</v>
      </c>
      <c r="Q17" s="17">
        <v>89.433999999999997</v>
      </c>
      <c r="R17" s="17">
        <v>95.881</v>
      </c>
      <c r="S17" s="17">
        <v>80.350999999999999</v>
      </c>
      <c r="T17" s="17">
        <v>78.472999999999999</v>
      </c>
      <c r="U17" s="17">
        <v>70.638000000000005</v>
      </c>
      <c r="V17" s="5">
        <v>71.977000000000004</v>
      </c>
      <c r="W17" s="5">
        <v>84.238</v>
      </c>
    </row>
    <row r="18" spans="2:23" x14ac:dyDescent="0.2">
      <c r="B18" s="17">
        <v>5.1166666666666663</v>
      </c>
      <c r="C18" s="17">
        <v>83.286000000000001</v>
      </c>
      <c r="D18" s="17">
        <v>80.664000000000001</v>
      </c>
      <c r="E18" s="17">
        <v>90.004000000000005</v>
      </c>
      <c r="F18" s="17">
        <v>68.881</v>
      </c>
      <c r="G18" s="17">
        <v>65.403000000000006</v>
      </c>
      <c r="H18" s="17">
        <v>63.417000000000002</v>
      </c>
      <c r="I18" s="5">
        <v>45.442999999999998</v>
      </c>
      <c r="J18" s="5">
        <v>62.375999999999998</v>
      </c>
      <c r="K18" s="5">
        <v>52.83</v>
      </c>
      <c r="M18" s="17">
        <v>5.2333333333333334</v>
      </c>
      <c r="N18" s="17">
        <v>92.213999999999999</v>
      </c>
      <c r="O18" s="17">
        <v>83.42</v>
      </c>
      <c r="P18" s="17">
        <v>75.906999999999996</v>
      </c>
      <c r="Q18" s="17">
        <v>89.46</v>
      </c>
      <c r="R18" s="17">
        <v>95.712999999999994</v>
      </c>
      <c r="S18" s="17">
        <v>80.209000000000003</v>
      </c>
      <c r="T18" s="17">
        <v>78.337999999999994</v>
      </c>
      <c r="U18" s="17">
        <v>70.647999999999996</v>
      </c>
      <c r="V18" s="5">
        <v>71.555999999999997</v>
      </c>
      <c r="W18" s="5">
        <v>84.227999999999994</v>
      </c>
    </row>
    <row r="19" spans="2:23" x14ac:dyDescent="0.2">
      <c r="B19" s="17">
        <v>5.1333333333333337</v>
      </c>
      <c r="C19" s="17">
        <v>83.173000000000002</v>
      </c>
      <c r="D19" s="17">
        <v>80.587000000000003</v>
      </c>
      <c r="E19" s="17">
        <v>89.861999999999995</v>
      </c>
      <c r="F19" s="17">
        <v>68.817999999999998</v>
      </c>
      <c r="G19" s="17">
        <v>65.308999999999997</v>
      </c>
      <c r="H19" s="17">
        <v>63.334000000000003</v>
      </c>
      <c r="I19" s="5">
        <v>45.399000000000001</v>
      </c>
      <c r="J19" s="5">
        <v>62.311999999999998</v>
      </c>
      <c r="K19" s="5">
        <v>52.795000000000002</v>
      </c>
      <c r="M19" s="17">
        <v>5.2666666666666666</v>
      </c>
      <c r="N19" s="17">
        <v>91.798000000000002</v>
      </c>
      <c r="O19" s="17">
        <v>83.259</v>
      </c>
      <c r="P19" s="17">
        <v>75.691999999999993</v>
      </c>
      <c r="Q19" s="17">
        <v>89.260999999999996</v>
      </c>
      <c r="R19" s="17">
        <v>95.620999999999995</v>
      </c>
      <c r="S19" s="17">
        <v>80.081999999999994</v>
      </c>
      <c r="T19" s="17">
        <v>78.174000000000007</v>
      </c>
      <c r="U19" s="17">
        <v>70.489999999999995</v>
      </c>
      <c r="V19" s="5">
        <v>71.528000000000006</v>
      </c>
      <c r="W19" s="5">
        <v>84.117000000000004</v>
      </c>
    </row>
    <row r="20" spans="2:23" x14ac:dyDescent="0.2">
      <c r="B20" s="17">
        <v>5.15</v>
      </c>
      <c r="C20" s="17">
        <v>83.156999999999996</v>
      </c>
      <c r="D20" s="17">
        <v>80.572000000000003</v>
      </c>
      <c r="E20" s="17">
        <v>89.915999999999997</v>
      </c>
      <c r="F20" s="17">
        <v>68.718999999999994</v>
      </c>
      <c r="G20" s="17">
        <v>65.269000000000005</v>
      </c>
      <c r="H20" s="17">
        <v>63.283999999999999</v>
      </c>
      <c r="I20" s="5">
        <v>45.305999999999997</v>
      </c>
      <c r="J20" s="5">
        <v>62.280999999999999</v>
      </c>
      <c r="K20" s="5">
        <v>52.731999999999999</v>
      </c>
      <c r="M20" s="17">
        <v>5.3</v>
      </c>
      <c r="N20" s="17">
        <v>91.635999999999996</v>
      </c>
      <c r="O20" s="17">
        <v>83.078000000000003</v>
      </c>
      <c r="P20" s="17">
        <v>75.613</v>
      </c>
      <c r="Q20" s="17">
        <v>89.311000000000007</v>
      </c>
      <c r="R20" s="17">
        <v>95.545000000000002</v>
      </c>
      <c r="S20" s="17">
        <v>80.06</v>
      </c>
      <c r="T20" s="17">
        <v>78.114999999999995</v>
      </c>
      <c r="U20" s="17">
        <v>70.385000000000005</v>
      </c>
      <c r="V20" s="5">
        <v>71.253</v>
      </c>
      <c r="W20" s="5">
        <v>84.034000000000006</v>
      </c>
    </row>
    <row r="21" spans="2:23" x14ac:dyDescent="0.2">
      <c r="B21" s="17">
        <v>5.166666666666667</v>
      </c>
      <c r="C21" s="17">
        <v>83.087000000000003</v>
      </c>
      <c r="D21" s="17">
        <v>80.531000000000006</v>
      </c>
      <c r="E21" s="17">
        <v>89.917000000000002</v>
      </c>
      <c r="F21" s="17">
        <v>68.650000000000006</v>
      </c>
      <c r="G21" s="17">
        <v>65.195999999999998</v>
      </c>
      <c r="H21" s="17">
        <v>63.195</v>
      </c>
      <c r="I21" s="5">
        <v>45.22</v>
      </c>
      <c r="J21" s="5">
        <v>62.207000000000001</v>
      </c>
      <c r="K21" s="5">
        <v>52.704999999999998</v>
      </c>
      <c r="M21" s="17">
        <v>5.333333333333333</v>
      </c>
      <c r="N21" s="17">
        <v>91.524000000000001</v>
      </c>
      <c r="O21" s="17">
        <v>82.888000000000005</v>
      </c>
      <c r="P21" s="17">
        <v>75.391000000000005</v>
      </c>
      <c r="Q21" s="17">
        <v>89.203999999999994</v>
      </c>
      <c r="R21" s="17">
        <v>95.356999999999999</v>
      </c>
      <c r="S21" s="17">
        <v>79.968000000000004</v>
      </c>
      <c r="T21" s="17">
        <v>78.063000000000002</v>
      </c>
      <c r="U21" s="17">
        <v>70.256</v>
      </c>
      <c r="V21" s="5">
        <v>71.244</v>
      </c>
      <c r="W21" s="5">
        <v>84.01</v>
      </c>
    </row>
    <row r="22" spans="2:23" x14ac:dyDescent="0.2">
      <c r="B22" s="17">
        <v>5.1833333333333336</v>
      </c>
      <c r="C22" s="17">
        <v>83.100999999999999</v>
      </c>
      <c r="D22" s="17">
        <v>80.552000000000007</v>
      </c>
      <c r="E22" s="17">
        <v>89.924999999999997</v>
      </c>
      <c r="F22" s="17">
        <v>68.584999999999994</v>
      </c>
      <c r="G22" s="17">
        <v>65.155000000000001</v>
      </c>
      <c r="H22" s="17">
        <v>63.063000000000002</v>
      </c>
      <c r="I22" s="5">
        <v>45.225000000000001</v>
      </c>
      <c r="J22" s="5">
        <v>62.29</v>
      </c>
      <c r="K22" s="5">
        <v>52.63</v>
      </c>
      <c r="M22" s="17">
        <v>5.3666666666666663</v>
      </c>
      <c r="N22" s="17">
        <v>91.465999999999994</v>
      </c>
      <c r="O22" s="17">
        <v>82.712000000000003</v>
      </c>
      <c r="P22" s="17">
        <v>75.134</v>
      </c>
      <c r="Q22" s="17">
        <v>89.167000000000002</v>
      </c>
      <c r="R22" s="17">
        <v>95.506</v>
      </c>
      <c r="S22" s="17">
        <v>79.847999999999999</v>
      </c>
      <c r="T22" s="17">
        <v>77.965999999999994</v>
      </c>
      <c r="U22" s="17">
        <v>69.983000000000004</v>
      </c>
      <c r="V22" s="5">
        <v>71.022999999999996</v>
      </c>
      <c r="W22" s="5">
        <v>83.915000000000006</v>
      </c>
    </row>
    <row r="23" spans="2:23" x14ac:dyDescent="0.2">
      <c r="B23" s="17">
        <v>5.2</v>
      </c>
      <c r="C23" s="17">
        <v>83.123999999999995</v>
      </c>
      <c r="D23" s="17">
        <v>80.477999999999994</v>
      </c>
      <c r="E23" s="17">
        <v>89.938999999999993</v>
      </c>
      <c r="F23" s="17">
        <v>68.572000000000003</v>
      </c>
      <c r="G23" s="17">
        <v>65.111000000000004</v>
      </c>
      <c r="H23" s="17">
        <v>63.043999999999997</v>
      </c>
      <c r="I23" s="5">
        <v>45.097000000000001</v>
      </c>
      <c r="J23" s="5">
        <v>62.076000000000001</v>
      </c>
      <c r="K23" s="5">
        <v>52.591999999999999</v>
      </c>
      <c r="M23" s="17">
        <v>5.4</v>
      </c>
      <c r="N23" s="17">
        <v>90.953000000000003</v>
      </c>
      <c r="O23" s="17">
        <v>82.731999999999999</v>
      </c>
      <c r="P23" s="17">
        <v>74.878</v>
      </c>
      <c r="Q23" s="17">
        <v>89.272999999999996</v>
      </c>
      <c r="R23" s="17">
        <v>95.227000000000004</v>
      </c>
      <c r="S23" s="17">
        <v>79.781999999999996</v>
      </c>
      <c r="T23" s="17">
        <v>77.843000000000004</v>
      </c>
      <c r="U23" s="17">
        <v>69.887</v>
      </c>
      <c r="V23" s="5">
        <v>70.918000000000006</v>
      </c>
      <c r="W23" s="5">
        <v>83.798000000000002</v>
      </c>
    </row>
    <row r="24" spans="2:23" x14ac:dyDescent="0.2">
      <c r="B24" s="17">
        <v>5.2166666666666668</v>
      </c>
      <c r="C24" s="17">
        <v>83.1</v>
      </c>
      <c r="D24" s="17">
        <v>80.451999999999998</v>
      </c>
      <c r="E24" s="17">
        <v>90.013000000000005</v>
      </c>
      <c r="F24" s="17">
        <v>68.436999999999998</v>
      </c>
      <c r="G24" s="17">
        <v>65.037999999999997</v>
      </c>
      <c r="H24" s="17">
        <v>62.975999999999999</v>
      </c>
      <c r="I24" s="5">
        <v>45.072000000000003</v>
      </c>
      <c r="J24" s="5">
        <v>62.075000000000003</v>
      </c>
      <c r="K24" s="5">
        <v>52.518999999999998</v>
      </c>
      <c r="M24" s="17">
        <v>5.4333333333333336</v>
      </c>
      <c r="N24" s="17">
        <v>90.781999999999996</v>
      </c>
      <c r="O24" s="17">
        <v>82.525999999999996</v>
      </c>
      <c r="P24" s="17">
        <v>74.632000000000005</v>
      </c>
      <c r="Q24" s="17">
        <v>89.090999999999994</v>
      </c>
      <c r="R24" s="17">
        <v>95.281999999999996</v>
      </c>
      <c r="S24" s="17">
        <v>79.605000000000004</v>
      </c>
      <c r="T24" s="17">
        <v>77.846999999999994</v>
      </c>
      <c r="U24" s="17">
        <v>69.72</v>
      </c>
      <c r="V24" s="5">
        <v>70.94</v>
      </c>
      <c r="W24" s="5">
        <v>83.724999999999994</v>
      </c>
    </row>
    <row r="25" spans="2:23" x14ac:dyDescent="0.2">
      <c r="B25" s="17">
        <v>5.2333333333333334</v>
      </c>
      <c r="C25" s="17">
        <v>83.099000000000004</v>
      </c>
      <c r="D25" s="17">
        <v>80.48</v>
      </c>
      <c r="E25" s="17">
        <v>89.878</v>
      </c>
      <c r="F25" s="17">
        <v>68.399000000000001</v>
      </c>
      <c r="G25" s="17">
        <v>64.98</v>
      </c>
      <c r="H25" s="17">
        <v>62.89</v>
      </c>
      <c r="I25" s="5">
        <v>44.957000000000001</v>
      </c>
      <c r="J25" s="5">
        <v>61.976999999999997</v>
      </c>
      <c r="K25" s="5">
        <v>52.439</v>
      </c>
      <c r="M25" s="17">
        <v>5.4666666666666668</v>
      </c>
      <c r="N25" s="17">
        <v>90.715000000000003</v>
      </c>
      <c r="O25" s="17">
        <v>82.45</v>
      </c>
      <c r="P25" s="17">
        <v>74.477999999999994</v>
      </c>
      <c r="Q25" s="17">
        <v>89.105000000000004</v>
      </c>
      <c r="R25" s="17">
        <v>95.108000000000004</v>
      </c>
      <c r="S25" s="17">
        <v>79.525999999999996</v>
      </c>
      <c r="T25" s="17">
        <v>77.581999999999994</v>
      </c>
      <c r="U25" s="17">
        <v>69.513000000000005</v>
      </c>
      <c r="V25" s="5">
        <v>70.588999999999999</v>
      </c>
      <c r="W25" s="5">
        <v>83.557000000000002</v>
      </c>
    </row>
    <row r="26" spans="2:23" x14ac:dyDescent="0.2">
      <c r="B26" s="17">
        <v>5.25</v>
      </c>
      <c r="C26" s="17">
        <v>83.021000000000001</v>
      </c>
      <c r="D26" s="17">
        <v>80.373000000000005</v>
      </c>
      <c r="E26" s="17">
        <v>89.891999999999996</v>
      </c>
      <c r="F26" s="17">
        <v>68.355999999999995</v>
      </c>
      <c r="G26" s="17">
        <v>64.953999999999994</v>
      </c>
      <c r="H26" s="17">
        <v>62.783000000000001</v>
      </c>
      <c r="I26" s="5">
        <v>44.866999999999997</v>
      </c>
      <c r="J26" s="5">
        <v>61.95</v>
      </c>
      <c r="K26" s="5">
        <v>52.414999999999999</v>
      </c>
      <c r="M26" s="17">
        <v>5.5</v>
      </c>
      <c r="N26" s="17">
        <v>90.83</v>
      </c>
      <c r="O26" s="17">
        <v>82.338999999999999</v>
      </c>
      <c r="P26" s="17">
        <v>74.254000000000005</v>
      </c>
      <c r="Q26" s="17">
        <v>89.012</v>
      </c>
      <c r="R26" s="17">
        <v>95.206999999999994</v>
      </c>
      <c r="S26" s="17">
        <v>79.435000000000002</v>
      </c>
      <c r="T26" s="17">
        <v>77.355000000000004</v>
      </c>
      <c r="U26" s="17">
        <v>69.444000000000003</v>
      </c>
      <c r="V26" s="5">
        <v>70.382000000000005</v>
      </c>
      <c r="W26" s="5">
        <v>83.507000000000005</v>
      </c>
    </row>
    <row r="27" spans="2:23" x14ac:dyDescent="0.2">
      <c r="B27" s="17">
        <v>5.2666666666666666</v>
      </c>
      <c r="C27" s="17">
        <v>83.028999999999996</v>
      </c>
      <c r="D27" s="17">
        <v>80.394999999999996</v>
      </c>
      <c r="E27" s="17">
        <v>89.867000000000004</v>
      </c>
      <c r="F27" s="17">
        <v>68.346999999999994</v>
      </c>
      <c r="G27" s="17">
        <v>64.858000000000004</v>
      </c>
      <c r="H27" s="17">
        <v>62.712000000000003</v>
      </c>
      <c r="I27" s="5">
        <v>44.752000000000002</v>
      </c>
      <c r="J27" s="5">
        <v>61.927</v>
      </c>
      <c r="K27" s="5">
        <v>52.363999999999997</v>
      </c>
      <c r="M27" s="17">
        <v>5.5333333333333332</v>
      </c>
      <c r="N27" s="17">
        <v>90.814999999999998</v>
      </c>
      <c r="O27" s="17">
        <v>82.251000000000005</v>
      </c>
      <c r="P27" s="17">
        <v>74.033000000000001</v>
      </c>
      <c r="Q27" s="17">
        <v>88.88</v>
      </c>
      <c r="R27" s="17">
        <v>95.106999999999999</v>
      </c>
      <c r="S27" s="17">
        <v>79.256</v>
      </c>
      <c r="T27" s="17">
        <v>77.271000000000001</v>
      </c>
      <c r="U27" s="17">
        <v>69.234999999999999</v>
      </c>
      <c r="V27" s="5">
        <v>70.155000000000001</v>
      </c>
      <c r="W27" s="5">
        <v>83.468000000000004</v>
      </c>
    </row>
    <row r="28" spans="2:23" x14ac:dyDescent="0.2">
      <c r="B28" s="17">
        <v>5.2833333333333332</v>
      </c>
      <c r="C28" s="17">
        <v>82.972999999999999</v>
      </c>
      <c r="D28" s="17">
        <v>80.388000000000005</v>
      </c>
      <c r="E28" s="17">
        <v>89.837999999999994</v>
      </c>
      <c r="F28" s="17">
        <v>68.305999999999997</v>
      </c>
      <c r="G28" s="17">
        <v>64.832999999999998</v>
      </c>
      <c r="H28" s="17">
        <v>62.68</v>
      </c>
      <c r="I28" s="5">
        <v>44.712000000000003</v>
      </c>
      <c r="J28" s="5">
        <v>61.828000000000003</v>
      </c>
      <c r="K28" s="5">
        <v>52.274999999999999</v>
      </c>
      <c r="M28" s="17">
        <v>5.5666666666666664</v>
      </c>
      <c r="N28" s="17">
        <v>90.600999999999999</v>
      </c>
      <c r="O28" s="17">
        <v>82.144999999999996</v>
      </c>
      <c r="P28" s="17">
        <v>73.790000000000006</v>
      </c>
      <c r="Q28" s="17">
        <v>88.75</v>
      </c>
      <c r="R28" s="17">
        <v>94.945999999999998</v>
      </c>
      <c r="S28" s="17">
        <v>79.031999999999996</v>
      </c>
      <c r="T28" s="17">
        <v>77.078999999999994</v>
      </c>
      <c r="U28" s="17">
        <v>68.968000000000004</v>
      </c>
      <c r="V28" s="5">
        <v>70.102000000000004</v>
      </c>
      <c r="W28" s="5">
        <v>83.408000000000001</v>
      </c>
    </row>
    <row r="29" spans="2:23" x14ac:dyDescent="0.2">
      <c r="B29" s="17">
        <v>5.3</v>
      </c>
      <c r="C29" s="17">
        <v>82.953000000000003</v>
      </c>
      <c r="D29" s="17">
        <v>80.316999999999993</v>
      </c>
      <c r="E29" s="17">
        <v>89.834000000000003</v>
      </c>
      <c r="F29" s="17">
        <v>68.251999999999995</v>
      </c>
      <c r="G29" s="17">
        <v>64.748000000000005</v>
      </c>
      <c r="H29" s="17">
        <v>62.593000000000004</v>
      </c>
      <c r="I29" s="5">
        <v>44.674999999999997</v>
      </c>
      <c r="J29" s="5">
        <v>61.816000000000003</v>
      </c>
      <c r="K29" s="5">
        <v>52.271000000000001</v>
      </c>
      <c r="M29" s="17">
        <v>5.6</v>
      </c>
      <c r="N29" s="17">
        <v>90.472999999999999</v>
      </c>
      <c r="O29" s="17">
        <v>81.99</v>
      </c>
      <c r="P29" s="17">
        <v>73.524000000000001</v>
      </c>
      <c r="Q29" s="17">
        <v>88.747</v>
      </c>
      <c r="R29" s="17">
        <v>95.012</v>
      </c>
      <c r="S29" s="17">
        <v>78.97</v>
      </c>
      <c r="T29" s="17">
        <v>77.003</v>
      </c>
      <c r="U29" s="17">
        <v>68.975999999999999</v>
      </c>
      <c r="V29" s="5">
        <v>69.917000000000002</v>
      </c>
      <c r="W29" s="5">
        <v>83.21</v>
      </c>
    </row>
    <row r="30" spans="2:23" x14ac:dyDescent="0.2">
      <c r="B30" s="17">
        <v>5.3166666666666664</v>
      </c>
      <c r="C30" s="17">
        <v>82.933999999999997</v>
      </c>
      <c r="D30" s="17">
        <v>80.27</v>
      </c>
      <c r="E30" s="17">
        <v>89.72</v>
      </c>
      <c r="F30" s="17">
        <v>68.262</v>
      </c>
      <c r="G30" s="17">
        <v>64.753</v>
      </c>
      <c r="H30" s="17">
        <v>62.594000000000001</v>
      </c>
      <c r="I30" s="5">
        <v>44.58</v>
      </c>
      <c r="J30" s="5">
        <v>61.817999999999998</v>
      </c>
      <c r="K30" s="5">
        <v>52.207000000000001</v>
      </c>
      <c r="M30" s="17">
        <v>5.6333333333333337</v>
      </c>
      <c r="N30" s="17">
        <v>90.415000000000006</v>
      </c>
      <c r="O30" s="17">
        <v>81.852999999999994</v>
      </c>
      <c r="P30" s="17">
        <v>73.358000000000004</v>
      </c>
      <c r="Q30" s="17">
        <v>88.686999999999998</v>
      </c>
      <c r="R30" s="17">
        <v>94.93</v>
      </c>
      <c r="S30" s="17">
        <v>78.784000000000006</v>
      </c>
      <c r="T30" s="17">
        <v>76.921000000000006</v>
      </c>
      <c r="U30" s="17">
        <v>68.584000000000003</v>
      </c>
      <c r="V30" s="5">
        <v>69.801000000000002</v>
      </c>
      <c r="W30" s="5">
        <v>83.09</v>
      </c>
    </row>
    <row r="31" spans="2:23" x14ac:dyDescent="0.2">
      <c r="B31" s="17">
        <v>5.333333333333333</v>
      </c>
      <c r="C31" s="17">
        <v>82.887</v>
      </c>
      <c r="D31" s="17">
        <v>80.156999999999996</v>
      </c>
      <c r="E31" s="17">
        <v>89.8</v>
      </c>
      <c r="F31" s="17">
        <v>68.096000000000004</v>
      </c>
      <c r="G31" s="17">
        <v>64.665000000000006</v>
      </c>
      <c r="H31" s="17">
        <v>62.487000000000002</v>
      </c>
      <c r="I31" s="5">
        <v>44.503</v>
      </c>
      <c r="J31" s="5">
        <v>61.786999999999999</v>
      </c>
      <c r="K31" s="5">
        <v>52.192999999999998</v>
      </c>
      <c r="M31" s="17">
        <v>5.666666666666667</v>
      </c>
      <c r="N31" s="17">
        <v>90.403999999999996</v>
      </c>
      <c r="O31" s="17">
        <v>81.754000000000005</v>
      </c>
      <c r="P31" s="17">
        <v>73.119</v>
      </c>
      <c r="Q31" s="17">
        <v>88.656000000000006</v>
      </c>
      <c r="R31" s="17">
        <v>94.983000000000004</v>
      </c>
      <c r="S31" s="17">
        <v>78.680000000000007</v>
      </c>
      <c r="T31" s="17">
        <v>76.864999999999995</v>
      </c>
      <c r="U31" s="17">
        <v>68.570999999999998</v>
      </c>
      <c r="V31" s="5">
        <v>69.710999999999999</v>
      </c>
      <c r="W31" s="5">
        <v>83.097999999999999</v>
      </c>
    </row>
    <row r="32" spans="2:23" x14ac:dyDescent="0.2">
      <c r="B32" s="17">
        <v>5.35</v>
      </c>
      <c r="C32" s="17">
        <v>82.849000000000004</v>
      </c>
      <c r="D32" s="17">
        <v>80.197000000000003</v>
      </c>
      <c r="E32" s="17">
        <v>89.757000000000005</v>
      </c>
      <c r="F32" s="17">
        <v>68.123000000000005</v>
      </c>
      <c r="G32" s="17">
        <v>64.608000000000004</v>
      </c>
      <c r="H32" s="17">
        <v>62.408000000000001</v>
      </c>
      <c r="I32" s="5">
        <v>44.445999999999998</v>
      </c>
      <c r="J32" s="5">
        <v>61.584000000000003</v>
      </c>
      <c r="K32" s="5">
        <v>52.052</v>
      </c>
      <c r="M32" s="17">
        <v>5.7</v>
      </c>
      <c r="N32" s="17">
        <v>90.272000000000006</v>
      </c>
      <c r="O32" s="17">
        <v>81.552000000000007</v>
      </c>
      <c r="P32" s="17">
        <v>72.679000000000002</v>
      </c>
      <c r="Q32" s="17">
        <v>88.688999999999993</v>
      </c>
      <c r="R32" s="17">
        <v>94.873999999999995</v>
      </c>
      <c r="S32" s="17">
        <v>78.575000000000003</v>
      </c>
      <c r="T32" s="17">
        <v>76.772000000000006</v>
      </c>
      <c r="U32" s="17">
        <v>68.299000000000007</v>
      </c>
      <c r="V32" s="5">
        <v>69.397000000000006</v>
      </c>
      <c r="W32" s="5">
        <v>82.936000000000007</v>
      </c>
    </row>
    <row r="33" spans="2:23" x14ac:dyDescent="0.2">
      <c r="B33" s="17">
        <v>5.3666666666666663</v>
      </c>
      <c r="C33" s="17">
        <v>82.808999999999997</v>
      </c>
      <c r="D33" s="17">
        <v>80.103999999999999</v>
      </c>
      <c r="E33" s="17">
        <v>89.733999999999995</v>
      </c>
      <c r="F33" s="17">
        <v>68.075000000000003</v>
      </c>
      <c r="G33" s="17">
        <v>64.611000000000004</v>
      </c>
      <c r="H33" s="17">
        <v>62.341999999999999</v>
      </c>
      <c r="I33" s="5">
        <v>44.42</v>
      </c>
      <c r="J33" s="5">
        <v>61.585000000000001</v>
      </c>
      <c r="K33" s="5">
        <v>52.085000000000001</v>
      </c>
      <c r="M33" s="17">
        <v>5.7333333333333334</v>
      </c>
      <c r="N33" s="17">
        <v>90.287999999999997</v>
      </c>
      <c r="O33" s="17">
        <v>81.566000000000003</v>
      </c>
      <c r="P33" s="17">
        <v>72.629000000000005</v>
      </c>
      <c r="Q33" s="17">
        <v>88.504000000000005</v>
      </c>
      <c r="R33" s="17">
        <v>94.844999999999999</v>
      </c>
      <c r="S33" s="17">
        <v>78.391000000000005</v>
      </c>
      <c r="T33" s="17">
        <v>76.724000000000004</v>
      </c>
      <c r="U33" s="17">
        <v>68.218999999999994</v>
      </c>
      <c r="V33" s="5">
        <v>69.343000000000004</v>
      </c>
      <c r="W33" s="5">
        <v>82.698999999999998</v>
      </c>
    </row>
    <row r="34" spans="2:23" x14ac:dyDescent="0.2">
      <c r="B34" s="17">
        <v>5.3833333333333337</v>
      </c>
      <c r="C34" s="17">
        <v>82.823999999999998</v>
      </c>
      <c r="D34" s="17">
        <v>80.08</v>
      </c>
      <c r="E34" s="17">
        <v>89.69</v>
      </c>
      <c r="F34" s="17">
        <v>67.966999999999999</v>
      </c>
      <c r="G34" s="17">
        <v>64.52</v>
      </c>
      <c r="H34" s="17">
        <v>62.234999999999999</v>
      </c>
      <c r="I34" s="5">
        <v>44.286999999999999</v>
      </c>
      <c r="J34" s="5">
        <v>61.517000000000003</v>
      </c>
      <c r="K34" s="5">
        <v>51.963999999999999</v>
      </c>
      <c r="M34" s="17">
        <v>5.7666666666666666</v>
      </c>
      <c r="N34" s="17">
        <v>90.081000000000003</v>
      </c>
      <c r="O34" s="17">
        <v>81.450999999999993</v>
      </c>
      <c r="P34" s="17">
        <v>72.387</v>
      </c>
      <c r="Q34" s="17">
        <v>88.614999999999995</v>
      </c>
      <c r="R34" s="17">
        <v>94.852000000000004</v>
      </c>
      <c r="S34" s="17">
        <v>78.328000000000003</v>
      </c>
      <c r="T34" s="17">
        <v>76.515000000000001</v>
      </c>
      <c r="U34" s="17">
        <v>68.114000000000004</v>
      </c>
      <c r="V34" s="5">
        <v>69.233999999999995</v>
      </c>
      <c r="W34" s="5">
        <v>82.551000000000002</v>
      </c>
    </row>
    <row r="35" spans="2:23" x14ac:dyDescent="0.2">
      <c r="B35" s="17">
        <v>5.4</v>
      </c>
      <c r="C35" s="17">
        <v>82.796999999999997</v>
      </c>
      <c r="D35" s="17">
        <v>80.063000000000002</v>
      </c>
      <c r="E35" s="17">
        <v>89.632000000000005</v>
      </c>
      <c r="F35" s="17">
        <v>68.021000000000001</v>
      </c>
      <c r="G35" s="17">
        <v>64.497</v>
      </c>
      <c r="H35" s="17">
        <v>62.225000000000001</v>
      </c>
      <c r="I35" s="5">
        <v>44.222999999999999</v>
      </c>
      <c r="J35" s="5">
        <v>61.491</v>
      </c>
      <c r="K35" s="5">
        <v>51.904000000000003</v>
      </c>
      <c r="M35" s="17">
        <v>5.8</v>
      </c>
      <c r="N35" s="17">
        <v>90.034999999999997</v>
      </c>
      <c r="O35" s="17">
        <v>81.274000000000001</v>
      </c>
      <c r="P35" s="17">
        <v>72.203000000000003</v>
      </c>
      <c r="Q35" s="17">
        <v>88.629000000000005</v>
      </c>
      <c r="R35" s="17">
        <v>94.864000000000004</v>
      </c>
      <c r="S35" s="17">
        <v>78.216999999999999</v>
      </c>
      <c r="T35" s="17">
        <v>76.412999999999997</v>
      </c>
      <c r="U35" s="17">
        <v>67.956000000000003</v>
      </c>
      <c r="V35" s="5">
        <v>69.099000000000004</v>
      </c>
      <c r="W35" s="5">
        <v>82.415000000000006</v>
      </c>
    </row>
    <row r="36" spans="2:23" x14ac:dyDescent="0.2">
      <c r="B36" s="17">
        <v>5.416666666666667</v>
      </c>
      <c r="C36" s="17">
        <v>82.736000000000004</v>
      </c>
      <c r="D36" s="17">
        <v>79.978999999999999</v>
      </c>
      <c r="E36" s="17">
        <v>89.585999999999999</v>
      </c>
      <c r="F36" s="17">
        <v>67.944000000000003</v>
      </c>
      <c r="G36" s="17">
        <v>64.45</v>
      </c>
      <c r="H36" s="17">
        <v>62.16</v>
      </c>
      <c r="I36" s="5">
        <v>44.152000000000001</v>
      </c>
      <c r="J36" s="5">
        <v>61.292000000000002</v>
      </c>
      <c r="K36" s="5">
        <v>51.843000000000004</v>
      </c>
      <c r="M36" s="17">
        <v>5.833333333333333</v>
      </c>
      <c r="N36" s="17">
        <v>89.843999999999994</v>
      </c>
      <c r="O36" s="17">
        <v>81.260000000000005</v>
      </c>
      <c r="P36" s="17">
        <v>72</v>
      </c>
      <c r="Q36" s="17">
        <v>88.709000000000003</v>
      </c>
      <c r="R36" s="17">
        <v>94.724999999999994</v>
      </c>
      <c r="S36" s="17">
        <v>78.105000000000004</v>
      </c>
      <c r="T36" s="17">
        <v>76.328000000000003</v>
      </c>
      <c r="U36" s="17">
        <v>67.808000000000007</v>
      </c>
      <c r="V36" s="5">
        <v>68.879000000000005</v>
      </c>
      <c r="W36" s="5">
        <v>82.311000000000007</v>
      </c>
    </row>
    <row r="37" spans="2:23" x14ac:dyDescent="0.2">
      <c r="B37" s="17">
        <v>5.4333333333333336</v>
      </c>
      <c r="C37" s="17">
        <v>82.712000000000003</v>
      </c>
      <c r="D37" s="17">
        <v>79.971000000000004</v>
      </c>
      <c r="E37" s="17">
        <v>89.596000000000004</v>
      </c>
      <c r="F37" s="17">
        <v>68</v>
      </c>
      <c r="G37" s="17">
        <v>64.433999999999997</v>
      </c>
      <c r="H37" s="17">
        <v>62.128999999999998</v>
      </c>
      <c r="I37" s="5">
        <v>44.112000000000002</v>
      </c>
      <c r="J37" s="5">
        <v>61.317999999999998</v>
      </c>
      <c r="K37" s="5">
        <v>51.795999999999999</v>
      </c>
      <c r="M37" s="17">
        <v>5.8666666666666663</v>
      </c>
      <c r="N37" s="17">
        <v>89.682000000000002</v>
      </c>
      <c r="O37" s="17">
        <v>81.185000000000002</v>
      </c>
      <c r="P37" s="17">
        <v>71.75</v>
      </c>
      <c r="Q37" s="17">
        <v>88.301000000000002</v>
      </c>
      <c r="R37" s="17">
        <v>94.647999999999996</v>
      </c>
      <c r="S37" s="17">
        <v>77.975999999999999</v>
      </c>
      <c r="T37" s="17">
        <v>76.266000000000005</v>
      </c>
      <c r="U37" s="17">
        <v>67.72</v>
      </c>
      <c r="V37" s="5">
        <v>68.817999999999998</v>
      </c>
      <c r="W37" s="5">
        <v>82.188999999999993</v>
      </c>
    </row>
    <row r="38" spans="2:23" x14ac:dyDescent="0.2">
      <c r="B38" s="17">
        <v>5.45</v>
      </c>
      <c r="C38" s="17">
        <v>82.67</v>
      </c>
      <c r="D38" s="17">
        <v>79.951999999999998</v>
      </c>
      <c r="E38" s="17">
        <v>89.625</v>
      </c>
      <c r="F38" s="17">
        <v>67.929000000000002</v>
      </c>
      <c r="G38" s="17">
        <v>64.361000000000004</v>
      </c>
      <c r="H38" s="17">
        <v>62.048999999999999</v>
      </c>
      <c r="I38" s="5">
        <v>44.014000000000003</v>
      </c>
      <c r="J38" s="5">
        <v>61.188000000000002</v>
      </c>
      <c r="K38" s="5">
        <v>51.73</v>
      </c>
      <c r="M38" s="17">
        <v>5.9</v>
      </c>
      <c r="N38" s="17">
        <v>89.685000000000002</v>
      </c>
      <c r="O38" s="17">
        <v>80.998000000000005</v>
      </c>
      <c r="P38" s="17">
        <v>71.566999999999993</v>
      </c>
      <c r="Q38" s="17">
        <v>88.513000000000005</v>
      </c>
      <c r="R38" s="17">
        <v>94.662999999999997</v>
      </c>
      <c r="S38" s="17">
        <v>77.792000000000002</v>
      </c>
      <c r="T38" s="17">
        <v>76.152000000000001</v>
      </c>
      <c r="U38" s="17">
        <v>67.489999999999995</v>
      </c>
      <c r="V38" s="5">
        <v>68.747</v>
      </c>
      <c r="W38" s="5">
        <v>82.096000000000004</v>
      </c>
    </row>
    <row r="39" spans="2:23" x14ac:dyDescent="0.2">
      <c r="B39" s="17">
        <v>5.4666666666666668</v>
      </c>
      <c r="C39" s="17">
        <v>82.679000000000002</v>
      </c>
      <c r="D39" s="17">
        <v>79.966999999999999</v>
      </c>
      <c r="E39" s="17">
        <v>89.620999999999995</v>
      </c>
      <c r="F39" s="17">
        <v>67.909000000000006</v>
      </c>
      <c r="G39" s="17">
        <v>64.334000000000003</v>
      </c>
      <c r="H39" s="17">
        <v>61.99</v>
      </c>
      <c r="I39" s="5">
        <v>43.975000000000001</v>
      </c>
      <c r="J39" s="5">
        <v>61.292999999999999</v>
      </c>
      <c r="K39" s="5">
        <v>51.68</v>
      </c>
      <c r="M39" s="17">
        <v>5.9333333333333336</v>
      </c>
      <c r="N39" s="17">
        <v>89.619</v>
      </c>
      <c r="O39" s="17">
        <v>80.909000000000006</v>
      </c>
      <c r="P39" s="17">
        <v>71.256</v>
      </c>
      <c r="Q39" s="17">
        <v>88.614000000000004</v>
      </c>
      <c r="R39" s="17">
        <v>94.584000000000003</v>
      </c>
      <c r="S39" s="17">
        <v>77.730999999999995</v>
      </c>
      <c r="T39" s="17">
        <v>76.037999999999997</v>
      </c>
      <c r="U39" s="17">
        <v>67.367999999999995</v>
      </c>
      <c r="V39" s="5">
        <v>68.563000000000002</v>
      </c>
      <c r="W39" s="5">
        <v>82.016999999999996</v>
      </c>
    </row>
    <row r="40" spans="2:23" x14ac:dyDescent="0.2">
      <c r="B40" s="17">
        <v>5.4833333333333334</v>
      </c>
      <c r="C40" s="17">
        <v>82.65</v>
      </c>
      <c r="D40" s="17">
        <v>79.948999999999998</v>
      </c>
      <c r="E40" s="17">
        <v>89.528999999999996</v>
      </c>
      <c r="F40" s="17">
        <v>67.897999999999996</v>
      </c>
      <c r="G40" s="17">
        <v>64.266999999999996</v>
      </c>
      <c r="H40" s="17">
        <v>61.914999999999999</v>
      </c>
      <c r="I40" s="5">
        <v>43.883000000000003</v>
      </c>
      <c r="J40" s="5">
        <v>61.210999999999999</v>
      </c>
      <c r="K40" s="5">
        <v>51.622</v>
      </c>
      <c r="M40" s="17">
        <v>5.9666666666666668</v>
      </c>
      <c r="N40" s="17">
        <v>89.512</v>
      </c>
      <c r="O40" s="17">
        <v>80.875</v>
      </c>
      <c r="P40" s="17">
        <v>71.028999999999996</v>
      </c>
      <c r="Q40" s="17">
        <v>88.408000000000001</v>
      </c>
      <c r="R40" s="17">
        <v>94.608000000000004</v>
      </c>
      <c r="S40" s="17">
        <v>77.56</v>
      </c>
      <c r="T40" s="17">
        <v>75.915000000000006</v>
      </c>
      <c r="U40" s="17">
        <v>67.245000000000005</v>
      </c>
      <c r="V40" s="5">
        <v>68.47</v>
      </c>
      <c r="W40" s="5">
        <v>81.956000000000003</v>
      </c>
    </row>
    <row r="41" spans="2:23" x14ac:dyDescent="0.2">
      <c r="B41" s="17">
        <v>5.5</v>
      </c>
      <c r="C41" s="17">
        <v>82.671000000000006</v>
      </c>
      <c r="D41" s="17">
        <v>79.911000000000001</v>
      </c>
      <c r="E41" s="17">
        <v>89.489000000000004</v>
      </c>
      <c r="F41" s="17">
        <v>67.849000000000004</v>
      </c>
      <c r="G41" s="17">
        <v>64.209999999999994</v>
      </c>
      <c r="H41" s="17">
        <v>61.819000000000003</v>
      </c>
      <c r="I41" s="5">
        <v>43.814</v>
      </c>
      <c r="J41" s="5">
        <v>61.152999999999999</v>
      </c>
      <c r="K41" s="5">
        <v>51.536999999999999</v>
      </c>
      <c r="M41" s="17">
        <v>6</v>
      </c>
      <c r="N41" s="17">
        <v>89.430999999999997</v>
      </c>
      <c r="O41" s="17">
        <v>80.7</v>
      </c>
      <c r="P41" s="17">
        <v>70.665999999999997</v>
      </c>
      <c r="Q41" s="17">
        <v>88.47</v>
      </c>
      <c r="R41" s="17">
        <v>94.617000000000004</v>
      </c>
      <c r="S41" s="17">
        <v>77.498999999999995</v>
      </c>
      <c r="T41" s="17">
        <v>75.795000000000002</v>
      </c>
      <c r="U41" s="17">
        <v>67.001999999999995</v>
      </c>
      <c r="V41" s="5">
        <v>68.206999999999994</v>
      </c>
      <c r="W41" s="5">
        <v>81.882000000000005</v>
      </c>
    </row>
    <row r="42" spans="2:23" x14ac:dyDescent="0.2">
      <c r="B42" s="17">
        <v>5.5166666666666666</v>
      </c>
      <c r="C42" s="17">
        <v>82.603999999999999</v>
      </c>
      <c r="D42" s="17">
        <v>79.906000000000006</v>
      </c>
      <c r="E42" s="17">
        <v>89.507000000000005</v>
      </c>
      <c r="F42" s="17">
        <v>67.837999999999994</v>
      </c>
      <c r="G42" s="17">
        <v>64.188999999999993</v>
      </c>
      <c r="H42" s="17">
        <v>61.82</v>
      </c>
      <c r="I42" s="5">
        <v>43.78</v>
      </c>
      <c r="J42" s="5">
        <v>61.01</v>
      </c>
      <c r="K42" s="5">
        <v>51.533999999999999</v>
      </c>
      <c r="M42" s="17">
        <v>6.0333333333333332</v>
      </c>
      <c r="N42" s="17">
        <v>89.263999999999996</v>
      </c>
      <c r="O42" s="17">
        <v>80.709999999999994</v>
      </c>
      <c r="P42" s="17">
        <v>70.494</v>
      </c>
      <c r="Q42" s="17">
        <v>88.427000000000007</v>
      </c>
      <c r="R42" s="17">
        <v>94.659000000000006</v>
      </c>
      <c r="S42" s="17">
        <v>77.272999999999996</v>
      </c>
      <c r="T42" s="17">
        <v>75.748000000000005</v>
      </c>
      <c r="U42" s="17">
        <v>66.882000000000005</v>
      </c>
      <c r="V42" s="5">
        <v>68.064999999999998</v>
      </c>
      <c r="W42" s="5">
        <v>81.831000000000003</v>
      </c>
    </row>
    <row r="43" spans="2:23" x14ac:dyDescent="0.2">
      <c r="B43" s="17">
        <v>5.5333333333333332</v>
      </c>
      <c r="C43" s="17">
        <v>82.558999999999997</v>
      </c>
      <c r="D43" s="17">
        <v>79.855999999999995</v>
      </c>
      <c r="E43" s="17">
        <v>89.515000000000001</v>
      </c>
      <c r="F43" s="17">
        <v>67.778000000000006</v>
      </c>
      <c r="G43" s="17">
        <v>64.116</v>
      </c>
      <c r="H43" s="17">
        <v>61.756999999999998</v>
      </c>
      <c r="I43" s="5">
        <v>43.707000000000001</v>
      </c>
      <c r="J43" s="5">
        <v>60.936</v>
      </c>
      <c r="K43" s="5">
        <v>51.459000000000003</v>
      </c>
      <c r="M43" s="17">
        <v>6.0666666666666664</v>
      </c>
      <c r="N43" s="17">
        <v>89.2</v>
      </c>
      <c r="O43" s="17">
        <v>80.581000000000003</v>
      </c>
      <c r="P43" s="17">
        <v>70.296000000000006</v>
      </c>
      <c r="Q43" s="17">
        <v>88.334000000000003</v>
      </c>
      <c r="R43" s="17">
        <v>94.594999999999999</v>
      </c>
      <c r="S43" s="17">
        <v>77.180000000000007</v>
      </c>
      <c r="T43" s="17">
        <v>75.668000000000006</v>
      </c>
      <c r="U43" s="17">
        <v>66.733999999999995</v>
      </c>
      <c r="V43" s="5">
        <v>68.037999999999997</v>
      </c>
      <c r="W43" s="5">
        <v>81.738</v>
      </c>
    </row>
    <row r="44" spans="2:23" x14ac:dyDescent="0.2">
      <c r="B44" s="17">
        <v>5.55</v>
      </c>
      <c r="C44" s="17">
        <v>82.563000000000002</v>
      </c>
      <c r="D44" s="17">
        <v>79.742000000000004</v>
      </c>
      <c r="E44" s="17">
        <v>89.343999999999994</v>
      </c>
      <c r="F44" s="17">
        <v>67.707999999999998</v>
      </c>
      <c r="G44" s="17">
        <v>64.072000000000003</v>
      </c>
      <c r="H44" s="17">
        <v>61.648000000000003</v>
      </c>
      <c r="I44" s="5">
        <v>43.613999999999997</v>
      </c>
      <c r="J44" s="5">
        <v>61.018999999999998</v>
      </c>
      <c r="K44" s="5">
        <v>51.389000000000003</v>
      </c>
      <c r="M44" s="17">
        <v>6.1</v>
      </c>
      <c r="N44" s="17">
        <v>88.947999999999993</v>
      </c>
      <c r="O44" s="17">
        <v>80.45</v>
      </c>
      <c r="P44" s="17">
        <v>70.11</v>
      </c>
      <c r="Q44" s="17">
        <v>88.212000000000003</v>
      </c>
      <c r="R44" s="17">
        <v>94.412000000000006</v>
      </c>
      <c r="S44" s="17">
        <v>77.016000000000005</v>
      </c>
      <c r="T44" s="17">
        <v>75.519000000000005</v>
      </c>
      <c r="U44" s="17">
        <v>66.590999999999994</v>
      </c>
      <c r="V44" s="5">
        <v>67.893000000000001</v>
      </c>
      <c r="W44" s="5">
        <v>81.772000000000006</v>
      </c>
    </row>
    <row r="45" spans="2:23" x14ac:dyDescent="0.2">
      <c r="B45" s="17">
        <v>5.5666666666666664</v>
      </c>
      <c r="C45" s="17">
        <v>82.495999999999995</v>
      </c>
      <c r="D45" s="17">
        <v>79.709000000000003</v>
      </c>
      <c r="E45" s="17">
        <v>89.42</v>
      </c>
      <c r="F45" s="17">
        <v>67.766000000000005</v>
      </c>
      <c r="G45" s="17">
        <v>64.048000000000002</v>
      </c>
      <c r="H45" s="17">
        <v>61.564</v>
      </c>
      <c r="I45" s="5">
        <v>43.588000000000001</v>
      </c>
      <c r="J45" s="5">
        <v>61.048999999999999</v>
      </c>
      <c r="K45" s="5">
        <v>51.37</v>
      </c>
      <c r="M45" s="17">
        <v>6.1333333333333337</v>
      </c>
      <c r="N45" s="17">
        <v>88.912999999999997</v>
      </c>
      <c r="O45" s="17">
        <v>80.334000000000003</v>
      </c>
      <c r="P45" s="17">
        <v>69.813999999999993</v>
      </c>
      <c r="Q45" s="17">
        <v>88.305000000000007</v>
      </c>
      <c r="R45" s="17">
        <v>94.436999999999998</v>
      </c>
      <c r="S45" s="17">
        <v>76.897999999999996</v>
      </c>
      <c r="T45" s="17">
        <v>75.447000000000003</v>
      </c>
      <c r="U45" s="17">
        <v>66.397999999999996</v>
      </c>
      <c r="V45" s="5">
        <v>67.825999999999993</v>
      </c>
      <c r="W45" s="5">
        <v>81.760999999999996</v>
      </c>
    </row>
    <row r="46" spans="2:23" x14ac:dyDescent="0.2">
      <c r="B46" s="17">
        <v>5.583333333333333</v>
      </c>
      <c r="C46" s="17">
        <v>82.447999999999993</v>
      </c>
      <c r="D46" s="17">
        <v>79.715000000000003</v>
      </c>
      <c r="E46" s="17">
        <v>89.373000000000005</v>
      </c>
      <c r="F46" s="17">
        <v>67.652000000000001</v>
      </c>
      <c r="G46" s="17">
        <v>64.001000000000005</v>
      </c>
      <c r="H46" s="17">
        <v>61.595999999999997</v>
      </c>
      <c r="I46" s="5">
        <v>43.502000000000002</v>
      </c>
      <c r="J46" s="5">
        <v>61.058999999999997</v>
      </c>
      <c r="K46" s="5">
        <v>51.338000000000001</v>
      </c>
      <c r="M46" s="17">
        <v>6.166666666666667</v>
      </c>
      <c r="N46" s="17">
        <v>88.974000000000004</v>
      </c>
      <c r="O46" s="17">
        <v>80.292000000000002</v>
      </c>
      <c r="P46" s="17">
        <v>69.656000000000006</v>
      </c>
      <c r="Q46" s="17">
        <v>88.248000000000005</v>
      </c>
      <c r="R46" s="17">
        <v>94.463999999999999</v>
      </c>
      <c r="S46" s="17">
        <v>76.8</v>
      </c>
      <c r="T46" s="17">
        <v>75.381</v>
      </c>
      <c r="U46" s="17">
        <v>66.272999999999996</v>
      </c>
      <c r="V46" s="5">
        <v>67.573999999999998</v>
      </c>
      <c r="W46" s="5">
        <v>81.713999999999999</v>
      </c>
    </row>
    <row r="47" spans="2:23" x14ac:dyDescent="0.2">
      <c r="B47" s="17">
        <v>5.6</v>
      </c>
      <c r="C47" s="17">
        <v>82.432000000000002</v>
      </c>
      <c r="D47" s="17">
        <v>79.692999999999998</v>
      </c>
      <c r="E47" s="17">
        <v>89.346999999999994</v>
      </c>
      <c r="F47" s="17">
        <v>67.634</v>
      </c>
      <c r="G47" s="17">
        <v>63.939</v>
      </c>
      <c r="H47" s="17">
        <v>61.517000000000003</v>
      </c>
      <c r="I47" s="5">
        <v>43.475000000000001</v>
      </c>
      <c r="J47" s="5">
        <v>60.92</v>
      </c>
      <c r="K47" s="5">
        <v>51.265999999999998</v>
      </c>
      <c r="M47" s="17">
        <v>6.2</v>
      </c>
      <c r="N47" s="17">
        <v>88.656000000000006</v>
      </c>
      <c r="O47" s="17">
        <v>80.087999999999994</v>
      </c>
      <c r="P47" s="17">
        <v>69.369</v>
      </c>
      <c r="Q47" s="17">
        <v>88.149000000000001</v>
      </c>
      <c r="R47" s="17">
        <v>94.444999999999993</v>
      </c>
      <c r="S47" s="17">
        <v>76.605999999999995</v>
      </c>
      <c r="T47" s="17">
        <v>75.313999999999993</v>
      </c>
      <c r="U47" s="17">
        <v>66.180000000000007</v>
      </c>
      <c r="V47" s="5">
        <v>67.48</v>
      </c>
      <c r="W47" s="5">
        <v>81.572000000000003</v>
      </c>
    </row>
    <row r="48" spans="2:23" x14ac:dyDescent="0.2">
      <c r="B48" s="17">
        <v>5.6166666666666663</v>
      </c>
      <c r="C48" s="17">
        <v>82.534000000000006</v>
      </c>
      <c r="D48" s="17">
        <v>79.724000000000004</v>
      </c>
      <c r="E48" s="17">
        <v>89.445999999999998</v>
      </c>
      <c r="F48" s="17">
        <v>67.581000000000003</v>
      </c>
      <c r="G48" s="17">
        <v>63.912999999999997</v>
      </c>
      <c r="H48" s="17">
        <v>61.369</v>
      </c>
      <c r="I48" s="5">
        <v>43.375</v>
      </c>
      <c r="J48" s="5">
        <v>60.856000000000002</v>
      </c>
      <c r="K48" s="5">
        <v>51.177999999999997</v>
      </c>
      <c r="M48" s="17">
        <v>6.2333333333333334</v>
      </c>
      <c r="N48" s="17">
        <v>88.527000000000001</v>
      </c>
      <c r="O48" s="17">
        <v>80.051000000000002</v>
      </c>
      <c r="P48" s="17">
        <v>69.131</v>
      </c>
      <c r="Q48" s="17">
        <v>88.195999999999998</v>
      </c>
      <c r="R48" s="17">
        <v>94.372</v>
      </c>
      <c r="S48" s="17">
        <v>76.525000000000006</v>
      </c>
      <c r="T48" s="17">
        <v>75.228999999999999</v>
      </c>
      <c r="U48" s="17">
        <v>66.058000000000007</v>
      </c>
      <c r="V48" s="5">
        <v>67.406000000000006</v>
      </c>
      <c r="W48" s="5">
        <v>81.614000000000004</v>
      </c>
    </row>
    <row r="49" spans="2:23" x14ac:dyDescent="0.2">
      <c r="B49" s="17">
        <v>5.6333333333333337</v>
      </c>
      <c r="C49" s="17">
        <v>82.427000000000007</v>
      </c>
      <c r="D49" s="17">
        <v>79.63</v>
      </c>
      <c r="E49" s="17">
        <v>89.349000000000004</v>
      </c>
      <c r="F49" s="17">
        <v>67.533000000000001</v>
      </c>
      <c r="G49" s="17">
        <v>63.863999999999997</v>
      </c>
      <c r="H49" s="17">
        <v>61.323</v>
      </c>
      <c r="I49" s="5">
        <v>43.335000000000001</v>
      </c>
      <c r="J49" s="5">
        <v>60.82</v>
      </c>
      <c r="K49" s="5">
        <v>51.183999999999997</v>
      </c>
      <c r="M49" s="17">
        <v>6.2666666666666666</v>
      </c>
      <c r="N49" s="17">
        <v>88.372</v>
      </c>
      <c r="O49" s="17">
        <v>79.903000000000006</v>
      </c>
      <c r="P49" s="17">
        <v>68.909000000000006</v>
      </c>
      <c r="Q49" s="17">
        <v>88.114999999999995</v>
      </c>
      <c r="R49" s="17">
        <v>94.287999999999997</v>
      </c>
      <c r="S49" s="17">
        <v>76.421000000000006</v>
      </c>
      <c r="T49" s="17">
        <v>75.188000000000002</v>
      </c>
      <c r="U49" s="17">
        <v>65.912000000000006</v>
      </c>
      <c r="V49" s="5">
        <v>67.192999999999998</v>
      </c>
      <c r="W49" s="5">
        <v>81.441000000000003</v>
      </c>
    </row>
    <row r="50" spans="2:23" x14ac:dyDescent="0.2">
      <c r="B50" s="17">
        <v>5.65</v>
      </c>
      <c r="C50" s="17">
        <v>82.41</v>
      </c>
      <c r="D50" s="17">
        <v>79.701999999999998</v>
      </c>
      <c r="E50" s="17">
        <v>89.218000000000004</v>
      </c>
      <c r="F50" s="17">
        <v>67.488</v>
      </c>
      <c r="G50" s="17">
        <v>63.844999999999999</v>
      </c>
      <c r="H50" s="17">
        <v>61.356000000000002</v>
      </c>
      <c r="I50" s="5">
        <v>43.277000000000001</v>
      </c>
      <c r="J50" s="5">
        <v>60.795999999999999</v>
      </c>
      <c r="K50" s="5">
        <v>51.088000000000001</v>
      </c>
      <c r="M50" s="17">
        <v>6.3</v>
      </c>
      <c r="N50" s="17">
        <v>88.356999999999999</v>
      </c>
      <c r="O50" s="17">
        <v>79.727999999999994</v>
      </c>
      <c r="P50" s="17">
        <v>68.629000000000005</v>
      </c>
      <c r="Q50" s="17">
        <v>88.07</v>
      </c>
      <c r="R50" s="17">
        <v>94.177000000000007</v>
      </c>
      <c r="S50" s="17">
        <v>76.341999999999999</v>
      </c>
      <c r="T50" s="17">
        <v>75.073999999999998</v>
      </c>
      <c r="U50" s="17">
        <v>65.751000000000005</v>
      </c>
      <c r="V50" s="5">
        <v>67.072000000000003</v>
      </c>
      <c r="W50" s="5">
        <v>81.286000000000001</v>
      </c>
    </row>
    <row r="51" spans="2:23" x14ac:dyDescent="0.2">
      <c r="B51" s="17">
        <v>5.666666666666667</v>
      </c>
      <c r="C51" s="17">
        <v>82.334999999999994</v>
      </c>
      <c r="D51" s="17">
        <v>79.552000000000007</v>
      </c>
      <c r="E51" s="17">
        <v>89.275000000000006</v>
      </c>
      <c r="F51" s="17">
        <v>67.506</v>
      </c>
      <c r="G51" s="17">
        <v>63.819000000000003</v>
      </c>
      <c r="H51" s="17">
        <v>61.216999999999999</v>
      </c>
      <c r="I51" s="5">
        <v>43.191000000000003</v>
      </c>
      <c r="J51" s="5">
        <v>60.808999999999997</v>
      </c>
      <c r="K51" s="5">
        <v>51.014000000000003</v>
      </c>
      <c r="M51" s="17">
        <v>6.333333333333333</v>
      </c>
      <c r="N51" s="17">
        <v>88.19</v>
      </c>
      <c r="O51" s="17">
        <v>79.534999999999997</v>
      </c>
      <c r="P51" s="17">
        <v>68.375</v>
      </c>
      <c r="Q51" s="17">
        <v>87.984999999999999</v>
      </c>
      <c r="R51" s="17">
        <v>94.037000000000006</v>
      </c>
      <c r="S51" s="17">
        <v>76.209999999999994</v>
      </c>
      <c r="T51" s="17">
        <v>74.986000000000004</v>
      </c>
      <c r="U51" s="17">
        <v>65.531999999999996</v>
      </c>
      <c r="V51" s="5">
        <v>66.950999999999993</v>
      </c>
      <c r="W51" s="5">
        <v>81.212999999999994</v>
      </c>
    </row>
    <row r="52" spans="2:23" x14ac:dyDescent="0.2">
      <c r="B52" s="17">
        <v>5.6833333333333336</v>
      </c>
      <c r="C52" s="17">
        <v>82.328999999999994</v>
      </c>
      <c r="D52" s="17">
        <v>79.569000000000003</v>
      </c>
      <c r="E52" s="17">
        <v>89.272999999999996</v>
      </c>
      <c r="F52" s="17">
        <v>67.441000000000003</v>
      </c>
      <c r="G52" s="17">
        <v>63.734999999999999</v>
      </c>
      <c r="H52" s="17">
        <v>61.16</v>
      </c>
      <c r="I52" s="5">
        <v>43.106000000000002</v>
      </c>
      <c r="J52" s="5">
        <v>60.805</v>
      </c>
      <c r="K52" s="5">
        <v>51.024999999999999</v>
      </c>
      <c r="M52" s="17">
        <v>6.3666666666666663</v>
      </c>
      <c r="N52" s="17">
        <v>87.805999999999997</v>
      </c>
      <c r="O52" s="17">
        <v>79.453000000000003</v>
      </c>
      <c r="P52" s="17">
        <v>68.263000000000005</v>
      </c>
      <c r="Q52" s="17">
        <v>87.847999999999999</v>
      </c>
      <c r="R52" s="17">
        <v>94.07</v>
      </c>
      <c r="S52" s="17">
        <v>76.134</v>
      </c>
      <c r="T52" s="17">
        <v>74.921999999999997</v>
      </c>
      <c r="U52" s="17">
        <v>65.361999999999995</v>
      </c>
      <c r="V52" s="5">
        <v>66.808000000000007</v>
      </c>
      <c r="W52" s="5">
        <v>81.114999999999995</v>
      </c>
    </row>
    <row r="53" spans="2:23" x14ac:dyDescent="0.2">
      <c r="B53" s="17">
        <v>5.7</v>
      </c>
      <c r="C53" s="17">
        <v>82.334000000000003</v>
      </c>
      <c r="D53" s="17">
        <v>79.528999999999996</v>
      </c>
      <c r="E53" s="17">
        <v>89.256</v>
      </c>
      <c r="F53" s="17">
        <v>67.391999999999996</v>
      </c>
      <c r="G53" s="17">
        <v>63.701000000000001</v>
      </c>
      <c r="H53" s="17">
        <v>61.113</v>
      </c>
      <c r="I53" s="5">
        <v>43.027000000000001</v>
      </c>
      <c r="J53" s="5">
        <v>60.588999999999999</v>
      </c>
      <c r="K53" s="5">
        <v>50.954999999999998</v>
      </c>
      <c r="M53" s="17">
        <v>6.4</v>
      </c>
      <c r="N53" s="17">
        <v>87.894999999999996</v>
      </c>
      <c r="O53" s="17">
        <v>79.239000000000004</v>
      </c>
      <c r="P53" s="17">
        <v>67.915999999999997</v>
      </c>
      <c r="Q53" s="17">
        <v>87.713999999999999</v>
      </c>
      <c r="R53" s="17">
        <v>93.858000000000004</v>
      </c>
      <c r="S53" s="17">
        <v>75.947000000000003</v>
      </c>
      <c r="T53" s="17">
        <v>74.834000000000003</v>
      </c>
      <c r="U53" s="17">
        <v>65.218000000000004</v>
      </c>
      <c r="V53" s="5">
        <v>66.600999999999999</v>
      </c>
      <c r="W53" s="5">
        <v>80.956000000000003</v>
      </c>
    </row>
    <row r="54" spans="2:23" x14ac:dyDescent="0.2">
      <c r="B54" s="17">
        <v>5.7166666666666668</v>
      </c>
      <c r="C54" s="17">
        <v>82.344999999999999</v>
      </c>
      <c r="D54" s="17">
        <v>79.507000000000005</v>
      </c>
      <c r="E54" s="17">
        <v>89.27</v>
      </c>
      <c r="F54" s="17">
        <v>67.361000000000004</v>
      </c>
      <c r="G54" s="17">
        <v>63.643999999999998</v>
      </c>
      <c r="H54" s="17">
        <v>61.085000000000001</v>
      </c>
      <c r="I54" s="5">
        <v>42.97</v>
      </c>
      <c r="J54" s="5">
        <v>60.645000000000003</v>
      </c>
      <c r="K54" s="5">
        <v>50.872</v>
      </c>
      <c r="M54" s="17">
        <v>6.4333333333333336</v>
      </c>
      <c r="N54" s="17">
        <v>87.56</v>
      </c>
      <c r="O54" s="17">
        <v>78.966999999999999</v>
      </c>
      <c r="P54" s="17">
        <v>67.781000000000006</v>
      </c>
      <c r="Q54" s="17">
        <v>87.653000000000006</v>
      </c>
      <c r="R54" s="17">
        <v>93.817999999999998</v>
      </c>
      <c r="S54" s="17">
        <v>75.863</v>
      </c>
      <c r="T54" s="17">
        <v>74.739000000000004</v>
      </c>
      <c r="U54" s="17">
        <v>65.076999999999998</v>
      </c>
      <c r="V54" s="5">
        <v>66.522000000000006</v>
      </c>
      <c r="W54" s="5">
        <v>80.912999999999997</v>
      </c>
    </row>
    <row r="55" spans="2:23" x14ac:dyDescent="0.2">
      <c r="B55" s="17">
        <v>5.7333333333333334</v>
      </c>
      <c r="C55" s="17">
        <v>82.272999999999996</v>
      </c>
      <c r="D55" s="17">
        <v>79.435000000000002</v>
      </c>
      <c r="E55" s="17">
        <v>89.269000000000005</v>
      </c>
      <c r="F55" s="17">
        <v>67.259</v>
      </c>
      <c r="G55" s="17">
        <v>63.622999999999998</v>
      </c>
      <c r="H55" s="17">
        <v>61.006999999999998</v>
      </c>
      <c r="I55" s="5">
        <v>42.895000000000003</v>
      </c>
      <c r="J55" s="5">
        <v>60.451999999999998</v>
      </c>
      <c r="K55" s="5">
        <v>50.826000000000001</v>
      </c>
      <c r="M55" s="17">
        <v>6.4666666666666668</v>
      </c>
      <c r="N55" s="17">
        <v>87.53</v>
      </c>
      <c r="O55" s="17">
        <v>78.947999999999993</v>
      </c>
      <c r="P55" s="17">
        <v>67.62</v>
      </c>
      <c r="Q55" s="17">
        <v>87.828999999999994</v>
      </c>
      <c r="R55" s="17">
        <v>93.741</v>
      </c>
      <c r="S55" s="17">
        <v>75.73</v>
      </c>
      <c r="T55" s="17">
        <v>74.638000000000005</v>
      </c>
      <c r="U55" s="17">
        <v>64.882000000000005</v>
      </c>
      <c r="V55" s="5">
        <v>66.39</v>
      </c>
      <c r="W55" s="5">
        <v>80.819999999999993</v>
      </c>
    </row>
    <row r="56" spans="2:23" x14ac:dyDescent="0.2">
      <c r="B56" s="17">
        <v>5.75</v>
      </c>
      <c r="C56" s="17">
        <v>82.269000000000005</v>
      </c>
      <c r="D56" s="17">
        <v>79.453999999999994</v>
      </c>
      <c r="E56" s="17">
        <v>89.201999999999998</v>
      </c>
      <c r="F56" s="17">
        <v>67.177999999999997</v>
      </c>
      <c r="G56" s="17">
        <v>63.527999999999999</v>
      </c>
      <c r="H56" s="17">
        <v>61.003999999999998</v>
      </c>
      <c r="I56" s="5">
        <v>42.835000000000001</v>
      </c>
      <c r="J56" s="5">
        <v>60.503</v>
      </c>
      <c r="K56" s="5">
        <v>50.771000000000001</v>
      </c>
      <c r="M56" s="17">
        <v>6.5</v>
      </c>
      <c r="N56" s="17">
        <v>87.396000000000001</v>
      </c>
      <c r="O56" s="17">
        <v>78.676000000000002</v>
      </c>
      <c r="P56" s="17">
        <v>67.349000000000004</v>
      </c>
      <c r="Q56" s="17">
        <v>87.661000000000001</v>
      </c>
      <c r="R56" s="17">
        <v>93.822999999999993</v>
      </c>
      <c r="S56" s="17">
        <v>75.697000000000003</v>
      </c>
      <c r="T56" s="17">
        <v>74.521000000000001</v>
      </c>
      <c r="U56" s="17">
        <v>64.745000000000005</v>
      </c>
      <c r="V56" s="5">
        <v>66.180000000000007</v>
      </c>
      <c r="W56" s="5">
        <v>80.733000000000004</v>
      </c>
    </row>
    <row r="57" spans="2:23" x14ac:dyDescent="0.2">
      <c r="B57" s="17">
        <v>5.7666666666666666</v>
      </c>
      <c r="C57" s="17">
        <v>82.304000000000002</v>
      </c>
      <c r="D57" s="17">
        <v>79.338999999999999</v>
      </c>
      <c r="E57" s="17">
        <v>89.13</v>
      </c>
      <c r="F57" s="17">
        <v>67.242000000000004</v>
      </c>
      <c r="G57" s="17">
        <v>63.454000000000001</v>
      </c>
      <c r="H57" s="17">
        <v>60.877000000000002</v>
      </c>
      <c r="I57" s="5">
        <v>42.744999999999997</v>
      </c>
      <c r="J57" s="5">
        <v>60.405999999999999</v>
      </c>
      <c r="K57" s="5">
        <v>50.741999999999997</v>
      </c>
      <c r="M57" s="17">
        <v>6.5333333333333332</v>
      </c>
      <c r="N57" s="17">
        <v>87.188000000000002</v>
      </c>
      <c r="O57" s="17">
        <v>78.460999999999999</v>
      </c>
      <c r="P57" s="17">
        <v>67.132000000000005</v>
      </c>
      <c r="Q57" s="17">
        <v>87.745999999999995</v>
      </c>
      <c r="R57" s="17">
        <v>93.623999999999995</v>
      </c>
      <c r="S57" s="17">
        <v>75.563999999999993</v>
      </c>
      <c r="T57" s="17">
        <v>74.400000000000006</v>
      </c>
      <c r="U57" s="17">
        <v>64.665000000000006</v>
      </c>
      <c r="V57" s="5">
        <v>66.091999999999999</v>
      </c>
      <c r="W57" s="5">
        <v>80.727999999999994</v>
      </c>
    </row>
    <row r="58" spans="2:23" x14ac:dyDescent="0.2">
      <c r="B58" s="17">
        <v>5.7833333333333332</v>
      </c>
      <c r="C58" s="17">
        <v>82.191000000000003</v>
      </c>
      <c r="D58" s="17">
        <v>79.376999999999995</v>
      </c>
      <c r="E58" s="17">
        <v>89.149000000000001</v>
      </c>
      <c r="F58" s="17">
        <v>67.088999999999999</v>
      </c>
      <c r="G58" s="17">
        <v>63.427</v>
      </c>
      <c r="H58" s="17">
        <v>60.844999999999999</v>
      </c>
      <c r="I58" s="5">
        <v>42.704999999999998</v>
      </c>
      <c r="J58" s="5">
        <v>60.332999999999998</v>
      </c>
      <c r="K58" s="5">
        <v>50.634999999999998</v>
      </c>
      <c r="M58" s="17">
        <v>6.5666666666666664</v>
      </c>
      <c r="N58" s="17">
        <v>86.835999999999999</v>
      </c>
      <c r="O58" s="17">
        <v>78.367999999999995</v>
      </c>
      <c r="P58" s="17">
        <v>66.884</v>
      </c>
      <c r="Q58" s="17">
        <v>87.578999999999994</v>
      </c>
      <c r="R58" s="17">
        <v>93.408000000000001</v>
      </c>
      <c r="S58" s="17">
        <v>75.400999999999996</v>
      </c>
      <c r="T58" s="17">
        <v>74.385999999999996</v>
      </c>
      <c r="U58" s="17">
        <v>64.457999999999998</v>
      </c>
      <c r="V58" s="5">
        <v>65.906999999999996</v>
      </c>
      <c r="W58" s="5">
        <v>80.519000000000005</v>
      </c>
    </row>
    <row r="59" spans="2:23" x14ac:dyDescent="0.2">
      <c r="B59" s="17">
        <v>5.8</v>
      </c>
      <c r="C59" s="17">
        <v>82.147000000000006</v>
      </c>
      <c r="D59" s="17">
        <v>79.319999999999993</v>
      </c>
      <c r="E59" s="17">
        <v>89.216999999999999</v>
      </c>
      <c r="F59" s="17">
        <v>67.072000000000003</v>
      </c>
      <c r="G59" s="17">
        <v>63.408999999999999</v>
      </c>
      <c r="H59" s="17">
        <v>60.844999999999999</v>
      </c>
      <c r="I59" s="5">
        <v>42.631999999999998</v>
      </c>
      <c r="J59" s="5">
        <v>60.31</v>
      </c>
      <c r="K59" s="5">
        <v>50.603999999999999</v>
      </c>
      <c r="M59" s="17">
        <v>6.6</v>
      </c>
      <c r="N59" s="17">
        <v>86.644000000000005</v>
      </c>
      <c r="O59" s="17">
        <v>78.093000000000004</v>
      </c>
      <c r="P59" s="17">
        <v>66.634</v>
      </c>
      <c r="Q59" s="17">
        <v>87.372</v>
      </c>
      <c r="R59" s="17">
        <v>93.233000000000004</v>
      </c>
      <c r="S59" s="17">
        <v>75.316999999999993</v>
      </c>
      <c r="T59" s="17">
        <v>74.334999999999994</v>
      </c>
      <c r="U59" s="17">
        <v>64.433999999999997</v>
      </c>
      <c r="V59" s="5">
        <v>65.738</v>
      </c>
      <c r="W59" s="5">
        <v>80.522000000000006</v>
      </c>
    </row>
    <row r="60" spans="2:23" x14ac:dyDescent="0.2">
      <c r="B60" s="17">
        <v>5.8166666666666664</v>
      </c>
      <c r="C60" s="17">
        <v>82.126000000000005</v>
      </c>
      <c r="D60" s="17">
        <v>79.299000000000007</v>
      </c>
      <c r="E60" s="17">
        <v>89.272000000000006</v>
      </c>
      <c r="F60" s="17">
        <v>66.995000000000005</v>
      </c>
      <c r="G60" s="17">
        <v>63.375999999999998</v>
      </c>
      <c r="H60" s="17">
        <v>60.777999999999999</v>
      </c>
      <c r="I60" s="5">
        <v>42.566000000000003</v>
      </c>
      <c r="J60" s="5">
        <v>60.313000000000002</v>
      </c>
      <c r="K60" s="5">
        <v>50.563000000000002</v>
      </c>
      <c r="M60" s="17">
        <v>6.6333333333333337</v>
      </c>
      <c r="N60" s="17">
        <v>86.754000000000005</v>
      </c>
      <c r="O60" s="17">
        <v>77.977000000000004</v>
      </c>
      <c r="P60" s="17">
        <v>66.34</v>
      </c>
      <c r="Q60" s="17">
        <v>87.224000000000004</v>
      </c>
      <c r="R60" s="17">
        <v>93.153000000000006</v>
      </c>
      <c r="S60" s="17">
        <v>75.218999999999994</v>
      </c>
      <c r="T60" s="17">
        <v>74.180000000000007</v>
      </c>
      <c r="U60" s="17">
        <v>64.287000000000006</v>
      </c>
      <c r="V60" s="5">
        <v>65.605999999999995</v>
      </c>
      <c r="W60" s="5">
        <v>80.414000000000001</v>
      </c>
    </row>
    <row r="61" spans="2:23" x14ac:dyDescent="0.2">
      <c r="B61" s="17">
        <v>5.833333333333333</v>
      </c>
      <c r="C61" s="17">
        <v>82.08</v>
      </c>
      <c r="D61" s="17">
        <v>79.209000000000003</v>
      </c>
      <c r="E61" s="17">
        <v>89.13</v>
      </c>
      <c r="F61" s="17">
        <v>67.072000000000003</v>
      </c>
      <c r="G61" s="17">
        <v>63.262999999999998</v>
      </c>
      <c r="H61" s="17">
        <v>60.616</v>
      </c>
      <c r="I61" s="5">
        <v>42.508000000000003</v>
      </c>
      <c r="J61" s="5">
        <v>60.194000000000003</v>
      </c>
      <c r="K61" s="5">
        <v>50.500999999999998</v>
      </c>
      <c r="M61" s="17">
        <v>6.666666666666667</v>
      </c>
      <c r="N61" s="17">
        <v>86.47</v>
      </c>
      <c r="O61" s="17">
        <v>77.825000000000003</v>
      </c>
      <c r="P61" s="17">
        <v>66.171999999999997</v>
      </c>
      <c r="Q61" s="17">
        <v>87.135000000000005</v>
      </c>
      <c r="R61" s="17">
        <v>93.072999999999993</v>
      </c>
      <c r="S61" s="17">
        <v>75.069000000000003</v>
      </c>
      <c r="T61" s="17">
        <v>74.091999999999999</v>
      </c>
      <c r="U61" s="17">
        <v>64.183999999999997</v>
      </c>
      <c r="V61" s="5">
        <v>65.491</v>
      </c>
      <c r="W61" s="5">
        <v>80.379000000000005</v>
      </c>
    </row>
    <row r="62" spans="2:23" x14ac:dyDescent="0.2">
      <c r="B62" s="17">
        <v>5.85</v>
      </c>
      <c r="C62" s="17">
        <v>81.98</v>
      </c>
      <c r="D62" s="17">
        <v>79.097999999999999</v>
      </c>
      <c r="E62" s="17">
        <v>89.135999999999996</v>
      </c>
      <c r="F62" s="17">
        <v>66.956999999999994</v>
      </c>
      <c r="G62" s="17">
        <v>63.226999999999997</v>
      </c>
      <c r="H62" s="17">
        <v>60.683999999999997</v>
      </c>
      <c r="I62" s="5">
        <v>42.463000000000001</v>
      </c>
      <c r="J62" s="5">
        <v>60.082000000000001</v>
      </c>
      <c r="K62" s="5">
        <v>50.444000000000003</v>
      </c>
      <c r="M62" s="17">
        <v>6.7</v>
      </c>
      <c r="N62" s="17">
        <v>86.147999999999996</v>
      </c>
      <c r="O62" s="17">
        <v>77.596000000000004</v>
      </c>
      <c r="P62" s="17">
        <v>65.866</v>
      </c>
      <c r="Q62" s="17">
        <v>87.094999999999999</v>
      </c>
      <c r="R62" s="17">
        <v>93.137</v>
      </c>
      <c r="S62" s="17">
        <v>74.975999999999999</v>
      </c>
      <c r="T62" s="17">
        <v>74.018000000000001</v>
      </c>
      <c r="U62" s="17">
        <v>63.976999999999997</v>
      </c>
      <c r="V62" s="5">
        <v>65.34</v>
      </c>
      <c r="W62" s="5">
        <v>80.266999999999996</v>
      </c>
    </row>
    <row r="63" spans="2:23" x14ac:dyDescent="0.2">
      <c r="B63" s="17">
        <v>5.8666666666666663</v>
      </c>
      <c r="C63" s="17">
        <v>81.941999999999993</v>
      </c>
      <c r="D63" s="17">
        <v>79.069000000000003</v>
      </c>
      <c r="E63" s="17">
        <v>89.033000000000001</v>
      </c>
      <c r="F63" s="17">
        <v>66.966999999999999</v>
      </c>
      <c r="G63" s="17">
        <v>63.173999999999999</v>
      </c>
      <c r="H63" s="17">
        <v>60.598999999999997</v>
      </c>
      <c r="I63" s="5">
        <v>42.313000000000002</v>
      </c>
      <c r="J63" s="5">
        <v>60.137999999999998</v>
      </c>
      <c r="K63" s="5">
        <v>50.366</v>
      </c>
      <c r="M63" s="17">
        <v>6.7333333333333334</v>
      </c>
      <c r="N63" s="17">
        <v>85.784999999999997</v>
      </c>
      <c r="O63" s="17">
        <v>77.498999999999995</v>
      </c>
      <c r="P63" s="17">
        <v>65.718999999999994</v>
      </c>
      <c r="Q63" s="17">
        <v>87.07</v>
      </c>
      <c r="R63" s="17">
        <v>93.025000000000006</v>
      </c>
      <c r="S63" s="17">
        <v>74.787999999999997</v>
      </c>
      <c r="T63" s="17">
        <v>73.959999999999994</v>
      </c>
      <c r="U63" s="17">
        <v>63.881</v>
      </c>
      <c r="V63" s="5">
        <v>65.25</v>
      </c>
      <c r="W63" s="5">
        <v>80.224999999999994</v>
      </c>
    </row>
    <row r="64" spans="2:23" x14ac:dyDescent="0.2">
      <c r="B64" s="17">
        <v>5.8833333333333337</v>
      </c>
      <c r="C64" s="17">
        <v>81.835999999999999</v>
      </c>
      <c r="D64" s="17">
        <v>79.025000000000006</v>
      </c>
      <c r="E64" s="17">
        <v>89.054000000000002</v>
      </c>
      <c r="F64" s="17">
        <v>66.911000000000001</v>
      </c>
      <c r="G64" s="17">
        <v>63.100999999999999</v>
      </c>
      <c r="H64" s="17">
        <v>60.558999999999997</v>
      </c>
      <c r="I64" s="5">
        <v>42.225999999999999</v>
      </c>
      <c r="J64" s="5">
        <v>60.04</v>
      </c>
      <c r="K64" s="5">
        <v>50.305999999999997</v>
      </c>
      <c r="M64" s="17">
        <v>6.7666666666666666</v>
      </c>
      <c r="N64" s="17">
        <v>85.626000000000005</v>
      </c>
      <c r="O64" s="17">
        <v>77.268000000000001</v>
      </c>
      <c r="P64" s="17">
        <v>65.471999999999994</v>
      </c>
      <c r="Q64" s="17">
        <v>87.069000000000003</v>
      </c>
      <c r="R64" s="17">
        <v>93.159000000000006</v>
      </c>
      <c r="S64" s="17">
        <v>74.709000000000003</v>
      </c>
      <c r="T64" s="17">
        <v>73.837999999999994</v>
      </c>
      <c r="U64" s="17">
        <v>63.716000000000001</v>
      </c>
      <c r="V64" s="5">
        <v>65.122</v>
      </c>
      <c r="W64" s="5">
        <v>80.209000000000003</v>
      </c>
    </row>
    <row r="65" spans="2:23" x14ac:dyDescent="0.2">
      <c r="B65" s="17">
        <v>5.9</v>
      </c>
      <c r="C65" s="17">
        <v>81.861999999999995</v>
      </c>
      <c r="D65" s="17">
        <v>79.036000000000001</v>
      </c>
      <c r="E65" s="17">
        <v>89.031999999999996</v>
      </c>
      <c r="F65" s="17">
        <v>66.959000000000003</v>
      </c>
      <c r="G65" s="17">
        <v>63.103999999999999</v>
      </c>
      <c r="H65" s="17">
        <v>60.509</v>
      </c>
      <c r="I65" s="5">
        <v>42.219000000000001</v>
      </c>
      <c r="J65" s="5">
        <v>60.033000000000001</v>
      </c>
      <c r="K65" s="5">
        <v>50.238</v>
      </c>
      <c r="M65" s="17">
        <v>6.8</v>
      </c>
      <c r="N65" s="17">
        <v>85.573999999999998</v>
      </c>
      <c r="O65" s="17">
        <v>77.215000000000003</v>
      </c>
      <c r="P65" s="17">
        <v>65.269000000000005</v>
      </c>
      <c r="Q65" s="17">
        <v>87.072000000000003</v>
      </c>
      <c r="R65" s="17">
        <v>93.019000000000005</v>
      </c>
      <c r="S65" s="17">
        <v>74.620999999999995</v>
      </c>
      <c r="T65" s="17">
        <v>73.802999999999997</v>
      </c>
      <c r="U65" s="17">
        <v>63.526000000000003</v>
      </c>
      <c r="V65" s="5">
        <v>65.08</v>
      </c>
      <c r="W65" s="5">
        <v>80.120999999999995</v>
      </c>
    </row>
    <row r="66" spans="2:23" x14ac:dyDescent="0.2">
      <c r="B66" s="17">
        <v>5.916666666666667</v>
      </c>
      <c r="C66" s="17">
        <v>81.745999999999995</v>
      </c>
      <c r="D66" s="17">
        <v>78.972999999999999</v>
      </c>
      <c r="E66" s="17">
        <v>88.968999999999994</v>
      </c>
      <c r="F66" s="17">
        <v>66.912000000000006</v>
      </c>
      <c r="G66" s="17">
        <v>63.082000000000001</v>
      </c>
      <c r="H66" s="17">
        <v>60.51</v>
      </c>
      <c r="I66" s="5">
        <v>42.164000000000001</v>
      </c>
      <c r="J66" s="5">
        <v>60.008000000000003</v>
      </c>
      <c r="K66" s="5">
        <v>50.152999999999999</v>
      </c>
      <c r="M66" s="17">
        <v>6.833333333333333</v>
      </c>
      <c r="N66" s="17">
        <v>85.59</v>
      </c>
      <c r="O66" s="17">
        <v>77.046000000000006</v>
      </c>
      <c r="P66" s="17">
        <v>64.930000000000007</v>
      </c>
      <c r="Q66" s="17">
        <v>87.010999999999996</v>
      </c>
      <c r="R66" s="17">
        <v>92.981999999999999</v>
      </c>
      <c r="S66" s="17">
        <v>74.47</v>
      </c>
      <c r="T66" s="17">
        <v>73.650999999999996</v>
      </c>
      <c r="U66" s="17">
        <v>63.368000000000002</v>
      </c>
      <c r="V66" s="5">
        <v>64.739999999999995</v>
      </c>
      <c r="W66" s="5">
        <v>80.028999999999996</v>
      </c>
    </row>
    <row r="67" spans="2:23" x14ac:dyDescent="0.2">
      <c r="B67" s="17">
        <v>5.9333333333333336</v>
      </c>
      <c r="C67" s="17">
        <v>81.697999999999993</v>
      </c>
      <c r="D67" s="17">
        <v>78.953999999999994</v>
      </c>
      <c r="E67" s="17">
        <v>88.923000000000002</v>
      </c>
      <c r="F67" s="17">
        <v>66.900999999999996</v>
      </c>
      <c r="G67" s="17">
        <v>63.042999999999999</v>
      </c>
      <c r="H67" s="17">
        <v>60.457000000000001</v>
      </c>
      <c r="I67" s="5">
        <v>42.103999999999999</v>
      </c>
      <c r="J67" s="5">
        <v>59.881</v>
      </c>
      <c r="K67" s="5">
        <v>50.085999999999999</v>
      </c>
      <c r="M67" s="17">
        <v>6.8666666666666663</v>
      </c>
      <c r="N67" s="17">
        <v>85.055999999999997</v>
      </c>
      <c r="O67" s="17">
        <v>76.921000000000006</v>
      </c>
      <c r="P67" s="17">
        <v>64.724999999999994</v>
      </c>
      <c r="Q67" s="17">
        <v>86.89</v>
      </c>
      <c r="R67" s="17">
        <v>92.846000000000004</v>
      </c>
      <c r="S67" s="17">
        <v>74.302999999999997</v>
      </c>
      <c r="T67" s="17">
        <v>73.501999999999995</v>
      </c>
      <c r="U67" s="17">
        <v>63.226999999999997</v>
      </c>
      <c r="V67" s="5">
        <v>64.566999999999993</v>
      </c>
      <c r="W67" s="5">
        <v>79.965999999999994</v>
      </c>
    </row>
    <row r="68" spans="2:23" x14ac:dyDescent="0.2">
      <c r="B68" s="17">
        <v>5.95</v>
      </c>
      <c r="C68" s="17">
        <v>81.649000000000001</v>
      </c>
      <c r="D68" s="17">
        <v>78.876999999999995</v>
      </c>
      <c r="E68" s="17">
        <v>88.825000000000003</v>
      </c>
      <c r="F68" s="17">
        <v>66.816000000000003</v>
      </c>
      <c r="G68" s="17">
        <v>62.991999999999997</v>
      </c>
      <c r="H68" s="17">
        <v>60.396000000000001</v>
      </c>
      <c r="I68" s="5">
        <v>41.972000000000001</v>
      </c>
      <c r="J68" s="5">
        <v>59.875</v>
      </c>
      <c r="K68" s="5">
        <v>50.061999999999998</v>
      </c>
      <c r="M68" s="17">
        <v>6.9</v>
      </c>
      <c r="N68" s="17">
        <v>85.087000000000003</v>
      </c>
      <c r="O68" s="17">
        <v>76.816000000000003</v>
      </c>
      <c r="P68" s="17">
        <v>64.495999999999995</v>
      </c>
      <c r="Q68" s="17">
        <v>86.802000000000007</v>
      </c>
      <c r="R68" s="17">
        <v>92.744</v>
      </c>
      <c r="S68" s="17">
        <v>74.182000000000002</v>
      </c>
      <c r="T68" s="17">
        <v>73.481999999999999</v>
      </c>
      <c r="U68" s="17">
        <v>63.069000000000003</v>
      </c>
      <c r="V68" s="5">
        <v>64.397999999999996</v>
      </c>
      <c r="W68" s="5">
        <v>79.823999999999998</v>
      </c>
    </row>
    <row r="69" spans="2:23" x14ac:dyDescent="0.2">
      <c r="B69" s="17">
        <v>5.9666666666666668</v>
      </c>
      <c r="C69" s="17">
        <v>81.566999999999993</v>
      </c>
      <c r="D69" s="17">
        <v>78.805000000000007</v>
      </c>
      <c r="E69" s="17">
        <v>88.796999999999997</v>
      </c>
      <c r="F69" s="17">
        <v>66.837999999999994</v>
      </c>
      <c r="G69" s="17">
        <v>62.930999999999997</v>
      </c>
      <c r="H69" s="17">
        <v>60.344999999999999</v>
      </c>
      <c r="I69" s="5">
        <v>41.933999999999997</v>
      </c>
      <c r="J69" s="5">
        <v>59.725000000000001</v>
      </c>
      <c r="K69" s="5">
        <v>50.006</v>
      </c>
      <c r="M69" s="17">
        <v>6.9333333333333336</v>
      </c>
      <c r="N69" s="17">
        <v>84.897000000000006</v>
      </c>
      <c r="O69" s="17">
        <v>76.686999999999998</v>
      </c>
      <c r="P69" s="17">
        <v>64.188000000000002</v>
      </c>
      <c r="Q69" s="17">
        <v>86.671000000000006</v>
      </c>
      <c r="R69" s="17">
        <v>92.754000000000005</v>
      </c>
      <c r="S69" s="17">
        <v>74.06</v>
      </c>
      <c r="T69" s="17">
        <v>73.391000000000005</v>
      </c>
      <c r="U69" s="17">
        <v>62.87</v>
      </c>
      <c r="V69" s="5">
        <v>64.16</v>
      </c>
      <c r="W69" s="5">
        <v>79.718000000000004</v>
      </c>
    </row>
    <row r="70" spans="2:23" x14ac:dyDescent="0.2">
      <c r="B70" s="17">
        <v>5.9833333333333334</v>
      </c>
      <c r="C70" s="17">
        <v>81.558000000000007</v>
      </c>
      <c r="D70" s="17">
        <v>78.778999999999996</v>
      </c>
      <c r="E70" s="17">
        <v>88.837000000000003</v>
      </c>
      <c r="F70" s="17">
        <v>66.694999999999993</v>
      </c>
      <c r="G70" s="17">
        <v>62.905000000000001</v>
      </c>
      <c r="H70" s="17">
        <v>60.319000000000003</v>
      </c>
      <c r="I70" s="5">
        <v>41.872</v>
      </c>
      <c r="J70" s="5">
        <v>59.755000000000003</v>
      </c>
      <c r="K70" s="5">
        <v>49.920999999999999</v>
      </c>
      <c r="M70" s="17">
        <v>6.9666666666666668</v>
      </c>
      <c r="N70" s="17">
        <v>84.807000000000002</v>
      </c>
      <c r="O70" s="17">
        <v>76.528000000000006</v>
      </c>
      <c r="P70" s="17">
        <v>64.012</v>
      </c>
      <c r="Q70" s="17">
        <v>86.600999999999999</v>
      </c>
      <c r="R70" s="17">
        <v>92.760999999999996</v>
      </c>
      <c r="S70" s="17">
        <v>73.945999999999998</v>
      </c>
      <c r="T70" s="17">
        <v>73.238</v>
      </c>
      <c r="U70" s="17">
        <v>62.738999999999997</v>
      </c>
      <c r="V70" s="5">
        <v>63.959000000000003</v>
      </c>
      <c r="W70" s="5">
        <v>79.703000000000003</v>
      </c>
    </row>
    <row r="71" spans="2:23" x14ac:dyDescent="0.2">
      <c r="B71" s="17">
        <v>6</v>
      </c>
      <c r="C71" s="17">
        <v>81.5</v>
      </c>
      <c r="D71" s="17">
        <v>78.766000000000005</v>
      </c>
      <c r="E71" s="17">
        <v>88.804000000000002</v>
      </c>
      <c r="F71" s="17">
        <v>66.744</v>
      </c>
      <c r="G71" s="17">
        <v>62.847000000000001</v>
      </c>
      <c r="H71" s="17">
        <v>60.207999999999998</v>
      </c>
      <c r="I71" s="5">
        <v>41.823999999999998</v>
      </c>
      <c r="J71" s="5">
        <v>59.695999999999998</v>
      </c>
      <c r="K71" s="5">
        <v>49.901000000000003</v>
      </c>
      <c r="M71" s="17">
        <v>7</v>
      </c>
      <c r="N71" s="17">
        <v>84.724999999999994</v>
      </c>
      <c r="O71" s="17">
        <v>76.466999999999999</v>
      </c>
      <c r="P71" s="17">
        <v>63.808999999999997</v>
      </c>
      <c r="Q71" s="17">
        <v>86.632000000000005</v>
      </c>
      <c r="R71" s="17">
        <v>92.703999999999994</v>
      </c>
      <c r="S71" s="17">
        <v>73.846000000000004</v>
      </c>
      <c r="T71" s="17">
        <v>73.188000000000002</v>
      </c>
      <c r="U71" s="17">
        <v>62.518999999999998</v>
      </c>
      <c r="V71" s="5">
        <v>63.834000000000003</v>
      </c>
      <c r="W71" s="5">
        <v>79.572000000000003</v>
      </c>
    </row>
    <row r="72" spans="2:23" x14ac:dyDescent="0.2">
      <c r="B72" s="17">
        <v>6.0166666666666666</v>
      </c>
      <c r="C72" s="17">
        <v>81.433000000000007</v>
      </c>
      <c r="D72" s="17">
        <v>78.694000000000003</v>
      </c>
      <c r="E72" s="17">
        <v>88.929000000000002</v>
      </c>
      <c r="F72" s="17">
        <v>66.608000000000004</v>
      </c>
      <c r="G72" s="17">
        <v>62.832999999999998</v>
      </c>
      <c r="H72" s="17">
        <v>60.177</v>
      </c>
      <c r="I72" s="5">
        <v>41.704999999999998</v>
      </c>
      <c r="J72" s="5">
        <v>59.677999999999997</v>
      </c>
      <c r="K72" s="5">
        <v>49.838999999999999</v>
      </c>
      <c r="M72" s="17">
        <v>7.0333333333333332</v>
      </c>
      <c r="N72" s="17">
        <v>84.605000000000004</v>
      </c>
      <c r="O72" s="17">
        <v>76.391999999999996</v>
      </c>
      <c r="P72" s="17">
        <v>63.515999999999998</v>
      </c>
      <c r="Q72" s="17">
        <v>86.421000000000006</v>
      </c>
      <c r="R72" s="17">
        <v>92.617999999999995</v>
      </c>
      <c r="S72" s="17">
        <v>73.775999999999996</v>
      </c>
      <c r="T72" s="17">
        <v>73.084000000000003</v>
      </c>
      <c r="U72" s="17">
        <v>62.43</v>
      </c>
      <c r="V72" s="5">
        <v>63.761000000000003</v>
      </c>
      <c r="W72" s="5">
        <v>79.474000000000004</v>
      </c>
    </row>
    <row r="73" spans="2:23" x14ac:dyDescent="0.2">
      <c r="B73" s="17">
        <v>6.0333333333333332</v>
      </c>
      <c r="C73" s="17">
        <v>81.305000000000007</v>
      </c>
      <c r="D73" s="17">
        <v>78.676000000000002</v>
      </c>
      <c r="E73" s="17">
        <v>88.81</v>
      </c>
      <c r="F73" s="17">
        <v>66.563000000000002</v>
      </c>
      <c r="G73" s="17">
        <v>62.817</v>
      </c>
      <c r="H73" s="17">
        <v>60.131999999999998</v>
      </c>
      <c r="I73" s="5">
        <v>41.637999999999998</v>
      </c>
      <c r="J73" s="5">
        <v>59.610999999999997</v>
      </c>
      <c r="K73" s="5">
        <v>49.75</v>
      </c>
      <c r="M73" s="17">
        <v>7.0666666666666664</v>
      </c>
      <c r="N73" s="17">
        <v>84.504999999999995</v>
      </c>
      <c r="O73" s="17">
        <v>76.266000000000005</v>
      </c>
      <c r="P73" s="17">
        <v>63.253999999999998</v>
      </c>
      <c r="Q73" s="17">
        <v>86.46</v>
      </c>
      <c r="R73" s="17">
        <v>92.49</v>
      </c>
      <c r="S73" s="17">
        <v>73.602999999999994</v>
      </c>
      <c r="T73" s="17">
        <v>73.006</v>
      </c>
      <c r="U73" s="17">
        <v>62.268000000000001</v>
      </c>
      <c r="V73" s="5">
        <v>63.597000000000001</v>
      </c>
      <c r="W73" s="5">
        <v>79.448999999999998</v>
      </c>
    </row>
    <row r="74" spans="2:23" x14ac:dyDescent="0.2">
      <c r="B74" s="17">
        <v>6.05</v>
      </c>
      <c r="C74" s="17">
        <v>81.266000000000005</v>
      </c>
      <c r="D74" s="17">
        <v>78.625</v>
      </c>
      <c r="E74" s="17">
        <v>88.774000000000001</v>
      </c>
      <c r="F74" s="17">
        <v>66.619</v>
      </c>
      <c r="G74" s="17">
        <v>62.762999999999998</v>
      </c>
      <c r="H74" s="17">
        <v>60.063000000000002</v>
      </c>
      <c r="I74" s="5">
        <v>41.643999999999998</v>
      </c>
      <c r="J74" s="5">
        <v>59.558999999999997</v>
      </c>
      <c r="K74" s="5">
        <v>49.716999999999999</v>
      </c>
      <c r="M74" s="17">
        <v>7.1</v>
      </c>
      <c r="N74" s="17">
        <v>83.962000000000003</v>
      </c>
      <c r="O74" s="17">
        <v>76.037000000000006</v>
      </c>
      <c r="P74" s="17">
        <v>62.966000000000001</v>
      </c>
      <c r="Q74" s="17">
        <v>86.369</v>
      </c>
      <c r="R74" s="17">
        <v>92.340999999999994</v>
      </c>
      <c r="S74" s="17">
        <v>73.581999999999994</v>
      </c>
      <c r="T74" s="17">
        <v>72.894000000000005</v>
      </c>
      <c r="U74" s="17">
        <v>62.16</v>
      </c>
      <c r="V74" s="5">
        <v>63.268000000000001</v>
      </c>
      <c r="W74" s="5">
        <v>79.3</v>
      </c>
    </row>
    <row r="75" spans="2:23" x14ac:dyDescent="0.2">
      <c r="B75" s="17">
        <v>6.0666666666666664</v>
      </c>
      <c r="C75" s="17">
        <v>81.216999999999999</v>
      </c>
      <c r="D75" s="17">
        <v>78.569999999999993</v>
      </c>
      <c r="E75" s="17">
        <v>88.747</v>
      </c>
      <c r="F75" s="17">
        <v>66.549000000000007</v>
      </c>
      <c r="G75" s="17">
        <v>62.686999999999998</v>
      </c>
      <c r="H75" s="17">
        <v>59.991</v>
      </c>
      <c r="I75" s="5">
        <v>41.606000000000002</v>
      </c>
      <c r="J75" s="5">
        <v>59.518999999999998</v>
      </c>
      <c r="K75" s="5">
        <v>49.646999999999998</v>
      </c>
      <c r="M75" s="17">
        <v>7.1333333333333337</v>
      </c>
      <c r="N75" s="17">
        <v>83.927000000000007</v>
      </c>
      <c r="O75" s="17">
        <v>75.992999999999995</v>
      </c>
      <c r="P75" s="17">
        <v>62.820999999999998</v>
      </c>
      <c r="Q75" s="17">
        <v>86.363</v>
      </c>
      <c r="R75" s="17">
        <v>92.433000000000007</v>
      </c>
      <c r="S75" s="17">
        <v>73.488</v>
      </c>
      <c r="T75" s="17">
        <v>72.784999999999997</v>
      </c>
      <c r="U75" s="17">
        <v>61.993000000000002</v>
      </c>
      <c r="V75" s="5">
        <v>63.16</v>
      </c>
      <c r="W75" s="5">
        <v>79.247</v>
      </c>
    </row>
    <row r="76" spans="2:23" x14ac:dyDescent="0.2">
      <c r="B76" s="17">
        <v>6.083333333333333</v>
      </c>
      <c r="C76" s="17">
        <v>81.194999999999993</v>
      </c>
      <c r="D76" s="17">
        <v>78.451999999999998</v>
      </c>
      <c r="E76" s="17">
        <v>88.686999999999998</v>
      </c>
      <c r="F76" s="17">
        <v>66.510999999999996</v>
      </c>
      <c r="G76" s="17">
        <v>62.66</v>
      </c>
      <c r="H76" s="17">
        <v>59.968000000000004</v>
      </c>
      <c r="I76" s="5">
        <v>41.47</v>
      </c>
      <c r="J76" s="5">
        <v>59.465000000000003</v>
      </c>
      <c r="K76" s="5">
        <v>49.582999999999998</v>
      </c>
      <c r="M76" s="17">
        <v>7.166666666666667</v>
      </c>
      <c r="N76" s="17">
        <v>83.968000000000004</v>
      </c>
      <c r="O76" s="17">
        <v>75.908000000000001</v>
      </c>
      <c r="P76" s="17">
        <v>62.517000000000003</v>
      </c>
      <c r="Q76" s="17">
        <v>86.36</v>
      </c>
      <c r="R76" s="17">
        <v>92.334999999999994</v>
      </c>
      <c r="S76" s="17">
        <v>73.352999999999994</v>
      </c>
      <c r="T76" s="17">
        <v>72.628</v>
      </c>
      <c r="U76" s="17">
        <v>61.917000000000002</v>
      </c>
      <c r="V76" s="5">
        <v>63.02</v>
      </c>
      <c r="W76" s="5">
        <v>79.209999999999994</v>
      </c>
    </row>
    <row r="77" spans="2:23" x14ac:dyDescent="0.2">
      <c r="B77" s="17">
        <v>6.1</v>
      </c>
      <c r="C77" s="17">
        <v>81.072999999999993</v>
      </c>
      <c r="D77" s="17">
        <v>78.427999999999997</v>
      </c>
      <c r="E77" s="17">
        <v>88.65</v>
      </c>
      <c r="F77" s="17">
        <v>66.430000000000007</v>
      </c>
      <c r="G77" s="17">
        <v>62.618000000000002</v>
      </c>
      <c r="H77" s="17">
        <v>59.959000000000003</v>
      </c>
      <c r="I77" s="5">
        <v>41.447000000000003</v>
      </c>
      <c r="J77" s="5">
        <v>59.353999999999999</v>
      </c>
      <c r="K77" s="5">
        <v>49.555999999999997</v>
      </c>
      <c r="M77" s="17">
        <v>7.2</v>
      </c>
      <c r="N77" s="17">
        <v>84.01</v>
      </c>
      <c r="O77" s="17">
        <v>75.685000000000002</v>
      </c>
      <c r="P77" s="17">
        <v>62.246000000000002</v>
      </c>
      <c r="Q77" s="17">
        <v>86.17</v>
      </c>
      <c r="R77" s="17">
        <v>92.251000000000005</v>
      </c>
      <c r="S77" s="17">
        <v>73.183999999999997</v>
      </c>
      <c r="T77" s="17">
        <v>72.567999999999998</v>
      </c>
      <c r="U77" s="17">
        <v>61.756999999999998</v>
      </c>
      <c r="V77" s="5">
        <v>62.912999999999997</v>
      </c>
      <c r="W77" s="5">
        <v>79.088999999999999</v>
      </c>
    </row>
    <row r="78" spans="2:23" x14ac:dyDescent="0.2">
      <c r="B78" s="17">
        <v>6.1166666666666663</v>
      </c>
      <c r="C78" s="17">
        <v>81.061000000000007</v>
      </c>
      <c r="D78" s="17">
        <v>78.284000000000006</v>
      </c>
      <c r="E78" s="17">
        <v>88.69</v>
      </c>
      <c r="F78" s="17">
        <v>66.472999999999999</v>
      </c>
      <c r="G78" s="17">
        <v>62.588999999999999</v>
      </c>
      <c r="H78" s="17">
        <v>59.889000000000003</v>
      </c>
      <c r="I78" s="5">
        <v>41.31</v>
      </c>
      <c r="J78" s="5">
        <v>59.332999999999998</v>
      </c>
      <c r="K78" s="5">
        <v>49.503999999999998</v>
      </c>
      <c r="M78" s="17">
        <v>7.2333333333333334</v>
      </c>
      <c r="N78" s="17">
        <v>83.765000000000001</v>
      </c>
      <c r="O78" s="17">
        <v>75.593000000000004</v>
      </c>
      <c r="P78" s="17">
        <v>62.124000000000002</v>
      </c>
      <c r="Q78" s="17">
        <v>86.082999999999998</v>
      </c>
      <c r="R78" s="17">
        <v>92.221999999999994</v>
      </c>
      <c r="S78" s="17">
        <v>73.111000000000004</v>
      </c>
      <c r="T78" s="17">
        <v>72.522999999999996</v>
      </c>
      <c r="U78" s="17">
        <v>61.615000000000002</v>
      </c>
      <c r="V78" s="5">
        <v>62.685000000000002</v>
      </c>
      <c r="W78" s="5">
        <v>78.986999999999995</v>
      </c>
    </row>
    <row r="79" spans="2:23" x14ac:dyDescent="0.2">
      <c r="B79" s="17">
        <v>6.1333333333333337</v>
      </c>
      <c r="C79" s="17">
        <v>80.998000000000005</v>
      </c>
      <c r="D79" s="17">
        <v>78.28</v>
      </c>
      <c r="E79" s="17">
        <v>88.599000000000004</v>
      </c>
      <c r="F79" s="17">
        <v>66.430000000000007</v>
      </c>
      <c r="G79" s="17">
        <v>62.552999999999997</v>
      </c>
      <c r="H79" s="17">
        <v>59.825000000000003</v>
      </c>
      <c r="I79" s="5">
        <v>41.283000000000001</v>
      </c>
      <c r="J79" s="5">
        <v>59.271000000000001</v>
      </c>
      <c r="K79" s="5">
        <v>49.430999999999997</v>
      </c>
      <c r="M79" s="17">
        <v>7.2666666666666666</v>
      </c>
      <c r="N79" s="17">
        <v>83.456000000000003</v>
      </c>
      <c r="O79" s="17">
        <v>75.558000000000007</v>
      </c>
      <c r="P79" s="17">
        <v>61.704000000000001</v>
      </c>
      <c r="Q79" s="17">
        <v>85.99</v>
      </c>
      <c r="R79" s="17">
        <v>92.186999999999998</v>
      </c>
      <c r="S79" s="17">
        <v>72.971000000000004</v>
      </c>
      <c r="T79" s="17">
        <v>72.394999999999996</v>
      </c>
      <c r="U79" s="17">
        <v>61.432000000000002</v>
      </c>
      <c r="V79" s="5">
        <v>62.564</v>
      </c>
      <c r="W79" s="5">
        <v>78.912999999999997</v>
      </c>
    </row>
    <row r="80" spans="2:23" x14ac:dyDescent="0.2">
      <c r="B80" s="17">
        <v>6.15</v>
      </c>
      <c r="C80" s="17">
        <v>80.968000000000004</v>
      </c>
      <c r="D80" s="17">
        <v>78.253</v>
      </c>
      <c r="E80" s="17">
        <v>88.632999999999996</v>
      </c>
      <c r="F80" s="17">
        <v>66.378</v>
      </c>
      <c r="G80" s="17">
        <v>62.500999999999998</v>
      </c>
      <c r="H80" s="17">
        <v>59.813000000000002</v>
      </c>
      <c r="I80" s="5">
        <v>41.189</v>
      </c>
      <c r="J80" s="5">
        <v>59.265999999999998</v>
      </c>
      <c r="K80" s="5">
        <v>49.381</v>
      </c>
      <c r="M80" s="17">
        <v>7.3</v>
      </c>
      <c r="N80" s="17">
        <v>83.435000000000002</v>
      </c>
      <c r="O80" s="17">
        <v>75.388000000000005</v>
      </c>
      <c r="P80" s="17">
        <v>61.557000000000002</v>
      </c>
      <c r="Q80" s="17">
        <v>85.991</v>
      </c>
      <c r="R80" s="17">
        <v>92.156000000000006</v>
      </c>
      <c r="S80" s="17">
        <v>72.944999999999993</v>
      </c>
      <c r="T80" s="17">
        <v>72.316999999999993</v>
      </c>
      <c r="U80" s="17">
        <v>61.264000000000003</v>
      </c>
      <c r="V80" s="5">
        <v>62.307000000000002</v>
      </c>
      <c r="W80" s="5">
        <v>78.835999999999999</v>
      </c>
    </row>
    <row r="81" spans="2:23" x14ac:dyDescent="0.2">
      <c r="B81" s="17">
        <v>6.166666666666667</v>
      </c>
      <c r="C81" s="17">
        <v>80.888000000000005</v>
      </c>
      <c r="D81" s="17">
        <v>78.289000000000001</v>
      </c>
      <c r="E81" s="17">
        <v>88.53</v>
      </c>
      <c r="F81" s="17">
        <v>66.409000000000006</v>
      </c>
      <c r="G81" s="17">
        <v>62.491</v>
      </c>
      <c r="H81" s="17">
        <v>59.737000000000002</v>
      </c>
      <c r="I81" s="5">
        <v>41.146999999999998</v>
      </c>
      <c r="J81" s="5">
        <v>59.213999999999999</v>
      </c>
      <c r="K81" s="5">
        <v>49.334000000000003</v>
      </c>
      <c r="M81" s="17">
        <v>7.333333333333333</v>
      </c>
      <c r="N81" s="17">
        <v>82.781999999999996</v>
      </c>
      <c r="O81" s="17">
        <v>75.222999999999999</v>
      </c>
      <c r="P81" s="17">
        <v>61.375999999999998</v>
      </c>
      <c r="Q81" s="17">
        <v>86.055000000000007</v>
      </c>
      <c r="R81" s="17">
        <v>92.119</v>
      </c>
      <c r="S81" s="17">
        <v>72.808000000000007</v>
      </c>
      <c r="T81" s="17">
        <v>72.122</v>
      </c>
      <c r="U81" s="17">
        <v>61.104999999999997</v>
      </c>
      <c r="V81" s="5">
        <v>62.22</v>
      </c>
      <c r="W81" s="5">
        <v>78.653000000000006</v>
      </c>
    </row>
    <row r="82" spans="2:23" x14ac:dyDescent="0.2">
      <c r="B82" s="17">
        <v>6.1833333333333336</v>
      </c>
      <c r="C82" s="17">
        <v>80.867999999999995</v>
      </c>
      <c r="D82" s="17">
        <v>78.12</v>
      </c>
      <c r="E82" s="17">
        <v>88.522999999999996</v>
      </c>
      <c r="F82" s="17">
        <v>66.302999999999997</v>
      </c>
      <c r="G82" s="17">
        <v>62.451000000000001</v>
      </c>
      <c r="H82" s="17">
        <v>59.704000000000001</v>
      </c>
      <c r="I82" s="5">
        <v>41.015000000000001</v>
      </c>
      <c r="J82" s="5">
        <v>59.17</v>
      </c>
      <c r="K82" s="5">
        <v>49.26</v>
      </c>
      <c r="M82" s="17">
        <v>7.3666666666666663</v>
      </c>
      <c r="N82" s="17">
        <v>82.59</v>
      </c>
      <c r="O82" s="17">
        <v>75.128</v>
      </c>
      <c r="P82" s="17">
        <v>61.148000000000003</v>
      </c>
      <c r="Q82" s="17">
        <v>85.823999999999998</v>
      </c>
      <c r="R82" s="17">
        <v>92.028000000000006</v>
      </c>
      <c r="S82" s="17">
        <v>72.7</v>
      </c>
      <c r="T82" s="17">
        <v>72.082999999999998</v>
      </c>
      <c r="U82" s="17">
        <v>60.918999999999997</v>
      </c>
      <c r="V82" s="5">
        <v>62.088999999999999</v>
      </c>
      <c r="W82" s="5">
        <v>78.603999999999999</v>
      </c>
    </row>
    <row r="83" spans="2:23" x14ac:dyDescent="0.2">
      <c r="B83" s="17">
        <v>6.2</v>
      </c>
      <c r="C83" s="17">
        <v>80.762</v>
      </c>
      <c r="D83" s="17">
        <v>78.08</v>
      </c>
      <c r="E83" s="17">
        <v>88.465999999999994</v>
      </c>
      <c r="F83" s="17">
        <v>66.305999999999997</v>
      </c>
      <c r="G83" s="17">
        <v>62.427999999999997</v>
      </c>
      <c r="H83" s="17">
        <v>59.613</v>
      </c>
      <c r="I83" s="5">
        <v>40.994</v>
      </c>
      <c r="J83" s="5">
        <v>59.069000000000003</v>
      </c>
      <c r="K83" s="5">
        <v>49.203000000000003</v>
      </c>
      <c r="M83" s="17">
        <v>7.4</v>
      </c>
      <c r="N83" s="17">
        <v>82.600999999999999</v>
      </c>
      <c r="O83" s="17">
        <v>75.003</v>
      </c>
      <c r="P83" s="17">
        <v>60.820999999999998</v>
      </c>
      <c r="Q83" s="17">
        <v>85.722999999999999</v>
      </c>
      <c r="R83" s="17">
        <v>92.03</v>
      </c>
      <c r="S83" s="17">
        <v>72.552999999999997</v>
      </c>
      <c r="T83" s="17">
        <v>71.909000000000006</v>
      </c>
      <c r="U83" s="17">
        <v>60.912999999999997</v>
      </c>
      <c r="V83" s="5">
        <v>61.896999999999998</v>
      </c>
      <c r="W83" s="5">
        <v>78.506</v>
      </c>
    </row>
    <row r="84" spans="2:23" x14ac:dyDescent="0.2">
      <c r="B84" s="17">
        <v>6.2166666666666668</v>
      </c>
      <c r="C84" s="17">
        <v>80.733999999999995</v>
      </c>
      <c r="D84" s="17">
        <v>78.061999999999998</v>
      </c>
      <c r="E84" s="17">
        <v>88.463999999999999</v>
      </c>
      <c r="F84" s="17">
        <v>66.277000000000001</v>
      </c>
      <c r="G84" s="17">
        <v>62.408000000000001</v>
      </c>
      <c r="H84" s="17">
        <v>59.521999999999998</v>
      </c>
      <c r="I84" s="5">
        <v>41.046999999999997</v>
      </c>
      <c r="J84" s="5">
        <v>59.088000000000001</v>
      </c>
      <c r="K84" s="5">
        <v>49.198</v>
      </c>
      <c r="M84" s="17">
        <v>7.4333333333333336</v>
      </c>
      <c r="N84" s="17">
        <v>82.48</v>
      </c>
      <c r="O84" s="17">
        <v>74.911000000000001</v>
      </c>
      <c r="P84" s="17">
        <v>60.628999999999998</v>
      </c>
      <c r="Q84" s="17">
        <v>85.733999999999995</v>
      </c>
      <c r="R84" s="17">
        <v>92.03</v>
      </c>
      <c r="S84" s="17">
        <v>72.391000000000005</v>
      </c>
      <c r="T84" s="17">
        <v>71.774000000000001</v>
      </c>
      <c r="U84" s="17">
        <v>60.661000000000001</v>
      </c>
      <c r="V84" s="5">
        <v>61.790999999999997</v>
      </c>
      <c r="W84" s="5">
        <v>78.415999999999997</v>
      </c>
    </row>
    <row r="85" spans="2:23" x14ac:dyDescent="0.2">
      <c r="B85" s="17">
        <v>6.2333333333333334</v>
      </c>
      <c r="C85" s="17">
        <v>80.674000000000007</v>
      </c>
      <c r="D85" s="17">
        <v>77.997</v>
      </c>
      <c r="E85" s="17">
        <v>88.316000000000003</v>
      </c>
      <c r="F85" s="17">
        <v>66.185000000000002</v>
      </c>
      <c r="G85" s="17">
        <v>62.371000000000002</v>
      </c>
      <c r="H85" s="17">
        <v>59.514000000000003</v>
      </c>
      <c r="I85" s="5">
        <v>40.929000000000002</v>
      </c>
      <c r="J85" s="5">
        <v>59.023000000000003</v>
      </c>
      <c r="K85" s="5">
        <v>49.094000000000001</v>
      </c>
      <c r="M85" s="17">
        <v>7.4666666666666668</v>
      </c>
      <c r="N85" s="17">
        <v>82.366</v>
      </c>
      <c r="O85" s="17">
        <v>74.75</v>
      </c>
      <c r="P85" s="17">
        <v>60.381999999999998</v>
      </c>
      <c r="Q85" s="17">
        <v>85.683000000000007</v>
      </c>
      <c r="R85" s="17">
        <v>91.873000000000005</v>
      </c>
      <c r="S85" s="17">
        <v>72.257999999999996</v>
      </c>
      <c r="T85" s="17">
        <v>71.695999999999998</v>
      </c>
      <c r="U85" s="17">
        <v>60.423000000000002</v>
      </c>
      <c r="V85" s="5">
        <v>61.667000000000002</v>
      </c>
      <c r="W85" s="5">
        <v>78.304000000000002</v>
      </c>
    </row>
    <row r="86" spans="2:23" x14ac:dyDescent="0.2">
      <c r="B86" s="17">
        <v>6.25</v>
      </c>
      <c r="C86" s="17">
        <v>80.712999999999994</v>
      </c>
      <c r="D86" s="17">
        <v>77.881</v>
      </c>
      <c r="E86" s="17">
        <v>88.384</v>
      </c>
      <c r="F86" s="17">
        <v>66.176000000000002</v>
      </c>
      <c r="G86" s="17">
        <v>62.304000000000002</v>
      </c>
      <c r="H86" s="17">
        <v>59.42</v>
      </c>
      <c r="I86" s="5">
        <v>40.808</v>
      </c>
      <c r="J86" s="5">
        <v>58.98</v>
      </c>
      <c r="K86" s="5">
        <v>49.064</v>
      </c>
      <c r="M86" s="17">
        <v>7.5</v>
      </c>
      <c r="N86" s="17">
        <v>82.366</v>
      </c>
      <c r="O86" s="17">
        <v>74.614999999999995</v>
      </c>
      <c r="P86" s="17">
        <v>60.158000000000001</v>
      </c>
      <c r="Q86" s="17">
        <v>85.554000000000002</v>
      </c>
      <c r="R86" s="17">
        <v>91.891999999999996</v>
      </c>
      <c r="S86" s="17">
        <v>72.158000000000001</v>
      </c>
      <c r="T86" s="17">
        <v>71.625</v>
      </c>
      <c r="U86" s="17">
        <v>60.228999999999999</v>
      </c>
      <c r="V86" s="5">
        <v>61.52</v>
      </c>
      <c r="W86" s="5">
        <v>78.225999999999999</v>
      </c>
    </row>
    <row r="87" spans="2:23" x14ac:dyDescent="0.2">
      <c r="B87" s="17">
        <v>6.2666666666666666</v>
      </c>
      <c r="C87" s="17">
        <v>80.701999999999998</v>
      </c>
      <c r="D87" s="17">
        <v>77.873000000000005</v>
      </c>
      <c r="E87" s="17">
        <v>88.444999999999993</v>
      </c>
      <c r="F87" s="17">
        <v>66.123000000000005</v>
      </c>
      <c r="G87" s="17">
        <v>62.267000000000003</v>
      </c>
      <c r="H87" s="17">
        <v>59.42</v>
      </c>
      <c r="I87" s="5">
        <v>40.784999999999997</v>
      </c>
      <c r="J87" s="5">
        <v>58.906999999999996</v>
      </c>
      <c r="K87" s="5">
        <v>49.023000000000003</v>
      </c>
      <c r="M87" s="17">
        <v>7.5333333333333332</v>
      </c>
      <c r="N87" s="17">
        <v>82.067999999999998</v>
      </c>
      <c r="O87" s="17">
        <v>74.489999999999995</v>
      </c>
      <c r="P87" s="17">
        <v>59.89</v>
      </c>
      <c r="Q87" s="17">
        <v>85.525000000000006</v>
      </c>
      <c r="R87" s="17">
        <v>91.789000000000001</v>
      </c>
      <c r="S87" s="17">
        <v>72.043999999999997</v>
      </c>
      <c r="T87" s="17">
        <v>71.494</v>
      </c>
      <c r="U87" s="17">
        <v>60.232999999999997</v>
      </c>
      <c r="V87" s="5">
        <v>61.436999999999998</v>
      </c>
      <c r="W87" s="5">
        <v>78.177999999999997</v>
      </c>
    </row>
    <row r="88" spans="2:23" x14ac:dyDescent="0.2">
      <c r="B88" s="17">
        <v>6.2833333333333332</v>
      </c>
      <c r="C88" s="17">
        <v>80.662000000000006</v>
      </c>
      <c r="D88" s="17">
        <v>77.793999999999997</v>
      </c>
      <c r="E88" s="17">
        <v>88.284000000000006</v>
      </c>
      <c r="F88" s="17">
        <v>66.102000000000004</v>
      </c>
      <c r="G88" s="17">
        <v>62.246000000000002</v>
      </c>
      <c r="H88" s="17">
        <v>59.345999999999997</v>
      </c>
      <c r="I88" s="5">
        <v>40.692</v>
      </c>
      <c r="J88" s="5">
        <v>58.905999999999999</v>
      </c>
      <c r="K88" s="5">
        <v>48.98</v>
      </c>
      <c r="M88" s="17">
        <v>7.5666666666666664</v>
      </c>
      <c r="N88" s="17">
        <v>81.864000000000004</v>
      </c>
      <c r="O88" s="17">
        <v>74.369</v>
      </c>
      <c r="P88" s="17">
        <v>59.735999999999997</v>
      </c>
      <c r="Q88" s="17">
        <v>85.518000000000001</v>
      </c>
      <c r="R88" s="17">
        <v>91.715000000000003</v>
      </c>
      <c r="S88" s="17">
        <v>71.838999999999999</v>
      </c>
      <c r="T88" s="17">
        <v>71.349999999999994</v>
      </c>
      <c r="U88" s="17">
        <v>60.034999999999997</v>
      </c>
      <c r="V88" s="5">
        <v>61.237000000000002</v>
      </c>
      <c r="W88" s="5">
        <v>78.073999999999998</v>
      </c>
    </row>
    <row r="89" spans="2:23" x14ac:dyDescent="0.2">
      <c r="B89" s="17">
        <v>6.3</v>
      </c>
      <c r="C89" s="17">
        <v>80.581000000000003</v>
      </c>
      <c r="D89" s="17">
        <v>77.87</v>
      </c>
      <c r="E89" s="17">
        <v>88.281000000000006</v>
      </c>
      <c r="F89" s="17">
        <v>66.05</v>
      </c>
      <c r="G89" s="17">
        <v>62.154000000000003</v>
      </c>
      <c r="H89" s="17">
        <v>59.277000000000001</v>
      </c>
      <c r="I89" s="5">
        <v>40.646999999999998</v>
      </c>
      <c r="J89" s="5">
        <v>58.841000000000001</v>
      </c>
      <c r="K89" s="5">
        <v>48.948</v>
      </c>
      <c r="M89" s="17">
        <v>7.6</v>
      </c>
      <c r="N89" s="17">
        <v>81.686999999999998</v>
      </c>
      <c r="O89" s="17">
        <v>74.278000000000006</v>
      </c>
      <c r="P89" s="17">
        <v>59.634</v>
      </c>
      <c r="Q89" s="17">
        <v>85.49</v>
      </c>
      <c r="R89" s="17">
        <v>91.64</v>
      </c>
      <c r="S89" s="17">
        <v>71.808000000000007</v>
      </c>
      <c r="T89" s="17">
        <v>71.236000000000004</v>
      </c>
      <c r="U89" s="17">
        <v>60.012999999999998</v>
      </c>
      <c r="V89" s="5">
        <v>61.064</v>
      </c>
      <c r="W89" s="5">
        <v>77.995000000000005</v>
      </c>
    </row>
    <row r="90" spans="2:23" x14ac:dyDescent="0.2">
      <c r="B90" s="17">
        <v>6.3166666666666664</v>
      </c>
      <c r="C90" s="17">
        <v>80.646000000000001</v>
      </c>
      <c r="D90" s="17">
        <v>77.811000000000007</v>
      </c>
      <c r="E90" s="17">
        <v>88.27</v>
      </c>
      <c r="F90" s="17">
        <v>66.040999999999997</v>
      </c>
      <c r="G90" s="17">
        <v>62.155000000000001</v>
      </c>
      <c r="H90" s="17">
        <v>59.215000000000003</v>
      </c>
      <c r="I90" s="5">
        <v>40.588999999999999</v>
      </c>
      <c r="J90" s="5">
        <v>58.762</v>
      </c>
      <c r="K90" s="5">
        <v>48.866999999999997</v>
      </c>
      <c r="M90" s="17">
        <v>7.6333333333333337</v>
      </c>
      <c r="N90" s="17">
        <v>81.478999999999999</v>
      </c>
      <c r="O90" s="17">
        <v>74.138999999999996</v>
      </c>
      <c r="P90" s="17">
        <v>59.259</v>
      </c>
      <c r="Q90" s="17">
        <v>85.412999999999997</v>
      </c>
      <c r="R90" s="17">
        <v>91.692999999999998</v>
      </c>
      <c r="S90" s="17">
        <v>71.751999999999995</v>
      </c>
      <c r="T90" s="17">
        <v>71.144999999999996</v>
      </c>
      <c r="U90" s="17">
        <v>59.777000000000001</v>
      </c>
      <c r="V90" s="5">
        <v>60.917999999999999</v>
      </c>
      <c r="W90" s="5">
        <v>77.888000000000005</v>
      </c>
    </row>
    <row r="91" spans="2:23" x14ac:dyDescent="0.2">
      <c r="B91" s="17">
        <v>6.333333333333333</v>
      </c>
      <c r="C91" s="17">
        <v>80.552999999999997</v>
      </c>
      <c r="D91" s="17">
        <v>77.727999999999994</v>
      </c>
      <c r="E91" s="17">
        <v>88.304000000000002</v>
      </c>
      <c r="F91" s="17">
        <v>65.986000000000004</v>
      </c>
      <c r="G91" s="17">
        <v>62.088999999999999</v>
      </c>
      <c r="H91" s="17">
        <v>59.143000000000001</v>
      </c>
      <c r="I91" s="5">
        <v>40.57</v>
      </c>
      <c r="J91" s="5">
        <v>58.704000000000001</v>
      </c>
      <c r="K91" s="5">
        <v>48.844000000000001</v>
      </c>
      <c r="M91" s="17">
        <v>7.666666666666667</v>
      </c>
      <c r="N91" s="17">
        <v>81.602999999999994</v>
      </c>
      <c r="O91" s="17">
        <v>73.986999999999995</v>
      </c>
      <c r="P91" s="17">
        <v>59.048000000000002</v>
      </c>
      <c r="Q91" s="17">
        <v>85.254000000000005</v>
      </c>
      <c r="R91" s="17">
        <v>91.555000000000007</v>
      </c>
      <c r="S91" s="17">
        <v>71.540000000000006</v>
      </c>
      <c r="T91" s="17">
        <v>71.067999999999998</v>
      </c>
      <c r="U91" s="17">
        <v>59.610999999999997</v>
      </c>
      <c r="V91" s="5">
        <v>60.796999999999997</v>
      </c>
      <c r="W91" s="5">
        <v>77.891999999999996</v>
      </c>
    </row>
    <row r="92" spans="2:23" x14ac:dyDescent="0.2">
      <c r="B92" s="17">
        <v>6.35</v>
      </c>
      <c r="C92" s="17">
        <v>80.558999999999997</v>
      </c>
      <c r="D92" s="17">
        <v>77.731999999999999</v>
      </c>
      <c r="E92" s="17">
        <v>88.241</v>
      </c>
      <c r="F92" s="17">
        <v>65.962999999999994</v>
      </c>
      <c r="G92" s="17">
        <v>62.021000000000001</v>
      </c>
      <c r="H92" s="17">
        <v>59.146999999999998</v>
      </c>
      <c r="I92" s="5">
        <v>40.44</v>
      </c>
      <c r="J92" s="5">
        <v>58.703000000000003</v>
      </c>
      <c r="K92" s="5">
        <v>48.74</v>
      </c>
      <c r="M92" s="17">
        <v>7.7</v>
      </c>
      <c r="N92" s="17">
        <v>81.234999999999999</v>
      </c>
      <c r="O92" s="17">
        <v>73.885000000000005</v>
      </c>
      <c r="P92" s="17">
        <v>58.773000000000003</v>
      </c>
      <c r="Q92" s="17">
        <v>85.241</v>
      </c>
      <c r="R92" s="17">
        <v>91.516000000000005</v>
      </c>
      <c r="S92" s="17">
        <v>71.460999999999999</v>
      </c>
      <c r="T92" s="17">
        <v>70.912999999999997</v>
      </c>
      <c r="U92" s="17">
        <v>59.494</v>
      </c>
      <c r="V92" s="5">
        <v>60.719000000000001</v>
      </c>
      <c r="W92" s="5">
        <v>77.763999999999996</v>
      </c>
    </row>
    <row r="93" spans="2:23" x14ac:dyDescent="0.2">
      <c r="B93" s="17">
        <v>6.3666666666666663</v>
      </c>
      <c r="C93" s="17">
        <v>80.531000000000006</v>
      </c>
      <c r="D93" s="17">
        <v>77.709000000000003</v>
      </c>
      <c r="E93" s="17">
        <v>88.194999999999993</v>
      </c>
      <c r="F93" s="17">
        <v>65.929000000000002</v>
      </c>
      <c r="G93" s="17">
        <v>62.027999999999999</v>
      </c>
      <c r="H93" s="17">
        <v>59.106999999999999</v>
      </c>
      <c r="I93" s="5">
        <v>40.395000000000003</v>
      </c>
      <c r="J93" s="5">
        <v>58.67</v>
      </c>
      <c r="K93" s="5">
        <v>48.676000000000002</v>
      </c>
      <c r="M93" s="17">
        <v>7.7333333333333334</v>
      </c>
      <c r="N93" s="17">
        <v>81.271000000000001</v>
      </c>
      <c r="O93" s="17">
        <v>73.852999999999994</v>
      </c>
      <c r="P93" s="17">
        <v>58.564</v>
      </c>
      <c r="Q93" s="17">
        <v>85.191999999999993</v>
      </c>
      <c r="R93" s="17">
        <v>91.376999999999995</v>
      </c>
      <c r="S93" s="17">
        <v>71.316000000000003</v>
      </c>
      <c r="T93" s="17">
        <v>70.893000000000001</v>
      </c>
      <c r="U93" s="17">
        <v>59.402999999999999</v>
      </c>
      <c r="V93" s="5">
        <v>60.63</v>
      </c>
      <c r="W93" s="5">
        <v>77.730999999999995</v>
      </c>
    </row>
    <row r="94" spans="2:23" x14ac:dyDescent="0.2">
      <c r="B94" s="17">
        <v>6.3833333333333337</v>
      </c>
      <c r="C94" s="17">
        <v>80.483000000000004</v>
      </c>
      <c r="D94" s="17">
        <v>77.697999999999993</v>
      </c>
      <c r="E94" s="17">
        <v>88.238</v>
      </c>
      <c r="F94" s="17">
        <v>65.86</v>
      </c>
      <c r="G94" s="17">
        <v>61.962000000000003</v>
      </c>
      <c r="H94" s="17">
        <v>59.039000000000001</v>
      </c>
      <c r="I94" s="5">
        <v>40.375</v>
      </c>
      <c r="J94" s="5">
        <v>58.584000000000003</v>
      </c>
      <c r="K94" s="5">
        <v>48.664000000000001</v>
      </c>
      <c r="M94" s="17">
        <v>7.7666666666666666</v>
      </c>
      <c r="N94" s="17">
        <v>81.150999999999996</v>
      </c>
      <c r="O94" s="17">
        <v>73.625</v>
      </c>
      <c r="P94" s="17">
        <v>58.378</v>
      </c>
      <c r="Q94" s="17">
        <v>85.192999999999998</v>
      </c>
      <c r="R94" s="17">
        <v>91.244</v>
      </c>
      <c r="S94" s="17">
        <v>71.204999999999998</v>
      </c>
      <c r="T94" s="17">
        <v>70.81</v>
      </c>
      <c r="U94" s="17">
        <v>59.194000000000003</v>
      </c>
      <c r="V94" s="5">
        <v>60.436999999999998</v>
      </c>
      <c r="W94" s="5">
        <v>77.603999999999999</v>
      </c>
    </row>
    <row r="95" spans="2:23" x14ac:dyDescent="0.2">
      <c r="B95" s="17">
        <v>6.4</v>
      </c>
      <c r="C95" s="17">
        <v>80.399000000000001</v>
      </c>
      <c r="D95" s="17">
        <v>77.619</v>
      </c>
      <c r="E95" s="17">
        <v>88.149000000000001</v>
      </c>
      <c r="F95" s="17">
        <v>65.873999999999995</v>
      </c>
      <c r="G95" s="17">
        <v>61.933999999999997</v>
      </c>
      <c r="H95" s="17">
        <v>58.984000000000002</v>
      </c>
      <c r="I95" s="5">
        <v>40.277000000000001</v>
      </c>
      <c r="J95" s="5">
        <v>58.597000000000001</v>
      </c>
      <c r="K95" s="5">
        <v>48.625</v>
      </c>
      <c r="M95" s="17">
        <v>7.8</v>
      </c>
      <c r="N95" s="17">
        <v>81.076999999999998</v>
      </c>
      <c r="O95" s="17">
        <v>73.55</v>
      </c>
      <c r="P95" s="17">
        <v>58.078000000000003</v>
      </c>
      <c r="Q95" s="17">
        <v>85.015000000000001</v>
      </c>
      <c r="R95" s="17">
        <v>91.126999999999995</v>
      </c>
      <c r="S95" s="17">
        <v>71.147999999999996</v>
      </c>
      <c r="T95" s="17">
        <v>70.673000000000002</v>
      </c>
      <c r="U95" s="17">
        <v>59.021000000000001</v>
      </c>
      <c r="V95" s="5">
        <v>60.332999999999998</v>
      </c>
      <c r="W95" s="5">
        <v>77.600999999999999</v>
      </c>
    </row>
    <row r="96" spans="2:23" x14ac:dyDescent="0.2">
      <c r="B96" s="17">
        <v>6.416666666666667</v>
      </c>
      <c r="C96" s="17">
        <v>80.427000000000007</v>
      </c>
      <c r="D96" s="17">
        <v>77.608999999999995</v>
      </c>
      <c r="E96" s="17">
        <v>88.105000000000004</v>
      </c>
      <c r="F96" s="17">
        <v>65.847999999999999</v>
      </c>
      <c r="G96" s="17">
        <v>61.88</v>
      </c>
      <c r="H96" s="17">
        <v>58.924999999999997</v>
      </c>
      <c r="I96" s="5">
        <v>40.203000000000003</v>
      </c>
      <c r="J96" s="5">
        <v>58.548000000000002</v>
      </c>
      <c r="K96" s="5">
        <v>48.557000000000002</v>
      </c>
      <c r="M96" s="17">
        <v>7.833333333333333</v>
      </c>
      <c r="N96" s="17">
        <v>80.712000000000003</v>
      </c>
      <c r="O96" s="17">
        <v>73.347999999999999</v>
      </c>
      <c r="P96" s="17">
        <v>57.908999999999999</v>
      </c>
      <c r="Q96" s="17">
        <v>84.972999999999999</v>
      </c>
      <c r="R96" s="17">
        <v>91.346000000000004</v>
      </c>
      <c r="S96" s="17">
        <v>70.911000000000001</v>
      </c>
      <c r="T96" s="17">
        <v>70.634</v>
      </c>
      <c r="U96" s="17">
        <v>59.036999999999999</v>
      </c>
      <c r="V96" s="5">
        <v>60.116999999999997</v>
      </c>
      <c r="W96" s="5">
        <v>77.495000000000005</v>
      </c>
    </row>
    <row r="97" spans="2:23" x14ac:dyDescent="0.2">
      <c r="B97" s="17">
        <v>6.4333333333333336</v>
      </c>
      <c r="C97" s="17">
        <v>80.433000000000007</v>
      </c>
      <c r="D97" s="17">
        <v>77.558000000000007</v>
      </c>
      <c r="E97" s="17">
        <v>88.147000000000006</v>
      </c>
      <c r="F97" s="17">
        <v>65.747</v>
      </c>
      <c r="G97" s="17">
        <v>61.823</v>
      </c>
      <c r="H97" s="17">
        <v>58.917000000000002</v>
      </c>
      <c r="I97" s="5">
        <v>40.174999999999997</v>
      </c>
      <c r="J97" s="5">
        <v>58.392000000000003</v>
      </c>
      <c r="K97" s="5">
        <v>48.488</v>
      </c>
      <c r="M97" s="17">
        <v>7.8666666666666663</v>
      </c>
      <c r="N97" s="17">
        <v>80.617999999999995</v>
      </c>
      <c r="O97" s="17">
        <v>73.253</v>
      </c>
      <c r="P97" s="17">
        <v>57.612000000000002</v>
      </c>
      <c r="Q97" s="17">
        <v>84.837000000000003</v>
      </c>
      <c r="R97" s="17">
        <v>91.325999999999993</v>
      </c>
      <c r="S97" s="17">
        <v>70.837999999999994</v>
      </c>
      <c r="T97" s="17">
        <v>70.531999999999996</v>
      </c>
      <c r="U97" s="17">
        <v>58.917000000000002</v>
      </c>
      <c r="V97" s="5">
        <v>60.008000000000003</v>
      </c>
      <c r="W97" s="5">
        <v>77.375</v>
      </c>
    </row>
    <row r="98" spans="2:23" x14ac:dyDescent="0.2">
      <c r="B98" s="17">
        <v>6.45</v>
      </c>
      <c r="C98" s="17">
        <v>80.396000000000001</v>
      </c>
      <c r="D98" s="17">
        <v>77.616</v>
      </c>
      <c r="E98" s="17">
        <v>88.143000000000001</v>
      </c>
      <c r="F98" s="17">
        <v>65.706000000000003</v>
      </c>
      <c r="G98" s="17">
        <v>61.817</v>
      </c>
      <c r="H98" s="17">
        <v>58.88</v>
      </c>
      <c r="I98" s="5">
        <v>40.009</v>
      </c>
      <c r="J98" s="5">
        <v>58.314</v>
      </c>
      <c r="K98" s="5">
        <v>48.429000000000002</v>
      </c>
      <c r="M98" s="17">
        <v>7.9</v>
      </c>
      <c r="N98" s="17">
        <v>80.462999999999994</v>
      </c>
      <c r="O98" s="17">
        <v>73.001999999999995</v>
      </c>
      <c r="P98" s="17">
        <v>57.457000000000001</v>
      </c>
      <c r="Q98" s="17">
        <v>84.947000000000003</v>
      </c>
      <c r="R98" s="17">
        <v>91.271000000000001</v>
      </c>
      <c r="S98" s="17">
        <v>70.718999999999994</v>
      </c>
      <c r="T98" s="17">
        <v>70.415999999999997</v>
      </c>
      <c r="U98" s="17">
        <v>58.691000000000003</v>
      </c>
      <c r="V98" s="5">
        <v>59.889000000000003</v>
      </c>
      <c r="W98" s="5">
        <v>77.311999999999998</v>
      </c>
    </row>
    <row r="99" spans="2:23" x14ac:dyDescent="0.2">
      <c r="B99" s="17">
        <v>6.4666666666666668</v>
      </c>
      <c r="C99" s="17">
        <v>80.338999999999999</v>
      </c>
      <c r="D99" s="17">
        <v>77.572000000000003</v>
      </c>
      <c r="E99" s="17">
        <v>88.126000000000005</v>
      </c>
      <c r="F99" s="17">
        <v>65.707999999999998</v>
      </c>
      <c r="G99" s="17">
        <v>61.755000000000003</v>
      </c>
      <c r="H99" s="17">
        <v>58.822000000000003</v>
      </c>
      <c r="I99" s="5">
        <v>39.975000000000001</v>
      </c>
      <c r="J99" s="5">
        <v>58.293999999999997</v>
      </c>
      <c r="K99" s="5">
        <v>48.396999999999998</v>
      </c>
      <c r="M99" s="17">
        <v>7.9333333333333336</v>
      </c>
      <c r="N99" s="17">
        <v>80.325000000000003</v>
      </c>
      <c r="O99" s="17">
        <v>73.006</v>
      </c>
      <c r="P99" s="17">
        <v>57.085999999999999</v>
      </c>
      <c r="Q99" s="17">
        <v>84.951999999999998</v>
      </c>
      <c r="R99" s="17">
        <v>91.15</v>
      </c>
      <c r="S99" s="17">
        <v>70.623999999999995</v>
      </c>
      <c r="T99" s="17">
        <v>70.313000000000002</v>
      </c>
      <c r="U99" s="17">
        <v>58.593000000000004</v>
      </c>
      <c r="V99" s="5">
        <v>59.765999999999998</v>
      </c>
      <c r="W99" s="5">
        <v>77.290000000000006</v>
      </c>
    </row>
    <row r="100" spans="2:23" x14ac:dyDescent="0.2">
      <c r="B100" s="17">
        <v>6.4833333333333334</v>
      </c>
      <c r="C100" s="17">
        <v>80.34</v>
      </c>
      <c r="D100" s="17">
        <v>77.515000000000001</v>
      </c>
      <c r="E100" s="17">
        <v>88.111999999999995</v>
      </c>
      <c r="F100" s="17">
        <v>65.641999999999996</v>
      </c>
      <c r="G100" s="17">
        <v>61.697000000000003</v>
      </c>
      <c r="H100" s="17">
        <v>58.74</v>
      </c>
      <c r="I100" s="5">
        <v>39.94</v>
      </c>
      <c r="J100" s="5">
        <v>58.298999999999999</v>
      </c>
      <c r="K100" s="5">
        <v>48.347999999999999</v>
      </c>
      <c r="M100" s="17">
        <v>7.9666666666666668</v>
      </c>
      <c r="N100" s="17">
        <v>80.037999999999997</v>
      </c>
      <c r="O100" s="17">
        <v>72.825000000000003</v>
      </c>
      <c r="P100" s="17">
        <v>56.875</v>
      </c>
      <c r="Q100" s="17">
        <v>84.677000000000007</v>
      </c>
      <c r="R100" s="17">
        <v>91.057000000000002</v>
      </c>
      <c r="S100" s="17">
        <v>70.415999999999997</v>
      </c>
      <c r="T100" s="17">
        <v>70.174000000000007</v>
      </c>
      <c r="U100" s="17">
        <v>58.488</v>
      </c>
      <c r="V100" s="5">
        <v>59.603000000000002</v>
      </c>
      <c r="W100" s="5">
        <v>77.204999999999998</v>
      </c>
    </row>
    <row r="101" spans="2:23" x14ac:dyDescent="0.2">
      <c r="B101" s="17">
        <v>6.5</v>
      </c>
      <c r="C101" s="17">
        <v>80.38</v>
      </c>
      <c r="D101" s="17">
        <v>77.483999999999995</v>
      </c>
      <c r="E101" s="17">
        <v>88.084000000000003</v>
      </c>
      <c r="F101" s="17">
        <v>65.653999999999996</v>
      </c>
      <c r="G101" s="17">
        <v>61.673999999999999</v>
      </c>
      <c r="H101" s="17">
        <v>58.686</v>
      </c>
      <c r="I101" s="5">
        <v>39.819000000000003</v>
      </c>
      <c r="J101" s="5">
        <v>58.173999999999999</v>
      </c>
      <c r="K101" s="5">
        <v>48.271000000000001</v>
      </c>
      <c r="M101" s="17">
        <v>8</v>
      </c>
      <c r="N101" s="17">
        <v>80.114000000000004</v>
      </c>
      <c r="O101" s="17">
        <v>72.632000000000005</v>
      </c>
      <c r="P101" s="17">
        <v>56.66</v>
      </c>
      <c r="Q101" s="17">
        <v>84.77</v>
      </c>
      <c r="R101" s="17">
        <v>91.075000000000003</v>
      </c>
      <c r="S101" s="17">
        <v>70.323999999999998</v>
      </c>
      <c r="T101" s="17">
        <v>70.167000000000002</v>
      </c>
      <c r="U101" s="17">
        <v>58.381</v>
      </c>
      <c r="V101" s="5">
        <v>59.466000000000001</v>
      </c>
      <c r="W101" s="5">
        <v>77.113</v>
      </c>
    </row>
    <row r="102" spans="2:23" x14ac:dyDescent="0.2">
      <c r="B102" s="17">
        <v>6.5166666666666666</v>
      </c>
      <c r="C102" s="17">
        <v>80.346000000000004</v>
      </c>
      <c r="D102" s="17">
        <v>77.45</v>
      </c>
      <c r="E102" s="17">
        <v>88.061999999999998</v>
      </c>
      <c r="F102" s="17">
        <v>65.677999999999997</v>
      </c>
      <c r="G102" s="17">
        <v>61.631999999999998</v>
      </c>
      <c r="H102" s="17">
        <v>58.637</v>
      </c>
      <c r="I102" s="5">
        <v>39.753999999999998</v>
      </c>
      <c r="J102" s="5">
        <v>58.155999999999999</v>
      </c>
      <c r="K102" s="5">
        <v>48.194000000000003</v>
      </c>
      <c r="M102" s="17">
        <v>8.0333333333333332</v>
      </c>
      <c r="N102" s="17">
        <v>79.915999999999997</v>
      </c>
      <c r="O102" s="17">
        <v>72.513999999999996</v>
      </c>
      <c r="P102" s="17">
        <v>56.4</v>
      </c>
      <c r="Q102" s="17">
        <v>84.557000000000002</v>
      </c>
      <c r="R102" s="17">
        <v>90.962999999999994</v>
      </c>
      <c r="S102" s="17">
        <v>70.180999999999997</v>
      </c>
      <c r="T102" s="17">
        <v>70.058000000000007</v>
      </c>
      <c r="U102" s="17">
        <v>58.215000000000003</v>
      </c>
      <c r="V102" s="5">
        <v>59.295000000000002</v>
      </c>
      <c r="W102" s="5">
        <v>77.010999999999996</v>
      </c>
    </row>
    <row r="103" spans="2:23" x14ac:dyDescent="0.2">
      <c r="B103" s="17">
        <v>6.5333333333333332</v>
      </c>
      <c r="C103" s="17">
        <v>80.248000000000005</v>
      </c>
      <c r="D103" s="17">
        <v>77.412999999999997</v>
      </c>
      <c r="E103" s="17">
        <v>87.995000000000005</v>
      </c>
      <c r="F103" s="17">
        <v>65.575000000000003</v>
      </c>
      <c r="G103" s="17">
        <v>61.61</v>
      </c>
      <c r="H103" s="17">
        <v>58.603999999999999</v>
      </c>
      <c r="I103" s="5">
        <v>39.752000000000002</v>
      </c>
      <c r="J103" s="5">
        <v>58.180999999999997</v>
      </c>
      <c r="K103" s="5">
        <v>48.164999999999999</v>
      </c>
      <c r="M103" s="17">
        <v>8.0666666666666664</v>
      </c>
      <c r="N103" s="17">
        <v>79.965999999999994</v>
      </c>
      <c r="O103" s="17">
        <v>72.373999999999995</v>
      </c>
      <c r="P103" s="17">
        <v>56.145000000000003</v>
      </c>
      <c r="Q103" s="17">
        <v>84.534000000000006</v>
      </c>
      <c r="R103" s="17">
        <v>90.882999999999996</v>
      </c>
      <c r="S103" s="17">
        <v>70.135999999999996</v>
      </c>
      <c r="T103" s="17">
        <v>69.97</v>
      </c>
      <c r="U103" s="17">
        <v>58.104999999999997</v>
      </c>
      <c r="V103" s="5">
        <v>59.170999999999999</v>
      </c>
      <c r="W103" s="5">
        <v>76.991</v>
      </c>
    </row>
    <row r="104" spans="2:23" x14ac:dyDescent="0.2">
      <c r="B104" s="17">
        <v>6.55</v>
      </c>
      <c r="C104" s="17">
        <v>80.25</v>
      </c>
      <c r="D104" s="17">
        <v>77.367000000000004</v>
      </c>
      <c r="E104" s="17">
        <v>88.006</v>
      </c>
      <c r="F104" s="17">
        <v>65.537000000000006</v>
      </c>
      <c r="G104" s="17">
        <v>61.585999999999999</v>
      </c>
      <c r="H104" s="17">
        <v>58.564</v>
      </c>
      <c r="I104" s="5">
        <v>39.661000000000001</v>
      </c>
      <c r="J104" s="5">
        <v>58.069000000000003</v>
      </c>
      <c r="K104" s="5">
        <v>48.154000000000003</v>
      </c>
      <c r="M104" s="17">
        <v>8.1</v>
      </c>
      <c r="N104" s="17">
        <v>79.795000000000002</v>
      </c>
      <c r="O104" s="17">
        <v>72.231999999999999</v>
      </c>
      <c r="P104" s="17">
        <v>55.784999999999997</v>
      </c>
      <c r="Q104" s="17">
        <v>84.382000000000005</v>
      </c>
      <c r="R104" s="17">
        <v>90.861999999999995</v>
      </c>
      <c r="S104" s="17">
        <v>69.986999999999995</v>
      </c>
      <c r="T104" s="17">
        <v>69.864000000000004</v>
      </c>
      <c r="U104" s="17">
        <v>57.991999999999997</v>
      </c>
      <c r="V104" s="5">
        <v>59.037999999999997</v>
      </c>
      <c r="W104" s="5">
        <v>76.915000000000006</v>
      </c>
    </row>
    <row r="105" spans="2:23" x14ac:dyDescent="0.2">
      <c r="B105" s="17">
        <v>6.5666666666666664</v>
      </c>
      <c r="C105" s="17">
        <v>80.144000000000005</v>
      </c>
      <c r="D105" s="17">
        <v>77.301000000000002</v>
      </c>
      <c r="E105" s="17">
        <v>88.088999999999999</v>
      </c>
      <c r="F105" s="17">
        <v>65.507000000000005</v>
      </c>
      <c r="G105" s="17">
        <v>61.512</v>
      </c>
      <c r="H105" s="17">
        <v>58.463000000000001</v>
      </c>
      <c r="I105" s="5">
        <v>39.567999999999998</v>
      </c>
      <c r="J105" s="5">
        <v>57.911999999999999</v>
      </c>
      <c r="K105" s="5">
        <v>48.067</v>
      </c>
      <c r="M105" s="17">
        <v>8.1333333333333329</v>
      </c>
      <c r="N105" s="17">
        <v>79.772999999999996</v>
      </c>
      <c r="O105" s="17">
        <v>72.103999999999999</v>
      </c>
      <c r="P105" s="17">
        <v>55.530999999999999</v>
      </c>
      <c r="Q105" s="17">
        <v>84.503</v>
      </c>
      <c r="R105" s="17">
        <v>90.793000000000006</v>
      </c>
      <c r="S105" s="17">
        <v>69.88</v>
      </c>
      <c r="T105" s="17">
        <v>69.786000000000001</v>
      </c>
      <c r="U105" s="17">
        <v>57.85</v>
      </c>
      <c r="V105" s="5">
        <v>58.844999999999999</v>
      </c>
      <c r="W105" s="5">
        <v>76.867999999999995</v>
      </c>
    </row>
    <row r="106" spans="2:23" x14ac:dyDescent="0.2">
      <c r="B106" s="17">
        <v>6.583333333333333</v>
      </c>
      <c r="C106" s="17">
        <v>80.19</v>
      </c>
      <c r="D106" s="17">
        <v>77.28</v>
      </c>
      <c r="E106" s="17">
        <v>88.048000000000002</v>
      </c>
      <c r="F106" s="17">
        <v>65.494</v>
      </c>
      <c r="G106" s="17">
        <v>61.472000000000001</v>
      </c>
      <c r="H106" s="17">
        <v>58.457000000000001</v>
      </c>
      <c r="I106" s="5">
        <v>39.454999999999998</v>
      </c>
      <c r="J106" s="5">
        <v>57.923000000000002</v>
      </c>
      <c r="K106" s="5">
        <v>48.027999999999999</v>
      </c>
      <c r="M106" s="17">
        <v>8.1666666666666661</v>
      </c>
      <c r="N106" s="17">
        <v>79.5</v>
      </c>
      <c r="O106" s="17">
        <v>71.962999999999994</v>
      </c>
      <c r="P106" s="17">
        <v>55.462000000000003</v>
      </c>
      <c r="Q106" s="17">
        <v>84.358000000000004</v>
      </c>
      <c r="R106" s="17">
        <v>90.673000000000002</v>
      </c>
      <c r="S106" s="17">
        <v>69.786000000000001</v>
      </c>
      <c r="T106" s="17">
        <v>69.662999999999997</v>
      </c>
      <c r="U106" s="17">
        <v>57.664999999999999</v>
      </c>
      <c r="V106" s="5">
        <v>58.735999999999997</v>
      </c>
      <c r="W106" s="5">
        <v>76.75</v>
      </c>
    </row>
    <row r="107" spans="2:23" x14ac:dyDescent="0.2">
      <c r="B107" s="17">
        <v>6.6</v>
      </c>
      <c r="C107" s="17">
        <v>80.143000000000001</v>
      </c>
      <c r="D107" s="17">
        <v>77.201999999999998</v>
      </c>
      <c r="E107" s="17">
        <v>87.984999999999999</v>
      </c>
      <c r="F107" s="17">
        <v>65.405000000000001</v>
      </c>
      <c r="G107" s="17">
        <v>61.384</v>
      </c>
      <c r="H107" s="17">
        <v>58.332999999999998</v>
      </c>
      <c r="I107" s="5">
        <v>39.463999999999999</v>
      </c>
      <c r="J107" s="5">
        <v>57.944000000000003</v>
      </c>
      <c r="K107" s="5">
        <v>47.962000000000003</v>
      </c>
      <c r="M107" s="17">
        <v>8.1999999999999993</v>
      </c>
      <c r="N107" s="17">
        <v>79.308999999999997</v>
      </c>
      <c r="O107" s="17">
        <v>71.822999999999993</v>
      </c>
      <c r="P107" s="17">
        <v>55.087000000000003</v>
      </c>
      <c r="Q107" s="17">
        <v>84.152000000000001</v>
      </c>
      <c r="R107" s="17">
        <v>90.623999999999995</v>
      </c>
      <c r="S107" s="17">
        <v>69.656999999999996</v>
      </c>
      <c r="T107" s="17">
        <v>69.619</v>
      </c>
      <c r="U107" s="17">
        <v>57.527000000000001</v>
      </c>
      <c r="V107" s="5">
        <v>58.584000000000003</v>
      </c>
      <c r="W107" s="5">
        <v>76.694000000000003</v>
      </c>
    </row>
    <row r="108" spans="2:23" x14ac:dyDescent="0.2">
      <c r="B108" s="17">
        <v>6.6166666666666663</v>
      </c>
      <c r="C108" s="17">
        <v>80.016000000000005</v>
      </c>
      <c r="D108" s="17">
        <v>77.192999999999998</v>
      </c>
      <c r="E108" s="17">
        <v>87.984999999999999</v>
      </c>
      <c r="F108" s="17">
        <v>65.366</v>
      </c>
      <c r="G108" s="17">
        <v>61.371000000000002</v>
      </c>
      <c r="H108" s="17">
        <v>58.323999999999998</v>
      </c>
      <c r="I108" s="5">
        <v>39.313000000000002</v>
      </c>
      <c r="J108" s="5">
        <v>57.822000000000003</v>
      </c>
      <c r="K108" s="5">
        <v>47.899000000000001</v>
      </c>
      <c r="M108" s="17">
        <v>8.2333333333333325</v>
      </c>
      <c r="N108" s="17">
        <v>79.212999999999994</v>
      </c>
      <c r="O108" s="17">
        <v>71.704999999999998</v>
      </c>
      <c r="P108" s="17">
        <v>54.966000000000001</v>
      </c>
      <c r="Q108" s="17">
        <v>84.27</v>
      </c>
      <c r="R108" s="17">
        <v>90.528000000000006</v>
      </c>
      <c r="S108" s="17">
        <v>69.566999999999993</v>
      </c>
      <c r="T108" s="17">
        <v>69.585999999999999</v>
      </c>
      <c r="U108" s="17">
        <v>57.353000000000002</v>
      </c>
      <c r="V108" s="5">
        <v>58.401000000000003</v>
      </c>
      <c r="W108" s="5">
        <v>76.596999999999994</v>
      </c>
    </row>
    <row r="109" spans="2:23" x14ac:dyDescent="0.2">
      <c r="B109" s="17">
        <v>6.6333333333333337</v>
      </c>
      <c r="C109" s="17">
        <v>79.989999999999995</v>
      </c>
      <c r="D109" s="17">
        <v>77.144999999999996</v>
      </c>
      <c r="E109" s="17">
        <v>88</v>
      </c>
      <c r="F109" s="17">
        <v>65.251000000000005</v>
      </c>
      <c r="G109" s="17">
        <v>61.262999999999998</v>
      </c>
      <c r="H109" s="17">
        <v>58.268000000000001</v>
      </c>
      <c r="I109" s="5">
        <v>39.283999999999999</v>
      </c>
      <c r="J109" s="5">
        <v>57.807000000000002</v>
      </c>
      <c r="K109" s="5">
        <v>47.847999999999999</v>
      </c>
      <c r="M109" s="17">
        <v>8.2666666666666675</v>
      </c>
      <c r="N109" s="17">
        <v>79.292000000000002</v>
      </c>
      <c r="O109" s="17">
        <v>71.525999999999996</v>
      </c>
      <c r="P109" s="17">
        <v>54.658999999999999</v>
      </c>
      <c r="Q109" s="17">
        <v>84.096000000000004</v>
      </c>
      <c r="R109" s="17">
        <v>90.475999999999999</v>
      </c>
      <c r="S109" s="17">
        <v>69.468999999999994</v>
      </c>
      <c r="T109" s="17">
        <v>69.406999999999996</v>
      </c>
      <c r="U109" s="17">
        <v>57.262</v>
      </c>
      <c r="V109" s="5">
        <v>58.366999999999997</v>
      </c>
      <c r="W109" s="5">
        <v>76.552000000000007</v>
      </c>
    </row>
    <row r="110" spans="2:23" x14ac:dyDescent="0.2">
      <c r="B110" s="17">
        <v>6.65</v>
      </c>
      <c r="C110" s="17">
        <v>80.063000000000002</v>
      </c>
      <c r="D110" s="17">
        <v>77.188999999999993</v>
      </c>
      <c r="E110" s="17">
        <v>87.968000000000004</v>
      </c>
      <c r="F110" s="17">
        <v>65.212000000000003</v>
      </c>
      <c r="G110" s="17">
        <v>61.231999999999999</v>
      </c>
      <c r="H110" s="17">
        <v>58.161000000000001</v>
      </c>
      <c r="I110" s="5">
        <v>39.176000000000002</v>
      </c>
      <c r="J110" s="5">
        <v>57.69</v>
      </c>
      <c r="K110" s="5">
        <v>47.802999999999997</v>
      </c>
      <c r="M110" s="17">
        <v>8.3000000000000007</v>
      </c>
      <c r="N110" s="17">
        <v>78.856999999999999</v>
      </c>
      <c r="O110" s="17">
        <v>71.41</v>
      </c>
      <c r="P110" s="17">
        <v>54.494999999999997</v>
      </c>
      <c r="Q110" s="17">
        <v>84.144000000000005</v>
      </c>
      <c r="R110" s="17">
        <v>90.328000000000003</v>
      </c>
      <c r="S110" s="17">
        <v>69.379000000000005</v>
      </c>
      <c r="T110" s="17">
        <v>69.352000000000004</v>
      </c>
      <c r="U110" s="17">
        <v>57.124000000000002</v>
      </c>
      <c r="V110" s="5">
        <v>58.216000000000001</v>
      </c>
      <c r="W110" s="5">
        <v>76.509</v>
      </c>
    </row>
    <row r="111" spans="2:23" x14ac:dyDescent="0.2">
      <c r="B111" s="17">
        <v>6.666666666666667</v>
      </c>
      <c r="C111" s="17">
        <v>80.009</v>
      </c>
      <c r="D111" s="17">
        <v>77.188000000000002</v>
      </c>
      <c r="E111" s="17">
        <v>87.905000000000001</v>
      </c>
      <c r="F111" s="17">
        <v>65.174000000000007</v>
      </c>
      <c r="G111" s="17">
        <v>61.183</v>
      </c>
      <c r="H111" s="17">
        <v>58.115000000000002</v>
      </c>
      <c r="I111" s="5">
        <v>39.143000000000001</v>
      </c>
      <c r="J111" s="5">
        <v>57.683999999999997</v>
      </c>
      <c r="K111" s="5">
        <v>47.744999999999997</v>
      </c>
      <c r="M111" s="17">
        <v>8.3333333333333339</v>
      </c>
      <c r="N111" s="17">
        <v>79.055999999999997</v>
      </c>
      <c r="O111" s="17">
        <v>71.197000000000003</v>
      </c>
      <c r="P111" s="17">
        <v>54.170999999999999</v>
      </c>
      <c r="Q111" s="17">
        <v>84.055999999999997</v>
      </c>
      <c r="R111" s="17">
        <v>90.352999999999994</v>
      </c>
      <c r="S111" s="17">
        <v>69.206999999999994</v>
      </c>
      <c r="T111" s="17">
        <v>69.308000000000007</v>
      </c>
      <c r="U111" s="17">
        <v>56.972000000000001</v>
      </c>
      <c r="V111" s="5">
        <v>57.984000000000002</v>
      </c>
      <c r="W111" s="5">
        <v>76.433000000000007</v>
      </c>
    </row>
    <row r="112" spans="2:23" x14ac:dyDescent="0.2">
      <c r="B112" s="17">
        <v>6.6833333333333336</v>
      </c>
      <c r="C112" s="17">
        <v>80.022999999999996</v>
      </c>
      <c r="D112" s="17">
        <v>77.126999999999995</v>
      </c>
      <c r="E112" s="17">
        <v>87.885999999999996</v>
      </c>
      <c r="F112" s="17">
        <v>65.188999999999993</v>
      </c>
      <c r="G112" s="17">
        <v>61.13</v>
      </c>
      <c r="H112" s="17">
        <v>58.100999999999999</v>
      </c>
      <c r="I112" s="5">
        <v>39.058999999999997</v>
      </c>
      <c r="J112" s="5">
        <v>57.468000000000004</v>
      </c>
      <c r="K112" s="5">
        <v>47.725000000000001</v>
      </c>
      <c r="M112" s="17">
        <v>8.3666666666666671</v>
      </c>
      <c r="N112" s="17">
        <v>78.813000000000002</v>
      </c>
      <c r="O112" s="17">
        <v>71.108000000000004</v>
      </c>
      <c r="P112" s="17">
        <v>54.015999999999998</v>
      </c>
      <c r="Q112" s="17">
        <v>83.944999999999993</v>
      </c>
      <c r="R112" s="17">
        <v>90.206000000000003</v>
      </c>
      <c r="S112" s="17">
        <v>69.066000000000003</v>
      </c>
      <c r="T112" s="17">
        <v>69.141999999999996</v>
      </c>
      <c r="U112" s="17">
        <v>56.771000000000001</v>
      </c>
      <c r="V112" s="5">
        <v>57.899000000000001</v>
      </c>
      <c r="W112" s="5">
        <v>76.296999999999997</v>
      </c>
    </row>
    <row r="113" spans="2:23" x14ac:dyDescent="0.2">
      <c r="B113" s="17">
        <v>6.7</v>
      </c>
      <c r="C113" s="17">
        <v>79.936999999999998</v>
      </c>
      <c r="D113" s="17">
        <v>77.013999999999996</v>
      </c>
      <c r="E113" s="17">
        <v>87.861999999999995</v>
      </c>
      <c r="F113" s="17">
        <v>65.043999999999997</v>
      </c>
      <c r="G113" s="17">
        <v>61.094999999999999</v>
      </c>
      <c r="H113" s="17">
        <v>57.927</v>
      </c>
      <c r="I113" s="5">
        <v>38.97</v>
      </c>
      <c r="J113" s="5">
        <v>57.533999999999999</v>
      </c>
      <c r="K113" s="5">
        <v>47.640999999999998</v>
      </c>
      <c r="M113" s="17">
        <v>8.4</v>
      </c>
      <c r="N113" s="17">
        <v>78.533000000000001</v>
      </c>
      <c r="O113" s="17">
        <v>70.938999999999993</v>
      </c>
      <c r="P113" s="17">
        <v>53.645000000000003</v>
      </c>
      <c r="Q113" s="17">
        <v>83.903000000000006</v>
      </c>
      <c r="R113" s="17">
        <v>90.16</v>
      </c>
      <c r="S113" s="17">
        <v>68.951999999999998</v>
      </c>
      <c r="T113" s="17">
        <v>69.11</v>
      </c>
      <c r="U113" s="17">
        <v>56.637999999999998</v>
      </c>
      <c r="V113" s="5">
        <v>57.741</v>
      </c>
      <c r="W113" s="5">
        <v>76.239999999999995</v>
      </c>
    </row>
    <row r="114" spans="2:23" x14ac:dyDescent="0.2">
      <c r="B114" s="17">
        <v>6.7166666666666668</v>
      </c>
      <c r="C114" s="17">
        <v>79.951999999999998</v>
      </c>
      <c r="D114" s="17">
        <v>76.936000000000007</v>
      </c>
      <c r="E114" s="17">
        <v>87.924999999999997</v>
      </c>
      <c r="F114" s="17">
        <v>64.938000000000002</v>
      </c>
      <c r="G114" s="17">
        <v>61.040999999999997</v>
      </c>
      <c r="H114" s="17">
        <v>57.901000000000003</v>
      </c>
      <c r="I114" s="5">
        <v>38.875</v>
      </c>
      <c r="J114" s="5">
        <v>57.445999999999998</v>
      </c>
      <c r="K114" s="5">
        <v>47.65</v>
      </c>
      <c r="M114" s="17">
        <v>8.4333333333333336</v>
      </c>
      <c r="N114" s="17">
        <v>78.296000000000006</v>
      </c>
      <c r="O114" s="17">
        <v>70.790000000000006</v>
      </c>
      <c r="P114" s="17">
        <v>53.436999999999998</v>
      </c>
      <c r="Q114" s="17">
        <v>83.799000000000007</v>
      </c>
      <c r="R114" s="17">
        <v>90.113</v>
      </c>
      <c r="S114" s="17">
        <v>68.766000000000005</v>
      </c>
      <c r="T114" s="17">
        <v>69.046000000000006</v>
      </c>
      <c r="U114" s="17">
        <v>56.581000000000003</v>
      </c>
      <c r="V114" s="5">
        <v>57.625</v>
      </c>
      <c r="W114" s="5">
        <v>76.206000000000003</v>
      </c>
    </row>
    <row r="115" spans="2:23" x14ac:dyDescent="0.2">
      <c r="B115" s="17">
        <v>6.7333333333333334</v>
      </c>
      <c r="C115" s="17">
        <v>79.885000000000005</v>
      </c>
      <c r="D115" s="17">
        <v>76.963999999999999</v>
      </c>
      <c r="E115" s="17">
        <v>87.888000000000005</v>
      </c>
      <c r="F115" s="17">
        <v>64.988</v>
      </c>
      <c r="G115" s="17">
        <v>61.009</v>
      </c>
      <c r="H115" s="17">
        <v>57.87</v>
      </c>
      <c r="I115" s="5">
        <v>38.82</v>
      </c>
      <c r="J115" s="5">
        <v>57.311</v>
      </c>
      <c r="K115" s="5">
        <v>47.51</v>
      </c>
      <c r="M115" s="17">
        <v>8.4666666666666668</v>
      </c>
      <c r="N115" s="17">
        <v>78.262</v>
      </c>
      <c r="O115" s="17">
        <v>70.561999999999998</v>
      </c>
      <c r="P115" s="17">
        <v>53.213999999999999</v>
      </c>
      <c r="Q115" s="17">
        <v>83.790999999999997</v>
      </c>
      <c r="R115" s="17">
        <v>89.980999999999995</v>
      </c>
      <c r="S115" s="17">
        <v>68.691999999999993</v>
      </c>
      <c r="T115" s="17">
        <v>68.94</v>
      </c>
      <c r="U115" s="17">
        <v>56.454999999999998</v>
      </c>
      <c r="V115" s="5">
        <v>57.43</v>
      </c>
      <c r="W115" s="5">
        <v>76.153000000000006</v>
      </c>
    </row>
    <row r="116" spans="2:23" x14ac:dyDescent="0.2">
      <c r="B116" s="17">
        <v>6.75</v>
      </c>
      <c r="C116" s="17">
        <v>79.923000000000002</v>
      </c>
      <c r="D116" s="17">
        <v>76.95</v>
      </c>
      <c r="E116" s="17">
        <v>87.908000000000001</v>
      </c>
      <c r="F116" s="17">
        <v>64.914000000000001</v>
      </c>
      <c r="G116" s="17">
        <v>60.94</v>
      </c>
      <c r="H116" s="17">
        <v>57.765999999999998</v>
      </c>
      <c r="I116" s="5">
        <v>38.734999999999999</v>
      </c>
      <c r="J116" s="5">
        <v>57.328000000000003</v>
      </c>
      <c r="K116" s="5">
        <v>47.5</v>
      </c>
      <c r="M116" s="17">
        <v>8.5</v>
      </c>
      <c r="N116" s="17">
        <v>78.015000000000001</v>
      </c>
      <c r="O116" s="17">
        <v>70.325000000000003</v>
      </c>
      <c r="P116" s="17">
        <v>53.064999999999998</v>
      </c>
      <c r="Q116" s="17">
        <v>83.61</v>
      </c>
      <c r="R116" s="17">
        <v>89.804000000000002</v>
      </c>
      <c r="S116" s="17">
        <v>68.558999999999997</v>
      </c>
      <c r="T116" s="17">
        <v>68.832999999999998</v>
      </c>
      <c r="U116" s="17">
        <v>56.316000000000003</v>
      </c>
      <c r="V116" s="5">
        <v>57.29</v>
      </c>
      <c r="W116" s="5">
        <v>76.055000000000007</v>
      </c>
    </row>
    <row r="117" spans="2:23" x14ac:dyDescent="0.2">
      <c r="B117" s="17">
        <v>6.7666666666666666</v>
      </c>
      <c r="C117" s="17">
        <v>79.84</v>
      </c>
      <c r="D117" s="17">
        <v>76.953000000000003</v>
      </c>
      <c r="E117" s="17">
        <v>87.802000000000007</v>
      </c>
      <c r="F117" s="17">
        <v>64.891000000000005</v>
      </c>
      <c r="G117" s="17">
        <v>60.899000000000001</v>
      </c>
      <c r="H117" s="17">
        <v>57.698</v>
      </c>
      <c r="I117" s="5">
        <v>38.631999999999998</v>
      </c>
      <c r="J117" s="5">
        <v>57.319000000000003</v>
      </c>
      <c r="K117" s="5">
        <v>47.454999999999998</v>
      </c>
      <c r="M117" s="17">
        <v>8.5333333333333332</v>
      </c>
      <c r="N117" s="17">
        <v>77.641000000000005</v>
      </c>
      <c r="O117" s="17">
        <v>70.245999999999995</v>
      </c>
      <c r="P117" s="17">
        <v>52.607999999999997</v>
      </c>
      <c r="Q117" s="17">
        <v>83.400999999999996</v>
      </c>
      <c r="R117" s="17">
        <v>89.756</v>
      </c>
      <c r="S117" s="17">
        <v>68.5</v>
      </c>
      <c r="T117" s="17">
        <v>68.813000000000002</v>
      </c>
      <c r="U117" s="17">
        <v>56.151000000000003</v>
      </c>
      <c r="V117" s="5">
        <v>57.177999999999997</v>
      </c>
      <c r="W117" s="5">
        <v>75.978999999999999</v>
      </c>
    </row>
    <row r="118" spans="2:23" x14ac:dyDescent="0.2">
      <c r="B118" s="17">
        <v>6.7833333333333332</v>
      </c>
      <c r="C118" s="17">
        <v>79.774000000000001</v>
      </c>
      <c r="D118" s="17">
        <v>76.891999999999996</v>
      </c>
      <c r="E118" s="17">
        <v>87.841999999999999</v>
      </c>
      <c r="F118" s="17">
        <v>64.772000000000006</v>
      </c>
      <c r="G118" s="17">
        <v>60.851999999999997</v>
      </c>
      <c r="H118" s="17">
        <v>57.625999999999998</v>
      </c>
      <c r="I118" s="5">
        <v>38.631</v>
      </c>
      <c r="J118" s="5">
        <v>57.280999999999999</v>
      </c>
      <c r="K118" s="5">
        <v>47.374000000000002</v>
      </c>
      <c r="M118" s="17">
        <v>8.5666666666666664</v>
      </c>
      <c r="N118" s="17">
        <v>77.319000000000003</v>
      </c>
      <c r="O118" s="17">
        <v>70.081000000000003</v>
      </c>
      <c r="P118" s="17">
        <v>52.47</v>
      </c>
      <c r="Q118" s="17">
        <v>83.245999999999995</v>
      </c>
      <c r="R118" s="17">
        <v>89.718000000000004</v>
      </c>
      <c r="S118" s="17">
        <v>68.343000000000004</v>
      </c>
      <c r="T118" s="17">
        <v>68.641000000000005</v>
      </c>
      <c r="U118" s="17">
        <v>56.101999999999997</v>
      </c>
      <c r="V118" s="5">
        <v>57.043999999999997</v>
      </c>
      <c r="W118" s="5">
        <v>75.97</v>
      </c>
    </row>
    <row r="119" spans="2:23" x14ac:dyDescent="0.2">
      <c r="B119" s="17">
        <v>6.8</v>
      </c>
      <c r="C119" s="17">
        <v>79.757000000000005</v>
      </c>
      <c r="D119" s="17">
        <v>76.843999999999994</v>
      </c>
      <c r="E119" s="17">
        <v>87.804000000000002</v>
      </c>
      <c r="F119" s="17">
        <v>64.736999999999995</v>
      </c>
      <c r="G119" s="17">
        <v>60.798999999999999</v>
      </c>
      <c r="H119" s="17">
        <v>57.588000000000001</v>
      </c>
      <c r="I119" s="5">
        <v>38.491999999999997</v>
      </c>
      <c r="J119" s="5">
        <v>57.162999999999997</v>
      </c>
      <c r="K119" s="5">
        <v>47.295999999999999</v>
      </c>
      <c r="M119" s="17">
        <v>8.6</v>
      </c>
      <c r="N119" s="17">
        <v>77.009</v>
      </c>
      <c r="O119" s="17">
        <v>69.813999999999993</v>
      </c>
      <c r="P119" s="17">
        <v>52.198999999999998</v>
      </c>
      <c r="Q119" s="17">
        <v>83.116</v>
      </c>
      <c r="R119" s="17">
        <v>89.600999999999999</v>
      </c>
      <c r="S119" s="17">
        <v>68.206999999999994</v>
      </c>
      <c r="T119" s="17">
        <v>68.551000000000002</v>
      </c>
      <c r="U119" s="17">
        <v>55.938000000000002</v>
      </c>
      <c r="V119" s="5">
        <v>56.918999999999997</v>
      </c>
      <c r="W119" s="5">
        <v>75.843000000000004</v>
      </c>
    </row>
    <row r="120" spans="2:23" x14ac:dyDescent="0.2">
      <c r="B120" s="17">
        <v>6.8166666666666664</v>
      </c>
      <c r="C120" s="17">
        <v>79.742999999999995</v>
      </c>
      <c r="D120" s="17">
        <v>76.822999999999993</v>
      </c>
      <c r="E120" s="17">
        <v>87.778999999999996</v>
      </c>
      <c r="F120" s="17">
        <v>64.754999999999995</v>
      </c>
      <c r="G120" s="17">
        <v>60.744</v>
      </c>
      <c r="H120" s="17">
        <v>57.472000000000001</v>
      </c>
      <c r="I120" s="5">
        <v>38.448</v>
      </c>
      <c r="J120" s="5">
        <v>57.076999999999998</v>
      </c>
      <c r="K120" s="5">
        <v>47.256999999999998</v>
      </c>
      <c r="M120" s="17">
        <v>8.6333333333333329</v>
      </c>
      <c r="N120" s="17">
        <v>76.811000000000007</v>
      </c>
      <c r="O120" s="17">
        <v>69.584999999999994</v>
      </c>
      <c r="P120" s="17">
        <v>52.051000000000002</v>
      </c>
      <c r="Q120" s="17">
        <v>83.122</v>
      </c>
      <c r="R120" s="17">
        <v>89.534999999999997</v>
      </c>
      <c r="S120" s="17">
        <v>68.099000000000004</v>
      </c>
      <c r="T120" s="17">
        <v>68.462000000000003</v>
      </c>
      <c r="U120" s="17">
        <v>55.795000000000002</v>
      </c>
      <c r="V120" s="5">
        <v>56.725000000000001</v>
      </c>
      <c r="W120" s="5">
        <v>75.825999999999993</v>
      </c>
    </row>
    <row r="121" spans="2:23" x14ac:dyDescent="0.2">
      <c r="B121" s="17">
        <v>6.833333333333333</v>
      </c>
      <c r="C121" s="17">
        <v>79.748000000000005</v>
      </c>
      <c r="D121" s="17">
        <v>76.756</v>
      </c>
      <c r="E121" s="17">
        <v>87.751999999999995</v>
      </c>
      <c r="F121" s="17">
        <v>64.605999999999995</v>
      </c>
      <c r="G121" s="17">
        <v>60.72</v>
      </c>
      <c r="H121" s="17">
        <v>57.36</v>
      </c>
      <c r="I121" s="5">
        <v>38.405000000000001</v>
      </c>
      <c r="J121" s="5">
        <v>57.011000000000003</v>
      </c>
      <c r="K121" s="5">
        <v>47.216999999999999</v>
      </c>
      <c r="M121" s="17">
        <v>8.6666666666666661</v>
      </c>
      <c r="N121" s="17">
        <v>76.802999999999997</v>
      </c>
      <c r="O121" s="17">
        <v>69.385000000000005</v>
      </c>
      <c r="P121" s="17">
        <v>51.695999999999998</v>
      </c>
      <c r="Q121" s="17">
        <v>82.828000000000003</v>
      </c>
      <c r="R121" s="17">
        <v>89.337999999999994</v>
      </c>
      <c r="S121" s="17">
        <v>67.930999999999997</v>
      </c>
      <c r="T121" s="17">
        <v>68.391000000000005</v>
      </c>
      <c r="U121" s="17">
        <v>55.651000000000003</v>
      </c>
      <c r="V121" s="5">
        <v>56.622999999999998</v>
      </c>
      <c r="W121" s="5">
        <v>75.765000000000001</v>
      </c>
    </row>
    <row r="122" spans="2:23" x14ac:dyDescent="0.2">
      <c r="B122" s="17">
        <v>6.85</v>
      </c>
      <c r="C122" s="17">
        <v>79.736000000000004</v>
      </c>
      <c r="D122" s="17">
        <v>76.813999999999993</v>
      </c>
      <c r="E122" s="17">
        <v>87.816999999999993</v>
      </c>
      <c r="F122" s="17">
        <v>64.647000000000006</v>
      </c>
      <c r="G122" s="17">
        <v>60.63</v>
      </c>
      <c r="H122" s="17">
        <v>57.335999999999999</v>
      </c>
      <c r="I122" s="5">
        <v>38.322000000000003</v>
      </c>
      <c r="J122" s="5">
        <v>57.039000000000001</v>
      </c>
      <c r="K122" s="5">
        <v>47.195999999999998</v>
      </c>
      <c r="M122" s="17">
        <v>8.6999999999999993</v>
      </c>
      <c r="N122" s="17">
        <v>76.581999999999994</v>
      </c>
      <c r="O122" s="17">
        <v>69.212000000000003</v>
      </c>
      <c r="P122" s="17">
        <v>51.503999999999998</v>
      </c>
      <c r="Q122" s="17">
        <v>82.662999999999997</v>
      </c>
      <c r="R122" s="17">
        <v>89.26</v>
      </c>
      <c r="S122" s="17">
        <v>67.852000000000004</v>
      </c>
      <c r="T122" s="17">
        <v>68.295000000000002</v>
      </c>
      <c r="U122" s="17">
        <v>55.51</v>
      </c>
      <c r="V122" s="5">
        <v>56.506</v>
      </c>
      <c r="W122" s="5">
        <v>75.652000000000001</v>
      </c>
    </row>
    <row r="123" spans="2:23" x14ac:dyDescent="0.2">
      <c r="B123" s="17">
        <v>6.8666666666666663</v>
      </c>
      <c r="C123" s="17">
        <v>79.67</v>
      </c>
      <c r="D123" s="17">
        <v>76.722999999999999</v>
      </c>
      <c r="E123" s="17">
        <v>87.679000000000002</v>
      </c>
      <c r="F123" s="17">
        <v>64.555000000000007</v>
      </c>
      <c r="G123" s="17">
        <v>60.594000000000001</v>
      </c>
      <c r="H123" s="17">
        <v>57.212000000000003</v>
      </c>
      <c r="I123" s="5">
        <v>38.289000000000001</v>
      </c>
      <c r="J123" s="5">
        <v>56.959000000000003</v>
      </c>
      <c r="K123" s="5">
        <v>47.093000000000004</v>
      </c>
      <c r="M123" s="17">
        <v>8.7333333333333325</v>
      </c>
      <c r="N123" s="17">
        <v>76.192999999999998</v>
      </c>
      <c r="O123" s="17">
        <v>69.040999999999997</v>
      </c>
      <c r="P123" s="17">
        <v>51.262</v>
      </c>
      <c r="Q123" s="17">
        <v>82.606999999999999</v>
      </c>
      <c r="R123" s="17">
        <v>89.073999999999998</v>
      </c>
      <c r="S123" s="17">
        <v>67.697000000000003</v>
      </c>
      <c r="T123" s="17">
        <v>68.177999999999997</v>
      </c>
      <c r="U123" s="17">
        <v>55.371000000000002</v>
      </c>
      <c r="V123" s="5">
        <v>56.287999999999997</v>
      </c>
      <c r="W123" s="5">
        <v>75.567999999999998</v>
      </c>
    </row>
    <row r="124" spans="2:23" x14ac:dyDescent="0.2">
      <c r="B124" s="17">
        <v>6.8833333333333337</v>
      </c>
      <c r="C124" s="17">
        <v>79.66</v>
      </c>
      <c r="D124" s="17">
        <v>76.682000000000002</v>
      </c>
      <c r="E124" s="17">
        <v>87.617000000000004</v>
      </c>
      <c r="F124" s="17">
        <v>64.569000000000003</v>
      </c>
      <c r="G124" s="17">
        <v>60.542999999999999</v>
      </c>
      <c r="H124" s="17">
        <v>57.110999999999997</v>
      </c>
      <c r="I124" s="5">
        <v>38.255000000000003</v>
      </c>
      <c r="J124" s="5">
        <v>56.850999999999999</v>
      </c>
      <c r="K124" s="5">
        <v>47.100999999999999</v>
      </c>
      <c r="M124" s="17">
        <v>8.7666666666666675</v>
      </c>
      <c r="N124" s="17">
        <v>76.025999999999996</v>
      </c>
      <c r="O124" s="17">
        <v>68.796999999999997</v>
      </c>
      <c r="P124" s="17">
        <v>50.965000000000003</v>
      </c>
      <c r="Q124" s="17">
        <v>82.510999999999996</v>
      </c>
      <c r="R124" s="17">
        <v>88.977999999999994</v>
      </c>
      <c r="S124" s="17">
        <v>67.516000000000005</v>
      </c>
      <c r="T124" s="17">
        <v>68.168999999999997</v>
      </c>
      <c r="U124" s="17">
        <v>55.313000000000002</v>
      </c>
      <c r="V124" s="5">
        <v>56.161000000000001</v>
      </c>
      <c r="W124" s="5">
        <v>75.554000000000002</v>
      </c>
    </row>
    <row r="125" spans="2:23" x14ac:dyDescent="0.2">
      <c r="B125" s="17">
        <v>6.9</v>
      </c>
      <c r="C125" s="17">
        <v>79.593000000000004</v>
      </c>
      <c r="D125" s="17">
        <v>76.716999999999999</v>
      </c>
      <c r="E125" s="17">
        <v>87.631</v>
      </c>
      <c r="F125" s="17">
        <v>64.445999999999998</v>
      </c>
      <c r="G125" s="17">
        <v>60.509</v>
      </c>
      <c r="H125" s="17">
        <v>57.037999999999997</v>
      </c>
      <c r="I125" s="5">
        <v>38.167999999999999</v>
      </c>
      <c r="J125" s="5">
        <v>56.857999999999997</v>
      </c>
      <c r="K125" s="5">
        <v>47.043999999999997</v>
      </c>
      <c r="M125" s="17">
        <v>8.8000000000000007</v>
      </c>
      <c r="N125" s="17">
        <v>75.802999999999997</v>
      </c>
      <c r="O125" s="17">
        <v>68.775000000000006</v>
      </c>
      <c r="P125" s="17">
        <v>50.622999999999998</v>
      </c>
      <c r="Q125" s="17">
        <v>82.212999999999994</v>
      </c>
      <c r="R125" s="17">
        <v>88.77</v>
      </c>
      <c r="S125" s="17">
        <v>67.501999999999995</v>
      </c>
      <c r="T125" s="17">
        <v>68.087999999999994</v>
      </c>
      <c r="U125" s="17">
        <v>55.162999999999997</v>
      </c>
      <c r="V125" s="5">
        <v>55.993000000000002</v>
      </c>
      <c r="W125" s="5">
        <v>75.429000000000002</v>
      </c>
    </row>
    <row r="126" spans="2:23" x14ac:dyDescent="0.2">
      <c r="B126" s="17">
        <v>6.916666666666667</v>
      </c>
      <c r="C126" s="17">
        <v>79.572999999999993</v>
      </c>
      <c r="D126" s="17">
        <v>76.656000000000006</v>
      </c>
      <c r="E126" s="17">
        <v>87.683999999999997</v>
      </c>
      <c r="F126" s="17">
        <v>64.423000000000002</v>
      </c>
      <c r="G126" s="17">
        <v>60.508000000000003</v>
      </c>
      <c r="H126" s="17">
        <v>57.009</v>
      </c>
      <c r="I126" s="5">
        <v>38.134999999999998</v>
      </c>
      <c r="J126" s="5">
        <v>56.814999999999998</v>
      </c>
      <c r="K126" s="5">
        <v>46.942999999999998</v>
      </c>
      <c r="M126" s="17">
        <v>8.8333333333333339</v>
      </c>
      <c r="N126" s="17">
        <v>75.602000000000004</v>
      </c>
      <c r="O126" s="17">
        <v>68.569000000000003</v>
      </c>
      <c r="P126" s="17">
        <v>50.58</v>
      </c>
      <c r="Q126" s="17">
        <v>82.105000000000004</v>
      </c>
      <c r="R126" s="17">
        <v>88.688999999999993</v>
      </c>
      <c r="S126" s="17">
        <v>67.322999999999993</v>
      </c>
      <c r="T126" s="17">
        <v>67.997</v>
      </c>
      <c r="U126" s="17">
        <v>54.984000000000002</v>
      </c>
      <c r="V126" s="5">
        <v>55.866</v>
      </c>
      <c r="W126" s="5">
        <v>75.400999999999996</v>
      </c>
    </row>
    <row r="127" spans="2:23" x14ac:dyDescent="0.2">
      <c r="B127" s="17">
        <v>6.9333333333333336</v>
      </c>
      <c r="C127" s="17">
        <v>79.558000000000007</v>
      </c>
      <c r="D127" s="17">
        <v>76.67</v>
      </c>
      <c r="E127" s="17">
        <v>87.581999999999994</v>
      </c>
      <c r="F127" s="17">
        <v>64.41</v>
      </c>
      <c r="G127" s="17">
        <v>60.41</v>
      </c>
      <c r="H127" s="17">
        <v>56.963000000000001</v>
      </c>
      <c r="I127" s="5">
        <v>38.003999999999998</v>
      </c>
      <c r="J127" s="5">
        <v>56.723999999999997</v>
      </c>
      <c r="K127" s="5">
        <v>46.89</v>
      </c>
      <c r="M127" s="17">
        <v>8.8666666666666671</v>
      </c>
      <c r="N127" s="17">
        <v>75.498000000000005</v>
      </c>
      <c r="O127" s="17">
        <v>68.459000000000003</v>
      </c>
      <c r="P127" s="17">
        <v>50.258000000000003</v>
      </c>
      <c r="Q127" s="17">
        <v>82.07</v>
      </c>
      <c r="R127" s="17">
        <v>88.527000000000001</v>
      </c>
      <c r="S127" s="17">
        <v>67.213999999999999</v>
      </c>
      <c r="T127" s="17">
        <v>67.866</v>
      </c>
      <c r="U127" s="17">
        <v>54.917000000000002</v>
      </c>
      <c r="V127" s="5">
        <v>55.655999999999999</v>
      </c>
      <c r="W127" s="5">
        <v>75.332999999999998</v>
      </c>
    </row>
    <row r="128" spans="2:23" x14ac:dyDescent="0.2">
      <c r="B128" s="17">
        <v>6.95</v>
      </c>
      <c r="C128" s="17">
        <v>79.543000000000006</v>
      </c>
      <c r="D128" s="17">
        <v>76.545000000000002</v>
      </c>
      <c r="E128" s="17">
        <v>87.600999999999999</v>
      </c>
      <c r="F128" s="17">
        <v>64.352000000000004</v>
      </c>
      <c r="G128" s="17">
        <v>60.372999999999998</v>
      </c>
      <c r="H128" s="17">
        <v>56.869</v>
      </c>
      <c r="I128" s="5">
        <v>37.924999999999997</v>
      </c>
      <c r="J128" s="5">
        <v>56.744</v>
      </c>
      <c r="K128" s="5">
        <v>46.798000000000002</v>
      </c>
      <c r="M128" s="17">
        <v>8.9</v>
      </c>
      <c r="N128" s="17">
        <v>75.284000000000006</v>
      </c>
      <c r="O128" s="17">
        <v>68.343999999999994</v>
      </c>
      <c r="P128" s="17">
        <v>49.968000000000004</v>
      </c>
      <c r="Q128" s="17">
        <v>81.935000000000002</v>
      </c>
      <c r="R128" s="17">
        <v>88.32</v>
      </c>
      <c r="S128" s="17">
        <v>67.135000000000005</v>
      </c>
      <c r="T128" s="17">
        <v>67.802999999999997</v>
      </c>
      <c r="U128" s="17">
        <v>54.808999999999997</v>
      </c>
      <c r="V128" s="5">
        <v>55.621000000000002</v>
      </c>
      <c r="W128" s="5">
        <v>75.31</v>
      </c>
    </row>
    <row r="129" spans="2:23" x14ac:dyDescent="0.2">
      <c r="B129" s="17">
        <v>6.9666666666666668</v>
      </c>
      <c r="C129" s="17">
        <v>79.498999999999995</v>
      </c>
      <c r="D129" s="17">
        <v>76.545000000000002</v>
      </c>
      <c r="E129" s="17">
        <v>87.513999999999996</v>
      </c>
      <c r="F129" s="17">
        <v>64.293999999999997</v>
      </c>
      <c r="G129" s="17">
        <v>60.347999999999999</v>
      </c>
      <c r="H129" s="17">
        <v>56.832000000000001</v>
      </c>
      <c r="I129" s="5">
        <v>37.841999999999999</v>
      </c>
      <c r="J129" s="5">
        <v>56.734000000000002</v>
      </c>
      <c r="K129" s="5">
        <v>46.771999999999998</v>
      </c>
      <c r="M129" s="17">
        <v>8.9333333333333336</v>
      </c>
      <c r="N129" s="17">
        <v>75.147000000000006</v>
      </c>
      <c r="O129" s="17">
        <v>68.084000000000003</v>
      </c>
      <c r="P129" s="17">
        <v>49.631</v>
      </c>
      <c r="Q129" s="17">
        <v>81.822999999999993</v>
      </c>
      <c r="R129" s="17">
        <v>88.343999999999994</v>
      </c>
      <c r="S129" s="17">
        <v>67.02</v>
      </c>
      <c r="T129" s="17">
        <v>67.695999999999998</v>
      </c>
      <c r="U129" s="17">
        <v>54.615000000000002</v>
      </c>
      <c r="V129" s="5">
        <v>55.356000000000002</v>
      </c>
      <c r="W129" s="5">
        <v>75.209999999999994</v>
      </c>
    </row>
    <row r="130" spans="2:23" x14ac:dyDescent="0.2">
      <c r="B130" s="17">
        <v>6.9833333333333334</v>
      </c>
      <c r="C130" s="17">
        <v>79.412000000000006</v>
      </c>
      <c r="D130" s="17">
        <v>76.486999999999995</v>
      </c>
      <c r="E130" s="17">
        <v>87.545000000000002</v>
      </c>
      <c r="F130" s="17">
        <v>64.254999999999995</v>
      </c>
      <c r="G130" s="17">
        <v>60.292000000000002</v>
      </c>
      <c r="H130" s="17">
        <v>56.723999999999997</v>
      </c>
      <c r="I130" s="5">
        <v>37.799999999999997</v>
      </c>
      <c r="J130" s="5">
        <v>56.595999999999997</v>
      </c>
      <c r="K130" s="5">
        <v>46.655999999999999</v>
      </c>
      <c r="M130" s="17">
        <v>8.9666666666666668</v>
      </c>
      <c r="N130" s="17">
        <v>74.984999999999999</v>
      </c>
      <c r="O130" s="17">
        <v>67.831999999999994</v>
      </c>
      <c r="P130" s="17">
        <v>49.44</v>
      </c>
      <c r="Q130" s="17">
        <v>81.569999999999993</v>
      </c>
      <c r="R130" s="17">
        <v>88.275999999999996</v>
      </c>
      <c r="S130" s="17">
        <v>66.876999999999995</v>
      </c>
      <c r="T130" s="17">
        <v>67.605000000000004</v>
      </c>
      <c r="U130" s="17">
        <v>54.491999999999997</v>
      </c>
      <c r="V130" s="5">
        <v>55.331000000000003</v>
      </c>
      <c r="W130" s="5">
        <v>75.149000000000001</v>
      </c>
    </row>
    <row r="131" spans="2:23" x14ac:dyDescent="0.2">
      <c r="B131" s="17">
        <v>7</v>
      </c>
      <c r="C131" s="17">
        <v>79.478999999999999</v>
      </c>
      <c r="D131" s="17">
        <v>76.516999999999996</v>
      </c>
      <c r="E131" s="17">
        <v>87.521000000000001</v>
      </c>
      <c r="F131" s="17">
        <v>64.215999999999994</v>
      </c>
      <c r="G131" s="17">
        <v>60.241</v>
      </c>
      <c r="H131" s="17">
        <v>56.726999999999997</v>
      </c>
      <c r="I131" s="5">
        <v>37.74</v>
      </c>
      <c r="J131" s="5">
        <v>56.62</v>
      </c>
      <c r="K131" s="5">
        <v>46.662999999999997</v>
      </c>
      <c r="M131" s="17">
        <v>9</v>
      </c>
      <c r="N131" s="17">
        <v>74.838999999999999</v>
      </c>
      <c r="O131" s="17">
        <v>67.706000000000003</v>
      </c>
      <c r="P131" s="17">
        <v>49.225000000000001</v>
      </c>
      <c r="Q131" s="17">
        <v>81.513000000000005</v>
      </c>
      <c r="R131" s="17">
        <v>88.212999999999994</v>
      </c>
      <c r="S131" s="17">
        <v>66.677000000000007</v>
      </c>
      <c r="T131" s="17">
        <v>67.525999999999996</v>
      </c>
      <c r="U131" s="17">
        <v>54.357999999999997</v>
      </c>
      <c r="V131" s="5">
        <v>54.981000000000002</v>
      </c>
      <c r="W131" s="5">
        <v>75.081000000000003</v>
      </c>
    </row>
    <row r="132" spans="2:23" x14ac:dyDescent="0.2">
      <c r="B132" s="17">
        <v>7.0166666666666666</v>
      </c>
      <c r="C132" s="17">
        <v>79.367999999999995</v>
      </c>
      <c r="D132" s="17">
        <v>76.442999999999998</v>
      </c>
      <c r="E132" s="17">
        <v>87.510999999999996</v>
      </c>
      <c r="F132" s="17">
        <v>64.19</v>
      </c>
      <c r="G132" s="17">
        <v>60.164999999999999</v>
      </c>
      <c r="H132" s="17">
        <v>56.639000000000003</v>
      </c>
      <c r="I132" s="5">
        <v>37.667999999999999</v>
      </c>
      <c r="J132" s="5">
        <v>56.533000000000001</v>
      </c>
      <c r="K132" s="5">
        <v>46.59</v>
      </c>
      <c r="M132" s="17">
        <v>9.0333333333333332</v>
      </c>
      <c r="N132" s="17">
        <v>74.652000000000001</v>
      </c>
      <c r="O132" s="17">
        <v>67.510999999999996</v>
      </c>
      <c r="P132" s="17">
        <v>48.96</v>
      </c>
      <c r="Q132" s="17">
        <v>81.388000000000005</v>
      </c>
      <c r="R132" s="17">
        <v>88.037999999999997</v>
      </c>
      <c r="S132" s="17">
        <v>66.617000000000004</v>
      </c>
      <c r="T132" s="17">
        <v>67.411000000000001</v>
      </c>
      <c r="U132" s="17">
        <v>54.243000000000002</v>
      </c>
      <c r="V132" s="5">
        <v>54.807000000000002</v>
      </c>
      <c r="W132" s="5">
        <v>74.849999999999994</v>
      </c>
    </row>
    <row r="133" spans="2:23" x14ac:dyDescent="0.2">
      <c r="B133" s="17">
        <v>7.0333333333333332</v>
      </c>
      <c r="C133" s="17">
        <v>79.376999999999995</v>
      </c>
      <c r="D133" s="17">
        <v>76.411000000000001</v>
      </c>
      <c r="E133" s="17">
        <v>87.474000000000004</v>
      </c>
      <c r="F133" s="17">
        <v>64.131</v>
      </c>
      <c r="G133" s="17">
        <v>60.106000000000002</v>
      </c>
      <c r="H133" s="17">
        <v>56.585999999999999</v>
      </c>
      <c r="I133" s="5">
        <v>37.561</v>
      </c>
      <c r="J133" s="5">
        <v>56.427</v>
      </c>
      <c r="K133" s="5">
        <v>46.521999999999998</v>
      </c>
      <c r="M133" s="17">
        <v>9.0666666666666664</v>
      </c>
      <c r="N133" s="17">
        <v>74.492000000000004</v>
      </c>
      <c r="O133" s="17">
        <v>67.414000000000001</v>
      </c>
      <c r="P133" s="17">
        <v>48.726999999999997</v>
      </c>
      <c r="Q133" s="17">
        <v>81.239999999999995</v>
      </c>
      <c r="R133" s="17">
        <v>87.998000000000005</v>
      </c>
      <c r="S133" s="17">
        <v>66.503</v>
      </c>
      <c r="T133" s="17">
        <v>67.346000000000004</v>
      </c>
      <c r="U133" s="17">
        <v>54.091999999999999</v>
      </c>
      <c r="V133" s="5">
        <v>54.808</v>
      </c>
      <c r="W133" s="5">
        <v>74.856999999999999</v>
      </c>
    </row>
    <row r="134" spans="2:23" x14ac:dyDescent="0.2">
      <c r="B134" s="17">
        <v>7.05</v>
      </c>
      <c r="C134" s="17">
        <v>79.346999999999994</v>
      </c>
      <c r="D134" s="17">
        <v>76.36</v>
      </c>
      <c r="E134" s="17">
        <v>87.48</v>
      </c>
      <c r="F134" s="17">
        <v>64.043000000000006</v>
      </c>
      <c r="G134" s="17">
        <v>60.05</v>
      </c>
      <c r="H134" s="17">
        <v>56.545000000000002</v>
      </c>
      <c r="I134" s="5">
        <v>37.503999999999998</v>
      </c>
      <c r="J134" s="5">
        <v>56.372999999999998</v>
      </c>
      <c r="K134" s="5">
        <v>46.488999999999997</v>
      </c>
      <c r="M134" s="17">
        <v>9.1</v>
      </c>
      <c r="N134" s="17">
        <v>74.27</v>
      </c>
      <c r="O134" s="17">
        <v>67.283000000000001</v>
      </c>
      <c r="P134" s="17">
        <v>48.444000000000003</v>
      </c>
      <c r="Q134" s="17">
        <v>81.165999999999997</v>
      </c>
      <c r="R134" s="17">
        <v>87.944000000000003</v>
      </c>
      <c r="S134" s="17">
        <v>66.412000000000006</v>
      </c>
      <c r="T134" s="17">
        <v>67.149000000000001</v>
      </c>
      <c r="U134" s="17">
        <v>53.999000000000002</v>
      </c>
      <c r="V134" s="5">
        <v>54.49</v>
      </c>
      <c r="W134" s="5">
        <v>74.718999999999994</v>
      </c>
    </row>
    <row r="135" spans="2:23" x14ac:dyDescent="0.2">
      <c r="B135" s="17">
        <v>7.0666666666666664</v>
      </c>
      <c r="C135" s="17">
        <v>79.308999999999997</v>
      </c>
      <c r="D135" s="17">
        <v>76.382999999999996</v>
      </c>
      <c r="E135" s="17">
        <v>87.534000000000006</v>
      </c>
      <c r="F135" s="17">
        <v>64.012</v>
      </c>
      <c r="G135" s="17">
        <v>59.973999999999997</v>
      </c>
      <c r="H135" s="17">
        <v>56.387</v>
      </c>
      <c r="I135" s="5">
        <v>37.451999999999998</v>
      </c>
      <c r="J135" s="5">
        <v>56.34</v>
      </c>
      <c r="K135" s="5">
        <v>46.441000000000003</v>
      </c>
      <c r="M135" s="17">
        <v>9.1333333333333329</v>
      </c>
      <c r="N135" s="17">
        <v>74.162000000000006</v>
      </c>
      <c r="O135" s="17">
        <v>67.132000000000005</v>
      </c>
      <c r="P135" s="17">
        <v>48.26</v>
      </c>
      <c r="Q135" s="17">
        <v>81.13</v>
      </c>
      <c r="R135" s="17">
        <v>87.840999999999994</v>
      </c>
      <c r="S135" s="17">
        <v>66.233999999999995</v>
      </c>
      <c r="T135" s="17">
        <v>67.055000000000007</v>
      </c>
      <c r="U135" s="17">
        <v>53.881999999999998</v>
      </c>
      <c r="V135" s="5">
        <v>54.420999999999999</v>
      </c>
      <c r="W135" s="5">
        <v>74.613</v>
      </c>
    </row>
    <row r="136" spans="2:23" x14ac:dyDescent="0.2">
      <c r="B136" s="17">
        <v>7.083333333333333</v>
      </c>
      <c r="C136" s="17">
        <v>79.296000000000006</v>
      </c>
      <c r="D136" s="17">
        <v>76.283000000000001</v>
      </c>
      <c r="E136" s="17">
        <v>87.474000000000004</v>
      </c>
      <c r="F136" s="17">
        <v>64.028999999999996</v>
      </c>
      <c r="G136" s="17">
        <v>59.948</v>
      </c>
      <c r="H136" s="17">
        <v>56.408000000000001</v>
      </c>
      <c r="I136" s="5">
        <v>37.393000000000001</v>
      </c>
      <c r="J136" s="5">
        <v>56.271999999999998</v>
      </c>
      <c r="K136" s="5">
        <v>46.377000000000002</v>
      </c>
      <c r="M136" s="17">
        <v>9.1666666666666661</v>
      </c>
      <c r="N136" s="17">
        <v>74.105000000000004</v>
      </c>
      <c r="O136" s="17">
        <v>67.019000000000005</v>
      </c>
      <c r="P136" s="17">
        <v>48.015000000000001</v>
      </c>
      <c r="Q136" s="17">
        <v>81.022999999999996</v>
      </c>
      <c r="R136" s="17">
        <v>87.706999999999994</v>
      </c>
      <c r="S136" s="17">
        <v>66.165999999999997</v>
      </c>
      <c r="T136" s="17">
        <v>66.983999999999995</v>
      </c>
      <c r="U136" s="17">
        <v>53.776000000000003</v>
      </c>
      <c r="V136" s="5">
        <v>54.247999999999998</v>
      </c>
      <c r="W136" s="5">
        <v>74.635999999999996</v>
      </c>
    </row>
    <row r="137" spans="2:23" x14ac:dyDescent="0.2">
      <c r="B137" s="17">
        <v>7.1</v>
      </c>
      <c r="C137" s="17">
        <v>79.302999999999997</v>
      </c>
      <c r="D137" s="17">
        <v>76.319000000000003</v>
      </c>
      <c r="E137" s="17">
        <v>87.468999999999994</v>
      </c>
      <c r="F137" s="17">
        <v>64</v>
      </c>
      <c r="G137" s="17">
        <v>59.9</v>
      </c>
      <c r="H137" s="17">
        <v>56.335000000000001</v>
      </c>
      <c r="I137" s="5">
        <v>37.353999999999999</v>
      </c>
      <c r="J137" s="5">
        <v>56.287999999999997</v>
      </c>
      <c r="K137" s="5">
        <v>46.296999999999997</v>
      </c>
      <c r="M137" s="17">
        <v>9.1999999999999993</v>
      </c>
      <c r="N137" s="17">
        <v>73.888000000000005</v>
      </c>
      <c r="O137" s="17">
        <v>66.885000000000005</v>
      </c>
      <c r="P137" s="17">
        <v>47.728000000000002</v>
      </c>
      <c r="Q137" s="17">
        <v>80.844999999999999</v>
      </c>
      <c r="R137" s="17">
        <v>87.631</v>
      </c>
      <c r="S137" s="17">
        <v>66.106999999999999</v>
      </c>
      <c r="T137" s="17">
        <v>66.915000000000006</v>
      </c>
      <c r="U137" s="17">
        <v>53.639000000000003</v>
      </c>
      <c r="V137" s="5">
        <v>54.11</v>
      </c>
      <c r="W137" s="5">
        <v>74.558000000000007</v>
      </c>
    </row>
    <row r="138" spans="2:23" x14ac:dyDescent="0.2">
      <c r="B138" s="17">
        <v>7.1166666666666663</v>
      </c>
      <c r="C138" s="17">
        <v>79.22</v>
      </c>
      <c r="D138" s="17">
        <v>76.296999999999997</v>
      </c>
      <c r="E138" s="17">
        <v>87.466999999999999</v>
      </c>
      <c r="F138" s="17">
        <v>63.959000000000003</v>
      </c>
      <c r="G138" s="17">
        <v>59.874000000000002</v>
      </c>
      <c r="H138" s="17">
        <v>56.283999999999999</v>
      </c>
      <c r="I138" s="5">
        <v>37.262</v>
      </c>
      <c r="J138" s="5">
        <v>56.139000000000003</v>
      </c>
      <c r="K138" s="5">
        <v>46.238999999999997</v>
      </c>
      <c r="M138" s="17">
        <v>9.2333333333333325</v>
      </c>
      <c r="N138" s="17">
        <v>73.769000000000005</v>
      </c>
      <c r="O138" s="17">
        <v>66.744</v>
      </c>
      <c r="P138" s="17">
        <v>47.56</v>
      </c>
      <c r="Q138" s="17">
        <v>80.777000000000001</v>
      </c>
      <c r="R138" s="17">
        <v>87.546999999999997</v>
      </c>
      <c r="S138" s="17">
        <v>66.001000000000005</v>
      </c>
      <c r="T138" s="17">
        <v>66.792000000000002</v>
      </c>
      <c r="U138" s="17">
        <v>53.569000000000003</v>
      </c>
      <c r="V138" s="5">
        <v>53.917999999999999</v>
      </c>
      <c r="W138" s="5">
        <v>74.432000000000002</v>
      </c>
    </row>
    <row r="139" spans="2:23" x14ac:dyDescent="0.2">
      <c r="B139" s="17">
        <v>7.1333333333333337</v>
      </c>
      <c r="C139" s="17">
        <v>79.233000000000004</v>
      </c>
      <c r="D139" s="17">
        <v>76.176000000000002</v>
      </c>
      <c r="E139" s="17">
        <v>87.436999999999998</v>
      </c>
      <c r="F139" s="17">
        <v>63.881999999999998</v>
      </c>
      <c r="G139" s="17">
        <v>59.817</v>
      </c>
      <c r="H139" s="17">
        <v>56.183999999999997</v>
      </c>
      <c r="I139" s="5">
        <v>37.231000000000002</v>
      </c>
      <c r="J139" s="5">
        <v>55.999000000000002</v>
      </c>
      <c r="K139" s="5">
        <v>46.185000000000002</v>
      </c>
      <c r="M139" s="17">
        <v>9.2666666666666675</v>
      </c>
      <c r="N139" s="17">
        <v>73.643000000000001</v>
      </c>
      <c r="O139" s="17">
        <v>66.62</v>
      </c>
      <c r="P139" s="17">
        <v>47.274000000000001</v>
      </c>
      <c r="Q139" s="17">
        <v>80.631</v>
      </c>
      <c r="R139" s="17">
        <v>87.432000000000002</v>
      </c>
      <c r="S139" s="17">
        <v>65.956000000000003</v>
      </c>
      <c r="T139" s="17">
        <v>66.722999999999999</v>
      </c>
      <c r="U139" s="17">
        <v>53.439</v>
      </c>
      <c r="V139" s="5">
        <v>53.762999999999998</v>
      </c>
      <c r="W139" s="5">
        <v>74.397999999999996</v>
      </c>
    </row>
    <row r="140" spans="2:23" x14ac:dyDescent="0.2">
      <c r="B140" s="17">
        <v>7.15</v>
      </c>
      <c r="C140" s="17">
        <v>79.173000000000002</v>
      </c>
      <c r="D140" s="17">
        <v>76.192999999999998</v>
      </c>
      <c r="E140" s="17">
        <v>87.415999999999997</v>
      </c>
      <c r="F140" s="17">
        <v>63.805</v>
      </c>
      <c r="G140" s="17">
        <v>59.779000000000003</v>
      </c>
      <c r="H140" s="17">
        <v>56.082999999999998</v>
      </c>
      <c r="I140" s="5">
        <v>37.128999999999998</v>
      </c>
      <c r="J140" s="5">
        <v>55.981000000000002</v>
      </c>
      <c r="K140" s="5">
        <v>46.134999999999998</v>
      </c>
      <c r="M140" s="17">
        <v>9.3000000000000007</v>
      </c>
      <c r="N140" s="17">
        <v>73.241</v>
      </c>
      <c r="O140" s="17">
        <v>66.468000000000004</v>
      </c>
      <c r="P140" s="17">
        <v>47.085999999999999</v>
      </c>
      <c r="Q140" s="17">
        <v>80.713999999999999</v>
      </c>
      <c r="R140" s="17">
        <v>87.391999999999996</v>
      </c>
      <c r="S140" s="17">
        <v>65.884</v>
      </c>
      <c r="T140" s="17">
        <v>66.625</v>
      </c>
      <c r="U140" s="17">
        <v>53.308999999999997</v>
      </c>
      <c r="V140" s="5">
        <v>53.597999999999999</v>
      </c>
      <c r="W140" s="5">
        <v>74.334000000000003</v>
      </c>
    </row>
    <row r="141" spans="2:23" x14ac:dyDescent="0.2">
      <c r="B141" s="17">
        <v>7.166666666666667</v>
      </c>
      <c r="C141" s="17">
        <v>79.147000000000006</v>
      </c>
      <c r="D141" s="17">
        <v>76.12</v>
      </c>
      <c r="E141" s="17">
        <v>87.438000000000002</v>
      </c>
      <c r="F141" s="17">
        <v>63.789000000000001</v>
      </c>
      <c r="G141" s="17">
        <v>59.749000000000002</v>
      </c>
      <c r="H141" s="17">
        <v>56.012</v>
      </c>
      <c r="I141" s="5">
        <v>37.042999999999999</v>
      </c>
      <c r="J141" s="5">
        <v>55.970999999999997</v>
      </c>
      <c r="K141" s="5">
        <v>46.051000000000002</v>
      </c>
      <c r="M141" s="17">
        <v>9.3333333333333339</v>
      </c>
      <c r="N141" s="17">
        <v>73.14</v>
      </c>
      <c r="O141" s="17">
        <v>66.323999999999998</v>
      </c>
      <c r="P141" s="17">
        <v>46.767000000000003</v>
      </c>
      <c r="Q141" s="17">
        <v>80.498000000000005</v>
      </c>
      <c r="R141" s="17">
        <v>87.256</v>
      </c>
      <c r="S141" s="17">
        <v>65.766999999999996</v>
      </c>
      <c r="T141" s="17">
        <v>66.542000000000002</v>
      </c>
      <c r="U141" s="17">
        <v>53.247</v>
      </c>
      <c r="V141" s="5">
        <v>53.469000000000001</v>
      </c>
      <c r="W141" s="5">
        <v>74.215000000000003</v>
      </c>
    </row>
    <row r="142" spans="2:23" x14ac:dyDescent="0.2">
      <c r="B142" s="17">
        <v>7.1833333333333336</v>
      </c>
      <c r="C142" s="17">
        <v>79.180000000000007</v>
      </c>
      <c r="D142" s="17">
        <v>76.087999999999994</v>
      </c>
      <c r="E142" s="17">
        <v>87.468999999999994</v>
      </c>
      <c r="F142" s="17">
        <v>63.712000000000003</v>
      </c>
      <c r="G142" s="17">
        <v>59.722000000000001</v>
      </c>
      <c r="H142" s="17">
        <v>56.064999999999998</v>
      </c>
      <c r="I142" s="5">
        <v>37.03</v>
      </c>
      <c r="J142" s="5">
        <v>55.918999999999997</v>
      </c>
      <c r="K142" s="5">
        <v>46.031999999999996</v>
      </c>
      <c r="M142" s="17">
        <v>9.3666666666666671</v>
      </c>
      <c r="N142" s="17">
        <v>72.933999999999997</v>
      </c>
      <c r="O142" s="17">
        <v>66.215000000000003</v>
      </c>
      <c r="P142" s="17">
        <v>46.57</v>
      </c>
      <c r="Q142" s="17">
        <v>80.221000000000004</v>
      </c>
      <c r="R142" s="17">
        <v>87.146000000000001</v>
      </c>
      <c r="S142" s="17">
        <v>65.626999999999995</v>
      </c>
      <c r="T142" s="17">
        <v>66.492999999999995</v>
      </c>
      <c r="U142" s="17">
        <v>53.048000000000002</v>
      </c>
      <c r="V142" s="5">
        <v>53.317999999999998</v>
      </c>
      <c r="W142" s="5">
        <v>74.119</v>
      </c>
    </row>
    <row r="143" spans="2:23" x14ac:dyDescent="0.2">
      <c r="B143" s="17">
        <v>7.2</v>
      </c>
      <c r="C143" s="17">
        <v>79.063999999999993</v>
      </c>
      <c r="D143" s="17">
        <v>75.942999999999998</v>
      </c>
      <c r="E143" s="17">
        <v>87.352000000000004</v>
      </c>
      <c r="F143" s="17">
        <v>63.606000000000002</v>
      </c>
      <c r="G143" s="17">
        <v>59.65</v>
      </c>
      <c r="H143" s="17">
        <v>55.887999999999998</v>
      </c>
      <c r="I143" s="5">
        <v>36.954999999999998</v>
      </c>
      <c r="J143" s="5">
        <v>55.9</v>
      </c>
      <c r="K143" s="5">
        <v>45.941000000000003</v>
      </c>
      <c r="M143" s="17">
        <v>9.4</v>
      </c>
      <c r="N143" s="17">
        <v>72.790000000000006</v>
      </c>
      <c r="O143" s="17">
        <v>66.027000000000001</v>
      </c>
      <c r="P143" s="17">
        <v>46.341999999999999</v>
      </c>
      <c r="Q143" s="17">
        <v>80.251999999999995</v>
      </c>
      <c r="R143" s="17">
        <v>87.052999999999997</v>
      </c>
      <c r="S143" s="17">
        <v>65.534999999999997</v>
      </c>
      <c r="T143" s="17">
        <v>66.356999999999999</v>
      </c>
      <c r="U143" s="17">
        <v>52.896000000000001</v>
      </c>
      <c r="V143" s="5">
        <v>53.149000000000001</v>
      </c>
      <c r="W143" s="5">
        <v>74.075000000000003</v>
      </c>
    </row>
    <row r="144" spans="2:23" x14ac:dyDescent="0.2">
      <c r="B144" s="17">
        <v>7.2166666666666668</v>
      </c>
      <c r="C144" s="17">
        <v>79.096000000000004</v>
      </c>
      <c r="D144" s="17">
        <v>76.018000000000001</v>
      </c>
      <c r="E144" s="17">
        <v>87.316999999999993</v>
      </c>
      <c r="F144" s="17">
        <v>63.591999999999999</v>
      </c>
      <c r="G144" s="17">
        <v>59.607999999999997</v>
      </c>
      <c r="H144" s="17">
        <v>55.893999999999998</v>
      </c>
      <c r="I144" s="5">
        <v>36.792000000000002</v>
      </c>
      <c r="J144" s="5">
        <v>55.856999999999999</v>
      </c>
      <c r="K144" s="5">
        <v>45.898000000000003</v>
      </c>
      <c r="M144" s="17">
        <v>9.4333333333333336</v>
      </c>
      <c r="N144" s="17">
        <v>72.781000000000006</v>
      </c>
      <c r="O144" s="17">
        <v>65.945999999999998</v>
      </c>
      <c r="P144" s="17">
        <v>46.097000000000001</v>
      </c>
      <c r="Q144" s="17">
        <v>80.114000000000004</v>
      </c>
      <c r="R144" s="17">
        <v>86.998000000000005</v>
      </c>
      <c r="S144" s="17">
        <v>65.382999999999996</v>
      </c>
      <c r="T144" s="17">
        <v>66.215999999999994</v>
      </c>
      <c r="U144" s="17">
        <v>52.795000000000002</v>
      </c>
      <c r="V144" s="5">
        <v>52.956000000000003</v>
      </c>
      <c r="W144" s="5">
        <v>74.027000000000001</v>
      </c>
    </row>
    <row r="145" spans="2:23" x14ac:dyDescent="0.2">
      <c r="B145" s="17">
        <v>7.2333333333333334</v>
      </c>
      <c r="C145" s="17">
        <v>78.954999999999998</v>
      </c>
      <c r="D145" s="17">
        <v>76.013000000000005</v>
      </c>
      <c r="E145" s="17">
        <v>87.325999999999993</v>
      </c>
      <c r="F145" s="17">
        <v>63.579000000000001</v>
      </c>
      <c r="G145" s="17">
        <v>59.582000000000001</v>
      </c>
      <c r="H145" s="17">
        <v>55.81</v>
      </c>
      <c r="I145" s="5">
        <v>36.837000000000003</v>
      </c>
      <c r="J145" s="5">
        <v>55.844000000000001</v>
      </c>
      <c r="K145" s="5">
        <v>45.814999999999998</v>
      </c>
      <c r="M145" s="17">
        <v>9.4666666666666668</v>
      </c>
      <c r="N145" s="17">
        <v>72.543999999999997</v>
      </c>
      <c r="O145" s="17">
        <v>65.832999999999998</v>
      </c>
      <c r="P145" s="17">
        <v>45.89</v>
      </c>
      <c r="Q145" s="17">
        <v>80.244</v>
      </c>
      <c r="R145" s="17">
        <v>86.888000000000005</v>
      </c>
      <c r="S145" s="17">
        <v>65.191999999999993</v>
      </c>
      <c r="T145" s="17">
        <v>66.177999999999997</v>
      </c>
      <c r="U145" s="17">
        <v>52.595999999999997</v>
      </c>
      <c r="V145" s="5">
        <v>52.901000000000003</v>
      </c>
      <c r="W145" s="5">
        <v>73.962000000000003</v>
      </c>
    </row>
    <row r="146" spans="2:23" x14ac:dyDescent="0.2">
      <c r="B146" s="17">
        <v>7.25</v>
      </c>
      <c r="C146" s="17">
        <v>78.897999999999996</v>
      </c>
      <c r="D146" s="17">
        <v>75.992999999999995</v>
      </c>
      <c r="E146" s="17">
        <v>87.298000000000002</v>
      </c>
      <c r="F146" s="17">
        <v>63.506999999999998</v>
      </c>
      <c r="G146" s="17">
        <v>59.533000000000001</v>
      </c>
      <c r="H146" s="17">
        <v>55.786000000000001</v>
      </c>
      <c r="I146" s="5">
        <v>36.731000000000002</v>
      </c>
      <c r="J146" s="5">
        <v>55.823</v>
      </c>
      <c r="K146" s="5">
        <v>45.768000000000001</v>
      </c>
      <c r="M146" s="17">
        <v>9.5</v>
      </c>
      <c r="N146" s="17">
        <v>72.444999999999993</v>
      </c>
      <c r="O146" s="17">
        <v>65.718999999999994</v>
      </c>
      <c r="P146" s="17">
        <v>45.639000000000003</v>
      </c>
      <c r="Q146" s="17">
        <v>79.930999999999997</v>
      </c>
      <c r="R146" s="17">
        <v>86.82</v>
      </c>
      <c r="S146" s="17">
        <v>65.09</v>
      </c>
      <c r="T146" s="17">
        <v>65.988</v>
      </c>
      <c r="U146" s="17">
        <v>52.469000000000001</v>
      </c>
      <c r="V146" s="5">
        <v>52.732999999999997</v>
      </c>
      <c r="W146" s="5">
        <v>73.846000000000004</v>
      </c>
    </row>
    <row r="147" spans="2:23" x14ac:dyDescent="0.2">
      <c r="B147" s="17">
        <v>7.2666666666666666</v>
      </c>
      <c r="C147" s="17">
        <v>78.888999999999996</v>
      </c>
      <c r="D147" s="17">
        <v>75.870999999999995</v>
      </c>
      <c r="E147" s="17">
        <v>87.210999999999999</v>
      </c>
      <c r="F147" s="17">
        <v>63.475000000000001</v>
      </c>
      <c r="G147" s="17">
        <v>59.52</v>
      </c>
      <c r="H147" s="17">
        <v>55.731000000000002</v>
      </c>
      <c r="I147" s="5">
        <v>36.646999999999998</v>
      </c>
      <c r="J147" s="5">
        <v>55.750999999999998</v>
      </c>
      <c r="K147" s="5">
        <v>45.676000000000002</v>
      </c>
      <c r="M147" s="17">
        <v>9.5333333333333332</v>
      </c>
      <c r="N147" s="17">
        <v>72.194000000000003</v>
      </c>
      <c r="O147" s="17">
        <v>65.525999999999996</v>
      </c>
      <c r="P147" s="17">
        <v>45.402000000000001</v>
      </c>
      <c r="Q147" s="17">
        <v>79.956000000000003</v>
      </c>
      <c r="R147" s="17">
        <v>86.736000000000004</v>
      </c>
      <c r="S147" s="17">
        <v>64.938000000000002</v>
      </c>
      <c r="T147" s="17">
        <v>65.981999999999999</v>
      </c>
      <c r="U147" s="17">
        <v>52.369</v>
      </c>
      <c r="V147" s="5">
        <v>52.524000000000001</v>
      </c>
      <c r="W147" s="5">
        <v>73.756</v>
      </c>
    </row>
    <row r="148" spans="2:23" x14ac:dyDescent="0.2">
      <c r="B148" s="17">
        <v>7.2833333333333332</v>
      </c>
      <c r="C148" s="17">
        <v>78.832999999999998</v>
      </c>
      <c r="D148" s="17">
        <v>75.760999999999996</v>
      </c>
      <c r="E148" s="17">
        <v>87.210999999999999</v>
      </c>
      <c r="F148" s="17">
        <v>63.482999999999997</v>
      </c>
      <c r="G148" s="17">
        <v>59.472999999999999</v>
      </c>
      <c r="H148" s="17">
        <v>55.667000000000002</v>
      </c>
      <c r="I148" s="5">
        <v>36.595999999999997</v>
      </c>
      <c r="J148" s="5">
        <v>55.713000000000001</v>
      </c>
      <c r="K148" s="5">
        <v>45.649000000000001</v>
      </c>
      <c r="M148" s="17">
        <v>9.5666666666666664</v>
      </c>
      <c r="N148" s="17">
        <v>72.087000000000003</v>
      </c>
      <c r="O148" s="17">
        <v>65.489000000000004</v>
      </c>
      <c r="P148" s="17">
        <v>45.140999999999998</v>
      </c>
      <c r="Q148" s="17">
        <v>79.835999999999999</v>
      </c>
      <c r="R148" s="17">
        <v>86.662000000000006</v>
      </c>
      <c r="S148" s="17">
        <v>64.891000000000005</v>
      </c>
      <c r="T148" s="17">
        <v>65.802999999999997</v>
      </c>
      <c r="U148" s="17">
        <v>52.222000000000001</v>
      </c>
      <c r="V148" s="5">
        <v>52.447000000000003</v>
      </c>
      <c r="W148" s="5">
        <v>73.727999999999994</v>
      </c>
    </row>
    <row r="149" spans="2:23" x14ac:dyDescent="0.2">
      <c r="B149" s="17">
        <v>7.3</v>
      </c>
      <c r="C149" s="17">
        <v>78.808000000000007</v>
      </c>
      <c r="D149" s="17">
        <v>75.721999999999994</v>
      </c>
      <c r="E149" s="17">
        <v>87.149000000000001</v>
      </c>
      <c r="F149" s="17">
        <v>63.445999999999998</v>
      </c>
      <c r="G149" s="17">
        <v>59.43</v>
      </c>
      <c r="H149" s="17">
        <v>55.639000000000003</v>
      </c>
      <c r="I149" s="5">
        <v>36.561</v>
      </c>
      <c r="J149" s="5">
        <v>55.664000000000001</v>
      </c>
      <c r="K149" s="5">
        <v>45.582999999999998</v>
      </c>
      <c r="M149" s="17">
        <v>9.6</v>
      </c>
      <c r="N149" s="17">
        <v>72.034000000000006</v>
      </c>
      <c r="O149" s="17">
        <v>65.331000000000003</v>
      </c>
      <c r="P149" s="17">
        <v>44.938000000000002</v>
      </c>
      <c r="Q149" s="17">
        <v>79.891000000000005</v>
      </c>
      <c r="R149" s="17">
        <v>86.591999999999999</v>
      </c>
      <c r="S149" s="17">
        <v>64.69</v>
      </c>
      <c r="T149" s="17">
        <v>65.739000000000004</v>
      </c>
      <c r="U149" s="17">
        <v>52.082999999999998</v>
      </c>
      <c r="V149" s="5">
        <v>52.338999999999999</v>
      </c>
      <c r="W149" s="5">
        <v>73.596000000000004</v>
      </c>
    </row>
    <row r="150" spans="2:23" x14ac:dyDescent="0.2">
      <c r="B150" s="17">
        <v>7.3166666666666664</v>
      </c>
      <c r="C150" s="17">
        <v>78.762</v>
      </c>
      <c r="D150" s="17">
        <v>75.709000000000003</v>
      </c>
      <c r="E150" s="17">
        <v>87.152000000000001</v>
      </c>
      <c r="F150" s="17">
        <v>63.353999999999999</v>
      </c>
      <c r="G150" s="17">
        <v>59.369</v>
      </c>
      <c r="H150" s="17">
        <v>55.502000000000002</v>
      </c>
      <c r="I150" s="5">
        <v>36.475999999999999</v>
      </c>
      <c r="J150" s="5">
        <v>55.625</v>
      </c>
      <c r="K150" s="5">
        <v>45.537999999999997</v>
      </c>
      <c r="M150" s="17">
        <v>9.6333333333333329</v>
      </c>
      <c r="N150" s="17">
        <v>71.932000000000002</v>
      </c>
      <c r="O150" s="17">
        <v>65.209000000000003</v>
      </c>
      <c r="P150" s="17">
        <v>44.755000000000003</v>
      </c>
      <c r="Q150" s="17">
        <v>79.646000000000001</v>
      </c>
      <c r="R150" s="17">
        <v>86.462999999999994</v>
      </c>
      <c r="S150" s="17">
        <v>64.641000000000005</v>
      </c>
      <c r="T150" s="17">
        <v>65.668000000000006</v>
      </c>
      <c r="U150" s="17">
        <v>51.933999999999997</v>
      </c>
      <c r="V150" s="5">
        <v>52.156999999999996</v>
      </c>
      <c r="W150" s="5">
        <v>73.575999999999993</v>
      </c>
    </row>
    <row r="151" spans="2:23" x14ac:dyDescent="0.2">
      <c r="B151" s="17">
        <v>7.333333333333333</v>
      </c>
      <c r="C151" s="17">
        <v>78.724999999999994</v>
      </c>
      <c r="D151" s="17">
        <v>75.616</v>
      </c>
      <c r="E151" s="17">
        <v>87.144999999999996</v>
      </c>
      <c r="F151" s="17">
        <v>63.353000000000002</v>
      </c>
      <c r="G151" s="17">
        <v>59.29</v>
      </c>
      <c r="H151" s="17">
        <v>55.521000000000001</v>
      </c>
      <c r="I151" s="5">
        <v>36.378</v>
      </c>
      <c r="J151" s="5">
        <v>55.567</v>
      </c>
      <c r="K151" s="5">
        <v>45.48</v>
      </c>
      <c r="M151" s="17">
        <v>9.6666666666666661</v>
      </c>
      <c r="N151" s="17">
        <v>71.784999999999997</v>
      </c>
      <c r="O151" s="17">
        <v>65.055000000000007</v>
      </c>
      <c r="P151" s="17">
        <v>44.530999999999999</v>
      </c>
      <c r="Q151" s="17">
        <v>79.521000000000001</v>
      </c>
      <c r="R151" s="17">
        <v>86.372</v>
      </c>
      <c r="S151" s="17">
        <v>64.582999999999998</v>
      </c>
      <c r="T151" s="17">
        <v>65.474000000000004</v>
      </c>
      <c r="U151" s="17">
        <v>51.893999999999998</v>
      </c>
      <c r="V151" s="5">
        <v>52.006999999999998</v>
      </c>
      <c r="W151" s="5">
        <v>73.513999999999996</v>
      </c>
    </row>
    <row r="152" spans="2:23" x14ac:dyDescent="0.2">
      <c r="B152" s="17">
        <v>7.35</v>
      </c>
      <c r="C152" s="17">
        <v>78.679000000000002</v>
      </c>
      <c r="D152" s="17">
        <v>75.617999999999995</v>
      </c>
      <c r="E152" s="17">
        <v>87.067999999999998</v>
      </c>
      <c r="F152" s="17">
        <v>63.27</v>
      </c>
      <c r="G152" s="17">
        <v>59.29</v>
      </c>
      <c r="H152" s="17">
        <v>55.448999999999998</v>
      </c>
      <c r="I152" s="5">
        <v>36.301000000000002</v>
      </c>
      <c r="J152" s="5">
        <v>55.448</v>
      </c>
      <c r="K152" s="5">
        <v>45.420999999999999</v>
      </c>
      <c r="M152" s="17">
        <v>9.6999999999999993</v>
      </c>
      <c r="N152" s="17">
        <v>71.600999999999999</v>
      </c>
      <c r="O152" s="17">
        <v>64.879000000000005</v>
      </c>
      <c r="P152" s="17">
        <v>44.22</v>
      </c>
      <c r="Q152" s="17">
        <v>79.527000000000001</v>
      </c>
      <c r="R152" s="17">
        <v>86.34</v>
      </c>
      <c r="S152" s="17">
        <v>64.474000000000004</v>
      </c>
      <c r="T152" s="17">
        <v>65.456000000000003</v>
      </c>
      <c r="U152" s="17">
        <v>51.765000000000001</v>
      </c>
      <c r="V152" s="5">
        <v>51.863999999999997</v>
      </c>
      <c r="W152" s="5">
        <v>73.412999999999997</v>
      </c>
    </row>
    <row r="153" spans="2:23" x14ac:dyDescent="0.2">
      <c r="B153" s="17">
        <v>7.3666666666666663</v>
      </c>
      <c r="C153" s="17">
        <v>78.671999999999997</v>
      </c>
      <c r="D153" s="17">
        <v>75.599999999999994</v>
      </c>
      <c r="E153" s="17">
        <v>87.085999999999999</v>
      </c>
      <c r="F153" s="17">
        <v>63.279000000000003</v>
      </c>
      <c r="G153" s="17">
        <v>59.256</v>
      </c>
      <c r="H153" s="17">
        <v>55.363999999999997</v>
      </c>
      <c r="I153" s="5">
        <v>36.213000000000001</v>
      </c>
      <c r="J153" s="5">
        <v>55.36</v>
      </c>
      <c r="K153" s="5">
        <v>45.377000000000002</v>
      </c>
      <c r="M153" s="17">
        <v>9.7333333333333325</v>
      </c>
      <c r="N153" s="17">
        <v>71.248999999999995</v>
      </c>
      <c r="O153" s="17">
        <v>64.850999999999999</v>
      </c>
      <c r="P153" s="17">
        <v>43.981999999999999</v>
      </c>
      <c r="Q153" s="17">
        <v>79.415000000000006</v>
      </c>
      <c r="R153" s="17">
        <v>86.168999999999997</v>
      </c>
      <c r="S153" s="17">
        <v>64.313000000000002</v>
      </c>
      <c r="T153" s="17">
        <v>65.295000000000002</v>
      </c>
      <c r="U153" s="17">
        <v>51.56</v>
      </c>
      <c r="V153" s="5">
        <v>51.776000000000003</v>
      </c>
      <c r="W153" s="5">
        <v>73.331000000000003</v>
      </c>
    </row>
    <row r="154" spans="2:23" x14ac:dyDescent="0.2">
      <c r="B154" s="17">
        <v>7.3833333333333337</v>
      </c>
      <c r="C154" s="17">
        <v>78.611999999999995</v>
      </c>
      <c r="D154" s="17">
        <v>75.477000000000004</v>
      </c>
      <c r="E154" s="17">
        <v>87.061000000000007</v>
      </c>
      <c r="F154" s="17">
        <v>63.216000000000001</v>
      </c>
      <c r="G154" s="17">
        <v>59.183</v>
      </c>
      <c r="H154" s="17">
        <v>55.277000000000001</v>
      </c>
      <c r="I154" s="5">
        <v>36.142000000000003</v>
      </c>
      <c r="J154" s="5">
        <v>55.273000000000003</v>
      </c>
      <c r="K154" s="5">
        <v>45.27</v>
      </c>
      <c r="M154" s="17">
        <v>9.7666666666666675</v>
      </c>
      <c r="N154" s="17">
        <v>71.174999999999997</v>
      </c>
      <c r="O154" s="17">
        <v>64.677999999999997</v>
      </c>
      <c r="P154" s="17">
        <v>43.781999999999996</v>
      </c>
      <c r="Q154" s="17">
        <v>79.343000000000004</v>
      </c>
      <c r="R154" s="17">
        <v>86.096999999999994</v>
      </c>
      <c r="S154" s="17">
        <v>64.123000000000005</v>
      </c>
      <c r="T154" s="17">
        <v>65.244</v>
      </c>
      <c r="U154" s="17">
        <v>51.459000000000003</v>
      </c>
      <c r="V154" s="5">
        <v>51.594999999999999</v>
      </c>
      <c r="W154" s="5">
        <v>73.281999999999996</v>
      </c>
    </row>
    <row r="155" spans="2:23" x14ac:dyDescent="0.2">
      <c r="B155" s="17">
        <v>7.4</v>
      </c>
      <c r="C155" s="17">
        <v>78.564999999999998</v>
      </c>
      <c r="D155" s="17">
        <v>75.518000000000001</v>
      </c>
      <c r="E155" s="17">
        <v>87.013000000000005</v>
      </c>
      <c r="F155" s="17">
        <v>63.177999999999997</v>
      </c>
      <c r="G155" s="17">
        <v>59.170999999999999</v>
      </c>
      <c r="H155" s="17">
        <v>55.3</v>
      </c>
      <c r="I155" s="5">
        <v>36.066000000000003</v>
      </c>
      <c r="J155" s="5">
        <v>55.241999999999997</v>
      </c>
      <c r="K155" s="5">
        <v>45.261000000000003</v>
      </c>
      <c r="M155" s="17">
        <v>9.8000000000000007</v>
      </c>
      <c r="N155" s="17">
        <v>71.058999999999997</v>
      </c>
      <c r="O155" s="17">
        <v>64.522000000000006</v>
      </c>
      <c r="P155" s="17">
        <v>43.530999999999999</v>
      </c>
      <c r="Q155" s="17">
        <v>79.331999999999994</v>
      </c>
      <c r="R155" s="17">
        <v>85.989000000000004</v>
      </c>
      <c r="S155" s="17">
        <v>63.997999999999998</v>
      </c>
      <c r="T155" s="17">
        <v>65.123999999999995</v>
      </c>
      <c r="U155" s="17">
        <v>51.323</v>
      </c>
      <c r="V155" s="5">
        <v>51.454000000000001</v>
      </c>
      <c r="W155" s="5">
        <v>73.194000000000003</v>
      </c>
    </row>
    <row r="156" spans="2:23" x14ac:dyDescent="0.2">
      <c r="B156" s="17">
        <v>7.416666666666667</v>
      </c>
      <c r="C156" s="17">
        <v>78.489000000000004</v>
      </c>
      <c r="D156" s="17">
        <v>75.566000000000003</v>
      </c>
      <c r="E156" s="17">
        <v>87.004000000000005</v>
      </c>
      <c r="F156" s="17">
        <v>63.125</v>
      </c>
      <c r="G156" s="17">
        <v>59.1</v>
      </c>
      <c r="H156" s="17">
        <v>55.155000000000001</v>
      </c>
      <c r="I156" s="5">
        <v>36.042000000000002</v>
      </c>
      <c r="J156" s="5">
        <v>55.253999999999998</v>
      </c>
      <c r="K156" s="5">
        <v>45.19</v>
      </c>
      <c r="M156" s="17">
        <v>9.8333333333333339</v>
      </c>
      <c r="N156" s="17">
        <v>70.790000000000006</v>
      </c>
      <c r="O156" s="17">
        <v>64.376000000000005</v>
      </c>
      <c r="P156" s="17">
        <v>43.311999999999998</v>
      </c>
      <c r="Q156" s="17">
        <v>79.206999999999994</v>
      </c>
      <c r="R156" s="17">
        <v>85.864000000000004</v>
      </c>
      <c r="S156" s="17">
        <v>63.951000000000001</v>
      </c>
      <c r="T156" s="17">
        <v>65.02</v>
      </c>
      <c r="U156" s="17">
        <v>51.28</v>
      </c>
      <c r="V156" s="5">
        <v>51.319000000000003</v>
      </c>
      <c r="W156" s="5">
        <v>73.141999999999996</v>
      </c>
    </row>
    <row r="157" spans="2:23" x14ac:dyDescent="0.2">
      <c r="B157" s="17">
        <v>7.4333333333333336</v>
      </c>
      <c r="C157" s="17">
        <v>78.441999999999993</v>
      </c>
      <c r="D157" s="17">
        <v>75.408000000000001</v>
      </c>
      <c r="E157" s="17">
        <v>87.004000000000005</v>
      </c>
      <c r="F157" s="17">
        <v>63.094999999999999</v>
      </c>
      <c r="G157" s="17">
        <v>59.078000000000003</v>
      </c>
      <c r="H157" s="17">
        <v>55.162999999999997</v>
      </c>
      <c r="I157" s="5">
        <v>35.963999999999999</v>
      </c>
      <c r="J157" s="5">
        <v>55.222999999999999</v>
      </c>
      <c r="K157" s="5">
        <v>45.127000000000002</v>
      </c>
      <c r="M157" s="17">
        <v>9.8666666666666671</v>
      </c>
      <c r="N157" s="17">
        <v>70.679000000000002</v>
      </c>
      <c r="O157" s="17">
        <v>64.165999999999997</v>
      </c>
      <c r="P157" s="17">
        <v>43.002000000000002</v>
      </c>
      <c r="Q157" s="17">
        <v>79.128</v>
      </c>
      <c r="R157" s="17">
        <v>85.78</v>
      </c>
      <c r="S157" s="17">
        <v>63.777999999999999</v>
      </c>
      <c r="T157" s="17">
        <v>64.963999999999999</v>
      </c>
      <c r="U157" s="17">
        <v>51.118000000000002</v>
      </c>
      <c r="V157" s="5">
        <v>51.197000000000003</v>
      </c>
      <c r="W157" s="5">
        <v>73.039000000000001</v>
      </c>
    </row>
    <row r="158" spans="2:23" x14ac:dyDescent="0.2">
      <c r="B158" s="17">
        <v>7.45</v>
      </c>
      <c r="C158" s="17">
        <v>78.427000000000007</v>
      </c>
      <c r="D158" s="17">
        <v>75.396000000000001</v>
      </c>
      <c r="E158" s="17">
        <v>86.938999999999993</v>
      </c>
      <c r="F158" s="17">
        <v>63.058999999999997</v>
      </c>
      <c r="G158" s="17">
        <v>59.036999999999999</v>
      </c>
      <c r="H158" s="17">
        <v>55.091999999999999</v>
      </c>
      <c r="I158" s="5">
        <v>35.893000000000001</v>
      </c>
      <c r="J158" s="5">
        <v>55.140999999999998</v>
      </c>
      <c r="K158" s="5">
        <v>45.100999999999999</v>
      </c>
      <c r="M158" s="17">
        <v>9.9</v>
      </c>
      <c r="N158" s="17">
        <v>70.542000000000002</v>
      </c>
      <c r="O158" s="17">
        <v>64.010999999999996</v>
      </c>
      <c r="P158" s="17">
        <v>42.732999999999997</v>
      </c>
      <c r="Q158" s="17">
        <v>79.055999999999997</v>
      </c>
      <c r="R158" s="17">
        <v>85.721999999999994</v>
      </c>
      <c r="S158" s="17">
        <v>63.715000000000003</v>
      </c>
      <c r="T158" s="17">
        <v>64.891000000000005</v>
      </c>
      <c r="U158" s="17">
        <v>51.048999999999999</v>
      </c>
      <c r="V158" s="5">
        <v>51.11</v>
      </c>
      <c r="W158" s="5">
        <v>72.947000000000003</v>
      </c>
    </row>
    <row r="159" spans="2:23" x14ac:dyDescent="0.2">
      <c r="B159" s="17">
        <v>7.4666666666666668</v>
      </c>
      <c r="C159" s="17">
        <v>78.457999999999998</v>
      </c>
      <c r="D159" s="17">
        <v>75.403999999999996</v>
      </c>
      <c r="E159" s="17">
        <v>87.06</v>
      </c>
      <c r="F159" s="17">
        <v>62.994999999999997</v>
      </c>
      <c r="G159" s="17">
        <v>58.991999999999997</v>
      </c>
      <c r="H159" s="17">
        <v>55.036000000000001</v>
      </c>
      <c r="I159" s="5">
        <v>35.835000000000001</v>
      </c>
      <c r="J159" s="5">
        <v>55.103999999999999</v>
      </c>
      <c r="K159" s="5">
        <v>45.066000000000003</v>
      </c>
      <c r="M159" s="17">
        <v>9.9333333333333336</v>
      </c>
      <c r="N159" s="17">
        <v>70.289000000000001</v>
      </c>
      <c r="O159" s="17">
        <v>63.853000000000002</v>
      </c>
      <c r="P159" s="17">
        <v>42.604999999999997</v>
      </c>
      <c r="Q159" s="17">
        <v>78.840999999999994</v>
      </c>
      <c r="R159" s="17">
        <v>85.581999999999994</v>
      </c>
      <c r="S159" s="17">
        <v>63.54</v>
      </c>
      <c r="T159" s="17">
        <v>64.754999999999995</v>
      </c>
      <c r="U159" s="17">
        <v>50.920999999999999</v>
      </c>
      <c r="V159" s="5">
        <v>50.905000000000001</v>
      </c>
      <c r="W159" s="5">
        <v>72.918000000000006</v>
      </c>
    </row>
    <row r="160" spans="2:23" x14ac:dyDescent="0.2">
      <c r="B160" s="17">
        <v>7.4833333333333334</v>
      </c>
      <c r="C160" s="17">
        <v>78.349999999999994</v>
      </c>
      <c r="D160" s="17">
        <v>75.358000000000004</v>
      </c>
      <c r="E160" s="17">
        <v>87.039000000000001</v>
      </c>
      <c r="F160" s="17">
        <v>63.003</v>
      </c>
      <c r="G160" s="17">
        <v>58.954999999999998</v>
      </c>
      <c r="H160" s="17">
        <v>54.954999999999998</v>
      </c>
      <c r="I160" s="5">
        <v>35.768000000000001</v>
      </c>
      <c r="J160" s="5">
        <v>55.101999999999997</v>
      </c>
      <c r="K160" s="5">
        <v>44.981000000000002</v>
      </c>
      <c r="M160" s="17">
        <v>9.9666666666666668</v>
      </c>
      <c r="N160" s="17">
        <v>70.241</v>
      </c>
      <c r="O160" s="17">
        <v>63.697000000000003</v>
      </c>
      <c r="P160" s="17">
        <v>42.366</v>
      </c>
      <c r="Q160" s="17">
        <v>78.796000000000006</v>
      </c>
      <c r="R160" s="17">
        <v>85.411000000000001</v>
      </c>
      <c r="S160" s="17">
        <v>63.363999999999997</v>
      </c>
      <c r="T160" s="17">
        <v>64.572000000000003</v>
      </c>
      <c r="U160" s="17">
        <v>50.825000000000003</v>
      </c>
      <c r="V160" s="5">
        <v>50.715000000000003</v>
      </c>
      <c r="W160" s="5">
        <v>72.873999999999995</v>
      </c>
    </row>
    <row r="161" spans="2:23" x14ac:dyDescent="0.2">
      <c r="B161" s="17">
        <v>7.5</v>
      </c>
      <c r="C161" s="17">
        <v>78.290999999999997</v>
      </c>
      <c r="D161" s="17">
        <v>75.271000000000001</v>
      </c>
      <c r="E161" s="17">
        <v>86.953999999999994</v>
      </c>
      <c r="F161" s="17">
        <v>62.999000000000002</v>
      </c>
      <c r="G161" s="17">
        <v>58.911999999999999</v>
      </c>
      <c r="H161" s="17">
        <v>54.886000000000003</v>
      </c>
      <c r="I161" s="5">
        <v>35.67</v>
      </c>
      <c r="J161" s="5">
        <v>55.024000000000001</v>
      </c>
      <c r="K161" s="5">
        <v>44.911999999999999</v>
      </c>
      <c r="M161" s="17">
        <v>10</v>
      </c>
      <c r="N161" s="17">
        <v>70.034000000000006</v>
      </c>
      <c r="O161" s="17">
        <v>63.515000000000001</v>
      </c>
      <c r="P161" s="17">
        <v>42.156999999999996</v>
      </c>
      <c r="Q161" s="17">
        <v>78.652000000000001</v>
      </c>
      <c r="R161" s="17">
        <v>85.384</v>
      </c>
      <c r="S161" s="17">
        <v>63.311999999999998</v>
      </c>
      <c r="T161" s="17">
        <v>64.548000000000002</v>
      </c>
      <c r="U161" s="17">
        <v>50.686999999999998</v>
      </c>
      <c r="V161" s="5">
        <v>50.654000000000003</v>
      </c>
      <c r="W161" s="5">
        <v>72.813999999999993</v>
      </c>
    </row>
    <row r="162" spans="2:23" x14ac:dyDescent="0.2">
      <c r="B162" s="17">
        <v>7.5166666666666666</v>
      </c>
      <c r="C162" s="17">
        <v>78.106999999999999</v>
      </c>
      <c r="D162" s="17">
        <v>75.19</v>
      </c>
      <c r="E162" s="17">
        <v>86.819000000000003</v>
      </c>
      <c r="F162" s="17">
        <v>62.954999999999998</v>
      </c>
      <c r="G162" s="17">
        <v>58.935000000000002</v>
      </c>
      <c r="H162" s="17">
        <v>54.863999999999997</v>
      </c>
      <c r="I162" s="5">
        <v>35.643999999999998</v>
      </c>
      <c r="J162" s="5">
        <v>55.067999999999998</v>
      </c>
      <c r="K162" s="5">
        <v>44.887999999999998</v>
      </c>
    </row>
    <row r="163" spans="2:23" x14ac:dyDescent="0.2">
      <c r="B163" s="17">
        <v>7.5333333333333332</v>
      </c>
      <c r="C163" s="17">
        <v>78.072000000000003</v>
      </c>
      <c r="D163" s="17">
        <v>75.180000000000007</v>
      </c>
      <c r="E163" s="17">
        <v>86.8</v>
      </c>
      <c r="F163" s="17">
        <v>62.878999999999998</v>
      </c>
      <c r="G163" s="17">
        <v>58.866999999999997</v>
      </c>
      <c r="H163" s="17">
        <v>54.780999999999999</v>
      </c>
      <c r="I163" s="5">
        <v>35.594000000000001</v>
      </c>
      <c r="J163" s="5">
        <v>55.054000000000002</v>
      </c>
      <c r="K163" s="5">
        <v>44.853999999999999</v>
      </c>
    </row>
    <row r="164" spans="2:23" x14ac:dyDescent="0.2">
      <c r="B164" s="17">
        <v>7.55</v>
      </c>
      <c r="C164" s="17">
        <v>78.006</v>
      </c>
      <c r="D164" s="17">
        <v>75.141999999999996</v>
      </c>
      <c r="E164" s="17">
        <v>86.843000000000004</v>
      </c>
      <c r="F164" s="17">
        <v>62.868000000000002</v>
      </c>
      <c r="G164" s="17">
        <v>58.805999999999997</v>
      </c>
      <c r="H164" s="17">
        <v>54.734000000000002</v>
      </c>
      <c r="I164" s="5">
        <v>35.491</v>
      </c>
      <c r="J164" s="5">
        <v>54.9</v>
      </c>
      <c r="K164" s="5">
        <v>44.793999999999997</v>
      </c>
    </row>
    <row r="165" spans="2:23" x14ac:dyDescent="0.2">
      <c r="B165" s="17">
        <v>7.5666666666666664</v>
      </c>
      <c r="C165" s="17">
        <v>77.971999999999994</v>
      </c>
      <c r="D165" s="17">
        <v>75.097999999999999</v>
      </c>
      <c r="E165" s="17">
        <v>86.757999999999996</v>
      </c>
      <c r="F165" s="17">
        <v>62.78</v>
      </c>
      <c r="G165" s="17">
        <v>58.807000000000002</v>
      </c>
      <c r="H165" s="17">
        <v>54.713999999999999</v>
      </c>
      <c r="I165" s="5">
        <v>35.491999999999997</v>
      </c>
      <c r="J165" s="5">
        <v>54.912999999999997</v>
      </c>
      <c r="K165" s="5">
        <v>44.741999999999997</v>
      </c>
    </row>
    <row r="166" spans="2:23" x14ac:dyDescent="0.2">
      <c r="B166" s="17">
        <v>7.583333333333333</v>
      </c>
      <c r="C166" s="17">
        <v>77.878</v>
      </c>
      <c r="D166" s="17">
        <v>74.968999999999994</v>
      </c>
      <c r="E166" s="17">
        <v>86.745999999999995</v>
      </c>
      <c r="F166" s="17">
        <v>62.773000000000003</v>
      </c>
      <c r="G166" s="17">
        <v>58.728999999999999</v>
      </c>
      <c r="H166" s="17">
        <v>54.640999999999998</v>
      </c>
      <c r="I166" s="5">
        <v>35.344000000000001</v>
      </c>
      <c r="J166" s="5">
        <v>54.85</v>
      </c>
      <c r="K166" s="5">
        <v>44.704999999999998</v>
      </c>
    </row>
    <row r="167" spans="2:23" x14ac:dyDescent="0.2">
      <c r="B167" s="17">
        <v>7.6</v>
      </c>
      <c r="C167" s="17">
        <v>77.790999999999997</v>
      </c>
      <c r="D167" s="17">
        <v>74.923000000000002</v>
      </c>
      <c r="E167" s="17">
        <v>86.594999999999999</v>
      </c>
      <c r="F167" s="17">
        <v>62.738999999999997</v>
      </c>
      <c r="G167" s="17">
        <v>58.685000000000002</v>
      </c>
      <c r="H167" s="17">
        <v>54.634</v>
      </c>
      <c r="I167" s="5">
        <v>35.284999999999997</v>
      </c>
      <c r="J167" s="5">
        <v>54.759</v>
      </c>
      <c r="K167" s="5">
        <v>44.634999999999998</v>
      </c>
    </row>
    <row r="168" spans="2:23" x14ac:dyDescent="0.2">
      <c r="B168" s="17">
        <v>7.6166666666666663</v>
      </c>
      <c r="C168" s="17">
        <v>77.789000000000001</v>
      </c>
      <c r="D168" s="17">
        <v>74.894000000000005</v>
      </c>
      <c r="E168" s="17">
        <v>86.643000000000001</v>
      </c>
      <c r="F168" s="17">
        <v>62.686999999999998</v>
      </c>
      <c r="G168" s="17">
        <v>58.595999999999997</v>
      </c>
      <c r="H168" s="17">
        <v>54.561999999999998</v>
      </c>
      <c r="I168" s="5">
        <v>35.267000000000003</v>
      </c>
      <c r="J168" s="5">
        <v>54.686</v>
      </c>
      <c r="K168" s="5">
        <v>44.597000000000001</v>
      </c>
    </row>
    <row r="169" spans="2:23" x14ac:dyDescent="0.2">
      <c r="B169" s="17">
        <v>7.6333333333333337</v>
      </c>
      <c r="C169" s="17">
        <v>77.713999999999999</v>
      </c>
      <c r="D169" s="17">
        <v>74.781999999999996</v>
      </c>
      <c r="E169" s="17">
        <v>86.613</v>
      </c>
      <c r="F169" s="17">
        <v>62.631999999999998</v>
      </c>
      <c r="G169" s="17">
        <v>58.594999999999999</v>
      </c>
      <c r="H169" s="17">
        <v>54.433</v>
      </c>
      <c r="I169" s="5">
        <v>35.185000000000002</v>
      </c>
      <c r="J169" s="5">
        <v>54.679000000000002</v>
      </c>
      <c r="K169" s="5">
        <v>44.566000000000003</v>
      </c>
    </row>
    <row r="170" spans="2:23" x14ac:dyDescent="0.2">
      <c r="B170" s="17">
        <v>7.65</v>
      </c>
      <c r="C170" s="17">
        <v>77.667000000000002</v>
      </c>
      <c r="D170" s="17">
        <v>74.739000000000004</v>
      </c>
      <c r="E170" s="17">
        <v>86.551000000000002</v>
      </c>
      <c r="F170" s="17">
        <v>62.658999999999999</v>
      </c>
      <c r="G170" s="17">
        <v>58.573999999999998</v>
      </c>
      <c r="H170" s="17">
        <v>54.417999999999999</v>
      </c>
      <c r="I170" s="5">
        <v>35.119</v>
      </c>
      <c r="J170" s="5">
        <v>54.619</v>
      </c>
      <c r="K170" s="5">
        <v>44.503</v>
      </c>
    </row>
    <row r="171" spans="2:23" x14ac:dyDescent="0.2">
      <c r="B171" s="17">
        <v>7.666666666666667</v>
      </c>
      <c r="C171" s="17">
        <v>77.596999999999994</v>
      </c>
      <c r="D171" s="17">
        <v>74.619</v>
      </c>
      <c r="E171" s="17">
        <v>86.516000000000005</v>
      </c>
      <c r="F171" s="17">
        <v>62.595999999999997</v>
      </c>
      <c r="G171" s="17">
        <v>58.508000000000003</v>
      </c>
      <c r="H171" s="17">
        <v>54.395000000000003</v>
      </c>
      <c r="I171" s="5">
        <v>35.052999999999997</v>
      </c>
      <c r="J171" s="5">
        <v>54.517000000000003</v>
      </c>
      <c r="K171" s="5">
        <v>44.433999999999997</v>
      </c>
    </row>
    <row r="172" spans="2:23" x14ac:dyDescent="0.2">
      <c r="B172" s="17">
        <v>7.6833333333333336</v>
      </c>
      <c r="C172" s="17">
        <v>77.563000000000002</v>
      </c>
      <c r="D172" s="17">
        <v>74.646000000000001</v>
      </c>
      <c r="E172" s="17">
        <v>86.519000000000005</v>
      </c>
      <c r="F172" s="17">
        <v>62.563000000000002</v>
      </c>
      <c r="G172" s="17">
        <v>58.414999999999999</v>
      </c>
      <c r="H172" s="17">
        <v>54.304000000000002</v>
      </c>
      <c r="I172" s="5">
        <v>34.945999999999998</v>
      </c>
      <c r="J172" s="5">
        <v>54.552999999999997</v>
      </c>
      <c r="K172" s="5">
        <v>44.39</v>
      </c>
    </row>
    <row r="173" spans="2:23" x14ac:dyDescent="0.2">
      <c r="B173" s="17">
        <v>7.7</v>
      </c>
      <c r="C173" s="17">
        <v>77.477000000000004</v>
      </c>
      <c r="D173" s="17">
        <v>74.561000000000007</v>
      </c>
      <c r="E173" s="17">
        <v>86.372</v>
      </c>
      <c r="F173" s="17">
        <v>62.521000000000001</v>
      </c>
      <c r="G173" s="17">
        <v>58.438000000000002</v>
      </c>
      <c r="H173" s="17">
        <v>54.292000000000002</v>
      </c>
      <c r="I173" s="5">
        <v>34.926000000000002</v>
      </c>
      <c r="J173" s="5">
        <v>54.465000000000003</v>
      </c>
      <c r="K173" s="5">
        <v>44.347999999999999</v>
      </c>
    </row>
    <row r="174" spans="2:23" x14ac:dyDescent="0.2">
      <c r="B174" s="17">
        <v>7.7166666666666668</v>
      </c>
      <c r="C174" s="17">
        <v>77.450999999999993</v>
      </c>
      <c r="D174" s="17">
        <v>74.650999999999996</v>
      </c>
      <c r="E174" s="17">
        <v>86.468999999999994</v>
      </c>
      <c r="F174" s="17">
        <v>62.459000000000003</v>
      </c>
      <c r="G174" s="17">
        <v>58.393000000000001</v>
      </c>
      <c r="H174" s="17">
        <v>54.19</v>
      </c>
      <c r="I174" s="5">
        <v>34.829000000000001</v>
      </c>
      <c r="J174" s="5">
        <v>54.435000000000002</v>
      </c>
      <c r="K174" s="5">
        <v>44.276000000000003</v>
      </c>
    </row>
    <row r="175" spans="2:23" x14ac:dyDescent="0.2">
      <c r="B175" s="17">
        <v>7.7333333333333334</v>
      </c>
      <c r="C175" s="17">
        <v>77.543999999999997</v>
      </c>
      <c r="D175" s="17">
        <v>74.549000000000007</v>
      </c>
      <c r="E175" s="17">
        <v>86.385000000000005</v>
      </c>
      <c r="F175" s="17">
        <v>62.390999999999998</v>
      </c>
      <c r="G175" s="17">
        <v>58.329000000000001</v>
      </c>
      <c r="H175" s="17">
        <v>54.116999999999997</v>
      </c>
      <c r="I175" s="5">
        <v>34.787999999999997</v>
      </c>
      <c r="J175" s="5">
        <v>54.366</v>
      </c>
      <c r="K175" s="5">
        <v>44.226999999999997</v>
      </c>
    </row>
    <row r="176" spans="2:23" x14ac:dyDescent="0.2">
      <c r="B176" s="17">
        <v>7.75</v>
      </c>
      <c r="C176" s="17">
        <v>77.488</v>
      </c>
      <c r="D176" s="17">
        <v>74.549000000000007</v>
      </c>
      <c r="E176" s="17">
        <v>86.414000000000001</v>
      </c>
      <c r="F176" s="17">
        <v>62.415999999999997</v>
      </c>
      <c r="G176" s="17">
        <v>58.281999999999996</v>
      </c>
      <c r="H176" s="17">
        <v>54.052</v>
      </c>
      <c r="I176" s="5">
        <v>34.69</v>
      </c>
      <c r="J176" s="5">
        <v>54.343000000000004</v>
      </c>
      <c r="K176" s="5">
        <v>44.197000000000003</v>
      </c>
    </row>
    <row r="177" spans="2:11" x14ac:dyDescent="0.2">
      <c r="B177" s="17">
        <v>7.7666666666666666</v>
      </c>
      <c r="C177" s="17">
        <v>77.527000000000001</v>
      </c>
      <c r="D177" s="17">
        <v>74.48</v>
      </c>
      <c r="E177" s="17">
        <v>86.4</v>
      </c>
      <c r="F177" s="17">
        <v>62.372999999999998</v>
      </c>
      <c r="G177" s="17">
        <v>58.234999999999999</v>
      </c>
      <c r="H177" s="17">
        <v>54.04</v>
      </c>
      <c r="I177" s="5">
        <v>34.646000000000001</v>
      </c>
      <c r="J177" s="5">
        <v>54.301000000000002</v>
      </c>
      <c r="K177" s="5">
        <v>44.100999999999999</v>
      </c>
    </row>
    <row r="178" spans="2:11" x14ac:dyDescent="0.2">
      <c r="B178" s="17">
        <v>7.7833333333333332</v>
      </c>
      <c r="C178" s="17">
        <v>77.369</v>
      </c>
      <c r="D178" s="17">
        <v>74.427000000000007</v>
      </c>
      <c r="E178" s="17">
        <v>86.275999999999996</v>
      </c>
      <c r="F178" s="17">
        <v>62.396999999999998</v>
      </c>
      <c r="G178" s="17">
        <v>58.255000000000003</v>
      </c>
      <c r="H178" s="17">
        <v>53.966999999999999</v>
      </c>
      <c r="I178" s="5">
        <v>34.564999999999998</v>
      </c>
      <c r="J178" s="5">
        <v>54.305999999999997</v>
      </c>
      <c r="K178" s="5">
        <v>44.075000000000003</v>
      </c>
    </row>
    <row r="179" spans="2:11" x14ac:dyDescent="0.2">
      <c r="B179" s="17">
        <v>7.8</v>
      </c>
      <c r="C179" s="17">
        <v>77.411000000000001</v>
      </c>
      <c r="D179" s="17">
        <v>74.423000000000002</v>
      </c>
      <c r="E179" s="17">
        <v>86.319000000000003</v>
      </c>
      <c r="F179" s="17">
        <v>62.332000000000001</v>
      </c>
      <c r="G179" s="17">
        <v>58.183999999999997</v>
      </c>
      <c r="H179" s="17">
        <v>53.906999999999996</v>
      </c>
      <c r="I179" s="5">
        <v>34.470999999999997</v>
      </c>
      <c r="J179" s="5">
        <v>54.302</v>
      </c>
      <c r="K179" s="5">
        <v>44.048999999999999</v>
      </c>
    </row>
    <row r="180" spans="2:11" x14ac:dyDescent="0.2">
      <c r="B180" s="17">
        <v>7.8166666666666664</v>
      </c>
      <c r="C180" s="17">
        <v>77.325999999999993</v>
      </c>
      <c r="D180" s="17">
        <v>74.456000000000003</v>
      </c>
      <c r="E180" s="17">
        <v>86.308000000000007</v>
      </c>
      <c r="F180" s="17">
        <v>62.279000000000003</v>
      </c>
      <c r="G180" s="17">
        <v>58.161999999999999</v>
      </c>
      <c r="H180" s="17">
        <v>53.832999999999998</v>
      </c>
      <c r="I180" s="5">
        <v>34.472999999999999</v>
      </c>
      <c r="J180" s="5">
        <v>54.167000000000002</v>
      </c>
      <c r="K180" s="5">
        <v>43.997</v>
      </c>
    </row>
    <row r="181" spans="2:11" x14ac:dyDescent="0.2">
      <c r="B181" s="17">
        <v>7.833333333333333</v>
      </c>
      <c r="C181" s="17">
        <v>77.364999999999995</v>
      </c>
      <c r="D181" s="17">
        <v>74.37</v>
      </c>
      <c r="E181" s="17">
        <v>86.334999999999994</v>
      </c>
      <c r="F181" s="17">
        <v>62.234000000000002</v>
      </c>
      <c r="G181" s="17">
        <v>58.058999999999997</v>
      </c>
      <c r="H181" s="17">
        <v>53.795999999999999</v>
      </c>
      <c r="I181" s="5">
        <v>34.381</v>
      </c>
      <c r="J181" s="5">
        <v>54.042999999999999</v>
      </c>
      <c r="K181" s="5">
        <v>43.927999999999997</v>
      </c>
    </row>
    <row r="182" spans="2:11" x14ac:dyDescent="0.2">
      <c r="B182" s="17">
        <v>7.85</v>
      </c>
      <c r="C182" s="17">
        <v>77.38</v>
      </c>
      <c r="D182" s="17">
        <v>74.421000000000006</v>
      </c>
      <c r="E182" s="17">
        <v>86.376000000000005</v>
      </c>
      <c r="F182" s="17">
        <v>62.188000000000002</v>
      </c>
      <c r="G182" s="17">
        <v>58.036000000000001</v>
      </c>
      <c r="H182" s="17">
        <v>53.732999999999997</v>
      </c>
      <c r="I182" s="5">
        <v>34.372999999999998</v>
      </c>
      <c r="J182" s="5">
        <v>54.024999999999999</v>
      </c>
      <c r="K182" s="5">
        <v>43.850999999999999</v>
      </c>
    </row>
    <row r="183" spans="2:11" x14ac:dyDescent="0.2">
      <c r="B183" s="17">
        <v>7.8666666666666663</v>
      </c>
      <c r="C183" s="17">
        <v>77.301000000000002</v>
      </c>
      <c r="D183" s="17">
        <v>74.319000000000003</v>
      </c>
      <c r="E183" s="17">
        <v>86.376999999999995</v>
      </c>
      <c r="F183" s="17">
        <v>62.113999999999997</v>
      </c>
      <c r="G183" s="17">
        <v>57.973999999999997</v>
      </c>
      <c r="H183" s="17">
        <v>53.64</v>
      </c>
      <c r="I183" s="5">
        <v>34.26</v>
      </c>
      <c r="J183" s="5">
        <v>53.993000000000002</v>
      </c>
      <c r="K183" s="5">
        <v>43.774999999999999</v>
      </c>
    </row>
    <row r="184" spans="2:11" x14ac:dyDescent="0.2">
      <c r="B184" s="17">
        <v>7.8833333333333337</v>
      </c>
      <c r="C184" s="17">
        <v>77.293000000000006</v>
      </c>
      <c r="D184" s="17">
        <v>74.251000000000005</v>
      </c>
      <c r="E184" s="17">
        <v>86.281999999999996</v>
      </c>
      <c r="F184" s="17">
        <v>62.039000000000001</v>
      </c>
      <c r="G184" s="17">
        <v>57.905000000000001</v>
      </c>
      <c r="H184" s="17">
        <v>53.573999999999998</v>
      </c>
      <c r="I184" s="5">
        <v>34.186</v>
      </c>
      <c r="J184" s="5">
        <v>53.914000000000001</v>
      </c>
      <c r="K184" s="5">
        <v>43.756</v>
      </c>
    </row>
    <row r="185" spans="2:11" x14ac:dyDescent="0.2">
      <c r="B185" s="17">
        <v>7.9</v>
      </c>
      <c r="C185" s="17">
        <v>77.247</v>
      </c>
      <c r="D185" s="17">
        <v>74.241</v>
      </c>
      <c r="E185" s="17">
        <v>86.438000000000002</v>
      </c>
      <c r="F185" s="17">
        <v>61.999000000000002</v>
      </c>
      <c r="G185" s="17">
        <v>57.884</v>
      </c>
      <c r="H185" s="17">
        <v>53.459000000000003</v>
      </c>
      <c r="I185" s="5">
        <v>34.15</v>
      </c>
      <c r="J185" s="5">
        <v>54.012999999999998</v>
      </c>
      <c r="K185" s="5">
        <v>43.716999999999999</v>
      </c>
    </row>
    <row r="186" spans="2:11" x14ac:dyDescent="0.2">
      <c r="B186" s="17">
        <v>7.916666666666667</v>
      </c>
      <c r="C186" s="17">
        <v>77.191000000000003</v>
      </c>
      <c r="D186" s="17">
        <v>74.227000000000004</v>
      </c>
      <c r="E186" s="17">
        <v>86.293999999999997</v>
      </c>
      <c r="F186" s="17">
        <v>61.926000000000002</v>
      </c>
      <c r="G186" s="17">
        <v>57.802999999999997</v>
      </c>
      <c r="H186" s="17">
        <v>53.404000000000003</v>
      </c>
      <c r="I186" s="5">
        <v>34.094000000000001</v>
      </c>
      <c r="J186" s="5">
        <v>53.947000000000003</v>
      </c>
      <c r="K186" s="5">
        <v>43.701000000000001</v>
      </c>
    </row>
    <row r="187" spans="2:11" x14ac:dyDescent="0.2">
      <c r="B187" s="17">
        <v>7.9333333333333336</v>
      </c>
      <c r="C187" s="17">
        <v>77.224999999999994</v>
      </c>
      <c r="D187" s="17">
        <v>74.239999999999995</v>
      </c>
      <c r="E187" s="17">
        <v>86.281000000000006</v>
      </c>
      <c r="F187" s="17">
        <v>61.832999999999998</v>
      </c>
      <c r="G187" s="17">
        <v>57.78</v>
      </c>
      <c r="H187" s="17">
        <v>53.366</v>
      </c>
      <c r="I187" s="5">
        <v>34.033999999999999</v>
      </c>
      <c r="J187" s="5">
        <v>53.887999999999998</v>
      </c>
      <c r="K187" s="5">
        <v>43.637</v>
      </c>
    </row>
    <row r="188" spans="2:11" x14ac:dyDescent="0.2">
      <c r="B188" s="17">
        <v>7.95</v>
      </c>
      <c r="C188" s="17">
        <v>77.134</v>
      </c>
      <c r="D188" s="17">
        <v>74.156000000000006</v>
      </c>
      <c r="E188" s="17">
        <v>86.194999999999993</v>
      </c>
      <c r="F188" s="17">
        <v>61.863999999999997</v>
      </c>
      <c r="G188" s="17">
        <v>57.72</v>
      </c>
      <c r="H188" s="17">
        <v>53.283000000000001</v>
      </c>
      <c r="I188" s="5">
        <v>33.948</v>
      </c>
      <c r="J188" s="5">
        <v>53.878999999999998</v>
      </c>
      <c r="K188" s="5">
        <v>43.561999999999998</v>
      </c>
    </row>
    <row r="189" spans="2:11" x14ac:dyDescent="0.2">
      <c r="B189" s="17">
        <v>7.9666666666666668</v>
      </c>
      <c r="C189" s="17">
        <v>77.08</v>
      </c>
      <c r="D189" s="17">
        <v>74.132999999999996</v>
      </c>
      <c r="E189" s="17">
        <v>86.275000000000006</v>
      </c>
      <c r="F189" s="17">
        <v>61.814999999999998</v>
      </c>
      <c r="G189" s="17">
        <v>57.649000000000001</v>
      </c>
      <c r="H189" s="17">
        <v>53.235999999999997</v>
      </c>
      <c r="I189" s="5">
        <v>33.865000000000002</v>
      </c>
      <c r="J189" s="5">
        <v>53.767000000000003</v>
      </c>
      <c r="K189" s="5">
        <v>43.459000000000003</v>
      </c>
    </row>
    <row r="190" spans="2:11" x14ac:dyDescent="0.2">
      <c r="B190" s="17">
        <v>7.9833333333333334</v>
      </c>
      <c r="C190" s="17">
        <v>77.126999999999995</v>
      </c>
      <c r="D190" s="17">
        <v>74.084000000000003</v>
      </c>
      <c r="E190" s="17">
        <v>86.287000000000006</v>
      </c>
      <c r="F190" s="17">
        <v>61.731999999999999</v>
      </c>
      <c r="G190" s="17">
        <v>57.588999999999999</v>
      </c>
      <c r="H190" s="17">
        <v>53.125</v>
      </c>
      <c r="I190" s="5">
        <v>33.801000000000002</v>
      </c>
      <c r="J190" s="5">
        <v>53.697000000000003</v>
      </c>
      <c r="K190" s="5">
        <v>43.405000000000001</v>
      </c>
    </row>
    <row r="191" spans="2:11" x14ac:dyDescent="0.2">
      <c r="B191" s="17">
        <v>8</v>
      </c>
      <c r="C191" s="17">
        <v>77.099999999999994</v>
      </c>
      <c r="D191" s="17">
        <v>74.081000000000003</v>
      </c>
      <c r="E191" s="17">
        <v>86.224999999999994</v>
      </c>
      <c r="F191" s="17">
        <v>61.667000000000002</v>
      </c>
      <c r="G191" s="17">
        <v>57.551000000000002</v>
      </c>
      <c r="H191" s="17">
        <v>53.029000000000003</v>
      </c>
      <c r="I191" s="5">
        <v>33.713999999999999</v>
      </c>
      <c r="J191" s="5">
        <v>53.625999999999998</v>
      </c>
      <c r="K191" s="5">
        <v>43.386000000000003</v>
      </c>
    </row>
    <row r="192" spans="2:11" x14ac:dyDescent="0.2">
      <c r="B192" s="17">
        <v>8.0166666666666675</v>
      </c>
      <c r="C192" s="17">
        <v>77.087999999999994</v>
      </c>
      <c r="D192" s="17">
        <v>73.991</v>
      </c>
      <c r="E192" s="17">
        <v>86.099000000000004</v>
      </c>
      <c r="F192" s="17">
        <v>61.570999999999998</v>
      </c>
      <c r="G192" s="17">
        <v>57.470999999999997</v>
      </c>
      <c r="H192" s="17">
        <v>53</v>
      </c>
      <c r="I192" s="5">
        <v>33.67</v>
      </c>
      <c r="J192" s="5">
        <v>53.570999999999998</v>
      </c>
      <c r="K192" s="5">
        <v>43.284999999999997</v>
      </c>
    </row>
    <row r="193" spans="2:11" x14ac:dyDescent="0.2">
      <c r="B193" s="17">
        <v>8.0333333333333332</v>
      </c>
      <c r="C193" s="17">
        <v>77.015000000000001</v>
      </c>
      <c r="D193" s="17">
        <v>73.983999999999995</v>
      </c>
      <c r="E193" s="17">
        <v>86.093999999999994</v>
      </c>
      <c r="F193" s="17">
        <v>61.633000000000003</v>
      </c>
      <c r="G193" s="17">
        <v>57.433</v>
      </c>
      <c r="H193" s="17">
        <v>52.912999999999997</v>
      </c>
      <c r="I193" s="5">
        <v>33.603000000000002</v>
      </c>
      <c r="J193" s="5">
        <v>53.484999999999999</v>
      </c>
      <c r="K193" s="5">
        <v>43.223999999999997</v>
      </c>
    </row>
    <row r="194" spans="2:11" x14ac:dyDescent="0.2">
      <c r="B194" s="17">
        <v>8.0500000000000007</v>
      </c>
      <c r="C194" s="17">
        <v>77.021000000000001</v>
      </c>
      <c r="D194" s="17">
        <v>73.832999999999998</v>
      </c>
      <c r="E194" s="17">
        <v>86.070999999999998</v>
      </c>
      <c r="F194" s="17">
        <v>61.576999999999998</v>
      </c>
      <c r="G194" s="17">
        <v>57.393999999999998</v>
      </c>
      <c r="H194" s="17">
        <v>52.86</v>
      </c>
      <c r="I194" s="5">
        <v>33.585999999999999</v>
      </c>
      <c r="J194" s="5">
        <v>53.442</v>
      </c>
      <c r="K194" s="5">
        <v>43.204000000000001</v>
      </c>
    </row>
    <row r="195" spans="2:11" x14ac:dyDescent="0.2">
      <c r="B195" s="17">
        <v>8.0666666666666664</v>
      </c>
      <c r="C195" s="17">
        <v>76.918999999999997</v>
      </c>
      <c r="D195" s="17">
        <v>73.888000000000005</v>
      </c>
      <c r="E195" s="17">
        <v>86.075000000000003</v>
      </c>
      <c r="F195" s="17">
        <v>61.487000000000002</v>
      </c>
      <c r="G195" s="17">
        <v>57.295000000000002</v>
      </c>
      <c r="H195" s="17">
        <v>52.734000000000002</v>
      </c>
      <c r="I195" s="5">
        <v>33.432000000000002</v>
      </c>
      <c r="J195" s="5">
        <v>53.332000000000001</v>
      </c>
      <c r="K195" s="5">
        <v>43.155000000000001</v>
      </c>
    </row>
    <row r="196" spans="2:11" x14ac:dyDescent="0.2">
      <c r="B196" s="17">
        <v>8.0833333333333339</v>
      </c>
      <c r="C196" s="17">
        <v>76.938000000000002</v>
      </c>
      <c r="D196" s="17">
        <v>73.745000000000005</v>
      </c>
      <c r="E196" s="17">
        <v>86.034999999999997</v>
      </c>
      <c r="F196" s="17">
        <v>61.475000000000001</v>
      </c>
      <c r="G196" s="17">
        <v>57.244999999999997</v>
      </c>
      <c r="H196" s="17">
        <v>52.715000000000003</v>
      </c>
      <c r="I196" s="5">
        <v>33.351999999999997</v>
      </c>
      <c r="J196" s="5">
        <v>53.396999999999998</v>
      </c>
      <c r="K196" s="5">
        <v>43.072000000000003</v>
      </c>
    </row>
    <row r="197" spans="2:11" x14ac:dyDescent="0.2">
      <c r="B197" s="17">
        <v>8.1</v>
      </c>
      <c r="C197" s="17">
        <v>76.846000000000004</v>
      </c>
      <c r="D197" s="17">
        <v>73.748000000000005</v>
      </c>
      <c r="E197" s="17">
        <v>86.158000000000001</v>
      </c>
      <c r="F197" s="17">
        <v>61.463999999999999</v>
      </c>
      <c r="G197" s="17">
        <v>57.244999999999997</v>
      </c>
      <c r="H197" s="17">
        <v>52.61</v>
      </c>
      <c r="I197" s="5">
        <v>33.262999999999998</v>
      </c>
      <c r="J197" s="5">
        <v>53.436</v>
      </c>
      <c r="K197" s="5">
        <v>43.027000000000001</v>
      </c>
    </row>
    <row r="198" spans="2:11" x14ac:dyDescent="0.2">
      <c r="B198" s="17">
        <v>8.1166666666666671</v>
      </c>
      <c r="C198" s="17">
        <v>76.844999999999999</v>
      </c>
      <c r="D198" s="17">
        <v>73.650999999999996</v>
      </c>
      <c r="E198" s="17">
        <v>86.075999999999993</v>
      </c>
      <c r="F198" s="17">
        <v>61.362000000000002</v>
      </c>
      <c r="G198" s="17">
        <v>57.164999999999999</v>
      </c>
      <c r="H198" s="17">
        <v>52.600999999999999</v>
      </c>
      <c r="I198" s="5">
        <v>33.22</v>
      </c>
      <c r="J198" s="5">
        <v>53.280999999999999</v>
      </c>
      <c r="K198" s="5">
        <v>42.993000000000002</v>
      </c>
    </row>
    <row r="199" spans="2:11" x14ac:dyDescent="0.2">
      <c r="B199" s="17">
        <v>8.1333333333333329</v>
      </c>
      <c r="C199" s="17">
        <v>76.808000000000007</v>
      </c>
      <c r="D199" s="17">
        <v>73.66</v>
      </c>
      <c r="E199" s="17">
        <v>86.099000000000004</v>
      </c>
      <c r="F199" s="17">
        <v>61.268000000000001</v>
      </c>
      <c r="G199" s="17">
        <v>57.137</v>
      </c>
      <c r="H199" s="17">
        <v>52.494999999999997</v>
      </c>
      <c r="I199" s="5">
        <v>33.164000000000001</v>
      </c>
      <c r="J199" s="5">
        <v>53.27</v>
      </c>
      <c r="K199" s="5">
        <v>43.003999999999998</v>
      </c>
    </row>
    <row r="200" spans="2:11" x14ac:dyDescent="0.2">
      <c r="B200" s="17">
        <v>8.15</v>
      </c>
      <c r="C200" s="17">
        <v>76.822000000000003</v>
      </c>
      <c r="D200" s="17">
        <v>73.628</v>
      </c>
      <c r="E200" s="17">
        <v>86.248999999999995</v>
      </c>
      <c r="F200" s="17">
        <v>61.256999999999998</v>
      </c>
      <c r="G200" s="17">
        <v>57.076999999999998</v>
      </c>
      <c r="H200" s="17">
        <v>52.427999999999997</v>
      </c>
      <c r="I200" s="5">
        <v>33.168999999999997</v>
      </c>
      <c r="J200" s="5">
        <v>53.204000000000001</v>
      </c>
      <c r="K200" s="5">
        <v>42.945</v>
      </c>
    </row>
    <row r="201" spans="2:11" x14ac:dyDescent="0.2">
      <c r="B201" s="17">
        <v>8.1666666666666661</v>
      </c>
      <c r="C201" s="17">
        <v>76.716999999999999</v>
      </c>
      <c r="D201" s="17">
        <v>73.533000000000001</v>
      </c>
      <c r="E201" s="17">
        <v>86.096000000000004</v>
      </c>
      <c r="F201" s="17">
        <v>61.203000000000003</v>
      </c>
      <c r="G201" s="17">
        <v>56.988</v>
      </c>
      <c r="H201" s="17">
        <v>52.322000000000003</v>
      </c>
      <c r="I201" s="5">
        <v>33.005000000000003</v>
      </c>
      <c r="J201" s="5">
        <v>53.183</v>
      </c>
      <c r="K201" s="5">
        <v>42.875999999999998</v>
      </c>
    </row>
    <row r="202" spans="2:11" x14ac:dyDescent="0.2">
      <c r="B202" s="17">
        <v>8.1833333333333336</v>
      </c>
      <c r="C202" s="17">
        <v>76.772000000000006</v>
      </c>
      <c r="D202" s="17">
        <v>73.569000000000003</v>
      </c>
      <c r="E202" s="17">
        <v>86.006</v>
      </c>
      <c r="F202" s="17">
        <v>61.19</v>
      </c>
      <c r="G202" s="17">
        <v>56.98</v>
      </c>
      <c r="H202" s="17">
        <v>52.244999999999997</v>
      </c>
      <c r="I202" s="5">
        <v>32.994</v>
      </c>
      <c r="J202" s="5">
        <v>53.146999999999998</v>
      </c>
      <c r="K202" s="5">
        <v>42.795000000000002</v>
      </c>
    </row>
    <row r="203" spans="2:11" x14ac:dyDescent="0.2">
      <c r="B203" s="17">
        <v>8.1999999999999993</v>
      </c>
      <c r="C203" s="17">
        <v>76.733999999999995</v>
      </c>
      <c r="D203" s="17">
        <v>73.507000000000005</v>
      </c>
      <c r="E203" s="17">
        <v>85.96</v>
      </c>
      <c r="F203" s="17">
        <v>61.154000000000003</v>
      </c>
      <c r="G203" s="17">
        <v>56.918999999999997</v>
      </c>
      <c r="H203" s="17">
        <v>52.23</v>
      </c>
      <c r="I203" s="5">
        <v>32.994999999999997</v>
      </c>
      <c r="J203" s="5">
        <v>53.046999999999997</v>
      </c>
      <c r="K203" s="5">
        <v>42.805999999999997</v>
      </c>
    </row>
    <row r="204" spans="2:11" x14ac:dyDescent="0.2">
      <c r="B204" s="17">
        <v>8.2166666666666668</v>
      </c>
      <c r="C204" s="17">
        <v>76.77</v>
      </c>
      <c r="D204" s="17">
        <v>73.474999999999994</v>
      </c>
      <c r="E204" s="17">
        <v>86.022000000000006</v>
      </c>
      <c r="F204" s="17">
        <v>61.109000000000002</v>
      </c>
      <c r="G204" s="17">
        <v>56.87</v>
      </c>
      <c r="H204" s="17">
        <v>52.115000000000002</v>
      </c>
      <c r="I204" s="5">
        <v>32.859000000000002</v>
      </c>
      <c r="J204" s="5">
        <v>53.128</v>
      </c>
      <c r="K204" s="5">
        <v>42.722000000000001</v>
      </c>
    </row>
    <row r="205" spans="2:11" x14ac:dyDescent="0.2">
      <c r="B205" s="17">
        <v>8.2333333333333325</v>
      </c>
      <c r="C205" s="17">
        <v>76.715999999999994</v>
      </c>
      <c r="D205" s="17">
        <v>73.460999999999999</v>
      </c>
      <c r="E205" s="17">
        <v>86.007999999999996</v>
      </c>
      <c r="F205" s="17">
        <v>61.067999999999998</v>
      </c>
      <c r="G205" s="17">
        <v>56.801000000000002</v>
      </c>
      <c r="H205" s="17">
        <v>52.011000000000003</v>
      </c>
      <c r="I205" s="5">
        <v>32.831000000000003</v>
      </c>
      <c r="J205" s="5">
        <v>53.104999999999997</v>
      </c>
      <c r="K205" s="5">
        <v>42.67</v>
      </c>
    </row>
    <row r="206" spans="2:11" x14ac:dyDescent="0.2">
      <c r="B206" s="17">
        <v>8.25</v>
      </c>
      <c r="C206" s="17">
        <v>76.683999999999997</v>
      </c>
      <c r="D206" s="17">
        <v>73.394000000000005</v>
      </c>
      <c r="E206" s="17">
        <v>85.861000000000004</v>
      </c>
      <c r="F206" s="17">
        <v>61.000999999999998</v>
      </c>
      <c r="G206" s="17">
        <v>56.746000000000002</v>
      </c>
      <c r="H206" s="17">
        <v>51.993000000000002</v>
      </c>
      <c r="I206" s="5">
        <v>32.753999999999998</v>
      </c>
      <c r="J206" s="5">
        <v>53.015999999999998</v>
      </c>
      <c r="K206" s="5">
        <v>42.631</v>
      </c>
    </row>
    <row r="207" spans="2:11" x14ac:dyDescent="0.2">
      <c r="B207" s="17">
        <v>8.2666666666666675</v>
      </c>
      <c r="C207" s="17">
        <v>76.617000000000004</v>
      </c>
      <c r="D207" s="17">
        <v>73.400000000000006</v>
      </c>
      <c r="E207" s="17">
        <v>85.9</v>
      </c>
      <c r="F207" s="17">
        <v>60.944000000000003</v>
      </c>
      <c r="G207" s="17">
        <v>56.731000000000002</v>
      </c>
      <c r="H207" s="17">
        <v>51.88</v>
      </c>
      <c r="I207" s="5">
        <v>32.594999999999999</v>
      </c>
      <c r="J207" s="5">
        <v>52.988</v>
      </c>
      <c r="K207" s="5">
        <v>42.564999999999998</v>
      </c>
    </row>
    <row r="208" spans="2:11" x14ac:dyDescent="0.2">
      <c r="B208" s="17">
        <v>8.2833333333333332</v>
      </c>
      <c r="C208" s="17">
        <v>76.587000000000003</v>
      </c>
      <c r="D208" s="17">
        <v>73.349999999999994</v>
      </c>
      <c r="E208" s="17">
        <v>86.009</v>
      </c>
      <c r="F208" s="17">
        <v>60.957000000000001</v>
      </c>
      <c r="G208" s="17">
        <v>56.707000000000001</v>
      </c>
      <c r="H208" s="17">
        <v>51.814999999999998</v>
      </c>
      <c r="I208" s="5">
        <v>32.616999999999997</v>
      </c>
      <c r="J208" s="5">
        <v>52.912999999999997</v>
      </c>
      <c r="K208" s="5">
        <v>42.554000000000002</v>
      </c>
    </row>
    <row r="209" spans="2:11" x14ac:dyDescent="0.2">
      <c r="B209" s="17">
        <v>8.3000000000000007</v>
      </c>
      <c r="C209" s="17">
        <v>76.536000000000001</v>
      </c>
      <c r="D209" s="17">
        <v>73.308999999999997</v>
      </c>
      <c r="E209" s="17">
        <v>85.91</v>
      </c>
      <c r="F209" s="17">
        <v>60.901000000000003</v>
      </c>
      <c r="G209" s="17">
        <v>56.661999999999999</v>
      </c>
      <c r="H209" s="17">
        <v>51.771999999999998</v>
      </c>
      <c r="I209" s="5">
        <v>32.527000000000001</v>
      </c>
      <c r="J209" s="5">
        <v>52.887</v>
      </c>
      <c r="K209" s="5">
        <v>42.475999999999999</v>
      </c>
    </row>
    <row r="210" spans="2:11" x14ac:dyDescent="0.2">
      <c r="B210" s="17">
        <v>8.3166666666666664</v>
      </c>
      <c r="C210" s="17">
        <v>76.540000000000006</v>
      </c>
      <c r="D210" s="17">
        <v>73.233000000000004</v>
      </c>
      <c r="E210" s="17">
        <v>85.775000000000006</v>
      </c>
      <c r="F210" s="17">
        <v>60.865000000000002</v>
      </c>
      <c r="G210" s="17">
        <v>56.603999999999999</v>
      </c>
      <c r="H210" s="17">
        <v>51.731000000000002</v>
      </c>
      <c r="I210" s="5">
        <v>32.414999999999999</v>
      </c>
      <c r="J210" s="5">
        <v>52.887999999999998</v>
      </c>
      <c r="K210" s="5">
        <v>42.405000000000001</v>
      </c>
    </row>
    <row r="211" spans="2:11" x14ac:dyDescent="0.2">
      <c r="B211" s="17">
        <v>8.3333333333333339</v>
      </c>
      <c r="C211" s="17">
        <v>76.497</v>
      </c>
      <c r="D211" s="17">
        <v>73.27</v>
      </c>
      <c r="E211" s="17">
        <v>85.938999999999993</v>
      </c>
      <c r="F211" s="17">
        <v>60.862000000000002</v>
      </c>
      <c r="G211" s="17">
        <v>56.567999999999998</v>
      </c>
      <c r="H211" s="17">
        <v>51.625999999999998</v>
      </c>
      <c r="I211" s="5">
        <v>32.377000000000002</v>
      </c>
      <c r="J211" s="5">
        <v>52.790999999999997</v>
      </c>
      <c r="K211" s="5">
        <v>42.362000000000002</v>
      </c>
    </row>
    <row r="212" spans="2:11" x14ac:dyDescent="0.2">
      <c r="B212" s="17">
        <v>8.35</v>
      </c>
      <c r="C212" s="17">
        <v>76.430999999999997</v>
      </c>
      <c r="D212" s="17">
        <v>73.284000000000006</v>
      </c>
      <c r="E212" s="17">
        <v>85.721000000000004</v>
      </c>
      <c r="F212" s="17">
        <v>60.814</v>
      </c>
      <c r="G212" s="17">
        <v>56.512999999999998</v>
      </c>
      <c r="H212" s="17">
        <v>51.57</v>
      </c>
      <c r="I212" s="5">
        <v>32.329000000000001</v>
      </c>
      <c r="J212" s="5">
        <v>52.738</v>
      </c>
      <c r="K212" s="5">
        <v>42.295999999999999</v>
      </c>
    </row>
    <row r="213" spans="2:11" x14ac:dyDescent="0.2">
      <c r="B213" s="17">
        <v>8.3666666666666671</v>
      </c>
      <c r="C213" s="17">
        <v>76.379000000000005</v>
      </c>
      <c r="D213" s="17">
        <v>73.182000000000002</v>
      </c>
      <c r="E213" s="17">
        <v>85.808999999999997</v>
      </c>
      <c r="F213" s="17">
        <v>60.793999999999997</v>
      </c>
      <c r="G213" s="17">
        <v>56.468000000000004</v>
      </c>
      <c r="H213" s="17">
        <v>51.527000000000001</v>
      </c>
      <c r="I213" s="5">
        <v>32.262</v>
      </c>
      <c r="J213" s="5">
        <v>52.698999999999998</v>
      </c>
      <c r="K213" s="5">
        <v>42.268000000000001</v>
      </c>
    </row>
    <row r="214" spans="2:11" x14ac:dyDescent="0.2">
      <c r="B214" s="17">
        <v>8.3833333333333329</v>
      </c>
      <c r="C214" s="17">
        <v>76.403000000000006</v>
      </c>
      <c r="D214" s="17">
        <v>73.135000000000005</v>
      </c>
      <c r="E214" s="17">
        <v>85.864000000000004</v>
      </c>
      <c r="F214" s="17">
        <v>60.743000000000002</v>
      </c>
      <c r="G214" s="17">
        <v>56.430999999999997</v>
      </c>
      <c r="H214" s="17">
        <v>51.435000000000002</v>
      </c>
      <c r="I214" s="5">
        <v>32.161999999999999</v>
      </c>
      <c r="J214" s="5">
        <v>52.582000000000001</v>
      </c>
      <c r="K214" s="5">
        <v>42.165999999999997</v>
      </c>
    </row>
    <row r="215" spans="2:11" x14ac:dyDescent="0.2">
      <c r="B215" s="17">
        <v>8.4</v>
      </c>
      <c r="C215" s="17">
        <v>76.328999999999994</v>
      </c>
      <c r="D215" s="17">
        <v>73.096000000000004</v>
      </c>
      <c r="E215" s="17">
        <v>85.798000000000002</v>
      </c>
      <c r="F215" s="17">
        <v>60.686999999999998</v>
      </c>
      <c r="G215" s="17">
        <v>56.384</v>
      </c>
      <c r="H215" s="17">
        <v>51.399000000000001</v>
      </c>
      <c r="I215" s="5">
        <v>32.1</v>
      </c>
      <c r="J215" s="5">
        <v>52.551000000000002</v>
      </c>
      <c r="K215" s="5">
        <v>42.162999999999997</v>
      </c>
    </row>
    <row r="216" spans="2:11" x14ac:dyDescent="0.2">
      <c r="B216" s="17">
        <v>8.4166666666666661</v>
      </c>
      <c r="C216" s="17">
        <v>76.290000000000006</v>
      </c>
      <c r="D216" s="17">
        <v>73.046000000000006</v>
      </c>
      <c r="E216" s="17">
        <v>85.757999999999996</v>
      </c>
      <c r="F216" s="17">
        <v>60.567</v>
      </c>
      <c r="G216" s="17">
        <v>56.334000000000003</v>
      </c>
      <c r="H216" s="17">
        <v>51.33</v>
      </c>
      <c r="I216" s="5">
        <v>32.081000000000003</v>
      </c>
      <c r="J216" s="5">
        <v>52.552999999999997</v>
      </c>
      <c r="K216" s="5">
        <v>42.072000000000003</v>
      </c>
    </row>
    <row r="217" spans="2:11" x14ac:dyDescent="0.2">
      <c r="B217" s="17">
        <v>8.4333333333333336</v>
      </c>
      <c r="C217" s="17">
        <v>76.27</v>
      </c>
      <c r="D217" s="17">
        <v>73.05</v>
      </c>
      <c r="E217" s="17">
        <v>85.873000000000005</v>
      </c>
      <c r="F217" s="17">
        <v>60.518000000000001</v>
      </c>
      <c r="G217" s="17">
        <v>56.276000000000003</v>
      </c>
      <c r="H217" s="17">
        <v>51.252000000000002</v>
      </c>
      <c r="I217" s="5">
        <v>32.029000000000003</v>
      </c>
      <c r="J217" s="5">
        <v>52.555</v>
      </c>
      <c r="K217" s="5">
        <v>42.09</v>
      </c>
    </row>
    <row r="218" spans="2:11" x14ac:dyDescent="0.2">
      <c r="B218" s="17">
        <v>8.4499999999999993</v>
      </c>
      <c r="C218" s="17">
        <v>76.277000000000001</v>
      </c>
      <c r="D218" s="17">
        <v>73.007000000000005</v>
      </c>
      <c r="E218" s="17">
        <v>85.674999999999997</v>
      </c>
      <c r="F218" s="17">
        <v>60.453000000000003</v>
      </c>
      <c r="G218" s="17">
        <v>56.219000000000001</v>
      </c>
      <c r="H218" s="17">
        <v>51.179000000000002</v>
      </c>
      <c r="I218" s="5">
        <v>31.937999999999999</v>
      </c>
      <c r="J218" s="5">
        <v>52.445999999999998</v>
      </c>
      <c r="K218" s="5">
        <v>41.927</v>
      </c>
    </row>
    <row r="219" spans="2:11" x14ac:dyDescent="0.2">
      <c r="B219" s="17">
        <v>8.4666666666666668</v>
      </c>
      <c r="C219" s="17">
        <v>76.227999999999994</v>
      </c>
      <c r="D219" s="17">
        <v>72.975999999999999</v>
      </c>
      <c r="E219" s="17">
        <v>85.730999999999995</v>
      </c>
      <c r="F219" s="17">
        <v>60.484999999999999</v>
      </c>
      <c r="G219" s="17">
        <v>56.206000000000003</v>
      </c>
      <c r="H219" s="17">
        <v>51.168999999999997</v>
      </c>
      <c r="I219" s="5">
        <v>31.902000000000001</v>
      </c>
      <c r="J219" s="5">
        <v>52.457999999999998</v>
      </c>
      <c r="K219" s="5">
        <v>41.944000000000003</v>
      </c>
    </row>
    <row r="220" spans="2:11" x14ac:dyDescent="0.2">
      <c r="B220" s="17">
        <v>8.4833333333333325</v>
      </c>
      <c r="C220" s="17">
        <v>76.234999999999999</v>
      </c>
      <c r="D220" s="17">
        <v>72.921999999999997</v>
      </c>
      <c r="E220" s="17">
        <v>85.826999999999998</v>
      </c>
      <c r="F220" s="17">
        <v>60.423999999999999</v>
      </c>
      <c r="G220" s="17">
        <v>56.148000000000003</v>
      </c>
      <c r="H220" s="17">
        <v>51.103000000000002</v>
      </c>
      <c r="I220" s="5">
        <v>31.85</v>
      </c>
      <c r="J220" s="5">
        <v>52.332999999999998</v>
      </c>
      <c r="K220" s="5">
        <v>41.899000000000001</v>
      </c>
    </row>
    <row r="221" spans="2:11" x14ac:dyDescent="0.2">
      <c r="B221" s="17">
        <v>8.5</v>
      </c>
      <c r="C221" s="17">
        <v>76.206999999999994</v>
      </c>
      <c r="D221" s="17">
        <v>72.917000000000002</v>
      </c>
      <c r="E221" s="17">
        <v>85.72</v>
      </c>
      <c r="F221" s="17">
        <v>60.335000000000001</v>
      </c>
      <c r="G221" s="17">
        <v>56.075000000000003</v>
      </c>
      <c r="H221" s="17">
        <v>51.04</v>
      </c>
      <c r="I221" s="5">
        <v>31.736999999999998</v>
      </c>
      <c r="J221" s="5">
        <v>52.305</v>
      </c>
      <c r="K221" s="5">
        <v>41.822000000000003</v>
      </c>
    </row>
    <row r="222" spans="2:11" x14ac:dyDescent="0.2">
      <c r="B222" s="17">
        <v>8.5166666666666675</v>
      </c>
      <c r="C222" s="17">
        <v>76.158000000000001</v>
      </c>
      <c r="D222" s="17">
        <v>72.819999999999993</v>
      </c>
      <c r="E222" s="17">
        <v>85.731999999999999</v>
      </c>
      <c r="F222" s="17">
        <v>60.343000000000004</v>
      </c>
      <c r="G222" s="17">
        <v>56.034999999999997</v>
      </c>
      <c r="H222" s="17">
        <v>50.939</v>
      </c>
      <c r="I222" s="5">
        <v>31.699000000000002</v>
      </c>
      <c r="J222" s="5">
        <v>52.212000000000003</v>
      </c>
      <c r="K222" s="5">
        <v>41.771000000000001</v>
      </c>
    </row>
    <row r="223" spans="2:11" x14ac:dyDescent="0.2">
      <c r="B223" s="17">
        <v>8.5333333333333332</v>
      </c>
      <c r="C223" s="17">
        <v>76.150000000000006</v>
      </c>
      <c r="D223" s="17">
        <v>72.88</v>
      </c>
      <c r="E223" s="17">
        <v>85.710999999999999</v>
      </c>
      <c r="F223" s="17">
        <v>60.283999999999999</v>
      </c>
      <c r="G223" s="17">
        <v>56.048000000000002</v>
      </c>
      <c r="H223" s="17">
        <v>50.954999999999998</v>
      </c>
      <c r="I223" s="5">
        <v>31.53</v>
      </c>
      <c r="J223" s="5">
        <v>52.265000000000001</v>
      </c>
      <c r="K223" s="5">
        <v>41.744</v>
      </c>
    </row>
    <row r="224" spans="2:11" x14ac:dyDescent="0.2">
      <c r="B224" s="17">
        <v>8.5500000000000007</v>
      </c>
      <c r="C224" s="17">
        <v>76.093000000000004</v>
      </c>
      <c r="D224" s="17">
        <v>72.819999999999993</v>
      </c>
      <c r="E224" s="17">
        <v>85.637</v>
      </c>
      <c r="F224" s="17">
        <v>60.290999999999997</v>
      </c>
      <c r="G224" s="17">
        <v>56.021999999999998</v>
      </c>
      <c r="H224" s="17">
        <v>50.850999999999999</v>
      </c>
      <c r="I224" s="5">
        <v>31.594999999999999</v>
      </c>
      <c r="J224" s="5">
        <v>52.142000000000003</v>
      </c>
      <c r="K224" s="5">
        <v>41.743000000000002</v>
      </c>
    </row>
    <row r="225" spans="2:11" x14ac:dyDescent="0.2">
      <c r="B225" s="17">
        <v>8.5666666666666664</v>
      </c>
      <c r="C225" s="17">
        <v>76.042000000000002</v>
      </c>
      <c r="D225" s="17">
        <v>72.766999999999996</v>
      </c>
      <c r="E225" s="17">
        <v>85.686000000000007</v>
      </c>
      <c r="F225" s="17">
        <v>60.219000000000001</v>
      </c>
      <c r="G225" s="17">
        <v>55.951999999999998</v>
      </c>
      <c r="H225" s="17">
        <v>50.790999999999997</v>
      </c>
      <c r="I225" s="5">
        <v>31.527000000000001</v>
      </c>
      <c r="J225" s="5">
        <v>52.137999999999998</v>
      </c>
      <c r="K225" s="5">
        <v>41.612000000000002</v>
      </c>
    </row>
    <row r="226" spans="2:11" x14ac:dyDescent="0.2">
      <c r="B226" s="17">
        <v>8.5833333333333339</v>
      </c>
      <c r="C226" s="17">
        <v>76.009</v>
      </c>
      <c r="D226" s="17">
        <v>72.644000000000005</v>
      </c>
      <c r="E226" s="17">
        <v>85.641999999999996</v>
      </c>
      <c r="F226" s="17">
        <v>60.19</v>
      </c>
      <c r="G226" s="17">
        <v>55.929000000000002</v>
      </c>
      <c r="H226" s="17">
        <v>50.725000000000001</v>
      </c>
      <c r="I226" s="5">
        <v>31.396999999999998</v>
      </c>
      <c r="J226" s="5">
        <v>52.042000000000002</v>
      </c>
      <c r="K226" s="5">
        <v>41.595999999999997</v>
      </c>
    </row>
    <row r="227" spans="2:11" x14ac:dyDescent="0.2">
      <c r="B227" s="17">
        <v>8.6</v>
      </c>
      <c r="C227" s="17">
        <v>75.908000000000001</v>
      </c>
      <c r="D227" s="17">
        <v>72.682000000000002</v>
      </c>
      <c r="E227" s="17">
        <v>85.546999999999997</v>
      </c>
      <c r="F227" s="17">
        <v>60.143000000000001</v>
      </c>
      <c r="G227" s="17">
        <v>55.862000000000002</v>
      </c>
      <c r="H227" s="17">
        <v>50.703000000000003</v>
      </c>
      <c r="I227" s="5">
        <v>31.332999999999998</v>
      </c>
      <c r="J227" s="5">
        <v>52.031999999999996</v>
      </c>
      <c r="K227" s="5">
        <v>41.558</v>
      </c>
    </row>
    <row r="228" spans="2:11" x14ac:dyDescent="0.2">
      <c r="B228" s="17">
        <v>8.6166666666666671</v>
      </c>
      <c r="C228" s="17">
        <v>75.873000000000005</v>
      </c>
      <c r="D228" s="17">
        <v>72.620999999999995</v>
      </c>
      <c r="E228" s="17">
        <v>85.552000000000007</v>
      </c>
      <c r="F228" s="17">
        <v>60.1</v>
      </c>
      <c r="G228" s="17">
        <v>55.825000000000003</v>
      </c>
      <c r="H228" s="17">
        <v>50.671999999999997</v>
      </c>
      <c r="I228" s="5">
        <v>31.312999999999999</v>
      </c>
      <c r="J228" s="5">
        <v>51.996000000000002</v>
      </c>
      <c r="K228" s="5">
        <v>41.476999999999997</v>
      </c>
    </row>
    <row r="229" spans="2:11" x14ac:dyDescent="0.2">
      <c r="B229" s="17">
        <v>8.6333333333333329</v>
      </c>
      <c r="C229" s="17">
        <v>75.850999999999999</v>
      </c>
      <c r="D229" s="17">
        <v>72.564999999999998</v>
      </c>
      <c r="E229" s="17">
        <v>85.531000000000006</v>
      </c>
      <c r="F229" s="17">
        <v>60.033000000000001</v>
      </c>
      <c r="G229" s="17">
        <v>55.78</v>
      </c>
      <c r="H229" s="17">
        <v>50.49</v>
      </c>
      <c r="I229" s="5">
        <v>31.236999999999998</v>
      </c>
      <c r="J229" s="5">
        <v>51.896999999999998</v>
      </c>
      <c r="K229" s="5">
        <v>41.438000000000002</v>
      </c>
    </row>
    <row r="230" spans="2:11" x14ac:dyDescent="0.2">
      <c r="B230" s="17">
        <v>8.65</v>
      </c>
      <c r="C230" s="17">
        <v>75.878</v>
      </c>
      <c r="D230" s="17">
        <v>72.531000000000006</v>
      </c>
      <c r="E230" s="17">
        <v>85.519000000000005</v>
      </c>
      <c r="F230" s="17">
        <v>60.012999999999998</v>
      </c>
      <c r="G230" s="17">
        <v>55.759</v>
      </c>
      <c r="H230" s="17">
        <v>50.478000000000002</v>
      </c>
      <c r="I230" s="5">
        <v>31.120999999999999</v>
      </c>
      <c r="J230" s="5">
        <v>51.875</v>
      </c>
      <c r="K230" s="5">
        <v>41.368000000000002</v>
      </c>
    </row>
    <row r="231" spans="2:11" x14ac:dyDescent="0.2">
      <c r="B231" s="17">
        <v>8.6666666666666661</v>
      </c>
      <c r="C231" s="17">
        <v>75.875</v>
      </c>
      <c r="D231" s="17">
        <v>72.53</v>
      </c>
      <c r="E231" s="17">
        <v>85.614000000000004</v>
      </c>
      <c r="F231" s="17">
        <v>59.978999999999999</v>
      </c>
      <c r="G231" s="17">
        <v>55.667999999999999</v>
      </c>
      <c r="H231" s="17">
        <v>50.448999999999998</v>
      </c>
      <c r="I231" s="5">
        <v>31.05</v>
      </c>
      <c r="J231" s="5">
        <v>51.805999999999997</v>
      </c>
      <c r="K231" s="5">
        <v>41.320999999999998</v>
      </c>
    </row>
    <row r="232" spans="2:11" x14ac:dyDescent="0.2">
      <c r="B232" s="17">
        <v>8.6833333333333336</v>
      </c>
      <c r="C232" s="17">
        <v>75.876000000000005</v>
      </c>
      <c r="D232" s="17">
        <v>72.53</v>
      </c>
      <c r="E232" s="17">
        <v>85.513999999999996</v>
      </c>
      <c r="F232" s="17">
        <v>59.965000000000003</v>
      </c>
      <c r="G232" s="17">
        <v>55.603000000000002</v>
      </c>
      <c r="H232" s="17">
        <v>50.378999999999998</v>
      </c>
      <c r="I232" s="5">
        <v>31.036000000000001</v>
      </c>
      <c r="J232" s="5">
        <v>51.816000000000003</v>
      </c>
      <c r="K232" s="5">
        <v>41.344999999999999</v>
      </c>
    </row>
    <row r="233" spans="2:11" x14ac:dyDescent="0.2">
      <c r="B233" s="17">
        <v>8.6999999999999993</v>
      </c>
      <c r="C233" s="17">
        <v>75.888000000000005</v>
      </c>
      <c r="D233" s="17">
        <v>72.423000000000002</v>
      </c>
      <c r="E233" s="17">
        <v>85.668999999999997</v>
      </c>
      <c r="F233" s="17">
        <v>59.869</v>
      </c>
      <c r="G233" s="17">
        <v>55.588000000000001</v>
      </c>
      <c r="H233" s="17">
        <v>50.302999999999997</v>
      </c>
      <c r="I233" s="5">
        <v>30.984999999999999</v>
      </c>
      <c r="J233" s="5">
        <v>51.701000000000001</v>
      </c>
      <c r="K233" s="5">
        <v>41.216000000000001</v>
      </c>
    </row>
    <row r="234" spans="2:11" x14ac:dyDescent="0.2">
      <c r="B234" s="17">
        <v>8.7166666666666668</v>
      </c>
      <c r="C234" s="17">
        <v>75.787999999999997</v>
      </c>
      <c r="D234" s="17">
        <v>72.426000000000002</v>
      </c>
      <c r="E234" s="17">
        <v>85.444000000000003</v>
      </c>
      <c r="F234" s="17">
        <v>59.82</v>
      </c>
      <c r="G234" s="17">
        <v>55.526000000000003</v>
      </c>
      <c r="H234" s="17">
        <v>50.226999999999997</v>
      </c>
      <c r="I234" s="5">
        <v>30.876000000000001</v>
      </c>
      <c r="J234" s="5">
        <v>51.673000000000002</v>
      </c>
      <c r="K234" s="5">
        <v>41.244999999999997</v>
      </c>
    </row>
    <row r="235" spans="2:11" x14ac:dyDescent="0.2">
      <c r="B235" s="17">
        <v>8.7333333333333325</v>
      </c>
      <c r="C235" s="17">
        <v>75.793000000000006</v>
      </c>
      <c r="D235" s="17">
        <v>72.379000000000005</v>
      </c>
      <c r="E235" s="17">
        <v>85.518000000000001</v>
      </c>
      <c r="F235" s="17">
        <v>59.831000000000003</v>
      </c>
      <c r="G235" s="17">
        <v>55.518000000000001</v>
      </c>
      <c r="H235" s="17">
        <v>50.201000000000001</v>
      </c>
      <c r="I235" s="5">
        <v>30.823</v>
      </c>
      <c r="J235" s="5">
        <v>51.570999999999998</v>
      </c>
      <c r="K235" s="5">
        <v>41.182000000000002</v>
      </c>
    </row>
    <row r="236" spans="2:11" x14ac:dyDescent="0.2">
      <c r="B236" s="17">
        <v>8.75</v>
      </c>
      <c r="C236" s="17">
        <v>75.73</v>
      </c>
      <c r="D236" s="17">
        <v>72.352000000000004</v>
      </c>
      <c r="E236" s="17">
        <v>85.546999999999997</v>
      </c>
      <c r="F236" s="17">
        <v>59.731000000000002</v>
      </c>
      <c r="G236" s="17">
        <v>55.445999999999998</v>
      </c>
      <c r="H236" s="17">
        <v>50.097999999999999</v>
      </c>
      <c r="I236" s="5">
        <v>30.763000000000002</v>
      </c>
      <c r="J236" s="5">
        <v>51.581000000000003</v>
      </c>
      <c r="K236" s="5">
        <v>41.183999999999997</v>
      </c>
    </row>
    <row r="237" spans="2:11" x14ac:dyDescent="0.2">
      <c r="B237" s="17">
        <v>8.7666666666666675</v>
      </c>
      <c r="C237" s="17">
        <v>75.739000000000004</v>
      </c>
      <c r="D237" s="17">
        <v>72.382999999999996</v>
      </c>
      <c r="E237" s="17">
        <v>85.561999999999998</v>
      </c>
      <c r="F237" s="17">
        <v>59.774000000000001</v>
      </c>
      <c r="G237" s="17">
        <v>55.405999999999999</v>
      </c>
      <c r="H237" s="17">
        <v>50.093000000000004</v>
      </c>
      <c r="I237" s="5">
        <v>30.693999999999999</v>
      </c>
      <c r="J237" s="5">
        <v>51.497999999999998</v>
      </c>
      <c r="K237" s="5">
        <v>41.137999999999998</v>
      </c>
    </row>
    <row r="238" spans="2:11" x14ac:dyDescent="0.2">
      <c r="B238" s="17">
        <v>8.7833333333333332</v>
      </c>
      <c r="C238" s="17">
        <v>75.673000000000002</v>
      </c>
      <c r="D238" s="17">
        <v>72.210999999999999</v>
      </c>
      <c r="E238" s="17">
        <v>85.528999999999996</v>
      </c>
      <c r="F238" s="17">
        <v>59.674999999999997</v>
      </c>
      <c r="G238" s="17">
        <v>55.381999999999998</v>
      </c>
      <c r="H238" s="17">
        <v>50.048000000000002</v>
      </c>
      <c r="I238" s="5">
        <v>30.614999999999998</v>
      </c>
      <c r="J238" s="5">
        <v>51.485999999999997</v>
      </c>
      <c r="K238" s="5">
        <v>41.137</v>
      </c>
    </row>
    <row r="239" spans="2:11" x14ac:dyDescent="0.2">
      <c r="B239" s="17">
        <v>8.8000000000000007</v>
      </c>
      <c r="C239" s="17">
        <v>75.69</v>
      </c>
      <c r="D239" s="17">
        <v>72.27</v>
      </c>
      <c r="E239" s="17">
        <v>85.445999999999998</v>
      </c>
      <c r="F239" s="17">
        <v>59.648000000000003</v>
      </c>
      <c r="G239" s="17">
        <v>55.329000000000001</v>
      </c>
      <c r="H239" s="17">
        <v>49.965000000000003</v>
      </c>
      <c r="I239" s="5">
        <v>30.559000000000001</v>
      </c>
      <c r="J239" s="5">
        <v>51.418999999999997</v>
      </c>
      <c r="K239" s="5">
        <v>41.05</v>
      </c>
    </row>
    <row r="240" spans="2:11" x14ac:dyDescent="0.2">
      <c r="B240" s="17">
        <v>8.8166666666666664</v>
      </c>
      <c r="C240" s="17">
        <v>75.620999999999995</v>
      </c>
      <c r="D240" s="17">
        <v>72.268000000000001</v>
      </c>
      <c r="E240" s="17">
        <v>85.421999999999997</v>
      </c>
      <c r="F240" s="17">
        <v>59.6</v>
      </c>
      <c r="G240" s="17">
        <v>55.241999999999997</v>
      </c>
      <c r="H240" s="17">
        <v>49.853999999999999</v>
      </c>
      <c r="I240" s="5">
        <v>30.454999999999998</v>
      </c>
      <c r="J240" s="5">
        <v>51.43</v>
      </c>
      <c r="K240" s="5">
        <v>41.008000000000003</v>
      </c>
    </row>
    <row r="241" spans="2:11" x14ac:dyDescent="0.2">
      <c r="B241" s="17">
        <v>8.8333333333333339</v>
      </c>
      <c r="C241" s="17">
        <v>75.622</v>
      </c>
      <c r="D241" s="17">
        <v>72.165999999999997</v>
      </c>
      <c r="E241" s="17">
        <v>85.337999999999994</v>
      </c>
      <c r="F241" s="17">
        <v>59.55</v>
      </c>
      <c r="G241" s="17">
        <v>55.185000000000002</v>
      </c>
      <c r="H241" s="17">
        <v>49.843000000000004</v>
      </c>
      <c r="I241" s="5">
        <v>30.425999999999998</v>
      </c>
      <c r="J241" s="5">
        <v>51.384999999999998</v>
      </c>
      <c r="K241" s="5">
        <v>41.048000000000002</v>
      </c>
    </row>
    <row r="242" spans="2:11" x14ac:dyDescent="0.2">
      <c r="B242" s="17">
        <v>8.85</v>
      </c>
      <c r="C242" s="17">
        <v>75.516000000000005</v>
      </c>
      <c r="D242" s="17">
        <v>72.063000000000002</v>
      </c>
      <c r="E242" s="17">
        <v>85.406000000000006</v>
      </c>
      <c r="F242" s="17">
        <v>59.52</v>
      </c>
      <c r="G242" s="17">
        <v>55.134</v>
      </c>
      <c r="H242" s="17">
        <v>49.753999999999998</v>
      </c>
      <c r="I242" s="5">
        <v>30.309000000000001</v>
      </c>
      <c r="J242" s="5">
        <v>51.244999999999997</v>
      </c>
      <c r="K242" s="5">
        <v>40.98</v>
      </c>
    </row>
    <row r="243" spans="2:11" x14ac:dyDescent="0.2">
      <c r="B243" s="17">
        <v>8.8666666666666671</v>
      </c>
      <c r="C243" s="17">
        <v>75.524000000000001</v>
      </c>
      <c r="D243" s="17">
        <v>72.147000000000006</v>
      </c>
      <c r="E243" s="17">
        <v>85.442999999999998</v>
      </c>
      <c r="F243" s="17">
        <v>59.46</v>
      </c>
      <c r="G243" s="17">
        <v>55.121000000000002</v>
      </c>
      <c r="H243" s="17">
        <v>49.771999999999998</v>
      </c>
      <c r="I243" s="5">
        <v>30.273</v>
      </c>
      <c r="J243" s="5">
        <v>51.28</v>
      </c>
      <c r="K243" s="5">
        <v>40.905999999999999</v>
      </c>
    </row>
    <row r="244" spans="2:11" x14ac:dyDescent="0.2">
      <c r="B244" s="17">
        <v>8.8833333333333329</v>
      </c>
      <c r="C244" s="17">
        <v>75.518000000000001</v>
      </c>
      <c r="D244" s="17">
        <v>72.097999999999999</v>
      </c>
      <c r="E244" s="17">
        <v>85.277000000000001</v>
      </c>
      <c r="F244" s="17">
        <v>59.429000000000002</v>
      </c>
      <c r="G244" s="17">
        <v>55.055</v>
      </c>
      <c r="H244" s="17">
        <v>49.667999999999999</v>
      </c>
      <c r="I244" s="5">
        <v>30.198</v>
      </c>
      <c r="J244" s="5">
        <v>51.231000000000002</v>
      </c>
      <c r="K244" s="5">
        <v>40.85</v>
      </c>
    </row>
    <row r="245" spans="2:11" x14ac:dyDescent="0.2">
      <c r="B245" s="17">
        <v>8.9</v>
      </c>
      <c r="C245" s="17">
        <v>75.465999999999994</v>
      </c>
      <c r="D245" s="17">
        <v>72.013999999999996</v>
      </c>
      <c r="E245" s="17">
        <v>85.338999999999999</v>
      </c>
      <c r="F245" s="17">
        <v>59.387999999999998</v>
      </c>
      <c r="G245" s="17">
        <v>55.023000000000003</v>
      </c>
      <c r="H245" s="17">
        <v>49.643999999999998</v>
      </c>
      <c r="I245" s="5">
        <v>30.137</v>
      </c>
      <c r="J245" s="5">
        <v>51.234999999999999</v>
      </c>
      <c r="K245" s="5">
        <v>40.85</v>
      </c>
    </row>
    <row r="246" spans="2:11" x14ac:dyDescent="0.2">
      <c r="B246" s="17">
        <v>8.9166666666666661</v>
      </c>
      <c r="C246" s="17">
        <v>75.411000000000001</v>
      </c>
      <c r="D246" s="17">
        <v>72.025999999999996</v>
      </c>
      <c r="E246" s="17">
        <v>85.305000000000007</v>
      </c>
      <c r="F246" s="17">
        <v>59.328000000000003</v>
      </c>
      <c r="G246" s="17">
        <v>54.984000000000002</v>
      </c>
      <c r="H246" s="17">
        <v>49.567</v>
      </c>
      <c r="I246" s="5">
        <v>30.048999999999999</v>
      </c>
      <c r="J246" s="5">
        <v>51.101999999999997</v>
      </c>
      <c r="K246" s="5">
        <v>40.802</v>
      </c>
    </row>
    <row r="247" spans="2:11" x14ac:dyDescent="0.2">
      <c r="B247" s="17">
        <v>8.9333333333333336</v>
      </c>
      <c r="C247" s="17">
        <v>75.397000000000006</v>
      </c>
      <c r="D247" s="17">
        <v>71.951999999999998</v>
      </c>
      <c r="E247" s="17">
        <v>85.296999999999997</v>
      </c>
      <c r="F247" s="17">
        <v>59.326000000000001</v>
      </c>
      <c r="G247" s="17">
        <v>54.889000000000003</v>
      </c>
      <c r="H247" s="17">
        <v>49.488999999999997</v>
      </c>
      <c r="I247" s="5">
        <v>30.03</v>
      </c>
      <c r="J247" s="5">
        <v>51.076000000000001</v>
      </c>
      <c r="K247" s="5">
        <v>40.777999999999999</v>
      </c>
    </row>
    <row r="248" spans="2:11" x14ac:dyDescent="0.2">
      <c r="B248" s="17">
        <v>8.9499999999999993</v>
      </c>
      <c r="C248" s="17">
        <v>75.328999999999994</v>
      </c>
      <c r="D248" s="17">
        <v>71.852000000000004</v>
      </c>
      <c r="E248" s="17">
        <v>85.311999999999998</v>
      </c>
      <c r="F248" s="17">
        <v>59.25</v>
      </c>
      <c r="G248" s="17">
        <v>54.881999999999998</v>
      </c>
      <c r="H248" s="17">
        <v>49.454000000000001</v>
      </c>
      <c r="I248" s="5">
        <v>29.960999999999999</v>
      </c>
      <c r="J248" s="5">
        <v>51.018000000000001</v>
      </c>
      <c r="K248" s="5">
        <v>40.741</v>
      </c>
    </row>
    <row r="249" spans="2:11" x14ac:dyDescent="0.2">
      <c r="B249" s="17">
        <v>8.9666666666666668</v>
      </c>
      <c r="C249" s="17">
        <v>75.278999999999996</v>
      </c>
      <c r="D249" s="17">
        <v>71.861000000000004</v>
      </c>
      <c r="E249" s="17">
        <v>85.216999999999999</v>
      </c>
      <c r="F249" s="17">
        <v>59.23</v>
      </c>
      <c r="G249" s="17">
        <v>54.813000000000002</v>
      </c>
      <c r="H249" s="17">
        <v>49.387</v>
      </c>
      <c r="I249" s="5">
        <v>29.856999999999999</v>
      </c>
      <c r="J249" s="5">
        <v>50.918999999999997</v>
      </c>
      <c r="K249" s="5">
        <v>40.698999999999998</v>
      </c>
    </row>
    <row r="250" spans="2:11" x14ac:dyDescent="0.2">
      <c r="B250" s="17">
        <v>8.9833333333333325</v>
      </c>
      <c r="C250" s="17">
        <v>75.216999999999999</v>
      </c>
      <c r="D250" s="17">
        <v>71.784999999999997</v>
      </c>
      <c r="E250" s="17">
        <v>85.158000000000001</v>
      </c>
      <c r="F250" s="17">
        <v>59.206000000000003</v>
      </c>
      <c r="G250" s="17">
        <v>54.774999999999999</v>
      </c>
      <c r="H250" s="17">
        <v>49.314999999999998</v>
      </c>
      <c r="I250" s="5">
        <v>29.773</v>
      </c>
      <c r="J250" s="5">
        <v>50.91</v>
      </c>
      <c r="K250" s="5">
        <v>40.654000000000003</v>
      </c>
    </row>
    <row r="251" spans="2:11" x14ac:dyDescent="0.2">
      <c r="B251" s="17">
        <v>9</v>
      </c>
      <c r="C251" s="17">
        <v>75.227999999999994</v>
      </c>
      <c r="D251" s="17">
        <v>71.778000000000006</v>
      </c>
      <c r="E251" s="17">
        <v>85.248999999999995</v>
      </c>
      <c r="F251" s="17">
        <v>59.15</v>
      </c>
      <c r="G251" s="17">
        <v>54.734999999999999</v>
      </c>
      <c r="H251" s="17">
        <v>49.286000000000001</v>
      </c>
      <c r="I251" s="5">
        <v>29.773</v>
      </c>
      <c r="J251" s="5">
        <v>50.936999999999998</v>
      </c>
      <c r="K251" s="5">
        <v>40.652999999999999</v>
      </c>
    </row>
    <row r="252" spans="2:11" x14ac:dyDescent="0.2">
      <c r="B252" s="17">
        <v>9.0166666666666675</v>
      </c>
      <c r="C252" s="17">
        <v>75.152000000000001</v>
      </c>
      <c r="D252" s="17">
        <v>71.701999999999998</v>
      </c>
      <c r="E252" s="17">
        <v>85.203999999999994</v>
      </c>
      <c r="F252" s="17">
        <v>59.152000000000001</v>
      </c>
      <c r="G252" s="17">
        <v>54.68</v>
      </c>
      <c r="H252" s="17">
        <v>49.26</v>
      </c>
      <c r="I252" s="5">
        <v>29.701000000000001</v>
      </c>
      <c r="J252" s="5">
        <v>50.789000000000001</v>
      </c>
      <c r="K252" s="5">
        <v>40.585000000000001</v>
      </c>
    </row>
    <row r="253" spans="2:11" x14ac:dyDescent="0.2">
      <c r="B253" s="17">
        <v>9.0333333333333332</v>
      </c>
      <c r="C253" s="17">
        <v>75.111999999999995</v>
      </c>
      <c r="D253" s="17">
        <v>71.691000000000003</v>
      </c>
      <c r="E253" s="17">
        <v>85.143000000000001</v>
      </c>
      <c r="F253" s="17">
        <v>59.05</v>
      </c>
      <c r="G253" s="17">
        <v>54.652000000000001</v>
      </c>
      <c r="H253" s="17">
        <v>49.194000000000003</v>
      </c>
      <c r="I253" s="5">
        <v>29.646000000000001</v>
      </c>
      <c r="J253" s="5">
        <v>50.804000000000002</v>
      </c>
      <c r="K253" s="5">
        <v>40.567</v>
      </c>
    </row>
    <row r="254" spans="2:11" x14ac:dyDescent="0.2">
      <c r="B254" s="17">
        <v>9.0500000000000007</v>
      </c>
      <c r="C254" s="17">
        <v>75.123999999999995</v>
      </c>
      <c r="D254" s="17">
        <v>71.629000000000005</v>
      </c>
      <c r="E254" s="17">
        <v>85.111000000000004</v>
      </c>
      <c r="F254" s="17">
        <v>59.036999999999999</v>
      </c>
      <c r="G254" s="17">
        <v>54.576000000000001</v>
      </c>
      <c r="H254" s="17">
        <v>49.103999999999999</v>
      </c>
      <c r="I254" s="5">
        <v>29.524999999999999</v>
      </c>
      <c r="J254" s="5">
        <v>50.783000000000001</v>
      </c>
      <c r="K254" s="5">
        <v>40.542999999999999</v>
      </c>
    </row>
    <row r="255" spans="2:11" x14ac:dyDescent="0.2">
      <c r="B255" s="17">
        <v>9.0666666666666664</v>
      </c>
      <c r="C255" s="17">
        <v>75.102000000000004</v>
      </c>
      <c r="D255" s="17">
        <v>71.564999999999998</v>
      </c>
      <c r="E255" s="17">
        <v>85.162999999999997</v>
      </c>
      <c r="F255" s="17">
        <v>59.054000000000002</v>
      </c>
      <c r="G255" s="17">
        <v>54.563000000000002</v>
      </c>
      <c r="H255" s="17">
        <v>49.094999999999999</v>
      </c>
      <c r="I255" s="5">
        <v>29.495999999999999</v>
      </c>
      <c r="J255" s="5">
        <v>50.703000000000003</v>
      </c>
      <c r="K255" s="5">
        <v>40.466999999999999</v>
      </c>
    </row>
    <row r="256" spans="2:11" x14ac:dyDescent="0.2">
      <c r="B256" s="17">
        <v>9.0833333333333339</v>
      </c>
      <c r="C256" s="17">
        <v>75.007999999999996</v>
      </c>
      <c r="D256" s="17">
        <v>71.569000000000003</v>
      </c>
      <c r="E256" s="17">
        <v>85.13</v>
      </c>
      <c r="F256" s="17">
        <v>58.959000000000003</v>
      </c>
      <c r="G256" s="17">
        <v>54.518000000000001</v>
      </c>
      <c r="H256" s="17">
        <v>49.014000000000003</v>
      </c>
      <c r="I256" s="5">
        <v>29.427</v>
      </c>
      <c r="J256" s="5">
        <v>50.606000000000002</v>
      </c>
      <c r="K256" s="5">
        <v>40.473999999999997</v>
      </c>
    </row>
    <row r="257" spans="2:11" x14ac:dyDescent="0.2">
      <c r="B257" s="17">
        <v>9.1</v>
      </c>
      <c r="C257" s="17">
        <v>75.025999999999996</v>
      </c>
      <c r="D257" s="17">
        <v>71.599999999999994</v>
      </c>
      <c r="E257" s="17">
        <v>85.094999999999999</v>
      </c>
      <c r="F257" s="17">
        <v>58.923000000000002</v>
      </c>
      <c r="G257" s="17">
        <v>54.447000000000003</v>
      </c>
      <c r="H257" s="17">
        <v>48.945</v>
      </c>
      <c r="I257" s="5">
        <v>29.375</v>
      </c>
      <c r="J257" s="5">
        <v>50.533000000000001</v>
      </c>
      <c r="K257" s="5">
        <v>40.401000000000003</v>
      </c>
    </row>
    <row r="258" spans="2:11" x14ac:dyDescent="0.2">
      <c r="B258" s="17">
        <v>9.1166666666666671</v>
      </c>
      <c r="C258" s="17">
        <v>74.933000000000007</v>
      </c>
      <c r="D258" s="17">
        <v>71.486999999999995</v>
      </c>
      <c r="E258" s="17">
        <v>84.873000000000005</v>
      </c>
      <c r="F258" s="17">
        <v>58.91</v>
      </c>
      <c r="G258" s="17">
        <v>54.401000000000003</v>
      </c>
      <c r="H258" s="17">
        <v>48.901000000000003</v>
      </c>
      <c r="I258" s="5">
        <v>29.312999999999999</v>
      </c>
      <c r="J258" s="5">
        <v>50.613999999999997</v>
      </c>
      <c r="K258" s="5">
        <v>40.384999999999998</v>
      </c>
    </row>
    <row r="259" spans="2:11" x14ac:dyDescent="0.2">
      <c r="B259" s="17">
        <v>9.1333333333333329</v>
      </c>
      <c r="C259" s="17">
        <v>74.852999999999994</v>
      </c>
      <c r="D259" s="17">
        <v>71.552999999999997</v>
      </c>
      <c r="E259" s="17">
        <v>84.953000000000003</v>
      </c>
      <c r="F259" s="17">
        <v>58.865000000000002</v>
      </c>
      <c r="G259" s="17">
        <v>54.338000000000001</v>
      </c>
      <c r="H259" s="17">
        <v>48.838999999999999</v>
      </c>
      <c r="I259" s="5">
        <v>29.213999999999999</v>
      </c>
      <c r="J259" s="5">
        <v>50.543999999999997</v>
      </c>
      <c r="K259" s="5">
        <v>40.33</v>
      </c>
    </row>
    <row r="260" spans="2:11" x14ac:dyDescent="0.2">
      <c r="B260" s="17">
        <v>9.15</v>
      </c>
      <c r="C260" s="17">
        <v>74.766000000000005</v>
      </c>
      <c r="D260" s="17">
        <v>71.466999999999999</v>
      </c>
      <c r="E260" s="17">
        <v>85.039000000000001</v>
      </c>
      <c r="F260" s="17">
        <v>58.819000000000003</v>
      </c>
      <c r="G260" s="17">
        <v>54.273000000000003</v>
      </c>
      <c r="H260" s="17">
        <v>48.731000000000002</v>
      </c>
      <c r="I260" s="5">
        <v>29.175000000000001</v>
      </c>
      <c r="J260" s="5">
        <v>50.453000000000003</v>
      </c>
      <c r="K260" s="5">
        <v>40.298999999999999</v>
      </c>
    </row>
    <row r="261" spans="2:11" x14ac:dyDescent="0.2">
      <c r="B261" s="17">
        <v>9.1666666666666661</v>
      </c>
      <c r="C261" s="17">
        <v>74.790999999999997</v>
      </c>
      <c r="D261" s="17">
        <v>71.36</v>
      </c>
      <c r="E261" s="17">
        <v>85.096000000000004</v>
      </c>
      <c r="F261" s="17">
        <v>58.773000000000003</v>
      </c>
      <c r="G261" s="17">
        <v>54.194000000000003</v>
      </c>
      <c r="H261" s="17">
        <v>48.706000000000003</v>
      </c>
      <c r="I261" s="5">
        <v>29.088000000000001</v>
      </c>
      <c r="J261" s="5">
        <v>50.357999999999997</v>
      </c>
      <c r="K261" s="5">
        <v>40.220999999999997</v>
      </c>
    </row>
    <row r="262" spans="2:11" x14ac:dyDescent="0.2">
      <c r="B262" s="17">
        <v>9.1833333333333336</v>
      </c>
      <c r="C262" s="17">
        <v>74.762</v>
      </c>
      <c r="D262" s="17">
        <v>71.319000000000003</v>
      </c>
      <c r="E262" s="17">
        <v>84.77</v>
      </c>
      <c r="F262" s="17">
        <v>58.655999999999999</v>
      </c>
      <c r="G262" s="17">
        <v>54.16</v>
      </c>
      <c r="H262" s="17">
        <v>48.613</v>
      </c>
      <c r="I262" s="5">
        <v>29.062000000000001</v>
      </c>
      <c r="J262" s="5">
        <v>50.414999999999999</v>
      </c>
      <c r="K262" s="5">
        <v>40.176000000000002</v>
      </c>
    </row>
    <row r="263" spans="2:11" x14ac:dyDescent="0.2">
      <c r="B263" s="17">
        <v>9.1999999999999993</v>
      </c>
      <c r="C263" s="17">
        <v>74.655000000000001</v>
      </c>
      <c r="D263" s="17">
        <v>71.268000000000001</v>
      </c>
      <c r="E263" s="17">
        <v>84.872</v>
      </c>
      <c r="F263" s="17">
        <v>58.628999999999998</v>
      </c>
      <c r="G263" s="17">
        <v>54.084000000000003</v>
      </c>
      <c r="H263" s="17">
        <v>48.534999999999997</v>
      </c>
      <c r="I263" s="5">
        <v>28.943000000000001</v>
      </c>
      <c r="J263" s="5">
        <v>50.328000000000003</v>
      </c>
      <c r="K263" s="5">
        <v>40.201000000000001</v>
      </c>
    </row>
    <row r="264" spans="2:11" x14ac:dyDescent="0.2">
      <c r="B264" s="17">
        <v>9.2166666666666668</v>
      </c>
      <c r="C264" s="17">
        <v>74.599000000000004</v>
      </c>
      <c r="D264" s="17">
        <v>71.22</v>
      </c>
      <c r="E264" s="17">
        <v>84.8</v>
      </c>
      <c r="F264" s="17">
        <v>58.673999999999999</v>
      </c>
      <c r="G264" s="17">
        <v>54.066000000000003</v>
      </c>
      <c r="H264" s="17">
        <v>48.445999999999998</v>
      </c>
      <c r="I264" s="5">
        <v>28.882999999999999</v>
      </c>
      <c r="J264" s="5">
        <v>50.177999999999997</v>
      </c>
      <c r="K264" s="5">
        <v>40.110999999999997</v>
      </c>
    </row>
    <row r="265" spans="2:11" x14ac:dyDescent="0.2">
      <c r="B265" s="17">
        <v>9.2333333333333325</v>
      </c>
      <c r="C265" s="17">
        <v>74.540000000000006</v>
      </c>
      <c r="D265" s="17">
        <v>71.17</v>
      </c>
      <c r="E265" s="17">
        <v>84.703999999999994</v>
      </c>
      <c r="F265" s="17">
        <v>58.594999999999999</v>
      </c>
      <c r="G265" s="17">
        <v>53.948999999999998</v>
      </c>
      <c r="H265" s="17">
        <v>48.378</v>
      </c>
      <c r="I265" s="5">
        <v>28.838000000000001</v>
      </c>
      <c r="J265" s="5">
        <v>50.164000000000001</v>
      </c>
      <c r="K265" s="5">
        <v>40.082000000000001</v>
      </c>
    </row>
    <row r="266" spans="2:11" x14ac:dyDescent="0.2">
      <c r="B266" s="17">
        <v>9.25</v>
      </c>
      <c r="C266" s="17">
        <v>74.489999999999995</v>
      </c>
      <c r="D266" s="17">
        <v>71.097999999999999</v>
      </c>
      <c r="E266" s="17">
        <v>84.759</v>
      </c>
      <c r="F266" s="17">
        <v>58.548000000000002</v>
      </c>
      <c r="G266" s="17">
        <v>53.886000000000003</v>
      </c>
      <c r="H266" s="17">
        <v>48.317</v>
      </c>
      <c r="I266" s="5">
        <v>28.693000000000001</v>
      </c>
      <c r="J266" s="5">
        <v>50.131999999999998</v>
      </c>
      <c r="K266" s="5">
        <v>39.959000000000003</v>
      </c>
    </row>
    <row r="267" spans="2:11" x14ac:dyDescent="0.2">
      <c r="B267" s="17">
        <v>9.2666666666666675</v>
      </c>
      <c r="C267" s="17">
        <v>74.471000000000004</v>
      </c>
      <c r="D267" s="17">
        <v>71.149000000000001</v>
      </c>
      <c r="E267" s="17">
        <v>84.685000000000002</v>
      </c>
      <c r="F267" s="17">
        <v>58.515999999999998</v>
      </c>
      <c r="G267" s="17">
        <v>53.847000000000001</v>
      </c>
      <c r="H267" s="17">
        <v>48.326000000000001</v>
      </c>
      <c r="I267" s="5">
        <v>28.631</v>
      </c>
      <c r="J267" s="5">
        <v>50.008000000000003</v>
      </c>
      <c r="K267" s="5">
        <v>39.963000000000001</v>
      </c>
    </row>
    <row r="268" spans="2:11" x14ac:dyDescent="0.2">
      <c r="B268" s="17">
        <v>9.2833333333333332</v>
      </c>
      <c r="C268" s="17">
        <v>74.381</v>
      </c>
      <c r="D268" s="17">
        <v>71.007000000000005</v>
      </c>
      <c r="E268" s="17">
        <v>84.625</v>
      </c>
      <c r="F268" s="17">
        <v>58.454999999999998</v>
      </c>
      <c r="G268" s="17">
        <v>53.77</v>
      </c>
      <c r="H268" s="17">
        <v>48.143999999999998</v>
      </c>
      <c r="I268" s="5">
        <v>28.568999999999999</v>
      </c>
      <c r="J268" s="5">
        <v>50.063000000000002</v>
      </c>
      <c r="K268" s="5">
        <v>39.871000000000002</v>
      </c>
    </row>
    <row r="269" spans="2:11" x14ac:dyDescent="0.2">
      <c r="B269" s="17">
        <v>9.3000000000000007</v>
      </c>
      <c r="C269" s="17">
        <v>74.335999999999999</v>
      </c>
      <c r="D269" s="17">
        <v>70.995999999999995</v>
      </c>
      <c r="E269" s="17">
        <v>84.631</v>
      </c>
      <c r="F269" s="17">
        <v>58.347999999999999</v>
      </c>
      <c r="G269" s="17">
        <v>53.776000000000003</v>
      </c>
      <c r="H269" s="17">
        <v>48.058999999999997</v>
      </c>
      <c r="I269" s="5">
        <v>28.527999999999999</v>
      </c>
      <c r="J269" s="5">
        <v>49.936999999999998</v>
      </c>
      <c r="K269" s="5">
        <v>39.747</v>
      </c>
    </row>
    <row r="270" spans="2:11" x14ac:dyDescent="0.2">
      <c r="B270" s="17">
        <v>9.3166666666666664</v>
      </c>
      <c r="C270" s="17">
        <v>74.290000000000006</v>
      </c>
      <c r="D270" s="17">
        <v>70.942999999999998</v>
      </c>
      <c r="E270" s="17">
        <v>84.545000000000002</v>
      </c>
      <c r="F270" s="17">
        <v>58.33</v>
      </c>
      <c r="G270" s="17">
        <v>53.725999999999999</v>
      </c>
      <c r="H270" s="17">
        <v>48.087000000000003</v>
      </c>
      <c r="I270" s="5">
        <v>28.439</v>
      </c>
      <c r="J270" s="5">
        <v>49.914999999999999</v>
      </c>
      <c r="K270" s="5">
        <v>39.741</v>
      </c>
    </row>
    <row r="271" spans="2:11" x14ac:dyDescent="0.2">
      <c r="B271" s="17">
        <v>9.3333333333333339</v>
      </c>
      <c r="C271" s="17">
        <v>74.222999999999999</v>
      </c>
      <c r="D271" s="17">
        <v>70.835999999999999</v>
      </c>
      <c r="E271" s="17">
        <v>84.53</v>
      </c>
      <c r="F271" s="17">
        <v>58.305</v>
      </c>
      <c r="G271" s="17">
        <v>53.665999999999997</v>
      </c>
      <c r="H271" s="17">
        <v>48</v>
      </c>
      <c r="I271" s="5">
        <v>28.353999999999999</v>
      </c>
      <c r="J271" s="5">
        <v>49.877000000000002</v>
      </c>
      <c r="K271" s="5">
        <v>39.723999999999997</v>
      </c>
    </row>
    <row r="272" spans="2:11" x14ac:dyDescent="0.2">
      <c r="B272" s="17">
        <v>9.35</v>
      </c>
      <c r="C272" s="17">
        <v>74.23</v>
      </c>
      <c r="D272" s="17">
        <v>70.78</v>
      </c>
      <c r="E272" s="17">
        <v>84.462000000000003</v>
      </c>
      <c r="F272" s="17">
        <v>58.241</v>
      </c>
      <c r="G272" s="17">
        <v>53.609000000000002</v>
      </c>
      <c r="H272" s="17">
        <v>47.921999999999997</v>
      </c>
      <c r="I272" s="5">
        <v>28.31</v>
      </c>
      <c r="J272" s="5">
        <v>49.756999999999998</v>
      </c>
      <c r="K272" s="5">
        <v>39.652000000000001</v>
      </c>
    </row>
    <row r="273" spans="2:11" x14ac:dyDescent="0.2">
      <c r="B273" s="17">
        <v>9.3666666666666671</v>
      </c>
      <c r="C273" s="17">
        <v>74.152000000000001</v>
      </c>
      <c r="D273" s="17">
        <v>70.75</v>
      </c>
      <c r="E273" s="17">
        <v>84.337000000000003</v>
      </c>
      <c r="F273" s="17">
        <v>58.219000000000001</v>
      </c>
      <c r="G273" s="17">
        <v>53.521999999999998</v>
      </c>
      <c r="H273" s="17">
        <v>47.868000000000002</v>
      </c>
      <c r="I273" s="5">
        <v>28.244</v>
      </c>
      <c r="J273" s="5">
        <v>49.723999999999997</v>
      </c>
      <c r="K273" s="5">
        <v>39.665999999999997</v>
      </c>
    </row>
    <row r="274" spans="2:11" x14ac:dyDescent="0.2">
      <c r="B274" s="17">
        <v>9.3833333333333329</v>
      </c>
      <c r="C274" s="17">
        <v>74.132999999999996</v>
      </c>
      <c r="D274" s="17">
        <v>70.671999999999997</v>
      </c>
      <c r="E274" s="17">
        <v>84.38</v>
      </c>
      <c r="F274" s="17">
        <v>58.125</v>
      </c>
      <c r="G274" s="17">
        <v>53.447000000000003</v>
      </c>
      <c r="H274" s="17">
        <v>47.773000000000003</v>
      </c>
      <c r="I274" s="5">
        <v>28.181999999999999</v>
      </c>
      <c r="J274" s="5">
        <v>49.674999999999997</v>
      </c>
      <c r="K274" s="5">
        <v>39.601999999999997</v>
      </c>
    </row>
    <row r="275" spans="2:11" x14ac:dyDescent="0.2">
      <c r="B275" s="17">
        <v>9.4</v>
      </c>
      <c r="C275" s="17">
        <v>74.084000000000003</v>
      </c>
      <c r="D275" s="17">
        <v>70.578999999999994</v>
      </c>
      <c r="E275" s="17">
        <v>84.332999999999998</v>
      </c>
      <c r="F275" s="17">
        <v>58.104999999999997</v>
      </c>
      <c r="G275" s="17">
        <v>53.435000000000002</v>
      </c>
      <c r="H275" s="17">
        <v>47.716000000000001</v>
      </c>
      <c r="I275" s="5">
        <v>28.132000000000001</v>
      </c>
      <c r="J275" s="5">
        <v>49.637999999999998</v>
      </c>
      <c r="K275" s="5">
        <v>39.515999999999998</v>
      </c>
    </row>
    <row r="276" spans="2:11" x14ac:dyDescent="0.2">
      <c r="B276" s="17">
        <v>9.4166666666666661</v>
      </c>
      <c r="C276" s="17">
        <v>74.061000000000007</v>
      </c>
      <c r="D276" s="17">
        <v>70.489000000000004</v>
      </c>
      <c r="E276" s="17">
        <v>84.213999999999999</v>
      </c>
      <c r="F276" s="17">
        <v>58.031999999999996</v>
      </c>
      <c r="G276" s="17">
        <v>53.406999999999996</v>
      </c>
      <c r="H276" s="17">
        <v>47.665999999999997</v>
      </c>
      <c r="I276" s="5">
        <v>28.096</v>
      </c>
      <c r="J276" s="5">
        <v>49.601999999999997</v>
      </c>
      <c r="K276" s="5">
        <v>39.505000000000003</v>
      </c>
    </row>
    <row r="277" spans="2:11" x14ac:dyDescent="0.2">
      <c r="B277" s="17">
        <v>9.4333333333333336</v>
      </c>
      <c r="C277" s="17">
        <v>73.983000000000004</v>
      </c>
      <c r="D277" s="17">
        <v>70.488</v>
      </c>
      <c r="E277" s="17">
        <v>84.188000000000002</v>
      </c>
      <c r="F277" s="17">
        <v>58.024000000000001</v>
      </c>
      <c r="G277" s="17">
        <v>53.362000000000002</v>
      </c>
      <c r="H277" s="17">
        <v>47.594000000000001</v>
      </c>
      <c r="I277" s="5">
        <v>28.033000000000001</v>
      </c>
      <c r="J277" s="5">
        <v>49.537999999999997</v>
      </c>
      <c r="K277" s="5">
        <v>39.399000000000001</v>
      </c>
    </row>
    <row r="278" spans="2:11" x14ac:dyDescent="0.2">
      <c r="B278" s="17">
        <v>9.4499999999999993</v>
      </c>
      <c r="C278" s="17">
        <v>73.975999999999999</v>
      </c>
      <c r="D278" s="17">
        <v>70.501999999999995</v>
      </c>
      <c r="E278" s="17">
        <v>84.123000000000005</v>
      </c>
      <c r="F278" s="17">
        <v>57.966000000000001</v>
      </c>
      <c r="G278" s="17">
        <v>53.298999999999999</v>
      </c>
      <c r="H278" s="17">
        <v>47.475000000000001</v>
      </c>
      <c r="I278" s="5">
        <v>27.927</v>
      </c>
      <c r="J278" s="5">
        <v>49.491</v>
      </c>
      <c r="K278" s="5">
        <v>39.436999999999998</v>
      </c>
    </row>
    <row r="279" spans="2:11" x14ac:dyDescent="0.2">
      <c r="B279" s="17">
        <v>9.4666666666666668</v>
      </c>
      <c r="C279" s="17">
        <v>73.974999999999994</v>
      </c>
      <c r="D279" s="17">
        <v>70.459000000000003</v>
      </c>
      <c r="E279" s="17">
        <v>84.22</v>
      </c>
      <c r="F279" s="17">
        <v>57.844999999999999</v>
      </c>
      <c r="G279" s="17">
        <v>53.243000000000002</v>
      </c>
      <c r="H279" s="17">
        <v>47.472999999999999</v>
      </c>
      <c r="I279" s="5">
        <v>27.891999999999999</v>
      </c>
      <c r="J279" s="5">
        <v>49.384</v>
      </c>
      <c r="K279" s="5">
        <v>39.35</v>
      </c>
    </row>
    <row r="280" spans="2:11" x14ac:dyDescent="0.2">
      <c r="B280" s="17">
        <v>9.4833333333333325</v>
      </c>
      <c r="C280" s="17">
        <v>73.950999999999993</v>
      </c>
      <c r="D280" s="17">
        <v>70.450999999999993</v>
      </c>
      <c r="E280" s="17">
        <v>84.218000000000004</v>
      </c>
      <c r="F280" s="17">
        <v>57.857999999999997</v>
      </c>
      <c r="G280" s="17">
        <v>53.235999999999997</v>
      </c>
      <c r="H280" s="17">
        <v>47.386000000000003</v>
      </c>
      <c r="I280" s="5">
        <v>27.774999999999999</v>
      </c>
      <c r="J280" s="5">
        <v>49.384999999999998</v>
      </c>
      <c r="K280" s="5">
        <v>39.271000000000001</v>
      </c>
    </row>
    <row r="281" spans="2:11" x14ac:dyDescent="0.2">
      <c r="B281" s="17">
        <v>9.5</v>
      </c>
      <c r="C281" s="17">
        <v>73.921000000000006</v>
      </c>
      <c r="D281" s="17">
        <v>70.397000000000006</v>
      </c>
      <c r="E281" s="17">
        <v>84.156999999999996</v>
      </c>
      <c r="F281" s="17">
        <v>57.776000000000003</v>
      </c>
      <c r="G281" s="17">
        <v>53.134</v>
      </c>
      <c r="H281" s="17">
        <v>47.255000000000003</v>
      </c>
      <c r="I281" s="5">
        <v>27.722999999999999</v>
      </c>
      <c r="J281" s="5">
        <v>49.296999999999997</v>
      </c>
      <c r="K281" s="5">
        <v>39.228000000000002</v>
      </c>
    </row>
    <row r="282" spans="2:11" x14ac:dyDescent="0.2">
      <c r="B282" s="17">
        <v>9.5166666666666675</v>
      </c>
      <c r="C282" s="17">
        <v>73.781000000000006</v>
      </c>
      <c r="D282" s="17">
        <v>70.358000000000004</v>
      </c>
      <c r="E282" s="17">
        <v>84.081000000000003</v>
      </c>
      <c r="F282" s="17">
        <v>57.720999999999997</v>
      </c>
      <c r="G282" s="17">
        <v>53.131</v>
      </c>
      <c r="H282" s="17">
        <v>47.198999999999998</v>
      </c>
      <c r="I282" s="5">
        <v>27.695</v>
      </c>
      <c r="J282" s="5">
        <v>49.265999999999998</v>
      </c>
      <c r="K282" s="5">
        <v>39.234000000000002</v>
      </c>
    </row>
    <row r="283" spans="2:11" x14ac:dyDescent="0.2">
      <c r="B283" s="17">
        <v>9.5333333333333332</v>
      </c>
      <c r="C283" s="17">
        <v>73.757000000000005</v>
      </c>
      <c r="D283" s="17">
        <v>70.286000000000001</v>
      </c>
      <c r="E283" s="17">
        <v>84.05</v>
      </c>
      <c r="F283" s="17">
        <v>57.661999999999999</v>
      </c>
      <c r="G283" s="17">
        <v>53.066000000000003</v>
      </c>
      <c r="H283" s="17">
        <v>47.171999999999997</v>
      </c>
      <c r="I283" s="5">
        <v>27.582000000000001</v>
      </c>
      <c r="J283" s="5">
        <v>49.204999999999998</v>
      </c>
      <c r="K283" s="5">
        <v>39.145000000000003</v>
      </c>
    </row>
    <row r="284" spans="2:11" x14ac:dyDescent="0.2">
      <c r="B284" s="17">
        <v>9.5500000000000007</v>
      </c>
      <c r="C284" s="17">
        <v>73.766000000000005</v>
      </c>
      <c r="D284" s="17">
        <v>70.301000000000002</v>
      </c>
      <c r="E284" s="17">
        <v>84.119</v>
      </c>
      <c r="F284" s="17">
        <v>57.582999999999998</v>
      </c>
      <c r="G284" s="17">
        <v>53.052</v>
      </c>
      <c r="H284" s="17">
        <v>47.072000000000003</v>
      </c>
      <c r="I284" s="5">
        <v>27.565999999999999</v>
      </c>
      <c r="J284" s="5">
        <v>49.15</v>
      </c>
      <c r="K284" s="5">
        <v>39.122999999999998</v>
      </c>
    </row>
    <row r="285" spans="2:11" x14ac:dyDescent="0.2">
      <c r="B285" s="17">
        <v>9.5666666666666664</v>
      </c>
      <c r="C285" s="17">
        <v>73.709000000000003</v>
      </c>
      <c r="D285" s="17">
        <v>70.317999999999998</v>
      </c>
      <c r="E285" s="17">
        <v>84.113</v>
      </c>
      <c r="F285" s="17">
        <v>57.523000000000003</v>
      </c>
      <c r="G285" s="17">
        <v>53.014000000000003</v>
      </c>
      <c r="H285" s="17">
        <v>46.978999999999999</v>
      </c>
      <c r="I285" s="5">
        <v>27.5</v>
      </c>
      <c r="J285" s="5">
        <v>49.118000000000002</v>
      </c>
      <c r="K285" s="5">
        <v>39.033000000000001</v>
      </c>
    </row>
    <row r="286" spans="2:11" x14ac:dyDescent="0.2">
      <c r="B286" s="17">
        <v>9.5833333333333339</v>
      </c>
      <c r="C286" s="17">
        <v>73.677999999999997</v>
      </c>
      <c r="D286" s="17">
        <v>70.224000000000004</v>
      </c>
      <c r="E286" s="17">
        <v>84.114000000000004</v>
      </c>
      <c r="F286" s="17">
        <v>57.53</v>
      </c>
      <c r="G286" s="17">
        <v>52.929000000000002</v>
      </c>
      <c r="H286" s="17">
        <v>46.991999999999997</v>
      </c>
      <c r="I286" s="5">
        <v>27.428999999999998</v>
      </c>
      <c r="J286" s="5">
        <v>49.085000000000001</v>
      </c>
      <c r="K286" s="5">
        <v>39.014000000000003</v>
      </c>
    </row>
    <row r="287" spans="2:11" x14ac:dyDescent="0.2">
      <c r="B287" s="17">
        <v>9.6</v>
      </c>
      <c r="C287" s="17">
        <v>73.692999999999998</v>
      </c>
      <c r="D287" s="17">
        <v>70.198999999999998</v>
      </c>
      <c r="E287" s="17">
        <v>84.141999999999996</v>
      </c>
      <c r="F287" s="17">
        <v>57.476999999999997</v>
      </c>
      <c r="G287" s="17">
        <v>52.835999999999999</v>
      </c>
      <c r="H287" s="17">
        <v>46.91</v>
      </c>
      <c r="I287" s="5">
        <v>27.332999999999998</v>
      </c>
      <c r="J287" s="5">
        <v>49.012</v>
      </c>
      <c r="K287" s="5">
        <v>38.895000000000003</v>
      </c>
    </row>
    <row r="288" spans="2:11" x14ac:dyDescent="0.2">
      <c r="B288" s="17">
        <v>9.6166666666666671</v>
      </c>
      <c r="C288" s="17">
        <v>73.635000000000005</v>
      </c>
      <c r="D288" s="17">
        <v>70.233000000000004</v>
      </c>
      <c r="E288" s="17">
        <v>84.093000000000004</v>
      </c>
      <c r="F288" s="17">
        <v>57.386000000000003</v>
      </c>
      <c r="G288" s="17">
        <v>52.786000000000001</v>
      </c>
      <c r="H288" s="17">
        <v>46.838999999999999</v>
      </c>
      <c r="I288" s="5">
        <v>27.259</v>
      </c>
      <c r="J288" s="5">
        <v>48.963999999999999</v>
      </c>
      <c r="K288" s="5">
        <v>38.869</v>
      </c>
    </row>
    <row r="289" spans="2:11" x14ac:dyDescent="0.2">
      <c r="B289" s="17">
        <v>9.6333333333333329</v>
      </c>
      <c r="C289" s="17">
        <v>73.677000000000007</v>
      </c>
      <c r="D289" s="17">
        <v>70.156000000000006</v>
      </c>
      <c r="E289" s="17">
        <v>84.093999999999994</v>
      </c>
      <c r="F289" s="17">
        <v>57.366</v>
      </c>
      <c r="G289" s="17">
        <v>52.715000000000003</v>
      </c>
      <c r="H289" s="17">
        <v>46.765000000000001</v>
      </c>
      <c r="I289" s="5">
        <v>27.181000000000001</v>
      </c>
      <c r="J289" s="5">
        <v>48.872999999999998</v>
      </c>
      <c r="K289" s="5">
        <v>38.898000000000003</v>
      </c>
    </row>
    <row r="290" spans="2:11" x14ac:dyDescent="0.2">
      <c r="B290" s="17">
        <v>9.65</v>
      </c>
      <c r="C290" s="17">
        <v>73.616</v>
      </c>
      <c r="D290" s="17">
        <v>70.11</v>
      </c>
      <c r="E290" s="17">
        <v>84.022999999999996</v>
      </c>
      <c r="F290" s="17">
        <v>57.356000000000002</v>
      </c>
      <c r="G290" s="17">
        <v>52.695</v>
      </c>
      <c r="H290" s="17">
        <v>46.756</v>
      </c>
      <c r="I290" s="5">
        <v>27.059000000000001</v>
      </c>
      <c r="J290" s="5">
        <v>48.768000000000001</v>
      </c>
      <c r="K290" s="5">
        <v>38.768000000000001</v>
      </c>
    </row>
    <row r="291" spans="2:11" x14ac:dyDescent="0.2">
      <c r="B291" s="17">
        <v>9.6666666666666661</v>
      </c>
      <c r="C291" s="17">
        <v>73.606999999999999</v>
      </c>
      <c r="D291" s="17">
        <v>70.078000000000003</v>
      </c>
      <c r="E291" s="17">
        <v>84.052000000000007</v>
      </c>
      <c r="F291" s="17">
        <v>57.262</v>
      </c>
      <c r="G291" s="17">
        <v>52.649000000000001</v>
      </c>
      <c r="H291" s="17">
        <v>46.715000000000003</v>
      </c>
      <c r="I291" s="5">
        <v>27.068000000000001</v>
      </c>
      <c r="J291" s="5">
        <v>48.658999999999999</v>
      </c>
      <c r="K291" s="5">
        <v>38.790999999999997</v>
      </c>
    </row>
    <row r="292" spans="2:11" x14ac:dyDescent="0.2">
      <c r="B292" s="17">
        <v>9.6833333333333336</v>
      </c>
      <c r="C292" s="17">
        <v>73.564999999999998</v>
      </c>
      <c r="D292" s="17">
        <v>70.05</v>
      </c>
      <c r="E292" s="17">
        <v>83.984999999999999</v>
      </c>
      <c r="F292" s="17">
        <v>57.201999999999998</v>
      </c>
      <c r="G292" s="17">
        <v>52.585999999999999</v>
      </c>
      <c r="H292" s="17">
        <v>46.63</v>
      </c>
      <c r="I292" s="5">
        <v>26.952000000000002</v>
      </c>
      <c r="J292" s="5">
        <v>48.731000000000002</v>
      </c>
      <c r="K292" s="5">
        <v>38.725999999999999</v>
      </c>
    </row>
    <row r="293" spans="2:11" x14ac:dyDescent="0.2">
      <c r="B293" s="17">
        <v>9.6999999999999993</v>
      </c>
      <c r="C293" s="17">
        <v>73.524000000000001</v>
      </c>
      <c r="D293" s="17">
        <v>69.974000000000004</v>
      </c>
      <c r="E293" s="17">
        <v>84.045000000000002</v>
      </c>
      <c r="F293" s="17">
        <v>57.203000000000003</v>
      </c>
      <c r="G293" s="17">
        <v>52.548999999999999</v>
      </c>
      <c r="H293" s="17">
        <v>46.588999999999999</v>
      </c>
      <c r="I293" s="5">
        <v>26.904</v>
      </c>
      <c r="J293" s="5">
        <v>48.65</v>
      </c>
      <c r="K293" s="5">
        <v>38.664000000000001</v>
      </c>
    </row>
    <row r="294" spans="2:11" x14ac:dyDescent="0.2">
      <c r="B294" s="17">
        <v>9.7166666666666668</v>
      </c>
      <c r="C294" s="17">
        <v>73.506</v>
      </c>
      <c r="D294" s="17">
        <v>69.912000000000006</v>
      </c>
      <c r="E294" s="17">
        <v>84.003</v>
      </c>
      <c r="F294" s="17">
        <v>57.128999999999998</v>
      </c>
      <c r="G294" s="17">
        <v>52.497999999999998</v>
      </c>
      <c r="H294" s="17">
        <v>46.472999999999999</v>
      </c>
      <c r="I294" s="5">
        <v>26.858000000000001</v>
      </c>
      <c r="J294" s="5">
        <v>48.62</v>
      </c>
      <c r="K294" s="5">
        <v>38.603000000000002</v>
      </c>
    </row>
    <row r="295" spans="2:11" x14ac:dyDescent="0.2">
      <c r="B295" s="17">
        <v>9.7333333333333325</v>
      </c>
      <c r="C295" s="17">
        <v>73.445999999999998</v>
      </c>
      <c r="D295" s="17">
        <v>69.942999999999998</v>
      </c>
      <c r="E295" s="17">
        <v>83.965999999999994</v>
      </c>
      <c r="F295" s="17">
        <v>57.191000000000003</v>
      </c>
      <c r="G295" s="17">
        <v>52.475999999999999</v>
      </c>
      <c r="H295" s="17">
        <v>46.468000000000004</v>
      </c>
      <c r="I295" s="5">
        <v>26.785</v>
      </c>
      <c r="J295" s="5">
        <v>48.518999999999998</v>
      </c>
      <c r="K295" s="5">
        <v>38.527999999999999</v>
      </c>
    </row>
    <row r="296" spans="2:11" x14ac:dyDescent="0.2">
      <c r="B296" s="17">
        <v>9.75</v>
      </c>
      <c r="C296" s="17">
        <v>73.453000000000003</v>
      </c>
      <c r="D296" s="17">
        <v>69.882000000000005</v>
      </c>
      <c r="E296" s="17">
        <v>83.93</v>
      </c>
      <c r="F296" s="17">
        <v>57.097999999999999</v>
      </c>
      <c r="G296" s="17">
        <v>52.438000000000002</v>
      </c>
      <c r="H296" s="17">
        <v>46.396999999999998</v>
      </c>
      <c r="I296" s="5">
        <v>26.725999999999999</v>
      </c>
      <c r="J296" s="5">
        <v>48.478999999999999</v>
      </c>
      <c r="K296" s="5">
        <v>38.543999999999997</v>
      </c>
    </row>
    <row r="297" spans="2:11" x14ac:dyDescent="0.2">
      <c r="B297" s="17">
        <v>9.7666666666666675</v>
      </c>
      <c r="C297" s="17">
        <v>73.44</v>
      </c>
      <c r="D297" s="17">
        <v>69.832999999999998</v>
      </c>
      <c r="E297" s="17">
        <v>83.953000000000003</v>
      </c>
      <c r="F297" s="17">
        <v>57.045999999999999</v>
      </c>
      <c r="G297" s="17">
        <v>52.401000000000003</v>
      </c>
      <c r="H297" s="17">
        <v>46.353000000000002</v>
      </c>
      <c r="I297" s="5">
        <v>26.683</v>
      </c>
      <c r="J297" s="5">
        <v>48.448</v>
      </c>
      <c r="K297" s="5">
        <v>38.476999999999997</v>
      </c>
    </row>
    <row r="298" spans="2:11" x14ac:dyDescent="0.2">
      <c r="B298" s="17">
        <v>9.7833333333333332</v>
      </c>
      <c r="C298" s="17">
        <v>73.453000000000003</v>
      </c>
      <c r="D298" s="17">
        <v>69.819999999999993</v>
      </c>
      <c r="E298" s="17">
        <v>83.988</v>
      </c>
      <c r="F298" s="17">
        <v>57.078000000000003</v>
      </c>
      <c r="G298" s="17">
        <v>52.371000000000002</v>
      </c>
      <c r="H298" s="17">
        <v>46.334000000000003</v>
      </c>
      <c r="I298" s="5">
        <v>26.608000000000001</v>
      </c>
      <c r="J298" s="5">
        <v>48.374000000000002</v>
      </c>
      <c r="K298" s="5">
        <v>38.393000000000001</v>
      </c>
    </row>
    <row r="299" spans="2:11" x14ac:dyDescent="0.2">
      <c r="B299" s="17">
        <v>9.8000000000000007</v>
      </c>
      <c r="C299" s="17">
        <v>73.36</v>
      </c>
      <c r="D299" s="17">
        <v>69.78</v>
      </c>
      <c r="E299" s="17">
        <v>83.900999999999996</v>
      </c>
      <c r="F299" s="17">
        <v>57.027000000000001</v>
      </c>
      <c r="G299" s="17">
        <v>52.320999999999998</v>
      </c>
      <c r="H299" s="17">
        <v>46.292000000000002</v>
      </c>
      <c r="I299" s="5">
        <v>26.524000000000001</v>
      </c>
      <c r="J299" s="5">
        <v>48.33</v>
      </c>
      <c r="K299" s="5">
        <v>38.365000000000002</v>
      </c>
    </row>
    <row r="300" spans="2:11" x14ac:dyDescent="0.2">
      <c r="B300" s="17">
        <v>9.8166666666666664</v>
      </c>
      <c r="C300" s="17">
        <v>73.331999999999994</v>
      </c>
      <c r="D300" s="17">
        <v>69.703999999999994</v>
      </c>
      <c r="E300" s="17">
        <v>83.885000000000005</v>
      </c>
      <c r="F300" s="17">
        <v>56.890999999999998</v>
      </c>
      <c r="G300" s="17">
        <v>52.27</v>
      </c>
      <c r="H300" s="17">
        <v>46.225000000000001</v>
      </c>
      <c r="I300" s="5">
        <v>26.463000000000001</v>
      </c>
      <c r="J300" s="5">
        <v>48.280999999999999</v>
      </c>
      <c r="K300" s="5">
        <v>38.347000000000001</v>
      </c>
    </row>
    <row r="301" spans="2:11" x14ac:dyDescent="0.2">
      <c r="B301" s="17">
        <v>9.8333333333333339</v>
      </c>
      <c r="C301" s="17">
        <v>73.347999999999999</v>
      </c>
      <c r="D301" s="17">
        <v>69.673000000000002</v>
      </c>
      <c r="E301" s="17">
        <v>83.885999999999996</v>
      </c>
      <c r="F301" s="17">
        <v>56.896999999999998</v>
      </c>
      <c r="G301" s="17">
        <v>52.223999999999997</v>
      </c>
      <c r="H301" s="17">
        <v>46.155000000000001</v>
      </c>
      <c r="I301" s="5">
        <v>26.434999999999999</v>
      </c>
      <c r="J301" s="5">
        <v>48.286999999999999</v>
      </c>
      <c r="K301" s="5">
        <v>38.292000000000002</v>
      </c>
    </row>
    <row r="302" spans="2:11" x14ac:dyDescent="0.2">
      <c r="B302" s="17">
        <v>9.85</v>
      </c>
      <c r="C302" s="17">
        <v>73.335999999999999</v>
      </c>
      <c r="D302" s="17">
        <v>69.628</v>
      </c>
      <c r="E302" s="17">
        <v>83.846000000000004</v>
      </c>
      <c r="F302" s="17">
        <v>56.847999999999999</v>
      </c>
      <c r="G302" s="17">
        <v>52.152000000000001</v>
      </c>
      <c r="H302" s="17">
        <v>46.081000000000003</v>
      </c>
      <c r="I302" s="5">
        <v>26.308</v>
      </c>
      <c r="J302" s="5">
        <v>48.191000000000003</v>
      </c>
      <c r="K302" s="5">
        <v>38.259</v>
      </c>
    </row>
    <row r="303" spans="2:11" x14ac:dyDescent="0.2">
      <c r="B303" s="17">
        <v>9.8666666666666671</v>
      </c>
      <c r="C303" s="17">
        <v>73.25</v>
      </c>
      <c r="D303" s="17">
        <v>69.593000000000004</v>
      </c>
      <c r="E303" s="17">
        <v>83.837999999999994</v>
      </c>
      <c r="F303" s="17">
        <v>56.804000000000002</v>
      </c>
      <c r="G303" s="17">
        <v>52.1</v>
      </c>
      <c r="H303" s="17">
        <v>46.054000000000002</v>
      </c>
      <c r="I303" s="5">
        <v>26.323</v>
      </c>
      <c r="J303" s="5">
        <v>48.133000000000003</v>
      </c>
      <c r="K303" s="5">
        <v>38.207999999999998</v>
      </c>
    </row>
    <row r="304" spans="2:11" x14ac:dyDescent="0.2">
      <c r="B304" s="17">
        <v>9.8833333333333329</v>
      </c>
      <c r="C304" s="17">
        <v>73.245999999999995</v>
      </c>
      <c r="D304" s="17">
        <v>69.533000000000001</v>
      </c>
      <c r="E304" s="17">
        <v>83.838999999999999</v>
      </c>
      <c r="F304" s="17">
        <v>56.738999999999997</v>
      </c>
      <c r="G304" s="17">
        <v>52.070999999999998</v>
      </c>
      <c r="H304" s="17">
        <v>45.969000000000001</v>
      </c>
      <c r="I304" s="5">
        <v>26.225000000000001</v>
      </c>
      <c r="J304" s="5">
        <v>48.045999999999999</v>
      </c>
      <c r="K304" s="5">
        <v>38.192</v>
      </c>
    </row>
    <row r="305" spans="2:11" x14ac:dyDescent="0.2">
      <c r="B305" s="17">
        <v>9.9</v>
      </c>
      <c r="C305" s="17">
        <v>73.203999999999994</v>
      </c>
      <c r="D305" s="17">
        <v>69.570999999999998</v>
      </c>
      <c r="E305" s="17">
        <v>83.820999999999998</v>
      </c>
      <c r="F305" s="17">
        <v>56.712000000000003</v>
      </c>
      <c r="G305" s="17">
        <v>52.000999999999998</v>
      </c>
      <c r="H305" s="17">
        <v>45.906999999999996</v>
      </c>
      <c r="I305" s="5">
        <v>26.146000000000001</v>
      </c>
      <c r="J305" s="5">
        <v>48.106000000000002</v>
      </c>
      <c r="K305" s="5">
        <v>38.134</v>
      </c>
    </row>
    <row r="306" spans="2:11" x14ac:dyDescent="0.2">
      <c r="B306" s="17">
        <v>9.9166666666666661</v>
      </c>
      <c r="C306" s="17">
        <v>73.162999999999997</v>
      </c>
      <c r="D306" s="17">
        <v>69.426000000000002</v>
      </c>
      <c r="E306" s="17">
        <v>83.742000000000004</v>
      </c>
      <c r="F306" s="17">
        <v>56.607999999999997</v>
      </c>
      <c r="G306" s="17">
        <v>51.97</v>
      </c>
      <c r="H306" s="17">
        <v>45.862000000000002</v>
      </c>
      <c r="I306" s="5">
        <v>26.067</v>
      </c>
      <c r="J306" s="5">
        <v>48.048000000000002</v>
      </c>
      <c r="K306" s="5">
        <v>38.095999999999997</v>
      </c>
    </row>
    <row r="307" spans="2:11" x14ac:dyDescent="0.2">
      <c r="B307" s="17">
        <v>9.9333333333333336</v>
      </c>
      <c r="C307" s="17">
        <v>73.191000000000003</v>
      </c>
      <c r="D307" s="17">
        <v>69.465000000000003</v>
      </c>
      <c r="E307" s="17">
        <v>83.748999999999995</v>
      </c>
      <c r="F307" s="17">
        <v>56.56</v>
      </c>
      <c r="G307" s="17">
        <v>51.926000000000002</v>
      </c>
      <c r="H307" s="17">
        <v>45.78</v>
      </c>
      <c r="I307" s="5">
        <v>26.027999999999999</v>
      </c>
      <c r="J307" s="5">
        <v>48.055999999999997</v>
      </c>
      <c r="K307" s="5">
        <v>38.075000000000003</v>
      </c>
    </row>
    <row r="308" spans="2:11" x14ac:dyDescent="0.2">
      <c r="B308" s="17">
        <v>9.9499999999999993</v>
      </c>
      <c r="C308" s="17">
        <v>73.164000000000001</v>
      </c>
      <c r="D308" s="17">
        <v>69.414000000000001</v>
      </c>
      <c r="E308" s="17">
        <v>83.772999999999996</v>
      </c>
      <c r="F308" s="17">
        <v>56.594000000000001</v>
      </c>
      <c r="G308" s="17">
        <v>51.877000000000002</v>
      </c>
      <c r="H308" s="17">
        <v>45.822000000000003</v>
      </c>
      <c r="I308" s="5">
        <v>25.994</v>
      </c>
      <c r="J308" s="5">
        <v>47.930999999999997</v>
      </c>
      <c r="K308" s="5">
        <v>38.021000000000001</v>
      </c>
    </row>
    <row r="309" spans="2:11" x14ac:dyDescent="0.2">
      <c r="B309" s="17">
        <v>9.9666666666666668</v>
      </c>
      <c r="C309" s="17">
        <v>73.123999999999995</v>
      </c>
      <c r="D309" s="17">
        <v>69.355000000000004</v>
      </c>
      <c r="E309" s="17">
        <v>83.74</v>
      </c>
      <c r="F309" s="17">
        <v>56.502000000000002</v>
      </c>
      <c r="G309" s="17">
        <v>51.82</v>
      </c>
      <c r="H309" s="17">
        <v>45.750999999999998</v>
      </c>
      <c r="I309" s="5">
        <v>25.898</v>
      </c>
      <c r="J309" s="5">
        <v>47.866999999999997</v>
      </c>
      <c r="K309" s="5">
        <v>38.006999999999998</v>
      </c>
    </row>
    <row r="310" spans="2:11" x14ac:dyDescent="0.2">
      <c r="B310" s="17">
        <v>9.9833333333333325</v>
      </c>
      <c r="C310" s="17">
        <v>73.150000000000006</v>
      </c>
      <c r="D310" s="17">
        <v>69.394000000000005</v>
      </c>
      <c r="E310" s="17">
        <v>83.635000000000005</v>
      </c>
      <c r="F310" s="17">
        <v>56.51</v>
      </c>
      <c r="G310" s="17">
        <v>51.780999999999999</v>
      </c>
      <c r="H310" s="17">
        <v>45.676000000000002</v>
      </c>
      <c r="I310" s="5">
        <v>25.838999999999999</v>
      </c>
      <c r="J310" s="5">
        <v>47.822000000000003</v>
      </c>
      <c r="K310" s="5">
        <v>37.973999999999997</v>
      </c>
    </row>
    <row r="311" spans="2:11" x14ac:dyDescent="0.2">
      <c r="B311" s="17">
        <v>10</v>
      </c>
      <c r="C311" s="17">
        <v>73.078000000000003</v>
      </c>
      <c r="D311" s="17">
        <v>69.346000000000004</v>
      </c>
      <c r="E311" s="17">
        <v>83.680999999999997</v>
      </c>
      <c r="F311" s="17">
        <v>56.38</v>
      </c>
      <c r="G311" s="17">
        <v>51.746000000000002</v>
      </c>
      <c r="H311" s="17">
        <v>45.582000000000001</v>
      </c>
      <c r="I311" s="5">
        <v>25.754000000000001</v>
      </c>
      <c r="J311" s="5">
        <v>47.784999999999997</v>
      </c>
      <c r="K311" s="5">
        <v>37.917999999999999</v>
      </c>
    </row>
    <row r="1817" spans="12:21" x14ac:dyDescent="0.2">
      <c r="L1817" s="5"/>
      <c r="M1817" s="5"/>
      <c r="N1817" s="5"/>
      <c r="O1817" s="5"/>
      <c r="P1817" s="5"/>
      <c r="Q1817" s="5"/>
      <c r="R1817" s="5"/>
      <c r="S1817" s="5"/>
      <c r="T1817" s="5"/>
      <c r="U1817" s="5"/>
    </row>
    <row r="1818" spans="12:21" x14ac:dyDescent="0.2">
      <c r="L1818" s="5"/>
      <c r="M1818" s="5"/>
      <c r="N1818" s="5"/>
      <c r="O1818" s="5"/>
      <c r="P1818" s="5"/>
      <c r="Q1818" s="5"/>
      <c r="R1818" s="5"/>
      <c r="S1818" s="5"/>
      <c r="T1818" s="5"/>
      <c r="U1818" s="5"/>
    </row>
    <row r="1819" spans="12:21" x14ac:dyDescent="0.2">
      <c r="L1819" s="5"/>
      <c r="M1819" s="5"/>
      <c r="N1819" s="5"/>
      <c r="O1819" s="5"/>
      <c r="P1819" s="5"/>
      <c r="Q1819" s="5"/>
      <c r="R1819" s="5"/>
      <c r="S1819" s="5"/>
      <c r="T1819" s="5"/>
      <c r="U1819" s="5"/>
    </row>
    <row r="1820" spans="12:21" x14ac:dyDescent="0.2">
      <c r="L1820" s="5"/>
      <c r="M1820" s="5"/>
      <c r="N1820" s="5"/>
      <c r="O1820" s="5"/>
      <c r="P1820" s="5"/>
      <c r="Q1820" s="5"/>
      <c r="R1820" s="5"/>
      <c r="S1820" s="5"/>
      <c r="T1820" s="5"/>
      <c r="U1820" s="5"/>
    </row>
    <row r="1821" spans="12:21" x14ac:dyDescent="0.2">
      <c r="L1821" s="5"/>
      <c r="M1821" s="5"/>
      <c r="N1821" s="5"/>
      <c r="O1821" s="5"/>
      <c r="P1821" s="5"/>
      <c r="Q1821" s="5"/>
      <c r="R1821" s="5"/>
      <c r="S1821" s="5"/>
      <c r="T1821" s="5"/>
      <c r="U1821" s="5"/>
    </row>
    <row r="1822" spans="12:21" x14ac:dyDescent="0.2">
      <c r="L1822" s="5"/>
      <c r="M1822" s="5"/>
      <c r="N1822" s="5"/>
      <c r="O1822" s="5"/>
      <c r="P1822" s="5"/>
      <c r="Q1822" s="5"/>
      <c r="R1822" s="5"/>
      <c r="S1822" s="5"/>
      <c r="T1822" s="5"/>
      <c r="U1822" s="5"/>
    </row>
    <row r="1823" spans="12:21" x14ac:dyDescent="0.2">
      <c r="L1823" s="5"/>
      <c r="M1823" s="5"/>
      <c r="N1823" s="5"/>
      <c r="O1823" s="5"/>
      <c r="P1823" s="5"/>
      <c r="Q1823" s="5"/>
      <c r="R1823" s="5"/>
      <c r="S1823" s="5"/>
      <c r="T1823" s="5"/>
      <c r="U1823" s="5"/>
    </row>
    <row r="1824" spans="12:21" x14ac:dyDescent="0.2">
      <c r="L1824" s="5"/>
      <c r="M1824" s="5"/>
      <c r="N1824" s="5"/>
      <c r="O1824" s="5"/>
      <c r="P1824" s="5"/>
      <c r="Q1824" s="5"/>
      <c r="R1824" s="5"/>
      <c r="S1824" s="5"/>
      <c r="T1824" s="5"/>
      <c r="U1824" s="5"/>
    </row>
    <row r="1825" spans="12:21" x14ac:dyDescent="0.2">
      <c r="L1825" s="5"/>
      <c r="M1825" s="5"/>
      <c r="N1825" s="5"/>
      <c r="O1825" s="5"/>
      <c r="P1825" s="5"/>
      <c r="Q1825" s="5"/>
      <c r="R1825" s="5"/>
      <c r="S1825" s="5"/>
      <c r="T1825" s="5"/>
      <c r="U1825" s="5"/>
    </row>
    <row r="1826" spans="12:21" x14ac:dyDescent="0.2">
      <c r="L1826" s="5"/>
      <c r="M1826" s="5"/>
      <c r="N1826" s="5"/>
      <c r="O1826" s="5"/>
      <c r="P1826" s="5"/>
      <c r="Q1826" s="5"/>
      <c r="R1826" s="5"/>
      <c r="S1826" s="5"/>
      <c r="T1826" s="5"/>
      <c r="U1826" s="5"/>
    </row>
    <row r="1827" spans="12:21" x14ac:dyDescent="0.2">
      <c r="L1827" s="5"/>
      <c r="M1827" s="5"/>
      <c r="N1827" s="5"/>
      <c r="O1827" s="5"/>
      <c r="P1827" s="5"/>
      <c r="Q1827" s="5"/>
      <c r="R1827" s="5"/>
      <c r="S1827" s="5"/>
      <c r="T1827" s="5"/>
      <c r="U1827" s="5"/>
    </row>
    <row r="1828" spans="12:21" x14ac:dyDescent="0.2">
      <c r="L1828" s="5"/>
      <c r="M1828" s="5"/>
      <c r="N1828" s="5"/>
      <c r="O1828" s="5"/>
      <c r="P1828" s="5"/>
      <c r="Q1828" s="5"/>
      <c r="R1828" s="5"/>
      <c r="S1828" s="5"/>
      <c r="T1828" s="5"/>
      <c r="U1828" s="5"/>
    </row>
    <row r="1829" spans="12:21" x14ac:dyDescent="0.2">
      <c r="L1829" s="5"/>
      <c r="M1829" s="5"/>
      <c r="N1829" s="5"/>
      <c r="O1829" s="5"/>
      <c r="P1829" s="5"/>
      <c r="Q1829" s="5"/>
      <c r="R1829" s="5"/>
      <c r="S1829" s="5"/>
      <c r="T1829" s="5"/>
      <c r="U1829" s="5"/>
    </row>
    <row r="1830" spans="12:21" x14ac:dyDescent="0.2">
      <c r="L1830" s="5"/>
      <c r="M1830" s="5"/>
      <c r="N1830" s="5"/>
      <c r="O1830" s="5"/>
      <c r="P1830" s="5"/>
      <c r="Q1830" s="5"/>
      <c r="R1830" s="5"/>
      <c r="S1830" s="5"/>
      <c r="T1830" s="5"/>
      <c r="U1830" s="5"/>
    </row>
    <row r="1831" spans="12:21" x14ac:dyDescent="0.2">
      <c r="L1831" s="5"/>
      <c r="M1831" s="5"/>
      <c r="N1831" s="5"/>
      <c r="O1831" s="5"/>
      <c r="P1831" s="5"/>
      <c r="Q1831" s="5"/>
      <c r="R1831" s="5"/>
      <c r="S1831" s="5"/>
      <c r="T1831" s="5"/>
      <c r="U1831" s="5"/>
    </row>
    <row r="1832" spans="12:21" x14ac:dyDescent="0.2">
      <c r="L1832" s="5"/>
      <c r="M1832" s="5"/>
      <c r="N1832" s="5"/>
      <c r="O1832" s="5"/>
      <c r="P1832" s="5"/>
      <c r="Q1832" s="5"/>
      <c r="R1832" s="5"/>
      <c r="S1832" s="5"/>
      <c r="T1832" s="5"/>
      <c r="U1832" s="5"/>
    </row>
    <row r="1833" spans="12:21" x14ac:dyDescent="0.2">
      <c r="L1833" s="5"/>
      <c r="M1833" s="5"/>
      <c r="N1833" s="5"/>
      <c r="O1833" s="5"/>
      <c r="P1833" s="5"/>
      <c r="Q1833" s="5"/>
      <c r="R1833" s="5"/>
      <c r="S1833" s="5"/>
      <c r="T1833" s="5"/>
      <c r="U1833" s="5"/>
    </row>
    <row r="1834" spans="12:21" x14ac:dyDescent="0.2">
      <c r="L1834" s="5"/>
      <c r="M1834" s="5"/>
      <c r="N1834" s="5"/>
      <c r="O1834" s="5"/>
      <c r="P1834" s="5"/>
      <c r="Q1834" s="5"/>
      <c r="R1834" s="5"/>
      <c r="S1834" s="5"/>
      <c r="T1834" s="5"/>
      <c r="U1834" s="5"/>
    </row>
    <row r="1835" spans="12:21" x14ac:dyDescent="0.2">
      <c r="L1835" s="5"/>
      <c r="M1835" s="5"/>
      <c r="N1835" s="5"/>
      <c r="O1835" s="5"/>
      <c r="P1835" s="5"/>
      <c r="Q1835" s="5"/>
      <c r="R1835" s="5"/>
      <c r="S1835" s="5"/>
      <c r="T1835" s="5"/>
      <c r="U1835" s="5"/>
    </row>
    <row r="1836" spans="12:21" x14ac:dyDescent="0.2">
      <c r="L1836" s="5"/>
      <c r="M1836" s="5"/>
      <c r="N1836" s="5"/>
      <c r="O1836" s="5"/>
      <c r="P1836" s="5"/>
      <c r="Q1836" s="5"/>
      <c r="R1836" s="5"/>
      <c r="S1836" s="5"/>
      <c r="T1836" s="5"/>
      <c r="U1836" s="5"/>
    </row>
    <row r="1837" spans="12:21" x14ac:dyDescent="0.2">
      <c r="L1837" s="5"/>
      <c r="M1837" s="5"/>
      <c r="N1837" s="5"/>
      <c r="O1837" s="5"/>
      <c r="P1837" s="5"/>
      <c r="Q1837" s="5"/>
      <c r="R1837" s="5"/>
      <c r="S1837" s="5"/>
      <c r="T1837" s="5"/>
      <c r="U1837" s="5"/>
    </row>
    <row r="1838" spans="12:21" x14ac:dyDescent="0.2">
      <c r="L1838" s="5"/>
      <c r="M1838" s="5"/>
      <c r="N1838" s="5"/>
      <c r="O1838" s="5"/>
      <c r="P1838" s="5"/>
      <c r="Q1838" s="5"/>
      <c r="R1838" s="5"/>
      <c r="S1838" s="5"/>
      <c r="T1838" s="5"/>
      <c r="U1838" s="5"/>
    </row>
    <row r="1839" spans="12:21" x14ac:dyDescent="0.2">
      <c r="L1839" s="5"/>
      <c r="M1839" s="5"/>
      <c r="N1839" s="5"/>
      <c r="O1839" s="5"/>
      <c r="P1839" s="5"/>
      <c r="Q1839" s="5"/>
      <c r="R1839" s="5"/>
      <c r="S1839" s="5"/>
      <c r="T1839" s="5"/>
      <c r="U1839" s="5"/>
    </row>
    <row r="1840" spans="12:21" x14ac:dyDescent="0.2">
      <c r="L1840" s="5"/>
      <c r="M1840" s="5"/>
      <c r="N1840" s="5"/>
      <c r="O1840" s="5"/>
      <c r="P1840" s="5"/>
      <c r="Q1840" s="5"/>
      <c r="R1840" s="5"/>
      <c r="S1840" s="5"/>
      <c r="T1840" s="5"/>
      <c r="U1840" s="5"/>
    </row>
    <row r="1841" spans="12:21" x14ac:dyDescent="0.2">
      <c r="L1841" s="5"/>
      <c r="M1841" s="5"/>
      <c r="N1841" s="5"/>
      <c r="O1841" s="5"/>
      <c r="P1841" s="5"/>
      <c r="Q1841" s="5"/>
      <c r="R1841" s="5"/>
      <c r="S1841" s="5"/>
      <c r="T1841" s="5"/>
      <c r="U1841" s="5"/>
    </row>
    <row r="1842" spans="12:21" x14ac:dyDescent="0.2">
      <c r="L1842" s="5"/>
      <c r="M1842" s="5"/>
      <c r="N1842" s="5"/>
      <c r="O1842" s="5"/>
      <c r="P1842" s="5"/>
      <c r="Q1842" s="5"/>
      <c r="R1842" s="5"/>
      <c r="S1842" s="5"/>
      <c r="T1842" s="5"/>
      <c r="U1842" s="5"/>
    </row>
    <row r="1843" spans="12:21" x14ac:dyDescent="0.2">
      <c r="L1843" s="5"/>
      <c r="M1843" s="5"/>
      <c r="N1843" s="5"/>
      <c r="O1843" s="5"/>
      <c r="P1843" s="5"/>
      <c r="Q1843" s="5"/>
      <c r="R1843" s="5"/>
      <c r="S1843" s="5"/>
      <c r="T1843" s="5"/>
      <c r="U1843" s="5"/>
    </row>
    <row r="1844" spans="12:21" x14ac:dyDescent="0.2">
      <c r="L1844" s="5"/>
      <c r="M1844" s="5"/>
      <c r="N1844" s="5"/>
      <c r="O1844" s="5"/>
      <c r="P1844" s="5"/>
      <c r="Q1844" s="5"/>
      <c r="R1844" s="5"/>
      <c r="S1844" s="5"/>
      <c r="T1844" s="5"/>
      <c r="U1844" s="5"/>
    </row>
    <row r="1845" spans="12:21" x14ac:dyDescent="0.2">
      <c r="L1845" s="5"/>
      <c r="M1845" s="5"/>
      <c r="N1845" s="5"/>
      <c r="O1845" s="5"/>
      <c r="P1845" s="5"/>
      <c r="Q1845" s="5"/>
      <c r="R1845" s="5"/>
      <c r="S1845" s="5"/>
      <c r="T1845" s="5"/>
      <c r="U1845" s="5"/>
    </row>
    <row r="1846" spans="12:21" x14ac:dyDescent="0.2">
      <c r="L1846" s="5"/>
      <c r="M1846" s="5"/>
      <c r="N1846" s="5"/>
      <c r="O1846" s="5"/>
      <c r="P1846" s="5"/>
      <c r="Q1846" s="5"/>
      <c r="R1846" s="5"/>
      <c r="S1846" s="5"/>
      <c r="T1846" s="5"/>
      <c r="U1846" s="5"/>
    </row>
    <row r="1847" spans="12:21" x14ac:dyDescent="0.2">
      <c r="L1847" s="5"/>
      <c r="M1847" s="5"/>
      <c r="N1847" s="5"/>
      <c r="O1847" s="5"/>
      <c r="P1847" s="5"/>
      <c r="Q1847" s="5"/>
      <c r="R1847" s="5"/>
      <c r="S1847" s="5"/>
      <c r="T1847" s="5"/>
      <c r="U1847" s="5"/>
    </row>
    <row r="1848" spans="12:21" x14ac:dyDescent="0.2">
      <c r="L1848" s="5"/>
      <c r="M1848" s="5"/>
      <c r="N1848" s="5"/>
      <c r="O1848" s="5"/>
      <c r="P1848" s="5"/>
      <c r="Q1848" s="5"/>
      <c r="R1848" s="5"/>
      <c r="S1848" s="5"/>
      <c r="T1848" s="5"/>
      <c r="U1848" s="5"/>
    </row>
    <row r="1849" spans="12:21" x14ac:dyDescent="0.2">
      <c r="L1849" s="5"/>
      <c r="M1849" s="5"/>
      <c r="N1849" s="5"/>
      <c r="O1849" s="5"/>
      <c r="P1849" s="5"/>
      <c r="Q1849" s="5"/>
      <c r="R1849" s="5"/>
      <c r="S1849" s="5"/>
      <c r="T1849" s="5"/>
      <c r="U1849" s="5"/>
    </row>
    <row r="1850" spans="12:21" x14ac:dyDescent="0.2">
      <c r="L1850" s="5"/>
      <c r="M1850" s="5"/>
      <c r="N1850" s="5"/>
      <c r="O1850" s="5"/>
      <c r="P1850" s="5"/>
      <c r="Q1850" s="5"/>
      <c r="R1850" s="5"/>
      <c r="S1850" s="5"/>
      <c r="T1850" s="5"/>
      <c r="U1850" s="5"/>
    </row>
    <row r="1851" spans="12:21" x14ac:dyDescent="0.2">
      <c r="L1851" s="5"/>
      <c r="M1851" s="5"/>
      <c r="N1851" s="5"/>
      <c r="O1851" s="5"/>
      <c r="P1851" s="5"/>
      <c r="Q1851" s="5"/>
      <c r="R1851" s="5"/>
      <c r="S1851" s="5"/>
      <c r="T1851" s="5"/>
      <c r="U1851" s="5"/>
    </row>
    <row r="1852" spans="12:21" x14ac:dyDescent="0.2">
      <c r="L1852" s="5"/>
      <c r="M1852" s="5"/>
      <c r="N1852" s="5"/>
      <c r="O1852" s="5"/>
      <c r="P1852" s="5"/>
      <c r="Q1852" s="5"/>
      <c r="R1852" s="5"/>
      <c r="S1852" s="5"/>
      <c r="T1852" s="5"/>
      <c r="U1852" s="5"/>
    </row>
    <row r="1853" spans="12:21" x14ac:dyDescent="0.2">
      <c r="L1853" s="5"/>
      <c r="M1853" s="5"/>
      <c r="N1853" s="5"/>
      <c r="O1853" s="5"/>
      <c r="P1853" s="5"/>
      <c r="Q1853" s="5"/>
      <c r="R1853" s="5"/>
      <c r="S1853" s="5"/>
      <c r="T1853" s="5"/>
      <c r="U1853" s="5"/>
    </row>
    <row r="1854" spans="12:21" x14ac:dyDescent="0.2">
      <c r="L1854" s="5"/>
      <c r="M1854" s="5"/>
      <c r="N1854" s="5"/>
      <c r="O1854" s="5"/>
      <c r="P1854" s="5"/>
      <c r="Q1854" s="5"/>
      <c r="R1854" s="5"/>
      <c r="S1854" s="5"/>
      <c r="T1854" s="5"/>
      <c r="U1854" s="5"/>
    </row>
    <row r="1855" spans="12:21" x14ac:dyDescent="0.2">
      <c r="L1855" s="5"/>
      <c r="M1855" s="5"/>
      <c r="N1855" s="5"/>
      <c r="O1855" s="5"/>
      <c r="P1855" s="5"/>
      <c r="Q1855" s="5"/>
      <c r="R1855" s="5"/>
      <c r="S1855" s="5"/>
      <c r="T1855" s="5"/>
      <c r="U1855" s="5"/>
    </row>
    <row r="1856" spans="12:21" x14ac:dyDescent="0.2">
      <c r="L1856" s="5"/>
      <c r="M1856" s="5"/>
      <c r="N1856" s="5"/>
      <c r="O1856" s="5"/>
      <c r="P1856" s="5"/>
      <c r="Q1856" s="5"/>
      <c r="R1856" s="5"/>
      <c r="S1856" s="5"/>
      <c r="T1856" s="5"/>
      <c r="U1856" s="5"/>
    </row>
    <row r="1857" spans="12:21" x14ac:dyDescent="0.2">
      <c r="L1857" s="5"/>
      <c r="M1857" s="5"/>
      <c r="N1857" s="5"/>
      <c r="O1857" s="5"/>
      <c r="P1857" s="5"/>
      <c r="Q1857" s="5"/>
      <c r="R1857" s="5"/>
      <c r="S1857" s="5"/>
      <c r="T1857" s="5"/>
      <c r="U1857" s="5"/>
    </row>
    <row r="1858" spans="12:21" x14ac:dyDescent="0.2">
      <c r="L1858" s="5"/>
      <c r="M1858" s="5"/>
      <c r="N1858" s="5"/>
      <c r="O1858" s="5"/>
      <c r="P1858" s="5"/>
      <c r="Q1858" s="5"/>
      <c r="R1858" s="5"/>
      <c r="S1858" s="5"/>
      <c r="T1858" s="5"/>
      <c r="U1858" s="5"/>
    </row>
    <row r="1859" spans="12:21" x14ac:dyDescent="0.2">
      <c r="L1859" s="5"/>
      <c r="M1859" s="5"/>
      <c r="N1859" s="5"/>
      <c r="O1859" s="5"/>
      <c r="P1859" s="5"/>
      <c r="Q1859" s="5"/>
      <c r="R1859" s="5"/>
      <c r="S1859" s="5"/>
      <c r="T1859" s="5"/>
      <c r="U1859" s="5"/>
    </row>
    <row r="1860" spans="12:21" x14ac:dyDescent="0.2">
      <c r="L1860" s="5"/>
      <c r="M1860" s="5"/>
      <c r="N1860" s="5"/>
      <c r="O1860" s="5"/>
      <c r="P1860" s="5"/>
      <c r="Q1860" s="5"/>
      <c r="R1860" s="5"/>
      <c r="S1860" s="5"/>
      <c r="T1860" s="5"/>
      <c r="U1860" s="5"/>
    </row>
    <row r="1861" spans="12:21" x14ac:dyDescent="0.2">
      <c r="L1861" s="5"/>
      <c r="M1861" s="5"/>
      <c r="N1861" s="5"/>
      <c r="O1861" s="5"/>
      <c r="P1861" s="5"/>
      <c r="Q1861" s="5"/>
      <c r="R1861" s="5"/>
      <c r="S1861" s="5"/>
      <c r="T1861" s="5"/>
      <c r="U1861" s="5"/>
    </row>
    <row r="1862" spans="12:21" x14ac:dyDescent="0.2">
      <c r="L1862" s="5"/>
      <c r="M1862" s="5"/>
      <c r="N1862" s="5"/>
      <c r="O1862" s="5"/>
      <c r="P1862" s="5"/>
      <c r="Q1862" s="5"/>
      <c r="R1862" s="5"/>
      <c r="S1862" s="5"/>
      <c r="T1862" s="5"/>
      <c r="U1862" s="5"/>
    </row>
    <row r="1863" spans="12:21" x14ac:dyDescent="0.2">
      <c r="L1863" s="5"/>
      <c r="M1863" s="5"/>
      <c r="N1863" s="5"/>
      <c r="O1863" s="5"/>
      <c r="P1863" s="5"/>
      <c r="Q1863" s="5"/>
      <c r="R1863" s="5"/>
      <c r="S1863" s="5"/>
      <c r="T1863" s="5"/>
      <c r="U1863" s="5"/>
    </row>
    <row r="1864" spans="12:21" x14ac:dyDescent="0.2">
      <c r="L1864" s="5"/>
      <c r="M1864" s="5"/>
      <c r="N1864" s="5"/>
      <c r="O1864" s="5"/>
      <c r="P1864" s="5"/>
      <c r="Q1864" s="5"/>
      <c r="R1864" s="5"/>
      <c r="S1864" s="5"/>
      <c r="T1864" s="5"/>
      <c r="U1864" s="5"/>
    </row>
    <row r="1865" spans="12:21" x14ac:dyDescent="0.2">
      <c r="L1865" s="5"/>
      <c r="M1865" s="5"/>
      <c r="N1865" s="5"/>
      <c r="O1865" s="5"/>
      <c r="P1865" s="5"/>
      <c r="Q1865" s="5"/>
      <c r="R1865" s="5"/>
      <c r="S1865" s="5"/>
      <c r="T1865" s="5"/>
      <c r="U1865" s="5"/>
    </row>
    <row r="1866" spans="12:21" x14ac:dyDescent="0.2">
      <c r="L1866" s="5"/>
      <c r="M1866" s="5"/>
      <c r="N1866" s="5"/>
      <c r="O1866" s="5"/>
      <c r="P1866" s="5"/>
      <c r="Q1866" s="5"/>
      <c r="R1866" s="5"/>
      <c r="S1866" s="5"/>
      <c r="T1866" s="5"/>
      <c r="U1866" s="5"/>
    </row>
    <row r="1867" spans="12:21" x14ac:dyDescent="0.2">
      <c r="L1867" s="5"/>
      <c r="M1867" s="5"/>
      <c r="N1867" s="5"/>
      <c r="O1867" s="5"/>
      <c r="P1867" s="5"/>
      <c r="Q1867" s="5"/>
      <c r="R1867" s="5"/>
      <c r="S1867" s="5"/>
      <c r="T1867" s="5"/>
      <c r="U1867" s="5"/>
    </row>
    <row r="1868" spans="12:21" x14ac:dyDescent="0.2">
      <c r="L1868" s="5"/>
      <c r="M1868" s="5"/>
      <c r="N1868" s="5"/>
      <c r="O1868" s="5"/>
      <c r="P1868" s="5"/>
      <c r="Q1868" s="5"/>
      <c r="R1868" s="5"/>
      <c r="S1868" s="5"/>
      <c r="T1868" s="5"/>
      <c r="U1868" s="5"/>
    </row>
    <row r="1869" spans="12:21" x14ac:dyDescent="0.2">
      <c r="L1869" s="5"/>
      <c r="M1869" s="5"/>
      <c r="N1869" s="5"/>
      <c r="O1869" s="5"/>
      <c r="P1869" s="5"/>
      <c r="Q1869" s="5"/>
      <c r="R1869" s="5"/>
      <c r="S1869" s="5"/>
      <c r="T1869" s="5"/>
      <c r="U1869" s="5"/>
    </row>
    <row r="1870" spans="12:21" x14ac:dyDescent="0.2">
      <c r="L1870" s="5"/>
      <c r="M1870" s="5"/>
      <c r="N1870" s="5"/>
      <c r="O1870" s="5"/>
      <c r="P1870" s="5"/>
      <c r="Q1870" s="5"/>
      <c r="R1870" s="5"/>
      <c r="S1870" s="5"/>
      <c r="T1870" s="5"/>
      <c r="U1870" s="5"/>
    </row>
    <row r="1871" spans="12:21" x14ac:dyDescent="0.2">
      <c r="L1871" s="5"/>
      <c r="M1871" s="5"/>
      <c r="N1871" s="5"/>
      <c r="O1871" s="5"/>
      <c r="P1871" s="5"/>
      <c r="Q1871" s="5"/>
      <c r="R1871" s="5"/>
      <c r="S1871" s="5"/>
      <c r="T1871" s="5"/>
      <c r="U1871" s="5"/>
    </row>
    <row r="1872" spans="12:21" x14ac:dyDescent="0.2">
      <c r="L1872" s="5"/>
      <c r="M1872" s="5"/>
      <c r="N1872" s="5"/>
      <c r="O1872" s="5"/>
      <c r="P1872" s="5"/>
      <c r="Q1872" s="5"/>
      <c r="R1872" s="5"/>
      <c r="S1872" s="5"/>
      <c r="T1872" s="5"/>
      <c r="U1872" s="5"/>
    </row>
    <row r="1873" spans="12:21" x14ac:dyDescent="0.2">
      <c r="L1873" s="5"/>
      <c r="M1873" s="5"/>
      <c r="N1873" s="5"/>
      <c r="O1873" s="5"/>
      <c r="P1873" s="5"/>
      <c r="Q1873" s="5"/>
      <c r="R1873" s="5"/>
      <c r="S1873" s="5"/>
      <c r="T1873" s="5"/>
      <c r="U1873" s="5"/>
    </row>
    <row r="1874" spans="12:21" x14ac:dyDescent="0.2">
      <c r="L1874" s="5"/>
      <c r="M1874" s="5"/>
      <c r="N1874" s="5"/>
      <c r="O1874" s="5"/>
      <c r="P1874" s="5"/>
      <c r="Q1874" s="5"/>
      <c r="R1874" s="5"/>
      <c r="S1874" s="5"/>
      <c r="T1874" s="5"/>
      <c r="U1874" s="5"/>
    </row>
    <row r="1875" spans="12:21" x14ac:dyDescent="0.2">
      <c r="L1875" s="5"/>
      <c r="M1875" s="5"/>
      <c r="N1875" s="5"/>
      <c r="O1875" s="5"/>
      <c r="P1875" s="5"/>
      <c r="Q1875" s="5"/>
      <c r="R1875" s="5"/>
      <c r="S1875" s="5"/>
      <c r="T1875" s="5"/>
      <c r="U1875" s="5"/>
    </row>
    <row r="1876" spans="12:21" x14ac:dyDescent="0.2">
      <c r="L1876" s="5"/>
      <c r="M1876" s="5"/>
      <c r="N1876" s="5"/>
      <c r="O1876" s="5"/>
      <c r="P1876" s="5"/>
      <c r="Q1876" s="5"/>
      <c r="R1876" s="5"/>
      <c r="S1876" s="5"/>
      <c r="T1876" s="5"/>
      <c r="U1876" s="5"/>
    </row>
    <row r="1877" spans="12:21" x14ac:dyDescent="0.2">
      <c r="L1877" s="5"/>
      <c r="M1877" s="5"/>
      <c r="N1877" s="5"/>
      <c r="O1877" s="5"/>
      <c r="P1877" s="5"/>
      <c r="Q1877" s="5"/>
      <c r="R1877" s="5"/>
      <c r="S1877" s="5"/>
      <c r="T1877" s="5"/>
      <c r="U1877" s="5"/>
    </row>
    <row r="1878" spans="12:21" x14ac:dyDescent="0.2">
      <c r="L1878" s="5"/>
      <c r="M1878" s="5"/>
      <c r="N1878" s="5"/>
      <c r="O1878" s="5"/>
      <c r="P1878" s="5"/>
      <c r="Q1878" s="5"/>
      <c r="R1878" s="5"/>
      <c r="S1878" s="5"/>
      <c r="T1878" s="5"/>
      <c r="U1878" s="5"/>
    </row>
    <row r="1879" spans="12:21" x14ac:dyDescent="0.2">
      <c r="L1879" s="5"/>
      <c r="M1879" s="5"/>
      <c r="N1879" s="5"/>
      <c r="O1879" s="5"/>
      <c r="P1879" s="5"/>
      <c r="Q1879" s="5"/>
      <c r="R1879" s="5"/>
      <c r="S1879" s="5"/>
      <c r="T1879" s="5"/>
      <c r="U1879" s="5"/>
    </row>
    <row r="1880" spans="12:21" x14ac:dyDescent="0.2">
      <c r="L1880" s="5"/>
      <c r="M1880" s="5"/>
      <c r="N1880" s="5"/>
      <c r="O1880" s="5"/>
      <c r="P1880" s="5"/>
      <c r="Q1880" s="5"/>
      <c r="R1880" s="5"/>
      <c r="S1880" s="5"/>
      <c r="T1880" s="5"/>
      <c r="U1880" s="5"/>
    </row>
    <row r="1881" spans="12:21" x14ac:dyDescent="0.2">
      <c r="L1881" s="5"/>
      <c r="M1881" s="5"/>
      <c r="N1881" s="5"/>
      <c r="O1881" s="5"/>
      <c r="P1881" s="5"/>
      <c r="Q1881" s="5"/>
      <c r="R1881" s="5"/>
      <c r="S1881" s="5"/>
      <c r="T1881" s="5"/>
      <c r="U1881" s="5"/>
    </row>
    <row r="1882" spans="12:21" x14ac:dyDescent="0.2">
      <c r="L1882" s="5"/>
      <c r="M1882" s="5"/>
      <c r="N1882" s="5"/>
      <c r="O1882" s="5"/>
      <c r="P1882" s="5"/>
      <c r="Q1882" s="5"/>
      <c r="R1882" s="5"/>
      <c r="S1882" s="5"/>
      <c r="T1882" s="5"/>
      <c r="U1882" s="5"/>
    </row>
    <row r="1883" spans="12:21" x14ac:dyDescent="0.2">
      <c r="L1883" s="5"/>
      <c r="M1883" s="5"/>
      <c r="N1883" s="5"/>
      <c r="O1883" s="5"/>
      <c r="P1883" s="5"/>
      <c r="Q1883" s="5"/>
      <c r="R1883" s="5"/>
      <c r="S1883" s="5"/>
      <c r="T1883" s="5"/>
      <c r="U1883" s="5"/>
    </row>
    <row r="1884" spans="12:21" x14ac:dyDescent="0.2">
      <c r="L1884" s="5"/>
      <c r="M1884" s="5"/>
      <c r="N1884" s="5"/>
      <c r="O1884" s="5"/>
      <c r="P1884" s="5"/>
      <c r="Q1884" s="5"/>
      <c r="R1884" s="5"/>
      <c r="S1884" s="5"/>
      <c r="T1884" s="5"/>
      <c r="U1884" s="5"/>
    </row>
    <row r="1885" spans="12:21" x14ac:dyDescent="0.2">
      <c r="L1885" s="5"/>
      <c r="M1885" s="5"/>
      <c r="N1885" s="5"/>
      <c r="O1885" s="5"/>
      <c r="P1885" s="5"/>
      <c r="Q1885" s="5"/>
      <c r="R1885" s="5"/>
      <c r="S1885" s="5"/>
      <c r="T1885" s="5"/>
      <c r="U1885" s="5"/>
    </row>
    <row r="1886" spans="12:21" x14ac:dyDescent="0.2">
      <c r="L1886" s="5"/>
      <c r="M1886" s="5"/>
      <c r="N1886" s="5"/>
      <c r="O1886" s="5"/>
      <c r="P1886" s="5"/>
      <c r="Q1886" s="5"/>
      <c r="R1886" s="5"/>
      <c r="S1886" s="5"/>
      <c r="T1886" s="5"/>
      <c r="U1886" s="5"/>
    </row>
    <row r="1887" spans="12:21" x14ac:dyDescent="0.2">
      <c r="L1887" s="5"/>
      <c r="M1887" s="5"/>
      <c r="N1887" s="5"/>
      <c r="O1887" s="5"/>
      <c r="P1887" s="5"/>
      <c r="Q1887" s="5"/>
      <c r="R1887" s="5"/>
      <c r="S1887" s="5"/>
      <c r="T1887" s="5"/>
      <c r="U1887" s="5"/>
    </row>
    <row r="1888" spans="12:21" x14ac:dyDescent="0.2">
      <c r="L1888" s="5"/>
      <c r="M1888" s="5"/>
      <c r="N1888" s="5"/>
      <c r="O1888" s="5"/>
      <c r="P1888" s="5"/>
      <c r="Q1888" s="5"/>
      <c r="R1888" s="5"/>
      <c r="S1888" s="5"/>
      <c r="T1888" s="5"/>
      <c r="U1888" s="5"/>
    </row>
    <row r="1889" spans="12:21" x14ac:dyDescent="0.2">
      <c r="L1889" s="5"/>
      <c r="M1889" s="5"/>
      <c r="N1889" s="5"/>
      <c r="O1889" s="5"/>
      <c r="P1889" s="5"/>
      <c r="Q1889" s="5"/>
      <c r="R1889" s="5"/>
      <c r="S1889" s="5"/>
      <c r="T1889" s="5"/>
      <c r="U1889" s="5"/>
    </row>
    <row r="1890" spans="12:21" x14ac:dyDescent="0.2">
      <c r="L1890" s="5"/>
      <c r="M1890" s="5"/>
      <c r="N1890" s="5"/>
      <c r="O1890" s="5"/>
      <c r="P1890" s="5"/>
      <c r="Q1890" s="5"/>
      <c r="R1890" s="5"/>
      <c r="S1890" s="5"/>
      <c r="T1890" s="5"/>
      <c r="U1890" s="5"/>
    </row>
    <row r="1891" spans="12:21" x14ac:dyDescent="0.2">
      <c r="L1891" s="5"/>
      <c r="M1891" s="5"/>
      <c r="N1891" s="5"/>
      <c r="O1891" s="5"/>
      <c r="P1891" s="5"/>
      <c r="Q1891" s="5"/>
      <c r="R1891" s="5"/>
      <c r="S1891" s="5"/>
      <c r="T1891" s="5"/>
      <c r="U1891" s="5"/>
    </row>
    <row r="1892" spans="12:21" x14ac:dyDescent="0.2">
      <c r="L1892" s="5"/>
      <c r="M1892" s="5"/>
      <c r="N1892" s="5"/>
      <c r="O1892" s="5"/>
      <c r="P1892" s="5"/>
      <c r="Q1892" s="5"/>
      <c r="R1892" s="5"/>
      <c r="S1892" s="5"/>
      <c r="T1892" s="5"/>
      <c r="U1892" s="5"/>
    </row>
    <row r="1893" spans="12:21" x14ac:dyDescent="0.2">
      <c r="L1893" s="5"/>
      <c r="M1893" s="5"/>
      <c r="N1893" s="5"/>
      <c r="O1893" s="5"/>
      <c r="P1893" s="5"/>
      <c r="Q1893" s="5"/>
      <c r="R1893" s="5"/>
      <c r="S1893" s="5"/>
      <c r="T1893" s="5"/>
      <c r="U1893" s="5"/>
    </row>
    <row r="1894" spans="12:21" x14ac:dyDescent="0.2">
      <c r="L1894" s="5"/>
      <c r="M1894" s="5"/>
      <c r="N1894" s="5"/>
      <c r="O1894" s="5"/>
      <c r="P1894" s="5"/>
      <c r="Q1894" s="5"/>
      <c r="R1894" s="5"/>
      <c r="S1894" s="5"/>
      <c r="T1894" s="5"/>
      <c r="U1894" s="5"/>
    </row>
    <row r="1895" spans="12:21" x14ac:dyDescent="0.2">
      <c r="L1895" s="5"/>
      <c r="M1895" s="5"/>
      <c r="N1895" s="5"/>
      <c r="O1895" s="5"/>
      <c r="P1895" s="5"/>
      <c r="Q1895" s="5"/>
      <c r="R1895" s="5"/>
      <c r="S1895" s="5"/>
      <c r="T1895" s="5"/>
      <c r="U1895" s="5"/>
    </row>
    <row r="1896" spans="12:21" x14ac:dyDescent="0.2">
      <c r="L1896" s="5"/>
      <c r="M1896" s="5"/>
      <c r="N1896" s="5"/>
      <c r="O1896" s="5"/>
      <c r="P1896" s="5"/>
      <c r="Q1896" s="5"/>
      <c r="R1896" s="5"/>
      <c r="S1896" s="5"/>
      <c r="T1896" s="5"/>
      <c r="U1896" s="5"/>
    </row>
    <row r="1897" spans="12:21" x14ac:dyDescent="0.2">
      <c r="L1897" s="5"/>
      <c r="M1897" s="5"/>
      <c r="N1897" s="5"/>
      <c r="O1897" s="5"/>
      <c r="P1897" s="5"/>
      <c r="Q1897" s="5"/>
      <c r="R1897" s="5"/>
      <c r="S1897" s="5"/>
      <c r="T1897" s="5"/>
      <c r="U1897" s="5"/>
    </row>
    <row r="1898" spans="12:21" x14ac:dyDescent="0.2">
      <c r="L1898" s="5"/>
      <c r="M1898" s="5"/>
      <c r="N1898" s="5"/>
      <c r="O1898" s="5"/>
      <c r="P1898" s="5"/>
      <c r="Q1898" s="5"/>
      <c r="R1898" s="5"/>
      <c r="S1898" s="5"/>
      <c r="T1898" s="5"/>
      <c r="U1898" s="5"/>
    </row>
    <row r="1899" spans="12:21" x14ac:dyDescent="0.2">
      <c r="L1899" s="5"/>
      <c r="M1899" s="5"/>
      <c r="N1899" s="5"/>
      <c r="O1899" s="5"/>
      <c r="P1899" s="5"/>
      <c r="Q1899" s="5"/>
      <c r="R1899" s="5"/>
      <c r="S1899" s="5"/>
      <c r="T1899" s="5"/>
      <c r="U1899" s="5"/>
    </row>
    <row r="1900" spans="12:21" x14ac:dyDescent="0.2">
      <c r="L1900" s="5"/>
      <c r="M1900" s="5"/>
      <c r="N1900" s="5"/>
      <c r="O1900" s="5"/>
      <c r="P1900" s="5"/>
      <c r="Q1900" s="5"/>
      <c r="R1900" s="5"/>
      <c r="S1900" s="5"/>
      <c r="T1900" s="5"/>
      <c r="U1900" s="5"/>
    </row>
    <row r="1901" spans="12:21" x14ac:dyDescent="0.2">
      <c r="L1901" s="5"/>
      <c r="M1901" s="5"/>
      <c r="N1901" s="5"/>
      <c r="O1901" s="5"/>
      <c r="P1901" s="5"/>
      <c r="Q1901" s="5"/>
      <c r="R1901" s="5"/>
      <c r="S1901" s="5"/>
      <c r="T1901" s="5"/>
      <c r="U1901" s="5"/>
    </row>
    <row r="1902" spans="12:21" x14ac:dyDescent="0.2">
      <c r="L1902" s="5"/>
      <c r="M1902" s="5"/>
      <c r="N1902" s="5"/>
      <c r="O1902" s="5"/>
      <c r="P1902" s="5"/>
      <c r="Q1902" s="5"/>
      <c r="R1902" s="5"/>
      <c r="S1902" s="5"/>
      <c r="T1902" s="5"/>
      <c r="U1902" s="5"/>
    </row>
    <row r="1903" spans="12:21" x14ac:dyDescent="0.2">
      <c r="L1903" s="5"/>
      <c r="M1903" s="5"/>
      <c r="N1903" s="5"/>
      <c r="O1903" s="5"/>
      <c r="P1903" s="5"/>
      <c r="Q1903" s="5"/>
      <c r="R1903" s="5"/>
      <c r="S1903" s="5"/>
      <c r="T1903" s="5"/>
      <c r="U1903" s="5"/>
    </row>
    <row r="1904" spans="12:21" x14ac:dyDescent="0.2">
      <c r="L1904" s="5"/>
      <c r="M1904" s="5"/>
      <c r="N1904" s="5"/>
      <c r="O1904" s="5"/>
      <c r="P1904" s="5"/>
      <c r="Q1904" s="5"/>
      <c r="R1904" s="5"/>
      <c r="S1904" s="5"/>
      <c r="T1904" s="5"/>
      <c r="U1904" s="5"/>
    </row>
    <row r="1905" spans="12:21" x14ac:dyDescent="0.2">
      <c r="L1905" s="5"/>
      <c r="M1905" s="5"/>
      <c r="N1905" s="5"/>
      <c r="O1905" s="5"/>
      <c r="P1905" s="5"/>
      <c r="Q1905" s="5"/>
      <c r="R1905" s="5"/>
      <c r="S1905" s="5"/>
      <c r="T1905" s="5"/>
      <c r="U1905" s="5"/>
    </row>
    <row r="1906" spans="12:21" x14ac:dyDescent="0.2">
      <c r="L1906" s="5"/>
      <c r="M1906" s="5"/>
      <c r="N1906" s="5"/>
      <c r="O1906" s="5"/>
      <c r="P1906" s="5"/>
      <c r="Q1906" s="5"/>
      <c r="R1906" s="5"/>
      <c r="S1906" s="5"/>
      <c r="T1906" s="5"/>
      <c r="U1906" s="5"/>
    </row>
    <row r="1907" spans="12:21" x14ac:dyDescent="0.2">
      <c r="L1907" s="5"/>
      <c r="M1907" s="5"/>
      <c r="N1907" s="5"/>
      <c r="O1907" s="5"/>
      <c r="P1907" s="5"/>
      <c r="Q1907" s="5"/>
      <c r="R1907" s="5"/>
      <c r="S1907" s="5"/>
      <c r="T1907" s="5"/>
      <c r="U1907" s="5"/>
    </row>
    <row r="1908" spans="12:21" x14ac:dyDescent="0.2">
      <c r="L1908" s="5"/>
      <c r="M1908" s="5"/>
      <c r="N1908" s="5"/>
      <c r="O1908" s="5"/>
      <c r="P1908" s="5"/>
      <c r="Q1908" s="5"/>
      <c r="R1908" s="5"/>
      <c r="S1908" s="5"/>
      <c r="T1908" s="5"/>
      <c r="U1908" s="5"/>
    </row>
    <row r="1909" spans="12:21" x14ac:dyDescent="0.2">
      <c r="L1909" s="5"/>
      <c r="M1909" s="5"/>
      <c r="N1909" s="5"/>
      <c r="O1909" s="5"/>
      <c r="P1909" s="5"/>
      <c r="Q1909" s="5"/>
      <c r="R1909" s="5"/>
      <c r="S1909" s="5"/>
      <c r="T1909" s="5"/>
      <c r="U1909" s="5"/>
    </row>
    <row r="1910" spans="12:21" x14ac:dyDescent="0.2">
      <c r="L1910" s="5"/>
      <c r="M1910" s="5"/>
      <c r="N1910" s="5"/>
      <c r="O1910" s="5"/>
      <c r="P1910" s="5"/>
      <c r="Q1910" s="5"/>
      <c r="R1910" s="5"/>
      <c r="S1910" s="5"/>
      <c r="T1910" s="5"/>
      <c r="U1910" s="5"/>
    </row>
    <row r="1911" spans="12:21" x14ac:dyDescent="0.2">
      <c r="L1911" s="5"/>
      <c r="M1911" s="5"/>
      <c r="N1911" s="5"/>
      <c r="O1911" s="5"/>
      <c r="P1911" s="5"/>
      <c r="Q1911" s="5"/>
      <c r="R1911" s="5"/>
      <c r="S1911" s="5"/>
      <c r="T1911" s="5"/>
      <c r="U1911" s="5"/>
    </row>
    <row r="1912" spans="12:21" x14ac:dyDescent="0.2">
      <c r="L1912" s="5"/>
      <c r="M1912" s="5"/>
      <c r="N1912" s="5"/>
      <c r="O1912" s="5"/>
      <c r="P1912" s="5"/>
      <c r="Q1912" s="5"/>
      <c r="R1912" s="5"/>
      <c r="S1912" s="5"/>
      <c r="T1912" s="5"/>
      <c r="U1912" s="5"/>
    </row>
    <row r="1913" spans="12:21" x14ac:dyDescent="0.2">
      <c r="L1913" s="5"/>
      <c r="M1913" s="5"/>
      <c r="N1913" s="5"/>
      <c r="O1913" s="5"/>
      <c r="P1913" s="5"/>
      <c r="Q1913" s="5"/>
      <c r="R1913" s="5"/>
      <c r="S1913" s="5"/>
      <c r="T1913" s="5"/>
      <c r="U1913" s="5"/>
    </row>
    <row r="1914" spans="12:21" x14ac:dyDescent="0.2">
      <c r="L1914" s="5"/>
      <c r="M1914" s="5"/>
      <c r="N1914" s="5"/>
      <c r="O1914" s="5"/>
      <c r="P1914" s="5"/>
      <c r="Q1914" s="5"/>
      <c r="R1914" s="5"/>
      <c r="S1914" s="5"/>
      <c r="T1914" s="5"/>
      <c r="U1914" s="5"/>
    </row>
    <row r="1915" spans="12:21" x14ac:dyDescent="0.2">
      <c r="L1915" s="5"/>
      <c r="M1915" s="5"/>
      <c r="N1915" s="5"/>
      <c r="O1915" s="5"/>
      <c r="P1915" s="5"/>
      <c r="Q1915" s="5"/>
      <c r="R1915" s="5"/>
      <c r="S1915" s="5"/>
      <c r="T1915" s="5"/>
      <c r="U1915" s="5"/>
    </row>
    <row r="1916" spans="12:21" x14ac:dyDescent="0.2">
      <c r="L1916" s="5"/>
      <c r="M1916" s="5"/>
      <c r="N1916" s="5"/>
      <c r="O1916" s="5"/>
      <c r="P1916" s="5"/>
      <c r="Q1916" s="5"/>
      <c r="R1916" s="5"/>
      <c r="S1916" s="5"/>
      <c r="T1916" s="5"/>
      <c r="U1916" s="5"/>
    </row>
    <row r="1917" spans="12:21" x14ac:dyDescent="0.2">
      <c r="L1917" s="5"/>
      <c r="M1917" s="5"/>
      <c r="N1917" s="5"/>
      <c r="O1917" s="5"/>
      <c r="P1917" s="5"/>
      <c r="Q1917" s="5"/>
      <c r="R1917" s="5"/>
      <c r="S1917" s="5"/>
      <c r="T1917" s="5"/>
      <c r="U1917" s="5"/>
    </row>
    <row r="1918" spans="12:21" x14ac:dyDescent="0.2">
      <c r="L1918" s="5"/>
      <c r="M1918" s="5"/>
      <c r="N1918" s="5"/>
      <c r="O1918" s="5"/>
      <c r="P1918" s="5"/>
      <c r="Q1918" s="5"/>
      <c r="R1918" s="5"/>
      <c r="S1918" s="5"/>
      <c r="T1918" s="5"/>
      <c r="U1918" s="5"/>
    </row>
    <row r="1919" spans="12:21" x14ac:dyDescent="0.2">
      <c r="L1919" s="5"/>
      <c r="M1919" s="5"/>
      <c r="N1919" s="5"/>
      <c r="O1919" s="5"/>
      <c r="P1919" s="5"/>
      <c r="Q1919" s="5"/>
      <c r="R1919" s="5"/>
      <c r="S1919" s="5"/>
      <c r="T1919" s="5"/>
      <c r="U1919" s="5"/>
    </row>
    <row r="1920" spans="12:21" x14ac:dyDescent="0.2">
      <c r="L1920" s="5"/>
      <c r="M1920" s="5"/>
      <c r="N1920" s="5"/>
      <c r="O1920" s="5"/>
      <c r="P1920" s="5"/>
      <c r="Q1920" s="5"/>
      <c r="R1920" s="5"/>
      <c r="S1920" s="5"/>
      <c r="T1920" s="5"/>
      <c r="U1920" s="5"/>
    </row>
    <row r="1921" spans="12:21" x14ac:dyDescent="0.2">
      <c r="L1921" s="5"/>
      <c r="M1921" s="5"/>
      <c r="N1921" s="5"/>
      <c r="O1921" s="5"/>
      <c r="P1921" s="5"/>
      <c r="Q1921" s="5"/>
      <c r="R1921" s="5"/>
      <c r="S1921" s="5"/>
      <c r="T1921" s="5"/>
      <c r="U1921" s="5"/>
    </row>
    <row r="1922" spans="12:21" x14ac:dyDescent="0.2">
      <c r="L1922" s="5"/>
      <c r="M1922" s="5"/>
      <c r="N1922" s="5"/>
      <c r="O1922" s="5"/>
      <c r="P1922" s="5"/>
      <c r="Q1922" s="5"/>
      <c r="R1922" s="5"/>
      <c r="S1922" s="5"/>
      <c r="T1922" s="5"/>
      <c r="U1922" s="5"/>
    </row>
    <row r="1923" spans="12:21" x14ac:dyDescent="0.2">
      <c r="L1923" s="5"/>
      <c r="M1923" s="5"/>
      <c r="N1923" s="5"/>
      <c r="O1923" s="5"/>
      <c r="P1923" s="5"/>
      <c r="Q1923" s="5"/>
      <c r="R1923" s="5"/>
      <c r="S1923" s="5"/>
      <c r="T1923" s="5"/>
      <c r="U1923" s="5"/>
    </row>
    <row r="1924" spans="12:21" x14ac:dyDescent="0.2">
      <c r="L1924" s="5"/>
      <c r="M1924" s="5"/>
      <c r="N1924" s="5"/>
      <c r="O1924" s="5"/>
      <c r="P1924" s="5"/>
      <c r="Q1924" s="5"/>
      <c r="R1924" s="5"/>
      <c r="S1924" s="5"/>
      <c r="T1924" s="5"/>
      <c r="U1924" s="5"/>
    </row>
    <row r="1925" spans="12:21" x14ac:dyDescent="0.2">
      <c r="L1925" s="5"/>
      <c r="M1925" s="5"/>
      <c r="N1925" s="5"/>
      <c r="O1925" s="5"/>
      <c r="P1925" s="5"/>
      <c r="Q1925" s="5"/>
      <c r="R1925" s="5"/>
      <c r="S1925" s="5"/>
      <c r="T1925" s="5"/>
      <c r="U1925" s="5"/>
    </row>
    <row r="1926" spans="12:21" x14ac:dyDescent="0.2">
      <c r="L1926" s="5"/>
      <c r="M1926" s="5"/>
      <c r="N1926" s="5"/>
      <c r="O1926" s="5"/>
      <c r="P1926" s="5"/>
      <c r="Q1926" s="5"/>
      <c r="R1926" s="5"/>
      <c r="S1926" s="5"/>
      <c r="T1926" s="5"/>
      <c r="U1926" s="5"/>
    </row>
    <row r="1927" spans="12:21" x14ac:dyDescent="0.2">
      <c r="L1927" s="5"/>
      <c r="M1927" s="5"/>
      <c r="N1927" s="5"/>
      <c r="O1927" s="5"/>
      <c r="P1927" s="5"/>
      <c r="Q1927" s="5"/>
      <c r="R1927" s="5"/>
      <c r="S1927" s="5"/>
      <c r="T1927" s="5"/>
      <c r="U1927" s="5"/>
    </row>
    <row r="1928" spans="12:21" x14ac:dyDescent="0.2">
      <c r="L1928" s="5"/>
      <c r="M1928" s="5"/>
      <c r="N1928" s="5"/>
      <c r="O1928" s="5"/>
      <c r="P1928" s="5"/>
      <c r="Q1928" s="5"/>
      <c r="R1928" s="5"/>
      <c r="S1928" s="5"/>
      <c r="T1928" s="5"/>
      <c r="U1928" s="5"/>
    </row>
    <row r="1929" spans="12:21" x14ac:dyDescent="0.2">
      <c r="L1929" s="5"/>
      <c r="M1929" s="5"/>
      <c r="N1929" s="5"/>
      <c r="O1929" s="5"/>
      <c r="P1929" s="5"/>
      <c r="Q1929" s="5"/>
      <c r="R1929" s="5"/>
      <c r="S1929" s="5"/>
      <c r="T1929" s="5"/>
      <c r="U1929" s="5"/>
    </row>
    <row r="1930" spans="12:21" x14ac:dyDescent="0.2">
      <c r="L1930" s="5"/>
      <c r="M1930" s="5"/>
      <c r="N1930" s="5"/>
      <c r="O1930" s="5"/>
      <c r="P1930" s="5"/>
      <c r="Q1930" s="5"/>
      <c r="R1930" s="5"/>
      <c r="S1930" s="5"/>
      <c r="T1930" s="5"/>
      <c r="U1930" s="5"/>
    </row>
    <row r="1931" spans="12:21" x14ac:dyDescent="0.2">
      <c r="L1931" s="5"/>
      <c r="M1931" s="5"/>
      <c r="N1931" s="5"/>
      <c r="O1931" s="5"/>
      <c r="P1931" s="5"/>
      <c r="Q1931" s="5"/>
      <c r="R1931" s="5"/>
      <c r="S1931" s="5"/>
      <c r="T1931" s="5"/>
      <c r="U1931" s="5"/>
    </row>
    <row r="1932" spans="12:21" x14ac:dyDescent="0.2">
      <c r="L1932" s="5"/>
      <c r="M1932" s="5"/>
      <c r="N1932" s="5"/>
      <c r="O1932" s="5"/>
      <c r="P1932" s="5"/>
      <c r="Q1932" s="5"/>
      <c r="R1932" s="5"/>
      <c r="S1932" s="5"/>
      <c r="T1932" s="5"/>
      <c r="U1932" s="5"/>
    </row>
    <row r="1933" spans="12:21" x14ac:dyDescent="0.2">
      <c r="L1933" s="5"/>
      <c r="M1933" s="5"/>
      <c r="N1933" s="5"/>
      <c r="O1933" s="5"/>
      <c r="P1933" s="5"/>
      <c r="Q1933" s="5"/>
      <c r="R1933" s="5"/>
      <c r="S1933" s="5"/>
      <c r="T1933" s="5"/>
      <c r="U1933" s="5"/>
    </row>
    <row r="1934" spans="12:21" x14ac:dyDescent="0.2">
      <c r="L1934" s="5"/>
      <c r="M1934" s="5"/>
      <c r="N1934" s="5"/>
      <c r="O1934" s="5"/>
      <c r="P1934" s="5"/>
      <c r="Q1934" s="5"/>
      <c r="R1934" s="5"/>
      <c r="S1934" s="5"/>
      <c r="T1934" s="5"/>
      <c r="U1934" s="5"/>
    </row>
    <row r="1935" spans="12:21" x14ac:dyDescent="0.2">
      <c r="L1935" s="5"/>
      <c r="M1935" s="5"/>
      <c r="N1935" s="5"/>
      <c r="O1935" s="5"/>
      <c r="P1935" s="5"/>
      <c r="Q1935" s="5"/>
      <c r="R1935" s="5"/>
      <c r="S1935" s="5"/>
      <c r="T1935" s="5"/>
      <c r="U1935" s="5"/>
    </row>
    <row r="1936" spans="12:21" x14ac:dyDescent="0.2">
      <c r="L1936" s="5"/>
      <c r="M1936" s="5"/>
      <c r="N1936" s="5"/>
      <c r="O1936" s="5"/>
      <c r="P1936" s="5"/>
      <c r="Q1936" s="5"/>
      <c r="R1936" s="5"/>
      <c r="S1936" s="5"/>
      <c r="T1936" s="5"/>
      <c r="U1936" s="5"/>
    </row>
    <row r="1937" spans="12:21" x14ac:dyDescent="0.2">
      <c r="L1937" s="5"/>
      <c r="M1937" s="5"/>
      <c r="N1937" s="5"/>
      <c r="O1937" s="5"/>
      <c r="P1937" s="5"/>
      <c r="Q1937" s="5"/>
      <c r="R1937" s="5"/>
      <c r="S1937" s="5"/>
      <c r="T1937" s="5"/>
      <c r="U1937" s="5"/>
    </row>
    <row r="1938" spans="12:21" x14ac:dyDescent="0.2">
      <c r="L1938" s="5"/>
      <c r="M1938" s="5"/>
      <c r="N1938" s="5"/>
      <c r="O1938" s="5"/>
      <c r="P1938" s="5"/>
      <c r="Q1938" s="5"/>
      <c r="R1938" s="5"/>
      <c r="S1938" s="5"/>
      <c r="T1938" s="5"/>
      <c r="U1938" s="5"/>
    </row>
    <row r="1939" spans="12:21" x14ac:dyDescent="0.2">
      <c r="L1939" s="5"/>
      <c r="M1939" s="5"/>
      <c r="N1939" s="5"/>
      <c r="O1939" s="5"/>
      <c r="P1939" s="5"/>
      <c r="Q1939" s="5"/>
      <c r="R1939" s="5"/>
      <c r="S1939" s="5"/>
      <c r="T1939" s="5"/>
      <c r="U1939" s="5"/>
    </row>
    <row r="1940" spans="12:21" x14ac:dyDescent="0.2">
      <c r="L1940" s="5"/>
      <c r="M1940" s="5"/>
      <c r="N1940" s="5"/>
      <c r="O1940" s="5"/>
      <c r="P1940" s="5"/>
      <c r="Q1940" s="5"/>
      <c r="R1940" s="5"/>
      <c r="S1940" s="5"/>
      <c r="T1940" s="5"/>
      <c r="U1940" s="5"/>
    </row>
    <row r="1941" spans="12:21" x14ac:dyDescent="0.2">
      <c r="L1941" s="5"/>
      <c r="M1941" s="5"/>
      <c r="N1941" s="5"/>
      <c r="O1941" s="5"/>
      <c r="P1941" s="5"/>
      <c r="Q1941" s="5"/>
      <c r="R1941" s="5"/>
      <c r="S1941" s="5"/>
      <c r="T1941" s="5"/>
      <c r="U1941" s="5"/>
    </row>
    <row r="1942" spans="12:21" x14ac:dyDescent="0.2">
      <c r="L1942" s="5"/>
      <c r="M1942" s="5"/>
      <c r="N1942" s="5"/>
      <c r="O1942" s="5"/>
      <c r="P1942" s="5"/>
      <c r="Q1942" s="5"/>
      <c r="R1942" s="5"/>
      <c r="S1942" s="5"/>
      <c r="T1942" s="5"/>
      <c r="U1942" s="5"/>
    </row>
    <row r="1943" spans="12:21" x14ac:dyDescent="0.2">
      <c r="L1943" s="5"/>
      <c r="M1943" s="5"/>
      <c r="N1943" s="5"/>
      <c r="O1943" s="5"/>
      <c r="P1943" s="5"/>
      <c r="Q1943" s="5"/>
      <c r="R1943" s="5"/>
      <c r="S1943" s="5"/>
      <c r="T1943" s="5"/>
      <c r="U1943" s="5"/>
    </row>
    <row r="1944" spans="12:21" x14ac:dyDescent="0.2">
      <c r="L1944" s="5"/>
      <c r="M1944" s="5"/>
      <c r="N1944" s="5"/>
      <c r="O1944" s="5"/>
      <c r="P1944" s="5"/>
      <c r="Q1944" s="5"/>
      <c r="R1944" s="5"/>
      <c r="S1944" s="5"/>
      <c r="T1944" s="5"/>
      <c r="U1944" s="5"/>
    </row>
    <row r="1945" spans="12:21" x14ac:dyDescent="0.2">
      <c r="L1945" s="5"/>
      <c r="M1945" s="5"/>
      <c r="N1945" s="5"/>
      <c r="O1945" s="5"/>
      <c r="P1945" s="5"/>
      <c r="Q1945" s="5"/>
      <c r="R1945" s="5"/>
      <c r="S1945" s="5"/>
      <c r="T1945" s="5"/>
      <c r="U1945" s="5"/>
    </row>
    <row r="1946" spans="12:21" x14ac:dyDescent="0.2">
      <c r="L1946" s="5"/>
      <c r="M1946" s="5"/>
      <c r="N1946" s="5"/>
      <c r="O1946" s="5"/>
      <c r="P1946" s="5"/>
      <c r="Q1946" s="5"/>
      <c r="R1946" s="5"/>
      <c r="S1946" s="5"/>
      <c r="T1946" s="5"/>
      <c r="U1946" s="5"/>
    </row>
    <row r="1947" spans="12:21" x14ac:dyDescent="0.2">
      <c r="L1947" s="5"/>
      <c r="M1947" s="5"/>
      <c r="N1947" s="5"/>
      <c r="O1947" s="5"/>
      <c r="P1947" s="5"/>
      <c r="Q1947" s="5"/>
      <c r="R1947" s="5"/>
      <c r="S1947" s="5"/>
      <c r="T1947" s="5"/>
      <c r="U1947" s="5"/>
    </row>
    <row r="1948" spans="12:21" x14ac:dyDescent="0.2">
      <c r="L1948" s="5"/>
      <c r="M1948" s="5"/>
      <c r="N1948" s="5"/>
      <c r="O1948" s="5"/>
      <c r="P1948" s="5"/>
      <c r="Q1948" s="5"/>
      <c r="R1948" s="5"/>
      <c r="S1948" s="5"/>
      <c r="T1948" s="5"/>
      <c r="U1948" s="5"/>
    </row>
    <row r="1949" spans="12:21" x14ac:dyDescent="0.2">
      <c r="L1949" s="5"/>
      <c r="M1949" s="5"/>
      <c r="N1949" s="5"/>
      <c r="O1949" s="5"/>
      <c r="P1949" s="5"/>
      <c r="Q1949" s="5"/>
      <c r="R1949" s="5"/>
      <c r="S1949" s="5"/>
      <c r="T1949" s="5"/>
      <c r="U1949" s="5"/>
    </row>
    <row r="1950" spans="12:21" x14ac:dyDescent="0.2">
      <c r="L1950" s="5"/>
      <c r="M1950" s="5"/>
      <c r="N1950" s="5"/>
      <c r="O1950" s="5"/>
      <c r="P1950" s="5"/>
      <c r="Q1950" s="5"/>
      <c r="R1950" s="5"/>
      <c r="S1950" s="5"/>
      <c r="T1950" s="5"/>
      <c r="U1950" s="5"/>
    </row>
    <row r="1951" spans="12:21" x14ac:dyDescent="0.2">
      <c r="L1951" s="5"/>
      <c r="M1951" s="5"/>
      <c r="N1951" s="5"/>
      <c r="O1951" s="5"/>
      <c r="P1951" s="5"/>
      <c r="Q1951" s="5"/>
      <c r="R1951" s="5"/>
      <c r="S1951" s="5"/>
      <c r="T1951" s="5"/>
      <c r="U1951" s="5"/>
    </row>
    <row r="1952" spans="12:21" x14ac:dyDescent="0.2">
      <c r="L1952" s="5"/>
      <c r="M1952" s="5"/>
      <c r="N1952" s="5"/>
      <c r="O1952" s="5"/>
      <c r="P1952" s="5"/>
      <c r="Q1952" s="5"/>
      <c r="R1952" s="5"/>
      <c r="S1952" s="5"/>
      <c r="T1952" s="5"/>
      <c r="U1952" s="5"/>
    </row>
    <row r="1953" spans="12:21" x14ac:dyDescent="0.2">
      <c r="L1953" s="5"/>
      <c r="M1953" s="5"/>
      <c r="N1953" s="5"/>
      <c r="O1953" s="5"/>
      <c r="P1953" s="5"/>
      <c r="Q1953" s="5"/>
      <c r="R1953" s="5"/>
      <c r="S1953" s="5"/>
      <c r="T1953" s="5"/>
      <c r="U1953" s="5"/>
    </row>
    <row r="1954" spans="12:21" x14ac:dyDescent="0.2">
      <c r="L1954" s="5"/>
      <c r="M1954" s="5"/>
      <c r="N1954" s="5"/>
      <c r="O1954" s="5"/>
      <c r="P1954" s="5"/>
      <c r="Q1954" s="5"/>
      <c r="R1954" s="5"/>
      <c r="S1954" s="5"/>
      <c r="T1954" s="5"/>
      <c r="U1954" s="5"/>
    </row>
    <row r="1955" spans="12:21" x14ac:dyDescent="0.2">
      <c r="L1955" s="5"/>
      <c r="M1955" s="5"/>
      <c r="N1955" s="5"/>
      <c r="O1955" s="5"/>
      <c r="P1955" s="5"/>
      <c r="Q1955" s="5"/>
      <c r="R1955" s="5"/>
      <c r="S1955" s="5"/>
      <c r="T1955" s="5"/>
      <c r="U1955" s="5"/>
    </row>
    <row r="1956" spans="12:21" x14ac:dyDescent="0.2">
      <c r="L1956" s="5"/>
      <c r="M1956" s="5"/>
      <c r="N1956" s="5"/>
      <c r="O1956" s="5"/>
      <c r="P1956" s="5"/>
      <c r="Q1956" s="5"/>
      <c r="R1956" s="5"/>
      <c r="S1956" s="5"/>
      <c r="T1956" s="5"/>
      <c r="U1956" s="5"/>
    </row>
    <row r="1957" spans="12:21" x14ac:dyDescent="0.2">
      <c r="L1957" s="5"/>
      <c r="M1957" s="5"/>
      <c r="N1957" s="5"/>
      <c r="O1957" s="5"/>
      <c r="P1957" s="5"/>
      <c r="Q1957" s="5"/>
      <c r="R1957" s="5"/>
      <c r="S1957" s="5"/>
      <c r="T1957" s="5"/>
      <c r="U1957" s="5"/>
    </row>
    <row r="1958" spans="12:21" x14ac:dyDescent="0.2">
      <c r="L1958" s="5"/>
      <c r="M1958" s="5"/>
      <c r="N1958" s="5"/>
      <c r="O1958" s="5"/>
      <c r="P1958" s="5"/>
      <c r="Q1958" s="5"/>
      <c r="R1958" s="5"/>
      <c r="S1958" s="5"/>
      <c r="T1958" s="5"/>
      <c r="U1958" s="5"/>
    </row>
    <row r="1959" spans="12:21" x14ac:dyDescent="0.2">
      <c r="L1959" s="5"/>
      <c r="M1959" s="5"/>
      <c r="N1959" s="5"/>
      <c r="O1959" s="5"/>
      <c r="P1959" s="5"/>
      <c r="Q1959" s="5"/>
      <c r="R1959" s="5"/>
      <c r="S1959" s="5"/>
      <c r="T1959" s="5"/>
      <c r="U1959" s="5"/>
    </row>
    <row r="1960" spans="12:21" x14ac:dyDescent="0.2">
      <c r="L1960" s="5"/>
      <c r="M1960" s="5"/>
      <c r="N1960" s="5"/>
      <c r="O1960" s="5"/>
      <c r="P1960" s="5"/>
      <c r="Q1960" s="5"/>
      <c r="R1960" s="5"/>
      <c r="S1960" s="5"/>
      <c r="T1960" s="5"/>
      <c r="U1960" s="5"/>
    </row>
    <row r="1961" spans="12:21" x14ac:dyDescent="0.2">
      <c r="L1961" s="5"/>
      <c r="M1961" s="5"/>
      <c r="N1961" s="5"/>
      <c r="O1961" s="5"/>
      <c r="P1961" s="5"/>
      <c r="Q1961" s="5"/>
      <c r="R1961" s="5"/>
      <c r="S1961" s="5"/>
      <c r="T1961" s="5"/>
      <c r="U1961" s="5"/>
    </row>
    <row r="1962" spans="12:21" x14ac:dyDescent="0.2">
      <c r="L1962" s="5"/>
      <c r="M1962" s="5"/>
      <c r="N1962" s="5"/>
      <c r="O1962" s="5"/>
      <c r="P1962" s="5"/>
      <c r="Q1962" s="5"/>
      <c r="R1962" s="5"/>
      <c r="S1962" s="5"/>
      <c r="T1962" s="5"/>
      <c r="U1962" s="5"/>
    </row>
    <row r="1963" spans="12:21" x14ac:dyDescent="0.2">
      <c r="L1963" s="5"/>
      <c r="M1963" s="5"/>
      <c r="N1963" s="5"/>
      <c r="O1963" s="5"/>
      <c r="P1963" s="5"/>
      <c r="Q1963" s="5"/>
      <c r="R1963" s="5"/>
      <c r="S1963" s="5"/>
      <c r="T1963" s="5"/>
      <c r="U1963" s="5"/>
    </row>
    <row r="1964" spans="12:21" x14ac:dyDescent="0.2">
      <c r="L1964" s="5"/>
      <c r="M1964" s="5"/>
      <c r="N1964" s="5"/>
      <c r="O1964" s="5"/>
      <c r="P1964" s="5"/>
      <c r="Q1964" s="5"/>
      <c r="R1964" s="5"/>
      <c r="S1964" s="5"/>
      <c r="T1964" s="5"/>
      <c r="U1964" s="5"/>
    </row>
    <row r="1965" spans="12:21" x14ac:dyDescent="0.2">
      <c r="L1965" s="5"/>
      <c r="M1965" s="5"/>
      <c r="N1965" s="5"/>
      <c r="O1965" s="5"/>
      <c r="P1965" s="5"/>
      <c r="Q1965" s="5"/>
      <c r="R1965" s="5"/>
      <c r="S1965" s="5"/>
      <c r="T1965" s="5"/>
      <c r="U1965" s="5"/>
    </row>
    <row r="1966" spans="12:21" x14ac:dyDescent="0.2">
      <c r="L1966" s="5"/>
      <c r="M1966" s="5"/>
      <c r="N1966" s="5"/>
      <c r="O1966" s="5"/>
      <c r="P1966" s="5"/>
      <c r="Q1966" s="5"/>
      <c r="R1966" s="5"/>
      <c r="S1966" s="5"/>
      <c r="T1966" s="5"/>
      <c r="U1966" s="5"/>
    </row>
    <row r="1967" spans="12:21" x14ac:dyDescent="0.2">
      <c r="L1967" s="5"/>
      <c r="M1967" s="5"/>
      <c r="N1967" s="5"/>
      <c r="O1967" s="5"/>
      <c r="P1967" s="5"/>
      <c r="Q1967" s="5"/>
      <c r="R1967" s="5"/>
      <c r="S1967" s="5"/>
      <c r="T1967" s="5"/>
      <c r="U1967" s="5"/>
    </row>
    <row r="1968" spans="12:21" x14ac:dyDescent="0.2">
      <c r="L1968" s="5"/>
      <c r="M1968" s="5"/>
      <c r="N1968" s="5"/>
      <c r="O1968" s="5"/>
      <c r="P1968" s="5"/>
      <c r="Q1968" s="5"/>
      <c r="R1968" s="5"/>
      <c r="S1968" s="5"/>
      <c r="T1968" s="5"/>
      <c r="U1968" s="5"/>
    </row>
    <row r="1969" spans="12:21" x14ac:dyDescent="0.2">
      <c r="L1969" s="5"/>
      <c r="M1969" s="5"/>
      <c r="N1969" s="5"/>
      <c r="O1969" s="5"/>
      <c r="P1969" s="5"/>
      <c r="Q1969" s="5"/>
      <c r="R1969" s="5"/>
      <c r="S1969" s="5"/>
      <c r="T1969" s="5"/>
      <c r="U1969" s="5"/>
    </row>
    <row r="1970" spans="12:21" x14ac:dyDescent="0.2">
      <c r="L1970" s="5"/>
      <c r="M1970" s="5"/>
      <c r="N1970" s="5"/>
      <c r="O1970" s="5"/>
      <c r="P1970" s="5"/>
      <c r="Q1970" s="5"/>
      <c r="R1970" s="5"/>
      <c r="S1970" s="5"/>
      <c r="T1970" s="5"/>
      <c r="U1970" s="5"/>
    </row>
    <row r="1971" spans="12:21" x14ac:dyDescent="0.2">
      <c r="L1971" s="5"/>
      <c r="M1971" s="5"/>
      <c r="N1971" s="5"/>
      <c r="O1971" s="5"/>
      <c r="P1971" s="5"/>
      <c r="Q1971" s="5"/>
      <c r="R1971" s="5"/>
      <c r="S1971" s="5"/>
      <c r="T1971" s="5"/>
      <c r="U1971" s="5"/>
    </row>
    <row r="1972" spans="12:21" x14ac:dyDescent="0.2">
      <c r="L1972" s="5"/>
      <c r="M1972" s="5"/>
      <c r="N1972" s="5"/>
      <c r="O1972" s="5"/>
      <c r="P1972" s="5"/>
      <c r="Q1972" s="5"/>
      <c r="R1972" s="5"/>
      <c r="S1972" s="5"/>
      <c r="T1972" s="5"/>
      <c r="U1972" s="5"/>
    </row>
    <row r="1973" spans="12:21" x14ac:dyDescent="0.2">
      <c r="L1973" s="5"/>
      <c r="M1973" s="5"/>
      <c r="N1973" s="5"/>
      <c r="O1973" s="5"/>
      <c r="P1973" s="5"/>
      <c r="Q1973" s="5"/>
      <c r="R1973" s="5"/>
      <c r="S1973" s="5"/>
      <c r="T1973" s="5"/>
      <c r="U1973" s="5"/>
    </row>
    <row r="1974" spans="12:21" x14ac:dyDescent="0.2">
      <c r="L1974" s="5"/>
      <c r="M1974" s="5"/>
      <c r="N1974" s="5"/>
      <c r="O1974" s="5"/>
      <c r="P1974" s="5"/>
      <c r="Q1974" s="5"/>
      <c r="R1974" s="5"/>
      <c r="S1974" s="5"/>
      <c r="T1974" s="5"/>
      <c r="U1974" s="5"/>
    </row>
    <row r="1975" spans="12:21" x14ac:dyDescent="0.2">
      <c r="L1975" s="5"/>
      <c r="M1975" s="5"/>
      <c r="N1975" s="5"/>
      <c r="O1975" s="5"/>
      <c r="P1975" s="5"/>
      <c r="Q1975" s="5"/>
      <c r="R1975" s="5"/>
      <c r="S1975" s="5"/>
      <c r="T1975" s="5"/>
      <c r="U1975" s="5"/>
    </row>
    <row r="1976" spans="12:21" x14ac:dyDescent="0.2">
      <c r="L1976" s="5"/>
      <c r="M1976" s="5"/>
      <c r="N1976" s="5"/>
      <c r="O1976" s="5"/>
      <c r="P1976" s="5"/>
      <c r="Q1976" s="5"/>
      <c r="R1976" s="5"/>
      <c r="S1976" s="5"/>
      <c r="T1976" s="5"/>
      <c r="U1976" s="5"/>
    </row>
    <row r="1977" spans="12:21" x14ac:dyDescent="0.2">
      <c r="L1977" s="5"/>
      <c r="M1977" s="5"/>
      <c r="N1977" s="5"/>
      <c r="O1977" s="5"/>
      <c r="P1977" s="5"/>
      <c r="Q1977" s="5"/>
      <c r="R1977" s="5"/>
      <c r="S1977" s="5"/>
      <c r="T1977" s="5"/>
      <c r="U1977" s="5"/>
    </row>
    <row r="1978" spans="12:21" x14ac:dyDescent="0.2">
      <c r="L1978" s="5"/>
      <c r="M1978" s="5"/>
      <c r="N1978" s="5"/>
      <c r="O1978" s="5"/>
      <c r="P1978" s="5"/>
      <c r="Q1978" s="5"/>
      <c r="R1978" s="5"/>
      <c r="S1978" s="5"/>
      <c r="T1978" s="5"/>
      <c r="U1978" s="5"/>
    </row>
    <row r="1979" spans="12:21" x14ac:dyDescent="0.2">
      <c r="L1979" s="5"/>
      <c r="M1979" s="5"/>
      <c r="N1979" s="5"/>
      <c r="O1979" s="5"/>
      <c r="P1979" s="5"/>
      <c r="Q1979" s="5"/>
      <c r="R1979" s="5"/>
      <c r="S1979" s="5"/>
      <c r="T1979" s="5"/>
      <c r="U1979" s="5"/>
    </row>
    <row r="1980" spans="12:21" x14ac:dyDescent="0.2">
      <c r="L1980" s="5"/>
      <c r="M1980" s="5"/>
      <c r="N1980" s="5"/>
      <c r="O1980" s="5"/>
      <c r="P1980" s="5"/>
      <c r="Q1980" s="5"/>
      <c r="R1980" s="5"/>
      <c r="S1980" s="5"/>
      <c r="T1980" s="5"/>
      <c r="U1980" s="5"/>
    </row>
    <row r="1981" spans="12:21" x14ac:dyDescent="0.2">
      <c r="L1981" s="5"/>
      <c r="M1981" s="5"/>
      <c r="N1981" s="5"/>
      <c r="O1981" s="5"/>
      <c r="P1981" s="5"/>
      <c r="Q1981" s="5"/>
      <c r="R1981" s="5"/>
      <c r="S1981" s="5"/>
      <c r="T1981" s="5"/>
      <c r="U1981" s="5"/>
    </row>
    <row r="1982" spans="12:21" x14ac:dyDescent="0.2">
      <c r="L1982" s="5"/>
      <c r="M1982" s="5"/>
      <c r="N1982" s="5"/>
      <c r="O1982" s="5"/>
      <c r="P1982" s="5"/>
      <c r="Q1982" s="5"/>
      <c r="R1982" s="5"/>
      <c r="S1982" s="5"/>
      <c r="T1982" s="5"/>
      <c r="U1982" s="5"/>
    </row>
    <row r="1983" spans="12:21" x14ac:dyDescent="0.2">
      <c r="L1983" s="5"/>
      <c r="M1983" s="5"/>
      <c r="N1983" s="5"/>
      <c r="O1983" s="5"/>
      <c r="P1983" s="5"/>
      <c r="Q1983" s="5"/>
      <c r="R1983" s="5"/>
      <c r="S1983" s="5"/>
      <c r="T1983" s="5"/>
      <c r="U1983" s="5"/>
    </row>
    <row r="1984" spans="12:21" x14ac:dyDescent="0.2">
      <c r="L1984" s="5"/>
      <c r="M1984" s="5"/>
      <c r="N1984" s="5"/>
      <c r="O1984" s="5"/>
      <c r="P1984" s="5"/>
      <c r="Q1984" s="5"/>
      <c r="R1984" s="5"/>
      <c r="S1984" s="5"/>
      <c r="T1984" s="5"/>
      <c r="U1984" s="5"/>
    </row>
    <row r="1985" spans="12:21" x14ac:dyDescent="0.2">
      <c r="L1985" s="5"/>
      <c r="M1985" s="5"/>
      <c r="N1985" s="5"/>
      <c r="O1985" s="5"/>
      <c r="P1985" s="5"/>
      <c r="Q1985" s="5"/>
      <c r="R1985" s="5"/>
      <c r="S1985" s="5"/>
      <c r="T1985" s="5"/>
      <c r="U1985" s="5"/>
    </row>
    <row r="1986" spans="12:21" x14ac:dyDescent="0.2">
      <c r="L1986" s="5"/>
      <c r="M1986" s="5"/>
      <c r="N1986" s="5"/>
      <c r="O1986" s="5"/>
      <c r="P1986" s="5"/>
      <c r="Q1986" s="5"/>
      <c r="R1986" s="5"/>
      <c r="S1986" s="5"/>
      <c r="T1986" s="5"/>
      <c r="U1986" s="5"/>
    </row>
    <row r="1987" spans="12:21" x14ac:dyDescent="0.2">
      <c r="L1987" s="5"/>
      <c r="M1987" s="5"/>
      <c r="N1987" s="5"/>
      <c r="O1987" s="5"/>
      <c r="P1987" s="5"/>
      <c r="Q1987" s="5"/>
      <c r="R1987" s="5"/>
      <c r="S1987" s="5"/>
      <c r="T1987" s="5"/>
      <c r="U1987" s="5"/>
    </row>
    <row r="1988" spans="12:21" x14ac:dyDescent="0.2">
      <c r="L1988" s="5"/>
      <c r="M1988" s="5"/>
      <c r="N1988" s="5"/>
      <c r="O1988" s="5"/>
      <c r="P1988" s="5"/>
      <c r="Q1988" s="5"/>
      <c r="R1988" s="5"/>
      <c r="S1988" s="5"/>
      <c r="T1988" s="5"/>
      <c r="U1988" s="5"/>
    </row>
    <row r="1989" spans="12:21" x14ac:dyDescent="0.2">
      <c r="L1989" s="5"/>
      <c r="M1989" s="5"/>
      <c r="N1989" s="5"/>
      <c r="O1989" s="5"/>
      <c r="P1989" s="5"/>
      <c r="Q1989" s="5"/>
      <c r="R1989" s="5"/>
      <c r="S1989" s="5"/>
      <c r="T1989" s="5"/>
      <c r="U1989" s="5"/>
    </row>
    <row r="1990" spans="12:21" x14ac:dyDescent="0.2">
      <c r="L1990" s="5"/>
      <c r="M1990" s="5"/>
      <c r="N1990" s="5"/>
      <c r="O1990" s="5"/>
      <c r="P1990" s="5"/>
      <c r="Q1990" s="5"/>
      <c r="R1990" s="5"/>
      <c r="S1990" s="5"/>
      <c r="T1990" s="5"/>
      <c r="U1990" s="5"/>
    </row>
    <row r="1991" spans="12:21" x14ac:dyDescent="0.2">
      <c r="L1991" s="5"/>
      <c r="M1991" s="5"/>
      <c r="N1991" s="5"/>
      <c r="O1991" s="5"/>
      <c r="P1991" s="5"/>
      <c r="Q1991" s="5"/>
      <c r="R1991" s="5"/>
      <c r="S1991" s="5"/>
      <c r="T1991" s="5"/>
      <c r="U1991" s="5"/>
    </row>
    <row r="1992" spans="12:21" x14ac:dyDescent="0.2">
      <c r="L1992" s="5"/>
      <c r="M1992" s="5"/>
      <c r="N1992" s="5"/>
      <c r="O1992" s="5"/>
      <c r="P1992" s="5"/>
      <c r="Q1992" s="5"/>
      <c r="R1992" s="5"/>
      <c r="S1992" s="5"/>
      <c r="T1992" s="5"/>
      <c r="U1992" s="5"/>
    </row>
    <row r="1993" spans="12:21" x14ac:dyDescent="0.2">
      <c r="L1993" s="5"/>
      <c r="M1993" s="5"/>
      <c r="N1993" s="5"/>
      <c r="O1993" s="5"/>
      <c r="P1993" s="5"/>
      <c r="Q1993" s="5"/>
      <c r="R1993" s="5"/>
      <c r="S1993" s="5"/>
      <c r="T1993" s="5"/>
      <c r="U1993" s="5"/>
    </row>
    <row r="1994" spans="12:21" x14ac:dyDescent="0.2">
      <c r="L1994" s="5"/>
      <c r="M1994" s="5"/>
      <c r="N1994" s="5"/>
      <c r="O1994" s="5"/>
      <c r="P1994" s="5"/>
      <c r="Q1994" s="5"/>
      <c r="R1994" s="5"/>
      <c r="S1994" s="5"/>
      <c r="T1994" s="5"/>
      <c r="U1994" s="5"/>
    </row>
    <row r="1995" spans="12:21" x14ac:dyDescent="0.2">
      <c r="L1995" s="5"/>
      <c r="M1995" s="5"/>
      <c r="N1995" s="5"/>
      <c r="O1995" s="5"/>
      <c r="P1995" s="5"/>
      <c r="Q1995" s="5"/>
      <c r="R1995" s="5"/>
      <c r="S1995" s="5"/>
      <c r="T1995" s="5"/>
      <c r="U1995" s="5"/>
    </row>
    <row r="1996" spans="12:21" x14ac:dyDescent="0.2">
      <c r="L1996" s="5"/>
      <c r="M1996" s="5"/>
      <c r="N1996" s="5"/>
      <c r="O1996" s="5"/>
      <c r="P1996" s="5"/>
      <c r="Q1996" s="5"/>
      <c r="R1996" s="5"/>
      <c r="S1996" s="5"/>
      <c r="T1996" s="5"/>
      <c r="U1996" s="5"/>
    </row>
    <row r="1997" spans="12:21" x14ac:dyDescent="0.2">
      <c r="L1997" s="5"/>
      <c r="M1997" s="5"/>
      <c r="N1997" s="5"/>
      <c r="O1997" s="5"/>
      <c r="P1997" s="5"/>
      <c r="Q1997" s="5"/>
      <c r="R1997" s="5"/>
      <c r="S1997" s="5"/>
      <c r="T1997" s="5"/>
      <c r="U1997" s="5"/>
    </row>
    <row r="1998" spans="12:21" x14ac:dyDescent="0.2">
      <c r="L1998" s="5"/>
      <c r="M1998" s="5"/>
      <c r="N1998" s="5"/>
      <c r="O1998" s="5"/>
      <c r="P1998" s="5"/>
      <c r="Q1998" s="5"/>
      <c r="R1998" s="5"/>
      <c r="S1998" s="5"/>
      <c r="T1998" s="5"/>
      <c r="U1998" s="5"/>
    </row>
    <row r="1999" spans="12:21" x14ac:dyDescent="0.2">
      <c r="L1999" s="5"/>
      <c r="M1999" s="5"/>
      <c r="N1999" s="5"/>
      <c r="O1999" s="5"/>
      <c r="P1999" s="5"/>
      <c r="Q1999" s="5"/>
      <c r="R1999" s="5"/>
      <c r="S1999" s="5"/>
      <c r="T1999" s="5"/>
      <c r="U1999" s="5"/>
    </row>
    <row r="2000" spans="12:21" x14ac:dyDescent="0.2">
      <c r="L2000" s="5"/>
      <c r="M2000" s="5"/>
      <c r="N2000" s="5"/>
      <c r="O2000" s="5"/>
      <c r="P2000" s="5"/>
      <c r="Q2000" s="5"/>
      <c r="R2000" s="5"/>
      <c r="S2000" s="5"/>
      <c r="T2000" s="5"/>
      <c r="U2000" s="5"/>
    </row>
    <row r="2001" spans="12:21" x14ac:dyDescent="0.2">
      <c r="L2001" s="5"/>
      <c r="M2001" s="5"/>
      <c r="N2001" s="5"/>
      <c r="O2001" s="5"/>
      <c r="P2001" s="5"/>
      <c r="Q2001" s="5"/>
      <c r="R2001" s="5"/>
      <c r="S2001" s="5"/>
      <c r="T2001" s="5"/>
      <c r="U2001" s="5"/>
    </row>
    <row r="2002" spans="12:21" x14ac:dyDescent="0.2">
      <c r="L2002" s="5"/>
      <c r="M2002" s="5"/>
      <c r="N2002" s="5"/>
      <c r="O2002" s="5"/>
      <c r="P2002" s="5"/>
      <c r="Q2002" s="5"/>
      <c r="R2002" s="5"/>
      <c r="S2002" s="5"/>
      <c r="T2002" s="5"/>
      <c r="U2002" s="5"/>
    </row>
    <row r="2003" spans="12:21" x14ac:dyDescent="0.2">
      <c r="L2003" s="5"/>
      <c r="M2003" s="5"/>
      <c r="N2003" s="5"/>
      <c r="O2003" s="5"/>
      <c r="P2003" s="5"/>
      <c r="Q2003" s="5"/>
      <c r="R2003" s="5"/>
      <c r="S2003" s="5"/>
      <c r="T2003" s="5"/>
      <c r="U2003" s="5"/>
    </row>
    <row r="2004" spans="12:21" x14ac:dyDescent="0.2">
      <c r="L2004" s="5"/>
      <c r="M2004" s="5"/>
      <c r="N2004" s="5"/>
      <c r="O2004" s="5"/>
      <c r="P2004" s="5"/>
      <c r="Q2004" s="5"/>
      <c r="R2004" s="5"/>
      <c r="S2004" s="5"/>
      <c r="T2004" s="5"/>
      <c r="U2004" s="5"/>
    </row>
    <row r="2005" spans="12:21" x14ac:dyDescent="0.2">
      <c r="L2005" s="5"/>
      <c r="M2005" s="5"/>
      <c r="N2005" s="5"/>
      <c r="O2005" s="5"/>
      <c r="P2005" s="5"/>
      <c r="Q2005" s="5"/>
      <c r="R2005" s="5"/>
      <c r="S2005" s="5"/>
      <c r="T2005" s="5"/>
      <c r="U2005" s="5"/>
    </row>
    <row r="2006" spans="12:21" x14ac:dyDescent="0.2">
      <c r="L2006" s="5"/>
      <c r="M2006" s="5"/>
      <c r="N2006" s="5"/>
      <c r="O2006" s="5"/>
      <c r="P2006" s="5"/>
      <c r="Q2006" s="5"/>
      <c r="R2006" s="5"/>
      <c r="S2006" s="5"/>
      <c r="T2006" s="5"/>
      <c r="U2006" s="5"/>
    </row>
    <row r="2007" spans="12:21" x14ac:dyDescent="0.2">
      <c r="L2007" s="5"/>
      <c r="M2007" s="5"/>
      <c r="N2007" s="5"/>
      <c r="O2007" s="5"/>
      <c r="P2007" s="5"/>
      <c r="Q2007" s="5"/>
      <c r="R2007" s="5"/>
      <c r="S2007" s="5"/>
      <c r="T2007" s="5"/>
      <c r="U2007" s="5"/>
    </row>
    <row r="2008" spans="12:21" x14ac:dyDescent="0.2">
      <c r="L2008" s="5"/>
      <c r="M2008" s="5"/>
      <c r="N2008" s="5"/>
      <c r="O2008" s="5"/>
      <c r="P2008" s="5"/>
      <c r="Q2008" s="5"/>
      <c r="R2008" s="5"/>
      <c r="S2008" s="5"/>
      <c r="T2008" s="5"/>
      <c r="U2008" s="5"/>
    </row>
    <row r="2009" spans="12:21" x14ac:dyDescent="0.2">
      <c r="L2009" s="5"/>
      <c r="M2009" s="5"/>
      <c r="N2009" s="5"/>
      <c r="O2009" s="5"/>
      <c r="P2009" s="5"/>
      <c r="Q2009" s="5"/>
      <c r="R2009" s="5"/>
      <c r="S2009" s="5"/>
      <c r="T2009" s="5"/>
      <c r="U2009" s="5"/>
    </row>
    <row r="2010" spans="12:21" x14ac:dyDescent="0.2">
      <c r="L2010" s="5"/>
      <c r="M2010" s="5"/>
      <c r="N2010" s="5"/>
      <c r="O2010" s="5"/>
      <c r="P2010" s="5"/>
      <c r="Q2010" s="5"/>
      <c r="R2010" s="5"/>
      <c r="S2010" s="5"/>
      <c r="T2010" s="5"/>
      <c r="U2010" s="5"/>
    </row>
    <row r="2011" spans="12:21" x14ac:dyDescent="0.2">
      <c r="L2011" s="5"/>
      <c r="M2011" s="5"/>
      <c r="N2011" s="5"/>
      <c r="O2011" s="5"/>
      <c r="P2011" s="5"/>
      <c r="Q2011" s="5"/>
      <c r="R2011" s="5"/>
      <c r="S2011" s="5"/>
      <c r="T2011" s="5"/>
      <c r="U2011" s="5"/>
    </row>
    <row r="2012" spans="12:21" x14ac:dyDescent="0.2">
      <c r="L2012" s="5"/>
      <c r="M2012" s="5"/>
      <c r="N2012" s="5"/>
      <c r="O2012" s="5"/>
      <c r="P2012" s="5"/>
      <c r="Q2012" s="5"/>
      <c r="R2012" s="5"/>
      <c r="S2012" s="5"/>
      <c r="T2012" s="5"/>
      <c r="U2012" s="5"/>
    </row>
    <row r="2013" spans="12:21" x14ac:dyDescent="0.2">
      <c r="L2013" s="5"/>
      <c r="M2013" s="5"/>
      <c r="N2013" s="5"/>
      <c r="O2013" s="5"/>
      <c r="P2013" s="5"/>
      <c r="Q2013" s="5"/>
      <c r="R2013" s="5"/>
      <c r="S2013" s="5"/>
      <c r="T2013" s="5"/>
      <c r="U2013" s="5"/>
    </row>
    <row r="2014" spans="12:21" x14ac:dyDescent="0.2">
      <c r="L2014" s="5"/>
      <c r="M2014" s="5"/>
      <c r="N2014" s="5"/>
      <c r="O2014" s="5"/>
      <c r="P2014" s="5"/>
      <c r="Q2014" s="5"/>
      <c r="R2014" s="5"/>
      <c r="S2014" s="5"/>
      <c r="T2014" s="5"/>
      <c r="U2014" s="5"/>
    </row>
    <row r="2015" spans="12:21" x14ac:dyDescent="0.2">
      <c r="L2015" s="5"/>
      <c r="M2015" s="5"/>
      <c r="N2015" s="5"/>
      <c r="O2015" s="5"/>
      <c r="P2015" s="5"/>
      <c r="Q2015" s="5"/>
      <c r="R2015" s="5"/>
      <c r="S2015" s="5"/>
      <c r="T2015" s="5"/>
      <c r="U2015" s="5"/>
    </row>
    <row r="2016" spans="12:21" x14ac:dyDescent="0.2">
      <c r="L2016" s="5"/>
      <c r="M2016" s="5"/>
      <c r="N2016" s="5"/>
      <c r="O2016" s="5"/>
      <c r="P2016" s="5"/>
      <c r="Q2016" s="5"/>
      <c r="R2016" s="5"/>
      <c r="S2016" s="5"/>
      <c r="T2016" s="5"/>
      <c r="U2016" s="5"/>
    </row>
    <row r="2017" spans="12:21" x14ac:dyDescent="0.2">
      <c r="L2017" s="5"/>
      <c r="M2017" s="5"/>
      <c r="N2017" s="5"/>
      <c r="O2017" s="5"/>
      <c r="P2017" s="5"/>
      <c r="Q2017" s="5"/>
      <c r="R2017" s="5"/>
      <c r="S2017" s="5"/>
      <c r="T2017" s="5"/>
      <c r="U2017" s="5"/>
    </row>
    <row r="2018" spans="12:21" x14ac:dyDescent="0.2">
      <c r="L2018" s="5"/>
      <c r="M2018" s="5"/>
      <c r="N2018" s="5"/>
      <c r="O2018" s="5"/>
      <c r="P2018" s="5"/>
      <c r="Q2018" s="5"/>
      <c r="R2018" s="5"/>
      <c r="S2018" s="5"/>
      <c r="T2018" s="5"/>
      <c r="U2018" s="5"/>
    </row>
    <row r="2019" spans="12:21" x14ac:dyDescent="0.2">
      <c r="L2019" s="5"/>
      <c r="M2019" s="5"/>
      <c r="N2019" s="5"/>
      <c r="O2019" s="5"/>
      <c r="P2019" s="5"/>
      <c r="Q2019" s="5"/>
      <c r="R2019" s="5"/>
      <c r="S2019" s="5"/>
      <c r="T2019" s="5"/>
      <c r="U2019" s="5"/>
    </row>
    <row r="2020" spans="12:21" x14ac:dyDescent="0.2">
      <c r="L2020" s="5"/>
      <c r="M2020" s="5"/>
      <c r="N2020" s="5"/>
      <c r="O2020" s="5"/>
      <c r="P2020" s="5"/>
      <c r="Q2020" s="5"/>
      <c r="R2020" s="5"/>
      <c r="S2020" s="5"/>
      <c r="T2020" s="5"/>
      <c r="U2020" s="5"/>
    </row>
    <row r="2021" spans="12:21" x14ac:dyDescent="0.2">
      <c r="L2021" s="5"/>
      <c r="M2021" s="5"/>
      <c r="N2021" s="5"/>
      <c r="O2021" s="5"/>
      <c r="P2021" s="5"/>
      <c r="Q2021" s="5"/>
      <c r="R2021" s="5"/>
      <c r="S2021" s="5"/>
      <c r="T2021" s="5"/>
      <c r="U2021" s="5"/>
    </row>
    <row r="2022" spans="12:21" x14ac:dyDescent="0.2">
      <c r="L2022" s="5"/>
      <c r="M2022" s="5"/>
      <c r="N2022" s="5"/>
      <c r="O2022" s="5"/>
      <c r="P2022" s="5"/>
      <c r="Q2022" s="5"/>
      <c r="R2022" s="5"/>
      <c r="S2022" s="5"/>
      <c r="T2022" s="5"/>
      <c r="U2022" s="5"/>
    </row>
    <row r="2023" spans="12:21" x14ac:dyDescent="0.2">
      <c r="L2023" s="5"/>
      <c r="M2023" s="5"/>
      <c r="N2023" s="5"/>
      <c r="O2023" s="5"/>
      <c r="P2023" s="5"/>
      <c r="Q2023" s="5"/>
      <c r="R2023" s="5"/>
      <c r="S2023" s="5"/>
      <c r="T2023" s="5"/>
      <c r="U2023" s="5"/>
    </row>
    <row r="2024" spans="12:21" x14ac:dyDescent="0.2">
      <c r="L2024" s="5"/>
      <c r="M2024" s="5"/>
      <c r="N2024" s="5"/>
      <c r="O2024" s="5"/>
      <c r="P2024" s="5"/>
      <c r="Q2024" s="5"/>
      <c r="R2024" s="5"/>
      <c r="S2024" s="5"/>
      <c r="T2024" s="5"/>
      <c r="U2024" s="5"/>
    </row>
    <row r="2025" spans="12:21" x14ac:dyDescent="0.2">
      <c r="L2025" s="5"/>
      <c r="M2025" s="5"/>
      <c r="N2025" s="5"/>
      <c r="O2025" s="5"/>
      <c r="P2025" s="5"/>
      <c r="Q2025" s="5"/>
      <c r="R2025" s="5"/>
      <c r="S2025" s="5"/>
      <c r="T2025" s="5"/>
      <c r="U2025" s="5"/>
    </row>
    <row r="2026" spans="12:21" x14ac:dyDescent="0.2">
      <c r="L2026" s="5"/>
      <c r="M2026" s="5"/>
      <c r="N2026" s="5"/>
      <c r="O2026" s="5"/>
      <c r="P2026" s="5"/>
      <c r="Q2026" s="5"/>
      <c r="R2026" s="5"/>
      <c r="S2026" s="5"/>
      <c r="T2026" s="5"/>
      <c r="U2026" s="5"/>
    </row>
    <row r="2027" spans="12:21" x14ac:dyDescent="0.2">
      <c r="L2027" s="5"/>
      <c r="M2027" s="5"/>
      <c r="N2027" s="5"/>
      <c r="O2027" s="5"/>
      <c r="P2027" s="5"/>
      <c r="Q2027" s="5"/>
      <c r="R2027" s="5"/>
      <c r="S2027" s="5"/>
      <c r="T2027" s="5"/>
      <c r="U2027" s="5"/>
    </row>
    <row r="2028" spans="12:21" x14ac:dyDescent="0.2">
      <c r="L2028" s="5"/>
      <c r="M2028" s="5"/>
      <c r="N2028" s="5"/>
      <c r="O2028" s="5"/>
      <c r="P2028" s="5"/>
      <c r="Q2028" s="5"/>
      <c r="R2028" s="5"/>
      <c r="S2028" s="5"/>
      <c r="T2028" s="5"/>
      <c r="U2028" s="5"/>
    </row>
    <row r="2029" spans="12:21" x14ac:dyDescent="0.2">
      <c r="L2029" s="5"/>
      <c r="M2029" s="5"/>
      <c r="N2029" s="5"/>
      <c r="O2029" s="5"/>
      <c r="P2029" s="5"/>
      <c r="Q2029" s="5"/>
      <c r="R2029" s="5"/>
      <c r="S2029" s="5"/>
      <c r="T2029" s="5"/>
      <c r="U2029" s="5"/>
    </row>
    <row r="2030" spans="12:21" x14ac:dyDescent="0.2">
      <c r="L2030" s="5"/>
      <c r="M2030" s="5"/>
      <c r="N2030" s="5"/>
      <c r="O2030" s="5"/>
      <c r="P2030" s="5"/>
      <c r="Q2030" s="5"/>
      <c r="R2030" s="5"/>
      <c r="S2030" s="5"/>
      <c r="T2030" s="5"/>
      <c r="U2030" s="5"/>
    </row>
    <row r="2031" spans="12:21" x14ac:dyDescent="0.2">
      <c r="L2031" s="5"/>
      <c r="M2031" s="5"/>
      <c r="N2031" s="5"/>
      <c r="O2031" s="5"/>
      <c r="P2031" s="5"/>
      <c r="Q2031" s="5"/>
      <c r="R2031" s="5"/>
      <c r="S2031" s="5"/>
      <c r="T2031" s="5"/>
      <c r="U2031" s="5"/>
    </row>
    <row r="2032" spans="12:21" x14ac:dyDescent="0.2">
      <c r="L2032" s="5"/>
      <c r="M2032" s="5"/>
      <c r="N2032" s="5"/>
      <c r="O2032" s="5"/>
      <c r="P2032" s="5"/>
      <c r="Q2032" s="5"/>
      <c r="R2032" s="5"/>
      <c r="S2032" s="5"/>
      <c r="T2032" s="5"/>
      <c r="U2032" s="5"/>
    </row>
    <row r="2033" spans="12:21" x14ac:dyDescent="0.2">
      <c r="L2033" s="5"/>
      <c r="M2033" s="5"/>
      <c r="N2033" s="5"/>
      <c r="O2033" s="5"/>
      <c r="P2033" s="5"/>
      <c r="Q2033" s="5"/>
      <c r="R2033" s="5"/>
      <c r="S2033" s="5"/>
      <c r="T2033" s="5"/>
      <c r="U2033" s="5"/>
    </row>
    <row r="2034" spans="12:21" x14ac:dyDescent="0.2">
      <c r="L2034" s="5"/>
      <c r="M2034" s="5"/>
      <c r="N2034" s="5"/>
      <c r="O2034" s="5"/>
      <c r="P2034" s="5"/>
      <c r="Q2034" s="5"/>
      <c r="R2034" s="5"/>
      <c r="S2034" s="5"/>
      <c r="T2034" s="5"/>
      <c r="U2034" s="5"/>
    </row>
    <row r="2035" spans="12:21" x14ac:dyDescent="0.2">
      <c r="L2035" s="5"/>
      <c r="M2035" s="5"/>
      <c r="N2035" s="5"/>
      <c r="O2035" s="5"/>
      <c r="P2035" s="5"/>
      <c r="Q2035" s="5"/>
      <c r="R2035" s="5"/>
      <c r="S2035" s="5"/>
      <c r="T2035" s="5"/>
      <c r="U2035" s="5"/>
    </row>
    <row r="2036" spans="12:21" x14ac:dyDescent="0.2">
      <c r="L2036" s="5"/>
      <c r="M2036" s="5"/>
      <c r="N2036" s="5"/>
      <c r="O2036" s="5"/>
      <c r="P2036" s="5"/>
      <c r="Q2036" s="5"/>
      <c r="R2036" s="5"/>
      <c r="S2036" s="5"/>
      <c r="T2036" s="5"/>
      <c r="U2036" s="5"/>
    </row>
    <row r="2037" spans="12:21" x14ac:dyDescent="0.2">
      <c r="L2037" s="5"/>
      <c r="M2037" s="5"/>
      <c r="N2037" s="5"/>
      <c r="O2037" s="5"/>
      <c r="P2037" s="5"/>
      <c r="Q2037" s="5"/>
      <c r="R2037" s="5"/>
      <c r="S2037" s="5"/>
      <c r="T2037" s="5"/>
      <c r="U2037" s="5"/>
    </row>
    <row r="2038" spans="12:21" x14ac:dyDescent="0.2">
      <c r="L2038" s="5"/>
      <c r="M2038" s="5"/>
      <c r="N2038" s="5"/>
      <c r="O2038" s="5"/>
      <c r="P2038" s="5"/>
      <c r="Q2038" s="5"/>
      <c r="R2038" s="5"/>
      <c r="S2038" s="5"/>
      <c r="T2038" s="5"/>
      <c r="U2038" s="5"/>
    </row>
    <row r="2039" spans="12:21" x14ac:dyDescent="0.2">
      <c r="L2039" s="5"/>
      <c r="M2039" s="5"/>
      <c r="N2039" s="5"/>
      <c r="O2039" s="5"/>
      <c r="P2039" s="5"/>
      <c r="Q2039" s="5"/>
      <c r="R2039" s="5"/>
      <c r="S2039" s="5"/>
      <c r="T2039" s="5"/>
      <c r="U2039" s="5"/>
    </row>
    <row r="2040" spans="12:21" x14ac:dyDescent="0.2">
      <c r="L2040" s="5"/>
      <c r="M2040" s="5"/>
      <c r="N2040" s="5"/>
      <c r="O2040" s="5"/>
      <c r="P2040" s="5"/>
      <c r="Q2040" s="5"/>
      <c r="R2040" s="5"/>
      <c r="S2040" s="5"/>
      <c r="T2040" s="5"/>
      <c r="U2040" s="5"/>
    </row>
    <row r="2041" spans="12:21" x14ac:dyDescent="0.2">
      <c r="L2041" s="5"/>
      <c r="M2041" s="5"/>
      <c r="N2041" s="5"/>
      <c r="O2041" s="5"/>
      <c r="P2041" s="5"/>
      <c r="Q2041" s="5"/>
      <c r="R2041" s="5"/>
      <c r="S2041" s="5"/>
      <c r="T2041" s="5"/>
      <c r="U2041" s="5"/>
    </row>
    <row r="2042" spans="12:21" x14ac:dyDescent="0.2">
      <c r="L2042" s="5"/>
      <c r="M2042" s="5"/>
      <c r="N2042" s="5"/>
      <c r="O2042" s="5"/>
      <c r="P2042" s="5"/>
      <c r="Q2042" s="5"/>
      <c r="R2042" s="5"/>
      <c r="S2042" s="5"/>
      <c r="T2042" s="5"/>
      <c r="U2042" s="5"/>
    </row>
    <row r="2043" spans="12:21" x14ac:dyDescent="0.2">
      <c r="L2043" s="5"/>
      <c r="M2043" s="5"/>
      <c r="N2043" s="5"/>
      <c r="O2043" s="5"/>
      <c r="P2043" s="5"/>
      <c r="Q2043" s="5"/>
      <c r="R2043" s="5"/>
      <c r="S2043" s="5"/>
      <c r="T2043" s="5"/>
      <c r="U2043" s="5"/>
    </row>
    <row r="2044" spans="12:21" x14ac:dyDescent="0.2">
      <c r="L2044" s="5"/>
      <c r="M2044" s="5"/>
      <c r="N2044" s="5"/>
      <c r="O2044" s="5"/>
      <c r="P2044" s="5"/>
      <c r="Q2044" s="5"/>
      <c r="R2044" s="5"/>
      <c r="S2044" s="5"/>
      <c r="T2044" s="5"/>
      <c r="U2044" s="5"/>
    </row>
    <row r="2045" spans="12:21" x14ac:dyDescent="0.2">
      <c r="L2045" s="5"/>
      <c r="M2045" s="5"/>
      <c r="N2045" s="5"/>
      <c r="O2045" s="5"/>
      <c r="P2045" s="5"/>
      <c r="Q2045" s="5"/>
      <c r="R2045" s="5"/>
      <c r="S2045" s="5"/>
      <c r="T2045" s="5"/>
      <c r="U2045" s="5"/>
    </row>
    <row r="2046" spans="12:21" x14ac:dyDescent="0.2">
      <c r="L2046" s="5"/>
      <c r="M2046" s="5"/>
      <c r="N2046" s="5"/>
      <c r="O2046" s="5"/>
      <c r="P2046" s="5"/>
      <c r="Q2046" s="5"/>
      <c r="R2046" s="5"/>
      <c r="S2046" s="5"/>
      <c r="T2046" s="5"/>
      <c r="U2046" s="5"/>
    </row>
    <row r="2047" spans="12:21" x14ac:dyDescent="0.2">
      <c r="L2047" s="5"/>
      <c r="M2047" s="5"/>
      <c r="N2047" s="5"/>
      <c r="O2047" s="5"/>
      <c r="P2047" s="5"/>
      <c r="Q2047" s="5"/>
      <c r="R2047" s="5"/>
      <c r="S2047" s="5"/>
      <c r="T2047" s="5"/>
      <c r="U2047" s="5"/>
    </row>
    <row r="2048" spans="12:21" x14ac:dyDescent="0.2">
      <c r="L2048" s="5"/>
      <c r="M2048" s="5"/>
      <c r="N2048" s="5"/>
      <c r="O2048" s="5"/>
      <c r="P2048" s="5"/>
      <c r="Q2048" s="5"/>
      <c r="R2048" s="5"/>
      <c r="S2048" s="5"/>
      <c r="T2048" s="5"/>
      <c r="U2048" s="5"/>
    </row>
    <row r="2049" spans="12:21" x14ac:dyDescent="0.2">
      <c r="L2049" s="5"/>
      <c r="M2049" s="5"/>
      <c r="N2049" s="5"/>
      <c r="O2049" s="5"/>
      <c r="P2049" s="5"/>
      <c r="Q2049" s="5"/>
      <c r="R2049" s="5"/>
      <c r="S2049" s="5"/>
      <c r="T2049" s="5"/>
      <c r="U2049" s="5"/>
    </row>
    <row r="2050" spans="12:21" x14ac:dyDescent="0.2">
      <c r="L2050" s="5"/>
      <c r="M2050" s="5"/>
      <c r="N2050" s="5"/>
      <c r="O2050" s="5"/>
      <c r="P2050" s="5"/>
      <c r="Q2050" s="5"/>
      <c r="R2050" s="5"/>
      <c r="S2050" s="5"/>
      <c r="T2050" s="5"/>
      <c r="U2050" s="5"/>
    </row>
    <row r="2051" spans="12:21" x14ac:dyDescent="0.2">
      <c r="L2051" s="5"/>
      <c r="M2051" s="5"/>
      <c r="N2051" s="5"/>
      <c r="O2051" s="5"/>
      <c r="P2051" s="5"/>
      <c r="Q2051" s="5"/>
      <c r="R2051" s="5"/>
      <c r="S2051" s="5"/>
      <c r="T2051" s="5"/>
      <c r="U2051" s="5"/>
    </row>
    <row r="2052" spans="12:21" x14ac:dyDescent="0.2">
      <c r="L2052" s="5"/>
      <c r="M2052" s="5"/>
      <c r="N2052" s="5"/>
      <c r="O2052" s="5"/>
      <c r="P2052" s="5"/>
      <c r="Q2052" s="5"/>
      <c r="R2052" s="5"/>
      <c r="S2052" s="5"/>
      <c r="T2052" s="5"/>
      <c r="U2052" s="5"/>
    </row>
    <row r="2053" spans="12:21" x14ac:dyDescent="0.2">
      <c r="L2053" s="5"/>
      <c r="M2053" s="5"/>
      <c r="N2053" s="5"/>
      <c r="O2053" s="5"/>
      <c r="P2053" s="5"/>
      <c r="Q2053" s="5"/>
      <c r="R2053" s="5"/>
      <c r="S2053" s="5"/>
      <c r="T2053" s="5"/>
      <c r="U2053" s="5"/>
    </row>
    <row r="2054" spans="12:21" x14ac:dyDescent="0.2">
      <c r="L2054" s="5"/>
      <c r="M2054" s="5"/>
      <c r="N2054" s="5"/>
      <c r="O2054" s="5"/>
      <c r="P2054" s="5"/>
      <c r="Q2054" s="5"/>
      <c r="R2054" s="5"/>
      <c r="S2054" s="5"/>
      <c r="T2054" s="5"/>
      <c r="U2054" s="5"/>
    </row>
    <row r="2055" spans="12:21" x14ac:dyDescent="0.2">
      <c r="L2055" s="5"/>
      <c r="M2055" s="5"/>
      <c r="N2055" s="5"/>
      <c r="O2055" s="5"/>
      <c r="P2055" s="5"/>
      <c r="Q2055" s="5"/>
      <c r="R2055" s="5"/>
      <c r="S2055" s="5"/>
      <c r="T2055" s="5"/>
      <c r="U2055" s="5"/>
    </row>
    <row r="2056" spans="12:21" x14ac:dyDescent="0.2">
      <c r="L2056" s="5"/>
      <c r="M2056" s="5"/>
      <c r="N2056" s="5"/>
      <c r="O2056" s="5"/>
      <c r="P2056" s="5"/>
      <c r="Q2056" s="5"/>
      <c r="R2056" s="5"/>
      <c r="S2056" s="5"/>
      <c r="T2056" s="5"/>
      <c r="U2056" s="5"/>
    </row>
    <row r="2057" spans="12:21" x14ac:dyDescent="0.2">
      <c r="L2057" s="5"/>
      <c r="M2057" s="5"/>
      <c r="N2057" s="5"/>
      <c r="O2057" s="5"/>
      <c r="P2057" s="5"/>
      <c r="Q2057" s="5"/>
      <c r="R2057" s="5"/>
      <c r="S2057" s="5"/>
      <c r="T2057" s="5"/>
      <c r="U2057" s="5"/>
    </row>
    <row r="2058" spans="12:21" x14ac:dyDescent="0.2">
      <c r="L2058" s="5"/>
      <c r="M2058" s="5"/>
      <c r="N2058" s="5"/>
      <c r="O2058" s="5"/>
      <c r="P2058" s="5"/>
      <c r="Q2058" s="5"/>
      <c r="R2058" s="5"/>
      <c r="S2058" s="5"/>
      <c r="T2058" s="5"/>
      <c r="U2058" s="5"/>
    </row>
    <row r="2059" spans="12:21" x14ac:dyDescent="0.2">
      <c r="L2059" s="5"/>
      <c r="M2059" s="5"/>
      <c r="N2059" s="5"/>
      <c r="O2059" s="5"/>
      <c r="P2059" s="5"/>
      <c r="Q2059" s="5"/>
      <c r="R2059" s="5"/>
      <c r="S2059" s="5"/>
      <c r="T2059" s="5"/>
      <c r="U2059" s="5"/>
    </row>
    <row r="2060" spans="12:21" x14ac:dyDescent="0.2">
      <c r="L2060" s="5"/>
      <c r="M2060" s="5"/>
      <c r="N2060" s="5"/>
      <c r="O2060" s="5"/>
      <c r="P2060" s="5"/>
      <c r="Q2060" s="5"/>
      <c r="R2060" s="5"/>
      <c r="S2060" s="5"/>
      <c r="T2060" s="5"/>
      <c r="U2060" s="5"/>
    </row>
    <row r="2061" spans="12:21" x14ac:dyDescent="0.2">
      <c r="L2061" s="5"/>
      <c r="M2061" s="5"/>
      <c r="N2061" s="5"/>
      <c r="O2061" s="5"/>
      <c r="P2061" s="5"/>
      <c r="Q2061" s="5"/>
      <c r="R2061" s="5"/>
      <c r="S2061" s="5"/>
      <c r="T2061" s="5"/>
      <c r="U2061" s="5"/>
    </row>
    <row r="2062" spans="12:21" x14ac:dyDescent="0.2">
      <c r="L2062" s="5"/>
      <c r="M2062" s="5"/>
      <c r="N2062" s="5"/>
      <c r="O2062" s="5"/>
      <c r="P2062" s="5"/>
      <c r="Q2062" s="5"/>
      <c r="R2062" s="5"/>
      <c r="S2062" s="5"/>
      <c r="T2062" s="5"/>
      <c r="U2062" s="5"/>
    </row>
    <row r="2063" spans="12:21" x14ac:dyDescent="0.2">
      <c r="L2063" s="5"/>
      <c r="M2063" s="5"/>
      <c r="N2063" s="5"/>
      <c r="O2063" s="5"/>
      <c r="P2063" s="5"/>
      <c r="Q2063" s="5"/>
      <c r="R2063" s="5"/>
      <c r="S2063" s="5"/>
      <c r="T2063" s="5"/>
      <c r="U2063" s="5"/>
    </row>
    <row r="2064" spans="12:21" x14ac:dyDescent="0.2">
      <c r="L2064" s="5"/>
      <c r="M2064" s="5"/>
      <c r="N2064" s="5"/>
      <c r="O2064" s="5"/>
      <c r="P2064" s="5"/>
      <c r="Q2064" s="5"/>
      <c r="R2064" s="5"/>
      <c r="S2064" s="5"/>
      <c r="T2064" s="5"/>
      <c r="U2064" s="5"/>
    </row>
    <row r="2065" spans="12:21" x14ac:dyDescent="0.2">
      <c r="L2065" s="5"/>
      <c r="M2065" s="5"/>
      <c r="N2065" s="5"/>
      <c r="O2065" s="5"/>
      <c r="P2065" s="5"/>
      <c r="Q2065" s="5"/>
      <c r="R2065" s="5"/>
      <c r="S2065" s="5"/>
      <c r="T2065" s="5"/>
      <c r="U2065" s="5"/>
    </row>
    <row r="2066" spans="12:21" x14ac:dyDescent="0.2">
      <c r="L2066" s="5"/>
      <c r="M2066" s="5"/>
      <c r="N2066" s="5"/>
      <c r="O2066" s="5"/>
      <c r="P2066" s="5"/>
      <c r="Q2066" s="5"/>
      <c r="R2066" s="5"/>
      <c r="S2066" s="5"/>
      <c r="T2066" s="5"/>
      <c r="U2066" s="5"/>
    </row>
    <row r="2067" spans="12:21" x14ac:dyDescent="0.2">
      <c r="L2067" s="5"/>
      <c r="M2067" s="5"/>
      <c r="N2067" s="5"/>
      <c r="O2067" s="5"/>
      <c r="P2067" s="5"/>
      <c r="Q2067" s="5"/>
      <c r="R2067" s="5"/>
      <c r="S2067" s="5"/>
      <c r="T2067" s="5"/>
      <c r="U2067" s="5"/>
    </row>
    <row r="2068" spans="12:21" x14ac:dyDescent="0.2">
      <c r="L2068" s="5"/>
      <c r="M2068" s="5"/>
      <c r="N2068" s="5"/>
      <c r="O2068" s="5"/>
      <c r="P2068" s="5"/>
      <c r="Q2068" s="5"/>
      <c r="R2068" s="5"/>
      <c r="S2068" s="5"/>
      <c r="T2068" s="5"/>
      <c r="U2068" s="5"/>
    </row>
    <row r="2069" spans="12:21" x14ac:dyDescent="0.2">
      <c r="L2069" s="5"/>
      <c r="M2069" s="5"/>
      <c r="N2069" s="5"/>
      <c r="O2069" s="5"/>
      <c r="P2069" s="5"/>
      <c r="Q2069" s="5"/>
      <c r="R2069" s="5"/>
      <c r="S2069" s="5"/>
      <c r="T2069" s="5"/>
      <c r="U2069" s="5"/>
    </row>
    <row r="2070" spans="12:21" x14ac:dyDescent="0.2">
      <c r="L2070" s="5"/>
      <c r="M2070" s="5"/>
      <c r="N2070" s="5"/>
      <c r="O2070" s="5"/>
      <c r="P2070" s="5"/>
      <c r="Q2070" s="5"/>
      <c r="R2070" s="5"/>
      <c r="S2070" s="5"/>
      <c r="T2070" s="5"/>
      <c r="U2070" s="5"/>
    </row>
    <row r="2071" spans="12:21" x14ac:dyDescent="0.2">
      <c r="L2071" s="5"/>
      <c r="M2071" s="5"/>
      <c r="N2071" s="5"/>
      <c r="O2071" s="5"/>
      <c r="P2071" s="5"/>
      <c r="Q2071" s="5"/>
      <c r="R2071" s="5"/>
      <c r="S2071" s="5"/>
      <c r="T2071" s="5"/>
      <c r="U2071" s="5"/>
    </row>
    <row r="2072" spans="12:21" x14ac:dyDescent="0.2">
      <c r="L2072" s="5"/>
      <c r="M2072" s="5"/>
      <c r="N2072" s="5"/>
      <c r="O2072" s="5"/>
      <c r="P2072" s="5"/>
      <c r="Q2072" s="5"/>
      <c r="R2072" s="5"/>
      <c r="S2072" s="5"/>
      <c r="T2072" s="5"/>
      <c r="U2072" s="5"/>
    </row>
    <row r="2073" spans="12:21" x14ac:dyDescent="0.2">
      <c r="L2073" s="5"/>
      <c r="M2073" s="5"/>
      <c r="N2073" s="5"/>
      <c r="O2073" s="5"/>
      <c r="P2073" s="5"/>
      <c r="Q2073" s="5"/>
      <c r="R2073" s="5"/>
      <c r="S2073" s="5"/>
      <c r="T2073" s="5"/>
      <c r="U2073" s="5"/>
    </row>
    <row r="2074" spans="12:21" x14ac:dyDescent="0.2">
      <c r="L2074" s="5"/>
      <c r="M2074" s="5"/>
      <c r="N2074" s="5"/>
      <c r="O2074" s="5"/>
      <c r="P2074" s="5"/>
      <c r="Q2074" s="5"/>
      <c r="R2074" s="5"/>
      <c r="S2074" s="5"/>
      <c r="T2074" s="5"/>
      <c r="U2074" s="5"/>
    </row>
    <row r="2075" spans="12:21" x14ac:dyDescent="0.2">
      <c r="L2075" s="5"/>
      <c r="M2075" s="5"/>
      <c r="N2075" s="5"/>
      <c r="O2075" s="5"/>
      <c r="P2075" s="5"/>
      <c r="Q2075" s="5"/>
      <c r="R2075" s="5"/>
      <c r="S2075" s="5"/>
      <c r="T2075" s="5"/>
      <c r="U2075" s="5"/>
    </row>
    <row r="2076" spans="12:21" x14ac:dyDescent="0.2">
      <c r="L2076" s="5"/>
      <c r="M2076" s="5"/>
      <c r="N2076" s="5"/>
      <c r="O2076" s="5"/>
      <c r="P2076" s="5"/>
      <c r="Q2076" s="5"/>
      <c r="R2076" s="5"/>
      <c r="S2076" s="5"/>
      <c r="T2076" s="5"/>
      <c r="U2076" s="5"/>
    </row>
    <row r="2077" spans="12:21" x14ac:dyDescent="0.2">
      <c r="L2077" s="5"/>
      <c r="M2077" s="5"/>
      <c r="N2077" s="5"/>
      <c r="O2077" s="5"/>
      <c r="P2077" s="5"/>
      <c r="Q2077" s="5"/>
      <c r="R2077" s="5"/>
      <c r="S2077" s="5"/>
      <c r="T2077" s="5"/>
      <c r="U2077" s="5"/>
    </row>
    <row r="2078" spans="12:21" x14ac:dyDescent="0.2">
      <c r="L2078" s="5"/>
      <c r="M2078" s="5"/>
      <c r="N2078" s="5"/>
      <c r="O2078" s="5"/>
      <c r="P2078" s="5"/>
      <c r="Q2078" s="5"/>
      <c r="R2078" s="5"/>
      <c r="S2078" s="5"/>
      <c r="T2078" s="5"/>
      <c r="U2078" s="5"/>
    </row>
    <row r="2079" spans="12:21" x14ac:dyDescent="0.2">
      <c r="L2079" s="5"/>
      <c r="M2079" s="5"/>
      <c r="N2079" s="5"/>
      <c r="O2079" s="5"/>
      <c r="P2079" s="5"/>
      <c r="Q2079" s="5"/>
      <c r="R2079" s="5"/>
      <c r="S2079" s="5"/>
      <c r="T2079" s="5"/>
      <c r="U2079" s="5"/>
    </row>
    <row r="2080" spans="12:21" x14ac:dyDescent="0.2">
      <c r="L2080" s="5"/>
      <c r="M2080" s="5"/>
      <c r="N2080" s="5"/>
      <c r="O2080" s="5"/>
      <c r="P2080" s="5"/>
      <c r="Q2080" s="5"/>
      <c r="R2080" s="5"/>
      <c r="S2080" s="5"/>
      <c r="T2080" s="5"/>
      <c r="U2080" s="5"/>
    </row>
    <row r="2081" spans="12:21" x14ac:dyDescent="0.2">
      <c r="L2081" s="5"/>
      <c r="M2081" s="5"/>
      <c r="N2081" s="5"/>
      <c r="O2081" s="5"/>
      <c r="P2081" s="5"/>
      <c r="Q2081" s="5"/>
      <c r="R2081" s="5"/>
      <c r="S2081" s="5"/>
      <c r="T2081" s="5"/>
      <c r="U2081" s="5"/>
    </row>
    <row r="2082" spans="12:21" x14ac:dyDescent="0.2">
      <c r="L2082" s="5"/>
      <c r="M2082" s="5"/>
      <c r="N2082" s="5"/>
      <c r="O2082" s="5"/>
      <c r="P2082" s="5"/>
      <c r="Q2082" s="5"/>
      <c r="R2082" s="5"/>
      <c r="S2082" s="5"/>
      <c r="T2082" s="5"/>
      <c r="U2082" s="5"/>
    </row>
    <row r="2083" spans="12:21" x14ac:dyDescent="0.2">
      <c r="L2083" s="5"/>
      <c r="M2083" s="5"/>
      <c r="N2083" s="5"/>
      <c r="O2083" s="5"/>
      <c r="P2083" s="5"/>
      <c r="Q2083" s="5"/>
      <c r="R2083" s="5"/>
      <c r="S2083" s="5"/>
      <c r="T2083" s="5"/>
      <c r="U2083" s="5"/>
    </row>
    <row r="2084" spans="12:21" x14ac:dyDescent="0.2">
      <c r="L2084" s="5"/>
      <c r="M2084" s="5"/>
      <c r="N2084" s="5"/>
      <c r="O2084" s="5"/>
      <c r="P2084" s="5"/>
      <c r="Q2084" s="5"/>
      <c r="R2084" s="5"/>
      <c r="S2084" s="5"/>
      <c r="T2084" s="5"/>
      <c r="U2084" s="5"/>
    </row>
    <row r="2085" spans="12:21" x14ac:dyDescent="0.2">
      <c r="L2085" s="5"/>
      <c r="M2085" s="5"/>
      <c r="N2085" s="5"/>
      <c r="O2085" s="5"/>
      <c r="P2085" s="5"/>
      <c r="Q2085" s="5"/>
      <c r="R2085" s="5"/>
      <c r="S2085" s="5"/>
      <c r="T2085" s="5"/>
      <c r="U2085" s="5"/>
    </row>
    <row r="2086" spans="12:21" x14ac:dyDescent="0.2">
      <c r="L2086" s="5"/>
      <c r="M2086" s="5"/>
      <c r="N2086" s="5"/>
      <c r="O2086" s="5"/>
      <c r="P2086" s="5"/>
      <c r="Q2086" s="5"/>
      <c r="R2086" s="5"/>
      <c r="S2086" s="5"/>
      <c r="T2086" s="5"/>
      <c r="U2086" s="5"/>
    </row>
    <row r="2087" spans="12:21" x14ac:dyDescent="0.2">
      <c r="L2087" s="5"/>
      <c r="M2087" s="5"/>
      <c r="N2087" s="5"/>
      <c r="O2087" s="5"/>
      <c r="P2087" s="5"/>
      <c r="Q2087" s="5"/>
      <c r="R2087" s="5"/>
      <c r="S2087" s="5"/>
      <c r="T2087" s="5"/>
      <c r="U2087" s="5"/>
    </row>
    <row r="2088" spans="12:21" x14ac:dyDescent="0.2">
      <c r="L2088" s="5"/>
      <c r="M2088" s="5"/>
      <c r="N2088" s="5"/>
      <c r="O2088" s="5"/>
      <c r="P2088" s="5"/>
      <c r="Q2088" s="5"/>
      <c r="R2088" s="5"/>
      <c r="S2088" s="5"/>
      <c r="T2088" s="5"/>
      <c r="U2088" s="5"/>
    </row>
    <row r="2089" spans="12:21" x14ac:dyDescent="0.2">
      <c r="L2089" s="5"/>
      <c r="M2089" s="5"/>
      <c r="N2089" s="5"/>
      <c r="O2089" s="5"/>
      <c r="P2089" s="5"/>
      <c r="Q2089" s="5"/>
      <c r="R2089" s="5"/>
      <c r="S2089" s="5"/>
      <c r="T2089" s="5"/>
      <c r="U2089" s="5"/>
    </row>
    <row r="2090" spans="12:21" x14ac:dyDescent="0.2">
      <c r="L2090" s="5"/>
      <c r="M2090" s="5"/>
      <c r="N2090" s="5"/>
      <c r="O2090" s="5"/>
      <c r="P2090" s="5"/>
      <c r="Q2090" s="5"/>
      <c r="R2090" s="5"/>
      <c r="S2090" s="5"/>
      <c r="T2090" s="5"/>
      <c r="U2090" s="5"/>
    </row>
    <row r="2091" spans="12:21" x14ac:dyDescent="0.2">
      <c r="L2091" s="5"/>
      <c r="M2091" s="5"/>
      <c r="N2091" s="5"/>
      <c r="O2091" s="5"/>
      <c r="P2091" s="5"/>
      <c r="Q2091" s="5"/>
      <c r="R2091" s="5"/>
      <c r="S2091" s="5"/>
      <c r="T2091" s="5"/>
      <c r="U2091" s="5"/>
    </row>
    <row r="2092" spans="12:21" x14ac:dyDescent="0.2">
      <c r="L2092" s="5"/>
      <c r="M2092" s="5"/>
      <c r="N2092" s="5"/>
      <c r="O2092" s="5"/>
      <c r="P2092" s="5"/>
      <c r="Q2092" s="5"/>
      <c r="R2092" s="5"/>
      <c r="S2092" s="5"/>
      <c r="T2092" s="5"/>
      <c r="U2092" s="5"/>
    </row>
    <row r="2093" spans="12:21" x14ac:dyDescent="0.2">
      <c r="L2093" s="5"/>
      <c r="M2093" s="5"/>
      <c r="N2093" s="5"/>
      <c r="O2093" s="5"/>
      <c r="P2093" s="5"/>
      <c r="Q2093" s="5"/>
      <c r="R2093" s="5"/>
      <c r="S2093" s="5"/>
      <c r="T2093" s="5"/>
      <c r="U2093" s="5"/>
    </row>
    <row r="2094" spans="12:21" x14ac:dyDescent="0.2">
      <c r="L2094" s="5"/>
      <c r="M2094" s="5"/>
      <c r="N2094" s="5"/>
      <c r="O2094" s="5"/>
      <c r="P2094" s="5"/>
      <c r="Q2094" s="5"/>
      <c r="R2094" s="5"/>
      <c r="S2094" s="5"/>
      <c r="T2094" s="5"/>
      <c r="U2094" s="5"/>
    </row>
    <row r="2095" spans="12:21" x14ac:dyDescent="0.2">
      <c r="L2095" s="5"/>
      <c r="M2095" s="5"/>
      <c r="N2095" s="5"/>
      <c r="O2095" s="5"/>
      <c r="P2095" s="5"/>
      <c r="Q2095" s="5"/>
      <c r="R2095" s="5"/>
      <c r="S2095" s="5"/>
      <c r="T2095" s="5"/>
      <c r="U2095" s="5"/>
    </row>
    <row r="2096" spans="12:21" x14ac:dyDescent="0.2">
      <c r="L2096" s="5"/>
      <c r="M2096" s="5"/>
      <c r="N2096" s="5"/>
      <c r="O2096" s="5"/>
      <c r="P2096" s="5"/>
      <c r="Q2096" s="5"/>
      <c r="R2096" s="5"/>
      <c r="S2096" s="5"/>
      <c r="T2096" s="5"/>
      <c r="U2096" s="5"/>
    </row>
    <row r="2097" spans="12:21" x14ac:dyDescent="0.2">
      <c r="L2097" s="5"/>
      <c r="M2097" s="5"/>
      <c r="N2097" s="5"/>
      <c r="O2097" s="5"/>
      <c r="P2097" s="5"/>
      <c r="Q2097" s="5"/>
      <c r="R2097" s="5"/>
      <c r="S2097" s="5"/>
      <c r="T2097" s="5"/>
      <c r="U2097" s="5"/>
    </row>
    <row r="2098" spans="12:21" x14ac:dyDescent="0.2">
      <c r="L2098" s="5"/>
      <c r="M2098" s="5"/>
      <c r="N2098" s="5"/>
      <c r="O2098" s="5"/>
      <c r="P2098" s="5"/>
      <c r="Q2098" s="5"/>
      <c r="R2098" s="5"/>
      <c r="S2098" s="5"/>
      <c r="T2098" s="5"/>
      <c r="U2098" s="5"/>
    </row>
    <row r="2099" spans="12:21" x14ac:dyDescent="0.2">
      <c r="L2099" s="5"/>
      <c r="M2099" s="5"/>
      <c r="N2099" s="5"/>
      <c r="O2099" s="5"/>
      <c r="P2099" s="5"/>
      <c r="Q2099" s="5"/>
      <c r="R2099" s="5"/>
      <c r="S2099" s="5"/>
      <c r="T2099" s="5"/>
      <c r="U2099" s="5"/>
    </row>
    <row r="2100" spans="12:21" x14ac:dyDescent="0.2">
      <c r="L2100" s="5"/>
      <c r="M2100" s="5"/>
      <c r="N2100" s="5"/>
      <c r="O2100" s="5"/>
      <c r="P2100" s="5"/>
      <c r="Q2100" s="5"/>
      <c r="R2100" s="5"/>
      <c r="S2100" s="5"/>
      <c r="T2100" s="5"/>
      <c r="U2100" s="5"/>
    </row>
    <row r="2101" spans="12:21" x14ac:dyDescent="0.2">
      <c r="L2101" s="5"/>
      <c r="M2101" s="5"/>
      <c r="N2101" s="5"/>
      <c r="O2101" s="5"/>
      <c r="P2101" s="5"/>
      <c r="Q2101" s="5"/>
      <c r="R2101" s="5"/>
      <c r="S2101" s="5"/>
      <c r="T2101" s="5"/>
      <c r="U2101" s="5"/>
    </row>
    <row r="2102" spans="12:21" x14ac:dyDescent="0.2">
      <c r="L2102" s="5"/>
      <c r="M2102" s="5"/>
      <c r="N2102" s="5"/>
      <c r="O2102" s="5"/>
      <c r="P2102" s="5"/>
      <c r="Q2102" s="5"/>
      <c r="R2102" s="5"/>
      <c r="S2102" s="5"/>
      <c r="T2102" s="5"/>
      <c r="U2102" s="5"/>
    </row>
    <row r="2103" spans="12:21" x14ac:dyDescent="0.2">
      <c r="L2103" s="5"/>
      <c r="M2103" s="5"/>
      <c r="N2103" s="5"/>
      <c r="O2103" s="5"/>
      <c r="P2103" s="5"/>
      <c r="Q2103" s="5"/>
      <c r="R2103" s="5"/>
      <c r="S2103" s="5"/>
      <c r="T2103" s="5"/>
      <c r="U2103" s="5"/>
    </row>
    <row r="2104" spans="12:21" x14ac:dyDescent="0.2">
      <c r="L2104" s="5"/>
      <c r="M2104" s="5"/>
      <c r="N2104" s="5"/>
      <c r="O2104" s="5"/>
      <c r="P2104" s="5"/>
      <c r="Q2104" s="5"/>
      <c r="R2104" s="5"/>
      <c r="S2104" s="5"/>
      <c r="T2104" s="5"/>
      <c r="U2104" s="5"/>
    </row>
    <row r="2105" spans="12:21" x14ac:dyDescent="0.2">
      <c r="L2105" s="5"/>
      <c r="M2105" s="5"/>
      <c r="N2105" s="5"/>
      <c r="O2105" s="5"/>
      <c r="P2105" s="5"/>
      <c r="Q2105" s="5"/>
      <c r="R2105" s="5"/>
      <c r="S2105" s="5"/>
      <c r="T2105" s="5"/>
      <c r="U2105" s="5"/>
    </row>
    <row r="2106" spans="12:21" x14ac:dyDescent="0.2">
      <c r="L2106" s="5"/>
      <c r="M2106" s="5"/>
      <c r="N2106" s="5"/>
      <c r="O2106" s="5"/>
      <c r="P2106" s="5"/>
      <c r="Q2106" s="5"/>
      <c r="R2106" s="5"/>
      <c r="S2106" s="5"/>
      <c r="T2106" s="5"/>
      <c r="U2106" s="5"/>
    </row>
    <row r="2107" spans="12:21" x14ac:dyDescent="0.2">
      <c r="L2107" s="5"/>
      <c r="M2107" s="5"/>
      <c r="N2107" s="5"/>
      <c r="O2107" s="5"/>
      <c r="P2107" s="5"/>
      <c r="Q2107" s="5"/>
      <c r="R2107" s="5"/>
      <c r="S2107" s="5"/>
      <c r="T2107" s="5"/>
      <c r="U2107" s="5"/>
    </row>
    <row r="2108" spans="12:21" x14ac:dyDescent="0.2">
      <c r="L2108" s="5"/>
      <c r="M2108" s="5"/>
      <c r="N2108" s="5"/>
      <c r="O2108" s="5"/>
      <c r="P2108" s="5"/>
      <c r="Q2108" s="5"/>
      <c r="R2108" s="5"/>
      <c r="S2108" s="5"/>
      <c r="T2108" s="5"/>
      <c r="U2108" s="5"/>
    </row>
    <row r="2109" spans="12:21" x14ac:dyDescent="0.2">
      <c r="L2109" s="5"/>
      <c r="M2109" s="5"/>
      <c r="N2109" s="5"/>
      <c r="O2109" s="5"/>
      <c r="P2109" s="5"/>
      <c r="Q2109" s="5"/>
      <c r="R2109" s="5"/>
      <c r="S2109" s="5"/>
      <c r="T2109" s="5"/>
      <c r="U2109" s="5"/>
    </row>
    <row r="2110" spans="12:21" x14ac:dyDescent="0.2">
      <c r="L2110" s="5"/>
      <c r="M2110" s="5"/>
      <c r="N2110" s="5"/>
      <c r="O2110" s="5"/>
      <c r="P2110" s="5"/>
      <c r="Q2110" s="5"/>
      <c r="R2110" s="5"/>
      <c r="S2110" s="5"/>
      <c r="T2110" s="5"/>
      <c r="U2110" s="5"/>
    </row>
    <row r="2111" spans="12:21" x14ac:dyDescent="0.2">
      <c r="L2111" s="5"/>
      <c r="M2111" s="5"/>
      <c r="N2111" s="5"/>
      <c r="O2111" s="5"/>
      <c r="P2111" s="5"/>
      <c r="Q2111" s="5"/>
      <c r="R2111" s="5"/>
      <c r="S2111" s="5"/>
      <c r="T2111" s="5"/>
      <c r="U2111" s="5"/>
    </row>
    <row r="2112" spans="12:21" x14ac:dyDescent="0.2">
      <c r="L2112" s="5"/>
      <c r="M2112" s="5"/>
      <c r="N2112" s="5"/>
      <c r="O2112" s="5"/>
      <c r="P2112" s="5"/>
      <c r="Q2112" s="5"/>
      <c r="R2112" s="5"/>
      <c r="S2112" s="5"/>
      <c r="T2112" s="5"/>
      <c r="U2112" s="5"/>
    </row>
    <row r="2113" spans="12:21" x14ac:dyDescent="0.2">
      <c r="L2113" s="5"/>
      <c r="M2113" s="5"/>
      <c r="N2113" s="5"/>
      <c r="O2113" s="5"/>
      <c r="P2113" s="5"/>
      <c r="Q2113" s="5"/>
      <c r="R2113" s="5"/>
      <c r="S2113" s="5"/>
      <c r="T2113" s="5"/>
      <c r="U2113" s="5"/>
    </row>
    <row r="2114" spans="12:21" x14ac:dyDescent="0.2">
      <c r="L2114" s="5"/>
      <c r="M2114" s="5"/>
      <c r="N2114" s="5"/>
      <c r="O2114" s="5"/>
      <c r="P2114" s="5"/>
      <c r="Q2114" s="5"/>
      <c r="R2114" s="5"/>
      <c r="S2114" s="5"/>
      <c r="T2114" s="5"/>
      <c r="U2114" s="5"/>
    </row>
    <row r="2115" spans="12:21" x14ac:dyDescent="0.2">
      <c r="L2115" s="5"/>
      <c r="M2115" s="5"/>
      <c r="N2115" s="5"/>
      <c r="O2115" s="5"/>
      <c r="P2115" s="5"/>
      <c r="Q2115" s="5"/>
      <c r="R2115" s="5"/>
      <c r="S2115" s="5"/>
      <c r="T2115" s="5"/>
      <c r="U2115" s="5"/>
    </row>
    <row r="2116" spans="12:21" x14ac:dyDescent="0.2">
      <c r="L2116" s="5"/>
      <c r="M2116" s="5"/>
      <c r="N2116" s="5"/>
      <c r="O2116" s="5"/>
      <c r="P2116" s="5"/>
      <c r="Q2116" s="5"/>
      <c r="R2116" s="5"/>
      <c r="S2116" s="5"/>
      <c r="T2116" s="5"/>
      <c r="U2116" s="5"/>
    </row>
    <row r="2117" spans="12:21" x14ac:dyDescent="0.2">
      <c r="L2117" s="5"/>
      <c r="M2117" s="5"/>
      <c r="N2117" s="5"/>
      <c r="O2117" s="5"/>
      <c r="P2117" s="5"/>
      <c r="Q2117" s="5"/>
      <c r="R2117" s="5"/>
      <c r="S2117" s="5"/>
      <c r="T2117" s="5"/>
      <c r="U2117" s="5"/>
    </row>
    <row r="2118" spans="12:21" x14ac:dyDescent="0.2">
      <c r="L2118" s="5"/>
      <c r="M2118" s="5"/>
      <c r="N2118" s="5"/>
      <c r="O2118" s="5"/>
      <c r="P2118" s="5"/>
      <c r="Q2118" s="5"/>
      <c r="R2118" s="5"/>
      <c r="S2118" s="5"/>
      <c r="T2118" s="5"/>
      <c r="U2118" s="5"/>
    </row>
    <row r="2119" spans="12:21" x14ac:dyDescent="0.2">
      <c r="L2119" s="5"/>
      <c r="M2119" s="5"/>
      <c r="N2119" s="5"/>
      <c r="O2119" s="5"/>
      <c r="P2119" s="5"/>
      <c r="Q2119" s="5"/>
      <c r="R2119" s="5"/>
      <c r="S2119" s="5"/>
      <c r="T2119" s="5"/>
      <c r="U2119" s="5"/>
    </row>
    <row r="2120" spans="12:21" x14ac:dyDescent="0.2">
      <c r="L2120" s="5"/>
      <c r="M2120" s="5"/>
      <c r="N2120" s="5"/>
      <c r="O2120" s="5"/>
      <c r="P2120" s="5"/>
      <c r="Q2120" s="5"/>
      <c r="R2120" s="5"/>
      <c r="S2120" s="5"/>
      <c r="T2120" s="5"/>
      <c r="U2120" s="5"/>
    </row>
    <row r="2121" spans="12:21" x14ac:dyDescent="0.2">
      <c r="L2121" s="5"/>
      <c r="M2121" s="5"/>
      <c r="N2121" s="5"/>
      <c r="O2121" s="5"/>
      <c r="P2121" s="5"/>
      <c r="Q2121" s="5"/>
      <c r="R2121" s="5"/>
      <c r="S2121" s="5"/>
      <c r="T2121" s="5"/>
      <c r="U2121" s="5"/>
    </row>
    <row r="2122" spans="12:21" x14ac:dyDescent="0.2">
      <c r="L2122" s="5"/>
      <c r="M2122" s="5"/>
      <c r="N2122" s="5"/>
      <c r="O2122" s="5"/>
      <c r="P2122" s="5"/>
      <c r="Q2122" s="5"/>
      <c r="R2122" s="5"/>
      <c r="S2122" s="5"/>
      <c r="T2122" s="5"/>
      <c r="U2122" s="5"/>
    </row>
    <row r="2123" spans="12:21" x14ac:dyDescent="0.2">
      <c r="L2123" s="5"/>
      <c r="M2123" s="5"/>
      <c r="N2123" s="5"/>
      <c r="O2123" s="5"/>
      <c r="P2123" s="5"/>
      <c r="Q2123" s="5"/>
      <c r="R2123" s="5"/>
      <c r="S2123" s="5"/>
      <c r="T2123" s="5"/>
      <c r="U2123" s="5"/>
    </row>
    <row r="2124" spans="12:21" x14ac:dyDescent="0.2">
      <c r="L2124" s="5"/>
      <c r="M2124" s="5"/>
      <c r="N2124" s="5"/>
      <c r="O2124" s="5"/>
      <c r="P2124" s="5"/>
      <c r="Q2124" s="5"/>
      <c r="R2124" s="5"/>
      <c r="S2124" s="5"/>
      <c r="T2124" s="5"/>
      <c r="U2124" s="5"/>
    </row>
    <row r="2125" spans="12:21" x14ac:dyDescent="0.2">
      <c r="L2125" s="5"/>
      <c r="M2125" s="5"/>
      <c r="N2125" s="5"/>
      <c r="O2125" s="5"/>
      <c r="P2125" s="5"/>
      <c r="Q2125" s="5"/>
      <c r="R2125" s="5"/>
      <c r="S2125" s="5"/>
      <c r="T2125" s="5"/>
      <c r="U2125" s="5"/>
    </row>
    <row r="2126" spans="12:21" x14ac:dyDescent="0.2">
      <c r="L2126" s="5"/>
      <c r="M2126" s="5"/>
      <c r="N2126" s="5"/>
      <c r="O2126" s="5"/>
      <c r="P2126" s="5"/>
      <c r="Q2126" s="5"/>
      <c r="R2126" s="5"/>
      <c r="S2126" s="5"/>
      <c r="T2126" s="5"/>
      <c r="U2126" s="5"/>
    </row>
    <row r="2127" spans="12:21" x14ac:dyDescent="0.2">
      <c r="L2127" s="5"/>
      <c r="M2127" s="5"/>
      <c r="N2127" s="5"/>
      <c r="O2127" s="5"/>
      <c r="P2127" s="5"/>
      <c r="Q2127" s="5"/>
      <c r="R2127" s="5"/>
      <c r="S2127" s="5"/>
      <c r="T2127" s="5"/>
      <c r="U2127" s="5"/>
    </row>
    <row r="2128" spans="12:21" x14ac:dyDescent="0.2">
      <c r="L2128" s="5"/>
      <c r="M2128" s="5"/>
      <c r="N2128" s="5"/>
      <c r="O2128" s="5"/>
      <c r="P2128" s="5"/>
      <c r="Q2128" s="5"/>
      <c r="R2128" s="5"/>
      <c r="S2128" s="5"/>
      <c r="T2128" s="5"/>
      <c r="U2128" s="5"/>
    </row>
    <row r="2129" spans="12:21" x14ac:dyDescent="0.2">
      <c r="L2129" s="5"/>
      <c r="M2129" s="5"/>
      <c r="N2129" s="5"/>
      <c r="O2129" s="5"/>
      <c r="P2129" s="5"/>
      <c r="Q2129" s="5"/>
      <c r="R2129" s="5"/>
      <c r="S2129" s="5"/>
      <c r="T2129" s="5"/>
      <c r="U2129" s="5"/>
    </row>
    <row r="2130" spans="12:21" x14ac:dyDescent="0.2">
      <c r="L2130" s="5"/>
      <c r="M2130" s="5"/>
      <c r="N2130" s="5"/>
      <c r="O2130" s="5"/>
      <c r="P2130" s="5"/>
      <c r="Q2130" s="5"/>
      <c r="R2130" s="5"/>
      <c r="S2130" s="5"/>
      <c r="T2130" s="5"/>
      <c r="U2130" s="5"/>
    </row>
    <row r="2131" spans="12:21" x14ac:dyDescent="0.2">
      <c r="L2131" s="5"/>
      <c r="M2131" s="5"/>
      <c r="N2131" s="5"/>
      <c r="O2131" s="5"/>
      <c r="P2131" s="5"/>
      <c r="Q2131" s="5"/>
      <c r="R2131" s="5"/>
      <c r="S2131" s="5"/>
      <c r="T2131" s="5"/>
      <c r="U2131" s="5"/>
    </row>
    <row r="2132" spans="12:21" x14ac:dyDescent="0.2">
      <c r="L2132" s="5"/>
      <c r="M2132" s="5"/>
      <c r="N2132" s="5"/>
      <c r="O2132" s="5"/>
      <c r="P2132" s="5"/>
      <c r="Q2132" s="5"/>
      <c r="R2132" s="5"/>
      <c r="S2132" s="5"/>
      <c r="T2132" s="5"/>
      <c r="U2132" s="5"/>
    </row>
    <row r="2133" spans="12:21" x14ac:dyDescent="0.2">
      <c r="L2133" s="5"/>
      <c r="M2133" s="5"/>
      <c r="N2133" s="5"/>
      <c r="O2133" s="5"/>
      <c r="P2133" s="5"/>
      <c r="Q2133" s="5"/>
      <c r="R2133" s="5"/>
      <c r="S2133" s="5"/>
      <c r="T2133" s="5"/>
      <c r="U2133" s="5"/>
    </row>
    <row r="2134" spans="12:21" x14ac:dyDescent="0.2">
      <c r="L2134" s="5"/>
      <c r="M2134" s="5"/>
      <c r="N2134" s="5"/>
      <c r="O2134" s="5"/>
      <c r="P2134" s="5"/>
      <c r="Q2134" s="5"/>
      <c r="R2134" s="5"/>
      <c r="S2134" s="5"/>
      <c r="T2134" s="5"/>
      <c r="U2134" s="5"/>
    </row>
    <row r="2135" spans="12:21" x14ac:dyDescent="0.2">
      <c r="L2135" s="5"/>
      <c r="M2135" s="5"/>
      <c r="N2135" s="5"/>
      <c r="O2135" s="5"/>
      <c r="P2135" s="5"/>
      <c r="Q2135" s="5"/>
      <c r="R2135" s="5"/>
      <c r="S2135" s="5"/>
      <c r="T2135" s="5"/>
      <c r="U2135" s="5"/>
    </row>
    <row r="2136" spans="12:21" x14ac:dyDescent="0.2">
      <c r="L2136" s="5"/>
      <c r="M2136" s="5"/>
      <c r="N2136" s="5"/>
      <c r="O2136" s="5"/>
      <c r="P2136" s="5"/>
      <c r="Q2136" s="5"/>
      <c r="R2136" s="5"/>
      <c r="S2136" s="5"/>
      <c r="T2136" s="5"/>
      <c r="U2136" s="5"/>
    </row>
    <row r="2137" spans="12:21" x14ac:dyDescent="0.2">
      <c r="L2137" s="5"/>
      <c r="M2137" s="5"/>
      <c r="N2137" s="5"/>
      <c r="O2137" s="5"/>
      <c r="P2137" s="5"/>
      <c r="Q2137" s="5"/>
      <c r="R2137" s="5"/>
      <c r="S2137" s="5"/>
      <c r="T2137" s="5"/>
      <c r="U2137" s="5"/>
    </row>
    <row r="2138" spans="12:21" x14ac:dyDescent="0.2">
      <c r="L2138" s="5"/>
      <c r="M2138" s="5"/>
      <c r="N2138" s="5"/>
      <c r="O2138" s="5"/>
      <c r="P2138" s="5"/>
      <c r="Q2138" s="5"/>
      <c r="R2138" s="5"/>
      <c r="S2138" s="5"/>
      <c r="T2138" s="5"/>
      <c r="U2138" s="5"/>
    </row>
    <row r="2139" spans="12:21" x14ac:dyDescent="0.2">
      <c r="L2139" s="5"/>
      <c r="M2139" s="5"/>
      <c r="N2139" s="5"/>
      <c r="O2139" s="5"/>
      <c r="P2139" s="5"/>
      <c r="Q2139" s="5"/>
      <c r="R2139" s="5"/>
      <c r="S2139" s="5"/>
      <c r="T2139" s="5"/>
      <c r="U2139" s="5"/>
    </row>
    <row r="2140" spans="12:21" x14ac:dyDescent="0.2">
      <c r="L2140" s="5"/>
      <c r="M2140" s="5"/>
      <c r="N2140" s="5"/>
      <c r="O2140" s="5"/>
      <c r="P2140" s="5"/>
      <c r="Q2140" s="5"/>
      <c r="R2140" s="5"/>
      <c r="S2140" s="5"/>
      <c r="T2140" s="5"/>
      <c r="U2140" s="5"/>
    </row>
    <row r="2141" spans="12:21" x14ac:dyDescent="0.2">
      <c r="L2141" s="5"/>
      <c r="M2141" s="5"/>
      <c r="N2141" s="5"/>
      <c r="O2141" s="5"/>
      <c r="P2141" s="5"/>
      <c r="Q2141" s="5"/>
      <c r="R2141" s="5"/>
      <c r="S2141" s="5"/>
      <c r="T2141" s="5"/>
      <c r="U2141" s="5"/>
    </row>
    <row r="2142" spans="12:21" x14ac:dyDescent="0.2">
      <c r="L2142" s="5"/>
      <c r="M2142" s="5"/>
      <c r="N2142" s="5"/>
      <c r="O2142" s="5"/>
      <c r="P2142" s="5"/>
      <c r="Q2142" s="5"/>
      <c r="R2142" s="5"/>
      <c r="S2142" s="5"/>
      <c r="T2142" s="5"/>
      <c r="U2142" s="5"/>
    </row>
    <row r="2143" spans="12:21" x14ac:dyDescent="0.2">
      <c r="L2143" s="5"/>
      <c r="M2143" s="5"/>
      <c r="N2143" s="5"/>
      <c r="O2143" s="5"/>
      <c r="P2143" s="5"/>
      <c r="Q2143" s="5"/>
      <c r="R2143" s="5"/>
      <c r="S2143" s="5"/>
      <c r="T2143" s="5"/>
      <c r="U2143" s="5"/>
    </row>
    <row r="2144" spans="12:21" x14ac:dyDescent="0.2">
      <c r="L2144" s="5"/>
      <c r="M2144" s="5"/>
      <c r="N2144" s="5"/>
      <c r="O2144" s="5"/>
      <c r="P2144" s="5"/>
      <c r="Q2144" s="5"/>
      <c r="R2144" s="5"/>
      <c r="S2144" s="5"/>
      <c r="T2144" s="5"/>
      <c r="U2144" s="5"/>
    </row>
    <row r="2145" spans="12:21" x14ac:dyDescent="0.2">
      <c r="L2145" s="5"/>
      <c r="M2145" s="5"/>
      <c r="N2145" s="5"/>
      <c r="O2145" s="5"/>
      <c r="P2145" s="5"/>
      <c r="Q2145" s="5"/>
      <c r="R2145" s="5"/>
      <c r="S2145" s="5"/>
      <c r="T2145" s="5"/>
      <c r="U2145" s="5"/>
    </row>
    <row r="2146" spans="12:21" x14ac:dyDescent="0.2">
      <c r="L2146" s="5"/>
      <c r="M2146" s="5"/>
      <c r="N2146" s="5"/>
      <c r="O2146" s="5"/>
      <c r="P2146" s="5"/>
      <c r="Q2146" s="5"/>
      <c r="R2146" s="5"/>
      <c r="S2146" s="5"/>
      <c r="T2146" s="5"/>
      <c r="U2146" s="5"/>
    </row>
    <row r="2147" spans="12:21" x14ac:dyDescent="0.2">
      <c r="L2147" s="5"/>
      <c r="M2147" s="5"/>
      <c r="N2147" s="5"/>
      <c r="O2147" s="5"/>
      <c r="P2147" s="5"/>
      <c r="Q2147" s="5"/>
      <c r="R2147" s="5"/>
      <c r="S2147" s="5"/>
      <c r="T2147" s="5"/>
      <c r="U2147" s="5"/>
    </row>
    <row r="2148" spans="12:21" x14ac:dyDescent="0.2">
      <c r="L2148" s="5"/>
      <c r="M2148" s="5"/>
      <c r="N2148" s="5"/>
      <c r="O2148" s="5"/>
      <c r="P2148" s="5"/>
      <c r="Q2148" s="5"/>
      <c r="R2148" s="5"/>
      <c r="S2148" s="5"/>
      <c r="T2148" s="5"/>
      <c r="U2148" s="5"/>
    </row>
    <row r="2149" spans="12:21" x14ac:dyDescent="0.2">
      <c r="L2149" s="5"/>
      <c r="M2149" s="5"/>
      <c r="N2149" s="5"/>
      <c r="O2149" s="5"/>
      <c r="P2149" s="5"/>
      <c r="Q2149" s="5"/>
      <c r="R2149" s="5"/>
      <c r="S2149" s="5"/>
      <c r="T2149" s="5"/>
      <c r="U2149" s="5"/>
    </row>
    <row r="2150" spans="12:21" x14ac:dyDescent="0.2">
      <c r="L2150" s="5"/>
      <c r="M2150" s="5"/>
      <c r="N2150" s="5"/>
      <c r="O2150" s="5"/>
      <c r="P2150" s="5"/>
      <c r="Q2150" s="5"/>
      <c r="R2150" s="5"/>
      <c r="S2150" s="5"/>
      <c r="T2150" s="5"/>
      <c r="U2150" s="5"/>
    </row>
    <row r="2151" spans="12:21" x14ac:dyDescent="0.2">
      <c r="L2151" s="5"/>
      <c r="M2151" s="5"/>
      <c r="N2151" s="5"/>
      <c r="O2151" s="5"/>
      <c r="P2151" s="5"/>
      <c r="Q2151" s="5"/>
      <c r="R2151" s="5"/>
      <c r="S2151" s="5"/>
      <c r="T2151" s="5"/>
      <c r="U2151" s="5"/>
    </row>
    <row r="2152" spans="12:21" x14ac:dyDescent="0.2">
      <c r="L2152" s="5"/>
      <c r="M2152" s="5"/>
      <c r="N2152" s="5"/>
      <c r="O2152" s="5"/>
      <c r="P2152" s="5"/>
      <c r="Q2152" s="5"/>
      <c r="R2152" s="5"/>
      <c r="S2152" s="5"/>
      <c r="T2152" s="5"/>
      <c r="U2152" s="5"/>
    </row>
    <row r="2153" spans="12:21" x14ac:dyDescent="0.2">
      <c r="L2153" s="5"/>
      <c r="M2153" s="5"/>
      <c r="N2153" s="5"/>
      <c r="O2153" s="5"/>
      <c r="P2153" s="5"/>
      <c r="Q2153" s="5"/>
      <c r="R2153" s="5"/>
      <c r="S2153" s="5"/>
      <c r="T2153" s="5"/>
      <c r="U2153" s="5"/>
    </row>
    <row r="2154" spans="12:21" x14ac:dyDescent="0.2">
      <c r="L2154" s="5"/>
      <c r="M2154" s="5"/>
      <c r="N2154" s="5"/>
      <c r="O2154" s="5"/>
      <c r="P2154" s="5"/>
      <c r="Q2154" s="5"/>
      <c r="R2154" s="5"/>
      <c r="S2154" s="5"/>
      <c r="T2154" s="5"/>
      <c r="U2154" s="5"/>
    </row>
    <row r="2155" spans="12:21" x14ac:dyDescent="0.2">
      <c r="L2155" s="5"/>
      <c r="M2155" s="5"/>
      <c r="N2155" s="5"/>
      <c r="O2155" s="5"/>
      <c r="P2155" s="5"/>
      <c r="Q2155" s="5"/>
      <c r="R2155" s="5"/>
      <c r="S2155" s="5"/>
      <c r="T2155" s="5"/>
      <c r="U2155" s="5"/>
    </row>
    <row r="2156" spans="12:21" x14ac:dyDescent="0.2">
      <c r="L2156" s="5"/>
      <c r="M2156" s="5"/>
      <c r="N2156" s="5"/>
      <c r="O2156" s="5"/>
      <c r="P2156" s="5"/>
      <c r="Q2156" s="5"/>
      <c r="R2156" s="5"/>
      <c r="S2156" s="5"/>
      <c r="T2156" s="5"/>
      <c r="U2156" s="5"/>
    </row>
    <row r="2157" spans="12:21" x14ac:dyDescent="0.2">
      <c r="L2157" s="5"/>
      <c r="M2157" s="5"/>
      <c r="N2157" s="5"/>
      <c r="O2157" s="5"/>
      <c r="P2157" s="5"/>
      <c r="Q2157" s="5"/>
      <c r="R2157" s="5"/>
      <c r="S2157" s="5"/>
      <c r="T2157" s="5"/>
      <c r="U2157" s="5"/>
    </row>
    <row r="2158" spans="12:21" x14ac:dyDescent="0.2">
      <c r="L2158" s="5"/>
      <c r="M2158" s="5"/>
      <c r="N2158" s="5"/>
      <c r="O2158" s="5"/>
      <c r="P2158" s="5"/>
      <c r="Q2158" s="5"/>
      <c r="R2158" s="5"/>
      <c r="S2158" s="5"/>
      <c r="T2158" s="5"/>
      <c r="U2158" s="5"/>
    </row>
    <row r="2159" spans="12:21" x14ac:dyDescent="0.2">
      <c r="L2159" s="5"/>
      <c r="M2159" s="5"/>
      <c r="N2159" s="5"/>
      <c r="O2159" s="5"/>
      <c r="P2159" s="5"/>
      <c r="Q2159" s="5"/>
      <c r="R2159" s="5"/>
      <c r="S2159" s="5"/>
      <c r="T2159" s="5"/>
      <c r="U2159" s="5"/>
    </row>
    <row r="2160" spans="12:21" x14ac:dyDescent="0.2">
      <c r="L2160" s="5"/>
      <c r="M2160" s="5"/>
      <c r="N2160" s="5"/>
      <c r="O2160" s="5"/>
      <c r="P2160" s="5"/>
      <c r="Q2160" s="5"/>
      <c r="R2160" s="5"/>
      <c r="S2160" s="5"/>
      <c r="T2160" s="5"/>
      <c r="U2160" s="5"/>
    </row>
    <row r="2161" spans="12:21" x14ac:dyDescent="0.2">
      <c r="L2161" s="5"/>
      <c r="M2161" s="5"/>
      <c r="N2161" s="5"/>
      <c r="O2161" s="5"/>
      <c r="P2161" s="5"/>
      <c r="Q2161" s="5"/>
      <c r="R2161" s="5"/>
      <c r="S2161" s="5"/>
      <c r="T2161" s="5"/>
      <c r="U2161" s="5"/>
    </row>
    <row r="2162" spans="12:21" x14ac:dyDescent="0.2">
      <c r="L2162" s="5"/>
      <c r="M2162" s="5"/>
      <c r="N2162" s="5"/>
      <c r="O2162" s="5"/>
      <c r="P2162" s="5"/>
      <c r="Q2162" s="5"/>
      <c r="R2162" s="5"/>
      <c r="S2162" s="5"/>
      <c r="T2162" s="5"/>
      <c r="U2162" s="5"/>
    </row>
    <row r="2163" spans="12:21" x14ac:dyDescent="0.2">
      <c r="L2163" s="5"/>
      <c r="M2163" s="5"/>
      <c r="N2163" s="5"/>
      <c r="O2163" s="5"/>
      <c r="P2163" s="5"/>
      <c r="Q2163" s="5"/>
      <c r="R2163" s="5"/>
      <c r="S2163" s="5"/>
      <c r="T2163" s="5"/>
      <c r="U2163" s="5"/>
    </row>
    <row r="2164" spans="12:21" x14ac:dyDescent="0.2">
      <c r="L2164" s="5"/>
      <c r="M2164" s="5"/>
      <c r="N2164" s="5"/>
      <c r="O2164" s="5"/>
      <c r="P2164" s="5"/>
      <c r="Q2164" s="5"/>
      <c r="R2164" s="5"/>
      <c r="S2164" s="5"/>
      <c r="T2164" s="5"/>
      <c r="U2164" s="5"/>
    </row>
    <row r="2165" spans="12:21" x14ac:dyDescent="0.2">
      <c r="L2165" s="5"/>
      <c r="M2165" s="5"/>
      <c r="N2165" s="5"/>
      <c r="O2165" s="5"/>
      <c r="P2165" s="5"/>
      <c r="Q2165" s="5"/>
      <c r="R2165" s="5"/>
      <c r="S2165" s="5"/>
      <c r="T2165" s="5"/>
      <c r="U2165" s="5"/>
    </row>
    <row r="2166" spans="12:21" x14ac:dyDescent="0.2">
      <c r="L2166" s="5"/>
      <c r="M2166" s="5"/>
      <c r="N2166" s="5"/>
      <c r="O2166" s="5"/>
      <c r="P2166" s="5"/>
      <c r="Q2166" s="5"/>
      <c r="R2166" s="5"/>
      <c r="S2166" s="5"/>
      <c r="T2166" s="5"/>
      <c r="U2166" s="5"/>
    </row>
    <row r="2167" spans="12:21" x14ac:dyDescent="0.2">
      <c r="L2167" s="5"/>
      <c r="M2167" s="5"/>
      <c r="N2167" s="5"/>
      <c r="O2167" s="5"/>
      <c r="P2167" s="5"/>
      <c r="Q2167" s="5"/>
      <c r="R2167" s="5"/>
      <c r="S2167" s="5"/>
      <c r="T2167" s="5"/>
      <c r="U2167" s="5"/>
    </row>
    <row r="2168" spans="12:21" x14ac:dyDescent="0.2">
      <c r="L2168" s="5"/>
      <c r="M2168" s="5"/>
      <c r="N2168" s="5"/>
      <c r="O2168" s="5"/>
      <c r="P2168" s="5"/>
      <c r="Q2168" s="5"/>
      <c r="R2168" s="5"/>
      <c r="S2168" s="5"/>
      <c r="T2168" s="5"/>
      <c r="U2168" s="5"/>
    </row>
    <row r="2169" spans="12:21" x14ac:dyDescent="0.2">
      <c r="L2169" s="5"/>
      <c r="M2169" s="5"/>
      <c r="N2169" s="5"/>
      <c r="O2169" s="5"/>
      <c r="P2169" s="5"/>
      <c r="Q2169" s="5"/>
      <c r="R2169" s="5"/>
      <c r="S2169" s="5"/>
      <c r="T2169" s="5"/>
      <c r="U2169" s="5"/>
    </row>
    <row r="2170" spans="12:21" x14ac:dyDescent="0.2">
      <c r="L2170" s="5"/>
      <c r="M2170" s="5"/>
      <c r="N2170" s="5"/>
      <c r="O2170" s="5"/>
      <c r="P2170" s="5"/>
      <c r="Q2170" s="5"/>
      <c r="R2170" s="5"/>
      <c r="S2170" s="5"/>
      <c r="T2170" s="5"/>
      <c r="U2170" s="5"/>
    </row>
    <row r="2171" spans="12:21" x14ac:dyDescent="0.2">
      <c r="L2171" s="5"/>
      <c r="M2171" s="5"/>
      <c r="N2171" s="5"/>
      <c r="O2171" s="5"/>
      <c r="P2171" s="5"/>
      <c r="Q2171" s="5"/>
      <c r="R2171" s="5"/>
      <c r="S2171" s="5"/>
      <c r="T2171" s="5"/>
      <c r="U2171" s="5"/>
    </row>
    <row r="2172" spans="12:21" x14ac:dyDescent="0.2">
      <c r="L2172" s="5"/>
      <c r="M2172" s="5"/>
      <c r="N2172" s="5"/>
      <c r="O2172" s="5"/>
      <c r="P2172" s="5"/>
      <c r="Q2172" s="5"/>
      <c r="R2172" s="5"/>
      <c r="S2172" s="5"/>
      <c r="T2172" s="5"/>
      <c r="U2172" s="5"/>
    </row>
    <row r="2173" spans="12:21" x14ac:dyDescent="0.2">
      <c r="L2173" s="5"/>
      <c r="M2173" s="5"/>
      <c r="N2173" s="5"/>
      <c r="O2173" s="5"/>
      <c r="P2173" s="5"/>
      <c r="Q2173" s="5"/>
      <c r="R2173" s="5"/>
      <c r="S2173" s="5"/>
      <c r="T2173" s="5"/>
      <c r="U2173" s="5"/>
    </row>
    <row r="2174" spans="12:21" x14ac:dyDescent="0.2">
      <c r="L2174" s="5"/>
      <c r="M2174" s="5"/>
      <c r="N2174" s="5"/>
      <c r="O2174" s="5"/>
      <c r="P2174" s="5"/>
      <c r="Q2174" s="5"/>
      <c r="R2174" s="5"/>
      <c r="S2174" s="5"/>
      <c r="T2174" s="5"/>
      <c r="U2174" s="5"/>
    </row>
    <row r="2175" spans="12:21" x14ac:dyDescent="0.2">
      <c r="L2175" s="5"/>
      <c r="M2175" s="5"/>
      <c r="N2175" s="5"/>
      <c r="O2175" s="5"/>
      <c r="P2175" s="5"/>
      <c r="Q2175" s="5"/>
      <c r="R2175" s="5"/>
      <c r="S2175" s="5"/>
      <c r="T2175" s="5"/>
      <c r="U2175" s="5"/>
    </row>
    <row r="2176" spans="12:21" x14ac:dyDescent="0.2">
      <c r="L2176" s="5"/>
      <c r="M2176" s="5"/>
      <c r="N2176" s="5"/>
      <c r="O2176" s="5"/>
      <c r="P2176" s="5"/>
      <c r="Q2176" s="5"/>
      <c r="R2176" s="5"/>
      <c r="S2176" s="5"/>
      <c r="T2176" s="5"/>
      <c r="U2176" s="5"/>
    </row>
    <row r="2177" spans="12:21" x14ac:dyDescent="0.2">
      <c r="L2177" s="5"/>
      <c r="M2177" s="5"/>
      <c r="N2177" s="5"/>
      <c r="O2177" s="5"/>
      <c r="P2177" s="5"/>
      <c r="Q2177" s="5"/>
      <c r="R2177" s="5"/>
      <c r="S2177" s="5"/>
      <c r="T2177" s="5"/>
      <c r="U2177" s="5"/>
    </row>
    <row r="2178" spans="12:21" x14ac:dyDescent="0.2">
      <c r="L2178" s="5"/>
      <c r="M2178" s="5"/>
      <c r="N2178" s="5"/>
      <c r="O2178" s="5"/>
      <c r="P2178" s="5"/>
      <c r="Q2178" s="5"/>
      <c r="R2178" s="5"/>
      <c r="S2178" s="5"/>
      <c r="T2178" s="5"/>
      <c r="U2178" s="5"/>
    </row>
    <row r="2179" spans="12:21" x14ac:dyDescent="0.2">
      <c r="L2179" s="5"/>
      <c r="M2179" s="5"/>
      <c r="N2179" s="5"/>
      <c r="O2179" s="5"/>
      <c r="P2179" s="5"/>
      <c r="Q2179" s="5"/>
      <c r="R2179" s="5"/>
      <c r="S2179" s="5"/>
      <c r="T2179" s="5"/>
      <c r="U2179" s="5"/>
    </row>
    <row r="2180" spans="12:21" x14ac:dyDescent="0.2">
      <c r="L2180" s="5"/>
      <c r="M2180" s="5"/>
      <c r="N2180" s="5"/>
      <c r="O2180" s="5"/>
      <c r="P2180" s="5"/>
      <c r="Q2180" s="5"/>
      <c r="R2180" s="5"/>
      <c r="S2180" s="5"/>
      <c r="T2180" s="5"/>
      <c r="U2180" s="5"/>
    </row>
    <row r="2181" spans="12:21" x14ac:dyDescent="0.2">
      <c r="L2181" s="5"/>
      <c r="M2181" s="5"/>
      <c r="N2181" s="5"/>
      <c r="O2181" s="5"/>
      <c r="P2181" s="5"/>
      <c r="Q2181" s="5"/>
      <c r="R2181" s="5"/>
      <c r="S2181" s="5"/>
      <c r="T2181" s="5"/>
      <c r="U2181" s="5"/>
    </row>
    <row r="2182" spans="12:21" x14ac:dyDescent="0.2">
      <c r="L2182" s="5"/>
      <c r="M2182" s="5"/>
      <c r="N2182" s="5"/>
      <c r="O2182" s="5"/>
      <c r="P2182" s="5"/>
      <c r="Q2182" s="5"/>
      <c r="R2182" s="5"/>
      <c r="S2182" s="5"/>
      <c r="T2182" s="5"/>
      <c r="U2182" s="5"/>
    </row>
    <row r="2183" spans="12:21" x14ac:dyDescent="0.2">
      <c r="L2183" s="5"/>
      <c r="M2183" s="5"/>
      <c r="N2183" s="5"/>
      <c r="O2183" s="5"/>
      <c r="P2183" s="5"/>
      <c r="Q2183" s="5"/>
      <c r="R2183" s="5"/>
      <c r="S2183" s="5"/>
      <c r="T2183" s="5"/>
      <c r="U2183" s="5"/>
    </row>
    <row r="2184" spans="12:21" x14ac:dyDescent="0.2">
      <c r="L2184" s="5"/>
      <c r="M2184" s="5"/>
      <c r="N2184" s="5"/>
      <c r="O2184" s="5"/>
      <c r="P2184" s="5"/>
      <c r="Q2184" s="5"/>
      <c r="R2184" s="5"/>
      <c r="S2184" s="5"/>
      <c r="T2184" s="5"/>
      <c r="U2184" s="5"/>
    </row>
    <row r="2185" spans="12:21" x14ac:dyDescent="0.2">
      <c r="L2185" s="5"/>
      <c r="M2185" s="5"/>
      <c r="N2185" s="5"/>
      <c r="O2185" s="5"/>
      <c r="P2185" s="5"/>
      <c r="Q2185" s="5"/>
      <c r="R2185" s="5"/>
      <c r="S2185" s="5"/>
      <c r="T2185" s="5"/>
      <c r="U2185" s="5"/>
    </row>
    <row r="2186" spans="12:21" x14ac:dyDescent="0.2">
      <c r="L2186" s="5"/>
      <c r="M2186" s="5"/>
      <c r="N2186" s="5"/>
      <c r="O2186" s="5"/>
      <c r="P2186" s="5"/>
      <c r="Q2186" s="5"/>
      <c r="R2186" s="5"/>
      <c r="S2186" s="5"/>
      <c r="T2186" s="5"/>
      <c r="U2186" s="5"/>
    </row>
    <row r="2187" spans="12:21" x14ac:dyDescent="0.2">
      <c r="L2187" s="5"/>
      <c r="M2187" s="5"/>
      <c r="N2187" s="5"/>
      <c r="O2187" s="5"/>
      <c r="P2187" s="5"/>
      <c r="Q2187" s="5"/>
      <c r="R2187" s="5"/>
      <c r="S2187" s="5"/>
      <c r="T2187" s="5"/>
      <c r="U2187" s="5"/>
    </row>
    <row r="2188" spans="12:21" x14ac:dyDescent="0.2">
      <c r="L2188" s="5"/>
      <c r="M2188" s="5"/>
      <c r="N2188" s="5"/>
      <c r="O2188" s="5"/>
      <c r="P2188" s="5"/>
      <c r="Q2188" s="5"/>
      <c r="R2188" s="5"/>
      <c r="S2188" s="5"/>
      <c r="T2188" s="5"/>
      <c r="U2188" s="5"/>
    </row>
    <row r="2189" spans="12:21" x14ac:dyDescent="0.2">
      <c r="L2189" s="5"/>
      <c r="M2189" s="5"/>
      <c r="N2189" s="5"/>
      <c r="O2189" s="5"/>
      <c r="P2189" s="5"/>
      <c r="Q2189" s="5"/>
      <c r="R2189" s="5"/>
      <c r="S2189" s="5"/>
      <c r="T2189" s="5"/>
      <c r="U2189" s="5"/>
    </row>
    <row r="2190" spans="12:21" x14ac:dyDescent="0.2">
      <c r="L2190" s="5"/>
      <c r="M2190" s="5"/>
      <c r="N2190" s="5"/>
      <c r="O2190" s="5"/>
      <c r="P2190" s="5"/>
      <c r="Q2190" s="5"/>
      <c r="R2190" s="5"/>
      <c r="S2190" s="5"/>
      <c r="T2190" s="5"/>
      <c r="U2190" s="5"/>
    </row>
    <row r="2191" spans="12:21" x14ac:dyDescent="0.2">
      <c r="L2191" s="5"/>
      <c r="M2191" s="5"/>
      <c r="N2191" s="5"/>
      <c r="O2191" s="5"/>
      <c r="P2191" s="5"/>
      <c r="Q2191" s="5"/>
      <c r="R2191" s="5"/>
      <c r="S2191" s="5"/>
      <c r="T2191" s="5"/>
      <c r="U2191" s="5"/>
    </row>
    <row r="2192" spans="12:21" x14ac:dyDescent="0.2">
      <c r="L2192" s="5"/>
      <c r="M2192" s="5"/>
      <c r="N2192" s="5"/>
      <c r="O2192" s="5"/>
      <c r="P2192" s="5"/>
      <c r="Q2192" s="5"/>
      <c r="R2192" s="5"/>
      <c r="S2192" s="5"/>
      <c r="T2192" s="5"/>
      <c r="U2192" s="5"/>
    </row>
    <row r="2193" spans="12:21" x14ac:dyDescent="0.2">
      <c r="L2193" s="5"/>
      <c r="M2193" s="5"/>
      <c r="N2193" s="5"/>
      <c r="O2193" s="5"/>
      <c r="P2193" s="5"/>
      <c r="Q2193" s="5"/>
      <c r="R2193" s="5"/>
      <c r="S2193" s="5"/>
      <c r="T2193" s="5"/>
      <c r="U2193" s="5"/>
    </row>
    <row r="2194" spans="12:21" x14ac:dyDescent="0.2">
      <c r="L2194" s="5"/>
      <c r="M2194" s="5"/>
      <c r="N2194" s="5"/>
      <c r="O2194" s="5"/>
      <c r="P2194" s="5"/>
      <c r="Q2194" s="5"/>
      <c r="R2194" s="5"/>
      <c r="S2194" s="5"/>
      <c r="T2194" s="5"/>
      <c r="U2194" s="5"/>
    </row>
    <row r="2195" spans="12:21" x14ac:dyDescent="0.2">
      <c r="L2195" s="5"/>
      <c r="M2195" s="5"/>
      <c r="N2195" s="5"/>
      <c r="O2195" s="5"/>
      <c r="P2195" s="5"/>
      <c r="Q2195" s="5"/>
      <c r="R2195" s="5"/>
      <c r="S2195" s="5"/>
      <c r="T2195" s="5"/>
      <c r="U2195" s="5"/>
    </row>
    <row r="2196" spans="12:21" x14ac:dyDescent="0.2">
      <c r="L2196" s="5"/>
      <c r="M2196" s="5"/>
      <c r="N2196" s="5"/>
      <c r="O2196" s="5"/>
      <c r="P2196" s="5"/>
      <c r="Q2196" s="5"/>
      <c r="R2196" s="5"/>
      <c r="S2196" s="5"/>
      <c r="T2196" s="5"/>
      <c r="U2196" s="5"/>
    </row>
    <row r="2197" spans="12:21" x14ac:dyDescent="0.2">
      <c r="L2197" s="5"/>
      <c r="M2197" s="5"/>
      <c r="N2197" s="5"/>
      <c r="O2197" s="5"/>
      <c r="P2197" s="5"/>
      <c r="Q2197" s="5"/>
      <c r="R2197" s="5"/>
      <c r="S2197" s="5"/>
      <c r="T2197" s="5"/>
      <c r="U2197" s="5"/>
    </row>
    <row r="2198" spans="12:21" x14ac:dyDescent="0.2">
      <c r="L2198" s="5"/>
      <c r="M2198" s="5"/>
      <c r="N2198" s="5"/>
      <c r="O2198" s="5"/>
      <c r="P2198" s="5"/>
      <c r="Q2198" s="5"/>
      <c r="R2198" s="5"/>
      <c r="S2198" s="5"/>
      <c r="T2198" s="5"/>
      <c r="U2198" s="5"/>
    </row>
    <row r="2199" spans="12:21" x14ac:dyDescent="0.2">
      <c r="L2199" s="5"/>
      <c r="M2199" s="5"/>
      <c r="N2199" s="5"/>
      <c r="O2199" s="5"/>
      <c r="P2199" s="5"/>
      <c r="Q2199" s="5"/>
      <c r="R2199" s="5"/>
      <c r="S2199" s="5"/>
      <c r="T2199" s="5"/>
      <c r="U2199" s="5"/>
    </row>
    <row r="2200" spans="12:21" x14ac:dyDescent="0.2">
      <c r="L2200" s="5"/>
      <c r="M2200" s="5"/>
      <c r="N2200" s="5"/>
      <c r="O2200" s="5"/>
      <c r="P2200" s="5"/>
      <c r="Q2200" s="5"/>
      <c r="R2200" s="5"/>
      <c r="S2200" s="5"/>
      <c r="T2200" s="5"/>
      <c r="U2200" s="5"/>
    </row>
    <row r="2201" spans="12:21" x14ac:dyDescent="0.2">
      <c r="L2201" s="5"/>
      <c r="M2201" s="5"/>
      <c r="N2201" s="5"/>
      <c r="O2201" s="5"/>
      <c r="P2201" s="5"/>
      <c r="Q2201" s="5"/>
      <c r="R2201" s="5"/>
      <c r="S2201" s="5"/>
      <c r="T2201" s="5"/>
      <c r="U2201" s="5"/>
    </row>
    <row r="2202" spans="12:21" x14ac:dyDescent="0.2">
      <c r="L2202" s="5"/>
      <c r="M2202" s="5"/>
      <c r="N2202" s="5"/>
      <c r="O2202" s="5"/>
      <c r="P2202" s="5"/>
      <c r="Q2202" s="5"/>
      <c r="R2202" s="5"/>
      <c r="S2202" s="5"/>
      <c r="T2202" s="5"/>
      <c r="U2202" s="5"/>
    </row>
    <row r="2203" spans="12:21" x14ac:dyDescent="0.2">
      <c r="L2203" s="5"/>
      <c r="M2203" s="5"/>
      <c r="N2203" s="5"/>
      <c r="O2203" s="5"/>
      <c r="P2203" s="5"/>
      <c r="Q2203" s="5"/>
      <c r="R2203" s="5"/>
      <c r="S2203" s="5"/>
      <c r="T2203" s="5"/>
      <c r="U2203" s="5"/>
    </row>
    <row r="2204" spans="12:21" x14ac:dyDescent="0.2">
      <c r="L2204" s="5"/>
      <c r="M2204" s="5"/>
      <c r="N2204" s="5"/>
      <c r="O2204" s="5"/>
      <c r="P2204" s="5"/>
      <c r="Q2204" s="5"/>
      <c r="R2204" s="5"/>
      <c r="S2204" s="5"/>
      <c r="T2204" s="5"/>
      <c r="U2204" s="5"/>
    </row>
    <row r="2205" spans="12:21" x14ac:dyDescent="0.2">
      <c r="L2205" s="5"/>
      <c r="M2205" s="5"/>
      <c r="N2205" s="5"/>
      <c r="O2205" s="5"/>
      <c r="P2205" s="5"/>
      <c r="Q2205" s="5"/>
      <c r="R2205" s="5"/>
      <c r="S2205" s="5"/>
      <c r="T2205" s="5"/>
      <c r="U2205" s="5"/>
    </row>
    <row r="2206" spans="12:21" x14ac:dyDescent="0.2">
      <c r="L2206" s="5"/>
      <c r="M2206" s="5"/>
      <c r="N2206" s="5"/>
      <c r="O2206" s="5"/>
      <c r="P2206" s="5"/>
      <c r="Q2206" s="5"/>
      <c r="R2206" s="5"/>
      <c r="S2206" s="5"/>
      <c r="T2206" s="5"/>
      <c r="U2206" s="5"/>
    </row>
    <row r="2207" spans="12:21" x14ac:dyDescent="0.2">
      <c r="L2207" s="5"/>
      <c r="M2207" s="5"/>
      <c r="N2207" s="5"/>
      <c r="O2207" s="5"/>
      <c r="P2207" s="5"/>
      <c r="Q2207" s="5"/>
      <c r="R2207" s="5"/>
      <c r="S2207" s="5"/>
      <c r="T2207" s="5"/>
      <c r="U2207" s="5"/>
    </row>
    <row r="2208" spans="12:21" x14ac:dyDescent="0.2">
      <c r="L2208" s="5"/>
      <c r="M2208" s="5"/>
      <c r="N2208" s="5"/>
      <c r="O2208" s="5"/>
      <c r="P2208" s="5"/>
      <c r="Q2208" s="5"/>
      <c r="R2208" s="5"/>
      <c r="S2208" s="5"/>
      <c r="T2208" s="5"/>
      <c r="U2208" s="5"/>
    </row>
    <row r="2209" spans="12:21" x14ac:dyDescent="0.2">
      <c r="L2209" s="5"/>
      <c r="M2209" s="5"/>
      <c r="N2209" s="5"/>
      <c r="O2209" s="5"/>
      <c r="P2209" s="5"/>
      <c r="Q2209" s="5"/>
      <c r="R2209" s="5"/>
      <c r="S2209" s="5"/>
      <c r="T2209" s="5"/>
      <c r="U2209" s="5"/>
    </row>
    <row r="2210" spans="12:21" x14ac:dyDescent="0.2">
      <c r="L2210" s="5"/>
      <c r="M2210" s="5"/>
      <c r="N2210" s="5"/>
      <c r="O2210" s="5"/>
      <c r="P2210" s="5"/>
      <c r="Q2210" s="5"/>
      <c r="R2210" s="5"/>
      <c r="S2210" s="5"/>
      <c r="T2210" s="5"/>
      <c r="U2210" s="5"/>
    </row>
    <row r="2211" spans="12:21" x14ac:dyDescent="0.2">
      <c r="L2211" s="5"/>
      <c r="M2211" s="5"/>
      <c r="N2211" s="5"/>
      <c r="O2211" s="5"/>
      <c r="P2211" s="5"/>
      <c r="Q2211" s="5"/>
      <c r="R2211" s="5"/>
      <c r="S2211" s="5"/>
      <c r="T2211" s="5"/>
      <c r="U2211" s="5"/>
    </row>
    <row r="2212" spans="12:21" x14ac:dyDescent="0.2">
      <c r="L2212" s="5"/>
      <c r="M2212" s="5"/>
      <c r="N2212" s="5"/>
      <c r="O2212" s="5"/>
      <c r="P2212" s="5"/>
      <c r="Q2212" s="5"/>
      <c r="R2212" s="5"/>
      <c r="S2212" s="5"/>
      <c r="T2212" s="5"/>
      <c r="U2212" s="5"/>
    </row>
    <row r="2213" spans="12:21" x14ac:dyDescent="0.2">
      <c r="L2213" s="5"/>
      <c r="M2213" s="5"/>
      <c r="N2213" s="5"/>
      <c r="O2213" s="5"/>
      <c r="P2213" s="5"/>
      <c r="Q2213" s="5"/>
      <c r="R2213" s="5"/>
      <c r="S2213" s="5"/>
      <c r="T2213" s="5"/>
      <c r="U2213" s="5"/>
    </row>
    <row r="2214" spans="12:21" x14ac:dyDescent="0.2">
      <c r="L2214" s="5"/>
      <c r="M2214" s="5"/>
      <c r="N2214" s="5"/>
      <c r="O2214" s="5"/>
      <c r="P2214" s="5"/>
      <c r="Q2214" s="5"/>
      <c r="R2214" s="5"/>
      <c r="S2214" s="5"/>
      <c r="T2214" s="5"/>
      <c r="U2214" s="5"/>
    </row>
    <row r="2215" spans="12:21" x14ac:dyDescent="0.2">
      <c r="L2215" s="5"/>
      <c r="M2215" s="5"/>
      <c r="N2215" s="5"/>
      <c r="O2215" s="5"/>
      <c r="P2215" s="5"/>
      <c r="Q2215" s="5"/>
      <c r="R2215" s="5"/>
      <c r="S2215" s="5"/>
      <c r="T2215" s="5"/>
      <c r="U2215" s="5"/>
    </row>
    <row r="2216" spans="12:21" x14ac:dyDescent="0.2">
      <c r="L2216" s="5"/>
      <c r="M2216" s="5"/>
      <c r="N2216" s="5"/>
      <c r="O2216" s="5"/>
      <c r="P2216" s="5"/>
      <c r="Q2216" s="5"/>
      <c r="R2216" s="5"/>
      <c r="S2216" s="5"/>
      <c r="T2216" s="5"/>
      <c r="U2216" s="5"/>
    </row>
    <row r="2217" spans="12:21" x14ac:dyDescent="0.2">
      <c r="L2217" s="5"/>
      <c r="M2217" s="5"/>
      <c r="N2217" s="5"/>
      <c r="O2217" s="5"/>
      <c r="P2217" s="5"/>
      <c r="Q2217" s="5"/>
      <c r="R2217" s="5"/>
      <c r="S2217" s="5"/>
      <c r="T2217" s="5"/>
      <c r="U2217" s="5"/>
    </row>
    <row r="2218" spans="12:21" x14ac:dyDescent="0.2">
      <c r="L2218" s="5"/>
      <c r="M2218" s="5"/>
      <c r="N2218" s="5"/>
      <c r="O2218" s="5"/>
      <c r="P2218" s="5"/>
      <c r="Q2218" s="5"/>
      <c r="R2218" s="5"/>
      <c r="S2218" s="5"/>
      <c r="T2218" s="5"/>
      <c r="U2218" s="5"/>
    </row>
    <row r="2219" spans="12:21" x14ac:dyDescent="0.2">
      <c r="L2219" s="5"/>
      <c r="M2219" s="5"/>
      <c r="N2219" s="5"/>
      <c r="O2219" s="5"/>
      <c r="P2219" s="5"/>
      <c r="Q2219" s="5"/>
      <c r="R2219" s="5"/>
      <c r="S2219" s="5"/>
      <c r="T2219" s="5"/>
      <c r="U2219" s="5"/>
    </row>
    <row r="2220" spans="12:21" x14ac:dyDescent="0.2">
      <c r="L2220" s="5"/>
      <c r="M2220" s="5"/>
      <c r="N2220" s="5"/>
      <c r="O2220" s="5"/>
      <c r="P2220" s="5"/>
      <c r="Q2220" s="5"/>
      <c r="R2220" s="5"/>
      <c r="S2220" s="5"/>
      <c r="T2220" s="5"/>
      <c r="U2220" s="5"/>
    </row>
    <row r="2221" spans="12:21" x14ac:dyDescent="0.2">
      <c r="L2221" s="5"/>
      <c r="M2221" s="5"/>
      <c r="N2221" s="5"/>
      <c r="O2221" s="5"/>
      <c r="P2221" s="5"/>
      <c r="Q2221" s="5"/>
      <c r="R2221" s="5"/>
      <c r="S2221" s="5"/>
      <c r="T2221" s="5"/>
      <c r="U2221" s="5"/>
    </row>
    <row r="2222" spans="12:21" x14ac:dyDescent="0.2">
      <c r="L2222" s="5"/>
      <c r="M2222" s="5"/>
      <c r="N2222" s="5"/>
      <c r="O2222" s="5"/>
      <c r="P2222" s="5"/>
      <c r="Q2222" s="5"/>
      <c r="R2222" s="5"/>
      <c r="S2222" s="5"/>
      <c r="T2222" s="5"/>
      <c r="U2222" s="5"/>
    </row>
    <row r="2223" spans="12:21" x14ac:dyDescent="0.2">
      <c r="L2223" s="5"/>
      <c r="M2223" s="5"/>
      <c r="N2223" s="5"/>
      <c r="O2223" s="5"/>
      <c r="P2223" s="5"/>
      <c r="Q2223" s="5"/>
      <c r="R2223" s="5"/>
      <c r="S2223" s="5"/>
      <c r="T2223" s="5"/>
      <c r="U2223" s="5"/>
    </row>
    <row r="2224" spans="12:21" x14ac:dyDescent="0.2">
      <c r="L2224" s="5"/>
      <c r="M2224" s="5"/>
      <c r="N2224" s="5"/>
      <c r="O2224" s="5"/>
      <c r="P2224" s="5"/>
      <c r="Q2224" s="5"/>
      <c r="R2224" s="5"/>
      <c r="S2224" s="5"/>
      <c r="T2224" s="5"/>
      <c r="U2224" s="5"/>
    </row>
    <row r="2225" spans="12:21" x14ac:dyDescent="0.2">
      <c r="L2225" s="5"/>
      <c r="M2225" s="5"/>
      <c r="N2225" s="5"/>
      <c r="O2225" s="5"/>
      <c r="P2225" s="5"/>
      <c r="Q2225" s="5"/>
      <c r="R2225" s="5"/>
      <c r="S2225" s="5"/>
      <c r="T2225" s="5"/>
      <c r="U2225" s="5"/>
    </row>
    <row r="2226" spans="12:21" x14ac:dyDescent="0.2">
      <c r="L2226" s="5"/>
      <c r="M2226" s="5"/>
      <c r="N2226" s="5"/>
      <c r="O2226" s="5"/>
      <c r="P2226" s="5"/>
      <c r="Q2226" s="5"/>
      <c r="R2226" s="5"/>
      <c r="S2226" s="5"/>
      <c r="T2226" s="5"/>
      <c r="U2226" s="5"/>
    </row>
    <row r="2227" spans="12:21" x14ac:dyDescent="0.2">
      <c r="L2227" s="5"/>
      <c r="M2227" s="5"/>
      <c r="N2227" s="5"/>
      <c r="O2227" s="5"/>
      <c r="P2227" s="5"/>
      <c r="Q2227" s="5"/>
      <c r="R2227" s="5"/>
      <c r="S2227" s="5"/>
      <c r="T2227" s="5"/>
      <c r="U2227" s="5"/>
    </row>
    <row r="2228" spans="12:21" x14ac:dyDescent="0.2">
      <c r="L2228" s="5"/>
      <c r="M2228" s="5"/>
      <c r="N2228" s="5"/>
      <c r="O2228" s="5"/>
      <c r="P2228" s="5"/>
      <c r="Q2228" s="5"/>
      <c r="R2228" s="5"/>
      <c r="S2228" s="5"/>
      <c r="T2228" s="5"/>
      <c r="U2228" s="5"/>
    </row>
    <row r="2229" spans="12:21" x14ac:dyDescent="0.2">
      <c r="L2229" s="5"/>
      <c r="M2229" s="5"/>
      <c r="N2229" s="5"/>
      <c r="O2229" s="5"/>
      <c r="P2229" s="5"/>
      <c r="Q2229" s="5"/>
      <c r="R2229" s="5"/>
      <c r="S2229" s="5"/>
      <c r="T2229" s="5"/>
      <c r="U2229" s="5"/>
    </row>
    <row r="2230" spans="12:21" x14ac:dyDescent="0.2">
      <c r="L2230" s="5"/>
      <c r="M2230" s="5"/>
      <c r="N2230" s="5"/>
      <c r="O2230" s="5"/>
      <c r="P2230" s="5"/>
      <c r="Q2230" s="5"/>
      <c r="R2230" s="5"/>
      <c r="S2230" s="5"/>
      <c r="T2230" s="5"/>
      <c r="U2230" s="5"/>
    </row>
    <row r="2231" spans="12:21" x14ac:dyDescent="0.2">
      <c r="L2231" s="5"/>
      <c r="M2231" s="5"/>
      <c r="N2231" s="5"/>
      <c r="O2231" s="5"/>
      <c r="P2231" s="5"/>
      <c r="Q2231" s="5"/>
      <c r="R2231" s="5"/>
      <c r="S2231" s="5"/>
      <c r="T2231" s="5"/>
      <c r="U2231" s="5"/>
    </row>
    <row r="2232" spans="12:21" x14ac:dyDescent="0.2">
      <c r="L2232" s="5"/>
      <c r="M2232" s="5"/>
      <c r="N2232" s="5"/>
      <c r="O2232" s="5"/>
      <c r="P2232" s="5"/>
      <c r="Q2232" s="5"/>
      <c r="R2232" s="5"/>
      <c r="S2232" s="5"/>
      <c r="T2232" s="5"/>
      <c r="U2232" s="5"/>
    </row>
    <row r="2233" spans="12:21" x14ac:dyDescent="0.2">
      <c r="L2233" s="5"/>
      <c r="M2233" s="5"/>
      <c r="N2233" s="5"/>
      <c r="O2233" s="5"/>
      <c r="P2233" s="5"/>
      <c r="Q2233" s="5"/>
      <c r="R2233" s="5"/>
      <c r="S2233" s="5"/>
      <c r="T2233" s="5"/>
      <c r="U2233" s="5"/>
    </row>
    <row r="2234" spans="12:21" x14ac:dyDescent="0.2">
      <c r="L2234" s="5"/>
      <c r="M2234" s="5"/>
      <c r="N2234" s="5"/>
      <c r="O2234" s="5"/>
      <c r="P2234" s="5"/>
      <c r="Q2234" s="5"/>
      <c r="R2234" s="5"/>
      <c r="S2234" s="5"/>
      <c r="T2234" s="5"/>
      <c r="U2234" s="5"/>
    </row>
    <row r="2235" spans="12:21" x14ac:dyDescent="0.2">
      <c r="L2235" s="5"/>
      <c r="M2235" s="5"/>
      <c r="N2235" s="5"/>
      <c r="O2235" s="5"/>
      <c r="P2235" s="5"/>
      <c r="Q2235" s="5"/>
      <c r="R2235" s="5"/>
      <c r="S2235" s="5"/>
      <c r="T2235" s="5"/>
      <c r="U2235" s="5"/>
    </row>
    <row r="2236" spans="12:21" x14ac:dyDescent="0.2">
      <c r="L2236" s="5"/>
      <c r="M2236" s="5"/>
      <c r="N2236" s="5"/>
      <c r="O2236" s="5"/>
      <c r="P2236" s="5"/>
      <c r="Q2236" s="5"/>
      <c r="R2236" s="5"/>
      <c r="S2236" s="5"/>
      <c r="T2236" s="5"/>
      <c r="U2236" s="5"/>
    </row>
    <row r="2237" spans="12:21" x14ac:dyDescent="0.2">
      <c r="L2237" s="5"/>
      <c r="M2237" s="5"/>
      <c r="N2237" s="5"/>
      <c r="O2237" s="5"/>
      <c r="P2237" s="5"/>
      <c r="Q2237" s="5"/>
      <c r="R2237" s="5"/>
      <c r="S2237" s="5"/>
      <c r="T2237" s="5"/>
      <c r="U2237" s="5"/>
    </row>
    <row r="2238" spans="12:21" x14ac:dyDescent="0.2">
      <c r="L2238" s="5"/>
      <c r="M2238" s="5"/>
      <c r="N2238" s="5"/>
      <c r="O2238" s="5"/>
      <c r="P2238" s="5"/>
      <c r="Q2238" s="5"/>
      <c r="R2238" s="5"/>
      <c r="S2238" s="5"/>
      <c r="T2238" s="5"/>
      <c r="U2238" s="5"/>
    </row>
    <row r="2239" spans="12:21" x14ac:dyDescent="0.2">
      <c r="L2239" s="5"/>
      <c r="M2239" s="5"/>
      <c r="N2239" s="5"/>
      <c r="O2239" s="5"/>
      <c r="P2239" s="5"/>
      <c r="Q2239" s="5"/>
      <c r="R2239" s="5"/>
      <c r="S2239" s="5"/>
      <c r="T2239" s="5"/>
      <c r="U2239" s="5"/>
    </row>
    <row r="2240" spans="12:21" x14ac:dyDescent="0.2">
      <c r="L2240" s="5"/>
      <c r="M2240" s="5"/>
      <c r="N2240" s="5"/>
      <c r="O2240" s="5"/>
      <c r="P2240" s="5"/>
      <c r="Q2240" s="5"/>
      <c r="R2240" s="5"/>
      <c r="S2240" s="5"/>
      <c r="T2240" s="5"/>
      <c r="U2240" s="5"/>
    </row>
    <row r="2241" spans="12:21" x14ac:dyDescent="0.2">
      <c r="L2241" s="5"/>
      <c r="M2241" s="5"/>
      <c r="N2241" s="5"/>
      <c r="O2241" s="5"/>
      <c r="P2241" s="5"/>
      <c r="Q2241" s="5"/>
      <c r="R2241" s="5"/>
      <c r="S2241" s="5"/>
      <c r="T2241" s="5"/>
      <c r="U2241" s="5"/>
    </row>
    <row r="2242" spans="12:21" x14ac:dyDescent="0.2">
      <c r="L2242" s="5"/>
      <c r="M2242" s="5"/>
      <c r="N2242" s="5"/>
      <c r="O2242" s="5"/>
      <c r="P2242" s="5"/>
      <c r="Q2242" s="5"/>
      <c r="R2242" s="5"/>
      <c r="S2242" s="5"/>
      <c r="T2242" s="5"/>
      <c r="U2242" s="5"/>
    </row>
    <row r="2243" spans="12:21" x14ac:dyDescent="0.2">
      <c r="L2243" s="5"/>
      <c r="M2243" s="5"/>
      <c r="N2243" s="5"/>
      <c r="O2243" s="5"/>
      <c r="P2243" s="5"/>
      <c r="Q2243" s="5"/>
      <c r="R2243" s="5"/>
      <c r="S2243" s="5"/>
      <c r="T2243" s="5"/>
      <c r="U2243" s="5"/>
    </row>
    <row r="2244" spans="12:21" x14ac:dyDescent="0.2">
      <c r="L2244" s="5"/>
      <c r="M2244" s="5"/>
      <c r="N2244" s="5"/>
      <c r="O2244" s="5"/>
      <c r="P2244" s="5"/>
      <c r="Q2244" s="5"/>
      <c r="R2244" s="5"/>
      <c r="S2244" s="5"/>
      <c r="T2244" s="5"/>
      <c r="U2244" s="5"/>
    </row>
    <row r="2245" spans="12:21" x14ac:dyDescent="0.2">
      <c r="L2245" s="5"/>
      <c r="M2245" s="5"/>
      <c r="N2245" s="5"/>
      <c r="O2245" s="5"/>
      <c r="P2245" s="5"/>
      <c r="Q2245" s="5"/>
      <c r="R2245" s="5"/>
      <c r="S2245" s="5"/>
      <c r="T2245" s="5"/>
      <c r="U2245" s="5"/>
    </row>
    <row r="2246" spans="12:21" x14ac:dyDescent="0.2">
      <c r="L2246" s="5"/>
      <c r="M2246" s="5"/>
      <c r="N2246" s="5"/>
      <c r="O2246" s="5"/>
      <c r="P2246" s="5"/>
      <c r="Q2246" s="5"/>
      <c r="R2246" s="5"/>
      <c r="S2246" s="5"/>
      <c r="T2246" s="5"/>
      <c r="U2246" s="5"/>
    </row>
    <row r="2247" spans="12:21" x14ac:dyDescent="0.2">
      <c r="L2247" s="5"/>
      <c r="M2247" s="5"/>
      <c r="N2247" s="5"/>
      <c r="O2247" s="5"/>
      <c r="P2247" s="5"/>
      <c r="Q2247" s="5"/>
      <c r="R2247" s="5"/>
      <c r="S2247" s="5"/>
      <c r="T2247" s="5"/>
      <c r="U2247" s="5"/>
    </row>
    <row r="2248" spans="12:21" x14ac:dyDescent="0.2">
      <c r="L2248" s="5"/>
      <c r="M2248" s="5"/>
      <c r="N2248" s="5"/>
      <c r="O2248" s="5"/>
      <c r="P2248" s="5"/>
      <c r="Q2248" s="5"/>
      <c r="R2248" s="5"/>
      <c r="S2248" s="5"/>
      <c r="T2248" s="5"/>
      <c r="U2248" s="5"/>
    </row>
    <row r="2249" spans="12:21" x14ac:dyDescent="0.2">
      <c r="L2249" s="5"/>
      <c r="M2249" s="5"/>
      <c r="N2249" s="5"/>
      <c r="O2249" s="5"/>
      <c r="P2249" s="5"/>
      <c r="Q2249" s="5"/>
      <c r="R2249" s="5"/>
      <c r="S2249" s="5"/>
      <c r="T2249" s="5"/>
      <c r="U2249" s="5"/>
    </row>
    <row r="2250" spans="12:21" x14ac:dyDescent="0.2">
      <c r="L2250" s="5"/>
      <c r="M2250" s="5"/>
      <c r="N2250" s="5"/>
      <c r="O2250" s="5"/>
      <c r="P2250" s="5"/>
      <c r="Q2250" s="5"/>
      <c r="R2250" s="5"/>
      <c r="S2250" s="5"/>
      <c r="T2250" s="5"/>
      <c r="U2250" s="5"/>
    </row>
    <row r="2251" spans="12:21" x14ac:dyDescent="0.2">
      <c r="L2251" s="5"/>
      <c r="M2251" s="5"/>
      <c r="N2251" s="5"/>
      <c r="O2251" s="5"/>
      <c r="P2251" s="5"/>
      <c r="Q2251" s="5"/>
      <c r="R2251" s="5"/>
      <c r="S2251" s="5"/>
      <c r="T2251" s="5"/>
      <c r="U2251" s="5"/>
    </row>
    <row r="2252" spans="12:21" x14ac:dyDescent="0.2">
      <c r="L2252" s="5"/>
      <c r="M2252" s="5"/>
      <c r="N2252" s="5"/>
      <c r="O2252" s="5"/>
      <c r="P2252" s="5"/>
      <c r="Q2252" s="5"/>
      <c r="R2252" s="5"/>
      <c r="S2252" s="5"/>
      <c r="T2252" s="5"/>
      <c r="U2252" s="5"/>
    </row>
    <row r="2253" spans="12:21" x14ac:dyDescent="0.2">
      <c r="L2253" s="5"/>
      <c r="M2253" s="5"/>
      <c r="N2253" s="5"/>
      <c r="O2253" s="5"/>
      <c r="P2253" s="5"/>
      <c r="Q2253" s="5"/>
      <c r="R2253" s="5"/>
      <c r="S2253" s="5"/>
      <c r="T2253" s="5"/>
      <c r="U2253" s="5"/>
    </row>
    <row r="2254" spans="12:21" x14ac:dyDescent="0.2">
      <c r="L2254" s="5"/>
      <c r="M2254" s="5"/>
      <c r="N2254" s="5"/>
      <c r="O2254" s="5"/>
      <c r="P2254" s="5"/>
      <c r="Q2254" s="5"/>
      <c r="R2254" s="5"/>
      <c r="S2254" s="5"/>
      <c r="T2254" s="5"/>
      <c r="U2254" s="5"/>
    </row>
    <row r="2255" spans="12:21" x14ac:dyDescent="0.2">
      <c r="L2255" s="5"/>
      <c r="M2255" s="5"/>
      <c r="N2255" s="5"/>
      <c r="O2255" s="5"/>
      <c r="P2255" s="5"/>
      <c r="Q2255" s="5"/>
      <c r="R2255" s="5"/>
      <c r="S2255" s="5"/>
      <c r="T2255" s="5"/>
      <c r="U2255" s="5"/>
    </row>
    <row r="2256" spans="12:21" x14ac:dyDescent="0.2">
      <c r="L2256" s="5"/>
      <c r="M2256" s="5"/>
      <c r="N2256" s="5"/>
      <c r="O2256" s="5"/>
      <c r="P2256" s="5"/>
      <c r="Q2256" s="5"/>
      <c r="R2256" s="5"/>
      <c r="S2256" s="5"/>
      <c r="T2256" s="5"/>
      <c r="U2256" s="5"/>
    </row>
    <row r="2257" spans="12:21" x14ac:dyDescent="0.2">
      <c r="L2257" s="5"/>
      <c r="M2257" s="5"/>
      <c r="N2257" s="5"/>
      <c r="O2257" s="5"/>
      <c r="P2257" s="5"/>
      <c r="Q2257" s="5"/>
      <c r="R2257" s="5"/>
      <c r="S2257" s="5"/>
      <c r="T2257" s="5"/>
      <c r="U2257" s="5"/>
    </row>
    <row r="2258" spans="12:21" x14ac:dyDescent="0.2">
      <c r="L2258" s="5"/>
      <c r="M2258" s="5"/>
      <c r="N2258" s="5"/>
      <c r="O2258" s="5"/>
      <c r="P2258" s="5"/>
      <c r="Q2258" s="5"/>
      <c r="R2258" s="5"/>
      <c r="S2258" s="5"/>
      <c r="T2258" s="5"/>
      <c r="U2258" s="5"/>
    </row>
    <row r="2259" spans="12:21" x14ac:dyDescent="0.2">
      <c r="L2259" s="5"/>
      <c r="M2259" s="5"/>
      <c r="N2259" s="5"/>
      <c r="O2259" s="5"/>
      <c r="P2259" s="5"/>
      <c r="Q2259" s="5"/>
      <c r="R2259" s="5"/>
      <c r="S2259" s="5"/>
      <c r="T2259" s="5"/>
      <c r="U2259" s="5"/>
    </row>
    <row r="2260" spans="12:21" x14ac:dyDescent="0.2">
      <c r="L2260" s="5"/>
      <c r="M2260" s="5"/>
      <c r="N2260" s="5"/>
      <c r="O2260" s="5"/>
      <c r="P2260" s="5"/>
      <c r="Q2260" s="5"/>
      <c r="R2260" s="5"/>
      <c r="S2260" s="5"/>
      <c r="T2260" s="5"/>
      <c r="U2260" s="5"/>
    </row>
    <row r="2261" spans="12:21" x14ac:dyDescent="0.2">
      <c r="L2261" s="5"/>
      <c r="M2261" s="5"/>
      <c r="N2261" s="5"/>
      <c r="O2261" s="5"/>
      <c r="P2261" s="5"/>
      <c r="Q2261" s="5"/>
      <c r="R2261" s="5"/>
      <c r="S2261" s="5"/>
      <c r="T2261" s="5"/>
      <c r="U2261" s="5"/>
    </row>
    <row r="2262" spans="12:21" x14ac:dyDescent="0.2">
      <c r="L2262" s="5"/>
      <c r="M2262" s="5"/>
      <c r="N2262" s="5"/>
      <c r="O2262" s="5"/>
      <c r="P2262" s="5"/>
      <c r="Q2262" s="5"/>
      <c r="R2262" s="5"/>
      <c r="S2262" s="5"/>
      <c r="T2262" s="5"/>
      <c r="U2262" s="5"/>
    </row>
    <row r="2263" spans="12:21" x14ac:dyDescent="0.2">
      <c r="L2263" s="5"/>
      <c r="M2263" s="5"/>
      <c r="N2263" s="5"/>
      <c r="O2263" s="5"/>
      <c r="P2263" s="5"/>
      <c r="Q2263" s="5"/>
      <c r="R2263" s="5"/>
      <c r="S2263" s="5"/>
      <c r="T2263" s="5"/>
      <c r="U2263" s="5"/>
    </row>
    <row r="2264" spans="12:21" x14ac:dyDescent="0.2">
      <c r="L2264" s="5"/>
      <c r="M2264" s="5"/>
      <c r="N2264" s="5"/>
      <c r="O2264" s="5"/>
      <c r="P2264" s="5"/>
      <c r="Q2264" s="5"/>
      <c r="R2264" s="5"/>
      <c r="S2264" s="5"/>
      <c r="T2264" s="5"/>
      <c r="U2264" s="5"/>
    </row>
    <row r="2265" spans="12:21" x14ac:dyDescent="0.2">
      <c r="L2265" s="5"/>
      <c r="M2265" s="5"/>
      <c r="N2265" s="5"/>
      <c r="O2265" s="5"/>
      <c r="P2265" s="5"/>
      <c r="Q2265" s="5"/>
      <c r="R2265" s="5"/>
      <c r="S2265" s="5"/>
      <c r="T2265" s="5"/>
      <c r="U2265" s="5"/>
    </row>
    <row r="2266" spans="12:21" x14ac:dyDescent="0.2">
      <c r="L2266" s="5"/>
      <c r="M2266" s="5"/>
      <c r="N2266" s="5"/>
      <c r="O2266" s="5"/>
      <c r="P2266" s="5"/>
      <c r="Q2266" s="5"/>
      <c r="R2266" s="5"/>
      <c r="S2266" s="5"/>
      <c r="T2266" s="5"/>
      <c r="U2266" s="5"/>
    </row>
    <row r="2267" spans="12:21" x14ac:dyDescent="0.2">
      <c r="L2267" s="5"/>
      <c r="M2267" s="5"/>
      <c r="N2267" s="5"/>
      <c r="O2267" s="5"/>
      <c r="P2267" s="5"/>
      <c r="Q2267" s="5"/>
      <c r="R2267" s="5"/>
      <c r="S2267" s="5"/>
      <c r="T2267" s="5"/>
      <c r="U2267" s="5"/>
    </row>
    <row r="2268" spans="12:21" x14ac:dyDescent="0.2">
      <c r="L2268" s="5"/>
      <c r="M2268" s="5"/>
      <c r="N2268" s="5"/>
      <c r="O2268" s="5"/>
      <c r="P2268" s="5"/>
      <c r="Q2268" s="5"/>
      <c r="R2268" s="5"/>
      <c r="S2268" s="5"/>
      <c r="T2268" s="5"/>
      <c r="U2268" s="5"/>
    </row>
    <row r="2269" spans="12:21" x14ac:dyDescent="0.2">
      <c r="L2269" s="5"/>
      <c r="M2269" s="5"/>
      <c r="N2269" s="5"/>
      <c r="O2269" s="5"/>
      <c r="P2269" s="5"/>
      <c r="Q2269" s="5"/>
      <c r="R2269" s="5"/>
      <c r="S2269" s="5"/>
      <c r="T2269" s="5"/>
      <c r="U2269" s="5"/>
    </row>
    <row r="2270" spans="12:21" x14ac:dyDescent="0.2">
      <c r="L2270" s="5"/>
      <c r="M2270" s="5"/>
      <c r="N2270" s="5"/>
      <c r="O2270" s="5"/>
      <c r="P2270" s="5"/>
      <c r="Q2270" s="5"/>
      <c r="R2270" s="5"/>
      <c r="S2270" s="5"/>
      <c r="T2270" s="5"/>
      <c r="U2270" s="5"/>
    </row>
    <row r="2271" spans="12:21" x14ac:dyDescent="0.2">
      <c r="L2271" s="5"/>
      <c r="M2271" s="5"/>
      <c r="N2271" s="5"/>
      <c r="O2271" s="5"/>
      <c r="P2271" s="5"/>
      <c r="Q2271" s="5"/>
      <c r="R2271" s="5"/>
      <c r="S2271" s="5"/>
      <c r="T2271" s="5"/>
      <c r="U2271" s="5"/>
    </row>
    <row r="2272" spans="12:21" x14ac:dyDescent="0.2">
      <c r="L2272" s="5"/>
      <c r="M2272" s="5"/>
      <c r="N2272" s="5"/>
      <c r="O2272" s="5"/>
      <c r="P2272" s="5"/>
      <c r="Q2272" s="5"/>
      <c r="R2272" s="5"/>
      <c r="S2272" s="5"/>
      <c r="T2272" s="5"/>
      <c r="U2272" s="5"/>
    </row>
    <row r="2273" spans="12:21" x14ac:dyDescent="0.2">
      <c r="L2273" s="5"/>
      <c r="M2273" s="5"/>
      <c r="N2273" s="5"/>
      <c r="O2273" s="5"/>
      <c r="P2273" s="5"/>
      <c r="Q2273" s="5"/>
      <c r="R2273" s="5"/>
      <c r="S2273" s="5"/>
      <c r="T2273" s="5"/>
      <c r="U2273" s="5"/>
    </row>
    <row r="2274" spans="12:21" x14ac:dyDescent="0.2">
      <c r="L2274" s="5"/>
      <c r="M2274" s="5"/>
      <c r="N2274" s="5"/>
      <c r="O2274" s="5"/>
      <c r="P2274" s="5"/>
      <c r="Q2274" s="5"/>
      <c r="R2274" s="5"/>
      <c r="S2274" s="5"/>
      <c r="T2274" s="5"/>
      <c r="U2274" s="5"/>
    </row>
    <row r="2275" spans="12:21" x14ac:dyDescent="0.2">
      <c r="L2275" s="5"/>
      <c r="M2275" s="5"/>
      <c r="N2275" s="5"/>
      <c r="O2275" s="5"/>
      <c r="P2275" s="5"/>
      <c r="Q2275" s="5"/>
      <c r="R2275" s="5"/>
      <c r="S2275" s="5"/>
      <c r="T2275" s="5"/>
      <c r="U2275" s="5"/>
    </row>
    <row r="2276" spans="12:21" x14ac:dyDescent="0.2">
      <c r="L2276" s="5"/>
      <c r="M2276" s="5"/>
      <c r="N2276" s="5"/>
      <c r="O2276" s="5"/>
      <c r="P2276" s="5"/>
      <c r="Q2276" s="5"/>
      <c r="R2276" s="5"/>
      <c r="S2276" s="5"/>
      <c r="T2276" s="5"/>
      <c r="U2276" s="5"/>
    </row>
    <row r="2277" spans="12:21" x14ac:dyDescent="0.2">
      <c r="L2277" s="5"/>
      <c r="M2277" s="5"/>
      <c r="N2277" s="5"/>
      <c r="O2277" s="5"/>
      <c r="P2277" s="5"/>
      <c r="Q2277" s="5"/>
      <c r="R2277" s="5"/>
      <c r="S2277" s="5"/>
      <c r="T2277" s="5"/>
      <c r="U2277" s="5"/>
    </row>
    <row r="2278" spans="12:21" x14ac:dyDescent="0.2">
      <c r="L2278" s="5"/>
      <c r="M2278" s="5"/>
      <c r="N2278" s="5"/>
      <c r="O2278" s="5"/>
      <c r="P2278" s="5"/>
      <c r="Q2278" s="5"/>
      <c r="R2278" s="5"/>
      <c r="S2278" s="5"/>
      <c r="T2278" s="5"/>
      <c r="U2278" s="5"/>
    </row>
    <row r="2279" spans="12:21" x14ac:dyDescent="0.2">
      <c r="L2279" s="5"/>
      <c r="M2279" s="5"/>
      <c r="N2279" s="5"/>
      <c r="O2279" s="5"/>
      <c r="P2279" s="5"/>
      <c r="Q2279" s="5"/>
      <c r="R2279" s="5"/>
      <c r="S2279" s="5"/>
      <c r="T2279" s="5"/>
      <c r="U2279" s="5"/>
    </row>
    <row r="2280" spans="12:21" x14ac:dyDescent="0.2">
      <c r="L2280" s="5"/>
      <c r="M2280" s="5"/>
      <c r="N2280" s="5"/>
      <c r="O2280" s="5"/>
      <c r="P2280" s="5"/>
      <c r="Q2280" s="5"/>
      <c r="R2280" s="5"/>
      <c r="S2280" s="5"/>
      <c r="T2280" s="5"/>
      <c r="U2280" s="5"/>
    </row>
    <row r="2281" spans="12:21" x14ac:dyDescent="0.2">
      <c r="L2281" s="5"/>
      <c r="M2281" s="5"/>
      <c r="N2281" s="5"/>
      <c r="O2281" s="5"/>
      <c r="P2281" s="5"/>
      <c r="Q2281" s="5"/>
      <c r="R2281" s="5"/>
      <c r="S2281" s="5"/>
      <c r="T2281" s="5"/>
      <c r="U2281" s="5"/>
    </row>
    <row r="2282" spans="12:21" x14ac:dyDescent="0.2">
      <c r="L2282" s="5"/>
      <c r="M2282" s="5"/>
      <c r="N2282" s="5"/>
      <c r="O2282" s="5"/>
      <c r="P2282" s="5"/>
      <c r="Q2282" s="5"/>
      <c r="R2282" s="5"/>
      <c r="S2282" s="5"/>
      <c r="T2282" s="5"/>
      <c r="U2282" s="5"/>
    </row>
    <row r="2283" spans="12:21" x14ac:dyDescent="0.2">
      <c r="L2283" s="5"/>
      <c r="M2283" s="5"/>
      <c r="N2283" s="5"/>
      <c r="O2283" s="5"/>
      <c r="P2283" s="5"/>
      <c r="Q2283" s="5"/>
      <c r="R2283" s="5"/>
      <c r="S2283" s="5"/>
      <c r="T2283" s="5"/>
      <c r="U2283" s="5"/>
    </row>
    <row r="2284" spans="12:21" x14ac:dyDescent="0.2">
      <c r="L2284" s="5"/>
      <c r="M2284" s="5"/>
      <c r="N2284" s="5"/>
      <c r="O2284" s="5"/>
      <c r="P2284" s="5"/>
      <c r="Q2284" s="5"/>
      <c r="R2284" s="5"/>
      <c r="S2284" s="5"/>
      <c r="T2284" s="5"/>
      <c r="U2284" s="5"/>
    </row>
    <row r="2285" spans="12:21" x14ac:dyDescent="0.2">
      <c r="L2285" s="5"/>
      <c r="M2285" s="5"/>
      <c r="N2285" s="5"/>
      <c r="O2285" s="5"/>
      <c r="P2285" s="5"/>
      <c r="Q2285" s="5"/>
      <c r="R2285" s="5"/>
      <c r="S2285" s="5"/>
      <c r="T2285" s="5"/>
      <c r="U2285" s="5"/>
    </row>
    <row r="2286" spans="12:21" x14ac:dyDescent="0.2">
      <c r="L2286" s="5"/>
      <c r="M2286" s="5"/>
      <c r="N2286" s="5"/>
      <c r="O2286" s="5"/>
      <c r="P2286" s="5"/>
      <c r="Q2286" s="5"/>
      <c r="R2286" s="5"/>
      <c r="S2286" s="5"/>
      <c r="T2286" s="5"/>
      <c r="U2286" s="5"/>
    </row>
    <row r="2287" spans="12:21" x14ac:dyDescent="0.2">
      <c r="L2287" s="5"/>
      <c r="M2287" s="5"/>
      <c r="N2287" s="5"/>
      <c r="O2287" s="5"/>
      <c r="P2287" s="5"/>
      <c r="Q2287" s="5"/>
      <c r="R2287" s="5"/>
      <c r="S2287" s="5"/>
      <c r="T2287" s="5"/>
      <c r="U2287" s="5"/>
    </row>
    <row r="2288" spans="12:21" x14ac:dyDescent="0.2">
      <c r="L2288" s="5"/>
      <c r="M2288" s="5"/>
      <c r="N2288" s="5"/>
      <c r="O2288" s="5"/>
      <c r="P2288" s="5"/>
      <c r="Q2288" s="5"/>
      <c r="R2288" s="5"/>
      <c r="S2288" s="5"/>
      <c r="T2288" s="5"/>
      <c r="U2288" s="5"/>
    </row>
    <row r="2289" spans="12:21" x14ac:dyDescent="0.2">
      <c r="L2289" s="5"/>
      <c r="M2289" s="5"/>
      <c r="N2289" s="5"/>
      <c r="O2289" s="5"/>
      <c r="P2289" s="5"/>
      <c r="Q2289" s="5"/>
      <c r="R2289" s="5"/>
      <c r="S2289" s="5"/>
      <c r="T2289" s="5"/>
      <c r="U2289" s="5"/>
    </row>
    <row r="2290" spans="12:21" x14ac:dyDescent="0.2">
      <c r="L2290" s="5"/>
      <c r="M2290" s="5"/>
      <c r="N2290" s="5"/>
      <c r="O2290" s="5"/>
      <c r="P2290" s="5"/>
      <c r="Q2290" s="5"/>
      <c r="R2290" s="5"/>
      <c r="S2290" s="5"/>
      <c r="T2290" s="5"/>
      <c r="U2290" s="5"/>
    </row>
    <row r="2291" spans="12:21" x14ac:dyDescent="0.2">
      <c r="L2291" s="5"/>
      <c r="M2291" s="5"/>
      <c r="N2291" s="5"/>
      <c r="O2291" s="5"/>
      <c r="P2291" s="5"/>
      <c r="Q2291" s="5"/>
      <c r="R2291" s="5"/>
      <c r="S2291" s="5"/>
      <c r="T2291" s="5"/>
      <c r="U2291" s="5"/>
    </row>
    <row r="2292" spans="12:21" x14ac:dyDescent="0.2">
      <c r="L2292" s="5"/>
      <c r="M2292" s="5"/>
      <c r="N2292" s="5"/>
      <c r="O2292" s="5"/>
      <c r="P2292" s="5"/>
      <c r="Q2292" s="5"/>
      <c r="R2292" s="5"/>
      <c r="S2292" s="5"/>
      <c r="T2292" s="5"/>
      <c r="U2292" s="5"/>
    </row>
    <row r="2293" spans="12:21" x14ac:dyDescent="0.2">
      <c r="L2293" s="5"/>
      <c r="M2293" s="5"/>
      <c r="N2293" s="5"/>
      <c r="O2293" s="5"/>
      <c r="P2293" s="5"/>
      <c r="Q2293" s="5"/>
      <c r="R2293" s="5"/>
      <c r="S2293" s="5"/>
      <c r="T2293" s="5"/>
      <c r="U2293" s="5"/>
    </row>
    <row r="2294" spans="12:21" x14ac:dyDescent="0.2">
      <c r="L2294" s="5"/>
      <c r="M2294" s="5"/>
      <c r="N2294" s="5"/>
      <c r="O2294" s="5"/>
      <c r="P2294" s="5"/>
      <c r="Q2294" s="5"/>
      <c r="R2294" s="5"/>
      <c r="S2294" s="5"/>
      <c r="T2294" s="5"/>
      <c r="U2294" s="5"/>
    </row>
    <row r="2295" spans="12:21" x14ac:dyDescent="0.2">
      <c r="L2295" s="5"/>
      <c r="M2295" s="5"/>
      <c r="N2295" s="5"/>
      <c r="O2295" s="5"/>
      <c r="P2295" s="5"/>
      <c r="Q2295" s="5"/>
      <c r="R2295" s="5"/>
      <c r="S2295" s="5"/>
      <c r="T2295" s="5"/>
      <c r="U2295" s="5"/>
    </row>
    <row r="2296" spans="12:21" x14ac:dyDescent="0.2">
      <c r="L2296" s="5"/>
      <c r="M2296" s="5"/>
      <c r="N2296" s="5"/>
      <c r="O2296" s="5"/>
      <c r="P2296" s="5"/>
      <c r="Q2296" s="5"/>
      <c r="R2296" s="5"/>
      <c r="S2296" s="5"/>
      <c r="T2296" s="5"/>
      <c r="U2296" s="5"/>
    </row>
    <row r="2297" spans="12:21" x14ac:dyDescent="0.2">
      <c r="L2297" s="5"/>
      <c r="M2297" s="5"/>
      <c r="N2297" s="5"/>
      <c r="O2297" s="5"/>
      <c r="P2297" s="5"/>
      <c r="Q2297" s="5"/>
      <c r="R2297" s="5"/>
      <c r="S2297" s="5"/>
      <c r="T2297" s="5"/>
      <c r="U2297" s="5"/>
    </row>
    <row r="2298" spans="12:21" x14ac:dyDescent="0.2">
      <c r="L2298" s="5"/>
      <c r="M2298" s="5"/>
      <c r="N2298" s="5"/>
      <c r="O2298" s="5"/>
      <c r="P2298" s="5"/>
      <c r="Q2298" s="5"/>
      <c r="R2298" s="5"/>
      <c r="S2298" s="5"/>
      <c r="T2298" s="5"/>
      <c r="U2298" s="5"/>
    </row>
    <row r="2299" spans="12:21" x14ac:dyDescent="0.2">
      <c r="L2299" s="5"/>
      <c r="M2299" s="5"/>
      <c r="N2299" s="5"/>
      <c r="O2299" s="5"/>
      <c r="P2299" s="5"/>
      <c r="Q2299" s="5"/>
      <c r="R2299" s="5"/>
      <c r="S2299" s="5"/>
      <c r="T2299" s="5"/>
      <c r="U2299" s="5"/>
    </row>
    <row r="2300" spans="12:21" x14ac:dyDescent="0.2">
      <c r="L2300" s="5"/>
      <c r="M2300" s="5"/>
      <c r="N2300" s="5"/>
      <c r="O2300" s="5"/>
      <c r="P2300" s="5"/>
      <c r="Q2300" s="5"/>
      <c r="R2300" s="5"/>
      <c r="S2300" s="5"/>
      <c r="T2300" s="5"/>
      <c r="U2300" s="5"/>
    </row>
    <row r="2301" spans="12:21" x14ac:dyDescent="0.2">
      <c r="L2301" s="5"/>
      <c r="M2301" s="5"/>
      <c r="N2301" s="5"/>
      <c r="O2301" s="5"/>
      <c r="P2301" s="5"/>
      <c r="Q2301" s="5"/>
      <c r="R2301" s="5"/>
      <c r="S2301" s="5"/>
      <c r="T2301" s="5"/>
      <c r="U2301" s="5"/>
    </row>
    <row r="2302" spans="12:21" x14ac:dyDescent="0.2">
      <c r="L2302" s="5"/>
      <c r="M2302" s="5"/>
      <c r="N2302" s="5"/>
      <c r="O2302" s="5"/>
      <c r="P2302" s="5"/>
      <c r="Q2302" s="5"/>
      <c r="R2302" s="5"/>
      <c r="S2302" s="5"/>
      <c r="T2302" s="5"/>
      <c r="U2302" s="5"/>
    </row>
    <row r="2303" spans="12:21" x14ac:dyDescent="0.2">
      <c r="L2303" s="5"/>
      <c r="M2303" s="5"/>
      <c r="N2303" s="5"/>
      <c r="O2303" s="5"/>
      <c r="P2303" s="5"/>
      <c r="Q2303" s="5"/>
      <c r="R2303" s="5"/>
      <c r="S2303" s="5"/>
      <c r="T2303" s="5"/>
      <c r="U2303" s="5"/>
    </row>
    <row r="2304" spans="12:21" x14ac:dyDescent="0.2">
      <c r="L2304" s="5"/>
      <c r="M2304" s="5"/>
      <c r="N2304" s="5"/>
      <c r="O2304" s="5"/>
      <c r="P2304" s="5"/>
      <c r="Q2304" s="5"/>
      <c r="R2304" s="5"/>
      <c r="S2304" s="5"/>
      <c r="T2304" s="5"/>
      <c r="U2304" s="5"/>
    </row>
    <row r="2305" spans="12:21" x14ac:dyDescent="0.2">
      <c r="L2305" s="5"/>
      <c r="M2305" s="5"/>
      <c r="N2305" s="5"/>
      <c r="O2305" s="5"/>
      <c r="P2305" s="5"/>
      <c r="Q2305" s="5"/>
      <c r="R2305" s="5"/>
      <c r="S2305" s="5"/>
      <c r="T2305" s="5"/>
      <c r="U2305" s="5"/>
    </row>
    <row r="2306" spans="12:21" x14ac:dyDescent="0.2">
      <c r="L2306" s="5"/>
      <c r="M2306" s="5"/>
      <c r="N2306" s="5"/>
      <c r="O2306" s="5"/>
      <c r="P2306" s="5"/>
      <c r="Q2306" s="5"/>
      <c r="R2306" s="5"/>
      <c r="S2306" s="5"/>
      <c r="T2306" s="5"/>
      <c r="U2306" s="5"/>
    </row>
    <row r="2307" spans="12:21" x14ac:dyDescent="0.2">
      <c r="L2307" s="5"/>
      <c r="M2307" s="5"/>
      <c r="N2307" s="5"/>
      <c r="O2307" s="5"/>
      <c r="P2307" s="5"/>
      <c r="Q2307" s="5"/>
      <c r="R2307" s="5"/>
      <c r="S2307" s="5"/>
      <c r="T2307" s="5"/>
      <c r="U2307" s="5"/>
    </row>
    <row r="2308" spans="12:21" x14ac:dyDescent="0.2">
      <c r="L2308" s="5"/>
      <c r="M2308" s="5"/>
      <c r="N2308" s="5"/>
      <c r="O2308" s="5"/>
      <c r="P2308" s="5"/>
      <c r="Q2308" s="5"/>
      <c r="R2308" s="5"/>
      <c r="S2308" s="5"/>
      <c r="T2308" s="5"/>
      <c r="U2308" s="5"/>
    </row>
    <row r="2309" spans="12:21" x14ac:dyDescent="0.2">
      <c r="L2309" s="5"/>
      <c r="M2309" s="5"/>
      <c r="N2309" s="5"/>
      <c r="O2309" s="5"/>
      <c r="P2309" s="5"/>
      <c r="Q2309" s="5"/>
      <c r="R2309" s="5"/>
      <c r="S2309" s="5"/>
      <c r="T2309" s="5"/>
      <c r="U2309" s="5"/>
    </row>
    <row r="2310" spans="12:21" x14ac:dyDescent="0.2">
      <c r="L2310" s="5"/>
      <c r="M2310" s="5"/>
      <c r="N2310" s="5"/>
      <c r="O2310" s="5"/>
      <c r="P2310" s="5"/>
      <c r="Q2310" s="5"/>
      <c r="R2310" s="5"/>
      <c r="S2310" s="5"/>
      <c r="T2310" s="5"/>
      <c r="U2310" s="5"/>
    </row>
    <row r="2311" spans="12:21" x14ac:dyDescent="0.2">
      <c r="L2311" s="5"/>
      <c r="M2311" s="5"/>
      <c r="N2311" s="5"/>
      <c r="O2311" s="5"/>
      <c r="P2311" s="5"/>
      <c r="Q2311" s="5"/>
      <c r="R2311" s="5"/>
      <c r="S2311" s="5"/>
      <c r="T2311" s="5"/>
      <c r="U2311" s="5"/>
    </row>
    <row r="2312" spans="12:21" x14ac:dyDescent="0.2">
      <c r="L2312" s="5"/>
      <c r="M2312" s="5"/>
      <c r="N2312" s="5"/>
      <c r="O2312" s="5"/>
      <c r="P2312" s="5"/>
      <c r="Q2312" s="5"/>
      <c r="R2312" s="5"/>
      <c r="S2312" s="5"/>
      <c r="T2312" s="5"/>
      <c r="U2312" s="5"/>
    </row>
    <row r="2313" spans="12:21" x14ac:dyDescent="0.2">
      <c r="L2313" s="5"/>
      <c r="M2313" s="5"/>
      <c r="N2313" s="5"/>
      <c r="O2313" s="5"/>
      <c r="P2313" s="5"/>
      <c r="Q2313" s="5"/>
      <c r="R2313" s="5"/>
      <c r="S2313" s="5"/>
      <c r="T2313" s="5"/>
      <c r="U2313" s="5"/>
    </row>
    <row r="2314" spans="12:21" x14ac:dyDescent="0.2">
      <c r="L2314" s="5"/>
      <c r="M2314" s="5"/>
      <c r="N2314" s="5"/>
      <c r="O2314" s="5"/>
      <c r="P2314" s="5"/>
      <c r="Q2314" s="5"/>
      <c r="R2314" s="5"/>
      <c r="S2314" s="5"/>
      <c r="T2314" s="5"/>
      <c r="U2314" s="5"/>
    </row>
    <row r="2315" spans="12:21" x14ac:dyDescent="0.2">
      <c r="L2315" s="5"/>
      <c r="M2315" s="5"/>
      <c r="N2315" s="5"/>
      <c r="O2315" s="5"/>
      <c r="P2315" s="5"/>
      <c r="Q2315" s="5"/>
      <c r="R2315" s="5"/>
      <c r="S2315" s="5"/>
      <c r="T2315" s="5"/>
      <c r="U2315" s="5"/>
    </row>
    <row r="2316" spans="12:21" x14ac:dyDescent="0.2">
      <c r="L2316" s="5"/>
      <c r="M2316" s="5"/>
      <c r="N2316" s="5"/>
      <c r="O2316" s="5"/>
      <c r="P2316" s="5"/>
      <c r="Q2316" s="5"/>
      <c r="R2316" s="5"/>
      <c r="S2316" s="5"/>
      <c r="T2316" s="5"/>
      <c r="U2316" s="5"/>
    </row>
    <row r="2317" spans="12:21" x14ac:dyDescent="0.2">
      <c r="L2317" s="5"/>
      <c r="M2317" s="5"/>
      <c r="N2317" s="5"/>
      <c r="O2317" s="5"/>
      <c r="P2317" s="5"/>
      <c r="Q2317" s="5"/>
      <c r="R2317" s="5"/>
      <c r="S2317" s="5"/>
      <c r="T2317" s="5"/>
      <c r="U2317" s="5"/>
    </row>
    <row r="2318" spans="12:21" x14ac:dyDescent="0.2">
      <c r="L2318" s="5"/>
      <c r="M2318" s="5"/>
      <c r="N2318" s="5"/>
      <c r="O2318" s="5"/>
      <c r="P2318" s="5"/>
      <c r="Q2318" s="5"/>
      <c r="R2318" s="5"/>
      <c r="S2318" s="5"/>
      <c r="T2318" s="5"/>
      <c r="U2318" s="5"/>
    </row>
    <row r="2319" spans="12:21" x14ac:dyDescent="0.2">
      <c r="L2319" s="5"/>
      <c r="M2319" s="5"/>
      <c r="N2319" s="5"/>
      <c r="O2319" s="5"/>
      <c r="P2319" s="5"/>
      <c r="Q2319" s="5"/>
      <c r="R2319" s="5"/>
      <c r="S2319" s="5"/>
      <c r="T2319" s="5"/>
      <c r="U2319" s="5"/>
    </row>
    <row r="2320" spans="12:21" x14ac:dyDescent="0.2">
      <c r="L2320" s="5"/>
      <c r="M2320" s="5"/>
      <c r="N2320" s="5"/>
      <c r="O2320" s="5"/>
      <c r="P2320" s="5"/>
      <c r="Q2320" s="5"/>
      <c r="R2320" s="5"/>
      <c r="S2320" s="5"/>
      <c r="T2320" s="5"/>
      <c r="U2320" s="5"/>
    </row>
    <row r="2321" spans="12:21" x14ac:dyDescent="0.2">
      <c r="L2321" s="5"/>
      <c r="M2321" s="5"/>
      <c r="N2321" s="5"/>
      <c r="O2321" s="5"/>
      <c r="P2321" s="5"/>
      <c r="Q2321" s="5"/>
      <c r="R2321" s="5"/>
      <c r="S2321" s="5"/>
      <c r="T2321" s="5"/>
      <c r="U2321" s="5"/>
    </row>
    <row r="2322" spans="12:21" x14ac:dyDescent="0.2">
      <c r="L2322" s="5"/>
      <c r="M2322" s="5"/>
      <c r="N2322" s="5"/>
      <c r="O2322" s="5"/>
      <c r="P2322" s="5"/>
      <c r="Q2322" s="5"/>
      <c r="R2322" s="5"/>
      <c r="S2322" s="5"/>
      <c r="T2322" s="5"/>
      <c r="U2322" s="5"/>
    </row>
    <row r="2323" spans="12:21" x14ac:dyDescent="0.2">
      <c r="L2323" s="5"/>
      <c r="M2323" s="5"/>
      <c r="N2323" s="5"/>
      <c r="O2323" s="5"/>
      <c r="P2323" s="5"/>
      <c r="Q2323" s="5"/>
      <c r="R2323" s="5"/>
      <c r="S2323" s="5"/>
      <c r="T2323" s="5"/>
      <c r="U2323" s="5"/>
    </row>
    <row r="2324" spans="12:21" x14ac:dyDescent="0.2">
      <c r="L2324" s="5"/>
      <c r="M2324" s="5"/>
      <c r="N2324" s="5"/>
      <c r="O2324" s="5"/>
      <c r="P2324" s="5"/>
      <c r="Q2324" s="5"/>
      <c r="R2324" s="5"/>
      <c r="S2324" s="5"/>
      <c r="T2324" s="5"/>
      <c r="U2324" s="5"/>
    </row>
    <row r="2325" spans="12:21" x14ac:dyDescent="0.2">
      <c r="L2325" s="5"/>
      <c r="M2325" s="5"/>
      <c r="N2325" s="5"/>
      <c r="O2325" s="5"/>
      <c r="P2325" s="5"/>
      <c r="Q2325" s="5"/>
      <c r="R2325" s="5"/>
      <c r="S2325" s="5"/>
      <c r="T2325" s="5"/>
      <c r="U2325" s="5"/>
    </row>
    <row r="2326" spans="12:21" x14ac:dyDescent="0.2">
      <c r="L2326" s="5"/>
      <c r="M2326" s="5"/>
      <c r="N2326" s="5"/>
      <c r="O2326" s="5"/>
      <c r="P2326" s="5"/>
      <c r="Q2326" s="5"/>
      <c r="R2326" s="5"/>
      <c r="S2326" s="5"/>
      <c r="T2326" s="5"/>
      <c r="U2326" s="5"/>
    </row>
    <row r="2327" spans="12:21" x14ac:dyDescent="0.2">
      <c r="L2327" s="5"/>
      <c r="M2327" s="5"/>
      <c r="N2327" s="5"/>
      <c r="O2327" s="5"/>
      <c r="P2327" s="5"/>
      <c r="Q2327" s="5"/>
      <c r="R2327" s="5"/>
      <c r="S2327" s="5"/>
      <c r="T2327" s="5"/>
      <c r="U2327" s="5"/>
    </row>
    <row r="2328" spans="12:21" x14ac:dyDescent="0.2">
      <c r="L2328" s="5"/>
      <c r="M2328" s="5"/>
      <c r="N2328" s="5"/>
      <c r="O2328" s="5"/>
      <c r="P2328" s="5"/>
      <c r="Q2328" s="5"/>
      <c r="R2328" s="5"/>
      <c r="S2328" s="5"/>
      <c r="T2328" s="5"/>
      <c r="U2328" s="5"/>
    </row>
    <row r="2329" spans="12:21" x14ac:dyDescent="0.2">
      <c r="L2329" s="5"/>
      <c r="M2329" s="5"/>
      <c r="N2329" s="5"/>
      <c r="O2329" s="5"/>
      <c r="P2329" s="5"/>
      <c r="Q2329" s="5"/>
      <c r="R2329" s="5"/>
      <c r="S2329" s="5"/>
      <c r="T2329" s="5"/>
      <c r="U2329" s="5"/>
    </row>
    <row r="2330" spans="12:21" x14ac:dyDescent="0.2">
      <c r="L2330" s="5"/>
      <c r="M2330" s="5"/>
      <c r="N2330" s="5"/>
      <c r="O2330" s="5"/>
      <c r="P2330" s="5"/>
      <c r="Q2330" s="5"/>
      <c r="R2330" s="5"/>
      <c r="S2330" s="5"/>
      <c r="T2330" s="5"/>
      <c r="U2330" s="5"/>
    </row>
    <row r="2331" spans="12:21" x14ac:dyDescent="0.2">
      <c r="L2331" s="5"/>
      <c r="M2331" s="5"/>
      <c r="N2331" s="5"/>
      <c r="O2331" s="5"/>
      <c r="P2331" s="5"/>
      <c r="Q2331" s="5"/>
      <c r="R2331" s="5"/>
      <c r="S2331" s="5"/>
      <c r="T2331" s="5"/>
      <c r="U2331" s="5"/>
    </row>
    <row r="2332" spans="12:21" x14ac:dyDescent="0.2">
      <c r="L2332" s="5"/>
      <c r="M2332" s="5"/>
      <c r="N2332" s="5"/>
      <c r="O2332" s="5"/>
      <c r="P2332" s="5"/>
      <c r="Q2332" s="5"/>
      <c r="R2332" s="5"/>
      <c r="S2332" s="5"/>
      <c r="T2332" s="5"/>
      <c r="U2332" s="5"/>
    </row>
    <row r="2333" spans="12:21" x14ac:dyDescent="0.2">
      <c r="L2333" s="5"/>
      <c r="M2333" s="5"/>
      <c r="N2333" s="5"/>
      <c r="O2333" s="5"/>
      <c r="P2333" s="5"/>
      <c r="Q2333" s="5"/>
      <c r="R2333" s="5"/>
      <c r="S2333" s="5"/>
      <c r="T2333" s="5"/>
      <c r="U2333" s="5"/>
    </row>
    <row r="2334" spans="12:21" x14ac:dyDescent="0.2">
      <c r="L2334" s="5"/>
      <c r="M2334" s="5"/>
      <c r="N2334" s="5"/>
      <c r="O2334" s="5"/>
      <c r="P2334" s="5"/>
      <c r="Q2334" s="5"/>
      <c r="R2334" s="5"/>
      <c r="S2334" s="5"/>
      <c r="T2334" s="5"/>
      <c r="U2334" s="5"/>
    </row>
    <row r="2335" spans="12:21" x14ac:dyDescent="0.2">
      <c r="L2335" s="5"/>
      <c r="M2335" s="5"/>
      <c r="N2335" s="5"/>
      <c r="O2335" s="5"/>
      <c r="P2335" s="5"/>
      <c r="Q2335" s="5"/>
      <c r="R2335" s="5"/>
      <c r="S2335" s="5"/>
      <c r="T2335" s="5"/>
      <c r="U2335" s="5"/>
    </row>
    <row r="2336" spans="12:21" x14ac:dyDescent="0.2">
      <c r="L2336" s="5"/>
      <c r="M2336" s="5"/>
      <c r="N2336" s="5"/>
      <c r="O2336" s="5"/>
      <c r="P2336" s="5"/>
      <c r="Q2336" s="5"/>
      <c r="R2336" s="5"/>
      <c r="S2336" s="5"/>
      <c r="T2336" s="5"/>
      <c r="U2336" s="5"/>
    </row>
    <row r="2337" spans="12:21" x14ac:dyDescent="0.2">
      <c r="L2337" s="5"/>
      <c r="M2337" s="5"/>
      <c r="N2337" s="5"/>
      <c r="O2337" s="5"/>
      <c r="P2337" s="5"/>
      <c r="Q2337" s="5"/>
      <c r="R2337" s="5"/>
      <c r="S2337" s="5"/>
      <c r="T2337" s="5"/>
      <c r="U2337" s="5"/>
    </row>
    <row r="2338" spans="12:21" x14ac:dyDescent="0.2">
      <c r="L2338" s="5"/>
      <c r="M2338" s="5"/>
      <c r="N2338" s="5"/>
      <c r="O2338" s="5"/>
      <c r="P2338" s="5"/>
      <c r="Q2338" s="5"/>
      <c r="R2338" s="5"/>
      <c r="S2338" s="5"/>
      <c r="T2338" s="5"/>
      <c r="U2338" s="5"/>
    </row>
    <row r="2339" spans="12:21" x14ac:dyDescent="0.2">
      <c r="L2339" s="5"/>
      <c r="M2339" s="5"/>
      <c r="N2339" s="5"/>
      <c r="O2339" s="5"/>
      <c r="P2339" s="5"/>
      <c r="Q2339" s="5"/>
      <c r="R2339" s="5"/>
      <c r="S2339" s="5"/>
      <c r="T2339" s="5"/>
      <c r="U2339" s="5"/>
    </row>
    <row r="2340" spans="12:21" x14ac:dyDescent="0.2">
      <c r="L2340" s="5"/>
      <c r="M2340" s="5"/>
      <c r="N2340" s="5"/>
      <c r="O2340" s="5"/>
      <c r="P2340" s="5"/>
      <c r="Q2340" s="5"/>
      <c r="R2340" s="5"/>
      <c r="S2340" s="5"/>
      <c r="T2340" s="5"/>
      <c r="U2340" s="5"/>
    </row>
    <row r="2341" spans="12:21" x14ac:dyDescent="0.2">
      <c r="L2341" s="5"/>
      <c r="M2341" s="5"/>
      <c r="N2341" s="5"/>
      <c r="O2341" s="5"/>
      <c r="P2341" s="5"/>
      <c r="Q2341" s="5"/>
      <c r="R2341" s="5"/>
      <c r="S2341" s="5"/>
      <c r="T2341" s="5"/>
      <c r="U2341" s="5"/>
    </row>
    <row r="2342" spans="12:21" x14ac:dyDescent="0.2">
      <c r="L2342" s="5"/>
      <c r="M2342" s="5"/>
      <c r="N2342" s="5"/>
      <c r="O2342" s="5"/>
      <c r="P2342" s="5"/>
      <c r="Q2342" s="5"/>
      <c r="R2342" s="5"/>
      <c r="S2342" s="5"/>
      <c r="T2342" s="5"/>
      <c r="U2342" s="5"/>
    </row>
    <row r="2343" spans="12:21" x14ac:dyDescent="0.2">
      <c r="L2343" s="5"/>
      <c r="M2343" s="5"/>
      <c r="N2343" s="5"/>
      <c r="O2343" s="5"/>
      <c r="P2343" s="5"/>
      <c r="Q2343" s="5"/>
      <c r="R2343" s="5"/>
      <c r="S2343" s="5"/>
      <c r="T2343" s="5"/>
      <c r="U2343" s="5"/>
    </row>
    <row r="2344" spans="12:21" x14ac:dyDescent="0.2">
      <c r="L2344" s="5"/>
      <c r="M2344" s="5"/>
      <c r="N2344" s="5"/>
      <c r="O2344" s="5"/>
      <c r="P2344" s="5"/>
      <c r="Q2344" s="5"/>
      <c r="R2344" s="5"/>
      <c r="S2344" s="5"/>
      <c r="T2344" s="5"/>
      <c r="U2344" s="5"/>
    </row>
    <row r="2345" spans="12:21" x14ac:dyDescent="0.2">
      <c r="L2345" s="5"/>
      <c r="M2345" s="5"/>
      <c r="N2345" s="5"/>
      <c r="O2345" s="5"/>
      <c r="P2345" s="5"/>
      <c r="Q2345" s="5"/>
      <c r="R2345" s="5"/>
      <c r="S2345" s="5"/>
      <c r="T2345" s="5"/>
      <c r="U2345" s="5"/>
    </row>
    <row r="2346" spans="12:21" x14ac:dyDescent="0.2">
      <c r="L2346" s="5"/>
      <c r="M2346" s="5"/>
      <c r="N2346" s="5"/>
      <c r="O2346" s="5"/>
      <c r="P2346" s="5"/>
      <c r="Q2346" s="5"/>
      <c r="R2346" s="5"/>
      <c r="S2346" s="5"/>
      <c r="T2346" s="5"/>
      <c r="U2346" s="5"/>
    </row>
    <row r="2347" spans="12:21" x14ac:dyDescent="0.2">
      <c r="L2347" s="5"/>
      <c r="M2347" s="5"/>
      <c r="N2347" s="5"/>
      <c r="O2347" s="5"/>
      <c r="P2347" s="5"/>
      <c r="Q2347" s="5"/>
      <c r="R2347" s="5"/>
      <c r="S2347" s="5"/>
      <c r="T2347" s="5"/>
      <c r="U2347" s="5"/>
    </row>
    <row r="2348" spans="12:21" x14ac:dyDescent="0.2">
      <c r="L2348" s="5"/>
      <c r="M2348" s="5"/>
      <c r="N2348" s="5"/>
      <c r="O2348" s="5"/>
      <c r="P2348" s="5"/>
      <c r="Q2348" s="5"/>
      <c r="R2348" s="5"/>
      <c r="S2348" s="5"/>
      <c r="T2348" s="5"/>
      <c r="U2348" s="5"/>
    </row>
    <row r="2349" spans="12:21" x14ac:dyDescent="0.2">
      <c r="L2349" s="5"/>
      <c r="M2349" s="5"/>
      <c r="N2349" s="5"/>
      <c r="O2349" s="5"/>
      <c r="P2349" s="5"/>
      <c r="Q2349" s="5"/>
      <c r="R2349" s="5"/>
      <c r="S2349" s="5"/>
      <c r="T2349" s="5"/>
      <c r="U2349" s="5"/>
    </row>
    <row r="2350" spans="12:21" x14ac:dyDescent="0.2">
      <c r="L2350" s="5"/>
      <c r="M2350" s="5"/>
      <c r="N2350" s="5"/>
      <c r="O2350" s="5"/>
      <c r="P2350" s="5"/>
      <c r="Q2350" s="5"/>
      <c r="R2350" s="5"/>
      <c r="S2350" s="5"/>
      <c r="T2350" s="5"/>
      <c r="U2350" s="5"/>
    </row>
    <row r="2351" spans="12:21" x14ac:dyDescent="0.2">
      <c r="L2351" s="5"/>
      <c r="M2351" s="5"/>
      <c r="N2351" s="5"/>
      <c r="O2351" s="5"/>
      <c r="P2351" s="5"/>
      <c r="Q2351" s="5"/>
      <c r="R2351" s="5"/>
      <c r="S2351" s="5"/>
      <c r="T2351" s="5"/>
      <c r="U2351" s="5"/>
    </row>
    <row r="2352" spans="12:21" x14ac:dyDescent="0.2">
      <c r="L2352" s="5"/>
      <c r="M2352" s="5"/>
      <c r="N2352" s="5"/>
      <c r="O2352" s="5"/>
      <c r="P2352" s="5"/>
      <c r="Q2352" s="5"/>
      <c r="R2352" s="5"/>
      <c r="S2352" s="5"/>
      <c r="T2352" s="5"/>
      <c r="U2352" s="5"/>
    </row>
    <row r="2353" spans="12:21" x14ac:dyDescent="0.2">
      <c r="L2353" s="5"/>
      <c r="M2353" s="5"/>
      <c r="N2353" s="5"/>
      <c r="O2353" s="5"/>
      <c r="P2353" s="5"/>
      <c r="Q2353" s="5"/>
      <c r="R2353" s="5"/>
      <c r="S2353" s="5"/>
      <c r="T2353" s="5"/>
      <c r="U2353" s="5"/>
    </row>
    <row r="2354" spans="12:21" x14ac:dyDescent="0.2">
      <c r="L2354" s="5"/>
      <c r="M2354" s="5"/>
      <c r="N2354" s="5"/>
      <c r="O2354" s="5"/>
      <c r="P2354" s="5"/>
      <c r="Q2354" s="5"/>
      <c r="R2354" s="5"/>
      <c r="S2354" s="5"/>
      <c r="T2354" s="5"/>
      <c r="U2354" s="5"/>
    </row>
    <row r="2355" spans="12:21" x14ac:dyDescent="0.2">
      <c r="L2355" s="5"/>
      <c r="M2355" s="5"/>
      <c r="N2355" s="5"/>
      <c r="O2355" s="5"/>
      <c r="P2355" s="5"/>
      <c r="Q2355" s="5"/>
      <c r="R2355" s="5"/>
      <c r="S2355" s="5"/>
      <c r="T2355" s="5"/>
      <c r="U2355" s="5"/>
    </row>
    <row r="2356" spans="12:21" x14ac:dyDescent="0.2">
      <c r="L2356" s="5"/>
      <c r="M2356" s="5"/>
      <c r="N2356" s="5"/>
      <c r="O2356" s="5"/>
      <c r="P2356" s="5"/>
      <c r="Q2356" s="5"/>
      <c r="R2356" s="5"/>
      <c r="S2356" s="5"/>
      <c r="T2356" s="5"/>
      <c r="U2356" s="5"/>
    </row>
    <row r="2357" spans="12:21" x14ac:dyDescent="0.2">
      <c r="L2357" s="5"/>
      <c r="M2357" s="5"/>
      <c r="N2357" s="5"/>
      <c r="O2357" s="5"/>
      <c r="P2357" s="5"/>
      <c r="Q2357" s="5"/>
      <c r="R2357" s="5"/>
      <c r="S2357" s="5"/>
      <c r="T2357" s="5"/>
      <c r="U2357" s="5"/>
    </row>
    <row r="2358" spans="12:21" x14ac:dyDescent="0.2">
      <c r="L2358" s="5"/>
      <c r="M2358" s="5"/>
      <c r="N2358" s="5"/>
      <c r="O2358" s="5"/>
      <c r="P2358" s="5"/>
      <c r="Q2358" s="5"/>
      <c r="R2358" s="5"/>
      <c r="S2358" s="5"/>
      <c r="T2358" s="5"/>
      <c r="U2358" s="5"/>
    </row>
    <row r="2359" spans="12:21" x14ac:dyDescent="0.2">
      <c r="L2359" s="5"/>
      <c r="M2359" s="5"/>
      <c r="N2359" s="5"/>
      <c r="O2359" s="5"/>
      <c r="P2359" s="5"/>
      <c r="Q2359" s="5"/>
      <c r="R2359" s="5"/>
      <c r="S2359" s="5"/>
      <c r="T2359" s="5"/>
      <c r="U2359" s="5"/>
    </row>
    <row r="2360" spans="12:21" x14ac:dyDescent="0.2">
      <c r="L2360" s="5"/>
      <c r="M2360" s="5"/>
      <c r="N2360" s="5"/>
      <c r="O2360" s="5"/>
      <c r="P2360" s="5"/>
      <c r="Q2360" s="5"/>
      <c r="R2360" s="5"/>
      <c r="S2360" s="5"/>
      <c r="T2360" s="5"/>
      <c r="U2360" s="5"/>
    </row>
    <row r="2361" spans="12:21" x14ac:dyDescent="0.2">
      <c r="L2361" s="5"/>
      <c r="M2361" s="5"/>
      <c r="N2361" s="5"/>
      <c r="O2361" s="5"/>
      <c r="P2361" s="5"/>
      <c r="Q2361" s="5"/>
      <c r="R2361" s="5"/>
      <c r="S2361" s="5"/>
      <c r="T2361" s="5"/>
      <c r="U2361" s="5"/>
    </row>
    <row r="2362" spans="12:21" x14ac:dyDescent="0.2">
      <c r="L2362" s="5"/>
      <c r="M2362" s="5"/>
      <c r="N2362" s="5"/>
      <c r="O2362" s="5"/>
      <c r="P2362" s="5"/>
      <c r="Q2362" s="5"/>
      <c r="R2362" s="5"/>
      <c r="S2362" s="5"/>
      <c r="T2362" s="5"/>
      <c r="U2362" s="5"/>
    </row>
    <row r="2363" spans="12:21" x14ac:dyDescent="0.2">
      <c r="L2363" s="5"/>
      <c r="M2363" s="5"/>
      <c r="N2363" s="5"/>
      <c r="O2363" s="5"/>
      <c r="P2363" s="5"/>
      <c r="Q2363" s="5"/>
      <c r="R2363" s="5"/>
      <c r="S2363" s="5"/>
      <c r="T2363" s="5"/>
      <c r="U2363" s="5"/>
    </row>
    <row r="2364" spans="12:21" x14ac:dyDescent="0.2">
      <c r="L2364" s="5"/>
      <c r="M2364" s="5"/>
      <c r="N2364" s="5"/>
      <c r="O2364" s="5"/>
      <c r="P2364" s="5"/>
      <c r="Q2364" s="5"/>
      <c r="R2364" s="5"/>
      <c r="S2364" s="5"/>
      <c r="T2364" s="5"/>
      <c r="U2364" s="5"/>
    </row>
    <row r="2365" spans="12:21" x14ac:dyDescent="0.2">
      <c r="L2365" s="5"/>
      <c r="M2365" s="5"/>
      <c r="N2365" s="5"/>
      <c r="O2365" s="5"/>
      <c r="P2365" s="5"/>
      <c r="Q2365" s="5"/>
      <c r="R2365" s="5"/>
      <c r="S2365" s="5"/>
      <c r="T2365" s="5"/>
      <c r="U2365" s="5"/>
    </row>
    <row r="2366" spans="12:21" x14ac:dyDescent="0.2">
      <c r="L2366" s="5"/>
      <c r="M2366" s="5"/>
      <c r="N2366" s="5"/>
      <c r="O2366" s="5"/>
      <c r="P2366" s="5"/>
      <c r="Q2366" s="5"/>
      <c r="R2366" s="5"/>
      <c r="S2366" s="5"/>
      <c r="T2366" s="5"/>
      <c r="U2366" s="5"/>
    </row>
    <row r="2367" spans="12:21" x14ac:dyDescent="0.2">
      <c r="L2367" s="5"/>
      <c r="M2367" s="5"/>
      <c r="N2367" s="5"/>
      <c r="O2367" s="5"/>
      <c r="P2367" s="5"/>
      <c r="Q2367" s="5"/>
      <c r="R2367" s="5"/>
      <c r="S2367" s="5"/>
      <c r="T2367" s="5"/>
      <c r="U2367" s="5"/>
    </row>
    <row r="2368" spans="12:21" x14ac:dyDescent="0.2">
      <c r="L2368" s="5"/>
      <c r="M2368" s="5"/>
      <c r="N2368" s="5"/>
      <c r="O2368" s="5"/>
      <c r="P2368" s="5"/>
      <c r="Q2368" s="5"/>
      <c r="R2368" s="5"/>
      <c r="S2368" s="5"/>
      <c r="T2368" s="5"/>
      <c r="U2368" s="5"/>
    </row>
    <row r="2369" spans="12:21" x14ac:dyDescent="0.2">
      <c r="L2369" s="5"/>
      <c r="M2369" s="5"/>
      <c r="N2369" s="5"/>
      <c r="O2369" s="5"/>
      <c r="P2369" s="5"/>
      <c r="Q2369" s="5"/>
      <c r="R2369" s="5"/>
      <c r="S2369" s="5"/>
      <c r="T2369" s="5"/>
      <c r="U2369" s="5"/>
    </row>
    <row r="2370" spans="12:21" x14ac:dyDescent="0.2">
      <c r="L2370" s="5"/>
      <c r="M2370" s="5"/>
      <c r="N2370" s="5"/>
      <c r="O2370" s="5"/>
      <c r="P2370" s="5"/>
      <c r="Q2370" s="5"/>
      <c r="R2370" s="5"/>
      <c r="S2370" s="5"/>
      <c r="T2370" s="5"/>
      <c r="U2370" s="5"/>
    </row>
    <row r="2371" spans="12:21" x14ac:dyDescent="0.2">
      <c r="L2371" s="5"/>
      <c r="M2371" s="5"/>
      <c r="N2371" s="5"/>
      <c r="O2371" s="5"/>
      <c r="P2371" s="5"/>
      <c r="Q2371" s="5"/>
      <c r="R2371" s="5"/>
      <c r="S2371" s="5"/>
      <c r="T2371" s="5"/>
      <c r="U2371" s="5"/>
    </row>
    <row r="2372" spans="12:21" x14ac:dyDescent="0.2">
      <c r="L2372" s="5"/>
      <c r="M2372" s="5"/>
      <c r="N2372" s="5"/>
      <c r="O2372" s="5"/>
      <c r="P2372" s="5"/>
      <c r="Q2372" s="5"/>
      <c r="R2372" s="5"/>
      <c r="S2372" s="5"/>
      <c r="T2372" s="5"/>
      <c r="U2372" s="5"/>
    </row>
    <row r="2373" spans="12:21" x14ac:dyDescent="0.2">
      <c r="L2373" s="5"/>
      <c r="M2373" s="5"/>
      <c r="N2373" s="5"/>
      <c r="O2373" s="5"/>
      <c r="P2373" s="5"/>
      <c r="Q2373" s="5"/>
      <c r="R2373" s="5"/>
      <c r="S2373" s="5"/>
      <c r="T2373" s="5"/>
      <c r="U2373" s="5"/>
    </row>
    <row r="2374" spans="12:21" x14ac:dyDescent="0.2">
      <c r="L2374" s="5"/>
      <c r="M2374" s="5"/>
      <c r="N2374" s="5"/>
      <c r="O2374" s="5"/>
      <c r="P2374" s="5"/>
      <c r="Q2374" s="5"/>
      <c r="R2374" s="5"/>
      <c r="S2374" s="5"/>
      <c r="T2374" s="5"/>
      <c r="U2374" s="5"/>
    </row>
    <row r="2375" spans="12:21" x14ac:dyDescent="0.2">
      <c r="L2375" s="5"/>
      <c r="M2375" s="5"/>
      <c r="N2375" s="5"/>
      <c r="O2375" s="5"/>
      <c r="P2375" s="5"/>
      <c r="Q2375" s="5"/>
      <c r="R2375" s="5"/>
      <c r="S2375" s="5"/>
      <c r="T2375" s="5"/>
      <c r="U2375" s="5"/>
    </row>
    <row r="2376" spans="12:21" x14ac:dyDescent="0.2">
      <c r="L2376" s="5"/>
      <c r="M2376" s="5"/>
      <c r="N2376" s="5"/>
      <c r="O2376" s="5"/>
      <c r="P2376" s="5"/>
      <c r="Q2376" s="5"/>
      <c r="R2376" s="5"/>
      <c r="S2376" s="5"/>
      <c r="T2376" s="5"/>
      <c r="U2376" s="5"/>
    </row>
    <row r="2377" spans="12:21" x14ac:dyDescent="0.2">
      <c r="L2377" s="5"/>
      <c r="M2377" s="5"/>
      <c r="N2377" s="5"/>
      <c r="O2377" s="5"/>
      <c r="P2377" s="5"/>
      <c r="Q2377" s="5"/>
      <c r="R2377" s="5"/>
      <c r="S2377" s="5"/>
      <c r="T2377" s="5"/>
      <c r="U2377" s="5"/>
    </row>
    <row r="2378" spans="12:21" x14ac:dyDescent="0.2">
      <c r="L2378" s="5"/>
      <c r="M2378" s="5"/>
      <c r="N2378" s="5"/>
      <c r="O2378" s="5"/>
      <c r="P2378" s="5"/>
      <c r="Q2378" s="5"/>
      <c r="R2378" s="5"/>
      <c r="S2378" s="5"/>
      <c r="T2378" s="5"/>
      <c r="U2378" s="5"/>
    </row>
    <row r="2379" spans="12:21" x14ac:dyDescent="0.2">
      <c r="L2379" s="5"/>
      <c r="M2379" s="5"/>
      <c r="N2379" s="5"/>
      <c r="O2379" s="5"/>
      <c r="P2379" s="5"/>
      <c r="Q2379" s="5"/>
      <c r="R2379" s="5"/>
      <c r="S2379" s="5"/>
      <c r="T2379" s="5"/>
      <c r="U2379" s="5"/>
    </row>
    <row r="2380" spans="12:21" x14ac:dyDescent="0.2">
      <c r="L2380" s="5"/>
      <c r="M2380" s="5"/>
      <c r="N2380" s="5"/>
      <c r="O2380" s="5"/>
      <c r="P2380" s="5"/>
      <c r="Q2380" s="5"/>
      <c r="R2380" s="5"/>
      <c r="S2380" s="5"/>
      <c r="T2380" s="5"/>
      <c r="U2380" s="5"/>
    </row>
    <row r="2381" spans="12:21" x14ac:dyDescent="0.2">
      <c r="L2381" s="5"/>
      <c r="M2381" s="5"/>
      <c r="N2381" s="5"/>
      <c r="O2381" s="5"/>
      <c r="P2381" s="5"/>
      <c r="Q2381" s="5"/>
      <c r="R2381" s="5"/>
      <c r="S2381" s="5"/>
      <c r="T2381" s="5"/>
      <c r="U2381" s="5"/>
    </row>
    <row r="2382" spans="12:21" x14ac:dyDescent="0.2">
      <c r="L2382" s="5"/>
      <c r="M2382" s="5"/>
      <c r="N2382" s="5"/>
      <c r="O2382" s="5"/>
      <c r="P2382" s="5"/>
      <c r="Q2382" s="5"/>
      <c r="R2382" s="5"/>
      <c r="S2382" s="5"/>
      <c r="T2382" s="5"/>
      <c r="U2382" s="5"/>
    </row>
    <row r="2383" spans="12:21" x14ac:dyDescent="0.2">
      <c r="L2383" s="5"/>
      <c r="M2383" s="5"/>
      <c r="N2383" s="5"/>
      <c r="O2383" s="5"/>
      <c r="P2383" s="5"/>
      <c r="Q2383" s="5"/>
      <c r="R2383" s="5"/>
      <c r="S2383" s="5"/>
      <c r="T2383" s="5"/>
      <c r="U2383" s="5"/>
    </row>
    <row r="2384" spans="12:21" x14ac:dyDescent="0.2">
      <c r="L2384" s="5"/>
      <c r="M2384" s="5"/>
      <c r="N2384" s="5"/>
      <c r="O2384" s="5"/>
      <c r="P2384" s="5"/>
      <c r="Q2384" s="5"/>
      <c r="R2384" s="5"/>
      <c r="S2384" s="5"/>
      <c r="T2384" s="5"/>
      <c r="U2384" s="5"/>
    </row>
    <row r="2385" spans="12:21" x14ac:dyDescent="0.2">
      <c r="L2385" s="5"/>
      <c r="M2385" s="5"/>
      <c r="N2385" s="5"/>
      <c r="O2385" s="5"/>
      <c r="P2385" s="5"/>
      <c r="Q2385" s="5"/>
      <c r="R2385" s="5"/>
      <c r="S2385" s="5"/>
      <c r="T2385" s="5"/>
      <c r="U2385" s="5"/>
    </row>
    <row r="2386" spans="12:21" x14ac:dyDescent="0.2">
      <c r="L2386" s="5"/>
      <c r="M2386" s="5"/>
      <c r="N2386" s="5"/>
      <c r="O2386" s="5"/>
      <c r="P2386" s="5"/>
      <c r="Q2386" s="5"/>
      <c r="R2386" s="5"/>
      <c r="S2386" s="5"/>
      <c r="T2386" s="5"/>
      <c r="U2386" s="5"/>
    </row>
    <row r="2387" spans="12:21" x14ac:dyDescent="0.2">
      <c r="L2387" s="5"/>
      <c r="M2387" s="5"/>
      <c r="N2387" s="5"/>
      <c r="O2387" s="5"/>
      <c r="P2387" s="5"/>
      <c r="Q2387" s="5"/>
      <c r="R2387" s="5"/>
      <c r="S2387" s="5"/>
      <c r="T2387" s="5"/>
      <c r="U2387" s="5"/>
    </row>
    <row r="2388" spans="12:21" x14ac:dyDescent="0.2">
      <c r="L2388" s="5"/>
      <c r="M2388" s="5"/>
      <c r="N2388" s="5"/>
      <c r="O2388" s="5"/>
      <c r="P2388" s="5"/>
      <c r="Q2388" s="5"/>
      <c r="R2388" s="5"/>
      <c r="S2388" s="5"/>
      <c r="T2388" s="5"/>
      <c r="U2388" s="5"/>
    </row>
    <row r="2389" spans="12:21" x14ac:dyDescent="0.2">
      <c r="L2389" s="5"/>
      <c r="M2389" s="5"/>
      <c r="N2389" s="5"/>
      <c r="O2389" s="5"/>
      <c r="P2389" s="5"/>
      <c r="Q2389" s="5"/>
      <c r="R2389" s="5"/>
      <c r="S2389" s="5"/>
      <c r="T2389" s="5"/>
      <c r="U2389" s="5"/>
    </row>
    <row r="2390" spans="12:21" x14ac:dyDescent="0.2">
      <c r="L2390" s="5"/>
      <c r="M2390" s="5"/>
      <c r="N2390" s="5"/>
      <c r="O2390" s="5"/>
      <c r="P2390" s="5"/>
      <c r="Q2390" s="5"/>
      <c r="R2390" s="5"/>
      <c r="S2390" s="5"/>
      <c r="T2390" s="5"/>
      <c r="U2390" s="5"/>
    </row>
    <row r="2391" spans="12:21" x14ac:dyDescent="0.2">
      <c r="L2391" s="5"/>
      <c r="M2391" s="5"/>
      <c r="N2391" s="5"/>
      <c r="O2391" s="5"/>
      <c r="P2391" s="5"/>
      <c r="Q2391" s="5"/>
      <c r="R2391" s="5"/>
      <c r="S2391" s="5"/>
      <c r="T2391" s="5"/>
      <c r="U2391" s="5"/>
    </row>
    <row r="2392" spans="12:21" x14ac:dyDescent="0.2">
      <c r="L2392" s="5"/>
      <c r="M2392" s="5"/>
      <c r="N2392" s="5"/>
      <c r="O2392" s="5"/>
      <c r="P2392" s="5"/>
      <c r="Q2392" s="5"/>
      <c r="R2392" s="5"/>
      <c r="S2392" s="5"/>
      <c r="T2392" s="5"/>
      <c r="U2392" s="5"/>
    </row>
    <row r="2393" spans="12:21" x14ac:dyDescent="0.2">
      <c r="L2393" s="5"/>
      <c r="M2393" s="5"/>
      <c r="N2393" s="5"/>
      <c r="O2393" s="5"/>
      <c r="P2393" s="5"/>
      <c r="Q2393" s="5"/>
      <c r="R2393" s="5"/>
      <c r="S2393" s="5"/>
      <c r="T2393" s="5"/>
      <c r="U2393" s="5"/>
    </row>
    <row r="2394" spans="12:21" x14ac:dyDescent="0.2">
      <c r="L2394" s="5"/>
      <c r="M2394" s="5"/>
      <c r="N2394" s="5"/>
      <c r="O2394" s="5"/>
      <c r="P2394" s="5"/>
      <c r="Q2394" s="5"/>
      <c r="R2394" s="5"/>
      <c r="S2394" s="5"/>
      <c r="T2394" s="5"/>
      <c r="U2394" s="5"/>
    </row>
    <row r="2395" spans="12:21" x14ac:dyDescent="0.2">
      <c r="L2395" s="5"/>
      <c r="M2395" s="5"/>
      <c r="N2395" s="5"/>
      <c r="O2395" s="5"/>
      <c r="P2395" s="5"/>
      <c r="Q2395" s="5"/>
      <c r="R2395" s="5"/>
      <c r="S2395" s="5"/>
      <c r="T2395" s="5"/>
      <c r="U2395" s="5"/>
    </row>
    <row r="2396" spans="12:21" x14ac:dyDescent="0.2">
      <c r="L2396" s="5"/>
      <c r="M2396" s="5"/>
      <c r="N2396" s="5"/>
      <c r="O2396" s="5"/>
      <c r="P2396" s="5"/>
      <c r="Q2396" s="5"/>
      <c r="R2396" s="5"/>
      <c r="S2396" s="5"/>
      <c r="T2396" s="5"/>
      <c r="U2396" s="5"/>
    </row>
    <row r="2397" spans="12:21" x14ac:dyDescent="0.2">
      <c r="L2397" s="5"/>
      <c r="M2397" s="5"/>
      <c r="N2397" s="5"/>
      <c r="O2397" s="5"/>
      <c r="P2397" s="5"/>
      <c r="Q2397" s="5"/>
      <c r="R2397" s="5"/>
      <c r="S2397" s="5"/>
      <c r="T2397" s="5"/>
      <c r="U2397" s="5"/>
    </row>
    <row r="2398" spans="12:21" x14ac:dyDescent="0.2">
      <c r="L2398" s="5"/>
      <c r="M2398" s="5"/>
      <c r="N2398" s="5"/>
      <c r="O2398" s="5"/>
      <c r="P2398" s="5"/>
      <c r="Q2398" s="5"/>
      <c r="R2398" s="5"/>
      <c r="S2398" s="5"/>
      <c r="T2398" s="5"/>
      <c r="U2398" s="5"/>
    </row>
    <row r="2399" spans="12:21" x14ac:dyDescent="0.2">
      <c r="L2399" s="5"/>
      <c r="M2399" s="5"/>
      <c r="N2399" s="5"/>
      <c r="O2399" s="5"/>
      <c r="P2399" s="5"/>
      <c r="Q2399" s="5"/>
      <c r="R2399" s="5"/>
      <c r="S2399" s="5"/>
      <c r="T2399" s="5"/>
      <c r="U2399" s="5"/>
    </row>
    <row r="2400" spans="12:21" x14ac:dyDescent="0.2">
      <c r="L2400" s="5"/>
      <c r="M2400" s="5"/>
      <c r="N2400" s="5"/>
      <c r="O2400" s="5"/>
      <c r="P2400" s="5"/>
      <c r="Q2400" s="5"/>
      <c r="R2400" s="5"/>
      <c r="S2400" s="5"/>
      <c r="T2400" s="5"/>
      <c r="U2400" s="5"/>
    </row>
    <row r="2401" spans="12:21" x14ac:dyDescent="0.2">
      <c r="L2401" s="5"/>
      <c r="M2401" s="5"/>
      <c r="N2401" s="5"/>
      <c r="O2401" s="5"/>
      <c r="P2401" s="5"/>
      <c r="Q2401" s="5"/>
      <c r="R2401" s="5"/>
      <c r="S2401" s="5"/>
      <c r="T2401" s="5"/>
      <c r="U2401" s="5"/>
    </row>
    <row r="2402" spans="12:21" x14ac:dyDescent="0.2">
      <c r="L2402" s="5"/>
      <c r="M2402" s="5"/>
      <c r="N2402" s="5"/>
      <c r="O2402" s="5"/>
      <c r="P2402" s="5"/>
      <c r="Q2402" s="5"/>
      <c r="R2402" s="5"/>
      <c r="S2402" s="5"/>
      <c r="T2402" s="5"/>
      <c r="U2402" s="5"/>
    </row>
    <row r="2403" spans="12:21" x14ac:dyDescent="0.2">
      <c r="L2403" s="5"/>
      <c r="M2403" s="5"/>
      <c r="N2403" s="5"/>
      <c r="O2403" s="5"/>
      <c r="P2403" s="5"/>
      <c r="Q2403" s="5"/>
      <c r="R2403" s="5"/>
      <c r="S2403" s="5"/>
      <c r="T2403" s="5"/>
      <c r="U2403" s="5"/>
    </row>
    <row r="2404" spans="12:21" x14ac:dyDescent="0.2">
      <c r="L2404" s="5"/>
      <c r="M2404" s="5"/>
      <c r="N2404" s="5"/>
      <c r="O2404" s="5"/>
      <c r="P2404" s="5"/>
      <c r="Q2404" s="5"/>
      <c r="R2404" s="5"/>
      <c r="S2404" s="5"/>
      <c r="T2404" s="5"/>
      <c r="U2404" s="5"/>
    </row>
    <row r="2405" spans="12:21" x14ac:dyDescent="0.2">
      <c r="L2405" s="5"/>
      <c r="M2405" s="5"/>
      <c r="N2405" s="5"/>
      <c r="O2405" s="5"/>
      <c r="P2405" s="5"/>
      <c r="Q2405" s="5"/>
      <c r="R2405" s="5"/>
      <c r="S2405" s="5"/>
      <c r="T2405" s="5"/>
      <c r="U2405" s="5"/>
    </row>
    <row r="2406" spans="12:21" x14ac:dyDescent="0.2">
      <c r="L2406" s="5"/>
      <c r="M2406" s="5"/>
      <c r="N2406" s="5"/>
      <c r="O2406" s="5"/>
      <c r="P2406" s="5"/>
      <c r="Q2406" s="5"/>
      <c r="R2406" s="5"/>
      <c r="S2406" s="5"/>
      <c r="T2406" s="5"/>
      <c r="U2406" s="5"/>
    </row>
    <row r="2407" spans="12:21" x14ac:dyDescent="0.2">
      <c r="L2407" s="5"/>
      <c r="M2407" s="5"/>
      <c r="N2407" s="5"/>
      <c r="O2407" s="5"/>
      <c r="P2407" s="5"/>
      <c r="Q2407" s="5"/>
      <c r="R2407" s="5"/>
      <c r="S2407" s="5"/>
      <c r="T2407" s="5"/>
      <c r="U2407" s="5"/>
    </row>
    <row r="2408" spans="12:21" x14ac:dyDescent="0.2">
      <c r="L2408" s="5"/>
      <c r="M2408" s="5"/>
      <c r="N2408" s="5"/>
      <c r="O2408" s="5"/>
      <c r="P2408" s="5"/>
      <c r="Q2408" s="5"/>
      <c r="R2408" s="5"/>
      <c r="S2408" s="5"/>
      <c r="T2408" s="5"/>
      <c r="U2408" s="5"/>
    </row>
    <row r="2409" spans="12:21" x14ac:dyDescent="0.2">
      <c r="L2409" s="5"/>
      <c r="M2409" s="5"/>
      <c r="N2409" s="5"/>
      <c r="O2409" s="5"/>
      <c r="P2409" s="5"/>
      <c r="Q2409" s="5"/>
      <c r="R2409" s="5"/>
      <c r="S2409" s="5"/>
      <c r="T2409" s="5"/>
      <c r="U2409" s="5"/>
    </row>
    <row r="2410" spans="12:21" x14ac:dyDescent="0.2">
      <c r="L2410" s="5"/>
      <c r="M2410" s="5"/>
      <c r="N2410" s="5"/>
      <c r="O2410" s="5"/>
      <c r="P2410" s="5"/>
      <c r="Q2410" s="5"/>
      <c r="R2410" s="5"/>
      <c r="S2410" s="5"/>
      <c r="T2410" s="5"/>
      <c r="U2410" s="5"/>
    </row>
    <row r="2411" spans="12:21" x14ac:dyDescent="0.2">
      <c r="L2411" s="5"/>
      <c r="M2411" s="5"/>
      <c r="N2411" s="5"/>
      <c r="O2411" s="5"/>
      <c r="P2411" s="5"/>
      <c r="Q2411" s="5"/>
      <c r="R2411" s="5"/>
      <c r="S2411" s="5"/>
      <c r="T2411" s="5"/>
      <c r="U2411" s="5"/>
    </row>
    <row r="2412" spans="12:21" x14ac:dyDescent="0.2">
      <c r="L2412" s="5"/>
      <c r="M2412" s="5"/>
      <c r="N2412" s="5"/>
      <c r="O2412" s="5"/>
      <c r="P2412" s="5"/>
      <c r="Q2412" s="5"/>
      <c r="R2412" s="5"/>
      <c r="S2412" s="5"/>
      <c r="T2412" s="5"/>
      <c r="U2412" s="5"/>
    </row>
    <row r="2413" spans="12:21" x14ac:dyDescent="0.2">
      <c r="L2413" s="5"/>
      <c r="M2413" s="5"/>
      <c r="N2413" s="5"/>
      <c r="O2413" s="5"/>
      <c r="P2413" s="5"/>
      <c r="Q2413" s="5"/>
      <c r="R2413" s="5"/>
      <c r="S2413" s="5"/>
      <c r="T2413" s="5"/>
      <c r="U2413" s="5"/>
    </row>
    <row r="2414" spans="12:21" x14ac:dyDescent="0.2">
      <c r="L2414" s="5"/>
      <c r="M2414" s="5"/>
      <c r="N2414" s="5"/>
      <c r="O2414" s="5"/>
      <c r="P2414" s="5"/>
      <c r="Q2414" s="5"/>
      <c r="R2414" s="5"/>
      <c r="S2414" s="5"/>
      <c r="T2414" s="5"/>
      <c r="U2414" s="5"/>
    </row>
    <row r="2415" spans="12:21" x14ac:dyDescent="0.2">
      <c r="L2415" s="5"/>
      <c r="M2415" s="5"/>
      <c r="N2415" s="5"/>
      <c r="O2415" s="5"/>
      <c r="P2415" s="5"/>
      <c r="Q2415" s="5"/>
      <c r="R2415" s="5"/>
      <c r="S2415" s="5"/>
      <c r="T2415" s="5"/>
      <c r="U2415" s="5"/>
    </row>
    <row r="2416" spans="12:21" x14ac:dyDescent="0.2">
      <c r="L2416" s="5"/>
      <c r="M2416" s="5"/>
      <c r="N2416" s="5"/>
      <c r="O2416" s="5"/>
      <c r="P2416" s="5"/>
      <c r="Q2416" s="5"/>
      <c r="R2416" s="5"/>
      <c r="S2416" s="5"/>
      <c r="T2416" s="5"/>
      <c r="U2416" s="5"/>
    </row>
    <row r="2417" spans="12:21" x14ac:dyDescent="0.2">
      <c r="L2417" s="5"/>
      <c r="M2417" s="5"/>
      <c r="N2417" s="5"/>
      <c r="O2417" s="5"/>
      <c r="P2417" s="5"/>
      <c r="Q2417" s="5"/>
      <c r="R2417" s="5"/>
      <c r="S2417" s="5"/>
      <c r="T2417" s="5"/>
      <c r="U2417" s="5"/>
    </row>
    <row r="2418" spans="12:21" x14ac:dyDescent="0.2">
      <c r="L2418" s="5"/>
      <c r="M2418" s="5"/>
      <c r="N2418" s="5"/>
      <c r="O2418" s="5"/>
      <c r="P2418" s="5"/>
      <c r="Q2418" s="5"/>
      <c r="R2418" s="5"/>
      <c r="S2418" s="5"/>
      <c r="T2418" s="5"/>
      <c r="U2418" s="5"/>
    </row>
    <row r="2419" spans="12:21" x14ac:dyDescent="0.2">
      <c r="L2419" s="5"/>
      <c r="M2419" s="5"/>
      <c r="N2419" s="5"/>
      <c r="O2419" s="5"/>
      <c r="P2419" s="5"/>
      <c r="Q2419" s="5"/>
      <c r="R2419" s="5"/>
      <c r="S2419" s="5"/>
      <c r="T2419" s="5"/>
      <c r="U2419" s="5"/>
    </row>
    <row r="2420" spans="12:21" x14ac:dyDescent="0.2">
      <c r="L2420" s="5"/>
      <c r="M2420" s="5"/>
      <c r="N2420" s="5"/>
      <c r="O2420" s="5"/>
      <c r="P2420" s="5"/>
      <c r="Q2420" s="5"/>
      <c r="R2420" s="5"/>
      <c r="S2420" s="5"/>
      <c r="T2420" s="5"/>
      <c r="U2420" s="5"/>
    </row>
    <row r="2421" spans="12:21" x14ac:dyDescent="0.2">
      <c r="L2421" s="5"/>
      <c r="M2421" s="5"/>
      <c r="N2421" s="5"/>
      <c r="O2421" s="5"/>
      <c r="P2421" s="5"/>
      <c r="Q2421" s="5"/>
      <c r="R2421" s="5"/>
      <c r="S2421" s="5"/>
      <c r="T2421" s="5"/>
      <c r="U2421" s="5"/>
    </row>
    <row r="2422" spans="12:21" x14ac:dyDescent="0.2">
      <c r="L2422" s="5"/>
      <c r="M2422" s="5"/>
      <c r="N2422" s="5"/>
      <c r="O2422" s="5"/>
      <c r="P2422" s="5"/>
      <c r="Q2422" s="5"/>
      <c r="R2422" s="5"/>
      <c r="S2422" s="5"/>
      <c r="T2422" s="5"/>
      <c r="U2422" s="5"/>
    </row>
    <row r="2423" spans="12:21" x14ac:dyDescent="0.2">
      <c r="L2423" s="5"/>
      <c r="M2423" s="5"/>
      <c r="N2423" s="5"/>
      <c r="O2423" s="5"/>
      <c r="P2423" s="5"/>
      <c r="Q2423" s="5"/>
      <c r="R2423" s="5"/>
      <c r="S2423" s="5"/>
      <c r="T2423" s="5"/>
      <c r="U2423" s="5"/>
    </row>
    <row r="2424" spans="12:21" x14ac:dyDescent="0.2">
      <c r="L2424" s="5"/>
      <c r="M2424" s="5"/>
      <c r="N2424" s="5"/>
      <c r="O2424" s="5"/>
      <c r="P2424" s="5"/>
      <c r="Q2424" s="5"/>
      <c r="R2424" s="5"/>
      <c r="S2424" s="5"/>
      <c r="T2424" s="5"/>
      <c r="U2424" s="5"/>
    </row>
    <row r="2425" spans="12:21" x14ac:dyDescent="0.2">
      <c r="L2425" s="5"/>
      <c r="M2425" s="5"/>
      <c r="N2425" s="5"/>
      <c r="O2425" s="5"/>
      <c r="P2425" s="5"/>
      <c r="Q2425" s="5"/>
      <c r="R2425" s="5"/>
      <c r="S2425" s="5"/>
      <c r="T2425" s="5"/>
      <c r="U2425" s="5"/>
    </row>
    <row r="2426" spans="12:21" x14ac:dyDescent="0.2">
      <c r="L2426" s="5"/>
      <c r="M2426" s="5"/>
      <c r="N2426" s="5"/>
      <c r="O2426" s="5"/>
      <c r="P2426" s="5"/>
      <c r="Q2426" s="5"/>
      <c r="R2426" s="5"/>
      <c r="S2426" s="5"/>
      <c r="T2426" s="5"/>
      <c r="U2426" s="5"/>
    </row>
    <row r="2427" spans="12:21" x14ac:dyDescent="0.2">
      <c r="L2427" s="5"/>
      <c r="M2427" s="5"/>
      <c r="N2427" s="5"/>
      <c r="O2427" s="5"/>
      <c r="P2427" s="5"/>
      <c r="Q2427" s="5"/>
      <c r="R2427" s="5"/>
      <c r="S2427" s="5"/>
      <c r="T2427" s="5"/>
      <c r="U2427" s="5"/>
    </row>
    <row r="2428" spans="12:21" x14ac:dyDescent="0.2">
      <c r="L2428" s="5"/>
      <c r="M2428" s="5"/>
      <c r="N2428" s="5"/>
      <c r="O2428" s="5"/>
      <c r="P2428" s="5"/>
      <c r="Q2428" s="5"/>
      <c r="R2428" s="5"/>
      <c r="S2428" s="5"/>
      <c r="T2428" s="5"/>
      <c r="U2428" s="5"/>
    </row>
    <row r="2429" spans="12:21" x14ac:dyDescent="0.2">
      <c r="L2429" s="5"/>
      <c r="M2429" s="5"/>
      <c r="N2429" s="5"/>
      <c r="O2429" s="5"/>
      <c r="P2429" s="5"/>
      <c r="Q2429" s="5"/>
      <c r="R2429" s="5"/>
      <c r="S2429" s="5"/>
      <c r="T2429" s="5"/>
      <c r="U2429" s="5"/>
    </row>
    <row r="2430" spans="12:21" x14ac:dyDescent="0.2">
      <c r="L2430" s="5"/>
      <c r="M2430" s="5"/>
      <c r="N2430" s="5"/>
      <c r="O2430" s="5"/>
      <c r="P2430" s="5"/>
      <c r="Q2430" s="5"/>
      <c r="R2430" s="5"/>
      <c r="S2430" s="5"/>
      <c r="T2430" s="5"/>
      <c r="U2430" s="5"/>
    </row>
    <row r="2431" spans="12:21" x14ac:dyDescent="0.2">
      <c r="L2431" s="5"/>
      <c r="M2431" s="5"/>
      <c r="N2431" s="5"/>
      <c r="O2431" s="5"/>
      <c r="P2431" s="5"/>
      <c r="Q2431" s="5"/>
      <c r="R2431" s="5"/>
      <c r="S2431" s="5"/>
      <c r="T2431" s="5"/>
      <c r="U2431" s="5"/>
    </row>
    <row r="2432" spans="12:21" x14ac:dyDescent="0.2">
      <c r="L2432" s="5"/>
      <c r="M2432" s="5"/>
      <c r="N2432" s="5"/>
      <c r="O2432" s="5"/>
      <c r="P2432" s="5"/>
      <c r="Q2432" s="5"/>
      <c r="R2432" s="5"/>
      <c r="S2432" s="5"/>
      <c r="T2432" s="5"/>
      <c r="U2432" s="5"/>
    </row>
    <row r="2433" spans="12:21" x14ac:dyDescent="0.2">
      <c r="L2433" s="5"/>
      <c r="M2433" s="5"/>
      <c r="N2433" s="5"/>
      <c r="O2433" s="5"/>
      <c r="P2433" s="5"/>
      <c r="Q2433" s="5"/>
      <c r="R2433" s="5"/>
      <c r="S2433" s="5"/>
      <c r="T2433" s="5"/>
      <c r="U2433" s="5"/>
    </row>
    <row r="2434" spans="12:21" x14ac:dyDescent="0.2">
      <c r="L2434" s="5"/>
      <c r="M2434" s="5"/>
      <c r="N2434" s="5"/>
      <c r="O2434" s="5"/>
      <c r="P2434" s="5"/>
      <c r="Q2434" s="5"/>
      <c r="R2434" s="5"/>
      <c r="S2434" s="5"/>
      <c r="T2434" s="5"/>
      <c r="U2434" s="5"/>
    </row>
    <row r="2435" spans="12:21" x14ac:dyDescent="0.2">
      <c r="L2435" s="5"/>
      <c r="M2435" s="5"/>
      <c r="N2435" s="5"/>
      <c r="O2435" s="5"/>
      <c r="P2435" s="5"/>
      <c r="Q2435" s="5"/>
      <c r="R2435" s="5"/>
      <c r="S2435" s="5"/>
      <c r="T2435" s="5"/>
      <c r="U2435" s="5"/>
    </row>
    <row r="2436" spans="12:21" x14ac:dyDescent="0.2">
      <c r="L2436" s="5"/>
      <c r="M2436" s="5"/>
      <c r="N2436" s="5"/>
      <c r="O2436" s="5"/>
      <c r="P2436" s="5"/>
      <c r="Q2436" s="5"/>
      <c r="R2436" s="5"/>
      <c r="S2436" s="5"/>
      <c r="T2436" s="5"/>
      <c r="U2436" s="5"/>
    </row>
    <row r="2437" spans="12:21" x14ac:dyDescent="0.2">
      <c r="L2437" s="5"/>
      <c r="M2437" s="5"/>
      <c r="N2437" s="5"/>
      <c r="O2437" s="5"/>
      <c r="P2437" s="5"/>
      <c r="Q2437" s="5"/>
      <c r="R2437" s="5"/>
      <c r="S2437" s="5"/>
      <c r="T2437" s="5"/>
      <c r="U2437" s="5"/>
    </row>
    <row r="2438" spans="12:21" x14ac:dyDescent="0.2">
      <c r="L2438" s="5"/>
      <c r="M2438" s="5"/>
      <c r="N2438" s="5"/>
      <c r="O2438" s="5"/>
      <c r="P2438" s="5"/>
      <c r="Q2438" s="5"/>
      <c r="R2438" s="5"/>
      <c r="S2438" s="5"/>
      <c r="T2438" s="5"/>
      <c r="U2438" s="5"/>
    </row>
    <row r="2439" spans="12:21" x14ac:dyDescent="0.2">
      <c r="L2439" s="5"/>
      <c r="M2439" s="5"/>
      <c r="N2439" s="5"/>
      <c r="O2439" s="5"/>
      <c r="P2439" s="5"/>
      <c r="Q2439" s="5"/>
      <c r="R2439" s="5"/>
      <c r="S2439" s="5"/>
      <c r="T2439" s="5"/>
      <c r="U2439" s="5"/>
    </row>
    <row r="2440" spans="12:21" x14ac:dyDescent="0.2">
      <c r="L2440" s="5"/>
      <c r="M2440" s="5"/>
      <c r="N2440" s="5"/>
      <c r="O2440" s="5"/>
      <c r="P2440" s="5"/>
      <c r="Q2440" s="5"/>
      <c r="R2440" s="5"/>
      <c r="S2440" s="5"/>
      <c r="T2440" s="5"/>
      <c r="U2440" s="5"/>
    </row>
    <row r="2441" spans="12:21" x14ac:dyDescent="0.2">
      <c r="L2441" s="5"/>
      <c r="M2441" s="5"/>
      <c r="N2441" s="5"/>
      <c r="O2441" s="5"/>
      <c r="P2441" s="5"/>
      <c r="Q2441" s="5"/>
      <c r="R2441" s="5"/>
      <c r="S2441" s="5"/>
      <c r="T2441" s="5"/>
      <c r="U2441" s="5"/>
    </row>
    <row r="2442" spans="12:21" x14ac:dyDescent="0.2">
      <c r="L2442" s="5"/>
      <c r="M2442" s="5"/>
      <c r="N2442" s="5"/>
      <c r="O2442" s="5"/>
      <c r="P2442" s="5"/>
      <c r="Q2442" s="5"/>
      <c r="R2442" s="5"/>
      <c r="S2442" s="5"/>
      <c r="T2442" s="5"/>
      <c r="U2442" s="5"/>
    </row>
    <row r="2443" spans="12:21" x14ac:dyDescent="0.2">
      <c r="L2443" s="5"/>
      <c r="M2443" s="5"/>
      <c r="N2443" s="5"/>
      <c r="O2443" s="5"/>
      <c r="P2443" s="5"/>
      <c r="Q2443" s="5"/>
      <c r="R2443" s="5"/>
      <c r="S2443" s="5"/>
      <c r="T2443" s="5"/>
      <c r="U2443" s="5"/>
    </row>
    <row r="2444" spans="12:21" x14ac:dyDescent="0.2">
      <c r="L2444" s="5"/>
      <c r="M2444" s="5"/>
      <c r="N2444" s="5"/>
      <c r="O2444" s="5"/>
      <c r="P2444" s="5"/>
      <c r="Q2444" s="5"/>
      <c r="R2444" s="5"/>
      <c r="S2444" s="5"/>
      <c r="T2444" s="5"/>
      <c r="U2444" s="5"/>
    </row>
    <row r="2445" spans="12:21" x14ac:dyDescent="0.2">
      <c r="L2445" s="5"/>
      <c r="M2445" s="5"/>
      <c r="N2445" s="5"/>
      <c r="O2445" s="5"/>
      <c r="P2445" s="5"/>
      <c r="Q2445" s="5"/>
      <c r="R2445" s="5"/>
      <c r="S2445" s="5"/>
      <c r="T2445" s="5"/>
      <c r="U2445" s="5"/>
    </row>
    <row r="2446" spans="12:21" x14ac:dyDescent="0.2">
      <c r="L2446" s="5"/>
      <c r="M2446" s="5"/>
      <c r="N2446" s="5"/>
      <c r="O2446" s="5"/>
      <c r="P2446" s="5"/>
      <c r="Q2446" s="5"/>
      <c r="R2446" s="5"/>
      <c r="S2446" s="5"/>
      <c r="T2446" s="5"/>
      <c r="U2446" s="5"/>
    </row>
    <row r="2447" spans="12:21" x14ac:dyDescent="0.2">
      <c r="L2447" s="5"/>
      <c r="M2447" s="5"/>
      <c r="N2447" s="5"/>
      <c r="O2447" s="5"/>
      <c r="P2447" s="5"/>
      <c r="Q2447" s="5"/>
      <c r="R2447" s="5"/>
      <c r="S2447" s="5"/>
      <c r="T2447" s="5"/>
      <c r="U2447" s="5"/>
    </row>
    <row r="2448" spans="12:21" x14ac:dyDescent="0.2">
      <c r="L2448" s="5"/>
      <c r="M2448" s="5"/>
      <c r="N2448" s="5"/>
      <c r="O2448" s="5"/>
      <c r="P2448" s="5"/>
      <c r="Q2448" s="5"/>
      <c r="R2448" s="5"/>
      <c r="S2448" s="5"/>
      <c r="T2448" s="5"/>
      <c r="U2448" s="5"/>
    </row>
    <row r="2449" spans="12:21" x14ac:dyDescent="0.2">
      <c r="L2449" s="5"/>
      <c r="M2449" s="5"/>
      <c r="N2449" s="5"/>
      <c r="O2449" s="5"/>
      <c r="P2449" s="5"/>
      <c r="Q2449" s="5"/>
      <c r="R2449" s="5"/>
      <c r="S2449" s="5"/>
      <c r="T2449" s="5"/>
      <c r="U2449" s="5"/>
    </row>
    <row r="2450" spans="12:21" x14ac:dyDescent="0.2">
      <c r="L2450" s="5"/>
      <c r="M2450" s="5"/>
      <c r="N2450" s="5"/>
      <c r="O2450" s="5"/>
      <c r="P2450" s="5"/>
      <c r="Q2450" s="5"/>
      <c r="R2450" s="5"/>
      <c r="S2450" s="5"/>
      <c r="T2450" s="5"/>
      <c r="U2450" s="5"/>
    </row>
    <row r="2451" spans="12:21" x14ac:dyDescent="0.2">
      <c r="L2451" s="5"/>
      <c r="M2451" s="5"/>
      <c r="N2451" s="5"/>
      <c r="O2451" s="5"/>
      <c r="P2451" s="5"/>
      <c r="Q2451" s="5"/>
      <c r="R2451" s="5"/>
      <c r="S2451" s="5"/>
      <c r="T2451" s="5"/>
      <c r="U2451" s="5"/>
    </row>
    <row r="2452" spans="12:21" x14ac:dyDescent="0.2">
      <c r="L2452" s="5"/>
      <c r="M2452" s="5"/>
      <c r="N2452" s="5"/>
      <c r="O2452" s="5"/>
      <c r="P2452" s="5"/>
      <c r="Q2452" s="5"/>
      <c r="R2452" s="5"/>
      <c r="S2452" s="5"/>
      <c r="T2452" s="5"/>
      <c r="U2452" s="5"/>
    </row>
    <row r="2453" spans="12:21" x14ac:dyDescent="0.2">
      <c r="L2453" s="5"/>
      <c r="M2453" s="5"/>
      <c r="N2453" s="5"/>
      <c r="O2453" s="5"/>
      <c r="P2453" s="5"/>
      <c r="Q2453" s="5"/>
      <c r="R2453" s="5"/>
      <c r="S2453" s="5"/>
      <c r="T2453" s="5"/>
      <c r="U2453" s="5"/>
    </row>
    <row r="2454" spans="12:21" x14ac:dyDescent="0.2">
      <c r="L2454" s="5"/>
      <c r="M2454" s="5"/>
      <c r="N2454" s="5"/>
      <c r="O2454" s="5"/>
      <c r="P2454" s="5"/>
      <c r="Q2454" s="5"/>
      <c r="R2454" s="5"/>
      <c r="S2454" s="5"/>
      <c r="T2454" s="5"/>
      <c r="U2454" s="5"/>
    </row>
    <row r="2455" spans="12:21" x14ac:dyDescent="0.2">
      <c r="L2455" s="5"/>
      <c r="M2455" s="5"/>
      <c r="N2455" s="5"/>
      <c r="O2455" s="5"/>
      <c r="P2455" s="5"/>
      <c r="Q2455" s="5"/>
      <c r="R2455" s="5"/>
      <c r="S2455" s="5"/>
      <c r="T2455" s="5"/>
      <c r="U2455" s="5"/>
    </row>
    <row r="2456" spans="12:21" x14ac:dyDescent="0.2">
      <c r="L2456" s="5"/>
      <c r="M2456" s="5"/>
      <c r="N2456" s="5"/>
      <c r="O2456" s="5"/>
      <c r="P2456" s="5"/>
      <c r="Q2456" s="5"/>
      <c r="R2456" s="5"/>
      <c r="S2456" s="5"/>
      <c r="T2456" s="5"/>
      <c r="U2456" s="5"/>
    </row>
    <row r="2457" spans="12:21" x14ac:dyDescent="0.2">
      <c r="L2457" s="5"/>
      <c r="M2457" s="5"/>
      <c r="N2457" s="5"/>
      <c r="O2457" s="5"/>
      <c r="P2457" s="5"/>
      <c r="Q2457" s="5"/>
      <c r="R2457" s="5"/>
      <c r="S2457" s="5"/>
      <c r="T2457" s="5"/>
      <c r="U2457" s="5"/>
    </row>
    <row r="2458" spans="12:21" x14ac:dyDescent="0.2">
      <c r="L2458" s="5"/>
      <c r="M2458" s="5"/>
      <c r="N2458" s="5"/>
      <c r="O2458" s="5"/>
      <c r="P2458" s="5"/>
      <c r="Q2458" s="5"/>
      <c r="R2458" s="5"/>
      <c r="S2458" s="5"/>
      <c r="T2458" s="5"/>
      <c r="U2458" s="5"/>
    </row>
    <row r="2459" spans="12:21" x14ac:dyDescent="0.2">
      <c r="L2459" s="5"/>
      <c r="M2459" s="5"/>
      <c r="N2459" s="5"/>
      <c r="O2459" s="5"/>
      <c r="P2459" s="5"/>
      <c r="Q2459" s="5"/>
      <c r="R2459" s="5"/>
      <c r="S2459" s="5"/>
      <c r="T2459" s="5"/>
      <c r="U2459" s="5"/>
    </row>
    <row r="2460" spans="12:21" x14ac:dyDescent="0.2">
      <c r="L2460" s="5"/>
      <c r="M2460" s="5"/>
      <c r="N2460" s="5"/>
      <c r="O2460" s="5"/>
      <c r="P2460" s="5"/>
      <c r="Q2460" s="5"/>
      <c r="R2460" s="5"/>
      <c r="S2460" s="5"/>
      <c r="T2460" s="5"/>
      <c r="U2460" s="5"/>
    </row>
    <row r="2461" spans="12:21" x14ac:dyDescent="0.2">
      <c r="L2461" s="5"/>
      <c r="M2461" s="5"/>
      <c r="N2461" s="5"/>
      <c r="O2461" s="5"/>
      <c r="P2461" s="5"/>
      <c r="Q2461" s="5"/>
      <c r="R2461" s="5"/>
      <c r="S2461" s="5"/>
      <c r="T2461" s="5"/>
      <c r="U2461" s="5"/>
    </row>
    <row r="2462" spans="12:21" x14ac:dyDescent="0.2">
      <c r="L2462" s="5"/>
      <c r="M2462" s="5"/>
      <c r="N2462" s="5"/>
      <c r="O2462" s="5"/>
      <c r="P2462" s="5"/>
      <c r="Q2462" s="5"/>
      <c r="R2462" s="5"/>
      <c r="S2462" s="5"/>
      <c r="T2462" s="5"/>
      <c r="U2462" s="5"/>
    </row>
    <row r="2463" spans="12:21" x14ac:dyDescent="0.2">
      <c r="L2463" s="5"/>
      <c r="M2463" s="5"/>
      <c r="N2463" s="5"/>
      <c r="O2463" s="5"/>
      <c r="P2463" s="5"/>
      <c r="Q2463" s="5"/>
      <c r="R2463" s="5"/>
      <c r="S2463" s="5"/>
      <c r="T2463" s="5"/>
      <c r="U2463" s="5"/>
    </row>
    <row r="2464" spans="12:21" x14ac:dyDescent="0.2">
      <c r="L2464" s="5"/>
      <c r="M2464" s="5"/>
      <c r="N2464" s="5"/>
      <c r="O2464" s="5"/>
      <c r="P2464" s="5"/>
      <c r="Q2464" s="5"/>
      <c r="R2464" s="5"/>
      <c r="S2464" s="5"/>
      <c r="T2464" s="5"/>
      <c r="U2464" s="5"/>
    </row>
    <row r="2465" spans="12:21" x14ac:dyDescent="0.2">
      <c r="L2465" s="5"/>
      <c r="M2465" s="5"/>
      <c r="N2465" s="5"/>
      <c r="O2465" s="5"/>
      <c r="P2465" s="5"/>
      <c r="Q2465" s="5"/>
      <c r="R2465" s="5"/>
      <c r="S2465" s="5"/>
      <c r="T2465" s="5"/>
      <c r="U2465" s="5"/>
    </row>
    <row r="2466" spans="12:21" x14ac:dyDescent="0.2">
      <c r="L2466" s="5"/>
      <c r="M2466" s="5"/>
      <c r="N2466" s="5"/>
      <c r="O2466" s="5"/>
      <c r="P2466" s="5"/>
      <c r="Q2466" s="5"/>
      <c r="R2466" s="5"/>
      <c r="S2466" s="5"/>
      <c r="T2466" s="5"/>
      <c r="U2466" s="5"/>
    </row>
    <row r="2467" spans="12:21" x14ac:dyDescent="0.2">
      <c r="L2467" s="5"/>
      <c r="M2467" s="5"/>
      <c r="N2467" s="5"/>
      <c r="O2467" s="5"/>
      <c r="P2467" s="5"/>
      <c r="Q2467" s="5"/>
      <c r="R2467" s="5"/>
      <c r="S2467" s="5"/>
      <c r="T2467" s="5"/>
      <c r="U2467" s="5"/>
    </row>
    <row r="2468" spans="12:21" x14ac:dyDescent="0.2">
      <c r="L2468" s="5"/>
      <c r="M2468" s="5"/>
      <c r="N2468" s="5"/>
      <c r="O2468" s="5"/>
      <c r="P2468" s="5"/>
      <c r="Q2468" s="5"/>
      <c r="R2468" s="5"/>
      <c r="S2468" s="5"/>
      <c r="T2468" s="5"/>
      <c r="U2468" s="5"/>
    </row>
    <row r="2469" spans="12:21" x14ac:dyDescent="0.2">
      <c r="L2469" s="5"/>
      <c r="M2469" s="5"/>
      <c r="N2469" s="5"/>
      <c r="O2469" s="5"/>
      <c r="P2469" s="5"/>
      <c r="Q2469" s="5"/>
      <c r="R2469" s="5"/>
      <c r="S2469" s="5"/>
      <c r="T2469" s="5"/>
      <c r="U2469" s="5"/>
    </row>
    <row r="2470" spans="12:21" x14ac:dyDescent="0.2">
      <c r="L2470" s="5"/>
      <c r="M2470" s="5"/>
      <c r="N2470" s="5"/>
      <c r="O2470" s="5"/>
      <c r="P2470" s="5"/>
      <c r="Q2470" s="5"/>
      <c r="R2470" s="5"/>
      <c r="S2470" s="5"/>
      <c r="T2470" s="5"/>
      <c r="U2470" s="5"/>
    </row>
    <row r="2471" spans="12:21" x14ac:dyDescent="0.2">
      <c r="L2471" s="5"/>
      <c r="M2471" s="5"/>
      <c r="N2471" s="5"/>
      <c r="O2471" s="5"/>
      <c r="P2471" s="5"/>
      <c r="Q2471" s="5"/>
      <c r="R2471" s="5"/>
      <c r="S2471" s="5"/>
      <c r="T2471" s="5"/>
      <c r="U2471" s="5"/>
    </row>
    <row r="2472" spans="12:21" x14ac:dyDescent="0.2">
      <c r="L2472" s="5"/>
      <c r="M2472" s="5"/>
      <c r="N2472" s="5"/>
      <c r="O2472" s="5"/>
      <c r="P2472" s="5"/>
      <c r="Q2472" s="5"/>
      <c r="R2472" s="5"/>
      <c r="S2472" s="5"/>
      <c r="T2472" s="5"/>
      <c r="U2472" s="5"/>
    </row>
    <row r="2473" spans="12:21" x14ac:dyDescent="0.2">
      <c r="L2473" s="5"/>
      <c r="M2473" s="5"/>
      <c r="N2473" s="5"/>
      <c r="O2473" s="5"/>
      <c r="P2473" s="5"/>
      <c r="Q2473" s="5"/>
      <c r="R2473" s="5"/>
      <c r="S2473" s="5"/>
      <c r="T2473" s="5"/>
      <c r="U2473" s="5"/>
    </row>
    <row r="2474" spans="12:21" x14ac:dyDescent="0.2">
      <c r="L2474" s="5"/>
      <c r="M2474" s="5"/>
      <c r="N2474" s="5"/>
      <c r="O2474" s="5"/>
      <c r="P2474" s="5"/>
      <c r="Q2474" s="5"/>
      <c r="R2474" s="5"/>
      <c r="S2474" s="5"/>
      <c r="T2474" s="5"/>
      <c r="U2474" s="5"/>
    </row>
    <row r="2475" spans="12:21" x14ac:dyDescent="0.2">
      <c r="L2475" s="5"/>
      <c r="M2475" s="5"/>
      <c r="N2475" s="5"/>
      <c r="O2475" s="5"/>
      <c r="P2475" s="5"/>
      <c r="Q2475" s="5"/>
      <c r="R2475" s="5"/>
      <c r="S2475" s="5"/>
      <c r="T2475" s="5"/>
      <c r="U2475" s="5"/>
    </row>
    <row r="2476" spans="12:21" x14ac:dyDescent="0.2">
      <c r="L2476" s="5"/>
      <c r="M2476" s="5"/>
      <c r="N2476" s="5"/>
      <c r="O2476" s="5"/>
      <c r="P2476" s="5"/>
      <c r="Q2476" s="5"/>
      <c r="R2476" s="5"/>
      <c r="S2476" s="5"/>
      <c r="T2476" s="5"/>
      <c r="U2476" s="5"/>
    </row>
    <row r="2477" spans="12:21" x14ac:dyDescent="0.2">
      <c r="L2477" s="5"/>
      <c r="M2477" s="5"/>
      <c r="N2477" s="5"/>
      <c r="O2477" s="5"/>
      <c r="P2477" s="5"/>
      <c r="Q2477" s="5"/>
      <c r="R2477" s="5"/>
      <c r="S2477" s="5"/>
      <c r="T2477" s="5"/>
      <c r="U2477" s="5"/>
    </row>
    <row r="2478" spans="12:21" x14ac:dyDescent="0.2">
      <c r="L2478" s="5"/>
      <c r="M2478" s="5"/>
      <c r="N2478" s="5"/>
      <c r="O2478" s="5"/>
      <c r="P2478" s="5"/>
      <c r="Q2478" s="5"/>
      <c r="R2478" s="5"/>
      <c r="S2478" s="5"/>
      <c r="T2478" s="5"/>
      <c r="U2478" s="5"/>
    </row>
    <row r="2479" spans="12:21" x14ac:dyDescent="0.2">
      <c r="L2479" s="5"/>
      <c r="M2479" s="5"/>
      <c r="N2479" s="5"/>
      <c r="O2479" s="5"/>
      <c r="P2479" s="5"/>
      <c r="Q2479" s="5"/>
      <c r="R2479" s="5"/>
      <c r="S2479" s="5"/>
      <c r="T2479" s="5"/>
      <c r="U2479" s="5"/>
    </row>
    <row r="2480" spans="12:21" x14ac:dyDescent="0.2">
      <c r="L2480" s="5"/>
      <c r="M2480" s="5"/>
      <c r="N2480" s="5"/>
      <c r="O2480" s="5"/>
      <c r="P2480" s="5"/>
      <c r="Q2480" s="5"/>
      <c r="R2480" s="5"/>
      <c r="S2480" s="5"/>
      <c r="T2480" s="5"/>
      <c r="U2480" s="5"/>
    </row>
    <row r="2481" spans="12:21" x14ac:dyDescent="0.2">
      <c r="L2481" s="5"/>
      <c r="M2481" s="5"/>
      <c r="N2481" s="5"/>
      <c r="O2481" s="5"/>
      <c r="P2481" s="5"/>
      <c r="Q2481" s="5"/>
      <c r="R2481" s="5"/>
      <c r="S2481" s="5"/>
      <c r="T2481" s="5"/>
      <c r="U2481" s="5"/>
    </row>
    <row r="2482" spans="12:21" x14ac:dyDescent="0.2">
      <c r="L2482" s="5"/>
      <c r="M2482" s="5"/>
      <c r="N2482" s="5"/>
      <c r="O2482" s="5"/>
      <c r="P2482" s="5"/>
      <c r="Q2482" s="5"/>
      <c r="R2482" s="5"/>
      <c r="S2482" s="5"/>
      <c r="T2482" s="5"/>
      <c r="U2482" s="5"/>
    </row>
    <row r="2483" spans="12:21" x14ac:dyDescent="0.2">
      <c r="L2483" s="5"/>
      <c r="M2483" s="5"/>
      <c r="N2483" s="5"/>
      <c r="O2483" s="5"/>
      <c r="P2483" s="5"/>
      <c r="Q2483" s="5"/>
      <c r="R2483" s="5"/>
      <c r="S2483" s="5"/>
      <c r="T2483" s="5"/>
      <c r="U2483" s="5"/>
    </row>
    <row r="2484" spans="12:21" x14ac:dyDescent="0.2">
      <c r="L2484" s="5"/>
      <c r="M2484" s="5"/>
      <c r="N2484" s="5"/>
      <c r="O2484" s="5"/>
      <c r="P2484" s="5"/>
      <c r="Q2484" s="5"/>
      <c r="R2484" s="5"/>
      <c r="S2484" s="5"/>
      <c r="T2484" s="5"/>
      <c r="U2484" s="5"/>
    </row>
    <row r="2485" spans="12:21" x14ac:dyDescent="0.2">
      <c r="L2485" s="5"/>
      <c r="M2485" s="5"/>
      <c r="N2485" s="5"/>
      <c r="O2485" s="5"/>
      <c r="P2485" s="5"/>
      <c r="Q2485" s="5"/>
      <c r="R2485" s="5"/>
      <c r="S2485" s="5"/>
      <c r="T2485" s="5"/>
      <c r="U2485" s="5"/>
    </row>
    <row r="2486" spans="12:21" x14ac:dyDescent="0.2">
      <c r="L2486" s="5"/>
      <c r="M2486" s="5"/>
      <c r="N2486" s="5"/>
      <c r="O2486" s="5"/>
      <c r="P2486" s="5"/>
      <c r="Q2486" s="5"/>
      <c r="R2486" s="5"/>
      <c r="S2486" s="5"/>
      <c r="T2486" s="5"/>
      <c r="U2486" s="5"/>
    </row>
    <row r="2487" spans="12:21" x14ac:dyDescent="0.2">
      <c r="L2487" s="5"/>
      <c r="M2487" s="5"/>
      <c r="N2487" s="5"/>
      <c r="O2487" s="5"/>
      <c r="P2487" s="5"/>
      <c r="Q2487" s="5"/>
      <c r="R2487" s="5"/>
      <c r="S2487" s="5"/>
      <c r="T2487" s="5"/>
      <c r="U2487" s="5"/>
    </row>
    <row r="2488" spans="12:21" x14ac:dyDescent="0.2">
      <c r="L2488" s="5"/>
      <c r="M2488" s="5"/>
      <c r="N2488" s="5"/>
      <c r="O2488" s="5"/>
      <c r="P2488" s="5"/>
      <c r="Q2488" s="5"/>
      <c r="R2488" s="5"/>
      <c r="S2488" s="5"/>
      <c r="T2488" s="5"/>
      <c r="U2488" s="5"/>
    </row>
    <row r="2489" spans="12:21" x14ac:dyDescent="0.2">
      <c r="L2489" s="5"/>
      <c r="M2489" s="5"/>
      <c r="N2489" s="5"/>
      <c r="O2489" s="5"/>
      <c r="P2489" s="5"/>
      <c r="Q2489" s="5"/>
      <c r="R2489" s="5"/>
      <c r="S2489" s="5"/>
      <c r="T2489" s="5"/>
      <c r="U2489" s="5"/>
    </row>
    <row r="2490" spans="12:21" x14ac:dyDescent="0.2">
      <c r="L2490" s="5"/>
      <c r="M2490" s="5"/>
      <c r="N2490" s="5"/>
      <c r="O2490" s="5"/>
      <c r="P2490" s="5"/>
      <c r="Q2490" s="5"/>
      <c r="R2490" s="5"/>
      <c r="S2490" s="5"/>
      <c r="T2490" s="5"/>
      <c r="U2490" s="5"/>
    </row>
    <row r="2491" spans="12:21" x14ac:dyDescent="0.2">
      <c r="L2491" s="5"/>
      <c r="M2491" s="5"/>
      <c r="N2491" s="5"/>
      <c r="O2491" s="5"/>
      <c r="P2491" s="5"/>
      <c r="Q2491" s="5"/>
      <c r="R2491" s="5"/>
      <c r="S2491" s="5"/>
      <c r="T2491" s="5"/>
      <c r="U2491" s="5"/>
    </row>
    <row r="2492" spans="12:21" x14ac:dyDescent="0.2">
      <c r="L2492" s="5"/>
      <c r="M2492" s="5"/>
      <c r="N2492" s="5"/>
      <c r="O2492" s="5"/>
      <c r="P2492" s="5"/>
      <c r="Q2492" s="5"/>
      <c r="R2492" s="5"/>
      <c r="S2492" s="5"/>
      <c r="T2492" s="5"/>
      <c r="U2492" s="5"/>
    </row>
    <row r="2493" spans="12:21" x14ac:dyDescent="0.2">
      <c r="L2493" s="5"/>
      <c r="M2493" s="5"/>
      <c r="N2493" s="5"/>
      <c r="O2493" s="5"/>
      <c r="P2493" s="5"/>
      <c r="Q2493" s="5"/>
      <c r="R2493" s="5"/>
      <c r="S2493" s="5"/>
      <c r="T2493" s="5"/>
      <c r="U2493" s="5"/>
    </row>
    <row r="2494" spans="12:21" x14ac:dyDescent="0.2">
      <c r="L2494" s="5"/>
      <c r="M2494" s="5"/>
      <c r="N2494" s="5"/>
      <c r="O2494" s="5"/>
      <c r="P2494" s="5"/>
      <c r="Q2494" s="5"/>
      <c r="R2494" s="5"/>
      <c r="S2494" s="5"/>
      <c r="T2494" s="5"/>
      <c r="U2494" s="5"/>
    </row>
    <row r="2495" spans="12:21" x14ac:dyDescent="0.2">
      <c r="L2495" s="5"/>
      <c r="M2495" s="5"/>
      <c r="N2495" s="5"/>
      <c r="O2495" s="5"/>
      <c r="P2495" s="5"/>
      <c r="Q2495" s="5"/>
      <c r="R2495" s="5"/>
      <c r="S2495" s="5"/>
      <c r="T2495" s="5"/>
      <c r="U2495" s="5"/>
    </row>
    <row r="2496" spans="12:21" x14ac:dyDescent="0.2">
      <c r="L2496" s="5"/>
      <c r="M2496" s="5"/>
      <c r="N2496" s="5"/>
      <c r="O2496" s="5"/>
      <c r="P2496" s="5"/>
      <c r="Q2496" s="5"/>
      <c r="R2496" s="5"/>
      <c r="S2496" s="5"/>
      <c r="T2496" s="5"/>
      <c r="U2496" s="5"/>
    </row>
    <row r="2497" spans="12:21" x14ac:dyDescent="0.2">
      <c r="L2497" s="5"/>
      <c r="M2497" s="5"/>
      <c r="N2497" s="5"/>
      <c r="O2497" s="5"/>
      <c r="P2497" s="5"/>
      <c r="Q2497" s="5"/>
      <c r="R2497" s="5"/>
      <c r="S2497" s="5"/>
      <c r="T2497" s="5"/>
      <c r="U2497" s="5"/>
    </row>
    <row r="2498" spans="12:21" x14ac:dyDescent="0.2">
      <c r="L2498" s="5"/>
      <c r="M2498" s="5"/>
      <c r="N2498" s="5"/>
      <c r="O2498" s="5"/>
      <c r="P2498" s="5"/>
      <c r="Q2498" s="5"/>
      <c r="R2498" s="5"/>
      <c r="S2498" s="5"/>
      <c r="T2498" s="5"/>
      <c r="U2498" s="5"/>
    </row>
    <row r="2499" spans="12:21" x14ac:dyDescent="0.2">
      <c r="L2499" s="5"/>
      <c r="M2499" s="5"/>
      <c r="N2499" s="5"/>
      <c r="O2499" s="5"/>
      <c r="P2499" s="5"/>
      <c r="Q2499" s="5"/>
      <c r="R2499" s="5"/>
      <c r="S2499" s="5"/>
      <c r="T2499" s="5"/>
      <c r="U2499" s="5"/>
    </row>
    <row r="2500" spans="12:21" x14ac:dyDescent="0.2">
      <c r="L2500" s="5"/>
      <c r="M2500" s="5"/>
      <c r="N2500" s="5"/>
      <c r="O2500" s="5"/>
      <c r="P2500" s="5"/>
      <c r="Q2500" s="5"/>
      <c r="R2500" s="5"/>
      <c r="S2500" s="5"/>
      <c r="T2500" s="5"/>
      <c r="U2500" s="5"/>
    </row>
    <row r="2501" spans="12:21" x14ac:dyDescent="0.2">
      <c r="L2501" s="5"/>
      <c r="M2501" s="5"/>
      <c r="N2501" s="5"/>
      <c r="O2501" s="5"/>
      <c r="P2501" s="5"/>
      <c r="Q2501" s="5"/>
      <c r="R2501" s="5"/>
      <c r="S2501" s="5"/>
      <c r="T2501" s="5"/>
      <c r="U2501" s="5"/>
    </row>
    <row r="2502" spans="12:21" x14ac:dyDescent="0.2">
      <c r="L2502" s="5"/>
      <c r="M2502" s="5"/>
      <c r="N2502" s="5"/>
      <c r="O2502" s="5"/>
      <c r="P2502" s="5"/>
      <c r="Q2502" s="5"/>
      <c r="R2502" s="5"/>
      <c r="S2502" s="5"/>
      <c r="T2502" s="5"/>
      <c r="U2502" s="5"/>
    </row>
    <row r="2503" spans="12:21" x14ac:dyDescent="0.2">
      <c r="L2503" s="5"/>
      <c r="M2503" s="5"/>
      <c r="N2503" s="5"/>
      <c r="O2503" s="5"/>
      <c r="P2503" s="5"/>
      <c r="Q2503" s="5"/>
      <c r="R2503" s="5"/>
      <c r="S2503" s="5"/>
      <c r="T2503" s="5"/>
      <c r="U2503" s="5"/>
    </row>
    <row r="2504" spans="12:21" x14ac:dyDescent="0.2">
      <c r="L2504" s="5"/>
      <c r="M2504" s="5"/>
      <c r="N2504" s="5"/>
      <c r="O2504" s="5"/>
      <c r="P2504" s="5"/>
      <c r="Q2504" s="5"/>
      <c r="R2504" s="5"/>
      <c r="S2504" s="5"/>
      <c r="T2504" s="5"/>
      <c r="U2504" s="5"/>
    </row>
    <row r="2505" spans="12:21" x14ac:dyDescent="0.2">
      <c r="L2505" s="5"/>
      <c r="M2505" s="5"/>
      <c r="N2505" s="5"/>
      <c r="O2505" s="5"/>
      <c r="P2505" s="5"/>
      <c r="Q2505" s="5"/>
      <c r="R2505" s="5"/>
      <c r="S2505" s="5"/>
      <c r="T2505" s="5"/>
      <c r="U2505" s="5"/>
    </row>
    <row r="2506" spans="12:21" x14ac:dyDescent="0.2">
      <c r="L2506" s="5"/>
      <c r="M2506" s="5"/>
      <c r="N2506" s="5"/>
      <c r="O2506" s="5"/>
      <c r="P2506" s="5"/>
      <c r="Q2506" s="5"/>
      <c r="R2506" s="5"/>
      <c r="S2506" s="5"/>
      <c r="T2506" s="5"/>
      <c r="U2506" s="5"/>
    </row>
    <row r="2507" spans="12:21" x14ac:dyDescent="0.2">
      <c r="L2507" s="5"/>
      <c r="M2507" s="5"/>
      <c r="N2507" s="5"/>
      <c r="O2507" s="5"/>
      <c r="P2507" s="5"/>
      <c r="Q2507" s="5"/>
      <c r="R2507" s="5"/>
      <c r="S2507" s="5"/>
      <c r="T2507" s="5"/>
      <c r="U2507" s="5"/>
    </row>
    <row r="2508" spans="12:21" x14ac:dyDescent="0.2">
      <c r="L2508" s="5"/>
      <c r="M2508" s="5"/>
      <c r="N2508" s="5"/>
      <c r="O2508" s="5"/>
      <c r="P2508" s="5"/>
      <c r="Q2508" s="5"/>
      <c r="R2508" s="5"/>
      <c r="S2508" s="5"/>
      <c r="T2508" s="5"/>
      <c r="U2508" s="5"/>
    </row>
    <row r="2509" spans="12:21" x14ac:dyDescent="0.2">
      <c r="L2509" s="5"/>
      <c r="M2509" s="5"/>
      <c r="N2509" s="5"/>
      <c r="O2509" s="5"/>
      <c r="P2509" s="5"/>
      <c r="Q2509" s="5"/>
      <c r="R2509" s="5"/>
      <c r="S2509" s="5"/>
      <c r="T2509" s="5"/>
      <c r="U2509" s="5"/>
    </row>
    <row r="2510" spans="12:21" x14ac:dyDescent="0.2">
      <c r="L2510" s="5"/>
      <c r="M2510" s="5"/>
      <c r="N2510" s="5"/>
      <c r="O2510" s="5"/>
      <c r="P2510" s="5"/>
      <c r="Q2510" s="5"/>
      <c r="R2510" s="5"/>
      <c r="S2510" s="5"/>
      <c r="T2510" s="5"/>
      <c r="U2510" s="5"/>
    </row>
    <row r="2511" spans="12:21" x14ac:dyDescent="0.2">
      <c r="L2511" s="5"/>
      <c r="M2511" s="5"/>
      <c r="N2511" s="5"/>
      <c r="O2511" s="5"/>
      <c r="P2511" s="5"/>
      <c r="Q2511" s="5"/>
      <c r="R2511" s="5"/>
      <c r="S2511" s="5"/>
      <c r="T2511" s="5"/>
      <c r="U2511" s="5"/>
    </row>
    <row r="2512" spans="12:21" x14ac:dyDescent="0.2">
      <c r="L2512" s="5"/>
      <c r="M2512" s="5"/>
      <c r="N2512" s="5"/>
      <c r="O2512" s="5"/>
      <c r="P2512" s="5"/>
      <c r="Q2512" s="5"/>
      <c r="R2512" s="5"/>
      <c r="S2512" s="5"/>
      <c r="T2512" s="5"/>
      <c r="U2512" s="5"/>
    </row>
    <row r="2513" spans="12:21" x14ac:dyDescent="0.2">
      <c r="L2513" s="5"/>
      <c r="M2513" s="5"/>
      <c r="N2513" s="5"/>
      <c r="O2513" s="5"/>
      <c r="P2513" s="5"/>
      <c r="Q2513" s="5"/>
      <c r="R2513" s="5"/>
      <c r="S2513" s="5"/>
      <c r="T2513" s="5"/>
      <c r="U2513" s="5"/>
    </row>
    <row r="2514" spans="12:21" x14ac:dyDescent="0.2">
      <c r="L2514" s="5"/>
      <c r="M2514" s="5"/>
      <c r="N2514" s="5"/>
      <c r="O2514" s="5"/>
      <c r="P2514" s="5"/>
      <c r="Q2514" s="5"/>
      <c r="R2514" s="5"/>
      <c r="S2514" s="5"/>
      <c r="T2514" s="5"/>
      <c r="U2514" s="5"/>
    </row>
    <row r="2515" spans="12:21" x14ac:dyDescent="0.2">
      <c r="L2515" s="5"/>
      <c r="M2515" s="5"/>
      <c r="N2515" s="5"/>
      <c r="O2515" s="5"/>
      <c r="P2515" s="5"/>
      <c r="Q2515" s="5"/>
      <c r="R2515" s="5"/>
      <c r="S2515" s="5"/>
      <c r="T2515" s="5"/>
      <c r="U2515" s="5"/>
    </row>
    <row r="2516" spans="12:21" x14ac:dyDescent="0.2">
      <c r="L2516" s="5"/>
      <c r="M2516" s="5"/>
      <c r="N2516" s="5"/>
      <c r="O2516" s="5"/>
      <c r="P2516" s="5"/>
      <c r="Q2516" s="5"/>
      <c r="R2516" s="5"/>
      <c r="S2516" s="5"/>
      <c r="T2516" s="5"/>
      <c r="U2516" s="5"/>
    </row>
    <row r="2517" spans="12:21" x14ac:dyDescent="0.2">
      <c r="L2517" s="5"/>
      <c r="M2517" s="5"/>
      <c r="N2517" s="5"/>
      <c r="O2517" s="5"/>
      <c r="P2517" s="5"/>
      <c r="Q2517" s="5"/>
      <c r="R2517" s="5"/>
      <c r="S2517" s="5"/>
      <c r="T2517" s="5"/>
      <c r="U2517" s="5"/>
    </row>
    <row r="2518" spans="12:21" x14ac:dyDescent="0.2">
      <c r="L2518" s="5"/>
      <c r="M2518" s="5"/>
      <c r="N2518" s="5"/>
      <c r="O2518" s="5"/>
      <c r="P2518" s="5"/>
      <c r="Q2518" s="5"/>
      <c r="R2518" s="5"/>
      <c r="S2518" s="5"/>
      <c r="T2518" s="5"/>
      <c r="U2518" s="5"/>
    </row>
    <row r="2519" spans="12:21" x14ac:dyDescent="0.2">
      <c r="L2519" s="5"/>
      <c r="M2519" s="5"/>
      <c r="N2519" s="5"/>
      <c r="O2519" s="5"/>
      <c r="P2519" s="5"/>
      <c r="Q2519" s="5"/>
      <c r="R2519" s="5"/>
      <c r="S2519" s="5"/>
      <c r="T2519" s="5"/>
      <c r="U2519" s="5"/>
    </row>
    <row r="2520" spans="12:21" x14ac:dyDescent="0.2">
      <c r="L2520" s="5"/>
      <c r="M2520" s="5"/>
      <c r="N2520" s="5"/>
      <c r="O2520" s="5"/>
      <c r="P2520" s="5"/>
      <c r="Q2520" s="5"/>
      <c r="R2520" s="5"/>
      <c r="S2520" s="5"/>
      <c r="T2520" s="5"/>
      <c r="U2520" s="5"/>
    </row>
    <row r="2521" spans="12:21" x14ac:dyDescent="0.2">
      <c r="L2521" s="5"/>
      <c r="M2521" s="5"/>
      <c r="N2521" s="5"/>
      <c r="O2521" s="5"/>
      <c r="P2521" s="5"/>
      <c r="Q2521" s="5"/>
      <c r="R2521" s="5"/>
      <c r="S2521" s="5"/>
      <c r="T2521" s="5"/>
      <c r="U2521" s="5"/>
    </row>
    <row r="2522" spans="12:21" x14ac:dyDescent="0.2">
      <c r="L2522" s="5"/>
      <c r="M2522" s="5"/>
      <c r="N2522" s="5"/>
      <c r="O2522" s="5"/>
      <c r="P2522" s="5"/>
      <c r="Q2522" s="5"/>
      <c r="R2522" s="5"/>
      <c r="S2522" s="5"/>
      <c r="T2522" s="5"/>
      <c r="U2522" s="5"/>
    </row>
    <row r="2523" spans="12:21" x14ac:dyDescent="0.2">
      <c r="L2523" s="5"/>
      <c r="M2523" s="5"/>
      <c r="N2523" s="5"/>
      <c r="O2523" s="5"/>
      <c r="P2523" s="5"/>
      <c r="Q2523" s="5"/>
      <c r="R2523" s="5"/>
      <c r="S2523" s="5"/>
      <c r="T2523" s="5"/>
      <c r="U2523" s="5"/>
    </row>
    <row r="2524" spans="12:21" x14ac:dyDescent="0.2">
      <c r="L2524" s="5"/>
      <c r="M2524" s="5"/>
      <c r="N2524" s="5"/>
      <c r="O2524" s="5"/>
      <c r="P2524" s="5"/>
      <c r="Q2524" s="5"/>
      <c r="R2524" s="5"/>
      <c r="S2524" s="5"/>
      <c r="T2524" s="5"/>
      <c r="U2524" s="5"/>
    </row>
    <row r="2525" spans="12:21" x14ac:dyDescent="0.2">
      <c r="L2525" s="5"/>
      <c r="M2525" s="5"/>
      <c r="N2525" s="5"/>
      <c r="O2525" s="5"/>
      <c r="P2525" s="5"/>
      <c r="Q2525" s="5"/>
      <c r="R2525" s="5"/>
      <c r="S2525" s="5"/>
      <c r="T2525" s="5"/>
      <c r="U2525" s="5"/>
    </row>
    <row r="2526" spans="12:21" x14ac:dyDescent="0.2">
      <c r="L2526" s="5"/>
      <c r="M2526" s="5"/>
      <c r="N2526" s="5"/>
      <c r="O2526" s="5"/>
      <c r="P2526" s="5"/>
      <c r="Q2526" s="5"/>
      <c r="R2526" s="5"/>
      <c r="S2526" s="5"/>
      <c r="T2526" s="5"/>
      <c r="U2526" s="5"/>
    </row>
    <row r="2527" spans="12:21" x14ac:dyDescent="0.2">
      <c r="L2527" s="5"/>
      <c r="M2527" s="5"/>
      <c r="N2527" s="5"/>
      <c r="O2527" s="5"/>
      <c r="P2527" s="5"/>
      <c r="Q2527" s="5"/>
      <c r="R2527" s="5"/>
      <c r="S2527" s="5"/>
      <c r="T2527" s="5"/>
      <c r="U2527" s="5"/>
    </row>
    <row r="2528" spans="12:21" x14ac:dyDescent="0.2">
      <c r="L2528" s="5"/>
      <c r="M2528" s="5"/>
      <c r="N2528" s="5"/>
      <c r="O2528" s="5"/>
      <c r="P2528" s="5"/>
      <c r="Q2528" s="5"/>
      <c r="R2528" s="5"/>
      <c r="S2528" s="5"/>
      <c r="T2528" s="5"/>
      <c r="U2528" s="5"/>
    </row>
    <row r="2529" spans="12:21" x14ac:dyDescent="0.2">
      <c r="L2529" s="5"/>
      <c r="M2529" s="5"/>
      <c r="N2529" s="5"/>
      <c r="O2529" s="5"/>
      <c r="P2529" s="5"/>
      <c r="Q2529" s="5"/>
      <c r="R2529" s="5"/>
      <c r="S2529" s="5"/>
      <c r="T2529" s="5"/>
      <c r="U2529" s="5"/>
    </row>
    <row r="2530" spans="12:21" x14ac:dyDescent="0.2">
      <c r="L2530" s="5"/>
      <c r="M2530" s="5"/>
      <c r="N2530" s="5"/>
      <c r="O2530" s="5"/>
      <c r="P2530" s="5"/>
      <c r="Q2530" s="5"/>
      <c r="R2530" s="5"/>
      <c r="S2530" s="5"/>
      <c r="T2530" s="5"/>
      <c r="U2530" s="5"/>
    </row>
    <row r="2531" spans="12:21" x14ac:dyDescent="0.2">
      <c r="L2531" s="5"/>
      <c r="M2531" s="5"/>
      <c r="N2531" s="5"/>
      <c r="O2531" s="5"/>
      <c r="P2531" s="5"/>
      <c r="Q2531" s="5"/>
      <c r="R2531" s="5"/>
      <c r="S2531" s="5"/>
      <c r="T2531" s="5"/>
      <c r="U2531" s="5"/>
    </row>
    <row r="2532" spans="12:21" x14ac:dyDescent="0.2">
      <c r="L2532" s="5"/>
      <c r="M2532" s="5"/>
      <c r="N2532" s="5"/>
      <c r="O2532" s="5"/>
      <c r="P2532" s="5"/>
      <c r="Q2532" s="5"/>
      <c r="R2532" s="5"/>
      <c r="S2532" s="5"/>
      <c r="T2532" s="5"/>
      <c r="U2532" s="5"/>
    </row>
    <row r="2533" spans="12:21" x14ac:dyDescent="0.2">
      <c r="L2533" s="5"/>
      <c r="M2533" s="5"/>
      <c r="N2533" s="5"/>
      <c r="O2533" s="5"/>
      <c r="P2533" s="5"/>
      <c r="Q2533" s="5"/>
      <c r="R2533" s="5"/>
      <c r="S2533" s="5"/>
      <c r="T2533" s="5"/>
      <c r="U2533" s="5"/>
    </row>
    <row r="2534" spans="12:21" x14ac:dyDescent="0.2">
      <c r="L2534" s="5"/>
      <c r="M2534" s="5"/>
      <c r="N2534" s="5"/>
      <c r="O2534" s="5"/>
      <c r="P2534" s="5"/>
      <c r="Q2534" s="5"/>
      <c r="R2534" s="5"/>
      <c r="S2534" s="5"/>
      <c r="T2534" s="5"/>
      <c r="U2534" s="5"/>
    </row>
    <row r="2535" spans="12:21" x14ac:dyDescent="0.2">
      <c r="L2535" s="5"/>
      <c r="M2535" s="5"/>
      <c r="N2535" s="5"/>
      <c r="O2535" s="5"/>
      <c r="P2535" s="5"/>
      <c r="Q2535" s="5"/>
      <c r="R2535" s="5"/>
      <c r="S2535" s="5"/>
      <c r="T2535" s="5"/>
      <c r="U2535" s="5"/>
    </row>
    <row r="2536" spans="12:21" x14ac:dyDescent="0.2">
      <c r="L2536" s="5"/>
      <c r="M2536" s="5"/>
      <c r="N2536" s="5"/>
      <c r="O2536" s="5"/>
      <c r="P2536" s="5"/>
      <c r="Q2536" s="5"/>
      <c r="R2536" s="5"/>
      <c r="S2536" s="5"/>
      <c r="T2536" s="5"/>
      <c r="U2536" s="5"/>
    </row>
    <row r="2537" spans="12:21" x14ac:dyDescent="0.2">
      <c r="L2537" s="5"/>
      <c r="M2537" s="5"/>
      <c r="N2537" s="5"/>
      <c r="O2537" s="5"/>
      <c r="P2537" s="5"/>
      <c r="Q2537" s="5"/>
      <c r="R2537" s="5"/>
      <c r="S2537" s="5"/>
      <c r="T2537" s="5"/>
      <c r="U2537" s="5"/>
    </row>
    <row r="2538" spans="12:21" x14ac:dyDescent="0.2">
      <c r="L2538" s="5"/>
      <c r="M2538" s="5"/>
      <c r="N2538" s="5"/>
      <c r="O2538" s="5"/>
      <c r="P2538" s="5"/>
      <c r="Q2538" s="5"/>
      <c r="R2538" s="5"/>
      <c r="S2538" s="5"/>
      <c r="T2538" s="5"/>
      <c r="U2538" s="5"/>
    </row>
    <row r="2539" spans="12:21" x14ac:dyDescent="0.2">
      <c r="L2539" s="5"/>
      <c r="M2539" s="5"/>
      <c r="N2539" s="5"/>
      <c r="O2539" s="5"/>
      <c r="P2539" s="5"/>
      <c r="Q2539" s="5"/>
      <c r="R2539" s="5"/>
      <c r="S2539" s="5"/>
      <c r="T2539" s="5"/>
      <c r="U2539" s="5"/>
    </row>
    <row r="2540" spans="12:21" x14ac:dyDescent="0.2">
      <c r="L2540" s="5"/>
      <c r="M2540" s="5"/>
      <c r="N2540" s="5"/>
      <c r="O2540" s="5"/>
      <c r="P2540" s="5"/>
      <c r="Q2540" s="5"/>
      <c r="R2540" s="5"/>
      <c r="S2540" s="5"/>
      <c r="T2540" s="5"/>
      <c r="U2540" s="5"/>
    </row>
    <row r="2541" spans="12:21" x14ac:dyDescent="0.2">
      <c r="L2541" s="5"/>
      <c r="M2541" s="5"/>
      <c r="N2541" s="5"/>
      <c r="O2541" s="5"/>
      <c r="P2541" s="5"/>
      <c r="Q2541" s="5"/>
      <c r="R2541" s="5"/>
      <c r="S2541" s="5"/>
      <c r="T2541" s="5"/>
      <c r="U2541" s="5"/>
    </row>
    <row r="2542" spans="12:21" x14ac:dyDescent="0.2">
      <c r="L2542" s="5"/>
      <c r="M2542" s="5"/>
      <c r="N2542" s="5"/>
      <c r="O2542" s="5"/>
      <c r="P2542" s="5"/>
      <c r="Q2542" s="5"/>
      <c r="R2542" s="5"/>
      <c r="S2542" s="5"/>
      <c r="T2542" s="5"/>
      <c r="U2542" s="5"/>
    </row>
    <row r="2543" spans="12:21" x14ac:dyDescent="0.2">
      <c r="L2543" s="5"/>
      <c r="M2543" s="5"/>
      <c r="N2543" s="5"/>
      <c r="O2543" s="5"/>
      <c r="P2543" s="5"/>
      <c r="Q2543" s="5"/>
      <c r="R2543" s="5"/>
      <c r="S2543" s="5"/>
      <c r="T2543" s="5"/>
      <c r="U2543" s="5"/>
    </row>
    <row r="2544" spans="12:21" x14ac:dyDescent="0.2">
      <c r="L2544" s="5"/>
      <c r="M2544" s="5"/>
      <c r="N2544" s="5"/>
      <c r="O2544" s="5"/>
      <c r="P2544" s="5"/>
      <c r="Q2544" s="5"/>
      <c r="R2544" s="5"/>
      <c r="S2544" s="5"/>
      <c r="T2544" s="5"/>
      <c r="U2544" s="5"/>
    </row>
    <row r="2545" spans="12:21" x14ac:dyDescent="0.2">
      <c r="L2545" s="5"/>
      <c r="M2545" s="5"/>
      <c r="N2545" s="5"/>
      <c r="O2545" s="5"/>
      <c r="P2545" s="5"/>
      <c r="Q2545" s="5"/>
      <c r="R2545" s="5"/>
      <c r="S2545" s="5"/>
      <c r="T2545" s="5"/>
      <c r="U2545" s="5"/>
    </row>
    <row r="2546" spans="12:21" x14ac:dyDescent="0.2">
      <c r="L2546" s="5"/>
      <c r="M2546" s="5"/>
      <c r="N2546" s="5"/>
      <c r="O2546" s="5"/>
      <c r="P2546" s="5"/>
      <c r="Q2546" s="5"/>
      <c r="R2546" s="5"/>
      <c r="S2546" s="5"/>
      <c r="T2546" s="5"/>
      <c r="U2546" s="5"/>
    </row>
    <row r="2547" spans="12:21" x14ac:dyDescent="0.2">
      <c r="L2547" s="5"/>
      <c r="M2547" s="5"/>
      <c r="N2547" s="5"/>
      <c r="O2547" s="5"/>
      <c r="P2547" s="5"/>
      <c r="Q2547" s="5"/>
      <c r="R2547" s="5"/>
      <c r="S2547" s="5"/>
      <c r="T2547" s="5"/>
      <c r="U2547" s="5"/>
    </row>
    <row r="2548" spans="12:21" x14ac:dyDescent="0.2">
      <c r="L2548" s="5"/>
      <c r="M2548" s="5"/>
      <c r="N2548" s="5"/>
      <c r="O2548" s="5"/>
      <c r="P2548" s="5"/>
      <c r="Q2548" s="5"/>
      <c r="R2548" s="5"/>
      <c r="S2548" s="5"/>
      <c r="T2548" s="5"/>
      <c r="U2548" s="5"/>
    </row>
    <row r="2549" spans="12:21" x14ac:dyDescent="0.2">
      <c r="L2549" s="5"/>
      <c r="M2549" s="5"/>
      <c r="N2549" s="5"/>
      <c r="O2549" s="5"/>
      <c r="P2549" s="5"/>
      <c r="Q2549" s="5"/>
      <c r="R2549" s="5"/>
      <c r="S2549" s="5"/>
      <c r="T2549" s="5"/>
      <c r="U2549" s="5"/>
    </row>
    <row r="2550" spans="12:21" x14ac:dyDescent="0.2">
      <c r="L2550" s="5"/>
      <c r="M2550" s="5"/>
      <c r="N2550" s="5"/>
      <c r="O2550" s="5"/>
      <c r="P2550" s="5"/>
      <c r="Q2550" s="5"/>
      <c r="R2550" s="5"/>
      <c r="S2550" s="5"/>
      <c r="T2550" s="5"/>
      <c r="U2550" s="5"/>
    </row>
    <row r="2551" spans="12:21" x14ac:dyDescent="0.2">
      <c r="L2551" s="5"/>
      <c r="M2551" s="5"/>
      <c r="N2551" s="5"/>
      <c r="O2551" s="5"/>
      <c r="P2551" s="5"/>
      <c r="Q2551" s="5"/>
      <c r="R2551" s="5"/>
      <c r="S2551" s="5"/>
      <c r="T2551" s="5"/>
      <c r="U2551" s="5"/>
    </row>
    <row r="2552" spans="12:21" x14ac:dyDescent="0.2">
      <c r="L2552" s="5"/>
      <c r="M2552" s="5"/>
      <c r="N2552" s="5"/>
      <c r="O2552" s="5"/>
      <c r="P2552" s="5"/>
      <c r="Q2552" s="5"/>
      <c r="R2552" s="5"/>
      <c r="S2552" s="5"/>
      <c r="T2552" s="5"/>
      <c r="U2552" s="5"/>
    </row>
    <row r="2553" spans="12:21" x14ac:dyDescent="0.2">
      <c r="L2553" s="5"/>
      <c r="M2553" s="5"/>
      <c r="N2553" s="5"/>
      <c r="O2553" s="5"/>
      <c r="P2553" s="5"/>
      <c r="Q2553" s="5"/>
      <c r="R2553" s="5"/>
      <c r="S2553" s="5"/>
      <c r="T2553" s="5"/>
      <c r="U2553" s="5"/>
    </row>
    <row r="2554" spans="12:21" x14ac:dyDescent="0.2">
      <c r="L2554" s="5"/>
      <c r="M2554" s="5"/>
      <c r="N2554" s="5"/>
      <c r="O2554" s="5"/>
      <c r="P2554" s="5"/>
      <c r="Q2554" s="5"/>
      <c r="R2554" s="5"/>
      <c r="S2554" s="5"/>
      <c r="T2554" s="5"/>
      <c r="U2554" s="5"/>
    </row>
    <row r="2555" spans="12:21" x14ac:dyDescent="0.2">
      <c r="L2555" s="5"/>
      <c r="M2555" s="5"/>
      <c r="N2555" s="5"/>
      <c r="O2555" s="5"/>
      <c r="P2555" s="5"/>
      <c r="Q2555" s="5"/>
      <c r="R2555" s="5"/>
      <c r="S2555" s="5"/>
      <c r="T2555" s="5"/>
      <c r="U2555" s="5"/>
    </row>
    <row r="2556" spans="12:21" x14ac:dyDescent="0.2">
      <c r="L2556" s="5"/>
      <c r="M2556" s="5"/>
      <c r="N2556" s="5"/>
      <c r="O2556" s="5"/>
      <c r="P2556" s="5"/>
      <c r="Q2556" s="5"/>
      <c r="R2556" s="5"/>
      <c r="S2556" s="5"/>
      <c r="T2556" s="5"/>
      <c r="U2556" s="5"/>
    </row>
    <row r="2557" spans="12:21" x14ac:dyDescent="0.2">
      <c r="L2557" s="5"/>
      <c r="M2557" s="5"/>
      <c r="N2557" s="5"/>
      <c r="O2557" s="5"/>
      <c r="P2557" s="5"/>
      <c r="Q2557" s="5"/>
      <c r="R2557" s="5"/>
      <c r="S2557" s="5"/>
      <c r="T2557" s="5"/>
      <c r="U2557" s="5"/>
    </row>
    <row r="2558" spans="12:21" x14ac:dyDescent="0.2">
      <c r="L2558" s="5"/>
      <c r="M2558" s="5"/>
      <c r="N2558" s="5"/>
      <c r="O2558" s="5"/>
      <c r="P2558" s="5"/>
      <c r="Q2558" s="5"/>
      <c r="R2558" s="5"/>
      <c r="S2558" s="5"/>
      <c r="T2558" s="5"/>
      <c r="U2558" s="5"/>
    </row>
    <row r="2559" spans="12:21" x14ac:dyDescent="0.2">
      <c r="L2559" s="5"/>
      <c r="M2559" s="5"/>
      <c r="N2559" s="5"/>
      <c r="O2559" s="5"/>
      <c r="P2559" s="5"/>
      <c r="Q2559" s="5"/>
      <c r="R2559" s="5"/>
      <c r="S2559" s="5"/>
      <c r="T2559" s="5"/>
      <c r="U2559" s="5"/>
    </row>
    <row r="2560" spans="12:21" x14ac:dyDescent="0.2">
      <c r="L2560" s="5"/>
      <c r="M2560" s="5"/>
      <c r="N2560" s="5"/>
      <c r="O2560" s="5"/>
      <c r="P2560" s="5"/>
      <c r="Q2560" s="5"/>
      <c r="R2560" s="5"/>
      <c r="S2560" s="5"/>
      <c r="T2560" s="5"/>
      <c r="U2560" s="5"/>
    </row>
    <row r="2561" spans="12:21" x14ac:dyDescent="0.2">
      <c r="L2561" s="5"/>
      <c r="M2561" s="5"/>
      <c r="N2561" s="5"/>
      <c r="O2561" s="5"/>
      <c r="P2561" s="5"/>
      <c r="Q2561" s="5"/>
      <c r="R2561" s="5"/>
      <c r="S2561" s="5"/>
      <c r="T2561" s="5"/>
      <c r="U2561" s="5"/>
    </row>
    <row r="2562" spans="12:21" x14ac:dyDescent="0.2">
      <c r="L2562" s="5"/>
      <c r="M2562" s="5"/>
      <c r="N2562" s="5"/>
      <c r="O2562" s="5"/>
      <c r="P2562" s="5"/>
      <c r="Q2562" s="5"/>
      <c r="R2562" s="5"/>
      <c r="S2562" s="5"/>
      <c r="T2562" s="5"/>
      <c r="U2562" s="5"/>
    </row>
    <row r="2563" spans="12:21" x14ac:dyDescent="0.2">
      <c r="L2563" s="5"/>
      <c r="M2563" s="5"/>
      <c r="N2563" s="5"/>
      <c r="O2563" s="5"/>
      <c r="P2563" s="5"/>
      <c r="Q2563" s="5"/>
      <c r="R2563" s="5"/>
      <c r="S2563" s="5"/>
      <c r="T2563" s="5"/>
      <c r="U2563" s="5"/>
    </row>
    <row r="2564" spans="12:21" x14ac:dyDescent="0.2">
      <c r="L2564" s="5"/>
      <c r="M2564" s="5"/>
      <c r="N2564" s="5"/>
      <c r="O2564" s="5"/>
      <c r="P2564" s="5"/>
      <c r="Q2564" s="5"/>
      <c r="R2564" s="5"/>
      <c r="S2564" s="5"/>
      <c r="T2564" s="5"/>
      <c r="U2564" s="5"/>
    </row>
    <row r="2565" spans="12:21" x14ac:dyDescent="0.2">
      <c r="L2565" s="5"/>
      <c r="M2565" s="5"/>
      <c r="N2565" s="5"/>
      <c r="O2565" s="5"/>
      <c r="P2565" s="5"/>
      <c r="Q2565" s="5"/>
      <c r="R2565" s="5"/>
      <c r="S2565" s="5"/>
      <c r="T2565" s="5"/>
      <c r="U2565" s="5"/>
    </row>
    <row r="2566" spans="12:21" x14ac:dyDescent="0.2">
      <c r="L2566" s="5"/>
      <c r="M2566" s="5"/>
      <c r="N2566" s="5"/>
      <c r="O2566" s="5"/>
      <c r="P2566" s="5"/>
      <c r="Q2566" s="5"/>
      <c r="R2566" s="5"/>
      <c r="S2566" s="5"/>
      <c r="T2566" s="5"/>
      <c r="U2566" s="5"/>
    </row>
    <row r="2567" spans="12:21" x14ac:dyDescent="0.2">
      <c r="L2567" s="5"/>
      <c r="M2567" s="5"/>
      <c r="N2567" s="5"/>
      <c r="O2567" s="5"/>
      <c r="P2567" s="5"/>
      <c r="Q2567" s="5"/>
      <c r="R2567" s="5"/>
      <c r="S2567" s="5"/>
      <c r="T2567" s="5"/>
      <c r="U2567" s="5"/>
    </row>
    <row r="2568" spans="12:21" x14ac:dyDescent="0.2">
      <c r="L2568" s="5"/>
      <c r="M2568" s="5"/>
      <c r="N2568" s="5"/>
      <c r="O2568" s="5"/>
      <c r="P2568" s="5"/>
      <c r="Q2568" s="5"/>
      <c r="R2568" s="5"/>
      <c r="S2568" s="5"/>
      <c r="T2568" s="5"/>
      <c r="U2568" s="5"/>
    </row>
    <row r="2569" spans="12:21" x14ac:dyDescent="0.2">
      <c r="L2569" s="5"/>
      <c r="M2569" s="5"/>
      <c r="N2569" s="5"/>
      <c r="O2569" s="5"/>
      <c r="P2569" s="5"/>
      <c r="Q2569" s="5"/>
      <c r="R2569" s="5"/>
      <c r="S2569" s="5"/>
      <c r="T2569" s="5"/>
      <c r="U2569" s="5"/>
    </row>
    <row r="2570" spans="12:21" x14ac:dyDescent="0.2">
      <c r="L2570" s="5"/>
      <c r="M2570" s="5"/>
      <c r="N2570" s="5"/>
      <c r="O2570" s="5"/>
      <c r="P2570" s="5"/>
      <c r="Q2570" s="5"/>
      <c r="R2570" s="5"/>
      <c r="S2570" s="5"/>
      <c r="T2570" s="5"/>
      <c r="U2570" s="5"/>
    </row>
    <row r="2571" spans="12:21" x14ac:dyDescent="0.2">
      <c r="L2571" s="5"/>
      <c r="M2571" s="5"/>
      <c r="N2571" s="5"/>
      <c r="O2571" s="5"/>
      <c r="P2571" s="5"/>
      <c r="Q2571" s="5"/>
      <c r="R2571" s="5"/>
      <c r="S2571" s="5"/>
      <c r="T2571" s="5"/>
      <c r="U2571" s="5"/>
    </row>
    <row r="2572" spans="12:21" x14ac:dyDescent="0.2">
      <c r="L2572" s="5"/>
      <c r="M2572" s="5"/>
      <c r="N2572" s="5"/>
      <c r="O2572" s="5"/>
      <c r="P2572" s="5"/>
      <c r="Q2572" s="5"/>
      <c r="R2572" s="5"/>
      <c r="S2572" s="5"/>
      <c r="T2572" s="5"/>
      <c r="U2572" s="5"/>
    </row>
    <row r="2573" spans="12:21" x14ac:dyDescent="0.2">
      <c r="L2573" s="5"/>
      <c r="M2573" s="5"/>
      <c r="N2573" s="5"/>
      <c r="O2573" s="5"/>
      <c r="P2573" s="5"/>
      <c r="Q2573" s="5"/>
      <c r="R2573" s="5"/>
      <c r="S2573" s="5"/>
      <c r="T2573" s="5"/>
      <c r="U2573" s="5"/>
    </row>
    <row r="2574" spans="12:21" x14ac:dyDescent="0.2">
      <c r="L2574" s="5"/>
      <c r="M2574" s="5"/>
      <c r="N2574" s="5"/>
      <c r="O2574" s="5"/>
      <c r="P2574" s="5"/>
      <c r="Q2574" s="5"/>
      <c r="R2574" s="5"/>
      <c r="S2574" s="5"/>
      <c r="T2574" s="5"/>
      <c r="U2574" s="5"/>
    </row>
    <row r="2575" spans="12:21" x14ac:dyDescent="0.2">
      <c r="L2575" s="5"/>
      <c r="M2575" s="5"/>
      <c r="N2575" s="5"/>
      <c r="O2575" s="5"/>
      <c r="P2575" s="5"/>
      <c r="Q2575" s="5"/>
      <c r="R2575" s="5"/>
      <c r="S2575" s="5"/>
      <c r="T2575" s="5"/>
      <c r="U2575" s="5"/>
    </row>
    <row r="2576" spans="12:21" x14ac:dyDescent="0.2">
      <c r="L2576" s="5"/>
      <c r="M2576" s="5"/>
      <c r="N2576" s="5"/>
      <c r="O2576" s="5"/>
      <c r="P2576" s="5"/>
      <c r="Q2576" s="5"/>
      <c r="R2576" s="5"/>
      <c r="S2576" s="5"/>
      <c r="T2576" s="5"/>
      <c r="U2576" s="5"/>
    </row>
    <row r="2577" spans="12:21" x14ac:dyDescent="0.2">
      <c r="L2577" s="5"/>
      <c r="M2577" s="5"/>
      <c r="N2577" s="5"/>
      <c r="O2577" s="5"/>
      <c r="P2577" s="5"/>
      <c r="Q2577" s="5"/>
      <c r="R2577" s="5"/>
      <c r="S2577" s="5"/>
      <c r="T2577" s="5"/>
      <c r="U2577" s="5"/>
    </row>
    <row r="2578" spans="12:21" x14ac:dyDescent="0.2">
      <c r="L2578" s="5"/>
      <c r="M2578" s="5"/>
      <c r="N2578" s="5"/>
      <c r="O2578" s="5"/>
      <c r="P2578" s="5"/>
      <c r="Q2578" s="5"/>
      <c r="R2578" s="5"/>
      <c r="S2578" s="5"/>
      <c r="T2578" s="5"/>
      <c r="U2578" s="5"/>
    </row>
    <row r="2579" spans="12:21" x14ac:dyDescent="0.2">
      <c r="L2579" s="5"/>
      <c r="M2579" s="5"/>
      <c r="N2579" s="5"/>
      <c r="O2579" s="5"/>
      <c r="P2579" s="5"/>
      <c r="Q2579" s="5"/>
      <c r="R2579" s="5"/>
      <c r="S2579" s="5"/>
      <c r="T2579" s="5"/>
      <c r="U2579" s="5"/>
    </row>
    <row r="2580" spans="12:21" x14ac:dyDescent="0.2">
      <c r="L2580" s="5"/>
      <c r="M2580" s="5"/>
      <c r="N2580" s="5"/>
      <c r="O2580" s="5"/>
      <c r="P2580" s="5"/>
      <c r="Q2580" s="5"/>
      <c r="R2580" s="5"/>
      <c r="S2580" s="5"/>
      <c r="T2580" s="5"/>
      <c r="U2580" s="5"/>
    </row>
    <row r="2581" spans="12:21" x14ac:dyDescent="0.2">
      <c r="L2581" s="5"/>
      <c r="M2581" s="5"/>
      <c r="N2581" s="5"/>
      <c r="O2581" s="5"/>
      <c r="P2581" s="5"/>
      <c r="Q2581" s="5"/>
      <c r="R2581" s="5"/>
      <c r="S2581" s="5"/>
      <c r="T2581" s="5"/>
      <c r="U2581" s="5"/>
    </row>
    <row r="2582" spans="12:21" x14ac:dyDescent="0.2">
      <c r="L2582" s="5"/>
      <c r="M2582" s="5"/>
      <c r="N2582" s="5"/>
      <c r="O2582" s="5"/>
      <c r="P2582" s="5"/>
      <c r="Q2582" s="5"/>
      <c r="R2582" s="5"/>
      <c r="S2582" s="5"/>
      <c r="T2582" s="5"/>
      <c r="U2582" s="5"/>
    </row>
    <row r="2583" spans="12:21" x14ac:dyDescent="0.2">
      <c r="L2583" s="5"/>
      <c r="M2583" s="5"/>
      <c r="N2583" s="5"/>
      <c r="O2583" s="5"/>
      <c r="P2583" s="5"/>
      <c r="Q2583" s="5"/>
      <c r="R2583" s="5"/>
      <c r="S2583" s="5"/>
      <c r="T2583" s="5"/>
      <c r="U2583" s="5"/>
    </row>
    <row r="2584" spans="12:21" x14ac:dyDescent="0.2">
      <c r="L2584" s="5"/>
      <c r="M2584" s="5"/>
      <c r="N2584" s="5"/>
      <c r="O2584" s="5"/>
      <c r="P2584" s="5"/>
      <c r="Q2584" s="5"/>
      <c r="R2584" s="5"/>
      <c r="S2584" s="5"/>
      <c r="T2584" s="5"/>
      <c r="U2584" s="5"/>
    </row>
    <row r="2585" spans="12:21" x14ac:dyDescent="0.2">
      <c r="L2585" s="5"/>
      <c r="M2585" s="5"/>
      <c r="N2585" s="5"/>
      <c r="O2585" s="5"/>
      <c r="P2585" s="5"/>
      <c r="Q2585" s="5"/>
      <c r="R2585" s="5"/>
      <c r="S2585" s="5"/>
      <c r="T2585" s="5"/>
      <c r="U2585" s="5"/>
    </row>
    <row r="2586" spans="12:21" x14ac:dyDescent="0.2">
      <c r="L2586" s="5"/>
      <c r="M2586" s="5"/>
      <c r="N2586" s="5"/>
      <c r="O2586" s="5"/>
      <c r="P2586" s="5"/>
      <c r="Q2586" s="5"/>
      <c r="R2586" s="5"/>
      <c r="S2586" s="5"/>
      <c r="T2586" s="5"/>
      <c r="U2586" s="5"/>
    </row>
    <row r="2587" spans="12:21" x14ac:dyDescent="0.2">
      <c r="L2587" s="5"/>
      <c r="M2587" s="5"/>
      <c r="N2587" s="5"/>
      <c r="O2587" s="5"/>
      <c r="P2587" s="5"/>
      <c r="Q2587" s="5"/>
      <c r="R2587" s="5"/>
      <c r="S2587" s="5"/>
      <c r="T2587" s="5"/>
      <c r="U2587" s="5"/>
    </row>
    <row r="2588" spans="12:21" x14ac:dyDescent="0.2">
      <c r="L2588" s="5"/>
      <c r="M2588" s="5"/>
      <c r="N2588" s="5"/>
      <c r="O2588" s="5"/>
      <c r="P2588" s="5"/>
      <c r="Q2588" s="5"/>
      <c r="R2588" s="5"/>
      <c r="S2588" s="5"/>
      <c r="T2588" s="5"/>
      <c r="U2588" s="5"/>
    </row>
    <row r="2589" spans="12:21" x14ac:dyDescent="0.2">
      <c r="L2589" s="5"/>
      <c r="M2589" s="5"/>
      <c r="N2589" s="5"/>
      <c r="O2589" s="5"/>
      <c r="P2589" s="5"/>
      <c r="Q2589" s="5"/>
      <c r="R2589" s="5"/>
      <c r="S2589" s="5"/>
      <c r="T2589" s="5"/>
      <c r="U2589" s="5"/>
    </row>
    <row r="2590" spans="12:21" x14ac:dyDescent="0.2">
      <c r="L2590" s="5"/>
      <c r="M2590" s="5"/>
      <c r="N2590" s="5"/>
      <c r="O2590" s="5"/>
      <c r="P2590" s="5"/>
      <c r="Q2590" s="5"/>
      <c r="R2590" s="5"/>
      <c r="S2590" s="5"/>
      <c r="T2590" s="5"/>
      <c r="U2590" s="5"/>
    </row>
    <row r="2591" spans="12:21" x14ac:dyDescent="0.2">
      <c r="L2591" s="5"/>
      <c r="M2591" s="5"/>
      <c r="N2591" s="5"/>
      <c r="O2591" s="5"/>
      <c r="P2591" s="5"/>
      <c r="Q2591" s="5"/>
      <c r="R2591" s="5"/>
      <c r="S2591" s="5"/>
      <c r="T2591" s="5"/>
      <c r="U2591" s="5"/>
    </row>
    <row r="2592" spans="12:21" x14ac:dyDescent="0.2">
      <c r="L2592" s="5"/>
      <c r="M2592" s="5"/>
      <c r="N2592" s="5"/>
      <c r="O2592" s="5"/>
      <c r="P2592" s="5"/>
      <c r="Q2592" s="5"/>
      <c r="R2592" s="5"/>
      <c r="S2592" s="5"/>
      <c r="T2592" s="5"/>
      <c r="U2592" s="5"/>
    </row>
    <row r="2593" spans="12:21" x14ac:dyDescent="0.2">
      <c r="L2593" s="5"/>
      <c r="M2593" s="5"/>
      <c r="N2593" s="5"/>
      <c r="O2593" s="5"/>
      <c r="P2593" s="5"/>
      <c r="Q2593" s="5"/>
      <c r="R2593" s="5"/>
      <c r="S2593" s="5"/>
      <c r="T2593" s="5"/>
      <c r="U2593" s="5"/>
    </row>
    <row r="2594" spans="12:21" x14ac:dyDescent="0.2">
      <c r="L2594" s="5"/>
      <c r="M2594" s="5"/>
      <c r="N2594" s="5"/>
      <c r="O2594" s="5"/>
      <c r="P2594" s="5"/>
      <c r="Q2594" s="5"/>
      <c r="R2594" s="5"/>
      <c r="S2594" s="5"/>
      <c r="T2594" s="5"/>
      <c r="U2594" s="5"/>
    </row>
    <row r="2595" spans="12:21" x14ac:dyDescent="0.2">
      <c r="L2595" s="5"/>
      <c r="M2595" s="5"/>
      <c r="N2595" s="5"/>
      <c r="O2595" s="5"/>
      <c r="P2595" s="5"/>
      <c r="Q2595" s="5"/>
      <c r="R2595" s="5"/>
      <c r="S2595" s="5"/>
      <c r="T2595" s="5"/>
      <c r="U2595" s="5"/>
    </row>
    <row r="2596" spans="12:21" x14ac:dyDescent="0.2">
      <c r="L2596" s="5"/>
      <c r="M2596" s="5"/>
      <c r="N2596" s="5"/>
      <c r="O2596" s="5"/>
      <c r="P2596" s="5"/>
      <c r="Q2596" s="5"/>
      <c r="R2596" s="5"/>
      <c r="S2596" s="5"/>
      <c r="T2596" s="5"/>
      <c r="U2596" s="5"/>
    </row>
    <row r="2597" spans="12:21" x14ac:dyDescent="0.2">
      <c r="L2597" s="5"/>
      <c r="M2597" s="5"/>
      <c r="N2597" s="5"/>
      <c r="O2597" s="5"/>
      <c r="P2597" s="5"/>
      <c r="Q2597" s="5"/>
      <c r="R2597" s="5"/>
      <c r="S2597" s="5"/>
      <c r="T2597" s="5"/>
      <c r="U2597" s="5"/>
    </row>
    <row r="2598" spans="12:21" x14ac:dyDescent="0.2">
      <c r="L2598" s="5"/>
      <c r="M2598" s="5"/>
      <c r="N2598" s="5"/>
      <c r="O2598" s="5"/>
      <c r="P2598" s="5"/>
      <c r="Q2598" s="5"/>
      <c r="R2598" s="5"/>
      <c r="S2598" s="5"/>
      <c r="T2598" s="5"/>
      <c r="U2598" s="5"/>
    </row>
    <row r="2599" spans="12:21" x14ac:dyDescent="0.2">
      <c r="L2599" s="5"/>
      <c r="M2599" s="5"/>
      <c r="N2599" s="5"/>
      <c r="O2599" s="5"/>
      <c r="P2599" s="5"/>
      <c r="Q2599" s="5"/>
      <c r="R2599" s="5"/>
      <c r="S2599" s="5"/>
      <c r="T2599" s="5"/>
      <c r="U2599" s="5"/>
    </row>
    <row r="2600" spans="12:21" x14ac:dyDescent="0.2">
      <c r="L2600" s="5"/>
      <c r="M2600" s="5"/>
      <c r="N2600" s="5"/>
      <c r="O2600" s="5"/>
      <c r="P2600" s="5"/>
      <c r="Q2600" s="5"/>
      <c r="R2600" s="5"/>
      <c r="S2600" s="5"/>
      <c r="T2600" s="5"/>
      <c r="U2600" s="5"/>
    </row>
    <row r="2601" spans="12:21" x14ac:dyDescent="0.2">
      <c r="L2601" s="5"/>
      <c r="M2601" s="5"/>
      <c r="N2601" s="5"/>
      <c r="O2601" s="5"/>
      <c r="P2601" s="5"/>
      <c r="Q2601" s="5"/>
      <c r="R2601" s="5"/>
      <c r="S2601" s="5"/>
      <c r="T2601" s="5"/>
      <c r="U2601" s="5"/>
    </row>
    <row r="2602" spans="12:21" x14ac:dyDescent="0.2">
      <c r="L2602" s="5"/>
      <c r="M2602" s="5"/>
      <c r="N2602" s="5"/>
      <c r="O2602" s="5"/>
      <c r="P2602" s="5"/>
      <c r="Q2602" s="5"/>
      <c r="R2602" s="5"/>
      <c r="S2602" s="5"/>
      <c r="T2602" s="5"/>
      <c r="U2602" s="5"/>
    </row>
    <row r="2603" spans="12:21" x14ac:dyDescent="0.2">
      <c r="L2603" s="5"/>
      <c r="M2603" s="5"/>
      <c r="N2603" s="5"/>
      <c r="O2603" s="5"/>
      <c r="P2603" s="5"/>
      <c r="Q2603" s="5"/>
      <c r="R2603" s="5"/>
      <c r="S2603" s="5"/>
      <c r="T2603" s="5"/>
      <c r="U2603" s="5"/>
    </row>
    <row r="2604" spans="12:21" x14ac:dyDescent="0.2">
      <c r="L2604" s="5"/>
      <c r="M2604" s="5"/>
      <c r="N2604" s="5"/>
      <c r="O2604" s="5"/>
      <c r="P2604" s="5"/>
      <c r="Q2604" s="5"/>
      <c r="R2604" s="5"/>
      <c r="S2604" s="5"/>
      <c r="T2604" s="5"/>
      <c r="U2604" s="5"/>
    </row>
    <row r="2605" spans="12:21" x14ac:dyDescent="0.2">
      <c r="L2605" s="5"/>
      <c r="M2605" s="5"/>
      <c r="N2605" s="5"/>
      <c r="O2605" s="5"/>
      <c r="P2605" s="5"/>
      <c r="Q2605" s="5"/>
      <c r="R2605" s="5"/>
      <c r="S2605" s="5"/>
      <c r="T2605" s="5"/>
      <c r="U2605" s="5"/>
    </row>
    <row r="2606" spans="12:21" x14ac:dyDescent="0.2">
      <c r="L2606" s="5"/>
      <c r="M2606" s="5"/>
      <c r="N2606" s="5"/>
      <c r="O2606" s="5"/>
      <c r="P2606" s="5"/>
      <c r="Q2606" s="5"/>
      <c r="R2606" s="5"/>
      <c r="S2606" s="5"/>
      <c r="T2606" s="5"/>
      <c r="U2606" s="5"/>
    </row>
    <row r="2607" spans="12:21" x14ac:dyDescent="0.2">
      <c r="L2607" s="5"/>
      <c r="M2607" s="5"/>
      <c r="N2607" s="5"/>
      <c r="O2607" s="5"/>
      <c r="P2607" s="5"/>
      <c r="Q2607" s="5"/>
      <c r="R2607" s="5"/>
      <c r="S2607" s="5"/>
      <c r="T2607" s="5"/>
      <c r="U2607" s="5"/>
    </row>
    <row r="2608" spans="12:21" x14ac:dyDescent="0.2">
      <c r="L2608" s="5"/>
      <c r="M2608" s="5"/>
      <c r="N2608" s="5"/>
      <c r="O2608" s="5"/>
      <c r="P2608" s="5"/>
      <c r="Q2608" s="5"/>
      <c r="R2608" s="5"/>
      <c r="S2608" s="5"/>
      <c r="T2608" s="5"/>
      <c r="U2608" s="5"/>
    </row>
    <row r="2609" spans="12:21" x14ac:dyDescent="0.2">
      <c r="L2609" s="5"/>
      <c r="M2609" s="5"/>
      <c r="N2609" s="5"/>
      <c r="O2609" s="5"/>
      <c r="P2609" s="5"/>
      <c r="Q2609" s="5"/>
      <c r="R2609" s="5"/>
      <c r="S2609" s="5"/>
      <c r="T2609" s="5"/>
      <c r="U2609" s="5"/>
    </row>
    <row r="2610" spans="12:21" x14ac:dyDescent="0.2">
      <c r="L2610" s="5"/>
      <c r="M2610" s="5"/>
      <c r="N2610" s="5"/>
      <c r="O2610" s="5"/>
      <c r="P2610" s="5"/>
      <c r="Q2610" s="5"/>
      <c r="R2610" s="5"/>
      <c r="S2610" s="5"/>
      <c r="T2610" s="5"/>
      <c r="U2610" s="5"/>
    </row>
    <row r="2611" spans="12:21" x14ac:dyDescent="0.2">
      <c r="L2611" s="5"/>
      <c r="M2611" s="5"/>
      <c r="N2611" s="5"/>
      <c r="O2611" s="5"/>
      <c r="P2611" s="5"/>
      <c r="Q2611" s="5"/>
      <c r="R2611" s="5"/>
      <c r="S2611" s="5"/>
      <c r="T2611" s="5"/>
      <c r="U2611" s="5"/>
    </row>
    <row r="2612" spans="12:21" x14ac:dyDescent="0.2">
      <c r="L2612" s="5"/>
      <c r="M2612" s="5"/>
      <c r="N2612" s="5"/>
      <c r="O2612" s="5"/>
      <c r="P2612" s="5"/>
      <c r="Q2612" s="5"/>
      <c r="R2612" s="5"/>
      <c r="S2612" s="5"/>
      <c r="T2612" s="5"/>
      <c r="U2612" s="5"/>
    </row>
    <row r="2613" spans="12:21" x14ac:dyDescent="0.2">
      <c r="L2613" s="5"/>
      <c r="M2613" s="5"/>
      <c r="N2613" s="5"/>
      <c r="O2613" s="5"/>
      <c r="P2613" s="5"/>
      <c r="Q2613" s="5"/>
      <c r="R2613" s="5"/>
      <c r="S2613" s="5"/>
      <c r="T2613" s="5"/>
      <c r="U2613" s="5"/>
    </row>
    <row r="2614" spans="12:21" x14ac:dyDescent="0.2">
      <c r="L2614" s="5"/>
      <c r="M2614" s="5"/>
      <c r="N2614" s="5"/>
      <c r="O2614" s="5"/>
      <c r="P2614" s="5"/>
      <c r="Q2614" s="5"/>
      <c r="R2614" s="5"/>
      <c r="S2614" s="5"/>
      <c r="T2614" s="5"/>
      <c r="U2614" s="5"/>
    </row>
    <row r="2615" spans="12:21" x14ac:dyDescent="0.2">
      <c r="L2615" s="5"/>
      <c r="M2615" s="5"/>
      <c r="N2615" s="5"/>
      <c r="O2615" s="5"/>
      <c r="P2615" s="5"/>
      <c r="Q2615" s="5"/>
      <c r="R2615" s="5"/>
      <c r="S2615" s="5"/>
      <c r="T2615" s="5"/>
      <c r="U2615" s="5"/>
    </row>
    <row r="2616" spans="12:21" x14ac:dyDescent="0.2">
      <c r="L2616" s="5"/>
      <c r="M2616" s="5"/>
      <c r="N2616" s="5"/>
      <c r="O2616" s="5"/>
      <c r="P2616" s="5"/>
      <c r="Q2616" s="5"/>
      <c r="R2616" s="5"/>
      <c r="S2616" s="5"/>
      <c r="T2616" s="5"/>
      <c r="U2616" s="5"/>
    </row>
    <row r="2617" spans="12:21" x14ac:dyDescent="0.2">
      <c r="L2617" s="5"/>
      <c r="M2617" s="5"/>
      <c r="N2617" s="5"/>
      <c r="O2617" s="5"/>
      <c r="P2617" s="5"/>
      <c r="Q2617" s="5"/>
      <c r="R2617" s="5"/>
      <c r="S2617" s="5"/>
      <c r="T2617" s="5"/>
      <c r="U2617" s="5"/>
    </row>
    <row r="2618" spans="12:21" x14ac:dyDescent="0.2">
      <c r="L2618" s="5"/>
      <c r="M2618" s="5"/>
      <c r="N2618" s="5"/>
      <c r="O2618" s="5"/>
      <c r="P2618" s="5"/>
      <c r="Q2618" s="5"/>
      <c r="R2618" s="5"/>
      <c r="S2618" s="5"/>
      <c r="T2618" s="5"/>
      <c r="U2618" s="5"/>
    </row>
    <row r="2619" spans="12:21" x14ac:dyDescent="0.2">
      <c r="L2619" s="5"/>
      <c r="M2619" s="5"/>
      <c r="N2619" s="5"/>
      <c r="O2619" s="5"/>
      <c r="P2619" s="5"/>
      <c r="Q2619" s="5"/>
      <c r="R2619" s="5"/>
      <c r="S2619" s="5"/>
      <c r="T2619" s="5"/>
      <c r="U2619" s="5"/>
    </row>
    <row r="2620" spans="12:21" x14ac:dyDescent="0.2">
      <c r="L2620" s="5"/>
      <c r="M2620" s="5"/>
      <c r="N2620" s="5"/>
      <c r="O2620" s="5"/>
      <c r="P2620" s="5"/>
      <c r="Q2620" s="5"/>
      <c r="R2620" s="5"/>
      <c r="S2620" s="5"/>
      <c r="T2620" s="5"/>
      <c r="U2620" s="5"/>
    </row>
    <row r="2621" spans="12:21" x14ac:dyDescent="0.2">
      <c r="L2621" s="5"/>
      <c r="M2621" s="5"/>
      <c r="N2621" s="5"/>
      <c r="O2621" s="5"/>
      <c r="P2621" s="5"/>
      <c r="Q2621" s="5"/>
      <c r="R2621" s="5"/>
      <c r="S2621" s="5"/>
      <c r="T2621" s="5"/>
      <c r="U2621" s="5"/>
    </row>
    <row r="2622" spans="12:21" x14ac:dyDescent="0.2">
      <c r="L2622" s="5"/>
      <c r="M2622" s="5"/>
      <c r="N2622" s="5"/>
      <c r="O2622" s="5"/>
      <c r="P2622" s="5"/>
      <c r="Q2622" s="5"/>
      <c r="R2622" s="5"/>
      <c r="S2622" s="5"/>
      <c r="T2622" s="5"/>
      <c r="U2622" s="5"/>
    </row>
    <row r="2623" spans="12:21" x14ac:dyDescent="0.2">
      <c r="L2623" s="5"/>
      <c r="M2623" s="5"/>
      <c r="N2623" s="5"/>
      <c r="O2623" s="5"/>
      <c r="P2623" s="5"/>
      <c r="Q2623" s="5"/>
      <c r="R2623" s="5"/>
      <c r="S2623" s="5"/>
      <c r="T2623" s="5"/>
      <c r="U2623" s="5"/>
    </row>
    <row r="2624" spans="12:21" x14ac:dyDescent="0.2">
      <c r="L2624" s="5"/>
      <c r="M2624" s="5"/>
      <c r="N2624" s="5"/>
      <c r="O2624" s="5"/>
      <c r="P2624" s="5"/>
      <c r="Q2624" s="5"/>
      <c r="R2624" s="5"/>
      <c r="S2624" s="5"/>
      <c r="T2624" s="5"/>
      <c r="U2624" s="5"/>
    </row>
    <row r="2625" spans="12:21" x14ac:dyDescent="0.2">
      <c r="L2625" s="5"/>
      <c r="M2625" s="5"/>
      <c r="N2625" s="5"/>
      <c r="O2625" s="5"/>
      <c r="P2625" s="5"/>
      <c r="Q2625" s="5"/>
      <c r="R2625" s="5"/>
      <c r="S2625" s="5"/>
      <c r="T2625" s="5"/>
      <c r="U2625" s="5"/>
    </row>
    <row r="2626" spans="12:21" x14ac:dyDescent="0.2">
      <c r="L2626" s="5"/>
      <c r="M2626" s="5"/>
      <c r="N2626" s="5"/>
      <c r="O2626" s="5"/>
      <c r="P2626" s="5"/>
      <c r="Q2626" s="5"/>
      <c r="R2626" s="5"/>
      <c r="S2626" s="5"/>
      <c r="T2626" s="5"/>
      <c r="U2626" s="5"/>
    </row>
    <row r="2627" spans="12:21" x14ac:dyDescent="0.2">
      <c r="L2627" s="5"/>
      <c r="M2627" s="5"/>
      <c r="N2627" s="5"/>
      <c r="O2627" s="5"/>
      <c r="P2627" s="5"/>
      <c r="Q2627" s="5"/>
      <c r="R2627" s="5"/>
      <c r="S2627" s="5"/>
      <c r="T2627" s="5"/>
      <c r="U2627" s="5"/>
    </row>
    <row r="2628" spans="12:21" x14ac:dyDescent="0.2">
      <c r="L2628" s="5"/>
      <c r="M2628" s="5"/>
      <c r="N2628" s="5"/>
      <c r="O2628" s="5"/>
      <c r="P2628" s="5"/>
      <c r="Q2628" s="5"/>
      <c r="R2628" s="5"/>
      <c r="S2628" s="5"/>
      <c r="T2628" s="5"/>
      <c r="U2628" s="5"/>
    </row>
    <row r="2629" spans="12:21" x14ac:dyDescent="0.2">
      <c r="L2629" s="5"/>
      <c r="M2629" s="5"/>
      <c r="N2629" s="5"/>
      <c r="O2629" s="5"/>
      <c r="P2629" s="5"/>
      <c r="Q2629" s="5"/>
      <c r="R2629" s="5"/>
      <c r="S2629" s="5"/>
      <c r="T2629" s="5"/>
      <c r="U2629" s="5"/>
    </row>
    <row r="2630" spans="12:21" x14ac:dyDescent="0.2">
      <c r="L2630" s="5"/>
      <c r="M2630" s="5"/>
      <c r="N2630" s="5"/>
      <c r="O2630" s="5"/>
      <c r="P2630" s="5"/>
      <c r="Q2630" s="5"/>
      <c r="R2630" s="5"/>
      <c r="S2630" s="5"/>
      <c r="T2630" s="5"/>
      <c r="U2630" s="5"/>
    </row>
    <row r="2631" spans="12:21" x14ac:dyDescent="0.2">
      <c r="L2631" s="5"/>
      <c r="M2631" s="5"/>
      <c r="N2631" s="5"/>
      <c r="O2631" s="5"/>
      <c r="P2631" s="5"/>
      <c r="Q2631" s="5"/>
      <c r="R2631" s="5"/>
      <c r="S2631" s="5"/>
      <c r="T2631" s="5"/>
      <c r="U2631" s="5"/>
    </row>
    <row r="2632" spans="12:21" x14ac:dyDescent="0.2">
      <c r="L2632" s="5"/>
      <c r="M2632" s="5"/>
      <c r="N2632" s="5"/>
      <c r="O2632" s="5"/>
      <c r="P2632" s="5"/>
      <c r="Q2632" s="5"/>
      <c r="R2632" s="5"/>
      <c r="S2632" s="5"/>
      <c r="T2632" s="5"/>
      <c r="U2632" s="5"/>
    </row>
    <row r="2633" spans="12:21" x14ac:dyDescent="0.2">
      <c r="L2633" s="5"/>
      <c r="M2633" s="5"/>
      <c r="N2633" s="5"/>
      <c r="O2633" s="5"/>
      <c r="P2633" s="5"/>
      <c r="Q2633" s="5"/>
      <c r="R2633" s="5"/>
      <c r="S2633" s="5"/>
      <c r="T2633" s="5"/>
      <c r="U2633" s="5"/>
    </row>
    <row r="2634" spans="12:21" x14ac:dyDescent="0.2">
      <c r="L2634" s="5"/>
      <c r="M2634" s="5"/>
      <c r="N2634" s="5"/>
      <c r="O2634" s="5"/>
      <c r="P2634" s="5"/>
      <c r="Q2634" s="5"/>
      <c r="R2634" s="5"/>
      <c r="S2634" s="5"/>
      <c r="T2634" s="5"/>
      <c r="U2634" s="5"/>
    </row>
    <row r="2635" spans="12:21" x14ac:dyDescent="0.2">
      <c r="L2635" s="5"/>
      <c r="M2635" s="5"/>
      <c r="N2635" s="5"/>
      <c r="O2635" s="5"/>
      <c r="P2635" s="5"/>
      <c r="Q2635" s="5"/>
      <c r="R2635" s="5"/>
      <c r="S2635" s="5"/>
      <c r="T2635" s="5"/>
      <c r="U2635" s="5"/>
    </row>
    <row r="2636" spans="12:21" x14ac:dyDescent="0.2">
      <c r="L2636" s="5"/>
      <c r="M2636" s="5"/>
      <c r="N2636" s="5"/>
      <c r="O2636" s="5"/>
      <c r="P2636" s="5"/>
      <c r="Q2636" s="5"/>
      <c r="R2636" s="5"/>
      <c r="S2636" s="5"/>
      <c r="T2636" s="5"/>
      <c r="U2636" s="5"/>
    </row>
    <row r="2637" spans="12:21" x14ac:dyDescent="0.2">
      <c r="L2637" s="5"/>
      <c r="M2637" s="5"/>
      <c r="N2637" s="5"/>
      <c r="O2637" s="5"/>
      <c r="P2637" s="5"/>
      <c r="Q2637" s="5"/>
      <c r="R2637" s="5"/>
      <c r="S2637" s="5"/>
      <c r="T2637" s="5"/>
      <c r="U2637" s="5"/>
    </row>
    <row r="2638" spans="12:21" x14ac:dyDescent="0.2">
      <c r="L2638" s="5"/>
      <c r="M2638" s="5"/>
      <c r="N2638" s="5"/>
      <c r="O2638" s="5"/>
      <c r="P2638" s="5"/>
      <c r="Q2638" s="5"/>
      <c r="R2638" s="5"/>
      <c r="S2638" s="5"/>
      <c r="T2638" s="5"/>
      <c r="U2638" s="5"/>
    </row>
    <row r="2639" spans="12:21" x14ac:dyDescent="0.2">
      <c r="L2639" s="5"/>
      <c r="M2639" s="5"/>
      <c r="N2639" s="5"/>
      <c r="O2639" s="5"/>
      <c r="P2639" s="5"/>
      <c r="Q2639" s="5"/>
      <c r="R2639" s="5"/>
      <c r="S2639" s="5"/>
      <c r="T2639" s="5"/>
      <c r="U2639" s="5"/>
    </row>
    <row r="2640" spans="12:21" x14ac:dyDescent="0.2">
      <c r="L2640" s="5"/>
      <c r="M2640" s="5"/>
      <c r="N2640" s="5"/>
      <c r="O2640" s="5"/>
      <c r="P2640" s="5"/>
      <c r="Q2640" s="5"/>
      <c r="R2640" s="5"/>
      <c r="S2640" s="5"/>
      <c r="T2640" s="5"/>
      <c r="U2640" s="5"/>
    </row>
    <row r="2641" spans="12:21" x14ac:dyDescent="0.2">
      <c r="L2641" s="5"/>
      <c r="M2641" s="5"/>
      <c r="N2641" s="5"/>
      <c r="O2641" s="5"/>
      <c r="P2641" s="5"/>
      <c r="Q2641" s="5"/>
      <c r="R2641" s="5"/>
      <c r="S2641" s="5"/>
      <c r="T2641" s="5"/>
      <c r="U2641" s="5"/>
    </row>
    <row r="2642" spans="12:21" x14ac:dyDescent="0.2">
      <c r="L2642" s="5"/>
      <c r="M2642" s="5"/>
      <c r="N2642" s="5"/>
      <c r="O2642" s="5"/>
      <c r="P2642" s="5"/>
      <c r="Q2642" s="5"/>
      <c r="R2642" s="5"/>
      <c r="S2642" s="5"/>
      <c r="T2642" s="5"/>
      <c r="U2642" s="5"/>
    </row>
    <row r="2643" spans="12:21" x14ac:dyDescent="0.2">
      <c r="L2643" s="5"/>
      <c r="M2643" s="5"/>
      <c r="N2643" s="5"/>
      <c r="O2643" s="5"/>
      <c r="P2643" s="5"/>
      <c r="Q2643" s="5"/>
      <c r="R2643" s="5"/>
      <c r="S2643" s="5"/>
      <c r="T2643" s="5"/>
      <c r="U2643" s="5"/>
    </row>
    <row r="2644" spans="12:21" x14ac:dyDescent="0.2">
      <c r="L2644" s="5"/>
      <c r="M2644" s="5"/>
      <c r="N2644" s="5"/>
      <c r="O2644" s="5"/>
      <c r="P2644" s="5"/>
      <c r="Q2644" s="5"/>
      <c r="R2644" s="5"/>
      <c r="S2644" s="5"/>
      <c r="T2644" s="5"/>
      <c r="U2644" s="5"/>
    </row>
    <row r="2645" spans="12:21" x14ac:dyDescent="0.2">
      <c r="L2645" s="5"/>
      <c r="M2645" s="5"/>
      <c r="N2645" s="5"/>
      <c r="O2645" s="5"/>
      <c r="P2645" s="5"/>
      <c r="Q2645" s="5"/>
      <c r="R2645" s="5"/>
      <c r="S2645" s="5"/>
      <c r="T2645" s="5"/>
      <c r="U2645" s="5"/>
    </row>
    <row r="2646" spans="12:21" x14ac:dyDescent="0.2">
      <c r="L2646" s="5"/>
      <c r="M2646" s="5"/>
      <c r="N2646" s="5"/>
      <c r="O2646" s="5"/>
      <c r="P2646" s="5"/>
      <c r="Q2646" s="5"/>
      <c r="R2646" s="5"/>
      <c r="S2646" s="5"/>
      <c r="T2646" s="5"/>
      <c r="U2646" s="5"/>
    </row>
    <row r="2647" spans="12:21" x14ac:dyDescent="0.2">
      <c r="L2647" s="5"/>
      <c r="M2647" s="5"/>
      <c r="N2647" s="5"/>
      <c r="O2647" s="5"/>
      <c r="P2647" s="5"/>
      <c r="Q2647" s="5"/>
      <c r="R2647" s="5"/>
      <c r="S2647" s="5"/>
      <c r="T2647" s="5"/>
      <c r="U2647" s="5"/>
    </row>
    <row r="2648" spans="12:21" x14ac:dyDescent="0.2">
      <c r="L2648" s="5"/>
      <c r="M2648" s="5"/>
      <c r="N2648" s="5"/>
      <c r="O2648" s="5"/>
      <c r="P2648" s="5"/>
      <c r="Q2648" s="5"/>
      <c r="R2648" s="5"/>
      <c r="S2648" s="5"/>
      <c r="T2648" s="5"/>
      <c r="U2648" s="5"/>
    </row>
    <row r="2649" spans="12:21" x14ac:dyDescent="0.2">
      <c r="L2649" s="5"/>
      <c r="M2649" s="5"/>
      <c r="N2649" s="5"/>
      <c r="O2649" s="5"/>
      <c r="P2649" s="5"/>
      <c r="Q2649" s="5"/>
      <c r="R2649" s="5"/>
      <c r="S2649" s="5"/>
      <c r="T2649" s="5"/>
      <c r="U2649" s="5"/>
    </row>
    <row r="2650" spans="12:21" x14ac:dyDescent="0.2">
      <c r="L2650" s="5"/>
      <c r="M2650" s="5"/>
      <c r="N2650" s="5"/>
      <c r="O2650" s="5"/>
      <c r="P2650" s="5"/>
      <c r="Q2650" s="5"/>
      <c r="R2650" s="5"/>
      <c r="S2650" s="5"/>
      <c r="T2650" s="5"/>
      <c r="U2650" s="5"/>
    </row>
    <row r="2651" spans="12:21" x14ac:dyDescent="0.2">
      <c r="L2651" s="5"/>
      <c r="M2651" s="5"/>
      <c r="N2651" s="5"/>
      <c r="O2651" s="5"/>
      <c r="P2651" s="5"/>
      <c r="Q2651" s="5"/>
      <c r="R2651" s="5"/>
      <c r="S2651" s="5"/>
      <c r="T2651" s="5"/>
      <c r="U2651" s="5"/>
    </row>
    <row r="2652" spans="12:21" x14ac:dyDescent="0.2">
      <c r="L2652" s="5"/>
      <c r="M2652" s="5"/>
      <c r="N2652" s="5"/>
      <c r="O2652" s="5"/>
      <c r="P2652" s="5"/>
      <c r="Q2652" s="5"/>
      <c r="R2652" s="5"/>
      <c r="S2652" s="5"/>
      <c r="T2652" s="5"/>
      <c r="U2652" s="5"/>
    </row>
    <row r="2653" spans="12:21" x14ac:dyDescent="0.2">
      <c r="L2653" s="5"/>
      <c r="M2653" s="5"/>
      <c r="N2653" s="5"/>
      <c r="O2653" s="5"/>
      <c r="P2653" s="5"/>
      <c r="Q2653" s="5"/>
      <c r="R2653" s="5"/>
      <c r="S2653" s="5"/>
      <c r="T2653" s="5"/>
      <c r="U2653" s="5"/>
    </row>
    <row r="2654" spans="12:21" x14ac:dyDescent="0.2">
      <c r="L2654" s="5"/>
      <c r="M2654" s="5"/>
      <c r="N2654" s="5"/>
      <c r="O2654" s="5"/>
      <c r="P2654" s="5"/>
      <c r="Q2654" s="5"/>
      <c r="R2654" s="5"/>
      <c r="S2654" s="5"/>
      <c r="T2654" s="5"/>
      <c r="U2654" s="5"/>
    </row>
    <row r="2655" spans="12:21" x14ac:dyDescent="0.2">
      <c r="L2655" s="5"/>
      <c r="M2655" s="5"/>
      <c r="N2655" s="5"/>
      <c r="O2655" s="5"/>
      <c r="P2655" s="5"/>
      <c r="Q2655" s="5"/>
      <c r="R2655" s="5"/>
      <c r="S2655" s="5"/>
      <c r="T2655" s="5"/>
      <c r="U2655" s="5"/>
    </row>
    <row r="2656" spans="12:21" x14ac:dyDescent="0.2">
      <c r="L2656" s="5"/>
      <c r="M2656" s="5"/>
      <c r="N2656" s="5"/>
      <c r="O2656" s="5"/>
      <c r="P2656" s="5"/>
      <c r="Q2656" s="5"/>
      <c r="R2656" s="5"/>
      <c r="S2656" s="5"/>
      <c r="T2656" s="5"/>
      <c r="U2656" s="5"/>
    </row>
    <row r="2657" spans="12:21" x14ac:dyDescent="0.2">
      <c r="L2657" s="5"/>
      <c r="M2657" s="5"/>
      <c r="N2657" s="5"/>
      <c r="O2657" s="5"/>
      <c r="P2657" s="5"/>
      <c r="Q2657" s="5"/>
      <c r="R2657" s="5"/>
      <c r="S2657" s="5"/>
      <c r="T2657" s="5"/>
      <c r="U2657" s="5"/>
    </row>
    <row r="2658" spans="12:21" x14ac:dyDescent="0.2">
      <c r="L2658" s="5"/>
      <c r="M2658" s="5"/>
      <c r="N2658" s="5"/>
      <c r="O2658" s="5"/>
      <c r="P2658" s="5"/>
      <c r="Q2658" s="5"/>
      <c r="R2658" s="5"/>
      <c r="S2658" s="5"/>
      <c r="T2658" s="5"/>
      <c r="U2658" s="5"/>
    </row>
    <row r="2659" spans="12:21" x14ac:dyDescent="0.2">
      <c r="L2659" s="5"/>
      <c r="M2659" s="5"/>
      <c r="N2659" s="5"/>
      <c r="O2659" s="5"/>
      <c r="P2659" s="5"/>
      <c r="Q2659" s="5"/>
      <c r="R2659" s="5"/>
      <c r="S2659" s="5"/>
      <c r="T2659" s="5"/>
      <c r="U2659" s="5"/>
    </row>
    <row r="2660" spans="12:21" x14ac:dyDescent="0.2">
      <c r="L2660" s="5"/>
      <c r="M2660" s="5"/>
      <c r="N2660" s="5"/>
      <c r="O2660" s="5"/>
      <c r="P2660" s="5"/>
      <c r="Q2660" s="5"/>
      <c r="R2660" s="5"/>
      <c r="S2660" s="5"/>
      <c r="T2660" s="5"/>
      <c r="U2660" s="5"/>
    </row>
    <row r="2661" spans="12:21" x14ac:dyDescent="0.2">
      <c r="L2661" s="5"/>
      <c r="M2661" s="5"/>
      <c r="N2661" s="5"/>
      <c r="O2661" s="5"/>
      <c r="P2661" s="5"/>
      <c r="Q2661" s="5"/>
      <c r="R2661" s="5"/>
      <c r="S2661" s="5"/>
      <c r="T2661" s="5"/>
      <c r="U2661" s="5"/>
    </row>
  </sheetData>
  <pageMargins left="0.75" right="0.75" top="1" bottom="1" header="0.5" footer="0.5"/>
  <pageSetup paperSize="9" orientation="portrait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07"/>
  <sheetViews>
    <sheetView workbookViewId="0">
      <selection activeCell="B14" sqref="B14"/>
    </sheetView>
  </sheetViews>
  <sheetFormatPr baseColWidth="10" defaultRowHeight="16" x14ac:dyDescent="0.2"/>
  <cols>
    <col min="3" max="3" width="13.33203125" bestFit="1" customWidth="1"/>
    <col min="12" max="12" width="10.83203125" style="5"/>
    <col min="13" max="13" width="13.33203125" style="5" bestFit="1" customWidth="1"/>
    <col min="14" max="24" width="10.83203125" style="5"/>
  </cols>
  <sheetData>
    <row r="1" spans="1:37" x14ac:dyDescent="0.2">
      <c r="D1" s="2"/>
      <c r="E1" s="2"/>
      <c r="F1" s="2"/>
      <c r="G1" s="2"/>
      <c r="H1" s="2"/>
      <c r="I1" s="2"/>
      <c r="J1" s="2"/>
      <c r="K1" s="2"/>
      <c r="L1" s="7"/>
      <c r="N1" s="7"/>
      <c r="O1" s="7"/>
      <c r="P1" s="7"/>
      <c r="Q1" s="7"/>
      <c r="R1" s="7"/>
      <c r="S1" s="7"/>
      <c r="T1" s="7"/>
      <c r="U1" s="7"/>
      <c r="V1" s="7"/>
    </row>
    <row r="2" spans="1:37" x14ac:dyDescent="0.2">
      <c r="A2" s="5"/>
      <c r="C2" s="99" t="s">
        <v>76</v>
      </c>
      <c r="D2" s="95">
        <v>0.27500000000000002</v>
      </c>
      <c r="E2" s="95">
        <v>0.26700000000000002</v>
      </c>
      <c r="F2" s="95">
        <v>0.41</v>
      </c>
      <c r="G2" s="95">
        <v>0.25</v>
      </c>
      <c r="H2" s="95">
        <v>0.35299999999999998</v>
      </c>
      <c r="I2" s="95">
        <v>0.25900000000000001</v>
      </c>
      <c r="J2" s="95">
        <v>0.316</v>
      </c>
      <c r="K2" s="100">
        <v>0.22700000000000001</v>
      </c>
      <c r="L2" s="45"/>
      <c r="M2" s="96" t="s">
        <v>4</v>
      </c>
      <c r="N2" s="5">
        <v>0.27</v>
      </c>
      <c r="O2" s="5">
        <v>0.19</v>
      </c>
      <c r="P2" s="5">
        <v>0.20699999999999999</v>
      </c>
      <c r="Q2" s="5">
        <v>0.23699999999999999</v>
      </c>
      <c r="R2" s="5">
        <v>0.20499999999999999</v>
      </c>
      <c r="S2" s="5">
        <v>0.23499999999999999</v>
      </c>
      <c r="T2" s="5">
        <v>0.29699999999999999</v>
      </c>
      <c r="U2" s="5">
        <v>0.39500000000000002</v>
      </c>
      <c r="V2" s="61">
        <v>0.27400000000000002</v>
      </c>
    </row>
    <row r="3" spans="1:37" x14ac:dyDescent="0.2">
      <c r="A3" s="5"/>
      <c r="C3" s="51" t="s">
        <v>39</v>
      </c>
      <c r="D3" s="45">
        <v>6.5000000000000002E-2</v>
      </c>
      <c r="E3" s="45">
        <v>4.4999999999999998E-2</v>
      </c>
      <c r="F3" s="45">
        <v>6.8000000000000005E-2</v>
      </c>
      <c r="G3" s="45">
        <v>5.1999999999999998E-2</v>
      </c>
      <c r="H3" s="45">
        <v>6.2E-2</v>
      </c>
      <c r="I3" s="45">
        <v>5.2999999999999999E-2</v>
      </c>
      <c r="J3" s="45">
        <v>7.3999999999999996E-2</v>
      </c>
      <c r="K3" s="101">
        <v>5.1999999999999998E-2</v>
      </c>
      <c r="L3" s="95"/>
      <c r="M3" s="48" t="s">
        <v>39</v>
      </c>
      <c r="N3" s="49">
        <v>6.0999999999999999E-2</v>
      </c>
      <c r="O3" s="49">
        <v>4.2999999999999997E-2</v>
      </c>
      <c r="P3" s="49">
        <v>3.9E-2</v>
      </c>
      <c r="Q3" s="49">
        <v>0.05</v>
      </c>
      <c r="R3" s="49">
        <v>4.2000000000000003E-2</v>
      </c>
      <c r="S3" s="49">
        <v>4.4999999999999998E-2</v>
      </c>
      <c r="T3" s="49">
        <v>5.6000000000000001E-2</v>
      </c>
      <c r="U3" s="49">
        <v>8.1000000000000003E-2</v>
      </c>
      <c r="V3" s="50">
        <v>6.2E-2</v>
      </c>
    </row>
    <row r="4" spans="1:37" x14ac:dyDescent="0.2">
      <c r="A4" s="5"/>
      <c r="C4" s="51" t="s">
        <v>47</v>
      </c>
      <c r="D4" s="45">
        <f t="shared" ref="D4:K4" si="0">1.08/D2</f>
        <v>3.9272727272727272</v>
      </c>
      <c r="E4" s="45">
        <f t="shared" si="0"/>
        <v>4.0449438202247192</v>
      </c>
      <c r="F4" s="45">
        <f t="shared" si="0"/>
        <v>2.6341463414634148</v>
      </c>
      <c r="G4" s="45">
        <f t="shared" si="0"/>
        <v>4.32</v>
      </c>
      <c r="H4" s="45">
        <f t="shared" si="0"/>
        <v>3.059490084985836</v>
      </c>
      <c r="I4" s="45">
        <f t="shared" si="0"/>
        <v>4.1698841698841704</v>
      </c>
      <c r="J4" s="45">
        <f t="shared" si="0"/>
        <v>3.4177215189873418</v>
      </c>
      <c r="K4" s="101">
        <f t="shared" si="0"/>
        <v>4.7577092511013221</v>
      </c>
      <c r="L4" s="45"/>
      <c r="M4" s="51" t="s">
        <v>47</v>
      </c>
      <c r="N4" s="5">
        <f t="shared" ref="N4:V4" si="1">1.08/N2</f>
        <v>4</v>
      </c>
      <c r="O4" s="5">
        <f t="shared" si="1"/>
        <v>5.6842105263157894</v>
      </c>
      <c r="P4" s="5">
        <f t="shared" si="1"/>
        <v>5.2173913043478271</v>
      </c>
      <c r="Q4" s="5">
        <f t="shared" si="1"/>
        <v>4.556962025316456</v>
      </c>
      <c r="R4" s="5">
        <f t="shared" si="1"/>
        <v>5.2682926829268295</v>
      </c>
      <c r="S4" s="5">
        <f t="shared" si="1"/>
        <v>4.5957446808510642</v>
      </c>
      <c r="T4" s="5">
        <f t="shared" si="1"/>
        <v>3.6363636363636367</v>
      </c>
      <c r="U4" s="5">
        <f t="shared" si="1"/>
        <v>2.7341772151898733</v>
      </c>
      <c r="V4" s="61">
        <f t="shared" si="1"/>
        <v>3.9416058394160585</v>
      </c>
    </row>
    <row r="5" spans="1:37" x14ac:dyDescent="0.2">
      <c r="A5" s="5"/>
      <c r="C5" s="51" t="s">
        <v>17</v>
      </c>
      <c r="D5" s="45">
        <f t="shared" ref="D5:K5" si="2">(25-D4)/1000</f>
        <v>2.1072727272727274E-2</v>
      </c>
      <c r="E5" s="45">
        <f t="shared" si="2"/>
        <v>2.0955056179775281E-2</v>
      </c>
      <c r="F5" s="45">
        <f t="shared" si="2"/>
        <v>2.2365853658536588E-2</v>
      </c>
      <c r="G5" s="45">
        <f t="shared" si="2"/>
        <v>2.068E-2</v>
      </c>
      <c r="H5" s="45">
        <f t="shared" si="2"/>
        <v>2.1940509915014166E-2</v>
      </c>
      <c r="I5" s="45">
        <f t="shared" si="2"/>
        <v>2.083011583011583E-2</v>
      </c>
      <c r="J5" s="45">
        <f t="shared" si="2"/>
        <v>2.1582278481012657E-2</v>
      </c>
      <c r="K5" s="101">
        <f t="shared" si="2"/>
        <v>2.0242290748898679E-2</v>
      </c>
      <c r="L5" s="45"/>
      <c r="M5" s="51" t="s">
        <v>17</v>
      </c>
      <c r="N5" s="34">
        <f t="shared" ref="N5:V5" si="3">(25-N4)/1000</f>
        <v>2.1000000000000001E-2</v>
      </c>
      <c r="O5" s="34">
        <f t="shared" si="3"/>
        <v>1.9315789473684213E-2</v>
      </c>
      <c r="P5" s="34">
        <f t="shared" si="3"/>
        <v>1.9782608695652171E-2</v>
      </c>
      <c r="Q5" s="34">
        <f t="shared" si="3"/>
        <v>2.0443037974683546E-2</v>
      </c>
      <c r="R5" s="34">
        <f t="shared" si="3"/>
        <v>1.9731707317073171E-2</v>
      </c>
      <c r="S5" s="34">
        <f t="shared" si="3"/>
        <v>2.0404255319148936E-2</v>
      </c>
      <c r="T5" s="34">
        <f t="shared" si="3"/>
        <v>2.1363636363636362E-2</v>
      </c>
      <c r="U5" s="34">
        <f t="shared" si="3"/>
        <v>2.2265822784810128E-2</v>
      </c>
      <c r="V5" s="97">
        <f t="shared" si="3"/>
        <v>2.105839416058394E-2</v>
      </c>
      <c r="W5"/>
      <c r="X5"/>
    </row>
    <row r="6" spans="1:37" x14ac:dyDescent="0.2">
      <c r="A6" s="5"/>
      <c r="C6" s="96" t="s">
        <v>20</v>
      </c>
      <c r="D6" s="46">
        <f t="shared" ref="D6:K6" si="4">SLOPE(D9:D54,$C9:$C54)</f>
        <v>-24.268973172987966</v>
      </c>
      <c r="E6" s="46">
        <f t="shared" si="4"/>
        <v>-24.457890841813132</v>
      </c>
      <c r="F6" s="46">
        <f t="shared" si="4"/>
        <v>-13.026567992599443</v>
      </c>
      <c r="G6" s="46">
        <f t="shared" si="4"/>
        <v>-17.201757631822385</v>
      </c>
      <c r="H6" s="46">
        <f t="shared" si="4"/>
        <v>-13.089195189639224</v>
      </c>
      <c r="I6" s="46">
        <f t="shared" si="4"/>
        <v>-13.585050878815908</v>
      </c>
      <c r="J6" s="46">
        <f t="shared" si="4"/>
        <v>-14.690971322849206</v>
      </c>
      <c r="K6" s="102">
        <f t="shared" si="4"/>
        <v>-17.395282146160962</v>
      </c>
      <c r="L6" s="46"/>
      <c r="M6" s="96" t="s">
        <v>20</v>
      </c>
      <c r="N6" s="34">
        <f>SLOPE(N9:N60,$M9:$M60)</f>
        <v>-27.760232220609566</v>
      </c>
      <c r="O6" s="34">
        <f>SLOPE(O9:O217,$M9:$M217)</f>
        <v>-13.989404934687949</v>
      </c>
      <c r="P6" s="34">
        <f>SLOPE(P9:P217,$M9:$M217)</f>
        <v>-16.697447280799107</v>
      </c>
      <c r="Q6" s="34">
        <f>SLOPE(Q36:Q97,$M36:$M97)</f>
        <v>-27.075230769230767</v>
      </c>
      <c r="R6" s="34">
        <f>SLOPE(R9:R217,$M9:$M217)</f>
        <v>-11.727853666865871</v>
      </c>
      <c r="S6" s="34">
        <f>SLOPE(S9:S217,$M9:$M217)</f>
        <v>-17.435383761632373</v>
      </c>
      <c r="T6" s="34">
        <f>SLOPE(T9:T60,$M9:$M60)</f>
        <v>-25.063549048066253</v>
      </c>
      <c r="U6" s="34">
        <f>SLOPE(U9:U35,$M9:$M35)</f>
        <v>-39.608974358974358</v>
      </c>
      <c r="V6" s="97">
        <f>SLOPE(V9:V217,$M9:$M217)</f>
        <v>-22.162285494749412</v>
      </c>
      <c r="W6"/>
      <c r="X6"/>
    </row>
    <row r="7" spans="1:37" x14ac:dyDescent="0.2">
      <c r="A7" s="5"/>
      <c r="C7" s="54" t="s">
        <v>46</v>
      </c>
      <c r="D7" s="46">
        <f>(-1*D5*(D6-(-3.6511))*5.31)/100</f>
        <v>2.3070612852688747E-2</v>
      </c>
      <c r="E7" s="46">
        <f t="shared" ref="E7:K7" si="5">(-1*E5*(E6-(-3.6511))*5.31)/100</f>
        <v>2.3151996710685584E-2</v>
      </c>
      <c r="F7" s="46">
        <f t="shared" si="5"/>
        <v>1.1134557324957241E-2</v>
      </c>
      <c r="G7" s="46">
        <f t="shared" si="5"/>
        <v>1.4880085550765214E-2</v>
      </c>
      <c r="H7" s="46">
        <f t="shared" si="5"/>
        <v>1.0995768579726437E-2</v>
      </c>
      <c r="I7" s="46">
        <f t="shared" si="5"/>
        <v>1.0987735949935705E-2</v>
      </c>
      <c r="J7" s="46">
        <f t="shared" si="5"/>
        <v>1.2651902153795115E-2</v>
      </c>
      <c r="K7" s="102">
        <f t="shared" si="5"/>
        <v>1.4773149121856701E-2</v>
      </c>
      <c r="L7" s="46"/>
      <c r="M7" s="54" t="s">
        <v>46</v>
      </c>
      <c r="N7" s="34">
        <f>(-1*N5*(N6-(-2.36))*5.31)/100</f>
        <v>2.8323798949201725E-2</v>
      </c>
      <c r="O7" s="34">
        <f t="shared" ref="O7:V7" si="6">(-1*O5*(O6-(-2.36))*5.31)/100</f>
        <v>1.192791339714307E-2</v>
      </c>
      <c r="P7" s="34">
        <f t="shared" si="6"/>
        <v>1.5060865001206382E-2</v>
      </c>
      <c r="Q7" s="34">
        <f t="shared" si="6"/>
        <v>2.6829008702044792E-2</v>
      </c>
      <c r="R7" s="34">
        <f t="shared" si="6"/>
        <v>9.8152029520940827E-3</v>
      </c>
      <c r="S7" s="34">
        <f t="shared" si="6"/>
        <v>1.6333665101175086E-2</v>
      </c>
      <c r="T7" s="34">
        <f t="shared" si="6"/>
        <v>2.5755112436026791E-2</v>
      </c>
      <c r="U7" s="34">
        <f t="shared" si="6"/>
        <v>4.4040028191820832E-2</v>
      </c>
      <c r="V7" s="97">
        <f t="shared" si="6"/>
        <v>2.2142930094451774E-2</v>
      </c>
      <c r="W7"/>
      <c r="X7"/>
    </row>
    <row r="8" spans="1:37" x14ac:dyDescent="0.2">
      <c r="A8" s="5"/>
      <c r="C8" s="55" t="s">
        <v>33</v>
      </c>
      <c r="D8" s="64" t="s">
        <v>6</v>
      </c>
      <c r="E8" s="64" t="s">
        <v>7</v>
      </c>
      <c r="F8" s="64" t="s">
        <v>8</v>
      </c>
      <c r="G8" s="64" t="s">
        <v>9</v>
      </c>
      <c r="H8" s="64" t="s">
        <v>10</v>
      </c>
      <c r="I8" s="64" t="s">
        <v>11</v>
      </c>
      <c r="J8" s="64" t="s">
        <v>12</v>
      </c>
      <c r="K8" s="98" t="s">
        <v>13</v>
      </c>
      <c r="L8" s="64"/>
      <c r="M8" s="55" t="s">
        <v>33</v>
      </c>
      <c r="N8" s="64" t="s">
        <v>14</v>
      </c>
      <c r="O8" s="64" t="s">
        <v>15</v>
      </c>
      <c r="P8" s="64" t="s">
        <v>16</v>
      </c>
      <c r="Q8" s="64" t="s">
        <v>19</v>
      </c>
      <c r="R8" s="64" t="s">
        <v>21</v>
      </c>
      <c r="S8" s="64" t="s">
        <v>22</v>
      </c>
      <c r="T8" s="64" t="s">
        <v>23</v>
      </c>
      <c r="U8" s="64" t="s">
        <v>24</v>
      </c>
      <c r="V8" s="98" t="s">
        <v>25</v>
      </c>
      <c r="W8"/>
      <c r="X8"/>
      <c r="Z8" s="26"/>
      <c r="AA8" s="26"/>
      <c r="AB8" s="26"/>
      <c r="AC8" s="26"/>
      <c r="AD8" s="26"/>
      <c r="AE8" s="26"/>
      <c r="AF8" s="26"/>
      <c r="AG8" s="26"/>
      <c r="AH8" s="26"/>
      <c r="AI8" s="26"/>
      <c r="AK8" s="51"/>
    </row>
    <row r="9" spans="1:37" x14ac:dyDescent="0.2">
      <c r="A9" s="34"/>
      <c r="C9" s="25">
        <v>1.5</v>
      </c>
      <c r="D9">
        <v>64.94</v>
      </c>
      <c r="E9">
        <v>60.87</v>
      </c>
      <c r="F9">
        <v>67.73</v>
      </c>
      <c r="G9">
        <v>62.49</v>
      </c>
      <c r="H9">
        <v>67.08</v>
      </c>
      <c r="I9">
        <v>76.569999999999993</v>
      </c>
      <c r="J9">
        <v>62.17</v>
      </c>
      <c r="K9">
        <v>64.45</v>
      </c>
      <c r="M9" s="44">
        <v>0.23333333333333334</v>
      </c>
      <c r="N9" s="5">
        <v>70.709999999999994</v>
      </c>
      <c r="O9" s="5">
        <v>85.43</v>
      </c>
      <c r="P9" s="5">
        <v>84.75</v>
      </c>
      <c r="Q9" s="5">
        <v>87.16</v>
      </c>
      <c r="R9" s="5">
        <v>93.44</v>
      </c>
      <c r="S9" s="5">
        <v>84.57</v>
      </c>
      <c r="T9" s="5">
        <v>67.900000000000006</v>
      </c>
      <c r="U9" s="5">
        <v>57.8</v>
      </c>
      <c r="V9" s="5">
        <v>81.319999999999993</v>
      </c>
      <c r="W9"/>
      <c r="X9"/>
      <c r="Z9" s="26"/>
      <c r="AA9" s="26"/>
      <c r="AB9" s="26"/>
      <c r="AC9" s="26"/>
      <c r="AD9" s="26"/>
      <c r="AE9" s="26"/>
      <c r="AF9" s="26"/>
      <c r="AG9" s="26"/>
      <c r="AH9" s="26"/>
      <c r="AI9" s="26"/>
      <c r="AK9" s="51"/>
    </row>
    <row r="10" spans="1:37" x14ac:dyDescent="0.2">
      <c r="A10" s="5"/>
      <c r="C10" s="25">
        <v>1.5333333333333334</v>
      </c>
      <c r="D10">
        <v>63.96</v>
      </c>
      <c r="E10">
        <v>59.74</v>
      </c>
      <c r="F10">
        <v>67.569999999999993</v>
      </c>
      <c r="G10">
        <v>61.52</v>
      </c>
      <c r="H10">
        <v>66.42</v>
      </c>
      <c r="I10">
        <v>75.900000000000006</v>
      </c>
      <c r="J10">
        <v>61.52</v>
      </c>
      <c r="K10">
        <v>63.47</v>
      </c>
      <c r="M10" s="44">
        <v>0.26666666666666666</v>
      </c>
      <c r="N10" s="5">
        <v>69.06</v>
      </c>
      <c r="O10" s="5">
        <v>85.09</v>
      </c>
      <c r="P10" s="5">
        <v>84.23</v>
      </c>
      <c r="Q10" s="5">
        <v>86.64</v>
      </c>
      <c r="R10" s="5">
        <v>92.74</v>
      </c>
      <c r="S10" s="5">
        <v>83.71</v>
      </c>
      <c r="T10" s="5">
        <v>66.09</v>
      </c>
      <c r="U10" s="5">
        <v>55.72</v>
      </c>
      <c r="V10" s="5">
        <v>80.98</v>
      </c>
      <c r="W10"/>
      <c r="X10"/>
    </row>
    <row r="11" spans="1:37" x14ac:dyDescent="0.2">
      <c r="C11" s="25">
        <v>1.5666666666666667</v>
      </c>
      <c r="D11">
        <v>63.14</v>
      </c>
      <c r="E11">
        <v>59.09</v>
      </c>
      <c r="F11">
        <v>67.73</v>
      </c>
      <c r="G11">
        <v>61.35</v>
      </c>
      <c r="H11">
        <v>66.25</v>
      </c>
      <c r="I11">
        <v>75.39</v>
      </c>
      <c r="J11">
        <v>61.19</v>
      </c>
      <c r="K11">
        <v>63.14</v>
      </c>
      <c r="M11" s="44">
        <v>0.3</v>
      </c>
      <c r="N11" s="5">
        <v>67.400000000000006</v>
      </c>
      <c r="O11" s="5">
        <v>84.92</v>
      </c>
      <c r="P11" s="5">
        <v>83.71</v>
      </c>
      <c r="Q11" s="5">
        <v>85.78</v>
      </c>
      <c r="R11" s="5">
        <v>93.09</v>
      </c>
      <c r="S11" s="5">
        <v>83.2</v>
      </c>
      <c r="T11" s="5">
        <v>64.290000000000006</v>
      </c>
      <c r="U11" s="5">
        <v>53.8</v>
      </c>
      <c r="V11" s="5">
        <v>81.150000000000006</v>
      </c>
      <c r="W11"/>
      <c r="X11"/>
    </row>
    <row r="12" spans="1:37" x14ac:dyDescent="0.2">
      <c r="C12" s="25">
        <v>1.6</v>
      </c>
      <c r="D12">
        <v>62</v>
      </c>
      <c r="E12">
        <v>58.12</v>
      </c>
      <c r="F12">
        <v>67.400000000000006</v>
      </c>
      <c r="G12">
        <v>60.87</v>
      </c>
      <c r="H12">
        <v>65.760000000000005</v>
      </c>
      <c r="I12">
        <v>75.06</v>
      </c>
      <c r="J12">
        <v>60.38</v>
      </c>
      <c r="K12">
        <v>62.49</v>
      </c>
      <c r="M12" s="44">
        <v>0.33333333333333331</v>
      </c>
      <c r="N12" s="5">
        <v>66.09</v>
      </c>
      <c r="O12" s="5">
        <v>85.43</v>
      </c>
      <c r="P12" s="5">
        <v>83.37</v>
      </c>
      <c r="Q12" s="5">
        <v>85.09</v>
      </c>
      <c r="R12" s="5">
        <v>92.91</v>
      </c>
      <c r="S12" s="5">
        <v>83.03</v>
      </c>
      <c r="T12" s="5">
        <v>62.98</v>
      </c>
      <c r="U12" s="5">
        <v>51.58</v>
      </c>
      <c r="V12" s="5">
        <v>80.81</v>
      </c>
      <c r="W12"/>
      <c r="X12"/>
    </row>
    <row r="13" spans="1:37" x14ac:dyDescent="0.2">
      <c r="A13" s="51"/>
      <c r="C13" s="25">
        <v>1.6333333333333333</v>
      </c>
      <c r="D13">
        <v>61.35</v>
      </c>
      <c r="E13">
        <v>57.48</v>
      </c>
      <c r="F13">
        <v>67.569999999999993</v>
      </c>
      <c r="G13">
        <v>60.22</v>
      </c>
      <c r="H13">
        <v>65.27</v>
      </c>
      <c r="I13">
        <v>74.89</v>
      </c>
      <c r="J13">
        <v>59.74</v>
      </c>
      <c r="K13">
        <v>61.84</v>
      </c>
      <c r="M13" s="44">
        <v>0.36666666666666664</v>
      </c>
      <c r="N13" s="5">
        <v>64.78</v>
      </c>
      <c r="O13" s="5">
        <v>85.43</v>
      </c>
      <c r="P13" s="5">
        <v>82.86</v>
      </c>
      <c r="Q13" s="5">
        <v>84.4</v>
      </c>
      <c r="R13" s="5">
        <v>92.39</v>
      </c>
      <c r="S13" s="5">
        <v>82.86</v>
      </c>
      <c r="T13" s="5">
        <v>61.52</v>
      </c>
      <c r="U13" s="5">
        <v>49.21</v>
      </c>
      <c r="V13" s="5">
        <v>79.959999999999994</v>
      </c>
      <c r="W13"/>
      <c r="X13"/>
    </row>
    <row r="14" spans="1:37" x14ac:dyDescent="0.2">
      <c r="C14" s="25">
        <v>1.6666666666666667</v>
      </c>
      <c r="D14">
        <v>60.22</v>
      </c>
      <c r="E14">
        <v>56.52</v>
      </c>
      <c r="F14">
        <v>67.239999999999995</v>
      </c>
      <c r="G14">
        <v>59.09</v>
      </c>
      <c r="H14">
        <v>65.099999999999994</v>
      </c>
      <c r="I14">
        <v>74.38</v>
      </c>
      <c r="J14">
        <v>58.93</v>
      </c>
      <c r="K14">
        <v>61.03</v>
      </c>
      <c r="M14" s="44">
        <v>0.4</v>
      </c>
      <c r="N14" s="5">
        <v>63.47</v>
      </c>
      <c r="O14" s="5">
        <v>84.57</v>
      </c>
      <c r="P14" s="5">
        <v>82.51</v>
      </c>
      <c r="Q14" s="5">
        <v>83.71</v>
      </c>
      <c r="R14" s="5">
        <v>91.51</v>
      </c>
      <c r="S14" s="5">
        <v>82.51</v>
      </c>
      <c r="T14" s="5">
        <v>59.9</v>
      </c>
      <c r="U14" s="5">
        <v>47.33</v>
      </c>
      <c r="V14" s="5">
        <v>78.94</v>
      </c>
      <c r="W14"/>
      <c r="X14"/>
    </row>
    <row r="15" spans="1:37" x14ac:dyDescent="0.2">
      <c r="C15" s="25">
        <v>1.7</v>
      </c>
      <c r="D15">
        <v>59.25</v>
      </c>
      <c r="E15">
        <v>55.4</v>
      </c>
      <c r="F15">
        <v>67.08</v>
      </c>
      <c r="G15">
        <v>58.44</v>
      </c>
      <c r="H15">
        <v>64.78</v>
      </c>
      <c r="I15">
        <v>74.22</v>
      </c>
      <c r="J15">
        <v>58.28</v>
      </c>
      <c r="K15">
        <v>60.38</v>
      </c>
      <c r="M15" s="44">
        <v>0.43333333333333335</v>
      </c>
      <c r="N15" s="5">
        <v>62.65</v>
      </c>
      <c r="O15" s="5">
        <v>83.2</v>
      </c>
      <c r="P15" s="5">
        <v>82</v>
      </c>
      <c r="Q15" s="5">
        <v>83.03</v>
      </c>
      <c r="R15" s="5">
        <v>90.64</v>
      </c>
      <c r="S15" s="5">
        <v>82.51</v>
      </c>
      <c r="T15" s="5">
        <v>58.61</v>
      </c>
      <c r="U15" s="5">
        <v>45.76</v>
      </c>
      <c r="V15" s="5">
        <v>78.260000000000005</v>
      </c>
      <c r="W15"/>
      <c r="X15"/>
    </row>
    <row r="16" spans="1:37" x14ac:dyDescent="0.2">
      <c r="C16" s="25">
        <v>1.7333333333333334</v>
      </c>
      <c r="D16">
        <v>58.44</v>
      </c>
      <c r="E16">
        <v>54.6</v>
      </c>
      <c r="F16">
        <v>66.58</v>
      </c>
      <c r="G16">
        <v>57.48</v>
      </c>
      <c r="H16">
        <v>64.12</v>
      </c>
      <c r="I16">
        <v>73.88</v>
      </c>
      <c r="J16">
        <v>57.64</v>
      </c>
      <c r="K16">
        <v>59.74</v>
      </c>
      <c r="M16" s="44">
        <v>0.46666666666666667</v>
      </c>
      <c r="N16" s="5">
        <v>61.68</v>
      </c>
      <c r="O16" s="5">
        <v>80.81</v>
      </c>
      <c r="P16" s="5">
        <v>81.489999999999995</v>
      </c>
      <c r="Q16" s="5">
        <v>82</v>
      </c>
      <c r="R16" s="5">
        <v>90.29</v>
      </c>
      <c r="S16" s="5">
        <v>82.17</v>
      </c>
      <c r="T16" s="5">
        <v>57.32</v>
      </c>
      <c r="U16" s="5">
        <v>44.98</v>
      </c>
      <c r="V16" s="5">
        <v>77.41</v>
      </c>
      <c r="W16"/>
      <c r="X16"/>
    </row>
    <row r="17" spans="3:24" x14ac:dyDescent="0.2">
      <c r="C17" s="25">
        <v>1.7666666666666666</v>
      </c>
      <c r="D17">
        <v>57.48</v>
      </c>
      <c r="E17">
        <v>53.8</v>
      </c>
      <c r="F17">
        <v>66.09</v>
      </c>
      <c r="G17">
        <v>56.84</v>
      </c>
      <c r="H17">
        <v>63.8</v>
      </c>
      <c r="I17">
        <v>73.38</v>
      </c>
      <c r="J17">
        <v>56.84</v>
      </c>
      <c r="K17">
        <v>59.25</v>
      </c>
      <c r="M17" s="44">
        <v>0.5</v>
      </c>
      <c r="N17" s="5">
        <v>60.71</v>
      </c>
      <c r="O17" s="5">
        <v>80.81</v>
      </c>
      <c r="P17" s="5">
        <v>81.150000000000006</v>
      </c>
      <c r="Q17" s="5">
        <v>81.319999999999993</v>
      </c>
      <c r="R17" s="5">
        <v>89.94</v>
      </c>
      <c r="S17" s="5">
        <v>81.83</v>
      </c>
      <c r="T17" s="5">
        <v>56.04</v>
      </c>
      <c r="U17" s="5">
        <v>43.27</v>
      </c>
      <c r="V17" s="5">
        <v>76.569999999999993</v>
      </c>
      <c r="W17"/>
      <c r="X17"/>
    </row>
    <row r="18" spans="3:24" x14ac:dyDescent="0.2">
      <c r="C18" s="25">
        <v>1.8</v>
      </c>
      <c r="D18">
        <v>56.84</v>
      </c>
      <c r="E18">
        <v>53.16</v>
      </c>
      <c r="F18">
        <v>65.760000000000005</v>
      </c>
      <c r="G18">
        <v>56.2</v>
      </c>
      <c r="H18">
        <v>63.31</v>
      </c>
      <c r="I18">
        <v>72.88</v>
      </c>
      <c r="J18">
        <v>56.36</v>
      </c>
      <c r="K18">
        <v>58.61</v>
      </c>
      <c r="M18" s="44">
        <v>0.53333333333333333</v>
      </c>
      <c r="N18" s="5">
        <v>59.74</v>
      </c>
      <c r="O18" s="5">
        <v>81.489999999999995</v>
      </c>
      <c r="P18" s="5">
        <v>80.64</v>
      </c>
      <c r="Q18" s="5">
        <v>80.64</v>
      </c>
      <c r="R18" s="5">
        <v>88.55</v>
      </c>
      <c r="S18" s="5">
        <v>81.150000000000006</v>
      </c>
      <c r="T18" s="5">
        <v>54.44</v>
      </c>
      <c r="U18" s="5">
        <v>41.73</v>
      </c>
      <c r="V18" s="5">
        <v>75.73</v>
      </c>
      <c r="W18"/>
      <c r="X18"/>
    </row>
    <row r="19" spans="3:24" x14ac:dyDescent="0.2">
      <c r="C19" s="25">
        <v>1.8333333333333333</v>
      </c>
      <c r="D19">
        <v>55.88</v>
      </c>
      <c r="E19">
        <v>52.53</v>
      </c>
      <c r="F19">
        <v>65.599999999999994</v>
      </c>
      <c r="G19">
        <v>55.4</v>
      </c>
      <c r="H19">
        <v>62.98</v>
      </c>
      <c r="I19">
        <v>72.540000000000006</v>
      </c>
      <c r="J19">
        <v>55.88</v>
      </c>
      <c r="K19">
        <v>57.96</v>
      </c>
      <c r="M19" s="44">
        <v>0.56666666666666665</v>
      </c>
      <c r="N19" s="5">
        <v>58.93</v>
      </c>
      <c r="O19" s="5">
        <v>81.66</v>
      </c>
      <c r="P19" s="5">
        <v>80.3</v>
      </c>
      <c r="Q19" s="5">
        <v>79.959999999999994</v>
      </c>
      <c r="R19" s="5">
        <v>89.07</v>
      </c>
      <c r="S19" s="5">
        <v>80.64</v>
      </c>
      <c r="T19" s="5">
        <v>53.16</v>
      </c>
      <c r="U19" s="5">
        <v>40.49</v>
      </c>
      <c r="V19" s="5">
        <v>75.22</v>
      </c>
      <c r="W19"/>
      <c r="X19"/>
    </row>
    <row r="20" spans="3:24" x14ac:dyDescent="0.2">
      <c r="C20" s="25">
        <v>1.8666666666666667</v>
      </c>
      <c r="D20">
        <v>55.4</v>
      </c>
      <c r="E20">
        <v>51.74</v>
      </c>
      <c r="F20">
        <v>65.099999999999994</v>
      </c>
      <c r="G20">
        <v>54.92</v>
      </c>
      <c r="H20">
        <v>62.65</v>
      </c>
      <c r="I20">
        <v>72.209999999999994</v>
      </c>
      <c r="J20">
        <v>55.72</v>
      </c>
      <c r="K20">
        <v>57.32</v>
      </c>
      <c r="M20" s="44">
        <v>0.6</v>
      </c>
      <c r="N20" s="5">
        <v>58.12</v>
      </c>
      <c r="O20" s="5">
        <v>80.64</v>
      </c>
      <c r="P20" s="5">
        <v>79.45</v>
      </c>
      <c r="Q20" s="5">
        <v>79.45</v>
      </c>
      <c r="R20" s="5">
        <v>87.85</v>
      </c>
      <c r="S20" s="5">
        <v>79.62</v>
      </c>
      <c r="T20" s="5">
        <v>51.89</v>
      </c>
      <c r="U20" s="5">
        <v>39.26</v>
      </c>
      <c r="V20" s="5">
        <v>74.38</v>
      </c>
      <c r="W20"/>
      <c r="X20"/>
    </row>
    <row r="21" spans="3:24" x14ac:dyDescent="0.2">
      <c r="C21" s="25">
        <v>1.9</v>
      </c>
      <c r="D21">
        <v>54.76</v>
      </c>
      <c r="E21">
        <v>50.79</v>
      </c>
      <c r="F21">
        <v>64.78</v>
      </c>
      <c r="G21">
        <v>54.6</v>
      </c>
      <c r="H21">
        <v>62.33</v>
      </c>
      <c r="I21">
        <v>71.88</v>
      </c>
      <c r="J21">
        <v>55.24</v>
      </c>
      <c r="K21">
        <v>56.84</v>
      </c>
      <c r="M21" s="44">
        <v>0.6333333333333333</v>
      </c>
      <c r="N21" s="5">
        <v>57.32</v>
      </c>
      <c r="O21" s="5">
        <v>79.11</v>
      </c>
      <c r="P21" s="5">
        <v>79.28</v>
      </c>
      <c r="Q21" s="5">
        <v>78.599999999999994</v>
      </c>
      <c r="R21" s="5">
        <v>87.33</v>
      </c>
      <c r="S21" s="5">
        <v>79.11</v>
      </c>
      <c r="T21" s="5">
        <v>50.79</v>
      </c>
      <c r="U21" s="5">
        <v>38.04</v>
      </c>
      <c r="V21" s="5">
        <v>73.88</v>
      </c>
      <c r="W21"/>
      <c r="X21"/>
    </row>
    <row r="22" spans="3:24" x14ac:dyDescent="0.2">
      <c r="C22" s="25">
        <v>1.9333333333333333</v>
      </c>
      <c r="D22">
        <v>53.96</v>
      </c>
      <c r="E22">
        <v>49.84</v>
      </c>
      <c r="F22">
        <v>64.290000000000006</v>
      </c>
      <c r="G22">
        <v>54.6</v>
      </c>
      <c r="H22">
        <v>62</v>
      </c>
      <c r="I22">
        <v>71.38</v>
      </c>
      <c r="J22">
        <v>54.6</v>
      </c>
      <c r="K22">
        <v>56.04</v>
      </c>
      <c r="M22" s="44">
        <v>0.66666666666666663</v>
      </c>
      <c r="N22" s="5">
        <v>56.36</v>
      </c>
      <c r="O22" s="5">
        <v>77.58</v>
      </c>
      <c r="P22" s="5">
        <v>78.77</v>
      </c>
      <c r="Q22" s="5">
        <v>78.260000000000005</v>
      </c>
      <c r="R22" s="5">
        <v>86.99</v>
      </c>
      <c r="S22" s="5">
        <v>78.430000000000007</v>
      </c>
      <c r="T22" s="5">
        <v>49.52</v>
      </c>
      <c r="U22" s="5">
        <v>36.97</v>
      </c>
      <c r="V22" s="5">
        <v>73.55</v>
      </c>
      <c r="W22"/>
      <c r="X22"/>
    </row>
    <row r="23" spans="3:24" x14ac:dyDescent="0.2">
      <c r="C23" s="25">
        <v>1.9666666666666666</v>
      </c>
      <c r="D23">
        <v>53.48</v>
      </c>
      <c r="E23">
        <v>49.21</v>
      </c>
      <c r="F23">
        <v>63.8</v>
      </c>
      <c r="G23">
        <v>54.6</v>
      </c>
      <c r="H23">
        <v>62</v>
      </c>
      <c r="I23">
        <v>70.88</v>
      </c>
      <c r="J23">
        <v>54.12</v>
      </c>
      <c r="K23">
        <v>55.56</v>
      </c>
      <c r="M23" s="44">
        <v>0.7</v>
      </c>
      <c r="N23" s="5">
        <v>55.72</v>
      </c>
      <c r="O23" s="5">
        <v>76.400000000000006</v>
      </c>
      <c r="P23" s="5">
        <v>78.260000000000005</v>
      </c>
      <c r="Q23" s="5">
        <v>77.58</v>
      </c>
      <c r="R23" s="5">
        <v>85.61</v>
      </c>
      <c r="S23" s="5">
        <v>77.75</v>
      </c>
      <c r="T23" s="5">
        <v>48.42</v>
      </c>
      <c r="U23" s="5">
        <v>35.9</v>
      </c>
      <c r="V23" s="5">
        <v>73.55</v>
      </c>
      <c r="W23"/>
      <c r="X23"/>
    </row>
    <row r="24" spans="3:24" x14ac:dyDescent="0.2">
      <c r="C24" s="25">
        <v>2</v>
      </c>
      <c r="D24">
        <v>53.16</v>
      </c>
      <c r="E24">
        <v>48.74</v>
      </c>
      <c r="F24">
        <v>63.47</v>
      </c>
      <c r="G24">
        <v>54.44</v>
      </c>
      <c r="H24">
        <v>61.68</v>
      </c>
      <c r="I24">
        <v>70.55</v>
      </c>
      <c r="J24">
        <v>53.48</v>
      </c>
      <c r="K24">
        <v>54.92</v>
      </c>
      <c r="M24" s="44">
        <v>0.73333333333333328</v>
      </c>
      <c r="N24" s="5">
        <v>55.08</v>
      </c>
      <c r="O24" s="5">
        <v>76.569999999999993</v>
      </c>
      <c r="P24" s="5">
        <v>77.75</v>
      </c>
      <c r="Q24" s="5">
        <v>77.08</v>
      </c>
      <c r="R24" s="5">
        <v>85.26</v>
      </c>
      <c r="S24" s="5">
        <v>77.41</v>
      </c>
      <c r="T24" s="5">
        <v>47.48</v>
      </c>
      <c r="U24" s="5">
        <v>34.840000000000003</v>
      </c>
      <c r="V24" s="5">
        <v>73.709999999999994</v>
      </c>
      <c r="W24"/>
      <c r="X24"/>
    </row>
    <row r="25" spans="3:24" x14ac:dyDescent="0.2">
      <c r="C25" s="25">
        <v>2.0333333333333332</v>
      </c>
      <c r="D25">
        <v>52.37</v>
      </c>
      <c r="E25">
        <v>48.11</v>
      </c>
      <c r="F25">
        <v>62.98</v>
      </c>
      <c r="G25">
        <v>53.8</v>
      </c>
      <c r="H25">
        <v>61.35</v>
      </c>
      <c r="I25">
        <v>69.88</v>
      </c>
      <c r="J25">
        <v>52.85</v>
      </c>
      <c r="K25">
        <v>54.12</v>
      </c>
      <c r="M25" s="44">
        <v>0.76666666666666672</v>
      </c>
      <c r="N25" s="5">
        <v>54.12</v>
      </c>
      <c r="O25" s="5">
        <v>78.430000000000007</v>
      </c>
      <c r="P25" s="5">
        <v>77.08</v>
      </c>
      <c r="Q25" s="5">
        <v>76.400000000000006</v>
      </c>
      <c r="R25" s="5">
        <v>85.26</v>
      </c>
      <c r="S25" s="5">
        <v>76.91</v>
      </c>
      <c r="T25" s="5">
        <v>47.64</v>
      </c>
      <c r="U25" s="5">
        <v>33.47</v>
      </c>
      <c r="V25" s="5">
        <v>74.05</v>
      </c>
      <c r="W25"/>
      <c r="X25"/>
    </row>
    <row r="26" spans="3:24" x14ac:dyDescent="0.2">
      <c r="C26" s="25">
        <v>2.0666666666666669</v>
      </c>
      <c r="D26">
        <v>51.89</v>
      </c>
      <c r="E26">
        <v>47.48</v>
      </c>
      <c r="F26">
        <v>62.65</v>
      </c>
      <c r="G26">
        <v>53.64</v>
      </c>
      <c r="H26">
        <v>61.19</v>
      </c>
      <c r="I26">
        <v>69.72</v>
      </c>
      <c r="J26">
        <v>52.21</v>
      </c>
      <c r="K26">
        <v>53.16</v>
      </c>
      <c r="M26" s="44">
        <v>0.8</v>
      </c>
      <c r="N26" s="5">
        <v>53.48</v>
      </c>
      <c r="O26" s="5">
        <v>80.3</v>
      </c>
      <c r="P26" s="5">
        <v>76.569999999999993</v>
      </c>
      <c r="Q26" s="5">
        <v>76.069999999999993</v>
      </c>
      <c r="R26" s="5">
        <v>85.09</v>
      </c>
      <c r="S26" s="5">
        <v>76.569999999999993</v>
      </c>
      <c r="T26" s="5">
        <v>47.17</v>
      </c>
      <c r="U26" s="5">
        <v>32.42</v>
      </c>
      <c r="V26" s="5">
        <v>74.22</v>
      </c>
      <c r="W26"/>
      <c r="X26"/>
    </row>
    <row r="27" spans="3:24" x14ac:dyDescent="0.2">
      <c r="C27" s="25">
        <v>2.1</v>
      </c>
      <c r="D27">
        <v>51.42</v>
      </c>
      <c r="E27">
        <v>46.86</v>
      </c>
      <c r="F27">
        <v>61.84</v>
      </c>
      <c r="G27">
        <v>53.48</v>
      </c>
      <c r="H27">
        <v>61.03</v>
      </c>
      <c r="I27">
        <v>69.39</v>
      </c>
      <c r="J27">
        <v>51.58</v>
      </c>
      <c r="K27">
        <v>52.53</v>
      </c>
      <c r="M27" s="44">
        <v>0.83333333333333337</v>
      </c>
      <c r="N27" s="5">
        <v>52.69</v>
      </c>
      <c r="O27" s="5">
        <v>80.64</v>
      </c>
      <c r="P27" s="5">
        <v>75.900000000000006</v>
      </c>
      <c r="Q27" s="5">
        <v>75.39</v>
      </c>
      <c r="R27" s="5">
        <v>84.57</v>
      </c>
      <c r="S27" s="5">
        <v>76.23</v>
      </c>
      <c r="T27" s="5">
        <v>46.23</v>
      </c>
      <c r="U27" s="5">
        <v>31.21</v>
      </c>
      <c r="V27" s="5">
        <v>74.05</v>
      </c>
      <c r="W27"/>
      <c r="X27"/>
    </row>
    <row r="28" spans="3:24" x14ac:dyDescent="0.2">
      <c r="C28" s="25">
        <v>2.1333333333333333</v>
      </c>
      <c r="D28">
        <v>50.79</v>
      </c>
      <c r="E28">
        <v>45.92</v>
      </c>
      <c r="F28">
        <v>61.35</v>
      </c>
      <c r="G28">
        <v>53.32</v>
      </c>
      <c r="H28">
        <v>60.87</v>
      </c>
      <c r="I28">
        <v>68.89</v>
      </c>
      <c r="J28">
        <v>50.94</v>
      </c>
      <c r="K28">
        <v>51.42</v>
      </c>
      <c r="M28" s="44">
        <v>0.8666666666666667</v>
      </c>
      <c r="N28" s="5">
        <v>52.05</v>
      </c>
      <c r="O28" s="5">
        <v>80.81</v>
      </c>
      <c r="P28" s="5">
        <v>75.56</v>
      </c>
      <c r="Q28" s="5">
        <v>74.89</v>
      </c>
      <c r="R28" s="5">
        <v>83.2</v>
      </c>
      <c r="S28" s="5">
        <v>74.72</v>
      </c>
      <c r="T28" s="5">
        <v>45.45</v>
      </c>
      <c r="U28" s="5">
        <v>30.01</v>
      </c>
      <c r="V28" s="5">
        <v>73.709999999999994</v>
      </c>
      <c r="W28"/>
      <c r="X28"/>
    </row>
    <row r="29" spans="3:24" x14ac:dyDescent="0.2">
      <c r="C29" s="25">
        <v>2.1666666666666665</v>
      </c>
      <c r="D29">
        <v>50.15</v>
      </c>
      <c r="E29">
        <v>45.45</v>
      </c>
      <c r="F29">
        <v>60.87</v>
      </c>
      <c r="G29">
        <v>52.85</v>
      </c>
      <c r="H29">
        <v>60.54</v>
      </c>
      <c r="I29">
        <v>68.39</v>
      </c>
      <c r="J29">
        <v>50.63</v>
      </c>
      <c r="K29">
        <v>50.79</v>
      </c>
      <c r="M29" s="44">
        <v>0.9</v>
      </c>
      <c r="N29" s="5">
        <v>51.26</v>
      </c>
      <c r="O29" s="5">
        <v>80.81</v>
      </c>
      <c r="P29" s="5">
        <v>75.39</v>
      </c>
      <c r="Q29" s="5">
        <v>74.38</v>
      </c>
      <c r="R29" s="5">
        <v>83.89</v>
      </c>
      <c r="S29" s="5">
        <v>74.55</v>
      </c>
      <c r="T29" s="5">
        <v>44.67</v>
      </c>
      <c r="U29" s="5">
        <v>29.11</v>
      </c>
      <c r="V29" s="5">
        <v>73.55</v>
      </c>
      <c r="W29"/>
      <c r="X29"/>
    </row>
    <row r="30" spans="3:24" x14ac:dyDescent="0.2">
      <c r="C30" s="25">
        <v>2.2000000000000002</v>
      </c>
      <c r="D30">
        <v>49.37</v>
      </c>
      <c r="E30">
        <v>44.67</v>
      </c>
      <c r="F30">
        <v>60.54</v>
      </c>
      <c r="G30">
        <v>52.05</v>
      </c>
      <c r="H30">
        <v>60.22</v>
      </c>
      <c r="I30">
        <v>68.23</v>
      </c>
      <c r="J30">
        <v>50.15</v>
      </c>
      <c r="K30">
        <v>50.15</v>
      </c>
      <c r="M30" s="44">
        <v>0.93333333333333335</v>
      </c>
      <c r="N30" s="5">
        <v>50.31</v>
      </c>
      <c r="O30" s="5">
        <v>80.13</v>
      </c>
      <c r="P30" s="5">
        <v>74.89</v>
      </c>
      <c r="Q30" s="5">
        <v>73.88</v>
      </c>
      <c r="R30" s="5">
        <v>83.2</v>
      </c>
      <c r="S30" s="5">
        <v>74.05</v>
      </c>
      <c r="T30" s="5">
        <v>44.05</v>
      </c>
      <c r="U30" s="5">
        <v>27.92</v>
      </c>
      <c r="V30" s="5">
        <v>72.88</v>
      </c>
      <c r="W30"/>
      <c r="X30"/>
    </row>
    <row r="31" spans="3:24" x14ac:dyDescent="0.2">
      <c r="C31" s="25">
        <v>2.2333333333333334</v>
      </c>
      <c r="D31">
        <v>48.74</v>
      </c>
      <c r="E31">
        <v>43.74</v>
      </c>
      <c r="F31">
        <v>60.22</v>
      </c>
      <c r="G31">
        <v>51.42</v>
      </c>
      <c r="H31">
        <v>59.9</v>
      </c>
      <c r="I31">
        <v>67.900000000000006</v>
      </c>
      <c r="J31">
        <v>49.84</v>
      </c>
      <c r="K31">
        <v>49.52</v>
      </c>
      <c r="M31" s="44">
        <v>0.96666666666666667</v>
      </c>
      <c r="N31" s="5">
        <v>49.68</v>
      </c>
      <c r="O31" s="5">
        <v>79.45</v>
      </c>
      <c r="P31" s="5">
        <v>74.72</v>
      </c>
      <c r="Q31" s="5">
        <v>73.38</v>
      </c>
      <c r="R31" s="5">
        <v>82.86</v>
      </c>
      <c r="S31" s="5">
        <v>73.709999999999994</v>
      </c>
      <c r="T31" s="5">
        <v>43.74</v>
      </c>
      <c r="U31" s="5">
        <v>27.02</v>
      </c>
      <c r="V31" s="5">
        <v>72.709999999999994</v>
      </c>
      <c r="W31"/>
      <c r="X31"/>
    </row>
    <row r="32" spans="3:24" x14ac:dyDescent="0.2">
      <c r="C32" s="25">
        <v>2.2666666666666666</v>
      </c>
      <c r="D32">
        <v>47.95</v>
      </c>
      <c r="E32">
        <v>42.81</v>
      </c>
      <c r="F32">
        <v>61.19</v>
      </c>
      <c r="G32">
        <v>50.47</v>
      </c>
      <c r="H32">
        <v>59.57</v>
      </c>
      <c r="I32">
        <v>67.569999999999993</v>
      </c>
      <c r="J32">
        <v>49.68</v>
      </c>
      <c r="K32">
        <v>48.89</v>
      </c>
      <c r="M32" s="44">
        <v>1</v>
      </c>
      <c r="N32" s="5">
        <v>48.89</v>
      </c>
      <c r="O32" s="5">
        <v>78.260000000000005</v>
      </c>
      <c r="P32" s="5">
        <v>74.55</v>
      </c>
      <c r="Q32" s="5">
        <v>72.540000000000006</v>
      </c>
      <c r="R32" s="5">
        <v>82</v>
      </c>
      <c r="S32" s="5">
        <v>72.040000000000006</v>
      </c>
      <c r="T32" s="5">
        <v>42.96</v>
      </c>
      <c r="U32" s="5">
        <v>25.69</v>
      </c>
      <c r="V32" s="5">
        <v>72.38</v>
      </c>
      <c r="W32"/>
      <c r="X32"/>
    </row>
    <row r="33" spans="3:24" x14ac:dyDescent="0.2">
      <c r="C33" s="25">
        <v>2.2999999999999998</v>
      </c>
      <c r="D33">
        <v>47.01</v>
      </c>
      <c r="E33">
        <v>42.19</v>
      </c>
      <c r="F33">
        <v>61.52</v>
      </c>
      <c r="G33">
        <v>49.68</v>
      </c>
      <c r="H33">
        <v>59.41</v>
      </c>
      <c r="I33">
        <v>67.239999999999995</v>
      </c>
      <c r="J33">
        <v>49.52</v>
      </c>
      <c r="K33">
        <v>48.42</v>
      </c>
      <c r="M33" s="44">
        <v>1.0333333333333334</v>
      </c>
      <c r="N33" s="5">
        <v>48.27</v>
      </c>
      <c r="O33" s="5">
        <v>78.430000000000007</v>
      </c>
      <c r="P33" s="5">
        <v>74.22</v>
      </c>
      <c r="Q33" s="5">
        <v>71.88</v>
      </c>
      <c r="R33" s="5">
        <v>81.489999999999995</v>
      </c>
      <c r="S33" s="5">
        <v>71.05</v>
      </c>
      <c r="T33" s="5">
        <v>42.5</v>
      </c>
      <c r="U33" s="5">
        <v>24.06</v>
      </c>
      <c r="V33" s="5">
        <v>72.040000000000006</v>
      </c>
      <c r="W33"/>
      <c r="X33"/>
    </row>
    <row r="34" spans="3:24" x14ac:dyDescent="0.2">
      <c r="C34" s="25">
        <v>2.3333333333333335</v>
      </c>
      <c r="D34">
        <v>46.07</v>
      </c>
      <c r="E34">
        <v>41.42</v>
      </c>
      <c r="F34">
        <v>61.52</v>
      </c>
      <c r="G34">
        <v>49.21</v>
      </c>
      <c r="H34">
        <v>59.25</v>
      </c>
      <c r="I34">
        <v>66.91</v>
      </c>
      <c r="J34">
        <v>49.52</v>
      </c>
      <c r="K34">
        <v>48.11</v>
      </c>
      <c r="M34" s="44">
        <v>1.0666666666666667</v>
      </c>
      <c r="N34" s="5">
        <v>47.48</v>
      </c>
      <c r="O34" s="5">
        <v>78.77</v>
      </c>
      <c r="P34" s="5">
        <v>73.55</v>
      </c>
      <c r="Q34" s="5">
        <v>71.05</v>
      </c>
      <c r="R34" s="5">
        <v>80.64</v>
      </c>
      <c r="S34" s="5">
        <v>70.55</v>
      </c>
      <c r="T34" s="5">
        <v>41.42</v>
      </c>
      <c r="U34" s="5">
        <v>22.29</v>
      </c>
      <c r="V34" s="5">
        <v>71.05</v>
      </c>
      <c r="W34"/>
      <c r="X34"/>
    </row>
    <row r="35" spans="3:24" x14ac:dyDescent="0.2">
      <c r="C35" s="25">
        <v>2.3666666666666667</v>
      </c>
      <c r="D35">
        <v>44.98</v>
      </c>
      <c r="E35">
        <v>40.49</v>
      </c>
      <c r="F35">
        <v>61.19</v>
      </c>
      <c r="G35">
        <v>48.42</v>
      </c>
      <c r="H35">
        <v>58.77</v>
      </c>
      <c r="I35">
        <v>66.42</v>
      </c>
      <c r="J35">
        <v>48.89</v>
      </c>
      <c r="K35">
        <v>47.8</v>
      </c>
      <c r="M35" s="44">
        <v>1.1000000000000001</v>
      </c>
      <c r="N35" s="5">
        <v>46.39</v>
      </c>
      <c r="O35" s="5">
        <v>79.11</v>
      </c>
      <c r="P35" s="5">
        <v>72.88</v>
      </c>
      <c r="Q35" s="5">
        <v>70.38</v>
      </c>
      <c r="R35" s="5">
        <v>80.98</v>
      </c>
      <c r="S35" s="5">
        <v>70.88</v>
      </c>
      <c r="T35" s="5">
        <v>40.49</v>
      </c>
      <c r="U35" s="5">
        <v>20.53</v>
      </c>
      <c r="V35" s="5">
        <v>70.05</v>
      </c>
      <c r="W35"/>
      <c r="X35"/>
    </row>
    <row r="36" spans="3:24" x14ac:dyDescent="0.2">
      <c r="C36" s="25">
        <v>2.4</v>
      </c>
      <c r="D36">
        <v>44.05</v>
      </c>
      <c r="E36">
        <v>39.42</v>
      </c>
      <c r="F36">
        <v>60.71</v>
      </c>
      <c r="G36">
        <v>47.64</v>
      </c>
      <c r="H36">
        <v>58.44</v>
      </c>
      <c r="I36">
        <v>65.92</v>
      </c>
      <c r="J36">
        <v>48.89</v>
      </c>
      <c r="K36">
        <v>47.64</v>
      </c>
      <c r="M36" s="44">
        <v>1.1333333333333333</v>
      </c>
      <c r="N36" s="5">
        <v>45.29</v>
      </c>
      <c r="O36" s="5">
        <v>79.28</v>
      </c>
      <c r="P36" s="5">
        <v>72.040000000000006</v>
      </c>
      <c r="Q36" s="5">
        <v>69.39</v>
      </c>
      <c r="R36" s="5">
        <v>80.3</v>
      </c>
      <c r="S36" s="5">
        <v>71.05</v>
      </c>
      <c r="T36" s="5">
        <v>39.57</v>
      </c>
      <c r="U36" s="5">
        <v>19.07</v>
      </c>
      <c r="V36" s="5">
        <v>68.89</v>
      </c>
      <c r="W36"/>
      <c r="X36"/>
    </row>
    <row r="37" spans="3:24" x14ac:dyDescent="0.2">
      <c r="C37" s="25">
        <v>2.4333333333333331</v>
      </c>
      <c r="D37">
        <v>43.12</v>
      </c>
      <c r="E37">
        <v>38.65</v>
      </c>
      <c r="F37">
        <v>60.54</v>
      </c>
      <c r="G37">
        <v>47.17</v>
      </c>
      <c r="H37">
        <v>58.12</v>
      </c>
      <c r="I37">
        <v>65.760000000000005</v>
      </c>
      <c r="J37">
        <v>48.89</v>
      </c>
      <c r="K37">
        <v>47.17</v>
      </c>
      <c r="M37" s="44">
        <v>1.1666666666666667</v>
      </c>
      <c r="N37" s="5">
        <v>44.21</v>
      </c>
      <c r="O37" s="5">
        <v>77.92</v>
      </c>
      <c r="P37" s="5">
        <v>71.38</v>
      </c>
      <c r="Q37" s="5">
        <v>68.39</v>
      </c>
      <c r="R37" s="5">
        <v>80.13</v>
      </c>
      <c r="S37" s="5">
        <v>70.88</v>
      </c>
      <c r="T37" s="5">
        <v>38.96</v>
      </c>
      <c r="U37" s="5">
        <v>17.47</v>
      </c>
      <c r="V37" s="5">
        <v>67.569999999999993</v>
      </c>
      <c r="W37"/>
      <c r="X37"/>
    </row>
    <row r="38" spans="3:24" x14ac:dyDescent="0.2">
      <c r="C38" s="25">
        <v>2.4666666666666668</v>
      </c>
      <c r="D38">
        <v>41.88</v>
      </c>
      <c r="E38">
        <v>37.58</v>
      </c>
      <c r="F38">
        <v>59.9</v>
      </c>
      <c r="G38">
        <v>46.39</v>
      </c>
      <c r="H38">
        <v>57.64</v>
      </c>
      <c r="I38">
        <v>65.27</v>
      </c>
      <c r="J38">
        <v>48.42</v>
      </c>
      <c r="K38">
        <v>46.86</v>
      </c>
      <c r="M38" s="44">
        <v>1.2</v>
      </c>
      <c r="N38" s="5">
        <v>43.27</v>
      </c>
      <c r="O38" s="5">
        <v>77.08</v>
      </c>
      <c r="P38" s="5">
        <v>70.55</v>
      </c>
      <c r="Q38" s="5">
        <v>67.73</v>
      </c>
      <c r="R38" s="5">
        <v>79.790000000000006</v>
      </c>
      <c r="S38" s="5">
        <v>70.55</v>
      </c>
      <c r="T38" s="5">
        <v>38.5</v>
      </c>
      <c r="U38" s="5">
        <v>16.16</v>
      </c>
      <c r="V38" s="5">
        <v>66.58</v>
      </c>
      <c r="W38"/>
      <c r="X38"/>
    </row>
    <row r="39" spans="3:24" x14ac:dyDescent="0.2">
      <c r="C39" s="25">
        <v>2.5</v>
      </c>
      <c r="D39">
        <v>41.11</v>
      </c>
      <c r="E39">
        <v>37.119999999999997</v>
      </c>
      <c r="F39">
        <v>59.74</v>
      </c>
      <c r="G39">
        <v>45.92</v>
      </c>
      <c r="H39">
        <v>57.16</v>
      </c>
      <c r="I39">
        <v>64.94</v>
      </c>
      <c r="J39">
        <v>48.11</v>
      </c>
      <c r="K39">
        <v>46.7</v>
      </c>
      <c r="M39" s="44">
        <v>1.2333333333333334</v>
      </c>
      <c r="N39" s="5">
        <v>42.65</v>
      </c>
      <c r="O39" s="5">
        <v>76.069999999999993</v>
      </c>
      <c r="P39" s="5">
        <v>70.22</v>
      </c>
      <c r="Q39" s="5">
        <v>66.91</v>
      </c>
      <c r="R39" s="5">
        <v>80.13</v>
      </c>
      <c r="S39" s="5">
        <v>70.22</v>
      </c>
      <c r="T39" s="5">
        <v>37.43</v>
      </c>
      <c r="U39" s="5">
        <v>14.72</v>
      </c>
      <c r="V39" s="5">
        <v>64.94</v>
      </c>
      <c r="W39"/>
      <c r="X39"/>
    </row>
    <row r="40" spans="3:24" x14ac:dyDescent="0.2">
      <c r="C40" s="25">
        <v>2.5333333333333332</v>
      </c>
      <c r="D40">
        <v>40.19</v>
      </c>
      <c r="E40">
        <v>36.21</v>
      </c>
      <c r="F40">
        <v>59.41</v>
      </c>
      <c r="G40">
        <v>45.14</v>
      </c>
      <c r="H40">
        <v>55.72</v>
      </c>
      <c r="I40">
        <v>64.61</v>
      </c>
      <c r="J40">
        <v>47.64</v>
      </c>
      <c r="K40">
        <v>46.39</v>
      </c>
      <c r="M40" s="44">
        <v>1.2666666666666666</v>
      </c>
      <c r="N40" s="5">
        <v>41.73</v>
      </c>
      <c r="O40" s="5">
        <v>74.72</v>
      </c>
      <c r="P40" s="5">
        <v>69.72</v>
      </c>
      <c r="Q40" s="5">
        <v>66.09</v>
      </c>
      <c r="R40" s="5">
        <v>79.959999999999994</v>
      </c>
      <c r="S40" s="5">
        <v>69.72</v>
      </c>
      <c r="T40" s="5">
        <v>36.51</v>
      </c>
      <c r="U40" s="5">
        <v>13.71</v>
      </c>
      <c r="V40" s="5">
        <v>63.8</v>
      </c>
      <c r="W40"/>
      <c r="X40"/>
    </row>
    <row r="41" spans="3:24" x14ac:dyDescent="0.2">
      <c r="C41" s="25">
        <v>2.5666666666666669</v>
      </c>
      <c r="D41">
        <v>39.11</v>
      </c>
      <c r="E41">
        <v>35.29</v>
      </c>
      <c r="F41">
        <v>59.41</v>
      </c>
      <c r="G41">
        <v>44.36</v>
      </c>
      <c r="H41">
        <v>54.92</v>
      </c>
      <c r="I41">
        <v>64.12</v>
      </c>
      <c r="J41">
        <v>47.01</v>
      </c>
      <c r="K41">
        <v>45.92</v>
      </c>
      <c r="M41" s="44">
        <v>1.3</v>
      </c>
      <c r="N41" s="5">
        <v>40.799999999999997</v>
      </c>
      <c r="O41" s="5">
        <v>73.709999999999994</v>
      </c>
      <c r="P41" s="5">
        <v>69.39</v>
      </c>
      <c r="Q41" s="5">
        <v>65.27</v>
      </c>
      <c r="R41" s="5">
        <v>79.11</v>
      </c>
      <c r="S41" s="5">
        <v>69.06</v>
      </c>
      <c r="T41" s="5">
        <v>35.14</v>
      </c>
      <c r="U41" s="5">
        <v>13.14</v>
      </c>
      <c r="V41" s="5">
        <v>62.49</v>
      </c>
      <c r="W41"/>
      <c r="X41"/>
    </row>
    <row r="42" spans="3:24" x14ac:dyDescent="0.2">
      <c r="C42" s="25">
        <v>2.6</v>
      </c>
      <c r="D42">
        <v>38.04</v>
      </c>
      <c r="E42">
        <v>34.229999999999997</v>
      </c>
      <c r="F42">
        <v>56.68</v>
      </c>
      <c r="G42">
        <v>43.43</v>
      </c>
      <c r="H42">
        <v>53.8</v>
      </c>
      <c r="I42">
        <v>63.47</v>
      </c>
      <c r="J42">
        <v>45.92</v>
      </c>
      <c r="K42">
        <v>45.61</v>
      </c>
      <c r="M42" s="44">
        <v>1.3333333333333333</v>
      </c>
      <c r="N42" s="5">
        <v>39.880000000000003</v>
      </c>
      <c r="O42" s="5">
        <v>72.540000000000006</v>
      </c>
      <c r="P42" s="5">
        <v>68.89</v>
      </c>
      <c r="Q42" s="5">
        <v>64.45</v>
      </c>
      <c r="R42" s="5">
        <v>79.62</v>
      </c>
      <c r="S42" s="5">
        <v>68.72</v>
      </c>
      <c r="T42" s="5">
        <v>34.229999999999997</v>
      </c>
      <c r="U42" s="5">
        <v>13.14</v>
      </c>
      <c r="V42" s="5">
        <v>60.87</v>
      </c>
      <c r="W42"/>
      <c r="X42"/>
    </row>
    <row r="43" spans="3:24" x14ac:dyDescent="0.2">
      <c r="C43" s="25">
        <v>2.6333333333333333</v>
      </c>
      <c r="D43">
        <v>37.270000000000003</v>
      </c>
      <c r="E43">
        <v>33.78</v>
      </c>
      <c r="F43">
        <v>55.08</v>
      </c>
      <c r="G43">
        <v>42.5</v>
      </c>
      <c r="H43">
        <v>53.48</v>
      </c>
      <c r="I43">
        <v>62.82</v>
      </c>
      <c r="J43">
        <v>45.14</v>
      </c>
      <c r="K43">
        <v>45.14</v>
      </c>
      <c r="M43" s="44">
        <v>1.3666666666666667</v>
      </c>
      <c r="N43" s="5">
        <v>38.799999999999997</v>
      </c>
      <c r="O43" s="5">
        <v>71.540000000000006</v>
      </c>
      <c r="P43" s="5">
        <v>68.23</v>
      </c>
      <c r="Q43" s="5">
        <v>63.63</v>
      </c>
      <c r="R43" s="5">
        <v>78.430000000000007</v>
      </c>
      <c r="S43" s="5">
        <v>68.39</v>
      </c>
      <c r="T43" s="5">
        <v>33.020000000000003</v>
      </c>
      <c r="U43" s="5">
        <v>12.85</v>
      </c>
      <c r="V43" s="5">
        <v>59.41</v>
      </c>
      <c r="W43"/>
      <c r="X43"/>
    </row>
    <row r="44" spans="3:24" x14ac:dyDescent="0.2">
      <c r="C44" s="25">
        <v>2.6666666666666665</v>
      </c>
      <c r="D44">
        <v>36.21</v>
      </c>
      <c r="E44">
        <v>32.72</v>
      </c>
      <c r="F44">
        <v>54.12</v>
      </c>
      <c r="G44">
        <v>41.42</v>
      </c>
      <c r="H44">
        <v>52.85</v>
      </c>
      <c r="I44">
        <v>62</v>
      </c>
      <c r="J44">
        <v>44.05</v>
      </c>
      <c r="K44">
        <v>44.21</v>
      </c>
      <c r="M44" s="44">
        <v>1.4</v>
      </c>
      <c r="N44" s="5">
        <v>37.880000000000003</v>
      </c>
      <c r="O44" s="5">
        <v>70.22</v>
      </c>
      <c r="P44" s="5">
        <v>67.900000000000006</v>
      </c>
      <c r="Q44" s="5">
        <v>62.65</v>
      </c>
      <c r="R44" s="5">
        <v>79.45</v>
      </c>
      <c r="S44" s="5">
        <v>67.900000000000006</v>
      </c>
      <c r="T44" s="5">
        <v>32.42</v>
      </c>
      <c r="U44" s="5">
        <v>12.85</v>
      </c>
      <c r="V44" s="5">
        <v>58.77</v>
      </c>
      <c r="W44"/>
      <c r="X44"/>
    </row>
    <row r="45" spans="3:24" x14ac:dyDescent="0.2">
      <c r="C45" s="25">
        <v>2.7</v>
      </c>
      <c r="D45">
        <v>35.29</v>
      </c>
      <c r="E45">
        <v>31.96</v>
      </c>
      <c r="F45">
        <v>53.64</v>
      </c>
      <c r="G45">
        <v>40.65</v>
      </c>
      <c r="H45">
        <v>52.21</v>
      </c>
      <c r="I45">
        <v>61.52</v>
      </c>
      <c r="J45">
        <v>43.43</v>
      </c>
      <c r="K45">
        <v>43.27</v>
      </c>
      <c r="M45" s="44">
        <v>1.4333333333333333</v>
      </c>
      <c r="N45" s="5">
        <v>36.97</v>
      </c>
      <c r="O45" s="5">
        <v>69.06</v>
      </c>
      <c r="P45" s="5">
        <v>67.400000000000006</v>
      </c>
      <c r="Q45" s="5">
        <v>62.17</v>
      </c>
      <c r="R45" s="5">
        <v>78.09</v>
      </c>
      <c r="S45" s="5">
        <v>67.73</v>
      </c>
      <c r="T45" s="5">
        <v>31.81</v>
      </c>
      <c r="U45" s="5">
        <v>12.99</v>
      </c>
      <c r="V45" s="5">
        <v>58.12</v>
      </c>
      <c r="W45"/>
      <c r="X45"/>
    </row>
    <row r="46" spans="3:24" x14ac:dyDescent="0.2">
      <c r="C46" s="25">
        <v>2.7333333333333334</v>
      </c>
      <c r="D46">
        <v>34.380000000000003</v>
      </c>
      <c r="E46">
        <v>31.06</v>
      </c>
      <c r="F46">
        <v>53.16</v>
      </c>
      <c r="G46">
        <v>40.19</v>
      </c>
      <c r="H46">
        <v>51.58</v>
      </c>
      <c r="I46">
        <v>60.87</v>
      </c>
      <c r="J46">
        <v>42.65</v>
      </c>
      <c r="K46">
        <v>42.81</v>
      </c>
      <c r="M46" s="44">
        <v>1.4666666666666666</v>
      </c>
      <c r="N46" s="5">
        <v>35.9</v>
      </c>
      <c r="O46" s="5">
        <v>67.73</v>
      </c>
      <c r="P46" s="5">
        <v>67.08</v>
      </c>
      <c r="Q46" s="5">
        <v>61.19</v>
      </c>
      <c r="R46" s="5">
        <v>77.92</v>
      </c>
      <c r="S46" s="5">
        <v>66.75</v>
      </c>
      <c r="T46" s="5">
        <v>31.06</v>
      </c>
      <c r="U46" s="5">
        <v>12.99</v>
      </c>
      <c r="V46" s="5">
        <v>57.16</v>
      </c>
      <c r="W46"/>
      <c r="X46"/>
    </row>
    <row r="47" spans="3:24" x14ac:dyDescent="0.2">
      <c r="C47" s="25">
        <v>2.7666666666666666</v>
      </c>
      <c r="D47">
        <v>33.32</v>
      </c>
      <c r="E47">
        <v>30.16</v>
      </c>
      <c r="F47">
        <v>52.53</v>
      </c>
      <c r="G47">
        <v>39.72</v>
      </c>
      <c r="H47">
        <v>50.79</v>
      </c>
      <c r="I47">
        <v>60.22</v>
      </c>
      <c r="J47">
        <v>41.88</v>
      </c>
      <c r="K47">
        <v>42.04</v>
      </c>
      <c r="M47" s="44">
        <v>1.5</v>
      </c>
      <c r="N47" s="5">
        <v>34.99</v>
      </c>
      <c r="O47" s="5">
        <v>66.75</v>
      </c>
      <c r="P47" s="5">
        <v>66.58</v>
      </c>
      <c r="Q47" s="5">
        <v>60.22</v>
      </c>
      <c r="R47" s="5">
        <v>78.260000000000005</v>
      </c>
      <c r="S47" s="5">
        <v>66.25</v>
      </c>
      <c r="T47" s="5">
        <v>30.46</v>
      </c>
      <c r="U47" s="5">
        <v>12.85</v>
      </c>
      <c r="V47" s="5">
        <v>56.52</v>
      </c>
      <c r="W47"/>
      <c r="X47"/>
    </row>
    <row r="48" spans="3:24" x14ac:dyDescent="0.2">
      <c r="C48" s="25">
        <v>2.8</v>
      </c>
      <c r="D48">
        <v>32.869999999999997</v>
      </c>
      <c r="E48">
        <v>29.71</v>
      </c>
      <c r="F48">
        <v>52.53</v>
      </c>
      <c r="G48">
        <v>39.880000000000003</v>
      </c>
      <c r="H48">
        <v>50.15</v>
      </c>
      <c r="I48">
        <v>59.74</v>
      </c>
      <c r="J48">
        <v>41.73</v>
      </c>
      <c r="K48">
        <v>41.57</v>
      </c>
      <c r="M48" s="44">
        <v>1.5333333333333334</v>
      </c>
      <c r="N48" s="5">
        <v>33.619999999999997</v>
      </c>
      <c r="O48" s="5">
        <v>66.09</v>
      </c>
      <c r="P48" s="5">
        <v>65.760000000000005</v>
      </c>
      <c r="Q48" s="5">
        <v>59.25</v>
      </c>
      <c r="R48" s="5">
        <v>77.25</v>
      </c>
      <c r="S48" s="5">
        <v>65.599999999999994</v>
      </c>
      <c r="T48" s="5">
        <v>30.16</v>
      </c>
      <c r="U48" s="5">
        <v>12.13</v>
      </c>
      <c r="V48" s="5">
        <v>55.24</v>
      </c>
      <c r="W48"/>
      <c r="X48"/>
    </row>
    <row r="49" spans="3:24" x14ac:dyDescent="0.2">
      <c r="C49" s="25">
        <v>2.8333333333333335</v>
      </c>
      <c r="D49">
        <v>31.81</v>
      </c>
      <c r="E49">
        <v>28.66</v>
      </c>
      <c r="F49">
        <v>52.05</v>
      </c>
      <c r="G49">
        <v>39.880000000000003</v>
      </c>
      <c r="H49">
        <v>49.21</v>
      </c>
      <c r="I49">
        <v>58.77</v>
      </c>
      <c r="J49">
        <v>40.950000000000003</v>
      </c>
      <c r="K49">
        <v>40.799999999999997</v>
      </c>
      <c r="M49" s="44">
        <v>1.5666666666666667</v>
      </c>
      <c r="N49" s="5">
        <v>32.57</v>
      </c>
      <c r="O49" s="5">
        <v>65.760000000000005</v>
      </c>
      <c r="P49" s="5">
        <v>65.099999999999994</v>
      </c>
      <c r="Q49" s="5">
        <v>58.12</v>
      </c>
      <c r="R49" s="5">
        <v>76.91</v>
      </c>
      <c r="S49" s="5">
        <v>64.61</v>
      </c>
      <c r="T49" s="5">
        <v>29.56</v>
      </c>
      <c r="U49" s="5">
        <v>10.99</v>
      </c>
      <c r="V49" s="5">
        <v>54.44</v>
      </c>
      <c r="W49"/>
      <c r="X49"/>
    </row>
    <row r="50" spans="3:24" x14ac:dyDescent="0.2">
      <c r="C50" s="25">
        <v>2.8666666666666667</v>
      </c>
      <c r="D50">
        <v>31.21</v>
      </c>
      <c r="E50">
        <v>26.58</v>
      </c>
      <c r="F50">
        <v>51.74</v>
      </c>
      <c r="G50">
        <v>39.72</v>
      </c>
      <c r="H50">
        <v>48.42</v>
      </c>
      <c r="I50">
        <v>56.52</v>
      </c>
      <c r="J50">
        <v>40.799999999999997</v>
      </c>
      <c r="K50">
        <v>40.03</v>
      </c>
      <c r="M50" s="44">
        <v>1.6</v>
      </c>
      <c r="N50" s="5">
        <v>31.51</v>
      </c>
      <c r="O50" s="5">
        <v>65.430000000000007</v>
      </c>
      <c r="P50" s="5">
        <v>64.45</v>
      </c>
      <c r="Q50" s="5">
        <v>57.16</v>
      </c>
      <c r="R50" s="5">
        <v>77.25</v>
      </c>
      <c r="S50" s="5">
        <v>62.98</v>
      </c>
      <c r="T50" s="5">
        <v>29.11</v>
      </c>
      <c r="U50" s="5">
        <v>10.130000000000001</v>
      </c>
      <c r="V50" s="5">
        <v>53.64</v>
      </c>
      <c r="W50"/>
      <c r="X50"/>
    </row>
    <row r="51" spans="3:24" x14ac:dyDescent="0.2">
      <c r="C51" s="25">
        <v>2.9</v>
      </c>
      <c r="D51">
        <v>30.31</v>
      </c>
      <c r="E51">
        <v>25.09</v>
      </c>
      <c r="F51">
        <v>51.58</v>
      </c>
      <c r="G51">
        <v>38.96</v>
      </c>
      <c r="H51">
        <v>47.8</v>
      </c>
      <c r="I51">
        <v>56.2</v>
      </c>
      <c r="J51">
        <v>40.49</v>
      </c>
      <c r="K51">
        <v>39.26</v>
      </c>
      <c r="M51" s="44">
        <v>1.6333333333333333</v>
      </c>
      <c r="N51" s="5">
        <v>30.46</v>
      </c>
      <c r="O51" s="5">
        <v>64.94</v>
      </c>
      <c r="P51" s="5">
        <v>63.14</v>
      </c>
      <c r="Q51" s="5">
        <v>56.52</v>
      </c>
      <c r="R51" s="5">
        <v>76.400000000000006</v>
      </c>
      <c r="S51" s="5">
        <v>61.35</v>
      </c>
      <c r="T51" s="5">
        <v>28.51</v>
      </c>
      <c r="U51" s="5">
        <v>8.57</v>
      </c>
      <c r="V51" s="5">
        <v>52.69</v>
      </c>
      <c r="W51"/>
      <c r="X51"/>
    </row>
    <row r="52" spans="3:24" x14ac:dyDescent="0.2">
      <c r="C52" s="25">
        <v>2.9333333333333331</v>
      </c>
      <c r="D52">
        <v>29.56</v>
      </c>
      <c r="E52">
        <v>24.35</v>
      </c>
      <c r="F52">
        <v>47.95</v>
      </c>
      <c r="G52">
        <v>37.270000000000003</v>
      </c>
      <c r="H52">
        <v>47.48</v>
      </c>
      <c r="I52">
        <v>55.88</v>
      </c>
      <c r="J52">
        <v>40.19</v>
      </c>
      <c r="K52">
        <v>38.65</v>
      </c>
      <c r="M52" s="44">
        <v>1.6666666666666667</v>
      </c>
      <c r="N52" s="5">
        <v>29.26</v>
      </c>
      <c r="O52" s="5">
        <v>64.61</v>
      </c>
      <c r="P52" s="5">
        <v>62</v>
      </c>
      <c r="Q52" s="5">
        <v>55.4</v>
      </c>
      <c r="R52" s="5">
        <v>75.73</v>
      </c>
      <c r="S52" s="5">
        <v>60.06</v>
      </c>
      <c r="T52" s="5">
        <v>28.07</v>
      </c>
      <c r="U52" s="5">
        <v>7.01</v>
      </c>
      <c r="V52" s="5">
        <v>51.1</v>
      </c>
      <c r="W52"/>
      <c r="X52"/>
    </row>
    <row r="53" spans="3:24" x14ac:dyDescent="0.2">
      <c r="C53" s="25">
        <v>2.9666666666666668</v>
      </c>
      <c r="D53">
        <v>28.81</v>
      </c>
      <c r="E53">
        <v>23.62</v>
      </c>
      <c r="F53">
        <v>46.39</v>
      </c>
      <c r="G53">
        <v>35.9</v>
      </c>
      <c r="H53">
        <v>46.7</v>
      </c>
      <c r="I53">
        <v>55.4</v>
      </c>
      <c r="J53">
        <v>39.72</v>
      </c>
      <c r="K53">
        <v>37.729999999999997</v>
      </c>
      <c r="M53" s="44">
        <v>1.7</v>
      </c>
      <c r="N53" s="5">
        <v>27.92</v>
      </c>
      <c r="O53" s="5">
        <v>64.61</v>
      </c>
      <c r="P53" s="5">
        <v>60.87</v>
      </c>
      <c r="Q53" s="5">
        <v>54.6</v>
      </c>
      <c r="R53" s="5">
        <v>75.22</v>
      </c>
      <c r="S53" s="5">
        <v>59.09</v>
      </c>
      <c r="T53" s="5">
        <v>27.47</v>
      </c>
      <c r="U53" s="5">
        <v>5.46</v>
      </c>
      <c r="V53" s="5">
        <v>50.31</v>
      </c>
      <c r="W53"/>
      <c r="X53"/>
    </row>
    <row r="54" spans="3:24" x14ac:dyDescent="0.2">
      <c r="C54" s="25">
        <v>3</v>
      </c>
      <c r="D54">
        <v>27.92</v>
      </c>
      <c r="E54">
        <v>23.03</v>
      </c>
      <c r="F54">
        <v>45.76</v>
      </c>
      <c r="G54">
        <v>35.29</v>
      </c>
      <c r="H54">
        <v>46.07</v>
      </c>
      <c r="I54">
        <v>54.76</v>
      </c>
      <c r="J54">
        <v>39.26</v>
      </c>
      <c r="K54">
        <v>37.119999999999997</v>
      </c>
      <c r="M54" s="44">
        <v>1.7333333333333334</v>
      </c>
      <c r="N54" s="5">
        <v>27.02</v>
      </c>
      <c r="O54" s="5">
        <v>64.45</v>
      </c>
      <c r="P54" s="5">
        <v>60.06</v>
      </c>
      <c r="Q54" s="5">
        <v>53.64</v>
      </c>
      <c r="R54" s="5">
        <v>75.73</v>
      </c>
      <c r="S54" s="5">
        <v>58.28</v>
      </c>
      <c r="T54" s="5">
        <v>27.17</v>
      </c>
      <c r="U54" s="5">
        <v>4.33</v>
      </c>
      <c r="V54" s="5">
        <v>49.68</v>
      </c>
      <c r="W54"/>
      <c r="X54"/>
    </row>
    <row r="55" spans="3:24" x14ac:dyDescent="0.2">
      <c r="C55" s="25"/>
      <c r="M55" s="44">
        <v>1.7666666666666666</v>
      </c>
      <c r="N55" s="5">
        <v>25.83</v>
      </c>
      <c r="O55" s="5">
        <v>64.45</v>
      </c>
      <c r="P55" s="5">
        <v>59.25</v>
      </c>
      <c r="Q55" s="5">
        <v>52.53</v>
      </c>
      <c r="R55" s="5">
        <v>75.73</v>
      </c>
      <c r="S55" s="5">
        <v>57.16</v>
      </c>
      <c r="T55" s="5">
        <v>26.43</v>
      </c>
      <c r="U55" s="5">
        <v>3.21</v>
      </c>
      <c r="V55" s="5">
        <v>48.89</v>
      </c>
      <c r="W55"/>
      <c r="X55"/>
    </row>
    <row r="56" spans="3:24" x14ac:dyDescent="0.2">
      <c r="C56" s="25"/>
      <c r="M56" s="44">
        <v>1.8</v>
      </c>
      <c r="N56" s="5">
        <v>24.5</v>
      </c>
      <c r="O56" s="5">
        <v>64.12</v>
      </c>
      <c r="P56" s="5">
        <v>58.12</v>
      </c>
      <c r="Q56" s="5">
        <v>51.42</v>
      </c>
      <c r="R56" s="5">
        <v>74.55</v>
      </c>
      <c r="S56" s="5">
        <v>56.04</v>
      </c>
      <c r="T56" s="5">
        <v>25.24</v>
      </c>
      <c r="U56" s="5">
        <v>2.23</v>
      </c>
      <c r="V56" s="5">
        <v>47.48</v>
      </c>
      <c r="W56"/>
      <c r="X56"/>
    </row>
    <row r="57" spans="3:24" x14ac:dyDescent="0.2">
      <c r="C57" s="25"/>
      <c r="M57" s="44">
        <v>1.8333333333333333</v>
      </c>
      <c r="N57" s="5">
        <v>23.32</v>
      </c>
      <c r="O57" s="5">
        <v>63.96</v>
      </c>
      <c r="P57" s="5">
        <v>57</v>
      </c>
      <c r="Q57" s="5">
        <v>50.63</v>
      </c>
      <c r="R57" s="5">
        <v>73.709999999999994</v>
      </c>
      <c r="S57" s="5">
        <v>55.4</v>
      </c>
      <c r="T57" s="5">
        <v>24.06</v>
      </c>
      <c r="U57" s="5">
        <v>1.39</v>
      </c>
      <c r="V57" s="5">
        <v>46.7</v>
      </c>
      <c r="W57"/>
      <c r="X57"/>
    </row>
    <row r="58" spans="3:24" x14ac:dyDescent="0.2">
      <c r="C58" s="25"/>
      <c r="M58" s="44">
        <v>1.8666666666666667</v>
      </c>
      <c r="N58" s="5">
        <v>22.29</v>
      </c>
      <c r="O58" s="5">
        <v>63.63</v>
      </c>
      <c r="P58" s="5">
        <v>55.88</v>
      </c>
      <c r="Q58" s="5">
        <v>49.68</v>
      </c>
      <c r="R58" s="5">
        <v>74.05</v>
      </c>
      <c r="S58" s="5">
        <v>55.08</v>
      </c>
      <c r="T58" s="5">
        <v>23.03</v>
      </c>
      <c r="U58" s="5">
        <v>0.42</v>
      </c>
      <c r="V58" s="5">
        <v>45.61</v>
      </c>
      <c r="W58"/>
      <c r="X58"/>
    </row>
    <row r="59" spans="3:24" x14ac:dyDescent="0.2">
      <c r="C59" s="25"/>
      <c r="M59" s="44">
        <v>1.9</v>
      </c>
      <c r="N59" s="5">
        <v>21.26</v>
      </c>
      <c r="O59" s="5">
        <v>63.31</v>
      </c>
      <c r="P59" s="5">
        <v>55.24</v>
      </c>
      <c r="Q59" s="5">
        <v>48.89</v>
      </c>
      <c r="R59" s="5">
        <v>73.88</v>
      </c>
      <c r="S59" s="5">
        <v>54.92</v>
      </c>
      <c r="T59" s="5">
        <v>22</v>
      </c>
      <c r="U59" s="5">
        <v>0.14000000000000001</v>
      </c>
      <c r="V59" s="5">
        <v>44.83</v>
      </c>
      <c r="W59"/>
      <c r="X59"/>
    </row>
    <row r="60" spans="3:24" x14ac:dyDescent="0.2">
      <c r="C60" s="25"/>
      <c r="M60" s="44">
        <v>1.9333333333333333</v>
      </c>
      <c r="N60" s="5">
        <v>20.53</v>
      </c>
      <c r="O60" s="5">
        <v>62.82</v>
      </c>
      <c r="P60" s="5">
        <v>54.76</v>
      </c>
      <c r="Q60" s="5">
        <v>47.8</v>
      </c>
      <c r="R60" s="5">
        <v>72.540000000000006</v>
      </c>
      <c r="S60" s="5">
        <v>54.92</v>
      </c>
      <c r="T60" s="5">
        <v>20.68</v>
      </c>
      <c r="U60" s="5">
        <v>0</v>
      </c>
      <c r="V60" s="5">
        <v>43.89</v>
      </c>
      <c r="W60"/>
      <c r="X60"/>
    </row>
    <row r="61" spans="3:24" x14ac:dyDescent="0.2">
      <c r="C61" s="25"/>
      <c r="M61" s="44"/>
      <c r="N61"/>
      <c r="O61"/>
      <c r="P61"/>
      <c r="Q61"/>
      <c r="R61"/>
      <c r="S61"/>
      <c r="T61"/>
      <c r="U61"/>
      <c r="V61"/>
      <c r="W61"/>
      <c r="X61"/>
    </row>
    <row r="62" spans="3:24" x14ac:dyDescent="0.2">
      <c r="C62" s="25"/>
      <c r="M62" s="44"/>
      <c r="N62"/>
      <c r="O62"/>
      <c r="P62"/>
      <c r="Q62"/>
      <c r="R62"/>
      <c r="S62"/>
      <c r="T62"/>
      <c r="U62"/>
      <c r="V62"/>
      <c r="W62"/>
      <c r="X62"/>
    </row>
    <row r="63" spans="3:24" x14ac:dyDescent="0.2">
      <c r="C63" s="25"/>
      <c r="M63" s="44"/>
      <c r="N63"/>
      <c r="O63"/>
      <c r="P63"/>
      <c r="Q63"/>
      <c r="R63"/>
      <c r="S63"/>
      <c r="T63"/>
      <c r="U63"/>
      <c r="V63"/>
      <c r="W63"/>
      <c r="X63"/>
    </row>
    <row r="64" spans="3:24" x14ac:dyDescent="0.2">
      <c r="C64" s="25"/>
      <c r="M64" s="44"/>
      <c r="N64"/>
      <c r="O64"/>
      <c r="P64"/>
      <c r="Q64"/>
      <c r="R64"/>
      <c r="S64"/>
      <c r="T64"/>
      <c r="U64"/>
      <c r="V64"/>
      <c r="W64"/>
      <c r="X64"/>
    </row>
    <row r="65" spans="3:24" x14ac:dyDescent="0.2">
      <c r="C65" s="25"/>
      <c r="M65" s="44"/>
      <c r="N65"/>
      <c r="O65"/>
      <c r="P65"/>
      <c r="Q65"/>
      <c r="R65"/>
      <c r="S65"/>
      <c r="T65"/>
      <c r="U65"/>
      <c r="V65"/>
      <c r="W65"/>
      <c r="X65"/>
    </row>
    <row r="66" spans="3:24" x14ac:dyDescent="0.2">
      <c r="C66" s="25"/>
      <c r="M66" s="44"/>
      <c r="N66"/>
      <c r="O66"/>
      <c r="P66"/>
      <c r="Q66"/>
      <c r="R66"/>
      <c r="S66"/>
      <c r="T66"/>
      <c r="U66"/>
      <c r="V66"/>
      <c r="W66"/>
      <c r="X66"/>
    </row>
    <row r="67" spans="3:24" x14ac:dyDescent="0.2">
      <c r="C67" s="25"/>
      <c r="M67" s="44"/>
      <c r="N67"/>
      <c r="O67"/>
      <c r="P67"/>
      <c r="Q67"/>
      <c r="R67"/>
      <c r="S67"/>
      <c r="T67"/>
      <c r="U67"/>
      <c r="V67"/>
      <c r="W67"/>
      <c r="X67"/>
    </row>
    <row r="68" spans="3:24" x14ac:dyDescent="0.2">
      <c r="C68" s="25"/>
      <c r="M68" s="44"/>
      <c r="N68"/>
      <c r="O68"/>
      <c r="P68"/>
      <c r="Q68"/>
      <c r="R68"/>
      <c r="S68"/>
      <c r="T68"/>
      <c r="U68"/>
      <c r="V68"/>
      <c r="W68"/>
      <c r="X68"/>
    </row>
    <row r="69" spans="3:24" x14ac:dyDescent="0.2">
      <c r="C69" s="25"/>
      <c r="M69" s="44"/>
      <c r="N69"/>
      <c r="O69"/>
      <c r="P69"/>
      <c r="Q69"/>
      <c r="R69"/>
      <c r="S69"/>
      <c r="T69"/>
      <c r="U69"/>
      <c r="V69"/>
      <c r="W69"/>
      <c r="X69"/>
    </row>
    <row r="70" spans="3:24" x14ac:dyDescent="0.2">
      <c r="C70" s="25"/>
      <c r="M70" s="44"/>
      <c r="N70"/>
      <c r="O70"/>
      <c r="P70"/>
      <c r="Q70"/>
      <c r="R70"/>
      <c r="S70"/>
      <c r="T70"/>
      <c r="U70"/>
      <c r="V70"/>
      <c r="W70"/>
      <c r="X70"/>
    </row>
    <row r="71" spans="3:24" x14ac:dyDescent="0.2">
      <c r="C71" s="25"/>
      <c r="M71" s="44"/>
      <c r="N71"/>
      <c r="O71"/>
      <c r="P71"/>
      <c r="Q71"/>
      <c r="R71"/>
      <c r="S71"/>
      <c r="T71"/>
      <c r="U71"/>
      <c r="V71"/>
      <c r="W71"/>
      <c r="X71"/>
    </row>
    <row r="72" spans="3:24" x14ac:dyDescent="0.2">
      <c r="C72" s="25"/>
      <c r="M72" s="44"/>
      <c r="N72"/>
      <c r="O72"/>
      <c r="P72"/>
      <c r="Q72"/>
      <c r="R72"/>
      <c r="S72"/>
      <c r="T72"/>
      <c r="U72"/>
      <c r="V72"/>
      <c r="W72"/>
      <c r="X72"/>
    </row>
    <row r="73" spans="3:24" x14ac:dyDescent="0.2">
      <c r="C73" s="25"/>
      <c r="M73" s="44"/>
      <c r="N73"/>
      <c r="O73"/>
      <c r="P73"/>
      <c r="Q73"/>
      <c r="R73"/>
      <c r="S73"/>
      <c r="T73"/>
      <c r="U73"/>
      <c r="V73"/>
      <c r="W73"/>
      <c r="X73"/>
    </row>
    <row r="74" spans="3:24" x14ac:dyDescent="0.2">
      <c r="C74" s="25"/>
      <c r="M74" s="44"/>
      <c r="N74"/>
      <c r="O74"/>
      <c r="P74"/>
      <c r="Q74"/>
      <c r="R74"/>
      <c r="S74"/>
      <c r="T74"/>
      <c r="U74"/>
      <c r="V74"/>
      <c r="W74"/>
      <c r="X74"/>
    </row>
    <row r="75" spans="3:24" x14ac:dyDescent="0.2">
      <c r="C75" s="25"/>
      <c r="M75" s="44"/>
      <c r="N75"/>
      <c r="O75"/>
      <c r="P75"/>
      <c r="Q75"/>
      <c r="R75"/>
      <c r="S75"/>
      <c r="T75"/>
      <c r="U75"/>
      <c r="V75"/>
      <c r="W75"/>
      <c r="X75"/>
    </row>
    <row r="76" spans="3:24" x14ac:dyDescent="0.2">
      <c r="C76" s="25"/>
      <c r="M76" s="44"/>
      <c r="N76"/>
      <c r="O76"/>
      <c r="P76"/>
      <c r="Q76"/>
      <c r="R76"/>
      <c r="S76"/>
      <c r="T76"/>
      <c r="U76"/>
      <c r="V76"/>
      <c r="W76"/>
      <c r="X76"/>
    </row>
    <row r="77" spans="3:24" x14ac:dyDescent="0.2">
      <c r="C77" s="25"/>
      <c r="M77" s="44"/>
      <c r="N77"/>
      <c r="O77"/>
      <c r="P77"/>
      <c r="Q77"/>
      <c r="R77"/>
      <c r="S77"/>
      <c r="T77"/>
      <c r="U77"/>
      <c r="V77"/>
      <c r="W77"/>
      <c r="X77"/>
    </row>
    <row r="78" spans="3:24" x14ac:dyDescent="0.2">
      <c r="C78" s="25"/>
      <c r="M78" s="44"/>
      <c r="N78"/>
      <c r="O78"/>
      <c r="P78"/>
      <c r="Q78"/>
      <c r="R78"/>
      <c r="S78"/>
      <c r="T78"/>
      <c r="U78"/>
      <c r="V78"/>
      <c r="W78"/>
      <c r="X78"/>
    </row>
    <row r="79" spans="3:24" x14ac:dyDescent="0.2">
      <c r="C79" s="25"/>
      <c r="M79" s="44"/>
      <c r="N79"/>
      <c r="O79"/>
      <c r="P79"/>
      <c r="Q79"/>
      <c r="R79"/>
      <c r="S79"/>
      <c r="T79"/>
      <c r="U79"/>
      <c r="V79"/>
      <c r="W79"/>
      <c r="X79"/>
    </row>
    <row r="80" spans="3:24" x14ac:dyDescent="0.2">
      <c r="C80" s="25"/>
      <c r="M80" s="44"/>
      <c r="N80"/>
      <c r="O80"/>
      <c r="P80"/>
      <c r="Q80"/>
      <c r="R80"/>
      <c r="S80"/>
      <c r="T80"/>
      <c r="U80"/>
      <c r="V80"/>
      <c r="W80"/>
      <c r="X80"/>
    </row>
    <row r="81" spans="3:24" x14ac:dyDescent="0.2">
      <c r="C81" s="25"/>
      <c r="M81" s="44"/>
      <c r="N81"/>
      <c r="O81"/>
      <c r="P81"/>
      <c r="Q81"/>
      <c r="R81"/>
      <c r="S81"/>
      <c r="T81"/>
      <c r="U81"/>
      <c r="V81"/>
      <c r="W81"/>
      <c r="X81"/>
    </row>
    <row r="82" spans="3:24" x14ac:dyDescent="0.2">
      <c r="C82" s="25"/>
      <c r="M82" s="44"/>
      <c r="N82"/>
      <c r="O82"/>
      <c r="P82"/>
      <c r="Q82"/>
      <c r="R82"/>
      <c r="S82"/>
      <c r="T82"/>
      <c r="U82"/>
      <c r="V82"/>
      <c r="W82"/>
      <c r="X82"/>
    </row>
    <row r="83" spans="3:24" x14ac:dyDescent="0.2">
      <c r="C83" s="25"/>
      <c r="M83" s="44"/>
      <c r="N83"/>
      <c r="O83"/>
      <c r="P83"/>
      <c r="Q83"/>
      <c r="R83"/>
      <c r="S83"/>
      <c r="T83"/>
      <c r="U83"/>
      <c r="V83"/>
      <c r="W83"/>
      <c r="X83"/>
    </row>
    <row r="84" spans="3:24" x14ac:dyDescent="0.2">
      <c r="C84" s="25"/>
      <c r="M84" s="44"/>
      <c r="N84"/>
      <c r="O84"/>
      <c r="P84"/>
      <c r="Q84"/>
      <c r="R84"/>
      <c r="S84"/>
      <c r="T84"/>
      <c r="U84"/>
      <c r="V84"/>
      <c r="W84"/>
      <c r="X84"/>
    </row>
    <row r="85" spans="3:24" x14ac:dyDescent="0.2">
      <c r="C85" s="25"/>
      <c r="M85" s="44"/>
      <c r="N85"/>
      <c r="O85"/>
      <c r="P85"/>
      <c r="Q85"/>
      <c r="R85"/>
      <c r="S85"/>
      <c r="T85"/>
      <c r="U85"/>
      <c r="V85"/>
      <c r="W85"/>
      <c r="X85"/>
    </row>
    <row r="86" spans="3:24" x14ac:dyDescent="0.2">
      <c r="C86" s="25"/>
      <c r="M86" s="44"/>
      <c r="N86"/>
      <c r="O86"/>
      <c r="P86"/>
      <c r="Q86"/>
      <c r="R86"/>
      <c r="S86"/>
      <c r="T86"/>
      <c r="U86"/>
      <c r="V86"/>
      <c r="W86"/>
      <c r="X86"/>
    </row>
    <row r="87" spans="3:24" x14ac:dyDescent="0.2">
      <c r="C87" s="25"/>
      <c r="M87" s="44"/>
      <c r="N87"/>
      <c r="O87"/>
      <c r="P87"/>
      <c r="Q87"/>
      <c r="R87"/>
      <c r="S87"/>
      <c r="T87"/>
      <c r="U87"/>
      <c r="V87"/>
      <c r="W87"/>
      <c r="X87"/>
    </row>
    <row r="88" spans="3:24" x14ac:dyDescent="0.2">
      <c r="C88" s="25"/>
      <c r="M88" s="44"/>
      <c r="N88"/>
      <c r="O88"/>
      <c r="P88"/>
      <c r="Q88"/>
      <c r="R88"/>
      <c r="S88"/>
      <c r="T88"/>
      <c r="U88"/>
      <c r="V88"/>
      <c r="W88"/>
      <c r="X88"/>
    </row>
    <row r="89" spans="3:24" x14ac:dyDescent="0.2">
      <c r="C89" s="25"/>
      <c r="M89" s="44"/>
      <c r="N89"/>
      <c r="O89"/>
      <c r="P89"/>
      <c r="Q89"/>
      <c r="R89"/>
      <c r="S89"/>
      <c r="T89"/>
      <c r="U89"/>
      <c r="V89"/>
      <c r="W89"/>
      <c r="X89"/>
    </row>
    <row r="90" spans="3:24" x14ac:dyDescent="0.2">
      <c r="C90" s="25"/>
      <c r="M90" s="44"/>
      <c r="N90"/>
      <c r="O90"/>
      <c r="P90"/>
      <c r="Q90"/>
      <c r="R90"/>
      <c r="S90"/>
      <c r="T90"/>
      <c r="U90"/>
      <c r="V90"/>
      <c r="W90"/>
      <c r="X90"/>
    </row>
    <row r="91" spans="3:24" x14ac:dyDescent="0.2">
      <c r="C91" s="25"/>
      <c r="M91" s="44"/>
      <c r="N91"/>
      <c r="O91"/>
      <c r="P91"/>
      <c r="Q91"/>
      <c r="R91"/>
      <c r="S91"/>
      <c r="T91"/>
      <c r="U91"/>
      <c r="V91"/>
      <c r="W91"/>
      <c r="X91"/>
    </row>
    <row r="92" spans="3:24" x14ac:dyDescent="0.2">
      <c r="C92" s="25"/>
      <c r="M92" s="44"/>
      <c r="N92"/>
      <c r="O92"/>
      <c r="P92"/>
      <c r="Q92"/>
      <c r="R92"/>
      <c r="S92"/>
      <c r="T92"/>
      <c r="U92"/>
      <c r="V92"/>
      <c r="W92"/>
      <c r="X92"/>
    </row>
    <row r="93" spans="3:24" x14ac:dyDescent="0.2">
      <c r="C93" s="25"/>
      <c r="M93" s="44"/>
      <c r="N93"/>
      <c r="O93"/>
      <c r="P93"/>
      <c r="Q93"/>
      <c r="R93"/>
      <c r="S93"/>
      <c r="T93"/>
      <c r="U93"/>
      <c r="V93"/>
      <c r="W93"/>
      <c r="X93"/>
    </row>
    <row r="94" spans="3:24" x14ac:dyDescent="0.2">
      <c r="C94" s="25"/>
      <c r="M94" s="44"/>
      <c r="N94"/>
      <c r="O94"/>
      <c r="P94"/>
      <c r="Q94"/>
      <c r="R94"/>
      <c r="S94"/>
      <c r="T94"/>
      <c r="U94"/>
      <c r="V94"/>
      <c r="W94"/>
      <c r="X94"/>
    </row>
    <row r="95" spans="3:24" x14ac:dyDescent="0.2">
      <c r="C95" s="25"/>
      <c r="M95" s="44"/>
      <c r="N95"/>
      <c r="O95"/>
      <c r="P95"/>
      <c r="Q95"/>
      <c r="R95"/>
      <c r="S95"/>
      <c r="T95"/>
      <c r="U95"/>
      <c r="V95"/>
      <c r="W95"/>
      <c r="X95"/>
    </row>
    <row r="96" spans="3:24" x14ac:dyDescent="0.2">
      <c r="C96" s="25"/>
      <c r="M96" s="44"/>
      <c r="N96"/>
      <c r="O96"/>
      <c r="P96"/>
      <c r="Q96"/>
      <c r="R96"/>
      <c r="S96"/>
      <c r="T96"/>
      <c r="U96"/>
      <c r="V96"/>
      <c r="W96"/>
      <c r="X96"/>
    </row>
    <row r="97" spans="3:24" x14ac:dyDescent="0.2">
      <c r="C97" s="25"/>
      <c r="M97" s="44"/>
      <c r="N97"/>
      <c r="O97"/>
      <c r="P97"/>
      <c r="Q97"/>
      <c r="R97"/>
      <c r="S97"/>
      <c r="T97"/>
      <c r="U97"/>
      <c r="V97"/>
      <c r="W97"/>
      <c r="X97"/>
    </row>
    <row r="98" spans="3:24" x14ac:dyDescent="0.2">
      <c r="C98" s="25"/>
      <c r="M98" s="44"/>
      <c r="N98"/>
      <c r="O98"/>
      <c r="P98"/>
      <c r="Q98"/>
      <c r="R98"/>
      <c r="S98"/>
      <c r="T98"/>
      <c r="U98"/>
      <c r="V98"/>
      <c r="W98"/>
      <c r="X98"/>
    </row>
    <row r="99" spans="3:24" x14ac:dyDescent="0.2">
      <c r="C99" s="25"/>
      <c r="M99" s="44"/>
      <c r="N99"/>
      <c r="O99"/>
      <c r="P99"/>
      <c r="Q99"/>
      <c r="R99"/>
      <c r="S99"/>
      <c r="T99"/>
      <c r="U99"/>
      <c r="V99"/>
      <c r="W99"/>
      <c r="X99"/>
    </row>
    <row r="100" spans="3:24" x14ac:dyDescent="0.2">
      <c r="C100" s="25"/>
      <c r="M100" s="44"/>
      <c r="N100"/>
      <c r="O100"/>
      <c r="P100"/>
      <c r="Q100"/>
      <c r="R100"/>
      <c r="S100"/>
      <c r="T100"/>
      <c r="U100"/>
      <c r="V100"/>
      <c r="W100"/>
      <c r="X100"/>
    </row>
    <row r="101" spans="3:24" x14ac:dyDescent="0.2">
      <c r="C101" s="25"/>
      <c r="M101" s="44"/>
      <c r="N101"/>
      <c r="O101"/>
      <c r="P101"/>
      <c r="Q101"/>
      <c r="R101"/>
      <c r="S101"/>
      <c r="T101"/>
      <c r="U101"/>
      <c r="V101"/>
      <c r="W101"/>
      <c r="X101"/>
    </row>
    <row r="102" spans="3:24" x14ac:dyDescent="0.2">
      <c r="C102" s="25"/>
      <c r="M102" s="44"/>
      <c r="N102"/>
      <c r="O102"/>
      <c r="P102"/>
      <c r="Q102"/>
      <c r="R102"/>
      <c r="S102"/>
      <c r="T102"/>
      <c r="U102"/>
      <c r="V102"/>
      <c r="W102"/>
      <c r="X102"/>
    </row>
    <row r="103" spans="3:24" x14ac:dyDescent="0.2">
      <c r="C103" s="25"/>
      <c r="M103" s="44"/>
      <c r="N103"/>
      <c r="O103"/>
      <c r="P103"/>
      <c r="Q103"/>
      <c r="R103"/>
      <c r="S103"/>
      <c r="T103"/>
      <c r="U103"/>
      <c r="V103"/>
      <c r="W103"/>
      <c r="X103"/>
    </row>
    <row r="104" spans="3:24" x14ac:dyDescent="0.2">
      <c r="C104" s="25"/>
      <c r="M104" s="44"/>
      <c r="N104"/>
      <c r="O104"/>
      <c r="P104"/>
      <c r="Q104"/>
      <c r="R104"/>
      <c r="S104"/>
      <c r="T104"/>
      <c r="U104"/>
      <c r="V104"/>
      <c r="W104"/>
      <c r="X104"/>
    </row>
    <row r="105" spans="3:24" x14ac:dyDescent="0.2">
      <c r="C105" s="25"/>
      <c r="M105" s="44"/>
      <c r="N105"/>
      <c r="O105"/>
      <c r="P105"/>
      <c r="Q105"/>
      <c r="R105"/>
      <c r="S105"/>
      <c r="T105"/>
      <c r="U105"/>
      <c r="V105"/>
      <c r="W105"/>
      <c r="X105"/>
    </row>
    <row r="106" spans="3:24" x14ac:dyDescent="0.2">
      <c r="C106" s="25"/>
      <c r="M106" s="44"/>
      <c r="N106"/>
      <c r="O106"/>
      <c r="P106"/>
      <c r="Q106"/>
      <c r="R106"/>
      <c r="S106"/>
      <c r="T106"/>
      <c r="U106"/>
      <c r="V106"/>
      <c r="W106"/>
      <c r="X106"/>
    </row>
    <row r="107" spans="3:24" x14ac:dyDescent="0.2">
      <c r="C107" s="25"/>
      <c r="M107" s="44"/>
      <c r="N107"/>
      <c r="O107"/>
      <c r="P107"/>
      <c r="Q107"/>
      <c r="R107"/>
      <c r="S107"/>
      <c r="T107"/>
      <c r="U107"/>
      <c r="V107"/>
      <c r="W107"/>
      <c r="X107"/>
    </row>
    <row r="108" spans="3:24" x14ac:dyDescent="0.2">
      <c r="C108" s="25"/>
      <c r="M108" s="44"/>
      <c r="N108"/>
      <c r="O108"/>
      <c r="P108"/>
      <c r="Q108"/>
      <c r="R108"/>
      <c r="S108"/>
      <c r="T108"/>
      <c r="U108"/>
      <c r="V108"/>
      <c r="W108"/>
      <c r="X108"/>
    </row>
    <row r="109" spans="3:24" x14ac:dyDescent="0.2">
      <c r="C109" s="25"/>
      <c r="M109" s="44"/>
      <c r="N109"/>
      <c r="O109"/>
      <c r="P109"/>
      <c r="Q109"/>
      <c r="R109"/>
      <c r="S109"/>
      <c r="T109"/>
      <c r="U109"/>
      <c r="V109"/>
      <c r="W109"/>
      <c r="X109"/>
    </row>
    <row r="110" spans="3:24" x14ac:dyDescent="0.2">
      <c r="C110" s="25"/>
      <c r="M110" s="44"/>
      <c r="N110"/>
      <c r="O110"/>
      <c r="P110"/>
      <c r="Q110"/>
      <c r="R110"/>
      <c r="S110"/>
      <c r="T110"/>
      <c r="U110"/>
      <c r="V110"/>
      <c r="W110"/>
      <c r="X110"/>
    </row>
    <row r="111" spans="3:24" x14ac:dyDescent="0.2">
      <c r="C111" s="25"/>
      <c r="M111" s="44"/>
      <c r="N111"/>
      <c r="O111"/>
      <c r="P111"/>
      <c r="Q111"/>
      <c r="R111"/>
      <c r="S111"/>
      <c r="T111"/>
      <c r="U111"/>
      <c r="V111"/>
      <c r="W111"/>
      <c r="X111"/>
    </row>
    <row r="112" spans="3:24" x14ac:dyDescent="0.2">
      <c r="C112" s="25"/>
      <c r="M112" s="44"/>
      <c r="N112"/>
      <c r="O112"/>
      <c r="P112"/>
      <c r="Q112"/>
      <c r="R112"/>
      <c r="S112"/>
      <c r="T112"/>
      <c r="U112"/>
      <c r="V112"/>
      <c r="W112"/>
      <c r="X112"/>
    </row>
    <row r="113" spans="3:24" x14ac:dyDescent="0.2">
      <c r="C113" s="25"/>
      <c r="M113" s="44"/>
      <c r="N113"/>
      <c r="O113"/>
      <c r="P113"/>
      <c r="Q113"/>
      <c r="R113"/>
      <c r="S113"/>
      <c r="T113"/>
      <c r="U113"/>
      <c r="V113"/>
      <c r="W113"/>
      <c r="X113"/>
    </row>
    <row r="114" spans="3:24" x14ac:dyDescent="0.2">
      <c r="C114" s="25"/>
      <c r="M114" s="44"/>
      <c r="N114"/>
      <c r="O114"/>
      <c r="P114"/>
      <c r="Q114"/>
      <c r="R114"/>
      <c r="S114"/>
      <c r="T114"/>
      <c r="U114"/>
      <c r="V114"/>
      <c r="W114"/>
      <c r="X114"/>
    </row>
    <row r="115" spans="3:24" x14ac:dyDescent="0.2">
      <c r="C115" s="25"/>
      <c r="M115" s="44"/>
      <c r="N115"/>
      <c r="O115"/>
      <c r="P115"/>
      <c r="Q115"/>
      <c r="R115"/>
      <c r="S115"/>
      <c r="T115"/>
      <c r="U115"/>
      <c r="V115"/>
      <c r="W115"/>
      <c r="X115"/>
    </row>
    <row r="116" spans="3:24" x14ac:dyDescent="0.2">
      <c r="C116" s="25"/>
      <c r="M116" s="44"/>
      <c r="N116"/>
      <c r="O116"/>
      <c r="P116"/>
      <c r="Q116"/>
      <c r="R116"/>
      <c r="S116"/>
      <c r="T116"/>
      <c r="U116"/>
      <c r="V116"/>
      <c r="W116"/>
      <c r="X116"/>
    </row>
    <row r="117" spans="3:24" x14ac:dyDescent="0.2">
      <c r="C117" s="25"/>
      <c r="M117" s="44"/>
      <c r="N117"/>
      <c r="O117"/>
      <c r="P117"/>
      <c r="Q117"/>
      <c r="R117"/>
      <c r="S117"/>
      <c r="T117"/>
      <c r="U117"/>
      <c r="V117"/>
      <c r="W117"/>
      <c r="X117"/>
    </row>
    <row r="118" spans="3:24" x14ac:dyDescent="0.2">
      <c r="C118" s="25"/>
      <c r="M118" s="44"/>
      <c r="N118"/>
      <c r="O118"/>
      <c r="P118"/>
      <c r="Q118"/>
      <c r="R118"/>
      <c r="S118"/>
      <c r="T118"/>
      <c r="U118"/>
      <c r="V118"/>
      <c r="W118"/>
      <c r="X118"/>
    </row>
    <row r="119" spans="3:24" x14ac:dyDescent="0.2">
      <c r="C119" s="25"/>
      <c r="M119" s="44"/>
      <c r="N119"/>
      <c r="O119"/>
      <c r="P119"/>
      <c r="Q119"/>
      <c r="R119"/>
      <c r="S119"/>
      <c r="T119"/>
      <c r="U119"/>
      <c r="V119"/>
      <c r="W119"/>
      <c r="X119"/>
    </row>
    <row r="120" spans="3:24" x14ac:dyDescent="0.2">
      <c r="C120" s="25"/>
      <c r="M120" s="44"/>
      <c r="N120"/>
      <c r="O120"/>
      <c r="P120"/>
      <c r="Q120"/>
      <c r="R120"/>
      <c r="S120"/>
      <c r="T120"/>
      <c r="U120"/>
      <c r="V120"/>
      <c r="W120"/>
      <c r="X120"/>
    </row>
    <row r="121" spans="3:24" x14ac:dyDescent="0.2">
      <c r="C121" s="25"/>
      <c r="M121" s="44"/>
      <c r="N121"/>
      <c r="O121"/>
      <c r="P121"/>
      <c r="Q121"/>
      <c r="R121"/>
      <c r="S121"/>
      <c r="T121"/>
      <c r="U121"/>
      <c r="V121"/>
      <c r="W121"/>
      <c r="X121"/>
    </row>
    <row r="122" spans="3:24" x14ac:dyDescent="0.2">
      <c r="C122" s="25"/>
      <c r="M122" s="44"/>
      <c r="N122"/>
      <c r="O122"/>
      <c r="P122"/>
      <c r="Q122"/>
      <c r="R122"/>
      <c r="S122"/>
      <c r="T122"/>
      <c r="U122"/>
      <c r="V122"/>
      <c r="W122"/>
      <c r="X122"/>
    </row>
    <row r="123" spans="3:24" x14ac:dyDescent="0.2">
      <c r="C123" s="25"/>
      <c r="M123" s="44"/>
      <c r="N123"/>
      <c r="O123"/>
      <c r="P123"/>
      <c r="Q123"/>
      <c r="R123"/>
      <c r="S123"/>
      <c r="T123"/>
      <c r="U123"/>
      <c r="V123"/>
      <c r="W123"/>
      <c r="X123"/>
    </row>
    <row r="124" spans="3:24" x14ac:dyDescent="0.2">
      <c r="C124" s="25"/>
      <c r="M124" s="44"/>
      <c r="N124"/>
      <c r="O124"/>
      <c r="P124"/>
      <c r="Q124"/>
      <c r="R124"/>
      <c r="S124"/>
      <c r="T124"/>
      <c r="U124"/>
      <c r="V124"/>
      <c r="W124"/>
      <c r="X124"/>
    </row>
    <row r="125" spans="3:24" x14ac:dyDescent="0.2">
      <c r="C125" s="25"/>
      <c r="M125" s="44"/>
      <c r="N125"/>
      <c r="O125"/>
      <c r="P125"/>
      <c r="Q125"/>
      <c r="R125"/>
      <c r="S125"/>
      <c r="T125"/>
      <c r="U125"/>
      <c r="V125"/>
      <c r="W125"/>
      <c r="X125"/>
    </row>
    <row r="126" spans="3:24" x14ac:dyDescent="0.2">
      <c r="C126" s="25"/>
      <c r="M126" s="44"/>
      <c r="N126"/>
      <c r="O126"/>
      <c r="P126"/>
      <c r="Q126"/>
      <c r="R126"/>
      <c r="S126"/>
      <c r="T126"/>
      <c r="U126"/>
      <c r="V126"/>
      <c r="W126"/>
      <c r="X126"/>
    </row>
    <row r="127" spans="3:24" x14ac:dyDescent="0.2">
      <c r="C127" s="25"/>
      <c r="M127" s="44"/>
      <c r="N127"/>
      <c r="O127"/>
      <c r="P127"/>
      <c r="Q127"/>
      <c r="R127"/>
      <c r="S127"/>
      <c r="T127"/>
      <c r="U127"/>
      <c r="V127"/>
      <c r="W127"/>
      <c r="X127"/>
    </row>
    <row r="128" spans="3:24" x14ac:dyDescent="0.2">
      <c r="C128" s="25"/>
      <c r="M128" s="44"/>
      <c r="N128"/>
      <c r="O128"/>
      <c r="P128"/>
      <c r="Q128"/>
      <c r="R128"/>
      <c r="S128"/>
      <c r="T128"/>
      <c r="U128"/>
      <c r="V128"/>
      <c r="W128"/>
      <c r="X128"/>
    </row>
    <row r="129" spans="3:24" x14ac:dyDescent="0.2">
      <c r="C129" s="25"/>
      <c r="M129" s="44"/>
      <c r="N129"/>
      <c r="O129"/>
      <c r="P129"/>
      <c r="Q129"/>
      <c r="R129"/>
      <c r="S129"/>
      <c r="T129"/>
      <c r="U129"/>
      <c r="V129"/>
      <c r="W129"/>
      <c r="X129"/>
    </row>
    <row r="130" spans="3:24" x14ac:dyDescent="0.2">
      <c r="C130" s="25"/>
      <c r="M130" s="44"/>
      <c r="N130"/>
      <c r="O130"/>
      <c r="P130"/>
      <c r="Q130"/>
      <c r="R130"/>
      <c r="S130"/>
      <c r="T130"/>
      <c r="U130"/>
      <c r="V130"/>
      <c r="W130"/>
      <c r="X130"/>
    </row>
    <row r="131" spans="3:24" x14ac:dyDescent="0.2">
      <c r="C131" s="25"/>
      <c r="M131" s="44"/>
      <c r="N131"/>
      <c r="O131"/>
      <c r="P131"/>
      <c r="Q131"/>
      <c r="R131"/>
      <c r="S131"/>
      <c r="T131"/>
      <c r="U131"/>
      <c r="V131"/>
      <c r="W131"/>
      <c r="X131"/>
    </row>
    <row r="132" spans="3:24" x14ac:dyDescent="0.2">
      <c r="C132" s="25"/>
      <c r="M132" s="44"/>
      <c r="N132"/>
      <c r="O132"/>
      <c r="P132"/>
      <c r="Q132"/>
      <c r="R132"/>
      <c r="S132"/>
      <c r="T132"/>
      <c r="U132"/>
      <c r="V132"/>
      <c r="W132"/>
      <c r="X132"/>
    </row>
    <row r="133" spans="3:24" x14ac:dyDescent="0.2">
      <c r="C133" s="25"/>
      <c r="M133" s="44"/>
      <c r="N133"/>
      <c r="O133"/>
      <c r="P133"/>
      <c r="Q133"/>
      <c r="R133"/>
      <c r="S133"/>
      <c r="T133"/>
      <c r="U133"/>
      <c r="V133"/>
      <c r="W133"/>
      <c r="X133"/>
    </row>
    <row r="134" spans="3:24" x14ac:dyDescent="0.2">
      <c r="C134" s="25"/>
      <c r="M134" s="44"/>
      <c r="N134"/>
      <c r="O134"/>
      <c r="P134"/>
      <c r="Q134"/>
      <c r="R134"/>
      <c r="S134"/>
      <c r="T134"/>
      <c r="U134"/>
      <c r="V134"/>
      <c r="W134"/>
      <c r="X134"/>
    </row>
    <row r="135" spans="3:24" x14ac:dyDescent="0.2">
      <c r="C135" s="25"/>
      <c r="M135" s="44"/>
      <c r="N135"/>
      <c r="O135"/>
      <c r="P135"/>
      <c r="Q135"/>
      <c r="R135"/>
      <c r="S135"/>
      <c r="T135"/>
      <c r="U135"/>
      <c r="V135"/>
      <c r="W135"/>
      <c r="X135"/>
    </row>
    <row r="136" spans="3:24" x14ac:dyDescent="0.2">
      <c r="C136" s="25"/>
      <c r="M136" s="44"/>
      <c r="N136"/>
      <c r="O136"/>
      <c r="P136"/>
      <c r="Q136"/>
      <c r="R136"/>
      <c r="S136"/>
      <c r="T136"/>
      <c r="U136"/>
      <c r="V136"/>
      <c r="W136"/>
      <c r="X136"/>
    </row>
    <row r="137" spans="3:24" x14ac:dyDescent="0.2">
      <c r="C137" s="25"/>
      <c r="M137" s="44"/>
      <c r="N137"/>
      <c r="O137"/>
      <c r="P137"/>
      <c r="Q137"/>
      <c r="R137"/>
      <c r="S137"/>
      <c r="T137"/>
      <c r="U137"/>
      <c r="V137"/>
      <c r="W137"/>
      <c r="X137"/>
    </row>
    <row r="138" spans="3:24" x14ac:dyDescent="0.2">
      <c r="C138" s="25"/>
      <c r="M138" s="44"/>
      <c r="N138"/>
      <c r="O138"/>
      <c r="P138"/>
      <c r="Q138"/>
      <c r="R138"/>
      <c r="S138"/>
      <c r="T138"/>
      <c r="U138"/>
      <c r="V138"/>
      <c r="W138"/>
      <c r="X138"/>
    </row>
    <row r="139" spans="3:24" x14ac:dyDescent="0.2">
      <c r="C139" s="25"/>
      <c r="M139" s="44"/>
      <c r="N139"/>
      <c r="O139"/>
      <c r="P139"/>
      <c r="Q139"/>
      <c r="R139"/>
      <c r="S139"/>
      <c r="T139"/>
      <c r="U139"/>
      <c r="V139"/>
      <c r="W139"/>
      <c r="X139"/>
    </row>
    <row r="140" spans="3:24" x14ac:dyDescent="0.2">
      <c r="C140" s="25"/>
      <c r="M140" s="44"/>
      <c r="N140"/>
      <c r="O140"/>
      <c r="P140"/>
      <c r="Q140"/>
      <c r="R140"/>
      <c r="S140"/>
      <c r="T140"/>
      <c r="U140"/>
      <c r="V140"/>
      <c r="W140"/>
      <c r="X140"/>
    </row>
    <row r="141" spans="3:24" x14ac:dyDescent="0.2">
      <c r="C141" s="25"/>
      <c r="M141" s="44"/>
      <c r="N141"/>
      <c r="O141"/>
      <c r="P141"/>
      <c r="Q141"/>
      <c r="R141"/>
      <c r="S141"/>
      <c r="T141"/>
      <c r="U141"/>
      <c r="V141"/>
      <c r="W141"/>
      <c r="X141"/>
    </row>
    <row r="142" spans="3:24" x14ac:dyDescent="0.2">
      <c r="C142" s="25"/>
      <c r="M142" s="44"/>
      <c r="N142"/>
      <c r="O142"/>
      <c r="P142"/>
      <c r="Q142"/>
      <c r="R142"/>
      <c r="S142"/>
      <c r="T142"/>
      <c r="U142"/>
      <c r="V142"/>
      <c r="W142"/>
      <c r="X142"/>
    </row>
    <row r="143" spans="3:24" x14ac:dyDescent="0.2">
      <c r="C143" s="25"/>
      <c r="M143" s="44"/>
      <c r="N143"/>
      <c r="O143"/>
      <c r="P143"/>
      <c r="Q143"/>
      <c r="R143"/>
      <c r="S143"/>
      <c r="T143"/>
      <c r="U143"/>
      <c r="V143"/>
      <c r="W143"/>
      <c r="X143"/>
    </row>
    <row r="144" spans="3:24" x14ac:dyDescent="0.2">
      <c r="C144" s="25"/>
      <c r="M144" s="44"/>
      <c r="N144"/>
      <c r="O144"/>
      <c r="P144"/>
      <c r="Q144"/>
      <c r="R144"/>
      <c r="S144"/>
      <c r="T144"/>
      <c r="U144"/>
      <c r="V144"/>
      <c r="W144"/>
      <c r="X144"/>
    </row>
    <row r="145" spans="3:24" x14ac:dyDescent="0.2">
      <c r="C145" s="25"/>
      <c r="M145" s="44"/>
      <c r="N145"/>
      <c r="O145"/>
      <c r="P145"/>
      <c r="Q145"/>
      <c r="R145"/>
      <c r="S145"/>
      <c r="T145"/>
      <c r="U145"/>
      <c r="V145"/>
      <c r="W145"/>
      <c r="X145"/>
    </row>
    <row r="146" spans="3:24" x14ac:dyDescent="0.2">
      <c r="C146" s="25"/>
      <c r="M146" s="44"/>
      <c r="N146"/>
      <c r="O146"/>
      <c r="P146"/>
      <c r="Q146"/>
      <c r="R146"/>
      <c r="S146"/>
      <c r="T146"/>
      <c r="U146"/>
      <c r="V146"/>
      <c r="W146"/>
      <c r="X146"/>
    </row>
    <row r="147" spans="3:24" x14ac:dyDescent="0.2">
      <c r="C147" s="25"/>
      <c r="M147" s="44"/>
      <c r="N147"/>
      <c r="O147"/>
      <c r="P147"/>
      <c r="Q147"/>
      <c r="R147"/>
      <c r="S147"/>
      <c r="T147"/>
      <c r="U147"/>
      <c r="V147"/>
      <c r="W147"/>
      <c r="X147"/>
    </row>
    <row r="148" spans="3:24" x14ac:dyDescent="0.2">
      <c r="C148" s="25"/>
      <c r="M148" s="44"/>
      <c r="N148"/>
      <c r="O148"/>
      <c r="P148"/>
      <c r="Q148"/>
      <c r="R148"/>
      <c r="S148"/>
      <c r="T148"/>
      <c r="U148"/>
      <c r="V148"/>
      <c r="W148"/>
      <c r="X148"/>
    </row>
    <row r="149" spans="3:24" x14ac:dyDescent="0.2">
      <c r="C149" s="25"/>
      <c r="M149" s="44"/>
      <c r="N149"/>
      <c r="O149"/>
      <c r="P149"/>
      <c r="Q149"/>
      <c r="R149"/>
      <c r="S149"/>
      <c r="T149"/>
      <c r="U149"/>
      <c r="V149"/>
      <c r="W149"/>
      <c r="X149"/>
    </row>
    <row r="150" spans="3:24" x14ac:dyDescent="0.2">
      <c r="C150" s="25"/>
      <c r="M150" s="44"/>
      <c r="N150"/>
      <c r="O150"/>
      <c r="P150"/>
      <c r="Q150"/>
      <c r="R150"/>
      <c r="S150"/>
      <c r="T150"/>
      <c r="U150"/>
      <c r="V150"/>
      <c r="W150"/>
      <c r="X150"/>
    </row>
    <row r="151" spans="3:24" x14ac:dyDescent="0.2">
      <c r="C151" s="25"/>
      <c r="M151" s="44"/>
      <c r="N151"/>
      <c r="O151"/>
      <c r="P151"/>
      <c r="Q151"/>
      <c r="R151"/>
      <c r="S151"/>
      <c r="T151"/>
      <c r="U151"/>
      <c r="V151"/>
      <c r="W151"/>
      <c r="X151"/>
    </row>
    <row r="152" spans="3:24" x14ac:dyDescent="0.2">
      <c r="C152" s="25"/>
      <c r="M152" s="44"/>
      <c r="N152"/>
      <c r="O152"/>
      <c r="P152"/>
      <c r="Q152"/>
      <c r="R152"/>
      <c r="S152"/>
      <c r="T152"/>
      <c r="U152"/>
      <c r="V152"/>
      <c r="W152"/>
      <c r="X152"/>
    </row>
    <row r="153" spans="3:24" x14ac:dyDescent="0.2">
      <c r="C153" s="25"/>
      <c r="M153" s="44"/>
      <c r="N153"/>
      <c r="O153"/>
      <c r="P153"/>
      <c r="Q153"/>
      <c r="R153"/>
      <c r="S153"/>
      <c r="T153"/>
      <c r="U153"/>
      <c r="V153"/>
      <c r="W153"/>
      <c r="X153"/>
    </row>
    <row r="154" spans="3:24" x14ac:dyDescent="0.2">
      <c r="C154" s="25"/>
      <c r="M154" s="44"/>
      <c r="N154"/>
      <c r="O154"/>
      <c r="P154"/>
      <c r="Q154"/>
      <c r="R154"/>
      <c r="S154"/>
      <c r="T154"/>
      <c r="U154"/>
      <c r="V154"/>
      <c r="W154"/>
      <c r="X154"/>
    </row>
    <row r="155" spans="3:24" x14ac:dyDescent="0.2">
      <c r="C155" s="25"/>
      <c r="M155" s="44"/>
      <c r="N155"/>
      <c r="O155"/>
      <c r="P155"/>
      <c r="Q155"/>
      <c r="R155"/>
      <c r="S155"/>
      <c r="T155"/>
      <c r="U155"/>
      <c r="V155"/>
      <c r="W155"/>
      <c r="X155"/>
    </row>
    <row r="156" spans="3:24" x14ac:dyDescent="0.2">
      <c r="C156" s="25"/>
      <c r="M156" s="44"/>
      <c r="N156"/>
      <c r="O156"/>
      <c r="P156"/>
      <c r="Q156"/>
      <c r="R156"/>
      <c r="S156"/>
      <c r="T156"/>
      <c r="U156"/>
      <c r="V156"/>
      <c r="W156"/>
      <c r="X156"/>
    </row>
    <row r="157" spans="3:24" x14ac:dyDescent="0.2">
      <c r="C157" s="25"/>
      <c r="M157" s="44"/>
      <c r="N157"/>
      <c r="O157"/>
      <c r="P157"/>
      <c r="Q157"/>
      <c r="R157"/>
      <c r="S157"/>
      <c r="T157"/>
      <c r="U157"/>
      <c r="V157"/>
      <c r="W157"/>
      <c r="X157"/>
    </row>
    <row r="158" spans="3:24" x14ac:dyDescent="0.2">
      <c r="C158" s="25"/>
      <c r="M158" s="44"/>
      <c r="N158"/>
      <c r="O158"/>
      <c r="P158"/>
      <c r="Q158"/>
      <c r="R158"/>
      <c r="S158"/>
      <c r="T158"/>
      <c r="U158"/>
      <c r="V158"/>
      <c r="W158"/>
      <c r="X158"/>
    </row>
    <row r="159" spans="3:24" x14ac:dyDescent="0.2">
      <c r="C159" s="25"/>
      <c r="M159" s="44"/>
      <c r="N159"/>
      <c r="O159"/>
      <c r="P159"/>
      <c r="Q159"/>
      <c r="R159"/>
      <c r="S159"/>
      <c r="T159"/>
      <c r="U159"/>
      <c r="V159"/>
      <c r="W159"/>
      <c r="X159"/>
    </row>
    <row r="160" spans="3:24" x14ac:dyDescent="0.2">
      <c r="C160" s="25"/>
      <c r="M160" s="44"/>
      <c r="N160"/>
      <c r="O160"/>
      <c r="P160"/>
      <c r="Q160"/>
      <c r="R160"/>
      <c r="S160"/>
      <c r="T160"/>
      <c r="U160"/>
      <c r="V160"/>
      <c r="W160"/>
      <c r="X160"/>
    </row>
    <row r="161" spans="3:24" x14ac:dyDescent="0.2">
      <c r="C161" s="25"/>
      <c r="M161" s="44"/>
      <c r="N161"/>
      <c r="O161"/>
      <c r="P161"/>
      <c r="Q161"/>
      <c r="R161"/>
      <c r="S161"/>
      <c r="T161"/>
      <c r="U161"/>
      <c r="V161"/>
      <c r="W161"/>
      <c r="X161"/>
    </row>
    <row r="162" spans="3:24" x14ac:dyDescent="0.2">
      <c r="C162" s="25"/>
      <c r="M162" s="44"/>
      <c r="N162"/>
      <c r="O162"/>
      <c r="P162"/>
      <c r="Q162"/>
      <c r="R162"/>
      <c r="S162"/>
      <c r="T162"/>
      <c r="U162"/>
      <c r="V162"/>
      <c r="W162"/>
      <c r="X162"/>
    </row>
    <row r="163" spans="3:24" x14ac:dyDescent="0.2">
      <c r="C163" s="25"/>
      <c r="M163" s="44"/>
      <c r="N163"/>
      <c r="O163"/>
      <c r="P163"/>
      <c r="Q163"/>
      <c r="R163"/>
      <c r="S163"/>
      <c r="T163"/>
      <c r="U163"/>
      <c r="V163"/>
      <c r="W163"/>
      <c r="X163"/>
    </row>
    <row r="164" spans="3:24" x14ac:dyDescent="0.2">
      <c r="C164" s="25"/>
      <c r="M164" s="44"/>
      <c r="N164"/>
      <c r="O164"/>
      <c r="P164"/>
      <c r="Q164"/>
      <c r="R164"/>
      <c r="S164"/>
      <c r="T164"/>
      <c r="U164"/>
      <c r="V164"/>
      <c r="W164"/>
      <c r="X164"/>
    </row>
    <row r="165" spans="3:24" x14ac:dyDescent="0.2">
      <c r="C165" s="25"/>
      <c r="M165" s="44"/>
      <c r="N165"/>
      <c r="O165"/>
      <c r="P165"/>
      <c r="Q165"/>
      <c r="R165"/>
      <c r="S165"/>
      <c r="T165"/>
      <c r="U165"/>
      <c r="V165"/>
      <c r="W165"/>
      <c r="X165"/>
    </row>
    <row r="166" spans="3:24" x14ac:dyDescent="0.2">
      <c r="C166" s="25"/>
      <c r="M166" s="44"/>
      <c r="N166"/>
      <c r="O166"/>
      <c r="P166"/>
      <c r="Q166"/>
      <c r="R166"/>
      <c r="S166"/>
      <c r="T166"/>
      <c r="U166"/>
      <c r="V166"/>
      <c r="W166"/>
      <c r="X166"/>
    </row>
    <row r="167" spans="3:24" x14ac:dyDescent="0.2">
      <c r="C167" s="25"/>
      <c r="M167" s="44"/>
      <c r="N167"/>
      <c r="O167"/>
      <c r="P167"/>
      <c r="Q167"/>
      <c r="R167"/>
      <c r="S167"/>
      <c r="T167"/>
      <c r="U167"/>
      <c r="V167"/>
      <c r="W167"/>
      <c r="X167"/>
    </row>
    <row r="168" spans="3:24" x14ac:dyDescent="0.2">
      <c r="C168" s="25"/>
      <c r="M168" s="44"/>
      <c r="N168"/>
      <c r="O168"/>
      <c r="P168"/>
      <c r="Q168"/>
      <c r="R168"/>
      <c r="S168"/>
      <c r="T168"/>
      <c r="U168"/>
      <c r="V168"/>
      <c r="W168"/>
      <c r="X168"/>
    </row>
    <row r="169" spans="3:24" x14ac:dyDescent="0.2">
      <c r="C169" s="25"/>
      <c r="M169" s="44"/>
      <c r="N169"/>
      <c r="O169"/>
      <c r="P169"/>
      <c r="Q169"/>
      <c r="R169"/>
      <c r="S169"/>
      <c r="T169"/>
      <c r="U169"/>
      <c r="V169"/>
      <c r="W169"/>
      <c r="X169"/>
    </row>
    <row r="170" spans="3:24" x14ac:dyDescent="0.2">
      <c r="C170" s="25"/>
      <c r="M170" s="44"/>
      <c r="N170"/>
      <c r="O170"/>
      <c r="P170"/>
      <c r="Q170"/>
      <c r="R170"/>
      <c r="S170"/>
      <c r="T170"/>
      <c r="U170"/>
      <c r="V170"/>
      <c r="W170"/>
      <c r="X170"/>
    </row>
    <row r="171" spans="3:24" x14ac:dyDescent="0.2">
      <c r="C171" s="25"/>
      <c r="M171" s="44"/>
      <c r="N171"/>
      <c r="O171"/>
      <c r="P171"/>
      <c r="Q171"/>
      <c r="R171"/>
      <c r="S171"/>
      <c r="T171"/>
      <c r="U171"/>
      <c r="V171"/>
      <c r="W171"/>
      <c r="X171"/>
    </row>
    <row r="172" spans="3:24" x14ac:dyDescent="0.2">
      <c r="C172" s="25"/>
      <c r="M172" s="44"/>
      <c r="N172"/>
      <c r="O172"/>
      <c r="P172"/>
      <c r="Q172"/>
      <c r="R172"/>
      <c r="S172"/>
      <c r="T172"/>
      <c r="U172"/>
      <c r="V172"/>
      <c r="W172"/>
      <c r="X172"/>
    </row>
    <row r="173" spans="3:24" x14ac:dyDescent="0.2">
      <c r="C173" s="25"/>
      <c r="M173" s="44"/>
      <c r="N173"/>
      <c r="O173"/>
      <c r="P173"/>
      <c r="Q173"/>
      <c r="R173"/>
      <c r="S173"/>
      <c r="T173"/>
      <c r="U173"/>
      <c r="V173"/>
      <c r="W173"/>
      <c r="X173"/>
    </row>
    <row r="174" spans="3:24" x14ac:dyDescent="0.2">
      <c r="C174" s="25"/>
      <c r="M174" s="44"/>
      <c r="N174"/>
      <c r="O174"/>
      <c r="P174"/>
      <c r="Q174"/>
      <c r="R174"/>
      <c r="S174"/>
      <c r="T174"/>
      <c r="U174"/>
      <c r="V174"/>
      <c r="W174"/>
      <c r="X174"/>
    </row>
    <row r="175" spans="3:24" x14ac:dyDescent="0.2">
      <c r="C175" s="25"/>
      <c r="M175" s="44"/>
      <c r="N175"/>
      <c r="O175"/>
      <c r="P175"/>
      <c r="Q175"/>
      <c r="R175"/>
      <c r="S175"/>
      <c r="T175"/>
      <c r="U175"/>
      <c r="V175"/>
      <c r="W175"/>
      <c r="X175"/>
    </row>
    <row r="176" spans="3:24" x14ac:dyDescent="0.2">
      <c r="C176" s="25"/>
      <c r="M176" s="44"/>
      <c r="N176"/>
      <c r="O176"/>
      <c r="P176"/>
      <c r="Q176"/>
      <c r="R176"/>
      <c r="S176"/>
      <c r="T176"/>
      <c r="U176"/>
      <c r="V176"/>
      <c r="W176"/>
      <c r="X176"/>
    </row>
    <row r="177" spans="3:24" x14ac:dyDescent="0.2">
      <c r="C177" s="25"/>
      <c r="M177" s="44"/>
      <c r="N177"/>
      <c r="O177"/>
      <c r="P177"/>
      <c r="Q177"/>
      <c r="R177"/>
      <c r="S177"/>
      <c r="T177"/>
      <c r="U177"/>
      <c r="V177"/>
      <c r="W177"/>
      <c r="X177"/>
    </row>
    <row r="178" spans="3:24" x14ac:dyDescent="0.2">
      <c r="C178" s="25"/>
      <c r="M178" s="44"/>
      <c r="N178"/>
      <c r="O178"/>
      <c r="P178"/>
      <c r="Q178"/>
      <c r="R178"/>
      <c r="S178"/>
      <c r="T178"/>
      <c r="U178"/>
      <c r="V178"/>
      <c r="W178"/>
      <c r="X178"/>
    </row>
    <row r="179" spans="3:24" x14ac:dyDescent="0.2">
      <c r="C179" s="25"/>
      <c r="M179" s="44"/>
      <c r="N179"/>
      <c r="O179"/>
      <c r="P179"/>
      <c r="Q179"/>
      <c r="R179"/>
      <c r="S179"/>
      <c r="T179"/>
      <c r="U179"/>
      <c r="V179"/>
      <c r="W179"/>
      <c r="X179"/>
    </row>
    <row r="180" spans="3:24" x14ac:dyDescent="0.2">
      <c r="M180" s="44"/>
      <c r="N180"/>
      <c r="O180"/>
      <c r="P180"/>
      <c r="Q180"/>
      <c r="R180"/>
      <c r="S180"/>
      <c r="T180"/>
      <c r="U180"/>
      <c r="V180"/>
      <c r="W180"/>
      <c r="X180"/>
    </row>
    <row r="181" spans="3:24" x14ac:dyDescent="0.2">
      <c r="M181" s="44"/>
      <c r="N181"/>
      <c r="O181"/>
      <c r="P181"/>
      <c r="Q181"/>
      <c r="R181"/>
      <c r="S181"/>
      <c r="T181"/>
      <c r="U181"/>
      <c r="V181"/>
      <c r="W181"/>
      <c r="X181"/>
    </row>
    <row r="182" spans="3:24" x14ac:dyDescent="0.2">
      <c r="M182" s="44"/>
      <c r="N182"/>
      <c r="O182"/>
      <c r="P182"/>
      <c r="Q182"/>
      <c r="R182"/>
      <c r="S182"/>
      <c r="T182"/>
      <c r="U182"/>
      <c r="V182"/>
      <c r="W182"/>
      <c r="X182"/>
    </row>
    <row r="183" spans="3:24" x14ac:dyDescent="0.2">
      <c r="M183" s="44"/>
      <c r="N183"/>
      <c r="O183"/>
      <c r="P183"/>
      <c r="Q183"/>
      <c r="R183"/>
      <c r="S183"/>
      <c r="T183"/>
      <c r="U183"/>
      <c r="V183"/>
      <c r="W183"/>
      <c r="X183"/>
    </row>
    <row r="184" spans="3:24" x14ac:dyDescent="0.2">
      <c r="M184" s="44"/>
      <c r="N184"/>
      <c r="O184"/>
      <c r="P184"/>
      <c r="Q184"/>
      <c r="R184"/>
      <c r="S184"/>
      <c r="T184"/>
      <c r="U184"/>
      <c r="V184"/>
      <c r="W184"/>
      <c r="X184"/>
    </row>
    <row r="185" spans="3:24" x14ac:dyDescent="0.2">
      <c r="M185" s="44"/>
      <c r="N185"/>
      <c r="O185"/>
      <c r="P185"/>
      <c r="Q185"/>
      <c r="R185"/>
      <c r="S185"/>
      <c r="T185"/>
      <c r="U185"/>
      <c r="V185"/>
      <c r="W185"/>
      <c r="X185"/>
    </row>
    <row r="186" spans="3:24" x14ac:dyDescent="0.2">
      <c r="M186" s="44"/>
      <c r="N186"/>
      <c r="O186"/>
      <c r="P186"/>
      <c r="Q186"/>
      <c r="R186"/>
      <c r="S186"/>
      <c r="T186"/>
      <c r="U186"/>
      <c r="V186"/>
      <c r="W186"/>
      <c r="X186"/>
    </row>
    <row r="187" spans="3:24" x14ac:dyDescent="0.2">
      <c r="M187" s="44"/>
      <c r="N187"/>
      <c r="O187"/>
      <c r="P187"/>
      <c r="Q187"/>
      <c r="R187"/>
      <c r="S187"/>
      <c r="T187"/>
      <c r="U187"/>
      <c r="V187"/>
      <c r="W187"/>
      <c r="X187"/>
    </row>
    <row r="188" spans="3:24" x14ac:dyDescent="0.2">
      <c r="M188" s="44"/>
      <c r="N188"/>
      <c r="O188"/>
      <c r="P188"/>
      <c r="Q188"/>
      <c r="R188"/>
      <c r="S188"/>
      <c r="T188"/>
      <c r="U188"/>
      <c r="V188"/>
      <c r="W188"/>
      <c r="X188"/>
    </row>
    <row r="189" spans="3:24" x14ac:dyDescent="0.2">
      <c r="L189"/>
      <c r="M189" s="44"/>
      <c r="N189"/>
      <c r="O189"/>
      <c r="P189"/>
      <c r="Q189"/>
      <c r="R189"/>
      <c r="S189"/>
      <c r="T189"/>
      <c r="U189"/>
      <c r="V189"/>
      <c r="W189"/>
      <c r="X189"/>
    </row>
    <row r="190" spans="3:24" x14ac:dyDescent="0.2">
      <c r="L190"/>
      <c r="M190" s="44"/>
      <c r="N190"/>
      <c r="O190"/>
      <c r="P190"/>
      <c r="Q190"/>
      <c r="R190"/>
      <c r="S190"/>
      <c r="T190"/>
      <c r="U190"/>
      <c r="V190"/>
      <c r="W190"/>
      <c r="X190"/>
    </row>
    <row r="191" spans="3:24" x14ac:dyDescent="0.2">
      <c r="L191"/>
      <c r="M191" s="44"/>
      <c r="N191"/>
      <c r="O191"/>
      <c r="P191"/>
      <c r="Q191"/>
      <c r="R191"/>
      <c r="S191"/>
      <c r="T191"/>
      <c r="U191"/>
      <c r="V191"/>
      <c r="W191"/>
      <c r="X191"/>
    </row>
    <row r="192" spans="3:24" x14ac:dyDescent="0.2">
      <c r="L192"/>
      <c r="M192" s="44"/>
      <c r="N192"/>
      <c r="O192"/>
      <c r="P192"/>
      <c r="Q192"/>
      <c r="R192"/>
      <c r="S192"/>
      <c r="T192"/>
      <c r="U192"/>
      <c r="V192"/>
      <c r="W192"/>
      <c r="X192"/>
    </row>
    <row r="193" spans="12:24" x14ac:dyDescent="0.2">
      <c r="L193"/>
      <c r="M193" s="44"/>
      <c r="N193"/>
      <c r="O193"/>
      <c r="P193"/>
      <c r="Q193"/>
      <c r="R193"/>
      <c r="S193"/>
      <c r="T193"/>
      <c r="U193"/>
      <c r="V193"/>
      <c r="W193"/>
      <c r="X193"/>
    </row>
    <row r="194" spans="12:24" x14ac:dyDescent="0.2">
      <c r="L194"/>
      <c r="M194" s="44"/>
      <c r="N194"/>
      <c r="O194"/>
      <c r="P194"/>
      <c r="Q194"/>
      <c r="R194"/>
      <c r="S194"/>
      <c r="T194"/>
      <c r="U194"/>
      <c r="V194"/>
      <c r="W194"/>
      <c r="X194"/>
    </row>
    <row r="195" spans="12:24" x14ac:dyDescent="0.2">
      <c r="L195"/>
      <c r="M195" s="44"/>
      <c r="N195"/>
      <c r="O195"/>
      <c r="P195"/>
      <c r="Q195"/>
      <c r="R195"/>
      <c r="S195"/>
      <c r="T195"/>
      <c r="U195"/>
      <c r="V195"/>
      <c r="W195"/>
      <c r="X195"/>
    </row>
    <row r="196" spans="12:24" x14ac:dyDescent="0.2">
      <c r="L196"/>
      <c r="M196" s="44"/>
      <c r="N196"/>
      <c r="O196"/>
      <c r="P196"/>
      <c r="Q196"/>
      <c r="R196"/>
      <c r="S196"/>
      <c r="T196"/>
      <c r="U196"/>
      <c r="V196"/>
      <c r="W196"/>
      <c r="X196"/>
    </row>
    <row r="197" spans="12:24" x14ac:dyDescent="0.2">
      <c r="L197"/>
      <c r="M197" s="44"/>
      <c r="N197"/>
      <c r="O197"/>
      <c r="P197"/>
      <c r="Q197"/>
      <c r="R197"/>
      <c r="S197"/>
      <c r="T197"/>
      <c r="U197"/>
      <c r="V197"/>
      <c r="W197"/>
      <c r="X197"/>
    </row>
    <row r="198" spans="12:24" x14ac:dyDescent="0.2">
      <c r="L198"/>
      <c r="M198" s="44"/>
      <c r="N198"/>
      <c r="O198"/>
      <c r="P198"/>
      <c r="Q198"/>
      <c r="R198"/>
      <c r="S198"/>
      <c r="T198"/>
      <c r="U198"/>
      <c r="V198"/>
      <c r="W198"/>
      <c r="X198"/>
    </row>
    <row r="199" spans="12:24" x14ac:dyDescent="0.2">
      <c r="L199"/>
      <c r="M199" s="44"/>
      <c r="N199"/>
      <c r="O199"/>
      <c r="P199"/>
      <c r="Q199"/>
      <c r="R199"/>
      <c r="S199"/>
      <c r="T199"/>
      <c r="U199"/>
      <c r="V199"/>
      <c r="W199"/>
      <c r="X199"/>
    </row>
    <row r="200" spans="12:24" x14ac:dyDescent="0.2">
      <c r="L200"/>
      <c r="M200" s="44"/>
      <c r="N200"/>
      <c r="O200"/>
      <c r="P200"/>
      <c r="Q200"/>
      <c r="R200"/>
      <c r="S200"/>
      <c r="T200"/>
      <c r="U200"/>
      <c r="V200"/>
      <c r="W200"/>
      <c r="X200"/>
    </row>
    <row r="201" spans="12:24" x14ac:dyDescent="0.2">
      <c r="L201"/>
      <c r="M201" s="44"/>
      <c r="N201"/>
      <c r="O201"/>
      <c r="P201"/>
      <c r="Q201"/>
      <c r="R201"/>
      <c r="S201"/>
      <c r="T201"/>
      <c r="U201"/>
      <c r="V201"/>
      <c r="W201"/>
      <c r="X201"/>
    </row>
    <row r="202" spans="12:24" x14ac:dyDescent="0.2">
      <c r="L202"/>
      <c r="M202" s="44"/>
      <c r="N202"/>
      <c r="O202"/>
      <c r="P202"/>
      <c r="Q202"/>
      <c r="R202"/>
      <c r="S202"/>
      <c r="T202"/>
      <c r="U202"/>
      <c r="V202"/>
      <c r="W202"/>
      <c r="X202"/>
    </row>
    <row r="203" spans="12:24" x14ac:dyDescent="0.2">
      <c r="L203"/>
      <c r="M203" s="44"/>
      <c r="N203"/>
      <c r="O203"/>
      <c r="P203"/>
      <c r="Q203"/>
      <c r="R203"/>
      <c r="S203"/>
      <c r="T203"/>
      <c r="U203"/>
      <c r="V203"/>
      <c r="W203"/>
      <c r="X203"/>
    </row>
    <row r="204" spans="12:24" x14ac:dyDescent="0.2">
      <c r="L204"/>
      <c r="M204" s="44"/>
      <c r="N204"/>
      <c r="O204"/>
      <c r="P204"/>
      <c r="Q204"/>
      <c r="R204"/>
      <c r="S204"/>
      <c r="T204"/>
      <c r="U204"/>
      <c r="V204"/>
      <c r="W204"/>
      <c r="X204"/>
    </row>
    <row r="205" spans="12:24" x14ac:dyDescent="0.2">
      <c r="L205"/>
      <c r="M205" s="44"/>
      <c r="N205"/>
      <c r="O205"/>
      <c r="P205"/>
      <c r="Q205"/>
      <c r="R205"/>
      <c r="S205"/>
      <c r="T205"/>
      <c r="U205"/>
      <c r="V205"/>
      <c r="W205"/>
      <c r="X205"/>
    </row>
    <row r="206" spans="12:24" x14ac:dyDescent="0.2">
      <c r="L206"/>
      <c r="M206" s="44"/>
      <c r="N206"/>
      <c r="O206"/>
      <c r="P206"/>
      <c r="Q206"/>
      <c r="R206"/>
      <c r="S206"/>
      <c r="T206"/>
      <c r="U206"/>
      <c r="V206"/>
      <c r="W206"/>
      <c r="X206"/>
    </row>
    <row r="207" spans="12:24" x14ac:dyDescent="0.2">
      <c r="L207"/>
      <c r="M207" s="44"/>
      <c r="N207"/>
      <c r="O207"/>
      <c r="P207"/>
      <c r="Q207"/>
      <c r="R207"/>
      <c r="S207"/>
      <c r="T207"/>
      <c r="U207"/>
      <c r="V207"/>
      <c r="W207"/>
      <c r="X207"/>
    </row>
    <row r="208" spans="12:24" x14ac:dyDescent="0.2">
      <c r="L208"/>
      <c r="M208" s="44"/>
      <c r="N208"/>
      <c r="O208"/>
      <c r="P208"/>
      <c r="Q208"/>
      <c r="R208"/>
      <c r="S208"/>
      <c r="T208"/>
      <c r="U208"/>
      <c r="V208"/>
      <c r="W208"/>
      <c r="X208"/>
    </row>
    <row r="209" spans="12:24" x14ac:dyDescent="0.2">
      <c r="L209"/>
      <c r="M209" s="44"/>
      <c r="N209"/>
      <c r="O209"/>
      <c r="P209"/>
      <c r="Q209"/>
      <c r="R209"/>
      <c r="S209"/>
      <c r="T209"/>
      <c r="U209"/>
      <c r="V209"/>
      <c r="W209"/>
      <c r="X209"/>
    </row>
    <row r="210" spans="12:24" x14ac:dyDescent="0.2">
      <c r="L210"/>
      <c r="M210" s="44"/>
      <c r="N210"/>
      <c r="O210"/>
      <c r="P210"/>
      <c r="Q210"/>
      <c r="R210"/>
      <c r="S210"/>
      <c r="T210"/>
      <c r="U210"/>
      <c r="V210"/>
      <c r="W210"/>
      <c r="X210"/>
    </row>
    <row r="211" spans="12:24" x14ac:dyDescent="0.2">
      <c r="L211"/>
      <c r="M211" s="44"/>
      <c r="N211"/>
      <c r="O211"/>
      <c r="P211"/>
      <c r="Q211"/>
      <c r="R211"/>
      <c r="S211"/>
      <c r="T211"/>
      <c r="U211"/>
      <c r="V211"/>
      <c r="W211"/>
      <c r="X211"/>
    </row>
    <row r="212" spans="12:24" x14ac:dyDescent="0.2">
      <c r="L212"/>
      <c r="M212" s="44"/>
      <c r="N212"/>
      <c r="O212"/>
      <c r="P212"/>
      <c r="Q212"/>
      <c r="R212"/>
      <c r="S212"/>
      <c r="T212"/>
      <c r="U212"/>
      <c r="V212"/>
      <c r="W212"/>
      <c r="X212"/>
    </row>
    <row r="213" spans="12:24" x14ac:dyDescent="0.2">
      <c r="L213"/>
      <c r="M213" s="44"/>
      <c r="N213"/>
      <c r="O213"/>
      <c r="P213"/>
      <c r="Q213"/>
      <c r="R213"/>
      <c r="S213"/>
      <c r="T213"/>
      <c r="U213"/>
      <c r="V213"/>
      <c r="W213"/>
      <c r="X213"/>
    </row>
    <row r="214" spans="12:24" x14ac:dyDescent="0.2">
      <c r="L214"/>
      <c r="M214" s="44"/>
      <c r="N214"/>
      <c r="O214"/>
      <c r="P214"/>
      <c r="Q214"/>
      <c r="R214"/>
      <c r="S214"/>
      <c r="T214"/>
      <c r="U214"/>
      <c r="V214"/>
      <c r="W214"/>
      <c r="X214"/>
    </row>
    <row r="215" spans="12:24" x14ac:dyDescent="0.2">
      <c r="L215"/>
      <c r="M215" s="44"/>
      <c r="N215"/>
      <c r="O215"/>
      <c r="P215"/>
      <c r="Q215"/>
      <c r="R215"/>
      <c r="S215"/>
      <c r="T215"/>
      <c r="U215"/>
      <c r="V215"/>
      <c r="W215"/>
      <c r="X215"/>
    </row>
    <row r="216" spans="12:24" x14ac:dyDescent="0.2">
      <c r="L216"/>
      <c r="M216" s="44"/>
      <c r="N216"/>
      <c r="O216"/>
      <c r="P216"/>
      <c r="Q216"/>
      <c r="R216"/>
      <c r="S216"/>
      <c r="T216"/>
      <c r="U216"/>
      <c r="V216"/>
      <c r="W216"/>
      <c r="X216"/>
    </row>
    <row r="217" spans="12:24" x14ac:dyDescent="0.2">
      <c r="L217"/>
      <c r="M217" s="44"/>
      <c r="N217"/>
      <c r="O217"/>
      <c r="P217"/>
      <c r="Q217"/>
      <c r="R217"/>
      <c r="S217"/>
      <c r="T217"/>
      <c r="U217"/>
      <c r="V217"/>
      <c r="W217"/>
      <c r="X217"/>
    </row>
    <row r="218" spans="12:24" x14ac:dyDescent="0.2">
      <c r="W218"/>
      <c r="X218"/>
    </row>
    <row r="668" spans="2:3" x14ac:dyDescent="0.2">
      <c r="C668" s="16"/>
    </row>
    <row r="669" spans="2:3" x14ac:dyDescent="0.2">
      <c r="B669" s="16"/>
    </row>
    <row r="670" spans="2:3" x14ac:dyDescent="0.2">
      <c r="C670" s="16"/>
    </row>
    <row r="671" spans="2:3" x14ac:dyDescent="0.2">
      <c r="B671" s="16"/>
    </row>
    <row r="672" spans="2:3" x14ac:dyDescent="0.2">
      <c r="C672" s="16"/>
    </row>
    <row r="673" spans="2:3" x14ac:dyDescent="0.2">
      <c r="B673" s="16"/>
    </row>
    <row r="674" spans="2:3" x14ac:dyDescent="0.2">
      <c r="C674" s="16"/>
    </row>
    <row r="675" spans="2:3" x14ac:dyDescent="0.2">
      <c r="B675" s="16"/>
    </row>
    <row r="676" spans="2:3" x14ac:dyDescent="0.2">
      <c r="C676" s="16"/>
    </row>
    <row r="677" spans="2:3" x14ac:dyDescent="0.2">
      <c r="B677" s="16"/>
    </row>
    <row r="678" spans="2:3" x14ac:dyDescent="0.2">
      <c r="C678" s="16"/>
    </row>
    <row r="679" spans="2:3" x14ac:dyDescent="0.2">
      <c r="B679" s="16"/>
    </row>
    <row r="680" spans="2:3" x14ac:dyDescent="0.2">
      <c r="C680" s="16"/>
    </row>
    <row r="681" spans="2:3" x14ac:dyDescent="0.2">
      <c r="B681" s="16"/>
    </row>
    <row r="682" spans="2:3" x14ac:dyDescent="0.2">
      <c r="C682" s="16"/>
    </row>
    <row r="683" spans="2:3" x14ac:dyDescent="0.2">
      <c r="B683" s="16"/>
    </row>
    <row r="684" spans="2:3" x14ac:dyDescent="0.2">
      <c r="C684" s="16"/>
    </row>
    <row r="685" spans="2:3" x14ac:dyDescent="0.2">
      <c r="B685" s="16"/>
    </row>
    <row r="686" spans="2:3" x14ac:dyDescent="0.2">
      <c r="C686" s="16"/>
    </row>
    <row r="687" spans="2:3" x14ac:dyDescent="0.2">
      <c r="B687" s="16"/>
    </row>
    <row r="688" spans="2:3" x14ac:dyDescent="0.2">
      <c r="C688" s="16"/>
    </row>
    <row r="689" spans="2:24" x14ac:dyDescent="0.2">
      <c r="B689" s="16"/>
    </row>
    <row r="690" spans="2:24" x14ac:dyDescent="0.2">
      <c r="C690" s="16"/>
    </row>
    <row r="691" spans="2:24" x14ac:dyDescent="0.2">
      <c r="B691" s="16"/>
    </row>
    <row r="692" spans="2:24" x14ac:dyDescent="0.2">
      <c r="C692" s="16"/>
    </row>
    <row r="693" spans="2:24" x14ac:dyDescent="0.2">
      <c r="B693" s="16"/>
    </row>
    <row r="694" spans="2:24" x14ac:dyDescent="0.2">
      <c r="C694" s="16"/>
    </row>
    <row r="695" spans="2:24" x14ac:dyDescent="0.2">
      <c r="B695" s="16"/>
    </row>
    <row r="696" spans="2:24" x14ac:dyDescent="0.2">
      <c r="C696" s="16"/>
    </row>
    <row r="697" spans="2:24" x14ac:dyDescent="0.2">
      <c r="B697" s="16"/>
    </row>
    <row r="698" spans="2:24" x14ac:dyDescent="0.2">
      <c r="C698" s="16"/>
    </row>
    <row r="699" spans="2:24" x14ac:dyDescent="0.2">
      <c r="B699" s="16"/>
    </row>
    <row r="700" spans="2:24" x14ac:dyDescent="0.2">
      <c r="C700" s="16"/>
      <c r="L700"/>
      <c r="M700"/>
      <c r="N700"/>
      <c r="O700"/>
      <c r="P700"/>
      <c r="Q700"/>
      <c r="R700"/>
      <c r="S700"/>
      <c r="T700"/>
      <c r="U700"/>
      <c r="V700"/>
    </row>
    <row r="701" spans="2:24" x14ac:dyDescent="0.2">
      <c r="B701" s="16"/>
      <c r="W701"/>
      <c r="X701"/>
    </row>
    <row r="702" spans="2:24" x14ac:dyDescent="0.2">
      <c r="C702" s="16"/>
    </row>
    <row r="703" spans="2:24" x14ac:dyDescent="0.2">
      <c r="B703" s="16"/>
    </row>
    <row r="704" spans="2:24" x14ac:dyDescent="0.2">
      <c r="C704" s="16"/>
    </row>
    <row r="705" spans="2:24" x14ac:dyDescent="0.2">
      <c r="B705" s="16"/>
    </row>
    <row r="706" spans="2:24" x14ac:dyDescent="0.2">
      <c r="C706" s="16"/>
      <c r="M706" s="18"/>
    </row>
    <row r="707" spans="2:24" x14ac:dyDescent="0.2">
      <c r="B707" s="16"/>
    </row>
    <row r="708" spans="2:24" x14ac:dyDescent="0.2">
      <c r="C708" s="16"/>
      <c r="M708" s="18"/>
    </row>
    <row r="709" spans="2:24" x14ac:dyDescent="0.2">
      <c r="B709" s="16"/>
    </row>
    <row r="710" spans="2:24" x14ac:dyDescent="0.2">
      <c r="C710" s="16"/>
      <c r="M710" s="18"/>
    </row>
    <row r="711" spans="2:24" x14ac:dyDescent="0.2">
      <c r="B711" s="16"/>
    </row>
    <row r="712" spans="2:24" x14ac:dyDescent="0.2">
      <c r="C712" s="16"/>
      <c r="M712" s="18"/>
      <c r="N712"/>
      <c r="O712"/>
      <c r="P712"/>
      <c r="Q712"/>
      <c r="R712"/>
      <c r="S712"/>
      <c r="T712"/>
      <c r="U712"/>
      <c r="V712"/>
    </row>
    <row r="713" spans="2:24" x14ac:dyDescent="0.2">
      <c r="B713" s="16"/>
      <c r="W713"/>
      <c r="X713"/>
    </row>
    <row r="714" spans="2:24" x14ac:dyDescent="0.2">
      <c r="C714" s="16"/>
      <c r="M714" s="18"/>
      <c r="N714"/>
      <c r="O714"/>
      <c r="P714"/>
      <c r="Q714"/>
      <c r="R714"/>
      <c r="S714"/>
      <c r="T714"/>
      <c r="U714"/>
      <c r="V714"/>
    </row>
    <row r="715" spans="2:24" x14ac:dyDescent="0.2">
      <c r="B715" s="16"/>
      <c r="W715"/>
      <c r="X715"/>
    </row>
    <row r="716" spans="2:24" x14ac:dyDescent="0.2">
      <c r="C716" s="16"/>
      <c r="M716" s="18"/>
      <c r="N716"/>
      <c r="O716"/>
      <c r="P716"/>
      <c r="Q716"/>
      <c r="R716"/>
      <c r="S716"/>
      <c r="T716"/>
      <c r="U716"/>
      <c r="V716"/>
    </row>
    <row r="717" spans="2:24" x14ac:dyDescent="0.2">
      <c r="B717" s="16"/>
      <c r="W717"/>
      <c r="X717"/>
    </row>
    <row r="718" spans="2:24" x14ac:dyDescent="0.2">
      <c r="C718" s="16"/>
      <c r="M718" s="18"/>
      <c r="N718"/>
      <c r="O718"/>
      <c r="P718"/>
      <c r="Q718"/>
      <c r="R718"/>
      <c r="S718"/>
      <c r="T718"/>
      <c r="U718"/>
      <c r="V718"/>
    </row>
    <row r="719" spans="2:24" x14ac:dyDescent="0.2">
      <c r="B719" s="16"/>
      <c r="W719"/>
      <c r="X719"/>
    </row>
    <row r="720" spans="2:24" x14ac:dyDescent="0.2">
      <c r="C720" s="16"/>
      <c r="M720" s="18"/>
      <c r="N720"/>
      <c r="O720"/>
      <c r="P720"/>
      <c r="Q720"/>
      <c r="R720"/>
      <c r="S720"/>
      <c r="T720"/>
      <c r="U720"/>
      <c r="V720"/>
    </row>
    <row r="721" spans="2:24" x14ac:dyDescent="0.2">
      <c r="B721" s="16"/>
      <c r="W721"/>
      <c r="X721"/>
    </row>
    <row r="722" spans="2:24" x14ac:dyDescent="0.2">
      <c r="C722" s="16"/>
      <c r="M722" s="18"/>
      <c r="N722"/>
      <c r="O722"/>
      <c r="P722"/>
      <c r="Q722"/>
      <c r="R722"/>
      <c r="S722"/>
      <c r="T722"/>
      <c r="U722"/>
      <c r="V722"/>
    </row>
    <row r="723" spans="2:24" x14ac:dyDescent="0.2">
      <c r="B723" s="16"/>
      <c r="W723"/>
      <c r="X723"/>
    </row>
    <row r="724" spans="2:24" x14ac:dyDescent="0.2">
      <c r="C724" s="16"/>
      <c r="M724" s="18"/>
      <c r="N724"/>
      <c r="O724"/>
      <c r="P724"/>
      <c r="Q724"/>
      <c r="R724"/>
      <c r="S724"/>
      <c r="T724"/>
      <c r="U724"/>
      <c r="V724"/>
    </row>
    <row r="725" spans="2:24" x14ac:dyDescent="0.2">
      <c r="B725" s="16"/>
      <c r="W725"/>
      <c r="X725"/>
    </row>
    <row r="726" spans="2:24" x14ac:dyDescent="0.2">
      <c r="C726" s="16"/>
      <c r="M726" s="18"/>
      <c r="N726"/>
      <c r="O726"/>
      <c r="P726"/>
      <c r="Q726"/>
      <c r="R726"/>
      <c r="S726"/>
      <c r="T726"/>
      <c r="U726"/>
      <c r="V726"/>
    </row>
    <row r="727" spans="2:24" x14ac:dyDescent="0.2">
      <c r="B727" s="16"/>
      <c r="W727"/>
      <c r="X727"/>
    </row>
    <row r="728" spans="2:24" x14ac:dyDescent="0.2">
      <c r="C728" s="16"/>
      <c r="M728" s="18"/>
      <c r="N728"/>
      <c r="O728"/>
      <c r="P728"/>
      <c r="Q728"/>
      <c r="R728"/>
      <c r="S728"/>
      <c r="T728"/>
      <c r="U728"/>
      <c r="V728"/>
    </row>
    <row r="729" spans="2:24" x14ac:dyDescent="0.2">
      <c r="B729" s="16"/>
      <c r="W729"/>
      <c r="X729"/>
    </row>
    <row r="730" spans="2:24" x14ac:dyDescent="0.2">
      <c r="C730" s="16"/>
      <c r="M730" s="18"/>
      <c r="N730"/>
      <c r="O730"/>
      <c r="P730"/>
      <c r="Q730"/>
      <c r="R730"/>
      <c r="S730"/>
      <c r="T730"/>
      <c r="U730"/>
      <c r="V730"/>
    </row>
    <row r="731" spans="2:24" x14ac:dyDescent="0.2">
      <c r="B731" s="16"/>
      <c r="W731"/>
      <c r="X731"/>
    </row>
    <row r="732" spans="2:24" x14ac:dyDescent="0.2">
      <c r="C732" s="16"/>
      <c r="M732" s="18"/>
      <c r="N732"/>
      <c r="O732"/>
      <c r="P732"/>
      <c r="Q732"/>
      <c r="R732"/>
      <c r="S732"/>
      <c r="T732"/>
      <c r="U732"/>
      <c r="V732"/>
    </row>
    <row r="733" spans="2:24" x14ac:dyDescent="0.2">
      <c r="B733" s="16"/>
      <c r="W733"/>
      <c r="X733"/>
    </row>
    <row r="734" spans="2:24" x14ac:dyDescent="0.2">
      <c r="C734" s="16"/>
      <c r="M734" s="18"/>
      <c r="N734"/>
      <c r="O734"/>
      <c r="P734"/>
      <c r="Q734"/>
      <c r="R734"/>
      <c r="S734"/>
      <c r="T734"/>
      <c r="U734"/>
      <c r="V734"/>
    </row>
    <row r="735" spans="2:24" x14ac:dyDescent="0.2">
      <c r="B735" s="16"/>
      <c r="W735"/>
      <c r="X735"/>
    </row>
    <row r="736" spans="2:24" x14ac:dyDescent="0.2">
      <c r="C736" s="16"/>
      <c r="M736" s="18"/>
      <c r="N736"/>
      <c r="O736"/>
      <c r="P736"/>
      <c r="Q736"/>
      <c r="R736"/>
      <c r="S736"/>
      <c r="T736"/>
      <c r="U736"/>
      <c r="V736"/>
    </row>
    <row r="737" spans="2:24" x14ac:dyDescent="0.2">
      <c r="B737" s="16"/>
      <c r="W737"/>
      <c r="X737"/>
    </row>
    <row r="738" spans="2:24" x14ac:dyDescent="0.2">
      <c r="C738" s="16"/>
      <c r="M738" s="18"/>
      <c r="N738"/>
      <c r="O738"/>
      <c r="P738"/>
      <c r="Q738"/>
      <c r="R738"/>
      <c r="S738"/>
      <c r="T738"/>
      <c r="U738"/>
      <c r="V738"/>
    </row>
    <row r="739" spans="2:24" x14ac:dyDescent="0.2">
      <c r="B739" s="16"/>
      <c r="W739"/>
      <c r="X739"/>
    </row>
    <row r="740" spans="2:24" x14ac:dyDescent="0.2">
      <c r="C740" s="16"/>
      <c r="M740" s="18"/>
      <c r="N740"/>
      <c r="O740"/>
      <c r="P740"/>
      <c r="Q740"/>
      <c r="R740"/>
      <c r="S740"/>
      <c r="T740"/>
      <c r="U740"/>
      <c r="V740"/>
    </row>
    <row r="741" spans="2:24" x14ac:dyDescent="0.2">
      <c r="B741" s="16"/>
      <c r="W741"/>
      <c r="X741"/>
    </row>
    <row r="742" spans="2:24" x14ac:dyDescent="0.2">
      <c r="C742" s="16"/>
      <c r="M742" s="18"/>
      <c r="N742"/>
      <c r="O742"/>
      <c r="P742"/>
      <c r="Q742"/>
      <c r="R742"/>
      <c r="S742"/>
      <c r="T742"/>
      <c r="U742"/>
      <c r="V742"/>
    </row>
    <row r="743" spans="2:24" x14ac:dyDescent="0.2">
      <c r="B743" s="16"/>
      <c r="W743"/>
      <c r="X743"/>
    </row>
    <row r="744" spans="2:24" x14ac:dyDescent="0.2">
      <c r="C744" s="16"/>
      <c r="M744" s="18"/>
      <c r="N744"/>
      <c r="O744"/>
      <c r="P744"/>
      <c r="Q744"/>
      <c r="R744"/>
      <c r="S744"/>
      <c r="T744"/>
      <c r="U744"/>
      <c r="V744"/>
    </row>
    <row r="745" spans="2:24" x14ac:dyDescent="0.2">
      <c r="B745" s="16"/>
      <c r="W745"/>
      <c r="X745"/>
    </row>
    <row r="746" spans="2:24" x14ac:dyDescent="0.2">
      <c r="C746" s="16"/>
      <c r="M746" s="18"/>
      <c r="N746"/>
      <c r="O746"/>
      <c r="P746"/>
      <c r="Q746"/>
      <c r="R746"/>
      <c r="S746"/>
      <c r="T746"/>
      <c r="U746"/>
      <c r="V746"/>
    </row>
    <row r="747" spans="2:24" x14ac:dyDescent="0.2">
      <c r="B747" s="16"/>
      <c r="W747"/>
      <c r="X747"/>
    </row>
    <row r="748" spans="2:24" x14ac:dyDescent="0.2">
      <c r="C748" s="16"/>
      <c r="M748" s="18"/>
      <c r="N748"/>
      <c r="O748"/>
      <c r="P748"/>
      <c r="Q748"/>
      <c r="R748"/>
      <c r="S748"/>
      <c r="T748"/>
      <c r="U748"/>
      <c r="V748"/>
    </row>
    <row r="749" spans="2:24" x14ac:dyDescent="0.2">
      <c r="B749" s="16"/>
      <c r="W749"/>
      <c r="X749"/>
    </row>
    <row r="750" spans="2:24" x14ac:dyDescent="0.2">
      <c r="C750" s="16"/>
      <c r="M750" s="18"/>
      <c r="N750"/>
      <c r="O750"/>
      <c r="P750"/>
      <c r="Q750"/>
      <c r="R750"/>
      <c r="S750"/>
      <c r="T750"/>
      <c r="U750"/>
      <c r="V750"/>
    </row>
    <row r="751" spans="2:24" x14ac:dyDescent="0.2">
      <c r="B751" s="16"/>
      <c r="W751"/>
      <c r="X751"/>
    </row>
    <row r="752" spans="2:24" x14ac:dyDescent="0.2">
      <c r="C752" s="16"/>
      <c r="M752" s="18"/>
      <c r="N752"/>
      <c r="O752"/>
      <c r="P752"/>
      <c r="Q752"/>
      <c r="R752"/>
      <c r="S752"/>
      <c r="T752"/>
      <c r="U752"/>
      <c r="V752"/>
    </row>
    <row r="753" spans="2:24" x14ac:dyDescent="0.2">
      <c r="B753" s="16"/>
      <c r="W753"/>
      <c r="X753"/>
    </row>
    <row r="754" spans="2:24" x14ac:dyDescent="0.2">
      <c r="C754" s="16"/>
      <c r="M754" s="18"/>
      <c r="N754"/>
      <c r="O754"/>
      <c r="P754"/>
      <c r="Q754"/>
      <c r="R754"/>
      <c r="S754"/>
      <c r="T754"/>
      <c r="U754"/>
      <c r="V754"/>
    </row>
    <row r="755" spans="2:24" x14ac:dyDescent="0.2">
      <c r="B755" s="16"/>
      <c r="W755"/>
      <c r="X755"/>
    </row>
    <row r="756" spans="2:24" x14ac:dyDescent="0.2">
      <c r="C756" s="16"/>
      <c r="M756" s="18"/>
      <c r="N756"/>
      <c r="O756"/>
      <c r="P756"/>
      <c r="Q756"/>
      <c r="R756"/>
      <c r="S756"/>
      <c r="T756"/>
      <c r="U756"/>
      <c r="V756"/>
    </row>
    <row r="757" spans="2:24" x14ac:dyDescent="0.2">
      <c r="B757" s="16"/>
      <c r="W757"/>
      <c r="X757"/>
    </row>
    <row r="758" spans="2:24" x14ac:dyDescent="0.2">
      <c r="C758" s="16"/>
      <c r="M758" s="18"/>
      <c r="N758"/>
      <c r="O758"/>
      <c r="P758"/>
      <c r="Q758"/>
      <c r="R758"/>
      <c r="S758"/>
      <c r="T758"/>
      <c r="U758"/>
      <c r="V758"/>
    </row>
    <row r="759" spans="2:24" x14ac:dyDescent="0.2">
      <c r="B759" s="16"/>
      <c r="W759"/>
      <c r="X759"/>
    </row>
    <row r="760" spans="2:24" x14ac:dyDescent="0.2">
      <c r="C760" s="16"/>
      <c r="M760" s="18"/>
      <c r="N760"/>
      <c r="O760"/>
      <c r="P760"/>
      <c r="Q760"/>
      <c r="R760"/>
      <c r="S760"/>
      <c r="T760"/>
      <c r="U760"/>
      <c r="V760"/>
    </row>
    <row r="761" spans="2:24" x14ac:dyDescent="0.2">
      <c r="B761" s="16"/>
      <c r="W761"/>
      <c r="X761"/>
    </row>
    <row r="762" spans="2:24" x14ac:dyDescent="0.2">
      <c r="C762" s="16"/>
      <c r="M762" s="18"/>
      <c r="N762"/>
      <c r="O762"/>
      <c r="P762"/>
      <c r="Q762"/>
      <c r="R762"/>
      <c r="S762"/>
      <c r="T762"/>
      <c r="U762"/>
      <c r="V762"/>
    </row>
    <row r="763" spans="2:24" x14ac:dyDescent="0.2">
      <c r="B763" s="16"/>
      <c r="W763"/>
      <c r="X763"/>
    </row>
    <row r="764" spans="2:24" x14ac:dyDescent="0.2">
      <c r="C764" s="16"/>
      <c r="M764" s="18"/>
      <c r="N764"/>
      <c r="O764"/>
      <c r="P764"/>
      <c r="Q764"/>
      <c r="R764"/>
      <c r="S764"/>
      <c r="T764"/>
      <c r="U764"/>
      <c r="V764"/>
    </row>
    <row r="765" spans="2:24" x14ac:dyDescent="0.2">
      <c r="B765" s="16"/>
      <c r="W765"/>
      <c r="X765"/>
    </row>
    <row r="766" spans="2:24" x14ac:dyDescent="0.2">
      <c r="C766" s="16"/>
      <c r="M766" s="18"/>
      <c r="N766"/>
      <c r="O766"/>
      <c r="P766"/>
      <c r="Q766"/>
      <c r="R766"/>
      <c r="S766"/>
      <c r="T766"/>
      <c r="U766"/>
      <c r="V766"/>
    </row>
    <row r="767" spans="2:24" x14ac:dyDescent="0.2">
      <c r="B767" s="16"/>
      <c r="W767"/>
      <c r="X767"/>
    </row>
    <row r="768" spans="2:24" x14ac:dyDescent="0.2">
      <c r="C768" s="16"/>
      <c r="M768" s="18"/>
      <c r="N768"/>
      <c r="O768"/>
      <c r="P768"/>
      <c r="Q768"/>
      <c r="R768"/>
      <c r="S768"/>
      <c r="T768"/>
      <c r="U768"/>
      <c r="V768"/>
    </row>
    <row r="769" spans="2:24" x14ac:dyDescent="0.2">
      <c r="B769" s="16"/>
      <c r="W769"/>
      <c r="X769"/>
    </row>
    <row r="770" spans="2:24" x14ac:dyDescent="0.2">
      <c r="C770" s="16"/>
      <c r="M770" s="18"/>
      <c r="N770"/>
      <c r="O770"/>
      <c r="P770"/>
      <c r="Q770"/>
      <c r="R770"/>
      <c r="S770"/>
      <c r="T770"/>
      <c r="U770"/>
      <c r="V770"/>
    </row>
    <row r="771" spans="2:24" x14ac:dyDescent="0.2">
      <c r="B771" s="16"/>
      <c r="W771"/>
      <c r="X771"/>
    </row>
    <row r="772" spans="2:24" x14ac:dyDescent="0.2">
      <c r="C772" s="16"/>
      <c r="M772" s="18"/>
      <c r="N772"/>
      <c r="O772"/>
      <c r="P772"/>
      <c r="Q772"/>
      <c r="R772"/>
      <c r="S772"/>
      <c r="T772"/>
      <c r="U772"/>
      <c r="V772"/>
    </row>
    <row r="773" spans="2:24" x14ac:dyDescent="0.2">
      <c r="B773" s="16"/>
      <c r="W773"/>
      <c r="X773"/>
    </row>
    <row r="774" spans="2:24" x14ac:dyDescent="0.2">
      <c r="C774" s="16"/>
      <c r="M774" s="18"/>
      <c r="N774"/>
      <c r="O774"/>
      <c r="P774"/>
      <c r="Q774"/>
      <c r="R774"/>
      <c r="S774"/>
      <c r="T774"/>
      <c r="U774"/>
      <c r="V774"/>
    </row>
    <row r="775" spans="2:24" x14ac:dyDescent="0.2">
      <c r="B775" s="16"/>
      <c r="W775"/>
      <c r="X775"/>
    </row>
    <row r="776" spans="2:24" x14ac:dyDescent="0.2">
      <c r="C776" s="16"/>
      <c r="M776" s="18"/>
      <c r="N776"/>
      <c r="O776"/>
      <c r="P776"/>
      <c r="Q776"/>
      <c r="R776"/>
      <c r="S776"/>
      <c r="T776"/>
      <c r="U776"/>
      <c r="V776"/>
    </row>
    <row r="777" spans="2:24" x14ac:dyDescent="0.2">
      <c r="B777" s="16"/>
      <c r="W777"/>
      <c r="X777"/>
    </row>
    <row r="778" spans="2:24" x14ac:dyDescent="0.2">
      <c r="C778" s="16"/>
      <c r="M778" s="18"/>
      <c r="N778"/>
      <c r="O778"/>
      <c r="P778"/>
      <c r="Q778"/>
      <c r="R778"/>
      <c r="S778"/>
      <c r="T778"/>
      <c r="U778"/>
      <c r="V778"/>
    </row>
    <row r="779" spans="2:24" x14ac:dyDescent="0.2">
      <c r="B779" s="16"/>
      <c r="W779"/>
      <c r="X779"/>
    </row>
    <row r="780" spans="2:24" x14ac:dyDescent="0.2">
      <c r="C780" s="16"/>
      <c r="M780" s="18"/>
      <c r="N780"/>
      <c r="O780"/>
      <c r="P780"/>
      <c r="Q780"/>
      <c r="R780"/>
      <c r="S780"/>
      <c r="T780"/>
      <c r="U780"/>
      <c r="V780"/>
    </row>
    <row r="781" spans="2:24" x14ac:dyDescent="0.2">
      <c r="B781" s="16"/>
      <c r="W781"/>
      <c r="X781"/>
    </row>
    <row r="782" spans="2:24" x14ac:dyDescent="0.2">
      <c r="C782" s="16"/>
      <c r="M782" s="18"/>
      <c r="N782"/>
      <c r="O782"/>
      <c r="P782"/>
      <c r="Q782"/>
      <c r="R782"/>
      <c r="S782"/>
      <c r="T782"/>
      <c r="U782"/>
      <c r="V782"/>
    </row>
    <row r="783" spans="2:24" x14ac:dyDescent="0.2">
      <c r="B783" s="16"/>
      <c r="W783"/>
      <c r="X783"/>
    </row>
    <row r="784" spans="2:24" x14ac:dyDescent="0.2">
      <c r="C784" s="16"/>
      <c r="M784" s="18"/>
      <c r="N784"/>
      <c r="O784"/>
      <c r="P784"/>
      <c r="Q784"/>
      <c r="R784"/>
      <c r="S784"/>
      <c r="T784"/>
      <c r="U784"/>
      <c r="V784"/>
    </row>
    <row r="785" spans="2:24" x14ac:dyDescent="0.2">
      <c r="B785" s="16"/>
      <c r="W785"/>
      <c r="X785"/>
    </row>
    <row r="786" spans="2:24" x14ac:dyDescent="0.2">
      <c r="C786" s="16"/>
      <c r="M786" s="18"/>
      <c r="N786"/>
      <c r="O786"/>
      <c r="P786"/>
      <c r="Q786"/>
      <c r="R786"/>
      <c r="S786"/>
      <c r="T786"/>
      <c r="U786"/>
      <c r="V786"/>
    </row>
    <row r="787" spans="2:24" x14ac:dyDescent="0.2">
      <c r="B787" s="16"/>
      <c r="W787"/>
      <c r="X787"/>
    </row>
    <row r="788" spans="2:24" x14ac:dyDescent="0.2">
      <c r="C788" s="16"/>
      <c r="M788" s="18"/>
      <c r="N788"/>
      <c r="O788"/>
      <c r="P788"/>
      <c r="Q788"/>
      <c r="R788"/>
      <c r="S788"/>
      <c r="T788"/>
      <c r="U788"/>
      <c r="V788"/>
    </row>
    <row r="789" spans="2:24" x14ac:dyDescent="0.2">
      <c r="B789" s="16"/>
      <c r="W789"/>
      <c r="X789"/>
    </row>
    <row r="790" spans="2:24" x14ac:dyDescent="0.2">
      <c r="C790" s="16"/>
      <c r="M790" s="18"/>
      <c r="N790"/>
      <c r="O790"/>
      <c r="P790"/>
      <c r="Q790"/>
      <c r="R790"/>
      <c r="S790"/>
      <c r="T790"/>
      <c r="U790"/>
      <c r="V790"/>
    </row>
    <row r="791" spans="2:24" x14ac:dyDescent="0.2">
      <c r="B791" s="16"/>
      <c r="W791"/>
      <c r="X791"/>
    </row>
    <row r="792" spans="2:24" x14ac:dyDescent="0.2">
      <c r="C792" s="16"/>
      <c r="M792" s="18"/>
      <c r="N792"/>
      <c r="O792"/>
      <c r="P792"/>
      <c r="Q792"/>
      <c r="R792"/>
      <c r="S792"/>
      <c r="T792"/>
      <c r="U792"/>
      <c r="V792"/>
    </row>
    <row r="793" spans="2:24" x14ac:dyDescent="0.2">
      <c r="B793" s="16"/>
      <c r="W793"/>
      <c r="X793"/>
    </row>
    <row r="794" spans="2:24" x14ac:dyDescent="0.2">
      <c r="C794" s="16"/>
      <c r="M794" s="18"/>
      <c r="N794"/>
      <c r="O794"/>
      <c r="P794"/>
      <c r="Q794"/>
      <c r="R794"/>
      <c r="S794"/>
      <c r="T794"/>
      <c r="U794"/>
      <c r="V794"/>
    </row>
    <row r="795" spans="2:24" x14ac:dyDescent="0.2">
      <c r="B795" s="16"/>
      <c r="W795"/>
      <c r="X795"/>
    </row>
    <row r="796" spans="2:24" x14ac:dyDescent="0.2">
      <c r="C796" s="16"/>
      <c r="M796" s="18"/>
      <c r="N796"/>
      <c r="O796"/>
      <c r="P796"/>
      <c r="Q796"/>
      <c r="R796"/>
      <c r="S796"/>
      <c r="T796"/>
      <c r="U796"/>
      <c r="V796"/>
    </row>
    <row r="797" spans="2:24" x14ac:dyDescent="0.2">
      <c r="B797" s="16"/>
      <c r="W797"/>
      <c r="X797"/>
    </row>
    <row r="798" spans="2:24" x14ac:dyDescent="0.2">
      <c r="C798" s="16"/>
      <c r="M798" s="18"/>
      <c r="N798"/>
      <c r="O798"/>
      <c r="P798"/>
      <c r="Q798"/>
      <c r="R798"/>
      <c r="S798"/>
      <c r="T798"/>
      <c r="U798"/>
      <c r="V798"/>
    </row>
    <row r="799" spans="2:24" x14ac:dyDescent="0.2">
      <c r="B799" s="16"/>
      <c r="W799"/>
      <c r="X799"/>
    </row>
    <row r="800" spans="2:24" x14ac:dyDescent="0.2">
      <c r="C800" s="16"/>
      <c r="M800" s="18"/>
      <c r="N800"/>
      <c r="O800"/>
      <c r="P800"/>
      <c r="Q800"/>
      <c r="R800"/>
      <c r="S800"/>
      <c r="T800"/>
      <c r="U800"/>
      <c r="V800"/>
    </row>
    <row r="801" spans="2:24" x14ac:dyDescent="0.2">
      <c r="B801" s="16"/>
      <c r="W801"/>
      <c r="X801"/>
    </row>
    <row r="802" spans="2:24" x14ac:dyDescent="0.2">
      <c r="C802" s="16"/>
      <c r="M802" s="18"/>
      <c r="N802"/>
      <c r="O802"/>
      <c r="P802"/>
      <c r="Q802"/>
      <c r="R802"/>
      <c r="S802"/>
      <c r="T802"/>
      <c r="U802"/>
      <c r="V802"/>
    </row>
    <row r="803" spans="2:24" x14ac:dyDescent="0.2">
      <c r="B803" s="16"/>
      <c r="W803"/>
      <c r="X803"/>
    </row>
    <row r="804" spans="2:24" x14ac:dyDescent="0.2">
      <c r="C804" s="16"/>
      <c r="M804" s="18"/>
      <c r="N804"/>
      <c r="O804"/>
      <c r="P804"/>
      <c r="Q804"/>
      <c r="R804"/>
      <c r="S804"/>
      <c r="T804"/>
      <c r="U804"/>
      <c r="V804"/>
    </row>
    <row r="805" spans="2:24" x14ac:dyDescent="0.2">
      <c r="B805" s="16"/>
      <c r="W805"/>
      <c r="X805"/>
    </row>
    <row r="806" spans="2:24" x14ac:dyDescent="0.2">
      <c r="C806" s="16"/>
      <c r="M806" s="18"/>
      <c r="N806"/>
      <c r="O806"/>
      <c r="P806"/>
      <c r="Q806"/>
      <c r="R806"/>
      <c r="S806"/>
      <c r="T806"/>
      <c r="U806"/>
      <c r="V806"/>
    </row>
    <row r="807" spans="2:24" x14ac:dyDescent="0.2">
      <c r="B807" s="16"/>
      <c r="W807"/>
      <c r="X807"/>
    </row>
    <row r="808" spans="2:24" x14ac:dyDescent="0.2">
      <c r="C808" s="16"/>
      <c r="M808" s="18"/>
      <c r="N808"/>
      <c r="O808"/>
      <c r="P808"/>
      <c r="Q808"/>
      <c r="R808"/>
      <c r="S808"/>
      <c r="T808"/>
      <c r="U808"/>
      <c r="V808"/>
    </row>
    <row r="809" spans="2:24" x14ac:dyDescent="0.2">
      <c r="B809" s="16"/>
      <c r="W809"/>
      <c r="X809"/>
    </row>
    <row r="810" spans="2:24" x14ac:dyDescent="0.2">
      <c r="C810" s="16"/>
      <c r="M810" s="18"/>
      <c r="N810"/>
      <c r="O810"/>
      <c r="P810"/>
      <c r="Q810"/>
      <c r="R810"/>
      <c r="S810"/>
      <c r="T810"/>
      <c r="U810"/>
      <c r="V810"/>
    </row>
    <row r="811" spans="2:24" x14ac:dyDescent="0.2">
      <c r="B811" s="16"/>
      <c r="W811"/>
      <c r="X811"/>
    </row>
    <row r="812" spans="2:24" x14ac:dyDescent="0.2">
      <c r="C812" s="16"/>
      <c r="M812" s="18"/>
      <c r="N812"/>
      <c r="O812"/>
      <c r="P812"/>
      <c r="Q812"/>
      <c r="R812"/>
      <c r="S812"/>
      <c r="T812"/>
      <c r="U812"/>
      <c r="V812"/>
    </row>
    <row r="813" spans="2:24" x14ac:dyDescent="0.2">
      <c r="B813" s="16"/>
      <c r="W813"/>
      <c r="X813"/>
    </row>
    <row r="814" spans="2:24" x14ac:dyDescent="0.2">
      <c r="C814" s="16"/>
      <c r="M814" s="18"/>
      <c r="N814"/>
      <c r="O814"/>
      <c r="P814"/>
      <c r="Q814"/>
      <c r="R814"/>
      <c r="S814"/>
      <c r="T814"/>
      <c r="U814"/>
      <c r="V814"/>
    </row>
    <row r="815" spans="2:24" x14ac:dyDescent="0.2">
      <c r="B815" s="16"/>
      <c r="W815"/>
      <c r="X815"/>
    </row>
    <row r="816" spans="2:24" x14ac:dyDescent="0.2">
      <c r="C816" s="16"/>
      <c r="M816" s="18"/>
      <c r="N816"/>
      <c r="O816"/>
      <c r="P816"/>
      <c r="Q816"/>
      <c r="R816"/>
      <c r="S816"/>
      <c r="T816"/>
      <c r="U816"/>
      <c r="V816"/>
    </row>
    <row r="817" spans="2:24" x14ac:dyDescent="0.2">
      <c r="B817" s="16"/>
      <c r="W817"/>
      <c r="X817"/>
    </row>
    <row r="818" spans="2:24" x14ac:dyDescent="0.2">
      <c r="C818" s="16"/>
      <c r="M818" s="18"/>
      <c r="N818"/>
      <c r="O818"/>
      <c r="P818"/>
      <c r="Q818"/>
      <c r="R818"/>
      <c r="S818"/>
      <c r="T818"/>
      <c r="U818"/>
      <c r="V818"/>
    </row>
    <row r="819" spans="2:24" x14ac:dyDescent="0.2">
      <c r="B819" s="16"/>
      <c r="W819"/>
      <c r="X819"/>
    </row>
    <row r="820" spans="2:24" x14ac:dyDescent="0.2">
      <c r="C820" s="16"/>
      <c r="M820" s="18"/>
      <c r="N820"/>
      <c r="O820"/>
      <c r="P820"/>
      <c r="Q820"/>
      <c r="R820"/>
      <c r="S820"/>
      <c r="T820"/>
      <c r="U820"/>
      <c r="V820"/>
    </row>
    <row r="821" spans="2:24" x14ac:dyDescent="0.2">
      <c r="B821" s="16"/>
      <c r="W821"/>
      <c r="X821"/>
    </row>
    <row r="822" spans="2:24" x14ac:dyDescent="0.2">
      <c r="C822" s="16"/>
      <c r="M822" s="18"/>
      <c r="N822"/>
      <c r="O822"/>
      <c r="P822"/>
      <c r="Q822"/>
      <c r="R822"/>
      <c r="S822"/>
      <c r="T822"/>
      <c r="U822"/>
      <c r="V822"/>
    </row>
    <row r="823" spans="2:24" x14ac:dyDescent="0.2">
      <c r="B823" s="16"/>
      <c r="W823"/>
      <c r="X823"/>
    </row>
    <row r="824" spans="2:24" x14ac:dyDescent="0.2">
      <c r="C824" s="16"/>
      <c r="M824" s="18"/>
      <c r="N824"/>
      <c r="O824"/>
      <c r="P824"/>
      <c r="Q824"/>
      <c r="R824"/>
      <c r="S824"/>
      <c r="T824"/>
      <c r="U824"/>
      <c r="V824"/>
    </row>
    <row r="825" spans="2:24" x14ac:dyDescent="0.2">
      <c r="B825" s="16"/>
      <c r="W825"/>
      <c r="X825"/>
    </row>
    <row r="826" spans="2:24" x14ac:dyDescent="0.2">
      <c r="C826" s="16"/>
      <c r="M826" s="18"/>
      <c r="N826"/>
      <c r="O826"/>
      <c r="P826"/>
      <c r="Q826"/>
      <c r="R826"/>
      <c r="S826"/>
      <c r="T826"/>
      <c r="U826"/>
      <c r="V826"/>
    </row>
    <row r="827" spans="2:24" x14ac:dyDescent="0.2">
      <c r="B827" s="16"/>
      <c r="W827"/>
      <c r="X827"/>
    </row>
    <row r="828" spans="2:24" x14ac:dyDescent="0.2">
      <c r="C828" s="16"/>
      <c r="M828" s="18"/>
      <c r="N828"/>
      <c r="O828"/>
      <c r="P828"/>
      <c r="Q828"/>
      <c r="R828"/>
      <c r="S828"/>
      <c r="T828"/>
      <c r="U828"/>
      <c r="V828"/>
    </row>
    <row r="829" spans="2:24" x14ac:dyDescent="0.2">
      <c r="B829" s="16"/>
      <c r="W829"/>
      <c r="X829"/>
    </row>
    <row r="830" spans="2:24" x14ac:dyDescent="0.2">
      <c r="C830" s="16"/>
      <c r="M830" s="18"/>
      <c r="N830"/>
      <c r="O830"/>
      <c r="P830"/>
      <c r="Q830"/>
      <c r="R830"/>
      <c r="S830"/>
      <c r="T830"/>
      <c r="U830"/>
      <c r="V830"/>
    </row>
    <row r="831" spans="2:24" x14ac:dyDescent="0.2">
      <c r="B831" s="16"/>
      <c r="W831"/>
      <c r="X831"/>
    </row>
    <row r="832" spans="2:24" x14ac:dyDescent="0.2">
      <c r="C832" s="16"/>
      <c r="M832" s="18"/>
      <c r="N832"/>
      <c r="O832"/>
      <c r="P832"/>
      <c r="Q832"/>
      <c r="R832"/>
      <c r="S832"/>
      <c r="T832"/>
      <c r="U832"/>
      <c r="V832"/>
    </row>
    <row r="833" spans="2:24" x14ac:dyDescent="0.2">
      <c r="B833" s="16"/>
      <c r="W833"/>
      <c r="X833"/>
    </row>
    <row r="834" spans="2:24" x14ac:dyDescent="0.2">
      <c r="C834" s="16"/>
      <c r="M834" s="18"/>
      <c r="N834"/>
      <c r="O834"/>
      <c r="P834"/>
      <c r="Q834"/>
      <c r="R834"/>
      <c r="S834"/>
      <c r="T834"/>
      <c r="U834"/>
      <c r="V834"/>
    </row>
    <row r="835" spans="2:24" x14ac:dyDescent="0.2">
      <c r="B835" s="16"/>
      <c r="W835"/>
      <c r="X835"/>
    </row>
    <row r="836" spans="2:24" x14ac:dyDescent="0.2">
      <c r="C836" s="16"/>
      <c r="M836" s="18"/>
      <c r="N836"/>
      <c r="O836"/>
      <c r="P836"/>
      <c r="Q836"/>
      <c r="R836"/>
      <c r="S836"/>
      <c r="T836"/>
      <c r="U836"/>
      <c r="V836"/>
    </row>
    <row r="837" spans="2:24" x14ac:dyDescent="0.2">
      <c r="B837" s="16"/>
      <c r="W837"/>
      <c r="X837"/>
    </row>
    <row r="838" spans="2:24" x14ac:dyDescent="0.2">
      <c r="C838" s="16"/>
      <c r="M838" s="18"/>
      <c r="N838"/>
      <c r="O838"/>
      <c r="P838"/>
      <c r="Q838"/>
      <c r="R838"/>
      <c r="S838"/>
      <c r="T838"/>
      <c r="U838"/>
      <c r="V838"/>
    </row>
    <row r="839" spans="2:24" x14ac:dyDescent="0.2">
      <c r="B839" s="16"/>
      <c r="W839"/>
      <c r="X839"/>
    </row>
    <row r="840" spans="2:24" x14ac:dyDescent="0.2">
      <c r="C840" s="16"/>
      <c r="M840" s="18"/>
      <c r="N840"/>
      <c r="O840"/>
      <c r="P840"/>
      <c r="Q840"/>
      <c r="R840"/>
      <c r="S840"/>
      <c r="T840"/>
      <c r="U840"/>
      <c r="V840"/>
    </row>
    <row r="841" spans="2:24" x14ac:dyDescent="0.2">
      <c r="B841" s="16"/>
      <c r="W841"/>
      <c r="X841"/>
    </row>
    <row r="842" spans="2:24" x14ac:dyDescent="0.2">
      <c r="C842" s="16"/>
      <c r="M842" s="18"/>
      <c r="N842"/>
      <c r="O842"/>
      <c r="P842"/>
      <c r="Q842"/>
      <c r="R842"/>
      <c r="S842"/>
      <c r="T842"/>
      <c r="U842"/>
      <c r="V842"/>
    </row>
    <row r="843" spans="2:24" x14ac:dyDescent="0.2">
      <c r="B843" s="16"/>
      <c r="W843"/>
      <c r="X843"/>
    </row>
    <row r="844" spans="2:24" x14ac:dyDescent="0.2">
      <c r="C844" s="16"/>
      <c r="M844" s="18"/>
      <c r="N844"/>
      <c r="O844"/>
      <c r="P844"/>
      <c r="Q844"/>
      <c r="R844"/>
      <c r="S844"/>
      <c r="T844"/>
      <c r="U844"/>
      <c r="V844"/>
    </row>
    <row r="845" spans="2:24" x14ac:dyDescent="0.2">
      <c r="B845" s="16"/>
      <c r="W845"/>
      <c r="X845"/>
    </row>
    <row r="846" spans="2:24" x14ac:dyDescent="0.2">
      <c r="C846" s="16"/>
      <c r="M846" s="18"/>
      <c r="N846"/>
      <c r="O846"/>
      <c r="P846"/>
      <c r="Q846"/>
      <c r="R846"/>
      <c r="S846"/>
      <c r="T846"/>
      <c r="U846"/>
      <c r="V846"/>
    </row>
    <row r="847" spans="2:24" x14ac:dyDescent="0.2">
      <c r="B847" s="16"/>
      <c r="W847"/>
      <c r="X847"/>
    </row>
    <row r="848" spans="2:24" x14ac:dyDescent="0.2">
      <c r="C848" s="16"/>
      <c r="M848" s="18"/>
      <c r="N848"/>
      <c r="O848"/>
      <c r="P848"/>
      <c r="Q848"/>
      <c r="R848"/>
      <c r="S848"/>
      <c r="T848"/>
      <c r="U848"/>
      <c r="V848"/>
    </row>
    <row r="849" spans="2:24" x14ac:dyDescent="0.2">
      <c r="B849" s="16"/>
      <c r="W849"/>
      <c r="X849"/>
    </row>
    <row r="850" spans="2:24" x14ac:dyDescent="0.2">
      <c r="C850" s="16"/>
      <c r="M850" s="18"/>
      <c r="N850"/>
      <c r="O850"/>
      <c r="P850"/>
      <c r="Q850"/>
      <c r="R850"/>
      <c r="S850"/>
      <c r="T850"/>
      <c r="U850"/>
      <c r="V850"/>
    </row>
    <row r="851" spans="2:24" x14ac:dyDescent="0.2">
      <c r="B851" s="16"/>
      <c r="W851"/>
      <c r="X851"/>
    </row>
    <row r="852" spans="2:24" x14ac:dyDescent="0.2">
      <c r="C852" s="16"/>
      <c r="M852" s="18"/>
      <c r="N852"/>
      <c r="O852"/>
      <c r="P852"/>
      <c r="Q852"/>
      <c r="R852"/>
      <c r="S852"/>
      <c r="T852"/>
      <c r="U852"/>
      <c r="V852"/>
    </row>
    <row r="853" spans="2:24" x14ac:dyDescent="0.2">
      <c r="B853" s="16"/>
      <c r="W853"/>
      <c r="X853"/>
    </row>
    <row r="854" spans="2:24" x14ac:dyDescent="0.2">
      <c r="C854" s="16"/>
      <c r="M854" s="18"/>
      <c r="N854"/>
      <c r="O854"/>
      <c r="P854"/>
      <c r="Q854"/>
      <c r="R854"/>
      <c r="S854"/>
      <c r="T854"/>
      <c r="U854"/>
      <c r="V854"/>
    </row>
    <row r="855" spans="2:24" x14ac:dyDescent="0.2">
      <c r="B855" s="16"/>
      <c r="W855"/>
      <c r="X855"/>
    </row>
    <row r="856" spans="2:24" x14ac:dyDescent="0.2">
      <c r="C856" s="16"/>
      <c r="M856" s="18"/>
      <c r="N856"/>
      <c r="O856"/>
      <c r="P856"/>
      <c r="Q856"/>
      <c r="R856"/>
      <c r="S856"/>
      <c r="T856"/>
      <c r="U856"/>
      <c r="V856"/>
    </row>
    <row r="857" spans="2:24" x14ac:dyDescent="0.2">
      <c r="B857" s="16"/>
      <c r="W857"/>
      <c r="X857"/>
    </row>
    <row r="858" spans="2:24" x14ac:dyDescent="0.2">
      <c r="C858" s="16"/>
      <c r="M858" s="18"/>
      <c r="N858"/>
      <c r="O858"/>
      <c r="P858"/>
      <c r="Q858"/>
      <c r="R858"/>
      <c r="S858"/>
      <c r="T858"/>
      <c r="U858"/>
      <c r="V858"/>
    </row>
    <row r="859" spans="2:24" x14ac:dyDescent="0.2">
      <c r="B859" s="16"/>
      <c r="W859"/>
      <c r="X859"/>
    </row>
    <row r="860" spans="2:24" x14ac:dyDescent="0.2">
      <c r="C860" s="16"/>
      <c r="M860" s="18"/>
      <c r="N860"/>
      <c r="O860"/>
      <c r="P860"/>
      <c r="Q860"/>
      <c r="R860"/>
      <c r="S860"/>
      <c r="T860"/>
      <c r="U860"/>
      <c r="V860"/>
    </row>
    <row r="861" spans="2:24" x14ac:dyDescent="0.2">
      <c r="B861" s="16"/>
      <c r="W861"/>
      <c r="X861"/>
    </row>
    <row r="862" spans="2:24" x14ac:dyDescent="0.2">
      <c r="C862" s="16"/>
      <c r="M862" s="18"/>
      <c r="N862"/>
      <c r="O862"/>
      <c r="P862"/>
      <c r="Q862"/>
      <c r="R862"/>
      <c r="S862"/>
      <c r="T862"/>
      <c r="U862"/>
      <c r="V862"/>
    </row>
    <row r="863" spans="2:24" x14ac:dyDescent="0.2">
      <c r="B863" s="16"/>
      <c r="W863"/>
      <c r="X863"/>
    </row>
    <row r="864" spans="2:24" x14ac:dyDescent="0.2">
      <c r="C864" s="16"/>
      <c r="M864" s="18"/>
      <c r="N864"/>
      <c r="O864"/>
      <c r="P864"/>
      <c r="Q864"/>
      <c r="R864"/>
      <c r="S864"/>
      <c r="T864"/>
      <c r="U864"/>
      <c r="V864"/>
    </row>
    <row r="865" spans="2:24" x14ac:dyDescent="0.2">
      <c r="B865" s="16"/>
      <c r="W865"/>
      <c r="X865"/>
    </row>
    <row r="866" spans="2:24" x14ac:dyDescent="0.2">
      <c r="C866" s="16"/>
      <c r="M866" s="18"/>
      <c r="N866"/>
      <c r="O866"/>
      <c r="P866"/>
      <c r="Q866"/>
      <c r="R866"/>
      <c r="S866"/>
      <c r="T866"/>
      <c r="U866"/>
      <c r="V866"/>
    </row>
    <row r="867" spans="2:24" x14ac:dyDescent="0.2">
      <c r="B867" s="16"/>
      <c r="W867"/>
      <c r="X867"/>
    </row>
    <row r="868" spans="2:24" x14ac:dyDescent="0.2">
      <c r="C868" s="16"/>
      <c r="M868" s="18"/>
      <c r="N868"/>
      <c r="O868"/>
      <c r="P868"/>
      <c r="Q868"/>
      <c r="R868"/>
      <c r="S868"/>
      <c r="T868"/>
      <c r="U868"/>
      <c r="V868"/>
    </row>
    <row r="869" spans="2:24" x14ac:dyDescent="0.2">
      <c r="B869" s="16"/>
      <c r="W869"/>
      <c r="X869"/>
    </row>
    <row r="870" spans="2:24" x14ac:dyDescent="0.2">
      <c r="C870" s="16"/>
      <c r="M870" s="18"/>
      <c r="N870"/>
      <c r="O870"/>
      <c r="P870"/>
      <c r="Q870"/>
      <c r="R870"/>
      <c r="S870"/>
      <c r="T870"/>
      <c r="U870"/>
      <c r="V870"/>
    </row>
    <row r="871" spans="2:24" x14ac:dyDescent="0.2">
      <c r="B871" s="16"/>
      <c r="W871"/>
      <c r="X871"/>
    </row>
    <row r="872" spans="2:24" x14ac:dyDescent="0.2">
      <c r="C872" s="16"/>
      <c r="M872" s="18"/>
      <c r="N872"/>
      <c r="O872"/>
      <c r="P872"/>
      <c r="Q872"/>
      <c r="R872"/>
      <c r="S872"/>
      <c r="T872"/>
      <c r="U872"/>
      <c r="V872"/>
    </row>
    <row r="873" spans="2:24" x14ac:dyDescent="0.2">
      <c r="B873" s="16"/>
      <c r="W873"/>
      <c r="X873"/>
    </row>
    <row r="874" spans="2:24" x14ac:dyDescent="0.2">
      <c r="C874" s="16"/>
      <c r="M874" s="18"/>
      <c r="N874"/>
      <c r="O874"/>
      <c r="P874"/>
      <c r="Q874"/>
      <c r="R874"/>
      <c r="S874"/>
      <c r="T874"/>
      <c r="U874"/>
      <c r="V874"/>
    </row>
    <row r="875" spans="2:24" x14ac:dyDescent="0.2">
      <c r="B875" s="16"/>
      <c r="W875"/>
      <c r="X875"/>
    </row>
    <row r="876" spans="2:24" x14ac:dyDescent="0.2">
      <c r="C876" s="16"/>
      <c r="M876" s="18"/>
      <c r="N876"/>
      <c r="O876"/>
      <c r="P876"/>
      <c r="Q876"/>
      <c r="R876"/>
      <c r="S876"/>
      <c r="T876"/>
      <c r="U876"/>
      <c r="V876"/>
    </row>
    <row r="877" spans="2:24" x14ac:dyDescent="0.2">
      <c r="B877" s="16"/>
      <c r="W877"/>
      <c r="X877"/>
    </row>
    <row r="878" spans="2:24" x14ac:dyDescent="0.2">
      <c r="C878" s="16"/>
      <c r="M878" s="18"/>
      <c r="N878"/>
      <c r="O878"/>
      <c r="P878"/>
      <c r="Q878"/>
      <c r="R878"/>
      <c r="S878"/>
      <c r="T878"/>
      <c r="U878"/>
      <c r="V878"/>
    </row>
    <row r="879" spans="2:24" x14ac:dyDescent="0.2">
      <c r="B879" s="16"/>
      <c r="W879"/>
      <c r="X879"/>
    </row>
    <row r="880" spans="2:24" x14ac:dyDescent="0.2">
      <c r="C880" s="16"/>
      <c r="M880" s="18"/>
      <c r="N880"/>
      <c r="O880"/>
      <c r="P880"/>
      <c r="Q880"/>
      <c r="R880"/>
      <c r="S880"/>
      <c r="T880"/>
      <c r="U880"/>
      <c r="V880"/>
    </row>
    <row r="881" spans="2:24" x14ac:dyDescent="0.2">
      <c r="B881" s="16"/>
      <c r="W881"/>
      <c r="X881"/>
    </row>
    <row r="882" spans="2:24" x14ac:dyDescent="0.2">
      <c r="C882" s="16"/>
      <c r="M882" s="18"/>
      <c r="N882"/>
      <c r="O882"/>
      <c r="P882"/>
      <c r="Q882"/>
      <c r="R882"/>
      <c r="S882"/>
      <c r="T882"/>
      <c r="U882"/>
      <c r="V882"/>
    </row>
    <row r="883" spans="2:24" x14ac:dyDescent="0.2">
      <c r="B883" s="16"/>
      <c r="W883"/>
      <c r="X883"/>
    </row>
    <row r="884" spans="2:24" x14ac:dyDescent="0.2">
      <c r="C884" s="16"/>
      <c r="M884" s="18"/>
      <c r="N884"/>
      <c r="O884"/>
      <c r="P884"/>
      <c r="Q884"/>
      <c r="R884"/>
      <c r="S884"/>
      <c r="T884"/>
      <c r="U884"/>
      <c r="V884"/>
    </row>
    <row r="885" spans="2:24" x14ac:dyDescent="0.2">
      <c r="B885" s="16"/>
      <c r="W885"/>
      <c r="X885"/>
    </row>
    <row r="886" spans="2:24" x14ac:dyDescent="0.2">
      <c r="C886" s="16"/>
      <c r="M886" s="18"/>
      <c r="N886"/>
      <c r="O886"/>
      <c r="P886"/>
      <c r="Q886"/>
      <c r="R886"/>
      <c r="S886"/>
      <c r="T886"/>
      <c r="U886"/>
      <c r="V886"/>
    </row>
    <row r="887" spans="2:24" x14ac:dyDescent="0.2">
      <c r="B887" s="16"/>
      <c r="W887"/>
      <c r="X887"/>
    </row>
    <row r="888" spans="2:24" x14ac:dyDescent="0.2">
      <c r="C888" s="16"/>
      <c r="M888" s="18"/>
      <c r="N888"/>
      <c r="O888"/>
      <c r="P888"/>
      <c r="Q888"/>
      <c r="R888"/>
      <c r="S888"/>
      <c r="T888"/>
      <c r="U888"/>
      <c r="V888"/>
    </row>
    <row r="889" spans="2:24" x14ac:dyDescent="0.2">
      <c r="B889" s="16"/>
      <c r="W889"/>
      <c r="X889"/>
    </row>
    <row r="890" spans="2:24" x14ac:dyDescent="0.2">
      <c r="C890" s="16"/>
      <c r="M890" s="18"/>
      <c r="N890"/>
      <c r="O890"/>
      <c r="P890"/>
      <c r="Q890"/>
      <c r="R890"/>
      <c r="S890"/>
      <c r="T890"/>
      <c r="U890"/>
      <c r="V890"/>
    </row>
    <row r="891" spans="2:24" x14ac:dyDescent="0.2">
      <c r="B891" s="16"/>
      <c r="W891"/>
      <c r="X891"/>
    </row>
    <row r="892" spans="2:24" x14ac:dyDescent="0.2">
      <c r="C892" s="16"/>
      <c r="M892" s="18"/>
      <c r="N892"/>
      <c r="O892"/>
      <c r="P892"/>
      <c r="Q892"/>
      <c r="R892"/>
      <c r="S892"/>
      <c r="T892"/>
      <c r="U892"/>
      <c r="V892"/>
    </row>
    <row r="893" spans="2:24" x14ac:dyDescent="0.2">
      <c r="B893" s="16"/>
      <c r="W893"/>
      <c r="X893"/>
    </row>
    <row r="894" spans="2:24" x14ac:dyDescent="0.2">
      <c r="C894" s="16"/>
      <c r="M894" s="18"/>
      <c r="N894"/>
      <c r="O894"/>
      <c r="P894"/>
      <c r="Q894"/>
      <c r="R894"/>
      <c r="S894"/>
      <c r="T894"/>
      <c r="U894"/>
      <c r="V894"/>
    </row>
    <row r="895" spans="2:24" x14ac:dyDescent="0.2">
      <c r="B895" s="16"/>
      <c r="W895"/>
      <c r="X895"/>
    </row>
    <row r="896" spans="2:24" x14ac:dyDescent="0.2">
      <c r="C896" s="16"/>
      <c r="M896" s="18"/>
      <c r="N896"/>
      <c r="O896"/>
      <c r="P896"/>
      <c r="Q896"/>
      <c r="R896"/>
      <c r="S896"/>
      <c r="T896"/>
      <c r="U896"/>
      <c r="V896"/>
    </row>
    <row r="897" spans="2:24" x14ac:dyDescent="0.2">
      <c r="B897" s="16"/>
      <c r="W897"/>
      <c r="X897"/>
    </row>
    <row r="898" spans="2:24" x14ac:dyDescent="0.2">
      <c r="C898" s="16"/>
      <c r="M898" s="18"/>
      <c r="N898"/>
      <c r="O898"/>
      <c r="P898"/>
      <c r="Q898"/>
      <c r="R898"/>
      <c r="S898"/>
      <c r="T898"/>
      <c r="U898"/>
      <c r="V898"/>
    </row>
    <row r="899" spans="2:24" x14ac:dyDescent="0.2">
      <c r="B899" s="16"/>
      <c r="W899"/>
      <c r="X899"/>
    </row>
    <row r="900" spans="2:24" x14ac:dyDescent="0.2">
      <c r="C900" s="16"/>
      <c r="M900" s="18"/>
      <c r="N900"/>
      <c r="O900"/>
      <c r="P900"/>
      <c r="Q900"/>
      <c r="R900"/>
      <c r="S900"/>
      <c r="T900"/>
      <c r="U900"/>
      <c r="V900"/>
    </row>
    <row r="901" spans="2:24" x14ac:dyDescent="0.2">
      <c r="B901" s="16"/>
      <c r="W901"/>
      <c r="X901"/>
    </row>
    <row r="902" spans="2:24" x14ac:dyDescent="0.2">
      <c r="C902" s="16"/>
      <c r="M902" s="18"/>
      <c r="N902"/>
      <c r="O902"/>
      <c r="P902"/>
      <c r="Q902"/>
      <c r="R902"/>
      <c r="S902"/>
      <c r="T902"/>
      <c r="U902"/>
      <c r="V902"/>
    </row>
    <row r="903" spans="2:24" x14ac:dyDescent="0.2">
      <c r="B903" s="16"/>
      <c r="W903"/>
      <c r="X903"/>
    </row>
    <row r="904" spans="2:24" x14ac:dyDescent="0.2">
      <c r="C904" s="16"/>
      <c r="M904" s="18"/>
      <c r="N904"/>
      <c r="O904"/>
      <c r="P904"/>
      <c r="Q904"/>
      <c r="R904"/>
      <c r="S904"/>
      <c r="T904"/>
      <c r="U904"/>
      <c r="V904"/>
    </row>
    <row r="905" spans="2:24" x14ac:dyDescent="0.2">
      <c r="B905" s="16"/>
      <c r="W905"/>
      <c r="X905"/>
    </row>
    <row r="906" spans="2:24" x14ac:dyDescent="0.2">
      <c r="C906" s="16"/>
      <c r="M906" s="18"/>
      <c r="N906"/>
      <c r="O906"/>
      <c r="P906"/>
      <c r="Q906"/>
      <c r="R906"/>
      <c r="S906"/>
      <c r="T906"/>
      <c r="U906"/>
      <c r="V906"/>
    </row>
    <row r="907" spans="2:24" x14ac:dyDescent="0.2">
      <c r="B907" s="16"/>
      <c r="W907"/>
      <c r="X907"/>
    </row>
    <row r="908" spans="2:24" x14ac:dyDescent="0.2">
      <c r="C908" s="16"/>
      <c r="M908" s="18"/>
      <c r="N908"/>
      <c r="O908"/>
      <c r="P908"/>
      <c r="Q908"/>
      <c r="R908"/>
      <c r="S908"/>
      <c r="T908"/>
      <c r="U908"/>
      <c r="V908"/>
    </row>
    <row r="909" spans="2:24" x14ac:dyDescent="0.2">
      <c r="B909" s="16"/>
      <c r="W909"/>
      <c r="X909"/>
    </row>
    <row r="910" spans="2:24" x14ac:dyDescent="0.2">
      <c r="C910" s="16"/>
      <c r="M910" s="18"/>
      <c r="N910"/>
      <c r="O910"/>
      <c r="P910"/>
      <c r="Q910"/>
      <c r="R910"/>
      <c r="S910"/>
      <c r="T910"/>
      <c r="U910"/>
      <c r="V910"/>
    </row>
    <row r="911" spans="2:24" x14ac:dyDescent="0.2">
      <c r="B911" s="16"/>
      <c r="W911"/>
      <c r="X911"/>
    </row>
    <row r="912" spans="2:24" x14ac:dyDescent="0.2">
      <c r="C912" s="16"/>
      <c r="M912" s="18"/>
      <c r="N912"/>
      <c r="O912"/>
      <c r="P912"/>
      <c r="Q912"/>
      <c r="R912"/>
      <c r="S912"/>
      <c r="T912"/>
      <c r="U912"/>
      <c r="V912"/>
    </row>
    <row r="913" spans="2:24" x14ac:dyDescent="0.2">
      <c r="B913" s="16"/>
      <c r="W913"/>
      <c r="X913"/>
    </row>
    <row r="914" spans="2:24" x14ac:dyDescent="0.2">
      <c r="C914" s="16"/>
      <c r="M914" s="18"/>
      <c r="N914"/>
      <c r="O914"/>
      <c r="P914"/>
      <c r="Q914"/>
      <c r="R914"/>
      <c r="S914"/>
      <c r="T914"/>
      <c r="U914"/>
      <c r="V914"/>
    </row>
    <row r="915" spans="2:24" x14ac:dyDescent="0.2">
      <c r="B915" s="16"/>
      <c r="W915"/>
      <c r="X915"/>
    </row>
    <row r="916" spans="2:24" x14ac:dyDescent="0.2">
      <c r="C916" s="16"/>
      <c r="M916" s="18"/>
      <c r="N916"/>
      <c r="O916"/>
      <c r="P916"/>
      <c r="Q916"/>
      <c r="R916"/>
      <c r="S916"/>
      <c r="T916"/>
      <c r="U916"/>
      <c r="V916"/>
    </row>
    <row r="917" spans="2:24" x14ac:dyDescent="0.2">
      <c r="B917" s="16"/>
      <c r="W917"/>
      <c r="X917"/>
    </row>
    <row r="918" spans="2:24" x14ac:dyDescent="0.2">
      <c r="C918" s="16"/>
      <c r="M918" s="18"/>
      <c r="N918"/>
      <c r="O918"/>
      <c r="P918"/>
      <c r="Q918"/>
      <c r="R918"/>
      <c r="S918"/>
      <c r="T918"/>
      <c r="U918"/>
      <c r="V918"/>
    </row>
    <row r="919" spans="2:24" x14ac:dyDescent="0.2">
      <c r="B919" s="16"/>
      <c r="W919"/>
      <c r="X919"/>
    </row>
    <row r="920" spans="2:24" x14ac:dyDescent="0.2">
      <c r="C920" s="16"/>
      <c r="M920" s="18"/>
      <c r="N920"/>
      <c r="O920"/>
      <c r="P920"/>
      <c r="Q920"/>
      <c r="R920"/>
      <c r="S920"/>
      <c r="T920"/>
      <c r="U920"/>
      <c r="V920"/>
    </row>
    <row r="921" spans="2:24" x14ac:dyDescent="0.2">
      <c r="B921" s="16"/>
      <c r="W921"/>
      <c r="X921"/>
    </row>
    <row r="922" spans="2:24" x14ac:dyDescent="0.2">
      <c r="C922" s="16"/>
      <c r="M922" s="18"/>
      <c r="N922"/>
      <c r="O922"/>
      <c r="P922"/>
      <c r="Q922"/>
      <c r="R922"/>
      <c r="S922"/>
      <c r="T922"/>
      <c r="U922"/>
      <c r="V922"/>
    </row>
    <row r="923" spans="2:24" x14ac:dyDescent="0.2">
      <c r="B923" s="16"/>
      <c r="W923"/>
      <c r="X923"/>
    </row>
    <row r="924" spans="2:24" x14ac:dyDescent="0.2">
      <c r="C924" s="16"/>
      <c r="M924" s="18"/>
      <c r="N924"/>
      <c r="O924"/>
      <c r="P924"/>
      <c r="Q924"/>
      <c r="R924"/>
      <c r="S924"/>
      <c r="T924"/>
      <c r="U924"/>
      <c r="V924"/>
    </row>
    <row r="925" spans="2:24" x14ac:dyDescent="0.2">
      <c r="B925" s="16"/>
      <c r="W925"/>
      <c r="X925"/>
    </row>
    <row r="926" spans="2:24" x14ac:dyDescent="0.2">
      <c r="C926" s="16"/>
      <c r="M926" s="18"/>
      <c r="N926"/>
      <c r="O926"/>
      <c r="P926"/>
      <c r="Q926"/>
      <c r="R926"/>
      <c r="S926"/>
      <c r="T926"/>
      <c r="U926"/>
      <c r="V926"/>
    </row>
    <row r="927" spans="2:24" x14ac:dyDescent="0.2">
      <c r="B927" s="16"/>
      <c r="W927"/>
      <c r="X927"/>
    </row>
    <row r="928" spans="2:24" x14ac:dyDescent="0.2">
      <c r="C928" s="16"/>
      <c r="M928" s="18"/>
      <c r="N928"/>
      <c r="O928"/>
      <c r="P928"/>
      <c r="Q928"/>
      <c r="R928"/>
      <c r="S928"/>
      <c r="T928"/>
      <c r="U928"/>
      <c r="V928"/>
    </row>
    <row r="929" spans="2:24" x14ac:dyDescent="0.2">
      <c r="B929" s="16"/>
      <c r="W929"/>
      <c r="X929"/>
    </row>
    <row r="930" spans="2:24" x14ac:dyDescent="0.2">
      <c r="C930" s="16"/>
      <c r="M930" s="18"/>
      <c r="N930"/>
      <c r="O930"/>
      <c r="P930"/>
      <c r="Q930"/>
      <c r="R930"/>
      <c r="S930"/>
      <c r="T930"/>
      <c r="U930"/>
      <c r="V930"/>
    </row>
    <row r="931" spans="2:24" x14ac:dyDescent="0.2">
      <c r="B931" s="16"/>
      <c r="W931"/>
      <c r="X931"/>
    </row>
    <row r="932" spans="2:24" x14ac:dyDescent="0.2">
      <c r="C932" s="16"/>
      <c r="M932" s="18"/>
      <c r="N932"/>
      <c r="O932"/>
      <c r="P932"/>
      <c r="Q932"/>
      <c r="R932"/>
      <c r="S932"/>
      <c r="T932"/>
      <c r="U932"/>
      <c r="V932"/>
    </row>
    <row r="933" spans="2:24" x14ac:dyDescent="0.2">
      <c r="B933" s="16"/>
      <c r="W933"/>
      <c r="X933"/>
    </row>
    <row r="934" spans="2:24" x14ac:dyDescent="0.2">
      <c r="C934" s="16"/>
      <c r="M934" s="18"/>
      <c r="N934"/>
      <c r="O934"/>
      <c r="P934"/>
      <c r="Q934"/>
      <c r="R934"/>
      <c r="S934"/>
      <c r="T934"/>
      <c r="U934"/>
      <c r="V934"/>
    </row>
    <row r="935" spans="2:24" x14ac:dyDescent="0.2">
      <c r="B935" s="16"/>
      <c r="W935"/>
      <c r="X935"/>
    </row>
    <row r="936" spans="2:24" x14ac:dyDescent="0.2">
      <c r="C936" s="16"/>
      <c r="M936" s="18"/>
      <c r="N936"/>
      <c r="O936"/>
      <c r="P936"/>
      <c r="Q936"/>
      <c r="R936"/>
      <c r="S936"/>
      <c r="T936"/>
      <c r="U936"/>
      <c r="V936"/>
    </row>
    <row r="937" spans="2:24" x14ac:dyDescent="0.2">
      <c r="B937" s="16"/>
      <c r="W937"/>
      <c r="X937"/>
    </row>
    <row r="938" spans="2:24" x14ac:dyDescent="0.2">
      <c r="C938" s="16"/>
      <c r="M938" s="18"/>
      <c r="N938"/>
      <c r="O938"/>
      <c r="P938"/>
      <c r="Q938"/>
      <c r="R938"/>
      <c r="S938"/>
      <c r="T938"/>
      <c r="U938"/>
      <c r="V938"/>
    </row>
    <row r="939" spans="2:24" x14ac:dyDescent="0.2">
      <c r="B939" s="16"/>
      <c r="W939"/>
      <c r="X939"/>
    </row>
    <row r="940" spans="2:24" x14ac:dyDescent="0.2">
      <c r="C940" s="16"/>
      <c r="M940" s="18"/>
      <c r="N940"/>
      <c r="O940"/>
      <c r="P940"/>
      <c r="Q940"/>
      <c r="R940"/>
      <c r="S940"/>
      <c r="T940"/>
      <c r="U940"/>
      <c r="V940"/>
    </row>
    <row r="941" spans="2:24" x14ac:dyDescent="0.2">
      <c r="B941" s="16"/>
      <c r="W941"/>
      <c r="X941"/>
    </row>
    <row r="942" spans="2:24" x14ac:dyDescent="0.2">
      <c r="C942" s="16"/>
      <c r="M942" s="18"/>
      <c r="N942"/>
      <c r="O942"/>
      <c r="P942"/>
      <c r="Q942"/>
      <c r="R942"/>
      <c r="S942"/>
      <c r="T942"/>
      <c r="U942"/>
      <c r="V942"/>
    </row>
    <row r="943" spans="2:24" x14ac:dyDescent="0.2">
      <c r="B943" s="16"/>
      <c r="W943"/>
      <c r="X943"/>
    </row>
    <row r="944" spans="2:24" x14ac:dyDescent="0.2">
      <c r="C944" s="16"/>
      <c r="M944" s="18"/>
      <c r="N944"/>
      <c r="O944"/>
      <c r="P944"/>
      <c r="Q944"/>
      <c r="R944"/>
      <c r="S944"/>
      <c r="T944"/>
      <c r="U944"/>
      <c r="V944"/>
    </row>
    <row r="945" spans="2:24" x14ac:dyDescent="0.2">
      <c r="B945" s="16"/>
      <c r="W945"/>
      <c r="X945"/>
    </row>
    <row r="946" spans="2:24" x14ac:dyDescent="0.2">
      <c r="C946" s="16"/>
      <c r="M946" s="18"/>
      <c r="N946"/>
      <c r="O946"/>
      <c r="P946"/>
      <c r="Q946"/>
      <c r="R946"/>
      <c r="S946"/>
      <c r="T946"/>
      <c r="U946"/>
      <c r="V946"/>
    </row>
    <row r="947" spans="2:24" x14ac:dyDescent="0.2">
      <c r="B947" s="16"/>
      <c r="W947"/>
      <c r="X947"/>
    </row>
    <row r="948" spans="2:24" x14ac:dyDescent="0.2">
      <c r="C948" s="16"/>
      <c r="M948" s="18"/>
      <c r="N948"/>
      <c r="O948"/>
      <c r="P948"/>
      <c r="Q948"/>
      <c r="R948"/>
      <c r="S948"/>
      <c r="T948"/>
      <c r="U948"/>
      <c r="V948"/>
    </row>
    <row r="949" spans="2:24" x14ac:dyDescent="0.2">
      <c r="B949" s="16"/>
      <c r="W949"/>
      <c r="X949"/>
    </row>
    <row r="950" spans="2:24" x14ac:dyDescent="0.2">
      <c r="C950" s="16"/>
      <c r="M950" s="18"/>
      <c r="N950"/>
      <c r="O950"/>
      <c r="P950"/>
      <c r="Q950"/>
      <c r="R950"/>
      <c r="S950"/>
      <c r="T950"/>
      <c r="U950"/>
      <c r="V950"/>
    </row>
    <row r="951" spans="2:24" x14ac:dyDescent="0.2">
      <c r="B951" s="16"/>
      <c r="W951"/>
      <c r="X951"/>
    </row>
    <row r="952" spans="2:24" x14ac:dyDescent="0.2">
      <c r="C952" s="16"/>
      <c r="M952" s="18"/>
      <c r="N952"/>
      <c r="O952"/>
      <c r="P952"/>
      <c r="Q952"/>
      <c r="R952"/>
      <c r="S952"/>
      <c r="T952"/>
      <c r="U952"/>
      <c r="V952"/>
    </row>
    <row r="953" spans="2:24" x14ac:dyDescent="0.2">
      <c r="B953" s="16"/>
      <c r="W953"/>
      <c r="X953"/>
    </row>
    <row r="954" spans="2:24" x14ac:dyDescent="0.2">
      <c r="C954" s="16"/>
      <c r="M954" s="18"/>
      <c r="N954"/>
      <c r="O954"/>
      <c r="P954"/>
      <c r="Q954"/>
      <c r="R954"/>
      <c r="S954"/>
      <c r="T954"/>
      <c r="U954"/>
      <c r="V954"/>
    </row>
    <row r="955" spans="2:24" x14ac:dyDescent="0.2">
      <c r="B955" s="16"/>
      <c r="W955"/>
      <c r="X955"/>
    </row>
    <row r="956" spans="2:24" x14ac:dyDescent="0.2">
      <c r="C956" s="16"/>
      <c r="M956" s="18"/>
      <c r="N956"/>
      <c r="O956"/>
      <c r="P956"/>
      <c r="Q956"/>
      <c r="R956"/>
      <c r="S956"/>
      <c r="T956"/>
      <c r="U956"/>
      <c r="V956"/>
    </row>
    <row r="957" spans="2:24" x14ac:dyDescent="0.2">
      <c r="B957" s="16"/>
      <c r="W957"/>
      <c r="X957"/>
    </row>
    <row r="958" spans="2:24" x14ac:dyDescent="0.2">
      <c r="C958" s="16"/>
      <c r="M958" s="18"/>
      <c r="N958"/>
      <c r="O958"/>
      <c r="P958"/>
      <c r="Q958"/>
      <c r="R958"/>
      <c r="S958"/>
      <c r="T958"/>
      <c r="U958"/>
      <c r="V958"/>
    </row>
    <row r="959" spans="2:24" x14ac:dyDescent="0.2">
      <c r="B959" s="16"/>
      <c r="W959"/>
      <c r="X959"/>
    </row>
    <row r="960" spans="2:24" x14ac:dyDescent="0.2">
      <c r="C960" s="16"/>
      <c r="M960" s="18"/>
      <c r="N960"/>
      <c r="O960"/>
      <c r="P960"/>
      <c r="Q960"/>
      <c r="R960"/>
      <c r="S960"/>
      <c r="T960"/>
      <c r="U960"/>
      <c r="V960"/>
    </row>
    <row r="961" spans="2:24" x14ac:dyDescent="0.2">
      <c r="B961" s="16"/>
      <c r="W961"/>
      <c r="X961"/>
    </row>
    <row r="962" spans="2:24" x14ac:dyDescent="0.2">
      <c r="C962" s="16"/>
      <c r="M962" s="18"/>
      <c r="N962"/>
      <c r="O962"/>
      <c r="P962"/>
      <c r="Q962"/>
      <c r="R962"/>
      <c r="S962"/>
      <c r="T962"/>
      <c r="U962"/>
      <c r="V962"/>
    </row>
    <row r="963" spans="2:24" x14ac:dyDescent="0.2">
      <c r="B963" s="16"/>
      <c r="W963"/>
      <c r="X963"/>
    </row>
    <row r="964" spans="2:24" x14ac:dyDescent="0.2">
      <c r="C964" s="16"/>
      <c r="M964" s="18"/>
      <c r="N964"/>
      <c r="O964"/>
      <c r="P964"/>
      <c r="Q964"/>
      <c r="R964"/>
      <c r="S964"/>
      <c r="T964"/>
      <c r="U964"/>
      <c r="V964"/>
    </row>
    <row r="965" spans="2:24" x14ac:dyDescent="0.2">
      <c r="B965" s="16"/>
      <c r="W965"/>
      <c r="X965"/>
    </row>
    <row r="966" spans="2:24" x14ac:dyDescent="0.2">
      <c r="C966" s="16"/>
      <c r="M966" s="18"/>
      <c r="N966"/>
      <c r="O966"/>
      <c r="P966"/>
      <c r="Q966"/>
      <c r="R966"/>
      <c r="S966"/>
      <c r="T966"/>
      <c r="U966"/>
      <c r="V966"/>
    </row>
    <row r="967" spans="2:24" x14ac:dyDescent="0.2">
      <c r="B967" s="16"/>
      <c r="W967"/>
      <c r="X967"/>
    </row>
    <row r="968" spans="2:24" x14ac:dyDescent="0.2">
      <c r="C968" s="16"/>
      <c r="M968" s="18"/>
      <c r="N968"/>
      <c r="O968"/>
      <c r="P968"/>
      <c r="Q968"/>
      <c r="R968"/>
      <c r="S968"/>
      <c r="T968"/>
      <c r="U968"/>
      <c r="V968"/>
    </row>
    <row r="969" spans="2:24" x14ac:dyDescent="0.2">
      <c r="B969" s="16"/>
      <c r="W969"/>
      <c r="X969"/>
    </row>
    <row r="970" spans="2:24" x14ac:dyDescent="0.2">
      <c r="C970" s="16"/>
      <c r="M970" s="18"/>
      <c r="N970"/>
      <c r="O970"/>
      <c r="P970"/>
      <c r="Q970"/>
      <c r="R970"/>
      <c r="S970"/>
      <c r="T970"/>
      <c r="U970"/>
      <c r="V970"/>
    </row>
    <row r="971" spans="2:24" x14ac:dyDescent="0.2">
      <c r="B971" s="16"/>
      <c r="W971"/>
      <c r="X971"/>
    </row>
    <row r="972" spans="2:24" x14ac:dyDescent="0.2">
      <c r="C972" s="16"/>
      <c r="M972" s="18"/>
      <c r="N972"/>
      <c r="O972"/>
      <c r="P972"/>
      <c r="Q972"/>
      <c r="R972"/>
      <c r="S972"/>
      <c r="T972"/>
      <c r="U972"/>
      <c r="V972"/>
    </row>
    <row r="973" spans="2:24" x14ac:dyDescent="0.2">
      <c r="B973" s="16"/>
      <c r="W973"/>
      <c r="X973"/>
    </row>
    <row r="974" spans="2:24" x14ac:dyDescent="0.2">
      <c r="C974" s="16"/>
      <c r="M974" s="18"/>
      <c r="N974"/>
      <c r="O974"/>
      <c r="P974"/>
      <c r="Q974"/>
      <c r="R974"/>
      <c r="S974"/>
      <c r="T974"/>
      <c r="U974"/>
      <c r="V974"/>
    </row>
    <row r="975" spans="2:24" x14ac:dyDescent="0.2">
      <c r="B975" s="16"/>
      <c r="W975"/>
      <c r="X975"/>
    </row>
    <row r="976" spans="2:24" x14ac:dyDescent="0.2">
      <c r="C976" s="16"/>
      <c r="M976" s="18"/>
      <c r="N976"/>
      <c r="O976"/>
      <c r="P976"/>
      <c r="Q976"/>
      <c r="R976"/>
      <c r="S976"/>
      <c r="T976"/>
      <c r="U976"/>
      <c r="V976"/>
    </row>
    <row r="977" spans="2:24" x14ac:dyDescent="0.2">
      <c r="B977" s="16"/>
      <c r="W977"/>
      <c r="X977"/>
    </row>
    <row r="978" spans="2:24" x14ac:dyDescent="0.2">
      <c r="C978" s="16"/>
      <c r="M978" s="18"/>
      <c r="N978"/>
      <c r="O978"/>
      <c r="P978"/>
      <c r="Q978"/>
      <c r="R978"/>
      <c r="S978"/>
      <c r="T978"/>
      <c r="U978"/>
      <c r="V978"/>
    </row>
    <row r="979" spans="2:24" x14ac:dyDescent="0.2">
      <c r="B979" s="16"/>
      <c r="W979"/>
      <c r="X979"/>
    </row>
    <row r="980" spans="2:24" x14ac:dyDescent="0.2">
      <c r="C980" s="16"/>
      <c r="M980" s="18"/>
      <c r="N980"/>
      <c r="O980"/>
      <c r="P980"/>
      <c r="Q980"/>
      <c r="R980"/>
      <c r="S980"/>
      <c r="T980"/>
      <c r="U980"/>
      <c r="V980"/>
    </row>
    <row r="981" spans="2:24" x14ac:dyDescent="0.2">
      <c r="B981" s="16"/>
      <c r="W981"/>
      <c r="X981"/>
    </row>
    <row r="982" spans="2:24" x14ac:dyDescent="0.2">
      <c r="C982" s="16"/>
      <c r="M982" s="18"/>
      <c r="N982"/>
      <c r="O982"/>
      <c r="P982"/>
      <c r="Q982"/>
      <c r="R982"/>
      <c r="S982"/>
      <c r="T982"/>
      <c r="U982"/>
      <c r="V982"/>
    </row>
    <row r="983" spans="2:24" x14ac:dyDescent="0.2">
      <c r="B983" s="16"/>
      <c r="W983"/>
      <c r="X983"/>
    </row>
    <row r="984" spans="2:24" x14ac:dyDescent="0.2">
      <c r="C984" s="16"/>
      <c r="M984" s="18"/>
      <c r="N984"/>
      <c r="O984"/>
      <c r="P984"/>
      <c r="Q984"/>
      <c r="R984"/>
      <c r="S984"/>
      <c r="T984"/>
      <c r="U984"/>
      <c r="V984"/>
    </row>
    <row r="985" spans="2:24" x14ac:dyDescent="0.2">
      <c r="B985" s="16"/>
      <c r="W985"/>
      <c r="X985"/>
    </row>
    <row r="986" spans="2:24" x14ac:dyDescent="0.2">
      <c r="C986" s="16"/>
      <c r="M986" s="18"/>
      <c r="N986"/>
      <c r="O986"/>
      <c r="P986"/>
      <c r="Q986"/>
      <c r="R986"/>
      <c r="S986"/>
      <c r="T986"/>
      <c r="U986"/>
      <c r="V986"/>
    </row>
    <row r="987" spans="2:24" x14ac:dyDescent="0.2">
      <c r="B987" s="16"/>
      <c r="W987"/>
      <c r="X987"/>
    </row>
    <row r="988" spans="2:24" x14ac:dyDescent="0.2">
      <c r="C988" s="16"/>
      <c r="M988" s="18"/>
      <c r="N988"/>
      <c r="O988"/>
      <c r="P988"/>
      <c r="Q988"/>
      <c r="R988"/>
      <c r="S988"/>
      <c r="T988"/>
      <c r="U988"/>
      <c r="V988"/>
    </row>
    <row r="989" spans="2:24" x14ac:dyDescent="0.2">
      <c r="B989" s="16"/>
      <c r="W989"/>
      <c r="X989"/>
    </row>
    <row r="990" spans="2:24" x14ac:dyDescent="0.2">
      <c r="C990" s="16"/>
      <c r="M990" s="18"/>
      <c r="N990"/>
      <c r="O990"/>
      <c r="P990"/>
      <c r="Q990"/>
      <c r="R990"/>
      <c r="S990"/>
      <c r="T990"/>
      <c r="U990"/>
      <c r="V990"/>
    </row>
    <row r="991" spans="2:24" x14ac:dyDescent="0.2">
      <c r="B991" s="16"/>
      <c r="W991"/>
      <c r="X991"/>
    </row>
    <row r="992" spans="2:24" x14ac:dyDescent="0.2">
      <c r="C992" s="16"/>
      <c r="M992" s="18"/>
      <c r="N992"/>
      <c r="O992"/>
      <c r="P992"/>
      <c r="Q992"/>
      <c r="R992"/>
      <c r="S992"/>
      <c r="T992"/>
      <c r="U992"/>
      <c r="V992"/>
    </row>
    <row r="993" spans="2:24" x14ac:dyDescent="0.2">
      <c r="B993" s="16"/>
      <c r="W993"/>
      <c r="X993"/>
    </row>
    <row r="994" spans="2:24" x14ac:dyDescent="0.2">
      <c r="C994" s="16"/>
      <c r="M994" s="18"/>
      <c r="N994"/>
      <c r="O994"/>
      <c r="P994"/>
      <c r="Q994"/>
      <c r="R994"/>
      <c r="S994"/>
      <c r="T994"/>
      <c r="U994"/>
      <c r="V994"/>
    </row>
    <row r="995" spans="2:24" x14ac:dyDescent="0.2">
      <c r="B995" s="16"/>
      <c r="W995"/>
      <c r="X995"/>
    </row>
    <row r="996" spans="2:24" x14ac:dyDescent="0.2">
      <c r="C996" s="16"/>
      <c r="M996" s="18"/>
      <c r="N996"/>
      <c r="O996"/>
      <c r="P996"/>
      <c r="Q996"/>
      <c r="R996"/>
      <c r="S996"/>
      <c r="T996"/>
      <c r="U996"/>
      <c r="V996"/>
    </row>
    <row r="997" spans="2:24" x14ac:dyDescent="0.2">
      <c r="B997" s="16"/>
      <c r="W997"/>
      <c r="X997"/>
    </row>
    <row r="998" spans="2:24" x14ac:dyDescent="0.2">
      <c r="C998" s="16"/>
      <c r="M998" s="18"/>
      <c r="N998"/>
      <c r="O998"/>
      <c r="P998"/>
      <c r="Q998"/>
      <c r="R998"/>
      <c r="S998"/>
      <c r="T998"/>
      <c r="U998"/>
      <c r="V998"/>
    </row>
    <row r="999" spans="2:24" x14ac:dyDescent="0.2">
      <c r="B999" s="16"/>
      <c r="W999"/>
      <c r="X999"/>
    </row>
    <row r="1000" spans="2:24" x14ac:dyDescent="0.2">
      <c r="C1000" s="16"/>
      <c r="M1000" s="18"/>
      <c r="N1000"/>
      <c r="O1000"/>
      <c r="P1000"/>
      <c r="Q1000"/>
      <c r="R1000"/>
      <c r="S1000"/>
      <c r="T1000"/>
      <c r="U1000"/>
      <c r="V1000"/>
    </row>
    <row r="1001" spans="2:24" x14ac:dyDescent="0.2">
      <c r="B1001" s="16"/>
      <c r="W1001"/>
      <c r="X1001"/>
    </row>
    <row r="1002" spans="2:24" x14ac:dyDescent="0.2">
      <c r="C1002" s="16"/>
      <c r="M1002" s="18"/>
      <c r="N1002"/>
      <c r="O1002"/>
      <c r="P1002"/>
      <c r="Q1002"/>
      <c r="R1002"/>
      <c r="S1002"/>
      <c r="T1002"/>
      <c r="U1002"/>
      <c r="V1002"/>
    </row>
    <row r="1003" spans="2:24" x14ac:dyDescent="0.2">
      <c r="B1003" s="16"/>
      <c r="W1003"/>
      <c r="X1003"/>
    </row>
    <row r="1004" spans="2:24" x14ac:dyDescent="0.2">
      <c r="C1004" s="16"/>
      <c r="M1004" s="18"/>
      <c r="N1004"/>
      <c r="O1004"/>
      <c r="P1004"/>
      <c r="Q1004"/>
      <c r="R1004"/>
      <c r="S1004"/>
      <c r="T1004"/>
      <c r="U1004"/>
      <c r="V1004"/>
    </row>
    <row r="1005" spans="2:24" x14ac:dyDescent="0.2">
      <c r="B1005" s="16"/>
      <c r="W1005"/>
      <c r="X1005"/>
    </row>
    <row r="1006" spans="2:24" x14ac:dyDescent="0.2">
      <c r="C1006" s="16"/>
      <c r="M1006" s="18"/>
      <c r="N1006"/>
      <c r="O1006"/>
      <c r="P1006"/>
      <c r="Q1006"/>
      <c r="R1006"/>
      <c r="S1006"/>
      <c r="T1006"/>
      <c r="U1006"/>
      <c r="V1006"/>
    </row>
    <row r="1007" spans="2:24" x14ac:dyDescent="0.2">
      <c r="B1007" s="16"/>
      <c r="W1007"/>
      <c r="X1007"/>
    </row>
    <row r="1008" spans="2:24" x14ac:dyDescent="0.2">
      <c r="C1008" s="16"/>
      <c r="M1008" s="18"/>
      <c r="N1008"/>
      <c r="O1008"/>
      <c r="P1008"/>
      <c r="Q1008"/>
      <c r="R1008"/>
      <c r="S1008"/>
      <c r="T1008"/>
      <c r="U1008"/>
      <c r="V1008"/>
    </row>
    <row r="1009" spans="2:24" x14ac:dyDescent="0.2">
      <c r="B1009" s="16"/>
      <c r="W1009"/>
      <c r="X1009"/>
    </row>
    <row r="1010" spans="2:24" x14ac:dyDescent="0.2">
      <c r="C1010" s="16"/>
      <c r="M1010" s="18"/>
      <c r="N1010"/>
      <c r="O1010"/>
      <c r="P1010"/>
      <c r="Q1010"/>
      <c r="R1010"/>
      <c r="S1010"/>
      <c r="T1010"/>
      <c r="U1010"/>
      <c r="V1010"/>
    </row>
    <row r="1011" spans="2:24" x14ac:dyDescent="0.2">
      <c r="B1011" s="16"/>
      <c r="W1011"/>
      <c r="X1011"/>
    </row>
    <row r="1012" spans="2:24" x14ac:dyDescent="0.2">
      <c r="C1012" s="16"/>
      <c r="M1012" s="18"/>
      <c r="N1012"/>
      <c r="O1012"/>
      <c r="P1012"/>
      <c r="Q1012"/>
      <c r="R1012"/>
      <c r="S1012"/>
      <c r="T1012"/>
      <c r="U1012"/>
      <c r="V1012"/>
    </row>
    <row r="1013" spans="2:24" x14ac:dyDescent="0.2">
      <c r="B1013" s="16"/>
      <c r="W1013"/>
      <c r="X1013"/>
    </row>
    <row r="1014" spans="2:24" x14ac:dyDescent="0.2">
      <c r="C1014" s="16"/>
      <c r="M1014" s="18"/>
      <c r="N1014"/>
      <c r="O1014"/>
      <c r="P1014"/>
      <c r="Q1014"/>
      <c r="R1014"/>
      <c r="S1014"/>
      <c r="T1014"/>
      <c r="U1014"/>
      <c r="V1014"/>
    </row>
    <row r="1015" spans="2:24" x14ac:dyDescent="0.2">
      <c r="B1015" s="16"/>
      <c r="W1015"/>
      <c r="X1015"/>
    </row>
    <row r="1016" spans="2:24" x14ac:dyDescent="0.2">
      <c r="C1016" s="16"/>
      <c r="M1016" s="18"/>
      <c r="N1016"/>
      <c r="O1016"/>
      <c r="P1016"/>
      <c r="Q1016"/>
      <c r="R1016"/>
      <c r="S1016"/>
      <c r="T1016"/>
      <c r="U1016"/>
      <c r="V1016"/>
    </row>
    <row r="1017" spans="2:24" x14ac:dyDescent="0.2">
      <c r="B1017" s="16"/>
      <c r="W1017"/>
      <c r="X1017"/>
    </row>
    <row r="1018" spans="2:24" x14ac:dyDescent="0.2">
      <c r="C1018" s="16"/>
      <c r="M1018" s="18"/>
      <c r="N1018"/>
      <c r="O1018"/>
      <c r="P1018"/>
      <c r="Q1018"/>
      <c r="R1018"/>
      <c r="S1018"/>
      <c r="T1018"/>
      <c r="U1018"/>
      <c r="V1018"/>
    </row>
    <row r="1019" spans="2:24" x14ac:dyDescent="0.2">
      <c r="B1019" s="16"/>
      <c r="W1019"/>
      <c r="X1019"/>
    </row>
    <row r="1020" spans="2:24" x14ac:dyDescent="0.2">
      <c r="C1020" s="16"/>
      <c r="M1020" s="18"/>
      <c r="N1020"/>
      <c r="O1020"/>
      <c r="P1020"/>
      <c r="Q1020"/>
      <c r="R1020"/>
      <c r="S1020"/>
      <c r="T1020"/>
      <c r="U1020"/>
      <c r="V1020"/>
    </row>
    <row r="1021" spans="2:24" x14ac:dyDescent="0.2">
      <c r="B1021" s="16"/>
      <c r="W1021"/>
      <c r="X1021"/>
    </row>
    <row r="1022" spans="2:24" x14ac:dyDescent="0.2">
      <c r="C1022" s="16"/>
      <c r="M1022" s="18"/>
      <c r="N1022"/>
      <c r="O1022"/>
      <c r="P1022"/>
      <c r="Q1022"/>
      <c r="R1022"/>
      <c r="S1022"/>
      <c r="T1022"/>
      <c r="U1022"/>
      <c r="V1022"/>
    </row>
    <row r="1023" spans="2:24" x14ac:dyDescent="0.2">
      <c r="B1023" s="16"/>
      <c r="W1023"/>
      <c r="X1023"/>
    </row>
    <row r="1024" spans="2:24" x14ac:dyDescent="0.2">
      <c r="C1024" s="16"/>
      <c r="M1024" s="18"/>
      <c r="N1024"/>
      <c r="O1024"/>
      <c r="P1024"/>
      <c r="Q1024"/>
      <c r="R1024"/>
      <c r="S1024"/>
      <c r="T1024"/>
      <c r="U1024"/>
      <c r="V1024"/>
    </row>
    <row r="1025" spans="2:24" x14ac:dyDescent="0.2">
      <c r="B1025" s="16"/>
      <c r="W1025"/>
      <c r="X1025"/>
    </row>
    <row r="1026" spans="2:24" x14ac:dyDescent="0.2">
      <c r="C1026" s="16"/>
      <c r="M1026" s="18"/>
      <c r="N1026"/>
      <c r="O1026"/>
      <c r="P1026"/>
      <c r="Q1026"/>
      <c r="R1026"/>
      <c r="S1026"/>
      <c r="T1026"/>
      <c r="U1026"/>
      <c r="V1026"/>
    </row>
    <row r="1027" spans="2:24" x14ac:dyDescent="0.2">
      <c r="B1027" s="16"/>
      <c r="W1027"/>
      <c r="X1027"/>
    </row>
    <row r="1028" spans="2:24" x14ac:dyDescent="0.2">
      <c r="C1028" s="16"/>
      <c r="M1028" s="18"/>
      <c r="N1028"/>
      <c r="O1028"/>
      <c r="P1028"/>
      <c r="Q1028"/>
      <c r="R1028"/>
      <c r="S1028"/>
      <c r="T1028"/>
      <c r="U1028"/>
      <c r="V1028"/>
    </row>
    <row r="1029" spans="2:24" x14ac:dyDescent="0.2">
      <c r="B1029" s="16"/>
      <c r="W1029"/>
      <c r="X1029"/>
    </row>
    <row r="1030" spans="2:24" x14ac:dyDescent="0.2">
      <c r="C1030" s="16"/>
      <c r="M1030" s="18"/>
      <c r="N1030"/>
      <c r="O1030"/>
      <c r="P1030"/>
      <c r="Q1030"/>
      <c r="R1030"/>
      <c r="S1030"/>
      <c r="T1030"/>
      <c r="U1030"/>
      <c r="V1030"/>
    </row>
    <row r="1031" spans="2:24" x14ac:dyDescent="0.2">
      <c r="B1031" s="16"/>
      <c r="W1031"/>
      <c r="X1031"/>
    </row>
    <row r="1032" spans="2:24" x14ac:dyDescent="0.2">
      <c r="C1032" s="16"/>
      <c r="M1032" s="18"/>
      <c r="N1032"/>
      <c r="O1032"/>
      <c r="P1032"/>
      <c r="Q1032"/>
      <c r="R1032"/>
      <c r="S1032"/>
      <c r="T1032"/>
      <c r="U1032"/>
      <c r="V1032"/>
    </row>
    <row r="1033" spans="2:24" x14ac:dyDescent="0.2">
      <c r="B1033" s="16"/>
      <c r="W1033"/>
      <c r="X1033"/>
    </row>
    <row r="1034" spans="2:24" x14ac:dyDescent="0.2">
      <c r="C1034" s="16"/>
      <c r="M1034" s="18"/>
      <c r="N1034"/>
      <c r="O1034"/>
      <c r="P1034"/>
      <c r="Q1034"/>
      <c r="R1034"/>
      <c r="S1034"/>
      <c r="T1034"/>
      <c r="U1034"/>
      <c r="V1034"/>
    </row>
    <row r="1035" spans="2:24" x14ac:dyDescent="0.2">
      <c r="B1035" s="16"/>
      <c r="W1035"/>
      <c r="X1035"/>
    </row>
    <row r="1036" spans="2:24" x14ac:dyDescent="0.2">
      <c r="C1036" s="16"/>
      <c r="M1036" s="18"/>
      <c r="N1036"/>
      <c r="O1036"/>
      <c r="P1036"/>
      <c r="Q1036"/>
      <c r="R1036"/>
      <c r="S1036"/>
      <c r="T1036"/>
      <c r="U1036"/>
      <c r="V1036"/>
    </row>
    <row r="1037" spans="2:24" x14ac:dyDescent="0.2">
      <c r="B1037" s="16"/>
      <c r="W1037"/>
      <c r="X1037"/>
    </row>
    <row r="1038" spans="2:24" x14ac:dyDescent="0.2">
      <c r="C1038" s="16"/>
      <c r="M1038" s="18"/>
      <c r="N1038"/>
      <c r="O1038"/>
      <c r="P1038"/>
      <c r="Q1038"/>
      <c r="R1038"/>
      <c r="S1038"/>
      <c r="T1038"/>
      <c r="U1038"/>
      <c r="V1038"/>
    </row>
    <row r="1039" spans="2:24" x14ac:dyDescent="0.2">
      <c r="B1039" s="16"/>
      <c r="W1039"/>
      <c r="X1039"/>
    </row>
    <row r="1040" spans="2:24" x14ac:dyDescent="0.2">
      <c r="C1040" s="16"/>
      <c r="M1040" s="18"/>
      <c r="N1040"/>
      <c r="O1040"/>
      <c r="P1040"/>
      <c r="Q1040"/>
      <c r="R1040"/>
      <c r="S1040"/>
      <c r="T1040"/>
      <c r="U1040"/>
      <c r="V1040"/>
    </row>
    <row r="1041" spans="2:24" x14ac:dyDescent="0.2">
      <c r="B1041" s="16"/>
      <c r="W1041"/>
      <c r="X1041"/>
    </row>
    <row r="1042" spans="2:24" x14ac:dyDescent="0.2">
      <c r="C1042" s="16"/>
      <c r="M1042" s="18"/>
      <c r="N1042"/>
      <c r="O1042"/>
      <c r="P1042"/>
      <c r="Q1042"/>
      <c r="R1042"/>
      <c r="S1042"/>
      <c r="T1042"/>
      <c r="U1042"/>
      <c r="V1042"/>
    </row>
    <row r="1043" spans="2:24" x14ac:dyDescent="0.2">
      <c r="B1043" s="16"/>
      <c r="W1043"/>
      <c r="X1043"/>
    </row>
    <row r="1044" spans="2:24" x14ac:dyDescent="0.2">
      <c r="C1044" s="16"/>
      <c r="M1044" s="18"/>
      <c r="N1044"/>
      <c r="O1044"/>
      <c r="P1044"/>
      <c r="Q1044"/>
      <c r="R1044"/>
      <c r="S1044"/>
      <c r="T1044"/>
      <c r="U1044"/>
      <c r="V1044"/>
    </row>
    <row r="1045" spans="2:24" x14ac:dyDescent="0.2">
      <c r="B1045" s="16"/>
      <c r="W1045"/>
      <c r="X1045"/>
    </row>
    <row r="1046" spans="2:24" x14ac:dyDescent="0.2">
      <c r="C1046" s="16"/>
      <c r="M1046" s="18"/>
      <c r="N1046"/>
      <c r="O1046"/>
      <c r="P1046"/>
      <c r="Q1046"/>
      <c r="R1046"/>
      <c r="S1046"/>
      <c r="T1046"/>
      <c r="U1046"/>
      <c r="V1046"/>
    </row>
    <row r="1047" spans="2:24" x14ac:dyDescent="0.2">
      <c r="B1047" s="16"/>
      <c r="W1047"/>
      <c r="X1047"/>
    </row>
    <row r="1048" spans="2:24" x14ac:dyDescent="0.2">
      <c r="C1048" s="16"/>
      <c r="M1048" s="18"/>
      <c r="N1048"/>
      <c r="O1048"/>
      <c r="P1048"/>
      <c r="Q1048"/>
      <c r="R1048"/>
      <c r="S1048"/>
      <c r="T1048"/>
      <c r="U1048"/>
      <c r="V1048"/>
    </row>
    <row r="1049" spans="2:24" x14ac:dyDescent="0.2">
      <c r="B1049" s="16"/>
      <c r="W1049"/>
      <c r="X1049"/>
    </row>
    <row r="1050" spans="2:24" x14ac:dyDescent="0.2">
      <c r="C1050" s="16"/>
      <c r="M1050" s="18"/>
      <c r="N1050"/>
      <c r="O1050"/>
      <c r="P1050"/>
      <c r="Q1050"/>
      <c r="R1050"/>
      <c r="S1050"/>
      <c r="T1050"/>
      <c r="U1050"/>
      <c r="V1050"/>
    </row>
    <row r="1051" spans="2:24" x14ac:dyDescent="0.2">
      <c r="B1051" s="16"/>
      <c r="W1051"/>
      <c r="X1051"/>
    </row>
    <row r="1052" spans="2:24" x14ac:dyDescent="0.2">
      <c r="C1052" s="16"/>
      <c r="M1052" s="18"/>
      <c r="N1052"/>
      <c r="O1052"/>
      <c r="P1052"/>
      <c r="Q1052"/>
      <c r="R1052"/>
      <c r="S1052"/>
      <c r="T1052"/>
      <c r="U1052"/>
      <c r="V1052"/>
    </row>
    <row r="1053" spans="2:24" x14ac:dyDescent="0.2">
      <c r="B1053" s="16"/>
      <c r="W1053"/>
      <c r="X1053"/>
    </row>
    <row r="1054" spans="2:24" x14ac:dyDescent="0.2">
      <c r="C1054" s="16"/>
      <c r="M1054" s="18"/>
      <c r="N1054"/>
      <c r="O1054"/>
      <c r="P1054"/>
      <c r="Q1054"/>
      <c r="R1054"/>
      <c r="S1054"/>
      <c r="T1054"/>
      <c r="U1054"/>
      <c r="V1054"/>
    </row>
    <row r="1055" spans="2:24" x14ac:dyDescent="0.2">
      <c r="B1055" s="16"/>
      <c r="W1055"/>
      <c r="X1055"/>
    </row>
    <row r="1056" spans="2:24" x14ac:dyDescent="0.2">
      <c r="C1056" s="16"/>
      <c r="M1056" s="18"/>
      <c r="N1056"/>
      <c r="O1056"/>
      <c r="P1056"/>
      <c r="Q1056"/>
      <c r="R1056"/>
      <c r="S1056"/>
      <c r="T1056"/>
      <c r="U1056"/>
      <c r="V1056"/>
    </row>
    <row r="1057" spans="2:24" x14ac:dyDescent="0.2">
      <c r="B1057" s="16"/>
      <c r="W1057"/>
      <c r="X1057"/>
    </row>
    <row r="1058" spans="2:24" x14ac:dyDescent="0.2">
      <c r="C1058" s="16"/>
      <c r="M1058" s="18"/>
      <c r="N1058"/>
      <c r="O1058"/>
      <c r="P1058"/>
      <c r="Q1058"/>
      <c r="R1058"/>
      <c r="S1058"/>
      <c r="T1058"/>
      <c r="U1058"/>
      <c r="V1058"/>
    </row>
    <row r="1059" spans="2:24" x14ac:dyDescent="0.2">
      <c r="B1059" s="16"/>
      <c r="W1059"/>
      <c r="X1059"/>
    </row>
    <row r="1060" spans="2:24" x14ac:dyDescent="0.2">
      <c r="C1060" s="16"/>
      <c r="M1060" s="18"/>
      <c r="N1060"/>
      <c r="O1060"/>
      <c r="P1060"/>
      <c r="Q1060"/>
      <c r="R1060"/>
      <c r="S1060"/>
      <c r="T1060"/>
      <c r="U1060"/>
      <c r="V1060"/>
    </row>
    <row r="1061" spans="2:24" x14ac:dyDescent="0.2">
      <c r="B1061" s="16"/>
      <c r="W1061"/>
      <c r="X1061"/>
    </row>
    <row r="1062" spans="2:24" x14ac:dyDescent="0.2">
      <c r="C1062" s="16"/>
      <c r="M1062" s="18"/>
      <c r="N1062"/>
      <c r="O1062"/>
      <c r="P1062"/>
      <c r="Q1062"/>
      <c r="R1062"/>
      <c r="S1062"/>
      <c r="T1062"/>
      <c r="U1062"/>
      <c r="V1062"/>
    </row>
    <row r="1063" spans="2:24" x14ac:dyDescent="0.2">
      <c r="B1063" s="16"/>
      <c r="W1063"/>
      <c r="X1063"/>
    </row>
    <row r="1064" spans="2:24" x14ac:dyDescent="0.2">
      <c r="C1064" s="16"/>
      <c r="M1064" s="18"/>
      <c r="N1064"/>
      <c r="O1064"/>
      <c r="P1064"/>
      <c r="Q1064"/>
      <c r="R1064"/>
      <c r="S1064"/>
      <c r="T1064"/>
      <c r="U1064"/>
      <c r="V1064"/>
    </row>
    <row r="1065" spans="2:24" x14ac:dyDescent="0.2">
      <c r="B1065" s="16"/>
      <c r="W1065"/>
      <c r="X1065"/>
    </row>
    <row r="1066" spans="2:24" x14ac:dyDescent="0.2">
      <c r="C1066" s="16"/>
      <c r="M1066" s="18"/>
      <c r="N1066"/>
      <c r="O1066"/>
      <c r="P1066"/>
      <c r="Q1066"/>
      <c r="R1066"/>
      <c r="S1066"/>
      <c r="T1066"/>
      <c r="U1066"/>
      <c r="V1066"/>
    </row>
    <row r="1067" spans="2:24" x14ac:dyDescent="0.2">
      <c r="B1067" s="16"/>
      <c r="W1067"/>
      <c r="X1067"/>
    </row>
    <row r="1068" spans="2:24" x14ac:dyDescent="0.2">
      <c r="C1068" s="16"/>
      <c r="M1068" s="18"/>
      <c r="N1068"/>
      <c r="O1068"/>
      <c r="P1068"/>
      <c r="Q1068"/>
      <c r="R1068"/>
      <c r="S1068"/>
      <c r="T1068"/>
      <c r="U1068"/>
      <c r="V1068"/>
    </row>
    <row r="1069" spans="2:24" x14ac:dyDescent="0.2">
      <c r="B1069" s="16"/>
      <c r="W1069"/>
      <c r="X1069"/>
    </row>
    <row r="1070" spans="2:24" x14ac:dyDescent="0.2">
      <c r="C1070" s="16"/>
      <c r="M1070" s="18"/>
      <c r="N1070"/>
      <c r="O1070"/>
      <c r="P1070"/>
      <c r="Q1070"/>
      <c r="R1070"/>
      <c r="S1070"/>
      <c r="T1070"/>
      <c r="U1070"/>
      <c r="V1070"/>
    </row>
    <row r="1071" spans="2:24" x14ac:dyDescent="0.2">
      <c r="B1071" s="16"/>
      <c r="W1071"/>
      <c r="X1071"/>
    </row>
    <row r="1072" spans="2:24" x14ac:dyDescent="0.2">
      <c r="C1072" s="16"/>
      <c r="M1072" s="18"/>
      <c r="N1072"/>
      <c r="O1072"/>
      <c r="P1072"/>
      <c r="Q1072"/>
      <c r="R1072"/>
      <c r="S1072"/>
      <c r="T1072"/>
      <c r="U1072"/>
      <c r="V1072"/>
    </row>
    <row r="1073" spans="2:24" x14ac:dyDescent="0.2">
      <c r="B1073" s="16"/>
      <c r="W1073"/>
      <c r="X1073"/>
    </row>
    <row r="1074" spans="2:24" x14ac:dyDescent="0.2">
      <c r="C1074" s="16"/>
      <c r="M1074" s="18"/>
      <c r="N1074"/>
      <c r="O1074"/>
      <c r="P1074"/>
      <c r="Q1074"/>
      <c r="R1074"/>
      <c r="S1074"/>
      <c r="T1074"/>
      <c r="U1074"/>
      <c r="V1074"/>
    </row>
    <row r="1075" spans="2:24" x14ac:dyDescent="0.2">
      <c r="B1075" s="16"/>
      <c r="W1075"/>
      <c r="X1075"/>
    </row>
    <row r="1076" spans="2:24" x14ac:dyDescent="0.2">
      <c r="C1076" s="16"/>
      <c r="M1076" s="18"/>
      <c r="N1076"/>
      <c r="O1076"/>
      <c r="P1076"/>
      <c r="Q1076"/>
      <c r="R1076"/>
      <c r="S1076"/>
      <c r="T1076"/>
      <c r="U1076"/>
      <c r="V1076"/>
    </row>
    <row r="1077" spans="2:24" x14ac:dyDescent="0.2">
      <c r="B1077" s="16"/>
      <c r="W1077"/>
      <c r="X1077"/>
    </row>
    <row r="1078" spans="2:24" x14ac:dyDescent="0.2">
      <c r="C1078" s="16"/>
      <c r="M1078" s="18"/>
      <c r="N1078"/>
      <c r="O1078"/>
      <c r="P1078"/>
      <c r="Q1078"/>
      <c r="R1078"/>
      <c r="S1078"/>
      <c r="T1078"/>
      <c r="U1078"/>
      <c r="V1078"/>
    </row>
    <row r="1079" spans="2:24" x14ac:dyDescent="0.2">
      <c r="B1079" s="16"/>
      <c r="W1079"/>
      <c r="X1079"/>
    </row>
    <row r="1080" spans="2:24" x14ac:dyDescent="0.2">
      <c r="C1080" s="16"/>
      <c r="M1080" s="18"/>
      <c r="N1080"/>
      <c r="O1080"/>
      <c r="P1080"/>
      <c r="Q1080"/>
      <c r="R1080"/>
      <c r="S1080"/>
      <c r="T1080"/>
      <c r="U1080"/>
      <c r="V1080"/>
    </row>
    <row r="1081" spans="2:24" x14ac:dyDescent="0.2">
      <c r="B1081" s="16"/>
      <c r="W1081"/>
      <c r="X1081"/>
    </row>
    <row r="1082" spans="2:24" x14ac:dyDescent="0.2">
      <c r="C1082" s="16"/>
      <c r="M1082" s="18"/>
      <c r="N1082"/>
      <c r="O1082"/>
      <c r="P1082"/>
      <c r="Q1082"/>
      <c r="R1082"/>
      <c r="S1082"/>
      <c r="T1082"/>
      <c r="U1082"/>
      <c r="V1082"/>
    </row>
    <row r="1083" spans="2:24" x14ac:dyDescent="0.2">
      <c r="B1083" s="16"/>
      <c r="W1083"/>
      <c r="X1083"/>
    </row>
    <row r="1084" spans="2:24" x14ac:dyDescent="0.2">
      <c r="C1084" s="16"/>
      <c r="M1084" s="18"/>
      <c r="N1084"/>
      <c r="O1084"/>
      <c r="P1084"/>
      <c r="Q1084"/>
      <c r="R1084"/>
      <c r="S1084"/>
      <c r="T1084"/>
      <c r="U1084"/>
      <c r="V1084"/>
    </row>
    <row r="1085" spans="2:24" x14ac:dyDescent="0.2">
      <c r="B1085" s="16"/>
      <c r="W1085"/>
      <c r="X1085"/>
    </row>
    <row r="1086" spans="2:24" x14ac:dyDescent="0.2">
      <c r="C1086" s="16"/>
      <c r="M1086" s="18"/>
      <c r="N1086"/>
      <c r="O1086"/>
      <c r="P1086"/>
      <c r="Q1086"/>
      <c r="R1086"/>
      <c r="S1086"/>
      <c r="T1086"/>
      <c r="U1086"/>
      <c r="V1086"/>
    </row>
    <row r="1087" spans="2:24" x14ac:dyDescent="0.2">
      <c r="B1087" s="16"/>
      <c r="W1087"/>
      <c r="X1087"/>
    </row>
    <row r="1088" spans="2:24" x14ac:dyDescent="0.2">
      <c r="C1088" s="16"/>
      <c r="M1088" s="18"/>
      <c r="N1088"/>
      <c r="O1088"/>
      <c r="P1088"/>
      <c r="Q1088"/>
      <c r="R1088"/>
      <c r="S1088"/>
      <c r="T1088"/>
      <c r="U1088"/>
      <c r="V1088"/>
    </row>
    <row r="1089" spans="2:24" x14ac:dyDescent="0.2">
      <c r="B1089" s="16"/>
      <c r="W1089"/>
      <c r="X1089"/>
    </row>
    <row r="1090" spans="2:24" x14ac:dyDescent="0.2">
      <c r="C1090" s="16"/>
      <c r="M1090" s="18"/>
      <c r="N1090"/>
      <c r="O1090"/>
      <c r="P1090"/>
      <c r="Q1090"/>
      <c r="R1090"/>
      <c r="S1090"/>
      <c r="T1090"/>
      <c r="U1090"/>
      <c r="V1090"/>
    </row>
    <row r="1091" spans="2:24" x14ac:dyDescent="0.2">
      <c r="B1091" s="16"/>
      <c r="W1091"/>
      <c r="X1091"/>
    </row>
    <row r="1092" spans="2:24" x14ac:dyDescent="0.2">
      <c r="C1092" s="16"/>
      <c r="M1092" s="18"/>
      <c r="N1092"/>
      <c r="O1092"/>
      <c r="P1092"/>
      <c r="Q1092"/>
      <c r="R1092"/>
      <c r="S1092"/>
      <c r="T1092"/>
      <c r="U1092"/>
      <c r="V1092"/>
    </row>
    <row r="1093" spans="2:24" x14ac:dyDescent="0.2">
      <c r="B1093" s="16"/>
      <c r="W1093"/>
      <c r="X1093"/>
    </row>
    <row r="1094" spans="2:24" x14ac:dyDescent="0.2">
      <c r="C1094" s="16"/>
      <c r="M1094" s="18"/>
      <c r="N1094"/>
      <c r="O1094"/>
      <c r="P1094"/>
      <c r="Q1094"/>
      <c r="R1094"/>
      <c r="S1094"/>
      <c r="T1094"/>
      <c r="U1094"/>
      <c r="V1094"/>
    </row>
    <row r="1095" spans="2:24" x14ac:dyDescent="0.2">
      <c r="B1095" s="16"/>
      <c r="W1095"/>
      <c r="X1095"/>
    </row>
    <row r="1096" spans="2:24" x14ac:dyDescent="0.2">
      <c r="C1096" s="16"/>
      <c r="M1096" s="18"/>
      <c r="N1096"/>
      <c r="O1096"/>
      <c r="P1096"/>
      <c r="Q1096"/>
      <c r="R1096"/>
      <c r="S1096"/>
      <c r="T1096"/>
      <c r="U1096"/>
      <c r="V1096"/>
    </row>
    <row r="1097" spans="2:24" x14ac:dyDescent="0.2">
      <c r="B1097" s="16"/>
      <c r="W1097"/>
      <c r="X1097"/>
    </row>
    <row r="1098" spans="2:24" x14ac:dyDescent="0.2">
      <c r="C1098" s="16"/>
      <c r="M1098" s="18"/>
      <c r="N1098"/>
      <c r="O1098"/>
      <c r="P1098"/>
      <c r="Q1098"/>
      <c r="R1098"/>
      <c r="S1098"/>
      <c r="T1098"/>
      <c r="U1098"/>
      <c r="V1098"/>
    </row>
    <row r="1099" spans="2:24" x14ac:dyDescent="0.2">
      <c r="B1099" s="16"/>
      <c r="W1099"/>
      <c r="X1099"/>
    </row>
    <row r="1100" spans="2:24" x14ac:dyDescent="0.2">
      <c r="C1100" s="16"/>
      <c r="M1100" s="18"/>
      <c r="N1100"/>
      <c r="O1100"/>
      <c r="P1100"/>
      <c r="Q1100"/>
      <c r="R1100"/>
      <c r="S1100"/>
      <c r="T1100"/>
      <c r="U1100"/>
      <c r="V1100"/>
    </row>
    <row r="1101" spans="2:24" x14ac:dyDescent="0.2">
      <c r="B1101" s="16"/>
      <c r="W1101"/>
      <c r="X1101"/>
    </row>
    <row r="1102" spans="2:24" x14ac:dyDescent="0.2">
      <c r="C1102" s="16"/>
      <c r="M1102" s="18"/>
      <c r="N1102"/>
      <c r="O1102"/>
      <c r="P1102"/>
      <c r="Q1102"/>
      <c r="R1102"/>
      <c r="S1102"/>
      <c r="T1102"/>
      <c r="U1102"/>
      <c r="V1102"/>
    </row>
    <row r="1103" spans="2:24" x14ac:dyDescent="0.2">
      <c r="B1103" s="16"/>
      <c r="W1103"/>
      <c r="X1103"/>
    </row>
    <row r="1104" spans="2:24" x14ac:dyDescent="0.2">
      <c r="C1104" s="16"/>
      <c r="M1104" s="18"/>
      <c r="N1104"/>
      <c r="O1104"/>
      <c r="P1104"/>
      <c r="Q1104"/>
      <c r="R1104"/>
      <c r="S1104"/>
      <c r="T1104"/>
      <c r="U1104"/>
      <c r="V1104"/>
    </row>
    <row r="1105" spans="2:24" x14ac:dyDescent="0.2">
      <c r="B1105" s="16"/>
      <c r="W1105"/>
      <c r="X1105"/>
    </row>
    <row r="1106" spans="2:24" x14ac:dyDescent="0.2">
      <c r="C1106" s="16"/>
      <c r="M1106" s="18"/>
      <c r="N1106"/>
      <c r="O1106"/>
      <c r="P1106"/>
      <c r="Q1106"/>
      <c r="R1106"/>
      <c r="S1106"/>
      <c r="T1106"/>
      <c r="U1106"/>
      <c r="V1106"/>
    </row>
    <row r="1107" spans="2:24" x14ac:dyDescent="0.2">
      <c r="B1107" s="16"/>
      <c r="W1107"/>
      <c r="X1107"/>
    </row>
    <row r="1108" spans="2:24" x14ac:dyDescent="0.2">
      <c r="C1108" s="16"/>
      <c r="M1108" s="18"/>
      <c r="N1108"/>
      <c r="O1108"/>
      <c r="P1108"/>
      <c r="Q1108"/>
      <c r="R1108"/>
      <c r="S1108"/>
      <c r="T1108"/>
      <c r="U1108"/>
      <c r="V1108"/>
    </row>
    <row r="1109" spans="2:24" x14ac:dyDescent="0.2">
      <c r="B1109" s="16"/>
      <c r="W1109"/>
      <c r="X1109"/>
    </row>
    <row r="1110" spans="2:24" x14ac:dyDescent="0.2">
      <c r="C1110" s="16"/>
      <c r="M1110" s="18"/>
      <c r="N1110"/>
      <c r="O1110"/>
      <c r="P1110"/>
      <c r="Q1110"/>
      <c r="R1110"/>
      <c r="S1110"/>
      <c r="T1110"/>
      <c r="U1110"/>
      <c r="V1110"/>
    </row>
    <row r="1111" spans="2:24" x14ac:dyDescent="0.2">
      <c r="B1111" s="16"/>
      <c r="W1111"/>
      <c r="X1111"/>
    </row>
    <row r="1112" spans="2:24" x14ac:dyDescent="0.2">
      <c r="C1112" s="16"/>
      <c r="M1112" s="18"/>
      <c r="N1112"/>
      <c r="O1112"/>
      <c r="P1112"/>
      <c r="Q1112"/>
      <c r="R1112"/>
      <c r="S1112"/>
      <c r="T1112"/>
      <c r="U1112"/>
      <c r="V1112"/>
    </row>
    <row r="1113" spans="2:24" x14ac:dyDescent="0.2">
      <c r="B1113" s="16"/>
      <c r="W1113"/>
      <c r="X1113"/>
    </row>
    <row r="1114" spans="2:24" x14ac:dyDescent="0.2">
      <c r="C1114" s="16"/>
      <c r="M1114" s="18"/>
      <c r="N1114"/>
      <c r="O1114"/>
      <c r="P1114"/>
      <c r="Q1114"/>
      <c r="R1114"/>
      <c r="S1114"/>
      <c r="T1114"/>
      <c r="U1114"/>
      <c r="V1114"/>
    </row>
    <row r="1115" spans="2:24" x14ac:dyDescent="0.2">
      <c r="B1115" s="16"/>
      <c r="W1115"/>
      <c r="X1115"/>
    </row>
    <row r="1116" spans="2:24" x14ac:dyDescent="0.2">
      <c r="C1116" s="16"/>
      <c r="M1116" s="18"/>
      <c r="N1116"/>
      <c r="O1116"/>
      <c r="P1116"/>
      <c r="Q1116"/>
      <c r="R1116"/>
      <c r="S1116"/>
      <c r="T1116"/>
      <c r="U1116"/>
      <c r="V1116"/>
    </row>
    <row r="1117" spans="2:24" x14ac:dyDescent="0.2">
      <c r="B1117" s="16"/>
      <c r="W1117"/>
      <c r="X1117"/>
    </row>
    <row r="1118" spans="2:24" x14ac:dyDescent="0.2">
      <c r="C1118" s="16"/>
      <c r="M1118" s="18"/>
      <c r="N1118"/>
      <c r="O1118"/>
      <c r="P1118"/>
      <c r="Q1118"/>
      <c r="R1118"/>
      <c r="S1118"/>
      <c r="T1118"/>
      <c r="U1118"/>
      <c r="V1118"/>
    </row>
    <row r="1119" spans="2:24" x14ac:dyDescent="0.2">
      <c r="B1119" s="16"/>
      <c r="W1119"/>
      <c r="X1119"/>
    </row>
    <row r="1120" spans="2:24" x14ac:dyDescent="0.2">
      <c r="C1120" s="16"/>
      <c r="M1120" s="18"/>
      <c r="N1120"/>
      <c r="O1120"/>
      <c r="P1120"/>
      <c r="Q1120"/>
      <c r="R1120"/>
      <c r="S1120"/>
      <c r="T1120"/>
      <c r="U1120"/>
      <c r="V1120"/>
    </row>
    <row r="1121" spans="2:24" x14ac:dyDescent="0.2">
      <c r="B1121" s="16"/>
      <c r="W1121"/>
      <c r="X1121"/>
    </row>
    <row r="1122" spans="2:24" x14ac:dyDescent="0.2">
      <c r="C1122" s="16"/>
      <c r="M1122" s="18"/>
      <c r="N1122"/>
      <c r="O1122"/>
      <c r="P1122"/>
      <c r="Q1122"/>
      <c r="R1122"/>
      <c r="S1122"/>
      <c r="T1122"/>
      <c r="U1122"/>
      <c r="V1122"/>
    </row>
    <row r="1123" spans="2:24" x14ac:dyDescent="0.2">
      <c r="B1123" s="16"/>
      <c r="W1123"/>
      <c r="X1123"/>
    </row>
    <row r="1124" spans="2:24" x14ac:dyDescent="0.2">
      <c r="C1124" s="16"/>
      <c r="M1124" s="18"/>
      <c r="N1124"/>
      <c r="O1124"/>
      <c r="P1124"/>
      <c r="Q1124"/>
      <c r="R1124"/>
      <c r="S1124"/>
      <c r="T1124"/>
      <c r="U1124"/>
      <c r="V1124"/>
    </row>
    <row r="1125" spans="2:24" x14ac:dyDescent="0.2">
      <c r="B1125" s="16"/>
      <c r="W1125"/>
      <c r="X1125"/>
    </row>
    <row r="1126" spans="2:24" x14ac:dyDescent="0.2">
      <c r="C1126" s="16"/>
      <c r="M1126" s="18"/>
      <c r="N1126"/>
      <c r="O1126"/>
      <c r="P1126"/>
      <c r="Q1126"/>
      <c r="R1126"/>
      <c r="S1126"/>
      <c r="T1126"/>
      <c r="U1126"/>
      <c r="V1126"/>
    </row>
    <row r="1127" spans="2:24" x14ac:dyDescent="0.2">
      <c r="B1127" s="16"/>
      <c r="W1127"/>
      <c r="X1127"/>
    </row>
    <row r="1128" spans="2:24" x14ac:dyDescent="0.2">
      <c r="C1128" s="16"/>
      <c r="M1128" s="18"/>
      <c r="N1128"/>
      <c r="O1128"/>
      <c r="P1128"/>
      <c r="Q1128"/>
      <c r="R1128"/>
      <c r="S1128"/>
      <c r="T1128"/>
      <c r="U1128"/>
      <c r="V1128"/>
    </row>
    <row r="1129" spans="2:24" x14ac:dyDescent="0.2">
      <c r="B1129" s="16"/>
      <c r="W1129"/>
      <c r="X1129"/>
    </row>
    <row r="1130" spans="2:24" x14ac:dyDescent="0.2">
      <c r="C1130" s="16"/>
      <c r="M1130" s="18"/>
      <c r="N1130"/>
      <c r="O1130"/>
      <c r="P1130"/>
      <c r="Q1130"/>
      <c r="R1130"/>
      <c r="S1130"/>
      <c r="T1130"/>
      <c r="U1130"/>
      <c r="V1130"/>
    </row>
    <row r="1131" spans="2:24" x14ac:dyDescent="0.2">
      <c r="B1131" s="16"/>
      <c r="W1131"/>
      <c r="X1131"/>
    </row>
    <row r="1132" spans="2:24" x14ac:dyDescent="0.2">
      <c r="C1132" s="16"/>
      <c r="M1132" s="18"/>
      <c r="N1132"/>
      <c r="O1132"/>
      <c r="P1132"/>
      <c r="Q1132"/>
      <c r="R1132"/>
      <c r="S1132"/>
      <c r="T1132"/>
      <c r="U1132"/>
      <c r="V1132"/>
    </row>
    <row r="1133" spans="2:24" x14ac:dyDescent="0.2">
      <c r="B1133" s="16"/>
      <c r="W1133"/>
      <c r="X1133"/>
    </row>
    <row r="1134" spans="2:24" x14ac:dyDescent="0.2">
      <c r="C1134" s="16"/>
      <c r="M1134" s="18"/>
      <c r="N1134"/>
      <c r="O1134"/>
      <c r="P1134"/>
      <c r="Q1134"/>
      <c r="R1134"/>
      <c r="S1134"/>
      <c r="T1134"/>
      <c r="U1134"/>
      <c r="V1134"/>
    </row>
    <row r="1135" spans="2:24" x14ac:dyDescent="0.2">
      <c r="B1135" s="16"/>
      <c r="W1135"/>
      <c r="X1135"/>
    </row>
    <row r="1136" spans="2:24" x14ac:dyDescent="0.2">
      <c r="C1136" s="16"/>
      <c r="M1136" s="18"/>
      <c r="N1136"/>
      <c r="O1136"/>
      <c r="P1136"/>
      <c r="Q1136"/>
      <c r="R1136"/>
      <c r="S1136"/>
      <c r="T1136"/>
      <c r="U1136"/>
      <c r="V1136"/>
    </row>
    <row r="1137" spans="2:24" x14ac:dyDescent="0.2">
      <c r="B1137" s="16"/>
      <c r="W1137"/>
      <c r="X1137"/>
    </row>
    <row r="1138" spans="2:24" x14ac:dyDescent="0.2">
      <c r="C1138" s="16"/>
      <c r="M1138" s="18"/>
      <c r="N1138"/>
      <c r="O1138"/>
      <c r="P1138"/>
      <c r="Q1138"/>
      <c r="R1138"/>
      <c r="S1138"/>
      <c r="T1138"/>
      <c r="U1138"/>
      <c r="V1138"/>
    </row>
    <row r="1139" spans="2:24" x14ac:dyDescent="0.2">
      <c r="B1139" s="16"/>
      <c r="W1139"/>
      <c r="X1139"/>
    </row>
    <row r="1140" spans="2:24" x14ac:dyDescent="0.2">
      <c r="C1140" s="16"/>
      <c r="M1140" s="18"/>
      <c r="N1140"/>
      <c r="O1140"/>
      <c r="P1140"/>
      <c r="Q1140"/>
      <c r="R1140"/>
      <c r="S1140"/>
      <c r="T1140"/>
      <c r="U1140"/>
      <c r="V1140"/>
    </row>
    <row r="1141" spans="2:24" x14ac:dyDescent="0.2">
      <c r="B1141" s="16"/>
      <c r="W1141"/>
      <c r="X1141"/>
    </row>
    <row r="1142" spans="2:24" x14ac:dyDescent="0.2">
      <c r="C1142" s="16"/>
      <c r="M1142" s="18"/>
      <c r="N1142"/>
      <c r="O1142"/>
      <c r="P1142"/>
      <c r="Q1142"/>
      <c r="R1142"/>
      <c r="S1142"/>
      <c r="T1142"/>
      <c r="U1142"/>
      <c r="V1142"/>
    </row>
    <row r="1143" spans="2:24" x14ac:dyDescent="0.2">
      <c r="B1143" s="16"/>
      <c r="W1143"/>
      <c r="X1143"/>
    </row>
    <row r="1144" spans="2:24" x14ac:dyDescent="0.2">
      <c r="C1144" s="16"/>
      <c r="M1144" s="18"/>
      <c r="N1144"/>
      <c r="O1144"/>
      <c r="P1144"/>
      <c r="Q1144"/>
      <c r="R1144"/>
      <c r="S1144"/>
      <c r="T1144"/>
      <c r="U1144"/>
      <c r="V1144"/>
    </row>
    <row r="1145" spans="2:24" x14ac:dyDescent="0.2">
      <c r="B1145" s="16"/>
      <c r="W1145"/>
      <c r="X1145"/>
    </row>
    <row r="1146" spans="2:24" x14ac:dyDescent="0.2">
      <c r="C1146" s="16"/>
      <c r="M1146" s="18"/>
      <c r="N1146"/>
      <c r="O1146"/>
      <c r="P1146"/>
      <c r="Q1146"/>
      <c r="R1146"/>
      <c r="S1146"/>
      <c r="T1146"/>
      <c r="U1146"/>
      <c r="V1146"/>
    </row>
    <row r="1147" spans="2:24" x14ac:dyDescent="0.2">
      <c r="B1147" s="16"/>
      <c r="W1147"/>
      <c r="X1147"/>
    </row>
    <row r="1148" spans="2:24" x14ac:dyDescent="0.2">
      <c r="C1148" s="16"/>
      <c r="M1148" s="18"/>
      <c r="N1148"/>
      <c r="O1148"/>
      <c r="P1148"/>
      <c r="Q1148"/>
      <c r="R1148"/>
      <c r="S1148"/>
      <c r="T1148"/>
      <c r="U1148"/>
      <c r="V1148"/>
    </row>
    <row r="1149" spans="2:24" x14ac:dyDescent="0.2">
      <c r="B1149" s="16"/>
      <c r="W1149"/>
      <c r="X1149"/>
    </row>
    <row r="1150" spans="2:24" x14ac:dyDescent="0.2">
      <c r="C1150" s="16"/>
      <c r="M1150" s="18"/>
      <c r="N1150"/>
      <c r="O1150"/>
      <c r="P1150"/>
      <c r="Q1150"/>
      <c r="R1150"/>
      <c r="S1150"/>
      <c r="T1150"/>
      <c r="U1150"/>
      <c r="V1150"/>
    </row>
    <row r="1151" spans="2:24" x14ac:dyDescent="0.2">
      <c r="B1151" s="16"/>
      <c r="W1151"/>
      <c r="X1151"/>
    </row>
    <row r="1152" spans="2:24" x14ac:dyDescent="0.2">
      <c r="C1152" s="16"/>
      <c r="M1152" s="18"/>
      <c r="N1152"/>
      <c r="O1152"/>
      <c r="P1152"/>
      <c r="Q1152"/>
      <c r="R1152"/>
      <c r="S1152"/>
      <c r="T1152"/>
      <c r="U1152"/>
      <c r="V1152"/>
    </row>
    <row r="1153" spans="2:24" x14ac:dyDescent="0.2">
      <c r="B1153" s="16"/>
      <c r="W1153"/>
      <c r="X1153"/>
    </row>
    <row r="1154" spans="2:24" x14ac:dyDescent="0.2">
      <c r="C1154" s="16"/>
      <c r="M1154" s="18"/>
      <c r="N1154"/>
      <c r="O1154"/>
      <c r="P1154"/>
      <c r="Q1154"/>
      <c r="R1154"/>
      <c r="S1154"/>
      <c r="T1154"/>
      <c r="U1154"/>
      <c r="V1154"/>
    </row>
    <row r="1155" spans="2:24" x14ac:dyDescent="0.2">
      <c r="B1155" s="16"/>
      <c r="W1155"/>
      <c r="X1155"/>
    </row>
    <row r="1156" spans="2:24" x14ac:dyDescent="0.2">
      <c r="C1156" s="16"/>
      <c r="M1156" s="18"/>
      <c r="N1156"/>
      <c r="O1156"/>
      <c r="P1156"/>
      <c r="Q1156"/>
      <c r="R1156"/>
      <c r="S1156"/>
      <c r="T1156"/>
      <c r="U1156"/>
      <c r="V1156"/>
    </row>
    <row r="1157" spans="2:24" x14ac:dyDescent="0.2">
      <c r="B1157" s="16"/>
      <c r="W1157"/>
      <c r="X1157"/>
    </row>
    <row r="1158" spans="2:24" x14ac:dyDescent="0.2">
      <c r="C1158" s="16"/>
      <c r="M1158" s="18"/>
      <c r="N1158"/>
      <c r="O1158"/>
      <c r="P1158"/>
      <c r="Q1158"/>
      <c r="R1158"/>
      <c r="S1158"/>
      <c r="T1158"/>
      <c r="U1158"/>
      <c r="V1158"/>
    </row>
    <row r="1159" spans="2:24" x14ac:dyDescent="0.2">
      <c r="B1159" s="16"/>
      <c r="W1159"/>
      <c r="X1159"/>
    </row>
    <row r="1160" spans="2:24" x14ac:dyDescent="0.2">
      <c r="C1160" s="16"/>
      <c r="M1160" s="18"/>
      <c r="N1160"/>
      <c r="O1160"/>
      <c r="P1160"/>
      <c r="Q1160"/>
      <c r="R1160"/>
      <c r="S1160"/>
      <c r="T1160"/>
      <c r="U1160"/>
      <c r="V1160"/>
    </row>
    <row r="1161" spans="2:24" x14ac:dyDescent="0.2">
      <c r="B1161" s="16"/>
      <c r="W1161"/>
      <c r="X1161"/>
    </row>
    <row r="1162" spans="2:24" x14ac:dyDescent="0.2">
      <c r="C1162" s="16"/>
      <c r="M1162" s="18"/>
      <c r="N1162"/>
      <c r="O1162"/>
      <c r="P1162"/>
      <c r="Q1162"/>
      <c r="R1162"/>
      <c r="S1162"/>
      <c r="T1162"/>
      <c r="U1162"/>
      <c r="V1162"/>
    </row>
    <row r="1163" spans="2:24" x14ac:dyDescent="0.2">
      <c r="B1163" s="16"/>
      <c r="W1163"/>
      <c r="X1163"/>
    </row>
    <row r="1164" spans="2:24" x14ac:dyDescent="0.2">
      <c r="C1164" s="16"/>
      <c r="M1164" s="18"/>
      <c r="N1164"/>
      <c r="O1164"/>
      <c r="P1164"/>
      <c r="Q1164"/>
      <c r="R1164"/>
      <c r="S1164"/>
      <c r="T1164"/>
      <c r="U1164"/>
      <c r="V1164"/>
    </row>
    <row r="1165" spans="2:24" x14ac:dyDescent="0.2">
      <c r="B1165" s="16"/>
      <c r="W1165"/>
      <c r="X1165"/>
    </row>
    <row r="1166" spans="2:24" x14ac:dyDescent="0.2">
      <c r="C1166" s="16"/>
      <c r="M1166" s="18"/>
      <c r="N1166"/>
      <c r="O1166"/>
      <c r="P1166"/>
      <c r="Q1166"/>
      <c r="R1166"/>
      <c r="S1166"/>
      <c r="T1166"/>
      <c r="U1166"/>
      <c r="V1166"/>
    </row>
    <row r="1167" spans="2:24" x14ac:dyDescent="0.2">
      <c r="B1167" s="16"/>
      <c r="W1167"/>
      <c r="X1167"/>
    </row>
    <row r="1168" spans="2:24" x14ac:dyDescent="0.2">
      <c r="C1168" s="16"/>
      <c r="M1168" s="18"/>
      <c r="N1168"/>
      <c r="O1168"/>
      <c r="P1168"/>
      <c r="Q1168"/>
      <c r="R1168"/>
      <c r="S1168"/>
      <c r="T1168"/>
      <c r="U1168"/>
      <c r="V1168"/>
    </row>
    <row r="1169" spans="2:24" x14ac:dyDescent="0.2">
      <c r="B1169" s="16"/>
      <c r="W1169"/>
      <c r="X1169"/>
    </row>
    <row r="1170" spans="2:24" x14ac:dyDescent="0.2">
      <c r="C1170" s="16"/>
      <c r="M1170" s="18"/>
      <c r="N1170"/>
      <c r="O1170"/>
      <c r="P1170"/>
      <c r="Q1170"/>
      <c r="R1170"/>
      <c r="S1170"/>
      <c r="T1170"/>
      <c r="U1170"/>
      <c r="V1170"/>
    </row>
    <row r="1171" spans="2:24" x14ac:dyDescent="0.2">
      <c r="B1171" s="16"/>
      <c r="W1171"/>
      <c r="X1171"/>
    </row>
    <row r="1172" spans="2:24" x14ac:dyDescent="0.2">
      <c r="C1172" s="16"/>
      <c r="M1172" s="18"/>
      <c r="N1172"/>
      <c r="O1172"/>
      <c r="P1172"/>
      <c r="Q1172"/>
      <c r="R1172"/>
      <c r="S1172"/>
      <c r="T1172"/>
      <c r="U1172"/>
      <c r="V1172"/>
    </row>
    <row r="1173" spans="2:24" x14ac:dyDescent="0.2">
      <c r="B1173" s="16"/>
      <c r="W1173"/>
      <c r="X1173"/>
    </row>
    <row r="1174" spans="2:24" x14ac:dyDescent="0.2">
      <c r="C1174" s="16"/>
      <c r="M1174" s="18"/>
      <c r="N1174"/>
      <c r="O1174"/>
      <c r="P1174"/>
      <c r="Q1174"/>
      <c r="R1174"/>
      <c r="S1174"/>
      <c r="T1174"/>
      <c r="U1174"/>
      <c r="V1174"/>
    </row>
    <row r="1175" spans="2:24" x14ac:dyDescent="0.2">
      <c r="B1175" s="16"/>
      <c r="W1175"/>
      <c r="X1175"/>
    </row>
    <row r="1176" spans="2:24" x14ac:dyDescent="0.2">
      <c r="C1176" s="16"/>
      <c r="M1176" s="18"/>
      <c r="N1176"/>
      <c r="O1176"/>
      <c r="P1176"/>
      <c r="Q1176"/>
      <c r="R1176"/>
      <c r="S1176"/>
      <c r="T1176"/>
      <c r="U1176"/>
      <c r="V1176"/>
    </row>
    <row r="1177" spans="2:24" x14ac:dyDescent="0.2">
      <c r="B1177" s="16"/>
      <c r="W1177"/>
      <c r="X1177"/>
    </row>
    <row r="1178" spans="2:24" x14ac:dyDescent="0.2">
      <c r="C1178" s="16"/>
      <c r="M1178" s="18"/>
      <c r="N1178"/>
      <c r="O1178"/>
      <c r="P1178"/>
      <c r="Q1178"/>
      <c r="R1178"/>
      <c r="S1178"/>
      <c r="T1178"/>
      <c r="U1178"/>
      <c r="V1178"/>
    </row>
    <row r="1179" spans="2:24" x14ac:dyDescent="0.2">
      <c r="B1179" s="16"/>
      <c r="W1179"/>
      <c r="X1179"/>
    </row>
    <row r="1180" spans="2:24" x14ac:dyDescent="0.2">
      <c r="C1180" s="16"/>
      <c r="M1180" s="18"/>
      <c r="N1180"/>
      <c r="O1180"/>
      <c r="P1180"/>
      <c r="Q1180"/>
      <c r="R1180"/>
      <c r="S1180"/>
      <c r="T1180"/>
      <c r="U1180"/>
      <c r="V1180"/>
    </row>
    <row r="1181" spans="2:24" x14ac:dyDescent="0.2">
      <c r="B1181" s="16"/>
      <c r="W1181"/>
      <c r="X1181"/>
    </row>
    <row r="1182" spans="2:24" x14ac:dyDescent="0.2">
      <c r="C1182" s="16"/>
      <c r="M1182" s="18"/>
      <c r="N1182"/>
      <c r="O1182"/>
      <c r="P1182"/>
      <c r="Q1182"/>
      <c r="R1182"/>
      <c r="S1182"/>
      <c r="T1182"/>
      <c r="U1182"/>
      <c r="V1182"/>
    </row>
    <row r="1183" spans="2:24" x14ac:dyDescent="0.2">
      <c r="B1183" s="16"/>
      <c r="W1183"/>
      <c r="X1183"/>
    </row>
    <row r="1184" spans="2:24" x14ac:dyDescent="0.2">
      <c r="C1184" s="16"/>
      <c r="M1184" s="18"/>
      <c r="N1184"/>
      <c r="O1184"/>
      <c r="P1184"/>
      <c r="Q1184"/>
      <c r="R1184"/>
      <c r="S1184"/>
      <c r="T1184"/>
      <c r="U1184"/>
      <c r="V1184"/>
    </row>
    <row r="1185" spans="2:24" x14ac:dyDescent="0.2">
      <c r="B1185" s="16"/>
      <c r="W1185"/>
      <c r="X1185"/>
    </row>
    <row r="1186" spans="2:24" x14ac:dyDescent="0.2">
      <c r="C1186" s="16"/>
      <c r="M1186" s="18"/>
      <c r="N1186"/>
      <c r="O1186"/>
      <c r="P1186"/>
      <c r="Q1186"/>
      <c r="R1186"/>
      <c r="S1186"/>
      <c r="T1186"/>
      <c r="U1186"/>
      <c r="V1186"/>
    </row>
    <row r="1187" spans="2:24" x14ac:dyDescent="0.2">
      <c r="B1187" s="16"/>
      <c r="W1187"/>
      <c r="X1187"/>
    </row>
    <row r="1188" spans="2:24" x14ac:dyDescent="0.2">
      <c r="C1188" s="16"/>
      <c r="M1188" s="18"/>
      <c r="N1188"/>
      <c r="O1188"/>
      <c r="P1188"/>
      <c r="Q1188"/>
      <c r="R1188"/>
      <c r="S1188"/>
      <c r="T1188"/>
      <c r="U1188"/>
      <c r="V1188"/>
    </row>
    <row r="1189" spans="2:24" x14ac:dyDescent="0.2">
      <c r="B1189" s="16"/>
      <c r="W1189"/>
      <c r="X1189"/>
    </row>
    <row r="1190" spans="2:24" x14ac:dyDescent="0.2">
      <c r="C1190" s="16"/>
      <c r="M1190" s="18"/>
      <c r="N1190"/>
      <c r="O1190"/>
      <c r="P1190"/>
      <c r="Q1190"/>
      <c r="R1190"/>
      <c r="S1190"/>
      <c r="T1190"/>
      <c r="U1190"/>
      <c r="V1190"/>
    </row>
    <row r="1191" spans="2:24" x14ac:dyDescent="0.2">
      <c r="B1191" s="16"/>
      <c r="W1191"/>
      <c r="X1191"/>
    </row>
    <row r="1192" spans="2:24" x14ac:dyDescent="0.2">
      <c r="C1192" s="16"/>
      <c r="M1192" s="18"/>
      <c r="N1192"/>
      <c r="O1192"/>
      <c r="P1192"/>
      <c r="Q1192"/>
      <c r="R1192"/>
      <c r="S1192"/>
      <c r="T1192"/>
      <c r="U1192"/>
      <c r="V1192"/>
    </row>
    <row r="1193" spans="2:24" x14ac:dyDescent="0.2">
      <c r="B1193" s="16"/>
      <c r="W1193"/>
      <c r="X1193"/>
    </row>
    <row r="1194" spans="2:24" x14ac:dyDescent="0.2">
      <c r="C1194" s="16"/>
      <c r="M1194" s="18"/>
      <c r="N1194"/>
      <c r="O1194"/>
      <c r="P1194"/>
      <c r="Q1194"/>
      <c r="R1194"/>
      <c r="S1194"/>
      <c r="T1194"/>
      <c r="U1194"/>
      <c r="V1194"/>
    </row>
    <row r="1195" spans="2:24" x14ac:dyDescent="0.2">
      <c r="B1195" s="16"/>
      <c r="W1195"/>
      <c r="X1195"/>
    </row>
    <row r="1196" spans="2:24" x14ac:dyDescent="0.2">
      <c r="C1196" s="16"/>
      <c r="M1196" s="18"/>
      <c r="N1196"/>
      <c r="O1196"/>
      <c r="P1196"/>
      <c r="Q1196"/>
      <c r="R1196"/>
      <c r="S1196"/>
      <c r="T1196"/>
      <c r="U1196"/>
      <c r="V1196"/>
    </row>
    <row r="1197" spans="2:24" x14ac:dyDescent="0.2">
      <c r="B1197" s="16"/>
      <c r="W1197"/>
      <c r="X1197"/>
    </row>
    <row r="1198" spans="2:24" x14ac:dyDescent="0.2">
      <c r="C1198" s="16"/>
      <c r="M1198" s="18"/>
      <c r="N1198"/>
      <c r="O1198"/>
      <c r="P1198"/>
      <c r="Q1198"/>
      <c r="R1198"/>
      <c r="S1198"/>
      <c r="T1198"/>
      <c r="U1198"/>
      <c r="V1198"/>
    </row>
    <row r="1199" spans="2:24" x14ac:dyDescent="0.2">
      <c r="B1199" s="16"/>
      <c r="W1199"/>
      <c r="X1199"/>
    </row>
    <row r="1200" spans="2:24" x14ac:dyDescent="0.2">
      <c r="C1200" s="16"/>
      <c r="M1200" s="18"/>
      <c r="N1200"/>
      <c r="O1200"/>
      <c r="P1200"/>
      <c r="Q1200"/>
      <c r="R1200"/>
      <c r="S1200"/>
      <c r="T1200"/>
      <c r="U1200"/>
      <c r="V1200"/>
    </row>
    <row r="1201" spans="2:24" x14ac:dyDescent="0.2">
      <c r="B1201" s="16"/>
      <c r="W1201"/>
      <c r="X1201"/>
    </row>
    <row r="1202" spans="2:24" x14ac:dyDescent="0.2">
      <c r="C1202" s="16"/>
      <c r="M1202" s="18"/>
      <c r="N1202"/>
      <c r="O1202"/>
      <c r="P1202"/>
      <c r="Q1202"/>
      <c r="R1202"/>
      <c r="S1202"/>
      <c r="T1202"/>
      <c r="U1202"/>
      <c r="V1202"/>
    </row>
    <row r="1203" spans="2:24" x14ac:dyDescent="0.2">
      <c r="B1203" s="16"/>
      <c r="W1203"/>
      <c r="X1203"/>
    </row>
    <row r="1204" spans="2:24" x14ac:dyDescent="0.2">
      <c r="C1204" s="16"/>
      <c r="M1204" s="18"/>
      <c r="N1204"/>
      <c r="O1204"/>
      <c r="P1204"/>
      <c r="Q1204"/>
      <c r="R1204"/>
      <c r="S1204"/>
      <c r="T1204"/>
      <c r="U1204"/>
      <c r="V1204"/>
    </row>
    <row r="1205" spans="2:24" x14ac:dyDescent="0.2">
      <c r="B1205" s="16"/>
      <c r="W1205"/>
      <c r="X1205"/>
    </row>
    <row r="1206" spans="2:24" x14ac:dyDescent="0.2">
      <c r="C1206" s="16"/>
      <c r="M1206" s="18"/>
      <c r="N1206"/>
      <c r="O1206"/>
      <c r="P1206"/>
      <c r="Q1206"/>
      <c r="R1206"/>
      <c r="S1206"/>
      <c r="T1206"/>
      <c r="U1206"/>
      <c r="V1206"/>
    </row>
    <row r="1207" spans="2:24" x14ac:dyDescent="0.2">
      <c r="B1207" s="16"/>
      <c r="W1207"/>
      <c r="X1207"/>
    </row>
    <row r="1208" spans="2:24" x14ac:dyDescent="0.2">
      <c r="C1208" s="16"/>
      <c r="M1208" s="18"/>
      <c r="N1208"/>
      <c r="O1208"/>
      <c r="P1208"/>
      <c r="Q1208"/>
      <c r="R1208"/>
      <c r="S1208"/>
      <c r="T1208"/>
      <c r="U1208"/>
      <c r="V1208"/>
    </row>
    <row r="1209" spans="2:24" x14ac:dyDescent="0.2">
      <c r="B1209" s="16"/>
      <c r="W1209"/>
      <c r="X1209"/>
    </row>
    <row r="1210" spans="2:24" x14ac:dyDescent="0.2">
      <c r="C1210" s="16"/>
      <c r="M1210" s="18"/>
      <c r="N1210"/>
      <c r="O1210"/>
      <c r="P1210"/>
      <c r="Q1210"/>
      <c r="R1210"/>
      <c r="S1210"/>
      <c r="T1210"/>
      <c r="U1210"/>
      <c r="V1210"/>
    </row>
    <row r="1211" spans="2:24" x14ac:dyDescent="0.2">
      <c r="B1211" s="16"/>
      <c r="W1211"/>
      <c r="X1211"/>
    </row>
    <row r="1212" spans="2:24" x14ac:dyDescent="0.2">
      <c r="C1212" s="16"/>
      <c r="M1212" s="18"/>
      <c r="N1212"/>
      <c r="O1212"/>
      <c r="P1212"/>
      <c r="Q1212"/>
      <c r="R1212"/>
      <c r="S1212"/>
      <c r="T1212"/>
      <c r="U1212"/>
      <c r="V1212"/>
    </row>
    <row r="1213" spans="2:24" x14ac:dyDescent="0.2">
      <c r="B1213" s="16"/>
      <c r="W1213"/>
      <c r="X1213"/>
    </row>
    <row r="1214" spans="2:24" x14ac:dyDescent="0.2">
      <c r="C1214" s="16"/>
      <c r="M1214" s="18"/>
      <c r="N1214"/>
      <c r="O1214"/>
      <c r="P1214"/>
      <c r="Q1214"/>
      <c r="R1214"/>
      <c r="S1214"/>
      <c r="T1214"/>
      <c r="U1214"/>
      <c r="V1214"/>
    </row>
    <row r="1215" spans="2:24" x14ac:dyDescent="0.2">
      <c r="B1215" s="16"/>
      <c r="W1215"/>
      <c r="X1215"/>
    </row>
    <row r="1216" spans="2:24" x14ac:dyDescent="0.2">
      <c r="C1216" s="16"/>
      <c r="M1216" s="18"/>
      <c r="N1216"/>
      <c r="O1216"/>
      <c r="P1216"/>
      <c r="Q1216"/>
      <c r="R1216"/>
      <c r="S1216"/>
      <c r="T1216"/>
      <c r="U1216"/>
      <c r="V1216"/>
    </row>
    <row r="1217" spans="2:24" x14ac:dyDescent="0.2">
      <c r="B1217" s="16"/>
      <c r="W1217"/>
      <c r="X1217"/>
    </row>
    <row r="1218" spans="2:24" x14ac:dyDescent="0.2">
      <c r="C1218" s="16"/>
      <c r="M1218" s="18"/>
      <c r="N1218"/>
      <c r="O1218"/>
      <c r="P1218"/>
      <c r="Q1218"/>
      <c r="R1218"/>
      <c r="S1218"/>
      <c r="T1218"/>
      <c r="U1218"/>
      <c r="V1218"/>
    </row>
    <row r="1219" spans="2:24" x14ac:dyDescent="0.2">
      <c r="B1219" s="16"/>
      <c r="W1219"/>
      <c r="X1219"/>
    </row>
    <row r="1220" spans="2:24" x14ac:dyDescent="0.2">
      <c r="C1220" s="16"/>
      <c r="M1220" s="18"/>
      <c r="N1220"/>
      <c r="O1220"/>
      <c r="P1220"/>
      <c r="Q1220"/>
      <c r="R1220"/>
      <c r="S1220"/>
      <c r="T1220"/>
      <c r="U1220"/>
      <c r="V1220"/>
    </row>
    <row r="1221" spans="2:24" x14ac:dyDescent="0.2">
      <c r="B1221" s="16"/>
      <c r="W1221"/>
      <c r="X1221"/>
    </row>
    <row r="1222" spans="2:24" x14ac:dyDescent="0.2">
      <c r="C1222" s="16"/>
      <c r="M1222" s="18"/>
      <c r="N1222"/>
      <c r="O1222"/>
      <c r="P1222"/>
      <c r="Q1222"/>
      <c r="R1222"/>
      <c r="S1222"/>
      <c r="T1222"/>
      <c r="U1222"/>
      <c r="V1222"/>
    </row>
    <row r="1223" spans="2:24" x14ac:dyDescent="0.2">
      <c r="B1223" s="16"/>
      <c r="W1223"/>
      <c r="X1223"/>
    </row>
    <row r="1224" spans="2:24" x14ac:dyDescent="0.2">
      <c r="C1224" s="16"/>
      <c r="M1224" s="18"/>
      <c r="N1224"/>
      <c r="O1224"/>
      <c r="P1224"/>
      <c r="Q1224"/>
      <c r="R1224"/>
      <c r="S1224"/>
      <c r="T1224"/>
      <c r="U1224"/>
      <c r="V1224"/>
    </row>
    <row r="1225" spans="2:24" x14ac:dyDescent="0.2">
      <c r="B1225" s="16"/>
      <c r="W1225"/>
      <c r="X1225"/>
    </row>
    <row r="1226" spans="2:24" x14ac:dyDescent="0.2">
      <c r="C1226" s="16"/>
      <c r="M1226" s="18"/>
      <c r="N1226"/>
      <c r="O1226"/>
      <c r="P1226"/>
      <c r="Q1226"/>
      <c r="R1226"/>
      <c r="S1226"/>
      <c r="T1226"/>
      <c r="U1226"/>
      <c r="V1226"/>
    </row>
    <row r="1227" spans="2:24" x14ac:dyDescent="0.2">
      <c r="B1227" s="16"/>
      <c r="W1227"/>
      <c r="X1227"/>
    </row>
    <row r="1228" spans="2:24" x14ac:dyDescent="0.2">
      <c r="C1228" s="16"/>
      <c r="M1228" s="18"/>
      <c r="N1228"/>
      <c r="O1228"/>
      <c r="P1228"/>
      <c r="Q1228"/>
      <c r="R1228"/>
      <c r="S1228"/>
      <c r="T1228"/>
      <c r="U1228"/>
      <c r="V1228"/>
    </row>
    <row r="1229" spans="2:24" x14ac:dyDescent="0.2">
      <c r="B1229" s="16"/>
      <c r="W1229"/>
      <c r="X1229"/>
    </row>
    <row r="1230" spans="2:24" x14ac:dyDescent="0.2">
      <c r="C1230" s="16"/>
      <c r="M1230" s="18"/>
      <c r="N1230"/>
      <c r="O1230"/>
      <c r="P1230"/>
      <c r="Q1230"/>
      <c r="R1230"/>
      <c r="S1230"/>
      <c r="T1230"/>
      <c r="U1230"/>
      <c r="V1230"/>
    </row>
    <row r="1231" spans="2:24" x14ac:dyDescent="0.2">
      <c r="B1231" s="16"/>
      <c r="W1231"/>
      <c r="X1231"/>
    </row>
    <row r="1232" spans="2:24" x14ac:dyDescent="0.2">
      <c r="C1232" s="16"/>
      <c r="M1232" s="18"/>
      <c r="N1232"/>
      <c r="O1232"/>
      <c r="P1232"/>
      <c r="Q1232"/>
      <c r="R1232"/>
      <c r="S1232"/>
      <c r="T1232"/>
      <c r="U1232"/>
      <c r="V1232"/>
    </row>
    <row r="1233" spans="2:24" x14ac:dyDescent="0.2">
      <c r="B1233" s="16"/>
      <c r="W1233"/>
      <c r="X1233"/>
    </row>
    <row r="1234" spans="2:24" x14ac:dyDescent="0.2">
      <c r="C1234" s="16"/>
      <c r="M1234" s="18"/>
      <c r="N1234"/>
      <c r="O1234"/>
      <c r="P1234"/>
      <c r="Q1234"/>
      <c r="R1234"/>
      <c r="S1234"/>
      <c r="T1234"/>
      <c r="U1234"/>
      <c r="V1234"/>
    </row>
    <row r="1235" spans="2:24" x14ac:dyDescent="0.2">
      <c r="B1235" s="16"/>
      <c r="W1235"/>
      <c r="X1235"/>
    </row>
    <row r="1236" spans="2:24" x14ac:dyDescent="0.2">
      <c r="C1236" s="16"/>
      <c r="M1236" s="18"/>
      <c r="N1236"/>
      <c r="O1236"/>
      <c r="P1236"/>
      <c r="Q1236"/>
      <c r="R1236"/>
      <c r="S1236"/>
      <c r="T1236"/>
      <c r="U1236"/>
      <c r="V1236"/>
    </row>
    <row r="1237" spans="2:24" x14ac:dyDescent="0.2">
      <c r="B1237" s="16"/>
      <c r="W1237"/>
      <c r="X1237"/>
    </row>
    <row r="1238" spans="2:24" x14ac:dyDescent="0.2">
      <c r="C1238" s="16"/>
      <c r="M1238" s="18"/>
      <c r="N1238"/>
      <c r="O1238"/>
      <c r="P1238"/>
      <c r="Q1238"/>
      <c r="R1238"/>
      <c r="S1238"/>
      <c r="T1238"/>
      <c r="U1238"/>
      <c r="V1238"/>
    </row>
    <row r="1239" spans="2:24" x14ac:dyDescent="0.2">
      <c r="B1239" s="16"/>
      <c r="W1239"/>
      <c r="X1239"/>
    </row>
    <row r="1240" spans="2:24" x14ac:dyDescent="0.2">
      <c r="C1240" s="16"/>
      <c r="M1240" s="18"/>
      <c r="N1240"/>
      <c r="O1240"/>
      <c r="P1240"/>
      <c r="Q1240"/>
      <c r="R1240"/>
      <c r="S1240"/>
      <c r="T1240"/>
      <c r="U1240"/>
      <c r="V1240"/>
    </row>
    <row r="1241" spans="2:24" x14ac:dyDescent="0.2">
      <c r="B1241" s="16"/>
      <c r="W1241"/>
      <c r="X1241"/>
    </row>
    <row r="1242" spans="2:24" x14ac:dyDescent="0.2">
      <c r="C1242" s="16"/>
      <c r="M1242" s="18"/>
      <c r="N1242"/>
      <c r="O1242"/>
      <c r="P1242"/>
      <c r="Q1242"/>
      <c r="R1242"/>
      <c r="S1242"/>
      <c r="T1242"/>
      <c r="U1242"/>
      <c r="V1242"/>
    </row>
    <row r="1243" spans="2:24" x14ac:dyDescent="0.2">
      <c r="B1243" s="16"/>
      <c r="W1243"/>
      <c r="X1243"/>
    </row>
    <row r="1244" spans="2:24" x14ac:dyDescent="0.2">
      <c r="C1244" s="16"/>
      <c r="M1244" s="18"/>
      <c r="N1244"/>
      <c r="O1244"/>
      <c r="P1244"/>
      <c r="Q1244"/>
      <c r="R1244"/>
      <c r="S1244"/>
      <c r="T1244"/>
      <c r="U1244"/>
      <c r="V1244"/>
    </row>
    <row r="1245" spans="2:24" x14ac:dyDescent="0.2">
      <c r="B1245" s="16"/>
      <c r="W1245"/>
      <c r="X1245"/>
    </row>
    <row r="1246" spans="2:24" x14ac:dyDescent="0.2">
      <c r="C1246" s="16"/>
      <c r="M1246" s="18"/>
      <c r="N1246"/>
      <c r="O1246"/>
      <c r="P1246"/>
      <c r="Q1246"/>
      <c r="R1246"/>
      <c r="S1246"/>
      <c r="T1246"/>
      <c r="U1246"/>
      <c r="V1246"/>
    </row>
    <row r="1247" spans="2:24" x14ac:dyDescent="0.2">
      <c r="B1247" s="16"/>
      <c r="W1247"/>
      <c r="X1247"/>
    </row>
    <row r="1248" spans="2:24" x14ac:dyDescent="0.2">
      <c r="C1248" s="16"/>
      <c r="M1248" s="18"/>
      <c r="N1248"/>
      <c r="O1248"/>
      <c r="P1248"/>
      <c r="Q1248"/>
      <c r="R1248"/>
      <c r="S1248"/>
      <c r="T1248"/>
      <c r="U1248"/>
      <c r="V1248"/>
    </row>
    <row r="1249" spans="2:24" x14ac:dyDescent="0.2">
      <c r="B1249" s="16"/>
      <c r="W1249"/>
      <c r="X1249"/>
    </row>
    <row r="1250" spans="2:24" x14ac:dyDescent="0.2">
      <c r="C1250" s="16"/>
      <c r="M1250" s="18"/>
      <c r="N1250"/>
      <c r="O1250"/>
      <c r="P1250"/>
      <c r="Q1250"/>
      <c r="R1250"/>
      <c r="S1250"/>
      <c r="T1250"/>
      <c r="U1250"/>
      <c r="V1250"/>
    </row>
    <row r="1251" spans="2:24" x14ac:dyDescent="0.2">
      <c r="B1251" s="16"/>
      <c r="W1251"/>
      <c r="X1251"/>
    </row>
    <row r="1252" spans="2:24" x14ac:dyDescent="0.2">
      <c r="C1252" s="16"/>
      <c r="M1252" s="18"/>
      <c r="N1252"/>
      <c r="O1252"/>
      <c r="P1252"/>
      <c r="Q1252"/>
      <c r="R1252"/>
      <c r="S1252"/>
      <c r="T1252"/>
      <c r="U1252"/>
      <c r="V1252"/>
    </row>
    <row r="1253" spans="2:24" x14ac:dyDescent="0.2">
      <c r="B1253" s="16"/>
      <c r="W1253"/>
      <c r="X1253"/>
    </row>
    <row r="1254" spans="2:24" x14ac:dyDescent="0.2">
      <c r="C1254" s="16"/>
      <c r="M1254" s="18"/>
      <c r="N1254"/>
      <c r="O1254"/>
      <c r="P1254"/>
      <c r="Q1254"/>
      <c r="R1254"/>
      <c r="S1254"/>
      <c r="T1254"/>
      <c r="U1254"/>
      <c r="V1254"/>
    </row>
    <row r="1255" spans="2:24" x14ac:dyDescent="0.2">
      <c r="B1255" s="16"/>
      <c r="W1255"/>
      <c r="X1255"/>
    </row>
    <row r="1256" spans="2:24" x14ac:dyDescent="0.2">
      <c r="C1256" s="16"/>
      <c r="M1256" s="18"/>
      <c r="N1256"/>
      <c r="O1256"/>
      <c r="P1256"/>
      <c r="Q1256"/>
      <c r="R1256"/>
      <c r="S1256"/>
      <c r="T1256"/>
      <c r="U1256"/>
      <c r="V1256"/>
    </row>
    <row r="1257" spans="2:24" x14ac:dyDescent="0.2">
      <c r="B1257" s="16"/>
      <c r="W1257"/>
      <c r="X1257"/>
    </row>
    <row r="1258" spans="2:24" x14ac:dyDescent="0.2">
      <c r="C1258" s="16"/>
      <c r="M1258" s="18"/>
      <c r="N1258"/>
      <c r="O1258"/>
      <c r="P1258"/>
      <c r="Q1258"/>
      <c r="R1258"/>
      <c r="S1258"/>
      <c r="T1258"/>
      <c r="U1258"/>
      <c r="V1258"/>
    </row>
    <row r="1259" spans="2:24" x14ac:dyDescent="0.2">
      <c r="B1259" s="16"/>
      <c r="W1259"/>
      <c r="X1259"/>
    </row>
    <row r="1260" spans="2:24" x14ac:dyDescent="0.2">
      <c r="C1260" s="16"/>
      <c r="M1260" s="18"/>
      <c r="N1260"/>
      <c r="O1260"/>
      <c r="P1260"/>
      <c r="Q1260"/>
      <c r="R1260"/>
      <c r="S1260"/>
      <c r="T1260"/>
      <c r="U1260"/>
      <c r="V1260"/>
    </row>
    <row r="1261" spans="2:24" x14ac:dyDescent="0.2">
      <c r="B1261" s="16"/>
      <c r="W1261"/>
      <c r="X1261"/>
    </row>
    <row r="1262" spans="2:24" x14ac:dyDescent="0.2">
      <c r="C1262" s="16"/>
      <c r="M1262" s="18"/>
      <c r="N1262"/>
      <c r="O1262"/>
      <c r="P1262"/>
      <c r="Q1262"/>
      <c r="R1262"/>
      <c r="S1262"/>
      <c r="T1262"/>
      <c r="U1262"/>
      <c r="V1262"/>
    </row>
    <row r="1263" spans="2:24" x14ac:dyDescent="0.2">
      <c r="B1263" s="16"/>
      <c r="W1263"/>
      <c r="X1263"/>
    </row>
    <row r="1264" spans="2:24" x14ac:dyDescent="0.2">
      <c r="C1264" s="16"/>
      <c r="M1264" s="18"/>
      <c r="N1264"/>
      <c r="O1264"/>
      <c r="P1264"/>
      <c r="Q1264"/>
      <c r="R1264"/>
      <c r="S1264"/>
      <c r="T1264"/>
      <c r="U1264"/>
      <c r="V1264"/>
    </row>
    <row r="1265" spans="2:24" x14ac:dyDescent="0.2">
      <c r="B1265" s="16"/>
      <c r="W1265"/>
      <c r="X1265"/>
    </row>
    <row r="1266" spans="2:24" x14ac:dyDescent="0.2">
      <c r="C1266" s="16"/>
      <c r="M1266" s="18"/>
      <c r="N1266"/>
      <c r="O1266"/>
      <c r="P1266"/>
      <c r="Q1266"/>
      <c r="R1266"/>
      <c r="S1266"/>
      <c r="T1266"/>
      <c r="U1266"/>
      <c r="V1266"/>
    </row>
    <row r="1267" spans="2:24" x14ac:dyDescent="0.2">
      <c r="B1267" s="16"/>
      <c r="W1267"/>
      <c r="X1267"/>
    </row>
    <row r="1268" spans="2:24" x14ac:dyDescent="0.2">
      <c r="C1268" s="16"/>
      <c r="M1268" s="18"/>
      <c r="N1268"/>
      <c r="O1268"/>
      <c r="P1268"/>
      <c r="Q1268"/>
      <c r="R1268"/>
      <c r="S1268"/>
      <c r="T1268"/>
      <c r="U1268"/>
      <c r="V1268"/>
    </row>
    <row r="1269" spans="2:24" x14ac:dyDescent="0.2">
      <c r="B1269" s="16"/>
      <c r="W1269"/>
      <c r="X1269"/>
    </row>
    <row r="1270" spans="2:24" x14ac:dyDescent="0.2">
      <c r="C1270" s="16"/>
      <c r="M1270" s="18"/>
      <c r="N1270"/>
      <c r="O1270"/>
      <c r="P1270"/>
      <c r="Q1270"/>
      <c r="R1270"/>
      <c r="S1270"/>
      <c r="T1270"/>
      <c r="U1270"/>
      <c r="V1270"/>
    </row>
    <row r="1271" spans="2:24" x14ac:dyDescent="0.2">
      <c r="B1271" s="16"/>
      <c r="W1271"/>
      <c r="X1271"/>
    </row>
    <row r="1272" spans="2:24" x14ac:dyDescent="0.2">
      <c r="C1272" s="16"/>
      <c r="M1272" s="18"/>
      <c r="N1272"/>
      <c r="O1272"/>
      <c r="P1272"/>
      <c r="Q1272"/>
      <c r="R1272"/>
      <c r="S1272"/>
      <c r="T1272"/>
      <c r="U1272"/>
      <c r="V1272"/>
    </row>
    <row r="1273" spans="2:24" x14ac:dyDescent="0.2">
      <c r="B1273" s="16"/>
      <c r="W1273"/>
      <c r="X1273"/>
    </row>
    <row r="1274" spans="2:24" x14ac:dyDescent="0.2">
      <c r="C1274" s="16"/>
      <c r="M1274" s="18"/>
      <c r="N1274"/>
      <c r="O1274"/>
      <c r="P1274"/>
      <c r="Q1274"/>
      <c r="R1274"/>
      <c r="S1274"/>
      <c r="T1274"/>
      <c r="U1274"/>
      <c r="V1274"/>
    </row>
    <row r="1275" spans="2:24" x14ac:dyDescent="0.2">
      <c r="B1275" s="16"/>
      <c r="W1275"/>
      <c r="X1275"/>
    </row>
    <row r="1276" spans="2:24" x14ac:dyDescent="0.2">
      <c r="C1276" s="16"/>
      <c r="M1276" s="18"/>
      <c r="N1276"/>
      <c r="O1276"/>
      <c r="P1276"/>
      <c r="Q1276"/>
      <c r="R1276"/>
      <c r="S1276"/>
      <c r="T1276"/>
      <c r="U1276"/>
      <c r="V1276"/>
    </row>
    <row r="1277" spans="2:24" x14ac:dyDescent="0.2">
      <c r="B1277" s="16"/>
      <c r="W1277"/>
      <c r="X1277"/>
    </row>
    <row r="1278" spans="2:24" x14ac:dyDescent="0.2">
      <c r="C1278" s="16"/>
      <c r="M1278" s="18"/>
      <c r="N1278"/>
      <c r="O1278"/>
      <c r="P1278"/>
      <c r="Q1278"/>
      <c r="R1278"/>
      <c r="S1278"/>
      <c r="T1278"/>
      <c r="U1278"/>
      <c r="V1278"/>
    </row>
    <row r="1279" spans="2:24" x14ac:dyDescent="0.2">
      <c r="B1279" s="16"/>
      <c r="W1279"/>
      <c r="X1279"/>
    </row>
    <row r="1280" spans="2:24" x14ac:dyDescent="0.2">
      <c r="C1280" s="16"/>
      <c r="M1280" s="18"/>
      <c r="N1280"/>
      <c r="O1280"/>
      <c r="P1280"/>
      <c r="Q1280"/>
      <c r="R1280"/>
      <c r="S1280"/>
      <c r="T1280"/>
      <c r="U1280"/>
      <c r="V1280"/>
    </row>
    <row r="1281" spans="2:24" x14ac:dyDescent="0.2">
      <c r="B1281" s="16"/>
      <c r="W1281"/>
      <c r="X1281"/>
    </row>
    <row r="1282" spans="2:24" x14ac:dyDescent="0.2">
      <c r="C1282" s="16"/>
      <c r="M1282" s="18"/>
      <c r="N1282"/>
      <c r="O1282"/>
      <c r="P1282"/>
      <c r="Q1282"/>
      <c r="R1282"/>
      <c r="S1282"/>
      <c r="T1282"/>
      <c r="U1282"/>
      <c r="V1282"/>
    </row>
    <row r="1283" spans="2:24" x14ac:dyDescent="0.2">
      <c r="B1283" s="16"/>
      <c r="W1283"/>
      <c r="X1283"/>
    </row>
    <row r="1284" spans="2:24" x14ac:dyDescent="0.2">
      <c r="C1284" s="16"/>
      <c r="M1284" s="18"/>
      <c r="N1284"/>
      <c r="O1284"/>
      <c r="P1284"/>
      <c r="Q1284"/>
      <c r="R1284"/>
      <c r="S1284"/>
      <c r="T1284"/>
      <c r="U1284"/>
      <c r="V1284"/>
    </row>
    <row r="1285" spans="2:24" x14ac:dyDescent="0.2">
      <c r="B1285" s="16"/>
      <c r="W1285"/>
      <c r="X1285"/>
    </row>
    <row r="1286" spans="2:24" x14ac:dyDescent="0.2">
      <c r="C1286" s="16"/>
      <c r="M1286" s="18"/>
      <c r="N1286"/>
      <c r="O1286"/>
      <c r="P1286"/>
      <c r="Q1286"/>
      <c r="R1286"/>
      <c r="S1286"/>
      <c r="T1286"/>
      <c r="U1286"/>
      <c r="V1286"/>
    </row>
    <row r="1287" spans="2:24" x14ac:dyDescent="0.2">
      <c r="B1287" s="16"/>
      <c r="W1287"/>
      <c r="X1287"/>
    </row>
    <row r="1288" spans="2:24" x14ac:dyDescent="0.2">
      <c r="C1288" s="16"/>
      <c r="M1288" s="18"/>
      <c r="N1288"/>
      <c r="O1288"/>
      <c r="P1288"/>
      <c r="Q1288"/>
      <c r="R1288"/>
      <c r="S1288"/>
      <c r="T1288"/>
      <c r="U1288"/>
      <c r="V1288"/>
    </row>
    <row r="1289" spans="2:24" x14ac:dyDescent="0.2">
      <c r="B1289" s="16"/>
      <c r="W1289"/>
      <c r="X1289"/>
    </row>
    <row r="1290" spans="2:24" x14ac:dyDescent="0.2">
      <c r="C1290" s="16"/>
      <c r="M1290" s="18"/>
      <c r="N1290"/>
      <c r="O1290"/>
      <c r="P1290"/>
      <c r="Q1290"/>
      <c r="R1290"/>
      <c r="S1290"/>
      <c r="T1290"/>
      <c r="U1290"/>
      <c r="V1290"/>
    </row>
    <row r="1291" spans="2:24" x14ac:dyDescent="0.2">
      <c r="B1291" s="16"/>
      <c r="W1291"/>
      <c r="X1291"/>
    </row>
    <row r="1292" spans="2:24" x14ac:dyDescent="0.2">
      <c r="C1292" s="16"/>
      <c r="M1292" s="18"/>
      <c r="N1292"/>
      <c r="O1292"/>
      <c r="P1292"/>
      <c r="Q1292"/>
      <c r="R1292"/>
      <c r="S1292"/>
      <c r="T1292"/>
      <c r="U1292"/>
      <c r="V1292"/>
    </row>
    <row r="1293" spans="2:24" x14ac:dyDescent="0.2">
      <c r="B1293" s="16"/>
      <c r="W1293"/>
      <c r="X1293"/>
    </row>
    <row r="1294" spans="2:24" x14ac:dyDescent="0.2">
      <c r="C1294" s="16"/>
      <c r="M1294" s="18"/>
      <c r="N1294"/>
      <c r="O1294"/>
      <c r="P1294"/>
      <c r="Q1294"/>
      <c r="R1294"/>
      <c r="S1294"/>
      <c r="T1294"/>
      <c r="U1294"/>
      <c r="V1294"/>
    </row>
    <row r="1295" spans="2:24" x14ac:dyDescent="0.2">
      <c r="B1295" s="16"/>
      <c r="W1295"/>
      <c r="X1295"/>
    </row>
    <row r="1296" spans="2:24" x14ac:dyDescent="0.2">
      <c r="C1296" s="16"/>
      <c r="M1296" s="18"/>
      <c r="N1296"/>
      <c r="O1296"/>
      <c r="P1296"/>
      <c r="Q1296"/>
      <c r="R1296"/>
      <c r="S1296"/>
      <c r="T1296"/>
      <c r="U1296"/>
      <c r="V1296"/>
    </row>
    <row r="1297" spans="2:24" x14ac:dyDescent="0.2">
      <c r="B1297" s="16"/>
      <c r="W1297"/>
      <c r="X1297"/>
    </row>
    <row r="1298" spans="2:24" x14ac:dyDescent="0.2">
      <c r="C1298" s="16"/>
      <c r="M1298" s="18"/>
      <c r="N1298"/>
      <c r="O1298"/>
      <c r="P1298"/>
      <c r="Q1298"/>
      <c r="R1298"/>
      <c r="S1298"/>
      <c r="T1298"/>
      <c r="U1298"/>
      <c r="V1298"/>
    </row>
    <row r="1299" spans="2:24" x14ac:dyDescent="0.2">
      <c r="B1299" s="16"/>
      <c r="W1299"/>
      <c r="X1299"/>
    </row>
    <row r="1300" spans="2:24" x14ac:dyDescent="0.2">
      <c r="C1300" s="16"/>
      <c r="M1300" s="18"/>
      <c r="N1300"/>
      <c r="O1300"/>
      <c r="P1300"/>
      <c r="Q1300"/>
      <c r="R1300"/>
      <c r="S1300"/>
      <c r="T1300"/>
      <c r="U1300"/>
      <c r="V1300"/>
    </row>
    <row r="1301" spans="2:24" x14ac:dyDescent="0.2">
      <c r="B1301" s="16"/>
      <c r="W1301"/>
      <c r="X1301"/>
    </row>
    <row r="1302" spans="2:24" x14ac:dyDescent="0.2">
      <c r="C1302" s="16"/>
      <c r="M1302" s="18"/>
      <c r="N1302"/>
      <c r="O1302"/>
      <c r="P1302"/>
      <c r="Q1302"/>
      <c r="R1302"/>
      <c r="S1302"/>
      <c r="T1302"/>
      <c r="U1302"/>
      <c r="V1302"/>
    </row>
    <row r="1303" spans="2:24" x14ac:dyDescent="0.2">
      <c r="B1303" s="16"/>
      <c r="W1303"/>
      <c r="X1303"/>
    </row>
    <row r="1304" spans="2:24" x14ac:dyDescent="0.2">
      <c r="C1304" s="16"/>
      <c r="M1304" s="18"/>
      <c r="N1304"/>
      <c r="O1304"/>
      <c r="P1304"/>
      <c r="Q1304"/>
      <c r="R1304"/>
      <c r="S1304"/>
      <c r="T1304"/>
      <c r="U1304"/>
      <c r="V1304"/>
    </row>
    <row r="1305" spans="2:24" x14ac:dyDescent="0.2">
      <c r="B1305" s="16"/>
      <c r="W1305"/>
      <c r="X1305"/>
    </row>
    <row r="1306" spans="2:24" x14ac:dyDescent="0.2">
      <c r="C1306" s="16"/>
      <c r="M1306" s="18"/>
      <c r="N1306"/>
      <c r="O1306"/>
      <c r="P1306"/>
      <c r="Q1306"/>
      <c r="R1306"/>
      <c r="S1306"/>
      <c r="T1306"/>
      <c r="U1306"/>
      <c r="V1306"/>
    </row>
    <row r="1307" spans="2:24" x14ac:dyDescent="0.2">
      <c r="B1307" s="16"/>
      <c r="W1307"/>
      <c r="X1307"/>
    </row>
    <row r="1308" spans="2:24" x14ac:dyDescent="0.2">
      <c r="C1308" s="16"/>
      <c r="M1308" s="18"/>
      <c r="N1308"/>
      <c r="O1308"/>
      <c r="P1308"/>
      <c r="Q1308"/>
      <c r="R1308"/>
      <c r="S1308"/>
      <c r="T1308"/>
      <c r="U1308"/>
      <c r="V1308"/>
    </row>
    <row r="1309" spans="2:24" x14ac:dyDescent="0.2">
      <c r="B1309" s="16"/>
      <c r="W1309"/>
      <c r="X1309"/>
    </row>
    <row r="1310" spans="2:24" x14ac:dyDescent="0.2">
      <c r="C1310" s="16"/>
      <c r="M1310" s="18"/>
      <c r="N1310"/>
      <c r="O1310"/>
      <c r="P1310"/>
      <c r="Q1310"/>
      <c r="R1310"/>
      <c r="S1310"/>
      <c r="T1310"/>
      <c r="U1310"/>
      <c r="V1310"/>
    </row>
    <row r="1311" spans="2:24" x14ac:dyDescent="0.2">
      <c r="B1311" s="16"/>
      <c r="W1311"/>
      <c r="X1311"/>
    </row>
    <row r="1312" spans="2:24" x14ac:dyDescent="0.2">
      <c r="C1312" s="16"/>
      <c r="M1312" s="18"/>
      <c r="N1312"/>
      <c r="O1312"/>
      <c r="P1312"/>
      <c r="Q1312"/>
      <c r="R1312"/>
      <c r="S1312"/>
      <c r="T1312"/>
      <c r="U1312"/>
      <c r="V1312"/>
    </row>
    <row r="1313" spans="2:24" x14ac:dyDescent="0.2">
      <c r="B1313" s="16"/>
      <c r="W1313"/>
      <c r="X1313"/>
    </row>
    <row r="1314" spans="2:24" x14ac:dyDescent="0.2">
      <c r="C1314" s="16"/>
      <c r="M1314" s="18"/>
      <c r="N1314"/>
      <c r="O1314"/>
      <c r="P1314"/>
      <c r="Q1314"/>
      <c r="R1314"/>
      <c r="S1314"/>
      <c r="T1314"/>
      <c r="U1314"/>
      <c r="V1314"/>
    </row>
    <row r="1315" spans="2:24" x14ac:dyDescent="0.2">
      <c r="B1315" s="16"/>
      <c r="W1315"/>
      <c r="X1315"/>
    </row>
    <row r="1316" spans="2:24" x14ac:dyDescent="0.2">
      <c r="C1316" s="16"/>
      <c r="M1316" s="18"/>
      <c r="N1316"/>
      <c r="O1316"/>
      <c r="P1316"/>
      <c r="Q1316"/>
      <c r="R1316"/>
      <c r="S1316"/>
      <c r="T1316"/>
      <c r="U1316"/>
      <c r="V1316"/>
    </row>
    <row r="1317" spans="2:24" x14ac:dyDescent="0.2">
      <c r="B1317" s="16"/>
      <c r="W1317"/>
      <c r="X1317"/>
    </row>
    <row r="1318" spans="2:24" x14ac:dyDescent="0.2">
      <c r="C1318" s="16"/>
      <c r="M1318" s="18"/>
      <c r="N1318"/>
      <c r="O1318"/>
      <c r="P1318"/>
      <c r="Q1318"/>
      <c r="R1318"/>
      <c r="S1318"/>
      <c r="T1318"/>
      <c r="U1318"/>
      <c r="V1318"/>
    </row>
    <row r="1319" spans="2:24" x14ac:dyDescent="0.2">
      <c r="B1319" s="16"/>
      <c r="W1319"/>
      <c r="X1319"/>
    </row>
    <row r="1320" spans="2:24" x14ac:dyDescent="0.2">
      <c r="C1320" s="16"/>
      <c r="M1320" s="18"/>
      <c r="N1320"/>
      <c r="O1320"/>
      <c r="P1320"/>
      <c r="Q1320"/>
      <c r="R1320"/>
      <c r="S1320"/>
      <c r="T1320"/>
      <c r="U1320"/>
      <c r="V1320"/>
    </row>
    <row r="1321" spans="2:24" x14ac:dyDescent="0.2">
      <c r="B1321" s="16"/>
      <c r="W1321"/>
      <c r="X1321"/>
    </row>
    <row r="1322" spans="2:24" x14ac:dyDescent="0.2">
      <c r="C1322" s="16"/>
      <c r="M1322" s="18"/>
      <c r="N1322"/>
      <c r="O1322"/>
      <c r="P1322"/>
      <c r="Q1322"/>
      <c r="R1322"/>
      <c r="S1322"/>
      <c r="T1322"/>
      <c r="U1322"/>
      <c r="V1322"/>
    </row>
    <row r="1323" spans="2:24" x14ac:dyDescent="0.2">
      <c r="B1323" s="16"/>
      <c r="W1323"/>
      <c r="X1323"/>
    </row>
    <row r="1324" spans="2:24" x14ac:dyDescent="0.2">
      <c r="C1324" s="16"/>
      <c r="M1324" s="18"/>
      <c r="N1324"/>
      <c r="O1324"/>
      <c r="P1324"/>
      <c r="Q1324"/>
      <c r="R1324"/>
      <c r="S1324"/>
      <c r="T1324"/>
      <c r="U1324"/>
      <c r="V1324"/>
    </row>
    <row r="1325" spans="2:24" x14ac:dyDescent="0.2">
      <c r="B1325" s="16"/>
      <c r="W1325"/>
      <c r="X1325"/>
    </row>
    <row r="1326" spans="2:24" x14ac:dyDescent="0.2">
      <c r="C1326" s="16"/>
      <c r="M1326" s="18"/>
      <c r="N1326"/>
      <c r="O1326"/>
      <c r="P1326"/>
      <c r="Q1326"/>
      <c r="R1326"/>
      <c r="S1326"/>
      <c r="T1326"/>
      <c r="U1326"/>
      <c r="V1326"/>
    </row>
    <row r="1327" spans="2:24" x14ac:dyDescent="0.2">
      <c r="B1327" s="16"/>
      <c r="W1327"/>
      <c r="X1327"/>
    </row>
    <row r="1328" spans="2:24" x14ac:dyDescent="0.2">
      <c r="C1328" s="16"/>
      <c r="M1328" s="18"/>
      <c r="N1328"/>
      <c r="O1328"/>
      <c r="P1328"/>
      <c r="Q1328"/>
      <c r="R1328"/>
      <c r="S1328"/>
      <c r="T1328"/>
      <c r="U1328"/>
      <c r="V1328"/>
    </row>
    <row r="1329" spans="2:24" x14ac:dyDescent="0.2">
      <c r="B1329" s="16"/>
      <c r="W1329"/>
      <c r="X1329"/>
    </row>
    <row r="1330" spans="2:24" x14ac:dyDescent="0.2">
      <c r="C1330" s="16"/>
      <c r="M1330" s="18"/>
      <c r="N1330"/>
      <c r="O1330"/>
      <c r="P1330"/>
      <c r="Q1330"/>
      <c r="R1330"/>
      <c r="S1330"/>
      <c r="T1330"/>
      <c r="U1330"/>
      <c r="V1330"/>
    </row>
    <row r="1331" spans="2:24" x14ac:dyDescent="0.2">
      <c r="B1331" s="16"/>
      <c r="W1331"/>
      <c r="X1331"/>
    </row>
    <row r="1332" spans="2:24" x14ac:dyDescent="0.2">
      <c r="C1332" s="16"/>
      <c r="M1332" s="18"/>
      <c r="N1332"/>
      <c r="O1332"/>
      <c r="P1332"/>
      <c r="Q1332"/>
      <c r="R1332"/>
      <c r="S1332"/>
      <c r="T1332"/>
      <c r="U1332"/>
      <c r="V1332"/>
    </row>
    <row r="1333" spans="2:24" x14ac:dyDescent="0.2">
      <c r="B1333" s="16"/>
      <c r="W1333"/>
      <c r="X1333"/>
    </row>
    <row r="1334" spans="2:24" x14ac:dyDescent="0.2">
      <c r="C1334" s="16"/>
      <c r="M1334" s="18"/>
      <c r="N1334"/>
      <c r="O1334"/>
      <c r="P1334"/>
      <c r="Q1334"/>
      <c r="R1334"/>
      <c r="S1334"/>
      <c r="T1334"/>
      <c r="U1334"/>
      <c r="V1334"/>
    </row>
    <row r="1335" spans="2:24" x14ac:dyDescent="0.2">
      <c r="B1335" s="16"/>
      <c r="W1335"/>
      <c r="X1335"/>
    </row>
    <row r="1336" spans="2:24" x14ac:dyDescent="0.2">
      <c r="C1336" s="16"/>
      <c r="M1336" s="18"/>
      <c r="N1336"/>
      <c r="O1336"/>
      <c r="P1336"/>
      <c r="Q1336"/>
      <c r="R1336"/>
      <c r="S1336"/>
      <c r="T1336"/>
      <c r="U1336"/>
      <c r="V1336"/>
    </row>
    <row r="1337" spans="2:24" x14ac:dyDescent="0.2">
      <c r="B1337" s="16"/>
      <c r="W1337"/>
      <c r="X1337"/>
    </row>
    <row r="1338" spans="2:24" x14ac:dyDescent="0.2">
      <c r="C1338" s="16"/>
      <c r="M1338" s="18"/>
      <c r="N1338"/>
      <c r="O1338"/>
      <c r="P1338"/>
      <c r="Q1338"/>
      <c r="R1338"/>
      <c r="S1338"/>
      <c r="T1338"/>
      <c r="U1338"/>
      <c r="V1338"/>
    </row>
    <row r="1339" spans="2:24" x14ac:dyDescent="0.2">
      <c r="B1339" s="16"/>
      <c r="W1339"/>
      <c r="X1339"/>
    </row>
    <row r="1340" spans="2:24" x14ac:dyDescent="0.2">
      <c r="C1340" s="16"/>
      <c r="M1340" s="18"/>
      <c r="N1340"/>
      <c r="O1340"/>
      <c r="P1340"/>
      <c r="Q1340"/>
      <c r="R1340"/>
      <c r="S1340"/>
      <c r="T1340"/>
      <c r="U1340"/>
      <c r="V1340"/>
    </row>
    <row r="1341" spans="2:24" x14ac:dyDescent="0.2">
      <c r="B1341" s="16"/>
      <c r="W1341"/>
      <c r="X1341"/>
    </row>
    <row r="1342" spans="2:24" x14ac:dyDescent="0.2">
      <c r="C1342" s="16"/>
      <c r="M1342" s="18"/>
      <c r="N1342"/>
      <c r="O1342"/>
      <c r="P1342"/>
      <c r="Q1342"/>
      <c r="R1342"/>
      <c r="S1342"/>
      <c r="T1342"/>
      <c r="U1342"/>
      <c r="V1342"/>
    </row>
    <row r="1343" spans="2:24" x14ac:dyDescent="0.2">
      <c r="B1343" s="16"/>
      <c r="W1343"/>
      <c r="X1343"/>
    </row>
    <row r="1344" spans="2:24" x14ac:dyDescent="0.2">
      <c r="C1344" s="16"/>
      <c r="M1344" s="18"/>
      <c r="N1344"/>
      <c r="O1344"/>
      <c r="P1344"/>
      <c r="Q1344"/>
      <c r="R1344"/>
      <c r="S1344"/>
      <c r="T1344"/>
      <c r="U1344"/>
      <c r="V1344"/>
    </row>
    <row r="1345" spans="2:24" x14ac:dyDescent="0.2">
      <c r="B1345" s="16"/>
      <c r="W1345"/>
      <c r="X1345"/>
    </row>
    <row r="1346" spans="2:24" x14ac:dyDescent="0.2">
      <c r="C1346" s="16"/>
      <c r="M1346" s="18"/>
      <c r="N1346"/>
      <c r="O1346"/>
      <c r="P1346"/>
      <c r="Q1346"/>
      <c r="R1346"/>
      <c r="S1346"/>
      <c r="T1346"/>
      <c r="U1346"/>
      <c r="V1346"/>
    </row>
    <row r="1347" spans="2:24" x14ac:dyDescent="0.2">
      <c r="B1347" s="16"/>
      <c r="W1347"/>
      <c r="X1347"/>
    </row>
    <row r="1348" spans="2:24" x14ac:dyDescent="0.2">
      <c r="C1348" s="16"/>
      <c r="M1348" s="18"/>
      <c r="N1348"/>
      <c r="O1348"/>
      <c r="P1348"/>
      <c r="Q1348"/>
      <c r="R1348"/>
      <c r="S1348"/>
      <c r="T1348"/>
      <c r="U1348"/>
      <c r="V1348"/>
    </row>
    <row r="1349" spans="2:24" x14ac:dyDescent="0.2">
      <c r="B1349" s="16"/>
      <c r="W1349"/>
      <c r="X1349"/>
    </row>
    <row r="1350" spans="2:24" x14ac:dyDescent="0.2">
      <c r="C1350" s="16"/>
      <c r="M1350" s="18"/>
      <c r="N1350"/>
      <c r="O1350"/>
      <c r="P1350"/>
      <c r="Q1350"/>
      <c r="R1350"/>
      <c r="S1350"/>
      <c r="T1350"/>
      <c r="U1350"/>
      <c r="V1350"/>
    </row>
    <row r="1351" spans="2:24" x14ac:dyDescent="0.2">
      <c r="B1351" s="16"/>
      <c r="W1351"/>
      <c r="X1351"/>
    </row>
    <row r="1352" spans="2:24" x14ac:dyDescent="0.2">
      <c r="C1352" s="16"/>
      <c r="M1352" s="18"/>
      <c r="N1352"/>
      <c r="O1352"/>
      <c r="P1352"/>
      <c r="Q1352"/>
      <c r="R1352"/>
      <c r="S1352"/>
      <c r="T1352"/>
      <c r="U1352"/>
      <c r="V1352"/>
    </row>
    <row r="1353" spans="2:24" x14ac:dyDescent="0.2">
      <c r="B1353" s="16"/>
      <c r="W1353"/>
      <c r="X1353"/>
    </row>
    <row r="1354" spans="2:24" x14ac:dyDescent="0.2">
      <c r="C1354" s="16"/>
      <c r="M1354" s="18"/>
      <c r="N1354"/>
      <c r="O1354"/>
      <c r="P1354"/>
      <c r="Q1354"/>
      <c r="R1354"/>
      <c r="S1354"/>
      <c r="T1354"/>
      <c r="U1354"/>
      <c r="V1354"/>
    </row>
    <row r="1355" spans="2:24" x14ac:dyDescent="0.2">
      <c r="B1355" s="16"/>
      <c r="W1355"/>
      <c r="X1355"/>
    </row>
    <row r="1356" spans="2:24" x14ac:dyDescent="0.2">
      <c r="C1356" s="16"/>
      <c r="M1356" s="18"/>
      <c r="N1356"/>
      <c r="O1356"/>
      <c r="P1356"/>
      <c r="Q1356"/>
      <c r="R1356"/>
      <c r="S1356"/>
      <c r="T1356"/>
      <c r="U1356"/>
      <c r="V1356"/>
    </row>
    <row r="1357" spans="2:24" x14ac:dyDescent="0.2">
      <c r="B1357" s="16"/>
      <c r="W1357"/>
      <c r="X1357"/>
    </row>
    <row r="1358" spans="2:24" x14ac:dyDescent="0.2">
      <c r="C1358" s="16"/>
      <c r="M1358" s="18"/>
      <c r="N1358"/>
      <c r="O1358"/>
      <c r="P1358"/>
      <c r="Q1358"/>
      <c r="R1358"/>
      <c r="S1358"/>
      <c r="T1358"/>
      <c r="U1358"/>
      <c r="V1358"/>
    </row>
    <row r="1359" spans="2:24" x14ac:dyDescent="0.2">
      <c r="B1359" s="16"/>
      <c r="W1359"/>
      <c r="X1359"/>
    </row>
    <row r="1360" spans="2:24" x14ac:dyDescent="0.2">
      <c r="C1360" s="16"/>
      <c r="M1360" s="18"/>
      <c r="N1360"/>
      <c r="O1360"/>
      <c r="P1360"/>
      <c r="Q1360"/>
      <c r="R1360"/>
      <c r="S1360"/>
      <c r="T1360"/>
      <c r="U1360"/>
      <c r="V1360"/>
    </row>
    <row r="1361" spans="2:24" x14ac:dyDescent="0.2">
      <c r="B1361" s="16"/>
      <c r="W1361"/>
      <c r="X1361"/>
    </row>
    <row r="1362" spans="2:24" x14ac:dyDescent="0.2">
      <c r="C1362" s="16"/>
      <c r="M1362" s="18"/>
      <c r="N1362"/>
      <c r="O1362"/>
      <c r="P1362"/>
      <c r="Q1362"/>
      <c r="R1362"/>
      <c r="S1362"/>
      <c r="T1362"/>
      <c r="U1362"/>
      <c r="V1362"/>
    </row>
    <row r="1363" spans="2:24" x14ac:dyDescent="0.2">
      <c r="B1363" s="16"/>
      <c r="W1363"/>
      <c r="X1363"/>
    </row>
    <row r="1364" spans="2:24" x14ac:dyDescent="0.2">
      <c r="C1364" s="16"/>
      <c r="M1364" s="18"/>
      <c r="N1364"/>
      <c r="O1364"/>
      <c r="P1364"/>
      <c r="Q1364"/>
      <c r="R1364"/>
      <c r="S1364"/>
      <c r="T1364"/>
      <c r="U1364"/>
      <c r="V1364"/>
    </row>
    <row r="1365" spans="2:24" x14ac:dyDescent="0.2">
      <c r="B1365" s="16"/>
      <c r="W1365"/>
      <c r="X1365"/>
    </row>
    <row r="1366" spans="2:24" x14ac:dyDescent="0.2">
      <c r="C1366" s="16"/>
      <c r="M1366" s="18"/>
      <c r="N1366"/>
      <c r="O1366"/>
      <c r="P1366"/>
      <c r="Q1366"/>
      <c r="R1366"/>
      <c r="S1366"/>
      <c r="T1366"/>
      <c r="U1366"/>
      <c r="V1366"/>
    </row>
    <row r="1367" spans="2:24" x14ac:dyDescent="0.2">
      <c r="B1367" s="16"/>
      <c r="W1367"/>
      <c r="X1367"/>
    </row>
    <row r="1368" spans="2:24" x14ac:dyDescent="0.2">
      <c r="C1368" s="16"/>
      <c r="M1368" s="18"/>
      <c r="N1368"/>
      <c r="O1368"/>
      <c r="P1368"/>
      <c r="Q1368"/>
      <c r="R1368"/>
      <c r="S1368"/>
      <c r="T1368"/>
      <c r="U1368"/>
      <c r="V1368"/>
    </row>
    <row r="1369" spans="2:24" x14ac:dyDescent="0.2">
      <c r="B1369" s="16"/>
      <c r="W1369"/>
      <c r="X1369"/>
    </row>
    <row r="1370" spans="2:24" x14ac:dyDescent="0.2">
      <c r="C1370" s="16"/>
      <c r="M1370" s="18"/>
      <c r="N1370"/>
      <c r="O1370"/>
      <c r="P1370"/>
      <c r="Q1370"/>
      <c r="R1370"/>
      <c r="S1370"/>
      <c r="T1370"/>
      <c r="U1370"/>
      <c r="V1370"/>
    </row>
    <row r="1371" spans="2:24" x14ac:dyDescent="0.2">
      <c r="B1371" s="16"/>
      <c r="W1371"/>
      <c r="X1371"/>
    </row>
    <row r="1372" spans="2:24" x14ac:dyDescent="0.2">
      <c r="C1372" s="16"/>
      <c r="M1372" s="18"/>
      <c r="N1372"/>
      <c r="O1372"/>
      <c r="P1372"/>
      <c r="Q1372"/>
      <c r="R1372"/>
      <c r="S1372"/>
      <c r="T1372"/>
      <c r="U1372"/>
      <c r="V1372"/>
    </row>
    <row r="1373" spans="2:24" x14ac:dyDescent="0.2">
      <c r="B1373" s="16"/>
      <c r="W1373"/>
      <c r="X1373"/>
    </row>
    <row r="1374" spans="2:24" x14ac:dyDescent="0.2">
      <c r="C1374" s="16"/>
      <c r="M1374" s="18"/>
      <c r="N1374"/>
      <c r="O1374"/>
      <c r="P1374"/>
      <c r="Q1374"/>
      <c r="R1374"/>
      <c r="S1374"/>
      <c r="T1374"/>
      <c r="U1374"/>
      <c r="V1374"/>
    </row>
    <row r="1375" spans="2:24" x14ac:dyDescent="0.2">
      <c r="B1375" s="16"/>
      <c r="W1375"/>
      <c r="X1375"/>
    </row>
    <row r="1376" spans="2:24" x14ac:dyDescent="0.2">
      <c r="C1376" s="16"/>
      <c r="M1376" s="18"/>
      <c r="N1376"/>
      <c r="O1376"/>
      <c r="P1376"/>
      <c r="Q1376"/>
      <c r="R1376"/>
      <c r="S1376"/>
      <c r="T1376"/>
      <c r="U1376"/>
      <c r="V1376"/>
    </row>
    <row r="1377" spans="2:24" x14ac:dyDescent="0.2">
      <c r="B1377" s="16"/>
      <c r="W1377"/>
      <c r="X1377"/>
    </row>
    <row r="1378" spans="2:24" x14ac:dyDescent="0.2">
      <c r="C1378" s="16"/>
      <c r="M1378" s="18"/>
      <c r="N1378"/>
      <c r="O1378"/>
      <c r="P1378"/>
      <c r="Q1378"/>
      <c r="R1378"/>
      <c r="S1378"/>
      <c r="T1378"/>
      <c r="U1378"/>
      <c r="V1378"/>
    </row>
    <row r="1379" spans="2:24" x14ac:dyDescent="0.2">
      <c r="B1379" s="16"/>
      <c r="W1379"/>
      <c r="X1379"/>
    </row>
    <row r="1380" spans="2:24" x14ac:dyDescent="0.2">
      <c r="C1380" s="16"/>
      <c r="M1380" s="18"/>
      <c r="N1380"/>
      <c r="O1380"/>
      <c r="P1380"/>
      <c r="Q1380"/>
      <c r="R1380"/>
      <c r="S1380"/>
      <c r="T1380"/>
      <c r="U1380"/>
      <c r="V1380"/>
    </row>
    <row r="1381" spans="2:24" x14ac:dyDescent="0.2">
      <c r="B1381" s="16"/>
      <c r="W1381"/>
      <c r="X1381"/>
    </row>
    <row r="1382" spans="2:24" x14ac:dyDescent="0.2">
      <c r="C1382" s="16"/>
      <c r="M1382" s="18"/>
      <c r="N1382"/>
      <c r="O1382"/>
      <c r="P1382"/>
      <c r="Q1382"/>
      <c r="R1382"/>
      <c r="S1382"/>
      <c r="T1382"/>
      <c r="U1382"/>
      <c r="V1382"/>
    </row>
    <row r="1383" spans="2:24" x14ac:dyDescent="0.2">
      <c r="B1383" s="16"/>
      <c r="W1383"/>
      <c r="X1383"/>
    </row>
    <row r="1384" spans="2:24" x14ac:dyDescent="0.2">
      <c r="C1384" s="16"/>
      <c r="M1384" s="18"/>
      <c r="N1384"/>
      <c r="O1384"/>
      <c r="P1384"/>
      <c r="Q1384"/>
      <c r="R1384"/>
      <c r="S1384"/>
      <c r="T1384"/>
      <c r="U1384"/>
      <c r="V1384"/>
    </row>
    <row r="1385" spans="2:24" x14ac:dyDescent="0.2">
      <c r="B1385" s="16"/>
      <c r="W1385"/>
      <c r="X1385"/>
    </row>
    <row r="1386" spans="2:24" x14ac:dyDescent="0.2">
      <c r="C1386" s="16"/>
      <c r="M1386" s="18"/>
      <c r="N1386"/>
      <c r="O1386"/>
      <c r="P1386"/>
      <c r="Q1386"/>
      <c r="R1386"/>
      <c r="S1386"/>
      <c r="T1386"/>
      <c r="U1386"/>
      <c r="V1386"/>
    </row>
    <row r="1387" spans="2:24" x14ac:dyDescent="0.2">
      <c r="B1387" s="16"/>
      <c r="W1387"/>
      <c r="X1387"/>
    </row>
    <row r="1388" spans="2:24" x14ac:dyDescent="0.2">
      <c r="C1388" s="16"/>
      <c r="M1388" s="18"/>
      <c r="N1388"/>
      <c r="O1388"/>
      <c r="P1388"/>
      <c r="Q1388"/>
      <c r="R1388"/>
      <c r="S1388"/>
      <c r="T1388"/>
      <c r="U1388"/>
      <c r="V1388"/>
    </row>
    <row r="1389" spans="2:24" x14ac:dyDescent="0.2">
      <c r="B1389" s="16"/>
      <c r="W1389"/>
      <c r="X1389"/>
    </row>
    <row r="1390" spans="2:24" x14ac:dyDescent="0.2">
      <c r="C1390" s="16"/>
      <c r="M1390" s="18"/>
      <c r="N1390"/>
      <c r="O1390"/>
      <c r="P1390"/>
      <c r="Q1390"/>
      <c r="R1390"/>
      <c r="S1390"/>
      <c r="T1390"/>
      <c r="U1390"/>
      <c r="V1390"/>
    </row>
    <row r="1391" spans="2:24" x14ac:dyDescent="0.2">
      <c r="B1391" s="16"/>
      <c r="W1391"/>
      <c r="X1391"/>
    </row>
    <row r="1392" spans="2:24" x14ac:dyDescent="0.2">
      <c r="C1392" s="16"/>
      <c r="M1392" s="18"/>
      <c r="N1392"/>
      <c r="O1392"/>
      <c r="P1392"/>
      <c r="Q1392"/>
      <c r="R1392"/>
      <c r="S1392"/>
      <c r="T1392"/>
      <c r="U1392"/>
      <c r="V1392"/>
    </row>
    <row r="1393" spans="2:24" x14ac:dyDescent="0.2">
      <c r="B1393" s="16"/>
      <c r="W1393"/>
      <c r="X1393"/>
    </row>
    <row r="1394" spans="2:24" x14ac:dyDescent="0.2">
      <c r="C1394" s="16"/>
      <c r="M1394" s="18"/>
      <c r="N1394"/>
      <c r="O1394"/>
      <c r="P1394"/>
      <c r="Q1394"/>
      <c r="R1394"/>
      <c r="S1394"/>
      <c r="T1394"/>
      <c r="U1394"/>
      <c r="V1394"/>
    </row>
    <row r="1395" spans="2:24" x14ac:dyDescent="0.2">
      <c r="B1395" s="16"/>
      <c r="W1395"/>
      <c r="X1395"/>
    </row>
    <row r="1396" spans="2:24" x14ac:dyDescent="0.2">
      <c r="C1396" s="16"/>
      <c r="M1396" s="18"/>
      <c r="N1396"/>
      <c r="O1396"/>
      <c r="P1396"/>
      <c r="Q1396"/>
      <c r="R1396"/>
      <c r="S1396"/>
      <c r="T1396"/>
      <c r="U1396"/>
      <c r="V1396"/>
    </row>
    <row r="1397" spans="2:24" x14ac:dyDescent="0.2">
      <c r="B1397" s="16"/>
      <c r="W1397"/>
      <c r="X1397"/>
    </row>
    <row r="1398" spans="2:24" x14ac:dyDescent="0.2">
      <c r="C1398" s="16"/>
      <c r="M1398" s="18"/>
      <c r="N1398"/>
      <c r="O1398"/>
      <c r="P1398"/>
      <c r="Q1398"/>
      <c r="R1398"/>
      <c r="S1398"/>
      <c r="T1398"/>
      <c r="U1398"/>
      <c r="V1398"/>
    </row>
    <row r="1399" spans="2:24" x14ac:dyDescent="0.2">
      <c r="B1399" s="16"/>
      <c r="W1399"/>
      <c r="X1399"/>
    </row>
    <row r="1400" spans="2:24" x14ac:dyDescent="0.2">
      <c r="C1400" s="16"/>
      <c r="M1400" s="18"/>
      <c r="N1400"/>
      <c r="O1400"/>
      <c r="P1400"/>
      <c r="Q1400"/>
      <c r="R1400"/>
      <c r="S1400"/>
      <c r="T1400"/>
      <c r="U1400"/>
      <c r="V1400"/>
    </row>
    <row r="1401" spans="2:24" x14ac:dyDescent="0.2">
      <c r="B1401" s="16"/>
      <c r="W1401"/>
      <c r="X1401"/>
    </row>
    <row r="1402" spans="2:24" x14ac:dyDescent="0.2">
      <c r="C1402" s="16"/>
      <c r="M1402" s="18"/>
      <c r="N1402"/>
      <c r="O1402"/>
      <c r="P1402"/>
      <c r="Q1402"/>
      <c r="R1402"/>
      <c r="S1402"/>
      <c r="T1402"/>
      <c r="U1402"/>
      <c r="V1402"/>
    </row>
    <row r="1403" spans="2:24" x14ac:dyDescent="0.2">
      <c r="B1403" s="16"/>
      <c r="W1403"/>
      <c r="X1403"/>
    </row>
    <row r="1404" spans="2:24" x14ac:dyDescent="0.2">
      <c r="C1404" s="16"/>
      <c r="M1404" s="18"/>
      <c r="N1404"/>
      <c r="O1404"/>
      <c r="P1404"/>
      <c r="Q1404"/>
      <c r="R1404"/>
      <c r="S1404"/>
      <c r="T1404"/>
      <c r="U1404"/>
      <c r="V1404"/>
    </row>
    <row r="1405" spans="2:24" x14ac:dyDescent="0.2">
      <c r="B1405" s="16"/>
      <c r="W1405"/>
      <c r="X1405"/>
    </row>
    <row r="1406" spans="2:24" x14ac:dyDescent="0.2">
      <c r="C1406" s="16"/>
      <c r="M1406" s="18"/>
      <c r="N1406"/>
      <c r="O1406"/>
      <c r="P1406"/>
      <c r="Q1406"/>
      <c r="R1406"/>
      <c r="S1406"/>
      <c r="T1406"/>
      <c r="U1406"/>
      <c r="V1406"/>
    </row>
    <row r="1407" spans="2:24" x14ac:dyDescent="0.2">
      <c r="B1407" s="16"/>
      <c r="W1407"/>
      <c r="X1407"/>
    </row>
    <row r="1408" spans="2:24" x14ac:dyDescent="0.2">
      <c r="C1408" s="16"/>
      <c r="M1408" s="18"/>
      <c r="N1408"/>
      <c r="O1408"/>
      <c r="P1408"/>
      <c r="Q1408"/>
      <c r="R1408"/>
      <c r="S1408"/>
      <c r="T1408"/>
      <c r="U1408"/>
      <c r="V1408"/>
    </row>
    <row r="1409" spans="2:24" x14ac:dyDescent="0.2">
      <c r="B1409" s="16"/>
      <c r="W1409"/>
      <c r="X1409"/>
    </row>
    <row r="1410" spans="2:24" x14ac:dyDescent="0.2">
      <c r="C1410" s="16"/>
      <c r="M1410" s="18"/>
      <c r="N1410"/>
      <c r="O1410"/>
      <c r="P1410"/>
      <c r="Q1410"/>
      <c r="R1410"/>
      <c r="S1410"/>
      <c r="T1410"/>
      <c r="U1410"/>
      <c r="V1410"/>
    </row>
    <row r="1411" spans="2:24" x14ac:dyDescent="0.2">
      <c r="B1411" s="16"/>
      <c r="W1411"/>
      <c r="X1411"/>
    </row>
    <row r="1412" spans="2:24" x14ac:dyDescent="0.2">
      <c r="C1412" s="16"/>
      <c r="M1412" s="18"/>
      <c r="N1412"/>
      <c r="O1412"/>
      <c r="P1412"/>
      <c r="Q1412"/>
      <c r="R1412"/>
      <c r="S1412"/>
      <c r="T1412"/>
      <c r="U1412"/>
      <c r="V1412"/>
    </row>
    <row r="1413" spans="2:24" x14ac:dyDescent="0.2">
      <c r="B1413" s="16"/>
      <c r="W1413"/>
      <c r="X1413"/>
    </row>
    <row r="1414" spans="2:24" x14ac:dyDescent="0.2">
      <c r="C1414" s="16"/>
      <c r="M1414" s="18"/>
      <c r="N1414"/>
      <c r="O1414"/>
      <c r="P1414"/>
      <c r="Q1414"/>
      <c r="R1414"/>
      <c r="S1414"/>
      <c r="T1414"/>
      <c r="U1414"/>
      <c r="V1414"/>
    </row>
    <row r="1415" spans="2:24" x14ac:dyDescent="0.2">
      <c r="B1415" s="16"/>
      <c r="W1415"/>
      <c r="X1415"/>
    </row>
    <row r="1416" spans="2:24" x14ac:dyDescent="0.2">
      <c r="C1416" s="16"/>
      <c r="M1416" s="18"/>
      <c r="N1416"/>
      <c r="O1416"/>
      <c r="P1416"/>
      <c r="Q1416"/>
      <c r="R1416"/>
      <c r="S1416"/>
      <c r="T1416"/>
      <c r="U1416"/>
      <c r="V1416"/>
    </row>
    <row r="1417" spans="2:24" x14ac:dyDescent="0.2">
      <c r="B1417" s="16"/>
      <c r="W1417"/>
      <c r="X1417"/>
    </row>
    <row r="1418" spans="2:24" x14ac:dyDescent="0.2">
      <c r="C1418" s="16"/>
      <c r="M1418" s="18"/>
      <c r="N1418"/>
      <c r="O1418"/>
      <c r="P1418"/>
      <c r="Q1418"/>
      <c r="R1418"/>
      <c r="S1418"/>
      <c r="T1418"/>
      <c r="U1418"/>
      <c r="V1418"/>
    </row>
    <row r="1419" spans="2:24" x14ac:dyDescent="0.2">
      <c r="B1419" s="16"/>
      <c r="W1419"/>
      <c r="X1419"/>
    </row>
    <row r="1420" spans="2:24" x14ac:dyDescent="0.2">
      <c r="C1420" s="16"/>
      <c r="M1420" s="18"/>
      <c r="N1420"/>
      <c r="O1420"/>
      <c r="P1420"/>
      <c r="Q1420"/>
      <c r="R1420"/>
      <c r="S1420"/>
      <c r="T1420"/>
      <c r="U1420"/>
      <c r="V1420"/>
    </row>
    <row r="1421" spans="2:24" x14ac:dyDescent="0.2">
      <c r="B1421" s="16"/>
      <c r="W1421"/>
      <c r="X1421"/>
    </row>
    <row r="1422" spans="2:24" x14ac:dyDescent="0.2">
      <c r="C1422" s="16"/>
      <c r="M1422" s="18"/>
      <c r="N1422"/>
      <c r="O1422"/>
      <c r="P1422"/>
      <c r="Q1422"/>
      <c r="R1422"/>
      <c r="S1422"/>
      <c r="T1422"/>
      <c r="U1422"/>
      <c r="V1422"/>
    </row>
    <row r="1423" spans="2:24" x14ac:dyDescent="0.2">
      <c r="B1423" s="16"/>
      <c r="W1423"/>
      <c r="X1423"/>
    </row>
    <row r="1424" spans="2:24" x14ac:dyDescent="0.2">
      <c r="C1424" s="16"/>
      <c r="M1424" s="18"/>
      <c r="N1424"/>
      <c r="O1424"/>
      <c r="P1424"/>
      <c r="Q1424"/>
      <c r="R1424"/>
      <c r="S1424"/>
      <c r="T1424"/>
      <c r="U1424"/>
      <c r="V1424"/>
    </row>
    <row r="1425" spans="2:24" x14ac:dyDescent="0.2">
      <c r="B1425" s="16"/>
      <c r="W1425"/>
      <c r="X1425"/>
    </row>
    <row r="1426" spans="2:24" x14ac:dyDescent="0.2">
      <c r="C1426" s="16"/>
      <c r="M1426" s="18"/>
      <c r="N1426"/>
      <c r="O1426"/>
      <c r="P1426"/>
      <c r="Q1426"/>
      <c r="R1426"/>
      <c r="S1426"/>
      <c r="T1426"/>
      <c r="U1426"/>
      <c r="V1426"/>
    </row>
    <row r="1427" spans="2:24" x14ac:dyDescent="0.2">
      <c r="B1427" s="16"/>
      <c r="W1427"/>
      <c r="X1427"/>
    </row>
    <row r="1428" spans="2:24" x14ac:dyDescent="0.2">
      <c r="C1428" s="16"/>
      <c r="M1428" s="18"/>
      <c r="N1428"/>
      <c r="O1428"/>
      <c r="P1428"/>
      <c r="Q1428"/>
      <c r="R1428"/>
      <c r="S1428"/>
      <c r="T1428"/>
      <c r="U1428"/>
      <c r="V1428"/>
    </row>
    <row r="1429" spans="2:24" x14ac:dyDescent="0.2">
      <c r="B1429" s="16"/>
      <c r="W1429"/>
      <c r="X1429"/>
    </row>
    <row r="1430" spans="2:24" x14ac:dyDescent="0.2">
      <c r="C1430" s="16"/>
      <c r="M1430" s="18"/>
      <c r="N1430"/>
      <c r="O1430"/>
      <c r="P1430"/>
      <c r="Q1430"/>
      <c r="R1430"/>
      <c r="S1430"/>
      <c r="T1430"/>
      <c r="U1430"/>
      <c r="V1430"/>
    </row>
    <row r="1431" spans="2:24" x14ac:dyDescent="0.2">
      <c r="B1431" s="16"/>
      <c r="W1431"/>
      <c r="X1431"/>
    </row>
    <row r="1432" spans="2:24" x14ac:dyDescent="0.2">
      <c r="C1432" s="16"/>
      <c r="M1432" s="18"/>
      <c r="N1432"/>
      <c r="O1432"/>
      <c r="P1432"/>
      <c r="Q1432"/>
      <c r="R1432"/>
      <c r="S1432"/>
      <c r="T1432"/>
      <c r="U1432"/>
      <c r="V1432"/>
    </row>
    <row r="1433" spans="2:24" x14ac:dyDescent="0.2">
      <c r="B1433" s="16"/>
      <c r="W1433"/>
      <c r="X1433"/>
    </row>
    <row r="1434" spans="2:24" x14ac:dyDescent="0.2">
      <c r="C1434" s="16"/>
      <c r="M1434" s="18"/>
      <c r="N1434"/>
      <c r="O1434"/>
      <c r="P1434"/>
      <c r="Q1434"/>
      <c r="R1434"/>
      <c r="S1434"/>
      <c r="T1434"/>
      <c r="U1434"/>
      <c r="V1434"/>
    </row>
    <row r="1435" spans="2:24" x14ac:dyDescent="0.2">
      <c r="B1435" s="16"/>
      <c r="W1435"/>
      <c r="X1435"/>
    </row>
    <row r="1436" spans="2:24" x14ac:dyDescent="0.2">
      <c r="C1436" s="16"/>
      <c r="M1436" s="18"/>
      <c r="N1436"/>
      <c r="O1436"/>
      <c r="P1436"/>
      <c r="Q1436"/>
      <c r="R1436"/>
      <c r="S1436"/>
      <c r="T1436"/>
      <c r="U1436"/>
      <c r="V1436"/>
    </row>
    <row r="1437" spans="2:24" x14ac:dyDescent="0.2">
      <c r="B1437" s="16"/>
      <c r="W1437"/>
      <c r="X1437"/>
    </row>
    <row r="1438" spans="2:24" x14ac:dyDescent="0.2">
      <c r="C1438" s="16"/>
      <c r="M1438" s="18"/>
      <c r="N1438"/>
      <c r="O1438"/>
      <c r="P1438"/>
      <c r="Q1438"/>
      <c r="R1438"/>
      <c r="S1438"/>
      <c r="T1438"/>
      <c r="U1438"/>
      <c r="V1438"/>
    </row>
    <row r="1439" spans="2:24" x14ac:dyDescent="0.2">
      <c r="B1439" s="16"/>
      <c r="W1439"/>
      <c r="X1439"/>
    </row>
    <row r="1440" spans="2:24" x14ac:dyDescent="0.2">
      <c r="C1440" s="16"/>
      <c r="M1440" s="18"/>
      <c r="N1440"/>
      <c r="O1440"/>
      <c r="P1440"/>
      <c r="Q1440"/>
      <c r="R1440"/>
      <c r="S1440"/>
      <c r="T1440"/>
      <c r="U1440"/>
      <c r="V1440"/>
    </row>
    <row r="1441" spans="2:24" x14ac:dyDescent="0.2">
      <c r="B1441" s="16"/>
      <c r="W1441"/>
      <c r="X1441"/>
    </row>
    <row r="1442" spans="2:24" x14ac:dyDescent="0.2">
      <c r="C1442" s="16"/>
      <c r="M1442" s="18"/>
      <c r="N1442"/>
      <c r="O1442"/>
      <c r="P1442"/>
      <c r="Q1442"/>
      <c r="R1442"/>
      <c r="S1442"/>
      <c r="T1442"/>
      <c r="U1442"/>
      <c r="V1442"/>
    </row>
    <row r="1443" spans="2:24" x14ac:dyDescent="0.2">
      <c r="B1443" s="16"/>
      <c r="W1443"/>
      <c r="X1443"/>
    </row>
    <row r="1444" spans="2:24" x14ac:dyDescent="0.2">
      <c r="C1444" s="16"/>
      <c r="M1444" s="18"/>
      <c r="N1444"/>
      <c r="O1444"/>
      <c r="P1444"/>
      <c r="Q1444"/>
      <c r="R1444"/>
      <c r="S1444"/>
      <c r="T1444"/>
      <c r="U1444"/>
      <c r="V1444"/>
    </row>
    <row r="1445" spans="2:24" x14ac:dyDescent="0.2">
      <c r="B1445" s="16"/>
      <c r="W1445"/>
      <c r="X1445"/>
    </row>
    <row r="1446" spans="2:24" x14ac:dyDescent="0.2">
      <c r="C1446" s="16"/>
      <c r="M1446" s="18"/>
      <c r="N1446"/>
      <c r="O1446"/>
      <c r="P1446"/>
      <c r="Q1446"/>
      <c r="R1446"/>
      <c r="S1446"/>
      <c r="T1446"/>
      <c r="U1446"/>
      <c r="V1446"/>
    </row>
    <row r="1447" spans="2:24" x14ac:dyDescent="0.2">
      <c r="B1447" s="16"/>
      <c r="W1447"/>
      <c r="X1447"/>
    </row>
    <row r="1448" spans="2:24" x14ac:dyDescent="0.2">
      <c r="C1448" s="16"/>
      <c r="M1448" s="18"/>
      <c r="N1448"/>
      <c r="O1448"/>
      <c r="P1448"/>
      <c r="Q1448"/>
      <c r="R1448"/>
      <c r="S1448"/>
      <c r="T1448"/>
      <c r="U1448"/>
      <c r="V1448"/>
    </row>
    <row r="1449" spans="2:24" x14ac:dyDescent="0.2">
      <c r="B1449" s="16"/>
      <c r="W1449"/>
      <c r="X1449"/>
    </row>
    <row r="1450" spans="2:24" x14ac:dyDescent="0.2">
      <c r="C1450" s="16"/>
      <c r="M1450" s="18"/>
      <c r="N1450"/>
      <c r="O1450"/>
      <c r="P1450"/>
      <c r="Q1450"/>
      <c r="R1450"/>
      <c r="S1450"/>
      <c r="T1450"/>
      <c r="U1450"/>
      <c r="V1450"/>
    </row>
    <row r="1451" spans="2:24" x14ac:dyDescent="0.2">
      <c r="B1451" s="16"/>
      <c r="W1451"/>
      <c r="X1451"/>
    </row>
    <row r="1452" spans="2:24" x14ac:dyDescent="0.2">
      <c r="C1452" s="16"/>
      <c r="M1452" s="18"/>
      <c r="N1452"/>
      <c r="O1452"/>
      <c r="P1452"/>
      <c r="Q1452"/>
      <c r="R1452"/>
      <c r="S1452"/>
      <c r="T1452"/>
      <c r="U1452"/>
      <c r="V1452"/>
    </row>
    <row r="1453" spans="2:24" x14ac:dyDescent="0.2">
      <c r="B1453" s="16"/>
      <c r="W1453"/>
      <c r="X1453"/>
    </row>
    <row r="1454" spans="2:24" x14ac:dyDescent="0.2">
      <c r="C1454" s="16"/>
      <c r="M1454" s="18"/>
      <c r="N1454"/>
      <c r="O1454"/>
      <c r="P1454"/>
      <c r="Q1454"/>
      <c r="R1454"/>
      <c r="S1454"/>
      <c r="T1454"/>
      <c r="U1454"/>
      <c r="V1454"/>
    </row>
    <row r="1455" spans="2:24" x14ac:dyDescent="0.2">
      <c r="B1455" s="16"/>
      <c r="W1455"/>
      <c r="X1455"/>
    </row>
    <row r="1456" spans="2:24" x14ac:dyDescent="0.2">
      <c r="C1456" s="16"/>
      <c r="M1456" s="18"/>
      <c r="N1456"/>
      <c r="O1456"/>
      <c r="P1456"/>
      <c r="Q1456"/>
      <c r="R1456"/>
      <c r="S1456"/>
      <c r="T1456"/>
      <c r="U1456"/>
      <c r="V1456"/>
    </row>
    <row r="1457" spans="2:24" x14ac:dyDescent="0.2">
      <c r="B1457" s="16"/>
      <c r="W1457"/>
      <c r="X1457"/>
    </row>
    <row r="1458" spans="2:24" x14ac:dyDescent="0.2">
      <c r="C1458" s="16"/>
      <c r="M1458" s="18"/>
      <c r="N1458"/>
      <c r="O1458"/>
      <c r="P1458"/>
      <c r="Q1458"/>
      <c r="R1458"/>
      <c r="S1458"/>
      <c r="T1458"/>
      <c r="U1458"/>
      <c r="V1458"/>
    </row>
    <row r="1459" spans="2:24" x14ac:dyDescent="0.2">
      <c r="B1459" s="16"/>
      <c r="W1459"/>
      <c r="X1459"/>
    </row>
    <row r="1460" spans="2:24" x14ac:dyDescent="0.2">
      <c r="C1460" s="16"/>
      <c r="M1460" s="18"/>
      <c r="N1460"/>
      <c r="O1460"/>
      <c r="P1460"/>
      <c r="Q1460"/>
      <c r="R1460"/>
      <c r="S1460"/>
      <c r="T1460"/>
      <c r="U1460"/>
      <c r="V1460"/>
    </row>
    <row r="1461" spans="2:24" x14ac:dyDescent="0.2">
      <c r="B1461" s="16"/>
      <c r="W1461"/>
      <c r="X1461"/>
    </row>
    <row r="1462" spans="2:24" x14ac:dyDescent="0.2">
      <c r="C1462" s="16"/>
      <c r="M1462" s="18"/>
      <c r="N1462"/>
      <c r="O1462"/>
      <c r="P1462"/>
      <c r="Q1462"/>
      <c r="R1462"/>
      <c r="S1462"/>
      <c r="T1462"/>
      <c r="U1462"/>
      <c r="V1462"/>
    </row>
    <row r="1463" spans="2:24" x14ac:dyDescent="0.2">
      <c r="B1463" s="16"/>
      <c r="W1463"/>
      <c r="X1463"/>
    </row>
    <row r="1464" spans="2:24" x14ac:dyDescent="0.2">
      <c r="C1464" s="16"/>
      <c r="M1464" s="18"/>
      <c r="N1464"/>
      <c r="O1464"/>
      <c r="P1464"/>
      <c r="Q1464"/>
      <c r="R1464"/>
      <c r="S1464"/>
      <c r="T1464"/>
      <c r="U1464"/>
      <c r="V1464"/>
    </row>
    <row r="1465" spans="2:24" x14ac:dyDescent="0.2">
      <c r="B1465" s="16"/>
      <c r="W1465"/>
      <c r="X1465"/>
    </row>
    <row r="1466" spans="2:24" x14ac:dyDescent="0.2">
      <c r="C1466" s="16"/>
      <c r="M1466" s="18"/>
      <c r="N1466"/>
      <c r="O1466"/>
      <c r="P1466"/>
      <c r="Q1466"/>
      <c r="R1466"/>
      <c r="S1466"/>
      <c r="T1466"/>
      <c r="U1466"/>
      <c r="V1466"/>
    </row>
    <row r="1467" spans="2:24" x14ac:dyDescent="0.2">
      <c r="B1467" s="16"/>
      <c r="W1467"/>
      <c r="X1467"/>
    </row>
    <row r="1468" spans="2:24" x14ac:dyDescent="0.2">
      <c r="C1468" s="16"/>
      <c r="M1468" s="18"/>
      <c r="N1468"/>
      <c r="O1468"/>
      <c r="P1468"/>
      <c r="Q1468"/>
      <c r="R1468"/>
      <c r="S1468"/>
      <c r="T1468"/>
      <c r="U1468"/>
      <c r="V1468"/>
    </row>
    <row r="1469" spans="2:24" x14ac:dyDescent="0.2">
      <c r="B1469" s="16"/>
      <c r="W1469"/>
      <c r="X1469"/>
    </row>
    <row r="1470" spans="2:24" x14ac:dyDescent="0.2">
      <c r="C1470" s="16"/>
      <c r="M1470" s="18"/>
      <c r="N1470"/>
      <c r="O1470"/>
      <c r="P1470"/>
      <c r="Q1470"/>
      <c r="R1470"/>
      <c r="S1470"/>
      <c r="T1470"/>
      <c r="U1470"/>
      <c r="V1470"/>
    </row>
    <row r="1471" spans="2:24" x14ac:dyDescent="0.2">
      <c r="B1471" s="16"/>
      <c r="W1471"/>
      <c r="X1471"/>
    </row>
    <row r="1472" spans="2:24" x14ac:dyDescent="0.2">
      <c r="C1472" s="16"/>
      <c r="M1472" s="18"/>
      <c r="N1472"/>
      <c r="O1472"/>
      <c r="P1472"/>
      <c r="Q1472"/>
      <c r="R1472"/>
      <c r="S1472"/>
      <c r="T1472"/>
      <c r="U1472"/>
      <c r="V1472"/>
    </row>
    <row r="1473" spans="2:24" x14ac:dyDescent="0.2">
      <c r="B1473" s="16"/>
      <c r="W1473"/>
      <c r="X1473"/>
    </row>
    <row r="1474" spans="2:24" x14ac:dyDescent="0.2">
      <c r="C1474" s="16"/>
      <c r="M1474" s="18"/>
      <c r="N1474"/>
      <c r="O1474"/>
      <c r="P1474"/>
      <c r="Q1474"/>
      <c r="R1474"/>
      <c r="S1474"/>
      <c r="T1474"/>
      <c r="U1474"/>
      <c r="V1474"/>
    </row>
    <row r="1475" spans="2:24" x14ac:dyDescent="0.2">
      <c r="B1475" s="16"/>
      <c r="W1475"/>
      <c r="X1475"/>
    </row>
    <row r="1476" spans="2:24" x14ac:dyDescent="0.2">
      <c r="C1476" s="16"/>
      <c r="M1476" s="18"/>
      <c r="N1476"/>
      <c r="O1476"/>
      <c r="P1476"/>
      <c r="Q1476"/>
      <c r="R1476"/>
      <c r="S1476"/>
      <c r="T1476"/>
      <c r="U1476"/>
      <c r="V1476"/>
    </row>
    <row r="1477" spans="2:24" x14ac:dyDescent="0.2">
      <c r="B1477" s="16"/>
      <c r="W1477"/>
      <c r="X1477"/>
    </row>
    <row r="1478" spans="2:24" x14ac:dyDescent="0.2">
      <c r="C1478" s="16"/>
      <c r="M1478" s="18"/>
      <c r="N1478"/>
      <c r="O1478"/>
      <c r="P1478"/>
      <c r="Q1478"/>
      <c r="R1478"/>
      <c r="S1478"/>
      <c r="T1478"/>
      <c r="U1478"/>
      <c r="V1478"/>
    </row>
    <row r="1479" spans="2:24" x14ac:dyDescent="0.2">
      <c r="B1479" s="16"/>
      <c r="W1479"/>
      <c r="X1479"/>
    </row>
    <row r="1480" spans="2:24" x14ac:dyDescent="0.2">
      <c r="C1480" s="16"/>
      <c r="M1480" s="18"/>
      <c r="N1480"/>
      <c r="O1480"/>
      <c r="P1480"/>
      <c r="Q1480"/>
      <c r="R1480"/>
      <c r="S1480"/>
      <c r="T1480"/>
      <c r="U1480"/>
      <c r="V1480"/>
    </row>
    <row r="1481" spans="2:24" x14ac:dyDescent="0.2">
      <c r="B1481" s="16"/>
      <c r="W1481"/>
      <c r="X1481"/>
    </row>
    <row r="1482" spans="2:24" x14ac:dyDescent="0.2">
      <c r="C1482" s="16"/>
      <c r="M1482" s="18"/>
      <c r="N1482"/>
      <c r="O1482"/>
      <c r="P1482"/>
      <c r="Q1482"/>
      <c r="R1482"/>
      <c r="S1482"/>
      <c r="T1482"/>
      <c r="U1482"/>
      <c r="V1482"/>
    </row>
    <row r="1483" spans="2:24" x14ac:dyDescent="0.2">
      <c r="B1483" s="16"/>
      <c r="W1483"/>
      <c r="X1483"/>
    </row>
    <row r="1484" spans="2:24" x14ac:dyDescent="0.2">
      <c r="C1484" s="16"/>
      <c r="M1484" s="18"/>
      <c r="N1484"/>
      <c r="O1484"/>
      <c r="P1484"/>
      <c r="Q1484"/>
      <c r="R1484"/>
      <c r="S1484"/>
      <c r="T1484"/>
      <c r="U1484"/>
      <c r="V1484"/>
    </row>
    <row r="1485" spans="2:24" x14ac:dyDescent="0.2">
      <c r="B1485" s="16"/>
      <c r="W1485"/>
      <c r="X1485"/>
    </row>
    <row r="1486" spans="2:24" x14ac:dyDescent="0.2">
      <c r="C1486" s="16"/>
      <c r="M1486" s="18"/>
      <c r="N1486"/>
      <c r="O1486"/>
      <c r="P1486"/>
      <c r="Q1486"/>
      <c r="R1486"/>
      <c r="S1486"/>
      <c r="T1486"/>
      <c r="U1486"/>
      <c r="V1486"/>
    </row>
    <row r="1487" spans="2:24" x14ac:dyDescent="0.2">
      <c r="B1487" s="16"/>
      <c r="W1487"/>
      <c r="X1487"/>
    </row>
    <row r="1488" spans="2:24" x14ac:dyDescent="0.2">
      <c r="C1488" s="16"/>
      <c r="M1488" s="18"/>
      <c r="N1488"/>
      <c r="O1488"/>
      <c r="P1488"/>
      <c r="Q1488"/>
      <c r="R1488"/>
      <c r="S1488"/>
      <c r="T1488"/>
      <c r="U1488"/>
      <c r="V1488"/>
    </row>
    <row r="1489" spans="2:24" x14ac:dyDescent="0.2">
      <c r="B1489" s="16"/>
      <c r="W1489"/>
      <c r="X1489"/>
    </row>
    <row r="1490" spans="2:24" x14ac:dyDescent="0.2">
      <c r="C1490" s="16"/>
      <c r="M1490" s="18"/>
      <c r="N1490"/>
      <c r="O1490"/>
      <c r="P1490"/>
      <c r="Q1490"/>
      <c r="R1490"/>
      <c r="S1490"/>
      <c r="T1490"/>
      <c r="U1490"/>
      <c r="V1490"/>
    </row>
    <row r="1491" spans="2:24" x14ac:dyDescent="0.2">
      <c r="B1491" s="16"/>
      <c r="W1491"/>
      <c r="X1491"/>
    </row>
    <row r="1492" spans="2:24" x14ac:dyDescent="0.2">
      <c r="C1492" s="16"/>
      <c r="M1492" s="18"/>
      <c r="N1492"/>
      <c r="O1492"/>
      <c r="P1492"/>
      <c r="Q1492"/>
      <c r="R1492"/>
      <c r="S1492"/>
      <c r="T1492"/>
      <c r="U1492"/>
      <c r="V1492"/>
    </row>
    <row r="1493" spans="2:24" x14ac:dyDescent="0.2">
      <c r="B1493" s="16"/>
      <c r="W1493"/>
      <c r="X1493"/>
    </row>
    <row r="1494" spans="2:24" x14ac:dyDescent="0.2">
      <c r="C1494" s="16"/>
      <c r="M1494" s="18"/>
      <c r="N1494"/>
      <c r="O1494"/>
      <c r="P1494"/>
      <c r="Q1494"/>
      <c r="R1494"/>
      <c r="S1494"/>
      <c r="T1494"/>
      <c r="U1494"/>
      <c r="V1494"/>
    </row>
    <row r="1495" spans="2:24" x14ac:dyDescent="0.2">
      <c r="B1495" s="16"/>
      <c r="W1495"/>
      <c r="X1495"/>
    </row>
    <row r="1496" spans="2:24" x14ac:dyDescent="0.2">
      <c r="C1496" s="16"/>
      <c r="M1496" s="18"/>
      <c r="N1496"/>
      <c r="O1496"/>
      <c r="P1496"/>
      <c r="Q1496"/>
      <c r="R1496"/>
      <c r="S1496"/>
      <c r="T1496"/>
      <c r="U1496"/>
      <c r="V1496"/>
    </row>
    <row r="1497" spans="2:24" x14ac:dyDescent="0.2">
      <c r="B1497" s="16"/>
      <c r="W1497"/>
      <c r="X1497"/>
    </row>
    <row r="1498" spans="2:24" x14ac:dyDescent="0.2">
      <c r="C1498" s="16"/>
      <c r="M1498" s="18"/>
      <c r="N1498"/>
      <c r="O1498"/>
      <c r="P1498"/>
      <c r="Q1498"/>
      <c r="R1498"/>
      <c r="S1498"/>
      <c r="T1498"/>
      <c r="U1498"/>
      <c r="V1498"/>
    </row>
    <row r="1499" spans="2:24" x14ac:dyDescent="0.2">
      <c r="B1499" s="16"/>
      <c r="W1499"/>
      <c r="X1499"/>
    </row>
    <row r="1500" spans="2:24" x14ac:dyDescent="0.2">
      <c r="C1500" s="16"/>
      <c r="M1500" s="18"/>
      <c r="N1500"/>
      <c r="O1500"/>
      <c r="P1500"/>
      <c r="Q1500"/>
      <c r="R1500"/>
      <c r="S1500"/>
      <c r="T1500"/>
      <c r="U1500"/>
      <c r="V1500"/>
    </row>
    <row r="1501" spans="2:24" x14ac:dyDescent="0.2">
      <c r="B1501" s="16"/>
      <c r="W1501"/>
      <c r="X1501"/>
    </row>
    <row r="1502" spans="2:24" x14ac:dyDescent="0.2">
      <c r="C1502" s="16"/>
      <c r="M1502" s="18"/>
      <c r="N1502"/>
      <c r="O1502"/>
      <c r="P1502"/>
      <c r="Q1502"/>
      <c r="R1502"/>
      <c r="S1502"/>
      <c r="T1502"/>
      <c r="U1502"/>
      <c r="V1502"/>
    </row>
    <row r="1503" spans="2:24" x14ac:dyDescent="0.2">
      <c r="B1503" s="16"/>
      <c r="W1503"/>
      <c r="X1503"/>
    </row>
    <row r="1504" spans="2:24" x14ac:dyDescent="0.2">
      <c r="C1504" s="16"/>
      <c r="M1504" s="18"/>
      <c r="N1504"/>
      <c r="O1504"/>
      <c r="P1504"/>
      <c r="Q1504"/>
      <c r="R1504"/>
      <c r="S1504"/>
      <c r="T1504"/>
      <c r="U1504"/>
      <c r="V1504"/>
    </row>
    <row r="1505" spans="2:24" x14ac:dyDescent="0.2">
      <c r="B1505" s="16"/>
      <c r="W1505"/>
      <c r="X1505"/>
    </row>
    <row r="1506" spans="2:24" x14ac:dyDescent="0.2">
      <c r="C1506" s="16"/>
      <c r="M1506" s="18"/>
      <c r="N1506"/>
      <c r="O1506"/>
      <c r="P1506"/>
      <c r="Q1506"/>
      <c r="R1506"/>
      <c r="S1506"/>
      <c r="T1506"/>
      <c r="U1506"/>
      <c r="V1506"/>
    </row>
    <row r="1507" spans="2:24" x14ac:dyDescent="0.2">
      <c r="B1507" s="16"/>
      <c r="W1507"/>
      <c r="X1507"/>
    </row>
    <row r="1508" spans="2:24" x14ac:dyDescent="0.2">
      <c r="C1508" s="16"/>
      <c r="M1508" s="18"/>
      <c r="N1508"/>
      <c r="O1508"/>
      <c r="P1508"/>
      <c r="Q1508"/>
      <c r="R1508"/>
      <c r="S1508"/>
      <c r="T1508"/>
      <c r="U1508"/>
      <c r="V1508"/>
    </row>
    <row r="1509" spans="2:24" x14ac:dyDescent="0.2">
      <c r="B1509" s="16"/>
      <c r="W1509"/>
      <c r="X1509"/>
    </row>
    <row r="1510" spans="2:24" x14ac:dyDescent="0.2">
      <c r="C1510" s="16"/>
      <c r="M1510" s="18"/>
      <c r="N1510"/>
      <c r="O1510"/>
      <c r="P1510"/>
      <c r="Q1510"/>
      <c r="R1510"/>
      <c r="S1510"/>
      <c r="T1510"/>
      <c r="U1510"/>
      <c r="V1510"/>
    </row>
    <row r="1511" spans="2:24" x14ac:dyDescent="0.2">
      <c r="B1511" s="16"/>
      <c r="W1511"/>
      <c r="X1511"/>
    </row>
    <row r="1512" spans="2:24" x14ac:dyDescent="0.2">
      <c r="C1512" s="16"/>
      <c r="M1512" s="18"/>
      <c r="N1512"/>
      <c r="O1512"/>
      <c r="P1512"/>
      <c r="Q1512"/>
      <c r="R1512"/>
      <c r="S1512"/>
      <c r="T1512"/>
      <c r="U1512"/>
      <c r="V1512"/>
    </row>
    <row r="1513" spans="2:24" x14ac:dyDescent="0.2">
      <c r="B1513" s="16"/>
      <c r="W1513"/>
      <c r="X1513"/>
    </row>
    <row r="1514" spans="2:24" x14ac:dyDescent="0.2">
      <c r="C1514" s="16"/>
      <c r="M1514" s="18"/>
      <c r="N1514"/>
      <c r="O1514"/>
      <c r="P1514"/>
      <c r="Q1514"/>
      <c r="R1514"/>
      <c r="S1514"/>
      <c r="T1514"/>
      <c r="U1514"/>
      <c r="V1514"/>
    </row>
    <row r="1515" spans="2:24" x14ac:dyDescent="0.2">
      <c r="B1515" s="16"/>
      <c r="W1515"/>
      <c r="X1515"/>
    </row>
    <row r="1516" spans="2:24" x14ac:dyDescent="0.2">
      <c r="C1516" s="16"/>
      <c r="M1516" s="18"/>
      <c r="N1516"/>
      <c r="O1516"/>
      <c r="P1516"/>
      <c r="Q1516"/>
      <c r="R1516"/>
      <c r="S1516"/>
      <c r="T1516"/>
      <c r="U1516"/>
      <c r="V1516"/>
    </row>
    <row r="1517" spans="2:24" x14ac:dyDescent="0.2">
      <c r="B1517" s="16"/>
      <c r="W1517"/>
      <c r="X1517"/>
    </row>
    <row r="1518" spans="2:24" x14ac:dyDescent="0.2">
      <c r="C1518" s="16"/>
      <c r="M1518" s="18"/>
      <c r="N1518"/>
      <c r="O1518"/>
      <c r="P1518"/>
      <c r="Q1518"/>
      <c r="R1518"/>
      <c r="S1518"/>
      <c r="T1518"/>
      <c r="U1518"/>
      <c r="V1518"/>
    </row>
    <row r="1519" spans="2:24" x14ac:dyDescent="0.2">
      <c r="B1519" s="16"/>
      <c r="W1519"/>
      <c r="X1519"/>
    </row>
    <row r="1520" spans="2:24" x14ac:dyDescent="0.2">
      <c r="C1520" s="16"/>
      <c r="M1520" s="18"/>
      <c r="N1520"/>
      <c r="O1520"/>
      <c r="P1520"/>
      <c r="Q1520"/>
      <c r="R1520"/>
      <c r="S1520"/>
      <c r="T1520"/>
      <c r="U1520"/>
      <c r="V1520"/>
    </row>
    <row r="1521" spans="2:24" x14ac:dyDescent="0.2">
      <c r="B1521" s="16"/>
      <c r="W1521"/>
      <c r="X1521"/>
    </row>
    <row r="1522" spans="2:24" x14ac:dyDescent="0.2">
      <c r="C1522" s="16"/>
      <c r="M1522" s="18"/>
      <c r="N1522"/>
      <c r="O1522"/>
      <c r="P1522"/>
      <c r="Q1522"/>
      <c r="R1522"/>
      <c r="S1522"/>
      <c r="T1522"/>
      <c r="U1522"/>
      <c r="V1522"/>
    </row>
    <row r="1523" spans="2:24" x14ac:dyDescent="0.2">
      <c r="B1523" s="16"/>
      <c r="W1523"/>
      <c r="X1523"/>
    </row>
    <row r="1524" spans="2:24" x14ac:dyDescent="0.2">
      <c r="C1524" s="16"/>
      <c r="M1524" s="18"/>
      <c r="N1524"/>
      <c r="O1524"/>
      <c r="P1524"/>
      <c r="Q1524"/>
      <c r="R1524"/>
      <c r="S1524"/>
      <c r="T1524"/>
      <c r="U1524"/>
      <c r="V1524"/>
    </row>
    <row r="1525" spans="2:24" x14ac:dyDescent="0.2">
      <c r="B1525" s="16"/>
      <c r="W1525"/>
      <c r="X1525"/>
    </row>
    <row r="1526" spans="2:24" x14ac:dyDescent="0.2">
      <c r="C1526" s="16"/>
      <c r="M1526" s="18"/>
      <c r="N1526"/>
      <c r="O1526"/>
      <c r="P1526"/>
      <c r="Q1526"/>
      <c r="R1526"/>
      <c r="S1526"/>
      <c r="T1526"/>
      <c r="U1526"/>
      <c r="V1526"/>
    </row>
    <row r="1527" spans="2:24" x14ac:dyDescent="0.2">
      <c r="B1527" s="16"/>
      <c r="W1527"/>
      <c r="X1527"/>
    </row>
    <row r="1528" spans="2:24" x14ac:dyDescent="0.2">
      <c r="C1528" s="16"/>
      <c r="M1528" s="18"/>
      <c r="N1528"/>
      <c r="O1528"/>
      <c r="P1528"/>
      <c r="Q1528"/>
      <c r="R1528"/>
      <c r="S1528"/>
      <c r="T1528"/>
      <c r="U1528"/>
      <c r="V1528"/>
    </row>
    <row r="1529" spans="2:24" x14ac:dyDescent="0.2">
      <c r="B1529" s="16"/>
      <c r="W1529"/>
      <c r="X1529"/>
    </row>
    <row r="1530" spans="2:24" x14ac:dyDescent="0.2">
      <c r="C1530" s="16"/>
      <c r="M1530" s="18"/>
      <c r="N1530"/>
      <c r="O1530"/>
      <c r="P1530"/>
      <c r="Q1530"/>
      <c r="R1530"/>
      <c r="S1530"/>
      <c r="T1530"/>
      <c r="U1530"/>
      <c r="V1530"/>
    </row>
    <row r="1531" spans="2:24" x14ac:dyDescent="0.2">
      <c r="B1531" s="16"/>
      <c r="W1531"/>
      <c r="X1531"/>
    </row>
    <row r="1532" spans="2:24" x14ac:dyDescent="0.2">
      <c r="C1532" s="16"/>
      <c r="M1532" s="18"/>
      <c r="N1532"/>
      <c r="O1532"/>
      <c r="P1532"/>
      <c r="Q1532"/>
      <c r="R1532"/>
      <c r="S1532"/>
      <c r="T1532"/>
      <c r="U1532"/>
      <c r="V1532"/>
    </row>
    <row r="1533" spans="2:24" x14ac:dyDescent="0.2">
      <c r="B1533" s="16"/>
      <c r="W1533"/>
      <c r="X1533"/>
    </row>
    <row r="1534" spans="2:24" x14ac:dyDescent="0.2">
      <c r="C1534" s="16"/>
      <c r="M1534" s="18"/>
      <c r="N1534"/>
      <c r="O1534"/>
      <c r="P1534"/>
      <c r="Q1534"/>
      <c r="R1534"/>
      <c r="S1534"/>
      <c r="T1534"/>
      <c r="U1534"/>
      <c r="V1534"/>
    </row>
    <row r="1535" spans="2:24" x14ac:dyDescent="0.2">
      <c r="B1535" s="16"/>
      <c r="W1535"/>
      <c r="X1535"/>
    </row>
    <row r="1536" spans="2:24" x14ac:dyDescent="0.2">
      <c r="C1536" s="16"/>
      <c r="M1536" s="18"/>
      <c r="N1536"/>
      <c r="O1536"/>
      <c r="P1536"/>
      <c r="Q1536"/>
      <c r="R1536"/>
      <c r="S1536"/>
      <c r="T1536"/>
      <c r="U1536"/>
      <c r="V1536"/>
    </row>
    <row r="1537" spans="2:24" x14ac:dyDescent="0.2">
      <c r="B1537" s="16"/>
      <c r="W1537"/>
      <c r="X1537"/>
    </row>
    <row r="1538" spans="2:24" x14ac:dyDescent="0.2">
      <c r="C1538" s="16"/>
      <c r="M1538" s="18"/>
      <c r="N1538"/>
      <c r="O1538"/>
      <c r="P1538"/>
      <c r="Q1538"/>
      <c r="R1538"/>
      <c r="S1538"/>
      <c r="T1538"/>
      <c r="U1538"/>
      <c r="V1538"/>
    </row>
    <row r="1539" spans="2:24" x14ac:dyDescent="0.2">
      <c r="B1539" s="16"/>
      <c r="W1539"/>
      <c r="X1539"/>
    </row>
    <row r="1540" spans="2:24" x14ac:dyDescent="0.2">
      <c r="C1540" s="16"/>
      <c r="M1540" s="18"/>
      <c r="N1540"/>
      <c r="O1540"/>
      <c r="P1540"/>
      <c r="Q1540"/>
      <c r="R1540"/>
      <c r="S1540"/>
      <c r="T1540"/>
      <c r="U1540"/>
      <c r="V1540"/>
    </row>
    <row r="1541" spans="2:24" x14ac:dyDescent="0.2">
      <c r="B1541" s="16"/>
      <c r="W1541"/>
      <c r="X1541"/>
    </row>
    <row r="1542" spans="2:24" x14ac:dyDescent="0.2">
      <c r="C1542" s="16"/>
      <c r="M1542" s="18"/>
      <c r="N1542"/>
      <c r="O1542"/>
      <c r="P1542"/>
      <c r="Q1542"/>
      <c r="R1542"/>
      <c r="S1542"/>
      <c r="T1542"/>
      <c r="U1542"/>
      <c r="V1542"/>
    </row>
    <row r="1543" spans="2:24" x14ac:dyDescent="0.2">
      <c r="B1543" s="16"/>
      <c r="W1543"/>
      <c r="X1543"/>
    </row>
    <row r="1544" spans="2:24" x14ac:dyDescent="0.2">
      <c r="C1544" s="16"/>
      <c r="M1544" s="18"/>
      <c r="N1544"/>
      <c r="O1544"/>
      <c r="P1544"/>
      <c r="Q1544"/>
      <c r="R1544"/>
      <c r="S1544"/>
      <c r="T1544"/>
      <c r="U1544"/>
      <c r="V1544"/>
    </row>
    <row r="1545" spans="2:24" x14ac:dyDescent="0.2">
      <c r="B1545" s="16"/>
      <c r="W1545"/>
      <c r="X1545"/>
    </row>
    <row r="1546" spans="2:24" x14ac:dyDescent="0.2">
      <c r="C1546" s="16"/>
      <c r="M1546" s="18"/>
      <c r="N1546"/>
      <c r="O1546"/>
      <c r="P1546"/>
      <c r="Q1546"/>
      <c r="R1546"/>
      <c r="S1546"/>
      <c r="T1546"/>
      <c r="U1546"/>
      <c r="V1546"/>
    </row>
    <row r="1547" spans="2:24" x14ac:dyDescent="0.2">
      <c r="B1547" s="16"/>
      <c r="W1547"/>
      <c r="X1547"/>
    </row>
    <row r="1548" spans="2:24" x14ac:dyDescent="0.2">
      <c r="C1548" s="16"/>
      <c r="M1548" s="18"/>
      <c r="N1548"/>
      <c r="O1548"/>
      <c r="P1548"/>
      <c r="Q1548"/>
      <c r="R1548"/>
      <c r="S1548"/>
      <c r="T1548"/>
      <c r="U1548"/>
      <c r="V1548"/>
    </row>
    <row r="1549" spans="2:24" x14ac:dyDescent="0.2">
      <c r="B1549" s="16"/>
      <c r="W1549"/>
      <c r="X1549"/>
    </row>
    <row r="1550" spans="2:24" x14ac:dyDescent="0.2">
      <c r="C1550" s="16"/>
      <c r="M1550" s="18"/>
      <c r="N1550"/>
      <c r="O1550"/>
      <c r="P1550"/>
      <c r="Q1550"/>
      <c r="R1550"/>
      <c r="S1550"/>
      <c r="T1550"/>
      <c r="U1550"/>
      <c r="V1550"/>
    </row>
    <row r="1551" spans="2:24" x14ac:dyDescent="0.2">
      <c r="B1551" s="16"/>
      <c r="W1551"/>
      <c r="X1551"/>
    </row>
    <row r="1552" spans="2:24" x14ac:dyDescent="0.2">
      <c r="C1552" s="16"/>
      <c r="M1552" s="18"/>
      <c r="N1552"/>
      <c r="O1552"/>
      <c r="P1552"/>
      <c r="Q1552"/>
      <c r="R1552"/>
      <c r="S1552"/>
      <c r="T1552"/>
      <c r="U1552"/>
      <c r="V1552"/>
    </row>
    <row r="1553" spans="2:24" x14ac:dyDescent="0.2">
      <c r="B1553" s="16"/>
      <c r="W1553"/>
      <c r="X1553"/>
    </row>
    <row r="1554" spans="2:24" x14ac:dyDescent="0.2">
      <c r="C1554" s="16"/>
      <c r="M1554" s="18"/>
      <c r="N1554"/>
      <c r="O1554"/>
      <c r="P1554"/>
      <c r="Q1554"/>
      <c r="R1554"/>
      <c r="S1554"/>
      <c r="T1554"/>
      <c r="U1554"/>
      <c r="V1554"/>
    </row>
    <row r="1555" spans="2:24" x14ac:dyDescent="0.2">
      <c r="B1555" s="16"/>
      <c r="W1555"/>
      <c r="X1555"/>
    </row>
    <row r="1556" spans="2:24" x14ac:dyDescent="0.2">
      <c r="C1556" s="16"/>
      <c r="M1556" s="18"/>
      <c r="N1556"/>
      <c r="O1556"/>
      <c r="P1556"/>
      <c r="Q1556"/>
      <c r="R1556"/>
      <c r="S1556"/>
      <c r="T1556"/>
      <c r="U1556"/>
      <c r="V1556"/>
    </row>
    <row r="1557" spans="2:24" x14ac:dyDescent="0.2">
      <c r="B1557" s="16"/>
      <c r="W1557"/>
      <c r="X1557"/>
    </row>
    <row r="1558" spans="2:24" x14ac:dyDescent="0.2">
      <c r="C1558" s="16"/>
      <c r="M1558" s="18"/>
      <c r="N1558"/>
      <c r="O1558"/>
      <c r="P1558"/>
      <c r="Q1558"/>
      <c r="R1558"/>
      <c r="S1558"/>
      <c r="T1558"/>
      <c r="U1558"/>
      <c r="V1558"/>
    </row>
    <row r="1559" spans="2:24" x14ac:dyDescent="0.2">
      <c r="B1559" s="16"/>
      <c r="W1559"/>
      <c r="X1559"/>
    </row>
    <row r="1560" spans="2:24" x14ac:dyDescent="0.2">
      <c r="C1560" s="16"/>
      <c r="M1560" s="18"/>
      <c r="N1560"/>
      <c r="O1560"/>
      <c r="P1560"/>
      <c r="Q1560"/>
      <c r="R1560"/>
      <c r="S1560"/>
      <c r="T1560"/>
      <c r="U1560"/>
      <c r="V1560"/>
    </row>
    <row r="1561" spans="2:24" x14ac:dyDescent="0.2">
      <c r="B1561" s="16"/>
      <c r="W1561"/>
      <c r="X1561"/>
    </row>
    <row r="1562" spans="2:24" x14ac:dyDescent="0.2">
      <c r="C1562" s="16"/>
      <c r="M1562" s="18"/>
      <c r="N1562"/>
      <c r="O1562"/>
      <c r="P1562"/>
      <c r="Q1562"/>
      <c r="R1562"/>
      <c r="S1562"/>
      <c r="T1562"/>
      <c r="U1562"/>
      <c r="V1562"/>
    </row>
    <row r="1563" spans="2:24" x14ac:dyDescent="0.2">
      <c r="B1563" s="16"/>
      <c r="W1563"/>
      <c r="X1563"/>
    </row>
    <row r="1564" spans="2:24" x14ac:dyDescent="0.2">
      <c r="C1564" s="16"/>
      <c r="M1564" s="18"/>
      <c r="N1564"/>
      <c r="O1564"/>
      <c r="P1564"/>
      <c r="Q1564"/>
      <c r="R1564"/>
      <c r="S1564"/>
      <c r="T1564"/>
      <c r="U1564"/>
      <c r="V1564"/>
    </row>
    <row r="1565" spans="2:24" x14ac:dyDescent="0.2">
      <c r="B1565" s="16"/>
      <c r="W1565"/>
      <c r="X1565"/>
    </row>
    <row r="1566" spans="2:24" x14ac:dyDescent="0.2">
      <c r="C1566" s="16"/>
      <c r="M1566" s="18"/>
      <c r="N1566"/>
      <c r="O1566"/>
      <c r="P1566"/>
      <c r="Q1566"/>
      <c r="R1566"/>
      <c r="S1566"/>
      <c r="T1566"/>
      <c r="U1566"/>
      <c r="V1566"/>
    </row>
    <row r="1567" spans="2:24" x14ac:dyDescent="0.2">
      <c r="B1567" s="16"/>
      <c r="W1567"/>
      <c r="X1567"/>
    </row>
    <row r="1568" spans="2:24" x14ac:dyDescent="0.2">
      <c r="C1568" s="16"/>
      <c r="M1568" s="18"/>
      <c r="N1568"/>
      <c r="O1568"/>
      <c r="P1568"/>
      <c r="Q1568"/>
      <c r="R1568"/>
      <c r="S1568"/>
      <c r="T1568"/>
      <c r="U1568"/>
      <c r="V1568"/>
    </row>
    <row r="1569" spans="2:24" x14ac:dyDescent="0.2">
      <c r="B1569" s="16"/>
      <c r="W1569"/>
      <c r="X1569"/>
    </row>
    <row r="1570" spans="2:24" x14ac:dyDescent="0.2">
      <c r="C1570" s="16"/>
      <c r="M1570" s="18"/>
      <c r="N1570"/>
      <c r="O1570"/>
      <c r="P1570"/>
      <c r="Q1570"/>
      <c r="R1570"/>
      <c r="S1570"/>
      <c r="T1570"/>
      <c r="U1570"/>
      <c r="V1570"/>
    </row>
    <row r="1571" spans="2:24" x14ac:dyDescent="0.2">
      <c r="B1571" s="16"/>
      <c r="W1571"/>
      <c r="X1571"/>
    </row>
    <row r="1572" spans="2:24" x14ac:dyDescent="0.2">
      <c r="C1572" s="16"/>
      <c r="M1572" s="18"/>
      <c r="N1572"/>
      <c r="O1572"/>
      <c r="P1572"/>
      <c r="Q1572"/>
      <c r="R1572"/>
      <c r="S1572"/>
      <c r="T1572"/>
      <c r="U1572"/>
      <c r="V1572"/>
    </row>
    <row r="1573" spans="2:24" x14ac:dyDescent="0.2">
      <c r="B1573" s="16"/>
      <c r="W1573"/>
      <c r="X1573"/>
    </row>
    <row r="1574" spans="2:24" x14ac:dyDescent="0.2">
      <c r="C1574" s="16"/>
      <c r="M1574" s="18"/>
      <c r="N1574"/>
      <c r="O1574"/>
      <c r="P1574"/>
      <c r="Q1574"/>
      <c r="R1574"/>
      <c r="S1574"/>
      <c r="T1574"/>
      <c r="U1574"/>
      <c r="V1574"/>
    </row>
    <row r="1575" spans="2:24" x14ac:dyDescent="0.2">
      <c r="B1575" s="16"/>
      <c r="W1575"/>
      <c r="X1575"/>
    </row>
    <row r="1576" spans="2:24" x14ac:dyDescent="0.2">
      <c r="C1576" s="16"/>
      <c r="M1576" s="18"/>
      <c r="N1576"/>
      <c r="O1576"/>
      <c r="P1576"/>
      <c r="Q1576"/>
      <c r="R1576"/>
      <c r="S1576"/>
      <c r="T1576"/>
      <c r="U1576"/>
      <c r="V1576"/>
    </row>
    <row r="1577" spans="2:24" x14ac:dyDescent="0.2">
      <c r="B1577" s="16"/>
      <c r="W1577"/>
      <c r="X1577"/>
    </row>
    <row r="1578" spans="2:24" x14ac:dyDescent="0.2">
      <c r="C1578" s="16"/>
      <c r="M1578" s="18"/>
      <c r="N1578"/>
      <c r="O1578"/>
      <c r="P1578"/>
      <c r="Q1578"/>
      <c r="R1578"/>
      <c r="S1578"/>
      <c r="T1578"/>
      <c r="U1578"/>
      <c r="V1578"/>
    </row>
    <row r="1579" spans="2:24" x14ac:dyDescent="0.2">
      <c r="B1579" s="16"/>
      <c r="W1579"/>
      <c r="X1579"/>
    </row>
    <row r="1580" spans="2:24" x14ac:dyDescent="0.2">
      <c r="C1580" s="16"/>
      <c r="M1580" s="18"/>
      <c r="N1580"/>
      <c r="O1580"/>
      <c r="P1580"/>
      <c r="Q1580"/>
      <c r="R1580"/>
      <c r="S1580"/>
      <c r="T1580"/>
      <c r="U1580"/>
      <c r="V1580"/>
    </row>
    <row r="1581" spans="2:24" x14ac:dyDescent="0.2">
      <c r="B1581" s="16"/>
      <c r="W1581"/>
      <c r="X1581"/>
    </row>
    <row r="1582" spans="2:24" x14ac:dyDescent="0.2">
      <c r="C1582" s="16"/>
      <c r="M1582" s="18"/>
      <c r="N1582"/>
      <c r="O1582"/>
      <c r="P1582"/>
      <c r="Q1582"/>
      <c r="R1582"/>
      <c r="S1582"/>
      <c r="T1582"/>
      <c r="U1582"/>
      <c r="V1582"/>
    </row>
    <row r="1583" spans="2:24" x14ac:dyDescent="0.2">
      <c r="B1583" s="16"/>
      <c r="W1583"/>
      <c r="X1583"/>
    </row>
    <row r="1584" spans="2:24" x14ac:dyDescent="0.2">
      <c r="C1584" s="16"/>
      <c r="M1584" s="18"/>
      <c r="N1584"/>
      <c r="O1584"/>
      <c r="P1584"/>
      <c r="Q1584"/>
      <c r="R1584"/>
      <c r="S1584"/>
      <c r="T1584"/>
      <c r="U1584"/>
      <c r="V1584"/>
    </row>
    <row r="1585" spans="2:24" x14ac:dyDescent="0.2">
      <c r="B1585" s="16"/>
      <c r="W1585"/>
      <c r="X1585"/>
    </row>
    <row r="1586" spans="2:24" x14ac:dyDescent="0.2">
      <c r="C1586" s="16"/>
      <c r="M1586" s="18"/>
      <c r="N1586"/>
      <c r="O1586"/>
      <c r="P1586"/>
      <c r="Q1586"/>
      <c r="R1586"/>
      <c r="S1586"/>
      <c r="T1586"/>
      <c r="U1586"/>
      <c r="V1586"/>
    </row>
    <row r="1587" spans="2:24" x14ac:dyDescent="0.2">
      <c r="B1587" s="16"/>
      <c r="W1587"/>
      <c r="X1587"/>
    </row>
    <row r="1588" spans="2:24" x14ac:dyDescent="0.2">
      <c r="C1588" s="16"/>
      <c r="M1588" s="18"/>
      <c r="N1588"/>
      <c r="O1588"/>
      <c r="P1588"/>
      <c r="Q1588"/>
      <c r="R1588"/>
      <c r="S1588"/>
      <c r="T1588"/>
      <c r="U1588"/>
      <c r="V1588"/>
    </row>
    <row r="1589" spans="2:24" x14ac:dyDescent="0.2">
      <c r="B1589" s="16"/>
      <c r="W1589"/>
      <c r="X1589"/>
    </row>
    <row r="1590" spans="2:24" x14ac:dyDescent="0.2">
      <c r="C1590" s="16"/>
      <c r="M1590" s="18"/>
      <c r="N1590"/>
      <c r="O1590"/>
      <c r="P1590"/>
      <c r="Q1590"/>
      <c r="R1590"/>
      <c r="S1590"/>
      <c r="T1590"/>
      <c r="U1590"/>
      <c r="V1590"/>
    </row>
    <row r="1591" spans="2:24" x14ac:dyDescent="0.2">
      <c r="B1591" s="16"/>
      <c r="W1591"/>
      <c r="X1591"/>
    </row>
    <row r="1592" spans="2:24" x14ac:dyDescent="0.2">
      <c r="C1592" s="16"/>
      <c r="M1592" s="18"/>
      <c r="N1592"/>
      <c r="O1592"/>
      <c r="P1592"/>
      <c r="Q1592"/>
      <c r="R1592"/>
      <c r="S1592"/>
      <c r="T1592"/>
      <c r="U1592"/>
      <c r="V1592"/>
    </row>
    <row r="1593" spans="2:24" x14ac:dyDescent="0.2">
      <c r="B1593" s="16"/>
      <c r="W1593"/>
      <c r="X1593"/>
    </row>
    <row r="1594" spans="2:24" x14ac:dyDescent="0.2">
      <c r="C1594" s="16"/>
      <c r="M1594" s="18"/>
      <c r="N1594"/>
      <c r="O1594"/>
      <c r="P1594"/>
      <c r="Q1594"/>
      <c r="R1594"/>
      <c r="S1594"/>
      <c r="T1594"/>
      <c r="U1594"/>
      <c r="V1594"/>
    </row>
    <row r="1595" spans="2:24" x14ac:dyDescent="0.2">
      <c r="B1595" s="16"/>
      <c r="W1595"/>
      <c r="X1595"/>
    </row>
    <row r="1596" spans="2:24" x14ac:dyDescent="0.2">
      <c r="C1596" s="16"/>
      <c r="M1596" s="18"/>
      <c r="N1596"/>
      <c r="O1596"/>
      <c r="P1596"/>
      <c r="Q1596"/>
      <c r="R1596"/>
      <c r="S1596"/>
      <c r="T1596"/>
      <c r="U1596"/>
      <c r="V1596"/>
    </row>
    <row r="1597" spans="2:24" x14ac:dyDescent="0.2">
      <c r="B1597" s="16"/>
      <c r="W1597"/>
      <c r="X1597"/>
    </row>
    <row r="1598" spans="2:24" x14ac:dyDescent="0.2">
      <c r="C1598" s="16"/>
      <c r="M1598" s="18"/>
      <c r="N1598"/>
      <c r="O1598"/>
      <c r="P1598"/>
      <c r="Q1598"/>
      <c r="R1598"/>
      <c r="S1598"/>
      <c r="T1598"/>
      <c r="U1598"/>
      <c r="V1598"/>
    </row>
    <row r="1599" spans="2:24" x14ac:dyDescent="0.2">
      <c r="B1599" s="16"/>
      <c r="W1599"/>
      <c r="X1599"/>
    </row>
    <row r="1600" spans="2:24" x14ac:dyDescent="0.2">
      <c r="C1600" s="16"/>
      <c r="M1600" s="18"/>
      <c r="N1600"/>
      <c r="O1600"/>
      <c r="P1600"/>
      <c r="Q1600"/>
      <c r="R1600"/>
      <c r="S1600"/>
      <c r="T1600"/>
      <c r="U1600"/>
      <c r="V1600"/>
    </row>
    <row r="1601" spans="2:24" x14ac:dyDescent="0.2">
      <c r="B1601" s="16"/>
      <c r="W1601"/>
      <c r="X1601"/>
    </row>
    <row r="1602" spans="2:24" x14ac:dyDescent="0.2">
      <c r="C1602" s="16"/>
      <c r="M1602" s="18"/>
      <c r="N1602"/>
      <c r="O1602"/>
      <c r="P1602"/>
      <c r="Q1602"/>
      <c r="R1602"/>
      <c r="S1602"/>
      <c r="T1602"/>
      <c r="U1602"/>
      <c r="V1602"/>
    </row>
    <row r="1603" spans="2:24" x14ac:dyDescent="0.2">
      <c r="B1603" s="16"/>
      <c r="W1603"/>
      <c r="X1603"/>
    </row>
    <row r="1604" spans="2:24" x14ac:dyDescent="0.2">
      <c r="C1604" s="16"/>
      <c r="M1604" s="18"/>
      <c r="N1604"/>
      <c r="O1604"/>
      <c r="P1604"/>
      <c r="Q1604"/>
      <c r="R1604"/>
      <c r="S1604"/>
      <c r="T1604"/>
      <c r="U1604"/>
      <c r="V1604"/>
    </row>
    <row r="1605" spans="2:24" x14ac:dyDescent="0.2">
      <c r="B1605" s="16"/>
      <c r="W1605"/>
      <c r="X1605"/>
    </row>
    <row r="1606" spans="2:24" x14ac:dyDescent="0.2">
      <c r="C1606" s="16"/>
      <c r="M1606" s="18"/>
      <c r="N1606"/>
      <c r="O1606"/>
      <c r="P1606"/>
      <c r="Q1606"/>
      <c r="R1606"/>
      <c r="S1606"/>
      <c r="T1606"/>
      <c r="U1606"/>
      <c r="V1606"/>
    </row>
    <row r="1607" spans="2:24" x14ac:dyDescent="0.2">
      <c r="B1607" s="16"/>
      <c r="W1607"/>
      <c r="X1607"/>
    </row>
    <row r="1608" spans="2:24" x14ac:dyDescent="0.2">
      <c r="C1608" s="16"/>
      <c r="M1608" s="18"/>
      <c r="N1608"/>
      <c r="O1608"/>
      <c r="P1608"/>
      <c r="Q1608"/>
      <c r="R1608"/>
      <c r="S1608"/>
      <c r="T1608"/>
      <c r="U1608"/>
      <c r="V1608"/>
    </row>
    <row r="1609" spans="2:24" x14ac:dyDescent="0.2">
      <c r="B1609" s="16"/>
      <c r="W1609"/>
      <c r="X1609"/>
    </row>
    <row r="1610" spans="2:24" x14ac:dyDescent="0.2">
      <c r="C1610" s="16"/>
      <c r="M1610" s="18"/>
      <c r="N1610"/>
      <c r="O1610"/>
      <c r="P1610"/>
      <c r="Q1610"/>
      <c r="R1610"/>
      <c r="S1610"/>
      <c r="T1610"/>
      <c r="U1610"/>
      <c r="V1610"/>
    </row>
    <row r="1611" spans="2:24" x14ac:dyDescent="0.2">
      <c r="B1611" s="16"/>
      <c r="W1611"/>
      <c r="X1611"/>
    </row>
    <row r="1612" spans="2:24" x14ac:dyDescent="0.2">
      <c r="C1612" s="16"/>
      <c r="M1612" s="18"/>
      <c r="N1612"/>
      <c r="O1612"/>
      <c r="P1612"/>
      <c r="Q1612"/>
      <c r="R1612"/>
      <c r="S1612"/>
      <c r="T1612"/>
      <c r="U1612"/>
      <c r="V1612"/>
    </row>
    <row r="1613" spans="2:24" x14ac:dyDescent="0.2">
      <c r="B1613" s="16"/>
      <c r="W1613"/>
      <c r="X1613"/>
    </row>
    <row r="1614" spans="2:24" x14ac:dyDescent="0.2">
      <c r="C1614" s="16"/>
      <c r="M1614" s="18"/>
      <c r="N1614"/>
      <c r="O1614"/>
      <c r="P1614"/>
      <c r="Q1614"/>
      <c r="R1614"/>
      <c r="S1614"/>
      <c r="T1614"/>
      <c r="U1614"/>
      <c r="V1614"/>
    </row>
    <row r="1615" spans="2:24" x14ac:dyDescent="0.2">
      <c r="B1615" s="16"/>
      <c r="W1615"/>
      <c r="X1615"/>
    </row>
    <row r="1616" spans="2:24" x14ac:dyDescent="0.2">
      <c r="C1616" s="16"/>
      <c r="M1616" s="18"/>
      <c r="N1616"/>
      <c r="O1616"/>
      <c r="P1616"/>
      <c r="Q1616"/>
      <c r="R1616"/>
      <c r="S1616"/>
      <c r="T1616"/>
      <c r="U1616"/>
      <c r="V1616"/>
    </row>
    <row r="1617" spans="2:24" x14ac:dyDescent="0.2">
      <c r="B1617" s="16"/>
      <c r="W1617"/>
      <c r="X1617"/>
    </row>
    <row r="1618" spans="2:24" x14ac:dyDescent="0.2">
      <c r="C1618" s="16"/>
      <c r="M1618" s="18"/>
      <c r="N1618"/>
      <c r="O1618"/>
      <c r="P1618"/>
      <c r="Q1618"/>
      <c r="R1618"/>
      <c r="S1618"/>
      <c r="T1618"/>
      <c r="U1618"/>
      <c r="V1618"/>
    </row>
    <row r="1619" spans="2:24" x14ac:dyDescent="0.2">
      <c r="B1619" s="16"/>
      <c r="W1619"/>
      <c r="X1619"/>
    </row>
    <row r="1620" spans="2:24" x14ac:dyDescent="0.2">
      <c r="C1620" s="16"/>
      <c r="M1620" s="18"/>
      <c r="N1620"/>
      <c r="O1620"/>
      <c r="P1620"/>
      <c r="Q1620"/>
      <c r="R1620"/>
      <c r="S1620"/>
      <c r="T1620"/>
      <c r="U1620"/>
      <c r="V1620"/>
    </row>
    <row r="1621" spans="2:24" x14ac:dyDescent="0.2">
      <c r="B1621" s="16"/>
      <c r="W1621"/>
      <c r="X1621"/>
    </row>
    <row r="1622" spans="2:24" x14ac:dyDescent="0.2">
      <c r="C1622" s="16"/>
      <c r="M1622" s="18"/>
      <c r="N1622"/>
      <c r="O1622"/>
      <c r="P1622"/>
      <c r="Q1622"/>
      <c r="R1622"/>
      <c r="S1622"/>
      <c r="T1622"/>
      <c r="U1622"/>
      <c r="V1622"/>
    </row>
    <row r="1623" spans="2:24" x14ac:dyDescent="0.2">
      <c r="B1623" s="16"/>
      <c r="W1623"/>
      <c r="X1623"/>
    </row>
    <row r="1624" spans="2:24" x14ac:dyDescent="0.2">
      <c r="C1624" s="16"/>
      <c r="M1624" s="18"/>
      <c r="N1624"/>
      <c r="O1624"/>
      <c r="P1624"/>
      <c r="Q1624"/>
      <c r="R1624"/>
      <c r="S1624"/>
      <c r="T1624"/>
      <c r="U1624"/>
      <c r="V1624"/>
    </row>
    <row r="1625" spans="2:24" x14ac:dyDescent="0.2">
      <c r="B1625" s="16"/>
      <c r="W1625"/>
      <c r="X1625"/>
    </row>
    <row r="1626" spans="2:24" x14ac:dyDescent="0.2">
      <c r="C1626" s="16"/>
      <c r="M1626" s="18"/>
      <c r="N1626"/>
      <c r="O1626"/>
      <c r="P1626"/>
      <c r="Q1626"/>
      <c r="R1626"/>
      <c r="S1626"/>
      <c r="T1626"/>
      <c r="U1626"/>
      <c r="V1626"/>
    </row>
    <row r="1627" spans="2:24" x14ac:dyDescent="0.2">
      <c r="B1627" s="16"/>
      <c r="W1627"/>
      <c r="X1627"/>
    </row>
    <row r="1628" spans="2:24" x14ac:dyDescent="0.2">
      <c r="C1628" s="16"/>
      <c r="M1628" s="18"/>
      <c r="N1628"/>
      <c r="O1628"/>
      <c r="P1628"/>
      <c r="Q1628"/>
      <c r="R1628"/>
      <c r="S1628"/>
      <c r="T1628"/>
      <c r="U1628"/>
      <c r="V1628"/>
    </row>
    <row r="1629" spans="2:24" x14ac:dyDescent="0.2">
      <c r="B1629" s="16"/>
      <c r="W1629"/>
      <c r="X1629"/>
    </row>
    <row r="1630" spans="2:24" x14ac:dyDescent="0.2">
      <c r="C1630" s="16"/>
      <c r="M1630" s="18"/>
      <c r="N1630"/>
      <c r="O1630"/>
      <c r="P1630"/>
      <c r="Q1630"/>
      <c r="R1630"/>
      <c r="S1630"/>
      <c r="T1630"/>
      <c r="U1630"/>
      <c r="V1630"/>
    </row>
    <row r="1631" spans="2:24" x14ac:dyDescent="0.2">
      <c r="B1631" s="16"/>
      <c r="W1631"/>
      <c r="X1631"/>
    </row>
    <row r="1632" spans="2:24" x14ac:dyDescent="0.2">
      <c r="C1632" s="16"/>
      <c r="M1632" s="18"/>
      <c r="N1632"/>
      <c r="O1632"/>
      <c r="P1632"/>
      <c r="Q1632"/>
      <c r="R1632"/>
      <c r="S1632"/>
      <c r="T1632"/>
      <c r="U1632"/>
      <c r="V1632"/>
    </row>
    <row r="1633" spans="2:24" x14ac:dyDescent="0.2">
      <c r="B1633" s="16"/>
      <c r="W1633"/>
      <c r="X1633"/>
    </row>
    <row r="1634" spans="2:24" x14ac:dyDescent="0.2">
      <c r="C1634" s="16"/>
      <c r="M1634" s="18"/>
      <c r="N1634"/>
      <c r="O1634"/>
      <c r="P1634"/>
      <c r="Q1634"/>
      <c r="R1634"/>
      <c r="S1634"/>
      <c r="T1634"/>
      <c r="U1634"/>
      <c r="V1634"/>
    </row>
    <row r="1635" spans="2:24" x14ac:dyDescent="0.2">
      <c r="B1635" s="16"/>
      <c r="W1635"/>
      <c r="X1635"/>
    </row>
    <row r="1636" spans="2:24" x14ac:dyDescent="0.2">
      <c r="C1636" s="16"/>
      <c r="M1636" s="18"/>
      <c r="N1636"/>
      <c r="O1636"/>
      <c r="P1636"/>
      <c r="Q1636"/>
      <c r="R1636"/>
      <c r="S1636"/>
      <c r="T1636"/>
      <c r="U1636"/>
      <c r="V1636"/>
    </row>
    <row r="1637" spans="2:24" x14ac:dyDescent="0.2">
      <c r="B1637" s="16"/>
      <c r="W1637"/>
      <c r="X1637"/>
    </row>
    <row r="1638" spans="2:24" x14ac:dyDescent="0.2">
      <c r="C1638" s="16"/>
      <c r="M1638" s="18"/>
      <c r="N1638"/>
      <c r="O1638"/>
      <c r="P1638"/>
      <c r="Q1638"/>
      <c r="R1638"/>
      <c r="S1638"/>
      <c r="T1638"/>
      <c r="U1638"/>
      <c r="V1638"/>
    </row>
    <row r="1639" spans="2:24" x14ac:dyDescent="0.2">
      <c r="B1639" s="16"/>
      <c r="W1639"/>
      <c r="X1639"/>
    </row>
    <row r="1640" spans="2:24" x14ac:dyDescent="0.2">
      <c r="C1640" s="16"/>
      <c r="M1640" s="18"/>
      <c r="N1640"/>
      <c r="O1640"/>
      <c r="P1640"/>
      <c r="Q1640"/>
      <c r="R1640"/>
      <c r="S1640"/>
      <c r="T1640"/>
      <c r="U1640"/>
      <c r="V1640"/>
    </row>
    <row r="1641" spans="2:24" x14ac:dyDescent="0.2">
      <c r="B1641" s="16"/>
      <c r="W1641"/>
      <c r="X1641"/>
    </row>
    <row r="1642" spans="2:24" x14ac:dyDescent="0.2">
      <c r="C1642" s="16"/>
      <c r="M1642" s="18"/>
      <c r="N1642"/>
      <c r="O1642"/>
      <c r="P1642"/>
      <c r="Q1642"/>
      <c r="R1642"/>
      <c r="S1642"/>
      <c r="T1642"/>
      <c r="U1642"/>
      <c r="V1642"/>
    </row>
    <row r="1643" spans="2:24" x14ac:dyDescent="0.2">
      <c r="B1643" s="16"/>
      <c r="W1643"/>
      <c r="X1643"/>
    </row>
    <row r="1644" spans="2:24" x14ac:dyDescent="0.2">
      <c r="C1644" s="16"/>
      <c r="M1644" s="18"/>
      <c r="N1644"/>
      <c r="O1644"/>
      <c r="P1644"/>
      <c r="Q1644"/>
      <c r="R1644"/>
      <c r="S1644"/>
      <c r="T1644"/>
      <c r="U1644"/>
      <c r="V1644"/>
    </row>
    <row r="1645" spans="2:24" x14ac:dyDescent="0.2">
      <c r="B1645" s="16"/>
      <c r="W1645"/>
      <c r="X1645"/>
    </row>
    <row r="1646" spans="2:24" x14ac:dyDescent="0.2">
      <c r="C1646" s="16"/>
      <c r="M1646" s="18"/>
      <c r="N1646"/>
      <c r="O1646"/>
      <c r="P1646"/>
      <c r="Q1646"/>
      <c r="R1646"/>
      <c r="S1646"/>
      <c r="T1646"/>
      <c r="U1646"/>
      <c r="V1646"/>
    </row>
    <row r="1647" spans="2:24" x14ac:dyDescent="0.2">
      <c r="B1647" s="16"/>
      <c r="W1647"/>
      <c r="X1647"/>
    </row>
    <row r="1648" spans="2:24" x14ac:dyDescent="0.2">
      <c r="C1648" s="16"/>
      <c r="M1648" s="18"/>
      <c r="N1648"/>
      <c r="O1648"/>
      <c r="P1648"/>
      <c r="Q1648"/>
      <c r="R1648"/>
      <c r="S1648"/>
      <c r="T1648"/>
      <c r="U1648"/>
      <c r="V1648"/>
    </row>
    <row r="1649" spans="2:24" x14ac:dyDescent="0.2">
      <c r="B1649" s="16"/>
      <c r="W1649"/>
      <c r="X1649"/>
    </row>
    <row r="1650" spans="2:24" x14ac:dyDescent="0.2">
      <c r="C1650" s="16"/>
      <c r="M1650" s="18"/>
      <c r="N1650"/>
      <c r="O1650"/>
      <c r="P1650"/>
      <c r="Q1650"/>
      <c r="R1650"/>
      <c r="S1650"/>
      <c r="T1650"/>
      <c r="U1650"/>
      <c r="V1650"/>
    </row>
    <row r="1651" spans="2:24" x14ac:dyDescent="0.2">
      <c r="B1651" s="16"/>
      <c r="W1651"/>
      <c r="X1651"/>
    </row>
    <row r="1652" spans="2:24" x14ac:dyDescent="0.2">
      <c r="C1652" s="16"/>
      <c r="M1652" s="18"/>
      <c r="N1652"/>
      <c r="O1652"/>
      <c r="P1652"/>
      <c r="Q1652"/>
      <c r="R1652"/>
      <c r="S1652"/>
      <c r="T1652"/>
      <c r="U1652"/>
      <c r="V1652"/>
    </row>
    <row r="1653" spans="2:24" x14ac:dyDescent="0.2">
      <c r="B1653" s="16"/>
      <c r="W1653"/>
      <c r="X1653"/>
    </row>
    <row r="1654" spans="2:24" x14ac:dyDescent="0.2">
      <c r="C1654" s="16"/>
      <c r="M1654" s="18"/>
      <c r="N1654"/>
      <c r="O1654"/>
      <c r="P1654"/>
      <c r="Q1654"/>
      <c r="R1654"/>
      <c r="S1654"/>
      <c r="T1654"/>
      <c r="U1654"/>
      <c r="V1654"/>
    </row>
    <row r="1655" spans="2:24" x14ac:dyDescent="0.2">
      <c r="B1655" s="16"/>
      <c r="W1655"/>
      <c r="X1655"/>
    </row>
    <row r="1656" spans="2:24" x14ac:dyDescent="0.2">
      <c r="C1656" s="16"/>
      <c r="M1656" s="18"/>
      <c r="N1656"/>
      <c r="O1656"/>
      <c r="P1656"/>
      <c r="Q1656"/>
      <c r="R1656"/>
      <c r="S1656"/>
      <c r="T1656"/>
      <c r="U1656"/>
      <c r="V1656"/>
    </row>
    <row r="1657" spans="2:24" x14ac:dyDescent="0.2">
      <c r="B1657" s="16"/>
      <c r="W1657"/>
      <c r="X1657"/>
    </row>
    <row r="1658" spans="2:24" x14ac:dyDescent="0.2">
      <c r="C1658" s="16"/>
      <c r="M1658" s="18"/>
      <c r="N1658"/>
      <c r="O1658"/>
      <c r="P1658"/>
      <c r="Q1658"/>
      <c r="R1658"/>
      <c r="S1658"/>
      <c r="T1658"/>
      <c r="U1658"/>
      <c r="V1658"/>
    </row>
    <row r="1659" spans="2:24" x14ac:dyDescent="0.2">
      <c r="B1659" s="16"/>
      <c r="W1659"/>
      <c r="X1659"/>
    </row>
    <row r="1660" spans="2:24" x14ac:dyDescent="0.2">
      <c r="C1660" s="16"/>
      <c r="M1660" s="18"/>
      <c r="N1660"/>
      <c r="O1660"/>
      <c r="P1660"/>
      <c r="Q1660"/>
      <c r="R1660"/>
      <c r="S1660"/>
      <c r="T1660"/>
      <c r="U1660"/>
      <c r="V1660"/>
    </row>
    <row r="1661" spans="2:24" x14ac:dyDescent="0.2">
      <c r="B1661" s="16"/>
      <c r="W1661"/>
      <c r="X1661"/>
    </row>
    <row r="1662" spans="2:24" x14ac:dyDescent="0.2">
      <c r="C1662" s="16"/>
      <c r="M1662" s="18"/>
      <c r="N1662"/>
      <c r="O1662"/>
      <c r="P1662"/>
      <c r="Q1662"/>
      <c r="R1662"/>
      <c r="S1662"/>
      <c r="T1662"/>
      <c r="U1662"/>
      <c r="V1662"/>
    </row>
    <row r="1663" spans="2:24" x14ac:dyDescent="0.2">
      <c r="B1663" s="16"/>
      <c r="W1663"/>
      <c r="X1663"/>
    </row>
    <row r="1664" spans="2:24" x14ac:dyDescent="0.2">
      <c r="C1664" s="16"/>
      <c r="M1664" s="18"/>
      <c r="N1664"/>
      <c r="O1664"/>
      <c r="P1664"/>
      <c r="Q1664"/>
      <c r="R1664"/>
      <c r="S1664"/>
      <c r="T1664"/>
      <c r="U1664"/>
      <c r="V1664"/>
    </row>
    <row r="1665" spans="2:24" x14ac:dyDescent="0.2">
      <c r="B1665" s="16"/>
      <c r="W1665"/>
      <c r="X1665"/>
    </row>
    <row r="1666" spans="2:24" x14ac:dyDescent="0.2">
      <c r="C1666" s="16"/>
      <c r="M1666" s="18"/>
      <c r="N1666"/>
      <c r="O1666"/>
      <c r="P1666"/>
      <c r="Q1666"/>
      <c r="R1666"/>
      <c r="S1666"/>
      <c r="T1666"/>
      <c r="U1666"/>
      <c r="V1666"/>
    </row>
    <row r="1667" spans="2:24" x14ac:dyDescent="0.2">
      <c r="B1667" s="16"/>
      <c r="W1667"/>
      <c r="X1667"/>
    </row>
    <row r="1668" spans="2:24" x14ac:dyDescent="0.2">
      <c r="C1668" s="16"/>
      <c r="M1668" s="18"/>
      <c r="N1668"/>
      <c r="O1668"/>
      <c r="P1668"/>
      <c r="Q1668"/>
      <c r="R1668"/>
      <c r="S1668"/>
      <c r="T1668"/>
      <c r="U1668"/>
      <c r="V1668"/>
    </row>
    <row r="1669" spans="2:24" x14ac:dyDescent="0.2">
      <c r="B1669" s="16"/>
      <c r="W1669"/>
      <c r="X1669"/>
    </row>
    <row r="1670" spans="2:24" x14ac:dyDescent="0.2">
      <c r="C1670" s="16"/>
      <c r="M1670" s="18"/>
      <c r="N1670"/>
      <c r="O1670"/>
      <c r="P1670"/>
      <c r="Q1670"/>
      <c r="R1670"/>
      <c r="S1670"/>
      <c r="T1670"/>
      <c r="U1670"/>
      <c r="V1670"/>
    </row>
    <row r="1671" spans="2:24" x14ac:dyDescent="0.2">
      <c r="B1671" s="16"/>
      <c r="W1671"/>
      <c r="X1671"/>
    </row>
    <row r="1672" spans="2:24" x14ac:dyDescent="0.2">
      <c r="C1672" s="16"/>
      <c r="M1672" s="18"/>
      <c r="N1672"/>
      <c r="O1672"/>
      <c r="P1672"/>
      <c r="Q1672"/>
      <c r="R1672"/>
      <c r="S1672"/>
      <c r="T1672"/>
      <c r="U1672"/>
      <c r="V1672"/>
    </row>
    <row r="1673" spans="2:24" x14ac:dyDescent="0.2">
      <c r="B1673" s="16"/>
      <c r="W1673"/>
      <c r="X1673"/>
    </row>
    <row r="1674" spans="2:24" x14ac:dyDescent="0.2">
      <c r="C1674" s="16"/>
      <c r="M1674" s="18"/>
      <c r="N1674"/>
      <c r="O1674"/>
      <c r="P1674"/>
      <c r="Q1674"/>
      <c r="R1674"/>
      <c r="S1674"/>
      <c r="T1674"/>
      <c r="U1674"/>
      <c r="V1674"/>
    </row>
    <row r="1675" spans="2:24" x14ac:dyDescent="0.2">
      <c r="B1675" s="16"/>
      <c r="W1675"/>
      <c r="X1675"/>
    </row>
    <row r="1676" spans="2:24" x14ac:dyDescent="0.2">
      <c r="C1676" s="16"/>
      <c r="M1676" s="18"/>
      <c r="N1676"/>
      <c r="O1676"/>
      <c r="P1676"/>
      <c r="Q1676"/>
      <c r="R1676"/>
      <c r="S1676"/>
      <c r="T1676"/>
      <c r="U1676"/>
      <c r="V1676"/>
    </row>
    <row r="1677" spans="2:24" x14ac:dyDescent="0.2">
      <c r="B1677" s="16"/>
      <c r="W1677"/>
      <c r="X1677"/>
    </row>
    <row r="1678" spans="2:24" x14ac:dyDescent="0.2">
      <c r="C1678" s="16"/>
      <c r="M1678" s="18"/>
      <c r="N1678"/>
      <c r="O1678"/>
      <c r="P1678"/>
      <c r="Q1678"/>
      <c r="R1678"/>
      <c r="S1678"/>
      <c r="T1678"/>
      <c r="U1678"/>
      <c r="V1678"/>
    </row>
    <row r="1679" spans="2:24" x14ac:dyDescent="0.2">
      <c r="B1679" s="16"/>
      <c r="W1679"/>
      <c r="X1679"/>
    </row>
    <row r="1680" spans="2:24" x14ac:dyDescent="0.2">
      <c r="C1680" s="16"/>
      <c r="M1680" s="18"/>
      <c r="N1680"/>
      <c r="O1680"/>
      <c r="P1680"/>
      <c r="Q1680"/>
      <c r="R1680"/>
      <c r="S1680"/>
      <c r="T1680"/>
      <c r="U1680"/>
      <c r="V1680"/>
    </row>
    <row r="1681" spans="2:24" x14ac:dyDescent="0.2">
      <c r="B1681" s="16"/>
      <c r="W1681"/>
      <c r="X1681"/>
    </row>
    <row r="1682" spans="2:24" x14ac:dyDescent="0.2">
      <c r="C1682" s="16"/>
      <c r="M1682" s="18"/>
      <c r="N1682"/>
      <c r="O1682"/>
      <c r="P1682"/>
      <c r="Q1682"/>
      <c r="R1682"/>
      <c r="S1682"/>
      <c r="T1682"/>
      <c r="U1682"/>
      <c r="V1682"/>
    </row>
    <row r="1683" spans="2:24" x14ac:dyDescent="0.2">
      <c r="B1683" s="16"/>
      <c r="W1683"/>
      <c r="X1683"/>
    </row>
    <row r="1684" spans="2:24" x14ac:dyDescent="0.2">
      <c r="C1684" s="16"/>
      <c r="M1684" s="18"/>
      <c r="N1684"/>
      <c r="O1684"/>
      <c r="P1684"/>
      <c r="Q1684"/>
      <c r="R1684"/>
      <c r="S1684"/>
      <c r="T1684"/>
      <c r="U1684"/>
      <c r="V1684"/>
    </row>
    <row r="1685" spans="2:24" x14ac:dyDescent="0.2">
      <c r="B1685" s="16"/>
      <c r="W1685"/>
      <c r="X1685"/>
    </row>
    <row r="1686" spans="2:24" x14ac:dyDescent="0.2">
      <c r="C1686" s="16"/>
      <c r="M1686" s="18"/>
      <c r="N1686"/>
      <c r="O1686"/>
      <c r="P1686"/>
      <c r="Q1686"/>
      <c r="R1686"/>
      <c r="S1686"/>
      <c r="T1686"/>
      <c r="U1686"/>
      <c r="V1686"/>
    </row>
    <row r="1687" spans="2:24" x14ac:dyDescent="0.2">
      <c r="B1687" s="16"/>
      <c r="W1687"/>
      <c r="X1687"/>
    </row>
    <row r="1688" spans="2:24" x14ac:dyDescent="0.2">
      <c r="C1688" s="16"/>
      <c r="M1688" s="18"/>
      <c r="N1688"/>
      <c r="O1688"/>
      <c r="P1688"/>
      <c r="Q1688"/>
      <c r="R1688"/>
      <c r="S1688"/>
      <c r="T1688"/>
      <c r="U1688"/>
      <c r="V1688"/>
    </row>
    <row r="1689" spans="2:24" x14ac:dyDescent="0.2">
      <c r="B1689" s="16"/>
      <c r="W1689"/>
      <c r="X1689"/>
    </row>
    <row r="1690" spans="2:24" x14ac:dyDescent="0.2">
      <c r="C1690" s="16"/>
      <c r="M1690" s="18"/>
      <c r="N1690"/>
      <c r="O1690"/>
      <c r="P1690"/>
      <c r="Q1690"/>
      <c r="R1690"/>
      <c r="S1690"/>
      <c r="T1690"/>
      <c r="U1690"/>
      <c r="V1690"/>
    </row>
    <row r="1691" spans="2:24" x14ac:dyDescent="0.2">
      <c r="B1691" s="16"/>
      <c r="W1691"/>
      <c r="X1691"/>
    </row>
    <row r="1692" spans="2:24" x14ac:dyDescent="0.2">
      <c r="C1692" s="16"/>
      <c r="M1692" s="18"/>
      <c r="N1692"/>
      <c r="O1692"/>
      <c r="P1692"/>
      <c r="Q1692"/>
      <c r="R1692"/>
      <c r="S1692"/>
      <c r="T1692"/>
      <c r="U1692"/>
      <c r="V1692"/>
    </row>
    <row r="1693" spans="2:24" x14ac:dyDescent="0.2">
      <c r="B1693" s="16"/>
      <c r="W1693"/>
      <c r="X1693"/>
    </row>
    <row r="1694" spans="2:24" x14ac:dyDescent="0.2">
      <c r="C1694" s="16"/>
      <c r="M1694" s="18"/>
      <c r="N1694"/>
      <c r="O1694"/>
      <c r="P1694"/>
      <c r="Q1694"/>
      <c r="R1694"/>
      <c r="S1694"/>
      <c r="T1694"/>
      <c r="U1694"/>
      <c r="V1694"/>
    </row>
    <row r="1695" spans="2:24" x14ac:dyDescent="0.2">
      <c r="B1695" s="16"/>
      <c r="W1695"/>
      <c r="X1695"/>
    </row>
    <row r="1696" spans="2:24" x14ac:dyDescent="0.2">
      <c r="C1696" s="16"/>
      <c r="M1696" s="18"/>
      <c r="N1696"/>
      <c r="O1696"/>
      <c r="P1696"/>
      <c r="Q1696"/>
      <c r="R1696"/>
      <c r="S1696"/>
      <c r="T1696"/>
      <c r="U1696"/>
      <c r="V1696"/>
    </row>
    <row r="1697" spans="2:24" x14ac:dyDescent="0.2">
      <c r="B1697" s="16"/>
      <c r="W1697"/>
      <c r="X1697"/>
    </row>
    <row r="1698" spans="2:24" x14ac:dyDescent="0.2">
      <c r="C1698" s="16"/>
      <c r="M1698" s="18"/>
      <c r="N1698"/>
      <c r="O1698"/>
      <c r="P1698"/>
      <c r="Q1698"/>
      <c r="R1698"/>
      <c r="S1698"/>
      <c r="T1698"/>
      <c r="U1698"/>
      <c r="V1698"/>
    </row>
    <row r="1699" spans="2:24" x14ac:dyDescent="0.2">
      <c r="B1699" s="16"/>
      <c r="W1699"/>
      <c r="X1699"/>
    </row>
    <row r="1700" spans="2:24" x14ac:dyDescent="0.2">
      <c r="C1700" s="16"/>
      <c r="M1700" s="18"/>
      <c r="N1700"/>
      <c r="O1700"/>
      <c r="P1700"/>
      <c r="Q1700"/>
      <c r="R1700"/>
      <c r="S1700"/>
      <c r="T1700"/>
      <c r="U1700"/>
      <c r="V1700"/>
    </row>
    <row r="1701" spans="2:24" x14ac:dyDescent="0.2">
      <c r="B1701" s="16"/>
      <c r="W1701"/>
      <c r="X1701"/>
    </row>
    <row r="1702" spans="2:24" x14ac:dyDescent="0.2">
      <c r="C1702" s="16"/>
      <c r="M1702" s="18"/>
      <c r="N1702"/>
      <c r="O1702"/>
      <c r="P1702"/>
      <c r="Q1702"/>
      <c r="R1702"/>
      <c r="S1702"/>
      <c r="T1702"/>
      <c r="U1702"/>
      <c r="V1702"/>
    </row>
    <row r="1703" spans="2:24" x14ac:dyDescent="0.2">
      <c r="B1703" s="16"/>
      <c r="W1703"/>
      <c r="X1703"/>
    </row>
    <row r="1704" spans="2:24" x14ac:dyDescent="0.2">
      <c r="C1704" s="16"/>
      <c r="M1704" s="18"/>
      <c r="N1704"/>
      <c r="O1704"/>
      <c r="P1704"/>
      <c r="Q1704"/>
      <c r="R1704"/>
      <c r="S1704"/>
      <c r="T1704"/>
      <c r="U1704"/>
      <c r="V1704"/>
    </row>
    <row r="1705" spans="2:24" x14ac:dyDescent="0.2">
      <c r="B1705" s="16"/>
      <c r="W1705"/>
      <c r="X1705"/>
    </row>
    <row r="1706" spans="2:24" x14ac:dyDescent="0.2">
      <c r="C1706" s="16"/>
      <c r="M1706" s="18"/>
      <c r="N1706"/>
      <c r="O1706"/>
      <c r="P1706"/>
      <c r="Q1706"/>
      <c r="R1706"/>
      <c r="S1706"/>
      <c r="T1706"/>
      <c r="U1706"/>
      <c r="V1706"/>
    </row>
    <row r="1707" spans="2:24" x14ac:dyDescent="0.2">
      <c r="B1707" s="16"/>
      <c r="W1707"/>
      <c r="X1707"/>
    </row>
    <row r="1708" spans="2:24" x14ac:dyDescent="0.2">
      <c r="C1708" s="16"/>
      <c r="M1708" s="18"/>
      <c r="N1708"/>
      <c r="O1708"/>
      <c r="P1708"/>
      <c r="Q1708"/>
      <c r="R1708"/>
      <c r="S1708"/>
      <c r="T1708"/>
      <c r="U1708"/>
      <c r="V1708"/>
    </row>
    <row r="1709" spans="2:24" x14ac:dyDescent="0.2">
      <c r="B1709" s="16"/>
      <c r="W1709"/>
      <c r="X1709"/>
    </row>
    <row r="1710" spans="2:24" x14ac:dyDescent="0.2">
      <c r="C1710" s="16"/>
      <c r="M1710" s="18"/>
      <c r="N1710"/>
      <c r="O1710"/>
      <c r="P1710"/>
      <c r="Q1710"/>
      <c r="R1710"/>
      <c r="S1710"/>
      <c r="T1710"/>
      <c r="U1710"/>
      <c r="V1710"/>
    </row>
    <row r="1711" spans="2:24" x14ac:dyDescent="0.2">
      <c r="B1711" s="16"/>
      <c r="W1711"/>
      <c r="X1711"/>
    </row>
    <row r="1712" spans="2:24" x14ac:dyDescent="0.2">
      <c r="C1712" s="16"/>
      <c r="M1712" s="18"/>
      <c r="N1712"/>
      <c r="O1712"/>
      <c r="P1712"/>
      <c r="Q1712"/>
      <c r="R1712"/>
      <c r="S1712"/>
      <c r="T1712"/>
      <c r="U1712"/>
      <c r="V1712"/>
    </row>
    <row r="1713" spans="2:24" x14ac:dyDescent="0.2">
      <c r="B1713" s="16"/>
      <c r="W1713"/>
      <c r="X1713"/>
    </row>
    <row r="1714" spans="2:24" x14ac:dyDescent="0.2">
      <c r="C1714" s="16"/>
      <c r="M1714" s="18"/>
      <c r="N1714"/>
      <c r="O1714"/>
      <c r="P1714"/>
      <c r="Q1714"/>
      <c r="R1714"/>
      <c r="S1714"/>
      <c r="T1714"/>
      <c r="U1714"/>
      <c r="V1714"/>
    </row>
    <row r="1715" spans="2:24" x14ac:dyDescent="0.2">
      <c r="B1715" s="16"/>
      <c r="W1715"/>
      <c r="X1715"/>
    </row>
    <row r="1716" spans="2:24" x14ac:dyDescent="0.2">
      <c r="C1716" s="16"/>
      <c r="M1716" s="18"/>
      <c r="N1716"/>
      <c r="O1716"/>
      <c r="P1716"/>
      <c r="Q1716"/>
      <c r="R1716"/>
      <c r="S1716"/>
      <c r="T1716"/>
      <c r="U1716"/>
      <c r="V1716"/>
    </row>
    <row r="1717" spans="2:24" x14ac:dyDescent="0.2">
      <c r="B1717" s="16"/>
      <c r="W1717"/>
      <c r="X1717"/>
    </row>
    <row r="1718" spans="2:24" x14ac:dyDescent="0.2">
      <c r="C1718" s="16"/>
      <c r="M1718" s="18"/>
      <c r="N1718"/>
      <c r="O1718"/>
      <c r="P1718"/>
      <c r="Q1718"/>
      <c r="R1718"/>
      <c r="S1718"/>
      <c r="T1718"/>
      <c r="U1718"/>
      <c r="V1718"/>
    </row>
    <row r="1719" spans="2:24" x14ac:dyDescent="0.2">
      <c r="B1719" s="16"/>
      <c r="W1719"/>
      <c r="X1719"/>
    </row>
    <row r="1720" spans="2:24" x14ac:dyDescent="0.2">
      <c r="C1720" s="16"/>
      <c r="M1720" s="18"/>
      <c r="N1720"/>
      <c r="O1720"/>
      <c r="P1720"/>
      <c r="Q1720"/>
      <c r="R1720"/>
      <c r="S1720"/>
      <c r="T1720"/>
      <c r="U1720"/>
      <c r="V1720"/>
    </row>
    <row r="1721" spans="2:24" x14ac:dyDescent="0.2">
      <c r="B1721" s="16"/>
      <c r="W1721"/>
      <c r="X1721"/>
    </row>
    <row r="1722" spans="2:24" x14ac:dyDescent="0.2">
      <c r="C1722" s="16"/>
      <c r="M1722" s="18"/>
      <c r="N1722"/>
      <c r="O1722"/>
      <c r="P1722"/>
      <c r="Q1722"/>
      <c r="R1722"/>
      <c r="S1722"/>
      <c r="T1722"/>
      <c r="U1722"/>
      <c r="V1722"/>
    </row>
    <row r="1723" spans="2:24" x14ac:dyDescent="0.2">
      <c r="B1723" s="16"/>
      <c r="W1723"/>
      <c r="X1723"/>
    </row>
    <row r="1724" spans="2:24" x14ac:dyDescent="0.2">
      <c r="C1724" s="16"/>
      <c r="M1724" s="18"/>
      <c r="N1724"/>
      <c r="O1724"/>
      <c r="P1724"/>
      <c r="Q1724"/>
      <c r="R1724"/>
      <c r="S1724"/>
      <c r="T1724"/>
      <c r="U1724"/>
      <c r="V1724"/>
    </row>
    <row r="1725" spans="2:24" x14ac:dyDescent="0.2">
      <c r="B1725" s="16"/>
      <c r="W1725"/>
      <c r="X1725"/>
    </row>
    <row r="1726" spans="2:24" x14ac:dyDescent="0.2">
      <c r="C1726" s="16"/>
      <c r="M1726" s="18"/>
      <c r="N1726"/>
      <c r="O1726"/>
      <c r="P1726"/>
      <c r="Q1726"/>
      <c r="R1726"/>
      <c r="S1726"/>
      <c r="T1726"/>
      <c r="U1726"/>
      <c r="V1726"/>
    </row>
    <row r="1727" spans="2:24" x14ac:dyDescent="0.2">
      <c r="B1727" s="16"/>
      <c r="W1727"/>
      <c r="X1727"/>
    </row>
    <row r="1728" spans="2:24" x14ac:dyDescent="0.2">
      <c r="C1728" s="16"/>
      <c r="M1728" s="18"/>
      <c r="N1728"/>
      <c r="O1728"/>
      <c r="P1728"/>
      <c r="Q1728"/>
      <c r="R1728"/>
      <c r="S1728"/>
      <c r="T1728"/>
      <c r="U1728"/>
      <c r="V1728"/>
    </row>
    <row r="1729" spans="2:24" x14ac:dyDescent="0.2">
      <c r="B1729" s="16"/>
      <c r="W1729"/>
      <c r="X1729"/>
    </row>
    <row r="1730" spans="2:24" x14ac:dyDescent="0.2">
      <c r="C1730" s="16"/>
      <c r="M1730" s="18"/>
      <c r="N1730"/>
      <c r="O1730"/>
      <c r="P1730"/>
      <c r="Q1730"/>
      <c r="R1730"/>
      <c r="S1730"/>
      <c r="T1730"/>
      <c r="U1730"/>
      <c r="V1730"/>
    </row>
    <row r="1731" spans="2:24" x14ac:dyDescent="0.2">
      <c r="B1731" s="16"/>
      <c r="W1731"/>
      <c r="X1731"/>
    </row>
    <row r="1732" spans="2:24" x14ac:dyDescent="0.2">
      <c r="C1732" s="16"/>
      <c r="M1732" s="18"/>
      <c r="N1732"/>
      <c r="O1732"/>
      <c r="P1732"/>
      <c r="Q1732"/>
      <c r="R1732"/>
      <c r="S1732"/>
      <c r="T1732"/>
      <c r="U1732"/>
      <c r="V1732"/>
    </row>
    <row r="1733" spans="2:24" x14ac:dyDescent="0.2">
      <c r="B1733" s="16"/>
      <c r="W1733"/>
      <c r="X1733"/>
    </row>
    <row r="1734" spans="2:24" x14ac:dyDescent="0.2">
      <c r="C1734" s="16"/>
      <c r="M1734" s="18"/>
      <c r="N1734"/>
      <c r="O1734"/>
      <c r="P1734"/>
      <c r="Q1734"/>
      <c r="R1734"/>
      <c r="S1734"/>
      <c r="T1734"/>
      <c r="U1734"/>
      <c r="V1734"/>
    </row>
    <row r="1735" spans="2:24" x14ac:dyDescent="0.2">
      <c r="B1735" s="16"/>
      <c r="W1735"/>
      <c r="X1735"/>
    </row>
    <row r="1736" spans="2:24" x14ac:dyDescent="0.2">
      <c r="C1736" s="16"/>
      <c r="M1736" s="18"/>
      <c r="N1736"/>
      <c r="O1736"/>
      <c r="P1736"/>
      <c r="Q1736"/>
      <c r="R1736"/>
      <c r="S1736"/>
      <c r="T1736"/>
      <c r="U1736"/>
      <c r="V1736"/>
    </row>
    <row r="1737" spans="2:24" x14ac:dyDescent="0.2">
      <c r="B1737" s="16"/>
      <c r="W1737"/>
      <c r="X1737"/>
    </row>
    <row r="1738" spans="2:24" x14ac:dyDescent="0.2">
      <c r="C1738" s="16"/>
      <c r="M1738" s="18"/>
      <c r="N1738"/>
      <c r="O1738"/>
      <c r="P1738"/>
      <c r="Q1738"/>
      <c r="R1738"/>
      <c r="S1738"/>
      <c r="T1738"/>
      <c r="U1738"/>
      <c r="V1738"/>
    </row>
    <row r="1739" spans="2:24" x14ac:dyDescent="0.2">
      <c r="B1739" s="16"/>
      <c r="W1739"/>
      <c r="X1739"/>
    </row>
    <row r="1740" spans="2:24" x14ac:dyDescent="0.2">
      <c r="C1740" s="16"/>
      <c r="M1740" s="18"/>
      <c r="N1740"/>
      <c r="O1740"/>
      <c r="P1740"/>
      <c r="Q1740"/>
      <c r="R1740"/>
      <c r="S1740"/>
      <c r="T1740"/>
      <c r="U1740"/>
      <c r="V1740"/>
    </row>
    <row r="1741" spans="2:24" x14ac:dyDescent="0.2">
      <c r="B1741" s="16"/>
      <c r="W1741"/>
      <c r="X1741"/>
    </row>
    <row r="1742" spans="2:24" x14ac:dyDescent="0.2">
      <c r="C1742" s="16"/>
      <c r="M1742" s="18"/>
      <c r="N1742"/>
      <c r="O1742"/>
      <c r="P1742"/>
      <c r="Q1742"/>
      <c r="R1742"/>
      <c r="S1742"/>
      <c r="T1742"/>
      <c r="U1742"/>
      <c r="V1742"/>
    </row>
    <row r="1743" spans="2:24" x14ac:dyDescent="0.2">
      <c r="B1743" s="16"/>
      <c r="W1743"/>
      <c r="X1743"/>
    </row>
    <row r="1744" spans="2:24" x14ac:dyDescent="0.2">
      <c r="C1744" s="16"/>
      <c r="M1744" s="18"/>
      <c r="N1744"/>
      <c r="O1744"/>
      <c r="P1744"/>
      <c r="Q1744"/>
      <c r="R1744"/>
      <c r="S1744"/>
      <c r="T1744"/>
      <c r="U1744"/>
      <c r="V1744"/>
    </row>
    <row r="1745" spans="2:24" x14ac:dyDescent="0.2">
      <c r="B1745" s="16"/>
      <c r="W1745"/>
      <c r="X1745"/>
    </row>
    <row r="1746" spans="2:24" x14ac:dyDescent="0.2">
      <c r="C1746" s="16"/>
      <c r="M1746" s="18"/>
      <c r="N1746"/>
      <c r="O1746"/>
      <c r="P1746"/>
      <c r="Q1746"/>
      <c r="R1746"/>
      <c r="S1746"/>
      <c r="T1746"/>
      <c r="U1746"/>
      <c r="V1746"/>
    </row>
    <row r="1747" spans="2:24" x14ac:dyDescent="0.2">
      <c r="B1747" s="16"/>
      <c r="W1747"/>
      <c r="X1747"/>
    </row>
    <row r="1748" spans="2:24" x14ac:dyDescent="0.2">
      <c r="C1748" s="16"/>
      <c r="M1748" s="18"/>
      <c r="N1748"/>
      <c r="O1748"/>
      <c r="P1748"/>
      <c r="Q1748"/>
      <c r="R1748"/>
      <c r="S1748"/>
      <c r="T1748"/>
      <c r="U1748"/>
      <c r="V1748"/>
    </row>
    <row r="1749" spans="2:24" x14ac:dyDescent="0.2">
      <c r="B1749" s="16"/>
      <c r="W1749"/>
      <c r="X1749"/>
    </row>
    <row r="1750" spans="2:24" x14ac:dyDescent="0.2">
      <c r="C1750" s="16"/>
      <c r="M1750" s="18"/>
      <c r="N1750"/>
      <c r="O1750"/>
      <c r="P1750"/>
      <c r="Q1750"/>
      <c r="R1750"/>
      <c r="S1750"/>
      <c r="T1750"/>
      <c r="U1750"/>
      <c r="V1750"/>
    </row>
    <row r="1751" spans="2:24" x14ac:dyDescent="0.2">
      <c r="B1751" s="16"/>
      <c r="W1751"/>
      <c r="X1751"/>
    </row>
    <row r="1752" spans="2:24" x14ac:dyDescent="0.2">
      <c r="C1752" s="16"/>
      <c r="M1752" s="18"/>
      <c r="N1752"/>
      <c r="O1752"/>
      <c r="P1752"/>
      <c r="Q1752"/>
      <c r="R1752"/>
      <c r="S1752"/>
      <c r="T1752"/>
      <c r="U1752"/>
      <c r="V1752"/>
    </row>
    <row r="1753" spans="2:24" x14ac:dyDescent="0.2">
      <c r="B1753" s="16"/>
      <c r="W1753"/>
      <c r="X1753"/>
    </row>
    <row r="1754" spans="2:24" x14ac:dyDescent="0.2">
      <c r="C1754" s="16"/>
      <c r="M1754" s="18"/>
      <c r="N1754"/>
      <c r="O1754"/>
      <c r="P1754"/>
      <c r="Q1754"/>
      <c r="R1754"/>
      <c r="S1754"/>
      <c r="T1754"/>
      <c r="U1754"/>
      <c r="V1754"/>
    </row>
    <row r="1755" spans="2:24" x14ac:dyDescent="0.2">
      <c r="B1755" s="16"/>
      <c r="W1755"/>
      <c r="X1755"/>
    </row>
    <row r="1756" spans="2:24" x14ac:dyDescent="0.2">
      <c r="C1756" s="16"/>
      <c r="M1756" s="18"/>
      <c r="N1756"/>
      <c r="O1756"/>
      <c r="P1756"/>
      <c r="Q1756"/>
      <c r="R1756"/>
      <c r="S1756"/>
      <c r="T1756"/>
      <c r="U1756"/>
      <c r="V1756"/>
    </row>
    <row r="1757" spans="2:24" x14ac:dyDescent="0.2">
      <c r="B1757" s="16"/>
      <c r="W1757"/>
      <c r="X1757"/>
    </row>
    <row r="1758" spans="2:24" x14ac:dyDescent="0.2">
      <c r="C1758" s="16"/>
      <c r="M1758" s="18"/>
      <c r="N1758"/>
      <c r="O1758"/>
      <c r="P1758"/>
      <c r="Q1758"/>
      <c r="R1758"/>
      <c r="S1758"/>
      <c r="T1758"/>
      <c r="U1758"/>
      <c r="V1758"/>
    </row>
    <row r="1759" spans="2:24" x14ac:dyDescent="0.2">
      <c r="B1759" s="16"/>
      <c r="W1759"/>
      <c r="X1759"/>
    </row>
    <row r="1760" spans="2:24" x14ac:dyDescent="0.2">
      <c r="C1760" s="16"/>
      <c r="M1760" s="18"/>
      <c r="N1760"/>
      <c r="O1760"/>
      <c r="P1760"/>
      <c r="Q1760"/>
      <c r="R1760"/>
      <c r="S1760"/>
      <c r="T1760"/>
      <c r="U1760"/>
      <c r="V1760"/>
    </row>
    <row r="1761" spans="2:24" x14ac:dyDescent="0.2">
      <c r="B1761" s="16"/>
      <c r="W1761"/>
      <c r="X1761"/>
    </row>
    <row r="1762" spans="2:24" x14ac:dyDescent="0.2">
      <c r="C1762" s="16"/>
      <c r="M1762" s="18"/>
      <c r="N1762"/>
      <c r="O1762"/>
      <c r="P1762"/>
      <c r="Q1762"/>
      <c r="R1762"/>
      <c r="S1762"/>
      <c r="T1762"/>
      <c r="U1762"/>
      <c r="V1762"/>
    </row>
    <row r="1763" spans="2:24" x14ac:dyDescent="0.2">
      <c r="B1763" s="16"/>
      <c r="W1763"/>
      <c r="X1763"/>
    </row>
    <row r="1764" spans="2:24" x14ac:dyDescent="0.2">
      <c r="C1764" s="16"/>
      <c r="M1764" s="18"/>
      <c r="N1764"/>
      <c r="O1764"/>
      <c r="P1764"/>
      <c r="Q1764"/>
      <c r="R1764"/>
      <c r="S1764"/>
      <c r="T1764"/>
      <c r="U1764"/>
      <c r="V1764"/>
    </row>
    <row r="1765" spans="2:24" x14ac:dyDescent="0.2">
      <c r="B1765" s="16"/>
      <c r="W1765"/>
      <c r="X1765"/>
    </row>
    <row r="1766" spans="2:24" x14ac:dyDescent="0.2">
      <c r="C1766" s="16"/>
      <c r="M1766" s="18"/>
      <c r="N1766"/>
      <c r="O1766"/>
      <c r="P1766"/>
      <c r="Q1766"/>
      <c r="R1766"/>
      <c r="S1766"/>
      <c r="T1766"/>
      <c r="U1766"/>
      <c r="V1766"/>
    </row>
    <row r="1767" spans="2:24" x14ac:dyDescent="0.2">
      <c r="B1767" s="16"/>
      <c r="W1767"/>
      <c r="X1767"/>
    </row>
    <row r="1768" spans="2:24" x14ac:dyDescent="0.2">
      <c r="C1768" s="16"/>
      <c r="M1768" s="18"/>
      <c r="N1768"/>
      <c r="O1768"/>
      <c r="P1768"/>
      <c r="Q1768"/>
      <c r="R1768"/>
      <c r="S1768"/>
      <c r="T1768"/>
      <c r="U1768"/>
      <c r="V1768"/>
    </row>
    <row r="1769" spans="2:24" x14ac:dyDescent="0.2">
      <c r="B1769" s="16"/>
      <c r="W1769"/>
      <c r="X1769"/>
    </row>
    <row r="1770" spans="2:24" x14ac:dyDescent="0.2">
      <c r="C1770" s="16"/>
      <c r="M1770" s="18"/>
      <c r="N1770"/>
      <c r="O1770"/>
      <c r="P1770"/>
      <c r="Q1770"/>
      <c r="R1770"/>
      <c r="S1770"/>
      <c r="T1770"/>
      <c r="U1770"/>
      <c r="V1770"/>
    </row>
    <row r="1771" spans="2:24" x14ac:dyDescent="0.2">
      <c r="B1771" s="16"/>
      <c r="W1771"/>
      <c r="X1771"/>
    </row>
    <row r="1772" spans="2:24" x14ac:dyDescent="0.2">
      <c r="C1772" s="16"/>
      <c r="M1772" s="18"/>
      <c r="N1772"/>
      <c r="O1772"/>
      <c r="P1772"/>
      <c r="Q1772"/>
      <c r="R1772"/>
      <c r="S1772"/>
      <c r="T1772"/>
      <c r="U1772"/>
      <c r="V1772"/>
    </row>
    <row r="1773" spans="2:24" x14ac:dyDescent="0.2">
      <c r="B1773" s="16"/>
      <c r="W1773"/>
      <c r="X1773"/>
    </row>
    <row r="1774" spans="2:24" x14ac:dyDescent="0.2">
      <c r="C1774" s="16"/>
      <c r="M1774" s="18"/>
      <c r="N1774"/>
      <c r="O1774"/>
      <c r="P1774"/>
      <c r="Q1774"/>
      <c r="R1774"/>
      <c r="S1774"/>
      <c r="T1774"/>
      <c r="U1774"/>
      <c r="V1774"/>
    </row>
    <row r="1775" spans="2:24" x14ac:dyDescent="0.2">
      <c r="B1775" s="16"/>
      <c r="W1775"/>
      <c r="X1775"/>
    </row>
    <row r="1776" spans="2:24" x14ac:dyDescent="0.2">
      <c r="C1776" s="16"/>
      <c r="M1776" s="18"/>
      <c r="N1776"/>
      <c r="O1776"/>
      <c r="P1776"/>
      <c r="Q1776"/>
      <c r="R1776"/>
      <c r="S1776"/>
      <c r="T1776"/>
      <c r="U1776"/>
      <c r="V1776"/>
    </row>
    <row r="1777" spans="2:24" x14ac:dyDescent="0.2">
      <c r="B1777" s="16"/>
      <c r="W1777"/>
      <c r="X1777"/>
    </row>
    <row r="1778" spans="2:24" x14ac:dyDescent="0.2">
      <c r="C1778" s="16"/>
      <c r="M1778" s="18"/>
      <c r="N1778"/>
      <c r="O1778"/>
      <c r="P1778"/>
      <c r="Q1778"/>
      <c r="R1778"/>
      <c r="S1778"/>
      <c r="T1778"/>
      <c r="U1778"/>
      <c r="V1778"/>
    </row>
    <row r="1779" spans="2:24" x14ac:dyDescent="0.2">
      <c r="B1779" s="16"/>
      <c r="W1779"/>
      <c r="X1779"/>
    </row>
    <row r="1780" spans="2:24" x14ac:dyDescent="0.2">
      <c r="C1780" s="16"/>
      <c r="M1780" s="18"/>
      <c r="N1780"/>
      <c r="O1780"/>
      <c r="P1780"/>
      <c r="Q1780"/>
      <c r="R1780"/>
      <c r="S1780"/>
      <c r="T1780"/>
      <c r="U1780"/>
      <c r="V1780"/>
    </row>
    <row r="1781" spans="2:24" x14ac:dyDescent="0.2">
      <c r="B1781" s="16"/>
      <c r="W1781"/>
      <c r="X1781"/>
    </row>
    <row r="1782" spans="2:24" x14ac:dyDescent="0.2">
      <c r="C1782" s="16"/>
      <c r="M1782" s="18"/>
      <c r="N1782"/>
      <c r="O1782"/>
      <c r="P1782"/>
      <c r="Q1782"/>
      <c r="R1782"/>
      <c r="S1782"/>
      <c r="T1782"/>
      <c r="U1782"/>
      <c r="V1782"/>
    </row>
    <row r="1783" spans="2:24" x14ac:dyDescent="0.2">
      <c r="B1783" s="16"/>
      <c r="W1783"/>
      <c r="X1783"/>
    </row>
    <row r="1784" spans="2:24" x14ac:dyDescent="0.2">
      <c r="C1784" s="16"/>
      <c r="M1784" s="18"/>
      <c r="N1784"/>
      <c r="O1784"/>
      <c r="P1784"/>
      <c r="Q1784"/>
      <c r="R1784"/>
      <c r="S1784"/>
      <c r="T1784"/>
      <c r="U1784"/>
      <c r="V1784"/>
    </row>
    <row r="1785" spans="2:24" x14ac:dyDescent="0.2">
      <c r="B1785" s="16"/>
      <c r="W1785"/>
      <c r="X1785"/>
    </row>
    <row r="1786" spans="2:24" x14ac:dyDescent="0.2">
      <c r="C1786" s="16"/>
      <c r="M1786" s="18"/>
      <c r="N1786"/>
      <c r="O1786"/>
      <c r="P1786"/>
      <c r="Q1786"/>
      <c r="R1786"/>
      <c r="S1786"/>
      <c r="T1786"/>
      <c r="U1786"/>
      <c r="V1786"/>
    </row>
    <row r="1787" spans="2:24" x14ac:dyDescent="0.2">
      <c r="B1787" s="16"/>
      <c r="W1787"/>
      <c r="X1787"/>
    </row>
    <row r="1788" spans="2:24" x14ac:dyDescent="0.2">
      <c r="C1788" s="16"/>
      <c r="M1788" s="18"/>
      <c r="N1788"/>
      <c r="O1788"/>
      <c r="P1788"/>
      <c r="Q1788"/>
      <c r="R1788"/>
      <c r="S1788"/>
      <c r="T1788"/>
      <c r="U1788"/>
      <c r="V1788"/>
    </row>
    <row r="1789" spans="2:24" x14ac:dyDescent="0.2">
      <c r="B1789" s="16"/>
      <c r="W1789"/>
      <c r="X1789"/>
    </row>
    <row r="1790" spans="2:24" x14ac:dyDescent="0.2">
      <c r="C1790" s="16"/>
      <c r="M1790" s="18"/>
      <c r="N1790"/>
      <c r="O1790"/>
      <c r="P1790"/>
      <c r="Q1790"/>
      <c r="R1790"/>
      <c r="S1790"/>
      <c r="T1790"/>
      <c r="U1790"/>
      <c r="V1790"/>
    </row>
    <row r="1791" spans="2:24" x14ac:dyDescent="0.2">
      <c r="B1791" s="16"/>
      <c r="W1791"/>
      <c r="X1791"/>
    </row>
    <row r="1792" spans="2:24" x14ac:dyDescent="0.2">
      <c r="C1792" s="16"/>
      <c r="M1792" s="18"/>
      <c r="N1792"/>
      <c r="O1792"/>
      <c r="P1792"/>
      <c r="Q1792"/>
      <c r="R1792"/>
      <c r="S1792"/>
      <c r="T1792"/>
      <c r="U1792"/>
      <c r="V1792"/>
    </row>
    <row r="1793" spans="2:24" x14ac:dyDescent="0.2">
      <c r="B1793" s="16"/>
      <c r="W1793"/>
      <c r="X1793"/>
    </row>
    <row r="1794" spans="2:24" x14ac:dyDescent="0.2">
      <c r="C1794" s="16"/>
      <c r="M1794" s="18"/>
      <c r="N1794"/>
      <c r="O1794"/>
      <c r="P1794"/>
      <c r="Q1794"/>
      <c r="R1794"/>
      <c r="S1794"/>
      <c r="T1794"/>
      <c r="U1794"/>
      <c r="V1794"/>
    </row>
    <row r="1795" spans="2:24" x14ac:dyDescent="0.2">
      <c r="B1795" s="16"/>
      <c r="W1795"/>
      <c r="X1795"/>
    </row>
    <row r="1796" spans="2:24" x14ac:dyDescent="0.2">
      <c r="C1796" s="16"/>
      <c r="M1796" s="18"/>
      <c r="N1796"/>
      <c r="O1796"/>
      <c r="P1796"/>
      <c r="Q1796"/>
      <c r="R1796"/>
      <c r="S1796"/>
      <c r="T1796"/>
      <c r="U1796"/>
      <c r="V1796"/>
    </row>
    <row r="1797" spans="2:24" x14ac:dyDescent="0.2">
      <c r="B1797" s="16"/>
      <c r="W1797"/>
      <c r="X1797"/>
    </row>
    <row r="1798" spans="2:24" x14ac:dyDescent="0.2">
      <c r="C1798" s="16"/>
      <c r="M1798" s="18"/>
      <c r="N1798"/>
      <c r="O1798"/>
      <c r="P1798"/>
      <c r="Q1798"/>
      <c r="R1798"/>
      <c r="S1798"/>
      <c r="T1798"/>
      <c r="U1798"/>
      <c r="V1798"/>
    </row>
    <row r="1799" spans="2:24" x14ac:dyDescent="0.2">
      <c r="B1799" s="16"/>
      <c r="W1799"/>
      <c r="X1799"/>
    </row>
    <row r="1800" spans="2:24" x14ac:dyDescent="0.2">
      <c r="C1800" s="16"/>
      <c r="M1800" s="18"/>
      <c r="N1800"/>
      <c r="O1800"/>
      <c r="P1800"/>
      <c r="Q1800"/>
      <c r="R1800"/>
      <c r="S1800"/>
      <c r="T1800"/>
      <c r="U1800"/>
      <c r="V1800"/>
    </row>
    <row r="1801" spans="2:24" x14ac:dyDescent="0.2">
      <c r="B1801" s="16"/>
      <c r="W1801"/>
      <c r="X1801"/>
    </row>
    <row r="1802" spans="2:24" x14ac:dyDescent="0.2">
      <c r="C1802" s="16"/>
      <c r="M1802" s="18"/>
      <c r="N1802"/>
      <c r="O1802"/>
      <c r="P1802"/>
      <c r="Q1802"/>
      <c r="R1802"/>
      <c r="S1802"/>
      <c r="T1802"/>
      <c r="U1802"/>
      <c r="V1802"/>
    </row>
    <row r="1803" spans="2:24" x14ac:dyDescent="0.2">
      <c r="B1803" s="16"/>
      <c r="W1803"/>
      <c r="X1803"/>
    </row>
    <row r="1804" spans="2:24" x14ac:dyDescent="0.2">
      <c r="C1804" s="16"/>
      <c r="M1804" s="18"/>
      <c r="N1804"/>
      <c r="O1804"/>
      <c r="P1804"/>
      <c r="Q1804"/>
      <c r="R1804"/>
      <c r="S1804"/>
      <c r="T1804"/>
      <c r="U1804"/>
      <c r="V1804"/>
    </row>
    <row r="1805" spans="2:24" x14ac:dyDescent="0.2">
      <c r="B1805" s="16"/>
      <c r="W1805"/>
      <c r="X1805"/>
    </row>
    <row r="1806" spans="2:24" x14ac:dyDescent="0.2">
      <c r="C1806" s="16"/>
      <c r="M1806" s="18"/>
      <c r="N1806"/>
      <c r="O1806"/>
      <c r="P1806"/>
      <c r="Q1806"/>
      <c r="R1806"/>
      <c r="S1806"/>
      <c r="T1806"/>
      <c r="U1806"/>
      <c r="V1806"/>
    </row>
    <row r="1807" spans="2:24" x14ac:dyDescent="0.2">
      <c r="B1807" s="16"/>
      <c r="W1807"/>
      <c r="X1807"/>
    </row>
    <row r="1808" spans="2:24" x14ac:dyDescent="0.2">
      <c r="C1808" s="16"/>
      <c r="M1808" s="18"/>
      <c r="N1808"/>
      <c r="O1808"/>
      <c r="P1808"/>
      <c r="Q1808"/>
      <c r="R1808"/>
      <c r="S1808"/>
      <c r="T1808"/>
      <c r="U1808"/>
      <c r="V1808"/>
    </row>
    <row r="1809" spans="2:24" x14ac:dyDescent="0.2">
      <c r="B1809" s="16"/>
      <c r="W1809"/>
      <c r="X1809"/>
    </row>
    <row r="1810" spans="2:24" x14ac:dyDescent="0.2">
      <c r="C1810" s="16"/>
      <c r="M1810" s="18"/>
      <c r="N1810"/>
      <c r="O1810"/>
      <c r="P1810"/>
      <c r="Q1810"/>
      <c r="R1810"/>
      <c r="S1810"/>
      <c r="T1810"/>
      <c r="U1810"/>
      <c r="V1810"/>
    </row>
    <row r="1811" spans="2:24" x14ac:dyDescent="0.2">
      <c r="B1811" s="16"/>
      <c r="W1811"/>
      <c r="X1811"/>
    </row>
    <row r="1812" spans="2:24" x14ac:dyDescent="0.2">
      <c r="C1812" s="16"/>
      <c r="M1812" s="18"/>
      <c r="N1812"/>
      <c r="O1812"/>
      <c r="P1812"/>
      <c r="Q1812"/>
      <c r="R1812"/>
      <c r="S1812"/>
      <c r="T1812"/>
      <c r="U1812"/>
      <c r="V1812"/>
    </row>
    <row r="1813" spans="2:24" x14ac:dyDescent="0.2">
      <c r="B1813" s="16"/>
      <c r="W1813"/>
      <c r="X1813"/>
    </row>
    <row r="1814" spans="2:24" x14ac:dyDescent="0.2">
      <c r="C1814" s="16"/>
      <c r="M1814" s="18"/>
      <c r="N1814"/>
      <c r="O1814"/>
      <c r="P1814"/>
      <c r="Q1814"/>
      <c r="R1814"/>
      <c r="S1814"/>
      <c r="T1814"/>
      <c r="U1814"/>
      <c r="V1814"/>
    </row>
    <row r="1815" spans="2:24" x14ac:dyDescent="0.2">
      <c r="B1815" s="16"/>
      <c r="W1815"/>
      <c r="X1815"/>
    </row>
    <row r="1816" spans="2:24" x14ac:dyDescent="0.2">
      <c r="C1816" s="16"/>
      <c r="M1816" s="18"/>
      <c r="N1816"/>
      <c r="O1816"/>
      <c r="P1816"/>
      <c r="Q1816"/>
      <c r="R1816"/>
      <c r="S1816"/>
      <c r="T1816"/>
      <c r="U1816"/>
      <c r="V1816"/>
    </row>
    <row r="1817" spans="2:24" x14ac:dyDescent="0.2">
      <c r="B1817" s="16"/>
      <c r="W1817"/>
      <c r="X1817"/>
    </row>
    <row r="1818" spans="2:24" x14ac:dyDescent="0.2">
      <c r="C1818" s="16"/>
      <c r="M1818" s="18"/>
      <c r="N1818"/>
      <c r="O1818"/>
      <c r="P1818"/>
      <c r="Q1818"/>
      <c r="R1818"/>
      <c r="S1818"/>
      <c r="T1818"/>
      <c r="U1818"/>
      <c r="V1818"/>
    </row>
    <row r="1819" spans="2:24" x14ac:dyDescent="0.2">
      <c r="B1819" s="16"/>
      <c r="W1819"/>
      <c r="X1819"/>
    </row>
    <row r="1820" spans="2:24" x14ac:dyDescent="0.2">
      <c r="C1820" s="16"/>
      <c r="M1820" s="18"/>
      <c r="N1820"/>
      <c r="O1820"/>
      <c r="P1820"/>
      <c r="Q1820"/>
      <c r="R1820"/>
      <c r="S1820"/>
      <c r="T1820"/>
      <c r="U1820"/>
      <c r="V1820"/>
    </row>
    <row r="1821" spans="2:24" x14ac:dyDescent="0.2">
      <c r="B1821" s="16"/>
      <c r="W1821"/>
      <c r="X1821"/>
    </row>
    <row r="1822" spans="2:24" x14ac:dyDescent="0.2">
      <c r="C1822" s="16"/>
      <c r="M1822" s="18"/>
      <c r="N1822"/>
      <c r="O1822"/>
      <c r="P1822"/>
      <c r="Q1822"/>
      <c r="R1822"/>
      <c r="S1822"/>
      <c r="T1822"/>
      <c r="U1822"/>
      <c r="V1822"/>
    </row>
    <row r="1823" spans="2:24" x14ac:dyDescent="0.2">
      <c r="B1823" s="16"/>
      <c r="W1823"/>
      <c r="X1823"/>
    </row>
    <row r="1824" spans="2:24" x14ac:dyDescent="0.2">
      <c r="C1824" s="16"/>
      <c r="M1824" s="18"/>
      <c r="N1824"/>
      <c r="O1824"/>
      <c r="P1824"/>
      <c r="Q1824"/>
      <c r="R1824"/>
      <c r="S1824"/>
      <c r="T1824"/>
      <c r="U1824"/>
      <c r="V1824"/>
    </row>
    <row r="1825" spans="2:24" x14ac:dyDescent="0.2">
      <c r="B1825" s="16"/>
      <c r="W1825"/>
      <c r="X1825"/>
    </row>
    <row r="1826" spans="2:24" x14ac:dyDescent="0.2">
      <c r="C1826" s="16"/>
      <c r="M1826" s="18"/>
      <c r="N1826"/>
      <c r="O1826"/>
      <c r="P1826"/>
      <c r="Q1826"/>
      <c r="R1826"/>
      <c r="S1826"/>
      <c r="T1826"/>
      <c r="U1826"/>
      <c r="V1826"/>
    </row>
    <row r="1827" spans="2:24" x14ac:dyDescent="0.2">
      <c r="B1827" s="16"/>
      <c r="W1827"/>
      <c r="X1827"/>
    </row>
    <row r="1828" spans="2:24" x14ac:dyDescent="0.2">
      <c r="C1828" s="16"/>
      <c r="M1828" s="18"/>
      <c r="N1828"/>
      <c r="O1828"/>
      <c r="P1828"/>
      <c r="Q1828"/>
      <c r="R1828"/>
      <c r="S1828"/>
      <c r="T1828"/>
      <c r="U1828"/>
      <c r="V1828"/>
    </row>
    <row r="1829" spans="2:24" x14ac:dyDescent="0.2">
      <c r="B1829" s="16"/>
      <c r="W1829"/>
      <c r="X1829"/>
    </row>
    <row r="1830" spans="2:24" x14ac:dyDescent="0.2">
      <c r="C1830" s="16"/>
      <c r="M1830" s="18"/>
      <c r="N1830"/>
      <c r="O1830"/>
      <c r="P1830"/>
      <c r="Q1830"/>
      <c r="R1830"/>
      <c r="S1830"/>
      <c r="T1830"/>
      <c r="U1830"/>
      <c r="V1830"/>
    </row>
    <row r="1831" spans="2:24" x14ac:dyDescent="0.2">
      <c r="B1831" s="16"/>
      <c r="W1831"/>
      <c r="X1831"/>
    </row>
    <row r="1832" spans="2:24" x14ac:dyDescent="0.2">
      <c r="C1832" s="16"/>
      <c r="M1832" s="18"/>
      <c r="N1832"/>
      <c r="O1832"/>
      <c r="P1832"/>
      <c r="Q1832"/>
      <c r="R1832"/>
      <c r="S1832"/>
      <c r="T1832"/>
      <c r="U1832"/>
      <c r="V1832"/>
    </row>
    <row r="1833" spans="2:24" x14ac:dyDescent="0.2">
      <c r="B1833" s="16"/>
      <c r="W1833"/>
      <c r="X1833"/>
    </row>
    <row r="1834" spans="2:24" x14ac:dyDescent="0.2">
      <c r="C1834" s="16"/>
      <c r="M1834" s="18"/>
      <c r="N1834"/>
      <c r="O1834"/>
      <c r="P1834"/>
      <c r="Q1834"/>
      <c r="R1834"/>
      <c r="S1834"/>
      <c r="T1834"/>
      <c r="U1834"/>
      <c r="V1834"/>
    </row>
    <row r="1835" spans="2:24" x14ac:dyDescent="0.2">
      <c r="B1835" s="16"/>
      <c r="W1835"/>
      <c r="X1835"/>
    </row>
    <row r="1836" spans="2:24" x14ac:dyDescent="0.2">
      <c r="C1836" s="16"/>
      <c r="M1836" s="18"/>
      <c r="N1836"/>
      <c r="O1836"/>
      <c r="P1836"/>
      <c r="Q1836"/>
      <c r="R1836"/>
      <c r="S1836"/>
      <c r="T1836"/>
      <c r="U1836"/>
      <c r="V1836"/>
    </row>
    <row r="1837" spans="2:24" x14ac:dyDescent="0.2">
      <c r="B1837" s="16"/>
      <c r="W1837"/>
      <c r="X1837"/>
    </row>
    <row r="1838" spans="2:24" x14ac:dyDescent="0.2">
      <c r="C1838" s="16"/>
      <c r="M1838" s="18"/>
      <c r="N1838"/>
      <c r="O1838"/>
      <c r="P1838"/>
      <c r="Q1838"/>
      <c r="R1838"/>
      <c r="S1838"/>
      <c r="T1838"/>
      <c r="U1838"/>
      <c r="V1838"/>
    </row>
    <row r="1839" spans="2:24" x14ac:dyDescent="0.2">
      <c r="B1839" s="16"/>
      <c r="W1839"/>
      <c r="X1839"/>
    </row>
    <row r="1840" spans="2:24" x14ac:dyDescent="0.2">
      <c r="C1840" s="16"/>
      <c r="M1840" s="18"/>
      <c r="N1840"/>
      <c r="O1840"/>
      <c r="P1840"/>
      <c r="Q1840"/>
      <c r="R1840"/>
      <c r="S1840"/>
      <c r="T1840"/>
      <c r="U1840"/>
      <c r="V1840"/>
    </row>
    <row r="1841" spans="2:24" x14ac:dyDescent="0.2">
      <c r="B1841" s="16"/>
      <c r="W1841"/>
      <c r="X1841"/>
    </row>
    <row r="1842" spans="2:24" x14ac:dyDescent="0.2">
      <c r="C1842" s="16"/>
      <c r="M1842" s="18"/>
      <c r="N1842"/>
      <c r="O1842"/>
      <c r="P1842"/>
      <c r="Q1842"/>
      <c r="R1842"/>
      <c r="S1842"/>
      <c r="T1842"/>
      <c r="U1842"/>
      <c r="V1842"/>
    </row>
    <row r="1843" spans="2:24" x14ac:dyDescent="0.2">
      <c r="B1843" s="16"/>
      <c r="W1843"/>
      <c r="X1843"/>
    </row>
    <row r="1844" spans="2:24" x14ac:dyDescent="0.2">
      <c r="C1844" s="16"/>
      <c r="M1844" s="18"/>
      <c r="N1844"/>
      <c r="O1844"/>
      <c r="P1844"/>
      <c r="Q1844"/>
      <c r="R1844"/>
      <c r="S1844"/>
      <c r="T1844"/>
      <c r="U1844"/>
      <c r="V1844"/>
    </row>
    <row r="1845" spans="2:24" x14ac:dyDescent="0.2">
      <c r="B1845" s="16"/>
      <c r="W1845"/>
      <c r="X1845"/>
    </row>
    <row r="1846" spans="2:24" x14ac:dyDescent="0.2">
      <c r="C1846" s="16"/>
      <c r="M1846" s="18"/>
      <c r="N1846"/>
      <c r="O1846"/>
      <c r="P1846"/>
      <c r="Q1846"/>
      <c r="R1846"/>
      <c r="S1846"/>
      <c r="T1846"/>
      <c r="U1846"/>
      <c r="V1846"/>
    </row>
    <row r="1847" spans="2:24" x14ac:dyDescent="0.2">
      <c r="B1847" s="16"/>
      <c r="W1847"/>
      <c r="X1847"/>
    </row>
    <row r="1848" spans="2:24" x14ac:dyDescent="0.2">
      <c r="C1848" s="16"/>
      <c r="M1848" s="18"/>
      <c r="N1848"/>
      <c r="O1848"/>
      <c r="P1848"/>
      <c r="Q1848"/>
      <c r="R1848"/>
      <c r="S1848"/>
      <c r="T1848"/>
      <c r="U1848"/>
      <c r="V1848"/>
    </row>
    <row r="1849" spans="2:24" x14ac:dyDescent="0.2">
      <c r="B1849" s="16"/>
      <c r="W1849"/>
      <c r="X1849"/>
    </row>
    <row r="1850" spans="2:24" x14ac:dyDescent="0.2">
      <c r="C1850" s="16"/>
      <c r="M1850" s="18"/>
      <c r="N1850"/>
      <c r="O1850"/>
      <c r="P1850"/>
      <c r="Q1850"/>
      <c r="R1850"/>
      <c r="S1850"/>
      <c r="T1850"/>
      <c r="U1850"/>
      <c r="V1850"/>
    </row>
    <row r="1851" spans="2:24" x14ac:dyDescent="0.2">
      <c r="B1851" s="16"/>
      <c r="W1851"/>
      <c r="X1851"/>
    </row>
    <row r="1852" spans="2:24" x14ac:dyDescent="0.2">
      <c r="C1852" s="16"/>
      <c r="M1852" s="18"/>
      <c r="N1852"/>
      <c r="O1852"/>
      <c r="P1852"/>
      <c r="Q1852"/>
      <c r="R1852"/>
      <c r="S1852"/>
      <c r="T1852"/>
      <c r="U1852"/>
      <c r="V1852"/>
    </row>
    <row r="1853" spans="2:24" x14ac:dyDescent="0.2">
      <c r="B1853" s="16"/>
      <c r="W1853"/>
      <c r="X1853"/>
    </row>
    <row r="1854" spans="2:24" x14ac:dyDescent="0.2">
      <c r="C1854" s="16"/>
      <c r="M1854" s="18"/>
      <c r="N1854"/>
      <c r="O1854"/>
      <c r="P1854"/>
      <c r="Q1854"/>
      <c r="R1854"/>
      <c r="S1854"/>
      <c r="T1854"/>
      <c r="U1854"/>
      <c r="V1854"/>
    </row>
    <row r="1855" spans="2:24" x14ac:dyDescent="0.2">
      <c r="B1855" s="16"/>
      <c r="W1855"/>
      <c r="X1855"/>
    </row>
    <row r="1856" spans="2:24" x14ac:dyDescent="0.2">
      <c r="C1856" s="16"/>
      <c r="M1856" s="18"/>
      <c r="N1856"/>
      <c r="O1856"/>
      <c r="P1856"/>
      <c r="Q1856"/>
      <c r="R1856"/>
      <c r="S1856"/>
      <c r="T1856"/>
      <c r="U1856"/>
      <c r="V1856"/>
    </row>
    <row r="1857" spans="2:24" x14ac:dyDescent="0.2">
      <c r="B1857" s="16"/>
      <c r="W1857"/>
      <c r="X1857"/>
    </row>
    <row r="1858" spans="2:24" x14ac:dyDescent="0.2">
      <c r="C1858" s="16"/>
      <c r="M1858" s="18"/>
      <c r="N1858"/>
      <c r="O1858"/>
      <c r="P1858"/>
      <c r="Q1858"/>
      <c r="R1858"/>
      <c r="S1858"/>
      <c r="T1858"/>
      <c r="U1858"/>
      <c r="V1858"/>
    </row>
    <row r="1859" spans="2:24" x14ac:dyDescent="0.2">
      <c r="B1859" s="16"/>
      <c r="W1859"/>
      <c r="X1859"/>
    </row>
    <row r="1860" spans="2:24" x14ac:dyDescent="0.2">
      <c r="C1860" s="16"/>
      <c r="M1860" s="18"/>
      <c r="N1860"/>
      <c r="O1860"/>
      <c r="P1860"/>
      <c r="Q1860"/>
      <c r="R1860"/>
      <c r="S1860"/>
      <c r="T1860"/>
      <c r="U1860"/>
      <c r="V1860"/>
    </row>
    <row r="1861" spans="2:24" x14ac:dyDescent="0.2">
      <c r="B1861" s="16"/>
      <c r="W1861"/>
      <c r="X1861"/>
    </row>
    <row r="1862" spans="2:24" x14ac:dyDescent="0.2">
      <c r="C1862" s="16"/>
      <c r="M1862" s="18"/>
      <c r="N1862"/>
      <c r="O1862"/>
      <c r="P1862"/>
      <c r="Q1862"/>
      <c r="R1862"/>
      <c r="S1862"/>
      <c r="T1862"/>
      <c r="U1862"/>
      <c r="V1862"/>
    </row>
    <row r="1863" spans="2:24" x14ac:dyDescent="0.2">
      <c r="B1863" s="16"/>
      <c r="W1863"/>
      <c r="X1863"/>
    </row>
    <row r="1864" spans="2:24" x14ac:dyDescent="0.2">
      <c r="C1864" s="16"/>
      <c r="M1864" s="18"/>
      <c r="N1864"/>
      <c r="O1864"/>
      <c r="P1864"/>
      <c r="Q1864"/>
      <c r="R1864"/>
      <c r="S1864"/>
      <c r="T1864"/>
      <c r="U1864"/>
      <c r="V1864"/>
    </row>
    <row r="1865" spans="2:24" x14ac:dyDescent="0.2">
      <c r="B1865" s="16"/>
      <c r="W1865"/>
      <c r="X1865"/>
    </row>
    <row r="1866" spans="2:24" x14ac:dyDescent="0.2">
      <c r="C1866" s="16"/>
      <c r="M1866" s="18"/>
      <c r="N1866"/>
      <c r="O1866"/>
      <c r="P1866"/>
      <c r="Q1866"/>
      <c r="R1866"/>
      <c r="S1866"/>
      <c r="T1866"/>
      <c r="U1866"/>
      <c r="V1866"/>
    </row>
    <row r="1867" spans="2:24" x14ac:dyDescent="0.2">
      <c r="B1867" s="16"/>
      <c r="W1867"/>
      <c r="X1867"/>
    </row>
    <row r="1868" spans="2:24" x14ac:dyDescent="0.2">
      <c r="C1868" s="16"/>
      <c r="M1868" s="18"/>
      <c r="N1868"/>
      <c r="O1868"/>
      <c r="P1868"/>
      <c r="Q1868"/>
      <c r="R1868"/>
      <c r="S1868"/>
      <c r="T1868"/>
      <c r="U1868"/>
      <c r="V1868"/>
    </row>
    <row r="1869" spans="2:24" x14ac:dyDescent="0.2">
      <c r="B1869" s="16"/>
      <c r="W1869"/>
      <c r="X1869"/>
    </row>
    <row r="1870" spans="2:24" x14ac:dyDescent="0.2">
      <c r="C1870" s="16"/>
      <c r="M1870" s="18"/>
      <c r="N1870"/>
      <c r="O1870"/>
      <c r="P1870"/>
      <c r="Q1870"/>
      <c r="R1870"/>
      <c r="S1870"/>
      <c r="T1870"/>
      <c r="U1870"/>
      <c r="V1870"/>
    </row>
    <row r="1871" spans="2:24" x14ac:dyDescent="0.2">
      <c r="B1871" s="16"/>
      <c r="W1871"/>
      <c r="X1871"/>
    </row>
    <row r="1872" spans="2:24" x14ac:dyDescent="0.2">
      <c r="C1872" s="16"/>
      <c r="M1872" s="18"/>
      <c r="N1872"/>
      <c r="O1872"/>
      <c r="P1872"/>
      <c r="Q1872"/>
      <c r="R1872"/>
      <c r="S1872"/>
      <c r="T1872"/>
      <c r="U1872"/>
      <c r="V1872"/>
    </row>
    <row r="1873" spans="2:24" x14ac:dyDescent="0.2">
      <c r="B1873" s="16"/>
      <c r="W1873"/>
      <c r="X1873"/>
    </row>
    <row r="1874" spans="2:24" x14ac:dyDescent="0.2">
      <c r="C1874" s="16"/>
      <c r="M1874" s="18"/>
      <c r="N1874"/>
      <c r="O1874"/>
      <c r="P1874"/>
      <c r="Q1874"/>
      <c r="R1874"/>
      <c r="S1874"/>
      <c r="T1874"/>
      <c r="U1874"/>
      <c r="V1874"/>
    </row>
    <row r="1875" spans="2:24" x14ac:dyDescent="0.2">
      <c r="B1875" s="16"/>
      <c r="W1875"/>
      <c r="X1875"/>
    </row>
    <row r="1876" spans="2:24" x14ac:dyDescent="0.2">
      <c r="C1876" s="16"/>
      <c r="M1876" s="18"/>
      <c r="N1876"/>
      <c r="O1876"/>
      <c r="P1876"/>
      <c r="Q1876"/>
      <c r="R1876"/>
      <c r="S1876"/>
      <c r="T1876"/>
      <c r="U1876"/>
      <c r="V1876"/>
    </row>
    <row r="1877" spans="2:24" x14ac:dyDescent="0.2">
      <c r="B1877" s="16"/>
      <c r="W1877"/>
      <c r="X1877"/>
    </row>
    <row r="1878" spans="2:24" x14ac:dyDescent="0.2">
      <c r="C1878" s="16"/>
      <c r="M1878" s="18"/>
      <c r="N1878"/>
      <c r="O1878"/>
      <c r="P1878"/>
      <c r="Q1878"/>
      <c r="R1878"/>
      <c r="S1878"/>
      <c r="T1878"/>
      <c r="U1878"/>
      <c r="V1878"/>
    </row>
    <row r="1879" spans="2:24" x14ac:dyDescent="0.2">
      <c r="B1879" s="16"/>
      <c r="W1879"/>
      <c r="X1879"/>
    </row>
    <row r="1880" spans="2:24" x14ac:dyDescent="0.2">
      <c r="C1880" s="16"/>
      <c r="M1880" s="18"/>
      <c r="N1880"/>
      <c r="O1880"/>
      <c r="P1880"/>
      <c r="Q1880"/>
      <c r="R1880"/>
      <c r="S1880"/>
      <c r="T1880"/>
      <c r="U1880"/>
      <c r="V1880"/>
    </row>
    <row r="1881" spans="2:24" x14ac:dyDescent="0.2">
      <c r="B1881" s="16"/>
      <c r="W1881"/>
      <c r="X1881"/>
    </row>
    <row r="1882" spans="2:24" x14ac:dyDescent="0.2">
      <c r="C1882" s="16"/>
      <c r="M1882" s="18"/>
      <c r="N1882"/>
      <c r="O1882"/>
      <c r="P1882"/>
      <c r="Q1882"/>
      <c r="R1882"/>
      <c r="S1882"/>
      <c r="T1882"/>
      <c r="U1882"/>
      <c r="V1882"/>
    </row>
    <row r="1883" spans="2:24" x14ac:dyDescent="0.2">
      <c r="B1883" s="16"/>
      <c r="W1883"/>
      <c r="X1883"/>
    </row>
    <row r="1884" spans="2:24" x14ac:dyDescent="0.2">
      <c r="C1884" s="16"/>
      <c r="M1884" s="18"/>
      <c r="N1884"/>
      <c r="O1884"/>
      <c r="P1884"/>
      <c r="Q1884"/>
      <c r="R1884"/>
      <c r="S1884"/>
      <c r="T1884"/>
      <c r="U1884"/>
      <c r="V1884"/>
    </row>
    <row r="1885" spans="2:24" x14ac:dyDescent="0.2">
      <c r="B1885" s="16"/>
      <c r="W1885"/>
      <c r="X1885"/>
    </row>
    <row r="1886" spans="2:24" x14ac:dyDescent="0.2">
      <c r="C1886" s="16"/>
      <c r="M1886" s="18"/>
      <c r="N1886"/>
      <c r="O1886"/>
      <c r="P1886"/>
      <c r="Q1886"/>
      <c r="R1886"/>
      <c r="S1886"/>
      <c r="T1886"/>
      <c r="U1886"/>
      <c r="V1886"/>
    </row>
    <row r="1887" spans="2:24" x14ac:dyDescent="0.2">
      <c r="B1887" s="16"/>
      <c r="W1887"/>
      <c r="X1887"/>
    </row>
    <row r="1888" spans="2:24" x14ac:dyDescent="0.2">
      <c r="C1888" s="16"/>
      <c r="M1888" s="18"/>
      <c r="N1888"/>
      <c r="O1888"/>
      <c r="P1888"/>
      <c r="Q1888"/>
      <c r="R1888"/>
      <c r="S1888"/>
      <c r="T1888"/>
      <c r="U1888"/>
      <c r="V1888"/>
    </row>
    <row r="1889" spans="2:24" x14ac:dyDescent="0.2">
      <c r="B1889" s="16"/>
      <c r="W1889"/>
      <c r="X1889"/>
    </row>
    <row r="1890" spans="2:24" x14ac:dyDescent="0.2">
      <c r="C1890" s="16"/>
      <c r="M1890" s="18"/>
      <c r="N1890"/>
      <c r="O1890"/>
      <c r="P1890"/>
      <c r="Q1890"/>
      <c r="R1890"/>
      <c r="S1890"/>
      <c r="T1890"/>
      <c r="U1890"/>
      <c r="V1890"/>
    </row>
    <row r="1891" spans="2:24" x14ac:dyDescent="0.2">
      <c r="B1891" s="16"/>
      <c r="W1891"/>
      <c r="X1891"/>
    </row>
    <row r="1892" spans="2:24" x14ac:dyDescent="0.2">
      <c r="C1892" s="16"/>
      <c r="M1892" s="18"/>
      <c r="N1892"/>
      <c r="O1892"/>
      <c r="P1892"/>
      <c r="Q1892"/>
      <c r="R1892"/>
      <c r="S1892"/>
      <c r="T1892"/>
      <c r="U1892"/>
      <c r="V1892"/>
    </row>
    <row r="1893" spans="2:24" x14ac:dyDescent="0.2">
      <c r="B1893" s="16"/>
      <c r="W1893"/>
      <c r="X1893"/>
    </row>
    <row r="1894" spans="2:24" x14ac:dyDescent="0.2">
      <c r="C1894" s="16"/>
      <c r="M1894" s="18"/>
      <c r="N1894"/>
      <c r="O1894"/>
      <c r="P1894"/>
      <c r="Q1894"/>
      <c r="R1894"/>
      <c r="S1894"/>
      <c r="T1894"/>
      <c r="U1894"/>
      <c r="V1894"/>
    </row>
    <row r="1895" spans="2:24" x14ac:dyDescent="0.2">
      <c r="B1895" s="16"/>
      <c r="W1895"/>
      <c r="X1895"/>
    </row>
    <row r="1896" spans="2:24" x14ac:dyDescent="0.2">
      <c r="C1896" s="16"/>
      <c r="M1896" s="18"/>
      <c r="N1896"/>
      <c r="O1896"/>
      <c r="P1896"/>
      <c r="Q1896"/>
      <c r="R1896"/>
      <c r="S1896"/>
      <c r="T1896"/>
      <c r="U1896"/>
      <c r="V1896"/>
    </row>
    <row r="1897" spans="2:24" x14ac:dyDescent="0.2">
      <c r="B1897" s="16"/>
      <c r="W1897"/>
      <c r="X1897"/>
    </row>
    <row r="1898" spans="2:24" x14ac:dyDescent="0.2">
      <c r="C1898" s="16"/>
      <c r="M1898" s="18"/>
      <c r="N1898"/>
      <c r="O1898"/>
      <c r="P1898"/>
      <c r="Q1898"/>
      <c r="R1898"/>
      <c r="S1898"/>
      <c r="T1898"/>
      <c r="U1898"/>
      <c r="V1898"/>
    </row>
    <row r="1899" spans="2:24" x14ac:dyDescent="0.2">
      <c r="B1899" s="16"/>
      <c r="W1899"/>
      <c r="X1899"/>
    </row>
    <row r="1900" spans="2:24" x14ac:dyDescent="0.2">
      <c r="C1900" s="16"/>
      <c r="M1900" s="18"/>
      <c r="N1900"/>
      <c r="O1900"/>
      <c r="P1900"/>
      <c r="Q1900"/>
      <c r="R1900"/>
      <c r="S1900"/>
      <c r="T1900"/>
      <c r="U1900"/>
      <c r="V1900"/>
    </row>
    <row r="1901" spans="2:24" x14ac:dyDescent="0.2">
      <c r="B1901" s="16"/>
      <c r="W1901"/>
      <c r="X1901"/>
    </row>
    <row r="1902" spans="2:24" x14ac:dyDescent="0.2">
      <c r="C1902" s="16"/>
      <c r="M1902" s="18"/>
      <c r="N1902"/>
      <c r="O1902"/>
      <c r="P1902"/>
      <c r="Q1902"/>
      <c r="R1902"/>
      <c r="S1902"/>
      <c r="T1902"/>
      <c r="U1902"/>
      <c r="V1902"/>
    </row>
    <row r="1903" spans="2:24" x14ac:dyDescent="0.2">
      <c r="B1903" s="16"/>
      <c r="W1903"/>
      <c r="X1903"/>
    </row>
    <row r="1904" spans="2:24" x14ac:dyDescent="0.2">
      <c r="C1904" s="16"/>
      <c r="M1904" s="18"/>
      <c r="N1904"/>
      <c r="O1904"/>
      <c r="P1904"/>
      <c r="Q1904"/>
      <c r="R1904"/>
      <c r="S1904"/>
      <c r="T1904"/>
      <c r="U1904"/>
      <c r="V1904"/>
    </row>
    <row r="1905" spans="2:24" x14ac:dyDescent="0.2">
      <c r="B1905" s="16"/>
      <c r="W1905"/>
      <c r="X1905"/>
    </row>
    <row r="1906" spans="2:24" x14ac:dyDescent="0.2">
      <c r="C1906" s="16"/>
      <c r="M1906" s="18"/>
      <c r="N1906"/>
      <c r="O1906"/>
      <c r="P1906"/>
      <c r="Q1906"/>
      <c r="R1906"/>
      <c r="S1906"/>
      <c r="T1906"/>
      <c r="U1906"/>
      <c r="V1906"/>
    </row>
    <row r="1907" spans="2:24" x14ac:dyDescent="0.2">
      <c r="B1907" s="16"/>
      <c r="W1907"/>
      <c r="X1907"/>
    </row>
    <row r="1908" spans="2:24" x14ac:dyDescent="0.2">
      <c r="C1908" s="16"/>
      <c r="M1908" s="18"/>
      <c r="N1908"/>
      <c r="O1908"/>
      <c r="P1908"/>
      <c r="Q1908"/>
      <c r="R1908"/>
      <c r="S1908"/>
      <c r="T1908"/>
      <c r="U1908"/>
      <c r="V1908"/>
    </row>
    <row r="1909" spans="2:24" x14ac:dyDescent="0.2">
      <c r="B1909" s="16"/>
      <c r="W1909"/>
      <c r="X1909"/>
    </row>
    <row r="1910" spans="2:24" x14ac:dyDescent="0.2">
      <c r="C1910" s="16"/>
      <c r="M1910" s="18"/>
      <c r="N1910"/>
      <c r="O1910"/>
      <c r="P1910"/>
      <c r="Q1910"/>
      <c r="R1910"/>
      <c r="S1910"/>
      <c r="T1910"/>
      <c r="U1910"/>
      <c r="V1910"/>
    </row>
    <row r="1911" spans="2:24" x14ac:dyDescent="0.2">
      <c r="B1911" s="16"/>
      <c r="W1911"/>
      <c r="X1911"/>
    </row>
    <row r="1912" spans="2:24" x14ac:dyDescent="0.2">
      <c r="C1912" s="16"/>
      <c r="M1912" s="18"/>
      <c r="N1912"/>
      <c r="O1912"/>
      <c r="P1912"/>
      <c r="Q1912"/>
      <c r="R1912"/>
      <c r="S1912"/>
      <c r="T1912"/>
      <c r="U1912"/>
      <c r="V1912"/>
    </row>
    <row r="1913" spans="2:24" x14ac:dyDescent="0.2">
      <c r="B1913" s="16"/>
      <c r="W1913"/>
      <c r="X1913"/>
    </row>
    <row r="1914" spans="2:24" x14ac:dyDescent="0.2">
      <c r="C1914" s="16"/>
      <c r="M1914" s="18"/>
      <c r="N1914"/>
      <c r="O1914"/>
      <c r="P1914"/>
      <c r="Q1914"/>
      <c r="R1914"/>
      <c r="S1914"/>
      <c r="T1914"/>
      <c r="U1914"/>
      <c r="V1914"/>
    </row>
    <row r="1915" spans="2:24" x14ac:dyDescent="0.2">
      <c r="B1915" s="16"/>
      <c r="W1915"/>
      <c r="X1915"/>
    </row>
    <row r="1916" spans="2:24" x14ac:dyDescent="0.2">
      <c r="C1916" s="16"/>
      <c r="M1916" s="18"/>
      <c r="N1916"/>
      <c r="O1916"/>
      <c r="P1916"/>
      <c r="Q1916"/>
      <c r="R1916"/>
      <c r="S1916"/>
      <c r="T1916"/>
      <c r="U1916"/>
      <c r="V1916"/>
    </row>
    <row r="1917" spans="2:24" x14ac:dyDescent="0.2">
      <c r="B1917" s="16"/>
      <c r="W1917"/>
      <c r="X1917"/>
    </row>
    <row r="1918" spans="2:24" x14ac:dyDescent="0.2">
      <c r="C1918" s="16"/>
      <c r="M1918" s="18"/>
      <c r="N1918"/>
      <c r="O1918"/>
      <c r="P1918"/>
      <c r="Q1918"/>
      <c r="R1918"/>
      <c r="S1918"/>
      <c r="T1918"/>
      <c r="U1918"/>
      <c r="V1918"/>
    </row>
    <row r="1919" spans="2:24" x14ac:dyDescent="0.2">
      <c r="B1919" s="16"/>
      <c r="W1919"/>
      <c r="X1919"/>
    </row>
    <row r="1920" spans="2:24" x14ac:dyDescent="0.2">
      <c r="C1920" s="16"/>
      <c r="M1920" s="18"/>
      <c r="N1920"/>
      <c r="O1920"/>
      <c r="P1920"/>
      <c r="Q1920"/>
      <c r="R1920"/>
      <c r="S1920"/>
      <c r="T1920"/>
      <c r="U1920"/>
      <c r="V1920"/>
    </row>
    <row r="1921" spans="2:24" x14ac:dyDescent="0.2">
      <c r="B1921" s="16"/>
      <c r="W1921"/>
      <c r="X1921"/>
    </row>
    <row r="1922" spans="2:24" x14ac:dyDescent="0.2">
      <c r="C1922" s="16"/>
      <c r="M1922" s="18"/>
      <c r="N1922"/>
      <c r="O1922"/>
      <c r="P1922"/>
      <c r="Q1922"/>
      <c r="R1922"/>
      <c r="S1922"/>
      <c r="T1922"/>
      <c r="U1922"/>
      <c r="V1922"/>
    </row>
    <row r="1923" spans="2:24" x14ac:dyDescent="0.2">
      <c r="B1923" s="16"/>
      <c r="W1923"/>
      <c r="X1923"/>
    </row>
    <row r="1924" spans="2:24" x14ac:dyDescent="0.2">
      <c r="C1924" s="16"/>
      <c r="M1924" s="18"/>
      <c r="N1924"/>
      <c r="O1924"/>
      <c r="P1924"/>
      <c r="Q1924"/>
      <c r="R1924"/>
      <c r="S1924"/>
      <c r="T1924"/>
      <c r="U1924"/>
      <c r="V1924"/>
    </row>
    <row r="1925" spans="2:24" x14ac:dyDescent="0.2">
      <c r="B1925" s="16"/>
      <c r="W1925"/>
      <c r="X1925"/>
    </row>
    <row r="1926" spans="2:24" x14ac:dyDescent="0.2">
      <c r="C1926" s="16"/>
      <c r="M1926" s="18"/>
      <c r="N1926"/>
      <c r="O1926"/>
      <c r="P1926"/>
      <c r="Q1926"/>
      <c r="R1926"/>
      <c r="S1926"/>
      <c r="T1926"/>
      <c r="U1926"/>
      <c r="V1926"/>
    </row>
    <row r="1927" spans="2:24" x14ac:dyDescent="0.2">
      <c r="B1927" s="16"/>
      <c r="W1927"/>
      <c r="X1927"/>
    </row>
    <row r="1928" spans="2:24" x14ac:dyDescent="0.2">
      <c r="C1928" s="16"/>
      <c r="M1928" s="18"/>
      <c r="N1928"/>
      <c r="O1928"/>
      <c r="P1928"/>
      <c r="Q1928"/>
      <c r="R1928"/>
      <c r="S1928"/>
      <c r="T1928"/>
      <c r="U1928"/>
      <c r="V1928"/>
    </row>
    <row r="1929" spans="2:24" x14ac:dyDescent="0.2">
      <c r="B1929" s="16"/>
      <c r="W1929"/>
      <c r="X1929"/>
    </row>
    <row r="1930" spans="2:24" x14ac:dyDescent="0.2">
      <c r="C1930" s="16"/>
      <c r="M1930" s="18"/>
      <c r="N1930"/>
      <c r="O1930"/>
      <c r="P1930"/>
      <c r="Q1930"/>
      <c r="R1930"/>
      <c r="S1930"/>
      <c r="T1930"/>
      <c r="U1930"/>
      <c r="V1930"/>
    </row>
    <row r="1931" spans="2:24" x14ac:dyDescent="0.2">
      <c r="B1931" s="16"/>
      <c r="W1931"/>
      <c r="X1931"/>
    </row>
    <row r="1932" spans="2:24" x14ac:dyDescent="0.2">
      <c r="C1932" s="16"/>
      <c r="M1932" s="18"/>
      <c r="N1932"/>
      <c r="O1932"/>
      <c r="P1932"/>
      <c r="Q1932"/>
      <c r="R1932"/>
      <c r="S1932"/>
      <c r="T1932"/>
      <c r="U1932"/>
      <c r="V1932"/>
    </row>
    <row r="1933" spans="2:24" x14ac:dyDescent="0.2">
      <c r="B1933" s="16"/>
      <c r="W1933"/>
      <c r="X1933"/>
    </row>
    <row r="1934" spans="2:24" x14ac:dyDescent="0.2">
      <c r="C1934" s="16"/>
      <c r="M1934" s="18"/>
      <c r="N1934"/>
      <c r="O1934"/>
      <c r="P1934"/>
      <c r="Q1934"/>
      <c r="R1934"/>
      <c r="S1934"/>
      <c r="T1934"/>
      <c r="U1934"/>
      <c r="V1934"/>
    </row>
    <row r="1935" spans="2:24" x14ac:dyDescent="0.2">
      <c r="B1935" s="16"/>
      <c r="W1935"/>
      <c r="X1935"/>
    </row>
    <row r="1936" spans="2:24" x14ac:dyDescent="0.2">
      <c r="C1936" s="16"/>
      <c r="M1936" s="18"/>
      <c r="N1936"/>
      <c r="O1936"/>
      <c r="P1936"/>
      <c r="Q1936"/>
      <c r="R1936"/>
      <c r="S1936"/>
      <c r="T1936"/>
      <c r="U1936"/>
      <c r="V1936"/>
    </row>
    <row r="1937" spans="2:24" x14ac:dyDescent="0.2">
      <c r="B1937" s="16"/>
      <c r="W1937"/>
      <c r="X1937"/>
    </row>
    <row r="1938" spans="2:24" x14ac:dyDescent="0.2">
      <c r="C1938" s="16"/>
      <c r="M1938" s="18"/>
      <c r="N1938"/>
      <c r="O1938"/>
      <c r="P1938"/>
      <c r="Q1938"/>
      <c r="R1938"/>
      <c r="S1938"/>
      <c r="T1938"/>
      <c r="U1938"/>
      <c r="V1938"/>
    </row>
    <row r="1939" spans="2:24" x14ac:dyDescent="0.2">
      <c r="B1939" s="16"/>
      <c r="W1939"/>
      <c r="X1939"/>
    </row>
    <row r="1940" spans="2:24" x14ac:dyDescent="0.2">
      <c r="C1940" s="16"/>
      <c r="M1940" s="18"/>
      <c r="N1940"/>
      <c r="O1940"/>
      <c r="P1940"/>
      <c r="Q1940"/>
      <c r="R1940"/>
      <c r="S1940"/>
      <c r="T1940"/>
      <c r="U1940"/>
      <c r="V1940"/>
    </row>
    <row r="1941" spans="2:24" x14ac:dyDescent="0.2">
      <c r="B1941" s="16"/>
      <c r="W1941"/>
      <c r="X1941"/>
    </row>
    <row r="1942" spans="2:24" x14ac:dyDescent="0.2">
      <c r="C1942" s="16"/>
      <c r="M1942" s="18"/>
      <c r="N1942"/>
      <c r="O1942"/>
      <c r="P1942"/>
      <c r="Q1942"/>
      <c r="R1942"/>
      <c r="S1942"/>
      <c r="T1942"/>
      <c r="U1942"/>
      <c r="V1942"/>
    </row>
    <row r="1943" spans="2:24" x14ac:dyDescent="0.2">
      <c r="B1943" s="16"/>
      <c r="W1943"/>
      <c r="X1943"/>
    </row>
    <row r="1944" spans="2:24" x14ac:dyDescent="0.2">
      <c r="C1944" s="16"/>
      <c r="M1944" s="18"/>
      <c r="N1944"/>
      <c r="O1944"/>
      <c r="P1944"/>
      <c r="Q1944"/>
      <c r="R1944"/>
      <c r="S1944"/>
      <c r="T1944"/>
      <c r="U1944"/>
      <c r="V1944"/>
    </row>
    <row r="1945" spans="2:24" x14ac:dyDescent="0.2">
      <c r="B1945" s="16"/>
      <c r="W1945"/>
      <c r="X1945"/>
    </row>
    <row r="1946" spans="2:24" x14ac:dyDescent="0.2">
      <c r="C1946" s="16"/>
      <c r="M1946" s="18"/>
      <c r="N1946"/>
      <c r="O1946"/>
      <c r="P1946"/>
      <c r="Q1946"/>
      <c r="R1946"/>
      <c r="S1946"/>
      <c r="T1946"/>
      <c r="U1946"/>
      <c r="V1946"/>
    </row>
    <row r="1947" spans="2:24" x14ac:dyDescent="0.2">
      <c r="B1947" s="16"/>
      <c r="W1947"/>
      <c r="X1947"/>
    </row>
    <row r="1948" spans="2:24" x14ac:dyDescent="0.2">
      <c r="C1948" s="16"/>
      <c r="M1948" s="18"/>
      <c r="N1948"/>
      <c r="O1948"/>
      <c r="P1948"/>
      <c r="Q1948"/>
      <c r="R1948"/>
      <c r="S1948"/>
      <c r="T1948"/>
      <c r="U1948"/>
      <c r="V1948"/>
    </row>
    <row r="1949" spans="2:24" x14ac:dyDescent="0.2">
      <c r="B1949" s="16"/>
      <c r="W1949"/>
      <c r="X1949"/>
    </row>
    <row r="1950" spans="2:24" x14ac:dyDescent="0.2">
      <c r="C1950" s="16"/>
      <c r="M1950" s="18"/>
      <c r="N1950"/>
      <c r="O1950"/>
      <c r="P1950"/>
      <c r="Q1950"/>
      <c r="R1950"/>
      <c r="S1950"/>
      <c r="T1950"/>
      <c r="U1950"/>
      <c r="V1950"/>
    </row>
    <row r="1951" spans="2:24" x14ac:dyDescent="0.2">
      <c r="B1951" s="16"/>
      <c r="W1951"/>
      <c r="X1951"/>
    </row>
    <row r="1952" spans="2:24" x14ac:dyDescent="0.2">
      <c r="C1952" s="16"/>
      <c r="M1952" s="18"/>
      <c r="N1952"/>
      <c r="O1952"/>
      <c r="P1952"/>
      <c r="Q1952"/>
      <c r="R1952"/>
      <c r="S1952"/>
      <c r="T1952"/>
      <c r="U1952"/>
      <c r="V1952"/>
    </row>
    <row r="1953" spans="2:24" x14ac:dyDescent="0.2">
      <c r="B1953" s="16"/>
      <c r="W1953"/>
      <c r="X1953"/>
    </row>
    <row r="1954" spans="2:24" x14ac:dyDescent="0.2">
      <c r="C1954" s="16"/>
      <c r="M1954" s="18"/>
      <c r="N1954"/>
      <c r="O1954"/>
      <c r="P1954"/>
      <c r="Q1954"/>
      <c r="R1954"/>
      <c r="S1954"/>
      <c r="T1954"/>
      <c r="U1954"/>
      <c r="V1954"/>
    </row>
    <row r="1955" spans="2:24" x14ac:dyDescent="0.2">
      <c r="B1955" s="16"/>
      <c r="W1955"/>
      <c r="X1955"/>
    </row>
    <row r="1956" spans="2:24" x14ac:dyDescent="0.2">
      <c r="C1956" s="16"/>
      <c r="M1956" s="18"/>
      <c r="N1956"/>
      <c r="O1956"/>
      <c r="P1956"/>
      <c r="Q1956"/>
      <c r="R1956"/>
      <c r="S1956"/>
      <c r="T1956"/>
      <c r="U1956"/>
      <c r="V1956"/>
    </row>
    <row r="1957" spans="2:24" x14ac:dyDescent="0.2">
      <c r="B1957" s="16"/>
      <c r="W1957"/>
      <c r="X1957"/>
    </row>
    <row r="1958" spans="2:24" x14ac:dyDescent="0.2">
      <c r="C1958" s="16"/>
      <c r="M1958" s="18"/>
      <c r="N1958"/>
      <c r="O1958"/>
      <c r="P1958"/>
      <c r="Q1958"/>
      <c r="R1958"/>
      <c r="S1958"/>
      <c r="T1958"/>
      <c r="U1958"/>
      <c r="V1958"/>
    </row>
    <row r="1959" spans="2:24" x14ac:dyDescent="0.2">
      <c r="B1959" s="16"/>
      <c r="W1959"/>
      <c r="X1959"/>
    </row>
    <row r="1960" spans="2:24" x14ac:dyDescent="0.2">
      <c r="C1960" s="16"/>
      <c r="M1960" s="18"/>
      <c r="N1960"/>
      <c r="O1960"/>
      <c r="P1960"/>
      <c r="Q1960"/>
      <c r="R1960"/>
      <c r="S1960"/>
      <c r="T1960"/>
      <c r="U1960"/>
      <c r="V1960"/>
    </row>
    <row r="1961" spans="2:24" x14ac:dyDescent="0.2">
      <c r="B1961" s="16"/>
      <c r="W1961"/>
      <c r="X1961"/>
    </row>
    <row r="1962" spans="2:24" x14ac:dyDescent="0.2">
      <c r="C1962" s="16"/>
      <c r="M1962" s="18"/>
      <c r="N1962"/>
      <c r="O1962"/>
      <c r="P1962"/>
      <c r="Q1962"/>
      <c r="R1962"/>
      <c r="S1962"/>
      <c r="T1962"/>
      <c r="U1962"/>
      <c r="V1962"/>
    </row>
    <row r="1963" spans="2:24" x14ac:dyDescent="0.2">
      <c r="B1963" s="16"/>
      <c r="W1963"/>
      <c r="X1963"/>
    </row>
    <row r="1964" spans="2:24" x14ac:dyDescent="0.2">
      <c r="C1964" s="16"/>
      <c r="M1964" s="18"/>
      <c r="N1964"/>
      <c r="O1964"/>
      <c r="P1964"/>
      <c r="Q1964"/>
      <c r="R1964"/>
      <c r="S1964"/>
      <c r="T1964"/>
      <c r="U1964"/>
      <c r="V1964"/>
    </row>
    <row r="1965" spans="2:24" x14ac:dyDescent="0.2">
      <c r="B1965" s="16"/>
      <c r="W1965"/>
      <c r="X1965"/>
    </row>
    <row r="1966" spans="2:24" x14ac:dyDescent="0.2">
      <c r="C1966" s="16"/>
      <c r="M1966" s="18"/>
      <c r="N1966"/>
      <c r="O1966"/>
      <c r="P1966"/>
      <c r="Q1966"/>
      <c r="R1966"/>
      <c r="S1966"/>
      <c r="T1966"/>
      <c r="U1966"/>
      <c r="V1966"/>
    </row>
    <row r="1967" spans="2:24" x14ac:dyDescent="0.2">
      <c r="B1967" s="16"/>
      <c r="W1967"/>
      <c r="X1967"/>
    </row>
    <row r="1968" spans="2:24" x14ac:dyDescent="0.2">
      <c r="C1968" s="16"/>
      <c r="M1968" s="18"/>
      <c r="N1968"/>
      <c r="O1968"/>
      <c r="P1968"/>
      <c r="Q1968"/>
      <c r="R1968"/>
      <c r="S1968"/>
      <c r="T1968"/>
      <c r="U1968"/>
      <c r="V1968"/>
    </row>
    <row r="1969" spans="2:24" x14ac:dyDescent="0.2">
      <c r="B1969" s="16"/>
      <c r="W1969"/>
      <c r="X1969"/>
    </row>
    <row r="1970" spans="2:24" x14ac:dyDescent="0.2">
      <c r="C1970" s="16"/>
      <c r="M1970" s="18"/>
      <c r="N1970"/>
      <c r="O1970"/>
      <c r="P1970"/>
      <c r="Q1970"/>
      <c r="R1970"/>
      <c r="S1970"/>
      <c r="T1970"/>
      <c r="U1970"/>
      <c r="V1970"/>
    </row>
    <row r="1971" spans="2:24" x14ac:dyDescent="0.2">
      <c r="B1971" s="16"/>
      <c r="W1971"/>
      <c r="X1971"/>
    </row>
    <row r="1972" spans="2:24" x14ac:dyDescent="0.2">
      <c r="C1972" s="16"/>
      <c r="M1972" s="18"/>
      <c r="N1972"/>
      <c r="O1972"/>
      <c r="P1972"/>
      <c r="Q1972"/>
      <c r="R1972"/>
      <c r="S1972"/>
      <c r="T1972"/>
      <c r="U1972"/>
      <c r="V1972"/>
    </row>
    <row r="1973" spans="2:24" x14ac:dyDescent="0.2">
      <c r="B1973" s="16"/>
      <c r="W1973"/>
      <c r="X1973"/>
    </row>
    <row r="1974" spans="2:24" x14ac:dyDescent="0.2">
      <c r="C1974" s="16"/>
      <c r="M1974" s="18"/>
      <c r="N1974"/>
      <c r="O1974"/>
      <c r="P1974"/>
      <c r="Q1974"/>
      <c r="R1974"/>
      <c r="S1974"/>
      <c r="T1974"/>
      <c r="U1974"/>
      <c r="V1974"/>
    </row>
    <row r="1975" spans="2:24" x14ac:dyDescent="0.2">
      <c r="B1975" s="16"/>
      <c r="W1975"/>
      <c r="X1975"/>
    </row>
    <row r="1976" spans="2:24" x14ac:dyDescent="0.2">
      <c r="C1976" s="16"/>
      <c r="M1976" s="18"/>
      <c r="N1976"/>
      <c r="O1976"/>
      <c r="P1976"/>
      <c r="Q1976"/>
      <c r="R1976"/>
      <c r="S1976"/>
      <c r="T1976"/>
      <c r="U1976"/>
      <c r="V1976"/>
    </row>
    <row r="1977" spans="2:24" x14ac:dyDescent="0.2">
      <c r="B1977" s="16"/>
      <c r="W1977"/>
      <c r="X1977"/>
    </row>
    <row r="1978" spans="2:24" x14ac:dyDescent="0.2">
      <c r="C1978" s="16"/>
      <c r="M1978" s="18"/>
      <c r="N1978"/>
      <c r="O1978"/>
      <c r="P1978"/>
      <c r="Q1978"/>
      <c r="R1978"/>
      <c r="S1978"/>
      <c r="T1978"/>
      <c r="U1978"/>
      <c r="V1978"/>
    </row>
    <row r="1979" spans="2:24" x14ac:dyDescent="0.2">
      <c r="B1979" s="16"/>
      <c r="W1979"/>
      <c r="X1979"/>
    </row>
    <row r="1980" spans="2:24" x14ac:dyDescent="0.2">
      <c r="C1980" s="16"/>
      <c r="M1980" s="18"/>
      <c r="N1980"/>
      <c r="O1980"/>
      <c r="P1980"/>
      <c r="Q1980"/>
      <c r="R1980"/>
      <c r="S1980"/>
      <c r="T1980"/>
      <c r="U1980"/>
      <c r="V1980"/>
    </row>
    <row r="1981" spans="2:24" x14ac:dyDescent="0.2">
      <c r="B1981" s="16"/>
      <c r="W1981"/>
      <c r="X1981"/>
    </row>
    <row r="1982" spans="2:24" x14ac:dyDescent="0.2">
      <c r="C1982" s="16"/>
      <c r="M1982" s="18"/>
      <c r="N1982"/>
      <c r="O1982"/>
      <c r="P1982"/>
      <c r="Q1982"/>
      <c r="R1982"/>
      <c r="S1982"/>
      <c r="T1982"/>
      <c r="U1982"/>
      <c r="V1982"/>
    </row>
    <row r="1983" spans="2:24" x14ac:dyDescent="0.2">
      <c r="B1983" s="16"/>
      <c r="W1983"/>
      <c r="X1983"/>
    </row>
    <row r="1984" spans="2:24" x14ac:dyDescent="0.2">
      <c r="C1984" s="16"/>
      <c r="M1984" s="18"/>
      <c r="N1984"/>
      <c r="O1984"/>
      <c r="P1984"/>
      <c r="Q1984"/>
      <c r="R1984"/>
      <c r="S1984"/>
      <c r="T1984"/>
      <c r="U1984"/>
      <c r="V1984"/>
    </row>
    <row r="1985" spans="2:24" x14ac:dyDescent="0.2">
      <c r="B1985" s="16"/>
      <c r="W1985"/>
      <c r="X1985"/>
    </row>
    <row r="1986" spans="2:24" x14ac:dyDescent="0.2">
      <c r="C1986" s="16"/>
      <c r="M1986" s="18"/>
      <c r="N1986"/>
      <c r="O1986"/>
      <c r="P1986"/>
      <c r="Q1986"/>
      <c r="R1986"/>
      <c r="S1986"/>
      <c r="T1986"/>
      <c r="U1986"/>
      <c r="V1986"/>
    </row>
    <row r="1987" spans="2:24" x14ac:dyDescent="0.2">
      <c r="B1987" s="16"/>
      <c r="W1987"/>
      <c r="X1987"/>
    </row>
    <row r="1988" spans="2:24" x14ac:dyDescent="0.2">
      <c r="C1988" s="16"/>
      <c r="M1988" s="18"/>
      <c r="N1988"/>
      <c r="O1988"/>
      <c r="P1988"/>
      <c r="Q1988"/>
      <c r="R1988"/>
      <c r="S1988"/>
      <c r="T1988"/>
      <c r="U1988"/>
      <c r="V1988"/>
    </row>
    <row r="1989" spans="2:24" x14ac:dyDescent="0.2">
      <c r="B1989" s="16"/>
      <c r="W1989"/>
      <c r="X1989"/>
    </row>
    <row r="1990" spans="2:24" x14ac:dyDescent="0.2">
      <c r="C1990" s="16"/>
      <c r="M1990" s="18"/>
      <c r="N1990"/>
      <c r="O1990"/>
      <c r="P1990"/>
      <c r="Q1990"/>
      <c r="R1990"/>
      <c r="S1990"/>
      <c r="T1990"/>
      <c r="U1990"/>
      <c r="V1990"/>
    </row>
    <row r="1991" spans="2:24" x14ac:dyDescent="0.2">
      <c r="B1991" s="16"/>
      <c r="W1991"/>
      <c r="X1991"/>
    </row>
    <row r="1992" spans="2:24" x14ac:dyDescent="0.2">
      <c r="C1992" s="16"/>
      <c r="M1992" s="18"/>
      <c r="N1992"/>
      <c r="O1992"/>
      <c r="P1992"/>
      <c r="Q1992"/>
      <c r="R1992"/>
      <c r="S1992"/>
      <c r="T1992"/>
      <c r="U1992"/>
      <c r="V1992"/>
    </row>
    <row r="1993" spans="2:24" x14ac:dyDescent="0.2">
      <c r="B1993" s="16"/>
      <c r="W1993"/>
      <c r="X1993"/>
    </row>
    <row r="1994" spans="2:24" x14ac:dyDescent="0.2">
      <c r="C1994" s="16"/>
      <c r="M1994" s="18"/>
      <c r="N1994"/>
      <c r="O1994"/>
      <c r="P1994"/>
      <c r="Q1994"/>
      <c r="R1994"/>
      <c r="S1994"/>
      <c r="T1994"/>
      <c r="U1994"/>
      <c r="V1994"/>
    </row>
    <row r="1995" spans="2:24" x14ac:dyDescent="0.2">
      <c r="B1995" s="16"/>
      <c r="W1995"/>
      <c r="X1995"/>
    </row>
    <row r="1996" spans="2:24" x14ac:dyDescent="0.2">
      <c r="C1996" s="16"/>
      <c r="M1996" s="18"/>
      <c r="N1996"/>
      <c r="O1996"/>
      <c r="P1996"/>
      <c r="Q1996"/>
      <c r="R1996"/>
      <c r="S1996"/>
      <c r="T1996"/>
      <c r="U1996"/>
      <c r="V1996"/>
    </row>
    <row r="1997" spans="2:24" x14ac:dyDescent="0.2">
      <c r="B1997" s="16"/>
      <c r="W1997"/>
      <c r="X1997"/>
    </row>
    <row r="1998" spans="2:24" x14ac:dyDescent="0.2">
      <c r="C1998" s="16"/>
      <c r="M1998" s="18"/>
      <c r="N1998"/>
      <c r="O1998"/>
      <c r="P1998"/>
      <c r="Q1998"/>
      <c r="R1998"/>
      <c r="S1998"/>
      <c r="T1998"/>
      <c r="U1998"/>
      <c r="V1998"/>
    </row>
    <row r="1999" spans="2:24" x14ac:dyDescent="0.2">
      <c r="B1999" s="16"/>
      <c r="W1999"/>
      <c r="X1999"/>
    </row>
    <row r="2000" spans="2:24" x14ac:dyDescent="0.2">
      <c r="C2000" s="16"/>
      <c r="M2000" s="18"/>
      <c r="N2000"/>
      <c r="O2000"/>
      <c r="P2000"/>
      <c r="Q2000"/>
      <c r="R2000"/>
      <c r="S2000"/>
      <c r="T2000"/>
      <c r="U2000"/>
      <c r="V2000"/>
    </row>
    <row r="2001" spans="2:24" x14ac:dyDescent="0.2">
      <c r="B2001" s="16"/>
      <c r="W2001"/>
      <c r="X2001"/>
    </row>
    <row r="2002" spans="2:24" x14ac:dyDescent="0.2">
      <c r="C2002" s="16"/>
      <c r="M2002" s="18"/>
      <c r="N2002"/>
      <c r="O2002"/>
      <c r="P2002"/>
      <c r="Q2002"/>
      <c r="R2002"/>
      <c r="S2002"/>
      <c r="T2002"/>
      <c r="U2002"/>
      <c r="V2002"/>
    </row>
    <row r="2003" spans="2:24" x14ac:dyDescent="0.2">
      <c r="B2003" s="16"/>
      <c r="W2003"/>
      <c r="X2003"/>
    </row>
    <row r="2004" spans="2:24" x14ac:dyDescent="0.2">
      <c r="C2004" s="16"/>
      <c r="M2004" s="18"/>
      <c r="N2004"/>
      <c r="O2004"/>
      <c r="P2004"/>
      <c r="Q2004"/>
      <c r="R2004"/>
      <c r="S2004"/>
      <c r="T2004"/>
      <c r="U2004"/>
      <c r="V2004"/>
    </row>
    <row r="2005" spans="2:24" x14ac:dyDescent="0.2">
      <c r="B2005" s="16"/>
      <c r="W2005"/>
      <c r="X2005"/>
    </row>
    <row r="2006" spans="2:24" x14ac:dyDescent="0.2">
      <c r="C2006" s="16"/>
      <c r="M2006" s="18"/>
      <c r="N2006"/>
      <c r="O2006"/>
      <c r="P2006"/>
      <c r="Q2006"/>
      <c r="R2006"/>
      <c r="S2006"/>
      <c r="T2006"/>
      <c r="U2006"/>
      <c r="V2006"/>
    </row>
    <row r="2007" spans="2:24" x14ac:dyDescent="0.2">
      <c r="B2007" s="16"/>
      <c r="W2007"/>
      <c r="X2007"/>
    </row>
    <row r="2008" spans="2:24" x14ac:dyDescent="0.2">
      <c r="C2008" s="16"/>
      <c r="M2008" s="18"/>
      <c r="N2008"/>
      <c r="O2008"/>
      <c r="P2008"/>
      <c r="Q2008"/>
      <c r="R2008"/>
      <c r="S2008"/>
      <c r="T2008"/>
      <c r="U2008"/>
      <c r="V2008"/>
    </row>
    <row r="2009" spans="2:24" x14ac:dyDescent="0.2">
      <c r="B2009" s="16"/>
      <c r="W2009"/>
      <c r="X2009"/>
    </row>
    <row r="2010" spans="2:24" x14ac:dyDescent="0.2">
      <c r="C2010" s="16"/>
      <c r="M2010" s="18"/>
      <c r="N2010"/>
      <c r="O2010"/>
      <c r="P2010"/>
      <c r="Q2010"/>
      <c r="R2010"/>
      <c r="S2010"/>
      <c r="T2010"/>
      <c r="U2010"/>
      <c r="V2010"/>
    </row>
    <row r="2011" spans="2:24" x14ac:dyDescent="0.2">
      <c r="B2011" s="16"/>
      <c r="W2011"/>
      <c r="X2011"/>
    </row>
    <row r="2012" spans="2:24" x14ac:dyDescent="0.2">
      <c r="C2012" s="16"/>
      <c r="M2012" s="18"/>
      <c r="N2012"/>
      <c r="O2012"/>
      <c r="P2012"/>
      <c r="Q2012"/>
      <c r="R2012"/>
      <c r="S2012"/>
      <c r="T2012"/>
      <c r="U2012"/>
      <c r="V2012"/>
    </row>
    <row r="2013" spans="2:24" x14ac:dyDescent="0.2">
      <c r="B2013" s="16"/>
      <c r="W2013"/>
      <c r="X2013"/>
    </row>
    <row r="2014" spans="2:24" x14ac:dyDescent="0.2">
      <c r="C2014" s="16"/>
      <c r="M2014" s="18"/>
      <c r="N2014"/>
      <c r="O2014"/>
      <c r="P2014"/>
      <c r="Q2014"/>
      <c r="R2014"/>
      <c r="S2014"/>
      <c r="T2014"/>
      <c r="U2014"/>
      <c r="V2014"/>
    </row>
    <row r="2015" spans="2:24" x14ac:dyDescent="0.2">
      <c r="B2015" s="16"/>
      <c r="W2015"/>
      <c r="X2015"/>
    </row>
    <row r="2016" spans="2:24" x14ac:dyDescent="0.2">
      <c r="C2016" s="16"/>
      <c r="M2016" s="18"/>
      <c r="N2016"/>
      <c r="O2016"/>
      <c r="P2016"/>
      <c r="Q2016"/>
      <c r="R2016"/>
      <c r="S2016"/>
      <c r="T2016"/>
      <c r="U2016"/>
      <c r="V2016"/>
    </row>
    <row r="2017" spans="2:24" x14ac:dyDescent="0.2">
      <c r="B2017" s="16"/>
      <c r="W2017"/>
      <c r="X2017"/>
    </row>
    <row r="2018" spans="2:24" x14ac:dyDescent="0.2">
      <c r="C2018" s="16"/>
      <c r="M2018" s="18"/>
      <c r="N2018"/>
      <c r="O2018"/>
      <c r="P2018"/>
      <c r="Q2018"/>
      <c r="R2018"/>
      <c r="S2018"/>
      <c r="T2018"/>
      <c r="U2018"/>
      <c r="V2018"/>
    </row>
    <row r="2019" spans="2:24" x14ac:dyDescent="0.2">
      <c r="B2019" s="16"/>
      <c r="W2019"/>
      <c r="X2019"/>
    </row>
    <row r="2020" spans="2:24" x14ac:dyDescent="0.2">
      <c r="C2020" s="16"/>
      <c r="M2020" s="18"/>
      <c r="N2020"/>
      <c r="O2020"/>
      <c r="P2020"/>
      <c r="Q2020"/>
      <c r="R2020"/>
      <c r="S2020"/>
      <c r="T2020"/>
      <c r="U2020"/>
      <c r="V2020"/>
    </row>
    <row r="2021" spans="2:24" x14ac:dyDescent="0.2">
      <c r="B2021" s="16"/>
      <c r="W2021"/>
      <c r="X2021"/>
    </row>
    <row r="2022" spans="2:24" x14ac:dyDescent="0.2">
      <c r="C2022" s="16"/>
      <c r="M2022" s="18"/>
      <c r="N2022"/>
      <c r="O2022"/>
      <c r="P2022"/>
      <c r="Q2022"/>
      <c r="R2022"/>
      <c r="S2022"/>
      <c r="T2022"/>
      <c r="U2022"/>
      <c r="V2022"/>
    </row>
    <row r="2023" spans="2:24" x14ac:dyDescent="0.2">
      <c r="B2023" s="16"/>
      <c r="W2023"/>
      <c r="X2023"/>
    </row>
    <row r="2024" spans="2:24" x14ac:dyDescent="0.2">
      <c r="C2024" s="16"/>
      <c r="M2024" s="18"/>
      <c r="N2024"/>
      <c r="O2024"/>
      <c r="P2024"/>
      <c r="Q2024"/>
      <c r="R2024"/>
      <c r="S2024"/>
      <c r="T2024"/>
      <c r="U2024"/>
      <c r="V2024"/>
    </row>
    <row r="2025" spans="2:24" x14ac:dyDescent="0.2">
      <c r="B2025" s="16"/>
      <c r="W2025"/>
      <c r="X2025"/>
    </row>
    <row r="2026" spans="2:24" x14ac:dyDescent="0.2">
      <c r="C2026" s="16"/>
      <c r="M2026" s="18"/>
      <c r="N2026"/>
      <c r="O2026"/>
      <c r="P2026"/>
      <c r="Q2026"/>
      <c r="R2026"/>
      <c r="S2026"/>
      <c r="T2026"/>
      <c r="U2026"/>
      <c r="V2026"/>
    </row>
    <row r="2027" spans="2:24" x14ac:dyDescent="0.2">
      <c r="B2027" s="16"/>
      <c r="W2027"/>
      <c r="X2027"/>
    </row>
    <row r="2028" spans="2:24" x14ac:dyDescent="0.2">
      <c r="C2028" s="16"/>
      <c r="M2028" s="18"/>
      <c r="N2028"/>
      <c r="O2028"/>
      <c r="P2028"/>
      <c r="Q2028"/>
      <c r="R2028"/>
      <c r="S2028"/>
      <c r="T2028"/>
      <c r="U2028"/>
      <c r="V2028"/>
    </row>
    <row r="2029" spans="2:24" x14ac:dyDescent="0.2">
      <c r="B2029" s="16"/>
      <c r="W2029"/>
      <c r="X2029"/>
    </row>
    <row r="2030" spans="2:24" x14ac:dyDescent="0.2">
      <c r="C2030" s="16"/>
      <c r="M2030" s="18"/>
      <c r="N2030"/>
      <c r="O2030"/>
      <c r="P2030"/>
      <c r="Q2030"/>
      <c r="R2030"/>
      <c r="S2030"/>
      <c r="T2030"/>
      <c r="U2030"/>
      <c r="V2030"/>
    </row>
    <row r="2031" spans="2:24" x14ac:dyDescent="0.2">
      <c r="B2031" s="16"/>
      <c r="W2031"/>
      <c r="X2031"/>
    </row>
    <row r="2032" spans="2:24" x14ac:dyDescent="0.2">
      <c r="C2032" s="16"/>
      <c r="M2032" s="18"/>
      <c r="N2032"/>
      <c r="O2032"/>
      <c r="P2032"/>
      <c r="Q2032"/>
      <c r="R2032"/>
      <c r="S2032"/>
      <c r="T2032"/>
      <c r="U2032"/>
      <c r="V2032"/>
    </row>
    <row r="2033" spans="2:24" x14ac:dyDescent="0.2">
      <c r="B2033" s="16"/>
      <c r="W2033"/>
      <c r="X2033"/>
    </row>
    <row r="2034" spans="2:24" x14ac:dyDescent="0.2">
      <c r="C2034" s="16"/>
      <c r="M2034" s="18"/>
      <c r="N2034"/>
      <c r="O2034"/>
      <c r="P2034"/>
      <c r="Q2034"/>
      <c r="R2034"/>
      <c r="S2034"/>
      <c r="T2034"/>
      <c r="U2034"/>
      <c r="V2034"/>
    </row>
    <row r="2035" spans="2:24" x14ac:dyDescent="0.2">
      <c r="B2035" s="16"/>
      <c r="W2035"/>
      <c r="X2035"/>
    </row>
    <row r="2036" spans="2:24" x14ac:dyDescent="0.2">
      <c r="C2036" s="16"/>
      <c r="M2036" s="18"/>
      <c r="N2036"/>
      <c r="O2036"/>
      <c r="P2036"/>
      <c r="Q2036"/>
      <c r="R2036"/>
      <c r="S2036"/>
      <c r="T2036"/>
      <c r="U2036"/>
      <c r="V2036"/>
    </row>
    <row r="2037" spans="2:24" x14ac:dyDescent="0.2">
      <c r="B2037" s="16"/>
      <c r="W2037"/>
      <c r="X2037"/>
    </row>
    <row r="2038" spans="2:24" x14ac:dyDescent="0.2">
      <c r="C2038" s="16"/>
      <c r="M2038" s="18"/>
      <c r="N2038"/>
      <c r="O2038"/>
      <c r="P2038"/>
      <c r="Q2038"/>
      <c r="R2038"/>
      <c r="S2038"/>
      <c r="T2038"/>
      <c r="U2038"/>
      <c r="V2038"/>
    </row>
    <row r="2039" spans="2:24" x14ac:dyDescent="0.2">
      <c r="B2039" s="16"/>
      <c r="W2039"/>
      <c r="X2039"/>
    </row>
    <row r="2040" spans="2:24" x14ac:dyDescent="0.2">
      <c r="C2040" s="16"/>
      <c r="M2040" s="18"/>
      <c r="N2040"/>
      <c r="O2040"/>
      <c r="P2040"/>
      <c r="Q2040"/>
      <c r="R2040"/>
      <c r="S2040"/>
      <c r="T2040"/>
      <c r="U2040"/>
      <c r="V2040"/>
    </row>
    <row r="2041" spans="2:24" x14ac:dyDescent="0.2">
      <c r="B2041" s="16"/>
      <c r="W2041"/>
      <c r="X2041"/>
    </row>
    <row r="2042" spans="2:24" x14ac:dyDescent="0.2">
      <c r="C2042" s="16"/>
      <c r="M2042" s="18"/>
      <c r="N2042"/>
      <c r="O2042"/>
      <c r="P2042"/>
      <c r="Q2042"/>
      <c r="R2042"/>
      <c r="S2042"/>
      <c r="T2042"/>
      <c r="U2042"/>
      <c r="V2042"/>
    </row>
    <row r="2043" spans="2:24" x14ac:dyDescent="0.2">
      <c r="B2043" s="16"/>
      <c r="W2043"/>
      <c r="X2043"/>
    </row>
    <row r="2044" spans="2:24" x14ac:dyDescent="0.2">
      <c r="C2044" s="16"/>
      <c r="M2044" s="18"/>
      <c r="N2044"/>
      <c r="O2044"/>
      <c r="P2044"/>
      <c r="Q2044"/>
      <c r="R2044"/>
      <c r="S2044"/>
      <c r="T2044"/>
      <c r="U2044"/>
      <c r="V2044"/>
    </row>
    <row r="2045" spans="2:24" x14ac:dyDescent="0.2">
      <c r="B2045" s="16"/>
      <c r="W2045"/>
      <c r="X2045"/>
    </row>
    <row r="2046" spans="2:24" x14ac:dyDescent="0.2">
      <c r="C2046" s="16"/>
      <c r="M2046" s="18"/>
      <c r="N2046"/>
      <c r="O2046"/>
      <c r="P2046"/>
      <c r="Q2046"/>
      <c r="R2046"/>
      <c r="S2046"/>
      <c r="T2046"/>
      <c r="U2046"/>
      <c r="V2046"/>
    </row>
    <row r="2047" spans="2:24" x14ac:dyDescent="0.2">
      <c r="B2047" s="16"/>
      <c r="W2047"/>
      <c r="X2047"/>
    </row>
    <row r="2048" spans="2:24" x14ac:dyDescent="0.2">
      <c r="C2048" s="16"/>
      <c r="M2048" s="18"/>
      <c r="N2048"/>
      <c r="O2048"/>
      <c r="P2048"/>
      <c r="Q2048"/>
      <c r="R2048"/>
      <c r="S2048"/>
      <c r="T2048"/>
      <c r="U2048"/>
      <c r="V2048"/>
    </row>
    <row r="2049" spans="2:24" x14ac:dyDescent="0.2">
      <c r="B2049" s="16"/>
      <c r="W2049"/>
      <c r="X2049"/>
    </row>
    <row r="2050" spans="2:24" x14ac:dyDescent="0.2">
      <c r="C2050" s="16"/>
      <c r="M2050" s="18"/>
      <c r="N2050"/>
      <c r="O2050"/>
      <c r="P2050"/>
      <c r="Q2050"/>
      <c r="R2050"/>
      <c r="S2050"/>
      <c r="T2050"/>
      <c r="U2050"/>
      <c r="V2050"/>
    </row>
    <row r="2051" spans="2:24" x14ac:dyDescent="0.2">
      <c r="B2051" s="16"/>
      <c r="W2051"/>
      <c r="X2051"/>
    </row>
    <row r="2052" spans="2:24" x14ac:dyDescent="0.2">
      <c r="C2052" s="16"/>
      <c r="M2052" s="18"/>
      <c r="N2052"/>
      <c r="O2052"/>
      <c r="P2052"/>
      <c r="Q2052"/>
      <c r="R2052"/>
      <c r="S2052"/>
      <c r="T2052"/>
      <c r="U2052"/>
      <c r="V2052"/>
    </row>
    <row r="2053" spans="2:24" x14ac:dyDescent="0.2">
      <c r="B2053" s="16"/>
      <c r="W2053"/>
      <c r="X2053"/>
    </row>
    <row r="2054" spans="2:24" x14ac:dyDescent="0.2">
      <c r="C2054" s="16"/>
      <c r="M2054" s="18"/>
      <c r="N2054"/>
      <c r="O2054"/>
      <c r="P2054"/>
      <c r="Q2054"/>
      <c r="R2054"/>
      <c r="S2054"/>
      <c r="T2054"/>
      <c r="U2054"/>
      <c r="V2054"/>
    </row>
    <row r="2055" spans="2:24" x14ac:dyDescent="0.2">
      <c r="B2055" s="16"/>
      <c r="W2055"/>
      <c r="X2055"/>
    </row>
    <row r="2056" spans="2:24" x14ac:dyDescent="0.2">
      <c r="C2056" s="16"/>
      <c r="M2056" s="18"/>
      <c r="N2056"/>
      <c r="O2056"/>
      <c r="P2056"/>
      <c r="Q2056"/>
      <c r="R2056"/>
      <c r="S2056"/>
      <c r="T2056"/>
      <c r="U2056"/>
      <c r="V2056"/>
    </row>
    <row r="2057" spans="2:24" x14ac:dyDescent="0.2">
      <c r="B2057" s="16"/>
      <c r="W2057"/>
      <c r="X2057"/>
    </row>
    <row r="2058" spans="2:24" x14ac:dyDescent="0.2">
      <c r="C2058" s="16"/>
      <c r="M2058" s="18"/>
      <c r="N2058"/>
      <c r="O2058"/>
      <c r="P2058"/>
      <c r="Q2058"/>
      <c r="R2058"/>
      <c r="S2058"/>
      <c r="T2058"/>
      <c r="U2058"/>
      <c r="V2058"/>
    </row>
    <row r="2059" spans="2:24" x14ac:dyDescent="0.2">
      <c r="B2059" s="16"/>
      <c r="W2059"/>
      <c r="X2059"/>
    </row>
    <row r="2060" spans="2:24" x14ac:dyDescent="0.2">
      <c r="C2060" s="16"/>
      <c r="M2060" s="18"/>
      <c r="N2060"/>
      <c r="O2060"/>
      <c r="P2060"/>
      <c r="Q2060"/>
      <c r="R2060"/>
      <c r="S2060"/>
      <c r="T2060"/>
      <c r="U2060"/>
      <c r="V2060"/>
    </row>
    <row r="2061" spans="2:24" x14ac:dyDescent="0.2">
      <c r="B2061" s="16"/>
      <c r="W2061"/>
      <c r="X2061"/>
    </row>
    <row r="2062" spans="2:24" x14ac:dyDescent="0.2">
      <c r="C2062" s="16"/>
      <c r="M2062" s="18"/>
      <c r="N2062"/>
      <c r="O2062"/>
      <c r="P2062"/>
      <c r="Q2062"/>
      <c r="R2062"/>
      <c r="S2062"/>
      <c r="T2062"/>
      <c r="U2062"/>
      <c r="V2062"/>
    </row>
    <row r="2063" spans="2:24" x14ac:dyDescent="0.2">
      <c r="B2063" s="16"/>
      <c r="W2063"/>
      <c r="X2063"/>
    </row>
    <row r="2064" spans="2:24" x14ac:dyDescent="0.2">
      <c r="C2064" s="16"/>
      <c r="M2064" s="18"/>
      <c r="N2064"/>
      <c r="O2064"/>
      <c r="P2064"/>
      <c r="Q2064"/>
      <c r="R2064"/>
      <c r="S2064"/>
      <c r="T2064"/>
      <c r="U2064"/>
      <c r="V2064"/>
    </row>
    <row r="2065" spans="2:24" x14ac:dyDescent="0.2">
      <c r="B2065" s="16"/>
      <c r="W2065"/>
      <c r="X2065"/>
    </row>
    <row r="2066" spans="2:24" x14ac:dyDescent="0.2">
      <c r="C2066" s="16"/>
      <c r="M2066" s="18"/>
      <c r="N2066"/>
      <c r="O2066"/>
      <c r="P2066"/>
      <c r="Q2066"/>
      <c r="R2066"/>
      <c r="S2066"/>
      <c r="T2066"/>
      <c r="U2066"/>
      <c r="V2066"/>
    </row>
    <row r="2067" spans="2:24" x14ac:dyDescent="0.2">
      <c r="B2067" s="16"/>
      <c r="W2067"/>
      <c r="X2067"/>
    </row>
    <row r="2068" spans="2:24" x14ac:dyDescent="0.2">
      <c r="C2068" s="16"/>
      <c r="M2068" s="18"/>
      <c r="N2068"/>
      <c r="O2068"/>
      <c r="P2068"/>
      <c r="Q2068"/>
      <c r="R2068"/>
      <c r="S2068"/>
      <c r="T2068"/>
      <c r="U2068"/>
      <c r="V2068"/>
    </row>
    <row r="2069" spans="2:24" x14ac:dyDescent="0.2">
      <c r="B2069" s="16"/>
      <c r="W2069"/>
      <c r="X2069"/>
    </row>
    <row r="2070" spans="2:24" x14ac:dyDescent="0.2">
      <c r="C2070" s="16"/>
      <c r="M2070" s="18"/>
      <c r="N2070"/>
      <c r="O2070"/>
      <c r="P2070"/>
      <c r="Q2070"/>
      <c r="R2070"/>
      <c r="S2070"/>
      <c r="T2070"/>
      <c r="U2070"/>
      <c r="V2070"/>
    </row>
    <row r="2071" spans="2:24" x14ac:dyDescent="0.2">
      <c r="B2071" s="16"/>
      <c r="W2071"/>
      <c r="X2071"/>
    </row>
    <row r="2072" spans="2:24" x14ac:dyDescent="0.2">
      <c r="C2072" s="16"/>
      <c r="M2072" s="18"/>
      <c r="N2072"/>
      <c r="O2072"/>
      <c r="P2072"/>
      <c r="Q2072"/>
      <c r="R2072"/>
      <c r="S2072"/>
      <c r="T2072"/>
      <c r="U2072"/>
      <c r="V2072"/>
    </row>
    <row r="2073" spans="2:24" x14ac:dyDescent="0.2">
      <c r="B2073" s="16"/>
      <c r="W2073"/>
      <c r="X2073"/>
    </row>
    <row r="2074" spans="2:24" x14ac:dyDescent="0.2">
      <c r="C2074" s="16"/>
      <c r="M2074" s="18"/>
      <c r="N2074"/>
      <c r="O2074"/>
      <c r="P2074"/>
      <c r="Q2074"/>
      <c r="R2074"/>
      <c r="S2074"/>
      <c r="T2074"/>
      <c r="U2074"/>
      <c r="V2074"/>
    </row>
    <row r="2075" spans="2:24" x14ac:dyDescent="0.2">
      <c r="B2075" s="16"/>
      <c r="W2075"/>
      <c r="X2075"/>
    </row>
    <row r="2076" spans="2:24" x14ac:dyDescent="0.2">
      <c r="C2076" s="16"/>
      <c r="M2076" s="18"/>
      <c r="N2076"/>
      <c r="O2076"/>
      <c r="P2076"/>
      <c r="Q2076"/>
      <c r="R2076"/>
      <c r="S2076"/>
      <c r="T2076"/>
      <c r="U2076"/>
      <c r="V2076"/>
    </row>
    <row r="2077" spans="2:24" x14ac:dyDescent="0.2">
      <c r="B2077" s="16"/>
      <c r="W2077"/>
      <c r="X2077"/>
    </row>
    <row r="2078" spans="2:24" x14ac:dyDescent="0.2">
      <c r="C2078" s="16"/>
      <c r="M2078" s="18"/>
      <c r="N2078"/>
      <c r="O2078"/>
      <c r="P2078"/>
      <c r="Q2078"/>
      <c r="R2078"/>
      <c r="S2078"/>
      <c r="T2078"/>
      <c r="U2078"/>
      <c r="V2078"/>
    </row>
    <row r="2079" spans="2:24" x14ac:dyDescent="0.2">
      <c r="B2079" s="16"/>
      <c r="W2079"/>
      <c r="X2079"/>
    </row>
    <row r="2080" spans="2:24" x14ac:dyDescent="0.2">
      <c r="C2080" s="16"/>
      <c r="M2080" s="18"/>
      <c r="N2080"/>
      <c r="O2080"/>
      <c r="P2080"/>
      <c r="Q2080"/>
      <c r="R2080"/>
      <c r="S2080"/>
      <c r="T2080"/>
      <c r="U2080"/>
      <c r="V2080"/>
    </row>
    <row r="2081" spans="2:24" x14ac:dyDescent="0.2">
      <c r="B2081" s="16"/>
      <c r="W2081"/>
      <c r="X2081"/>
    </row>
    <row r="2082" spans="2:24" x14ac:dyDescent="0.2">
      <c r="C2082" s="16"/>
      <c r="M2082" s="18"/>
      <c r="N2082"/>
      <c r="O2082"/>
      <c r="P2082"/>
      <c r="Q2082"/>
      <c r="R2082"/>
      <c r="S2082"/>
      <c r="T2082"/>
      <c r="U2082"/>
      <c r="V2082"/>
    </row>
    <row r="2083" spans="2:24" x14ac:dyDescent="0.2">
      <c r="B2083" s="16"/>
      <c r="W2083"/>
      <c r="X2083"/>
    </row>
    <row r="2084" spans="2:24" x14ac:dyDescent="0.2">
      <c r="C2084" s="16"/>
      <c r="M2084" s="18"/>
      <c r="N2084"/>
      <c r="O2084"/>
      <c r="P2084"/>
      <c r="Q2084"/>
      <c r="R2084"/>
      <c r="S2084"/>
      <c r="T2084"/>
      <c r="U2084"/>
      <c r="V2084"/>
    </row>
    <row r="2085" spans="2:24" x14ac:dyDescent="0.2">
      <c r="B2085" s="16"/>
      <c r="W2085"/>
      <c r="X2085"/>
    </row>
    <row r="2086" spans="2:24" x14ac:dyDescent="0.2">
      <c r="C2086" s="16"/>
      <c r="M2086" s="18"/>
      <c r="N2086"/>
      <c r="O2086"/>
      <c r="P2086"/>
      <c r="Q2086"/>
      <c r="R2086"/>
      <c r="S2086"/>
      <c r="T2086"/>
      <c r="U2086"/>
      <c r="V2086"/>
    </row>
    <row r="2087" spans="2:24" x14ac:dyDescent="0.2">
      <c r="B2087" s="16"/>
      <c r="W2087"/>
      <c r="X2087"/>
    </row>
    <row r="2088" spans="2:24" x14ac:dyDescent="0.2">
      <c r="C2088" s="16"/>
      <c r="M2088" s="18"/>
      <c r="N2088"/>
      <c r="O2088"/>
      <c r="P2088"/>
      <c r="Q2088"/>
      <c r="R2088"/>
      <c r="S2088"/>
      <c r="T2088"/>
      <c r="U2088"/>
      <c r="V2088"/>
    </row>
    <row r="2089" spans="2:24" x14ac:dyDescent="0.2">
      <c r="B2089" s="16"/>
      <c r="W2089"/>
      <c r="X2089"/>
    </row>
    <row r="2090" spans="2:24" x14ac:dyDescent="0.2">
      <c r="C2090" s="16"/>
      <c r="M2090" s="18"/>
      <c r="N2090"/>
      <c r="O2090"/>
      <c r="P2090"/>
      <c r="Q2090"/>
      <c r="R2090"/>
      <c r="S2090"/>
      <c r="T2090"/>
      <c r="U2090"/>
      <c r="V2090"/>
    </row>
    <row r="2091" spans="2:24" x14ac:dyDescent="0.2">
      <c r="B2091" s="16"/>
      <c r="W2091"/>
      <c r="X2091"/>
    </row>
    <row r="2092" spans="2:24" x14ac:dyDescent="0.2">
      <c r="C2092" s="16"/>
      <c r="M2092" s="18"/>
      <c r="N2092"/>
      <c r="O2092"/>
      <c r="P2092"/>
      <c r="Q2092"/>
      <c r="R2092"/>
      <c r="S2092"/>
      <c r="T2092"/>
      <c r="U2092"/>
      <c r="V2092"/>
    </row>
    <row r="2093" spans="2:24" x14ac:dyDescent="0.2">
      <c r="B2093" s="16"/>
      <c r="W2093"/>
      <c r="X2093"/>
    </row>
    <row r="2094" spans="2:24" x14ac:dyDescent="0.2">
      <c r="C2094" s="16"/>
      <c r="M2094" s="18"/>
      <c r="N2094"/>
      <c r="O2094"/>
      <c r="P2094"/>
      <c r="Q2094"/>
      <c r="R2094"/>
      <c r="S2094"/>
      <c r="T2094"/>
      <c r="U2094"/>
      <c r="V2094"/>
    </row>
    <row r="2095" spans="2:24" x14ac:dyDescent="0.2">
      <c r="B2095" s="16"/>
      <c r="W2095"/>
      <c r="X2095"/>
    </row>
    <row r="2096" spans="2:24" x14ac:dyDescent="0.2">
      <c r="C2096" s="16"/>
      <c r="M2096" s="18"/>
      <c r="N2096"/>
      <c r="O2096"/>
      <c r="P2096"/>
      <c r="Q2096"/>
      <c r="R2096"/>
      <c r="S2096"/>
      <c r="T2096"/>
      <c r="U2096"/>
      <c r="V2096"/>
    </row>
    <row r="2097" spans="2:24" x14ac:dyDescent="0.2">
      <c r="B2097" s="16"/>
      <c r="W2097"/>
      <c r="X2097"/>
    </row>
    <row r="2098" spans="2:24" x14ac:dyDescent="0.2">
      <c r="C2098" s="16"/>
      <c r="M2098" s="18"/>
      <c r="N2098"/>
      <c r="O2098"/>
      <c r="P2098"/>
      <c r="Q2098"/>
      <c r="R2098"/>
      <c r="S2098"/>
      <c r="T2098"/>
      <c r="U2098"/>
      <c r="V2098"/>
    </row>
    <row r="2099" spans="2:24" x14ac:dyDescent="0.2">
      <c r="B2099" s="16"/>
      <c r="W2099"/>
      <c r="X2099"/>
    </row>
    <row r="2100" spans="2:24" x14ac:dyDescent="0.2">
      <c r="C2100" s="16"/>
      <c r="M2100" s="18"/>
      <c r="N2100"/>
      <c r="O2100"/>
      <c r="P2100"/>
      <c r="Q2100"/>
      <c r="R2100"/>
      <c r="S2100"/>
      <c r="T2100"/>
      <c r="U2100"/>
      <c r="V2100"/>
    </row>
    <row r="2101" spans="2:24" x14ac:dyDescent="0.2">
      <c r="B2101" s="16"/>
      <c r="W2101"/>
      <c r="X2101"/>
    </row>
    <row r="2102" spans="2:24" x14ac:dyDescent="0.2">
      <c r="C2102" s="16"/>
      <c r="M2102" s="18"/>
      <c r="N2102"/>
      <c r="O2102"/>
      <c r="P2102"/>
      <c r="Q2102"/>
      <c r="R2102"/>
      <c r="S2102"/>
      <c r="T2102"/>
      <c r="U2102"/>
      <c r="V2102"/>
    </row>
    <row r="2103" spans="2:24" x14ac:dyDescent="0.2">
      <c r="B2103" s="16"/>
      <c r="W2103"/>
      <c r="X2103"/>
    </row>
    <row r="2104" spans="2:24" x14ac:dyDescent="0.2">
      <c r="C2104" s="16"/>
      <c r="M2104" s="18"/>
      <c r="N2104"/>
      <c r="O2104"/>
      <c r="P2104"/>
      <c r="Q2104"/>
      <c r="R2104"/>
      <c r="S2104"/>
      <c r="T2104"/>
      <c r="U2104"/>
      <c r="V2104"/>
    </row>
    <row r="2105" spans="2:24" x14ac:dyDescent="0.2">
      <c r="B2105" s="16"/>
      <c r="W2105"/>
      <c r="X2105"/>
    </row>
    <row r="2106" spans="2:24" x14ac:dyDescent="0.2">
      <c r="C2106" s="16"/>
      <c r="M2106" s="18"/>
      <c r="N2106"/>
      <c r="O2106"/>
      <c r="P2106"/>
      <c r="Q2106"/>
      <c r="R2106"/>
      <c r="S2106"/>
      <c r="T2106"/>
      <c r="U2106"/>
      <c r="V2106"/>
    </row>
    <row r="2107" spans="2:24" x14ac:dyDescent="0.2">
      <c r="B2107" s="16"/>
      <c r="W2107"/>
      <c r="X2107"/>
    </row>
    <row r="2108" spans="2:24" x14ac:dyDescent="0.2">
      <c r="C2108" s="16"/>
      <c r="M2108" s="18"/>
      <c r="N2108"/>
      <c r="O2108"/>
      <c r="P2108"/>
      <c r="Q2108"/>
      <c r="R2108"/>
      <c r="S2108"/>
      <c r="T2108"/>
      <c r="U2108"/>
      <c r="V2108"/>
    </row>
    <row r="2109" spans="2:24" x14ac:dyDescent="0.2">
      <c r="B2109" s="16"/>
      <c r="W2109"/>
      <c r="X2109"/>
    </row>
    <row r="2110" spans="2:24" x14ac:dyDescent="0.2">
      <c r="C2110" s="16"/>
      <c r="M2110" s="18"/>
      <c r="N2110"/>
      <c r="O2110"/>
      <c r="P2110"/>
      <c r="Q2110"/>
      <c r="R2110"/>
      <c r="S2110"/>
      <c r="T2110"/>
      <c r="U2110"/>
      <c r="V2110"/>
    </row>
    <row r="2111" spans="2:24" x14ac:dyDescent="0.2">
      <c r="B2111" s="16"/>
      <c r="W2111"/>
      <c r="X2111"/>
    </row>
    <row r="2112" spans="2:24" x14ac:dyDescent="0.2">
      <c r="C2112" s="16"/>
      <c r="M2112" s="18"/>
      <c r="N2112"/>
      <c r="O2112"/>
      <c r="P2112"/>
      <c r="Q2112"/>
      <c r="R2112"/>
      <c r="S2112"/>
      <c r="T2112"/>
      <c r="U2112"/>
      <c r="V2112"/>
    </row>
    <row r="2113" spans="2:24" x14ac:dyDescent="0.2">
      <c r="B2113" s="16"/>
      <c r="W2113"/>
      <c r="X2113"/>
    </row>
    <row r="2114" spans="2:24" x14ac:dyDescent="0.2">
      <c r="C2114" s="16"/>
      <c r="M2114" s="18"/>
      <c r="N2114"/>
      <c r="O2114"/>
      <c r="P2114"/>
      <c r="Q2114"/>
      <c r="R2114"/>
      <c r="S2114"/>
      <c r="T2114"/>
      <c r="U2114"/>
      <c r="V2114"/>
    </row>
    <row r="2115" spans="2:24" x14ac:dyDescent="0.2">
      <c r="B2115" s="16"/>
      <c r="W2115"/>
      <c r="X2115"/>
    </row>
    <row r="2116" spans="2:24" x14ac:dyDescent="0.2">
      <c r="C2116" s="16"/>
      <c r="M2116" s="18"/>
      <c r="N2116"/>
      <c r="O2116"/>
      <c r="P2116"/>
      <c r="Q2116"/>
      <c r="R2116"/>
      <c r="S2116"/>
      <c r="T2116"/>
      <c r="U2116"/>
      <c r="V2116"/>
    </row>
    <row r="2117" spans="2:24" x14ac:dyDescent="0.2">
      <c r="B2117" s="16"/>
      <c r="W2117"/>
      <c r="X2117"/>
    </row>
    <row r="2118" spans="2:24" x14ac:dyDescent="0.2">
      <c r="C2118" s="16"/>
      <c r="M2118" s="18"/>
      <c r="N2118"/>
      <c r="O2118"/>
      <c r="P2118"/>
      <c r="Q2118"/>
      <c r="R2118"/>
      <c r="S2118"/>
      <c r="T2118"/>
      <c r="U2118"/>
      <c r="V2118"/>
    </row>
    <row r="2119" spans="2:24" x14ac:dyDescent="0.2">
      <c r="B2119" s="16"/>
      <c r="W2119"/>
      <c r="X2119"/>
    </row>
    <row r="2120" spans="2:24" x14ac:dyDescent="0.2">
      <c r="C2120" s="16"/>
      <c r="M2120" s="18"/>
      <c r="N2120"/>
      <c r="O2120"/>
      <c r="P2120"/>
      <c r="Q2120"/>
      <c r="R2120"/>
      <c r="S2120"/>
      <c r="T2120"/>
      <c r="U2120"/>
      <c r="V2120"/>
    </row>
    <row r="2121" spans="2:24" x14ac:dyDescent="0.2">
      <c r="B2121" s="16"/>
      <c r="W2121"/>
      <c r="X2121"/>
    </row>
    <row r="2122" spans="2:24" x14ac:dyDescent="0.2">
      <c r="C2122" s="16"/>
      <c r="M2122" s="18"/>
      <c r="N2122"/>
      <c r="O2122"/>
      <c r="P2122"/>
      <c r="Q2122"/>
      <c r="R2122"/>
      <c r="S2122"/>
      <c r="T2122"/>
      <c r="U2122"/>
      <c r="V2122"/>
    </row>
    <row r="2123" spans="2:24" x14ac:dyDescent="0.2">
      <c r="B2123" s="16"/>
      <c r="W2123"/>
      <c r="X2123"/>
    </row>
    <row r="2124" spans="2:24" x14ac:dyDescent="0.2">
      <c r="C2124" s="16"/>
      <c r="M2124" s="18"/>
      <c r="N2124"/>
      <c r="O2124"/>
      <c r="P2124"/>
      <c r="Q2124"/>
      <c r="R2124"/>
      <c r="S2124"/>
      <c r="T2124"/>
      <c r="U2124"/>
      <c r="V2124"/>
    </row>
    <row r="2125" spans="2:24" x14ac:dyDescent="0.2">
      <c r="B2125" s="16"/>
      <c r="W2125"/>
      <c r="X2125"/>
    </row>
    <row r="2126" spans="2:24" x14ac:dyDescent="0.2">
      <c r="C2126" s="16"/>
      <c r="M2126" s="18"/>
      <c r="N2126"/>
      <c r="O2126"/>
      <c r="P2126"/>
      <c r="Q2126"/>
      <c r="R2126"/>
      <c r="S2126"/>
      <c r="T2126"/>
      <c r="U2126"/>
      <c r="V2126"/>
    </row>
    <row r="2127" spans="2:24" x14ac:dyDescent="0.2">
      <c r="B2127" s="16"/>
      <c r="W2127"/>
      <c r="X2127"/>
    </row>
    <row r="2128" spans="2:24" x14ac:dyDescent="0.2">
      <c r="C2128" s="16"/>
      <c r="M2128" s="18"/>
      <c r="N2128"/>
      <c r="O2128"/>
      <c r="P2128"/>
      <c r="Q2128"/>
      <c r="R2128"/>
      <c r="S2128"/>
      <c r="T2128"/>
      <c r="U2128"/>
      <c r="V2128"/>
    </row>
    <row r="2129" spans="2:24" x14ac:dyDescent="0.2">
      <c r="B2129" s="16"/>
      <c r="W2129"/>
      <c r="X2129"/>
    </row>
    <row r="2130" spans="2:24" x14ac:dyDescent="0.2">
      <c r="C2130" s="16"/>
      <c r="M2130" s="18"/>
      <c r="N2130"/>
      <c r="O2130"/>
      <c r="P2130"/>
      <c r="Q2130"/>
      <c r="R2130"/>
      <c r="S2130"/>
      <c r="T2130"/>
      <c r="U2130"/>
      <c r="V2130"/>
    </row>
    <row r="2131" spans="2:24" x14ac:dyDescent="0.2">
      <c r="B2131" s="16"/>
      <c r="W2131"/>
      <c r="X2131"/>
    </row>
    <row r="2132" spans="2:24" x14ac:dyDescent="0.2">
      <c r="C2132" s="16"/>
      <c r="M2132" s="18"/>
      <c r="N2132"/>
      <c r="O2132"/>
      <c r="P2132"/>
      <c r="Q2132"/>
      <c r="R2132"/>
      <c r="S2132"/>
      <c r="T2132"/>
      <c r="U2132"/>
      <c r="V2132"/>
    </row>
    <row r="2133" spans="2:24" x14ac:dyDescent="0.2">
      <c r="B2133" s="16"/>
      <c r="W2133"/>
      <c r="X2133"/>
    </row>
    <row r="2134" spans="2:24" x14ac:dyDescent="0.2">
      <c r="C2134" s="16"/>
      <c r="M2134" s="18"/>
      <c r="N2134"/>
      <c r="O2134"/>
      <c r="P2134"/>
      <c r="Q2134"/>
      <c r="R2134"/>
      <c r="S2134"/>
      <c r="T2134"/>
      <c r="U2134"/>
      <c r="V2134"/>
    </row>
    <row r="2135" spans="2:24" x14ac:dyDescent="0.2">
      <c r="B2135" s="16"/>
      <c r="W2135"/>
      <c r="X2135"/>
    </row>
    <row r="2136" spans="2:24" x14ac:dyDescent="0.2">
      <c r="C2136" s="16"/>
      <c r="M2136" s="18"/>
      <c r="N2136"/>
      <c r="O2136"/>
      <c r="P2136"/>
      <c r="Q2136"/>
      <c r="R2136"/>
      <c r="S2136"/>
      <c r="T2136"/>
      <c r="U2136"/>
      <c r="V2136"/>
    </row>
    <row r="2137" spans="2:24" x14ac:dyDescent="0.2">
      <c r="B2137" s="16"/>
      <c r="W2137"/>
      <c r="X2137"/>
    </row>
    <row r="2138" spans="2:24" x14ac:dyDescent="0.2">
      <c r="C2138" s="16"/>
      <c r="M2138" s="18"/>
      <c r="N2138"/>
      <c r="O2138"/>
      <c r="P2138"/>
      <c r="Q2138"/>
      <c r="R2138"/>
      <c r="S2138"/>
      <c r="T2138"/>
      <c r="U2138"/>
      <c r="V2138"/>
    </row>
    <row r="2139" spans="2:24" x14ac:dyDescent="0.2">
      <c r="B2139" s="16"/>
      <c r="W2139"/>
      <c r="X2139"/>
    </row>
    <row r="2140" spans="2:24" x14ac:dyDescent="0.2">
      <c r="C2140" s="16"/>
      <c r="M2140" s="18"/>
      <c r="N2140"/>
      <c r="O2140"/>
      <c r="P2140"/>
      <c r="Q2140"/>
      <c r="R2140"/>
      <c r="S2140"/>
      <c r="T2140"/>
      <c r="U2140"/>
      <c r="V2140"/>
    </row>
    <row r="2141" spans="2:24" x14ac:dyDescent="0.2">
      <c r="B2141" s="16"/>
      <c r="W2141"/>
      <c r="X2141"/>
    </row>
    <row r="2142" spans="2:24" x14ac:dyDescent="0.2">
      <c r="C2142" s="16"/>
      <c r="M2142" s="18"/>
      <c r="N2142"/>
      <c r="O2142"/>
      <c r="P2142"/>
      <c r="Q2142"/>
      <c r="R2142"/>
      <c r="S2142"/>
      <c r="T2142"/>
      <c r="U2142"/>
      <c r="V2142"/>
    </row>
    <row r="2143" spans="2:24" x14ac:dyDescent="0.2">
      <c r="B2143" s="16"/>
      <c r="W2143"/>
      <c r="X2143"/>
    </row>
    <row r="2144" spans="2:24" x14ac:dyDescent="0.2">
      <c r="C2144" s="16"/>
      <c r="M2144" s="18"/>
      <c r="N2144"/>
      <c r="O2144"/>
      <c r="P2144"/>
      <c r="Q2144"/>
      <c r="R2144"/>
      <c r="S2144"/>
      <c r="T2144"/>
      <c r="U2144"/>
      <c r="V2144"/>
    </row>
    <row r="2145" spans="2:24" x14ac:dyDescent="0.2">
      <c r="B2145" s="16"/>
      <c r="W2145"/>
      <c r="X2145"/>
    </row>
    <row r="2146" spans="2:24" x14ac:dyDescent="0.2">
      <c r="C2146" s="16"/>
      <c r="M2146" s="18"/>
      <c r="N2146"/>
      <c r="O2146"/>
      <c r="P2146"/>
      <c r="Q2146"/>
      <c r="R2146"/>
      <c r="S2146"/>
      <c r="T2146"/>
      <c r="U2146"/>
      <c r="V2146"/>
    </row>
    <row r="2147" spans="2:24" x14ac:dyDescent="0.2">
      <c r="B2147" s="16"/>
      <c r="W2147"/>
      <c r="X2147"/>
    </row>
    <row r="2148" spans="2:24" x14ac:dyDescent="0.2">
      <c r="C2148" s="16"/>
      <c r="M2148" s="18"/>
      <c r="N2148"/>
      <c r="O2148"/>
      <c r="P2148"/>
      <c r="Q2148"/>
      <c r="R2148"/>
      <c r="S2148"/>
      <c r="T2148"/>
      <c r="U2148"/>
      <c r="V2148"/>
    </row>
    <row r="2149" spans="2:24" x14ac:dyDescent="0.2">
      <c r="B2149" s="16"/>
      <c r="W2149"/>
      <c r="X2149"/>
    </row>
    <row r="2150" spans="2:24" x14ac:dyDescent="0.2">
      <c r="C2150" s="16"/>
      <c r="M2150" s="18"/>
      <c r="N2150"/>
      <c r="O2150"/>
      <c r="P2150"/>
      <c r="Q2150"/>
      <c r="R2150"/>
      <c r="S2150"/>
      <c r="T2150"/>
      <c r="U2150"/>
      <c r="V2150"/>
    </row>
    <row r="2151" spans="2:24" x14ac:dyDescent="0.2">
      <c r="B2151" s="16"/>
      <c r="W2151"/>
      <c r="X2151"/>
    </row>
    <row r="2152" spans="2:24" x14ac:dyDescent="0.2">
      <c r="C2152" s="16"/>
      <c r="M2152" s="18"/>
      <c r="N2152"/>
      <c r="O2152"/>
      <c r="P2152"/>
      <c r="Q2152"/>
      <c r="R2152"/>
      <c r="S2152"/>
      <c r="T2152"/>
      <c r="U2152"/>
      <c r="V2152"/>
    </row>
    <row r="2153" spans="2:24" x14ac:dyDescent="0.2">
      <c r="B2153" s="16"/>
      <c r="W2153"/>
      <c r="X2153"/>
    </row>
    <row r="2154" spans="2:24" x14ac:dyDescent="0.2">
      <c r="C2154" s="16"/>
      <c r="M2154" s="18"/>
      <c r="N2154"/>
      <c r="O2154"/>
      <c r="P2154"/>
      <c r="Q2154"/>
      <c r="R2154"/>
      <c r="S2154"/>
      <c r="T2154"/>
      <c r="U2154"/>
      <c r="V2154"/>
    </row>
    <row r="2155" spans="2:24" x14ac:dyDescent="0.2">
      <c r="B2155" s="16"/>
      <c r="W2155"/>
      <c r="X2155"/>
    </row>
    <row r="2156" spans="2:24" x14ac:dyDescent="0.2">
      <c r="C2156" s="16"/>
      <c r="M2156" s="18"/>
      <c r="N2156"/>
      <c r="O2156"/>
      <c r="P2156"/>
      <c r="Q2156"/>
      <c r="R2156"/>
      <c r="S2156"/>
      <c r="T2156"/>
      <c r="U2156"/>
      <c r="V2156"/>
    </row>
    <row r="2157" spans="2:24" x14ac:dyDescent="0.2">
      <c r="B2157" s="16"/>
      <c r="W2157"/>
      <c r="X2157"/>
    </row>
    <row r="2158" spans="2:24" x14ac:dyDescent="0.2">
      <c r="C2158" s="16"/>
      <c r="M2158" s="18"/>
      <c r="N2158"/>
      <c r="O2158"/>
      <c r="P2158"/>
      <c r="Q2158"/>
      <c r="R2158"/>
      <c r="S2158"/>
      <c r="T2158"/>
      <c r="U2158"/>
      <c r="V2158"/>
    </row>
    <row r="2159" spans="2:24" x14ac:dyDescent="0.2">
      <c r="B2159" s="16"/>
      <c r="W2159"/>
      <c r="X2159"/>
    </row>
    <row r="2160" spans="2:24" x14ac:dyDescent="0.2">
      <c r="C2160" s="16"/>
      <c r="M2160" s="18"/>
      <c r="N2160"/>
      <c r="O2160"/>
      <c r="P2160"/>
      <c r="Q2160"/>
      <c r="R2160"/>
      <c r="S2160"/>
      <c r="T2160"/>
      <c r="U2160"/>
      <c r="V2160"/>
    </row>
    <row r="2161" spans="2:24" x14ac:dyDescent="0.2">
      <c r="B2161" s="16"/>
      <c r="W2161"/>
      <c r="X2161"/>
    </row>
    <row r="2162" spans="2:24" x14ac:dyDescent="0.2">
      <c r="C2162" s="16"/>
      <c r="M2162" s="18"/>
      <c r="N2162"/>
      <c r="O2162"/>
      <c r="P2162"/>
      <c r="Q2162"/>
      <c r="R2162"/>
      <c r="S2162"/>
      <c r="T2162"/>
      <c r="U2162"/>
      <c r="V2162"/>
    </row>
    <row r="2163" spans="2:24" x14ac:dyDescent="0.2">
      <c r="B2163" s="16"/>
      <c r="W2163"/>
      <c r="X2163"/>
    </row>
    <row r="2164" spans="2:24" x14ac:dyDescent="0.2">
      <c r="C2164" s="16"/>
      <c r="M2164" s="18"/>
      <c r="N2164"/>
      <c r="O2164"/>
      <c r="P2164"/>
      <c r="Q2164"/>
      <c r="R2164"/>
      <c r="S2164"/>
      <c r="T2164"/>
      <c r="U2164"/>
      <c r="V2164"/>
    </row>
    <row r="2165" spans="2:24" x14ac:dyDescent="0.2">
      <c r="B2165" s="16"/>
      <c r="W2165"/>
      <c r="X2165"/>
    </row>
    <row r="2166" spans="2:24" x14ac:dyDescent="0.2">
      <c r="C2166" s="16"/>
      <c r="M2166" s="18"/>
      <c r="N2166"/>
      <c r="O2166"/>
      <c r="P2166"/>
      <c r="Q2166"/>
      <c r="R2166"/>
      <c r="S2166"/>
      <c r="T2166"/>
      <c r="U2166"/>
      <c r="V2166"/>
    </row>
    <row r="2167" spans="2:24" x14ac:dyDescent="0.2">
      <c r="B2167" s="16"/>
      <c r="W2167"/>
      <c r="X2167"/>
    </row>
    <row r="2168" spans="2:24" x14ac:dyDescent="0.2">
      <c r="C2168" s="16"/>
      <c r="M2168" s="18"/>
      <c r="N2168"/>
      <c r="O2168"/>
      <c r="P2168"/>
      <c r="Q2168"/>
      <c r="R2168"/>
      <c r="S2168"/>
      <c r="T2168"/>
      <c r="U2168"/>
      <c r="V2168"/>
    </row>
    <row r="2169" spans="2:24" x14ac:dyDescent="0.2">
      <c r="B2169" s="16"/>
      <c r="W2169"/>
      <c r="X2169"/>
    </row>
    <row r="2170" spans="2:24" x14ac:dyDescent="0.2">
      <c r="C2170" s="16"/>
      <c r="M2170" s="18"/>
      <c r="N2170"/>
      <c r="O2170"/>
      <c r="P2170"/>
      <c r="Q2170"/>
      <c r="R2170"/>
      <c r="S2170"/>
      <c r="T2170"/>
      <c r="U2170"/>
      <c r="V2170"/>
    </row>
    <row r="2171" spans="2:24" x14ac:dyDescent="0.2">
      <c r="B2171" s="16"/>
      <c r="W2171"/>
      <c r="X2171"/>
    </row>
    <row r="2172" spans="2:24" x14ac:dyDescent="0.2">
      <c r="C2172" s="16"/>
      <c r="M2172" s="18"/>
      <c r="N2172"/>
      <c r="O2172"/>
      <c r="P2172"/>
      <c r="Q2172"/>
      <c r="R2172"/>
      <c r="S2172"/>
      <c r="T2172"/>
      <c r="U2172"/>
      <c r="V2172"/>
    </row>
    <row r="2173" spans="2:24" x14ac:dyDescent="0.2">
      <c r="B2173" s="16"/>
      <c r="W2173"/>
      <c r="X2173"/>
    </row>
    <row r="2174" spans="2:24" x14ac:dyDescent="0.2">
      <c r="C2174" s="16"/>
      <c r="M2174" s="18"/>
      <c r="N2174"/>
      <c r="O2174"/>
      <c r="P2174"/>
      <c r="Q2174"/>
      <c r="R2174"/>
      <c r="S2174"/>
      <c r="T2174"/>
      <c r="U2174"/>
      <c r="V2174"/>
    </row>
    <row r="2175" spans="2:24" x14ac:dyDescent="0.2">
      <c r="B2175" s="16"/>
      <c r="W2175"/>
      <c r="X2175"/>
    </row>
    <row r="2176" spans="2:24" x14ac:dyDescent="0.2">
      <c r="C2176" s="16"/>
      <c r="M2176" s="18"/>
      <c r="N2176"/>
      <c r="O2176"/>
      <c r="P2176"/>
      <c r="Q2176"/>
      <c r="R2176"/>
      <c r="S2176"/>
      <c r="T2176"/>
      <c r="U2176"/>
      <c r="V2176"/>
    </row>
    <row r="2177" spans="2:24" x14ac:dyDescent="0.2">
      <c r="B2177" s="16"/>
      <c r="W2177"/>
      <c r="X2177"/>
    </row>
    <row r="2178" spans="2:24" x14ac:dyDescent="0.2">
      <c r="C2178" s="16"/>
      <c r="M2178" s="18"/>
      <c r="N2178"/>
      <c r="O2178"/>
      <c r="P2178"/>
      <c r="Q2178"/>
      <c r="R2178"/>
      <c r="S2178"/>
      <c r="T2178"/>
      <c r="U2178"/>
      <c r="V2178"/>
    </row>
    <row r="2179" spans="2:24" x14ac:dyDescent="0.2">
      <c r="B2179" s="16"/>
      <c r="W2179"/>
      <c r="X2179"/>
    </row>
    <row r="2180" spans="2:24" x14ac:dyDescent="0.2">
      <c r="C2180" s="16"/>
      <c r="M2180" s="18"/>
      <c r="N2180"/>
      <c r="O2180"/>
      <c r="P2180"/>
      <c r="Q2180"/>
      <c r="R2180"/>
      <c r="S2180"/>
      <c r="T2180"/>
      <c r="U2180"/>
      <c r="V2180"/>
    </row>
    <row r="2181" spans="2:24" x14ac:dyDescent="0.2">
      <c r="B2181" s="16"/>
      <c r="W2181"/>
      <c r="X2181"/>
    </row>
    <row r="2182" spans="2:24" x14ac:dyDescent="0.2">
      <c r="C2182" s="16"/>
      <c r="M2182" s="18"/>
      <c r="N2182"/>
      <c r="O2182"/>
      <c r="P2182"/>
      <c r="Q2182"/>
      <c r="R2182"/>
      <c r="S2182"/>
      <c r="T2182"/>
      <c r="U2182"/>
      <c r="V2182"/>
    </row>
    <row r="2183" spans="2:24" x14ac:dyDescent="0.2">
      <c r="B2183" s="16"/>
      <c r="W2183"/>
      <c r="X2183"/>
    </row>
    <row r="2184" spans="2:24" x14ac:dyDescent="0.2">
      <c r="C2184" s="16"/>
      <c r="M2184" s="18"/>
      <c r="N2184"/>
      <c r="O2184"/>
      <c r="P2184"/>
      <c r="Q2184"/>
      <c r="R2184"/>
      <c r="S2184"/>
      <c r="T2184"/>
      <c r="U2184"/>
      <c r="V2184"/>
    </row>
    <row r="2185" spans="2:24" x14ac:dyDescent="0.2">
      <c r="B2185" s="16"/>
      <c r="W2185"/>
      <c r="X2185"/>
    </row>
    <row r="2186" spans="2:24" x14ac:dyDescent="0.2">
      <c r="C2186" s="16"/>
      <c r="M2186" s="18"/>
      <c r="N2186"/>
      <c r="O2186"/>
      <c r="P2186"/>
      <c r="Q2186"/>
      <c r="R2186"/>
      <c r="S2186"/>
      <c r="T2186"/>
      <c r="U2186"/>
      <c r="V2186"/>
    </row>
    <row r="2187" spans="2:24" x14ac:dyDescent="0.2">
      <c r="B2187" s="16"/>
      <c r="W2187"/>
      <c r="X2187"/>
    </row>
    <row r="2188" spans="2:24" x14ac:dyDescent="0.2">
      <c r="C2188" s="16"/>
      <c r="M2188" s="18"/>
      <c r="N2188"/>
      <c r="O2188"/>
      <c r="P2188"/>
      <c r="Q2188"/>
      <c r="R2188"/>
      <c r="S2188"/>
      <c r="T2188"/>
      <c r="U2188"/>
      <c r="V2188"/>
    </row>
    <row r="2189" spans="2:24" x14ac:dyDescent="0.2">
      <c r="B2189" s="16"/>
      <c r="W2189"/>
      <c r="X2189"/>
    </row>
    <row r="2190" spans="2:24" x14ac:dyDescent="0.2">
      <c r="C2190" s="16"/>
      <c r="M2190" s="18"/>
      <c r="N2190"/>
      <c r="O2190"/>
      <c r="P2190"/>
      <c r="Q2190"/>
      <c r="R2190"/>
      <c r="S2190"/>
      <c r="T2190"/>
      <c r="U2190"/>
      <c r="V2190"/>
    </row>
    <row r="2191" spans="2:24" x14ac:dyDescent="0.2">
      <c r="B2191" s="16"/>
      <c r="W2191"/>
      <c r="X2191"/>
    </row>
    <row r="2192" spans="2:24" x14ac:dyDescent="0.2">
      <c r="C2192" s="16"/>
      <c r="M2192" s="18"/>
      <c r="N2192"/>
      <c r="O2192"/>
      <c r="P2192"/>
      <c r="Q2192"/>
      <c r="R2192"/>
      <c r="S2192"/>
      <c r="T2192"/>
      <c r="U2192"/>
      <c r="V2192"/>
    </row>
    <row r="2193" spans="2:24" x14ac:dyDescent="0.2">
      <c r="B2193" s="16"/>
      <c r="W2193"/>
      <c r="X2193"/>
    </row>
    <row r="2194" spans="2:24" x14ac:dyDescent="0.2">
      <c r="C2194" s="16"/>
      <c r="M2194" s="18"/>
      <c r="N2194"/>
      <c r="O2194"/>
      <c r="P2194"/>
      <c r="Q2194"/>
      <c r="R2194"/>
      <c r="S2194"/>
      <c r="T2194"/>
      <c r="U2194"/>
      <c r="V2194"/>
    </row>
    <row r="2195" spans="2:24" x14ac:dyDescent="0.2">
      <c r="B2195" s="16"/>
      <c r="W2195"/>
      <c r="X2195"/>
    </row>
    <row r="2196" spans="2:24" x14ac:dyDescent="0.2">
      <c r="C2196" s="16"/>
      <c r="M2196" s="18"/>
      <c r="N2196"/>
      <c r="O2196"/>
      <c r="P2196"/>
      <c r="Q2196"/>
      <c r="R2196"/>
      <c r="S2196"/>
      <c r="T2196"/>
      <c r="U2196"/>
      <c r="V2196"/>
    </row>
    <row r="2197" spans="2:24" x14ac:dyDescent="0.2">
      <c r="B2197" s="16"/>
      <c r="W2197"/>
      <c r="X2197"/>
    </row>
    <row r="2198" spans="2:24" x14ac:dyDescent="0.2">
      <c r="C2198" s="16"/>
      <c r="M2198" s="18"/>
      <c r="N2198"/>
      <c r="O2198"/>
      <c r="P2198"/>
      <c r="Q2198"/>
      <c r="R2198"/>
      <c r="S2198"/>
      <c r="T2198"/>
      <c r="U2198"/>
      <c r="V2198"/>
    </row>
    <row r="2199" spans="2:24" x14ac:dyDescent="0.2">
      <c r="B2199" s="16"/>
      <c r="W2199"/>
      <c r="X2199"/>
    </row>
    <row r="2200" spans="2:24" x14ac:dyDescent="0.2">
      <c r="C2200" s="16"/>
      <c r="M2200" s="18"/>
      <c r="N2200"/>
      <c r="O2200"/>
      <c r="P2200"/>
      <c r="Q2200"/>
      <c r="R2200"/>
      <c r="S2200"/>
      <c r="T2200"/>
      <c r="U2200"/>
      <c r="V2200"/>
    </row>
    <row r="2201" spans="2:24" x14ac:dyDescent="0.2">
      <c r="B2201" s="16"/>
      <c r="W2201"/>
      <c r="X2201"/>
    </row>
    <row r="2202" spans="2:24" x14ac:dyDescent="0.2">
      <c r="C2202" s="16"/>
      <c r="M2202" s="18"/>
      <c r="N2202"/>
      <c r="O2202"/>
      <c r="P2202"/>
      <c r="Q2202"/>
      <c r="R2202"/>
      <c r="S2202"/>
      <c r="T2202"/>
      <c r="U2202"/>
      <c r="V2202"/>
    </row>
    <row r="2203" spans="2:24" x14ac:dyDescent="0.2">
      <c r="B2203" s="16"/>
      <c r="W2203"/>
      <c r="X2203"/>
    </row>
    <row r="2204" spans="2:24" x14ac:dyDescent="0.2">
      <c r="C2204" s="16"/>
      <c r="M2204" s="18"/>
      <c r="N2204"/>
      <c r="O2204"/>
      <c r="P2204"/>
      <c r="Q2204"/>
      <c r="R2204"/>
      <c r="S2204"/>
      <c r="T2204"/>
      <c r="U2204"/>
      <c r="V2204"/>
    </row>
    <row r="2205" spans="2:24" x14ac:dyDescent="0.2">
      <c r="B2205" s="16"/>
      <c r="W2205"/>
      <c r="X2205"/>
    </row>
    <row r="2206" spans="2:24" x14ac:dyDescent="0.2">
      <c r="C2206" s="16"/>
      <c r="M2206" s="18"/>
      <c r="N2206"/>
      <c r="O2206"/>
      <c r="P2206"/>
      <c r="Q2206"/>
      <c r="R2206"/>
      <c r="S2206"/>
      <c r="T2206"/>
      <c r="U2206"/>
      <c r="V2206"/>
    </row>
    <row r="2207" spans="2:24" x14ac:dyDescent="0.2">
      <c r="B2207" s="16"/>
      <c r="W2207"/>
      <c r="X2207"/>
    </row>
    <row r="2208" spans="2:24" x14ac:dyDescent="0.2">
      <c r="C2208" s="16"/>
      <c r="M2208" s="18"/>
      <c r="N2208"/>
      <c r="O2208"/>
      <c r="P2208"/>
      <c r="Q2208"/>
      <c r="R2208"/>
      <c r="S2208"/>
      <c r="T2208"/>
      <c r="U2208"/>
      <c r="V2208"/>
    </row>
    <row r="2209" spans="2:24" x14ac:dyDescent="0.2">
      <c r="B2209" s="16"/>
      <c r="W2209"/>
      <c r="X2209"/>
    </row>
    <row r="2210" spans="2:24" x14ac:dyDescent="0.2">
      <c r="C2210" s="16"/>
      <c r="M2210" s="18"/>
      <c r="N2210"/>
      <c r="O2210"/>
      <c r="P2210"/>
      <c r="Q2210"/>
      <c r="R2210"/>
      <c r="S2210"/>
      <c r="T2210"/>
      <c r="U2210"/>
      <c r="V2210"/>
    </row>
    <row r="2211" spans="2:24" x14ac:dyDescent="0.2">
      <c r="B2211" s="16"/>
      <c r="W2211"/>
      <c r="X2211"/>
    </row>
    <row r="2212" spans="2:24" x14ac:dyDescent="0.2">
      <c r="C2212" s="16"/>
      <c r="M2212" s="18"/>
      <c r="N2212"/>
      <c r="O2212"/>
      <c r="P2212"/>
      <c r="Q2212"/>
      <c r="R2212"/>
      <c r="S2212"/>
      <c r="T2212"/>
      <c r="U2212"/>
      <c r="V2212"/>
    </row>
    <row r="2213" spans="2:24" x14ac:dyDescent="0.2">
      <c r="B2213" s="16"/>
      <c r="W2213"/>
      <c r="X2213"/>
    </row>
    <row r="2214" spans="2:24" x14ac:dyDescent="0.2">
      <c r="C2214" s="16"/>
      <c r="M2214" s="18"/>
      <c r="N2214"/>
      <c r="O2214"/>
      <c r="P2214"/>
      <c r="Q2214"/>
      <c r="R2214"/>
      <c r="S2214"/>
      <c r="T2214"/>
      <c r="U2214"/>
      <c r="V2214"/>
    </row>
    <row r="2215" spans="2:24" x14ac:dyDescent="0.2">
      <c r="B2215" s="16"/>
      <c r="W2215"/>
      <c r="X2215"/>
    </row>
    <row r="2216" spans="2:24" x14ac:dyDescent="0.2">
      <c r="C2216" s="16"/>
      <c r="M2216" s="18"/>
      <c r="N2216"/>
      <c r="O2216"/>
      <c r="P2216"/>
      <c r="Q2216"/>
      <c r="R2216"/>
      <c r="S2216"/>
      <c r="T2216"/>
      <c r="U2216"/>
      <c r="V2216"/>
    </row>
    <row r="2217" spans="2:24" x14ac:dyDescent="0.2">
      <c r="B2217" s="16"/>
      <c r="W2217"/>
      <c r="X2217"/>
    </row>
    <row r="2218" spans="2:24" x14ac:dyDescent="0.2">
      <c r="C2218" s="16"/>
      <c r="M2218" s="18"/>
      <c r="N2218"/>
      <c r="O2218"/>
      <c r="P2218"/>
      <c r="Q2218"/>
      <c r="R2218"/>
      <c r="S2218"/>
      <c r="T2218"/>
      <c r="U2218"/>
      <c r="V2218"/>
    </row>
    <row r="2219" spans="2:24" x14ac:dyDescent="0.2">
      <c r="B2219" s="16"/>
      <c r="W2219"/>
      <c r="X2219"/>
    </row>
    <row r="2220" spans="2:24" x14ac:dyDescent="0.2">
      <c r="C2220" s="16"/>
      <c r="M2220" s="18"/>
      <c r="N2220"/>
      <c r="O2220"/>
      <c r="P2220"/>
      <c r="Q2220"/>
      <c r="R2220"/>
      <c r="S2220"/>
      <c r="T2220"/>
      <c r="U2220"/>
      <c r="V2220"/>
    </row>
    <row r="2221" spans="2:24" x14ac:dyDescent="0.2">
      <c r="B2221" s="16"/>
      <c r="W2221"/>
      <c r="X2221"/>
    </row>
    <row r="2222" spans="2:24" x14ac:dyDescent="0.2">
      <c r="C2222" s="16"/>
      <c r="M2222" s="18"/>
      <c r="N2222"/>
      <c r="O2222"/>
      <c r="P2222"/>
      <c r="Q2222"/>
      <c r="R2222"/>
      <c r="S2222"/>
      <c r="T2222"/>
      <c r="U2222"/>
      <c r="V2222"/>
    </row>
    <row r="2223" spans="2:24" x14ac:dyDescent="0.2">
      <c r="B2223" s="16"/>
      <c r="W2223"/>
      <c r="X2223"/>
    </row>
    <row r="2224" spans="2:24" x14ac:dyDescent="0.2">
      <c r="C2224" s="16"/>
      <c r="M2224" s="18"/>
      <c r="N2224"/>
      <c r="O2224"/>
      <c r="P2224"/>
      <c r="Q2224"/>
      <c r="R2224"/>
      <c r="S2224"/>
      <c r="T2224"/>
      <c r="U2224"/>
      <c r="V2224"/>
    </row>
    <row r="2225" spans="2:24" x14ac:dyDescent="0.2">
      <c r="B2225" s="16"/>
      <c r="W2225"/>
      <c r="X2225"/>
    </row>
    <row r="2226" spans="2:24" x14ac:dyDescent="0.2">
      <c r="C2226" s="16"/>
      <c r="M2226" s="18"/>
      <c r="N2226"/>
      <c r="O2226"/>
      <c r="P2226"/>
      <c r="Q2226"/>
      <c r="R2226"/>
      <c r="S2226"/>
      <c r="T2226"/>
      <c r="U2226"/>
      <c r="V2226"/>
    </row>
    <row r="2227" spans="2:24" x14ac:dyDescent="0.2">
      <c r="B2227" s="16"/>
      <c r="W2227"/>
      <c r="X2227"/>
    </row>
    <row r="2228" spans="2:24" x14ac:dyDescent="0.2">
      <c r="C2228" s="16"/>
      <c r="M2228" s="18"/>
      <c r="N2228"/>
      <c r="O2228"/>
      <c r="P2228"/>
      <c r="Q2228"/>
      <c r="R2228"/>
      <c r="S2228"/>
      <c r="T2228"/>
      <c r="U2228"/>
      <c r="V2228"/>
    </row>
    <row r="2229" spans="2:24" x14ac:dyDescent="0.2">
      <c r="B2229" s="16"/>
      <c r="W2229"/>
      <c r="X2229"/>
    </row>
    <row r="2230" spans="2:24" x14ac:dyDescent="0.2">
      <c r="C2230" s="16"/>
      <c r="M2230" s="18"/>
      <c r="N2230"/>
      <c r="O2230"/>
      <c r="P2230"/>
      <c r="Q2230"/>
      <c r="R2230"/>
      <c r="S2230"/>
      <c r="T2230"/>
      <c r="U2230"/>
      <c r="V2230"/>
    </row>
    <row r="2231" spans="2:24" x14ac:dyDescent="0.2">
      <c r="B2231" s="16"/>
      <c r="W2231"/>
      <c r="X2231"/>
    </row>
    <row r="2232" spans="2:24" x14ac:dyDescent="0.2">
      <c r="C2232" s="16"/>
      <c r="M2232" s="18"/>
      <c r="N2232"/>
      <c r="O2232"/>
      <c r="P2232"/>
      <c r="Q2232"/>
      <c r="R2232"/>
      <c r="S2232"/>
      <c r="T2232"/>
      <c r="U2232"/>
      <c r="V2232"/>
    </row>
    <row r="2233" spans="2:24" x14ac:dyDescent="0.2">
      <c r="B2233" s="16"/>
      <c r="W2233"/>
      <c r="X2233"/>
    </row>
    <row r="2234" spans="2:24" x14ac:dyDescent="0.2">
      <c r="C2234" s="16"/>
      <c r="M2234" s="18"/>
      <c r="N2234"/>
      <c r="O2234"/>
      <c r="P2234"/>
      <c r="Q2234"/>
      <c r="R2234"/>
      <c r="S2234"/>
      <c r="T2234"/>
      <c r="U2234"/>
      <c r="V2234"/>
    </row>
    <row r="2235" spans="2:24" x14ac:dyDescent="0.2">
      <c r="B2235" s="16"/>
      <c r="W2235"/>
      <c r="X2235"/>
    </row>
    <row r="2236" spans="2:24" x14ac:dyDescent="0.2">
      <c r="C2236" s="16"/>
      <c r="M2236" s="18"/>
      <c r="N2236"/>
      <c r="O2236"/>
      <c r="P2236"/>
      <c r="Q2236"/>
      <c r="R2236"/>
      <c r="S2236"/>
      <c r="T2236"/>
      <c r="U2236"/>
      <c r="V2236"/>
    </row>
    <row r="2237" spans="2:24" x14ac:dyDescent="0.2">
      <c r="B2237" s="16"/>
      <c r="W2237"/>
      <c r="X2237"/>
    </row>
    <row r="2238" spans="2:24" x14ac:dyDescent="0.2">
      <c r="C2238" s="16"/>
      <c r="M2238" s="18"/>
      <c r="N2238"/>
      <c r="O2238"/>
      <c r="P2238"/>
      <c r="Q2238"/>
      <c r="R2238"/>
      <c r="S2238"/>
      <c r="T2238"/>
      <c r="U2238"/>
      <c r="V2238"/>
    </row>
    <row r="2239" spans="2:24" x14ac:dyDescent="0.2">
      <c r="B2239" s="16"/>
      <c r="W2239"/>
      <c r="X2239"/>
    </row>
    <row r="2240" spans="2:24" x14ac:dyDescent="0.2">
      <c r="C2240" s="16"/>
      <c r="M2240" s="18"/>
      <c r="N2240"/>
      <c r="O2240"/>
      <c r="P2240"/>
      <c r="Q2240"/>
      <c r="R2240"/>
      <c r="S2240"/>
      <c r="T2240"/>
      <c r="U2240"/>
      <c r="V2240"/>
    </row>
    <row r="2241" spans="2:24" x14ac:dyDescent="0.2">
      <c r="B2241" s="16"/>
      <c r="W2241"/>
      <c r="X2241"/>
    </row>
    <row r="2242" spans="2:24" x14ac:dyDescent="0.2">
      <c r="C2242" s="16"/>
      <c r="M2242" s="18"/>
      <c r="N2242"/>
      <c r="O2242"/>
      <c r="P2242"/>
      <c r="Q2242"/>
      <c r="R2242"/>
      <c r="S2242"/>
      <c r="T2242"/>
      <c r="U2242"/>
      <c r="V2242"/>
    </row>
    <row r="2243" spans="2:24" x14ac:dyDescent="0.2">
      <c r="B2243" s="16"/>
      <c r="W2243"/>
      <c r="X2243"/>
    </row>
    <row r="2244" spans="2:24" x14ac:dyDescent="0.2">
      <c r="C2244" s="16"/>
      <c r="M2244" s="18"/>
      <c r="N2244"/>
      <c r="O2244"/>
      <c r="P2244"/>
      <c r="Q2244"/>
      <c r="R2244"/>
      <c r="S2244"/>
      <c r="T2244"/>
      <c r="U2244"/>
      <c r="V2244"/>
    </row>
    <row r="2245" spans="2:24" x14ac:dyDescent="0.2">
      <c r="B2245" s="16"/>
      <c r="W2245"/>
      <c r="X2245"/>
    </row>
    <row r="2246" spans="2:24" x14ac:dyDescent="0.2">
      <c r="C2246" s="16"/>
      <c r="M2246" s="18"/>
      <c r="N2246"/>
      <c r="O2246"/>
      <c r="P2246"/>
      <c r="Q2246"/>
      <c r="R2246"/>
      <c r="S2246"/>
      <c r="T2246"/>
      <c r="U2246"/>
      <c r="V2246"/>
    </row>
    <row r="2247" spans="2:24" x14ac:dyDescent="0.2">
      <c r="B2247" s="16"/>
      <c r="W2247"/>
      <c r="X2247"/>
    </row>
    <row r="2248" spans="2:24" x14ac:dyDescent="0.2">
      <c r="C2248" s="16"/>
      <c r="M2248" s="18"/>
      <c r="N2248"/>
      <c r="O2248"/>
      <c r="P2248"/>
      <c r="Q2248"/>
      <c r="R2248"/>
      <c r="S2248"/>
      <c r="T2248"/>
      <c r="U2248"/>
      <c r="V2248"/>
    </row>
    <row r="2249" spans="2:24" x14ac:dyDescent="0.2">
      <c r="B2249" s="16"/>
      <c r="W2249"/>
      <c r="X2249"/>
    </row>
    <row r="2250" spans="2:24" x14ac:dyDescent="0.2">
      <c r="C2250" s="16"/>
      <c r="M2250" s="18"/>
      <c r="N2250"/>
      <c r="O2250"/>
      <c r="P2250"/>
      <c r="Q2250"/>
      <c r="R2250"/>
      <c r="S2250"/>
      <c r="T2250"/>
      <c r="U2250"/>
      <c r="V2250"/>
    </row>
    <row r="2251" spans="2:24" x14ac:dyDescent="0.2">
      <c r="B2251" s="16"/>
      <c r="W2251"/>
      <c r="X2251"/>
    </row>
    <row r="2252" spans="2:24" x14ac:dyDescent="0.2">
      <c r="C2252" s="16"/>
      <c r="M2252" s="18"/>
      <c r="N2252"/>
      <c r="O2252"/>
      <c r="P2252"/>
      <c r="Q2252"/>
      <c r="R2252"/>
      <c r="S2252"/>
      <c r="T2252"/>
      <c r="U2252"/>
      <c r="V2252"/>
    </row>
    <row r="2253" spans="2:24" x14ac:dyDescent="0.2">
      <c r="B2253" s="16"/>
      <c r="W2253"/>
      <c r="X2253"/>
    </row>
    <row r="2254" spans="2:24" x14ac:dyDescent="0.2">
      <c r="C2254" s="16"/>
      <c r="M2254" s="18"/>
      <c r="N2254"/>
      <c r="O2254"/>
      <c r="P2254"/>
      <c r="Q2254"/>
      <c r="R2254"/>
      <c r="S2254"/>
      <c r="T2254"/>
      <c r="U2254"/>
      <c r="V2254"/>
    </row>
    <row r="2255" spans="2:24" x14ac:dyDescent="0.2">
      <c r="B2255" s="16"/>
      <c r="W2255"/>
      <c r="X2255"/>
    </row>
    <row r="2256" spans="2:24" x14ac:dyDescent="0.2">
      <c r="C2256" s="16"/>
      <c r="M2256" s="18"/>
      <c r="N2256"/>
      <c r="O2256"/>
      <c r="P2256"/>
      <c r="Q2256"/>
      <c r="R2256"/>
      <c r="S2256"/>
      <c r="T2256"/>
      <c r="U2256"/>
      <c r="V2256"/>
    </row>
    <row r="2257" spans="2:24" x14ac:dyDescent="0.2">
      <c r="B2257" s="16"/>
      <c r="W2257"/>
      <c r="X2257"/>
    </row>
    <row r="2258" spans="2:24" x14ac:dyDescent="0.2">
      <c r="C2258" s="16"/>
      <c r="M2258" s="18"/>
      <c r="N2258"/>
      <c r="O2258"/>
      <c r="P2258"/>
      <c r="Q2258"/>
      <c r="R2258"/>
      <c r="S2258"/>
      <c r="T2258"/>
      <c r="U2258"/>
      <c r="V2258"/>
    </row>
    <row r="2259" spans="2:24" x14ac:dyDescent="0.2">
      <c r="B2259" s="16"/>
      <c r="W2259"/>
      <c r="X2259"/>
    </row>
    <row r="2260" spans="2:24" x14ac:dyDescent="0.2">
      <c r="C2260" s="16"/>
      <c r="M2260" s="18"/>
      <c r="N2260"/>
      <c r="O2260"/>
      <c r="P2260"/>
      <c r="Q2260"/>
      <c r="R2260"/>
      <c r="S2260"/>
      <c r="T2260"/>
      <c r="U2260"/>
      <c r="V2260"/>
    </row>
    <row r="2261" spans="2:24" x14ac:dyDescent="0.2">
      <c r="B2261" s="16"/>
      <c r="W2261"/>
      <c r="X2261"/>
    </row>
    <row r="2262" spans="2:24" x14ac:dyDescent="0.2">
      <c r="C2262" s="16"/>
      <c r="M2262" s="18"/>
      <c r="N2262"/>
      <c r="O2262"/>
      <c r="P2262"/>
      <c r="Q2262"/>
      <c r="R2262"/>
      <c r="S2262"/>
      <c r="T2262"/>
      <c r="U2262"/>
      <c r="V2262"/>
    </row>
    <row r="2263" spans="2:24" x14ac:dyDescent="0.2">
      <c r="B2263" s="16"/>
      <c r="W2263"/>
      <c r="X2263"/>
    </row>
    <row r="2264" spans="2:24" x14ac:dyDescent="0.2">
      <c r="C2264" s="16"/>
      <c r="M2264" s="18"/>
      <c r="N2264"/>
      <c r="O2264"/>
      <c r="P2264"/>
      <c r="Q2264"/>
      <c r="R2264"/>
      <c r="S2264"/>
      <c r="T2264"/>
      <c r="U2264"/>
      <c r="V2264"/>
    </row>
    <row r="2265" spans="2:24" x14ac:dyDescent="0.2">
      <c r="B2265" s="16"/>
      <c r="W2265"/>
      <c r="X2265"/>
    </row>
    <row r="2266" spans="2:24" x14ac:dyDescent="0.2">
      <c r="C2266" s="16"/>
      <c r="M2266" s="18"/>
      <c r="N2266"/>
      <c r="O2266"/>
      <c r="P2266"/>
      <c r="Q2266"/>
      <c r="R2266"/>
      <c r="S2266"/>
      <c r="T2266"/>
      <c r="U2266"/>
      <c r="V2266"/>
    </row>
    <row r="2267" spans="2:24" x14ac:dyDescent="0.2">
      <c r="B2267" s="16"/>
      <c r="W2267"/>
      <c r="X2267"/>
    </row>
    <row r="2268" spans="2:24" x14ac:dyDescent="0.2">
      <c r="C2268" s="16"/>
      <c r="M2268" s="18"/>
      <c r="N2268"/>
      <c r="O2268"/>
      <c r="P2268"/>
      <c r="Q2268"/>
      <c r="R2268"/>
      <c r="S2268"/>
      <c r="T2268"/>
      <c r="U2268"/>
      <c r="V2268"/>
    </row>
    <row r="2269" spans="2:24" x14ac:dyDescent="0.2">
      <c r="B2269" s="16"/>
      <c r="W2269"/>
      <c r="X2269"/>
    </row>
    <row r="2270" spans="2:24" x14ac:dyDescent="0.2">
      <c r="C2270" s="16"/>
      <c r="M2270" s="18"/>
      <c r="N2270"/>
      <c r="O2270"/>
      <c r="P2270"/>
      <c r="Q2270"/>
      <c r="R2270"/>
      <c r="S2270"/>
      <c r="T2270"/>
      <c r="U2270"/>
      <c r="V2270"/>
    </row>
    <row r="2271" spans="2:24" x14ac:dyDescent="0.2">
      <c r="B2271" s="16"/>
      <c r="W2271"/>
      <c r="X2271"/>
    </row>
    <row r="2272" spans="2:24" x14ac:dyDescent="0.2">
      <c r="C2272" s="16"/>
      <c r="M2272" s="18"/>
      <c r="N2272"/>
      <c r="O2272"/>
      <c r="P2272"/>
      <c r="Q2272"/>
      <c r="R2272"/>
      <c r="S2272"/>
      <c r="T2272"/>
      <c r="U2272"/>
      <c r="V2272"/>
    </row>
    <row r="2273" spans="2:24" x14ac:dyDescent="0.2">
      <c r="B2273" s="16"/>
      <c r="W2273"/>
      <c r="X2273"/>
    </row>
    <row r="2274" spans="2:24" x14ac:dyDescent="0.2">
      <c r="C2274" s="16"/>
      <c r="M2274" s="18"/>
      <c r="N2274"/>
      <c r="O2274"/>
      <c r="P2274"/>
      <c r="Q2274"/>
      <c r="R2274"/>
      <c r="S2274"/>
      <c r="T2274"/>
      <c r="U2274"/>
      <c r="V2274"/>
    </row>
    <row r="2275" spans="2:24" x14ac:dyDescent="0.2">
      <c r="B2275" s="16"/>
      <c r="W2275"/>
      <c r="X2275"/>
    </row>
    <row r="2276" spans="2:24" x14ac:dyDescent="0.2">
      <c r="C2276" s="16"/>
      <c r="M2276" s="18"/>
      <c r="N2276"/>
      <c r="O2276"/>
      <c r="P2276"/>
      <c r="Q2276"/>
      <c r="R2276"/>
      <c r="S2276"/>
      <c r="T2276"/>
      <c r="U2276"/>
      <c r="V2276"/>
    </row>
    <row r="2277" spans="2:24" x14ac:dyDescent="0.2">
      <c r="B2277" s="16"/>
      <c r="W2277"/>
      <c r="X2277"/>
    </row>
    <row r="2278" spans="2:24" x14ac:dyDescent="0.2">
      <c r="C2278" s="16"/>
      <c r="M2278" s="18"/>
      <c r="N2278"/>
      <c r="O2278"/>
      <c r="P2278"/>
      <c r="Q2278"/>
      <c r="R2278"/>
      <c r="S2278"/>
      <c r="T2278"/>
      <c r="U2278"/>
      <c r="V2278"/>
    </row>
    <row r="2279" spans="2:24" x14ac:dyDescent="0.2">
      <c r="B2279" s="16"/>
      <c r="W2279"/>
      <c r="X2279"/>
    </row>
    <row r="2280" spans="2:24" x14ac:dyDescent="0.2">
      <c r="C2280" s="16"/>
      <c r="M2280" s="18"/>
      <c r="N2280"/>
      <c r="O2280"/>
      <c r="P2280"/>
      <c r="Q2280"/>
      <c r="R2280"/>
      <c r="S2280"/>
      <c r="T2280"/>
      <c r="U2280"/>
      <c r="V2280"/>
    </row>
    <row r="2281" spans="2:24" x14ac:dyDescent="0.2">
      <c r="B2281" s="16"/>
      <c r="W2281"/>
      <c r="X2281"/>
    </row>
    <row r="2282" spans="2:24" x14ac:dyDescent="0.2">
      <c r="C2282" s="16"/>
      <c r="M2282" s="18"/>
      <c r="N2282"/>
      <c r="O2282"/>
      <c r="P2282"/>
      <c r="Q2282"/>
      <c r="R2282"/>
      <c r="S2282"/>
      <c r="T2282"/>
      <c r="U2282"/>
      <c r="V2282"/>
    </row>
    <row r="2283" spans="2:24" x14ac:dyDescent="0.2">
      <c r="B2283" s="16"/>
      <c r="W2283"/>
      <c r="X2283"/>
    </row>
    <row r="2284" spans="2:24" x14ac:dyDescent="0.2">
      <c r="C2284" s="16"/>
      <c r="M2284" s="18"/>
      <c r="N2284"/>
      <c r="O2284"/>
      <c r="P2284"/>
      <c r="Q2284"/>
      <c r="R2284"/>
      <c r="S2284"/>
      <c r="T2284"/>
      <c r="U2284"/>
      <c r="V2284"/>
    </row>
    <row r="2285" spans="2:24" x14ac:dyDescent="0.2">
      <c r="B2285" s="16"/>
      <c r="W2285"/>
      <c r="X2285"/>
    </row>
    <row r="2286" spans="2:24" x14ac:dyDescent="0.2">
      <c r="C2286" s="16"/>
      <c r="M2286" s="18"/>
      <c r="N2286"/>
      <c r="O2286"/>
      <c r="P2286"/>
      <c r="Q2286"/>
      <c r="R2286"/>
      <c r="S2286"/>
      <c r="T2286"/>
      <c r="U2286"/>
      <c r="V2286"/>
    </row>
    <row r="2287" spans="2:24" x14ac:dyDescent="0.2">
      <c r="B2287" s="16"/>
      <c r="W2287"/>
      <c r="X2287"/>
    </row>
    <row r="2288" spans="2:24" x14ac:dyDescent="0.2">
      <c r="C2288" s="16"/>
      <c r="M2288" s="18"/>
      <c r="N2288"/>
      <c r="O2288"/>
      <c r="P2288"/>
      <c r="Q2288"/>
      <c r="R2288"/>
      <c r="S2288"/>
      <c r="T2288"/>
      <c r="U2288"/>
      <c r="V2288"/>
    </row>
    <row r="2289" spans="2:24" x14ac:dyDescent="0.2">
      <c r="B2289" s="16"/>
      <c r="W2289"/>
      <c r="X2289"/>
    </row>
    <row r="2290" spans="2:24" x14ac:dyDescent="0.2">
      <c r="C2290" s="16"/>
      <c r="M2290" s="18"/>
      <c r="N2290"/>
      <c r="O2290"/>
      <c r="P2290"/>
      <c r="Q2290"/>
      <c r="R2290"/>
      <c r="S2290"/>
      <c r="T2290"/>
      <c r="U2290"/>
      <c r="V2290"/>
    </row>
    <row r="2291" spans="2:24" x14ac:dyDescent="0.2">
      <c r="B2291" s="16"/>
      <c r="W2291"/>
      <c r="X2291"/>
    </row>
    <row r="2292" spans="2:24" x14ac:dyDescent="0.2">
      <c r="C2292" s="16"/>
      <c r="M2292" s="18"/>
      <c r="N2292"/>
      <c r="O2292"/>
      <c r="P2292"/>
      <c r="Q2292"/>
      <c r="R2292"/>
      <c r="S2292"/>
      <c r="T2292"/>
      <c r="U2292"/>
      <c r="V2292"/>
    </row>
    <row r="2293" spans="2:24" x14ac:dyDescent="0.2">
      <c r="B2293" s="16"/>
      <c r="W2293"/>
      <c r="X2293"/>
    </row>
    <row r="2294" spans="2:24" x14ac:dyDescent="0.2">
      <c r="C2294" s="16"/>
      <c r="M2294" s="18"/>
      <c r="N2294"/>
      <c r="O2294"/>
      <c r="P2294"/>
      <c r="Q2294"/>
      <c r="R2294"/>
      <c r="S2294"/>
      <c r="T2294"/>
      <c r="U2294"/>
      <c r="V2294"/>
    </row>
    <row r="2295" spans="2:24" x14ac:dyDescent="0.2">
      <c r="B2295" s="16"/>
      <c r="W2295"/>
      <c r="X2295"/>
    </row>
    <row r="2296" spans="2:24" x14ac:dyDescent="0.2">
      <c r="C2296" s="16"/>
      <c r="M2296" s="18"/>
      <c r="N2296"/>
      <c r="O2296"/>
      <c r="P2296"/>
      <c r="Q2296"/>
      <c r="R2296"/>
      <c r="S2296"/>
      <c r="T2296"/>
      <c r="U2296"/>
      <c r="V2296"/>
    </row>
    <row r="2297" spans="2:24" x14ac:dyDescent="0.2">
      <c r="B2297" s="16"/>
      <c r="W2297"/>
      <c r="X2297"/>
    </row>
    <row r="2298" spans="2:24" x14ac:dyDescent="0.2">
      <c r="C2298" s="16"/>
      <c r="M2298" s="18"/>
      <c r="N2298"/>
      <c r="O2298"/>
      <c r="P2298"/>
      <c r="Q2298"/>
      <c r="R2298"/>
      <c r="S2298"/>
      <c r="T2298"/>
      <c r="U2298"/>
      <c r="V2298"/>
    </row>
    <row r="2299" spans="2:24" x14ac:dyDescent="0.2">
      <c r="B2299" s="16"/>
      <c r="W2299"/>
      <c r="X2299"/>
    </row>
    <row r="2300" spans="2:24" x14ac:dyDescent="0.2">
      <c r="C2300" s="16"/>
      <c r="M2300" s="18"/>
      <c r="N2300"/>
      <c r="O2300"/>
      <c r="P2300"/>
      <c r="Q2300"/>
      <c r="R2300"/>
      <c r="S2300"/>
      <c r="T2300"/>
      <c r="U2300"/>
      <c r="V2300"/>
    </row>
    <row r="2301" spans="2:24" x14ac:dyDescent="0.2">
      <c r="B2301" s="16"/>
      <c r="W2301"/>
      <c r="X2301"/>
    </row>
    <row r="2302" spans="2:24" x14ac:dyDescent="0.2">
      <c r="C2302" s="16"/>
      <c r="M2302" s="18"/>
      <c r="N2302"/>
      <c r="O2302"/>
      <c r="P2302"/>
      <c r="Q2302"/>
      <c r="R2302"/>
      <c r="S2302"/>
      <c r="T2302"/>
      <c r="U2302"/>
      <c r="V2302"/>
    </row>
    <row r="2303" spans="2:24" x14ac:dyDescent="0.2">
      <c r="B2303" s="16"/>
      <c r="W2303"/>
      <c r="X2303"/>
    </row>
    <row r="2304" spans="2:24" x14ac:dyDescent="0.2">
      <c r="C2304" s="16"/>
      <c r="M2304" s="18"/>
      <c r="N2304"/>
      <c r="O2304"/>
      <c r="P2304"/>
      <c r="Q2304"/>
      <c r="R2304"/>
      <c r="S2304"/>
      <c r="T2304"/>
      <c r="U2304"/>
      <c r="V2304"/>
    </row>
    <row r="2305" spans="2:24" x14ac:dyDescent="0.2">
      <c r="B2305" s="16"/>
      <c r="W2305"/>
      <c r="X2305"/>
    </row>
    <row r="2306" spans="2:24" x14ac:dyDescent="0.2">
      <c r="C2306" s="16"/>
      <c r="M2306" s="18"/>
      <c r="N2306"/>
      <c r="O2306"/>
      <c r="P2306"/>
      <c r="Q2306"/>
      <c r="R2306"/>
      <c r="S2306"/>
      <c r="T2306"/>
      <c r="U2306"/>
      <c r="V2306"/>
    </row>
    <row r="2307" spans="2:24" x14ac:dyDescent="0.2">
      <c r="B2307" s="16"/>
      <c r="W2307"/>
      <c r="X2307"/>
    </row>
    <row r="2308" spans="2:24" x14ac:dyDescent="0.2">
      <c r="C2308" s="16"/>
      <c r="M2308" s="18"/>
      <c r="N2308"/>
      <c r="O2308"/>
      <c r="P2308"/>
      <c r="Q2308"/>
      <c r="R2308"/>
      <c r="S2308"/>
      <c r="T2308"/>
      <c r="U2308"/>
      <c r="V2308"/>
    </row>
    <row r="2309" spans="2:24" x14ac:dyDescent="0.2">
      <c r="B2309" s="16"/>
      <c r="W2309"/>
      <c r="X2309"/>
    </row>
    <row r="2310" spans="2:24" x14ac:dyDescent="0.2">
      <c r="C2310" s="16"/>
      <c r="M2310" s="18"/>
      <c r="N2310"/>
      <c r="O2310"/>
      <c r="P2310"/>
      <c r="Q2310"/>
      <c r="R2310"/>
      <c r="S2310"/>
      <c r="T2310"/>
      <c r="U2310"/>
      <c r="V2310"/>
    </row>
    <row r="2311" spans="2:24" x14ac:dyDescent="0.2">
      <c r="B2311" s="16"/>
      <c r="W2311"/>
      <c r="X2311"/>
    </row>
    <row r="2312" spans="2:24" x14ac:dyDescent="0.2">
      <c r="C2312" s="16"/>
      <c r="M2312" s="18"/>
      <c r="N2312"/>
      <c r="O2312"/>
      <c r="P2312"/>
      <c r="Q2312"/>
      <c r="R2312"/>
      <c r="S2312"/>
      <c r="T2312"/>
      <c r="U2312"/>
      <c r="V2312"/>
    </row>
    <row r="2313" spans="2:24" x14ac:dyDescent="0.2">
      <c r="B2313" s="16"/>
      <c r="W2313"/>
      <c r="X2313"/>
    </row>
    <row r="2314" spans="2:24" x14ac:dyDescent="0.2">
      <c r="C2314" s="16"/>
      <c r="M2314" s="18"/>
      <c r="N2314"/>
      <c r="O2314"/>
      <c r="P2314"/>
      <c r="Q2314"/>
      <c r="R2314"/>
      <c r="S2314"/>
      <c r="T2314"/>
      <c r="U2314"/>
      <c r="V2314"/>
    </row>
    <row r="2315" spans="2:24" x14ac:dyDescent="0.2">
      <c r="B2315" s="16"/>
      <c r="W2315"/>
      <c r="X2315"/>
    </row>
    <row r="2316" spans="2:24" x14ac:dyDescent="0.2">
      <c r="C2316" s="16"/>
      <c r="M2316" s="18"/>
      <c r="N2316"/>
      <c r="O2316"/>
      <c r="P2316"/>
      <c r="Q2316"/>
      <c r="R2316"/>
      <c r="S2316"/>
      <c r="T2316"/>
      <c r="U2316"/>
      <c r="V2316"/>
    </row>
    <row r="2317" spans="2:24" x14ac:dyDescent="0.2">
      <c r="B2317" s="16"/>
      <c r="W2317"/>
      <c r="X2317"/>
    </row>
    <row r="2318" spans="2:24" x14ac:dyDescent="0.2">
      <c r="C2318" s="16"/>
      <c r="M2318" s="18"/>
      <c r="N2318"/>
      <c r="O2318"/>
      <c r="P2318"/>
      <c r="Q2318"/>
      <c r="R2318"/>
      <c r="S2318"/>
      <c r="T2318"/>
      <c r="U2318"/>
      <c r="V2318"/>
    </row>
    <row r="2319" spans="2:24" x14ac:dyDescent="0.2">
      <c r="B2319" s="16"/>
      <c r="W2319"/>
      <c r="X2319"/>
    </row>
    <row r="2320" spans="2:24" x14ac:dyDescent="0.2">
      <c r="C2320" s="16"/>
      <c r="M2320" s="18"/>
      <c r="N2320"/>
      <c r="O2320"/>
      <c r="P2320"/>
      <c r="Q2320"/>
      <c r="R2320"/>
      <c r="S2320"/>
      <c r="T2320"/>
      <c r="U2320"/>
      <c r="V2320"/>
    </row>
    <row r="2321" spans="2:24" x14ac:dyDescent="0.2">
      <c r="B2321" s="16"/>
      <c r="W2321"/>
      <c r="X2321"/>
    </row>
    <row r="2322" spans="2:24" x14ac:dyDescent="0.2">
      <c r="C2322" s="16"/>
      <c r="M2322" s="18"/>
      <c r="N2322"/>
      <c r="O2322"/>
      <c r="P2322"/>
      <c r="Q2322"/>
      <c r="R2322"/>
      <c r="S2322"/>
      <c r="T2322"/>
      <c r="U2322"/>
      <c r="V2322"/>
    </row>
    <row r="2323" spans="2:24" x14ac:dyDescent="0.2">
      <c r="B2323" s="16"/>
      <c r="W2323"/>
      <c r="X2323"/>
    </row>
    <row r="2324" spans="2:24" x14ac:dyDescent="0.2">
      <c r="C2324" s="16"/>
      <c r="M2324" s="18"/>
      <c r="N2324"/>
      <c r="O2324"/>
      <c r="P2324"/>
      <c r="Q2324"/>
      <c r="R2324"/>
      <c r="S2324"/>
      <c r="T2324"/>
      <c r="U2324"/>
      <c r="V2324"/>
    </row>
    <row r="2325" spans="2:24" x14ac:dyDescent="0.2">
      <c r="B2325" s="16"/>
      <c r="W2325"/>
      <c r="X2325"/>
    </row>
    <row r="2326" spans="2:24" x14ac:dyDescent="0.2">
      <c r="C2326" s="16"/>
      <c r="M2326" s="18"/>
      <c r="N2326"/>
      <c r="O2326"/>
      <c r="P2326"/>
      <c r="Q2326"/>
      <c r="R2326"/>
      <c r="S2326"/>
      <c r="T2326"/>
      <c r="U2326"/>
      <c r="V2326"/>
    </row>
    <row r="2327" spans="2:24" x14ac:dyDescent="0.2">
      <c r="B2327" s="16"/>
      <c r="W2327"/>
      <c r="X2327"/>
    </row>
    <row r="2328" spans="2:24" x14ac:dyDescent="0.2">
      <c r="C2328" s="16"/>
      <c r="M2328" s="18"/>
      <c r="N2328"/>
      <c r="O2328"/>
      <c r="P2328"/>
      <c r="Q2328"/>
      <c r="R2328"/>
      <c r="S2328"/>
      <c r="T2328"/>
      <c r="U2328"/>
      <c r="V2328"/>
    </row>
    <row r="2329" spans="2:24" x14ac:dyDescent="0.2">
      <c r="B2329" s="16"/>
      <c r="W2329"/>
      <c r="X2329"/>
    </row>
    <row r="2330" spans="2:24" x14ac:dyDescent="0.2">
      <c r="C2330" s="16"/>
      <c r="M2330" s="18"/>
      <c r="N2330"/>
      <c r="O2330"/>
      <c r="P2330"/>
      <c r="Q2330"/>
      <c r="R2330"/>
      <c r="S2330"/>
      <c r="T2330"/>
      <c r="U2330"/>
      <c r="V2330"/>
    </row>
    <row r="2331" spans="2:24" x14ac:dyDescent="0.2">
      <c r="B2331" s="16"/>
      <c r="W2331"/>
      <c r="X2331"/>
    </row>
    <row r="2332" spans="2:24" x14ac:dyDescent="0.2">
      <c r="C2332" s="16"/>
      <c r="M2332" s="18"/>
      <c r="N2332"/>
      <c r="O2332"/>
      <c r="P2332"/>
      <c r="Q2332"/>
      <c r="R2332"/>
      <c r="S2332"/>
      <c r="T2332"/>
      <c r="U2332"/>
      <c r="V2332"/>
    </row>
    <row r="2333" spans="2:24" x14ac:dyDescent="0.2">
      <c r="B2333" s="16"/>
      <c r="W2333"/>
      <c r="X2333"/>
    </row>
    <row r="2334" spans="2:24" x14ac:dyDescent="0.2">
      <c r="C2334" s="16"/>
      <c r="M2334" s="18"/>
      <c r="N2334"/>
      <c r="O2334"/>
      <c r="P2334"/>
      <c r="Q2334"/>
      <c r="R2334"/>
      <c r="S2334"/>
      <c r="T2334"/>
      <c r="U2334"/>
      <c r="V2334"/>
    </row>
    <row r="2335" spans="2:24" x14ac:dyDescent="0.2">
      <c r="B2335" s="16"/>
      <c r="W2335"/>
      <c r="X2335"/>
    </row>
    <row r="2336" spans="2:24" x14ac:dyDescent="0.2">
      <c r="C2336" s="16"/>
      <c r="M2336" s="18"/>
      <c r="N2336"/>
      <c r="O2336"/>
      <c r="P2336"/>
      <c r="Q2336"/>
      <c r="R2336"/>
      <c r="S2336"/>
      <c r="T2336"/>
      <c r="U2336"/>
      <c r="V2336"/>
    </row>
    <row r="2337" spans="2:24" x14ac:dyDescent="0.2">
      <c r="B2337" s="16"/>
      <c r="W2337"/>
      <c r="X2337"/>
    </row>
    <row r="2338" spans="2:24" x14ac:dyDescent="0.2">
      <c r="C2338" s="16"/>
      <c r="M2338" s="18"/>
      <c r="N2338"/>
      <c r="O2338"/>
      <c r="P2338"/>
      <c r="Q2338"/>
      <c r="R2338"/>
      <c r="S2338"/>
      <c r="T2338"/>
      <c r="U2338"/>
      <c r="V2338"/>
    </row>
    <row r="2339" spans="2:24" x14ac:dyDescent="0.2">
      <c r="B2339" s="16"/>
      <c r="W2339"/>
      <c r="X2339"/>
    </row>
    <row r="2340" spans="2:24" x14ac:dyDescent="0.2">
      <c r="C2340" s="16"/>
      <c r="M2340" s="18"/>
      <c r="N2340"/>
      <c r="O2340"/>
      <c r="P2340"/>
      <c r="Q2340"/>
      <c r="R2340"/>
      <c r="S2340"/>
      <c r="T2340"/>
      <c r="U2340"/>
      <c r="V2340"/>
    </row>
    <row r="2341" spans="2:24" x14ac:dyDescent="0.2">
      <c r="B2341" s="16"/>
      <c r="W2341"/>
      <c r="X2341"/>
    </row>
    <row r="2342" spans="2:24" x14ac:dyDescent="0.2">
      <c r="C2342" s="16"/>
      <c r="M2342" s="18"/>
      <c r="N2342"/>
      <c r="O2342"/>
      <c r="P2342"/>
      <c r="Q2342"/>
      <c r="R2342"/>
      <c r="S2342"/>
      <c r="T2342"/>
      <c r="U2342"/>
      <c r="V2342"/>
    </row>
    <row r="2343" spans="2:24" x14ac:dyDescent="0.2">
      <c r="B2343" s="16"/>
      <c r="W2343"/>
      <c r="X2343"/>
    </row>
    <row r="2344" spans="2:24" x14ac:dyDescent="0.2">
      <c r="C2344" s="16"/>
      <c r="M2344" s="18"/>
      <c r="N2344"/>
      <c r="O2344"/>
      <c r="P2344"/>
      <c r="Q2344"/>
      <c r="R2344"/>
      <c r="S2344"/>
      <c r="T2344"/>
      <c r="U2344"/>
      <c r="V2344"/>
    </row>
    <row r="2345" spans="2:24" x14ac:dyDescent="0.2">
      <c r="B2345" s="16"/>
      <c r="W2345"/>
      <c r="X2345"/>
    </row>
    <row r="2346" spans="2:24" x14ac:dyDescent="0.2">
      <c r="C2346" s="16"/>
      <c r="M2346" s="18"/>
      <c r="N2346"/>
      <c r="O2346"/>
      <c r="P2346"/>
      <c r="Q2346"/>
      <c r="R2346"/>
      <c r="S2346"/>
      <c r="T2346"/>
      <c r="U2346"/>
      <c r="V2346"/>
    </row>
    <row r="2347" spans="2:24" x14ac:dyDescent="0.2">
      <c r="B2347" s="16"/>
      <c r="W2347"/>
      <c r="X2347"/>
    </row>
    <row r="2348" spans="2:24" x14ac:dyDescent="0.2">
      <c r="C2348" s="16"/>
      <c r="M2348" s="18"/>
      <c r="N2348"/>
      <c r="O2348"/>
      <c r="P2348"/>
      <c r="Q2348"/>
      <c r="R2348"/>
      <c r="S2348"/>
      <c r="T2348"/>
      <c r="U2348"/>
      <c r="V2348"/>
    </row>
    <row r="2349" spans="2:24" x14ac:dyDescent="0.2">
      <c r="B2349" s="16"/>
      <c r="W2349"/>
      <c r="X2349"/>
    </row>
    <row r="2350" spans="2:24" x14ac:dyDescent="0.2">
      <c r="C2350" s="16"/>
      <c r="M2350" s="18"/>
      <c r="N2350"/>
      <c r="O2350"/>
      <c r="P2350"/>
      <c r="Q2350"/>
      <c r="R2350"/>
      <c r="S2350"/>
      <c r="T2350"/>
      <c r="U2350"/>
      <c r="V2350"/>
    </row>
    <row r="2351" spans="2:24" x14ac:dyDescent="0.2">
      <c r="B2351" s="16"/>
      <c r="W2351"/>
      <c r="X2351"/>
    </row>
    <row r="2352" spans="2:24" x14ac:dyDescent="0.2">
      <c r="C2352" s="16"/>
      <c r="M2352" s="18"/>
      <c r="N2352"/>
      <c r="O2352"/>
      <c r="P2352"/>
      <c r="Q2352"/>
      <c r="R2352"/>
      <c r="S2352"/>
      <c r="T2352"/>
      <c r="U2352"/>
      <c r="V2352"/>
    </row>
    <row r="2353" spans="2:24" x14ac:dyDescent="0.2">
      <c r="B2353" s="16"/>
      <c r="W2353"/>
      <c r="X2353"/>
    </row>
    <row r="2354" spans="2:24" x14ac:dyDescent="0.2">
      <c r="C2354" s="16"/>
      <c r="M2354" s="18"/>
      <c r="N2354"/>
      <c r="O2354"/>
      <c r="P2354"/>
      <c r="Q2354"/>
      <c r="R2354"/>
      <c r="S2354"/>
      <c r="T2354"/>
      <c r="U2354"/>
      <c r="V2354"/>
    </row>
    <row r="2355" spans="2:24" x14ac:dyDescent="0.2">
      <c r="B2355" s="16"/>
      <c r="W2355"/>
      <c r="X2355"/>
    </row>
    <row r="2356" spans="2:24" x14ac:dyDescent="0.2">
      <c r="C2356" s="16"/>
      <c r="M2356" s="18"/>
      <c r="N2356"/>
      <c r="O2356"/>
      <c r="P2356"/>
      <c r="Q2356"/>
      <c r="R2356"/>
      <c r="S2356"/>
      <c r="T2356"/>
      <c r="U2356"/>
      <c r="V2356"/>
    </row>
    <row r="2357" spans="2:24" x14ac:dyDescent="0.2">
      <c r="B2357" s="16"/>
      <c r="W2357"/>
      <c r="X2357"/>
    </row>
    <row r="2358" spans="2:24" x14ac:dyDescent="0.2">
      <c r="C2358" s="16"/>
      <c r="M2358" s="18"/>
      <c r="N2358"/>
      <c r="O2358"/>
      <c r="P2358"/>
      <c r="Q2358"/>
      <c r="R2358"/>
      <c r="S2358"/>
      <c r="T2358"/>
      <c r="U2358"/>
      <c r="V2358"/>
    </row>
    <row r="2359" spans="2:24" x14ac:dyDescent="0.2">
      <c r="B2359" s="16"/>
      <c r="W2359"/>
      <c r="X2359"/>
    </row>
    <row r="2360" spans="2:24" x14ac:dyDescent="0.2">
      <c r="C2360" s="16"/>
      <c r="M2360" s="18"/>
      <c r="N2360"/>
      <c r="O2360"/>
      <c r="P2360"/>
      <c r="Q2360"/>
      <c r="R2360"/>
      <c r="S2360"/>
      <c r="T2360"/>
      <c r="U2360"/>
      <c r="V2360"/>
    </row>
    <row r="2361" spans="2:24" x14ac:dyDescent="0.2">
      <c r="B2361" s="16"/>
      <c r="W2361"/>
      <c r="X2361"/>
    </row>
    <row r="2362" spans="2:24" x14ac:dyDescent="0.2">
      <c r="C2362" s="16"/>
      <c r="M2362" s="18"/>
      <c r="N2362"/>
      <c r="O2362"/>
      <c r="P2362"/>
      <c r="Q2362"/>
      <c r="R2362"/>
      <c r="S2362"/>
      <c r="T2362"/>
      <c r="U2362"/>
      <c r="V2362"/>
    </row>
    <row r="2363" spans="2:24" x14ac:dyDescent="0.2">
      <c r="B2363" s="16"/>
      <c r="W2363"/>
      <c r="X2363"/>
    </row>
    <row r="2364" spans="2:24" x14ac:dyDescent="0.2">
      <c r="C2364" s="16"/>
      <c r="M2364" s="18"/>
      <c r="N2364"/>
      <c r="O2364"/>
      <c r="P2364"/>
      <c r="Q2364"/>
      <c r="R2364"/>
      <c r="S2364"/>
      <c r="T2364"/>
      <c r="U2364"/>
      <c r="V2364"/>
    </row>
    <row r="2365" spans="2:24" x14ac:dyDescent="0.2">
      <c r="B2365" s="16"/>
      <c r="W2365"/>
      <c r="X2365"/>
    </row>
    <row r="2366" spans="2:24" x14ac:dyDescent="0.2">
      <c r="C2366" s="16"/>
      <c r="M2366" s="18"/>
      <c r="N2366"/>
      <c r="O2366"/>
      <c r="P2366"/>
      <c r="Q2366"/>
      <c r="R2366"/>
      <c r="S2366"/>
      <c r="T2366"/>
      <c r="U2366"/>
      <c r="V2366"/>
    </row>
    <row r="2367" spans="2:24" x14ac:dyDescent="0.2">
      <c r="B2367" s="16"/>
      <c r="W2367"/>
      <c r="X2367"/>
    </row>
    <row r="2368" spans="2:24" x14ac:dyDescent="0.2">
      <c r="C2368" s="16"/>
      <c r="M2368" s="18"/>
      <c r="N2368"/>
      <c r="O2368"/>
      <c r="P2368"/>
      <c r="Q2368"/>
      <c r="R2368"/>
      <c r="S2368"/>
      <c r="T2368"/>
      <c r="U2368"/>
      <c r="V2368"/>
    </row>
    <row r="2369" spans="2:24" x14ac:dyDescent="0.2">
      <c r="B2369" s="16"/>
      <c r="W2369"/>
      <c r="X2369"/>
    </row>
    <row r="2370" spans="2:24" x14ac:dyDescent="0.2">
      <c r="C2370" s="16"/>
      <c r="M2370" s="18"/>
      <c r="N2370"/>
      <c r="O2370"/>
      <c r="P2370"/>
      <c r="Q2370"/>
      <c r="R2370"/>
      <c r="S2370"/>
      <c r="T2370"/>
      <c r="U2370"/>
      <c r="V2370"/>
    </row>
    <row r="2371" spans="2:24" x14ac:dyDescent="0.2">
      <c r="B2371" s="16"/>
      <c r="W2371"/>
      <c r="X2371"/>
    </row>
    <row r="2372" spans="2:24" x14ac:dyDescent="0.2">
      <c r="C2372" s="16"/>
      <c r="M2372" s="18"/>
      <c r="N2372"/>
      <c r="O2372"/>
      <c r="P2372"/>
      <c r="Q2372"/>
      <c r="R2372"/>
      <c r="S2372"/>
      <c r="T2372"/>
      <c r="U2372"/>
      <c r="V2372"/>
    </row>
    <row r="2373" spans="2:24" x14ac:dyDescent="0.2">
      <c r="B2373" s="16"/>
      <c r="W2373"/>
      <c r="X2373"/>
    </row>
    <row r="2374" spans="2:24" x14ac:dyDescent="0.2">
      <c r="C2374" s="16"/>
      <c r="M2374" s="18"/>
      <c r="N2374"/>
      <c r="O2374"/>
      <c r="P2374"/>
      <c r="Q2374"/>
      <c r="R2374"/>
      <c r="S2374"/>
      <c r="T2374"/>
      <c r="U2374"/>
      <c r="V2374"/>
    </row>
    <row r="2375" spans="2:24" x14ac:dyDescent="0.2">
      <c r="B2375" s="16"/>
      <c r="W2375"/>
      <c r="X2375"/>
    </row>
    <row r="2376" spans="2:24" x14ac:dyDescent="0.2">
      <c r="C2376" s="16"/>
      <c r="M2376" s="18"/>
      <c r="N2376"/>
      <c r="O2376"/>
      <c r="P2376"/>
      <c r="Q2376"/>
      <c r="R2376"/>
      <c r="S2376"/>
      <c r="T2376"/>
      <c r="U2376"/>
      <c r="V2376"/>
    </row>
    <row r="2377" spans="2:24" x14ac:dyDescent="0.2">
      <c r="B2377" s="16"/>
      <c r="W2377"/>
      <c r="X2377"/>
    </row>
    <row r="2378" spans="2:24" x14ac:dyDescent="0.2">
      <c r="C2378" s="16"/>
      <c r="M2378" s="18"/>
      <c r="N2378"/>
      <c r="O2378"/>
      <c r="P2378"/>
      <c r="Q2378"/>
      <c r="R2378"/>
      <c r="S2378"/>
      <c r="T2378"/>
      <c r="U2378"/>
      <c r="V2378"/>
    </row>
    <row r="2379" spans="2:24" x14ac:dyDescent="0.2">
      <c r="B2379" s="16"/>
      <c r="W2379"/>
      <c r="X2379"/>
    </row>
    <row r="2380" spans="2:24" x14ac:dyDescent="0.2">
      <c r="C2380" s="16"/>
      <c r="M2380" s="18"/>
      <c r="N2380"/>
      <c r="O2380"/>
      <c r="P2380"/>
      <c r="Q2380"/>
      <c r="R2380"/>
      <c r="S2380"/>
      <c r="T2380"/>
      <c r="U2380"/>
      <c r="V2380"/>
    </row>
    <row r="2381" spans="2:24" x14ac:dyDescent="0.2">
      <c r="B2381" s="16"/>
      <c r="W2381"/>
      <c r="X2381"/>
    </row>
    <row r="2382" spans="2:24" x14ac:dyDescent="0.2">
      <c r="C2382" s="16"/>
      <c r="M2382" s="18"/>
      <c r="N2382"/>
      <c r="O2382"/>
      <c r="P2382"/>
      <c r="Q2382"/>
      <c r="R2382"/>
      <c r="S2382"/>
      <c r="T2382"/>
      <c r="U2382"/>
      <c r="V2382"/>
    </row>
    <row r="2383" spans="2:24" x14ac:dyDescent="0.2">
      <c r="B2383" s="16"/>
      <c r="W2383"/>
      <c r="X2383"/>
    </row>
    <row r="2384" spans="2:24" x14ac:dyDescent="0.2">
      <c r="C2384" s="16"/>
      <c r="M2384" s="18"/>
      <c r="N2384"/>
      <c r="O2384"/>
      <c r="P2384"/>
      <c r="Q2384"/>
      <c r="R2384"/>
      <c r="S2384"/>
      <c r="T2384"/>
      <c r="U2384"/>
      <c r="V2384"/>
    </row>
    <row r="2385" spans="2:24" x14ac:dyDescent="0.2">
      <c r="B2385" s="16"/>
      <c r="W2385"/>
      <c r="X2385"/>
    </row>
    <row r="2386" spans="2:24" x14ac:dyDescent="0.2">
      <c r="C2386" s="16"/>
      <c r="M2386" s="18"/>
      <c r="N2386"/>
      <c r="O2386"/>
      <c r="P2386"/>
      <c r="Q2386"/>
      <c r="R2386"/>
      <c r="S2386"/>
      <c r="T2386"/>
      <c r="U2386"/>
      <c r="V2386"/>
    </row>
    <row r="2387" spans="2:24" x14ac:dyDescent="0.2">
      <c r="B2387" s="16"/>
      <c r="W2387"/>
      <c r="X2387"/>
    </row>
    <row r="2388" spans="2:24" x14ac:dyDescent="0.2">
      <c r="C2388" s="16"/>
      <c r="M2388" s="18"/>
      <c r="N2388"/>
      <c r="O2388"/>
      <c r="P2388"/>
      <c r="Q2388"/>
      <c r="R2388"/>
      <c r="S2388"/>
      <c r="T2388"/>
      <c r="U2388"/>
      <c r="V2388"/>
    </row>
    <row r="2389" spans="2:24" x14ac:dyDescent="0.2">
      <c r="B2389" s="16"/>
      <c r="W2389"/>
      <c r="X2389"/>
    </row>
    <row r="2390" spans="2:24" x14ac:dyDescent="0.2">
      <c r="C2390" s="16"/>
      <c r="M2390" s="18"/>
      <c r="N2390"/>
      <c r="O2390"/>
      <c r="P2390"/>
      <c r="Q2390"/>
      <c r="R2390"/>
      <c r="S2390"/>
      <c r="T2390"/>
      <c r="U2390"/>
      <c r="V2390"/>
    </row>
    <row r="2391" spans="2:24" x14ac:dyDescent="0.2">
      <c r="B2391" s="16"/>
      <c r="W2391"/>
      <c r="X2391"/>
    </row>
    <row r="2392" spans="2:24" x14ac:dyDescent="0.2">
      <c r="C2392" s="16"/>
      <c r="M2392" s="18"/>
      <c r="N2392"/>
      <c r="O2392"/>
      <c r="P2392"/>
      <c r="Q2392"/>
      <c r="R2392"/>
      <c r="S2392"/>
      <c r="T2392"/>
      <c r="U2392"/>
      <c r="V2392"/>
    </row>
    <row r="2393" spans="2:24" x14ac:dyDescent="0.2">
      <c r="B2393" s="16"/>
      <c r="W2393"/>
      <c r="X2393"/>
    </row>
    <row r="2394" spans="2:24" x14ac:dyDescent="0.2">
      <c r="C2394" s="16"/>
      <c r="M2394" s="18"/>
      <c r="N2394"/>
      <c r="O2394"/>
      <c r="P2394"/>
      <c r="Q2394"/>
      <c r="R2394"/>
      <c r="S2394"/>
      <c r="T2394"/>
      <c r="U2394"/>
      <c r="V2394"/>
    </row>
    <row r="2395" spans="2:24" x14ac:dyDescent="0.2">
      <c r="B2395" s="16"/>
      <c r="W2395"/>
      <c r="X2395"/>
    </row>
    <row r="2396" spans="2:24" x14ac:dyDescent="0.2">
      <c r="C2396" s="16"/>
      <c r="M2396" s="18"/>
      <c r="N2396"/>
      <c r="O2396"/>
      <c r="P2396"/>
      <c r="Q2396"/>
      <c r="R2396"/>
      <c r="S2396"/>
      <c r="T2396"/>
      <c r="U2396"/>
      <c r="V2396"/>
    </row>
    <row r="2397" spans="2:24" x14ac:dyDescent="0.2">
      <c r="B2397" s="16"/>
      <c r="W2397"/>
      <c r="X2397"/>
    </row>
    <row r="2398" spans="2:24" x14ac:dyDescent="0.2">
      <c r="C2398" s="16"/>
      <c r="M2398" s="18"/>
      <c r="N2398"/>
      <c r="O2398"/>
      <c r="P2398"/>
      <c r="Q2398"/>
      <c r="R2398"/>
      <c r="S2398"/>
      <c r="T2398"/>
      <c r="U2398"/>
      <c r="V2398"/>
    </row>
    <row r="2399" spans="2:24" x14ac:dyDescent="0.2">
      <c r="B2399" s="16"/>
      <c r="W2399"/>
      <c r="X2399"/>
    </row>
    <row r="2400" spans="2:24" x14ac:dyDescent="0.2">
      <c r="C2400" s="16"/>
      <c r="M2400" s="18"/>
      <c r="N2400"/>
      <c r="O2400"/>
      <c r="P2400"/>
      <c r="Q2400"/>
      <c r="R2400"/>
      <c r="S2400"/>
      <c r="T2400"/>
      <c r="U2400"/>
      <c r="V2400"/>
    </row>
    <row r="2401" spans="2:24" x14ac:dyDescent="0.2">
      <c r="B2401" s="16"/>
      <c r="W2401"/>
      <c r="X2401"/>
    </row>
    <row r="2402" spans="2:24" x14ac:dyDescent="0.2">
      <c r="C2402" s="16"/>
      <c r="M2402" s="18"/>
      <c r="N2402"/>
      <c r="O2402"/>
      <c r="P2402"/>
      <c r="Q2402"/>
      <c r="R2402"/>
      <c r="S2402"/>
      <c r="T2402"/>
      <c r="U2402"/>
      <c r="V2402"/>
    </row>
    <row r="2403" spans="2:24" x14ac:dyDescent="0.2">
      <c r="B2403" s="16"/>
      <c r="W2403"/>
      <c r="X2403"/>
    </row>
    <row r="2404" spans="2:24" x14ac:dyDescent="0.2">
      <c r="C2404" s="16"/>
      <c r="M2404" s="18"/>
      <c r="N2404"/>
      <c r="O2404"/>
      <c r="P2404"/>
      <c r="Q2404"/>
      <c r="R2404"/>
      <c r="S2404"/>
      <c r="T2404"/>
      <c r="U2404"/>
      <c r="V2404"/>
    </row>
    <row r="2405" spans="2:24" x14ac:dyDescent="0.2">
      <c r="B2405" s="16"/>
      <c r="W2405"/>
      <c r="X2405"/>
    </row>
    <row r="2406" spans="2:24" x14ac:dyDescent="0.2">
      <c r="C2406" s="16"/>
      <c r="M2406" s="18"/>
      <c r="N2406"/>
      <c r="O2406"/>
      <c r="P2406"/>
      <c r="Q2406"/>
      <c r="R2406"/>
      <c r="S2406"/>
      <c r="T2406"/>
      <c r="U2406"/>
      <c r="V2406"/>
    </row>
    <row r="2407" spans="2:24" x14ac:dyDescent="0.2">
      <c r="B2407" s="16"/>
      <c r="W2407"/>
      <c r="X2407"/>
    </row>
    <row r="2408" spans="2:24" x14ac:dyDescent="0.2">
      <c r="C2408" s="16"/>
      <c r="M2408" s="18"/>
      <c r="N2408"/>
      <c r="O2408"/>
      <c r="P2408"/>
      <c r="Q2408"/>
      <c r="R2408"/>
      <c r="S2408"/>
      <c r="T2408"/>
      <c r="U2408"/>
      <c r="V2408"/>
    </row>
    <row r="2409" spans="2:24" x14ac:dyDescent="0.2">
      <c r="B2409" s="16"/>
      <c r="W2409"/>
      <c r="X2409"/>
    </row>
    <row r="2410" spans="2:24" x14ac:dyDescent="0.2">
      <c r="C2410" s="16"/>
      <c r="M2410" s="18"/>
      <c r="N2410"/>
      <c r="O2410"/>
      <c r="P2410"/>
      <c r="Q2410"/>
      <c r="R2410"/>
      <c r="S2410"/>
      <c r="T2410"/>
      <c r="U2410"/>
      <c r="V2410"/>
    </row>
    <row r="2411" spans="2:24" x14ac:dyDescent="0.2">
      <c r="B2411" s="16"/>
      <c r="W2411"/>
      <c r="X2411"/>
    </row>
    <row r="2412" spans="2:24" x14ac:dyDescent="0.2">
      <c r="C2412" s="16"/>
      <c r="M2412" s="18"/>
      <c r="N2412"/>
      <c r="O2412"/>
      <c r="P2412"/>
      <c r="Q2412"/>
      <c r="R2412"/>
      <c r="S2412"/>
      <c r="T2412"/>
      <c r="U2412"/>
      <c r="V2412"/>
    </row>
    <row r="2413" spans="2:24" x14ac:dyDescent="0.2">
      <c r="B2413" s="16"/>
      <c r="W2413"/>
      <c r="X2413"/>
    </row>
    <row r="2414" spans="2:24" x14ac:dyDescent="0.2">
      <c r="C2414" s="16"/>
      <c r="M2414" s="18"/>
      <c r="N2414"/>
      <c r="O2414"/>
      <c r="P2414"/>
      <c r="Q2414"/>
      <c r="R2414"/>
      <c r="S2414"/>
      <c r="T2414"/>
      <c r="U2414"/>
      <c r="V2414"/>
    </row>
    <row r="2415" spans="2:24" x14ac:dyDescent="0.2">
      <c r="B2415" s="16"/>
      <c r="W2415"/>
      <c r="X2415"/>
    </row>
    <row r="2416" spans="2:24" x14ac:dyDescent="0.2">
      <c r="C2416" s="16"/>
      <c r="M2416" s="18"/>
      <c r="N2416"/>
      <c r="O2416"/>
      <c r="P2416"/>
      <c r="Q2416"/>
      <c r="R2416"/>
      <c r="S2416"/>
      <c r="T2416"/>
      <c r="U2416"/>
      <c r="V2416"/>
    </row>
    <row r="2417" spans="2:24" x14ac:dyDescent="0.2">
      <c r="B2417" s="16"/>
      <c r="W2417"/>
      <c r="X2417"/>
    </row>
    <row r="2418" spans="2:24" x14ac:dyDescent="0.2">
      <c r="C2418" s="16"/>
      <c r="M2418" s="18"/>
      <c r="N2418"/>
      <c r="O2418"/>
      <c r="P2418"/>
      <c r="Q2418"/>
      <c r="R2418"/>
      <c r="S2418"/>
      <c r="T2418"/>
      <c r="U2418"/>
      <c r="V2418"/>
    </row>
    <row r="2419" spans="2:24" x14ac:dyDescent="0.2">
      <c r="B2419" s="16"/>
      <c r="W2419"/>
      <c r="X2419"/>
    </row>
    <row r="2420" spans="2:24" x14ac:dyDescent="0.2">
      <c r="C2420" s="16"/>
      <c r="M2420" s="18"/>
      <c r="N2420"/>
      <c r="O2420"/>
      <c r="P2420"/>
      <c r="Q2420"/>
      <c r="R2420"/>
      <c r="S2420"/>
      <c r="T2420"/>
      <c r="U2420"/>
      <c r="V2420"/>
    </row>
    <row r="2421" spans="2:24" x14ac:dyDescent="0.2">
      <c r="B2421" s="16"/>
      <c r="W2421"/>
      <c r="X2421"/>
    </row>
    <row r="2422" spans="2:24" x14ac:dyDescent="0.2">
      <c r="C2422" s="16"/>
      <c r="M2422" s="18"/>
      <c r="N2422"/>
      <c r="O2422"/>
      <c r="P2422"/>
      <c r="Q2422"/>
      <c r="R2422"/>
      <c r="S2422"/>
      <c r="T2422"/>
      <c r="U2422"/>
      <c r="V2422"/>
    </row>
    <row r="2423" spans="2:24" x14ac:dyDescent="0.2">
      <c r="B2423" s="16"/>
      <c r="W2423"/>
      <c r="X2423"/>
    </row>
    <row r="2424" spans="2:24" x14ac:dyDescent="0.2">
      <c r="C2424" s="16"/>
      <c r="M2424" s="18"/>
      <c r="N2424"/>
      <c r="O2424"/>
      <c r="P2424"/>
      <c r="Q2424"/>
      <c r="R2424"/>
      <c r="S2424"/>
      <c r="T2424"/>
      <c r="U2424"/>
      <c r="V2424"/>
    </row>
    <row r="2425" spans="2:24" x14ac:dyDescent="0.2">
      <c r="B2425" s="16"/>
      <c r="W2425"/>
      <c r="X2425"/>
    </row>
    <row r="2426" spans="2:24" x14ac:dyDescent="0.2">
      <c r="C2426" s="16"/>
      <c r="M2426" s="18"/>
      <c r="N2426"/>
      <c r="O2426"/>
      <c r="P2426"/>
      <c r="Q2426"/>
      <c r="R2426"/>
      <c r="S2426"/>
      <c r="T2426"/>
      <c r="U2426"/>
      <c r="V2426"/>
    </row>
    <row r="2427" spans="2:24" x14ac:dyDescent="0.2">
      <c r="B2427" s="16"/>
      <c r="W2427"/>
      <c r="X2427"/>
    </row>
    <row r="2428" spans="2:24" x14ac:dyDescent="0.2">
      <c r="C2428" s="16"/>
      <c r="M2428" s="18"/>
      <c r="N2428"/>
      <c r="O2428"/>
      <c r="P2428"/>
      <c r="Q2428"/>
      <c r="R2428"/>
      <c r="S2428"/>
      <c r="T2428"/>
      <c r="U2428"/>
      <c r="V2428"/>
    </row>
    <row r="2429" spans="2:24" x14ac:dyDescent="0.2">
      <c r="B2429" s="16"/>
      <c r="W2429"/>
      <c r="X2429"/>
    </row>
    <row r="2430" spans="2:24" x14ac:dyDescent="0.2">
      <c r="C2430" s="16"/>
      <c r="M2430" s="18"/>
      <c r="N2430"/>
      <c r="O2430"/>
      <c r="P2430"/>
      <c r="Q2430"/>
      <c r="R2430"/>
      <c r="S2430"/>
      <c r="T2430"/>
      <c r="U2430"/>
      <c r="V2430"/>
    </row>
    <row r="2431" spans="2:24" x14ac:dyDescent="0.2">
      <c r="B2431" s="16"/>
      <c r="W2431"/>
      <c r="X2431"/>
    </row>
    <row r="2432" spans="2:24" x14ac:dyDescent="0.2">
      <c r="C2432" s="16"/>
      <c r="M2432" s="18"/>
      <c r="N2432"/>
      <c r="O2432"/>
      <c r="P2432"/>
      <c r="Q2432"/>
      <c r="R2432"/>
      <c r="S2432"/>
      <c r="T2432"/>
      <c r="U2432"/>
      <c r="V2432"/>
    </row>
    <row r="2433" spans="2:24" x14ac:dyDescent="0.2">
      <c r="B2433" s="16"/>
      <c r="W2433"/>
      <c r="X2433"/>
    </row>
    <row r="2434" spans="2:24" x14ac:dyDescent="0.2">
      <c r="C2434" s="16"/>
      <c r="M2434" s="18"/>
      <c r="N2434"/>
      <c r="O2434"/>
      <c r="P2434"/>
      <c r="Q2434"/>
      <c r="R2434"/>
      <c r="S2434"/>
      <c r="T2434"/>
      <c r="U2434"/>
      <c r="V2434"/>
    </row>
    <row r="2435" spans="2:24" x14ac:dyDescent="0.2">
      <c r="B2435" s="16"/>
      <c r="W2435"/>
      <c r="X2435"/>
    </row>
    <row r="2436" spans="2:24" x14ac:dyDescent="0.2">
      <c r="C2436" s="16"/>
      <c r="M2436" s="18"/>
      <c r="N2436"/>
      <c r="O2436"/>
      <c r="P2436"/>
      <c r="Q2436"/>
      <c r="R2436"/>
      <c r="S2436"/>
      <c r="T2436"/>
      <c r="U2436"/>
      <c r="V2436"/>
    </row>
    <row r="2437" spans="2:24" x14ac:dyDescent="0.2">
      <c r="B2437" s="16"/>
      <c r="W2437"/>
      <c r="X2437"/>
    </row>
    <row r="2438" spans="2:24" x14ac:dyDescent="0.2">
      <c r="C2438" s="16"/>
      <c r="M2438" s="18"/>
      <c r="N2438"/>
      <c r="O2438"/>
      <c r="P2438"/>
      <c r="Q2438"/>
      <c r="R2438"/>
      <c r="S2438"/>
      <c r="T2438"/>
      <c r="U2438"/>
      <c r="V2438"/>
    </row>
    <row r="2439" spans="2:24" x14ac:dyDescent="0.2">
      <c r="B2439" s="16"/>
      <c r="W2439"/>
      <c r="X2439"/>
    </row>
    <row r="2440" spans="2:24" x14ac:dyDescent="0.2">
      <c r="C2440" s="16"/>
      <c r="M2440" s="18"/>
      <c r="N2440"/>
      <c r="O2440"/>
      <c r="P2440"/>
      <c r="Q2440"/>
      <c r="R2440"/>
      <c r="S2440"/>
      <c r="T2440"/>
      <c r="U2440"/>
      <c r="V2440"/>
    </row>
    <row r="2441" spans="2:24" x14ac:dyDescent="0.2">
      <c r="B2441" s="16"/>
      <c r="W2441"/>
      <c r="X2441"/>
    </row>
    <row r="2442" spans="2:24" x14ac:dyDescent="0.2">
      <c r="C2442" s="16"/>
      <c r="M2442" s="18"/>
      <c r="N2442"/>
      <c r="O2442"/>
      <c r="P2442"/>
      <c r="Q2442"/>
      <c r="R2442"/>
      <c r="S2442"/>
      <c r="T2442"/>
      <c r="U2442"/>
      <c r="V2442"/>
    </row>
    <row r="2443" spans="2:24" x14ac:dyDescent="0.2">
      <c r="B2443" s="16"/>
      <c r="W2443"/>
      <c r="X2443"/>
    </row>
    <row r="2444" spans="2:24" x14ac:dyDescent="0.2">
      <c r="C2444" s="16"/>
      <c r="M2444" s="18"/>
      <c r="N2444"/>
      <c r="O2444"/>
      <c r="P2444"/>
      <c r="Q2444"/>
      <c r="R2444"/>
      <c r="S2444"/>
      <c r="T2444"/>
      <c r="U2444"/>
      <c r="V2444"/>
    </row>
    <row r="2445" spans="2:24" x14ac:dyDescent="0.2">
      <c r="B2445" s="16"/>
      <c r="W2445"/>
      <c r="X2445"/>
    </row>
    <row r="2446" spans="2:24" x14ac:dyDescent="0.2">
      <c r="C2446" s="16"/>
      <c r="M2446" s="18"/>
      <c r="N2446"/>
      <c r="O2446"/>
      <c r="P2446"/>
      <c r="Q2446"/>
      <c r="R2446"/>
      <c r="S2446"/>
      <c r="T2446"/>
      <c r="U2446"/>
      <c r="V2446"/>
    </row>
    <row r="2447" spans="2:24" x14ac:dyDescent="0.2">
      <c r="B2447" s="16"/>
      <c r="W2447"/>
      <c r="X2447"/>
    </row>
    <row r="2448" spans="2:24" x14ac:dyDescent="0.2">
      <c r="C2448" s="16"/>
      <c r="M2448" s="18"/>
      <c r="N2448"/>
      <c r="O2448"/>
      <c r="P2448"/>
      <c r="Q2448"/>
      <c r="R2448"/>
      <c r="S2448"/>
      <c r="T2448"/>
      <c r="U2448"/>
      <c r="V2448"/>
    </row>
    <row r="2449" spans="2:24" x14ac:dyDescent="0.2">
      <c r="B2449" s="16"/>
      <c r="W2449"/>
      <c r="X2449"/>
    </row>
    <row r="2450" spans="2:24" x14ac:dyDescent="0.2">
      <c r="C2450" s="16"/>
      <c r="M2450" s="18"/>
      <c r="N2450"/>
      <c r="O2450"/>
      <c r="P2450"/>
      <c r="Q2450"/>
      <c r="R2450"/>
      <c r="S2450"/>
      <c r="T2450"/>
      <c r="U2450"/>
      <c r="V2450"/>
    </row>
    <row r="2451" spans="2:24" x14ac:dyDescent="0.2">
      <c r="B2451" s="16"/>
      <c r="W2451"/>
      <c r="X2451"/>
    </row>
    <row r="2452" spans="2:24" x14ac:dyDescent="0.2">
      <c r="C2452" s="16"/>
      <c r="M2452" s="18"/>
      <c r="N2452"/>
      <c r="O2452"/>
      <c r="P2452"/>
      <c r="Q2452"/>
      <c r="R2452"/>
      <c r="S2452"/>
      <c r="T2452"/>
      <c r="U2452"/>
      <c r="V2452"/>
    </row>
    <row r="2453" spans="2:24" x14ac:dyDescent="0.2">
      <c r="B2453" s="16"/>
      <c r="W2453"/>
      <c r="X2453"/>
    </row>
    <row r="2454" spans="2:24" x14ac:dyDescent="0.2">
      <c r="C2454" s="16"/>
      <c r="M2454" s="18"/>
      <c r="N2454"/>
      <c r="O2454"/>
      <c r="P2454"/>
      <c r="Q2454"/>
      <c r="R2454"/>
      <c r="S2454"/>
      <c r="T2454"/>
      <c r="U2454"/>
      <c r="V2454"/>
    </row>
    <row r="2455" spans="2:24" x14ac:dyDescent="0.2">
      <c r="B2455" s="16"/>
      <c r="W2455"/>
      <c r="X2455"/>
    </row>
    <row r="2456" spans="2:24" x14ac:dyDescent="0.2">
      <c r="C2456" s="16"/>
      <c r="M2456" s="18"/>
      <c r="N2456"/>
      <c r="O2456"/>
      <c r="P2456"/>
      <c r="Q2456"/>
      <c r="R2456"/>
      <c r="S2456"/>
      <c r="T2456"/>
      <c r="U2456"/>
      <c r="V2456"/>
    </row>
    <row r="2457" spans="2:24" x14ac:dyDescent="0.2">
      <c r="B2457" s="16"/>
      <c r="W2457"/>
      <c r="X2457"/>
    </row>
    <row r="2458" spans="2:24" x14ac:dyDescent="0.2">
      <c r="C2458" s="16"/>
      <c r="M2458" s="18"/>
      <c r="N2458"/>
      <c r="O2458"/>
      <c r="P2458"/>
      <c r="Q2458"/>
      <c r="R2458"/>
      <c r="S2458"/>
      <c r="T2458"/>
      <c r="U2458"/>
      <c r="V2458"/>
    </row>
    <row r="2459" spans="2:24" x14ac:dyDescent="0.2">
      <c r="B2459" s="16"/>
      <c r="W2459"/>
      <c r="X2459"/>
    </row>
    <row r="2460" spans="2:24" x14ac:dyDescent="0.2">
      <c r="C2460" s="16"/>
      <c r="M2460" s="18"/>
      <c r="N2460"/>
      <c r="O2460"/>
      <c r="P2460"/>
      <c r="Q2460"/>
      <c r="R2460"/>
      <c r="S2460"/>
      <c r="T2460"/>
      <c r="U2460"/>
      <c r="V2460"/>
    </row>
    <row r="2461" spans="2:24" x14ac:dyDescent="0.2">
      <c r="B2461" s="16"/>
      <c r="W2461"/>
      <c r="X2461"/>
    </row>
    <row r="2462" spans="2:24" x14ac:dyDescent="0.2">
      <c r="C2462" s="16"/>
      <c r="M2462" s="18"/>
      <c r="N2462"/>
      <c r="O2462"/>
      <c r="P2462"/>
      <c r="Q2462"/>
      <c r="R2462"/>
      <c r="S2462"/>
      <c r="T2462"/>
      <c r="U2462"/>
      <c r="V2462"/>
    </row>
    <row r="2463" spans="2:24" x14ac:dyDescent="0.2">
      <c r="B2463" s="16"/>
      <c r="W2463"/>
      <c r="X2463"/>
    </row>
    <row r="2464" spans="2:24" x14ac:dyDescent="0.2">
      <c r="C2464" s="16"/>
      <c r="M2464" s="18"/>
      <c r="N2464"/>
      <c r="O2464"/>
      <c r="P2464"/>
      <c r="Q2464"/>
      <c r="R2464"/>
      <c r="S2464"/>
      <c r="T2464"/>
      <c r="U2464"/>
      <c r="V2464"/>
    </row>
    <row r="2465" spans="2:24" x14ac:dyDescent="0.2">
      <c r="B2465" s="16"/>
      <c r="W2465"/>
      <c r="X2465"/>
    </row>
    <row r="2466" spans="2:24" x14ac:dyDescent="0.2">
      <c r="C2466" s="16"/>
      <c r="M2466" s="18"/>
      <c r="N2466"/>
      <c r="O2466"/>
      <c r="P2466"/>
      <c r="Q2466"/>
      <c r="R2466"/>
      <c r="S2466"/>
      <c r="T2466"/>
      <c r="U2466"/>
      <c r="V2466"/>
    </row>
    <row r="2467" spans="2:24" x14ac:dyDescent="0.2">
      <c r="B2467" s="16"/>
      <c r="W2467"/>
      <c r="X2467"/>
    </row>
    <row r="2468" spans="2:24" x14ac:dyDescent="0.2">
      <c r="C2468" s="16"/>
      <c r="M2468" s="18"/>
      <c r="N2468"/>
      <c r="O2468"/>
      <c r="P2468"/>
      <c r="Q2468"/>
      <c r="R2468"/>
      <c r="S2468"/>
      <c r="T2468"/>
      <c r="U2468"/>
      <c r="V2468"/>
    </row>
    <row r="2469" spans="2:24" x14ac:dyDescent="0.2">
      <c r="B2469" s="16"/>
      <c r="W2469"/>
      <c r="X2469"/>
    </row>
    <row r="2470" spans="2:24" x14ac:dyDescent="0.2">
      <c r="C2470" s="16"/>
      <c r="M2470" s="18"/>
      <c r="N2470"/>
      <c r="O2470"/>
      <c r="P2470"/>
      <c r="Q2470"/>
      <c r="R2470"/>
      <c r="S2470"/>
      <c r="T2470"/>
      <c r="U2470"/>
      <c r="V2470"/>
    </row>
    <row r="2471" spans="2:24" x14ac:dyDescent="0.2">
      <c r="B2471" s="16"/>
      <c r="W2471"/>
      <c r="X2471"/>
    </row>
    <row r="2472" spans="2:24" x14ac:dyDescent="0.2">
      <c r="C2472" s="16"/>
      <c r="M2472" s="18"/>
      <c r="N2472"/>
      <c r="O2472"/>
      <c r="P2472"/>
      <c r="Q2472"/>
      <c r="R2472"/>
      <c r="S2472"/>
      <c r="T2472"/>
      <c r="U2472"/>
      <c r="V2472"/>
    </row>
    <row r="2473" spans="2:24" x14ac:dyDescent="0.2">
      <c r="B2473" s="16"/>
      <c r="W2473"/>
      <c r="X2473"/>
    </row>
    <row r="2474" spans="2:24" x14ac:dyDescent="0.2">
      <c r="C2474" s="16"/>
      <c r="M2474" s="18"/>
      <c r="N2474"/>
      <c r="O2474"/>
      <c r="P2474"/>
      <c r="Q2474"/>
      <c r="R2474"/>
      <c r="S2474"/>
      <c r="T2474"/>
      <c r="U2474"/>
      <c r="V2474"/>
    </row>
    <row r="2475" spans="2:24" x14ac:dyDescent="0.2">
      <c r="B2475" s="16"/>
      <c r="W2475"/>
      <c r="X2475"/>
    </row>
    <row r="2476" spans="2:24" x14ac:dyDescent="0.2">
      <c r="C2476" s="16"/>
      <c r="M2476" s="18"/>
      <c r="N2476"/>
      <c r="O2476"/>
      <c r="P2476"/>
      <c r="Q2476"/>
      <c r="R2476"/>
      <c r="S2476"/>
      <c r="T2476"/>
      <c r="U2476"/>
      <c r="V2476"/>
    </row>
    <row r="2477" spans="2:24" x14ac:dyDescent="0.2">
      <c r="B2477" s="16"/>
      <c r="W2477"/>
      <c r="X2477"/>
    </row>
    <row r="2478" spans="2:24" x14ac:dyDescent="0.2">
      <c r="C2478" s="16"/>
      <c r="M2478" s="18"/>
      <c r="N2478"/>
      <c r="O2478"/>
      <c r="P2478"/>
      <c r="Q2478"/>
      <c r="R2478"/>
      <c r="S2478"/>
      <c r="T2478"/>
      <c r="U2478"/>
      <c r="V2478"/>
    </row>
    <row r="2479" spans="2:24" x14ac:dyDescent="0.2">
      <c r="B2479" s="16"/>
      <c r="W2479"/>
      <c r="X2479"/>
    </row>
    <row r="2480" spans="2:24" x14ac:dyDescent="0.2">
      <c r="C2480" s="16"/>
      <c r="M2480" s="18"/>
      <c r="N2480"/>
      <c r="O2480"/>
      <c r="P2480"/>
      <c r="Q2480"/>
      <c r="R2480"/>
      <c r="S2480"/>
      <c r="T2480"/>
      <c r="U2480"/>
      <c r="V2480"/>
    </row>
    <row r="2481" spans="2:24" x14ac:dyDescent="0.2">
      <c r="B2481" s="16"/>
      <c r="W2481"/>
      <c r="X2481"/>
    </row>
    <row r="2482" spans="2:24" x14ac:dyDescent="0.2">
      <c r="C2482" s="16"/>
      <c r="M2482" s="18"/>
      <c r="N2482"/>
      <c r="O2482"/>
      <c r="P2482"/>
      <c r="Q2482"/>
      <c r="R2482"/>
      <c r="S2482"/>
      <c r="T2482"/>
      <c r="U2482"/>
      <c r="V2482"/>
    </row>
    <row r="2483" spans="2:24" x14ac:dyDescent="0.2">
      <c r="B2483" s="16"/>
      <c r="W2483"/>
      <c r="X2483"/>
    </row>
    <row r="2484" spans="2:24" x14ac:dyDescent="0.2">
      <c r="C2484" s="16"/>
      <c r="M2484" s="18"/>
      <c r="N2484"/>
      <c r="O2484"/>
      <c r="P2484"/>
      <c r="Q2484"/>
      <c r="R2484"/>
      <c r="S2484"/>
      <c r="T2484"/>
      <c r="U2484"/>
      <c r="V2484"/>
    </row>
    <row r="2485" spans="2:24" x14ac:dyDescent="0.2">
      <c r="B2485" s="16"/>
      <c r="W2485"/>
      <c r="X2485"/>
    </row>
    <row r="2486" spans="2:24" x14ac:dyDescent="0.2">
      <c r="C2486" s="16"/>
      <c r="M2486" s="18"/>
      <c r="N2486"/>
      <c r="O2486"/>
      <c r="P2486"/>
      <c r="Q2486"/>
      <c r="R2486"/>
      <c r="S2486"/>
      <c r="T2486"/>
      <c r="U2486"/>
      <c r="V2486"/>
    </row>
    <row r="2487" spans="2:24" x14ac:dyDescent="0.2">
      <c r="B2487" s="16"/>
      <c r="W2487"/>
      <c r="X2487"/>
    </row>
    <row r="2488" spans="2:24" x14ac:dyDescent="0.2">
      <c r="C2488" s="16"/>
      <c r="M2488" s="18"/>
      <c r="N2488"/>
      <c r="O2488"/>
      <c r="P2488"/>
      <c r="Q2488"/>
      <c r="R2488"/>
      <c r="S2488"/>
      <c r="T2488"/>
      <c r="U2488"/>
      <c r="V2488"/>
    </row>
    <row r="2489" spans="2:24" x14ac:dyDescent="0.2">
      <c r="B2489" s="16"/>
      <c r="W2489"/>
      <c r="X2489"/>
    </row>
    <row r="2490" spans="2:24" x14ac:dyDescent="0.2">
      <c r="C2490" s="16"/>
      <c r="M2490" s="18"/>
      <c r="N2490"/>
      <c r="O2490"/>
      <c r="P2490"/>
      <c r="Q2490"/>
      <c r="R2490"/>
      <c r="S2490"/>
      <c r="T2490"/>
      <c r="U2490"/>
      <c r="V2490"/>
    </row>
    <row r="2491" spans="2:24" x14ac:dyDescent="0.2">
      <c r="B2491" s="16"/>
      <c r="W2491"/>
      <c r="X2491"/>
    </row>
    <row r="2492" spans="2:24" x14ac:dyDescent="0.2">
      <c r="C2492" s="16"/>
      <c r="M2492" s="18"/>
      <c r="N2492"/>
      <c r="O2492"/>
      <c r="P2492"/>
      <c r="Q2492"/>
      <c r="R2492"/>
      <c r="S2492"/>
      <c r="T2492"/>
      <c r="U2492"/>
      <c r="V2492"/>
    </row>
    <row r="2493" spans="2:24" x14ac:dyDescent="0.2">
      <c r="B2493" s="16"/>
      <c r="W2493"/>
      <c r="X2493"/>
    </row>
    <row r="2494" spans="2:24" x14ac:dyDescent="0.2">
      <c r="C2494" s="16"/>
      <c r="M2494" s="18"/>
      <c r="N2494"/>
      <c r="O2494"/>
      <c r="P2494"/>
      <c r="Q2494"/>
      <c r="R2494"/>
      <c r="S2494"/>
      <c r="T2494"/>
      <c r="U2494"/>
      <c r="V2494"/>
    </row>
    <row r="2495" spans="2:24" x14ac:dyDescent="0.2">
      <c r="B2495" s="16"/>
      <c r="W2495"/>
      <c r="X2495"/>
    </row>
    <row r="2496" spans="2:24" x14ac:dyDescent="0.2">
      <c r="C2496" s="16"/>
      <c r="M2496" s="18"/>
      <c r="N2496"/>
      <c r="O2496"/>
      <c r="P2496"/>
      <c r="Q2496"/>
      <c r="R2496"/>
      <c r="S2496"/>
      <c r="T2496"/>
      <c r="U2496"/>
      <c r="V2496"/>
    </row>
    <row r="2497" spans="2:24" x14ac:dyDescent="0.2">
      <c r="B2497" s="16"/>
      <c r="W2497"/>
      <c r="X2497"/>
    </row>
    <row r="2498" spans="2:24" x14ac:dyDescent="0.2">
      <c r="C2498" s="16"/>
      <c r="M2498" s="18"/>
      <c r="N2498"/>
      <c r="O2498"/>
      <c r="P2498"/>
      <c r="Q2498"/>
      <c r="R2498"/>
      <c r="S2498"/>
      <c r="T2498"/>
      <c r="U2498"/>
      <c r="V2498"/>
    </row>
    <row r="2499" spans="2:24" x14ac:dyDescent="0.2">
      <c r="B2499" s="16"/>
      <c r="W2499"/>
      <c r="X2499"/>
    </row>
    <row r="2500" spans="2:24" x14ac:dyDescent="0.2">
      <c r="C2500" s="16"/>
      <c r="M2500" s="18"/>
      <c r="N2500"/>
      <c r="O2500"/>
      <c r="P2500"/>
      <c r="Q2500"/>
      <c r="R2500"/>
      <c r="S2500"/>
      <c r="T2500"/>
      <c r="U2500"/>
      <c r="V2500"/>
    </row>
    <row r="2501" spans="2:24" x14ac:dyDescent="0.2">
      <c r="B2501" s="16"/>
      <c r="W2501"/>
      <c r="X2501"/>
    </row>
    <row r="2502" spans="2:24" x14ac:dyDescent="0.2">
      <c r="C2502" s="16"/>
      <c r="M2502" s="18"/>
      <c r="N2502"/>
      <c r="O2502"/>
      <c r="P2502"/>
      <c r="Q2502"/>
      <c r="R2502"/>
      <c r="S2502"/>
      <c r="T2502"/>
      <c r="U2502"/>
      <c r="V2502"/>
    </row>
    <row r="2503" spans="2:24" x14ac:dyDescent="0.2">
      <c r="B2503" s="16"/>
      <c r="W2503"/>
      <c r="X2503"/>
    </row>
    <row r="2504" spans="2:24" x14ac:dyDescent="0.2">
      <c r="C2504" s="16"/>
      <c r="M2504" s="18"/>
      <c r="N2504"/>
      <c r="O2504"/>
      <c r="P2504"/>
      <c r="Q2504"/>
      <c r="R2504"/>
      <c r="S2504"/>
      <c r="T2504"/>
      <c r="U2504"/>
      <c r="V2504"/>
    </row>
    <row r="2505" spans="2:24" x14ac:dyDescent="0.2">
      <c r="B2505" s="16"/>
      <c r="W2505"/>
      <c r="X2505"/>
    </row>
    <row r="2506" spans="2:24" x14ac:dyDescent="0.2">
      <c r="C2506" s="16"/>
      <c r="M2506" s="18"/>
      <c r="N2506"/>
      <c r="O2506"/>
      <c r="P2506"/>
      <c r="Q2506"/>
      <c r="R2506"/>
      <c r="S2506"/>
      <c r="T2506"/>
      <c r="U2506"/>
      <c r="V2506"/>
    </row>
    <row r="2507" spans="2:24" x14ac:dyDescent="0.2">
      <c r="B2507" s="16"/>
      <c r="W2507"/>
      <c r="X2507"/>
    </row>
    <row r="2508" spans="2:24" x14ac:dyDescent="0.2">
      <c r="C2508" s="16"/>
      <c r="M2508" s="18"/>
      <c r="N2508"/>
      <c r="O2508"/>
      <c r="P2508"/>
      <c r="Q2508"/>
      <c r="R2508"/>
      <c r="S2508"/>
      <c r="T2508"/>
      <c r="U2508"/>
      <c r="V2508"/>
    </row>
    <row r="2509" spans="2:24" x14ac:dyDescent="0.2">
      <c r="B2509" s="16"/>
      <c r="W2509"/>
      <c r="X2509"/>
    </row>
    <row r="2510" spans="2:24" x14ac:dyDescent="0.2">
      <c r="C2510" s="16"/>
      <c r="M2510" s="18"/>
      <c r="N2510"/>
      <c r="O2510"/>
      <c r="P2510"/>
      <c r="Q2510"/>
      <c r="R2510"/>
      <c r="S2510"/>
      <c r="T2510"/>
      <c r="U2510"/>
      <c r="V2510"/>
    </row>
    <row r="2511" spans="2:24" x14ac:dyDescent="0.2">
      <c r="B2511" s="16"/>
      <c r="W2511"/>
      <c r="X2511"/>
    </row>
    <row r="2512" spans="2:24" x14ac:dyDescent="0.2">
      <c r="C2512" s="16"/>
      <c r="M2512" s="18"/>
      <c r="N2512"/>
      <c r="O2512"/>
      <c r="P2512"/>
      <c r="Q2512"/>
      <c r="R2512"/>
      <c r="S2512"/>
      <c r="T2512"/>
      <c r="U2512"/>
      <c r="V2512"/>
    </row>
    <row r="2513" spans="2:24" x14ac:dyDescent="0.2">
      <c r="B2513" s="16"/>
      <c r="W2513"/>
      <c r="X2513"/>
    </row>
    <row r="2514" spans="2:24" x14ac:dyDescent="0.2">
      <c r="C2514" s="16"/>
      <c r="M2514" s="18"/>
      <c r="N2514"/>
      <c r="O2514"/>
      <c r="P2514"/>
      <c r="Q2514"/>
      <c r="R2514"/>
      <c r="S2514"/>
      <c r="T2514"/>
      <c r="U2514"/>
      <c r="V2514"/>
    </row>
    <row r="2515" spans="2:24" x14ac:dyDescent="0.2">
      <c r="B2515" s="16"/>
      <c r="W2515"/>
      <c r="X2515"/>
    </row>
    <row r="2516" spans="2:24" x14ac:dyDescent="0.2">
      <c r="C2516" s="16"/>
      <c r="M2516" s="18"/>
      <c r="N2516"/>
      <c r="O2516"/>
      <c r="P2516"/>
      <c r="Q2516"/>
      <c r="R2516"/>
      <c r="S2516"/>
      <c r="T2516"/>
      <c r="U2516"/>
      <c r="V2516"/>
    </row>
    <row r="2517" spans="2:24" x14ac:dyDescent="0.2">
      <c r="B2517" s="16"/>
      <c r="W2517"/>
      <c r="X2517"/>
    </row>
    <row r="2518" spans="2:24" x14ac:dyDescent="0.2">
      <c r="C2518" s="16"/>
      <c r="M2518" s="18"/>
      <c r="N2518"/>
      <c r="O2518"/>
      <c r="P2518"/>
      <c r="Q2518"/>
      <c r="R2518"/>
      <c r="S2518"/>
      <c r="T2518"/>
      <c r="U2518"/>
      <c r="V2518"/>
    </row>
    <row r="2519" spans="2:24" x14ac:dyDescent="0.2">
      <c r="B2519" s="16"/>
      <c r="W2519"/>
      <c r="X2519"/>
    </row>
    <row r="2520" spans="2:24" x14ac:dyDescent="0.2">
      <c r="C2520" s="16"/>
      <c r="M2520" s="18"/>
      <c r="N2520"/>
      <c r="O2520"/>
      <c r="P2520"/>
      <c r="Q2520"/>
      <c r="R2520"/>
      <c r="S2520"/>
      <c r="T2520"/>
      <c r="U2520"/>
      <c r="V2520"/>
    </row>
    <row r="2521" spans="2:24" x14ac:dyDescent="0.2">
      <c r="B2521" s="16"/>
      <c r="W2521"/>
      <c r="X2521"/>
    </row>
    <row r="2522" spans="2:24" x14ac:dyDescent="0.2">
      <c r="C2522" s="16"/>
      <c r="M2522" s="18"/>
      <c r="N2522"/>
      <c r="O2522"/>
      <c r="P2522"/>
      <c r="Q2522"/>
      <c r="R2522"/>
      <c r="S2522"/>
      <c r="T2522"/>
      <c r="U2522"/>
      <c r="V2522"/>
    </row>
    <row r="2523" spans="2:24" x14ac:dyDescent="0.2">
      <c r="B2523" s="16"/>
      <c r="W2523"/>
      <c r="X2523"/>
    </row>
    <row r="2524" spans="2:24" x14ac:dyDescent="0.2">
      <c r="C2524" s="16"/>
      <c r="M2524" s="18"/>
      <c r="N2524"/>
      <c r="O2524"/>
      <c r="P2524"/>
      <c r="Q2524"/>
      <c r="R2524"/>
      <c r="S2524"/>
      <c r="T2524"/>
      <c r="U2524"/>
      <c r="V2524"/>
    </row>
    <row r="2525" spans="2:24" x14ac:dyDescent="0.2">
      <c r="B2525" s="16"/>
      <c r="W2525"/>
      <c r="X2525"/>
    </row>
    <row r="2526" spans="2:24" x14ac:dyDescent="0.2">
      <c r="C2526" s="16"/>
      <c r="M2526" s="18"/>
      <c r="N2526"/>
      <c r="O2526"/>
      <c r="P2526"/>
      <c r="Q2526"/>
      <c r="R2526"/>
      <c r="S2526"/>
      <c r="T2526"/>
      <c r="U2526"/>
      <c r="V2526"/>
    </row>
    <row r="2527" spans="2:24" x14ac:dyDescent="0.2">
      <c r="B2527" s="16"/>
      <c r="W2527"/>
      <c r="X2527"/>
    </row>
    <row r="2528" spans="2:24" x14ac:dyDescent="0.2">
      <c r="C2528" s="16"/>
      <c r="M2528" s="18"/>
      <c r="N2528"/>
      <c r="O2528"/>
      <c r="P2528"/>
      <c r="Q2528"/>
      <c r="R2528"/>
      <c r="S2528"/>
      <c r="T2528"/>
      <c r="U2528"/>
      <c r="V2528"/>
    </row>
    <row r="2529" spans="2:24" x14ac:dyDescent="0.2">
      <c r="B2529" s="16"/>
      <c r="W2529"/>
      <c r="X2529"/>
    </row>
    <row r="2530" spans="2:24" x14ac:dyDescent="0.2">
      <c r="C2530" s="16"/>
      <c r="M2530" s="18"/>
      <c r="N2530"/>
      <c r="O2530"/>
      <c r="P2530"/>
      <c r="Q2530"/>
      <c r="R2530"/>
      <c r="S2530"/>
      <c r="T2530"/>
      <c r="U2530"/>
      <c r="V2530"/>
    </row>
    <row r="2531" spans="2:24" x14ac:dyDescent="0.2">
      <c r="B2531" s="16"/>
      <c r="W2531"/>
      <c r="X2531"/>
    </row>
    <row r="2532" spans="2:24" x14ac:dyDescent="0.2">
      <c r="C2532" s="16"/>
      <c r="M2532" s="18"/>
      <c r="N2532"/>
      <c r="O2532"/>
      <c r="P2532"/>
      <c r="Q2532"/>
      <c r="R2532"/>
      <c r="S2532"/>
      <c r="T2532"/>
      <c r="U2532"/>
      <c r="V2532"/>
    </row>
    <row r="2533" spans="2:24" x14ac:dyDescent="0.2">
      <c r="B2533" s="16"/>
      <c r="W2533"/>
      <c r="X2533"/>
    </row>
    <row r="2534" spans="2:24" x14ac:dyDescent="0.2">
      <c r="C2534" s="16"/>
      <c r="M2534" s="18"/>
      <c r="N2534"/>
      <c r="O2534"/>
      <c r="P2534"/>
      <c r="Q2534"/>
      <c r="R2534"/>
      <c r="S2534"/>
      <c r="T2534"/>
      <c r="U2534"/>
      <c r="V2534"/>
    </row>
    <row r="2535" spans="2:24" x14ac:dyDescent="0.2">
      <c r="B2535" s="16"/>
      <c r="W2535"/>
      <c r="X2535"/>
    </row>
    <row r="2536" spans="2:24" x14ac:dyDescent="0.2">
      <c r="C2536" s="16"/>
      <c r="M2536" s="18"/>
      <c r="N2536"/>
      <c r="O2536"/>
      <c r="P2536"/>
      <c r="Q2536"/>
      <c r="R2536"/>
      <c r="S2536"/>
      <c r="T2536"/>
      <c r="U2536"/>
      <c r="V2536"/>
    </row>
    <row r="2537" spans="2:24" x14ac:dyDescent="0.2">
      <c r="B2537" s="16"/>
      <c r="W2537"/>
      <c r="X2537"/>
    </row>
    <row r="2538" spans="2:24" x14ac:dyDescent="0.2">
      <c r="C2538" s="16"/>
      <c r="M2538" s="18"/>
      <c r="N2538"/>
      <c r="O2538"/>
      <c r="P2538"/>
      <c r="Q2538"/>
      <c r="R2538"/>
      <c r="S2538"/>
      <c r="T2538"/>
      <c r="U2538"/>
      <c r="V2538"/>
    </row>
    <row r="2539" spans="2:24" x14ac:dyDescent="0.2">
      <c r="B2539" s="16"/>
      <c r="W2539"/>
      <c r="X2539"/>
    </row>
    <row r="2540" spans="2:24" x14ac:dyDescent="0.2">
      <c r="C2540" s="16"/>
      <c r="M2540" s="18"/>
      <c r="N2540"/>
      <c r="O2540"/>
      <c r="P2540"/>
      <c r="Q2540"/>
      <c r="R2540"/>
      <c r="S2540"/>
      <c r="T2540"/>
      <c r="U2540"/>
      <c r="V2540"/>
    </row>
    <row r="2541" spans="2:24" x14ac:dyDescent="0.2">
      <c r="B2541" s="16"/>
      <c r="W2541"/>
      <c r="X2541"/>
    </row>
    <row r="2542" spans="2:24" x14ac:dyDescent="0.2">
      <c r="C2542" s="16"/>
      <c r="M2542" s="18"/>
      <c r="N2542"/>
      <c r="O2542"/>
      <c r="P2542"/>
      <c r="Q2542"/>
      <c r="R2542"/>
      <c r="S2542"/>
      <c r="T2542"/>
      <c r="U2542"/>
      <c r="V2542"/>
    </row>
    <row r="2543" spans="2:24" x14ac:dyDescent="0.2">
      <c r="B2543" s="16"/>
      <c r="W2543"/>
      <c r="X2543"/>
    </row>
    <row r="2544" spans="2:24" x14ac:dyDescent="0.2">
      <c r="C2544" s="16"/>
      <c r="M2544" s="18"/>
      <c r="N2544"/>
      <c r="O2544"/>
      <c r="P2544"/>
      <c r="Q2544"/>
      <c r="R2544"/>
      <c r="S2544"/>
      <c r="T2544"/>
      <c r="U2544"/>
      <c r="V2544"/>
    </row>
    <row r="2545" spans="2:24" x14ac:dyDescent="0.2">
      <c r="B2545" s="16"/>
      <c r="W2545"/>
      <c r="X2545"/>
    </row>
    <row r="2546" spans="2:24" x14ac:dyDescent="0.2">
      <c r="C2546" s="16"/>
      <c r="M2546" s="18"/>
      <c r="N2546"/>
      <c r="O2546"/>
      <c r="P2546"/>
      <c r="Q2546"/>
      <c r="R2546"/>
      <c r="S2546"/>
      <c r="T2546"/>
      <c r="U2546"/>
      <c r="V2546"/>
    </row>
    <row r="2547" spans="2:24" x14ac:dyDescent="0.2">
      <c r="B2547" s="16"/>
      <c r="W2547"/>
      <c r="X2547"/>
    </row>
    <row r="2548" spans="2:24" x14ac:dyDescent="0.2">
      <c r="C2548" s="16"/>
      <c r="M2548" s="18"/>
      <c r="N2548"/>
      <c r="O2548"/>
      <c r="P2548"/>
      <c r="Q2548"/>
      <c r="R2548"/>
      <c r="S2548"/>
      <c r="T2548"/>
      <c r="U2548"/>
      <c r="V2548"/>
    </row>
    <row r="2549" spans="2:24" x14ac:dyDescent="0.2">
      <c r="B2549" s="16"/>
      <c r="W2549"/>
      <c r="X2549"/>
    </row>
    <row r="2550" spans="2:24" x14ac:dyDescent="0.2">
      <c r="C2550" s="16"/>
      <c r="M2550" s="18"/>
      <c r="N2550"/>
      <c r="O2550"/>
      <c r="P2550"/>
      <c r="Q2550"/>
      <c r="R2550"/>
      <c r="S2550"/>
      <c r="T2550"/>
      <c r="U2550"/>
      <c r="V2550"/>
    </row>
    <row r="2551" spans="2:24" x14ac:dyDescent="0.2">
      <c r="B2551" s="16"/>
      <c r="W2551"/>
      <c r="X2551"/>
    </row>
    <row r="2552" spans="2:24" x14ac:dyDescent="0.2">
      <c r="C2552" s="16"/>
      <c r="M2552" s="18"/>
      <c r="N2552"/>
      <c r="O2552"/>
      <c r="P2552"/>
      <c r="Q2552"/>
      <c r="R2552"/>
      <c r="S2552"/>
      <c r="T2552"/>
      <c r="U2552"/>
      <c r="V2552"/>
    </row>
    <row r="2553" spans="2:24" x14ac:dyDescent="0.2">
      <c r="B2553" s="16"/>
      <c r="W2553"/>
      <c r="X2553"/>
    </row>
    <row r="2554" spans="2:24" x14ac:dyDescent="0.2">
      <c r="C2554" s="16"/>
      <c r="M2554" s="18"/>
      <c r="N2554"/>
      <c r="O2554"/>
      <c r="P2554"/>
      <c r="Q2554"/>
      <c r="R2554"/>
      <c r="S2554"/>
      <c r="T2554"/>
      <c r="U2554"/>
      <c r="V2554"/>
    </row>
    <row r="2555" spans="2:24" x14ac:dyDescent="0.2">
      <c r="B2555" s="16"/>
      <c r="W2555"/>
      <c r="X2555"/>
    </row>
    <row r="2556" spans="2:24" x14ac:dyDescent="0.2">
      <c r="C2556" s="16"/>
      <c r="M2556" s="18"/>
      <c r="N2556"/>
      <c r="O2556"/>
      <c r="P2556"/>
      <c r="Q2556"/>
      <c r="R2556"/>
      <c r="S2556"/>
      <c r="T2556"/>
      <c r="U2556"/>
      <c r="V2556"/>
    </row>
    <row r="2557" spans="2:24" x14ac:dyDescent="0.2">
      <c r="B2557" s="16"/>
      <c r="W2557"/>
      <c r="X2557"/>
    </row>
    <row r="2558" spans="2:24" x14ac:dyDescent="0.2">
      <c r="C2558" s="16"/>
      <c r="M2558" s="18"/>
      <c r="N2558"/>
      <c r="O2558"/>
      <c r="P2558"/>
      <c r="Q2558"/>
      <c r="R2558"/>
      <c r="S2558"/>
      <c r="T2558"/>
      <c r="U2558"/>
      <c r="V2558"/>
    </row>
    <row r="2559" spans="2:24" x14ac:dyDescent="0.2">
      <c r="B2559" s="16"/>
      <c r="W2559"/>
      <c r="X2559"/>
    </row>
    <row r="2560" spans="2:24" x14ac:dyDescent="0.2">
      <c r="C2560" s="16"/>
      <c r="M2560" s="18"/>
      <c r="N2560"/>
      <c r="O2560"/>
      <c r="P2560"/>
      <c r="Q2560"/>
      <c r="R2560"/>
      <c r="S2560"/>
      <c r="T2560"/>
      <c r="U2560"/>
      <c r="V2560"/>
    </row>
    <row r="2561" spans="2:24" x14ac:dyDescent="0.2">
      <c r="B2561" s="16"/>
      <c r="W2561"/>
      <c r="X2561"/>
    </row>
    <row r="2562" spans="2:24" x14ac:dyDescent="0.2">
      <c r="C2562" s="16"/>
      <c r="M2562" s="18"/>
      <c r="N2562"/>
      <c r="O2562"/>
      <c r="P2562"/>
      <c r="Q2562"/>
      <c r="R2562"/>
      <c r="S2562"/>
      <c r="T2562"/>
      <c r="U2562"/>
      <c r="V2562"/>
    </row>
    <row r="2563" spans="2:24" x14ac:dyDescent="0.2">
      <c r="B2563" s="16"/>
      <c r="W2563"/>
      <c r="X2563"/>
    </row>
    <row r="2564" spans="2:24" x14ac:dyDescent="0.2">
      <c r="C2564" s="16"/>
      <c r="M2564" s="18"/>
      <c r="N2564"/>
      <c r="O2564"/>
      <c r="P2564"/>
      <c r="Q2564"/>
      <c r="R2564"/>
      <c r="S2564"/>
      <c r="T2564"/>
      <c r="U2564"/>
      <c r="V2564"/>
    </row>
    <row r="2565" spans="2:24" x14ac:dyDescent="0.2">
      <c r="B2565" s="16"/>
      <c r="W2565"/>
      <c r="X2565"/>
    </row>
    <row r="2566" spans="2:24" x14ac:dyDescent="0.2">
      <c r="C2566" s="16"/>
      <c r="M2566" s="18"/>
      <c r="N2566"/>
      <c r="O2566"/>
      <c r="P2566"/>
      <c r="Q2566"/>
      <c r="R2566"/>
      <c r="S2566"/>
      <c r="T2566"/>
      <c r="U2566"/>
      <c r="V2566"/>
    </row>
    <row r="2567" spans="2:24" x14ac:dyDescent="0.2">
      <c r="B2567" s="16"/>
      <c r="W2567"/>
      <c r="X2567"/>
    </row>
    <row r="2568" spans="2:24" x14ac:dyDescent="0.2">
      <c r="C2568" s="16"/>
      <c r="M2568" s="18"/>
      <c r="N2568"/>
      <c r="O2568"/>
      <c r="P2568"/>
      <c r="Q2568"/>
      <c r="R2568"/>
      <c r="S2568"/>
      <c r="T2568"/>
      <c r="U2568"/>
      <c r="V2568"/>
    </row>
    <row r="2569" spans="2:24" x14ac:dyDescent="0.2">
      <c r="B2569" s="16"/>
      <c r="W2569"/>
      <c r="X2569"/>
    </row>
    <row r="2570" spans="2:24" x14ac:dyDescent="0.2">
      <c r="C2570" s="16"/>
      <c r="M2570" s="18"/>
      <c r="N2570"/>
      <c r="O2570"/>
      <c r="P2570"/>
      <c r="Q2570"/>
      <c r="R2570"/>
      <c r="S2570"/>
      <c r="T2570"/>
      <c r="U2570"/>
      <c r="V2570"/>
    </row>
    <row r="2571" spans="2:24" x14ac:dyDescent="0.2">
      <c r="B2571" s="16"/>
      <c r="W2571"/>
      <c r="X2571"/>
    </row>
    <row r="2572" spans="2:24" x14ac:dyDescent="0.2">
      <c r="C2572" s="16"/>
      <c r="M2572" s="18"/>
      <c r="N2572"/>
      <c r="O2572"/>
      <c r="P2572"/>
      <c r="Q2572"/>
      <c r="R2572"/>
      <c r="S2572"/>
      <c r="T2572"/>
      <c r="U2572"/>
      <c r="V2572"/>
    </row>
    <row r="2573" spans="2:24" x14ac:dyDescent="0.2">
      <c r="B2573" s="16"/>
      <c r="W2573"/>
      <c r="X2573"/>
    </row>
    <row r="2574" spans="2:24" x14ac:dyDescent="0.2">
      <c r="C2574" s="16"/>
      <c r="M2574" s="18"/>
      <c r="N2574"/>
      <c r="O2574"/>
      <c r="P2574"/>
      <c r="Q2574"/>
      <c r="R2574"/>
      <c r="S2574"/>
      <c r="T2574"/>
      <c r="U2574"/>
      <c r="V2574"/>
    </row>
    <row r="2575" spans="2:24" x14ac:dyDescent="0.2">
      <c r="B2575" s="16"/>
      <c r="W2575"/>
      <c r="X2575"/>
    </row>
    <row r="2576" spans="2:24" x14ac:dyDescent="0.2">
      <c r="C2576" s="16"/>
      <c r="M2576" s="18"/>
      <c r="N2576"/>
      <c r="O2576"/>
      <c r="P2576"/>
      <c r="Q2576"/>
      <c r="R2576"/>
      <c r="S2576"/>
      <c r="T2576"/>
      <c r="U2576"/>
      <c r="V2576"/>
    </row>
    <row r="2577" spans="2:24" x14ac:dyDescent="0.2">
      <c r="B2577" s="16"/>
      <c r="W2577"/>
      <c r="X2577"/>
    </row>
    <row r="2578" spans="2:24" x14ac:dyDescent="0.2">
      <c r="C2578" s="16"/>
      <c r="M2578" s="18"/>
      <c r="N2578"/>
      <c r="O2578"/>
      <c r="P2578"/>
      <c r="Q2578"/>
      <c r="R2578"/>
      <c r="S2578"/>
      <c r="T2578"/>
      <c r="U2578"/>
      <c r="V2578"/>
    </row>
    <row r="2579" spans="2:24" x14ac:dyDescent="0.2">
      <c r="B2579" s="16"/>
      <c r="W2579"/>
      <c r="X2579"/>
    </row>
    <row r="2580" spans="2:24" x14ac:dyDescent="0.2">
      <c r="C2580" s="16"/>
      <c r="M2580" s="18"/>
      <c r="N2580"/>
      <c r="O2580"/>
      <c r="P2580"/>
      <c r="Q2580"/>
      <c r="R2580"/>
      <c r="S2580"/>
      <c r="T2580"/>
      <c r="U2580"/>
      <c r="V2580"/>
    </row>
    <row r="2581" spans="2:24" x14ac:dyDescent="0.2">
      <c r="B2581" s="16"/>
      <c r="W2581"/>
      <c r="X2581"/>
    </row>
    <row r="2582" spans="2:24" x14ac:dyDescent="0.2">
      <c r="C2582" s="16"/>
      <c r="M2582" s="18"/>
      <c r="N2582"/>
      <c r="O2582"/>
      <c r="P2582"/>
      <c r="Q2582"/>
      <c r="R2582"/>
      <c r="S2582"/>
      <c r="T2582"/>
      <c r="U2582"/>
      <c r="V2582"/>
    </row>
    <row r="2583" spans="2:24" x14ac:dyDescent="0.2">
      <c r="B2583" s="16"/>
      <c r="W2583"/>
      <c r="X2583"/>
    </row>
    <row r="2584" spans="2:24" x14ac:dyDescent="0.2">
      <c r="C2584" s="16"/>
      <c r="M2584" s="18"/>
      <c r="N2584"/>
      <c r="O2584"/>
      <c r="P2584"/>
      <c r="Q2584"/>
      <c r="R2584"/>
      <c r="S2584"/>
      <c r="T2584"/>
      <c r="U2584"/>
      <c r="V2584"/>
    </row>
    <row r="2585" spans="2:24" x14ac:dyDescent="0.2">
      <c r="B2585" s="16"/>
      <c r="W2585"/>
      <c r="X2585"/>
    </row>
    <row r="2586" spans="2:24" x14ac:dyDescent="0.2">
      <c r="C2586" s="16"/>
      <c r="M2586" s="18"/>
      <c r="N2586"/>
      <c r="O2586"/>
      <c r="P2586"/>
      <c r="Q2586"/>
      <c r="R2586"/>
      <c r="S2586"/>
      <c r="T2586"/>
      <c r="U2586"/>
      <c r="V2586"/>
    </row>
    <row r="2587" spans="2:24" x14ac:dyDescent="0.2">
      <c r="B2587" s="16"/>
      <c r="W2587"/>
      <c r="X2587"/>
    </row>
    <row r="2588" spans="2:24" x14ac:dyDescent="0.2">
      <c r="C2588" s="16"/>
      <c r="M2588" s="18"/>
      <c r="N2588"/>
      <c r="O2588"/>
      <c r="P2588"/>
      <c r="Q2588"/>
      <c r="R2588"/>
      <c r="S2588"/>
      <c r="T2588"/>
      <c r="U2588"/>
      <c r="V2588"/>
    </row>
    <row r="2589" spans="2:24" x14ac:dyDescent="0.2">
      <c r="B2589" s="16"/>
      <c r="W2589"/>
      <c r="X2589"/>
    </row>
    <row r="2590" spans="2:24" x14ac:dyDescent="0.2">
      <c r="C2590" s="16"/>
      <c r="M2590" s="18"/>
      <c r="N2590"/>
      <c r="O2590"/>
      <c r="P2590"/>
      <c r="Q2590"/>
      <c r="R2590"/>
      <c r="S2590"/>
      <c r="T2590"/>
      <c r="U2590"/>
      <c r="V2590"/>
    </row>
    <row r="2591" spans="2:24" x14ac:dyDescent="0.2">
      <c r="B2591" s="16"/>
      <c r="W2591"/>
      <c r="X2591"/>
    </row>
    <row r="2592" spans="2:24" x14ac:dyDescent="0.2">
      <c r="C2592" s="16"/>
      <c r="M2592" s="18"/>
      <c r="N2592"/>
      <c r="O2592"/>
      <c r="P2592"/>
      <c r="Q2592"/>
      <c r="R2592"/>
      <c r="S2592"/>
      <c r="T2592"/>
      <c r="U2592"/>
      <c r="V2592"/>
    </row>
    <row r="2593" spans="2:24" x14ac:dyDescent="0.2">
      <c r="B2593" s="16"/>
      <c r="W2593"/>
      <c r="X2593"/>
    </row>
    <row r="2594" spans="2:24" x14ac:dyDescent="0.2">
      <c r="C2594" s="16"/>
      <c r="M2594" s="18"/>
      <c r="N2594"/>
      <c r="O2594"/>
      <c r="P2594"/>
      <c r="Q2594"/>
      <c r="R2594"/>
      <c r="S2594"/>
      <c r="T2594"/>
      <c r="U2594"/>
      <c r="V2594"/>
    </row>
    <row r="2595" spans="2:24" x14ac:dyDescent="0.2">
      <c r="B2595" s="16"/>
      <c r="W2595"/>
      <c r="X2595"/>
    </row>
    <row r="2596" spans="2:24" x14ac:dyDescent="0.2">
      <c r="C2596" s="16"/>
      <c r="M2596" s="18"/>
      <c r="N2596"/>
      <c r="O2596"/>
      <c r="P2596"/>
      <c r="Q2596"/>
      <c r="R2596"/>
      <c r="S2596"/>
      <c r="T2596"/>
      <c r="U2596"/>
      <c r="V2596"/>
    </row>
    <row r="2597" spans="2:24" x14ac:dyDescent="0.2">
      <c r="B2597" s="16"/>
      <c r="W2597"/>
      <c r="X2597"/>
    </row>
    <row r="2598" spans="2:24" x14ac:dyDescent="0.2">
      <c r="C2598" s="16"/>
      <c r="M2598" s="18"/>
      <c r="N2598"/>
      <c r="O2598"/>
      <c r="P2598"/>
      <c r="Q2598"/>
      <c r="R2598"/>
      <c r="S2598"/>
      <c r="T2598"/>
      <c r="U2598"/>
      <c r="V2598"/>
    </row>
    <row r="2599" spans="2:24" x14ac:dyDescent="0.2">
      <c r="B2599" s="16"/>
      <c r="W2599"/>
      <c r="X2599"/>
    </row>
    <row r="2600" spans="2:24" x14ac:dyDescent="0.2">
      <c r="C2600" s="16"/>
      <c r="M2600" s="18"/>
      <c r="N2600"/>
      <c r="O2600"/>
      <c r="P2600"/>
      <c r="Q2600"/>
      <c r="R2600"/>
      <c r="S2600"/>
      <c r="T2600"/>
      <c r="U2600"/>
      <c r="V2600"/>
    </row>
    <row r="2601" spans="2:24" x14ac:dyDescent="0.2">
      <c r="B2601" s="16"/>
      <c r="W2601"/>
      <c r="X2601"/>
    </row>
    <row r="2602" spans="2:24" x14ac:dyDescent="0.2">
      <c r="C2602" s="16"/>
      <c r="M2602" s="18"/>
      <c r="N2602"/>
      <c r="O2602"/>
      <c r="P2602"/>
      <c r="Q2602"/>
      <c r="R2602"/>
      <c r="S2602"/>
      <c r="T2602"/>
      <c r="U2602"/>
      <c r="V2602"/>
    </row>
    <row r="2603" spans="2:24" x14ac:dyDescent="0.2">
      <c r="B2603" s="16"/>
      <c r="W2603"/>
      <c r="X2603"/>
    </row>
    <row r="2604" spans="2:24" x14ac:dyDescent="0.2">
      <c r="C2604" s="16"/>
      <c r="M2604" s="18"/>
      <c r="N2604"/>
      <c r="O2604"/>
      <c r="P2604"/>
      <c r="Q2604"/>
      <c r="R2604"/>
      <c r="S2604"/>
      <c r="T2604"/>
      <c r="U2604"/>
      <c r="V2604"/>
    </row>
    <row r="2605" spans="2:24" x14ac:dyDescent="0.2">
      <c r="B2605" s="16"/>
      <c r="W2605"/>
      <c r="X2605"/>
    </row>
    <row r="2606" spans="2:24" x14ac:dyDescent="0.2">
      <c r="C2606" s="16"/>
      <c r="M2606" s="18"/>
      <c r="N2606"/>
      <c r="O2606"/>
      <c r="P2606"/>
      <c r="Q2606"/>
      <c r="R2606"/>
      <c r="S2606"/>
      <c r="T2606"/>
      <c r="U2606"/>
      <c r="V2606"/>
    </row>
    <row r="2607" spans="2:24" x14ac:dyDescent="0.2">
      <c r="B2607" s="16"/>
      <c r="W2607"/>
      <c r="X2607"/>
    </row>
    <row r="2608" spans="2:24" x14ac:dyDescent="0.2">
      <c r="C2608" s="16"/>
      <c r="M2608" s="18"/>
      <c r="N2608"/>
      <c r="O2608"/>
      <c r="P2608"/>
      <c r="Q2608"/>
      <c r="R2608"/>
      <c r="S2608"/>
      <c r="T2608"/>
      <c r="U2608"/>
      <c r="V2608"/>
    </row>
    <row r="2609" spans="2:24" x14ac:dyDescent="0.2">
      <c r="B2609" s="16"/>
      <c r="W2609"/>
      <c r="X2609"/>
    </row>
    <row r="2610" spans="2:24" x14ac:dyDescent="0.2">
      <c r="C2610" s="16"/>
      <c r="M2610" s="18"/>
      <c r="N2610"/>
      <c r="O2610"/>
      <c r="P2610"/>
      <c r="Q2610"/>
      <c r="R2610"/>
      <c r="S2610"/>
      <c r="T2610"/>
      <c r="U2610"/>
      <c r="V2610"/>
    </row>
    <row r="2611" spans="2:24" x14ac:dyDescent="0.2">
      <c r="B2611" s="16"/>
      <c r="W2611"/>
      <c r="X2611"/>
    </row>
    <row r="2612" spans="2:24" x14ac:dyDescent="0.2">
      <c r="C2612" s="16"/>
      <c r="M2612" s="18"/>
      <c r="N2612"/>
      <c r="O2612"/>
      <c r="P2612"/>
      <c r="Q2612"/>
      <c r="R2612"/>
      <c r="S2612"/>
      <c r="T2612"/>
      <c r="U2612"/>
      <c r="V2612"/>
    </row>
    <row r="2613" spans="2:24" x14ac:dyDescent="0.2">
      <c r="B2613" s="16"/>
      <c r="W2613"/>
      <c r="X2613"/>
    </row>
    <row r="2614" spans="2:24" x14ac:dyDescent="0.2">
      <c r="C2614" s="16"/>
      <c r="M2614" s="18"/>
      <c r="N2614"/>
      <c r="O2614"/>
      <c r="P2614"/>
      <c r="Q2614"/>
      <c r="R2614"/>
      <c r="S2614"/>
      <c r="T2614"/>
      <c r="U2614"/>
      <c r="V2614"/>
    </row>
    <row r="2615" spans="2:24" x14ac:dyDescent="0.2">
      <c r="B2615" s="16"/>
      <c r="W2615"/>
      <c r="X2615"/>
    </row>
    <row r="2616" spans="2:24" x14ac:dyDescent="0.2">
      <c r="C2616" s="16"/>
      <c r="M2616" s="18"/>
      <c r="N2616"/>
      <c r="O2616"/>
      <c r="P2616"/>
      <c r="Q2616"/>
      <c r="R2616"/>
      <c r="S2616"/>
      <c r="T2616"/>
      <c r="U2616"/>
      <c r="V2616"/>
    </row>
    <row r="2617" spans="2:24" x14ac:dyDescent="0.2">
      <c r="B2617" s="16"/>
      <c r="W2617"/>
      <c r="X2617"/>
    </row>
    <row r="2618" spans="2:24" x14ac:dyDescent="0.2">
      <c r="C2618" s="16"/>
      <c r="M2618" s="18"/>
      <c r="N2618"/>
      <c r="O2618"/>
      <c r="P2618"/>
      <c r="Q2618"/>
      <c r="R2618"/>
      <c r="S2618"/>
      <c r="T2618"/>
      <c r="U2618"/>
      <c r="V2618"/>
    </row>
    <row r="2619" spans="2:24" x14ac:dyDescent="0.2">
      <c r="B2619" s="16"/>
      <c r="W2619"/>
      <c r="X2619"/>
    </row>
    <row r="2620" spans="2:24" x14ac:dyDescent="0.2">
      <c r="C2620" s="16"/>
      <c r="M2620" s="18"/>
      <c r="N2620"/>
      <c r="O2620"/>
      <c r="P2620"/>
      <c r="Q2620"/>
      <c r="R2620"/>
      <c r="S2620"/>
      <c r="T2620"/>
      <c r="U2620"/>
      <c r="V2620"/>
    </row>
    <row r="2621" spans="2:24" x14ac:dyDescent="0.2">
      <c r="B2621" s="16"/>
      <c r="W2621"/>
      <c r="X2621"/>
    </row>
    <row r="2622" spans="2:24" x14ac:dyDescent="0.2">
      <c r="C2622" s="16"/>
      <c r="M2622" s="18"/>
      <c r="N2622"/>
      <c r="O2622"/>
      <c r="P2622"/>
      <c r="Q2622"/>
      <c r="R2622"/>
      <c r="S2622"/>
      <c r="T2622"/>
      <c r="U2622"/>
      <c r="V2622"/>
    </row>
    <row r="2623" spans="2:24" x14ac:dyDescent="0.2">
      <c r="B2623" s="16"/>
      <c r="W2623"/>
      <c r="X2623"/>
    </row>
    <row r="2624" spans="2:24" x14ac:dyDescent="0.2">
      <c r="C2624" s="16"/>
      <c r="M2624" s="18"/>
      <c r="N2624"/>
      <c r="O2624"/>
      <c r="P2624"/>
      <c r="Q2624"/>
      <c r="R2624"/>
      <c r="S2624"/>
      <c r="T2624"/>
      <c r="U2624"/>
      <c r="V2624"/>
    </row>
    <row r="2625" spans="2:24" x14ac:dyDescent="0.2">
      <c r="B2625" s="16"/>
      <c r="W2625"/>
      <c r="X2625"/>
    </row>
    <row r="2626" spans="2:24" x14ac:dyDescent="0.2">
      <c r="C2626" s="16"/>
      <c r="M2626" s="18"/>
      <c r="N2626"/>
      <c r="O2626"/>
      <c r="P2626"/>
      <c r="Q2626"/>
      <c r="R2626"/>
      <c r="S2626"/>
      <c r="T2626"/>
      <c r="U2626"/>
      <c r="V2626"/>
    </row>
    <row r="2627" spans="2:24" x14ac:dyDescent="0.2">
      <c r="B2627" s="16"/>
      <c r="W2627"/>
      <c r="X2627"/>
    </row>
    <row r="2628" spans="2:24" x14ac:dyDescent="0.2">
      <c r="C2628" s="16"/>
      <c r="M2628" s="18"/>
      <c r="N2628"/>
      <c r="O2628"/>
      <c r="P2628"/>
      <c r="Q2628"/>
      <c r="R2628"/>
      <c r="S2628"/>
      <c r="T2628"/>
      <c r="U2628"/>
      <c r="V2628"/>
    </row>
    <row r="2629" spans="2:24" x14ac:dyDescent="0.2">
      <c r="B2629" s="16"/>
      <c r="W2629"/>
      <c r="X2629"/>
    </row>
    <row r="2630" spans="2:24" x14ac:dyDescent="0.2">
      <c r="C2630" s="16"/>
      <c r="M2630" s="18"/>
      <c r="N2630"/>
      <c r="O2630"/>
      <c r="P2630"/>
      <c r="Q2630"/>
      <c r="R2630"/>
      <c r="S2630"/>
      <c r="T2630"/>
      <c r="U2630"/>
      <c r="V2630"/>
    </row>
    <row r="2631" spans="2:24" x14ac:dyDescent="0.2">
      <c r="B2631" s="16"/>
      <c r="W2631"/>
      <c r="X2631"/>
    </row>
    <row r="2632" spans="2:24" x14ac:dyDescent="0.2">
      <c r="C2632" s="16"/>
      <c r="M2632" s="18"/>
      <c r="N2632"/>
      <c r="O2632"/>
      <c r="P2632"/>
      <c r="Q2632"/>
      <c r="R2632"/>
      <c r="S2632"/>
      <c r="T2632"/>
      <c r="U2632"/>
      <c r="V2632"/>
    </row>
    <row r="2633" spans="2:24" x14ac:dyDescent="0.2">
      <c r="B2633" s="16"/>
      <c r="W2633"/>
      <c r="X2633"/>
    </row>
    <row r="2634" spans="2:24" x14ac:dyDescent="0.2">
      <c r="C2634" s="16"/>
      <c r="M2634" s="18"/>
      <c r="N2634"/>
      <c r="O2634"/>
      <c r="P2634"/>
      <c r="Q2634"/>
      <c r="R2634"/>
      <c r="S2634"/>
      <c r="T2634"/>
      <c r="U2634"/>
      <c r="V2634"/>
    </row>
    <row r="2635" spans="2:24" x14ac:dyDescent="0.2">
      <c r="B2635" s="16"/>
      <c r="W2635"/>
      <c r="X2635"/>
    </row>
    <row r="2636" spans="2:24" x14ac:dyDescent="0.2">
      <c r="C2636" s="16"/>
      <c r="M2636" s="18"/>
      <c r="N2636"/>
      <c r="O2636"/>
      <c r="P2636"/>
      <c r="Q2636"/>
      <c r="R2636"/>
      <c r="S2636"/>
      <c r="T2636"/>
      <c r="U2636"/>
      <c r="V2636"/>
    </row>
    <row r="2637" spans="2:24" x14ac:dyDescent="0.2">
      <c r="B2637" s="16"/>
      <c r="W2637"/>
      <c r="X2637"/>
    </row>
    <row r="2638" spans="2:24" x14ac:dyDescent="0.2">
      <c r="C2638" s="16"/>
      <c r="M2638" s="18"/>
      <c r="N2638"/>
      <c r="O2638"/>
      <c r="P2638"/>
      <c r="Q2638"/>
      <c r="R2638"/>
      <c r="S2638"/>
      <c r="T2638"/>
      <c r="U2638"/>
      <c r="V2638"/>
    </row>
    <row r="2639" spans="2:24" x14ac:dyDescent="0.2">
      <c r="B2639" s="16"/>
      <c r="W2639"/>
      <c r="X2639"/>
    </row>
    <row r="2640" spans="2:24" x14ac:dyDescent="0.2">
      <c r="C2640" s="16"/>
      <c r="M2640" s="18"/>
      <c r="N2640"/>
      <c r="O2640"/>
      <c r="P2640"/>
      <c r="Q2640"/>
      <c r="R2640"/>
      <c r="S2640"/>
      <c r="T2640"/>
      <c r="U2640"/>
      <c r="V2640"/>
    </row>
    <row r="2641" spans="2:24" x14ac:dyDescent="0.2">
      <c r="B2641" s="16"/>
      <c r="W2641"/>
      <c r="X2641"/>
    </row>
    <row r="2642" spans="2:24" x14ac:dyDescent="0.2">
      <c r="C2642" s="16"/>
      <c r="M2642" s="18"/>
      <c r="N2642"/>
      <c r="O2642"/>
      <c r="P2642"/>
      <c r="Q2642"/>
      <c r="R2642"/>
      <c r="S2642"/>
      <c r="T2642"/>
      <c r="U2642"/>
      <c r="V2642"/>
    </row>
    <row r="2643" spans="2:24" x14ac:dyDescent="0.2">
      <c r="B2643" s="16"/>
      <c r="W2643"/>
      <c r="X2643"/>
    </row>
    <row r="2644" spans="2:24" x14ac:dyDescent="0.2">
      <c r="C2644" s="16"/>
      <c r="M2644" s="18"/>
      <c r="N2644"/>
      <c r="O2644"/>
      <c r="P2644"/>
      <c r="Q2644"/>
      <c r="R2644"/>
      <c r="S2644"/>
      <c r="T2644"/>
      <c r="U2644"/>
      <c r="V2644"/>
    </row>
    <row r="2645" spans="2:24" x14ac:dyDescent="0.2">
      <c r="B2645" s="16"/>
      <c r="W2645"/>
      <c r="X2645"/>
    </row>
    <row r="2646" spans="2:24" x14ac:dyDescent="0.2">
      <c r="C2646" s="16"/>
      <c r="M2646" s="18"/>
      <c r="N2646"/>
      <c r="O2646"/>
      <c r="P2646"/>
      <c r="Q2646"/>
      <c r="R2646"/>
      <c r="S2646"/>
      <c r="T2646"/>
      <c r="U2646"/>
      <c r="V2646"/>
    </row>
    <row r="2647" spans="2:24" x14ac:dyDescent="0.2">
      <c r="B2647" s="16"/>
      <c r="W2647"/>
      <c r="X2647"/>
    </row>
    <row r="2648" spans="2:24" x14ac:dyDescent="0.2">
      <c r="C2648" s="16"/>
      <c r="M2648" s="18"/>
      <c r="N2648"/>
      <c r="O2648"/>
      <c r="P2648"/>
      <c r="Q2648"/>
      <c r="R2648"/>
      <c r="S2648"/>
      <c r="T2648"/>
      <c r="U2648"/>
      <c r="V2648"/>
    </row>
    <row r="2649" spans="2:24" x14ac:dyDescent="0.2">
      <c r="B2649" s="16"/>
      <c r="W2649"/>
      <c r="X2649"/>
    </row>
    <row r="2650" spans="2:24" x14ac:dyDescent="0.2">
      <c r="C2650" s="16"/>
      <c r="M2650" s="18"/>
      <c r="N2650"/>
      <c r="O2650"/>
      <c r="P2650"/>
      <c r="Q2650"/>
      <c r="R2650"/>
      <c r="S2650"/>
      <c r="T2650"/>
      <c r="U2650"/>
      <c r="V2650"/>
    </row>
    <row r="2651" spans="2:24" x14ac:dyDescent="0.2">
      <c r="B2651" s="16"/>
      <c r="W2651"/>
      <c r="X2651"/>
    </row>
    <row r="2652" spans="2:24" x14ac:dyDescent="0.2">
      <c r="C2652" s="16"/>
      <c r="M2652" s="18"/>
      <c r="N2652"/>
      <c r="O2652"/>
      <c r="P2652"/>
      <c r="Q2652"/>
      <c r="R2652"/>
      <c r="S2652"/>
      <c r="T2652"/>
      <c r="U2652"/>
      <c r="V2652"/>
    </row>
    <row r="2653" spans="2:24" x14ac:dyDescent="0.2">
      <c r="B2653" s="16"/>
      <c r="W2653"/>
      <c r="X2653"/>
    </row>
    <row r="2654" spans="2:24" x14ac:dyDescent="0.2">
      <c r="C2654" s="16"/>
      <c r="M2654" s="18"/>
      <c r="N2654"/>
      <c r="O2654"/>
      <c r="P2654"/>
      <c r="Q2654"/>
      <c r="R2654"/>
      <c r="S2654"/>
      <c r="T2654"/>
      <c r="U2654"/>
      <c r="V2654"/>
    </row>
    <row r="2655" spans="2:24" x14ac:dyDescent="0.2">
      <c r="B2655" s="16"/>
      <c r="W2655"/>
      <c r="X2655"/>
    </row>
    <row r="2656" spans="2:24" x14ac:dyDescent="0.2">
      <c r="C2656" s="16"/>
      <c r="M2656" s="18"/>
      <c r="N2656"/>
      <c r="O2656"/>
      <c r="P2656"/>
      <c r="Q2656"/>
      <c r="R2656"/>
      <c r="S2656"/>
      <c r="T2656"/>
      <c r="U2656"/>
      <c r="V2656"/>
    </row>
    <row r="2657" spans="2:24" x14ac:dyDescent="0.2">
      <c r="B2657" s="16"/>
      <c r="W2657"/>
      <c r="X2657"/>
    </row>
    <row r="2658" spans="2:24" x14ac:dyDescent="0.2">
      <c r="C2658" s="16"/>
      <c r="M2658" s="18"/>
      <c r="N2658"/>
      <c r="O2658"/>
      <c r="P2658"/>
      <c r="Q2658"/>
      <c r="R2658"/>
      <c r="S2658"/>
      <c r="T2658"/>
      <c r="U2658"/>
      <c r="V2658"/>
    </row>
    <row r="2659" spans="2:24" x14ac:dyDescent="0.2">
      <c r="B2659" s="16"/>
      <c r="W2659"/>
      <c r="X2659"/>
    </row>
    <row r="2660" spans="2:24" x14ac:dyDescent="0.2">
      <c r="C2660" s="16"/>
      <c r="M2660" s="18"/>
      <c r="N2660"/>
      <c r="O2660"/>
      <c r="P2660"/>
      <c r="Q2660"/>
      <c r="R2660"/>
      <c r="S2660"/>
      <c r="T2660"/>
      <c r="U2660"/>
      <c r="V2660"/>
    </row>
    <row r="2661" spans="2:24" x14ac:dyDescent="0.2">
      <c r="B2661" s="16"/>
      <c r="W2661"/>
      <c r="X2661"/>
    </row>
    <row r="2662" spans="2:24" x14ac:dyDescent="0.2">
      <c r="C2662" s="16"/>
      <c r="M2662" s="18"/>
      <c r="N2662"/>
      <c r="O2662"/>
      <c r="P2662"/>
      <c r="Q2662"/>
      <c r="R2662"/>
      <c r="S2662"/>
      <c r="T2662"/>
      <c r="U2662"/>
      <c r="V2662"/>
    </row>
    <row r="2663" spans="2:24" x14ac:dyDescent="0.2">
      <c r="B2663" s="16"/>
      <c r="W2663"/>
      <c r="X2663"/>
    </row>
    <row r="2664" spans="2:24" x14ac:dyDescent="0.2">
      <c r="C2664" s="16"/>
      <c r="M2664" s="18"/>
      <c r="N2664"/>
      <c r="O2664"/>
      <c r="P2664"/>
      <c r="Q2664"/>
      <c r="R2664"/>
      <c r="S2664"/>
      <c r="T2664"/>
      <c r="U2664"/>
      <c r="V2664"/>
    </row>
    <row r="2665" spans="2:24" x14ac:dyDescent="0.2">
      <c r="B2665" s="16"/>
      <c r="W2665"/>
      <c r="X2665"/>
    </row>
    <row r="2666" spans="2:24" x14ac:dyDescent="0.2">
      <c r="C2666" s="16"/>
      <c r="M2666" s="18"/>
      <c r="N2666"/>
      <c r="O2666"/>
      <c r="P2666"/>
      <c r="Q2666"/>
      <c r="R2666"/>
      <c r="S2666"/>
      <c r="T2666"/>
      <c r="U2666"/>
      <c r="V2666"/>
    </row>
    <row r="2667" spans="2:24" x14ac:dyDescent="0.2">
      <c r="B2667" s="16"/>
      <c r="W2667"/>
      <c r="X2667"/>
    </row>
    <row r="2668" spans="2:24" x14ac:dyDescent="0.2">
      <c r="C2668" s="16"/>
      <c r="M2668" s="18"/>
      <c r="N2668"/>
      <c r="O2668"/>
      <c r="P2668"/>
      <c r="Q2668"/>
      <c r="R2668"/>
      <c r="S2668"/>
      <c r="T2668"/>
      <c r="U2668"/>
      <c r="V2668"/>
    </row>
    <row r="2669" spans="2:24" x14ac:dyDescent="0.2">
      <c r="B2669" s="16"/>
      <c r="W2669"/>
      <c r="X2669"/>
    </row>
    <row r="2670" spans="2:24" x14ac:dyDescent="0.2">
      <c r="C2670" s="16"/>
      <c r="M2670" s="18"/>
      <c r="N2670"/>
      <c r="O2670"/>
      <c r="P2670"/>
      <c r="Q2670"/>
      <c r="R2670"/>
      <c r="S2670"/>
      <c r="T2670"/>
      <c r="U2670"/>
      <c r="V2670"/>
    </row>
    <row r="2671" spans="2:24" x14ac:dyDescent="0.2">
      <c r="B2671" s="16"/>
      <c r="W2671"/>
      <c r="X2671"/>
    </row>
    <row r="2672" spans="2:24" x14ac:dyDescent="0.2">
      <c r="C2672" s="16"/>
      <c r="M2672" s="18"/>
      <c r="N2672"/>
      <c r="O2672"/>
      <c r="P2672"/>
      <c r="Q2672"/>
      <c r="R2672"/>
      <c r="S2672"/>
      <c r="T2672"/>
      <c r="U2672"/>
      <c r="V2672"/>
    </row>
    <row r="2673" spans="2:24" x14ac:dyDescent="0.2">
      <c r="B2673" s="16"/>
      <c r="W2673"/>
      <c r="X2673"/>
    </row>
    <row r="2674" spans="2:24" x14ac:dyDescent="0.2">
      <c r="C2674" s="16"/>
      <c r="M2674" s="18"/>
      <c r="N2674"/>
      <c r="O2674"/>
      <c r="P2674"/>
      <c r="Q2674"/>
      <c r="R2674"/>
      <c r="S2674"/>
      <c r="T2674"/>
      <c r="U2674"/>
      <c r="V2674"/>
    </row>
    <row r="2675" spans="2:24" x14ac:dyDescent="0.2">
      <c r="B2675" s="16"/>
      <c r="W2675"/>
      <c r="X2675"/>
    </row>
    <row r="2676" spans="2:24" x14ac:dyDescent="0.2">
      <c r="C2676" s="16"/>
      <c r="M2676" s="18"/>
      <c r="N2676"/>
      <c r="O2676"/>
      <c r="P2676"/>
      <c r="Q2676"/>
      <c r="R2676"/>
      <c r="S2676"/>
      <c r="T2676"/>
      <c r="U2676"/>
      <c r="V2676"/>
    </row>
    <row r="2677" spans="2:24" x14ac:dyDescent="0.2">
      <c r="B2677" s="16"/>
      <c r="W2677"/>
      <c r="X2677"/>
    </row>
    <row r="2678" spans="2:24" x14ac:dyDescent="0.2">
      <c r="C2678" s="16"/>
      <c r="M2678" s="18"/>
      <c r="N2678"/>
      <c r="O2678"/>
      <c r="P2678"/>
      <c r="Q2678"/>
      <c r="R2678"/>
      <c r="S2678"/>
      <c r="T2678"/>
      <c r="U2678"/>
      <c r="V2678"/>
    </row>
    <row r="2679" spans="2:24" x14ac:dyDescent="0.2">
      <c r="B2679" s="16"/>
      <c r="W2679"/>
      <c r="X2679"/>
    </row>
    <row r="2680" spans="2:24" x14ac:dyDescent="0.2">
      <c r="C2680" s="16"/>
      <c r="M2680" s="18"/>
      <c r="N2680"/>
      <c r="O2680"/>
      <c r="P2680"/>
      <c r="Q2680"/>
      <c r="R2680"/>
      <c r="S2680"/>
      <c r="T2680"/>
      <c r="U2680"/>
      <c r="V2680"/>
    </row>
    <row r="2681" spans="2:24" x14ac:dyDescent="0.2">
      <c r="B2681" s="16"/>
      <c r="W2681"/>
      <c r="X2681"/>
    </row>
    <row r="2682" spans="2:24" x14ac:dyDescent="0.2">
      <c r="C2682" s="16"/>
      <c r="M2682" s="18"/>
      <c r="N2682"/>
      <c r="O2682"/>
      <c r="P2682"/>
      <c r="Q2682"/>
      <c r="R2682"/>
      <c r="S2682"/>
      <c r="T2682"/>
      <c r="U2682"/>
      <c r="V2682"/>
    </row>
    <row r="2683" spans="2:24" x14ac:dyDescent="0.2">
      <c r="B2683" s="16"/>
      <c r="W2683"/>
      <c r="X2683"/>
    </row>
    <row r="2684" spans="2:24" x14ac:dyDescent="0.2">
      <c r="C2684" s="16"/>
      <c r="M2684" s="18"/>
      <c r="N2684"/>
      <c r="O2684"/>
      <c r="P2684"/>
      <c r="Q2684"/>
      <c r="R2684"/>
      <c r="S2684"/>
      <c r="T2684"/>
      <c r="U2684"/>
      <c r="V2684"/>
    </row>
    <row r="2685" spans="2:24" x14ac:dyDescent="0.2">
      <c r="B2685" s="16"/>
      <c r="W2685"/>
      <c r="X2685"/>
    </row>
    <row r="2686" spans="2:24" x14ac:dyDescent="0.2">
      <c r="C2686" s="16"/>
      <c r="M2686" s="18"/>
      <c r="N2686"/>
      <c r="O2686"/>
      <c r="P2686"/>
      <c r="Q2686"/>
      <c r="R2686"/>
      <c r="S2686"/>
      <c r="T2686"/>
      <c r="U2686"/>
      <c r="V2686"/>
    </row>
    <row r="2687" spans="2:24" x14ac:dyDescent="0.2">
      <c r="B2687" s="16"/>
      <c r="W2687"/>
      <c r="X2687"/>
    </row>
    <row r="2688" spans="2:24" x14ac:dyDescent="0.2">
      <c r="C2688" s="16"/>
      <c r="M2688" s="18"/>
      <c r="N2688"/>
      <c r="O2688"/>
      <c r="P2688"/>
      <c r="Q2688"/>
      <c r="R2688"/>
      <c r="S2688"/>
      <c r="T2688"/>
      <c r="U2688"/>
      <c r="V2688"/>
    </row>
    <row r="2689" spans="2:24" x14ac:dyDescent="0.2">
      <c r="B2689" s="16"/>
      <c r="W2689"/>
      <c r="X2689"/>
    </row>
    <row r="2690" spans="2:24" x14ac:dyDescent="0.2">
      <c r="C2690" s="16"/>
      <c r="M2690" s="18"/>
      <c r="N2690"/>
      <c r="O2690"/>
      <c r="P2690"/>
      <c r="Q2690"/>
      <c r="R2690"/>
      <c r="S2690"/>
      <c r="T2690"/>
      <c r="U2690"/>
      <c r="V2690"/>
    </row>
    <row r="2691" spans="2:24" x14ac:dyDescent="0.2">
      <c r="B2691" s="16"/>
      <c r="W2691"/>
      <c r="X2691"/>
    </row>
    <row r="2692" spans="2:24" x14ac:dyDescent="0.2">
      <c r="C2692" s="16"/>
      <c r="M2692" s="18"/>
      <c r="N2692"/>
      <c r="O2692"/>
      <c r="P2692"/>
      <c r="Q2692"/>
      <c r="R2692"/>
      <c r="S2692"/>
      <c r="T2692"/>
      <c r="U2692"/>
      <c r="V2692"/>
    </row>
    <row r="2693" spans="2:24" x14ac:dyDescent="0.2">
      <c r="B2693" s="16"/>
      <c r="W2693"/>
      <c r="X2693"/>
    </row>
    <row r="2694" spans="2:24" x14ac:dyDescent="0.2">
      <c r="C2694" s="16"/>
      <c r="M2694" s="18"/>
      <c r="N2694"/>
      <c r="O2694"/>
      <c r="P2694"/>
      <c r="Q2694"/>
      <c r="R2694"/>
      <c r="S2694"/>
      <c r="T2694"/>
      <c r="U2694"/>
      <c r="V2694"/>
    </row>
    <row r="2695" spans="2:24" x14ac:dyDescent="0.2">
      <c r="B2695" s="16"/>
      <c r="W2695"/>
      <c r="X2695"/>
    </row>
    <row r="2696" spans="2:24" x14ac:dyDescent="0.2">
      <c r="C2696" s="16"/>
      <c r="M2696" s="18"/>
      <c r="N2696"/>
      <c r="O2696"/>
      <c r="P2696"/>
      <c r="Q2696"/>
      <c r="R2696"/>
      <c r="S2696"/>
      <c r="T2696"/>
      <c r="U2696"/>
      <c r="V2696"/>
    </row>
    <row r="2697" spans="2:24" x14ac:dyDescent="0.2">
      <c r="B2697" s="16"/>
      <c r="W2697"/>
      <c r="X2697"/>
    </row>
    <row r="2698" spans="2:24" x14ac:dyDescent="0.2">
      <c r="C2698" s="16"/>
      <c r="M2698" s="18"/>
      <c r="N2698"/>
      <c r="O2698"/>
      <c r="P2698"/>
      <c r="Q2698"/>
      <c r="R2698"/>
      <c r="S2698"/>
      <c r="T2698"/>
      <c r="U2698"/>
      <c r="V2698"/>
    </row>
    <row r="2699" spans="2:24" x14ac:dyDescent="0.2">
      <c r="B2699" s="16"/>
      <c r="W2699"/>
      <c r="X2699"/>
    </row>
    <row r="2700" spans="2:24" x14ac:dyDescent="0.2">
      <c r="C2700" s="16"/>
      <c r="M2700" s="18"/>
      <c r="N2700"/>
      <c r="O2700"/>
      <c r="P2700"/>
      <c r="Q2700"/>
      <c r="R2700"/>
      <c r="S2700"/>
      <c r="T2700"/>
      <c r="U2700"/>
      <c r="V2700"/>
    </row>
    <row r="2701" spans="2:24" x14ac:dyDescent="0.2">
      <c r="B2701" s="16"/>
      <c r="W2701"/>
      <c r="X2701"/>
    </row>
    <row r="2702" spans="2:24" x14ac:dyDescent="0.2">
      <c r="C2702" s="16"/>
      <c r="M2702" s="18"/>
      <c r="N2702"/>
      <c r="O2702"/>
      <c r="P2702"/>
      <c r="Q2702"/>
      <c r="R2702"/>
      <c r="S2702"/>
      <c r="T2702"/>
      <c r="U2702"/>
      <c r="V2702"/>
    </row>
    <row r="2703" spans="2:24" x14ac:dyDescent="0.2">
      <c r="B2703" s="16"/>
      <c r="W2703"/>
      <c r="X2703"/>
    </row>
    <row r="2704" spans="2:24" x14ac:dyDescent="0.2">
      <c r="C2704" s="16"/>
      <c r="M2704" s="18"/>
      <c r="N2704"/>
      <c r="O2704"/>
      <c r="P2704"/>
      <c r="Q2704"/>
      <c r="R2704"/>
      <c r="S2704"/>
      <c r="T2704"/>
      <c r="U2704"/>
      <c r="V2704"/>
    </row>
    <row r="2705" spans="2:24" x14ac:dyDescent="0.2">
      <c r="B2705" s="16"/>
      <c r="W2705"/>
      <c r="X2705"/>
    </row>
    <row r="2706" spans="2:24" x14ac:dyDescent="0.2">
      <c r="C2706" s="16"/>
      <c r="M2706" s="18"/>
      <c r="N2706"/>
      <c r="O2706"/>
      <c r="P2706"/>
      <c r="Q2706"/>
      <c r="R2706"/>
      <c r="S2706"/>
      <c r="T2706"/>
      <c r="U2706"/>
      <c r="V2706"/>
    </row>
    <row r="2707" spans="2:24" x14ac:dyDescent="0.2">
      <c r="B2707" s="16"/>
      <c r="W2707"/>
      <c r="X2707"/>
    </row>
    <row r="2708" spans="2:24" x14ac:dyDescent="0.2">
      <c r="C2708" s="16"/>
      <c r="M2708" s="18"/>
      <c r="N2708"/>
      <c r="O2708"/>
      <c r="P2708"/>
      <c r="Q2708"/>
      <c r="R2708"/>
      <c r="S2708"/>
      <c r="T2708"/>
      <c r="U2708"/>
      <c r="V2708"/>
    </row>
    <row r="2709" spans="2:24" x14ac:dyDescent="0.2">
      <c r="B2709" s="16"/>
      <c r="W2709"/>
      <c r="X2709"/>
    </row>
    <row r="2710" spans="2:24" x14ac:dyDescent="0.2">
      <c r="C2710" s="16"/>
      <c r="M2710" s="18"/>
      <c r="N2710"/>
      <c r="O2710"/>
      <c r="P2710"/>
      <c r="Q2710"/>
      <c r="R2710"/>
      <c r="S2710"/>
      <c r="T2710"/>
      <c r="U2710"/>
      <c r="V2710"/>
    </row>
    <row r="2711" spans="2:24" x14ac:dyDescent="0.2">
      <c r="B2711" s="16"/>
      <c r="W2711"/>
      <c r="X2711"/>
    </row>
    <row r="2712" spans="2:24" x14ac:dyDescent="0.2">
      <c r="C2712" s="16"/>
      <c r="M2712" s="18"/>
      <c r="N2712"/>
      <c r="O2712"/>
      <c r="P2712"/>
      <c r="Q2712"/>
      <c r="R2712"/>
      <c r="S2712"/>
      <c r="T2712"/>
      <c r="U2712"/>
      <c r="V2712"/>
    </row>
    <row r="2713" spans="2:24" x14ac:dyDescent="0.2">
      <c r="B2713" s="16"/>
      <c r="W2713"/>
      <c r="X2713"/>
    </row>
    <row r="2714" spans="2:24" x14ac:dyDescent="0.2">
      <c r="C2714" s="16"/>
      <c r="M2714" s="18"/>
      <c r="N2714"/>
      <c r="O2714"/>
      <c r="P2714"/>
      <c r="Q2714"/>
      <c r="R2714"/>
      <c r="S2714"/>
      <c r="T2714"/>
      <c r="U2714"/>
      <c r="V2714"/>
    </row>
    <row r="2715" spans="2:24" x14ac:dyDescent="0.2">
      <c r="B2715" s="16"/>
      <c r="W2715"/>
      <c r="X2715"/>
    </row>
    <row r="2716" spans="2:24" x14ac:dyDescent="0.2">
      <c r="C2716" s="16"/>
      <c r="M2716" s="18"/>
      <c r="N2716"/>
      <c r="O2716"/>
      <c r="P2716"/>
      <c r="Q2716"/>
      <c r="R2716"/>
      <c r="S2716"/>
      <c r="T2716"/>
      <c r="U2716"/>
      <c r="V2716"/>
    </row>
    <row r="2717" spans="2:24" x14ac:dyDescent="0.2">
      <c r="B2717" s="16"/>
      <c r="W2717"/>
      <c r="X2717"/>
    </row>
    <row r="2718" spans="2:24" x14ac:dyDescent="0.2">
      <c r="C2718" s="16"/>
      <c r="M2718" s="18"/>
      <c r="N2718"/>
      <c r="O2718"/>
      <c r="P2718"/>
      <c r="Q2718"/>
      <c r="R2718"/>
      <c r="S2718"/>
      <c r="T2718"/>
      <c r="U2718"/>
      <c r="V2718"/>
    </row>
    <row r="2719" spans="2:24" x14ac:dyDescent="0.2">
      <c r="B2719" s="16"/>
      <c r="W2719"/>
      <c r="X2719"/>
    </row>
    <row r="2720" spans="2:24" x14ac:dyDescent="0.2">
      <c r="C2720" s="16"/>
      <c r="M2720" s="18"/>
      <c r="N2720"/>
      <c r="O2720"/>
      <c r="P2720"/>
      <c r="Q2720"/>
      <c r="R2720"/>
      <c r="S2720"/>
      <c r="T2720"/>
      <c r="U2720"/>
      <c r="V2720"/>
    </row>
    <row r="2721" spans="2:24" x14ac:dyDescent="0.2">
      <c r="B2721" s="16"/>
      <c r="W2721"/>
      <c r="X2721"/>
    </row>
    <row r="2722" spans="2:24" x14ac:dyDescent="0.2">
      <c r="C2722" s="16"/>
      <c r="M2722" s="18"/>
      <c r="N2722"/>
      <c r="O2722"/>
      <c r="P2722"/>
      <c r="Q2722"/>
      <c r="R2722"/>
      <c r="S2722"/>
      <c r="T2722"/>
      <c r="U2722"/>
      <c r="V2722"/>
    </row>
    <row r="2723" spans="2:24" x14ac:dyDescent="0.2">
      <c r="B2723" s="16"/>
      <c r="W2723"/>
      <c r="X2723"/>
    </row>
    <row r="2724" spans="2:24" x14ac:dyDescent="0.2">
      <c r="C2724" s="16"/>
      <c r="M2724" s="18"/>
      <c r="N2724"/>
      <c r="O2724"/>
      <c r="P2724"/>
      <c r="Q2724"/>
      <c r="R2724"/>
      <c r="S2724"/>
      <c r="T2724"/>
      <c r="U2724"/>
      <c r="V2724"/>
    </row>
    <row r="2725" spans="2:24" x14ac:dyDescent="0.2">
      <c r="B2725" s="16"/>
      <c r="W2725"/>
      <c r="X2725"/>
    </row>
    <row r="2726" spans="2:24" x14ac:dyDescent="0.2">
      <c r="C2726" s="16"/>
      <c r="M2726" s="18"/>
      <c r="N2726"/>
      <c r="O2726"/>
      <c r="P2726"/>
      <c r="Q2726"/>
      <c r="R2726"/>
      <c r="S2726"/>
      <c r="T2726"/>
      <c r="U2726"/>
      <c r="V2726"/>
    </row>
    <row r="2727" spans="2:24" x14ac:dyDescent="0.2">
      <c r="B2727" s="16"/>
      <c r="W2727"/>
      <c r="X2727"/>
    </row>
    <row r="2728" spans="2:24" x14ac:dyDescent="0.2">
      <c r="C2728" s="16"/>
      <c r="M2728" s="18"/>
      <c r="N2728"/>
      <c r="O2728"/>
      <c r="P2728"/>
      <c r="Q2728"/>
      <c r="R2728"/>
      <c r="S2728"/>
      <c r="T2728"/>
      <c r="U2728"/>
      <c r="V2728"/>
    </row>
    <row r="2729" spans="2:24" x14ac:dyDescent="0.2">
      <c r="B2729" s="16"/>
      <c r="W2729"/>
      <c r="X2729"/>
    </row>
    <row r="2730" spans="2:24" x14ac:dyDescent="0.2">
      <c r="C2730" s="16"/>
      <c r="M2730" s="18"/>
      <c r="N2730"/>
      <c r="O2730"/>
      <c r="P2730"/>
      <c r="Q2730"/>
      <c r="R2730"/>
      <c r="S2730"/>
      <c r="T2730"/>
      <c r="U2730"/>
      <c r="V2730"/>
    </row>
    <row r="2731" spans="2:24" x14ac:dyDescent="0.2">
      <c r="B2731" s="16"/>
      <c r="W2731"/>
      <c r="X2731"/>
    </row>
    <row r="2732" spans="2:24" x14ac:dyDescent="0.2">
      <c r="C2732" s="16"/>
      <c r="M2732" s="18"/>
      <c r="N2732"/>
      <c r="O2732"/>
      <c r="P2732"/>
      <c r="Q2732"/>
      <c r="R2732"/>
      <c r="S2732"/>
      <c r="T2732"/>
      <c r="U2732"/>
      <c r="V2732"/>
    </row>
    <row r="2733" spans="2:24" x14ac:dyDescent="0.2">
      <c r="B2733" s="16"/>
      <c r="W2733"/>
      <c r="X2733"/>
    </row>
    <row r="2734" spans="2:24" x14ac:dyDescent="0.2">
      <c r="C2734" s="16"/>
      <c r="M2734" s="18"/>
      <c r="N2734"/>
      <c r="O2734"/>
      <c r="P2734"/>
      <c r="Q2734"/>
      <c r="R2734"/>
      <c r="S2734"/>
      <c r="T2734"/>
      <c r="U2734"/>
      <c r="V2734"/>
    </row>
    <row r="2735" spans="2:24" x14ac:dyDescent="0.2">
      <c r="B2735" s="16"/>
      <c r="W2735"/>
      <c r="X2735"/>
    </row>
    <row r="2736" spans="2:24" x14ac:dyDescent="0.2">
      <c r="C2736" s="16"/>
      <c r="M2736" s="18"/>
      <c r="N2736"/>
      <c r="O2736"/>
      <c r="P2736"/>
      <c r="Q2736"/>
      <c r="R2736"/>
      <c r="S2736"/>
      <c r="T2736"/>
      <c r="U2736"/>
      <c r="V2736"/>
    </row>
    <row r="2737" spans="2:24" x14ac:dyDescent="0.2">
      <c r="B2737" s="16"/>
      <c r="W2737"/>
      <c r="X2737"/>
    </row>
    <row r="2738" spans="2:24" x14ac:dyDescent="0.2">
      <c r="C2738" s="16"/>
      <c r="M2738" s="18"/>
      <c r="N2738"/>
      <c r="O2738"/>
      <c r="P2738"/>
      <c r="Q2738"/>
      <c r="R2738"/>
      <c r="S2738"/>
      <c r="T2738"/>
      <c r="U2738"/>
      <c r="V2738"/>
    </row>
    <row r="2739" spans="2:24" x14ac:dyDescent="0.2">
      <c r="B2739" s="16"/>
      <c r="W2739"/>
      <c r="X2739"/>
    </row>
    <row r="2740" spans="2:24" x14ac:dyDescent="0.2">
      <c r="C2740" s="16"/>
      <c r="M2740" s="18"/>
      <c r="N2740"/>
      <c r="O2740"/>
      <c r="P2740"/>
      <c r="Q2740"/>
      <c r="R2740"/>
      <c r="S2740"/>
      <c r="T2740"/>
      <c r="U2740"/>
      <c r="V2740"/>
    </row>
    <row r="2741" spans="2:24" x14ac:dyDescent="0.2">
      <c r="B2741" s="16"/>
      <c r="W2741"/>
      <c r="X2741"/>
    </row>
    <row r="2742" spans="2:24" x14ac:dyDescent="0.2">
      <c r="C2742" s="16"/>
      <c r="M2742" s="18"/>
      <c r="N2742"/>
      <c r="O2742"/>
      <c r="P2742"/>
      <c r="Q2742"/>
      <c r="R2742"/>
      <c r="S2742"/>
      <c r="T2742"/>
      <c r="U2742"/>
      <c r="V2742"/>
    </row>
    <row r="2743" spans="2:24" x14ac:dyDescent="0.2">
      <c r="B2743" s="16"/>
      <c r="W2743"/>
      <c r="X2743"/>
    </row>
    <row r="2744" spans="2:24" x14ac:dyDescent="0.2">
      <c r="C2744" s="16"/>
      <c r="M2744" s="18"/>
      <c r="N2744"/>
      <c r="O2744"/>
      <c r="P2744"/>
      <c r="Q2744"/>
      <c r="R2744"/>
      <c r="S2744"/>
      <c r="T2744"/>
      <c r="U2744"/>
      <c r="V2744"/>
    </row>
    <row r="2745" spans="2:24" x14ac:dyDescent="0.2">
      <c r="B2745" s="16"/>
      <c r="W2745"/>
      <c r="X2745"/>
    </row>
    <row r="2746" spans="2:24" x14ac:dyDescent="0.2">
      <c r="C2746" s="16"/>
      <c r="M2746" s="18"/>
      <c r="N2746"/>
      <c r="O2746"/>
      <c r="P2746"/>
      <c r="Q2746"/>
      <c r="R2746"/>
      <c r="S2746"/>
      <c r="T2746"/>
      <c r="U2746"/>
      <c r="V2746"/>
    </row>
    <row r="2747" spans="2:24" x14ac:dyDescent="0.2">
      <c r="B2747" s="16"/>
      <c r="W2747"/>
      <c r="X2747"/>
    </row>
    <row r="2748" spans="2:24" x14ac:dyDescent="0.2">
      <c r="C2748" s="16"/>
      <c r="M2748" s="18"/>
      <c r="N2748"/>
      <c r="O2748"/>
      <c r="P2748"/>
      <c r="Q2748"/>
      <c r="R2748"/>
      <c r="S2748"/>
      <c r="T2748"/>
      <c r="U2748"/>
      <c r="V2748"/>
    </row>
    <row r="2749" spans="2:24" x14ac:dyDescent="0.2">
      <c r="B2749" s="16"/>
      <c r="W2749"/>
      <c r="X2749"/>
    </row>
    <row r="2750" spans="2:24" x14ac:dyDescent="0.2">
      <c r="C2750" s="16"/>
      <c r="M2750" s="18"/>
      <c r="N2750"/>
      <c r="O2750"/>
      <c r="P2750"/>
      <c r="Q2750"/>
      <c r="R2750"/>
      <c r="S2750"/>
      <c r="T2750"/>
      <c r="U2750"/>
      <c r="V2750"/>
    </row>
    <row r="2751" spans="2:24" x14ac:dyDescent="0.2">
      <c r="B2751" s="16"/>
      <c r="W2751"/>
      <c r="X2751"/>
    </row>
    <row r="2752" spans="2:24" x14ac:dyDescent="0.2">
      <c r="C2752" s="16"/>
      <c r="M2752" s="18"/>
      <c r="N2752"/>
      <c r="O2752"/>
      <c r="P2752"/>
      <c r="Q2752"/>
      <c r="R2752"/>
      <c r="S2752"/>
      <c r="T2752"/>
      <c r="U2752"/>
      <c r="V2752"/>
    </row>
    <row r="2753" spans="2:24" x14ac:dyDescent="0.2">
      <c r="B2753" s="16"/>
      <c r="W2753"/>
      <c r="X2753"/>
    </row>
    <row r="2754" spans="2:24" x14ac:dyDescent="0.2">
      <c r="C2754" s="16"/>
      <c r="M2754" s="18"/>
      <c r="N2754"/>
      <c r="O2754"/>
      <c r="P2754"/>
      <c r="Q2754"/>
      <c r="R2754"/>
      <c r="S2754"/>
      <c r="T2754"/>
      <c r="U2754"/>
      <c r="V2754"/>
    </row>
    <row r="2755" spans="2:24" x14ac:dyDescent="0.2">
      <c r="B2755" s="16"/>
      <c r="W2755"/>
      <c r="X2755"/>
    </row>
    <row r="2756" spans="2:24" x14ac:dyDescent="0.2">
      <c r="C2756" s="16"/>
      <c r="M2756" s="18"/>
      <c r="N2756"/>
      <c r="O2756"/>
      <c r="P2756"/>
      <c r="Q2756"/>
      <c r="R2756"/>
      <c r="S2756"/>
      <c r="T2756"/>
      <c r="U2756"/>
      <c r="V2756"/>
    </row>
    <row r="2757" spans="2:24" x14ac:dyDescent="0.2">
      <c r="B2757" s="16"/>
      <c r="W2757"/>
      <c r="X2757"/>
    </row>
    <row r="2758" spans="2:24" x14ac:dyDescent="0.2">
      <c r="C2758" s="16"/>
      <c r="M2758" s="18"/>
      <c r="N2758"/>
      <c r="O2758"/>
      <c r="P2758"/>
      <c r="Q2758"/>
      <c r="R2758"/>
      <c r="S2758"/>
      <c r="T2758"/>
      <c r="U2758"/>
      <c r="V2758"/>
    </row>
    <row r="2759" spans="2:24" x14ac:dyDescent="0.2">
      <c r="B2759" s="16"/>
      <c r="W2759"/>
      <c r="X2759"/>
    </row>
    <row r="2760" spans="2:24" x14ac:dyDescent="0.2">
      <c r="C2760" s="16"/>
      <c r="M2760" s="18"/>
      <c r="N2760"/>
      <c r="O2760"/>
      <c r="P2760"/>
      <c r="Q2760"/>
      <c r="R2760"/>
      <c r="S2760"/>
      <c r="T2760"/>
      <c r="U2760"/>
      <c r="V2760"/>
    </row>
    <row r="2761" spans="2:24" x14ac:dyDescent="0.2">
      <c r="B2761" s="16"/>
      <c r="W2761"/>
      <c r="X2761"/>
    </row>
    <row r="2762" spans="2:24" x14ac:dyDescent="0.2">
      <c r="C2762" s="16"/>
      <c r="M2762" s="18"/>
      <c r="N2762"/>
      <c r="O2762"/>
      <c r="P2762"/>
      <c r="Q2762"/>
      <c r="R2762"/>
      <c r="S2762"/>
      <c r="T2762"/>
      <c r="U2762"/>
      <c r="V2762"/>
    </row>
    <row r="2763" spans="2:24" x14ac:dyDescent="0.2">
      <c r="B2763" s="16"/>
      <c r="W2763"/>
      <c r="X2763"/>
    </row>
    <row r="2764" spans="2:24" x14ac:dyDescent="0.2">
      <c r="C2764" s="16"/>
      <c r="M2764" s="18"/>
      <c r="N2764"/>
      <c r="O2764"/>
      <c r="P2764"/>
      <c r="Q2764"/>
      <c r="R2764"/>
      <c r="S2764"/>
      <c r="T2764"/>
      <c r="U2764"/>
      <c r="V2764"/>
    </row>
    <row r="2765" spans="2:24" x14ac:dyDescent="0.2">
      <c r="B2765" s="16"/>
      <c r="W2765"/>
      <c r="X2765"/>
    </row>
    <row r="2766" spans="2:24" x14ac:dyDescent="0.2">
      <c r="C2766" s="16"/>
      <c r="M2766" s="18"/>
      <c r="N2766"/>
      <c r="O2766"/>
      <c r="P2766"/>
      <c r="Q2766"/>
      <c r="R2766"/>
      <c r="S2766"/>
      <c r="T2766"/>
      <c r="U2766"/>
      <c r="V2766"/>
    </row>
    <row r="2767" spans="2:24" x14ac:dyDescent="0.2">
      <c r="B2767" s="16"/>
      <c r="W2767"/>
      <c r="X2767"/>
    </row>
    <row r="2768" spans="2:24" x14ac:dyDescent="0.2">
      <c r="C2768" s="16"/>
      <c r="M2768" s="18"/>
      <c r="N2768"/>
      <c r="O2768"/>
      <c r="P2768"/>
      <c r="Q2768"/>
      <c r="R2768"/>
      <c r="S2768"/>
      <c r="T2768"/>
      <c r="U2768"/>
      <c r="V2768"/>
    </row>
    <row r="2769" spans="2:24" x14ac:dyDescent="0.2">
      <c r="B2769" s="16"/>
      <c r="W2769"/>
      <c r="X2769"/>
    </row>
    <row r="2770" spans="2:24" x14ac:dyDescent="0.2">
      <c r="M2770" s="18"/>
      <c r="N2770"/>
      <c r="O2770"/>
      <c r="P2770"/>
      <c r="Q2770"/>
      <c r="R2770"/>
      <c r="S2770"/>
      <c r="T2770"/>
      <c r="U2770"/>
      <c r="V2770"/>
    </row>
    <row r="2771" spans="2:24" x14ac:dyDescent="0.2">
      <c r="W2771"/>
      <c r="X2771"/>
    </row>
    <row r="2772" spans="2:24" x14ac:dyDescent="0.2">
      <c r="M2772" s="18"/>
      <c r="N2772"/>
      <c r="O2772"/>
      <c r="P2772"/>
      <c r="Q2772"/>
      <c r="R2772"/>
      <c r="S2772"/>
      <c r="T2772"/>
      <c r="U2772"/>
      <c r="V2772"/>
    </row>
    <row r="2773" spans="2:24" x14ac:dyDescent="0.2">
      <c r="W2773"/>
      <c r="X2773"/>
    </row>
    <row r="2774" spans="2:24" x14ac:dyDescent="0.2">
      <c r="M2774" s="18"/>
      <c r="N2774"/>
      <c r="O2774"/>
      <c r="P2774"/>
      <c r="Q2774"/>
      <c r="R2774"/>
      <c r="S2774"/>
      <c r="T2774"/>
      <c r="U2774"/>
      <c r="V2774"/>
    </row>
    <row r="2775" spans="2:24" x14ac:dyDescent="0.2">
      <c r="W2775"/>
      <c r="X2775"/>
    </row>
    <row r="2776" spans="2:24" x14ac:dyDescent="0.2">
      <c r="M2776" s="18"/>
      <c r="N2776"/>
      <c r="O2776"/>
      <c r="P2776"/>
      <c r="Q2776"/>
      <c r="R2776"/>
      <c r="S2776"/>
      <c r="T2776"/>
      <c r="U2776"/>
      <c r="V2776"/>
    </row>
    <row r="2777" spans="2:24" x14ac:dyDescent="0.2">
      <c r="W2777"/>
      <c r="X2777"/>
    </row>
    <row r="2778" spans="2:24" x14ac:dyDescent="0.2">
      <c r="M2778" s="18"/>
      <c r="N2778"/>
      <c r="O2778"/>
      <c r="P2778"/>
      <c r="Q2778"/>
      <c r="R2778"/>
      <c r="S2778"/>
      <c r="T2778"/>
      <c r="U2778"/>
      <c r="V2778"/>
    </row>
    <row r="2779" spans="2:24" x14ac:dyDescent="0.2">
      <c r="W2779"/>
      <c r="X2779"/>
    </row>
    <row r="2780" spans="2:24" x14ac:dyDescent="0.2">
      <c r="M2780" s="18"/>
      <c r="N2780"/>
      <c r="O2780"/>
      <c r="P2780"/>
      <c r="Q2780"/>
      <c r="R2780"/>
      <c r="S2780"/>
      <c r="T2780"/>
      <c r="U2780"/>
      <c r="V2780"/>
    </row>
    <row r="2781" spans="2:24" x14ac:dyDescent="0.2">
      <c r="W2781"/>
      <c r="X2781"/>
    </row>
    <row r="2782" spans="2:24" x14ac:dyDescent="0.2">
      <c r="L2782"/>
      <c r="M2782" s="18"/>
      <c r="N2782"/>
      <c r="O2782"/>
      <c r="P2782"/>
      <c r="Q2782"/>
      <c r="R2782"/>
      <c r="S2782"/>
      <c r="T2782"/>
      <c r="U2782"/>
      <c r="V2782"/>
    </row>
    <row r="2783" spans="2:24" x14ac:dyDescent="0.2">
      <c r="W2783"/>
      <c r="X2783"/>
    </row>
    <row r="2784" spans="2:24" x14ac:dyDescent="0.2">
      <c r="L2784"/>
      <c r="M2784" s="18"/>
      <c r="N2784"/>
      <c r="O2784"/>
      <c r="P2784"/>
      <c r="Q2784"/>
      <c r="R2784"/>
      <c r="S2784"/>
      <c r="T2784"/>
      <c r="U2784"/>
      <c r="V2784"/>
    </row>
    <row r="2785" spans="12:24" x14ac:dyDescent="0.2">
      <c r="W2785"/>
      <c r="X2785"/>
    </row>
    <row r="2786" spans="12:24" x14ac:dyDescent="0.2">
      <c r="L2786"/>
      <c r="M2786" s="18"/>
      <c r="N2786"/>
      <c r="O2786"/>
      <c r="P2786"/>
      <c r="Q2786"/>
      <c r="R2786"/>
      <c r="S2786"/>
      <c r="T2786"/>
      <c r="U2786"/>
      <c r="V2786"/>
    </row>
    <row r="2787" spans="12:24" x14ac:dyDescent="0.2">
      <c r="W2787"/>
      <c r="X2787"/>
    </row>
    <row r="2788" spans="12:24" x14ac:dyDescent="0.2">
      <c r="L2788"/>
      <c r="M2788" s="18"/>
      <c r="N2788"/>
      <c r="O2788"/>
      <c r="P2788"/>
      <c r="Q2788"/>
      <c r="R2788"/>
      <c r="S2788"/>
      <c r="T2788"/>
      <c r="U2788"/>
      <c r="V2788"/>
    </row>
    <row r="2789" spans="12:24" x14ac:dyDescent="0.2">
      <c r="W2789"/>
      <c r="X2789"/>
    </row>
    <row r="2790" spans="12:24" x14ac:dyDescent="0.2">
      <c r="L2790"/>
      <c r="M2790" s="18"/>
      <c r="N2790"/>
      <c r="O2790"/>
      <c r="P2790"/>
      <c r="Q2790"/>
      <c r="R2790"/>
      <c r="S2790"/>
      <c r="T2790"/>
      <c r="U2790"/>
      <c r="V2790"/>
    </row>
    <row r="2791" spans="12:24" x14ac:dyDescent="0.2">
      <c r="W2791"/>
      <c r="X2791"/>
    </row>
    <row r="2792" spans="12:24" x14ac:dyDescent="0.2">
      <c r="L2792"/>
      <c r="M2792" s="18"/>
      <c r="N2792"/>
      <c r="O2792"/>
      <c r="P2792"/>
      <c r="Q2792"/>
      <c r="R2792"/>
      <c r="S2792"/>
      <c r="T2792"/>
      <c r="U2792"/>
      <c r="V2792"/>
    </row>
    <row r="2793" spans="12:24" x14ac:dyDescent="0.2">
      <c r="W2793"/>
      <c r="X2793"/>
    </row>
    <row r="2794" spans="12:24" x14ac:dyDescent="0.2">
      <c r="L2794"/>
      <c r="M2794" s="18"/>
      <c r="N2794"/>
      <c r="O2794"/>
      <c r="P2794"/>
      <c r="Q2794"/>
      <c r="R2794"/>
      <c r="S2794"/>
      <c r="T2794"/>
      <c r="U2794"/>
      <c r="V2794"/>
    </row>
    <row r="2795" spans="12:24" x14ac:dyDescent="0.2">
      <c r="W2795"/>
      <c r="X2795"/>
    </row>
    <row r="2796" spans="12:24" x14ac:dyDescent="0.2">
      <c r="L2796"/>
      <c r="M2796" s="18"/>
      <c r="N2796"/>
      <c r="O2796"/>
      <c r="P2796"/>
      <c r="Q2796"/>
      <c r="R2796"/>
      <c r="S2796"/>
      <c r="T2796"/>
      <c r="U2796"/>
      <c r="V2796"/>
    </row>
    <row r="2797" spans="12:24" x14ac:dyDescent="0.2">
      <c r="W2797"/>
      <c r="X2797"/>
    </row>
    <row r="2798" spans="12:24" x14ac:dyDescent="0.2">
      <c r="L2798"/>
      <c r="M2798" s="18"/>
      <c r="N2798"/>
      <c r="O2798"/>
      <c r="P2798"/>
      <c r="Q2798"/>
      <c r="R2798"/>
      <c r="S2798"/>
      <c r="T2798"/>
      <c r="U2798"/>
      <c r="V2798"/>
    </row>
    <row r="2799" spans="12:24" x14ac:dyDescent="0.2">
      <c r="W2799"/>
      <c r="X2799"/>
    </row>
    <row r="2800" spans="12:24" x14ac:dyDescent="0.2">
      <c r="L2800"/>
      <c r="M2800" s="18"/>
      <c r="N2800"/>
      <c r="O2800"/>
      <c r="P2800"/>
      <c r="Q2800"/>
      <c r="R2800"/>
      <c r="S2800"/>
      <c r="T2800"/>
      <c r="U2800"/>
      <c r="V2800"/>
    </row>
    <row r="2801" spans="12:24" x14ac:dyDescent="0.2">
      <c r="W2801"/>
      <c r="X2801"/>
    </row>
    <row r="2802" spans="12:24" x14ac:dyDescent="0.2">
      <c r="L2802"/>
      <c r="M2802" s="18"/>
      <c r="N2802"/>
      <c r="O2802"/>
      <c r="P2802"/>
      <c r="Q2802"/>
      <c r="R2802"/>
      <c r="S2802"/>
      <c r="T2802"/>
      <c r="U2802"/>
      <c r="V2802"/>
    </row>
    <row r="2803" spans="12:24" x14ac:dyDescent="0.2">
      <c r="W2803"/>
      <c r="X2803"/>
    </row>
    <row r="2804" spans="12:24" x14ac:dyDescent="0.2">
      <c r="L2804"/>
      <c r="M2804" s="18"/>
      <c r="N2804"/>
      <c r="O2804"/>
      <c r="P2804"/>
      <c r="Q2804"/>
      <c r="R2804"/>
      <c r="S2804"/>
      <c r="T2804"/>
      <c r="U2804"/>
      <c r="V2804"/>
    </row>
    <row r="2805" spans="12:24" x14ac:dyDescent="0.2">
      <c r="W2805"/>
      <c r="X2805"/>
    </row>
    <row r="2806" spans="12:24" x14ac:dyDescent="0.2">
      <c r="L2806"/>
      <c r="M2806" s="18"/>
      <c r="N2806"/>
      <c r="O2806"/>
      <c r="P2806"/>
      <c r="Q2806"/>
      <c r="R2806"/>
      <c r="S2806"/>
      <c r="T2806"/>
      <c r="U2806"/>
      <c r="V2806"/>
    </row>
    <row r="2807" spans="12:24" x14ac:dyDescent="0.2">
      <c r="W2807"/>
      <c r="X2807"/>
    </row>
  </sheetData>
  <pageMargins left="0.75" right="0.75" top="1" bottom="1" header="0.5" footer="0.5"/>
  <pageSetup paperSize="9" orientation="portrait" horizontalDpi="4294967292" vertic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190"/>
  <sheetViews>
    <sheetView workbookViewId="0">
      <selection activeCell="A4" sqref="A4:Q5"/>
    </sheetView>
  </sheetViews>
  <sheetFormatPr baseColWidth="10" defaultRowHeight="16" x14ac:dyDescent="0.2"/>
  <cols>
    <col min="1" max="1" width="13.33203125" style="5" bestFit="1" customWidth="1"/>
    <col min="2" max="17" width="10.83203125" style="5"/>
  </cols>
  <sheetData>
    <row r="4" spans="1:17" x14ac:dyDescent="0.2">
      <c r="A4" s="48" t="s">
        <v>77</v>
      </c>
      <c r="B4" s="49">
        <v>0.30199999999999999</v>
      </c>
      <c r="C4" s="49">
        <v>0.27200000000000002</v>
      </c>
      <c r="D4" s="49">
        <v>0.435</v>
      </c>
      <c r="E4" s="49">
        <v>0.56299999999999994</v>
      </c>
      <c r="F4" s="49">
        <v>0.252</v>
      </c>
      <c r="G4" s="49">
        <v>0.50900000000000001</v>
      </c>
      <c r="H4" s="49">
        <v>0.38900000000000001</v>
      </c>
      <c r="I4" s="49">
        <v>0.216</v>
      </c>
      <c r="J4" s="49">
        <v>0.52200000000000002</v>
      </c>
      <c r="K4" s="49">
        <v>0.32200000000000001</v>
      </c>
      <c r="L4" s="49">
        <v>0.28599999999999998</v>
      </c>
      <c r="M4" s="49">
        <v>0.52300000000000002</v>
      </c>
      <c r="N4" s="49">
        <v>0.77</v>
      </c>
      <c r="O4" s="49">
        <v>0.59899999999999998</v>
      </c>
      <c r="P4" s="49">
        <v>0.53700000000000003</v>
      </c>
      <c r="Q4" s="50">
        <v>0.34399999999999997</v>
      </c>
    </row>
    <row r="5" spans="1:17" x14ac:dyDescent="0.2">
      <c r="A5" s="51" t="s">
        <v>39</v>
      </c>
      <c r="B5" s="5">
        <v>5.1999999999999998E-2</v>
      </c>
      <c r="C5" s="5">
        <v>4.7E-2</v>
      </c>
      <c r="D5" s="5">
        <v>6.8000000000000005E-2</v>
      </c>
      <c r="E5" s="5">
        <v>9.6000000000000002E-2</v>
      </c>
      <c r="F5" s="5">
        <v>3.5999999999999997E-2</v>
      </c>
      <c r="G5" s="5">
        <v>8.5000000000000006E-2</v>
      </c>
      <c r="H5" s="5">
        <v>6.5000000000000002E-2</v>
      </c>
      <c r="I5" s="5">
        <v>0.11600000000000001</v>
      </c>
      <c r="J5" s="5">
        <v>4.5999999999999999E-2</v>
      </c>
      <c r="K5" s="5">
        <v>9.0999999999999998E-2</v>
      </c>
      <c r="L5" s="5">
        <v>5.0999999999999997E-2</v>
      </c>
      <c r="M5" s="5">
        <v>4.2999999999999997E-2</v>
      </c>
      <c r="N5" s="5">
        <v>0.09</v>
      </c>
      <c r="O5" s="5">
        <v>0.09</v>
      </c>
      <c r="P5" s="5">
        <v>8.5999999999999993E-2</v>
      </c>
      <c r="Q5" s="61">
        <v>5.7000000000000002E-2</v>
      </c>
    </row>
    <row r="6" spans="1:17" x14ac:dyDescent="0.2">
      <c r="A6" s="51" t="s">
        <v>47</v>
      </c>
      <c r="B6" s="5">
        <v>3.5761589403973515</v>
      </c>
      <c r="C6" s="5">
        <v>3.9705882352941178</v>
      </c>
      <c r="D6" s="5">
        <v>2.4827586206896552</v>
      </c>
      <c r="E6" s="5">
        <v>1.9182948490230909</v>
      </c>
      <c r="F6" s="5">
        <v>4.2857142857142856</v>
      </c>
      <c r="G6" s="5">
        <v>2.1218074656188608</v>
      </c>
      <c r="H6" s="5">
        <v>2.7763496143958868</v>
      </c>
      <c r="I6" s="5">
        <v>5</v>
      </c>
      <c r="J6" s="5">
        <v>2.0689655172413794</v>
      </c>
      <c r="K6" s="5">
        <v>3.3540372670807455</v>
      </c>
      <c r="L6" s="5">
        <v>3.7762237762237767</v>
      </c>
      <c r="M6" s="5">
        <v>2.0650095602294454</v>
      </c>
      <c r="N6" s="5">
        <v>1.4025974025974026</v>
      </c>
      <c r="O6" s="5">
        <v>1.8030050083472455</v>
      </c>
      <c r="P6" s="5">
        <v>2.011173184357542</v>
      </c>
      <c r="Q6" s="61">
        <v>3.1395348837209305</v>
      </c>
    </row>
    <row r="7" spans="1:17" x14ac:dyDescent="0.2">
      <c r="A7" s="51" t="s">
        <v>48</v>
      </c>
      <c r="B7" s="5">
        <v>2.1423841059602648E-2</v>
      </c>
      <c r="C7" s="5">
        <v>2.1029411764705883E-2</v>
      </c>
      <c r="D7" s="5">
        <v>2.2517241379310344E-2</v>
      </c>
      <c r="E7" s="5">
        <v>2.3081705150976909E-2</v>
      </c>
      <c r="F7" s="5">
        <v>2.0714285714285716E-2</v>
      </c>
      <c r="G7" s="5">
        <v>2.2878192534381139E-2</v>
      </c>
      <c r="H7" s="5">
        <v>2.2223650385604112E-2</v>
      </c>
      <c r="I7" s="5">
        <v>0.02</v>
      </c>
      <c r="J7" s="5">
        <v>2.2931034482758621E-2</v>
      </c>
      <c r="K7" s="5">
        <v>2.1645962732919254E-2</v>
      </c>
      <c r="L7" s="5">
        <v>2.1223776223776223E-2</v>
      </c>
      <c r="M7" s="5">
        <v>2.2934990439770556E-2</v>
      </c>
      <c r="N7" s="5">
        <v>2.35974025974026E-2</v>
      </c>
      <c r="O7" s="5">
        <v>2.3196994991652755E-2</v>
      </c>
      <c r="P7" s="5">
        <v>2.2988826815642457E-2</v>
      </c>
      <c r="Q7" s="61">
        <v>2.1860465116279069E-2</v>
      </c>
    </row>
    <row r="8" spans="1:17" x14ac:dyDescent="0.2">
      <c r="A8" s="51" t="s">
        <v>20</v>
      </c>
      <c r="B8" s="5">
        <f>SLOPE(B12:B35,$A12:$A35)</f>
        <v>-57.437869565217369</v>
      </c>
      <c r="C8" s="5">
        <f>SLOPE(C12:C44,$A12:$A44)</f>
        <v>-35.177005347593571</v>
      </c>
      <c r="D8" s="5">
        <f>SLOPE(D12:D50,$A12:$A50)</f>
        <v>-27.70220647773278</v>
      </c>
      <c r="E8" s="5">
        <f>SLOPE(E12:E45,$A12:$A45)</f>
        <v>-36.409961802902984</v>
      </c>
      <c r="F8" s="5">
        <f>SLOPE(F12:F66,$A12:$A66)</f>
        <v>-21.850108225108219</v>
      </c>
      <c r="G8" s="5">
        <f>SLOPE(G12:G51,$A12:$A51)</f>
        <v>-32.667073170731705</v>
      </c>
      <c r="H8" s="5">
        <f>SLOPE(H12:H38,$A12:$A38)</f>
        <v>-43.841025641025624</v>
      </c>
      <c r="I8" s="5">
        <f>SLOPE(I12:I39,$A12:$A39)</f>
        <v>-38.226929392446635</v>
      </c>
      <c r="J8" s="5">
        <f>SLOPE(J12:J61,$A12:$A61)</f>
        <v>-22.131198079231691</v>
      </c>
      <c r="K8" s="5">
        <f>SLOPE(K12:K46,$A12:$A46)</f>
        <v>-35.980252100840339</v>
      </c>
      <c r="L8" s="5">
        <f>SLOPE(L12:L54,$A12:$A54)</f>
        <v>-31.415554213228631</v>
      </c>
      <c r="M8" s="5">
        <f>SLOPE(M12:M59,$A12:$A59)</f>
        <v>-21.400059704732957</v>
      </c>
      <c r="N8" s="5">
        <f>SLOPE(N12:N33,$A12:$A33)</f>
        <v>-53.6883116883117</v>
      </c>
      <c r="O8" s="5">
        <f>SLOPE(O12:O27,$A12:$A27)</f>
        <v>-61.546323529411772</v>
      </c>
      <c r="P8" s="5">
        <f>SLOPE(P12:P36,$A12:$A36)</f>
        <v>-46.653461538461521</v>
      </c>
      <c r="Q8" s="61">
        <f>SLOPE(Q12:Q36,$A12:$A36)</f>
        <v>-52.608461538461512</v>
      </c>
    </row>
    <row r="9" spans="1:17" x14ac:dyDescent="0.2">
      <c r="A9" s="88" t="s">
        <v>46</v>
      </c>
      <c r="B9" s="5">
        <f t="shared" ref="B9:Q9" si="0">(-1*B7*(B8-(-2.7))*5.31)/100</f>
        <v>6.2270126669593973E-2</v>
      </c>
      <c r="C9" s="5">
        <f t="shared" si="0"/>
        <v>3.6265830103806213E-2</v>
      </c>
      <c r="D9" s="5">
        <f t="shared" si="0"/>
        <v>2.9894276140374126E-2</v>
      </c>
      <c r="E9" s="5">
        <f t="shared" si="0"/>
        <v>4.1316228486119454E-2</v>
      </c>
      <c r="F9" s="5">
        <f t="shared" si="0"/>
        <v>2.1063751182745821E-2</v>
      </c>
      <c r="G9" s="5">
        <f t="shared" si="0"/>
        <v>3.6404960140639216E-2</v>
      </c>
      <c r="H9" s="5">
        <f t="shared" si="0"/>
        <v>4.8549530205655493E-2</v>
      </c>
      <c r="I9" s="5">
        <f t="shared" si="0"/>
        <v>3.772959901477832E-2</v>
      </c>
      <c r="J9" s="5">
        <f t="shared" si="0"/>
        <v>2.3660163826716891E-2</v>
      </c>
      <c r="K9" s="5">
        <f t="shared" si="0"/>
        <v>3.8252342435669918E-2</v>
      </c>
      <c r="L9" s="5">
        <f t="shared" si="0"/>
        <v>3.2361927578130112E-2</v>
      </c>
      <c r="M9" s="5">
        <f t="shared" si="0"/>
        <v>2.277383016826813E-2</v>
      </c>
      <c r="N9" s="5">
        <f t="shared" si="0"/>
        <v>6.3889480261426893E-2</v>
      </c>
      <c r="O9" s="5">
        <f t="shared" si="0"/>
        <v>7.2484573013232842E-2</v>
      </c>
      <c r="P9" s="5">
        <f t="shared" si="0"/>
        <v>5.3654285160077315E-2</v>
      </c>
      <c r="Q9" s="61">
        <f t="shared" si="0"/>
        <v>5.7933277889087621E-2</v>
      </c>
    </row>
    <row r="10" spans="1:17" x14ac:dyDescent="0.2">
      <c r="A10" s="51"/>
      <c r="Q10" s="61"/>
    </row>
    <row r="11" spans="1:17" x14ac:dyDescent="0.2">
      <c r="A11" s="55" t="s">
        <v>34</v>
      </c>
      <c r="B11" s="64" t="s">
        <v>8</v>
      </c>
      <c r="C11" s="64" t="s">
        <v>9</v>
      </c>
      <c r="D11" s="64" t="s">
        <v>10</v>
      </c>
      <c r="E11" s="64" t="s">
        <v>12</v>
      </c>
      <c r="F11" s="64" t="s">
        <v>15</v>
      </c>
      <c r="G11" s="64" t="s">
        <v>16</v>
      </c>
      <c r="H11" s="64" t="s">
        <v>19</v>
      </c>
      <c r="I11" s="64" t="s">
        <v>21</v>
      </c>
      <c r="J11" s="64" t="s">
        <v>23</v>
      </c>
      <c r="K11" s="64" t="s">
        <v>24</v>
      </c>
      <c r="L11" s="64" t="s">
        <v>25</v>
      </c>
      <c r="M11" s="64" t="s">
        <v>26</v>
      </c>
      <c r="N11" s="64" t="s">
        <v>27</v>
      </c>
      <c r="O11" s="64" t="s">
        <v>35</v>
      </c>
      <c r="P11" s="64" t="s">
        <v>36</v>
      </c>
      <c r="Q11" s="98" t="s">
        <v>37</v>
      </c>
    </row>
    <row r="12" spans="1:17" x14ac:dyDescent="0.2">
      <c r="A12" s="9">
        <v>0</v>
      </c>
      <c r="B12" s="5">
        <v>59.52</v>
      </c>
      <c r="C12" s="5">
        <v>60.44</v>
      </c>
      <c r="D12" s="5">
        <v>60.75</v>
      </c>
      <c r="E12" s="5">
        <v>60.4</v>
      </c>
      <c r="F12" s="5">
        <v>60.71</v>
      </c>
      <c r="G12" s="5">
        <v>70.36</v>
      </c>
      <c r="H12" s="5">
        <v>59.3</v>
      </c>
      <c r="I12" s="5">
        <v>60.21</v>
      </c>
      <c r="J12" s="5">
        <v>59.88</v>
      </c>
      <c r="K12" s="5">
        <v>60.86</v>
      </c>
      <c r="L12" s="5">
        <v>60.86</v>
      </c>
      <c r="M12" s="5">
        <v>59.24</v>
      </c>
      <c r="N12" s="5">
        <v>59.24</v>
      </c>
      <c r="O12" s="5">
        <v>60.45</v>
      </c>
      <c r="P12" s="5">
        <v>60.3</v>
      </c>
      <c r="Q12" s="5">
        <v>60.14</v>
      </c>
    </row>
    <row r="13" spans="1:17" x14ac:dyDescent="0.2">
      <c r="A13" s="9">
        <v>3.3333333333333333E-2</v>
      </c>
      <c r="B13" s="5">
        <v>59.21</v>
      </c>
      <c r="C13" s="5">
        <v>58.91</v>
      </c>
      <c r="D13" s="5">
        <v>58.29</v>
      </c>
      <c r="E13" s="5">
        <v>60.55</v>
      </c>
      <c r="F13" s="5">
        <v>58.68</v>
      </c>
      <c r="G13" s="5">
        <v>66.38</v>
      </c>
      <c r="H13" s="5">
        <v>57.91</v>
      </c>
      <c r="I13" s="5">
        <v>58.59</v>
      </c>
      <c r="J13" s="5">
        <v>59.08</v>
      </c>
      <c r="K13" s="5">
        <v>60.53</v>
      </c>
      <c r="L13" s="5">
        <v>59.24</v>
      </c>
      <c r="M13" s="5">
        <v>56.66</v>
      </c>
      <c r="N13" s="5">
        <v>56.66</v>
      </c>
      <c r="O13" s="5">
        <v>55.52</v>
      </c>
      <c r="P13" s="5">
        <v>57.05</v>
      </c>
      <c r="Q13" s="5">
        <v>55.82</v>
      </c>
    </row>
    <row r="14" spans="1:17" x14ac:dyDescent="0.2">
      <c r="A14" s="9">
        <v>6.6666666666666666E-2</v>
      </c>
      <c r="B14" s="5">
        <v>58.14</v>
      </c>
      <c r="C14" s="5">
        <v>57.68</v>
      </c>
      <c r="D14" s="5">
        <v>56</v>
      </c>
      <c r="E14" s="5">
        <v>60.87</v>
      </c>
      <c r="F14" s="5">
        <v>56.98</v>
      </c>
      <c r="G14" s="5">
        <v>65.11</v>
      </c>
      <c r="H14" s="5">
        <v>56.67</v>
      </c>
      <c r="I14" s="5">
        <v>56.5</v>
      </c>
      <c r="J14" s="5">
        <v>58.27</v>
      </c>
      <c r="K14" s="5">
        <v>60.21</v>
      </c>
      <c r="L14" s="5">
        <v>58.91</v>
      </c>
      <c r="M14" s="5">
        <v>54.26</v>
      </c>
      <c r="N14" s="5">
        <v>54.42</v>
      </c>
      <c r="O14" s="5">
        <v>47.48</v>
      </c>
      <c r="P14" s="5">
        <v>53.38</v>
      </c>
      <c r="Q14" s="5">
        <v>55.36</v>
      </c>
    </row>
    <row r="15" spans="1:17" x14ac:dyDescent="0.2">
      <c r="A15" s="9">
        <v>0.1</v>
      </c>
      <c r="B15" s="5">
        <v>57.22</v>
      </c>
      <c r="C15" s="5">
        <v>56</v>
      </c>
      <c r="D15" s="5">
        <v>53.43</v>
      </c>
      <c r="E15" s="5">
        <v>60.71</v>
      </c>
      <c r="F15" s="5">
        <v>55.59</v>
      </c>
      <c r="G15" s="5">
        <v>64.64</v>
      </c>
      <c r="H15" s="5">
        <v>55.12</v>
      </c>
      <c r="I15" s="5">
        <v>54.42</v>
      </c>
      <c r="J15" s="5">
        <v>57.46</v>
      </c>
      <c r="K15" s="5">
        <v>59.24</v>
      </c>
      <c r="L15" s="5">
        <v>57.62</v>
      </c>
      <c r="M15" s="5">
        <v>52.51</v>
      </c>
      <c r="N15" s="5">
        <v>52.83</v>
      </c>
      <c r="O15" s="5">
        <v>40.49</v>
      </c>
      <c r="P15" s="5">
        <v>50.94</v>
      </c>
      <c r="Q15" s="5">
        <v>52.92</v>
      </c>
    </row>
    <row r="16" spans="1:17" x14ac:dyDescent="0.2">
      <c r="A16" s="9">
        <v>0.13333333333333333</v>
      </c>
      <c r="B16" s="5">
        <v>55.7</v>
      </c>
      <c r="C16" s="5">
        <v>54.49</v>
      </c>
      <c r="D16" s="5">
        <v>50.87</v>
      </c>
      <c r="E16" s="5">
        <v>60.24</v>
      </c>
      <c r="F16" s="5">
        <v>54.66</v>
      </c>
      <c r="G16" s="5">
        <v>63.53</v>
      </c>
      <c r="H16" s="5">
        <v>53.43</v>
      </c>
      <c r="I16" s="5">
        <v>51.56</v>
      </c>
      <c r="J16" s="5">
        <v>56.98</v>
      </c>
      <c r="K16" s="5">
        <v>57.95</v>
      </c>
      <c r="L16" s="5">
        <v>56.82</v>
      </c>
      <c r="M16" s="5">
        <v>50.76</v>
      </c>
      <c r="N16" s="5">
        <v>51.56</v>
      </c>
      <c r="O16" s="5">
        <v>35.799999999999997</v>
      </c>
      <c r="P16" s="5">
        <v>50.19</v>
      </c>
      <c r="Q16" s="5">
        <v>51.4</v>
      </c>
    </row>
    <row r="17" spans="1:17" x14ac:dyDescent="0.2">
      <c r="A17" s="9">
        <v>0.16666666666666666</v>
      </c>
      <c r="B17" s="5">
        <v>52.97</v>
      </c>
      <c r="C17" s="5">
        <v>52.67</v>
      </c>
      <c r="D17" s="5">
        <v>49.07</v>
      </c>
      <c r="E17" s="5">
        <v>59.3</v>
      </c>
      <c r="F17" s="5">
        <v>54.51</v>
      </c>
      <c r="G17" s="5">
        <v>61.65</v>
      </c>
      <c r="H17" s="5">
        <v>51.14</v>
      </c>
      <c r="I17" s="5">
        <v>46.36</v>
      </c>
      <c r="J17" s="5">
        <v>55.7</v>
      </c>
      <c r="K17" s="5">
        <v>56.34</v>
      </c>
      <c r="L17" s="5">
        <v>56.5</v>
      </c>
      <c r="M17" s="5">
        <v>49.34</v>
      </c>
      <c r="N17" s="5">
        <v>47.77</v>
      </c>
      <c r="O17" s="5">
        <v>34.78</v>
      </c>
      <c r="P17" s="5">
        <v>49.43</v>
      </c>
      <c r="Q17" s="5">
        <v>48.98</v>
      </c>
    </row>
    <row r="18" spans="1:17" x14ac:dyDescent="0.2">
      <c r="A18" s="9">
        <v>0.2</v>
      </c>
      <c r="B18" s="5">
        <v>50.42</v>
      </c>
      <c r="C18" s="5">
        <v>50.87</v>
      </c>
      <c r="D18" s="5">
        <v>48.03</v>
      </c>
      <c r="E18" s="5">
        <v>57.91</v>
      </c>
      <c r="F18" s="5">
        <v>54.66</v>
      </c>
      <c r="G18" s="5">
        <v>58.99</v>
      </c>
      <c r="H18" s="5">
        <v>49.16</v>
      </c>
      <c r="I18" s="5">
        <v>42.46</v>
      </c>
      <c r="J18" s="5">
        <v>54.42</v>
      </c>
      <c r="K18" s="5">
        <v>51.87</v>
      </c>
      <c r="L18" s="5">
        <v>56.18</v>
      </c>
      <c r="M18" s="5">
        <v>47.93</v>
      </c>
      <c r="N18" s="5">
        <v>46.36</v>
      </c>
      <c r="O18" s="5">
        <v>32.9</v>
      </c>
      <c r="P18" s="5">
        <v>48.68</v>
      </c>
      <c r="Q18" s="5">
        <v>50.04</v>
      </c>
    </row>
    <row r="19" spans="1:17" x14ac:dyDescent="0.2">
      <c r="A19" s="9">
        <v>0.23333333333333334</v>
      </c>
      <c r="B19" s="5">
        <v>47.58</v>
      </c>
      <c r="C19" s="5">
        <v>49.52</v>
      </c>
      <c r="D19" s="5">
        <v>47.58</v>
      </c>
      <c r="E19" s="5">
        <v>56.51</v>
      </c>
      <c r="F19" s="5">
        <v>55.12</v>
      </c>
      <c r="G19" s="5">
        <v>55.89</v>
      </c>
      <c r="H19" s="5">
        <v>47.2</v>
      </c>
      <c r="I19" s="5">
        <v>40.76</v>
      </c>
      <c r="J19" s="5">
        <v>53.46</v>
      </c>
      <c r="K19" s="5">
        <v>48.4</v>
      </c>
      <c r="L19" s="5">
        <v>54.9</v>
      </c>
      <c r="M19" s="5">
        <v>47.3</v>
      </c>
      <c r="N19" s="5">
        <v>44.8</v>
      </c>
      <c r="O19" s="5">
        <v>32.32</v>
      </c>
      <c r="P19" s="5">
        <v>47.18</v>
      </c>
      <c r="Q19" s="5">
        <v>47.18</v>
      </c>
    </row>
    <row r="20" spans="1:17" x14ac:dyDescent="0.2">
      <c r="A20" s="9">
        <v>0.26666666666666666</v>
      </c>
      <c r="B20" s="5">
        <v>45.06</v>
      </c>
      <c r="C20" s="5">
        <v>47.73</v>
      </c>
      <c r="D20" s="5">
        <v>47.13</v>
      </c>
      <c r="E20" s="5">
        <v>54.51</v>
      </c>
      <c r="F20" s="5">
        <v>55.28</v>
      </c>
      <c r="G20" s="5">
        <v>51.75</v>
      </c>
      <c r="H20" s="5">
        <v>46.29</v>
      </c>
      <c r="I20" s="5">
        <v>39.53</v>
      </c>
      <c r="J20" s="5">
        <v>52.03</v>
      </c>
      <c r="K20" s="5">
        <v>46.51</v>
      </c>
      <c r="L20" s="5">
        <v>53.78</v>
      </c>
      <c r="M20" s="5">
        <v>46.2</v>
      </c>
      <c r="N20" s="5">
        <v>42.77</v>
      </c>
      <c r="O20" s="5">
        <v>31.75</v>
      </c>
      <c r="P20" s="5">
        <v>44.93</v>
      </c>
      <c r="Q20" s="5">
        <v>46.58</v>
      </c>
    </row>
    <row r="21" spans="1:17" x14ac:dyDescent="0.2">
      <c r="A21" s="9">
        <v>0.3</v>
      </c>
      <c r="B21" s="5">
        <v>42.26</v>
      </c>
      <c r="C21" s="5">
        <v>46.39</v>
      </c>
      <c r="D21" s="5">
        <v>46.69</v>
      </c>
      <c r="E21" s="5">
        <v>52.36</v>
      </c>
      <c r="F21" s="5">
        <v>54.81</v>
      </c>
      <c r="G21" s="5">
        <v>47.5</v>
      </c>
      <c r="H21" s="5">
        <v>45.54</v>
      </c>
      <c r="I21" s="5">
        <v>39.07</v>
      </c>
      <c r="J21" s="5">
        <v>50.45</v>
      </c>
      <c r="K21" s="5">
        <v>46.04</v>
      </c>
      <c r="L21" s="5">
        <v>52.35</v>
      </c>
      <c r="M21" s="5">
        <v>45.42</v>
      </c>
      <c r="N21" s="5">
        <v>41.07</v>
      </c>
      <c r="O21" s="5">
        <v>32.04</v>
      </c>
      <c r="P21" s="5">
        <v>42.11</v>
      </c>
      <c r="Q21" s="5">
        <v>40.78</v>
      </c>
    </row>
    <row r="22" spans="1:17" x14ac:dyDescent="0.2">
      <c r="A22" s="9">
        <v>0.33333333333333331</v>
      </c>
      <c r="B22" s="5">
        <v>40.07</v>
      </c>
      <c r="C22" s="5">
        <v>44.76</v>
      </c>
      <c r="D22" s="5">
        <v>45.35</v>
      </c>
      <c r="E22" s="5">
        <v>50.38</v>
      </c>
      <c r="F22" s="5">
        <v>54.2</v>
      </c>
      <c r="G22" s="5">
        <v>44.49</v>
      </c>
      <c r="H22" s="5">
        <v>44.49</v>
      </c>
      <c r="I22" s="5">
        <v>38.909999999999997</v>
      </c>
      <c r="J22" s="5">
        <v>49.5</v>
      </c>
      <c r="K22" s="5">
        <v>45.26</v>
      </c>
      <c r="L22" s="5">
        <v>51.24</v>
      </c>
      <c r="M22" s="5">
        <v>45.11</v>
      </c>
      <c r="N22" s="5">
        <v>39.68</v>
      </c>
      <c r="O22" s="5">
        <v>32.04</v>
      </c>
      <c r="P22" s="5">
        <v>39.159999999999997</v>
      </c>
      <c r="Q22" s="5">
        <v>38.869999999999997</v>
      </c>
    </row>
    <row r="23" spans="1:17" x14ac:dyDescent="0.2">
      <c r="A23" s="9">
        <v>0.36666666666666664</v>
      </c>
      <c r="B23" s="5">
        <v>37.74</v>
      </c>
      <c r="C23" s="5">
        <v>42.55</v>
      </c>
      <c r="D23" s="5">
        <v>44.62</v>
      </c>
      <c r="E23" s="5">
        <v>48.4</v>
      </c>
      <c r="F23" s="5">
        <v>53.74</v>
      </c>
      <c r="G23" s="5">
        <v>43.74</v>
      </c>
      <c r="H23" s="5">
        <v>43.44</v>
      </c>
      <c r="I23" s="5">
        <v>38.299999999999997</v>
      </c>
      <c r="J23" s="5">
        <v>48.08</v>
      </c>
      <c r="K23" s="5">
        <v>44.8</v>
      </c>
      <c r="L23" s="5">
        <v>49.97</v>
      </c>
      <c r="M23" s="5">
        <v>44.33</v>
      </c>
      <c r="N23" s="5">
        <v>37.69</v>
      </c>
      <c r="O23" s="5">
        <v>29.88</v>
      </c>
      <c r="P23" s="5">
        <v>37.409999999999997</v>
      </c>
      <c r="Q23" s="5">
        <v>35.950000000000003</v>
      </c>
    </row>
    <row r="24" spans="1:17" x14ac:dyDescent="0.2">
      <c r="A24" s="9">
        <v>0.4</v>
      </c>
      <c r="B24" s="5">
        <v>35.57</v>
      </c>
      <c r="C24" s="5">
        <v>41.38</v>
      </c>
      <c r="D24" s="5">
        <v>43.58</v>
      </c>
      <c r="E24" s="5">
        <v>45.39</v>
      </c>
      <c r="F24" s="5">
        <v>53.13</v>
      </c>
      <c r="G24" s="5">
        <v>43.59</v>
      </c>
      <c r="H24" s="5">
        <v>42.84</v>
      </c>
      <c r="I24" s="5">
        <v>37.53</v>
      </c>
      <c r="J24" s="5">
        <v>46.98</v>
      </c>
      <c r="K24" s="5">
        <v>44.17</v>
      </c>
      <c r="L24" s="5">
        <v>48.71</v>
      </c>
      <c r="M24" s="5">
        <v>43.39</v>
      </c>
      <c r="N24" s="5">
        <v>35.85</v>
      </c>
      <c r="O24" s="5">
        <v>27.74</v>
      </c>
      <c r="P24" s="5">
        <v>37.11</v>
      </c>
      <c r="Q24" s="5">
        <v>34.200000000000003</v>
      </c>
    </row>
    <row r="25" spans="1:17" x14ac:dyDescent="0.2">
      <c r="A25" s="9">
        <v>0.43333333333333335</v>
      </c>
      <c r="B25" s="5">
        <v>33.700000000000003</v>
      </c>
      <c r="C25" s="5">
        <v>40.21</v>
      </c>
      <c r="D25" s="5">
        <v>42.26</v>
      </c>
      <c r="E25" s="5">
        <v>40.47</v>
      </c>
      <c r="F25" s="5">
        <v>52.36</v>
      </c>
      <c r="G25" s="5">
        <v>43.74</v>
      </c>
      <c r="H25" s="5">
        <v>41.95</v>
      </c>
      <c r="I25" s="5">
        <v>36.92</v>
      </c>
      <c r="J25" s="5">
        <v>46.98</v>
      </c>
      <c r="K25" s="5">
        <v>42.46</v>
      </c>
      <c r="L25" s="5">
        <v>47.93</v>
      </c>
      <c r="M25" s="5">
        <v>43.08</v>
      </c>
      <c r="N25" s="5">
        <v>34.18</v>
      </c>
      <c r="O25" s="5">
        <v>26.17</v>
      </c>
      <c r="P25" s="5">
        <v>37.11</v>
      </c>
      <c r="Q25" s="5">
        <v>32.47</v>
      </c>
    </row>
    <row r="26" spans="1:17" x14ac:dyDescent="0.2">
      <c r="A26" s="9">
        <v>0.46666666666666667</v>
      </c>
      <c r="B26" s="5">
        <v>31.56</v>
      </c>
      <c r="C26" s="5">
        <v>39.479999999999997</v>
      </c>
      <c r="D26" s="5">
        <v>41.38</v>
      </c>
      <c r="E26" s="5">
        <v>40.76</v>
      </c>
      <c r="F26" s="5">
        <v>51.6</v>
      </c>
      <c r="G26" s="5">
        <v>44.49</v>
      </c>
      <c r="H26" s="5">
        <v>40.47</v>
      </c>
      <c r="I26" s="5">
        <v>36.159999999999997</v>
      </c>
      <c r="J26" s="5">
        <v>46.36</v>
      </c>
      <c r="K26" s="5">
        <v>42.93</v>
      </c>
      <c r="L26" s="5">
        <v>46.67</v>
      </c>
      <c r="M26" s="5">
        <v>42.62</v>
      </c>
      <c r="N26" s="5">
        <v>32.51</v>
      </c>
      <c r="O26" s="5">
        <v>24.47</v>
      </c>
      <c r="P26" s="5">
        <v>35.369999999999997</v>
      </c>
      <c r="Q26" s="5">
        <v>32.47</v>
      </c>
    </row>
    <row r="27" spans="1:17" x14ac:dyDescent="0.2">
      <c r="A27" s="9">
        <v>0.5</v>
      </c>
      <c r="B27" s="5">
        <v>29.71</v>
      </c>
      <c r="C27" s="5">
        <v>38.76</v>
      </c>
      <c r="D27" s="5">
        <v>40.36</v>
      </c>
      <c r="E27" s="5">
        <v>41.21</v>
      </c>
      <c r="F27" s="5">
        <v>50.99</v>
      </c>
      <c r="G27" s="5">
        <v>44.49</v>
      </c>
      <c r="H27" s="5">
        <v>39.28</v>
      </c>
      <c r="I27" s="5">
        <v>35.549999999999997</v>
      </c>
      <c r="J27" s="5">
        <v>45.89</v>
      </c>
      <c r="K27" s="5">
        <v>43.24</v>
      </c>
      <c r="L27" s="5">
        <v>45.42</v>
      </c>
      <c r="M27" s="5">
        <v>41.38</v>
      </c>
      <c r="N27" s="5">
        <v>31</v>
      </c>
      <c r="O27" s="5">
        <v>21.52</v>
      </c>
      <c r="P27" s="5">
        <v>33.770000000000003</v>
      </c>
      <c r="Q27" s="5">
        <v>28.17</v>
      </c>
    </row>
    <row r="28" spans="1:17" x14ac:dyDescent="0.2">
      <c r="A28" s="9">
        <v>0.53333333333333333</v>
      </c>
      <c r="B28" s="5">
        <v>28.15</v>
      </c>
      <c r="C28" s="5">
        <v>38.18</v>
      </c>
      <c r="D28" s="5">
        <v>38.9</v>
      </c>
      <c r="E28" s="5">
        <v>41.5</v>
      </c>
      <c r="F28" s="5">
        <v>48.4</v>
      </c>
      <c r="G28" s="5">
        <v>44.19</v>
      </c>
      <c r="H28" s="5">
        <v>37.81</v>
      </c>
      <c r="I28" s="5">
        <v>34.479999999999997</v>
      </c>
      <c r="J28" s="5">
        <v>45.42</v>
      </c>
      <c r="K28" s="5">
        <v>42.93</v>
      </c>
      <c r="L28" s="5">
        <v>44.64</v>
      </c>
      <c r="M28" s="5">
        <v>40.450000000000003</v>
      </c>
      <c r="N28" s="5">
        <v>29.35</v>
      </c>
      <c r="P28" s="5">
        <v>32.9</v>
      </c>
      <c r="Q28" s="5">
        <v>27.88</v>
      </c>
    </row>
    <row r="29" spans="1:17" x14ac:dyDescent="0.2">
      <c r="A29" s="9">
        <v>0.56666666666666665</v>
      </c>
      <c r="B29" s="5">
        <v>27.03</v>
      </c>
      <c r="C29" s="5">
        <v>37.6</v>
      </c>
      <c r="D29" s="5">
        <v>37.89</v>
      </c>
      <c r="E29" s="5">
        <v>41.65</v>
      </c>
      <c r="F29" s="5">
        <v>46.89</v>
      </c>
      <c r="G29" s="5">
        <v>42.4</v>
      </c>
      <c r="H29" s="5">
        <v>35.9</v>
      </c>
      <c r="I29" s="5">
        <v>33.270000000000003</v>
      </c>
      <c r="J29" s="5">
        <v>44.48</v>
      </c>
      <c r="K29" s="5">
        <v>42.46</v>
      </c>
      <c r="L29" s="5">
        <v>44.02</v>
      </c>
      <c r="M29" s="5">
        <v>39.07</v>
      </c>
      <c r="N29" s="5">
        <v>27.55</v>
      </c>
      <c r="P29" s="5">
        <v>31.6</v>
      </c>
      <c r="Q29" s="5">
        <v>26.46</v>
      </c>
    </row>
    <row r="30" spans="1:17" x14ac:dyDescent="0.2">
      <c r="A30" s="9">
        <v>0.6</v>
      </c>
      <c r="B30" s="5">
        <v>25.62</v>
      </c>
      <c r="C30" s="5">
        <v>37.159999999999997</v>
      </c>
      <c r="D30" s="5">
        <v>37.020000000000003</v>
      </c>
      <c r="E30" s="5">
        <v>41.06</v>
      </c>
      <c r="F30" s="5">
        <v>46.29</v>
      </c>
      <c r="G30" s="5">
        <v>42.84</v>
      </c>
      <c r="H30" s="5">
        <v>34</v>
      </c>
      <c r="I30" s="5">
        <v>32.06</v>
      </c>
      <c r="J30" s="5">
        <v>43.86</v>
      </c>
      <c r="K30" s="5">
        <v>41.23</v>
      </c>
      <c r="L30" s="5">
        <v>42.77</v>
      </c>
      <c r="M30" s="5">
        <v>38.15</v>
      </c>
      <c r="N30" s="5">
        <v>25.91</v>
      </c>
      <c r="P30" s="5">
        <v>30.31</v>
      </c>
      <c r="Q30" s="5">
        <v>23.77</v>
      </c>
    </row>
    <row r="31" spans="1:17" x14ac:dyDescent="0.2">
      <c r="A31" s="9">
        <v>0.6333333333333333</v>
      </c>
      <c r="B31" s="5">
        <v>24.64</v>
      </c>
      <c r="C31" s="5">
        <v>37.159999999999997</v>
      </c>
      <c r="D31" s="5">
        <v>35.43</v>
      </c>
      <c r="E31" s="5">
        <v>40.020000000000003</v>
      </c>
      <c r="F31" s="5">
        <v>45.84</v>
      </c>
      <c r="G31" s="5">
        <v>42.7</v>
      </c>
      <c r="H31" s="5">
        <v>32.11</v>
      </c>
      <c r="I31" s="5">
        <v>30.7</v>
      </c>
      <c r="J31" s="5">
        <v>43.08</v>
      </c>
      <c r="K31" s="5">
        <v>36.92</v>
      </c>
      <c r="L31" s="5">
        <v>41.53</v>
      </c>
      <c r="M31" s="5">
        <v>36.619999999999997</v>
      </c>
      <c r="N31" s="5">
        <v>24.13</v>
      </c>
      <c r="P31" s="5">
        <v>28.17</v>
      </c>
      <c r="Q31" s="5">
        <v>23.77</v>
      </c>
    </row>
    <row r="32" spans="1:17" x14ac:dyDescent="0.2">
      <c r="A32" s="9">
        <v>0.66666666666666663</v>
      </c>
      <c r="B32" s="5">
        <v>23.52</v>
      </c>
      <c r="C32" s="5">
        <v>36.29</v>
      </c>
      <c r="D32" s="5">
        <v>34.28</v>
      </c>
      <c r="E32" s="5">
        <v>38.54</v>
      </c>
      <c r="F32" s="5">
        <v>45.39</v>
      </c>
      <c r="G32" s="5">
        <v>41.8</v>
      </c>
      <c r="H32" s="5">
        <v>30.37</v>
      </c>
      <c r="I32" s="5">
        <v>29.95</v>
      </c>
      <c r="J32" s="5">
        <v>42.15</v>
      </c>
      <c r="K32" s="5">
        <v>33.880000000000003</v>
      </c>
      <c r="L32" s="5">
        <v>41.07</v>
      </c>
      <c r="M32" s="5">
        <v>35.700000000000003</v>
      </c>
      <c r="N32" s="5">
        <v>22.51</v>
      </c>
      <c r="P32" s="5">
        <v>26.17</v>
      </c>
      <c r="Q32" s="5">
        <v>22.5</v>
      </c>
    </row>
    <row r="33" spans="1:17" x14ac:dyDescent="0.2">
      <c r="A33" s="9">
        <v>0.7</v>
      </c>
      <c r="B33" s="5">
        <v>22.27</v>
      </c>
      <c r="C33" s="5">
        <v>35.86</v>
      </c>
      <c r="D33" s="5">
        <v>33.270000000000003</v>
      </c>
      <c r="E33" s="5">
        <v>37.51</v>
      </c>
      <c r="F33" s="5">
        <v>44.19</v>
      </c>
      <c r="G33" s="5">
        <v>41.36</v>
      </c>
      <c r="H33" s="5">
        <v>28.21</v>
      </c>
      <c r="I33" s="5">
        <v>28.9</v>
      </c>
      <c r="J33" s="5">
        <v>41.38</v>
      </c>
      <c r="K33" s="5">
        <v>32.82</v>
      </c>
      <c r="L33" s="5">
        <v>40.450000000000003</v>
      </c>
      <c r="M33" s="5">
        <v>34.79</v>
      </c>
      <c r="N33" s="5">
        <v>21.04</v>
      </c>
      <c r="P33" s="5">
        <v>24.76</v>
      </c>
      <c r="Q33" s="5">
        <v>22.64</v>
      </c>
    </row>
    <row r="34" spans="1:17" x14ac:dyDescent="0.2">
      <c r="A34" s="9">
        <v>0.73333333333333328</v>
      </c>
      <c r="B34" s="5">
        <v>21.16</v>
      </c>
      <c r="C34" s="5">
        <v>35.14</v>
      </c>
      <c r="D34" s="5">
        <v>32.56</v>
      </c>
      <c r="E34" s="5">
        <v>36.630000000000003</v>
      </c>
      <c r="F34" s="5">
        <v>43.14</v>
      </c>
      <c r="G34" s="5">
        <v>42.1</v>
      </c>
      <c r="H34" s="5">
        <v>26.35</v>
      </c>
      <c r="I34" s="5">
        <v>28</v>
      </c>
      <c r="J34" s="5">
        <v>40.61</v>
      </c>
      <c r="K34" s="5">
        <v>32.82</v>
      </c>
      <c r="L34" s="5">
        <v>39.68</v>
      </c>
      <c r="M34" s="5">
        <v>33.72</v>
      </c>
      <c r="P34" s="5">
        <v>22.92</v>
      </c>
      <c r="Q34" s="5">
        <v>21.66</v>
      </c>
    </row>
    <row r="35" spans="1:17" x14ac:dyDescent="0.2">
      <c r="A35" s="9">
        <v>0.76666666666666672</v>
      </c>
      <c r="B35" s="5">
        <v>19.77</v>
      </c>
      <c r="C35" s="5">
        <v>33.99</v>
      </c>
      <c r="D35" s="5">
        <v>32.56</v>
      </c>
      <c r="E35" s="5">
        <v>35.6</v>
      </c>
      <c r="F35" s="5">
        <v>42.7</v>
      </c>
      <c r="G35" s="5">
        <v>42.55</v>
      </c>
      <c r="H35" s="5">
        <v>24.78</v>
      </c>
      <c r="I35" s="5">
        <v>26.81</v>
      </c>
      <c r="J35" s="5">
        <v>40.15</v>
      </c>
      <c r="K35" s="5">
        <v>32.97</v>
      </c>
      <c r="L35" s="5">
        <v>38.61</v>
      </c>
      <c r="M35" s="5">
        <v>33.42</v>
      </c>
      <c r="P35" s="5">
        <v>21.52</v>
      </c>
      <c r="Q35" s="5">
        <v>21.24</v>
      </c>
    </row>
    <row r="36" spans="1:17" x14ac:dyDescent="0.2">
      <c r="A36" s="9">
        <v>0.8</v>
      </c>
      <c r="C36" s="5">
        <v>32.130000000000003</v>
      </c>
      <c r="D36" s="5">
        <v>32.56</v>
      </c>
      <c r="E36" s="5">
        <v>34.729999999999997</v>
      </c>
      <c r="F36" s="5">
        <v>42.25</v>
      </c>
      <c r="G36" s="5">
        <v>42.84</v>
      </c>
      <c r="H36" s="5">
        <v>23.08</v>
      </c>
      <c r="I36" s="5">
        <v>25.47</v>
      </c>
      <c r="J36" s="5">
        <v>39.68</v>
      </c>
      <c r="K36" s="5">
        <v>32.36</v>
      </c>
      <c r="L36" s="5">
        <v>37.07</v>
      </c>
      <c r="M36" s="5">
        <v>33.270000000000003</v>
      </c>
      <c r="P36" s="5">
        <v>20.260000000000002</v>
      </c>
      <c r="Q36" s="5">
        <v>19.14</v>
      </c>
    </row>
    <row r="37" spans="1:17" x14ac:dyDescent="0.2">
      <c r="A37" s="9">
        <v>0.83333333333333337</v>
      </c>
      <c r="C37" s="5">
        <v>30</v>
      </c>
      <c r="D37" s="5">
        <v>32.56</v>
      </c>
      <c r="E37" s="5">
        <v>33.85</v>
      </c>
      <c r="F37" s="5">
        <v>41.21</v>
      </c>
      <c r="G37" s="5">
        <v>43.29</v>
      </c>
      <c r="H37" s="5">
        <v>21.95</v>
      </c>
      <c r="I37" s="5">
        <v>23.99</v>
      </c>
      <c r="J37" s="5">
        <v>38.76</v>
      </c>
      <c r="K37" s="5">
        <v>31.46</v>
      </c>
      <c r="L37" s="5">
        <v>35.4</v>
      </c>
      <c r="M37" s="5">
        <v>32.97</v>
      </c>
    </row>
    <row r="38" spans="1:17" x14ac:dyDescent="0.2">
      <c r="A38" s="9">
        <v>0.8666666666666667</v>
      </c>
      <c r="C38" s="5">
        <v>28.3</v>
      </c>
      <c r="D38" s="5">
        <v>31.99</v>
      </c>
      <c r="E38" s="5">
        <v>33.270000000000003</v>
      </c>
      <c r="F38" s="5">
        <v>40.47</v>
      </c>
      <c r="G38" s="5">
        <v>42.25</v>
      </c>
      <c r="H38" s="5">
        <v>20.12</v>
      </c>
      <c r="I38" s="5">
        <v>22.8</v>
      </c>
      <c r="J38" s="5">
        <v>37.99</v>
      </c>
      <c r="K38" s="5">
        <v>30.7</v>
      </c>
      <c r="L38" s="5">
        <v>34.33</v>
      </c>
      <c r="M38" s="5">
        <v>32.97</v>
      </c>
    </row>
    <row r="39" spans="1:17" x14ac:dyDescent="0.2">
      <c r="A39" s="9">
        <v>0.9</v>
      </c>
      <c r="C39" s="5">
        <v>26.46</v>
      </c>
      <c r="D39" s="5">
        <v>31.42</v>
      </c>
      <c r="E39" s="5">
        <v>32.25</v>
      </c>
      <c r="F39" s="5">
        <v>40.909999999999997</v>
      </c>
      <c r="G39" s="5">
        <v>40.47</v>
      </c>
      <c r="I39" s="5">
        <v>21.18</v>
      </c>
      <c r="J39" s="5">
        <v>37.380000000000003</v>
      </c>
      <c r="K39" s="5">
        <v>29.8</v>
      </c>
      <c r="L39" s="5">
        <v>32.659999999999997</v>
      </c>
      <c r="M39" s="5">
        <v>32.51</v>
      </c>
    </row>
    <row r="40" spans="1:17" x14ac:dyDescent="0.2">
      <c r="A40" s="9">
        <v>0.93333333333333335</v>
      </c>
      <c r="C40" s="5">
        <v>24.92</v>
      </c>
      <c r="D40" s="5">
        <v>30.71</v>
      </c>
      <c r="E40" s="5">
        <v>30.66</v>
      </c>
      <c r="F40" s="5">
        <v>40.909999999999997</v>
      </c>
      <c r="G40" s="5">
        <v>37.659999999999997</v>
      </c>
      <c r="J40" s="5">
        <v>37.07</v>
      </c>
      <c r="K40" s="5">
        <v>26.96</v>
      </c>
      <c r="L40" s="5">
        <v>31.31</v>
      </c>
      <c r="M40" s="5">
        <v>31.61</v>
      </c>
    </row>
    <row r="41" spans="1:17" x14ac:dyDescent="0.2">
      <c r="A41" s="9">
        <v>0.96666666666666667</v>
      </c>
      <c r="C41" s="5">
        <v>23.38</v>
      </c>
      <c r="D41" s="5">
        <v>29.71</v>
      </c>
      <c r="E41" s="5">
        <v>28.79</v>
      </c>
      <c r="F41" s="5">
        <v>39.72</v>
      </c>
      <c r="G41" s="5">
        <v>34.43</v>
      </c>
      <c r="J41" s="5">
        <v>36.46</v>
      </c>
      <c r="K41" s="5">
        <v>21.77</v>
      </c>
      <c r="L41" s="5">
        <v>29.95</v>
      </c>
      <c r="M41" s="5">
        <v>30.4</v>
      </c>
    </row>
    <row r="42" spans="1:17" x14ac:dyDescent="0.2">
      <c r="A42" s="9">
        <v>1</v>
      </c>
      <c r="C42" s="5">
        <v>22.27</v>
      </c>
      <c r="D42" s="5">
        <v>28.72</v>
      </c>
      <c r="E42" s="5">
        <v>26.64</v>
      </c>
      <c r="F42" s="5">
        <v>38.99</v>
      </c>
      <c r="G42" s="5">
        <v>31.82</v>
      </c>
      <c r="J42" s="5">
        <v>35.700000000000003</v>
      </c>
      <c r="K42" s="5">
        <v>20.89</v>
      </c>
      <c r="L42" s="5">
        <v>28.3</v>
      </c>
      <c r="M42" s="5">
        <v>29.95</v>
      </c>
    </row>
    <row r="43" spans="1:17" x14ac:dyDescent="0.2">
      <c r="A43" s="9">
        <v>1.0333333333333334</v>
      </c>
      <c r="C43" s="5">
        <v>21.3</v>
      </c>
      <c r="D43" s="5">
        <v>28.01</v>
      </c>
      <c r="E43" s="5">
        <v>24.64</v>
      </c>
      <c r="F43" s="5">
        <v>39.130000000000003</v>
      </c>
      <c r="G43" s="5">
        <v>30.37</v>
      </c>
      <c r="J43" s="5">
        <v>34.79</v>
      </c>
      <c r="K43" s="5">
        <v>21.77</v>
      </c>
      <c r="L43" s="5">
        <v>27.11</v>
      </c>
      <c r="M43" s="5">
        <v>29.95</v>
      </c>
    </row>
    <row r="44" spans="1:17" x14ac:dyDescent="0.2">
      <c r="A44" s="9">
        <v>1.0666666666666667</v>
      </c>
      <c r="C44" s="5">
        <v>20.329999999999998</v>
      </c>
      <c r="D44" s="5">
        <v>27.03</v>
      </c>
      <c r="E44" s="5">
        <v>22.23</v>
      </c>
      <c r="F44" s="5">
        <v>39.58</v>
      </c>
      <c r="G44" s="5">
        <v>28.93</v>
      </c>
      <c r="J44" s="5">
        <v>33.72</v>
      </c>
      <c r="K44" s="5">
        <v>22.51</v>
      </c>
      <c r="L44" s="5">
        <v>25.77</v>
      </c>
      <c r="M44" s="5">
        <v>29.95</v>
      </c>
    </row>
    <row r="45" spans="1:17" x14ac:dyDescent="0.2">
      <c r="A45" s="9">
        <v>1.1000000000000001</v>
      </c>
      <c r="D45" s="5">
        <v>25.76</v>
      </c>
      <c r="E45" s="5">
        <v>19.98</v>
      </c>
      <c r="F45" s="5">
        <v>39.28</v>
      </c>
      <c r="G45" s="5">
        <v>27.06</v>
      </c>
      <c r="J45" s="5">
        <v>32.82</v>
      </c>
      <c r="K45" s="5">
        <v>22.66</v>
      </c>
      <c r="L45" s="5">
        <v>25.17</v>
      </c>
      <c r="M45" s="5">
        <v>29.95</v>
      </c>
    </row>
    <row r="46" spans="1:17" x14ac:dyDescent="0.2">
      <c r="A46" s="9">
        <v>1.1333333333333333</v>
      </c>
      <c r="D46" s="5">
        <v>24.5</v>
      </c>
      <c r="F46" s="5">
        <v>38.54</v>
      </c>
      <c r="G46" s="5">
        <v>25.49</v>
      </c>
      <c r="J46" s="5">
        <v>31.91</v>
      </c>
      <c r="K46" s="5">
        <v>21.33</v>
      </c>
      <c r="L46" s="5">
        <v>24.28</v>
      </c>
      <c r="M46" s="5">
        <v>29.8</v>
      </c>
    </row>
    <row r="47" spans="1:17" x14ac:dyDescent="0.2">
      <c r="A47" s="9">
        <v>1.1666666666666667</v>
      </c>
      <c r="D47" s="5">
        <v>23.52</v>
      </c>
      <c r="F47" s="5">
        <v>37.07</v>
      </c>
      <c r="G47" s="5">
        <v>24.64</v>
      </c>
      <c r="J47" s="5">
        <v>31.61</v>
      </c>
      <c r="L47" s="5">
        <v>23.69</v>
      </c>
      <c r="M47" s="5">
        <v>29.65</v>
      </c>
    </row>
    <row r="48" spans="1:17" x14ac:dyDescent="0.2">
      <c r="A48" s="9">
        <v>1.2</v>
      </c>
      <c r="D48" s="5">
        <v>22.68</v>
      </c>
      <c r="F48" s="5">
        <v>34.869999999999997</v>
      </c>
      <c r="G48" s="5">
        <v>22.23</v>
      </c>
      <c r="J48" s="5">
        <v>31.46</v>
      </c>
      <c r="L48" s="5">
        <v>22.95</v>
      </c>
      <c r="M48" s="5">
        <v>29.05</v>
      </c>
    </row>
    <row r="49" spans="1:13" x14ac:dyDescent="0.2">
      <c r="A49" s="9">
        <v>1.2333333333333334</v>
      </c>
      <c r="D49" s="5">
        <v>21.57</v>
      </c>
      <c r="F49" s="5">
        <v>32.83</v>
      </c>
      <c r="G49" s="5">
        <v>20.82</v>
      </c>
      <c r="J49" s="5">
        <v>30.85</v>
      </c>
      <c r="L49" s="5">
        <v>22.21</v>
      </c>
      <c r="M49" s="5">
        <v>28.75</v>
      </c>
    </row>
    <row r="50" spans="1:13" x14ac:dyDescent="0.2">
      <c r="A50" s="9">
        <v>1.2666666666666666</v>
      </c>
      <c r="D50" s="5">
        <v>20.190000000000001</v>
      </c>
      <c r="F50" s="5">
        <v>31.24</v>
      </c>
      <c r="G50" s="5">
        <v>20.82</v>
      </c>
      <c r="J50" s="5">
        <v>30.4</v>
      </c>
      <c r="L50" s="5">
        <v>21.48</v>
      </c>
      <c r="M50" s="5">
        <v>27.26</v>
      </c>
    </row>
    <row r="51" spans="1:13" x14ac:dyDescent="0.2">
      <c r="A51" s="9">
        <v>1.3</v>
      </c>
      <c r="F51" s="5">
        <v>29.65</v>
      </c>
      <c r="G51" s="5">
        <v>20.260000000000002</v>
      </c>
      <c r="J51" s="5">
        <v>30.25</v>
      </c>
      <c r="L51" s="5">
        <v>21.33</v>
      </c>
      <c r="M51" s="5">
        <v>26.36</v>
      </c>
    </row>
    <row r="52" spans="1:13" x14ac:dyDescent="0.2">
      <c r="A52" s="9">
        <v>1.3333333333333333</v>
      </c>
      <c r="F52" s="5">
        <v>28.93</v>
      </c>
      <c r="J52" s="5">
        <v>30.1</v>
      </c>
      <c r="L52" s="5">
        <v>20.89</v>
      </c>
      <c r="M52" s="5">
        <v>25.17</v>
      </c>
    </row>
    <row r="53" spans="1:13" x14ac:dyDescent="0.2">
      <c r="A53" s="9">
        <v>1.3666666666666667</v>
      </c>
      <c r="F53" s="5">
        <v>28.5</v>
      </c>
      <c r="J53" s="5">
        <v>29.65</v>
      </c>
      <c r="L53" s="5">
        <v>20.45</v>
      </c>
      <c r="M53" s="5">
        <v>24.28</v>
      </c>
    </row>
    <row r="54" spans="1:13" x14ac:dyDescent="0.2">
      <c r="A54" s="9">
        <v>1.4</v>
      </c>
      <c r="F54" s="5">
        <v>28.07</v>
      </c>
      <c r="J54" s="5">
        <v>28.9</v>
      </c>
      <c r="L54" s="5">
        <v>20.010000000000002</v>
      </c>
      <c r="M54" s="5">
        <v>23.39</v>
      </c>
    </row>
    <row r="55" spans="1:13" x14ac:dyDescent="0.2">
      <c r="A55" s="9">
        <v>1.4333333333333333</v>
      </c>
      <c r="F55" s="5">
        <v>28.07</v>
      </c>
      <c r="J55" s="5">
        <v>27.85</v>
      </c>
      <c r="M55" s="5">
        <v>22.66</v>
      </c>
    </row>
    <row r="56" spans="1:13" x14ac:dyDescent="0.2">
      <c r="A56" s="9">
        <v>1.4666666666666666</v>
      </c>
      <c r="F56" s="5">
        <v>27.92</v>
      </c>
      <c r="J56" s="5">
        <v>26.66</v>
      </c>
      <c r="M56" s="5">
        <v>22.21</v>
      </c>
    </row>
    <row r="57" spans="1:13" x14ac:dyDescent="0.2">
      <c r="A57" s="9">
        <v>1.5</v>
      </c>
      <c r="F57" s="5">
        <v>27.49</v>
      </c>
      <c r="J57" s="5">
        <v>25.62</v>
      </c>
      <c r="M57" s="5">
        <v>21.77</v>
      </c>
    </row>
    <row r="58" spans="1:13" x14ac:dyDescent="0.2">
      <c r="A58" s="9">
        <v>1.5333333333333334</v>
      </c>
      <c r="F58" s="5">
        <v>26.78</v>
      </c>
      <c r="J58" s="5">
        <v>24.58</v>
      </c>
      <c r="M58" s="5">
        <v>20.89</v>
      </c>
    </row>
    <row r="59" spans="1:13" x14ac:dyDescent="0.2">
      <c r="A59" s="9">
        <v>1.5666666666666667</v>
      </c>
      <c r="F59" s="5">
        <v>26.06</v>
      </c>
      <c r="J59" s="5">
        <v>22.95</v>
      </c>
      <c r="M59" s="5">
        <v>20.010000000000002</v>
      </c>
    </row>
    <row r="60" spans="1:13" x14ac:dyDescent="0.2">
      <c r="A60" s="9">
        <v>1.6</v>
      </c>
      <c r="F60" s="5">
        <v>25.35</v>
      </c>
      <c r="J60" s="5">
        <v>21.77</v>
      </c>
    </row>
    <row r="61" spans="1:13" x14ac:dyDescent="0.2">
      <c r="A61" s="9">
        <v>1.6333333333333333</v>
      </c>
      <c r="F61" s="5">
        <v>24.21</v>
      </c>
      <c r="J61" s="5">
        <v>20.6</v>
      </c>
    </row>
    <row r="62" spans="1:13" x14ac:dyDescent="0.2">
      <c r="A62" s="9">
        <v>1.6666666666666667</v>
      </c>
      <c r="F62" s="5">
        <v>23.5</v>
      </c>
    </row>
    <row r="63" spans="1:13" x14ac:dyDescent="0.2">
      <c r="A63" s="9">
        <v>1.7</v>
      </c>
      <c r="F63" s="5">
        <v>22.65</v>
      </c>
    </row>
    <row r="64" spans="1:13" x14ac:dyDescent="0.2">
      <c r="A64" s="9">
        <v>1.7333333333333334</v>
      </c>
      <c r="F64" s="5">
        <v>21.95</v>
      </c>
    </row>
    <row r="65" spans="1:6" x14ac:dyDescent="0.2">
      <c r="A65" s="9">
        <v>1.7666666666666666</v>
      </c>
      <c r="F65" s="5">
        <v>20.96</v>
      </c>
    </row>
    <row r="66" spans="1:6" x14ac:dyDescent="0.2">
      <c r="A66" s="9">
        <v>1.8</v>
      </c>
      <c r="F66" s="5">
        <v>20.260000000000002</v>
      </c>
    </row>
    <row r="67" spans="1:6" x14ac:dyDescent="0.2">
      <c r="A67" s="9"/>
    </row>
    <row r="68" spans="1:6" x14ac:dyDescent="0.2">
      <c r="A68" s="9"/>
    </row>
    <row r="69" spans="1:6" x14ac:dyDescent="0.2">
      <c r="A69" s="9"/>
    </row>
    <row r="70" spans="1:6" x14ac:dyDescent="0.2">
      <c r="A70" s="9"/>
    </row>
    <row r="71" spans="1:6" x14ac:dyDescent="0.2">
      <c r="A71" s="9"/>
    </row>
    <row r="72" spans="1:6" x14ac:dyDescent="0.2">
      <c r="A72" s="9"/>
    </row>
    <row r="73" spans="1:6" x14ac:dyDescent="0.2">
      <c r="A73" s="9"/>
    </row>
    <row r="74" spans="1:6" x14ac:dyDescent="0.2">
      <c r="A74" s="9"/>
    </row>
    <row r="75" spans="1:6" x14ac:dyDescent="0.2">
      <c r="A75" s="9"/>
    </row>
    <row r="76" spans="1:6" x14ac:dyDescent="0.2">
      <c r="A76" s="9"/>
    </row>
    <row r="77" spans="1:6" x14ac:dyDescent="0.2">
      <c r="A77" s="9"/>
    </row>
    <row r="78" spans="1:6" x14ac:dyDescent="0.2">
      <c r="A78" s="9"/>
    </row>
    <row r="79" spans="1:6" x14ac:dyDescent="0.2">
      <c r="A79" s="9"/>
    </row>
    <row r="80" spans="1:6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</sheetData>
  <pageMargins left="0.75" right="0.75" top="1" bottom="1" header="0.5" footer="0.5"/>
  <pageSetup paperSize="9" orientation="portrait" horizontalDpi="4294967292" verticalDpi="42949672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74"/>
  <sheetViews>
    <sheetView zoomScale="108" zoomScaleNormal="108" zoomScalePageLayoutView="108" workbookViewId="0">
      <selection activeCell="B6" sqref="B6:O7"/>
    </sheetView>
  </sheetViews>
  <sheetFormatPr baseColWidth="10" defaultRowHeight="16" x14ac:dyDescent="0.2"/>
  <cols>
    <col min="2" max="2" width="13.1640625" bestFit="1" customWidth="1"/>
    <col min="3" max="6" width="12" bestFit="1" customWidth="1"/>
    <col min="7" max="15" width="11.5" bestFit="1" customWidth="1"/>
  </cols>
  <sheetData>
    <row r="3" spans="2:21" x14ac:dyDescent="0.2">
      <c r="C3" s="2"/>
    </row>
    <row r="4" spans="2:21" x14ac:dyDescent="0.2">
      <c r="H4" s="14"/>
      <c r="I4" s="14"/>
      <c r="J4" s="14"/>
      <c r="K4" s="14"/>
      <c r="Q4" s="14"/>
      <c r="R4" s="14"/>
      <c r="S4" s="14"/>
      <c r="T4" s="14"/>
      <c r="U4" s="14"/>
    </row>
    <row r="6" spans="2:21" x14ac:dyDescent="0.2">
      <c r="B6" s="48" t="s">
        <v>77</v>
      </c>
      <c r="C6" s="103">
        <v>0.32600000000000001</v>
      </c>
      <c r="D6" s="103">
        <v>0.28100000000000003</v>
      </c>
      <c r="E6" s="103">
        <v>0.316</v>
      </c>
      <c r="F6" s="103">
        <v>0.41899999999999998</v>
      </c>
      <c r="G6" s="103">
        <v>0.33100000000000002</v>
      </c>
      <c r="H6" s="103">
        <v>0.35799999999999998</v>
      </c>
      <c r="I6" s="103">
        <v>0.218</v>
      </c>
      <c r="J6" s="103">
        <v>0.255</v>
      </c>
      <c r="K6" s="103">
        <v>0.24299999999999999</v>
      </c>
      <c r="L6" s="103">
        <v>0.33600000000000002</v>
      </c>
      <c r="M6" s="103">
        <v>0.16600000000000001</v>
      </c>
      <c r="N6" s="103">
        <v>0.24099999999999999</v>
      </c>
      <c r="O6" s="104">
        <v>0.22</v>
      </c>
    </row>
    <row r="7" spans="2:21" x14ac:dyDescent="0.2">
      <c r="B7" s="51" t="s">
        <v>39</v>
      </c>
      <c r="C7" s="105">
        <v>3.3000000000000002E-2</v>
      </c>
      <c r="D7" s="105">
        <v>2.8000000000000001E-2</v>
      </c>
      <c r="E7" s="105">
        <v>0.04</v>
      </c>
      <c r="F7" s="105">
        <v>3.7999999999999999E-2</v>
      </c>
      <c r="G7" s="105">
        <v>3.3000000000000002E-2</v>
      </c>
      <c r="H7" s="105">
        <v>3.5000000000000003E-2</v>
      </c>
      <c r="I7" s="105">
        <v>1.7999999999999999E-2</v>
      </c>
      <c r="J7" s="105">
        <v>2.5000000000000001E-2</v>
      </c>
      <c r="K7" s="105">
        <v>2.8000000000000001E-2</v>
      </c>
      <c r="L7" s="105">
        <v>3.7999999999999999E-2</v>
      </c>
      <c r="M7" s="105">
        <v>1.9E-2</v>
      </c>
      <c r="N7" s="105">
        <v>0.03</v>
      </c>
      <c r="O7" s="106">
        <v>2.5999999999999999E-2</v>
      </c>
    </row>
    <row r="8" spans="2:21" x14ac:dyDescent="0.2">
      <c r="B8" s="51" t="s">
        <v>47</v>
      </c>
      <c r="C8" s="105">
        <f t="shared" ref="C8:M8" si="0">1.08/C6</f>
        <v>3.3128834355828221</v>
      </c>
      <c r="D8" s="105">
        <f t="shared" si="0"/>
        <v>3.8434163701067616</v>
      </c>
      <c r="E8" s="105">
        <f t="shared" si="0"/>
        <v>3.4177215189873418</v>
      </c>
      <c r="F8" s="105">
        <f t="shared" si="0"/>
        <v>2.5775656324582341</v>
      </c>
      <c r="G8" s="105">
        <f t="shared" si="0"/>
        <v>3.2628398791540785</v>
      </c>
      <c r="H8" s="105">
        <f t="shared" si="0"/>
        <v>3.016759776536313</v>
      </c>
      <c r="I8" s="105">
        <f t="shared" si="0"/>
        <v>4.954128440366973</v>
      </c>
      <c r="J8" s="105">
        <f t="shared" si="0"/>
        <v>4.2352941176470589</v>
      </c>
      <c r="K8" s="105">
        <f t="shared" si="0"/>
        <v>4.4444444444444446</v>
      </c>
      <c r="L8" s="105">
        <f t="shared" si="0"/>
        <v>3.2142857142857144</v>
      </c>
      <c r="M8" s="105">
        <f t="shared" si="0"/>
        <v>6.5060240963855422</v>
      </c>
      <c r="N8" s="105">
        <v>4.4800000000000004</v>
      </c>
      <c r="O8" s="106">
        <v>3.62</v>
      </c>
    </row>
    <row r="9" spans="2:21" x14ac:dyDescent="0.2">
      <c r="B9" s="51" t="s">
        <v>48</v>
      </c>
      <c r="C9" s="105">
        <f t="shared" ref="C9:O9" si="1">(25-C8)/1000</f>
        <v>2.1687116564417179E-2</v>
      </c>
      <c r="D9" s="105">
        <f t="shared" si="1"/>
        <v>2.1156583629893238E-2</v>
      </c>
      <c r="E9" s="105">
        <f t="shared" si="1"/>
        <v>2.1582278481012657E-2</v>
      </c>
      <c r="F9" s="105">
        <f t="shared" si="1"/>
        <v>2.2422434367541766E-2</v>
      </c>
      <c r="G9" s="105">
        <f t="shared" si="1"/>
        <v>2.1737160120845922E-2</v>
      </c>
      <c r="H9" s="105">
        <f t="shared" si="1"/>
        <v>2.198324022346369E-2</v>
      </c>
      <c r="I9" s="105">
        <f t="shared" si="1"/>
        <v>2.0045871559633027E-2</v>
      </c>
      <c r="J9" s="105">
        <f t="shared" si="1"/>
        <v>2.0764705882352942E-2</v>
      </c>
      <c r="K9" s="105">
        <f t="shared" si="1"/>
        <v>2.0555555555555556E-2</v>
      </c>
      <c r="L9" s="105">
        <f t="shared" si="1"/>
        <v>2.1785714285714283E-2</v>
      </c>
      <c r="M9" s="105">
        <f t="shared" si="1"/>
        <v>1.849397590361446E-2</v>
      </c>
      <c r="N9" s="105">
        <f t="shared" si="1"/>
        <v>2.052E-2</v>
      </c>
      <c r="O9" s="106">
        <f t="shared" si="1"/>
        <v>2.138E-2</v>
      </c>
      <c r="P9" s="11"/>
      <c r="Q9" s="11"/>
      <c r="R9" s="11"/>
      <c r="S9" s="11"/>
      <c r="T9" s="11"/>
      <c r="U9" s="11"/>
    </row>
    <row r="10" spans="2:21" x14ac:dyDescent="0.2">
      <c r="B10" s="51" t="s">
        <v>20</v>
      </c>
      <c r="C10" s="107">
        <f>SLOPE(C14:C74,$B14:$B74)</f>
        <v>-26.893215230037008</v>
      </c>
      <c r="D10" s="107">
        <f>SLOPE(D14:D74,$B14:$B74)</f>
        <v>-33.377562136435749</v>
      </c>
      <c r="E10" s="107">
        <f>SLOPE(E14:E74,$B14:$B74)</f>
        <v>-30.769481755684836</v>
      </c>
      <c r="F10" s="107">
        <f>SLOPE(F14:F74,$B14:$B74)</f>
        <v>-41.587678476996295</v>
      </c>
      <c r="G10" s="107">
        <f>SLOPE(G44:G74,$B44:$B74)</f>
        <v>-19.859395161290315</v>
      </c>
      <c r="H10" s="107">
        <f t="shared" ref="H10:I10" si="2">SLOPE(H44:H74,$B44:$B74)</f>
        <v>-36.35830645161289</v>
      </c>
      <c r="I10" s="107">
        <f t="shared" si="2"/>
        <v>-26.856653225806458</v>
      </c>
      <c r="J10" s="107">
        <f>SLOPE(J14:J65,$B14:$B65)</f>
        <v>-19.131230256979425</v>
      </c>
      <c r="K10" s="107">
        <f>SLOPE(K14:K51,$B14:$B51)</f>
        <v>-31.033340628077472</v>
      </c>
      <c r="L10" s="107">
        <f>SLOPE(L14:L33,$B14:$B33)</f>
        <v>-52.543759398496242</v>
      </c>
      <c r="M10" s="107">
        <f>SLOPE(M14:M65,$B14:$B65)</f>
        <v>-22.066494493298048</v>
      </c>
      <c r="N10" s="107">
        <v>-32.270000000000003</v>
      </c>
      <c r="O10" s="108">
        <v>-17.190000000000001</v>
      </c>
      <c r="P10" s="20"/>
      <c r="Q10" s="20"/>
      <c r="R10" s="20"/>
      <c r="S10" s="20"/>
      <c r="T10" s="20"/>
      <c r="U10" s="20"/>
    </row>
    <row r="11" spans="2:21" x14ac:dyDescent="0.2">
      <c r="B11" s="54" t="s">
        <v>46</v>
      </c>
      <c r="C11" s="105">
        <f>(-1*C9*(C10-(-2.155))*5.31)/100</f>
        <v>2.8488179592069948E-2</v>
      </c>
      <c r="D11" s="105">
        <f>(-1*D9*(D10-(-2.155))*5.31)/100</f>
        <v>3.5075881864587072E-2</v>
      </c>
      <c r="E11" s="105">
        <f>(-1*E9*(E10-(-2.155))*5.31)/100</f>
        <v>3.2792739404959546E-2</v>
      </c>
      <c r="F11" s="105">
        <f>(-1*F9*(F10-(-2.155))*5.31)/100</f>
        <v>4.6949779854110467E-2</v>
      </c>
      <c r="G11" s="113">
        <f>(-1*G9*(G10-(-3.19))*5.31)/100</f>
        <v>1.9240536053320816E-2</v>
      </c>
      <c r="H11" s="113">
        <f t="shared" ref="H11:I11" si="3">(-1*H9*(H10-(-3.19))*5.31)/100</f>
        <v>3.8717697657010261E-2</v>
      </c>
      <c r="I11" s="113">
        <f t="shared" si="3"/>
        <v>2.5191632482058305E-2</v>
      </c>
      <c r="J11" s="105">
        <f>(-1*J9*(J10-(-1.136))*5.31)/100</f>
        <v>1.9841646735641143E-2</v>
      </c>
      <c r="K11" s="105">
        <f>(-1*K9*(K10-(-1.136))*5.31)/100</f>
        <v>3.2632947295546562E-2</v>
      </c>
      <c r="L11" s="105">
        <f>(-1*L9*(L10-(-1.136))*5.31)/100</f>
        <v>5.9469597667024691E-2</v>
      </c>
      <c r="M11" s="105">
        <f>(-1*M9*(M10-(-1.136))*5.31)/100</f>
        <v>2.0554376028999805E-2</v>
      </c>
      <c r="N11" s="105">
        <f>(-1*N9*(N10-(-1.12))*5.31)/100</f>
        <v>3.39414138E-2</v>
      </c>
      <c r="O11" s="106">
        <f>(-1*O9*(O10-(-1.12))*5.31)/100</f>
        <v>1.8243917459999998E-2</v>
      </c>
    </row>
    <row r="12" spans="2:21" x14ac:dyDescent="0.2">
      <c r="B12" s="51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61"/>
    </row>
    <row r="13" spans="2:21" x14ac:dyDescent="0.2">
      <c r="B13" s="55" t="s">
        <v>43</v>
      </c>
      <c r="C13" s="64" t="s">
        <v>6</v>
      </c>
      <c r="D13" s="64" t="s">
        <v>7</v>
      </c>
      <c r="E13" s="64" t="s">
        <v>8</v>
      </c>
      <c r="F13" s="64" t="s">
        <v>9</v>
      </c>
      <c r="G13" s="64" t="s">
        <v>10</v>
      </c>
      <c r="H13" s="64" t="s">
        <v>11</v>
      </c>
      <c r="I13" s="64" t="s">
        <v>12</v>
      </c>
      <c r="J13" s="64" t="s">
        <v>13</v>
      </c>
      <c r="K13" s="64" t="s">
        <v>14</v>
      </c>
      <c r="L13" s="64" t="s">
        <v>15</v>
      </c>
      <c r="M13" s="64" t="s">
        <v>16</v>
      </c>
      <c r="N13" s="64" t="s">
        <v>21</v>
      </c>
      <c r="O13" s="98" t="s">
        <v>23</v>
      </c>
    </row>
    <row r="14" spans="2:21" x14ac:dyDescent="0.2">
      <c r="B14" s="6">
        <v>0</v>
      </c>
      <c r="C14">
        <v>99.12</v>
      </c>
      <c r="D14">
        <v>85.24</v>
      </c>
      <c r="E14">
        <v>74.31</v>
      </c>
      <c r="F14">
        <v>83.2</v>
      </c>
      <c r="G14">
        <v>81.94</v>
      </c>
      <c r="H14">
        <v>87.75</v>
      </c>
      <c r="I14">
        <v>90.1</v>
      </c>
      <c r="J14">
        <v>67.069999999999993</v>
      </c>
      <c r="K14">
        <v>67.239999999999995</v>
      </c>
      <c r="L14">
        <v>66.02</v>
      </c>
      <c r="M14">
        <v>67.239999999999995</v>
      </c>
      <c r="N14">
        <v>60.56</v>
      </c>
      <c r="O14">
        <v>60.72</v>
      </c>
    </row>
    <row r="15" spans="2:21" x14ac:dyDescent="0.2">
      <c r="B15" s="6">
        <v>3.3333333333333333E-2</v>
      </c>
      <c r="C15">
        <v>97.35</v>
      </c>
      <c r="D15">
        <v>84.56</v>
      </c>
      <c r="E15">
        <v>75.31</v>
      </c>
      <c r="F15">
        <v>82.69</v>
      </c>
      <c r="G15">
        <v>79.97</v>
      </c>
      <c r="H15">
        <v>86.75</v>
      </c>
      <c r="I15">
        <v>88.59</v>
      </c>
      <c r="J15">
        <v>66.02</v>
      </c>
      <c r="K15">
        <v>66.19</v>
      </c>
      <c r="L15">
        <v>60.98</v>
      </c>
      <c r="M15">
        <v>66.37</v>
      </c>
      <c r="N15">
        <v>60.24</v>
      </c>
      <c r="O15">
        <v>60.4</v>
      </c>
    </row>
    <row r="16" spans="2:21" x14ac:dyDescent="0.2">
      <c r="B16" s="6">
        <v>6.6666666666666666E-2</v>
      </c>
      <c r="C16">
        <v>95.25</v>
      </c>
      <c r="D16">
        <v>84.05</v>
      </c>
      <c r="E16">
        <v>75.31</v>
      </c>
      <c r="F16">
        <v>82.52</v>
      </c>
      <c r="G16">
        <v>79.150000000000006</v>
      </c>
      <c r="H16">
        <v>86.08</v>
      </c>
      <c r="I16">
        <v>87.42</v>
      </c>
      <c r="J16">
        <v>66.02</v>
      </c>
      <c r="K16">
        <v>66.540000000000006</v>
      </c>
      <c r="L16">
        <v>58.92</v>
      </c>
      <c r="M16">
        <v>65.67</v>
      </c>
      <c r="N16">
        <v>59.45</v>
      </c>
      <c r="O16">
        <v>58.19</v>
      </c>
    </row>
    <row r="17" spans="2:15" x14ac:dyDescent="0.2">
      <c r="B17" s="6">
        <v>0.1</v>
      </c>
      <c r="C17">
        <v>91.94</v>
      </c>
      <c r="D17">
        <v>83.37</v>
      </c>
      <c r="E17">
        <v>74.81</v>
      </c>
      <c r="F17">
        <v>82.01</v>
      </c>
      <c r="G17">
        <v>78.489999999999995</v>
      </c>
      <c r="H17">
        <v>85.75</v>
      </c>
      <c r="I17">
        <v>87.08</v>
      </c>
      <c r="J17">
        <v>66.02</v>
      </c>
      <c r="K17">
        <v>66.02</v>
      </c>
      <c r="L17">
        <v>57.03</v>
      </c>
      <c r="M17">
        <v>64.8</v>
      </c>
      <c r="N17">
        <v>58.34</v>
      </c>
      <c r="O17">
        <v>55.51</v>
      </c>
    </row>
    <row r="18" spans="2:15" x14ac:dyDescent="0.2">
      <c r="B18" s="6">
        <v>0.13333333333333333</v>
      </c>
      <c r="C18">
        <v>83.37</v>
      </c>
      <c r="D18">
        <v>82.52</v>
      </c>
      <c r="E18">
        <v>73.489999999999995</v>
      </c>
      <c r="F18">
        <v>81.849999999999994</v>
      </c>
      <c r="G18">
        <v>78</v>
      </c>
      <c r="H18">
        <v>85.42</v>
      </c>
      <c r="I18">
        <v>86.58</v>
      </c>
      <c r="J18">
        <v>62.19</v>
      </c>
      <c r="K18">
        <v>63.76</v>
      </c>
      <c r="L18">
        <v>56.01</v>
      </c>
      <c r="M18">
        <v>64.45</v>
      </c>
      <c r="N18">
        <v>56.92</v>
      </c>
      <c r="O18">
        <v>53.63</v>
      </c>
    </row>
    <row r="19" spans="2:15" x14ac:dyDescent="0.2">
      <c r="B19" s="6">
        <v>0.16666666666666666</v>
      </c>
      <c r="C19">
        <v>84.05</v>
      </c>
      <c r="D19">
        <v>80.66</v>
      </c>
      <c r="E19">
        <v>72.33</v>
      </c>
      <c r="F19">
        <v>81</v>
      </c>
      <c r="G19">
        <v>77.510000000000005</v>
      </c>
      <c r="H19">
        <v>85.08</v>
      </c>
      <c r="I19">
        <v>86.25</v>
      </c>
      <c r="J19">
        <v>63.41</v>
      </c>
      <c r="K19">
        <v>61.5</v>
      </c>
      <c r="L19">
        <v>54.98</v>
      </c>
      <c r="M19">
        <v>63.93</v>
      </c>
      <c r="N19">
        <v>55.51</v>
      </c>
      <c r="O19">
        <v>53.17</v>
      </c>
    </row>
    <row r="20" spans="2:15" x14ac:dyDescent="0.2">
      <c r="B20" s="6">
        <v>0.2</v>
      </c>
      <c r="C20">
        <v>82.01</v>
      </c>
      <c r="D20">
        <v>78.150000000000006</v>
      </c>
      <c r="E20">
        <v>70.680000000000007</v>
      </c>
      <c r="F20">
        <v>79.819999999999993</v>
      </c>
      <c r="G20">
        <v>77.19</v>
      </c>
      <c r="H20">
        <v>84.59</v>
      </c>
      <c r="I20">
        <v>85.42</v>
      </c>
      <c r="J20">
        <v>62.37</v>
      </c>
      <c r="K20">
        <v>60.12</v>
      </c>
      <c r="L20">
        <v>53.96</v>
      </c>
      <c r="M20">
        <v>63.23</v>
      </c>
      <c r="N20">
        <v>54.57</v>
      </c>
      <c r="O20">
        <v>53.32</v>
      </c>
    </row>
    <row r="21" spans="2:15" x14ac:dyDescent="0.2">
      <c r="B21" s="6">
        <v>0.23333333333333334</v>
      </c>
      <c r="C21">
        <v>81</v>
      </c>
      <c r="D21">
        <v>76.64</v>
      </c>
      <c r="E21">
        <v>69.209999999999994</v>
      </c>
      <c r="F21">
        <v>78.48</v>
      </c>
      <c r="G21">
        <v>76.540000000000006</v>
      </c>
      <c r="H21">
        <v>81.77</v>
      </c>
      <c r="I21">
        <v>85.08</v>
      </c>
      <c r="J21">
        <v>60.47</v>
      </c>
      <c r="K21">
        <v>57.89</v>
      </c>
      <c r="L21">
        <v>51.93</v>
      </c>
      <c r="M21">
        <v>62.54</v>
      </c>
      <c r="N21">
        <v>53.79</v>
      </c>
      <c r="O21">
        <v>53.17</v>
      </c>
    </row>
    <row r="22" spans="2:15" x14ac:dyDescent="0.2">
      <c r="B22" s="6">
        <v>0.26666666666666666</v>
      </c>
      <c r="C22">
        <v>79.989999999999995</v>
      </c>
      <c r="D22">
        <v>75.48</v>
      </c>
      <c r="E22">
        <v>67.900000000000006</v>
      </c>
      <c r="F22">
        <v>75.81</v>
      </c>
      <c r="G22">
        <v>75.72</v>
      </c>
      <c r="H22">
        <v>78.489999999999995</v>
      </c>
      <c r="I22">
        <v>84.42</v>
      </c>
      <c r="J22">
        <v>61.5</v>
      </c>
      <c r="K22">
        <v>56.35</v>
      </c>
      <c r="L22">
        <v>50.75</v>
      </c>
      <c r="M22">
        <v>62.19</v>
      </c>
      <c r="N22">
        <v>52.39</v>
      </c>
      <c r="O22">
        <v>52.54</v>
      </c>
    </row>
    <row r="23" spans="2:15" x14ac:dyDescent="0.2">
      <c r="B23" s="6">
        <v>0.3</v>
      </c>
      <c r="C23">
        <v>80.16</v>
      </c>
      <c r="D23">
        <v>75.81</v>
      </c>
      <c r="E23">
        <v>66.760000000000005</v>
      </c>
      <c r="F23">
        <v>75.48</v>
      </c>
      <c r="G23">
        <v>74.27</v>
      </c>
      <c r="H23">
        <v>108.39</v>
      </c>
      <c r="I23">
        <v>83.76</v>
      </c>
      <c r="J23">
        <v>59.43</v>
      </c>
      <c r="K23">
        <v>55.84</v>
      </c>
      <c r="L23">
        <v>49.07</v>
      </c>
      <c r="M23">
        <v>61.68</v>
      </c>
      <c r="N23">
        <v>51.77</v>
      </c>
      <c r="O23">
        <v>52.08</v>
      </c>
    </row>
    <row r="24" spans="2:15" x14ac:dyDescent="0.2">
      <c r="B24" s="6">
        <v>0.33333333333333331</v>
      </c>
      <c r="C24">
        <v>79.489999999999995</v>
      </c>
      <c r="D24">
        <v>74.48</v>
      </c>
      <c r="E24">
        <v>66.27</v>
      </c>
      <c r="F24">
        <v>68.56</v>
      </c>
      <c r="G24">
        <v>72.98</v>
      </c>
      <c r="H24">
        <v>111.58</v>
      </c>
      <c r="I24">
        <v>83.09</v>
      </c>
      <c r="J24">
        <v>59.78</v>
      </c>
      <c r="K24">
        <v>55.15</v>
      </c>
      <c r="L24">
        <v>46.89</v>
      </c>
      <c r="M24">
        <v>60.98</v>
      </c>
      <c r="N24">
        <v>51.45</v>
      </c>
      <c r="O24">
        <v>51.14</v>
      </c>
    </row>
    <row r="25" spans="2:15" x14ac:dyDescent="0.2">
      <c r="B25" s="6">
        <v>0.36666666666666664</v>
      </c>
      <c r="C25">
        <v>78.48</v>
      </c>
      <c r="D25">
        <v>73.650000000000006</v>
      </c>
      <c r="E25">
        <v>65.14</v>
      </c>
      <c r="F25">
        <v>64.010000000000005</v>
      </c>
      <c r="G25">
        <v>71.209999999999994</v>
      </c>
      <c r="H25">
        <v>107.5</v>
      </c>
      <c r="I25">
        <v>82.27</v>
      </c>
      <c r="J25">
        <v>58.57</v>
      </c>
      <c r="K25">
        <v>54.3</v>
      </c>
      <c r="L25">
        <v>45.06</v>
      </c>
      <c r="M25">
        <v>60.29</v>
      </c>
      <c r="N25">
        <v>47.75</v>
      </c>
      <c r="O25">
        <v>50.22</v>
      </c>
    </row>
    <row r="26" spans="2:15" x14ac:dyDescent="0.2">
      <c r="B26" s="6">
        <v>0.4</v>
      </c>
      <c r="C26">
        <v>79.489999999999995</v>
      </c>
      <c r="D26">
        <v>71.67</v>
      </c>
      <c r="E26">
        <v>64.33</v>
      </c>
      <c r="F26">
        <v>63.36</v>
      </c>
      <c r="G26">
        <v>70.41</v>
      </c>
      <c r="H26">
        <v>106.8</v>
      </c>
      <c r="I26">
        <v>80.62</v>
      </c>
      <c r="J26">
        <v>57.2</v>
      </c>
      <c r="K26">
        <v>54.3</v>
      </c>
      <c r="L26">
        <v>43.23</v>
      </c>
      <c r="M26">
        <v>59.95</v>
      </c>
      <c r="N26">
        <v>44.54</v>
      </c>
      <c r="O26">
        <v>48.83</v>
      </c>
    </row>
    <row r="27" spans="2:15" x14ac:dyDescent="0.2">
      <c r="B27" s="6">
        <v>0.43333333333333335</v>
      </c>
      <c r="C27">
        <v>78.150000000000006</v>
      </c>
      <c r="D27">
        <v>70.680000000000007</v>
      </c>
      <c r="E27">
        <v>63.52</v>
      </c>
      <c r="F27">
        <v>59.67</v>
      </c>
      <c r="G27">
        <v>74.430000000000007</v>
      </c>
      <c r="H27">
        <v>105.4</v>
      </c>
      <c r="I27">
        <v>78.489999999999995</v>
      </c>
      <c r="J27">
        <v>55.5</v>
      </c>
      <c r="K27">
        <v>52.44</v>
      </c>
      <c r="L27">
        <v>41.09</v>
      </c>
      <c r="M27">
        <v>59.09</v>
      </c>
      <c r="N27">
        <v>41.5</v>
      </c>
      <c r="O27">
        <v>47.75</v>
      </c>
    </row>
    <row r="28" spans="2:15" x14ac:dyDescent="0.2">
      <c r="B28" s="6">
        <v>0.46666666666666667</v>
      </c>
      <c r="C28">
        <v>76.14</v>
      </c>
      <c r="D28">
        <v>69.05</v>
      </c>
      <c r="E28">
        <v>62.24</v>
      </c>
      <c r="F28">
        <v>58.08</v>
      </c>
      <c r="G28">
        <v>70.25</v>
      </c>
      <c r="H28">
        <v>107.68</v>
      </c>
      <c r="I28">
        <v>76.540000000000006</v>
      </c>
      <c r="J28">
        <v>54.47</v>
      </c>
      <c r="K28">
        <v>51.93</v>
      </c>
      <c r="L28">
        <v>38.950000000000003</v>
      </c>
      <c r="M28">
        <v>58.75</v>
      </c>
      <c r="N28">
        <v>39.99</v>
      </c>
      <c r="O28">
        <v>46.98</v>
      </c>
    </row>
    <row r="29" spans="2:15" x14ac:dyDescent="0.2">
      <c r="B29" s="6">
        <v>0.5</v>
      </c>
      <c r="C29">
        <v>75.31</v>
      </c>
      <c r="D29">
        <v>67.25</v>
      </c>
      <c r="E29">
        <v>61.27</v>
      </c>
      <c r="F29">
        <v>57.6</v>
      </c>
      <c r="G29">
        <v>67.38</v>
      </c>
      <c r="H29">
        <v>101.91</v>
      </c>
      <c r="I29">
        <v>74.59</v>
      </c>
      <c r="J29">
        <v>56.35</v>
      </c>
      <c r="K29">
        <v>51.43</v>
      </c>
      <c r="L29">
        <v>37.15</v>
      </c>
      <c r="M29">
        <v>58.4</v>
      </c>
      <c r="N29">
        <v>39.090000000000003</v>
      </c>
      <c r="O29">
        <v>46.06</v>
      </c>
    </row>
    <row r="30" spans="2:15" x14ac:dyDescent="0.2">
      <c r="B30" s="6">
        <v>0.53333333333333333</v>
      </c>
      <c r="C30">
        <v>75.31</v>
      </c>
      <c r="D30">
        <v>65.3</v>
      </c>
      <c r="E30">
        <v>59.99</v>
      </c>
      <c r="F30">
        <v>56.18</v>
      </c>
      <c r="G30">
        <v>65.8</v>
      </c>
      <c r="H30">
        <v>97.76</v>
      </c>
      <c r="I30">
        <v>72.66</v>
      </c>
      <c r="J30">
        <v>54.64</v>
      </c>
      <c r="K30">
        <v>50.25</v>
      </c>
      <c r="L30">
        <v>35.36</v>
      </c>
      <c r="M30">
        <v>57.55</v>
      </c>
      <c r="N30">
        <v>38.49</v>
      </c>
      <c r="O30">
        <v>45.15</v>
      </c>
    </row>
    <row r="31" spans="2:15" x14ac:dyDescent="0.2">
      <c r="B31" s="6">
        <v>0.56666666666666665</v>
      </c>
      <c r="C31">
        <v>73.650000000000006</v>
      </c>
      <c r="D31">
        <v>64.010000000000005</v>
      </c>
      <c r="E31">
        <v>59.19</v>
      </c>
      <c r="F31">
        <v>54.75</v>
      </c>
      <c r="G31">
        <v>64.22</v>
      </c>
      <c r="H31">
        <v>100.35</v>
      </c>
      <c r="I31">
        <v>72.17</v>
      </c>
      <c r="J31">
        <v>55.15</v>
      </c>
      <c r="K31">
        <v>46.39</v>
      </c>
      <c r="L31">
        <v>33.74</v>
      </c>
      <c r="M31">
        <v>57.37</v>
      </c>
      <c r="N31">
        <v>38.340000000000003</v>
      </c>
      <c r="O31">
        <v>44.38</v>
      </c>
    </row>
    <row r="32" spans="2:15" x14ac:dyDescent="0.2">
      <c r="B32" s="6">
        <v>0.6</v>
      </c>
      <c r="C32">
        <v>72.83</v>
      </c>
      <c r="D32">
        <v>63.04</v>
      </c>
      <c r="E32">
        <v>58.24</v>
      </c>
      <c r="F32">
        <v>53.97</v>
      </c>
      <c r="G32">
        <v>62.49</v>
      </c>
      <c r="H32">
        <v>102.95</v>
      </c>
      <c r="I32">
        <v>70.41</v>
      </c>
      <c r="J32">
        <v>55.15</v>
      </c>
      <c r="K32">
        <v>43.4</v>
      </c>
      <c r="L32">
        <v>32.29</v>
      </c>
      <c r="M32">
        <v>56.18</v>
      </c>
      <c r="N32">
        <v>37.44</v>
      </c>
      <c r="O32">
        <v>43.93</v>
      </c>
    </row>
    <row r="33" spans="2:15" x14ac:dyDescent="0.2">
      <c r="B33" s="6">
        <v>0.6333333333333333</v>
      </c>
      <c r="C33">
        <v>71.180000000000007</v>
      </c>
      <c r="D33">
        <v>61.43</v>
      </c>
      <c r="E33">
        <v>57.28</v>
      </c>
      <c r="F33">
        <v>51.93</v>
      </c>
      <c r="G33">
        <v>62.18</v>
      </c>
      <c r="H33">
        <v>103.82</v>
      </c>
      <c r="I33">
        <v>67.38</v>
      </c>
      <c r="J33">
        <v>54.98</v>
      </c>
      <c r="K33">
        <v>41.58</v>
      </c>
      <c r="L33">
        <v>30.35</v>
      </c>
      <c r="M33">
        <v>54.98</v>
      </c>
      <c r="N33">
        <v>36.54</v>
      </c>
      <c r="O33">
        <v>43.47</v>
      </c>
    </row>
    <row r="34" spans="2:15" x14ac:dyDescent="0.2">
      <c r="B34" s="6">
        <v>0.66666666666666663</v>
      </c>
      <c r="C34">
        <v>71.34</v>
      </c>
      <c r="D34">
        <v>59.99</v>
      </c>
      <c r="E34">
        <v>56.33</v>
      </c>
      <c r="F34">
        <v>50.36</v>
      </c>
      <c r="G34">
        <v>62.02</v>
      </c>
      <c r="H34">
        <v>101.91</v>
      </c>
      <c r="I34">
        <v>63.44</v>
      </c>
      <c r="J34">
        <v>51.93</v>
      </c>
      <c r="K34">
        <v>41.58</v>
      </c>
      <c r="M34">
        <v>54.13</v>
      </c>
      <c r="N34">
        <v>35.049999999999997</v>
      </c>
      <c r="O34">
        <v>43.01</v>
      </c>
    </row>
    <row r="35" spans="2:15" x14ac:dyDescent="0.2">
      <c r="B35" s="6">
        <v>0.7</v>
      </c>
      <c r="C35">
        <v>69.540000000000006</v>
      </c>
      <c r="D35">
        <v>58.4</v>
      </c>
      <c r="E35">
        <v>55.54</v>
      </c>
      <c r="F35">
        <v>47.57</v>
      </c>
      <c r="G35">
        <v>61.56</v>
      </c>
      <c r="H35">
        <v>87.59</v>
      </c>
      <c r="I35">
        <v>60.15</v>
      </c>
      <c r="J35">
        <v>53.29</v>
      </c>
      <c r="K35">
        <v>41.75</v>
      </c>
      <c r="M35">
        <v>52.78</v>
      </c>
      <c r="N35">
        <v>33.130000000000003</v>
      </c>
      <c r="O35">
        <v>42.71</v>
      </c>
    </row>
    <row r="36" spans="2:15" x14ac:dyDescent="0.2">
      <c r="B36" s="6">
        <v>0.73333333333333328</v>
      </c>
      <c r="C36">
        <v>69.540000000000006</v>
      </c>
      <c r="D36">
        <v>58.24</v>
      </c>
      <c r="E36">
        <v>54.6</v>
      </c>
      <c r="F36">
        <v>48.81</v>
      </c>
      <c r="G36">
        <v>61.71</v>
      </c>
      <c r="H36">
        <v>86.75</v>
      </c>
      <c r="I36">
        <v>62.34</v>
      </c>
      <c r="J36">
        <v>55.33</v>
      </c>
      <c r="K36">
        <v>42.9</v>
      </c>
      <c r="M36">
        <v>51.59</v>
      </c>
      <c r="N36">
        <v>30.91</v>
      </c>
      <c r="O36">
        <v>42.41</v>
      </c>
    </row>
    <row r="37" spans="2:15" x14ac:dyDescent="0.2">
      <c r="B37" s="6">
        <v>0.76666666666666672</v>
      </c>
      <c r="C37">
        <v>67.25</v>
      </c>
      <c r="D37">
        <v>58.56</v>
      </c>
      <c r="E37">
        <v>53.49</v>
      </c>
      <c r="F37">
        <v>50.05</v>
      </c>
      <c r="G37">
        <v>61.09</v>
      </c>
      <c r="H37">
        <v>87.25</v>
      </c>
      <c r="I37">
        <v>63.75</v>
      </c>
      <c r="J37">
        <v>49.07</v>
      </c>
      <c r="K37">
        <v>42.57</v>
      </c>
      <c r="M37">
        <v>51.09</v>
      </c>
      <c r="N37">
        <v>29.89</v>
      </c>
      <c r="O37">
        <v>41.95</v>
      </c>
    </row>
    <row r="38" spans="2:15" x14ac:dyDescent="0.2">
      <c r="B38" s="6">
        <v>0.8</v>
      </c>
      <c r="C38">
        <v>66.760000000000005</v>
      </c>
      <c r="D38">
        <v>58.88</v>
      </c>
      <c r="E38">
        <v>52.71</v>
      </c>
      <c r="F38">
        <v>49.9</v>
      </c>
      <c r="G38">
        <v>59.06</v>
      </c>
      <c r="H38">
        <v>88.76</v>
      </c>
      <c r="I38">
        <v>64.540000000000006</v>
      </c>
      <c r="J38">
        <v>49.07</v>
      </c>
      <c r="K38">
        <v>40.1</v>
      </c>
      <c r="M38">
        <v>50.58</v>
      </c>
      <c r="N38">
        <v>28.71</v>
      </c>
      <c r="O38">
        <v>41.8</v>
      </c>
    </row>
    <row r="39" spans="2:15" x14ac:dyDescent="0.2">
      <c r="B39" s="6">
        <v>0.83333333333333337</v>
      </c>
      <c r="C39">
        <v>66.44</v>
      </c>
      <c r="D39">
        <v>59.35</v>
      </c>
      <c r="E39">
        <v>51.93</v>
      </c>
      <c r="F39">
        <v>47.57</v>
      </c>
      <c r="G39">
        <v>56.13</v>
      </c>
      <c r="H39">
        <v>87.75</v>
      </c>
      <c r="I39">
        <v>65.010000000000005</v>
      </c>
      <c r="J39">
        <v>49.07</v>
      </c>
      <c r="K39">
        <v>38.299999999999997</v>
      </c>
      <c r="M39">
        <v>49.74</v>
      </c>
      <c r="N39">
        <v>26.53</v>
      </c>
      <c r="O39">
        <v>41.35</v>
      </c>
    </row>
    <row r="40" spans="2:15" x14ac:dyDescent="0.2">
      <c r="B40" s="6">
        <v>0.8666666666666667</v>
      </c>
      <c r="C40">
        <v>65.790000000000006</v>
      </c>
      <c r="D40">
        <v>59.35</v>
      </c>
      <c r="E40">
        <v>50.68</v>
      </c>
      <c r="F40">
        <v>41.43</v>
      </c>
      <c r="G40">
        <v>53.52</v>
      </c>
      <c r="H40">
        <v>88.76</v>
      </c>
      <c r="I40">
        <v>65.010000000000005</v>
      </c>
      <c r="J40">
        <v>48.23</v>
      </c>
      <c r="K40">
        <v>38.46</v>
      </c>
      <c r="M40">
        <v>49.74</v>
      </c>
      <c r="N40">
        <v>23.92</v>
      </c>
      <c r="O40">
        <v>41.05</v>
      </c>
    </row>
    <row r="41" spans="2:15" x14ac:dyDescent="0.2">
      <c r="B41" s="6">
        <v>0.9</v>
      </c>
      <c r="C41">
        <v>65.95</v>
      </c>
      <c r="D41">
        <v>59.19</v>
      </c>
      <c r="E41">
        <v>50.05</v>
      </c>
      <c r="F41">
        <v>38.24</v>
      </c>
      <c r="G41">
        <v>50.62</v>
      </c>
      <c r="H41">
        <v>87.08</v>
      </c>
      <c r="I41">
        <v>64.849999999999994</v>
      </c>
      <c r="J41">
        <v>47.39</v>
      </c>
      <c r="K41">
        <v>39.28</v>
      </c>
      <c r="M41">
        <v>49.07</v>
      </c>
      <c r="N41">
        <v>22.19</v>
      </c>
      <c r="O41">
        <v>40.44</v>
      </c>
    </row>
    <row r="42" spans="2:15" x14ac:dyDescent="0.2">
      <c r="B42" s="6">
        <v>0.93333333333333335</v>
      </c>
      <c r="C42">
        <v>65.63</v>
      </c>
      <c r="D42">
        <v>58.72</v>
      </c>
      <c r="E42">
        <v>49.12</v>
      </c>
      <c r="F42">
        <v>38.54</v>
      </c>
      <c r="G42">
        <v>48.95</v>
      </c>
      <c r="H42">
        <v>80.62</v>
      </c>
      <c r="I42">
        <v>65.17</v>
      </c>
      <c r="J42">
        <v>47.56</v>
      </c>
      <c r="K42">
        <v>38.299999999999997</v>
      </c>
      <c r="M42">
        <v>48.73</v>
      </c>
      <c r="N42">
        <v>20.61</v>
      </c>
      <c r="O42">
        <v>39.840000000000003</v>
      </c>
    </row>
    <row r="43" spans="2:15" x14ac:dyDescent="0.2">
      <c r="B43" s="6">
        <v>0.96666666666666667</v>
      </c>
      <c r="C43">
        <v>63.36</v>
      </c>
      <c r="D43">
        <v>58.24</v>
      </c>
      <c r="E43">
        <v>48.03</v>
      </c>
      <c r="F43">
        <v>38.39</v>
      </c>
      <c r="G43">
        <v>47.3</v>
      </c>
      <c r="H43">
        <v>78.33</v>
      </c>
      <c r="I43">
        <v>64.540000000000006</v>
      </c>
      <c r="J43">
        <v>47.23</v>
      </c>
      <c r="K43">
        <v>36.659999999999997</v>
      </c>
      <c r="M43">
        <v>48.06</v>
      </c>
      <c r="N43">
        <v>19.329999999999998</v>
      </c>
      <c r="O43">
        <v>39.090000000000003</v>
      </c>
    </row>
    <row r="44" spans="2:15" x14ac:dyDescent="0.2">
      <c r="B44" s="6">
        <v>1</v>
      </c>
      <c r="C44">
        <v>63.52</v>
      </c>
      <c r="D44">
        <v>57.44</v>
      </c>
      <c r="E44">
        <v>47.1</v>
      </c>
      <c r="F44">
        <v>37.79</v>
      </c>
      <c r="G44">
        <v>46.09</v>
      </c>
      <c r="H44">
        <v>56.74</v>
      </c>
      <c r="I44">
        <v>63.75</v>
      </c>
      <c r="J44">
        <v>47.23</v>
      </c>
      <c r="K44">
        <v>35.200000000000003</v>
      </c>
      <c r="M44">
        <v>47.73</v>
      </c>
      <c r="N44">
        <v>18.329999999999998</v>
      </c>
      <c r="O44">
        <v>38.340000000000003</v>
      </c>
    </row>
    <row r="45" spans="2:15" x14ac:dyDescent="0.2">
      <c r="B45" s="6">
        <v>1.0333333333333334</v>
      </c>
      <c r="C45">
        <v>63.36</v>
      </c>
      <c r="D45">
        <v>56.81</v>
      </c>
      <c r="E45">
        <v>45.87</v>
      </c>
      <c r="F45">
        <v>37.479999999999997</v>
      </c>
      <c r="G45">
        <v>45.05</v>
      </c>
      <c r="H45">
        <v>54.59</v>
      </c>
      <c r="I45">
        <v>62.96</v>
      </c>
      <c r="J45">
        <v>48.9</v>
      </c>
      <c r="K45">
        <v>34.06</v>
      </c>
      <c r="M45">
        <v>47.23</v>
      </c>
      <c r="N45">
        <v>17.48</v>
      </c>
      <c r="O45">
        <v>37.74</v>
      </c>
    </row>
    <row r="46" spans="2:15" x14ac:dyDescent="0.2">
      <c r="B46" s="6">
        <v>1.0666666666666667</v>
      </c>
      <c r="C46">
        <v>61.91</v>
      </c>
      <c r="D46">
        <v>55.07</v>
      </c>
      <c r="E46">
        <v>44.79</v>
      </c>
      <c r="F46">
        <v>37.33</v>
      </c>
      <c r="G46">
        <v>43.7</v>
      </c>
      <c r="H46">
        <v>53.67</v>
      </c>
      <c r="I46">
        <v>61.87</v>
      </c>
      <c r="J46">
        <v>44.73</v>
      </c>
      <c r="K46">
        <v>33.25</v>
      </c>
      <c r="M46">
        <v>46.89</v>
      </c>
      <c r="N46">
        <v>17.05</v>
      </c>
      <c r="O46">
        <v>37.44</v>
      </c>
    </row>
    <row r="47" spans="2:15" x14ac:dyDescent="0.2">
      <c r="B47" s="6">
        <v>1.1000000000000001</v>
      </c>
      <c r="C47">
        <v>60.47</v>
      </c>
      <c r="D47">
        <v>52.08</v>
      </c>
      <c r="E47">
        <v>43.72</v>
      </c>
      <c r="F47">
        <v>36.58</v>
      </c>
      <c r="G47">
        <v>42.51</v>
      </c>
      <c r="H47">
        <v>53.36</v>
      </c>
      <c r="I47">
        <v>60.46</v>
      </c>
      <c r="J47">
        <v>45.56</v>
      </c>
      <c r="K47">
        <v>32.450000000000003</v>
      </c>
      <c r="M47">
        <v>46.39</v>
      </c>
      <c r="N47">
        <v>16.489999999999998</v>
      </c>
      <c r="O47">
        <v>36.99</v>
      </c>
    </row>
    <row r="48" spans="2:15" x14ac:dyDescent="0.2">
      <c r="B48" s="6">
        <v>1.1333333333333333</v>
      </c>
      <c r="C48">
        <v>59.03</v>
      </c>
      <c r="D48">
        <v>50.68</v>
      </c>
      <c r="E48">
        <v>42.65</v>
      </c>
      <c r="F48">
        <v>34.03</v>
      </c>
      <c r="G48">
        <v>41.77</v>
      </c>
      <c r="H48">
        <v>53.06</v>
      </c>
      <c r="I48">
        <v>59.06</v>
      </c>
      <c r="J48">
        <v>45.56</v>
      </c>
      <c r="K48">
        <v>31.8</v>
      </c>
      <c r="M48">
        <v>45.73</v>
      </c>
      <c r="N48">
        <v>15.5</v>
      </c>
      <c r="O48">
        <v>36.54</v>
      </c>
    </row>
    <row r="49" spans="2:15" x14ac:dyDescent="0.2">
      <c r="B49" s="6">
        <v>1.1666666666666667</v>
      </c>
      <c r="C49">
        <v>59.83</v>
      </c>
      <c r="D49">
        <v>49.59</v>
      </c>
      <c r="E49">
        <v>41.58</v>
      </c>
      <c r="F49">
        <v>30.76</v>
      </c>
      <c r="G49">
        <v>40.880000000000003</v>
      </c>
      <c r="H49">
        <v>53.06</v>
      </c>
      <c r="I49">
        <v>57.21</v>
      </c>
      <c r="J49">
        <v>43.73</v>
      </c>
      <c r="K49">
        <v>31.64</v>
      </c>
      <c r="M49">
        <v>43.9</v>
      </c>
      <c r="N49">
        <v>14.93</v>
      </c>
      <c r="O49">
        <v>35.950000000000003</v>
      </c>
    </row>
    <row r="50" spans="2:15" x14ac:dyDescent="0.2">
      <c r="B50" s="6">
        <v>1.2</v>
      </c>
      <c r="C50">
        <v>59.19</v>
      </c>
      <c r="D50">
        <v>48.19</v>
      </c>
      <c r="E50">
        <v>40.51</v>
      </c>
      <c r="F50">
        <v>26.63</v>
      </c>
      <c r="G50">
        <v>39.99</v>
      </c>
      <c r="H50">
        <v>51.84</v>
      </c>
      <c r="I50">
        <v>55.2</v>
      </c>
      <c r="J50">
        <v>44.73</v>
      </c>
      <c r="K50">
        <v>31</v>
      </c>
      <c r="M50">
        <v>42.74</v>
      </c>
      <c r="N50">
        <v>14.65</v>
      </c>
      <c r="O50">
        <v>35.5</v>
      </c>
    </row>
    <row r="51" spans="2:15" x14ac:dyDescent="0.2">
      <c r="B51" s="6">
        <v>1.2333333333333334</v>
      </c>
      <c r="C51">
        <v>57.76</v>
      </c>
      <c r="D51">
        <v>46.33</v>
      </c>
      <c r="E51">
        <v>39.15</v>
      </c>
      <c r="F51">
        <v>25.46</v>
      </c>
      <c r="G51">
        <v>39.11</v>
      </c>
      <c r="H51">
        <v>48.2</v>
      </c>
      <c r="I51">
        <v>52.75</v>
      </c>
      <c r="J51">
        <v>42.41</v>
      </c>
      <c r="K51">
        <v>30.35</v>
      </c>
      <c r="M51">
        <v>41.91</v>
      </c>
      <c r="N51">
        <v>14.23</v>
      </c>
      <c r="O51">
        <v>35.35</v>
      </c>
    </row>
    <row r="52" spans="2:15" x14ac:dyDescent="0.2">
      <c r="B52" s="6">
        <v>1.2666666666666666</v>
      </c>
      <c r="C52">
        <v>57.13</v>
      </c>
      <c r="D52">
        <v>44.48</v>
      </c>
      <c r="E52">
        <v>37.94</v>
      </c>
      <c r="F52">
        <v>24.29</v>
      </c>
      <c r="G52">
        <v>38.369999999999997</v>
      </c>
      <c r="H52">
        <v>41.62</v>
      </c>
      <c r="I52">
        <v>50.92</v>
      </c>
      <c r="J52">
        <v>41.25</v>
      </c>
      <c r="M52">
        <v>40.590000000000003</v>
      </c>
      <c r="N52">
        <v>13.81</v>
      </c>
      <c r="O52">
        <v>34.46</v>
      </c>
    </row>
    <row r="53" spans="2:15" x14ac:dyDescent="0.2">
      <c r="B53" s="6">
        <v>1.3</v>
      </c>
      <c r="C53">
        <v>56.65</v>
      </c>
      <c r="D53">
        <v>42.8</v>
      </c>
      <c r="E53">
        <v>36.58</v>
      </c>
      <c r="F53">
        <v>24.43</v>
      </c>
      <c r="G53">
        <v>38.82</v>
      </c>
      <c r="H53">
        <v>40.880000000000003</v>
      </c>
      <c r="I53">
        <v>48.95</v>
      </c>
      <c r="J53">
        <v>40.76</v>
      </c>
      <c r="M53">
        <v>39.770000000000003</v>
      </c>
      <c r="N53">
        <v>13.38</v>
      </c>
      <c r="O53">
        <v>33.42</v>
      </c>
    </row>
    <row r="54" spans="2:15" x14ac:dyDescent="0.2">
      <c r="B54" s="6">
        <v>1.3333333333333333</v>
      </c>
      <c r="C54">
        <v>56.65</v>
      </c>
      <c r="D54">
        <v>41.43</v>
      </c>
      <c r="E54">
        <v>35.380000000000003</v>
      </c>
      <c r="F54">
        <v>23.56</v>
      </c>
      <c r="G54">
        <v>39.4</v>
      </c>
      <c r="H54">
        <v>42.51</v>
      </c>
      <c r="I54">
        <v>47.3</v>
      </c>
      <c r="J54">
        <v>41.42</v>
      </c>
      <c r="M54">
        <v>38.299999999999997</v>
      </c>
      <c r="N54">
        <v>13.24</v>
      </c>
      <c r="O54">
        <v>33.130000000000003</v>
      </c>
    </row>
    <row r="55" spans="2:15" x14ac:dyDescent="0.2">
      <c r="B55" s="6">
        <v>1.3666666666666667</v>
      </c>
      <c r="C55">
        <v>55.39</v>
      </c>
      <c r="D55">
        <v>41.88</v>
      </c>
      <c r="E55">
        <v>34.33</v>
      </c>
      <c r="F55">
        <v>22.54</v>
      </c>
      <c r="G55">
        <v>39.99</v>
      </c>
      <c r="H55">
        <v>43.7</v>
      </c>
      <c r="I55">
        <v>46.24</v>
      </c>
      <c r="J55">
        <v>39.94</v>
      </c>
      <c r="M55">
        <v>36.99</v>
      </c>
      <c r="N55">
        <v>12.82</v>
      </c>
      <c r="O55">
        <v>32.68</v>
      </c>
    </row>
    <row r="56" spans="2:15" x14ac:dyDescent="0.2">
      <c r="B56" s="6">
        <v>1.4</v>
      </c>
      <c r="C56">
        <v>53.49</v>
      </c>
      <c r="D56">
        <v>42.65</v>
      </c>
      <c r="E56">
        <v>33.43</v>
      </c>
      <c r="F56">
        <v>21.38</v>
      </c>
      <c r="G56">
        <v>40.880000000000003</v>
      </c>
      <c r="H56">
        <v>43.4</v>
      </c>
      <c r="I56">
        <v>45.79</v>
      </c>
      <c r="J56">
        <v>40.76</v>
      </c>
      <c r="M56">
        <v>36.01</v>
      </c>
      <c r="N56">
        <v>12.54</v>
      </c>
      <c r="O56">
        <v>31.94</v>
      </c>
    </row>
    <row r="57" spans="2:15" x14ac:dyDescent="0.2">
      <c r="B57" s="6">
        <v>1.4333333333333333</v>
      </c>
      <c r="C57">
        <v>52.08</v>
      </c>
      <c r="D57">
        <v>42.95</v>
      </c>
      <c r="E57">
        <v>32.39</v>
      </c>
      <c r="F57">
        <v>19.649999999999999</v>
      </c>
      <c r="G57">
        <v>41.77</v>
      </c>
      <c r="H57">
        <v>42.81</v>
      </c>
      <c r="I57">
        <v>44.9</v>
      </c>
      <c r="J57">
        <v>39.94</v>
      </c>
      <c r="M57">
        <v>35.200000000000003</v>
      </c>
      <c r="N57">
        <v>11.98</v>
      </c>
      <c r="O57">
        <v>31.36</v>
      </c>
    </row>
    <row r="58" spans="2:15" x14ac:dyDescent="0.2">
      <c r="B58" s="6">
        <v>1.4666666666666666</v>
      </c>
      <c r="C58">
        <v>52.24</v>
      </c>
      <c r="D58">
        <v>42.34</v>
      </c>
      <c r="E58">
        <v>31.2</v>
      </c>
      <c r="F58">
        <v>18.22</v>
      </c>
      <c r="G58">
        <v>42.51</v>
      </c>
      <c r="H58">
        <v>40.880000000000003</v>
      </c>
      <c r="I58">
        <v>44.9</v>
      </c>
      <c r="J58">
        <v>38.130000000000003</v>
      </c>
      <c r="M58">
        <v>34.39</v>
      </c>
      <c r="N58">
        <v>11.14</v>
      </c>
      <c r="O58">
        <v>30.77</v>
      </c>
    </row>
    <row r="59" spans="2:15" x14ac:dyDescent="0.2">
      <c r="B59" s="6">
        <v>1.5</v>
      </c>
      <c r="C59">
        <v>51.3</v>
      </c>
      <c r="D59">
        <v>40.06</v>
      </c>
      <c r="E59">
        <v>30.16</v>
      </c>
      <c r="F59">
        <v>17.07</v>
      </c>
      <c r="G59">
        <v>42.81</v>
      </c>
      <c r="H59">
        <v>39.26</v>
      </c>
      <c r="I59">
        <v>44.6</v>
      </c>
      <c r="J59">
        <v>37.32</v>
      </c>
      <c r="M59">
        <v>34.06</v>
      </c>
      <c r="N59">
        <v>10.45</v>
      </c>
      <c r="O59">
        <v>30.62</v>
      </c>
    </row>
    <row r="60" spans="2:15" x14ac:dyDescent="0.2">
      <c r="B60" s="6">
        <v>1.5333333333333334</v>
      </c>
      <c r="C60">
        <v>49.27</v>
      </c>
      <c r="D60">
        <v>37.18</v>
      </c>
      <c r="E60">
        <v>29.42</v>
      </c>
      <c r="F60">
        <v>15.5</v>
      </c>
      <c r="G60">
        <v>42.36</v>
      </c>
      <c r="H60">
        <v>37.64</v>
      </c>
      <c r="I60">
        <v>43.7</v>
      </c>
      <c r="J60">
        <v>36.340000000000003</v>
      </c>
      <c r="M60">
        <v>33.42</v>
      </c>
      <c r="N60">
        <v>9.4700000000000006</v>
      </c>
      <c r="O60">
        <v>30.47</v>
      </c>
    </row>
    <row r="61" spans="2:15" x14ac:dyDescent="0.2">
      <c r="B61" s="6">
        <v>1.5666666666666667</v>
      </c>
      <c r="C61">
        <v>49.27</v>
      </c>
      <c r="D61">
        <v>34.33</v>
      </c>
      <c r="E61">
        <v>28.69</v>
      </c>
      <c r="F61">
        <v>14.36</v>
      </c>
      <c r="G61">
        <v>41.32</v>
      </c>
      <c r="H61">
        <v>36.47</v>
      </c>
      <c r="I61">
        <v>42.36</v>
      </c>
      <c r="J61">
        <v>35.520000000000003</v>
      </c>
      <c r="M61">
        <v>32.93</v>
      </c>
      <c r="N61">
        <v>8.64</v>
      </c>
      <c r="O61">
        <v>30.18</v>
      </c>
    </row>
    <row r="62" spans="2:15" x14ac:dyDescent="0.2">
      <c r="B62" s="6">
        <v>1.6</v>
      </c>
      <c r="C62">
        <v>48.81</v>
      </c>
      <c r="D62">
        <v>31.5</v>
      </c>
      <c r="E62">
        <v>27.8</v>
      </c>
      <c r="F62">
        <v>13.65</v>
      </c>
      <c r="G62">
        <v>39.700000000000003</v>
      </c>
      <c r="H62">
        <v>34.86</v>
      </c>
      <c r="I62">
        <v>41.62</v>
      </c>
      <c r="J62">
        <v>34.229999999999997</v>
      </c>
      <c r="M62">
        <v>32.450000000000003</v>
      </c>
      <c r="N62">
        <v>7.53</v>
      </c>
      <c r="O62">
        <v>29.59</v>
      </c>
    </row>
    <row r="63" spans="2:15" x14ac:dyDescent="0.2">
      <c r="B63" s="6">
        <v>1.6333333333333333</v>
      </c>
      <c r="C63">
        <v>47.57</v>
      </c>
      <c r="D63">
        <v>29.42</v>
      </c>
      <c r="E63">
        <v>26.77</v>
      </c>
      <c r="F63">
        <v>12.52</v>
      </c>
      <c r="G63">
        <v>37.79</v>
      </c>
      <c r="H63">
        <v>33.119999999999997</v>
      </c>
      <c r="I63">
        <v>41.62</v>
      </c>
      <c r="J63">
        <v>34.869999999999997</v>
      </c>
      <c r="M63">
        <v>31.64</v>
      </c>
      <c r="N63">
        <v>6.29</v>
      </c>
      <c r="O63">
        <v>28.71</v>
      </c>
    </row>
    <row r="64" spans="2:15" x14ac:dyDescent="0.2">
      <c r="B64" s="6">
        <v>1.6666666666666667</v>
      </c>
      <c r="C64">
        <v>45.41</v>
      </c>
      <c r="D64">
        <v>27.8</v>
      </c>
      <c r="E64">
        <v>25.75</v>
      </c>
      <c r="F64">
        <v>11.67</v>
      </c>
      <c r="G64">
        <v>35.590000000000003</v>
      </c>
      <c r="H64">
        <v>31.39</v>
      </c>
      <c r="I64">
        <v>41.03</v>
      </c>
      <c r="J64">
        <v>34.869999999999997</v>
      </c>
      <c r="M64">
        <v>30.68</v>
      </c>
      <c r="N64">
        <v>5.19</v>
      </c>
      <c r="O64">
        <v>27.69</v>
      </c>
    </row>
    <row r="65" spans="2:15" x14ac:dyDescent="0.2">
      <c r="B65" s="6">
        <v>1.7</v>
      </c>
      <c r="C65">
        <v>45.25</v>
      </c>
      <c r="D65">
        <v>26.48</v>
      </c>
      <c r="E65">
        <v>24.87</v>
      </c>
      <c r="F65">
        <v>10.97</v>
      </c>
      <c r="G65">
        <v>33.270000000000003</v>
      </c>
      <c r="H65">
        <v>29.66</v>
      </c>
      <c r="I65">
        <v>40.58</v>
      </c>
      <c r="J65">
        <v>30.84</v>
      </c>
      <c r="M65">
        <v>30.51</v>
      </c>
      <c r="N65">
        <v>4.2300000000000004</v>
      </c>
      <c r="O65">
        <v>27.26</v>
      </c>
    </row>
    <row r="66" spans="2:15" x14ac:dyDescent="0.2">
      <c r="B66" s="6">
        <v>1.7333333333333334</v>
      </c>
      <c r="C66">
        <v>42.95</v>
      </c>
      <c r="D66">
        <v>25.16</v>
      </c>
      <c r="E66">
        <v>23.85</v>
      </c>
      <c r="F66">
        <v>10.119999999999999</v>
      </c>
      <c r="G66">
        <v>31.53</v>
      </c>
      <c r="H66">
        <v>28.08</v>
      </c>
      <c r="I66">
        <v>39.99</v>
      </c>
      <c r="N66">
        <v>3.27</v>
      </c>
      <c r="O66">
        <v>26.67</v>
      </c>
    </row>
    <row r="67" spans="2:15" x14ac:dyDescent="0.2">
      <c r="B67" s="6">
        <v>1.7666666666666666</v>
      </c>
      <c r="C67">
        <v>42.49</v>
      </c>
      <c r="D67">
        <v>23.71</v>
      </c>
      <c r="E67">
        <v>22.98</v>
      </c>
      <c r="F67">
        <v>9.2799999999999994</v>
      </c>
      <c r="G67">
        <v>29.95</v>
      </c>
      <c r="H67">
        <v>26.8</v>
      </c>
      <c r="I67">
        <v>39.26</v>
      </c>
      <c r="N67">
        <v>2.31</v>
      </c>
      <c r="O67">
        <v>25.8</v>
      </c>
    </row>
    <row r="68" spans="2:15" x14ac:dyDescent="0.2">
      <c r="B68" s="6">
        <v>1.8</v>
      </c>
      <c r="C68">
        <v>42.19</v>
      </c>
      <c r="D68">
        <v>22.69</v>
      </c>
      <c r="E68">
        <v>21.67</v>
      </c>
      <c r="F68">
        <v>8.7200000000000006</v>
      </c>
      <c r="G68">
        <v>28.8</v>
      </c>
      <c r="H68">
        <v>26.09</v>
      </c>
      <c r="I68">
        <v>38.520000000000003</v>
      </c>
      <c r="N68">
        <v>1.63</v>
      </c>
      <c r="O68">
        <v>25.08</v>
      </c>
    </row>
    <row r="69" spans="2:15" x14ac:dyDescent="0.2">
      <c r="B69" s="6">
        <v>1.8333333333333333</v>
      </c>
      <c r="C69">
        <v>40.06</v>
      </c>
      <c r="D69">
        <v>21.38</v>
      </c>
      <c r="E69">
        <v>20.66</v>
      </c>
      <c r="F69">
        <v>8.3000000000000007</v>
      </c>
      <c r="G69">
        <v>27.66</v>
      </c>
      <c r="H69">
        <v>25.24</v>
      </c>
      <c r="I69">
        <v>38.229999999999997</v>
      </c>
      <c r="N69">
        <v>0.95</v>
      </c>
      <c r="O69">
        <v>24.35</v>
      </c>
    </row>
    <row r="70" spans="2:15" x14ac:dyDescent="0.2">
      <c r="B70" s="6">
        <v>1.8666666666666667</v>
      </c>
      <c r="C70">
        <v>40.21</v>
      </c>
      <c r="D70">
        <v>20.52</v>
      </c>
      <c r="E70">
        <v>19.510000000000002</v>
      </c>
      <c r="F70">
        <v>8.3000000000000007</v>
      </c>
      <c r="G70">
        <v>26.94</v>
      </c>
      <c r="H70">
        <v>24.38</v>
      </c>
      <c r="I70">
        <v>37.93</v>
      </c>
      <c r="N70">
        <v>0</v>
      </c>
      <c r="O70">
        <v>23.2</v>
      </c>
    </row>
    <row r="71" spans="2:15" x14ac:dyDescent="0.2">
      <c r="B71" s="6">
        <v>1.9</v>
      </c>
      <c r="C71">
        <v>38.090000000000003</v>
      </c>
      <c r="D71">
        <v>19.8</v>
      </c>
      <c r="E71">
        <v>17.93</v>
      </c>
      <c r="F71">
        <v>8.7200000000000006</v>
      </c>
      <c r="G71">
        <v>26.09</v>
      </c>
      <c r="H71">
        <v>23.82</v>
      </c>
      <c r="I71">
        <v>37.93</v>
      </c>
      <c r="O71">
        <v>22.62</v>
      </c>
    </row>
    <row r="72" spans="2:15" x14ac:dyDescent="0.2">
      <c r="B72" s="6">
        <v>1.9333333333333333</v>
      </c>
      <c r="C72">
        <v>37.630000000000003</v>
      </c>
      <c r="D72">
        <v>19.22</v>
      </c>
      <c r="E72">
        <v>16.64</v>
      </c>
      <c r="F72">
        <v>8.7200000000000006</v>
      </c>
      <c r="G72">
        <v>25.38</v>
      </c>
      <c r="H72">
        <v>23.25</v>
      </c>
      <c r="I72">
        <v>37.64</v>
      </c>
      <c r="O72">
        <v>22.19</v>
      </c>
    </row>
    <row r="73" spans="2:15" x14ac:dyDescent="0.2">
      <c r="B73" s="6">
        <v>1.9666666666666666</v>
      </c>
      <c r="C73">
        <v>38.090000000000003</v>
      </c>
      <c r="D73">
        <v>18.649999999999999</v>
      </c>
      <c r="E73">
        <v>15.21</v>
      </c>
      <c r="F73">
        <v>7.74</v>
      </c>
      <c r="G73">
        <v>24.67</v>
      </c>
      <c r="H73">
        <v>22.83</v>
      </c>
      <c r="I73">
        <v>37.49</v>
      </c>
      <c r="O73">
        <v>21.47</v>
      </c>
    </row>
    <row r="74" spans="2:15" x14ac:dyDescent="0.2">
      <c r="B74" s="6">
        <v>2</v>
      </c>
      <c r="C74">
        <v>36.28</v>
      </c>
      <c r="D74">
        <v>17.79</v>
      </c>
      <c r="E74">
        <v>14.08</v>
      </c>
      <c r="F74">
        <v>6.9</v>
      </c>
      <c r="G74">
        <v>23.54</v>
      </c>
      <c r="H74">
        <v>22.55</v>
      </c>
      <c r="I74">
        <v>36.909999999999997</v>
      </c>
      <c r="O74">
        <v>20.76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A255"/>
  <sheetViews>
    <sheetView zoomScale="125" zoomScaleNormal="125" zoomScalePageLayoutView="125" workbookViewId="0">
      <selection activeCell="F4" sqref="F4"/>
    </sheetView>
  </sheetViews>
  <sheetFormatPr baseColWidth="10" defaultRowHeight="16" x14ac:dyDescent="0.2"/>
  <cols>
    <col min="2" max="21" width="10.83203125" style="31"/>
    <col min="24" max="28" width="10.83203125" style="14"/>
  </cols>
  <sheetData>
    <row r="1" spans="2:79" x14ac:dyDescent="0.2">
      <c r="C1" s="47"/>
      <c r="J1" s="47"/>
      <c r="O1" s="47"/>
      <c r="U1" s="47"/>
      <c r="Z1" s="19"/>
      <c r="AF1" s="4"/>
    </row>
    <row r="2" spans="2:79" x14ac:dyDescent="0.2">
      <c r="BB2" s="2"/>
    </row>
    <row r="3" spans="2:79" x14ac:dyDescent="0.2">
      <c r="C3" s="34"/>
      <c r="D3" s="5"/>
      <c r="F3" s="125" t="s">
        <v>76</v>
      </c>
      <c r="G3" s="109">
        <v>0.41799999999999998</v>
      </c>
      <c r="H3" s="109">
        <v>0.217</v>
      </c>
      <c r="I3" s="109">
        <v>0.41899999999999998</v>
      </c>
      <c r="J3" s="109">
        <v>0.28999999999999998</v>
      </c>
      <c r="K3" s="109">
        <v>0.46700000000000003</v>
      </c>
      <c r="L3" s="109">
        <v>0.59799999999999998</v>
      </c>
      <c r="M3" s="109">
        <v>0.17599999999999999</v>
      </c>
      <c r="N3" s="109">
        <v>0.93300000000000005</v>
      </c>
      <c r="O3" s="109">
        <v>0.66</v>
      </c>
      <c r="P3" s="109">
        <v>0.31</v>
      </c>
      <c r="Q3" s="109">
        <v>0.47899999999999998</v>
      </c>
      <c r="R3" s="109">
        <v>0.65400000000000003</v>
      </c>
      <c r="S3" s="109">
        <v>0.57399999999999995</v>
      </c>
      <c r="T3" s="109">
        <v>0.63100000000000001</v>
      </c>
      <c r="U3" s="110">
        <v>0.47399999999999998</v>
      </c>
    </row>
    <row r="4" spans="2:79" x14ac:dyDescent="0.2">
      <c r="C4" s="34"/>
      <c r="D4" s="5"/>
      <c r="F4" s="51" t="s">
        <v>39</v>
      </c>
      <c r="G4" s="34">
        <v>6.2E-2</v>
      </c>
      <c r="H4" s="34">
        <v>3.7999999999999999E-2</v>
      </c>
      <c r="I4" s="34">
        <v>6.2E-2</v>
      </c>
      <c r="J4" s="34">
        <v>4.2000000000000003E-2</v>
      </c>
      <c r="K4" s="34">
        <v>6.9000000000000006E-2</v>
      </c>
      <c r="L4" s="34">
        <v>9.8000000000000004E-2</v>
      </c>
      <c r="M4" s="34">
        <v>3.2000000000000001E-2</v>
      </c>
      <c r="N4" s="34">
        <v>0.111</v>
      </c>
      <c r="O4" s="34">
        <v>6.3E-2</v>
      </c>
      <c r="P4" s="34">
        <v>4.7E-2</v>
      </c>
      <c r="Q4" s="34">
        <v>8.4000000000000005E-2</v>
      </c>
      <c r="R4" s="34">
        <v>0.14899999999999999</v>
      </c>
      <c r="S4" s="34">
        <v>0.13500000000000001</v>
      </c>
      <c r="T4" s="34">
        <v>0.157</v>
      </c>
      <c r="U4" s="97">
        <v>0.114</v>
      </c>
      <c r="BC4" s="4"/>
      <c r="BD4" s="4"/>
      <c r="BE4" s="4"/>
      <c r="BF4" s="4"/>
    </row>
    <row r="5" spans="2:79" x14ac:dyDescent="0.2">
      <c r="C5" s="34"/>
      <c r="D5" s="5"/>
      <c r="F5" s="54" t="s">
        <v>44</v>
      </c>
      <c r="G5" s="34">
        <v>2.2416267942583733E-2</v>
      </c>
      <c r="H5" s="34">
        <v>2.0023041474654377E-2</v>
      </c>
      <c r="I5" s="34">
        <v>2.2422434367541766E-2</v>
      </c>
      <c r="J5" s="34">
        <v>2.1275862068965517E-2</v>
      </c>
      <c r="K5" s="34">
        <v>2.2687366167023555E-2</v>
      </c>
      <c r="L5" s="34">
        <v>2.3193979933110367E-2</v>
      </c>
      <c r="M5" s="34">
        <v>1.8863636363636364E-2</v>
      </c>
      <c r="N5" s="34">
        <v>2.3842443729903535E-2</v>
      </c>
      <c r="O5" s="34">
        <v>2.3363636363636364E-2</v>
      </c>
      <c r="P5" s="34">
        <v>2.1516129032258063E-2</v>
      </c>
      <c r="Q5" s="34">
        <v>2.2745302713987475E-2</v>
      </c>
      <c r="R5" s="34">
        <v>2.3348623853211008E-2</v>
      </c>
      <c r="S5" s="34">
        <v>2.3118466898954703E-2</v>
      </c>
      <c r="T5" s="34">
        <v>2.3288431061806655E-2</v>
      </c>
      <c r="U5" s="97">
        <v>2.272151898734177E-2</v>
      </c>
    </row>
    <row r="6" spans="2:79" x14ac:dyDescent="0.2">
      <c r="C6" s="34"/>
      <c r="D6" s="5"/>
      <c r="F6" s="54" t="s">
        <v>42</v>
      </c>
      <c r="G6" s="34">
        <f>SLOPE(G40:G130,$C40:$C130)</f>
        <v>-12.453344239094029</v>
      </c>
      <c r="H6" s="34">
        <f t="shared" ref="H6" si="0">SLOPE(H40:H100,$C40:$C100)</f>
        <v>-24.77256923813713</v>
      </c>
      <c r="I6" s="34">
        <f>SLOPE(I40:I130,$C40:$C130)</f>
        <v>-14.906426975642892</v>
      </c>
      <c r="J6" s="34">
        <f>SLOPE(J70:J130,$C70:$C130)</f>
        <v>-10.878058934467047</v>
      </c>
      <c r="K6" s="34">
        <f>SLOPE(K40:K100,$C40:$C100)</f>
        <v>-17.776185871824499</v>
      </c>
      <c r="L6" s="34">
        <f>SLOPE(L40:L130,$C40:$C130)</f>
        <v>-15.667322787667167</v>
      </c>
      <c r="M6" s="34">
        <f>SLOPE(M40:M100,$C40:$C100)</f>
        <v>-15.831634476541465</v>
      </c>
      <c r="N6" s="34">
        <f>SLOPE(N70:N130,$C70:$C130)</f>
        <v>-16.918389532847044</v>
      </c>
      <c r="O6" s="34">
        <f>SLOPE(O40:O160,$C40:$C160)</f>
        <v>-9.6673315302912144</v>
      </c>
      <c r="P6" s="34">
        <f>SLOPE(P40:P160,$C40:$C160)</f>
        <v>-7.2894457193396995</v>
      </c>
      <c r="Q6" s="34">
        <f>SLOPE(Q40:Q100,B40:B100)</f>
        <v>-20.39578202324299</v>
      </c>
      <c r="R6" s="34">
        <v>-24.56</v>
      </c>
      <c r="S6" s="34">
        <f>SLOPE(S10:S26,C10:C26)</f>
        <v>-92.896323529411902</v>
      </c>
      <c r="T6" s="34">
        <v>-23.077807870935022</v>
      </c>
      <c r="U6" s="97">
        <f>SLOPE(U10:U105,$E10:$E105)</f>
        <v>-10.367004882276566</v>
      </c>
    </row>
    <row r="7" spans="2:79" x14ac:dyDescent="0.2">
      <c r="C7" s="34"/>
      <c r="D7" s="34"/>
      <c r="F7" s="54" t="s">
        <v>46</v>
      </c>
      <c r="G7" s="34">
        <f>(-1*G5*(G6-(-1.1538))*5.31)/100</f>
        <v>1.34498907596376E-2</v>
      </c>
      <c r="H7" s="34">
        <f>(-1*H5*(H6-(-1.1538))*5.31)/100</f>
        <v>2.5112030549485617E-2</v>
      </c>
      <c r="I7" s="34">
        <f>(-1*I5*(I6-(-1.2462))*5.31)/100</f>
        <v>1.6264293323055751E-2</v>
      </c>
      <c r="J7" s="34">
        <f>(-1*J5*(J6-(-1.2462))*5.31)/100</f>
        <v>1.088157602456081E-2</v>
      </c>
      <c r="K7" s="34">
        <f>(-1*K5*(K6-(-1.296))*5.31)/100</f>
        <v>1.9853665803996078E-2</v>
      </c>
      <c r="L7" s="34">
        <f>(-1*L5*(L6-(-1.296))*5.31)/100</f>
        <v>1.7699725951753353E-2</v>
      </c>
      <c r="M7" s="34">
        <f>(-1*M5*(M6-(-1.709))*5.31)/100</f>
        <v>1.4146065211013909E-2</v>
      </c>
      <c r="N7" s="34">
        <f>(-1*N5*(N6-(-2.7654))*5.31)/100</f>
        <v>1.7918162582636107E-2</v>
      </c>
      <c r="O7" s="34">
        <f>(-1*O5*(O6-(-2.765))*5.31)/100</f>
        <v>8.5630952449477372E-3</v>
      </c>
      <c r="P7" s="34">
        <f>(-1*P5*(P6-(-2.765))*5.31)/100</f>
        <v>5.1692084243179885E-3</v>
      </c>
      <c r="Q7" s="34">
        <f>(-1*Q5*(Q6-(-1.39))*5.31)/100</f>
        <v>2.2954719294583797E-2</v>
      </c>
      <c r="R7" s="34">
        <f>(-1*R5*(R6-(-3.3))*5.31)/100</f>
        <v>2.6358401559633024E-2</v>
      </c>
      <c r="S7" s="34">
        <f>(-1*S5*(S6-(-6.64))*5.31)/100</f>
        <v>0.10588745129406656</v>
      </c>
      <c r="T7" s="34">
        <f>(-1*T5*(T6-(-6.64))*5.31)/100</f>
        <v>2.032725111224408E-2</v>
      </c>
      <c r="U7" s="97">
        <f>(-1*U5*(U6-(-1.23))*5.31)/100</f>
        <v>1.1023912048756324E-2</v>
      </c>
      <c r="AD7" s="14"/>
      <c r="AE7" s="14"/>
      <c r="AF7" s="14"/>
      <c r="AI7" s="2"/>
    </row>
    <row r="8" spans="2:79" x14ac:dyDescent="0.2">
      <c r="F8" s="5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97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</row>
    <row r="9" spans="2:79" x14ac:dyDescent="0.2">
      <c r="B9" s="31" t="s">
        <v>45</v>
      </c>
      <c r="C9" s="31" t="s">
        <v>45</v>
      </c>
      <c r="D9" s="31" t="s">
        <v>45</v>
      </c>
      <c r="E9" s="31" t="s">
        <v>45</v>
      </c>
      <c r="F9" s="88" t="s">
        <v>45</v>
      </c>
      <c r="G9" s="111" t="s">
        <v>6</v>
      </c>
      <c r="H9" s="111" t="s">
        <v>7</v>
      </c>
      <c r="I9" s="111" t="s">
        <v>8</v>
      </c>
      <c r="J9" s="111" t="s">
        <v>9</v>
      </c>
      <c r="K9" s="111" t="s">
        <v>10</v>
      </c>
      <c r="L9" s="111" t="s">
        <v>11</v>
      </c>
      <c r="M9" s="111" t="s">
        <v>12</v>
      </c>
      <c r="N9" s="111" t="s">
        <v>13</v>
      </c>
      <c r="O9" s="111" t="s">
        <v>14</v>
      </c>
      <c r="P9" s="111" t="s">
        <v>15</v>
      </c>
      <c r="Q9" s="111" t="s">
        <v>16</v>
      </c>
      <c r="R9" s="111" t="s">
        <v>19</v>
      </c>
      <c r="S9" s="111" t="s">
        <v>21</v>
      </c>
      <c r="T9" s="111" t="s">
        <v>22</v>
      </c>
      <c r="U9" s="126" t="s">
        <v>23</v>
      </c>
    </row>
    <row r="10" spans="2:79" x14ac:dyDescent="0.2">
      <c r="B10" s="31">
        <v>2.7777777777777778E-4</v>
      </c>
      <c r="C10" s="31">
        <v>0.96694444444444405</v>
      </c>
      <c r="D10" s="31">
        <v>0.83361111111111097</v>
      </c>
      <c r="E10" s="31">
        <v>0.433611111111111</v>
      </c>
      <c r="F10" s="31">
        <v>0.30027777777777798</v>
      </c>
      <c r="G10" s="31">
        <v>70.05</v>
      </c>
      <c r="H10" s="31">
        <v>70.709999999999994</v>
      </c>
      <c r="I10" s="31">
        <v>74.22</v>
      </c>
      <c r="J10" s="31">
        <v>76.400000000000006</v>
      </c>
      <c r="K10" s="31">
        <v>75.52</v>
      </c>
      <c r="L10" s="31">
        <v>79.38</v>
      </c>
      <c r="M10" s="31">
        <v>62.9</v>
      </c>
      <c r="N10" s="31">
        <v>94.85</v>
      </c>
      <c r="O10" s="31">
        <v>98.93</v>
      </c>
      <c r="P10" s="31">
        <v>102.51</v>
      </c>
      <c r="Q10" s="31">
        <v>80.7</v>
      </c>
      <c r="S10" s="31">
        <v>65.2</v>
      </c>
      <c r="T10" s="31">
        <v>73.489999999999995</v>
      </c>
      <c r="U10" s="31">
        <v>43.26</v>
      </c>
    </row>
    <row r="11" spans="2:79" x14ac:dyDescent="0.2">
      <c r="B11" s="31">
        <v>3.3611111111111112E-2</v>
      </c>
      <c r="C11" s="31">
        <v>1.00027777777778</v>
      </c>
      <c r="D11" s="31">
        <v>0.86694444444444396</v>
      </c>
      <c r="E11" s="31">
        <v>0.466944444444444</v>
      </c>
      <c r="F11" s="31">
        <v>0.33361111111111103</v>
      </c>
      <c r="G11" s="31">
        <v>75.22</v>
      </c>
      <c r="H11" s="31">
        <v>76.739999999999995</v>
      </c>
      <c r="I11" s="31">
        <v>77.92</v>
      </c>
      <c r="J11" s="31">
        <v>76.069999999999993</v>
      </c>
      <c r="K11" s="31">
        <v>75.36</v>
      </c>
      <c r="L11" s="31">
        <v>77.45</v>
      </c>
      <c r="M11" s="31">
        <v>62.9</v>
      </c>
      <c r="N11" s="31">
        <v>95.38</v>
      </c>
      <c r="O11" s="31">
        <v>98.22</v>
      </c>
      <c r="P11" s="31">
        <v>101.97</v>
      </c>
      <c r="Q11" s="31">
        <v>79.88</v>
      </c>
      <c r="S11" s="31">
        <v>63.59</v>
      </c>
      <c r="T11" s="31">
        <v>72.34</v>
      </c>
      <c r="U11" s="31">
        <v>42.65</v>
      </c>
    </row>
    <row r="12" spans="2:79" x14ac:dyDescent="0.2">
      <c r="B12" s="31">
        <v>6.6944444444444445E-2</v>
      </c>
      <c r="C12" s="31">
        <v>1.0336111111111099</v>
      </c>
      <c r="D12" s="31">
        <v>0.90027777777777795</v>
      </c>
      <c r="E12" s="31">
        <v>0.50027777777777804</v>
      </c>
      <c r="F12" s="31">
        <v>0.36694444444444402</v>
      </c>
      <c r="G12" s="31">
        <v>69.55</v>
      </c>
      <c r="H12" s="31">
        <v>66.75</v>
      </c>
      <c r="I12" s="31">
        <v>73.38</v>
      </c>
      <c r="J12" s="31">
        <v>75.56</v>
      </c>
      <c r="K12" s="31">
        <v>75.2</v>
      </c>
      <c r="L12" s="31">
        <v>76.16</v>
      </c>
      <c r="M12" s="31">
        <v>62.9</v>
      </c>
      <c r="N12" s="31">
        <v>96.44</v>
      </c>
      <c r="O12" s="31">
        <v>98.4</v>
      </c>
      <c r="P12" s="31">
        <v>102.33</v>
      </c>
      <c r="Q12" s="31">
        <v>78.900000000000006</v>
      </c>
      <c r="S12" s="31">
        <v>61.99</v>
      </c>
      <c r="T12" s="31">
        <v>71.52</v>
      </c>
      <c r="U12" s="31">
        <v>42.19</v>
      </c>
    </row>
    <row r="13" spans="2:79" x14ac:dyDescent="0.2">
      <c r="B13" s="31">
        <v>0.10027777777777777</v>
      </c>
      <c r="C13" s="31">
        <v>1.06694444444444</v>
      </c>
      <c r="D13" s="31">
        <v>0.93361111111111095</v>
      </c>
      <c r="E13" s="31">
        <v>0.53361111111111104</v>
      </c>
      <c r="F13" s="31">
        <v>0.40027777777777801</v>
      </c>
      <c r="G13" s="31">
        <v>69.22</v>
      </c>
      <c r="H13" s="31">
        <v>66.42</v>
      </c>
      <c r="I13" s="31">
        <v>73.55</v>
      </c>
      <c r="J13" s="31">
        <v>75.06</v>
      </c>
      <c r="K13" s="31">
        <v>73.44</v>
      </c>
      <c r="L13" s="31">
        <v>76.319999999999993</v>
      </c>
      <c r="M13" s="31">
        <v>62.75</v>
      </c>
      <c r="N13" s="31">
        <v>96.8</v>
      </c>
      <c r="O13" s="31">
        <v>97.86</v>
      </c>
      <c r="P13" s="31">
        <v>101.97</v>
      </c>
      <c r="Q13" s="31">
        <v>78.25</v>
      </c>
      <c r="S13" s="31">
        <v>58.03</v>
      </c>
      <c r="T13" s="31">
        <v>70.87</v>
      </c>
      <c r="U13" s="31">
        <v>41.27</v>
      </c>
    </row>
    <row r="14" spans="2:79" x14ac:dyDescent="0.2">
      <c r="B14" s="31">
        <v>0.13361111111111112</v>
      </c>
      <c r="C14" s="31">
        <v>1.1002777777777799</v>
      </c>
      <c r="D14" s="31">
        <v>0.96694444444444405</v>
      </c>
      <c r="E14" s="31">
        <v>0.56694444444444403</v>
      </c>
      <c r="F14" s="31">
        <v>0.433611111111111</v>
      </c>
      <c r="G14" s="31">
        <v>70.05</v>
      </c>
      <c r="H14" s="31">
        <v>65.27</v>
      </c>
      <c r="I14" s="31">
        <v>73.38</v>
      </c>
      <c r="J14" s="31">
        <v>74.38</v>
      </c>
      <c r="K14" s="31">
        <v>71.06</v>
      </c>
      <c r="L14" s="31">
        <v>76</v>
      </c>
      <c r="M14" s="31">
        <v>62.75</v>
      </c>
      <c r="N14" s="31">
        <v>97.51</v>
      </c>
      <c r="O14" s="31">
        <v>97.68</v>
      </c>
      <c r="P14" s="31">
        <v>101.79</v>
      </c>
      <c r="Q14" s="31">
        <v>77.44</v>
      </c>
      <c r="S14" s="31">
        <v>56.77</v>
      </c>
      <c r="T14" s="31">
        <v>70.05</v>
      </c>
      <c r="U14" s="31">
        <v>40.82</v>
      </c>
    </row>
    <row r="15" spans="2:79" x14ac:dyDescent="0.2">
      <c r="B15" s="31">
        <v>0.16694444444444445</v>
      </c>
      <c r="C15" s="31">
        <v>1.13361111111111</v>
      </c>
      <c r="D15" s="31">
        <v>1.00027777777778</v>
      </c>
      <c r="E15" s="31">
        <v>0.60027777777777802</v>
      </c>
      <c r="F15" s="31">
        <v>0.466944444444444</v>
      </c>
      <c r="G15" s="31">
        <v>70.709999999999994</v>
      </c>
      <c r="H15" s="31">
        <v>64.78</v>
      </c>
      <c r="I15" s="31">
        <v>73.55</v>
      </c>
      <c r="J15" s="31">
        <v>73.709999999999994</v>
      </c>
      <c r="K15" s="31">
        <v>68.849999999999994</v>
      </c>
      <c r="L15" s="31">
        <v>75.2</v>
      </c>
      <c r="M15" s="31">
        <v>62.59</v>
      </c>
      <c r="N15" s="31">
        <v>97.33</v>
      </c>
      <c r="O15" s="31">
        <v>97.33</v>
      </c>
      <c r="P15" s="31">
        <v>101.61</v>
      </c>
      <c r="Q15" s="31">
        <v>76.63</v>
      </c>
      <c r="S15" s="31">
        <v>55.67</v>
      </c>
      <c r="T15" s="31">
        <v>69.400000000000006</v>
      </c>
      <c r="U15" s="31">
        <v>39.75</v>
      </c>
    </row>
    <row r="16" spans="2:79" x14ac:dyDescent="0.2">
      <c r="B16" s="31">
        <v>0.2002777777777778</v>
      </c>
      <c r="C16" s="31">
        <v>1.1669444444444399</v>
      </c>
      <c r="D16" s="31">
        <v>1.0336111111111099</v>
      </c>
      <c r="E16" s="31">
        <v>0.63361111111111101</v>
      </c>
      <c r="F16" s="31">
        <v>0.50027777777777804</v>
      </c>
      <c r="G16" s="31">
        <v>71.05</v>
      </c>
      <c r="H16" s="31">
        <v>64.290000000000006</v>
      </c>
      <c r="I16" s="31">
        <v>73.38</v>
      </c>
      <c r="J16" s="31">
        <v>73.209999999999994</v>
      </c>
      <c r="K16" s="31">
        <v>67.59</v>
      </c>
      <c r="L16" s="31">
        <v>74.72</v>
      </c>
      <c r="M16" s="31">
        <v>62.28</v>
      </c>
      <c r="N16" s="31">
        <v>97.33</v>
      </c>
      <c r="O16" s="31">
        <v>96.8</v>
      </c>
      <c r="P16" s="31">
        <v>101.25</v>
      </c>
      <c r="Q16" s="31">
        <v>75.98</v>
      </c>
      <c r="S16" s="31">
        <v>53.63</v>
      </c>
      <c r="T16" s="31">
        <v>69.239999999999995</v>
      </c>
      <c r="U16" s="31">
        <v>39</v>
      </c>
    </row>
    <row r="17" spans="2:21" x14ac:dyDescent="0.2">
      <c r="B17" s="31">
        <v>0.23361111111111113</v>
      </c>
      <c r="C17" s="31">
        <v>1.20027777777778</v>
      </c>
      <c r="D17" s="31">
        <v>1.06694444444444</v>
      </c>
      <c r="E17" s="31">
        <v>0.66694444444444401</v>
      </c>
      <c r="F17" s="31">
        <v>0.53361111111111104</v>
      </c>
      <c r="G17" s="31">
        <v>71.209999999999994</v>
      </c>
      <c r="H17" s="31">
        <v>63.8</v>
      </c>
      <c r="I17" s="31">
        <v>73.38</v>
      </c>
      <c r="J17" s="31">
        <v>72.709999999999994</v>
      </c>
      <c r="K17" s="31">
        <v>66.5</v>
      </c>
      <c r="L17" s="31">
        <v>74.08</v>
      </c>
      <c r="M17" s="31">
        <v>62.12</v>
      </c>
      <c r="N17" s="31">
        <v>96.97</v>
      </c>
      <c r="O17" s="31">
        <v>96.44</v>
      </c>
      <c r="P17" s="31">
        <v>101.07</v>
      </c>
      <c r="Q17" s="31">
        <v>75.010000000000005</v>
      </c>
      <c r="S17" s="31">
        <v>47.44</v>
      </c>
      <c r="T17" s="31">
        <v>68.91</v>
      </c>
      <c r="U17" s="31">
        <v>37.94</v>
      </c>
    </row>
    <row r="18" spans="2:21" x14ac:dyDescent="0.2">
      <c r="B18" s="31">
        <v>0.26694444444444443</v>
      </c>
      <c r="C18" s="31">
        <v>1.2336111111111101</v>
      </c>
      <c r="D18" s="31">
        <v>1.1002777777777799</v>
      </c>
      <c r="E18" s="31">
        <v>0.700277777777778</v>
      </c>
      <c r="F18" s="31">
        <v>0.56694444444444403</v>
      </c>
      <c r="G18" s="31">
        <v>71.38</v>
      </c>
      <c r="H18" s="31">
        <v>63.63</v>
      </c>
      <c r="I18" s="31">
        <v>73.05</v>
      </c>
      <c r="J18" s="31">
        <v>72.040000000000006</v>
      </c>
      <c r="K18" s="31">
        <v>65.400000000000006</v>
      </c>
      <c r="L18" s="31">
        <v>73.28</v>
      </c>
      <c r="M18" s="31">
        <v>62.12</v>
      </c>
      <c r="N18" s="31">
        <v>96.62</v>
      </c>
      <c r="O18" s="31">
        <v>96.27</v>
      </c>
      <c r="P18" s="31">
        <v>101.07</v>
      </c>
      <c r="Q18" s="31">
        <v>74.53</v>
      </c>
      <c r="S18" s="31">
        <v>46.37</v>
      </c>
      <c r="T18" s="31">
        <v>67.94</v>
      </c>
      <c r="U18" s="31">
        <v>37.33</v>
      </c>
    </row>
    <row r="19" spans="2:21" x14ac:dyDescent="0.2">
      <c r="B19" s="31">
        <v>0.30027777777777775</v>
      </c>
      <c r="C19" s="31">
        <v>1.26694444444444</v>
      </c>
      <c r="D19" s="31">
        <v>1.13361111111111</v>
      </c>
      <c r="E19" s="31">
        <v>0.73361111111111099</v>
      </c>
      <c r="F19" s="31">
        <v>0.60027777777777802</v>
      </c>
      <c r="G19" s="31">
        <v>71.209999999999994</v>
      </c>
      <c r="H19" s="31">
        <v>62.65</v>
      </c>
      <c r="I19" s="31">
        <v>72.709999999999994</v>
      </c>
      <c r="J19" s="31">
        <v>71.709999999999994</v>
      </c>
      <c r="K19" s="31">
        <v>64.78</v>
      </c>
      <c r="L19" s="31">
        <v>72.650000000000006</v>
      </c>
      <c r="M19" s="31">
        <v>61.65</v>
      </c>
      <c r="N19" s="31">
        <v>96.8</v>
      </c>
      <c r="O19" s="31">
        <v>96.09</v>
      </c>
      <c r="P19" s="31">
        <v>100.72</v>
      </c>
      <c r="Q19" s="31">
        <v>73.88</v>
      </c>
      <c r="S19" s="31">
        <v>42.41</v>
      </c>
      <c r="T19" s="31">
        <v>67.290000000000006</v>
      </c>
      <c r="U19" s="31">
        <v>36.43</v>
      </c>
    </row>
    <row r="20" spans="2:21" x14ac:dyDescent="0.2">
      <c r="B20" s="31">
        <v>0.33361111111111108</v>
      </c>
      <c r="C20" s="31">
        <v>1.3002777777777801</v>
      </c>
      <c r="D20" s="31">
        <v>1.1669444444444399</v>
      </c>
      <c r="E20" s="31">
        <v>0.76694444444444398</v>
      </c>
      <c r="F20" s="31">
        <v>0.63361111111111101</v>
      </c>
      <c r="G20" s="31">
        <v>70.88</v>
      </c>
      <c r="H20" s="31">
        <v>61.68</v>
      </c>
      <c r="I20" s="31">
        <v>72.38</v>
      </c>
      <c r="J20" s="31">
        <v>71.05</v>
      </c>
      <c r="K20" s="31">
        <v>64.31</v>
      </c>
      <c r="L20" s="31">
        <v>71.849999999999994</v>
      </c>
      <c r="M20" s="31">
        <v>61.49</v>
      </c>
      <c r="N20" s="31">
        <v>96.44</v>
      </c>
      <c r="O20" s="31">
        <v>95.91</v>
      </c>
      <c r="P20" s="31">
        <v>100.54</v>
      </c>
      <c r="Q20" s="31">
        <v>73.08</v>
      </c>
      <c r="S20" s="31">
        <v>35.35</v>
      </c>
      <c r="T20" s="31">
        <v>66.81</v>
      </c>
      <c r="U20" s="31">
        <v>36.130000000000003</v>
      </c>
    </row>
    <row r="21" spans="2:21" x14ac:dyDescent="0.2">
      <c r="B21" s="31">
        <v>0.36694444444444441</v>
      </c>
      <c r="C21" s="31">
        <v>1.33361111111111</v>
      </c>
      <c r="D21" s="31">
        <v>1.20027777777778</v>
      </c>
      <c r="E21" s="31">
        <v>0.80027777777777798</v>
      </c>
      <c r="F21" s="31">
        <v>0.66694444444444401</v>
      </c>
      <c r="G21" s="31">
        <v>71.209999999999994</v>
      </c>
      <c r="H21" s="31">
        <v>60.71</v>
      </c>
      <c r="I21" s="31">
        <v>71.88</v>
      </c>
      <c r="J21" s="31">
        <v>70.709999999999994</v>
      </c>
      <c r="K21" s="31">
        <v>64</v>
      </c>
      <c r="L21" s="31">
        <v>71.38</v>
      </c>
      <c r="M21" s="31">
        <v>61.18</v>
      </c>
      <c r="N21" s="31">
        <v>95.74</v>
      </c>
      <c r="O21" s="31">
        <v>95.74</v>
      </c>
      <c r="P21" s="31">
        <v>100.18</v>
      </c>
      <c r="Q21" s="31">
        <v>72.28</v>
      </c>
      <c r="S21" s="31">
        <v>31.21</v>
      </c>
      <c r="T21" s="31">
        <v>66.319999999999993</v>
      </c>
      <c r="U21" s="31">
        <v>35.83</v>
      </c>
    </row>
    <row r="22" spans="2:21" x14ac:dyDescent="0.2">
      <c r="B22" s="31">
        <v>0.40027777777777779</v>
      </c>
      <c r="C22" s="31">
        <v>1.3669444444444401</v>
      </c>
      <c r="D22" s="31">
        <v>1.2336111111111101</v>
      </c>
      <c r="E22" s="31">
        <v>0.83361111111111097</v>
      </c>
      <c r="F22" s="31">
        <v>0.700277777777778</v>
      </c>
      <c r="G22" s="31">
        <v>71.05</v>
      </c>
      <c r="H22" s="31">
        <v>60.54</v>
      </c>
      <c r="I22" s="31">
        <v>71.209999999999994</v>
      </c>
      <c r="J22" s="31">
        <v>70.38</v>
      </c>
      <c r="K22" s="31">
        <v>64</v>
      </c>
      <c r="L22" s="31">
        <v>71.22</v>
      </c>
      <c r="M22" s="31">
        <v>61.02</v>
      </c>
      <c r="N22" s="31">
        <v>95.56</v>
      </c>
      <c r="O22" s="31">
        <v>95.56</v>
      </c>
      <c r="P22" s="31">
        <v>100.72</v>
      </c>
      <c r="Q22" s="31">
        <v>71.8</v>
      </c>
      <c r="S22" s="31">
        <v>30.18</v>
      </c>
      <c r="T22" s="31">
        <v>66</v>
      </c>
      <c r="U22" s="31">
        <v>35.68</v>
      </c>
    </row>
    <row r="23" spans="2:21" x14ac:dyDescent="0.2">
      <c r="B23" s="31">
        <v>0.43361111111111111</v>
      </c>
      <c r="C23" s="31">
        <v>1.40027777777778</v>
      </c>
      <c r="D23" s="31">
        <v>1.26694444444444</v>
      </c>
      <c r="E23" s="31">
        <v>0.86694444444444396</v>
      </c>
      <c r="F23" s="31">
        <v>0.73361111111111099</v>
      </c>
      <c r="G23" s="31">
        <v>70.709999999999994</v>
      </c>
      <c r="H23" s="31">
        <v>60.22</v>
      </c>
      <c r="I23" s="31">
        <v>70.55</v>
      </c>
      <c r="J23" s="31">
        <v>69.39</v>
      </c>
      <c r="K23" s="31">
        <v>63.38</v>
      </c>
      <c r="L23" s="31">
        <v>70.739999999999995</v>
      </c>
      <c r="M23" s="31">
        <v>60.55</v>
      </c>
      <c r="N23" s="31">
        <v>94.85</v>
      </c>
      <c r="O23" s="31">
        <v>95.03</v>
      </c>
      <c r="P23" s="31">
        <v>100.36</v>
      </c>
      <c r="Q23" s="31">
        <v>71</v>
      </c>
      <c r="S23" s="31">
        <v>26.38</v>
      </c>
      <c r="T23" s="31">
        <v>65.36</v>
      </c>
      <c r="U23" s="31">
        <v>34.93</v>
      </c>
    </row>
    <row r="24" spans="2:21" x14ac:dyDescent="0.2">
      <c r="B24" s="31">
        <v>0.46694444444444444</v>
      </c>
      <c r="C24" s="31">
        <v>1.4336111111111101</v>
      </c>
      <c r="D24" s="31">
        <v>1.3002777777777801</v>
      </c>
      <c r="E24" s="31">
        <v>0.90027777777777795</v>
      </c>
      <c r="F24" s="31">
        <v>0.76694444444444398</v>
      </c>
      <c r="G24" s="31">
        <v>70.709999999999994</v>
      </c>
      <c r="H24" s="31">
        <v>60.06</v>
      </c>
      <c r="I24" s="31">
        <v>69.72</v>
      </c>
      <c r="J24" s="31">
        <v>68.89</v>
      </c>
      <c r="K24" s="31">
        <v>62.91</v>
      </c>
      <c r="L24" s="31">
        <v>70.739999999999995</v>
      </c>
      <c r="M24" s="31">
        <v>60.24</v>
      </c>
      <c r="N24" s="31">
        <v>94.15</v>
      </c>
      <c r="O24" s="31">
        <v>94.85</v>
      </c>
      <c r="P24" s="31">
        <v>100.18</v>
      </c>
      <c r="Q24" s="31">
        <v>70.36</v>
      </c>
      <c r="S24" s="31">
        <v>21.76</v>
      </c>
      <c r="T24" s="31">
        <v>64.55</v>
      </c>
      <c r="U24" s="31">
        <v>34.78</v>
      </c>
    </row>
    <row r="25" spans="2:21" x14ac:dyDescent="0.2">
      <c r="B25" s="31">
        <v>0.50027777777777771</v>
      </c>
      <c r="C25" s="31">
        <v>1.4669444444444399</v>
      </c>
      <c r="D25" s="31">
        <v>1.33361111111111</v>
      </c>
      <c r="E25" s="31">
        <v>0.93361111111111095</v>
      </c>
      <c r="F25" s="31">
        <v>0.80027777777777798</v>
      </c>
      <c r="G25" s="31">
        <v>70.38</v>
      </c>
      <c r="H25" s="31">
        <v>59.41</v>
      </c>
      <c r="I25" s="31">
        <v>68.72</v>
      </c>
      <c r="J25" s="31">
        <v>68.23</v>
      </c>
      <c r="K25" s="31">
        <v>61.99</v>
      </c>
      <c r="L25" s="31">
        <v>70.27</v>
      </c>
      <c r="M25" s="31">
        <v>59.77</v>
      </c>
      <c r="N25" s="31">
        <v>93.8</v>
      </c>
      <c r="O25" s="31">
        <v>94.5</v>
      </c>
      <c r="P25" s="31">
        <v>100</v>
      </c>
      <c r="Q25" s="31">
        <v>69.41</v>
      </c>
      <c r="S25" s="31">
        <v>21.62</v>
      </c>
      <c r="T25" s="31">
        <v>63.91</v>
      </c>
      <c r="U25" s="31">
        <v>34.18</v>
      </c>
    </row>
    <row r="26" spans="2:21" x14ac:dyDescent="0.2">
      <c r="B26" s="31">
        <v>0.53361111111111115</v>
      </c>
      <c r="C26" s="31">
        <v>1.50027777777778</v>
      </c>
      <c r="D26" s="31">
        <v>1.3669444444444401</v>
      </c>
      <c r="E26" s="31">
        <v>0.96694444444444405</v>
      </c>
      <c r="F26" s="31">
        <v>0.83361111111111097</v>
      </c>
      <c r="G26" s="31">
        <v>70.05</v>
      </c>
      <c r="H26" s="31">
        <v>58.93</v>
      </c>
      <c r="I26" s="31">
        <v>67.900000000000006</v>
      </c>
      <c r="J26" s="31">
        <v>67.73</v>
      </c>
      <c r="K26" s="31">
        <v>61.21</v>
      </c>
      <c r="L26" s="31">
        <v>69.790000000000006</v>
      </c>
      <c r="M26" s="31">
        <v>59.46</v>
      </c>
      <c r="N26" s="31">
        <v>93.8</v>
      </c>
      <c r="O26" s="31">
        <v>94.32</v>
      </c>
      <c r="P26" s="31">
        <v>99.82</v>
      </c>
      <c r="Q26" s="31">
        <v>68.61</v>
      </c>
      <c r="S26" s="31">
        <v>21.62</v>
      </c>
      <c r="T26" s="31">
        <v>63.43</v>
      </c>
      <c r="U26" s="31">
        <v>33.729999999999997</v>
      </c>
    </row>
    <row r="27" spans="2:21" x14ac:dyDescent="0.2">
      <c r="B27" s="31">
        <v>0.56694444444444447</v>
      </c>
      <c r="C27" s="31">
        <v>1.5336111111111099</v>
      </c>
      <c r="D27" s="31">
        <v>1.40027777777778</v>
      </c>
      <c r="E27" s="31">
        <v>1.00027777777778</v>
      </c>
      <c r="F27" s="31">
        <v>0.86694444444444396</v>
      </c>
      <c r="G27" s="31">
        <v>70.22</v>
      </c>
      <c r="H27" s="31">
        <v>58.77</v>
      </c>
      <c r="I27" s="31">
        <v>66.58</v>
      </c>
      <c r="J27" s="31">
        <v>67.08</v>
      </c>
      <c r="K27" s="31">
        <v>60.91</v>
      </c>
      <c r="L27" s="31">
        <v>69.48</v>
      </c>
      <c r="M27" s="31">
        <v>59.3</v>
      </c>
      <c r="N27" s="31">
        <v>92.92</v>
      </c>
      <c r="O27" s="31">
        <v>94.15</v>
      </c>
      <c r="P27" s="31">
        <v>99.82</v>
      </c>
      <c r="Q27" s="31">
        <v>67.510000000000005</v>
      </c>
      <c r="T27" s="31">
        <v>61.68</v>
      </c>
      <c r="U27" s="31">
        <v>33.43</v>
      </c>
    </row>
    <row r="28" spans="2:21" x14ac:dyDescent="0.2">
      <c r="B28" s="31">
        <v>0.6002777777777778</v>
      </c>
      <c r="C28" s="31">
        <v>1.56694444444444</v>
      </c>
      <c r="D28" s="31">
        <v>1.4336111111111101</v>
      </c>
      <c r="E28" s="31">
        <v>1.0336111111111099</v>
      </c>
      <c r="F28" s="31">
        <v>0.90027777777777795</v>
      </c>
      <c r="G28" s="31">
        <v>69.55</v>
      </c>
      <c r="H28" s="31">
        <v>58.28</v>
      </c>
      <c r="I28" s="31">
        <v>65.760000000000005</v>
      </c>
      <c r="J28" s="31">
        <v>66.42</v>
      </c>
      <c r="K28" s="31">
        <v>60.14</v>
      </c>
      <c r="L28" s="31">
        <v>69.16</v>
      </c>
      <c r="M28" s="31">
        <v>58.84</v>
      </c>
      <c r="N28" s="31">
        <v>92.92</v>
      </c>
      <c r="O28" s="31">
        <v>93.8</v>
      </c>
      <c r="P28" s="31">
        <v>99.29</v>
      </c>
      <c r="Q28" s="31">
        <v>66.87</v>
      </c>
      <c r="T28" s="31">
        <v>60.56</v>
      </c>
      <c r="U28" s="31">
        <v>32.69</v>
      </c>
    </row>
    <row r="29" spans="2:21" x14ac:dyDescent="0.2">
      <c r="B29" s="31">
        <v>0.63361111111111112</v>
      </c>
      <c r="C29" s="31">
        <v>1.6002777777777799</v>
      </c>
      <c r="D29" s="31">
        <v>1.4669444444444399</v>
      </c>
      <c r="E29" s="31">
        <v>1.06694444444444</v>
      </c>
      <c r="F29" s="31">
        <v>0.93361111111111095</v>
      </c>
      <c r="G29" s="31">
        <v>69.39</v>
      </c>
      <c r="H29" s="31">
        <v>57.48</v>
      </c>
      <c r="I29" s="31">
        <v>64.78</v>
      </c>
      <c r="J29" s="31">
        <v>66.09</v>
      </c>
      <c r="K29" s="31">
        <v>58.91</v>
      </c>
      <c r="L29" s="31">
        <v>68.53</v>
      </c>
      <c r="M29" s="31">
        <v>58.37</v>
      </c>
      <c r="N29" s="31">
        <v>92.04</v>
      </c>
      <c r="O29" s="31">
        <v>94.15</v>
      </c>
      <c r="P29" s="31">
        <v>99.64</v>
      </c>
      <c r="Q29" s="31">
        <v>66.08</v>
      </c>
      <c r="R29" s="31">
        <v>72.180000000000007</v>
      </c>
      <c r="T29" s="31">
        <v>59.77</v>
      </c>
      <c r="U29" s="31">
        <v>32.24</v>
      </c>
    </row>
    <row r="30" spans="2:21" x14ac:dyDescent="0.2">
      <c r="B30" s="31">
        <v>0.66694444444444445</v>
      </c>
      <c r="C30" s="31">
        <v>1.63361111111111</v>
      </c>
      <c r="D30" s="31">
        <v>1.50027777777778</v>
      </c>
      <c r="E30" s="31">
        <v>1.1002777777777799</v>
      </c>
      <c r="F30" s="31">
        <v>0.96694444444444405</v>
      </c>
      <c r="G30" s="31">
        <v>69.06</v>
      </c>
      <c r="H30" s="31">
        <v>57</v>
      </c>
      <c r="I30" s="31">
        <v>63.63</v>
      </c>
      <c r="J30" s="31">
        <v>65.27</v>
      </c>
      <c r="K30" s="31">
        <v>58.6</v>
      </c>
      <c r="L30" s="31">
        <v>67.91</v>
      </c>
      <c r="M30" s="31">
        <v>57.75</v>
      </c>
      <c r="N30" s="31">
        <v>92.21</v>
      </c>
      <c r="O30" s="31">
        <v>93.97</v>
      </c>
      <c r="P30" s="31">
        <v>99.46</v>
      </c>
      <c r="Q30" s="31">
        <v>65.45</v>
      </c>
      <c r="R30" s="31">
        <v>71.819999999999993</v>
      </c>
      <c r="T30" s="31">
        <v>58.82</v>
      </c>
      <c r="U30" s="31">
        <v>31.65</v>
      </c>
    </row>
    <row r="31" spans="2:21" x14ac:dyDescent="0.2">
      <c r="B31" s="31">
        <v>0.70027777777777778</v>
      </c>
      <c r="C31" s="31">
        <v>1.6669444444444399</v>
      </c>
      <c r="D31" s="31">
        <v>1.5336111111111099</v>
      </c>
      <c r="E31" s="31">
        <v>1.13361111111111</v>
      </c>
      <c r="F31" s="31">
        <v>1.00027777777778</v>
      </c>
      <c r="G31" s="31">
        <v>69.06</v>
      </c>
      <c r="H31" s="31">
        <v>56.52</v>
      </c>
      <c r="I31" s="31">
        <v>62.82</v>
      </c>
      <c r="J31" s="31">
        <v>64.78</v>
      </c>
      <c r="K31" s="31">
        <v>57.83</v>
      </c>
      <c r="L31" s="31">
        <v>67.12</v>
      </c>
      <c r="M31" s="31">
        <v>57.29</v>
      </c>
      <c r="N31" s="31">
        <v>91.69</v>
      </c>
      <c r="O31" s="31">
        <v>93.27</v>
      </c>
      <c r="P31" s="31">
        <v>98.93</v>
      </c>
      <c r="Q31" s="31">
        <v>64.83</v>
      </c>
      <c r="R31" s="31">
        <v>71.290000000000006</v>
      </c>
      <c r="T31" s="31">
        <v>58.03</v>
      </c>
      <c r="U31" s="31">
        <v>31.2</v>
      </c>
    </row>
    <row r="32" spans="2:21" x14ac:dyDescent="0.2">
      <c r="B32" s="31">
        <v>0.7336111111111111</v>
      </c>
      <c r="C32" s="31">
        <v>1.70027777777778</v>
      </c>
      <c r="D32" s="31">
        <v>1.56694444444444</v>
      </c>
      <c r="E32" s="31">
        <v>1.1669444444444399</v>
      </c>
      <c r="F32" s="31">
        <v>1.0336111111111099</v>
      </c>
      <c r="G32" s="31">
        <v>68.56</v>
      </c>
      <c r="H32" s="31">
        <v>56.04</v>
      </c>
      <c r="I32" s="31">
        <v>62.98</v>
      </c>
      <c r="J32" s="31">
        <v>64.12</v>
      </c>
      <c r="K32" s="31">
        <v>56.77</v>
      </c>
      <c r="L32" s="31">
        <v>66.180000000000007</v>
      </c>
      <c r="M32" s="31">
        <v>56.82</v>
      </c>
      <c r="N32" s="31">
        <v>91.51</v>
      </c>
      <c r="O32" s="31">
        <v>93.09</v>
      </c>
      <c r="P32" s="31">
        <v>99.29</v>
      </c>
      <c r="Q32" s="31">
        <v>63.73</v>
      </c>
      <c r="R32" s="31">
        <v>70.760000000000005</v>
      </c>
      <c r="T32" s="31">
        <v>56.92</v>
      </c>
      <c r="U32" s="31">
        <v>30.9</v>
      </c>
    </row>
    <row r="33" spans="2:21" x14ac:dyDescent="0.2">
      <c r="B33" s="31">
        <v>0.76694444444444443</v>
      </c>
      <c r="C33" s="31">
        <v>1.7336111111111101</v>
      </c>
      <c r="D33" s="31">
        <v>1.6002777777777799</v>
      </c>
      <c r="E33" s="31">
        <v>1.20027777777778</v>
      </c>
      <c r="F33" s="31">
        <v>1.06694444444444</v>
      </c>
      <c r="G33" s="31">
        <v>68.39</v>
      </c>
      <c r="H33" s="31">
        <v>55.56</v>
      </c>
      <c r="I33" s="31">
        <v>63.63</v>
      </c>
      <c r="J33" s="31">
        <v>63.47</v>
      </c>
      <c r="K33" s="31">
        <v>56.31</v>
      </c>
      <c r="L33" s="31">
        <v>66.03</v>
      </c>
      <c r="M33" s="31">
        <v>56.36</v>
      </c>
      <c r="N33" s="31">
        <v>91.16</v>
      </c>
      <c r="O33" s="31">
        <v>93.09</v>
      </c>
      <c r="P33" s="31">
        <v>99.29</v>
      </c>
      <c r="Q33" s="31">
        <v>62.79</v>
      </c>
      <c r="R33" s="31">
        <v>70.23</v>
      </c>
      <c r="T33" s="31">
        <v>55.98</v>
      </c>
      <c r="U33" s="31">
        <v>30.16</v>
      </c>
    </row>
    <row r="34" spans="2:21" x14ac:dyDescent="0.2">
      <c r="B34" s="31">
        <v>0.80027777777777775</v>
      </c>
      <c r="C34" s="31">
        <v>1.76694444444444</v>
      </c>
      <c r="D34" s="31">
        <v>1.63361111111111</v>
      </c>
      <c r="E34" s="31">
        <v>1.2336111111111101</v>
      </c>
      <c r="F34" s="31">
        <v>1.1002777777777799</v>
      </c>
      <c r="G34" s="31">
        <v>68.39</v>
      </c>
      <c r="H34" s="31">
        <v>55.08</v>
      </c>
      <c r="I34" s="31">
        <v>64.290000000000006</v>
      </c>
      <c r="J34" s="31">
        <v>62.65</v>
      </c>
      <c r="K34" s="31">
        <v>55.24</v>
      </c>
      <c r="L34" s="31">
        <v>65.709999999999994</v>
      </c>
      <c r="M34" s="31">
        <v>56.05</v>
      </c>
      <c r="N34" s="31">
        <v>91.51</v>
      </c>
      <c r="O34" s="31">
        <v>92.74</v>
      </c>
      <c r="P34" s="31">
        <v>98.4</v>
      </c>
      <c r="Q34" s="31">
        <v>61.7</v>
      </c>
      <c r="R34" s="31">
        <v>69.7</v>
      </c>
      <c r="T34" s="31">
        <v>55.2</v>
      </c>
      <c r="U34" s="31">
        <v>29.72</v>
      </c>
    </row>
    <row r="35" spans="2:21" x14ac:dyDescent="0.2">
      <c r="B35" s="31">
        <v>0.83361111111111108</v>
      </c>
      <c r="C35" s="31">
        <v>1.8002777777777801</v>
      </c>
      <c r="D35" s="31">
        <v>1.6669444444444399</v>
      </c>
      <c r="E35" s="31">
        <v>1.26694444444444</v>
      </c>
      <c r="F35" s="31">
        <v>1.13361111111111</v>
      </c>
      <c r="G35" s="31">
        <v>68.06</v>
      </c>
      <c r="H35" s="31">
        <v>54.76</v>
      </c>
      <c r="I35" s="31">
        <v>64.45</v>
      </c>
      <c r="J35" s="31">
        <v>62.33</v>
      </c>
      <c r="K35" s="31">
        <v>55.09</v>
      </c>
      <c r="L35" s="31">
        <v>65.709999999999994</v>
      </c>
      <c r="M35" s="31">
        <v>55.74</v>
      </c>
      <c r="N35" s="31">
        <v>92.04</v>
      </c>
      <c r="O35" s="31">
        <v>92.57</v>
      </c>
      <c r="P35" s="31">
        <v>98.4</v>
      </c>
      <c r="Q35" s="31">
        <v>60.76</v>
      </c>
      <c r="R35" s="31">
        <v>69.180000000000007</v>
      </c>
      <c r="T35" s="31">
        <v>54.26</v>
      </c>
      <c r="U35" s="31">
        <v>29.28</v>
      </c>
    </row>
    <row r="36" spans="2:21" x14ac:dyDescent="0.2">
      <c r="B36" s="31">
        <v>0.86694444444444441</v>
      </c>
      <c r="C36" s="31">
        <v>1.83361111111111</v>
      </c>
      <c r="D36" s="31">
        <v>1.70027777777778</v>
      </c>
      <c r="E36" s="31">
        <v>1.3002777777777801</v>
      </c>
      <c r="F36" s="31">
        <v>1.1669444444444399</v>
      </c>
      <c r="G36" s="31">
        <v>67.900000000000006</v>
      </c>
      <c r="H36" s="31">
        <v>54.44</v>
      </c>
      <c r="I36" s="31">
        <v>64.61</v>
      </c>
      <c r="J36" s="31">
        <v>61.52</v>
      </c>
      <c r="K36" s="31">
        <v>55.09</v>
      </c>
      <c r="L36" s="31">
        <v>65.25</v>
      </c>
      <c r="M36" s="31">
        <v>55.43</v>
      </c>
      <c r="N36" s="31">
        <v>92.04</v>
      </c>
      <c r="O36" s="31">
        <v>92.04</v>
      </c>
      <c r="P36" s="31">
        <v>98.22</v>
      </c>
      <c r="Q36" s="31">
        <v>59.83</v>
      </c>
      <c r="R36" s="31">
        <v>68.650000000000006</v>
      </c>
      <c r="T36" s="31">
        <v>53.32</v>
      </c>
      <c r="U36" s="31">
        <v>28.83</v>
      </c>
    </row>
    <row r="37" spans="2:21" x14ac:dyDescent="0.2">
      <c r="B37" s="31">
        <v>0.90027777777777773</v>
      </c>
      <c r="C37" s="31">
        <v>1.8669444444444401</v>
      </c>
      <c r="D37" s="31">
        <v>1.7336111111111101</v>
      </c>
      <c r="E37" s="31">
        <v>1.33361111111111</v>
      </c>
      <c r="F37" s="31">
        <v>1.20027777777778</v>
      </c>
      <c r="G37" s="31">
        <v>67.239999999999995</v>
      </c>
      <c r="H37" s="31">
        <v>54.12</v>
      </c>
      <c r="I37" s="31">
        <v>64.61</v>
      </c>
      <c r="J37" s="31">
        <v>60.87</v>
      </c>
      <c r="K37" s="31">
        <v>54.64</v>
      </c>
      <c r="L37" s="31">
        <v>64.930000000000007</v>
      </c>
      <c r="M37" s="31">
        <v>55.28</v>
      </c>
      <c r="N37" s="31">
        <v>91.34</v>
      </c>
      <c r="O37" s="31">
        <v>92.04</v>
      </c>
      <c r="P37" s="31">
        <v>97.68</v>
      </c>
      <c r="Q37" s="31">
        <v>58.9</v>
      </c>
      <c r="R37" s="31">
        <v>68.12</v>
      </c>
      <c r="T37" s="31">
        <v>52.39</v>
      </c>
      <c r="U37" s="31">
        <v>28.24</v>
      </c>
    </row>
    <row r="38" spans="2:21" x14ac:dyDescent="0.2">
      <c r="B38" s="31">
        <v>0.93361111111111106</v>
      </c>
      <c r="C38" s="31">
        <v>1.90027777777778</v>
      </c>
      <c r="D38" s="31">
        <v>1.76694444444444</v>
      </c>
      <c r="E38" s="31">
        <v>1.3669444444444401</v>
      </c>
      <c r="F38" s="31">
        <v>1.2336111111111101</v>
      </c>
      <c r="G38" s="31">
        <v>66.91</v>
      </c>
      <c r="H38" s="31">
        <v>53.96</v>
      </c>
      <c r="I38" s="31">
        <v>64.12</v>
      </c>
      <c r="J38" s="31">
        <v>59.74</v>
      </c>
      <c r="K38" s="31">
        <v>53.88</v>
      </c>
      <c r="L38" s="31">
        <v>64.62</v>
      </c>
      <c r="M38" s="31">
        <v>54.66</v>
      </c>
      <c r="N38" s="31">
        <v>90.82</v>
      </c>
      <c r="O38" s="31">
        <v>91.69</v>
      </c>
      <c r="P38" s="31">
        <v>97.33</v>
      </c>
      <c r="Q38" s="31">
        <v>57.67</v>
      </c>
      <c r="R38" s="31">
        <v>67.42</v>
      </c>
      <c r="T38" s="31">
        <v>51.77</v>
      </c>
      <c r="U38" s="31">
        <v>27.8</v>
      </c>
    </row>
    <row r="39" spans="2:21" x14ac:dyDescent="0.2">
      <c r="B39" s="31">
        <v>0.96694444444444438</v>
      </c>
      <c r="C39" s="31">
        <v>1.9336111111111101</v>
      </c>
      <c r="D39" s="31">
        <v>1.8002777777777801</v>
      </c>
      <c r="E39" s="31">
        <v>1.40027777777778</v>
      </c>
      <c r="F39" s="31">
        <v>1.26694444444444</v>
      </c>
      <c r="G39" s="31">
        <v>66.58</v>
      </c>
      <c r="H39" s="31">
        <v>53.64</v>
      </c>
      <c r="I39" s="31">
        <v>63.63</v>
      </c>
      <c r="J39" s="31">
        <v>58.93</v>
      </c>
      <c r="K39" s="31">
        <v>52.52</v>
      </c>
      <c r="L39" s="31">
        <v>63.85</v>
      </c>
      <c r="M39" s="31">
        <v>54.51</v>
      </c>
      <c r="N39" s="31">
        <v>91.16</v>
      </c>
      <c r="O39" s="31">
        <v>91.34</v>
      </c>
      <c r="P39" s="31">
        <v>97.15</v>
      </c>
      <c r="Q39" s="31">
        <v>56.13</v>
      </c>
      <c r="R39" s="31">
        <v>66.89</v>
      </c>
      <c r="T39" s="31">
        <v>50.53</v>
      </c>
      <c r="U39" s="31">
        <v>27.36</v>
      </c>
    </row>
    <row r="40" spans="2:21" x14ac:dyDescent="0.2">
      <c r="B40" s="31">
        <v>1.0002777777777778</v>
      </c>
      <c r="C40" s="31">
        <v>1.9669444444444399</v>
      </c>
      <c r="D40" s="31">
        <v>1.83361111111111</v>
      </c>
      <c r="E40" s="31">
        <v>1.4336111111111101</v>
      </c>
      <c r="F40" s="31">
        <v>1.3002777777777801</v>
      </c>
      <c r="G40" s="31">
        <v>66.09</v>
      </c>
      <c r="H40" s="31">
        <v>52.85</v>
      </c>
      <c r="I40" s="31">
        <v>63.47</v>
      </c>
      <c r="J40" s="31">
        <v>58.28</v>
      </c>
      <c r="K40" s="31">
        <v>51.17</v>
      </c>
      <c r="L40" s="31">
        <v>63.22</v>
      </c>
      <c r="M40" s="31">
        <v>54.05</v>
      </c>
      <c r="N40" s="31">
        <v>90.47</v>
      </c>
      <c r="O40" s="31">
        <v>90.99</v>
      </c>
      <c r="P40" s="31">
        <v>97.15</v>
      </c>
      <c r="Q40" s="31">
        <v>55.36</v>
      </c>
      <c r="R40" s="31">
        <v>66.37</v>
      </c>
      <c r="T40" s="31">
        <v>50.06</v>
      </c>
      <c r="U40" s="31">
        <v>26.92</v>
      </c>
    </row>
    <row r="41" spans="2:21" x14ac:dyDescent="0.2">
      <c r="B41" s="31">
        <v>1.033611111111111</v>
      </c>
      <c r="C41" s="31">
        <v>2.00027777777778</v>
      </c>
      <c r="D41" s="31">
        <v>1.8669444444444401</v>
      </c>
      <c r="E41" s="31">
        <v>1.4669444444444399</v>
      </c>
      <c r="F41" s="31">
        <v>1.33361111111111</v>
      </c>
      <c r="G41" s="31">
        <v>65.760000000000005</v>
      </c>
      <c r="H41" s="31">
        <v>51.89</v>
      </c>
      <c r="I41" s="31">
        <v>63.31</v>
      </c>
      <c r="J41" s="31">
        <v>57.32</v>
      </c>
      <c r="K41" s="31">
        <v>49.37</v>
      </c>
      <c r="L41" s="31">
        <v>62.6</v>
      </c>
      <c r="M41" s="31">
        <v>53.59</v>
      </c>
      <c r="N41" s="31">
        <v>90.12</v>
      </c>
      <c r="O41" s="31">
        <v>90.64</v>
      </c>
      <c r="P41" s="31">
        <v>96.8</v>
      </c>
      <c r="Q41" s="31">
        <v>54.6</v>
      </c>
      <c r="R41" s="31">
        <v>65.849999999999994</v>
      </c>
      <c r="T41" s="31">
        <v>49.29</v>
      </c>
      <c r="U41" s="31">
        <v>26.48</v>
      </c>
    </row>
    <row r="42" spans="2:21" x14ac:dyDescent="0.2">
      <c r="B42" s="31">
        <v>1.0669444444444445</v>
      </c>
      <c r="C42" s="31">
        <v>2.0336111111111101</v>
      </c>
      <c r="D42" s="31">
        <v>1.90027777777778</v>
      </c>
      <c r="E42" s="31">
        <v>1.50027777777778</v>
      </c>
      <c r="F42" s="31">
        <v>1.3669444444444401</v>
      </c>
      <c r="G42" s="31">
        <v>65.430000000000007</v>
      </c>
      <c r="H42" s="31">
        <v>51.26</v>
      </c>
      <c r="I42" s="31">
        <v>62</v>
      </c>
      <c r="J42" s="31">
        <v>56.84</v>
      </c>
      <c r="K42" s="31">
        <v>47.43</v>
      </c>
      <c r="L42" s="31">
        <v>61.68</v>
      </c>
      <c r="M42" s="31">
        <v>53.43</v>
      </c>
      <c r="N42" s="31">
        <v>89.77</v>
      </c>
      <c r="O42" s="31">
        <v>90.29</v>
      </c>
      <c r="P42" s="31">
        <v>96.44</v>
      </c>
      <c r="Q42" s="31">
        <v>53.99</v>
      </c>
      <c r="R42" s="31">
        <v>64.8</v>
      </c>
      <c r="T42" s="31">
        <v>48.52</v>
      </c>
      <c r="U42" s="31">
        <v>25.9</v>
      </c>
    </row>
    <row r="43" spans="2:21" x14ac:dyDescent="0.2">
      <c r="B43" s="31">
        <v>1.1002777777777777</v>
      </c>
      <c r="C43" s="31">
        <v>2.0669444444444398</v>
      </c>
      <c r="D43" s="31">
        <v>1.9336111111111101</v>
      </c>
      <c r="E43" s="31">
        <v>1.5336111111111099</v>
      </c>
      <c r="F43" s="31">
        <v>1.40027777777778</v>
      </c>
      <c r="G43" s="31">
        <v>65.27</v>
      </c>
      <c r="H43" s="31">
        <v>50.63</v>
      </c>
      <c r="I43" s="31">
        <v>61.52</v>
      </c>
      <c r="J43" s="31">
        <v>56.2</v>
      </c>
      <c r="K43" s="31">
        <v>45.95</v>
      </c>
      <c r="L43" s="31">
        <v>60.6</v>
      </c>
      <c r="M43" s="31">
        <v>52.97</v>
      </c>
      <c r="N43" s="31">
        <v>89.42</v>
      </c>
      <c r="O43" s="31">
        <v>90.12</v>
      </c>
      <c r="P43" s="31">
        <v>96.27</v>
      </c>
      <c r="Q43" s="31">
        <v>53.99</v>
      </c>
      <c r="R43" s="31">
        <v>63.93</v>
      </c>
      <c r="T43" s="31">
        <v>47.75</v>
      </c>
      <c r="U43" s="31">
        <v>25.6</v>
      </c>
    </row>
    <row r="44" spans="2:21" x14ac:dyDescent="0.2">
      <c r="B44" s="31">
        <v>1.1336111111111111</v>
      </c>
      <c r="C44" s="31">
        <v>2.1002777777777801</v>
      </c>
      <c r="D44" s="31">
        <v>1.9669444444444399</v>
      </c>
      <c r="E44" s="31">
        <v>1.56694444444444</v>
      </c>
      <c r="F44" s="31">
        <v>1.4336111111111101</v>
      </c>
      <c r="G44" s="31">
        <v>64.78</v>
      </c>
      <c r="H44" s="31">
        <v>50</v>
      </c>
      <c r="I44" s="31">
        <v>61.19</v>
      </c>
      <c r="J44" s="31">
        <v>55.4</v>
      </c>
      <c r="K44" s="31">
        <v>44.76</v>
      </c>
      <c r="L44" s="31">
        <v>59.67</v>
      </c>
      <c r="M44" s="31">
        <v>52.36</v>
      </c>
      <c r="N44" s="31">
        <v>88.72</v>
      </c>
      <c r="O44" s="31">
        <v>89.77</v>
      </c>
      <c r="P44" s="31">
        <v>96.27</v>
      </c>
      <c r="Q44" s="31">
        <v>52.92</v>
      </c>
      <c r="R44" s="31">
        <v>63.06</v>
      </c>
      <c r="T44" s="31">
        <v>47.44</v>
      </c>
      <c r="U44" s="31">
        <v>25.02</v>
      </c>
    </row>
    <row r="45" spans="2:21" x14ac:dyDescent="0.2">
      <c r="B45" s="31">
        <v>1.1669444444444443</v>
      </c>
      <c r="C45" s="31">
        <v>2.1336111111111098</v>
      </c>
      <c r="D45" s="31">
        <v>2.00027777777778</v>
      </c>
      <c r="E45" s="31">
        <v>1.6002777777777799</v>
      </c>
      <c r="F45" s="31">
        <v>1.4669444444444399</v>
      </c>
      <c r="G45" s="31">
        <v>64.12</v>
      </c>
      <c r="H45" s="31">
        <v>49.21</v>
      </c>
      <c r="I45" s="31">
        <v>60.87</v>
      </c>
      <c r="J45" s="31">
        <v>54.76</v>
      </c>
      <c r="K45" s="31">
        <v>44.17</v>
      </c>
      <c r="L45" s="31">
        <v>58.91</v>
      </c>
      <c r="M45" s="31">
        <v>51.9</v>
      </c>
      <c r="N45" s="31">
        <v>88.03</v>
      </c>
      <c r="O45" s="31">
        <v>89.42</v>
      </c>
      <c r="P45" s="31">
        <v>96.09</v>
      </c>
      <c r="Q45" s="31">
        <v>52.01</v>
      </c>
      <c r="R45" s="31">
        <v>62.02</v>
      </c>
      <c r="T45" s="31">
        <v>46.67</v>
      </c>
      <c r="U45" s="31">
        <v>24.73</v>
      </c>
    </row>
    <row r="46" spans="2:21" x14ac:dyDescent="0.2">
      <c r="B46" s="31">
        <v>1.2002777777777778</v>
      </c>
      <c r="C46" s="31">
        <v>2.1669444444444399</v>
      </c>
      <c r="D46" s="31">
        <v>2.0336111111111101</v>
      </c>
      <c r="E46" s="31">
        <v>1.63361111111111</v>
      </c>
      <c r="F46" s="31">
        <v>1.50027777777778</v>
      </c>
      <c r="G46" s="31">
        <v>63.96</v>
      </c>
      <c r="H46" s="31">
        <v>48.27</v>
      </c>
      <c r="I46" s="31">
        <v>60.54</v>
      </c>
      <c r="J46" s="31">
        <v>54.12</v>
      </c>
      <c r="K46" s="31">
        <v>44.03</v>
      </c>
      <c r="L46" s="31">
        <v>57.99</v>
      </c>
      <c r="M46" s="31">
        <v>51.44</v>
      </c>
      <c r="N46" s="31">
        <v>87.34</v>
      </c>
      <c r="O46" s="31">
        <v>89.07</v>
      </c>
      <c r="P46" s="31">
        <v>95.56</v>
      </c>
      <c r="Q46" s="31">
        <v>51.1</v>
      </c>
      <c r="R46" s="31">
        <v>61.33</v>
      </c>
      <c r="T46" s="31">
        <v>45.91</v>
      </c>
      <c r="U46" s="31">
        <v>24.14</v>
      </c>
    </row>
    <row r="47" spans="2:21" x14ac:dyDescent="0.2">
      <c r="B47" s="31">
        <v>1.233611111111111</v>
      </c>
      <c r="C47" s="31">
        <v>2.2002777777777802</v>
      </c>
      <c r="D47" s="31">
        <v>2.0669444444444398</v>
      </c>
      <c r="E47" s="31">
        <v>1.6669444444444399</v>
      </c>
      <c r="F47" s="31">
        <v>1.5336111111111099</v>
      </c>
      <c r="G47" s="31">
        <v>63.47</v>
      </c>
      <c r="H47" s="31">
        <v>47.17</v>
      </c>
      <c r="I47" s="31">
        <v>60.06</v>
      </c>
      <c r="J47" s="31">
        <v>53.32</v>
      </c>
      <c r="K47" s="31">
        <v>43.88</v>
      </c>
      <c r="L47" s="31">
        <v>57.38</v>
      </c>
      <c r="M47" s="31">
        <v>51.14</v>
      </c>
      <c r="N47" s="31">
        <v>86.47</v>
      </c>
      <c r="O47" s="31">
        <v>88.72</v>
      </c>
      <c r="P47" s="31">
        <v>95.38</v>
      </c>
      <c r="Q47" s="31">
        <v>50.19</v>
      </c>
      <c r="R47" s="31">
        <v>60.64</v>
      </c>
      <c r="T47" s="31">
        <v>44.99</v>
      </c>
      <c r="U47" s="31">
        <v>23.85</v>
      </c>
    </row>
    <row r="48" spans="2:21" x14ac:dyDescent="0.2">
      <c r="B48" s="31">
        <v>1.2669444444444444</v>
      </c>
      <c r="C48" s="31">
        <v>2.2336111111111099</v>
      </c>
      <c r="D48" s="31">
        <v>2.1002777777777801</v>
      </c>
      <c r="E48" s="31">
        <v>1.70027777777778</v>
      </c>
      <c r="F48" s="31">
        <v>1.56694444444444</v>
      </c>
      <c r="G48" s="31">
        <v>63.14</v>
      </c>
      <c r="H48" s="31">
        <v>46.54</v>
      </c>
      <c r="I48" s="31">
        <v>59.25</v>
      </c>
      <c r="J48" s="31">
        <v>52.85</v>
      </c>
      <c r="K48" s="31">
        <v>43.88</v>
      </c>
      <c r="L48" s="31">
        <v>56.92</v>
      </c>
      <c r="M48" s="31">
        <v>50.53</v>
      </c>
      <c r="N48" s="31">
        <v>86.64</v>
      </c>
      <c r="O48" s="31">
        <v>88.72</v>
      </c>
      <c r="P48" s="31">
        <v>95.38</v>
      </c>
      <c r="Q48" s="31">
        <v>48.98</v>
      </c>
      <c r="R48" s="31">
        <v>59.78</v>
      </c>
      <c r="T48" s="31">
        <v>43.93</v>
      </c>
      <c r="U48" s="31">
        <v>23.56</v>
      </c>
    </row>
    <row r="49" spans="2:21" x14ac:dyDescent="0.2">
      <c r="B49" s="31">
        <v>1.3002777777777779</v>
      </c>
      <c r="C49" s="31">
        <v>2.26694444444444</v>
      </c>
      <c r="D49" s="31">
        <v>2.1336111111111098</v>
      </c>
      <c r="E49" s="31">
        <v>1.7336111111111101</v>
      </c>
      <c r="F49" s="31">
        <v>1.6002777777777799</v>
      </c>
      <c r="G49" s="31">
        <v>62.49</v>
      </c>
      <c r="H49" s="31">
        <v>45.61</v>
      </c>
      <c r="I49" s="31">
        <v>58.77</v>
      </c>
      <c r="J49" s="31">
        <v>51.89</v>
      </c>
      <c r="K49" s="31">
        <v>43.29</v>
      </c>
      <c r="L49" s="31">
        <v>56.46</v>
      </c>
      <c r="M49" s="31">
        <v>50.07</v>
      </c>
      <c r="N49" s="31">
        <v>85.44</v>
      </c>
      <c r="O49" s="31">
        <v>88.2</v>
      </c>
      <c r="P49" s="31">
        <v>94.68</v>
      </c>
      <c r="Q49" s="31">
        <v>48.23</v>
      </c>
      <c r="R49" s="31">
        <v>59.26</v>
      </c>
      <c r="T49" s="31">
        <v>43.17</v>
      </c>
      <c r="U49" s="31">
        <v>23.12</v>
      </c>
    </row>
    <row r="50" spans="2:21" x14ac:dyDescent="0.2">
      <c r="B50" s="31">
        <v>1.3336111111111111</v>
      </c>
      <c r="C50" s="31">
        <v>2.3002777777777799</v>
      </c>
      <c r="D50" s="31">
        <v>2.1669444444444399</v>
      </c>
      <c r="E50" s="31">
        <v>1.76694444444444</v>
      </c>
      <c r="F50" s="31">
        <v>1.63361111111111</v>
      </c>
      <c r="G50" s="31">
        <v>62</v>
      </c>
      <c r="H50" s="31">
        <v>44.98</v>
      </c>
      <c r="I50" s="31">
        <v>58.28</v>
      </c>
      <c r="J50" s="31">
        <v>51.26</v>
      </c>
      <c r="K50" s="31">
        <v>42.55</v>
      </c>
      <c r="L50" s="31">
        <v>56</v>
      </c>
      <c r="M50" s="31">
        <v>49.47</v>
      </c>
      <c r="N50" s="31">
        <v>85.44</v>
      </c>
      <c r="O50" s="31">
        <v>87.86</v>
      </c>
      <c r="P50" s="31">
        <v>94.85</v>
      </c>
      <c r="Q50" s="31">
        <v>47.33</v>
      </c>
      <c r="R50" s="31">
        <v>58.4</v>
      </c>
      <c r="T50" s="31">
        <v>42.71</v>
      </c>
      <c r="U50" s="31">
        <v>22.83</v>
      </c>
    </row>
    <row r="51" spans="2:21" x14ac:dyDescent="0.2">
      <c r="B51" s="31">
        <v>1.3669444444444445</v>
      </c>
      <c r="C51" s="31">
        <v>2.33361111111111</v>
      </c>
      <c r="D51" s="31">
        <v>2.2002777777777802</v>
      </c>
      <c r="E51" s="31">
        <v>1.8002777777777801</v>
      </c>
      <c r="F51" s="31">
        <v>1.6669444444444399</v>
      </c>
      <c r="G51" s="31">
        <v>61.52</v>
      </c>
      <c r="H51" s="31">
        <v>44.52</v>
      </c>
      <c r="I51" s="31">
        <v>57.48</v>
      </c>
      <c r="J51" s="31">
        <v>50</v>
      </c>
      <c r="K51" s="31">
        <v>41.67</v>
      </c>
      <c r="L51" s="31">
        <v>56</v>
      </c>
      <c r="M51" s="31">
        <v>48.86</v>
      </c>
      <c r="N51" s="31">
        <v>84.58</v>
      </c>
      <c r="O51" s="31">
        <v>87.68</v>
      </c>
      <c r="P51" s="31">
        <v>94.32</v>
      </c>
      <c r="Q51" s="31">
        <v>46.58</v>
      </c>
      <c r="R51" s="31">
        <v>57.72</v>
      </c>
      <c r="T51" s="31">
        <v>41.95</v>
      </c>
      <c r="U51" s="31">
        <v>22.11</v>
      </c>
    </row>
    <row r="52" spans="2:21" x14ac:dyDescent="0.2">
      <c r="B52" s="31">
        <v>1.4002777777777777</v>
      </c>
      <c r="C52" s="31">
        <v>2.3669444444444401</v>
      </c>
      <c r="D52" s="31">
        <v>2.2336111111111099</v>
      </c>
      <c r="E52" s="31">
        <v>1.83361111111111</v>
      </c>
      <c r="F52" s="31">
        <v>1.70027777777778</v>
      </c>
      <c r="G52" s="31">
        <v>61.03</v>
      </c>
      <c r="H52" s="31">
        <v>43.58</v>
      </c>
      <c r="I52" s="31">
        <v>57.16</v>
      </c>
      <c r="J52" s="31">
        <v>49.21</v>
      </c>
      <c r="K52" s="31">
        <v>40.65</v>
      </c>
      <c r="L52" s="31">
        <v>55.24</v>
      </c>
      <c r="M52" s="31">
        <v>48.1</v>
      </c>
      <c r="N52" s="31">
        <v>84.58</v>
      </c>
      <c r="O52" s="31">
        <v>87.16</v>
      </c>
      <c r="P52" s="31">
        <v>94.5</v>
      </c>
      <c r="Q52" s="31">
        <v>45.53</v>
      </c>
      <c r="R52" s="31">
        <v>57.03</v>
      </c>
      <c r="T52" s="31">
        <v>41.2</v>
      </c>
      <c r="U52" s="31">
        <v>21.38</v>
      </c>
    </row>
    <row r="53" spans="2:21" x14ac:dyDescent="0.2">
      <c r="B53" s="31">
        <v>1.4336111111111112</v>
      </c>
      <c r="C53" s="31">
        <v>2.40027777777778</v>
      </c>
      <c r="D53" s="31">
        <v>2.26694444444444</v>
      </c>
      <c r="E53" s="31">
        <v>1.8669444444444401</v>
      </c>
      <c r="F53" s="31">
        <v>1.7336111111111101</v>
      </c>
      <c r="G53" s="31">
        <v>60.71</v>
      </c>
      <c r="H53" s="31">
        <v>42.81</v>
      </c>
      <c r="I53" s="31">
        <v>56.52</v>
      </c>
      <c r="J53" s="31">
        <v>48.11</v>
      </c>
      <c r="K53" s="31">
        <v>39.78</v>
      </c>
      <c r="L53" s="31">
        <v>55.24</v>
      </c>
      <c r="M53" s="31">
        <v>47.65</v>
      </c>
      <c r="N53" s="31">
        <v>83.89</v>
      </c>
      <c r="O53" s="31">
        <v>86.99</v>
      </c>
      <c r="P53" s="31">
        <v>94.32</v>
      </c>
      <c r="Q53" s="31">
        <v>44.79</v>
      </c>
      <c r="R53" s="31">
        <v>56.35</v>
      </c>
      <c r="T53" s="31">
        <v>40.29</v>
      </c>
      <c r="U53" s="31">
        <v>20.95</v>
      </c>
    </row>
    <row r="54" spans="2:21" x14ac:dyDescent="0.2">
      <c r="B54" s="31">
        <v>1.4669444444444444</v>
      </c>
      <c r="C54" s="31">
        <v>2.4336111111111101</v>
      </c>
      <c r="D54" s="31">
        <v>2.3002777777777799</v>
      </c>
      <c r="E54" s="31">
        <v>1.90027777777778</v>
      </c>
      <c r="F54" s="31">
        <v>1.76694444444444</v>
      </c>
      <c r="G54" s="31">
        <v>60.06</v>
      </c>
      <c r="H54" s="31">
        <v>42.19</v>
      </c>
      <c r="I54" s="31">
        <v>55.72</v>
      </c>
      <c r="J54" s="31">
        <v>47.01</v>
      </c>
      <c r="K54" s="31">
        <v>38.9</v>
      </c>
      <c r="L54" s="31">
        <v>54.79</v>
      </c>
      <c r="M54" s="31">
        <v>46.89</v>
      </c>
      <c r="N54" s="31">
        <v>83.37</v>
      </c>
      <c r="O54" s="31">
        <v>86.82</v>
      </c>
      <c r="P54" s="31">
        <v>93.97</v>
      </c>
      <c r="Q54" s="31">
        <v>44.04</v>
      </c>
      <c r="R54" s="31">
        <v>55.67</v>
      </c>
      <c r="T54" s="31">
        <v>39.24</v>
      </c>
      <c r="U54" s="31">
        <v>20.66</v>
      </c>
    </row>
    <row r="55" spans="2:21" x14ac:dyDescent="0.2">
      <c r="B55" s="31">
        <v>1.5002777777777778</v>
      </c>
      <c r="C55" s="31">
        <v>2.4669444444444402</v>
      </c>
      <c r="D55" s="31">
        <v>2.33361111111111</v>
      </c>
      <c r="E55" s="31">
        <v>1.9336111111111101</v>
      </c>
      <c r="F55" s="31">
        <v>1.8002777777777801</v>
      </c>
      <c r="G55" s="31">
        <v>59.9</v>
      </c>
      <c r="H55" s="31">
        <v>41.73</v>
      </c>
      <c r="I55" s="31">
        <v>55.08</v>
      </c>
      <c r="J55" s="31">
        <v>46.23</v>
      </c>
      <c r="K55" s="31">
        <v>38.03</v>
      </c>
      <c r="L55" s="31">
        <v>54.33</v>
      </c>
      <c r="M55" s="31">
        <v>46.29</v>
      </c>
      <c r="N55" s="31">
        <v>82.69</v>
      </c>
      <c r="O55" s="31">
        <v>86.3</v>
      </c>
      <c r="P55" s="31">
        <v>93.62</v>
      </c>
      <c r="Q55" s="31">
        <v>43.45</v>
      </c>
      <c r="R55" s="31">
        <v>54.98</v>
      </c>
      <c r="T55" s="31">
        <v>38.49</v>
      </c>
      <c r="U55" s="31">
        <v>20.37</v>
      </c>
    </row>
    <row r="56" spans="2:21" x14ac:dyDescent="0.2">
      <c r="B56" s="31">
        <v>1.533611111111111</v>
      </c>
      <c r="C56" s="31">
        <v>2.50027777777778</v>
      </c>
      <c r="D56" s="31">
        <v>2.3669444444444401</v>
      </c>
      <c r="E56" s="31">
        <v>1.9669444444444399</v>
      </c>
      <c r="F56" s="31">
        <v>1.83361111111111</v>
      </c>
      <c r="G56" s="31">
        <v>59.25</v>
      </c>
      <c r="H56" s="31">
        <v>40.799999999999997</v>
      </c>
      <c r="I56" s="31">
        <v>54.92</v>
      </c>
      <c r="J56" s="31">
        <v>45.29</v>
      </c>
      <c r="K56" s="31">
        <v>37.450000000000003</v>
      </c>
      <c r="L56" s="31">
        <v>53.73</v>
      </c>
      <c r="M56" s="31">
        <v>45.54</v>
      </c>
      <c r="N56" s="31">
        <v>81.489999999999995</v>
      </c>
      <c r="O56" s="31">
        <v>85.95</v>
      </c>
      <c r="P56" s="31">
        <v>93.27</v>
      </c>
      <c r="Q56" s="31">
        <v>43</v>
      </c>
      <c r="R56" s="31">
        <v>54.3</v>
      </c>
      <c r="T56" s="31">
        <v>38.19</v>
      </c>
      <c r="U56" s="31">
        <v>20.09</v>
      </c>
    </row>
    <row r="57" spans="2:21" x14ac:dyDescent="0.2">
      <c r="B57" s="31">
        <v>1.5669444444444445</v>
      </c>
      <c r="C57" s="31">
        <v>2.5336111111111101</v>
      </c>
      <c r="D57" s="31">
        <v>2.40027777777778</v>
      </c>
      <c r="E57" s="31">
        <v>2.00027777777778</v>
      </c>
      <c r="F57" s="31">
        <v>1.8669444444444401</v>
      </c>
      <c r="G57" s="31">
        <v>58.44</v>
      </c>
      <c r="H57" s="31">
        <v>39.72</v>
      </c>
      <c r="I57" s="31">
        <v>54.12</v>
      </c>
      <c r="J57" s="31">
        <v>44.67</v>
      </c>
      <c r="K57" s="31">
        <v>37.159999999999997</v>
      </c>
      <c r="L57" s="31">
        <v>53.28</v>
      </c>
      <c r="M57" s="31">
        <v>44.79</v>
      </c>
      <c r="N57" s="31">
        <v>80.64</v>
      </c>
      <c r="O57" s="31">
        <v>85.95</v>
      </c>
      <c r="P57" s="31">
        <v>93.44</v>
      </c>
      <c r="Q57" s="31">
        <v>42.26</v>
      </c>
      <c r="R57" s="31">
        <v>53.46</v>
      </c>
      <c r="T57" s="31">
        <v>37.44</v>
      </c>
      <c r="U57" s="31">
        <v>19.649999999999999</v>
      </c>
    </row>
    <row r="58" spans="2:21" x14ac:dyDescent="0.2">
      <c r="B58" s="31">
        <v>1.6002777777777777</v>
      </c>
      <c r="C58" s="31">
        <v>2.5669444444444398</v>
      </c>
      <c r="D58" s="31">
        <v>2.4336111111111101</v>
      </c>
      <c r="E58" s="31">
        <v>2.0336111111111101</v>
      </c>
      <c r="F58" s="31">
        <v>1.90027777777778</v>
      </c>
      <c r="G58" s="31">
        <v>58.12</v>
      </c>
      <c r="H58" s="31">
        <v>38.96</v>
      </c>
      <c r="I58" s="31">
        <v>53.16</v>
      </c>
      <c r="J58" s="31">
        <v>44.36</v>
      </c>
      <c r="K58" s="31">
        <v>36.58</v>
      </c>
      <c r="L58" s="31">
        <v>52.67</v>
      </c>
      <c r="M58" s="31">
        <v>43.89</v>
      </c>
      <c r="N58" s="31">
        <v>79.959999999999994</v>
      </c>
      <c r="O58" s="31">
        <v>85.44</v>
      </c>
      <c r="P58" s="31">
        <v>93.27</v>
      </c>
      <c r="Q58" s="31">
        <v>41.52</v>
      </c>
      <c r="R58" s="31">
        <v>52.61</v>
      </c>
      <c r="T58" s="31">
        <v>36.39</v>
      </c>
      <c r="U58" s="31">
        <v>19.36</v>
      </c>
    </row>
    <row r="59" spans="2:21" x14ac:dyDescent="0.2">
      <c r="B59" s="31">
        <v>1.6336111111111111</v>
      </c>
      <c r="C59" s="31">
        <v>2.6002777777777801</v>
      </c>
      <c r="D59" s="31">
        <v>2.4669444444444402</v>
      </c>
      <c r="E59" s="31">
        <v>2.0669444444444398</v>
      </c>
      <c r="F59" s="31">
        <v>1.9336111111111101</v>
      </c>
      <c r="G59" s="31">
        <v>57.8</v>
      </c>
      <c r="H59" s="31">
        <v>38.04</v>
      </c>
      <c r="I59" s="31">
        <v>52.85</v>
      </c>
      <c r="J59" s="31">
        <v>43.74</v>
      </c>
      <c r="K59" s="31">
        <v>36.01</v>
      </c>
      <c r="L59" s="31">
        <v>52.07</v>
      </c>
      <c r="M59" s="31">
        <v>43.29</v>
      </c>
      <c r="N59" s="31">
        <v>78.599999999999994</v>
      </c>
      <c r="O59" s="31">
        <v>85.26</v>
      </c>
      <c r="P59" s="31">
        <v>93.44</v>
      </c>
      <c r="Q59" s="31">
        <v>40.93</v>
      </c>
      <c r="R59" s="31">
        <v>51.76</v>
      </c>
      <c r="T59" s="31">
        <v>35.799999999999997</v>
      </c>
      <c r="U59" s="31">
        <v>18.93</v>
      </c>
    </row>
    <row r="60" spans="2:21" x14ac:dyDescent="0.2">
      <c r="B60" s="31">
        <v>1.6669444444444443</v>
      </c>
      <c r="C60" s="31">
        <v>2.6336111111111098</v>
      </c>
      <c r="D60" s="31">
        <v>2.50027777777778</v>
      </c>
      <c r="E60" s="31">
        <v>2.1002777777777801</v>
      </c>
      <c r="F60" s="31">
        <v>1.9669444444444399</v>
      </c>
      <c r="G60" s="31">
        <v>57.32</v>
      </c>
      <c r="H60" s="31">
        <v>37.119999999999997</v>
      </c>
      <c r="I60" s="31">
        <v>52.53</v>
      </c>
      <c r="J60" s="31">
        <v>43.43</v>
      </c>
      <c r="K60" s="31">
        <v>35.57</v>
      </c>
      <c r="L60" s="31">
        <v>51.32</v>
      </c>
      <c r="M60" s="31">
        <v>42.4</v>
      </c>
      <c r="N60" s="31">
        <v>77.58</v>
      </c>
      <c r="O60" s="31">
        <v>84.75</v>
      </c>
      <c r="P60" s="31">
        <v>93.27</v>
      </c>
      <c r="Q60" s="31">
        <v>40.19</v>
      </c>
      <c r="R60" s="31">
        <v>51.09</v>
      </c>
      <c r="T60" s="31">
        <v>35.049999999999997</v>
      </c>
      <c r="U60" s="31">
        <v>18.79</v>
      </c>
    </row>
    <row r="61" spans="2:21" x14ac:dyDescent="0.2">
      <c r="B61" s="31">
        <v>1.7002777777777778</v>
      </c>
      <c r="C61" s="31">
        <v>2.6669444444444399</v>
      </c>
      <c r="D61" s="31">
        <v>2.5336111111111101</v>
      </c>
      <c r="E61" s="31">
        <v>2.1336111111111098</v>
      </c>
      <c r="F61" s="31">
        <v>2.00027777777778</v>
      </c>
      <c r="G61" s="31">
        <v>56.84</v>
      </c>
      <c r="H61" s="31">
        <v>35.75</v>
      </c>
      <c r="I61" s="31">
        <v>52.21</v>
      </c>
      <c r="J61" s="31">
        <v>43.27</v>
      </c>
      <c r="K61" s="31">
        <v>35.14</v>
      </c>
      <c r="L61" s="31">
        <v>50.87</v>
      </c>
      <c r="M61" s="31">
        <v>41.8</v>
      </c>
      <c r="N61" s="31">
        <v>75.900000000000006</v>
      </c>
      <c r="O61" s="31">
        <v>84.4</v>
      </c>
      <c r="P61" s="31">
        <v>93.27</v>
      </c>
      <c r="Q61" s="31">
        <v>39.46</v>
      </c>
      <c r="R61" s="31">
        <v>50.41</v>
      </c>
      <c r="T61" s="31">
        <v>34.46</v>
      </c>
      <c r="U61" s="31">
        <v>18.649999999999999</v>
      </c>
    </row>
    <row r="62" spans="2:21" x14ac:dyDescent="0.2">
      <c r="B62" s="31">
        <v>1.733611111111111</v>
      </c>
      <c r="C62" s="31">
        <v>2.7002777777777802</v>
      </c>
      <c r="D62" s="31">
        <v>2.5669444444444398</v>
      </c>
      <c r="E62" s="31">
        <v>2.1669444444444399</v>
      </c>
      <c r="F62" s="31">
        <v>2.0336111111111101</v>
      </c>
      <c r="G62" s="31">
        <v>56.36</v>
      </c>
      <c r="H62" s="31">
        <v>35.14</v>
      </c>
      <c r="I62" s="31">
        <v>52.05</v>
      </c>
      <c r="J62" s="31">
        <v>42.96</v>
      </c>
      <c r="K62" s="31">
        <v>34.85</v>
      </c>
      <c r="L62" s="31">
        <v>50.42</v>
      </c>
      <c r="M62" s="31">
        <v>40.909999999999997</v>
      </c>
      <c r="N62" s="31">
        <v>74.05</v>
      </c>
      <c r="O62" s="31">
        <v>84.06</v>
      </c>
      <c r="P62" s="31">
        <v>92.74</v>
      </c>
      <c r="Q62" s="31">
        <v>38.72</v>
      </c>
      <c r="R62" s="31">
        <v>49.74</v>
      </c>
      <c r="T62" s="31">
        <v>33.42</v>
      </c>
      <c r="U62" s="31">
        <v>18.5</v>
      </c>
    </row>
    <row r="63" spans="2:21" x14ac:dyDescent="0.2">
      <c r="B63" s="31">
        <v>1.7669444444444444</v>
      </c>
      <c r="C63" s="31">
        <v>2.7336111111111099</v>
      </c>
      <c r="D63" s="31">
        <v>2.6002777777777801</v>
      </c>
      <c r="E63" s="31">
        <v>2.2002777777777802</v>
      </c>
      <c r="F63" s="31">
        <v>2.0669444444444398</v>
      </c>
      <c r="G63" s="31">
        <v>56.04</v>
      </c>
      <c r="H63" s="31">
        <v>33.78</v>
      </c>
      <c r="I63" s="31">
        <v>51.42</v>
      </c>
      <c r="J63" s="31">
        <v>43.12</v>
      </c>
      <c r="K63" s="31">
        <v>34.42</v>
      </c>
      <c r="L63" s="31">
        <v>49.97</v>
      </c>
      <c r="M63" s="31">
        <v>40.32</v>
      </c>
      <c r="N63" s="31">
        <v>73.209999999999994</v>
      </c>
      <c r="O63" s="31">
        <v>84.06</v>
      </c>
      <c r="P63" s="31">
        <v>92.74</v>
      </c>
      <c r="Q63" s="31">
        <v>37.99</v>
      </c>
      <c r="R63" s="31">
        <v>48.73</v>
      </c>
      <c r="T63" s="31">
        <v>32.68</v>
      </c>
      <c r="U63" s="31">
        <v>17.93</v>
      </c>
    </row>
    <row r="64" spans="2:21" x14ac:dyDescent="0.2">
      <c r="B64" s="31">
        <v>1.8002777777777779</v>
      </c>
      <c r="C64" s="31">
        <v>2.76694444444444</v>
      </c>
      <c r="D64" s="31">
        <v>2.6336111111111098</v>
      </c>
      <c r="E64" s="31">
        <v>2.2336111111111099</v>
      </c>
      <c r="F64" s="31">
        <v>2.1002777777777801</v>
      </c>
      <c r="G64" s="31">
        <v>55.56</v>
      </c>
      <c r="H64" s="31">
        <v>32.57</v>
      </c>
      <c r="I64" s="31">
        <v>50.79</v>
      </c>
      <c r="J64" s="31">
        <v>42.81</v>
      </c>
      <c r="K64" s="31">
        <v>34.42</v>
      </c>
      <c r="L64" s="31">
        <v>49.82</v>
      </c>
      <c r="M64" s="31">
        <v>39.58</v>
      </c>
      <c r="N64" s="31">
        <v>71.209999999999994</v>
      </c>
      <c r="O64" s="31">
        <v>83.72</v>
      </c>
      <c r="P64" s="31">
        <v>92.57</v>
      </c>
      <c r="Q64" s="31">
        <v>37.26</v>
      </c>
      <c r="R64" s="31">
        <v>48.06</v>
      </c>
      <c r="T64" s="31">
        <v>31.8</v>
      </c>
      <c r="U64" s="31">
        <v>18.07</v>
      </c>
    </row>
    <row r="65" spans="2:21" x14ac:dyDescent="0.2">
      <c r="B65" s="31">
        <v>1.8336111111111111</v>
      </c>
      <c r="C65" s="31">
        <v>2.8002777777777799</v>
      </c>
      <c r="D65" s="31">
        <v>2.6669444444444399</v>
      </c>
      <c r="E65" s="31">
        <v>2.26694444444444</v>
      </c>
      <c r="F65" s="31">
        <v>2.1336111111111098</v>
      </c>
      <c r="G65" s="31">
        <v>55.24</v>
      </c>
      <c r="H65" s="31">
        <v>31.51</v>
      </c>
      <c r="I65" s="31">
        <v>50.63</v>
      </c>
      <c r="J65" s="31">
        <v>42.65</v>
      </c>
      <c r="K65" s="31">
        <v>34.28</v>
      </c>
      <c r="L65" s="31">
        <v>49.52</v>
      </c>
      <c r="M65" s="31">
        <v>39.130000000000003</v>
      </c>
      <c r="N65" s="31">
        <v>69.709999999999994</v>
      </c>
      <c r="O65" s="31">
        <v>83.37</v>
      </c>
      <c r="P65" s="31">
        <v>92.39</v>
      </c>
      <c r="Q65" s="31">
        <v>36.53</v>
      </c>
      <c r="R65" s="31">
        <v>47.23</v>
      </c>
      <c r="T65" s="31">
        <v>31.36</v>
      </c>
      <c r="U65" s="31">
        <v>17.64</v>
      </c>
    </row>
    <row r="66" spans="2:21" x14ac:dyDescent="0.2">
      <c r="B66" s="31">
        <v>1.8669444444444445</v>
      </c>
      <c r="C66" s="31">
        <v>2.83361111111111</v>
      </c>
      <c r="D66" s="31">
        <v>2.7002777777777802</v>
      </c>
      <c r="E66" s="31">
        <v>2.3002777777777799</v>
      </c>
      <c r="F66" s="31">
        <v>2.1669444444444399</v>
      </c>
      <c r="G66" s="31">
        <v>54.76</v>
      </c>
      <c r="H66" s="31">
        <v>30.01</v>
      </c>
      <c r="I66" s="31">
        <v>49.68</v>
      </c>
      <c r="J66" s="31">
        <v>42.5</v>
      </c>
      <c r="K66" s="31">
        <v>33.99</v>
      </c>
      <c r="L66" s="31">
        <v>48.92</v>
      </c>
      <c r="M66" s="31">
        <v>38.4</v>
      </c>
      <c r="N66" s="31">
        <v>68.89</v>
      </c>
      <c r="O66" s="31">
        <v>83.2</v>
      </c>
      <c r="P66" s="31">
        <v>92.39</v>
      </c>
      <c r="Q66" s="31">
        <v>35.799999999999997</v>
      </c>
      <c r="R66" s="31">
        <v>46.39</v>
      </c>
      <c r="T66" s="31">
        <v>30.77</v>
      </c>
      <c r="U66" s="31">
        <v>17.64</v>
      </c>
    </row>
    <row r="67" spans="2:21" x14ac:dyDescent="0.2">
      <c r="B67" s="31">
        <v>1.9002777777777777</v>
      </c>
      <c r="C67" s="31">
        <v>2.8669444444444401</v>
      </c>
      <c r="D67" s="31">
        <v>2.7336111111111099</v>
      </c>
      <c r="E67" s="31">
        <v>2.33361111111111</v>
      </c>
      <c r="F67" s="31">
        <v>2.2002777777777802</v>
      </c>
      <c r="G67" s="31">
        <v>54.28</v>
      </c>
      <c r="H67" s="31">
        <v>28.81</v>
      </c>
      <c r="I67" s="31">
        <v>49.05</v>
      </c>
      <c r="J67" s="31">
        <v>42.04</v>
      </c>
      <c r="K67" s="31">
        <v>33.700000000000003</v>
      </c>
      <c r="L67" s="31">
        <v>48.47</v>
      </c>
      <c r="M67" s="31">
        <v>37.81</v>
      </c>
      <c r="N67" s="31">
        <v>67.73</v>
      </c>
      <c r="O67" s="31">
        <v>82.86</v>
      </c>
      <c r="P67" s="31">
        <v>92.21</v>
      </c>
      <c r="Q67" s="31">
        <v>35.07</v>
      </c>
      <c r="R67" s="31">
        <v>45.39</v>
      </c>
      <c r="T67" s="31">
        <v>29.74</v>
      </c>
      <c r="U67" s="31">
        <v>17.36</v>
      </c>
    </row>
    <row r="68" spans="2:21" x14ac:dyDescent="0.2">
      <c r="B68" s="31">
        <v>1.9336111111111112</v>
      </c>
      <c r="C68" s="31">
        <v>2.90027777777778</v>
      </c>
      <c r="D68" s="31">
        <v>2.76694444444444</v>
      </c>
      <c r="E68" s="31">
        <v>2.3669444444444401</v>
      </c>
      <c r="F68" s="31">
        <v>2.2336111111111099</v>
      </c>
      <c r="G68" s="31">
        <v>53.64</v>
      </c>
      <c r="H68" s="31">
        <v>27.17</v>
      </c>
      <c r="I68" s="31">
        <v>48.27</v>
      </c>
      <c r="J68" s="31">
        <v>41.57</v>
      </c>
      <c r="K68" s="31">
        <v>33.270000000000003</v>
      </c>
      <c r="L68" s="31">
        <v>48.17</v>
      </c>
      <c r="M68" s="31">
        <v>37.07</v>
      </c>
      <c r="N68" s="31">
        <v>66.739999999999995</v>
      </c>
      <c r="O68" s="31">
        <v>82.52</v>
      </c>
      <c r="P68" s="31">
        <v>92.21</v>
      </c>
      <c r="Q68" s="31">
        <v>34.35</v>
      </c>
      <c r="R68" s="31">
        <v>44.56</v>
      </c>
      <c r="T68" s="31">
        <v>29.3</v>
      </c>
      <c r="U68" s="31">
        <v>17.21</v>
      </c>
    </row>
    <row r="69" spans="2:21" x14ac:dyDescent="0.2">
      <c r="B69" s="31">
        <v>1.9669444444444444</v>
      </c>
      <c r="C69" s="31">
        <v>2.9338888888888901</v>
      </c>
      <c r="D69" s="31">
        <v>2.8002777777777799</v>
      </c>
      <c r="E69" s="31">
        <v>2.40027777777778</v>
      </c>
      <c r="F69" s="31">
        <v>2.26694444444444</v>
      </c>
      <c r="G69" s="31">
        <v>53.32</v>
      </c>
      <c r="H69" s="31">
        <v>25.98</v>
      </c>
      <c r="I69" s="31">
        <v>47.33</v>
      </c>
      <c r="J69" s="31">
        <v>40.65</v>
      </c>
      <c r="K69" s="31">
        <v>32.42</v>
      </c>
      <c r="L69" s="31">
        <v>47.58</v>
      </c>
      <c r="M69" s="31">
        <v>36.630000000000003</v>
      </c>
      <c r="N69" s="31">
        <v>66.25</v>
      </c>
      <c r="O69" s="31">
        <v>82.17</v>
      </c>
      <c r="P69" s="31">
        <v>92.21</v>
      </c>
      <c r="Q69" s="31">
        <v>33.619999999999997</v>
      </c>
      <c r="R69" s="31">
        <v>43.57</v>
      </c>
      <c r="T69" s="31">
        <v>28.42</v>
      </c>
      <c r="U69" s="31">
        <v>17.07</v>
      </c>
    </row>
    <row r="70" spans="2:21" x14ac:dyDescent="0.2">
      <c r="B70" s="31">
        <v>2.0002777777777778</v>
      </c>
      <c r="C70" s="31">
        <v>2.9672222222222202</v>
      </c>
      <c r="D70" s="31">
        <v>2.83361111111111</v>
      </c>
      <c r="E70" s="31">
        <v>2.4336111111111101</v>
      </c>
      <c r="F70" s="31">
        <v>2.3002777777777799</v>
      </c>
      <c r="G70" s="31">
        <v>52.53</v>
      </c>
      <c r="H70" s="31">
        <v>24.35</v>
      </c>
      <c r="I70" s="31">
        <v>47.01</v>
      </c>
      <c r="J70" s="31">
        <v>39.72</v>
      </c>
      <c r="K70" s="31">
        <v>31.7</v>
      </c>
      <c r="L70" s="31">
        <v>47.13</v>
      </c>
      <c r="M70" s="31">
        <v>35.9</v>
      </c>
      <c r="N70" s="31">
        <v>64.930000000000007</v>
      </c>
      <c r="O70" s="31">
        <v>82.17</v>
      </c>
      <c r="P70" s="31">
        <v>92.04</v>
      </c>
      <c r="Q70" s="31">
        <v>32.76</v>
      </c>
      <c r="R70" s="31">
        <v>42.57</v>
      </c>
      <c r="T70" s="31">
        <v>27.84</v>
      </c>
      <c r="U70" s="31">
        <v>16.78</v>
      </c>
    </row>
    <row r="71" spans="2:21" x14ac:dyDescent="0.2">
      <c r="B71" s="31">
        <v>2.033611111111111</v>
      </c>
      <c r="C71" s="31">
        <v>3.0005555555555601</v>
      </c>
      <c r="D71" s="31">
        <v>2.8669444444444401</v>
      </c>
      <c r="E71" s="31">
        <v>2.4669444444444402</v>
      </c>
      <c r="F71" s="31">
        <v>2.33361111111111</v>
      </c>
      <c r="G71" s="31">
        <v>52.21</v>
      </c>
      <c r="H71" s="31">
        <v>22.88</v>
      </c>
      <c r="I71" s="31">
        <v>46.86</v>
      </c>
      <c r="J71" s="31">
        <v>38.799999999999997</v>
      </c>
      <c r="K71" s="31">
        <v>30.85</v>
      </c>
      <c r="L71" s="31">
        <v>46.39</v>
      </c>
      <c r="M71" s="31">
        <v>35.31</v>
      </c>
      <c r="N71" s="31">
        <v>64.77</v>
      </c>
      <c r="O71" s="31">
        <v>81.83</v>
      </c>
      <c r="P71" s="31">
        <v>92.04</v>
      </c>
      <c r="Q71" s="31">
        <v>32.04</v>
      </c>
      <c r="R71" s="31">
        <v>41.75</v>
      </c>
      <c r="T71" s="31">
        <v>26.96</v>
      </c>
      <c r="U71" s="31">
        <v>16.64</v>
      </c>
    </row>
    <row r="72" spans="2:21" x14ac:dyDescent="0.2">
      <c r="B72" s="31">
        <v>2.0669444444444443</v>
      </c>
      <c r="C72" s="31">
        <v>3.0338888888888902</v>
      </c>
      <c r="D72" s="31">
        <v>2.90027777777778</v>
      </c>
      <c r="E72" s="31">
        <v>2.50027777777778</v>
      </c>
      <c r="F72" s="31">
        <v>2.3669444444444401</v>
      </c>
      <c r="G72" s="31">
        <v>51.74</v>
      </c>
      <c r="H72" s="31">
        <v>21.56</v>
      </c>
      <c r="I72" s="31">
        <v>46.7</v>
      </c>
      <c r="J72" s="31">
        <v>38.04</v>
      </c>
      <c r="K72" s="31">
        <v>29.85</v>
      </c>
      <c r="L72" s="31">
        <v>45.8</v>
      </c>
      <c r="M72" s="31">
        <v>34.869999999999997</v>
      </c>
      <c r="N72" s="31">
        <v>63.13</v>
      </c>
      <c r="O72" s="31">
        <v>81.489999999999995</v>
      </c>
      <c r="P72" s="31">
        <v>91.86</v>
      </c>
      <c r="Q72" s="31">
        <v>31.32</v>
      </c>
      <c r="R72" s="31">
        <v>40.590000000000003</v>
      </c>
      <c r="T72" s="31">
        <v>26.24</v>
      </c>
      <c r="U72" s="31">
        <v>16.64</v>
      </c>
    </row>
    <row r="73" spans="2:21" x14ac:dyDescent="0.2">
      <c r="B73" s="31">
        <v>2.1002777777777779</v>
      </c>
      <c r="C73" s="31">
        <v>3.0672222222222199</v>
      </c>
      <c r="D73" s="31">
        <v>2.9338888888888901</v>
      </c>
      <c r="E73" s="31">
        <v>2.5336111111111101</v>
      </c>
      <c r="F73" s="31">
        <v>2.40027777777778</v>
      </c>
      <c r="G73" s="31">
        <v>51.26</v>
      </c>
      <c r="H73" s="31">
        <v>20.97</v>
      </c>
      <c r="I73" s="31">
        <v>46.23</v>
      </c>
      <c r="J73" s="31">
        <v>37.729999999999997</v>
      </c>
      <c r="K73" s="31">
        <v>28.72</v>
      </c>
      <c r="L73" s="31">
        <v>44.91</v>
      </c>
      <c r="M73" s="31">
        <v>34.29</v>
      </c>
      <c r="N73" s="31">
        <v>63.13</v>
      </c>
      <c r="O73" s="31">
        <v>81.150000000000006</v>
      </c>
      <c r="P73" s="31">
        <v>91.34</v>
      </c>
      <c r="Q73" s="31">
        <v>30.89</v>
      </c>
      <c r="R73" s="31">
        <v>39.94</v>
      </c>
      <c r="T73" s="31">
        <v>25.37</v>
      </c>
      <c r="U73" s="31">
        <v>16.350000000000001</v>
      </c>
    </row>
    <row r="74" spans="2:21" x14ac:dyDescent="0.2">
      <c r="B74" s="31">
        <v>2.1336111111111111</v>
      </c>
      <c r="C74" s="31">
        <v>3.1005555555555602</v>
      </c>
      <c r="D74" s="31">
        <v>2.9672222222222202</v>
      </c>
      <c r="E74" s="31">
        <v>2.5669444444444398</v>
      </c>
      <c r="F74" s="31">
        <v>2.4336111111111101</v>
      </c>
      <c r="G74" s="31">
        <v>50.47</v>
      </c>
      <c r="H74" s="31">
        <v>20.68</v>
      </c>
      <c r="I74" s="31">
        <v>45.76</v>
      </c>
      <c r="J74" s="31">
        <v>37.58</v>
      </c>
      <c r="K74" s="31">
        <v>27.87</v>
      </c>
      <c r="L74" s="31">
        <v>44.76</v>
      </c>
      <c r="M74" s="31">
        <v>33.71</v>
      </c>
      <c r="N74" s="31">
        <v>61.67</v>
      </c>
      <c r="O74" s="31">
        <v>80.81</v>
      </c>
      <c r="P74" s="31">
        <v>91.51</v>
      </c>
      <c r="Q74" s="31">
        <v>30.17</v>
      </c>
      <c r="R74" s="31">
        <v>38.79</v>
      </c>
      <c r="T74" s="31">
        <v>24.64</v>
      </c>
      <c r="U74" s="31">
        <v>16.21</v>
      </c>
    </row>
    <row r="75" spans="2:21" x14ac:dyDescent="0.2">
      <c r="B75" s="31">
        <v>2.1669444444444448</v>
      </c>
      <c r="C75" s="31">
        <v>3.1338888888888898</v>
      </c>
      <c r="D75" s="31">
        <v>3.0005555555555601</v>
      </c>
      <c r="E75" s="31">
        <v>2.6002777777777801</v>
      </c>
      <c r="F75" s="31">
        <v>2.4669444444444402</v>
      </c>
      <c r="G75" s="31">
        <v>49.84</v>
      </c>
      <c r="H75" s="31">
        <v>19.95</v>
      </c>
      <c r="I75" s="31">
        <v>45.45</v>
      </c>
      <c r="J75" s="31">
        <v>38.04</v>
      </c>
      <c r="K75" s="31">
        <v>26.88</v>
      </c>
      <c r="L75" s="31">
        <v>44.47</v>
      </c>
      <c r="M75" s="31">
        <v>33.270000000000003</v>
      </c>
      <c r="N75" s="31">
        <v>60.86</v>
      </c>
      <c r="O75" s="31">
        <v>80.3</v>
      </c>
      <c r="P75" s="31">
        <v>91.16</v>
      </c>
      <c r="Q75" s="31">
        <v>29.74</v>
      </c>
      <c r="R75" s="31">
        <v>37.97</v>
      </c>
      <c r="T75" s="31">
        <v>23.78</v>
      </c>
      <c r="U75" s="31">
        <v>15.64</v>
      </c>
    </row>
    <row r="76" spans="2:21" x14ac:dyDescent="0.2">
      <c r="B76" s="31">
        <v>2.200277777777778</v>
      </c>
      <c r="C76" s="31">
        <v>3.1672222222222199</v>
      </c>
      <c r="D76" s="31">
        <v>3.0338888888888902</v>
      </c>
      <c r="E76" s="31">
        <v>2.6336111111111098</v>
      </c>
      <c r="F76" s="31">
        <v>2.50027777777778</v>
      </c>
      <c r="G76" s="31">
        <v>49.21</v>
      </c>
      <c r="H76" s="31">
        <v>19.22</v>
      </c>
      <c r="I76" s="31">
        <v>45.14</v>
      </c>
      <c r="J76" s="31">
        <v>38.04</v>
      </c>
      <c r="K76" s="31">
        <v>26.6</v>
      </c>
      <c r="L76" s="31">
        <v>44.32</v>
      </c>
      <c r="M76" s="31">
        <v>32.69</v>
      </c>
      <c r="N76" s="31">
        <v>60.37</v>
      </c>
      <c r="O76" s="31">
        <v>79.790000000000006</v>
      </c>
      <c r="P76" s="31">
        <v>90.82</v>
      </c>
      <c r="Q76" s="31">
        <v>29.17</v>
      </c>
      <c r="R76" s="31">
        <v>36.99</v>
      </c>
      <c r="T76" s="31">
        <v>22.77</v>
      </c>
      <c r="U76" s="31">
        <v>15.36</v>
      </c>
    </row>
    <row r="77" spans="2:21" x14ac:dyDescent="0.2">
      <c r="B77" s="31">
        <v>2.2336111111111112</v>
      </c>
      <c r="C77" s="31">
        <v>3.2005555555555598</v>
      </c>
      <c r="D77" s="31">
        <v>3.0672222222222199</v>
      </c>
      <c r="E77" s="31">
        <v>2.6669444444444399</v>
      </c>
      <c r="F77" s="31">
        <v>2.5336111111111101</v>
      </c>
      <c r="G77" s="31">
        <v>48.42</v>
      </c>
      <c r="H77" s="31">
        <v>19.07</v>
      </c>
      <c r="I77" s="31">
        <v>44.52</v>
      </c>
      <c r="J77" s="31">
        <v>38.5</v>
      </c>
      <c r="K77" s="31">
        <v>27.59</v>
      </c>
      <c r="L77" s="31">
        <v>44.32</v>
      </c>
      <c r="M77" s="31">
        <v>32.4</v>
      </c>
      <c r="N77" s="31">
        <v>59.4</v>
      </c>
      <c r="O77" s="31">
        <v>79.45</v>
      </c>
      <c r="P77" s="31">
        <v>90.64</v>
      </c>
      <c r="Q77" s="31">
        <v>28.74</v>
      </c>
      <c r="R77" s="31">
        <v>36.18</v>
      </c>
      <c r="T77" s="31">
        <v>21.76</v>
      </c>
      <c r="U77" s="31">
        <v>14.93</v>
      </c>
    </row>
    <row r="78" spans="2:21" x14ac:dyDescent="0.2">
      <c r="B78" s="31">
        <v>2.2669444444444449</v>
      </c>
      <c r="C78" s="31">
        <v>3.2338888888888899</v>
      </c>
      <c r="D78" s="31">
        <v>3.1005555555555602</v>
      </c>
      <c r="E78" s="31">
        <v>2.7002777777777802</v>
      </c>
      <c r="F78" s="31">
        <v>2.5669444444444398</v>
      </c>
      <c r="G78" s="31">
        <v>47.8</v>
      </c>
      <c r="H78" s="31">
        <v>18.63</v>
      </c>
      <c r="I78" s="31">
        <v>43.74</v>
      </c>
      <c r="J78" s="31">
        <v>38.65</v>
      </c>
      <c r="K78" s="31">
        <v>28.15</v>
      </c>
      <c r="L78" s="31">
        <v>43.88</v>
      </c>
      <c r="M78" s="31">
        <v>31.96</v>
      </c>
      <c r="N78" s="31">
        <v>58.75</v>
      </c>
      <c r="O78" s="31">
        <v>79.11</v>
      </c>
      <c r="P78" s="31">
        <v>90.64</v>
      </c>
      <c r="Q78" s="31">
        <v>28.45</v>
      </c>
      <c r="R78" s="31">
        <v>35.36</v>
      </c>
      <c r="T78" s="31">
        <v>21.04</v>
      </c>
      <c r="U78" s="31">
        <v>14.79</v>
      </c>
    </row>
    <row r="79" spans="2:21" x14ac:dyDescent="0.2">
      <c r="B79" s="31">
        <v>2.3002777777777781</v>
      </c>
      <c r="C79" s="31">
        <v>3.26722222222222</v>
      </c>
      <c r="D79" s="31">
        <v>3.1338888888888898</v>
      </c>
      <c r="E79" s="31">
        <v>2.7336111111111099</v>
      </c>
      <c r="F79" s="31">
        <v>2.6002777777777801</v>
      </c>
      <c r="G79" s="31">
        <v>46.39</v>
      </c>
      <c r="H79" s="31">
        <v>18.05</v>
      </c>
      <c r="I79" s="31">
        <v>44.67</v>
      </c>
      <c r="J79" s="31">
        <v>38.5</v>
      </c>
      <c r="K79" s="31">
        <v>28.15</v>
      </c>
      <c r="L79" s="31">
        <v>43.44</v>
      </c>
      <c r="M79" s="31">
        <v>31.67</v>
      </c>
      <c r="N79" s="31">
        <v>57.79</v>
      </c>
      <c r="O79" s="31">
        <v>78.77</v>
      </c>
      <c r="P79" s="31">
        <v>90.12</v>
      </c>
      <c r="Q79" s="31">
        <v>27.74</v>
      </c>
      <c r="R79" s="31">
        <v>34.549999999999997</v>
      </c>
      <c r="T79" s="31">
        <v>20.329999999999998</v>
      </c>
      <c r="U79" s="31">
        <v>14.36</v>
      </c>
    </row>
    <row r="80" spans="2:21" x14ac:dyDescent="0.2">
      <c r="B80" s="31">
        <v>2.3336111111111113</v>
      </c>
      <c r="C80" s="31">
        <v>3.3005555555555599</v>
      </c>
      <c r="D80" s="31">
        <v>3.1672222222222199</v>
      </c>
      <c r="E80" s="31">
        <v>2.76694444444444</v>
      </c>
      <c r="F80" s="31">
        <v>2.6336111111111098</v>
      </c>
      <c r="G80" s="31">
        <v>45.45</v>
      </c>
      <c r="H80" s="31">
        <v>18.05</v>
      </c>
      <c r="I80" s="31">
        <v>45.29</v>
      </c>
      <c r="J80" s="31">
        <v>38.799999999999997</v>
      </c>
      <c r="K80" s="31">
        <v>27.73</v>
      </c>
      <c r="L80" s="31">
        <v>43</v>
      </c>
      <c r="M80" s="31">
        <v>31.38</v>
      </c>
      <c r="N80" s="31">
        <v>57.46</v>
      </c>
      <c r="O80" s="31">
        <v>78.599999999999994</v>
      </c>
      <c r="P80" s="31">
        <v>89.94</v>
      </c>
      <c r="Q80" s="31">
        <v>26.6</v>
      </c>
      <c r="R80" s="31">
        <v>33.58</v>
      </c>
      <c r="U80" s="31">
        <v>14.08</v>
      </c>
    </row>
    <row r="81" spans="2:21" x14ac:dyDescent="0.2">
      <c r="B81" s="31">
        <v>2.3669444444444445</v>
      </c>
      <c r="C81" s="31">
        <v>3.33388888888889</v>
      </c>
      <c r="D81" s="31">
        <v>3.2005555555555598</v>
      </c>
      <c r="E81" s="31">
        <v>2.8002777777777799</v>
      </c>
      <c r="F81" s="31">
        <v>2.6669444444444399</v>
      </c>
      <c r="G81" s="31">
        <v>44.21</v>
      </c>
      <c r="H81" s="31">
        <v>17.760000000000002</v>
      </c>
      <c r="I81" s="31">
        <v>44.52</v>
      </c>
      <c r="J81" s="31">
        <v>38.65</v>
      </c>
      <c r="K81" s="31">
        <v>26.88</v>
      </c>
      <c r="L81" s="31">
        <v>42.11</v>
      </c>
      <c r="M81" s="31">
        <v>31.24</v>
      </c>
      <c r="N81" s="31">
        <v>56.98</v>
      </c>
      <c r="O81" s="31">
        <v>77.92</v>
      </c>
      <c r="P81" s="31">
        <v>89.59</v>
      </c>
      <c r="Q81" s="31">
        <v>25.89</v>
      </c>
      <c r="R81" s="31">
        <v>32.61</v>
      </c>
      <c r="U81" s="31">
        <v>13.93</v>
      </c>
    </row>
    <row r="82" spans="2:21" x14ac:dyDescent="0.2">
      <c r="B82" s="31">
        <v>2.4002777777777782</v>
      </c>
      <c r="C82" s="31">
        <v>3.3672222222222201</v>
      </c>
      <c r="D82" s="31">
        <v>3.2338888888888899</v>
      </c>
      <c r="E82" s="31">
        <v>2.83361111111111</v>
      </c>
      <c r="F82" s="31">
        <v>2.7002777777777802</v>
      </c>
      <c r="G82" s="31">
        <v>42.96</v>
      </c>
      <c r="H82" s="31">
        <v>17.899999999999999</v>
      </c>
      <c r="I82" s="31">
        <v>43.58</v>
      </c>
      <c r="J82" s="31">
        <v>38.65</v>
      </c>
      <c r="K82" s="31">
        <v>25.48</v>
      </c>
      <c r="L82" s="31">
        <v>41.09</v>
      </c>
      <c r="M82" s="31">
        <v>31.09</v>
      </c>
      <c r="N82" s="31">
        <v>56.34</v>
      </c>
      <c r="O82" s="31">
        <v>77.75</v>
      </c>
      <c r="P82" s="31">
        <v>89.25</v>
      </c>
      <c r="Q82" s="31">
        <v>25.32</v>
      </c>
      <c r="R82" s="31">
        <v>31.64</v>
      </c>
      <c r="U82" s="31">
        <v>13.65</v>
      </c>
    </row>
    <row r="83" spans="2:21" x14ac:dyDescent="0.2">
      <c r="B83" s="31">
        <v>2.4336111111111114</v>
      </c>
      <c r="C83" s="31">
        <v>3.40055555555556</v>
      </c>
      <c r="D83" s="31">
        <v>3.26722222222222</v>
      </c>
      <c r="E83" s="31">
        <v>2.8669444444444401</v>
      </c>
      <c r="F83" s="31">
        <v>2.7336111111111099</v>
      </c>
      <c r="G83" s="31">
        <v>41.73</v>
      </c>
      <c r="H83" s="31">
        <v>17.61</v>
      </c>
      <c r="I83" s="31">
        <v>43.27</v>
      </c>
      <c r="J83" s="31">
        <v>38.65</v>
      </c>
      <c r="K83" s="31">
        <v>23.94</v>
      </c>
      <c r="L83" s="31">
        <v>39.92</v>
      </c>
      <c r="M83" s="31">
        <v>30.8</v>
      </c>
      <c r="N83" s="31">
        <v>56.18</v>
      </c>
      <c r="O83" s="31">
        <v>77.08</v>
      </c>
      <c r="P83" s="31">
        <v>88.9</v>
      </c>
      <c r="Q83" s="31">
        <v>24.47</v>
      </c>
      <c r="R83" s="31">
        <v>30.68</v>
      </c>
      <c r="U83" s="31">
        <v>13.51</v>
      </c>
    </row>
    <row r="84" spans="2:21" x14ac:dyDescent="0.2">
      <c r="B84" s="31">
        <v>2.4669444444444446</v>
      </c>
      <c r="C84" s="31">
        <v>3.4338888888888901</v>
      </c>
      <c r="D84" s="31">
        <v>3.3005555555555599</v>
      </c>
      <c r="E84" s="31">
        <v>2.90027777777778</v>
      </c>
      <c r="F84" s="31">
        <v>2.76694444444444</v>
      </c>
      <c r="G84" s="31">
        <v>40.49</v>
      </c>
      <c r="H84" s="31">
        <v>17.03</v>
      </c>
      <c r="I84" s="31">
        <v>42.65</v>
      </c>
      <c r="J84" s="31">
        <v>38.65</v>
      </c>
      <c r="K84" s="31">
        <v>22.55</v>
      </c>
      <c r="L84" s="31">
        <v>39.630000000000003</v>
      </c>
      <c r="M84" s="31">
        <v>30.66</v>
      </c>
      <c r="N84" s="31">
        <v>55.7</v>
      </c>
      <c r="O84" s="31">
        <v>76.400000000000006</v>
      </c>
      <c r="P84" s="31">
        <v>88.2</v>
      </c>
      <c r="Q84" s="31">
        <v>23.77</v>
      </c>
      <c r="R84" s="31">
        <v>29.71</v>
      </c>
      <c r="U84" s="31">
        <v>13.23</v>
      </c>
    </row>
    <row r="85" spans="2:21" x14ac:dyDescent="0.2">
      <c r="B85" s="31">
        <v>2.5002777777777778</v>
      </c>
      <c r="C85" s="31">
        <v>3.4672222222222202</v>
      </c>
      <c r="D85" s="31">
        <v>3.33388888888889</v>
      </c>
      <c r="E85" s="31">
        <v>2.9338888888888901</v>
      </c>
      <c r="F85" s="31">
        <v>2.8002777777777799</v>
      </c>
      <c r="G85" s="31">
        <v>39.42</v>
      </c>
      <c r="H85" s="31">
        <v>16.600000000000001</v>
      </c>
      <c r="I85" s="31">
        <v>41.88</v>
      </c>
      <c r="J85" s="31">
        <v>38.5</v>
      </c>
      <c r="K85" s="31">
        <v>21.43</v>
      </c>
      <c r="L85" s="31">
        <v>39.049999999999997</v>
      </c>
      <c r="M85" s="31">
        <v>30.37</v>
      </c>
      <c r="N85" s="31">
        <v>56.02</v>
      </c>
      <c r="O85" s="31">
        <v>75.900000000000006</v>
      </c>
      <c r="P85" s="31">
        <v>88.03</v>
      </c>
      <c r="Q85" s="31">
        <v>23.35</v>
      </c>
      <c r="R85" s="31">
        <v>28.59</v>
      </c>
      <c r="U85" s="31">
        <v>13.23</v>
      </c>
    </row>
    <row r="86" spans="2:21" x14ac:dyDescent="0.2">
      <c r="B86" s="31">
        <v>2.5336111111111115</v>
      </c>
      <c r="C86" s="31">
        <v>3.5005555555555601</v>
      </c>
      <c r="D86" s="31">
        <v>3.3672222222222201</v>
      </c>
      <c r="E86" s="31">
        <v>2.9672222222222202</v>
      </c>
      <c r="F86" s="31">
        <v>2.83361111111111</v>
      </c>
      <c r="G86" s="31">
        <v>38.340000000000003</v>
      </c>
      <c r="H86" s="31">
        <v>15.87</v>
      </c>
      <c r="I86" s="31">
        <v>41.42</v>
      </c>
      <c r="J86" s="31">
        <v>38.340000000000003</v>
      </c>
      <c r="K86" s="31">
        <v>20.6</v>
      </c>
      <c r="L86" s="31">
        <v>38.61</v>
      </c>
      <c r="M86" s="31">
        <v>30.08</v>
      </c>
      <c r="N86" s="31">
        <v>56.66</v>
      </c>
      <c r="O86" s="31">
        <v>75.06</v>
      </c>
      <c r="P86" s="31">
        <v>87.68</v>
      </c>
      <c r="Q86" s="31">
        <v>22.64</v>
      </c>
      <c r="R86" s="31">
        <v>27.47</v>
      </c>
      <c r="U86" s="31">
        <v>12.8</v>
      </c>
    </row>
    <row r="87" spans="2:21" x14ac:dyDescent="0.2">
      <c r="B87" s="31">
        <v>2.5669444444444447</v>
      </c>
      <c r="C87" s="31">
        <v>3.5338888888888902</v>
      </c>
      <c r="D87" s="31">
        <v>3.40055555555556</v>
      </c>
      <c r="E87" s="31">
        <v>3.0005555555555601</v>
      </c>
      <c r="F87" s="31">
        <v>2.8669444444444401</v>
      </c>
      <c r="G87" s="31">
        <v>37.58</v>
      </c>
      <c r="H87" s="31">
        <v>15.3</v>
      </c>
      <c r="I87" s="31">
        <v>41.11</v>
      </c>
      <c r="J87" s="31">
        <v>38.04</v>
      </c>
      <c r="K87" s="31">
        <v>20.329999999999998</v>
      </c>
      <c r="L87" s="31">
        <v>38.03</v>
      </c>
      <c r="M87" s="31">
        <v>29.51</v>
      </c>
      <c r="N87" s="31">
        <v>56.02</v>
      </c>
      <c r="O87" s="31">
        <v>74.89</v>
      </c>
      <c r="P87" s="31">
        <v>87.34</v>
      </c>
      <c r="Q87" s="31">
        <v>22.08</v>
      </c>
      <c r="R87" s="31">
        <v>26.52</v>
      </c>
      <c r="U87" s="31">
        <v>12.66</v>
      </c>
    </row>
    <row r="88" spans="2:21" x14ac:dyDescent="0.2">
      <c r="B88" s="31">
        <v>2.6002777777777779</v>
      </c>
      <c r="C88" s="31">
        <v>3.5672222222222199</v>
      </c>
      <c r="D88" s="31">
        <v>3.4338888888888901</v>
      </c>
      <c r="E88" s="31">
        <v>3.0338888888888902</v>
      </c>
      <c r="F88" s="31">
        <v>2.90027777777778</v>
      </c>
      <c r="G88" s="31">
        <v>36.82</v>
      </c>
      <c r="H88" s="31">
        <v>14.86</v>
      </c>
      <c r="I88" s="31">
        <v>40.340000000000003</v>
      </c>
      <c r="J88" s="31">
        <v>37.880000000000003</v>
      </c>
      <c r="K88" s="31">
        <v>19.77</v>
      </c>
      <c r="L88" s="31">
        <v>37.6</v>
      </c>
      <c r="M88" s="31">
        <v>29.36</v>
      </c>
      <c r="N88" s="31">
        <v>55.7</v>
      </c>
      <c r="O88" s="31">
        <v>74.22</v>
      </c>
      <c r="P88" s="31">
        <v>86.64</v>
      </c>
      <c r="Q88" s="31">
        <v>21.52</v>
      </c>
      <c r="R88" s="31">
        <v>25.25</v>
      </c>
      <c r="U88" s="31">
        <v>12.38</v>
      </c>
    </row>
    <row r="89" spans="2:21" x14ac:dyDescent="0.2">
      <c r="B89" s="31">
        <v>2.6336111111111111</v>
      </c>
      <c r="C89" s="31">
        <v>3.6005555555555602</v>
      </c>
      <c r="D89" s="31">
        <v>3.4672222222222202</v>
      </c>
      <c r="E89" s="31">
        <v>3.0672222222222199</v>
      </c>
      <c r="F89" s="31">
        <v>2.9338888888888901</v>
      </c>
      <c r="G89" s="31">
        <v>36.049999999999997</v>
      </c>
      <c r="H89" s="31">
        <v>14.14</v>
      </c>
      <c r="I89" s="31">
        <v>38.799999999999997</v>
      </c>
      <c r="J89" s="31">
        <v>37.58</v>
      </c>
      <c r="K89" s="31">
        <v>19.22</v>
      </c>
      <c r="L89" s="31">
        <v>37.020000000000003</v>
      </c>
      <c r="M89" s="31">
        <v>28.79</v>
      </c>
      <c r="N89" s="31">
        <v>54.74</v>
      </c>
      <c r="O89" s="31">
        <v>74.22</v>
      </c>
      <c r="P89" s="31">
        <v>86.82</v>
      </c>
      <c r="Q89" s="31">
        <v>20.96</v>
      </c>
      <c r="R89" s="31">
        <v>24.3</v>
      </c>
      <c r="U89" s="31">
        <v>12.24</v>
      </c>
    </row>
    <row r="90" spans="2:21" x14ac:dyDescent="0.2">
      <c r="B90" s="31">
        <v>2.6669444444444448</v>
      </c>
      <c r="C90" s="31">
        <v>3.6338888888888898</v>
      </c>
      <c r="D90" s="31">
        <v>3.5005555555555601</v>
      </c>
      <c r="E90" s="31">
        <v>3.1005555555555602</v>
      </c>
      <c r="F90" s="31">
        <v>2.9672222222222202</v>
      </c>
      <c r="G90" s="31">
        <v>36.36</v>
      </c>
      <c r="H90" s="31">
        <v>13.57</v>
      </c>
      <c r="I90" s="31">
        <v>36.51</v>
      </c>
      <c r="J90" s="31">
        <v>37.270000000000003</v>
      </c>
      <c r="K90" s="31">
        <v>17.84</v>
      </c>
      <c r="L90" s="31">
        <v>36.44</v>
      </c>
      <c r="M90" s="31">
        <v>28.35</v>
      </c>
      <c r="N90" s="31">
        <v>53.46</v>
      </c>
      <c r="O90" s="31">
        <v>73.709999999999994</v>
      </c>
      <c r="P90" s="31">
        <v>86.3</v>
      </c>
      <c r="Q90" s="31">
        <v>20.260000000000002</v>
      </c>
      <c r="R90" s="31">
        <v>23.19</v>
      </c>
      <c r="U90" s="31">
        <v>11.81</v>
      </c>
    </row>
    <row r="91" spans="2:21" x14ac:dyDescent="0.2">
      <c r="B91" s="31">
        <v>2.700277777777778</v>
      </c>
      <c r="C91" s="31">
        <v>3.6672222222222199</v>
      </c>
      <c r="D91" s="31">
        <v>3.5338888888888902</v>
      </c>
      <c r="E91" s="31">
        <v>3.1338888888888898</v>
      </c>
      <c r="F91" s="31">
        <v>3.0005555555555601</v>
      </c>
      <c r="G91" s="31">
        <v>36.82</v>
      </c>
      <c r="H91" s="31">
        <v>12.56</v>
      </c>
      <c r="I91" s="31">
        <v>34.380000000000003</v>
      </c>
      <c r="J91" s="31">
        <v>36.82</v>
      </c>
      <c r="K91" s="31">
        <v>17.29</v>
      </c>
      <c r="L91" s="31">
        <v>35.72</v>
      </c>
      <c r="M91" s="31">
        <v>27.92</v>
      </c>
      <c r="N91" s="31">
        <v>51.08</v>
      </c>
      <c r="O91" s="31">
        <v>73.55</v>
      </c>
      <c r="P91" s="31">
        <v>85.78</v>
      </c>
      <c r="Q91" s="31">
        <v>19.7</v>
      </c>
      <c r="R91" s="31">
        <v>22.09</v>
      </c>
      <c r="U91" s="31">
        <v>11.95</v>
      </c>
    </row>
    <row r="92" spans="2:21" x14ac:dyDescent="0.2">
      <c r="B92" s="31">
        <v>2.7336111111111112</v>
      </c>
      <c r="C92" s="31">
        <v>3.7005555555555598</v>
      </c>
      <c r="D92" s="31">
        <v>3.5672222222222199</v>
      </c>
      <c r="E92" s="31">
        <v>3.1672222222222199</v>
      </c>
      <c r="F92" s="31">
        <v>3.0338888888888902</v>
      </c>
      <c r="G92" s="31">
        <v>37.270000000000003</v>
      </c>
      <c r="H92" s="31">
        <v>11.85</v>
      </c>
      <c r="I92" s="31">
        <v>33.020000000000003</v>
      </c>
      <c r="J92" s="31">
        <v>36.51</v>
      </c>
      <c r="K92" s="31">
        <v>17.02</v>
      </c>
      <c r="L92" s="31">
        <v>35.14</v>
      </c>
      <c r="M92" s="31">
        <v>27.49</v>
      </c>
      <c r="N92" s="31">
        <v>51.24</v>
      </c>
      <c r="O92" s="31">
        <v>73.209999999999994</v>
      </c>
      <c r="P92" s="31">
        <v>85.26</v>
      </c>
      <c r="Q92" s="31">
        <v>19.010000000000002</v>
      </c>
      <c r="R92" s="31">
        <v>20.98</v>
      </c>
      <c r="U92" s="31">
        <v>11.67</v>
      </c>
    </row>
    <row r="93" spans="2:21" x14ac:dyDescent="0.2">
      <c r="B93" s="31">
        <v>2.7669444444444449</v>
      </c>
      <c r="C93" s="31">
        <v>3.7338888888888899</v>
      </c>
      <c r="D93" s="31">
        <v>3.6005555555555602</v>
      </c>
      <c r="E93" s="31">
        <v>3.2005555555555598</v>
      </c>
      <c r="F93" s="31">
        <v>3.0672222222222199</v>
      </c>
      <c r="G93" s="31">
        <v>38.19</v>
      </c>
      <c r="H93" s="31">
        <v>10.56</v>
      </c>
      <c r="I93" s="31">
        <v>31.51</v>
      </c>
      <c r="J93" s="31">
        <v>35.9</v>
      </c>
      <c r="K93" s="31">
        <v>16.61</v>
      </c>
      <c r="L93" s="31">
        <v>34.57</v>
      </c>
      <c r="M93" s="31">
        <v>26.78</v>
      </c>
      <c r="N93" s="31">
        <v>50.45</v>
      </c>
      <c r="O93" s="31">
        <v>73.040000000000006</v>
      </c>
      <c r="P93" s="31">
        <v>85.61</v>
      </c>
      <c r="Q93" s="31">
        <v>18.73</v>
      </c>
      <c r="R93" s="31">
        <v>20.04</v>
      </c>
      <c r="U93" s="31">
        <v>11.39</v>
      </c>
    </row>
    <row r="94" spans="2:21" x14ac:dyDescent="0.2">
      <c r="B94" s="31">
        <v>2.8002777777777781</v>
      </c>
      <c r="C94" s="31">
        <v>3.76722222222222</v>
      </c>
      <c r="D94" s="31">
        <v>3.6338888888888898</v>
      </c>
      <c r="E94" s="31">
        <v>3.2338888888888899</v>
      </c>
      <c r="F94" s="31">
        <v>3.1005555555555602</v>
      </c>
      <c r="G94" s="31">
        <v>38.5</v>
      </c>
      <c r="H94" s="31">
        <v>9.2799999999999994</v>
      </c>
      <c r="I94" s="31">
        <v>30.61</v>
      </c>
      <c r="J94" s="31">
        <v>35.44</v>
      </c>
      <c r="K94" s="31">
        <v>16.2</v>
      </c>
      <c r="L94" s="31">
        <v>33.99</v>
      </c>
      <c r="M94" s="31">
        <v>26.21</v>
      </c>
      <c r="N94" s="31">
        <v>50.29</v>
      </c>
      <c r="O94" s="31">
        <v>72.540000000000006</v>
      </c>
      <c r="P94" s="31">
        <v>85.44</v>
      </c>
      <c r="Q94" s="31">
        <v>18.170000000000002</v>
      </c>
      <c r="U94" s="31">
        <v>11.25</v>
      </c>
    </row>
    <row r="95" spans="2:21" x14ac:dyDescent="0.2">
      <c r="B95" s="31">
        <v>2.8336111111111113</v>
      </c>
      <c r="C95" s="31">
        <v>3.8005555555555599</v>
      </c>
      <c r="D95" s="31">
        <v>3.6672222222222199</v>
      </c>
      <c r="E95" s="31">
        <v>3.26722222222222</v>
      </c>
      <c r="F95" s="31">
        <v>3.1338888888888898</v>
      </c>
      <c r="G95" s="31">
        <v>38.65</v>
      </c>
      <c r="H95" s="31">
        <v>7.86</v>
      </c>
      <c r="I95" s="31">
        <v>30.61</v>
      </c>
      <c r="J95" s="31">
        <v>34.840000000000003</v>
      </c>
      <c r="K95" s="31">
        <v>15.65</v>
      </c>
      <c r="L95" s="31">
        <v>33.270000000000003</v>
      </c>
      <c r="M95" s="31">
        <v>25.64</v>
      </c>
      <c r="N95" s="31">
        <v>50.13</v>
      </c>
      <c r="O95" s="31">
        <v>72.38</v>
      </c>
      <c r="P95" s="31">
        <v>84.92</v>
      </c>
      <c r="Q95" s="31">
        <v>17.34</v>
      </c>
      <c r="U95" s="31">
        <v>10.97</v>
      </c>
    </row>
    <row r="96" spans="2:21" x14ac:dyDescent="0.2">
      <c r="B96" s="31">
        <v>2.8669444444444445</v>
      </c>
      <c r="C96" s="31">
        <v>3.83388888888889</v>
      </c>
      <c r="D96" s="31">
        <v>3.7005555555555598</v>
      </c>
      <c r="E96" s="31">
        <v>3.3005555555555599</v>
      </c>
      <c r="F96" s="31">
        <v>3.1672222222222199</v>
      </c>
      <c r="G96" s="31">
        <v>39.11</v>
      </c>
      <c r="H96" s="31">
        <v>6.73</v>
      </c>
      <c r="I96" s="31">
        <v>31.36</v>
      </c>
      <c r="J96" s="31">
        <v>34.229999999999997</v>
      </c>
      <c r="K96" s="31">
        <v>14.7</v>
      </c>
      <c r="L96" s="31">
        <v>32.85</v>
      </c>
      <c r="M96" s="31">
        <v>25.21</v>
      </c>
      <c r="N96" s="31">
        <v>50.13</v>
      </c>
      <c r="O96" s="31">
        <v>71.88</v>
      </c>
      <c r="P96" s="31">
        <v>84.92</v>
      </c>
      <c r="Q96" s="31">
        <v>16.78</v>
      </c>
      <c r="U96" s="31">
        <v>10.83</v>
      </c>
    </row>
    <row r="97" spans="2:21" x14ac:dyDescent="0.2">
      <c r="B97" s="31">
        <v>2.9002777777777782</v>
      </c>
      <c r="C97" s="31">
        <v>3.8672222222222201</v>
      </c>
      <c r="D97" s="31">
        <v>3.7338888888888899</v>
      </c>
      <c r="E97" s="31">
        <v>3.33388888888889</v>
      </c>
      <c r="F97" s="31">
        <v>3.2005555555555598</v>
      </c>
      <c r="G97" s="31">
        <v>39.42</v>
      </c>
      <c r="H97" s="31">
        <v>5.88</v>
      </c>
      <c r="I97" s="31">
        <v>31.96</v>
      </c>
      <c r="J97" s="31">
        <v>33.93</v>
      </c>
      <c r="K97" s="31">
        <v>13.61</v>
      </c>
      <c r="L97" s="31">
        <v>31.99</v>
      </c>
      <c r="M97" s="31">
        <v>24.5</v>
      </c>
      <c r="N97" s="31">
        <v>49.5</v>
      </c>
      <c r="O97" s="31">
        <v>71.709999999999994</v>
      </c>
      <c r="P97" s="31">
        <v>84.58</v>
      </c>
      <c r="Q97" s="31">
        <v>16.78</v>
      </c>
      <c r="U97" s="31">
        <v>10.54</v>
      </c>
    </row>
    <row r="98" spans="2:21" x14ac:dyDescent="0.2">
      <c r="B98" s="31">
        <v>2.9338888888888888</v>
      </c>
      <c r="C98" s="31">
        <v>3.90055555555556</v>
      </c>
      <c r="D98" s="31">
        <v>3.76722222222222</v>
      </c>
      <c r="E98" s="31">
        <v>3.3672222222222201</v>
      </c>
      <c r="F98" s="31">
        <v>3.2338888888888899</v>
      </c>
      <c r="G98" s="31">
        <v>40.03</v>
      </c>
      <c r="H98" s="31">
        <v>5.03</v>
      </c>
      <c r="I98" s="31">
        <v>32.270000000000003</v>
      </c>
      <c r="J98" s="31">
        <v>33.47</v>
      </c>
      <c r="K98" s="31">
        <v>12.93</v>
      </c>
      <c r="L98" s="31">
        <v>31.42</v>
      </c>
      <c r="M98" s="31">
        <v>23.93</v>
      </c>
      <c r="N98" s="31">
        <v>49.66</v>
      </c>
      <c r="O98" s="31">
        <v>71.38</v>
      </c>
      <c r="P98" s="31">
        <v>84.58</v>
      </c>
      <c r="Q98" s="31">
        <v>16.09</v>
      </c>
      <c r="U98" s="31">
        <v>10.4</v>
      </c>
    </row>
    <row r="99" spans="2:21" x14ac:dyDescent="0.2">
      <c r="B99" s="31">
        <v>2.967222222222222</v>
      </c>
      <c r="C99" s="31">
        <v>3.9338888888888901</v>
      </c>
      <c r="D99" s="31">
        <v>3.8005555555555599</v>
      </c>
      <c r="E99" s="31">
        <v>3.40055555555556</v>
      </c>
      <c r="F99" s="31">
        <v>3.26722222222222</v>
      </c>
      <c r="G99" s="31">
        <v>40.19</v>
      </c>
      <c r="H99" s="31">
        <v>4.6100000000000003</v>
      </c>
      <c r="I99" s="31">
        <v>31.66</v>
      </c>
      <c r="J99" s="31">
        <v>33.020000000000003</v>
      </c>
      <c r="K99" s="31">
        <v>11.85</v>
      </c>
      <c r="L99" s="31">
        <v>30.99</v>
      </c>
      <c r="M99" s="31">
        <v>23.36</v>
      </c>
      <c r="N99" s="31">
        <v>48.71</v>
      </c>
      <c r="O99" s="31">
        <v>71.040000000000006</v>
      </c>
      <c r="P99" s="31">
        <v>84.23</v>
      </c>
      <c r="Q99" s="31">
        <v>15.4</v>
      </c>
      <c r="U99" s="31">
        <v>9.98</v>
      </c>
    </row>
    <row r="100" spans="2:21" x14ac:dyDescent="0.2">
      <c r="B100" s="31">
        <v>3.0005555555555556</v>
      </c>
      <c r="C100" s="31">
        <v>3.9672222222222202</v>
      </c>
      <c r="D100" s="31">
        <v>3.83388888888889</v>
      </c>
      <c r="E100" s="31">
        <v>3.4338888888888901</v>
      </c>
      <c r="F100" s="31">
        <v>3.3005555555555599</v>
      </c>
      <c r="G100" s="31">
        <v>40.19</v>
      </c>
      <c r="H100" s="31">
        <v>3.91</v>
      </c>
      <c r="I100" s="31">
        <v>31.51</v>
      </c>
      <c r="J100" s="31">
        <v>32.57</v>
      </c>
      <c r="K100" s="31">
        <v>11.31</v>
      </c>
      <c r="L100" s="31">
        <v>30.42</v>
      </c>
      <c r="M100" s="31">
        <v>22.65</v>
      </c>
      <c r="N100" s="31">
        <v>48.71</v>
      </c>
      <c r="O100" s="31">
        <v>70.88</v>
      </c>
      <c r="P100" s="31">
        <v>84.06</v>
      </c>
      <c r="Q100" s="31">
        <v>14.99</v>
      </c>
      <c r="U100" s="31">
        <v>9.6999999999999993</v>
      </c>
    </row>
    <row r="101" spans="2:21" x14ac:dyDescent="0.2">
      <c r="B101" s="31">
        <v>3.0338888888888889</v>
      </c>
      <c r="C101" s="31">
        <v>4.0005555555555601</v>
      </c>
      <c r="D101" s="31">
        <v>3.8672222222222201</v>
      </c>
      <c r="E101" s="31">
        <v>3.4672222222222202</v>
      </c>
      <c r="F101" s="31">
        <v>3.33388888888889</v>
      </c>
      <c r="G101" s="31">
        <v>40.03</v>
      </c>
      <c r="H101" s="31">
        <v>2.93</v>
      </c>
      <c r="I101" s="31">
        <v>31.66</v>
      </c>
      <c r="J101" s="31">
        <v>32.42</v>
      </c>
      <c r="K101" s="31">
        <v>10.63</v>
      </c>
      <c r="L101" s="31">
        <v>29.85</v>
      </c>
      <c r="M101" s="31">
        <v>22.09</v>
      </c>
      <c r="N101" s="31">
        <v>48.55</v>
      </c>
      <c r="O101" s="31">
        <v>70.540000000000006</v>
      </c>
      <c r="P101" s="31">
        <v>84.23</v>
      </c>
      <c r="Q101" s="31">
        <v>14.44</v>
      </c>
      <c r="U101" s="31">
        <v>9.42</v>
      </c>
    </row>
    <row r="102" spans="2:21" x14ac:dyDescent="0.2">
      <c r="B102" s="31">
        <v>3.0672222222222221</v>
      </c>
      <c r="C102" s="31">
        <v>4.0338888888888897</v>
      </c>
      <c r="D102" s="31">
        <v>3.90055555555556</v>
      </c>
      <c r="E102" s="31">
        <v>3.5005555555555601</v>
      </c>
      <c r="F102" s="31">
        <v>3.3672222222222201</v>
      </c>
      <c r="G102" s="31">
        <v>40.03</v>
      </c>
      <c r="H102" s="31">
        <v>2.23</v>
      </c>
      <c r="I102" s="31">
        <v>31.51</v>
      </c>
      <c r="J102" s="31">
        <v>31.81</v>
      </c>
      <c r="K102" s="31">
        <v>10.23</v>
      </c>
      <c r="L102" s="31">
        <v>29.43</v>
      </c>
      <c r="M102" s="31">
        <v>21.38</v>
      </c>
      <c r="N102" s="31">
        <v>47.77</v>
      </c>
      <c r="O102" s="31">
        <v>70.540000000000006</v>
      </c>
      <c r="P102" s="31">
        <v>83.89</v>
      </c>
      <c r="Q102" s="31">
        <v>13.89</v>
      </c>
      <c r="U102" s="31">
        <v>9.14</v>
      </c>
    </row>
    <row r="103" spans="2:21" x14ac:dyDescent="0.2">
      <c r="B103" s="31">
        <v>3.1005555555555557</v>
      </c>
      <c r="C103" s="31">
        <v>4.0672222222222203</v>
      </c>
      <c r="D103" s="31">
        <v>3.9338888888888901</v>
      </c>
      <c r="E103" s="31">
        <v>3.5338888888888902</v>
      </c>
      <c r="F103" s="31">
        <v>3.40055555555556</v>
      </c>
      <c r="G103" s="31">
        <v>39.880000000000003</v>
      </c>
      <c r="H103" s="31">
        <v>1.53</v>
      </c>
      <c r="I103" s="31">
        <v>31.21</v>
      </c>
      <c r="J103" s="31">
        <v>31.51</v>
      </c>
      <c r="K103" s="31">
        <v>9.69</v>
      </c>
      <c r="L103" s="31">
        <v>28.86</v>
      </c>
      <c r="M103" s="31">
        <v>20.68</v>
      </c>
      <c r="N103" s="31">
        <v>47.14</v>
      </c>
      <c r="O103" s="31">
        <v>70.38</v>
      </c>
      <c r="P103" s="31">
        <v>83.72</v>
      </c>
      <c r="Q103" s="31">
        <v>13.34</v>
      </c>
      <c r="U103" s="31">
        <v>8.86</v>
      </c>
    </row>
    <row r="104" spans="2:21" x14ac:dyDescent="0.2">
      <c r="B104" s="31">
        <v>3.1338888888888889</v>
      </c>
      <c r="C104" s="31">
        <v>4.1005555555555597</v>
      </c>
      <c r="D104" s="31">
        <v>3.9672222222222202</v>
      </c>
      <c r="E104" s="31">
        <v>3.5672222222222199</v>
      </c>
      <c r="F104" s="31">
        <v>3.4338888888888901</v>
      </c>
      <c r="G104" s="31">
        <v>39.880000000000003</v>
      </c>
      <c r="H104" s="31">
        <v>0.83</v>
      </c>
      <c r="I104" s="31">
        <v>31.06</v>
      </c>
      <c r="J104" s="31">
        <v>31.06</v>
      </c>
      <c r="K104" s="31">
        <v>8.61</v>
      </c>
      <c r="L104" s="31">
        <v>28.44</v>
      </c>
      <c r="M104" s="31">
        <v>19.98</v>
      </c>
      <c r="N104" s="31">
        <v>45.73</v>
      </c>
      <c r="O104" s="31">
        <v>69.88</v>
      </c>
      <c r="P104" s="31">
        <v>83.54</v>
      </c>
      <c r="Q104" s="31">
        <v>12.38</v>
      </c>
      <c r="U104" s="31">
        <v>8.7200000000000006</v>
      </c>
    </row>
    <row r="105" spans="2:21" x14ac:dyDescent="0.2">
      <c r="B105" s="31">
        <v>3.1672222222222222</v>
      </c>
      <c r="C105" s="31">
        <v>4.1338888888888903</v>
      </c>
      <c r="D105" s="31">
        <v>4.0005555555555601</v>
      </c>
      <c r="E105" s="31">
        <v>3.6005555555555602</v>
      </c>
      <c r="F105" s="31">
        <v>3.4672222222222202</v>
      </c>
      <c r="G105" s="31">
        <v>39.57</v>
      </c>
      <c r="H105" s="31">
        <v>0</v>
      </c>
      <c r="I105" s="31">
        <v>30.46</v>
      </c>
      <c r="J105" s="31">
        <v>30.61</v>
      </c>
      <c r="K105" s="31">
        <v>7.94</v>
      </c>
      <c r="L105" s="31">
        <v>28.01</v>
      </c>
      <c r="M105" s="31">
        <v>19.27</v>
      </c>
      <c r="N105" s="31">
        <v>44.8</v>
      </c>
      <c r="O105" s="31">
        <v>69.709999999999994</v>
      </c>
      <c r="P105" s="31">
        <v>83.72</v>
      </c>
      <c r="Q105" s="31">
        <v>11.97</v>
      </c>
      <c r="U105" s="31">
        <v>8.3000000000000007</v>
      </c>
    </row>
    <row r="106" spans="2:21" x14ac:dyDescent="0.2">
      <c r="B106" s="31">
        <v>3.2005555555555554</v>
      </c>
      <c r="C106" s="31">
        <v>4.1672222222222199</v>
      </c>
      <c r="D106" s="31">
        <v>4.0338888888888897</v>
      </c>
      <c r="E106" s="31">
        <v>3.6338888888888898</v>
      </c>
      <c r="F106" s="31">
        <v>3.5005555555555601</v>
      </c>
      <c r="G106" s="31">
        <v>39.42</v>
      </c>
      <c r="H106" s="31">
        <v>0</v>
      </c>
      <c r="I106" s="31">
        <v>29.41</v>
      </c>
      <c r="J106" s="31">
        <v>30.01</v>
      </c>
      <c r="K106" s="31">
        <v>7.54</v>
      </c>
      <c r="L106" s="31">
        <v>28.01</v>
      </c>
      <c r="M106" s="31">
        <v>18.43</v>
      </c>
      <c r="N106" s="31">
        <v>44.02</v>
      </c>
      <c r="O106" s="31">
        <v>69.38</v>
      </c>
      <c r="P106" s="31">
        <v>83.37</v>
      </c>
      <c r="Q106" s="31">
        <v>11.56</v>
      </c>
      <c r="U106" s="31">
        <v>8.02</v>
      </c>
    </row>
    <row r="107" spans="2:21" x14ac:dyDescent="0.2">
      <c r="B107" s="31">
        <v>3.233888888888889</v>
      </c>
      <c r="C107" s="31">
        <v>4.2005555555555603</v>
      </c>
      <c r="D107" s="31">
        <v>4.0672222222222203</v>
      </c>
      <c r="E107" s="31">
        <v>3.6672222222222199</v>
      </c>
      <c r="F107" s="31">
        <v>3.5338888888888902</v>
      </c>
      <c r="G107" s="31">
        <v>38.799999999999997</v>
      </c>
      <c r="H107" s="31">
        <v>0</v>
      </c>
      <c r="I107" s="31">
        <v>28.66</v>
      </c>
      <c r="J107" s="31">
        <v>29.56</v>
      </c>
      <c r="K107" s="31">
        <v>7.14</v>
      </c>
      <c r="L107" s="31">
        <v>27.59</v>
      </c>
      <c r="M107" s="31">
        <v>17.87</v>
      </c>
      <c r="N107" s="31">
        <v>43.08</v>
      </c>
      <c r="O107" s="31">
        <v>69.22</v>
      </c>
      <c r="P107" s="31">
        <v>83.03</v>
      </c>
      <c r="Q107" s="31">
        <v>10.88</v>
      </c>
      <c r="U107" s="31">
        <v>7.74</v>
      </c>
    </row>
    <row r="108" spans="2:21" x14ac:dyDescent="0.2">
      <c r="B108" s="31">
        <v>3.2672222222222222</v>
      </c>
      <c r="C108" s="31">
        <v>4.2338888888888899</v>
      </c>
      <c r="E108" s="31">
        <v>3.7005555555555598</v>
      </c>
      <c r="F108" s="31">
        <v>3.5672222222222199</v>
      </c>
      <c r="G108" s="31">
        <v>38.65</v>
      </c>
      <c r="H108" s="31">
        <v>0</v>
      </c>
      <c r="I108" s="31">
        <v>28.51</v>
      </c>
      <c r="J108" s="31">
        <v>29.11</v>
      </c>
      <c r="K108" s="31">
        <v>6.74</v>
      </c>
      <c r="L108" s="31">
        <v>27.45</v>
      </c>
      <c r="M108" s="31">
        <v>17.45</v>
      </c>
      <c r="N108" s="31">
        <v>42.46</v>
      </c>
      <c r="O108" s="31">
        <v>69.22</v>
      </c>
      <c r="P108" s="31">
        <v>83.03</v>
      </c>
      <c r="Q108" s="31">
        <v>10.199999999999999</v>
      </c>
    </row>
    <row r="109" spans="2:21" x14ac:dyDescent="0.2">
      <c r="B109" s="31">
        <v>3.3005555555555555</v>
      </c>
      <c r="C109" s="31">
        <v>4.2672222222222196</v>
      </c>
      <c r="E109" s="31">
        <v>3.7338888888888899</v>
      </c>
      <c r="F109" s="31">
        <v>3.6005555555555602</v>
      </c>
      <c r="G109" s="31">
        <v>38.5</v>
      </c>
      <c r="H109" s="31">
        <v>0</v>
      </c>
      <c r="I109" s="31">
        <v>28.07</v>
      </c>
      <c r="J109" s="31">
        <v>28.66</v>
      </c>
      <c r="K109" s="31">
        <v>6.21</v>
      </c>
      <c r="L109" s="31">
        <v>26.74</v>
      </c>
      <c r="M109" s="31">
        <v>16.760000000000002</v>
      </c>
      <c r="N109" s="31">
        <v>41.84</v>
      </c>
      <c r="O109" s="31">
        <v>68.72</v>
      </c>
      <c r="P109" s="31">
        <v>82.52</v>
      </c>
      <c r="Q109" s="31">
        <v>9.7899999999999991</v>
      </c>
    </row>
    <row r="110" spans="2:21" x14ac:dyDescent="0.2">
      <c r="B110" s="31">
        <v>3.3338888888888887</v>
      </c>
      <c r="C110" s="31">
        <v>4.3005555555555599</v>
      </c>
      <c r="E110" s="31">
        <v>3.76722222222222</v>
      </c>
      <c r="F110" s="31">
        <v>3.6338888888888898</v>
      </c>
      <c r="G110" s="31">
        <v>38.04</v>
      </c>
      <c r="H110" s="31">
        <v>0</v>
      </c>
      <c r="I110" s="31">
        <v>27.62</v>
      </c>
      <c r="J110" s="31">
        <v>28.07</v>
      </c>
      <c r="K110" s="31">
        <v>5.41</v>
      </c>
      <c r="L110" s="31">
        <v>26.46</v>
      </c>
      <c r="M110" s="31">
        <v>16.34</v>
      </c>
      <c r="N110" s="31">
        <v>41.38</v>
      </c>
      <c r="O110" s="31">
        <v>68.39</v>
      </c>
      <c r="P110" s="31">
        <v>82.69</v>
      </c>
      <c r="Q110" s="31">
        <v>9.11</v>
      </c>
    </row>
    <row r="111" spans="2:21" x14ac:dyDescent="0.2">
      <c r="B111" s="31">
        <v>3.3672222222222223</v>
      </c>
      <c r="C111" s="31">
        <v>4.3338888888888896</v>
      </c>
      <c r="E111" s="31">
        <v>3.8005555555555599</v>
      </c>
      <c r="F111" s="31">
        <v>3.6672222222222199</v>
      </c>
      <c r="G111" s="31">
        <v>37.729999999999997</v>
      </c>
      <c r="H111" s="31">
        <v>0</v>
      </c>
      <c r="I111" s="31">
        <v>27.62</v>
      </c>
      <c r="J111" s="31">
        <v>27.32</v>
      </c>
      <c r="K111" s="31">
        <v>4.08</v>
      </c>
      <c r="L111" s="31">
        <v>25.9</v>
      </c>
      <c r="M111" s="31">
        <v>15.92</v>
      </c>
      <c r="N111" s="31">
        <v>40.299999999999997</v>
      </c>
      <c r="O111" s="31">
        <v>68.06</v>
      </c>
      <c r="P111" s="31">
        <v>82.69</v>
      </c>
      <c r="Q111" s="31">
        <v>8.7100000000000009</v>
      </c>
    </row>
    <row r="112" spans="2:21" x14ac:dyDescent="0.2">
      <c r="B112" s="31">
        <v>3.4005555555555556</v>
      </c>
      <c r="C112" s="31">
        <v>4.3672222222222201</v>
      </c>
      <c r="E112" s="31">
        <v>3.83388888888889</v>
      </c>
      <c r="F112" s="31">
        <v>3.7005555555555598</v>
      </c>
      <c r="G112" s="31">
        <v>37.43</v>
      </c>
      <c r="H112" s="31">
        <v>0</v>
      </c>
      <c r="I112" s="31">
        <v>27.17</v>
      </c>
      <c r="J112" s="31">
        <v>26.43</v>
      </c>
      <c r="K112" s="31">
        <v>2.37</v>
      </c>
      <c r="L112" s="31">
        <v>25.48</v>
      </c>
      <c r="M112" s="31">
        <v>15.51</v>
      </c>
      <c r="N112" s="31">
        <v>40.15</v>
      </c>
      <c r="O112" s="31">
        <v>68.22</v>
      </c>
      <c r="P112" s="31">
        <v>82.86</v>
      </c>
      <c r="Q112" s="31">
        <v>8.16</v>
      </c>
    </row>
    <row r="113" spans="2:17" x14ac:dyDescent="0.2">
      <c r="B113" s="31">
        <v>3.4338888888888888</v>
      </c>
      <c r="C113" s="31">
        <v>4.4005555555555604</v>
      </c>
      <c r="E113" s="31">
        <v>3.8672222222222201</v>
      </c>
      <c r="F113" s="31">
        <v>3.7338888888888899</v>
      </c>
      <c r="G113" s="31">
        <v>36.82</v>
      </c>
      <c r="H113" s="31">
        <v>0</v>
      </c>
      <c r="I113" s="31">
        <v>26.73</v>
      </c>
      <c r="J113" s="31">
        <v>25.69</v>
      </c>
      <c r="K113" s="31">
        <v>1.31</v>
      </c>
      <c r="L113" s="31">
        <v>24.92</v>
      </c>
      <c r="M113" s="31">
        <v>15.09</v>
      </c>
      <c r="N113" s="31">
        <v>39.07</v>
      </c>
      <c r="O113" s="31">
        <v>67.73</v>
      </c>
      <c r="P113" s="31">
        <v>82.35</v>
      </c>
      <c r="Q113" s="31">
        <v>7.62</v>
      </c>
    </row>
    <row r="114" spans="2:17" x14ac:dyDescent="0.2">
      <c r="B114" s="31">
        <v>3.467222222222222</v>
      </c>
      <c r="C114" s="31">
        <v>4.4338888888888901</v>
      </c>
      <c r="E114" s="31">
        <v>3.90055555555556</v>
      </c>
      <c r="F114" s="31">
        <v>3.76722222222222</v>
      </c>
      <c r="G114" s="31">
        <v>36.51</v>
      </c>
      <c r="H114" s="31">
        <v>0</v>
      </c>
      <c r="I114" s="31">
        <v>25.98</v>
      </c>
      <c r="J114" s="31">
        <v>24.95</v>
      </c>
      <c r="K114" s="31">
        <v>1.44</v>
      </c>
      <c r="L114" s="31">
        <v>24.5</v>
      </c>
      <c r="M114" s="31">
        <v>14.67</v>
      </c>
      <c r="N114" s="31">
        <v>38.299999999999997</v>
      </c>
      <c r="O114" s="31">
        <v>67.400000000000006</v>
      </c>
      <c r="P114" s="31">
        <v>82</v>
      </c>
      <c r="Q114" s="31">
        <v>7.08</v>
      </c>
    </row>
    <row r="115" spans="2:17" x14ac:dyDescent="0.2">
      <c r="B115" s="31">
        <v>3.5005555555555556</v>
      </c>
      <c r="C115" s="31">
        <v>4.4672222222222198</v>
      </c>
      <c r="E115" s="31">
        <v>3.9338888888888901</v>
      </c>
      <c r="F115" s="31">
        <v>3.8005555555555599</v>
      </c>
      <c r="G115" s="31">
        <v>35.9</v>
      </c>
      <c r="H115" s="31">
        <v>0</v>
      </c>
      <c r="I115" s="31">
        <v>25.83</v>
      </c>
      <c r="J115" s="31">
        <v>24.35</v>
      </c>
      <c r="K115" s="31">
        <v>1.31</v>
      </c>
      <c r="L115" s="31">
        <v>24.08</v>
      </c>
      <c r="M115" s="31">
        <v>14.4</v>
      </c>
      <c r="N115" s="31">
        <v>37.99</v>
      </c>
      <c r="O115" s="31">
        <v>67.069999999999993</v>
      </c>
      <c r="P115" s="31">
        <v>81.83</v>
      </c>
      <c r="Q115" s="31">
        <v>6.81</v>
      </c>
    </row>
    <row r="116" spans="2:17" x14ac:dyDescent="0.2">
      <c r="B116" s="31">
        <v>3.5338888888888889</v>
      </c>
      <c r="C116" s="31">
        <v>4.5005555555555601</v>
      </c>
      <c r="E116" s="31">
        <v>3.9672222222222202</v>
      </c>
      <c r="F116" s="31">
        <v>3.83388888888889</v>
      </c>
      <c r="G116" s="31">
        <v>35.44</v>
      </c>
      <c r="H116" s="31">
        <v>0</v>
      </c>
      <c r="I116" s="31">
        <v>25.69</v>
      </c>
      <c r="J116" s="31">
        <v>23.62</v>
      </c>
      <c r="K116" s="31">
        <v>1.71</v>
      </c>
      <c r="L116" s="31">
        <v>23.52</v>
      </c>
      <c r="M116" s="31">
        <v>13.84</v>
      </c>
      <c r="N116" s="31">
        <v>37.380000000000003</v>
      </c>
      <c r="O116" s="31">
        <v>67.069999999999993</v>
      </c>
      <c r="P116" s="31">
        <v>81.83</v>
      </c>
      <c r="Q116" s="31">
        <v>6.41</v>
      </c>
    </row>
    <row r="117" spans="2:17" x14ac:dyDescent="0.2">
      <c r="B117" s="31">
        <v>3.5672222222222221</v>
      </c>
      <c r="C117" s="31">
        <v>4.5338888888888897</v>
      </c>
      <c r="E117" s="31">
        <v>4.0005555555555601</v>
      </c>
      <c r="F117" s="31">
        <v>3.8672222222222201</v>
      </c>
      <c r="G117" s="31">
        <v>34.99</v>
      </c>
      <c r="H117" s="31">
        <v>0</v>
      </c>
      <c r="I117" s="31">
        <v>25.39</v>
      </c>
      <c r="J117" s="31">
        <v>23.03</v>
      </c>
      <c r="K117" s="31">
        <v>1.97</v>
      </c>
      <c r="L117" s="31">
        <v>22.55</v>
      </c>
      <c r="M117" s="31">
        <v>13.57</v>
      </c>
      <c r="N117" s="31">
        <v>36.770000000000003</v>
      </c>
      <c r="O117" s="31">
        <v>66.41</v>
      </c>
      <c r="P117" s="31">
        <v>81.319999999999993</v>
      </c>
      <c r="Q117" s="31">
        <v>6.14</v>
      </c>
    </row>
    <row r="118" spans="2:17" x14ac:dyDescent="0.2">
      <c r="B118" s="31">
        <v>3.6005555555555557</v>
      </c>
      <c r="C118" s="31">
        <v>4.5672222222222203</v>
      </c>
      <c r="E118" s="31">
        <v>4.0338888888888897</v>
      </c>
      <c r="F118" s="31">
        <v>3.90055555555556</v>
      </c>
      <c r="G118" s="31">
        <v>34.380000000000003</v>
      </c>
      <c r="H118" s="31">
        <v>0</v>
      </c>
      <c r="I118" s="31">
        <v>24.95</v>
      </c>
      <c r="J118" s="31">
        <v>22.58</v>
      </c>
      <c r="K118" s="31">
        <v>1.97</v>
      </c>
      <c r="L118" s="31">
        <v>21.71</v>
      </c>
      <c r="M118" s="31">
        <v>12.74</v>
      </c>
      <c r="N118" s="31">
        <v>35.24</v>
      </c>
      <c r="O118" s="31">
        <v>65.92</v>
      </c>
      <c r="P118" s="31">
        <v>80.81</v>
      </c>
      <c r="Q118" s="31">
        <v>5.87</v>
      </c>
    </row>
    <row r="119" spans="2:17" x14ac:dyDescent="0.2">
      <c r="B119" s="31">
        <v>3.6338888888888889</v>
      </c>
      <c r="C119" s="31">
        <v>4.6008333333333304</v>
      </c>
      <c r="E119" s="31">
        <v>4.0672222222222203</v>
      </c>
      <c r="F119" s="31">
        <v>3.9338888888888901</v>
      </c>
      <c r="G119" s="31">
        <v>33.78</v>
      </c>
      <c r="H119" s="31">
        <v>0</v>
      </c>
      <c r="I119" s="31">
        <v>24.65</v>
      </c>
      <c r="J119" s="31">
        <v>22.44</v>
      </c>
      <c r="K119" s="31">
        <v>1.84</v>
      </c>
      <c r="L119" s="31">
        <v>21.02</v>
      </c>
      <c r="M119" s="31">
        <v>12.19</v>
      </c>
      <c r="N119" s="31">
        <v>35.4</v>
      </c>
      <c r="O119" s="31">
        <v>65.92</v>
      </c>
      <c r="P119" s="31">
        <v>80.64</v>
      </c>
      <c r="Q119" s="31">
        <v>5.47</v>
      </c>
    </row>
    <row r="120" spans="2:17" x14ac:dyDescent="0.2">
      <c r="B120" s="31">
        <v>3.6672222222222222</v>
      </c>
      <c r="C120" s="31">
        <v>4.6341666666666699</v>
      </c>
      <c r="E120" s="31">
        <v>4.1005555555555597</v>
      </c>
      <c r="F120" s="31">
        <v>3.9672222222222202</v>
      </c>
      <c r="G120" s="31">
        <v>33.32</v>
      </c>
      <c r="H120" s="31">
        <v>0</v>
      </c>
      <c r="I120" s="31">
        <v>23.91</v>
      </c>
      <c r="J120" s="31">
        <v>22.14</v>
      </c>
      <c r="K120" s="31">
        <v>1.71</v>
      </c>
      <c r="L120" s="31">
        <v>20.46</v>
      </c>
      <c r="M120" s="31">
        <v>11.64</v>
      </c>
      <c r="N120" s="31">
        <v>34.94</v>
      </c>
      <c r="O120" s="31">
        <v>65.59</v>
      </c>
      <c r="P120" s="31">
        <v>80.3</v>
      </c>
      <c r="Q120" s="31">
        <v>5.33</v>
      </c>
    </row>
    <row r="121" spans="2:17" x14ac:dyDescent="0.2">
      <c r="B121" s="31">
        <v>3.7005555555555554</v>
      </c>
      <c r="C121" s="31">
        <v>4.6675000000000004</v>
      </c>
      <c r="E121" s="31">
        <v>4.1338888888888903</v>
      </c>
      <c r="F121" s="31">
        <v>4.0005555555555601</v>
      </c>
      <c r="G121" s="31">
        <v>33.020000000000003</v>
      </c>
      <c r="H121" s="31">
        <v>0</v>
      </c>
      <c r="I121" s="31">
        <v>23.32</v>
      </c>
      <c r="J121" s="31">
        <v>21.85</v>
      </c>
      <c r="K121" s="31">
        <v>1.58</v>
      </c>
      <c r="L121" s="31">
        <v>19.77</v>
      </c>
      <c r="M121" s="31">
        <v>11.5</v>
      </c>
      <c r="N121" s="31">
        <v>35.090000000000003</v>
      </c>
      <c r="O121" s="31">
        <v>65.260000000000005</v>
      </c>
      <c r="P121" s="31">
        <v>79.959999999999994</v>
      </c>
      <c r="Q121" s="31">
        <v>4.93</v>
      </c>
    </row>
    <row r="122" spans="2:17" x14ac:dyDescent="0.2">
      <c r="B122" s="31">
        <v>3.733888888888889</v>
      </c>
      <c r="C122" s="31">
        <v>4.7008333333333301</v>
      </c>
      <c r="E122" s="31">
        <v>4.1672222222222199</v>
      </c>
      <c r="F122" s="31">
        <v>4.0338888888888897</v>
      </c>
      <c r="G122" s="31">
        <v>32.270000000000003</v>
      </c>
      <c r="H122" s="31">
        <v>0</v>
      </c>
      <c r="I122" s="31">
        <v>22.73</v>
      </c>
      <c r="J122" s="31">
        <v>21.7</v>
      </c>
      <c r="K122" s="31">
        <v>1.31</v>
      </c>
      <c r="L122" s="31">
        <v>19.22</v>
      </c>
      <c r="M122" s="31">
        <v>11.09</v>
      </c>
      <c r="N122" s="31">
        <v>35.090000000000003</v>
      </c>
      <c r="O122" s="31">
        <v>65.099999999999994</v>
      </c>
      <c r="P122" s="31">
        <v>79.62</v>
      </c>
      <c r="Q122" s="31">
        <v>4.93</v>
      </c>
    </row>
    <row r="123" spans="2:17" x14ac:dyDescent="0.2">
      <c r="B123" s="31">
        <v>3.7672222222222222</v>
      </c>
      <c r="C123" s="31">
        <v>4.7341666666666704</v>
      </c>
      <c r="E123" s="31">
        <v>4.2005555555555603</v>
      </c>
      <c r="F123" s="31">
        <v>4.0672222222222203</v>
      </c>
      <c r="G123" s="31">
        <v>31.66</v>
      </c>
      <c r="H123" s="31">
        <v>0</v>
      </c>
      <c r="I123" s="31">
        <v>22</v>
      </c>
      <c r="J123" s="31">
        <v>21.7</v>
      </c>
      <c r="K123" s="31">
        <v>1.05</v>
      </c>
      <c r="L123" s="31">
        <v>18.39</v>
      </c>
      <c r="M123" s="31">
        <v>11.09</v>
      </c>
      <c r="N123" s="31">
        <v>34.79</v>
      </c>
      <c r="O123" s="31">
        <v>64.77</v>
      </c>
      <c r="P123" s="31">
        <v>78.94</v>
      </c>
      <c r="Q123" s="31">
        <v>4.66</v>
      </c>
    </row>
    <row r="124" spans="2:17" x14ac:dyDescent="0.2">
      <c r="B124" s="31">
        <v>3.8005555555555555</v>
      </c>
      <c r="C124" s="31">
        <v>4.7675000000000001</v>
      </c>
      <c r="E124" s="31">
        <v>4.2338888888888899</v>
      </c>
      <c r="F124" s="31">
        <v>4.1005555555555597</v>
      </c>
      <c r="G124" s="31">
        <v>31.21</v>
      </c>
      <c r="H124" s="31">
        <v>0</v>
      </c>
      <c r="I124" s="31">
        <v>21.7</v>
      </c>
      <c r="J124" s="31">
        <v>21.56</v>
      </c>
      <c r="K124" s="31">
        <v>1.05</v>
      </c>
      <c r="L124" s="31">
        <v>17.57</v>
      </c>
      <c r="M124" s="31">
        <v>10.68</v>
      </c>
      <c r="N124" s="31">
        <v>34.18</v>
      </c>
      <c r="O124" s="31">
        <v>64.44</v>
      </c>
      <c r="P124" s="31">
        <v>78.260000000000005</v>
      </c>
      <c r="Q124" s="31">
        <v>4.53</v>
      </c>
    </row>
    <row r="125" spans="2:17" x14ac:dyDescent="0.2">
      <c r="B125" s="31">
        <v>3.8338888888888887</v>
      </c>
      <c r="C125" s="31">
        <v>4.8008333333333297</v>
      </c>
      <c r="E125" s="31">
        <v>4.2672222222222196</v>
      </c>
      <c r="F125" s="31">
        <v>4.1338888888888903</v>
      </c>
      <c r="G125" s="31">
        <v>30.46</v>
      </c>
      <c r="H125" s="31">
        <v>0</v>
      </c>
      <c r="I125" s="31">
        <v>21.56</v>
      </c>
      <c r="J125" s="31">
        <v>21.56</v>
      </c>
      <c r="K125" s="31">
        <v>1.05</v>
      </c>
      <c r="L125" s="31">
        <v>17.02</v>
      </c>
      <c r="M125" s="31">
        <v>10.4</v>
      </c>
      <c r="N125" s="31">
        <v>33.42</v>
      </c>
      <c r="O125" s="31">
        <v>63.95</v>
      </c>
      <c r="P125" s="31">
        <v>77.58</v>
      </c>
      <c r="Q125" s="31">
        <v>4.53</v>
      </c>
    </row>
    <row r="126" spans="2:17" x14ac:dyDescent="0.2">
      <c r="B126" s="31">
        <v>3.8672222222222223</v>
      </c>
      <c r="C126" s="31">
        <v>4.8341666666666701</v>
      </c>
      <c r="E126" s="31">
        <v>4.3005555555555599</v>
      </c>
      <c r="F126" s="31">
        <v>4.1672222222222199</v>
      </c>
      <c r="G126" s="31">
        <v>29.86</v>
      </c>
      <c r="H126" s="31">
        <v>0</v>
      </c>
      <c r="I126" s="31">
        <v>20.97</v>
      </c>
      <c r="J126" s="31">
        <v>21.56</v>
      </c>
      <c r="K126" s="31">
        <v>0.92</v>
      </c>
      <c r="L126" s="31">
        <v>16.34</v>
      </c>
      <c r="M126" s="31">
        <v>10.130000000000001</v>
      </c>
      <c r="N126" s="31">
        <v>33.270000000000003</v>
      </c>
      <c r="O126" s="31">
        <v>63.95</v>
      </c>
      <c r="P126" s="31">
        <v>77.25</v>
      </c>
      <c r="Q126" s="31">
        <v>4.53</v>
      </c>
    </row>
    <row r="127" spans="2:17" x14ac:dyDescent="0.2">
      <c r="B127" s="31">
        <v>3.9005555555555556</v>
      </c>
      <c r="C127" s="31">
        <v>4.8674999999999997</v>
      </c>
      <c r="E127" s="31">
        <v>4.3338888888888896</v>
      </c>
      <c r="F127" s="31">
        <v>4.2005555555555603</v>
      </c>
      <c r="G127" s="31">
        <v>29.26</v>
      </c>
      <c r="H127" s="31">
        <v>0</v>
      </c>
      <c r="I127" s="31">
        <v>20.82</v>
      </c>
      <c r="J127" s="31">
        <v>21.7</v>
      </c>
      <c r="K127" s="31">
        <v>0.92</v>
      </c>
      <c r="L127" s="31">
        <v>15.79</v>
      </c>
      <c r="M127" s="31">
        <v>9.4499999999999993</v>
      </c>
      <c r="N127" s="31">
        <v>31.91</v>
      </c>
      <c r="O127" s="31">
        <v>63.46</v>
      </c>
      <c r="P127" s="31">
        <v>76.739999999999995</v>
      </c>
      <c r="Q127" s="31">
        <v>4.3899999999999997</v>
      </c>
    </row>
    <row r="128" spans="2:17" x14ac:dyDescent="0.2">
      <c r="B128" s="31">
        <v>3.9338888888888888</v>
      </c>
      <c r="C128" s="31">
        <v>4.9008333333333303</v>
      </c>
      <c r="E128" s="31">
        <v>4.3672222222222201</v>
      </c>
      <c r="F128" s="31">
        <v>4.2338888888888899</v>
      </c>
      <c r="G128" s="31">
        <v>28.66</v>
      </c>
      <c r="H128" s="31">
        <v>0</v>
      </c>
      <c r="I128" s="31">
        <v>20.38</v>
      </c>
      <c r="J128" s="31">
        <v>21.7</v>
      </c>
      <c r="K128" s="31">
        <v>0.92</v>
      </c>
      <c r="L128" s="31">
        <v>15.24</v>
      </c>
      <c r="M128" s="31">
        <v>8.9</v>
      </c>
      <c r="N128" s="31">
        <v>31.91</v>
      </c>
      <c r="O128" s="31">
        <v>63.3</v>
      </c>
      <c r="P128" s="31">
        <v>76.23</v>
      </c>
      <c r="Q128" s="31">
        <v>4.3899999999999997</v>
      </c>
    </row>
    <row r="129" spans="2:17" x14ac:dyDescent="0.2">
      <c r="B129" s="31">
        <v>3.967222222222222</v>
      </c>
      <c r="C129" s="31">
        <v>4.9341666666666697</v>
      </c>
      <c r="E129" s="31">
        <v>4.4005555555555604</v>
      </c>
      <c r="F129" s="31">
        <v>4.2672222222222196</v>
      </c>
      <c r="G129" s="31">
        <v>28.07</v>
      </c>
      <c r="H129" s="31">
        <v>0</v>
      </c>
      <c r="I129" s="31">
        <v>20.09</v>
      </c>
      <c r="J129" s="31">
        <v>21.7</v>
      </c>
      <c r="K129" s="31">
        <v>0.79</v>
      </c>
      <c r="L129" s="31">
        <v>14.56</v>
      </c>
      <c r="M129" s="31">
        <v>8.2200000000000006</v>
      </c>
      <c r="N129" s="31">
        <v>31.91</v>
      </c>
      <c r="O129" s="31">
        <v>62.97</v>
      </c>
      <c r="P129" s="31">
        <v>76.23</v>
      </c>
      <c r="Q129" s="31">
        <v>4.53</v>
      </c>
    </row>
    <row r="130" spans="2:17" x14ac:dyDescent="0.2">
      <c r="B130" s="31">
        <v>4.0005555555555556</v>
      </c>
      <c r="C130" s="31">
        <v>4.9675000000000002</v>
      </c>
      <c r="E130" s="31">
        <v>4.4338888888888901</v>
      </c>
      <c r="F130" s="31">
        <v>4.3005555555555599</v>
      </c>
      <c r="G130" s="31">
        <v>27.77</v>
      </c>
      <c r="H130" s="31">
        <v>0</v>
      </c>
      <c r="I130" s="31">
        <v>19.649999999999999</v>
      </c>
      <c r="J130" s="31">
        <v>21.56</v>
      </c>
      <c r="K130" s="31">
        <v>1.05</v>
      </c>
      <c r="L130" s="31">
        <v>14.15</v>
      </c>
      <c r="M130" s="31">
        <v>7.67</v>
      </c>
      <c r="N130" s="31">
        <v>31.46</v>
      </c>
      <c r="O130" s="31">
        <v>62.48</v>
      </c>
      <c r="P130" s="31">
        <v>75.39</v>
      </c>
      <c r="Q130" s="31">
        <v>4.26</v>
      </c>
    </row>
    <row r="131" spans="2:17" x14ac:dyDescent="0.2">
      <c r="B131" s="31">
        <v>4.0338888888888889</v>
      </c>
      <c r="C131" s="31">
        <v>5.0008333333333299</v>
      </c>
      <c r="E131" s="31">
        <v>4.4672222222222198</v>
      </c>
      <c r="F131" s="31">
        <v>4.3338888888888896</v>
      </c>
      <c r="G131" s="31">
        <v>27.17</v>
      </c>
      <c r="H131" s="31">
        <v>0</v>
      </c>
      <c r="I131" s="31">
        <v>19.07</v>
      </c>
      <c r="J131" s="31">
        <v>21.26</v>
      </c>
      <c r="K131" s="31">
        <v>0.92</v>
      </c>
      <c r="L131" s="31">
        <v>13.74</v>
      </c>
      <c r="M131" s="31">
        <v>6.99</v>
      </c>
      <c r="N131" s="31">
        <v>31.61</v>
      </c>
      <c r="O131" s="31">
        <v>62.16</v>
      </c>
      <c r="P131" s="31">
        <v>75.22</v>
      </c>
      <c r="Q131" s="31">
        <v>4.26</v>
      </c>
    </row>
    <row r="132" spans="2:17" x14ac:dyDescent="0.2">
      <c r="B132" s="31">
        <v>4.0672222222222221</v>
      </c>
      <c r="C132" s="31">
        <v>5.0341666666666702</v>
      </c>
      <c r="E132" s="31">
        <v>4.5005555555555601</v>
      </c>
      <c r="F132" s="31">
        <v>4.3672222222222201</v>
      </c>
      <c r="G132" s="31">
        <v>26.58</v>
      </c>
      <c r="H132" s="31">
        <v>0</v>
      </c>
      <c r="I132" s="31">
        <v>18.63</v>
      </c>
      <c r="J132" s="31">
        <v>21.12</v>
      </c>
      <c r="K132" s="31">
        <v>1.05</v>
      </c>
      <c r="L132" s="31">
        <v>12.93</v>
      </c>
      <c r="M132" s="31">
        <v>6.45</v>
      </c>
      <c r="N132" s="31">
        <v>31.61</v>
      </c>
      <c r="O132" s="31">
        <v>61.99</v>
      </c>
      <c r="P132" s="31">
        <v>75.06</v>
      </c>
      <c r="Q132" s="31">
        <v>4.53</v>
      </c>
    </row>
    <row r="133" spans="2:17" x14ac:dyDescent="0.2">
      <c r="B133" s="31">
        <v>4.1005555555555553</v>
      </c>
      <c r="C133" s="31">
        <v>5.0674999999999999</v>
      </c>
      <c r="E133" s="31">
        <v>4.5338888888888897</v>
      </c>
      <c r="F133" s="31">
        <v>4.4005555555555604</v>
      </c>
      <c r="G133" s="31">
        <v>25.98</v>
      </c>
      <c r="H133" s="31">
        <v>0</v>
      </c>
      <c r="I133" s="31">
        <v>18.34</v>
      </c>
      <c r="J133" s="31">
        <v>20.97</v>
      </c>
      <c r="K133" s="31">
        <v>1.05</v>
      </c>
      <c r="L133" s="31">
        <v>12.39</v>
      </c>
      <c r="M133" s="31">
        <v>6.05</v>
      </c>
      <c r="N133" s="31">
        <v>30.4</v>
      </c>
      <c r="O133" s="31">
        <v>61.34</v>
      </c>
      <c r="P133" s="31">
        <v>74.55</v>
      </c>
      <c r="Q133" s="31">
        <v>4.3899999999999997</v>
      </c>
    </row>
    <row r="134" spans="2:17" x14ac:dyDescent="0.2">
      <c r="B134" s="31">
        <v>4.1338888888888885</v>
      </c>
      <c r="C134" s="31">
        <v>5.1008333333333304</v>
      </c>
      <c r="E134" s="31">
        <v>4.5672222222222203</v>
      </c>
      <c r="F134" s="31">
        <v>4.4338888888888901</v>
      </c>
      <c r="G134" s="31">
        <v>25.39</v>
      </c>
      <c r="H134" s="31">
        <v>0</v>
      </c>
      <c r="I134" s="31">
        <v>17.899999999999999</v>
      </c>
      <c r="J134" s="31">
        <v>20.82</v>
      </c>
      <c r="K134" s="31">
        <v>0.92</v>
      </c>
      <c r="L134" s="31">
        <v>11.98</v>
      </c>
      <c r="M134" s="31">
        <v>5.37</v>
      </c>
      <c r="N134" s="31">
        <v>30.25</v>
      </c>
      <c r="O134" s="31">
        <v>61.02</v>
      </c>
      <c r="P134" s="31">
        <v>74.22</v>
      </c>
      <c r="Q134" s="31">
        <v>4.26</v>
      </c>
    </row>
    <row r="135" spans="2:17" x14ac:dyDescent="0.2">
      <c r="B135" s="31">
        <v>4.1672222222222226</v>
      </c>
      <c r="C135" s="31">
        <v>5.1341666666666699</v>
      </c>
      <c r="E135" s="31">
        <v>4.6008333333333304</v>
      </c>
      <c r="F135" s="31">
        <v>4.4672222222222198</v>
      </c>
      <c r="G135" s="31">
        <v>25.09</v>
      </c>
      <c r="H135" s="31">
        <v>0</v>
      </c>
      <c r="I135" s="31">
        <v>17.61</v>
      </c>
      <c r="J135" s="31">
        <v>20.68</v>
      </c>
      <c r="K135" s="31">
        <v>0.92</v>
      </c>
      <c r="L135" s="31">
        <v>11.44</v>
      </c>
      <c r="M135" s="31">
        <v>4.6900000000000004</v>
      </c>
      <c r="N135" s="31">
        <v>30.1</v>
      </c>
      <c r="O135" s="31">
        <v>60.86</v>
      </c>
      <c r="P135" s="31">
        <v>74.72</v>
      </c>
      <c r="Q135" s="31">
        <v>4.26</v>
      </c>
    </row>
    <row r="136" spans="2:17" x14ac:dyDescent="0.2">
      <c r="B136" s="31">
        <v>4.2005555555555558</v>
      </c>
      <c r="C136" s="31">
        <v>5.1675000000000004</v>
      </c>
      <c r="E136" s="31">
        <v>4.6341666666666699</v>
      </c>
      <c r="F136" s="31">
        <v>4.5005555555555601</v>
      </c>
      <c r="G136" s="31">
        <v>24.35</v>
      </c>
      <c r="H136" s="31">
        <v>0</v>
      </c>
      <c r="I136" s="31">
        <v>17.03</v>
      </c>
      <c r="J136" s="31">
        <v>20.239999999999998</v>
      </c>
      <c r="K136" s="31">
        <v>0.92</v>
      </c>
      <c r="L136" s="31">
        <v>10.77</v>
      </c>
      <c r="M136" s="31">
        <v>4.0199999999999996</v>
      </c>
      <c r="N136" s="31">
        <v>28.9</v>
      </c>
      <c r="O136" s="31">
        <v>60.37</v>
      </c>
      <c r="P136" s="31">
        <v>74.22</v>
      </c>
      <c r="Q136" s="31">
        <v>4.3899999999999997</v>
      </c>
    </row>
    <row r="137" spans="2:17" x14ac:dyDescent="0.2">
      <c r="B137" s="31">
        <v>4.233888888888889</v>
      </c>
      <c r="C137" s="31">
        <v>5.2008333333333301</v>
      </c>
      <c r="E137" s="31">
        <v>4.6675000000000004</v>
      </c>
      <c r="F137" s="31">
        <v>4.5338888888888897</v>
      </c>
      <c r="G137" s="31">
        <v>23.91</v>
      </c>
      <c r="H137" s="31">
        <v>0</v>
      </c>
      <c r="I137" s="31">
        <v>16.89</v>
      </c>
      <c r="J137" s="31">
        <v>20.09</v>
      </c>
      <c r="K137" s="31">
        <v>1.05</v>
      </c>
      <c r="L137" s="31">
        <v>10.23</v>
      </c>
      <c r="M137" s="31">
        <v>3.62</v>
      </c>
      <c r="N137" s="31">
        <v>29.8</v>
      </c>
      <c r="O137" s="31">
        <v>60.21</v>
      </c>
      <c r="P137" s="31">
        <v>74.22</v>
      </c>
      <c r="Q137" s="31">
        <v>4.26</v>
      </c>
    </row>
    <row r="138" spans="2:17" x14ac:dyDescent="0.2">
      <c r="B138" s="31">
        <v>4.2672222222222222</v>
      </c>
      <c r="C138" s="31">
        <v>5.2341666666666704</v>
      </c>
      <c r="E138" s="31">
        <v>4.7008333333333301</v>
      </c>
      <c r="F138" s="31">
        <v>4.5672222222222203</v>
      </c>
      <c r="G138" s="31">
        <v>23.32</v>
      </c>
      <c r="H138" s="31">
        <v>0</v>
      </c>
      <c r="I138" s="31">
        <v>16.309999999999999</v>
      </c>
      <c r="J138" s="31">
        <v>19.649999999999999</v>
      </c>
      <c r="K138" s="31">
        <v>1.05</v>
      </c>
      <c r="L138" s="31">
        <v>9.69</v>
      </c>
      <c r="M138" s="31">
        <v>2.81</v>
      </c>
      <c r="N138" s="31">
        <v>29.8</v>
      </c>
      <c r="O138" s="31">
        <v>59.88</v>
      </c>
      <c r="P138" s="31">
        <v>73.709999999999994</v>
      </c>
      <c r="Q138" s="31">
        <v>4.26</v>
      </c>
    </row>
    <row r="139" spans="2:17" x14ac:dyDescent="0.2">
      <c r="B139" s="31">
        <v>4.3005555555555564</v>
      </c>
      <c r="C139" s="31">
        <v>5.2675000000000001</v>
      </c>
      <c r="E139" s="31">
        <v>4.7341666666666704</v>
      </c>
      <c r="F139" s="31">
        <v>4.6008333333333304</v>
      </c>
      <c r="G139" s="31">
        <v>22.73</v>
      </c>
      <c r="H139" s="31">
        <v>0</v>
      </c>
      <c r="I139" s="31">
        <v>15.87</v>
      </c>
      <c r="J139" s="31">
        <v>19.510000000000002</v>
      </c>
      <c r="K139" s="31">
        <v>1.05</v>
      </c>
      <c r="L139" s="31">
        <v>9.02</v>
      </c>
      <c r="M139" s="31">
        <v>2.14</v>
      </c>
      <c r="N139" s="31">
        <v>28.6</v>
      </c>
      <c r="O139" s="31">
        <v>59.08</v>
      </c>
      <c r="P139" s="31">
        <v>73.709999999999994</v>
      </c>
      <c r="Q139" s="31">
        <v>4.3899999999999997</v>
      </c>
    </row>
    <row r="140" spans="2:17" x14ac:dyDescent="0.2">
      <c r="B140" s="31">
        <v>4.3338888888888896</v>
      </c>
      <c r="C140" s="31">
        <v>5.3008333333333297</v>
      </c>
      <c r="E140" s="31">
        <v>4.7675000000000001</v>
      </c>
      <c r="F140" s="31">
        <v>4.6341666666666699</v>
      </c>
      <c r="G140" s="31">
        <v>22</v>
      </c>
      <c r="H140" s="31">
        <v>0</v>
      </c>
      <c r="I140" s="31">
        <v>15.59</v>
      </c>
      <c r="J140" s="31">
        <v>18.920000000000002</v>
      </c>
      <c r="K140" s="31">
        <v>1.05</v>
      </c>
      <c r="L140" s="31">
        <v>8.2100000000000009</v>
      </c>
      <c r="M140" s="31">
        <v>1.74</v>
      </c>
      <c r="N140" s="31">
        <v>28</v>
      </c>
      <c r="O140" s="31">
        <v>58.75</v>
      </c>
      <c r="P140" s="31">
        <v>73.38</v>
      </c>
      <c r="Q140" s="31">
        <v>4.3899999999999997</v>
      </c>
    </row>
    <row r="141" spans="2:17" x14ac:dyDescent="0.2">
      <c r="B141" s="31">
        <v>4.3672222222222228</v>
      </c>
      <c r="C141" s="31">
        <v>5.3341666666666701</v>
      </c>
      <c r="E141" s="31">
        <v>4.8008333333333297</v>
      </c>
      <c r="F141" s="31">
        <v>4.6675000000000004</v>
      </c>
      <c r="G141" s="31">
        <v>21.12</v>
      </c>
      <c r="H141" s="31">
        <v>0</v>
      </c>
      <c r="I141" s="31">
        <v>15.15</v>
      </c>
      <c r="J141" s="31">
        <v>18.34</v>
      </c>
      <c r="K141" s="31">
        <v>1.18</v>
      </c>
      <c r="L141" s="31">
        <v>7.68</v>
      </c>
      <c r="M141" s="31">
        <v>1.2</v>
      </c>
      <c r="N141" s="31">
        <v>28</v>
      </c>
      <c r="O141" s="31">
        <v>58.75</v>
      </c>
      <c r="P141" s="31">
        <v>73.209999999999994</v>
      </c>
      <c r="Q141" s="31">
        <v>4.3899999999999997</v>
      </c>
    </row>
    <row r="142" spans="2:17" x14ac:dyDescent="0.2">
      <c r="B142" s="31">
        <v>4.400555555555556</v>
      </c>
      <c r="C142" s="31">
        <v>5.3674999999999997</v>
      </c>
      <c r="E142" s="31">
        <v>4.8341666666666701</v>
      </c>
      <c r="F142" s="31">
        <v>4.7008333333333301</v>
      </c>
      <c r="G142" s="31">
        <v>20.38</v>
      </c>
      <c r="H142" s="31">
        <v>0</v>
      </c>
      <c r="I142" s="31">
        <v>14.57</v>
      </c>
      <c r="J142" s="31">
        <v>17.47</v>
      </c>
      <c r="K142" s="31">
        <v>1.18</v>
      </c>
      <c r="L142" s="31">
        <v>7.14</v>
      </c>
      <c r="M142" s="31">
        <v>0.8</v>
      </c>
      <c r="N142" s="31">
        <v>27.55</v>
      </c>
      <c r="O142" s="31">
        <v>58.27</v>
      </c>
      <c r="P142" s="31">
        <v>73.209999999999994</v>
      </c>
      <c r="Q142" s="31">
        <v>4.66</v>
      </c>
    </row>
    <row r="143" spans="2:17" x14ac:dyDescent="0.2">
      <c r="B143" s="31">
        <v>4.4338888888888892</v>
      </c>
      <c r="C143" s="31">
        <v>5.4008333333333303</v>
      </c>
      <c r="E143" s="31">
        <v>4.8674999999999997</v>
      </c>
      <c r="F143" s="31">
        <v>4.7341666666666704</v>
      </c>
      <c r="G143" s="31">
        <v>20.09</v>
      </c>
      <c r="H143" s="31">
        <v>0</v>
      </c>
      <c r="I143" s="31">
        <v>13.71</v>
      </c>
      <c r="J143" s="31">
        <v>16.89</v>
      </c>
      <c r="K143" s="31">
        <v>1.18</v>
      </c>
      <c r="L143" s="31">
        <v>6.48</v>
      </c>
      <c r="M143" s="31">
        <v>0.27</v>
      </c>
      <c r="N143" s="31">
        <v>26.81</v>
      </c>
      <c r="O143" s="31">
        <v>57.95</v>
      </c>
      <c r="P143" s="31">
        <v>72.709999999999994</v>
      </c>
      <c r="Q143" s="31">
        <v>4.53</v>
      </c>
    </row>
    <row r="144" spans="2:17" x14ac:dyDescent="0.2">
      <c r="B144" s="31">
        <v>4.4672222222222224</v>
      </c>
      <c r="C144" s="31">
        <v>5.4341666666666697</v>
      </c>
      <c r="E144" s="31">
        <v>4.9008333333333303</v>
      </c>
      <c r="F144" s="31">
        <v>4.7675000000000001</v>
      </c>
      <c r="G144" s="31">
        <v>19.36</v>
      </c>
      <c r="H144" s="31">
        <v>0</v>
      </c>
      <c r="I144" s="31">
        <v>13.14</v>
      </c>
      <c r="J144" s="31">
        <v>16.45</v>
      </c>
      <c r="K144" s="31">
        <v>1.05</v>
      </c>
      <c r="L144" s="31">
        <v>6.08</v>
      </c>
      <c r="M144" s="31">
        <v>0</v>
      </c>
      <c r="N144" s="31">
        <v>26.06</v>
      </c>
      <c r="O144" s="31">
        <v>57.62</v>
      </c>
      <c r="P144" s="31">
        <v>72.88</v>
      </c>
      <c r="Q144" s="31">
        <v>4.3899999999999997</v>
      </c>
    </row>
    <row r="145" spans="2:17" x14ac:dyDescent="0.2">
      <c r="B145" s="31">
        <v>4.5005555555555556</v>
      </c>
      <c r="C145" s="31">
        <v>5.4675000000000002</v>
      </c>
      <c r="E145" s="31">
        <v>4.9341666666666697</v>
      </c>
      <c r="F145" s="31">
        <v>4.8008333333333297</v>
      </c>
      <c r="G145" s="31">
        <v>19.07</v>
      </c>
      <c r="H145" s="31">
        <v>0</v>
      </c>
      <c r="I145" s="31">
        <v>12.99</v>
      </c>
      <c r="J145" s="31">
        <v>15.44</v>
      </c>
      <c r="K145" s="31">
        <v>1.18</v>
      </c>
      <c r="L145" s="31">
        <v>5.68</v>
      </c>
      <c r="M145" s="31">
        <v>0</v>
      </c>
      <c r="N145" s="31">
        <v>25.17</v>
      </c>
      <c r="O145" s="31">
        <v>57.3</v>
      </c>
      <c r="P145" s="31">
        <v>72.709999999999994</v>
      </c>
      <c r="Q145" s="31">
        <v>4.3899999999999997</v>
      </c>
    </row>
    <row r="146" spans="2:17" x14ac:dyDescent="0.2">
      <c r="B146" s="31">
        <v>4.5338888888888897</v>
      </c>
      <c r="C146" s="31">
        <v>5.5008333333333299</v>
      </c>
      <c r="E146" s="31">
        <v>4.9675000000000002</v>
      </c>
      <c r="F146" s="31">
        <v>4.8341666666666701</v>
      </c>
      <c r="G146" s="31">
        <v>18.63</v>
      </c>
      <c r="H146" s="31">
        <v>0</v>
      </c>
      <c r="I146" s="31">
        <v>12.56</v>
      </c>
      <c r="J146" s="31">
        <v>14.86</v>
      </c>
      <c r="K146" s="31">
        <v>1.18</v>
      </c>
      <c r="L146" s="31">
        <v>5.28</v>
      </c>
      <c r="M146" s="31">
        <v>0</v>
      </c>
      <c r="N146" s="31">
        <v>24.73</v>
      </c>
      <c r="O146" s="31">
        <v>56.66</v>
      </c>
      <c r="P146" s="31">
        <v>72.209999999999994</v>
      </c>
      <c r="Q146" s="31">
        <v>4.66</v>
      </c>
    </row>
    <row r="147" spans="2:17" x14ac:dyDescent="0.2">
      <c r="B147" s="31">
        <v>4.567222222222223</v>
      </c>
      <c r="C147" s="31">
        <v>5.5341666666666702</v>
      </c>
      <c r="E147" s="31">
        <v>5.0008333333333299</v>
      </c>
      <c r="F147" s="31">
        <v>4.8674999999999997</v>
      </c>
      <c r="G147" s="31">
        <v>18.2</v>
      </c>
      <c r="H147" s="31">
        <v>0</v>
      </c>
      <c r="I147" s="31">
        <v>12.13</v>
      </c>
      <c r="J147" s="31">
        <v>14.29</v>
      </c>
      <c r="K147" s="31">
        <v>1.18</v>
      </c>
      <c r="L147" s="31">
        <v>4.88</v>
      </c>
      <c r="M147" s="31">
        <v>0</v>
      </c>
      <c r="N147" s="31">
        <v>24.73</v>
      </c>
      <c r="O147" s="31">
        <v>56.66</v>
      </c>
      <c r="P147" s="31">
        <v>72.209999999999994</v>
      </c>
      <c r="Q147" s="31">
        <v>4.53</v>
      </c>
    </row>
    <row r="148" spans="2:17" x14ac:dyDescent="0.2">
      <c r="B148" s="31">
        <v>4.6008333333333331</v>
      </c>
      <c r="C148" s="31">
        <v>5.5674999999999999</v>
      </c>
      <c r="E148" s="31">
        <v>5.0341666666666702</v>
      </c>
      <c r="F148" s="31">
        <v>4.9008333333333303</v>
      </c>
      <c r="G148" s="31">
        <v>17.03</v>
      </c>
      <c r="H148" s="31">
        <v>0</v>
      </c>
      <c r="I148" s="31">
        <v>12.13</v>
      </c>
      <c r="J148" s="31">
        <v>13.71</v>
      </c>
      <c r="K148" s="31">
        <v>1.18</v>
      </c>
      <c r="L148" s="31">
        <v>4.4800000000000004</v>
      </c>
      <c r="M148" s="31">
        <v>0</v>
      </c>
      <c r="N148" s="31">
        <v>23.25</v>
      </c>
      <c r="O148" s="31">
        <v>56.34</v>
      </c>
      <c r="P148" s="31">
        <v>72.040000000000006</v>
      </c>
      <c r="Q148" s="31">
        <v>4.53</v>
      </c>
    </row>
    <row r="149" spans="2:17" x14ac:dyDescent="0.2">
      <c r="B149" s="31">
        <v>4.6341666666666672</v>
      </c>
      <c r="C149" s="31">
        <v>5.6008333333333304</v>
      </c>
      <c r="E149" s="31">
        <v>5.0674999999999999</v>
      </c>
      <c r="F149" s="31">
        <v>4.9341666666666697</v>
      </c>
      <c r="G149" s="31">
        <v>16.89</v>
      </c>
      <c r="H149" s="31">
        <v>0</v>
      </c>
      <c r="I149" s="31">
        <v>11.7</v>
      </c>
      <c r="J149" s="31">
        <v>13.28</v>
      </c>
      <c r="K149" s="31">
        <v>1.31</v>
      </c>
      <c r="L149" s="31">
        <v>4.08</v>
      </c>
      <c r="M149" s="31">
        <v>0</v>
      </c>
      <c r="N149" s="31">
        <v>23.54</v>
      </c>
      <c r="O149" s="31">
        <v>56.02</v>
      </c>
      <c r="P149" s="31">
        <v>71.88</v>
      </c>
      <c r="Q149" s="31">
        <v>4.66</v>
      </c>
    </row>
    <row r="150" spans="2:17" x14ac:dyDescent="0.2">
      <c r="B150" s="31">
        <v>4.6675000000000004</v>
      </c>
      <c r="C150" s="31">
        <v>5.6341666666666699</v>
      </c>
      <c r="E150" s="31">
        <v>5.1008333333333304</v>
      </c>
      <c r="F150" s="31">
        <v>4.9675000000000002</v>
      </c>
      <c r="G150" s="31">
        <v>16.600000000000001</v>
      </c>
      <c r="H150" s="31">
        <v>0</v>
      </c>
      <c r="I150" s="31">
        <v>11.27</v>
      </c>
      <c r="J150" s="31">
        <v>12.42</v>
      </c>
      <c r="K150" s="31">
        <v>1.31</v>
      </c>
      <c r="L150" s="31">
        <v>3.69</v>
      </c>
      <c r="M150" s="31">
        <v>0</v>
      </c>
      <c r="N150" s="31">
        <v>22.66</v>
      </c>
      <c r="O150" s="31">
        <v>55.54</v>
      </c>
      <c r="P150" s="31">
        <v>71.540000000000006</v>
      </c>
      <c r="Q150" s="31">
        <v>4.53</v>
      </c>
    </row>
    <row r="151" spans="2:17" x14ac:dyDescent="0.2">
      <c r="B151" s="31">
        <v>4.7008333333333336</v>
      </c>
      <c r="C151" s="31">
        <v>5.6675000000000004</v>
      </c>
      <c r="E151" s="31">
        <v>5.1341666666666699</v>
      </c>
      <c r="F151" s="31">
        <v>5.0008333333333299</v>
      </c>
      <c r="G151" s="31">
        <v>16.16</v>
      </c>
      <c r="H151" s="31">
        <v>0</v>
      </c>
      <c r="I151" s="31">
        <v>11.13</v>
      </c>
      <c r="J151" s="31">
        <v>11.99</v>
      </c>
      <c r="K151" s="31">
        <v>1.31</v>
      </c>
      <c r="L151" s="31">
        <v>3.16</v>
      </c>
      <c r="M151" s="31">
        <v>0</v>
      </c>
      <c r="N151" s="31">
        <v>22.07</v>
      </c>
      <c r="O151" s="31">
        <v>55.22</v>
      </c>
      <c r="P151" s="31">
        <v>71.209999999999994</v>
      </c>
      <c r="Q151" s="31">
        <v>4.66</v>
      </c>
    </row>
    <row r="152" spans="2:17" x14ac:dyDescent="0.2">
      <c r="B152" s="31">
        <v>4.7341666666666669</v>
      </c>
      <c r="C152" s="31">
        <v>5.7008333333333301</v>
      </c>
      <c r="E152" s="31">
        <v>5.1675000000000004</v>
      </c>
      <c r="F152" s="31">
        <v>5.0341666666666702</v>
      </c>
      <c r="G152" s="31">
        <v>16.02</v>
      </c>
      <c r="H152" s="31">
        <v>0</v>
      </c>
      <c r="I152" s="31">
        <v>10.7</v>
      </c>
      <c r="J152" s="31">
        <v>11.56</v>
      </c>
      <c r="K152" s="31">
        <v>1.31</v>
      </c>
      <c r="L152" s="31">
        <v>2.5</v>
      </c>
      <c r="M152" s="31">
        <v>0</v>
      </c>
      <c r="N152" s="31">
        <v>21.33</v>
      </c>
      <c r="O152" s="31">
        <v>54.74</v>
      </c>
      <c r="P152" s="31">
        <v>70.88</v>
      </c>
      <c r="Q152" s="31">
        <v>4.66</v>
      </c>
    </row>
    <row r="153" spans="2:17" x14ac:dyDescent="0.2">
      <c r="B153" s="31">
        <v>4.7675000000000001</v>
      </c>
      <c r="C153" s="31">
        <v>5.7341666666666704</v>
      </c>
      <c r="E153" s="31">
        <v>5.2008333333333301</v>
      </c>
      <c r="F153" s="31">
        <v>5.0674999999999999</v>
      </c>
      <c r="G153" s="31">
        <v>15.3</v>
      </c>
      <c r="H153" s="31">
        <v>0</v>
      </c>
      <c r="I153" s="31">
        <v>10.42</v>
      </c>
      <c r="J153" s="31">
        <v>11.13</v>
      </c>
      <c r="K153" s="31">
        <v>1.31</v>
      </c>
      <c r="L153" s="31">
        <v>1.58</v>
      </c>
      <c r="M153" s="31">
        <v>0</v>
      </c>
      <c r="N153" s="31">
        <v>21.04</v>
      </c>
      <c r="O153" s="31">
        <v>54.26</v>
      </c>
      <c r="P153" s="31">
        <v>70.540000000000006</v>
      </c>
      <c r="Q153" s="31">
        <v>4.66</v>
      </c>
    </row>
    <row r="154" spans="2:17" x14ac:dyDescent="0.2">
      <c r="B154" s="31">
        <v>4.8008333333333333</v>
      </c>
      <c r="C154" s="31">
        <v>5.7675000000000001</v>
      </c>
      <c r="E154" s="31">
        <v>5.2341666666666704</v>
      </c>
      <c r="F154" s="31">
        <v>5.1008333333333304</v>
      </c>
      <c r="G154" s="31">
        <v>15.01</v>
      </c>
      <c r="H154" s="31">
        <v>0</v>
      </c>
      <c r="I154" s="31">
        <v>10.27</v>
      </c>
      <c r="J154" s="31">
        <v>10.84</v>
      </c>
      <c r="K154" s="31">
        <v>1.31</v>
      </c>
      <c r="L154" s="31">
        <v>0.92</v>
      </c>
      <c r="M154" s="31">
        <v>0</v>
      </c>
      <c r="N154" s="31">
        <v>20.74</v>
      </c>
      <c r="O154" s="31">
        <v>54.1</v>
      </c>
      <c r="P154" s="31">
        <v>70.05</v>
      </c>
      <c r="Q154" s="31">
        <v>4.53</v>
      </c>
    </row>
    <row r="155" spans="2:17" x14ac:dyDescent="0.2">
      <c r="B155" s="31">
        <v>4.8341666666666665</v>
      </c>
      <c r="C155" s="31">
        <v>5.8008333333333297</v>
      </c>
      <c r="E155" s="31">
        <v>5.2675000000000001</v>
      </c>
      <c r="F155" s="31">
        <v>5.1341666666666699</v>
      </c>
      <c r="G155" s="31">
        <v>14.57</v>
      </c>
      <c r="H155" s="31">
        <v>0</v>
      </c>
      <c r="I155" s="31">
        <v>9.85</v>
      </c>
      <c r="J155" s="31">
        <v>10.42</v>
      </c>
      <c r="K155" s="31">
        <v>1.18</v>
      </c>
      <c r="L155" s="31">
        <v>0.79</v>
      </c>
      <c r="M155" s="31">
        <v>0</v>
      </c>
      <c r="N155" s="31">
        <v>20.010000000000002</v>
      </c>
      <c r="O155" s="31">
        <v>53.78</v>
      </c>
      <c r="P155" s="31">
        <v>69.88</v>
      </c>
      <c r="Q155" s="31">
        <v>4.53</v>
      </c>
    </row>
    <row r="156" spans="2:17" x14ac:dyDescent="0.2">
      <c r="B156" s="31">
        <v>4.8675000000000006</v>
      </c>
      <c r="C156" s="31">
        <v>5.8341666666666701</v>
      </c>
      <c r="E156" s="31">
        <v>5.3008333333333297</v>
      </c>
      <c r="F156" s="31">
        <v>5.1675000000000004</v>
      </c>
      <c r="G156" s="31">
        <v>14</v>
      </c>
      <c r="H156" s="31">
        <v>0</v>
      </c>
      <c r="I156" s="31">
        <v>9.56</v>
      </c>
      <c r="J156" s="31">
        <v>9.99</v>
      </c>
      <c r="K156" s="31">
        <v>1.18</v>
      </c>
      <c r="L156" s="31">
        <v>0.66</v>
      </c>
      <c r="M156" s="31">
        <v>0</v>
      </c>
      <c r="N156" s="31">
        <v>19.13</v>
      </c>
      <c r="O156" s="31">
        <v>53.62</v>
      </c>
      <c r="P156" s="31">
        <v>69.22</v>
      </c>
      <c r="Q156" s="31">
        <v>4.66</v>
      </c>
    </row>
    <row r="157" spans="2:17" x14ac:dyDescent="0.2">
      <c r="B157" s="31">
        <v>4.9008333333333338</v>
      </c>
      <c r="C157" s="31">
        <v>5.8674999999999997</v>
      </c>
      <c r="E157" s="31">
        <v>5.3341666666666701</v>
      </c>
      <c r="F157" s="31">
        <v>5.2008333333333301</v>
      </c>
      <c r="G157" s="31">
        <v>13.71</v>
      </c>
      <c r="H157" s="31">
        <v>0</v>
      </c>
      <c r="I157" s="31">
        <v>9.2799999999999994</v>
      </c>
      <c r="J157" s="31">
        <v>9.6999999999999993</v>
      </c>
      <c r="K157" s="31">
        <v>1.05</v>
      </c>
      <c r="L157" s="31">
        <v>0.52</v>
      </c>
      <c r="M157" s="31">
        <v>0</v>
      </c>
      <c r="N157" s="31">
        <v>19.72</v>
      </c>
      <c r="O157" s="31">
        <v>53.3</v>
      </c>
      <c r="P157" s="31">
        <v>68.72</v>
      </c>
      <c r="Q157" s="31">
        <v>4.66</v>
      </c>
    </row>
    <row r="158" spans="2:17" x14ac:dyDescent="0.2">
      <c r="B158" s="31">
        <v>4.934166666666667</v>
      </c>
      <c r="C158" s="31">
        <v>5.9008333333333303</v>
      </c>
      <c r="E158" s="31">
        <v>5.3674999999999997</v>
      </c>
      <c r="F158" s="31">
        <v>5.2341666666666704</v>
      </c>
      <c r="G158" s="31">
        <v>13.28</v>
      </c>
      <c r="H158" s="31">
        <v>0</v>
      </c>
      <c r="I158" s="31">
        <v>8.99</v>
      </c>
      <c r="J158" s="31">
        <v>9.56</v>
      </c>
      <c r="K158" s="31">
        <v>1.18</v>
      </c>
      <c r="L158" s="31">
        <v>0.52</v>
      </c>
      <c r="M158" s="31">
        <v>0</v>
      </c>
      <c r="N158" s="31">
        <v>19.13</v>
      </c>
      <c r="O158" s="31">
        <v>52.98</v>
      </c>
      <c r="P158" s="31">
        <v>68.22</v>
      </c>
      <c r="Q158" s="31">
        <v>4.53</v>
      </c>
    </row>
    <row r="159" spans="2:17" x14ac:dyDescent="0.2">
      <c r="B159" s="31">
        <v>4.9675000000000002</v>
      </c>
      <c r="C159" s="31">
        <v>5.9341666666666697</v>
      </c>
      <c r="E159" s="31">
        <v>5.4008333333333303</v>
      </c>
      <c r="F159" s="31">
        <v>5.2675000000000001</v>
      </c>
      <c r="G159" s="31">
        <v>12.99</v>
      </c>
      <c r="H159" s="31">
        <v>0</v>
      </c>
      <c r="I159" s="31">
        <v>8.57</v>
      </c>
      <c r="J159" s="31">
        <v>9.2799999999999994</v>
      </c>
      <c r="K159" s="31">
        <v>1.05</v>
      </c>
      <c r="L159" s="31">
        <v>0.52</v>
      </c>
      <c r="M159" s="31">
        <v>0</v>
      </c>
      <c r="N159" s="31">
        <v>18.84</v>
      </c>
      <c r="O159" s="31">
        <v>52.67</v>
      </c>
      <c r="P159" s="31">
        <v>67.89</v>
      </c>
      <c r="Q159" s="31">
        <v>4.3899999999999997</v>
      </c>
    </row>
    <row r="160" spans="2:17" x14ac:dyDescent="0.2">
      <c r="B160" s="31">
        <v>5.0008333333333335</v>
      </c>
      <c r="C160" s="31">
        <v>5.9675000000000002</v>
      </c>
      <c r="E160" s="31">
        <v>5.4341666666666697</v>
      </c>
      <c r="F160" s="31">
        <v>5.3008333333333297</v>
      </c>
      <c r="G160" s="31">
        <v>12.85</v>
      </c>
      <c r="H160" s="31">
        <v>0</v>
      </c>
      <c r="I160" s="31">
        <v>8.2799999999999994</v>
      </c>
      <c r="J160" s="31">
        <v>8.85</v>
      </c>
      <c r="K160" s="31">
        <v>1.05</v>
      </c>
      <c r="L160" s="31">
        <v>0.52</v>
      </c>
      <c r="M160" s="31">
        <v>0</v>
      </c>
      <c r="N160" s="31">
        <v>18.55</v>
      </c>
      <c r="O160" s="31">
        <v>52.51</v>
      </c>
      <c r="P160" s="31">
        <v>67.069999999999993</v>
      </c>
      <c r="Q160" s="31">
        <v>4.3899999999999997</v>
      </c>
    </row>
    <row r="161" spans="2:17" x14ac:dyDescent="0.2">
      <c r="B161" s="31">
        <v>5.0341666666666667</v>
      </c>
      <c r="C161" s="31">
        <v>6.0008333333333299</v>
      </c>
      <c r="E161" s="31">
        <v>5.4675000000000002</v>
      </c>
      <c r="F161" s="31">
        <v>5.3341666666666701</v>
      </c>
      <c r="G161" s="31">
        <v>12.42</v>
      </c>
      <c r="H161" s="31">
        <v>0</v>
      </c>
      <c r="I161" s="31">
        <v>8</v>
      </c>
      <c r="J161" s="31">
        <v>8.2799999999999994</v>
      </c>
      <c r="K161" s="31">
        <v>1.18</v>
      </c>
      <c r="L161" s="31">
        <v>0.52</v>
      </c>
      <c r="M161" s="31">
        <v>0</v>
      </c>
      <c r="N161" s="31">
        <v>18.25</v>
      </c>
      <c r="O161" s="31">
        <v>52.35</v>
      </c>
      <c r="P161" s="31">
        <v>65.92</v>
      </c>
      <c r="Q161" s="31">
        <v>4.3899999999999997</v>
      </c>
    </row>
    <row r="162" spans="2:17" x14ac:dyDescent="0.2">
      <c r="B162" s="31">
        <v>5.0674999999999999</v>
      </c>
      <c r="E162" s="31">
        <v>5.5008333333333299</v>
      </c>
      <c r="F162" s="31">
        <v>5.3674999999999997</v>
      </c>
      <c r="G162" s="31">
        <v>11.99</v>
      </c>
      <c r="H162" s="31">
        <v>0</v>
      </c>
      <c r="I162" s="31">
        <v>7.57</v>
      </c>
      <c r="J162" s="31">
        <v>8</v>
      </c>
      <c r="K162" s="31">
        <v>1.05</v>
      </c>
      <c r="L162" s="31">
        <v>0.26</v>
      </c>
      <c r="M162" s="31">
        <v>0</v>
      </c>
      <c r="N162" s="31">
        <v>17.82</v>
      </c>
      <c r="O162" s="31">
        <v>52.35</v>
      </c>
      <c r="P162" s="31">
        <v>65.430000000000007</v>
      </c>
      <c r="Q162" s="31">
        <v>4.3899999999999997</v>
      </c>
    </row>
    <row r="163" spans="2:17" x14ac:dyDescent="0.2">
      <c r="B163" s="31">
        <v>5.1008333333333331</v>
      </c>
      <c r="E163" s="31">
        <v>5.5341666666666702</v>
      </c>
      <c r="F163" s="31">
        <v>5.4008333333333303</v>
      </c>
      <c r="G163" s="31">
        <v>11.7</v>
      </c>
      <c r="H163" s="31">
        <v>0</v>
      </c>
      <c r="I163" s="31">
        <v>7.29</v>
      </c>
      <c r="J163" s="31">
        <v>7.72</v>
      </c>
      <c r="K163" s="31">
        <v>0.92</v>
      </c>
      <c r="L163" s="31">
        <v>0.26</v>
      </c>
      <c r="M163" s="31">
        <v>0</v>
      </c>
      <c r="N163" s="31">
        <v>17.670000000000002</v>
      </c>
      <c r="O163" s="31">
        <v>51.87</v>
      </c>
      <c r="P163" s="31">
        <v>64.77</v>
      </c>
      <c r="Q163" s="31">
        <v>4.3899999999999997</v>
      </c>
    </row>
    <row r="164" spans="2:17" x14ac:dyDescent="0.2">
      <c r="B164" s="31">
        <v>5.1341666666666672</v>
      </c>
      <c r="E164" s="31">
        <v>5.5674999999999999</v>
      </c>
      <c r="F164" s="31">
        <v>5.4341666666666697</v>
      </c>
      <c r="G164" s="31">
        <v>11.42</v>
      </c>
      <c r="H164" s="31">
        <v>0</v>
      </c>
      <c r="I164" s="31">
        <v>7.01</v>
      </c>
      <c r="J164" s="31">
        <v>7.43</v>
      </c>
      <c r="K164" s="31">
        <v>0.92</v>
      </c>
      <c r="L164" s="31">
        <v>0.26</v>
      </c>
      <c r="M164" s="31">
        <v>0</v>
      </c>
      <c r="N164" s="31">
        <v>17.38</v>
      </c>
      <c r="O164" s="31">
        <v>51.87</v>
      </c>
      <c r="P164" s="31">
        <v>63.95</v>
      </c>
      <c r="Q164" s="31">
        <v>4.26</v>
      </c>
    </row>
    <row r="165" spans="2:17" x14ac:dyDescent="0.2">
      <c r="B165" s="31">
        <v>5.1675000000000004</v>
      </c>
      <c r="E165" s="31">
        <v>5.6008333333333304</v>
      </c>
      <c r="F165" s="31">
        <v>5.4675000000000002</v>
      </c>
      <c r="G165" s="31">
        <v>10.7</v>
      </c>
      <c r="H165" s="31">
        <v>0</v>
      </c>
      <c r="I165" s="31">
        <v>6.58</v>
      </c>
      <c r="J165" s="31">
        <v>7.43</v>
      </c>
      <c r="K165" s="31">
        <v>1.05</v>
      </c>
      <c r="L165" s="31">
        <v>0.26</v>
      </c>
      <c r="M165" s="31">
        <v>0</v>
      </c>
      <c r="N165" s="31">
        <v>17.38</v>
      </c>
      <c r="O165" s="31">
        <v>51.24</v>
      </c>
      <c r="P165" s="31">
        <v>62.81</v>
      </c>
      <c r="Q165" s="31">
        <v>4.3899999999999997</v>
      </c>
    </row>
    <row r="166" spans="2:17" x14ac:dyDescent="0.2">
      <c r="B166" s="31">
        <v>5.2008333333333336</v>
      </c>
      <c r="E166" s="31">
        <v>5.6341666666666699</v>
      </c>
      <c r="F166" s="31">
        <v>5.5008333333333299</v>
      </c>
      <c r="G166" s="31">
        <v>10.56</v>
      </c>
      <c r="H166" s="31">
        <v>0</v>
      </c>
      <c r="I166" s="31">
        <v>6.44</v>
      </c>
      <c r="J166" s="31">
        <v>6.87</v>
      </c>
      <c r="K166" s="31">
        <v>0.92</v>
      </c>
      <c r="L166" s="31">
        <v>0.26</v>
      </c>
      <c r="M166" s="31">
        <v>0</v>
      </c>
      <c r="N166" s="31">
        <v>16.940000000000001</v>
      </c>
      <c r="O166" s="31">
        <v>51.24</v>
      </c>
      <c r="P166" s="31">
        <v>62.97</v>
      </c>
      <c r="Q166" s="31">
        <v>4.26</v>
      </c>
    </row>
    <row r="167" spans="2:17" x14ac:dyDescent="0.2">
      <c r="B167" s="31">
        <v>5.2341666666666669</v>
      </c>
      <c r="E167" s="31">
        <v>5.6675000000000004</v>
      </c>
      <c r="F167" s="31">
        <v>5.5341666666666702</v>
      </c>
      <c r="G167" s="31">
        <v>10.130000000000001</v>
      </c>
      <c r="H167" s="31">
        <v>0</v>
      </c>
      <c r="I167" s="31">
        <v>6.3</v>
      </c>
      <c r="J167" s="31">
        <v>6.73</v>
      </c>
      <c r="K167" s="31">
        <v>0.79</v>
      </c>
      <c r="L167" s="31">
        <v>0.13</v>
      </c>
      <c r="M167" s="31">
        <v>0</v>
      </c>
      <c r="N167" s="31">
        <v>17.38</v>
      </c>
      <c r="O167" s="31">
        <v>50.76</v>
      </c>
      <c r="P167" s="31">
        <v>62.32</v>
      </c>
      <c r="Q167" s="31">
        <v>4.26</v>
      </c>
    </row>
    <row r="168" spans="2:17" x14ac:dyDescent="0.2">
      <c r="B168" s="31">
        <v>5.2675000000000001</v>
      </c>
      <c r="E168" s="31">
        <v>5.7008333333333301</v>
      </c>
      <c r="F168" s="31">
        <v>5.5674999999999999</v>
      </c>
      <c r="G168" s="31">
        <v>9.56</v>
      </c>
      <c r="H168" s="31">
        <v>0</v>
      </c>
      <c r="I168" s="31">
        <v>5.74</v>
      </c>
      <c r="J168" s="31">
        <v>6.3</v>
      </c>
      <c r="K168" s="31">
        <v>0.92</v>
      </c>
      <c r="L168" s="31">
        <v>0.26</v>
      </c>
      <c r="M168" s="31">
        <v>0</v>
      </c>
      <c r="N168" s="31">
        <v>17.38</v>
      </c>
      <c r="O168" s="31">
        <v>50.45</v>
      </c>
      <c r="P168" s="31">
        <v>61.99</v>
      </c>
      <c r="Q168" s="31">
        <v>4.26</v>
      </c>
    </row>
    <row r="169" spans="2:17" x14ac:dyDescent="0.2">
      <c r="B169" s="31">
        <v>5.3008333333333333</v>
      </c>
      <c r="E169" s="31">
        <v>5.7341666666666704</v>
      </c>
      <c r="F169" s="31">
        <v>5.6008333333333304</v>
      </c>
      <c r="G169" s="31">
        <v>8.85</v>
      </c>
      <c r="H169" s="31">
        <v>0</v>
      </c>
      <c r="I169" s="31">
        <v>5.46</v>
      </c>
      <c r="J169" s="31">
        <v>6.16</v>
      </c>
      <c r="K169" s="31">
        <v>1.05</v>
      </c>
      <c r="L169" s="31">
        <v>0.39</v>
      </c>
      <c r="M169" s="31">
        <v>0</v>
      </c>
      <c r="N169" s="31">
        <v>17.09</v>
      </c>
      <c r="O169" s="31">
        <v>50.13</v>
      </c>
      <c r="P169" s="31">
        <v>61.83</v>
      </c>
      <c r="Q169" s="31">
        <v>4.13</v>
      </c>
    </row>
    <row r="170" spans="2:17" x14ac:dyDescent="0.2">
      <c r="B170" s="31">
        <v>5.3341666666666665</v>
      </c>
      <c r="E170" s="31">
        <v>5.7675000000000001</v>
      </c>
      <c r="F170" s="31">
        <v>5.6341666666666699</v>
      </c>
      <c r="G170" s="31">
        <v>8.57</v>
      </c>
      <c r="H170" s="31">
        <v>0</v>
      </c>
      <c r="I170" s="31">
        <v>5.03</v>
      </c>
      <c r="J170" s="31">
        <v>5.88</v>
      </c>
      <c r="K170" s="31">
        <v>0.92</v>
      </c>
      <c r="L170" s="31">
        <v>0.13</v>
      </c>
      <c r="M170" s="31">
        <v>0</v>
      </c>
      <c r="N170" s="31">
        <v>17.38</v>
      </c>
      <c r="O170" s="31">
        <v>49.66</v>
      </c>
      <c r="P170" s="31">
        <v>61.67</v>
      </c>
      <c r="Q170" s="31">
        <v>4.3899999999999997</v>
      </c>
    </row>
    <row r="171" spans="2:17" x14ac:dyDescent="0.2">
      <c r="B171" s="31">
        <v>5.3675000000000006</v>
      </c>
      <c r="E171" s="31">
        <v>5.8008333333333297</v>
      </c>
      <c r="F171" s="31">
        <v>5.6675000000000004</v>
      </c>
      <c r="G171" s="31">
        <v>8.14</v>
      </c>
      <c r="H171" s="31">
        <v>0</v>
      </c>
      <c r="I171" s="31">
        <v>4.8899999999999997</v>
      </c>
      <c r="J171" s="31">
        <v>5.74</v>
      </c>
      <c r="K171" s="31">
        <v>0.92</v>
      </c>
      <c r="L171" s="31">
        <v>0.13</v>
      </c>
      <c r="M171" s="31">
        <v>0</v>
      </c>
      <c r="N171" s="31">
        <v>16.8</v>
      </c>
      <c r="O171" s="31">
        <v>49.34</v>
      </c>
      <c r="P171" s="31">
        <v>61.34</v>
      </c>
      <c r="Q171" s="31">
        <v>4.26</v>
      </c>
    </row>
    <row r="172" spans="2:17" x14ac:dyDescent="0.2">
      <c r="B172" s="31">
        <v>5.4008333333333338</v>
      </c>
      <c r="E172" s="31">
        <v>5.8341666666666701</v>
      </c>
      <c r="F172" s="31">
        <v>5.7008333333333301</v>
      </c>
      <c r="G172" s="31">
        <v>7.57</v>
      </c>
      <c r="H172" s="31">
        <v>0</v>
      </c>
      <c r="I172" s="31">
        <v>4.6100000000000003</v>
      </c>
      <c r="J172" s="31">
        <v>5.31</v>
      </c>
      <c r="K172" s="31">
        <v>0.92</v>
      </c>
      <c r="L172" s="31">
        <v>0.13</v>
      </c>
      <c r="M172" s="31">
        <v>0</v>
      </c>
      <c r="N172" s="31">
        <v>17.38</v>
      </c>
      <c r="O172" s="31">
        <v>49.03</v>
      </c>
      <c r="P172" s="31">
        <v>61.34</v>
      </c>
      <c r="Q172" s="31">
        <v>4.26</v>
      </c>
    </row>
    <row r="173" spans="2:17" x14ac:dyDescent="0.2">
      <c r="B173" s="31">
        <v>5.434166666666667</v>
      </c>
      <c r="E173" s="31">
        <v>5.8674999999999997</v>
      </c>
      <c r="F173" s="31">
        <v>5.7341666666666704</v>
      </c>
      <c r="G173" s="31">
        <v>7.01</v>
      </c>
      <c r="H173" s="31">
        <v>0</v>
      </c>
      <c r="I173" s="31">
        <v>4.1900000000000004</v>
      </c>
      <c r="J173" s="31">
        <v>4.8899999999999997</v>
      </c>
      <c r="K173" s="31">
        <v>0.92</v>
      </c>
      <c r="L173" s="31">
        <v>0.13</v>
      </c>
      <c r="M173" s="31">
        <v>0</v>
      </c>
      <c r="N173" s="31">
        <v>17.09</v>
      </c>
      <c r="O173" s="31">
        <v>48.87</v>
      </c>
      <c r="P173" s="31">
        <v>61.18</v>
      </c>
      <c r="Q173" s="31">
        <v>4.26</v>
      </c>
    </row>
    <row r="174" spans="2:17" x14ac:dyDescent="0.2">
      <c r="B174" s="31">
        <v>5.4675000000000002</v>
      </c>
      <c r="E174" s="31">
        <v>5.9008333333333303</v>
      </c>
      <c r="F174" s="31">
        <v>5.7675000000000001</v>
      </c>
      <c r="G174" s="31">
        <v>6.87</v>
      </c>
      <c r="H174" s="31">
        <v>0</v>
      </c>
      <c r="I174" s="31">
        <v>3.91</v>
      </c>
      <c r="J174" s="31">
        <v>4.75</v>
      </c>
      <c r="K174" s="31">
        <v>0.92</v>
      </c>
      <c r="L174" s="31">
        <v>0.13</v>
      </c>
      <c r="M174" s="31">
        <v>0</v>
      </c>
      <c r="N174" s="31">
        <v>17.23</v>
      </c>
      <c r="O174" s="31">
        <v>48.4</v>
      </c>
      <c r="P174" s="31">
        <v>60.86</v>
      </c>
      <c r="Q174" s="31">
        <v>4.26</v>
      </c>
    </row>
    <row r="175" spans="2:17" x14ac:dyDescent="0.2">
      <c r="B175" s="31">
        <v>5.5008333333333335</v>
      </c>
      <c r="E175" s="31">
        <v>5.9341666666666697</v>
      </c>
      <c r="F175" s="31">
        <v>5.8008333333333297</v>
      </c>
      <c r="G175" s="31">
        <v>6.73</v>
      </c>
      <c r="H175" s="31">
        <v>0</v>
      </c>
      <c r="I175" s="31">
        <v>3.63</v>
      </c>
      <c r="J175" s="31">
        <v>4.1900000000000004</v>
      </c>
      <c r="K175" s="31">
        <v>0.92</v>
      </c>
      <c r="L175" s="31">
        <v>0.13</v>
      </c>
      <c r="M175" s="31">
        <v>0</v>
      </c>
      <c r="N175" s="31">
        <v>17.38</v>
      </c>
      <c r="O175" s="31">
        <v>48.24</v>
      </c>
      <c r="P175" s="31">
        <v>61.02</v>
      </c>
      <c r="Q175" s="31">
        <v>4.3899999999999997</v>
      </c>
    </row>
    <row r="176" spans="2:17" x14ac:dyDescent="0.2">
      <c r="B176" s="31">
        <v>5.5341666666666667</v>
      </c>
      <c r="E176" s="31">
        <v>5.9675000000000002</v>
      </c>
      <c r="F176" s="31">
        <v>5.8341666666666701</v>
      </c>
      <c r="G176" s="31">
        <v>6.73</v>
      </c>
      <c r="H176" s="31">
        <v>0</v>
      </c>
      <c r="I176" s="31">
        <v>3.35</v>
      </c>
      <c r="J176" s="31">
        <v>4.33</v>
      </c>
      <c r="K176" s="31">
        <v>0.92</v>
      </c>
      <c r="L176" s="31">
        <v>0.13</v>
      </c>
      <c r="M176" s="31">
        <v>0</v>
      </c>
      <c r="N176" s="31">
        <v>17.38</v>
      </c>
      <c r="O176" s="31">
        <v>47.77</v>
      </c>
      <c r="P176" s="31">
        <v>60.37</v>
      </c>
      <c r="Q176" s="31">
        <v>4.3899999999999997</v>
      </c>
    </row>
    <row r="177" spans="2:17" x14ac:dyDescent="0.2">
      <c r="B177" s="31">
        <v>5.5674999999999999</v>
      </c>
      <c r="E177" s="31">
        <v>6.0008333333333299</v>
      </c>
      <c r="F177" s="31">
        <v>5.8674999999999997</v>
      </c>
      <c r="G177" s="31">
        <v>6.44</v>
      </c>
      <c r="H177" s="31">
        <v>0</v>
      </c>
      <c r="I177" s="31">
        <v>2.93</v>
      </c>
      <c r="J177" s="31">
        <v>3.91</v>
      </c>
      <c r="K177" s="31">
        <v>1.05</v>
      </c>
      <c r="L177" s="31">
        <v>0.26</v>
      </c>
      <c r="M177" s="31">
        <v>0</v>
      </c>
      <c r="N177" s="31">
        <v>17.53</v>
      </c>
      <c r="O177" s="31">
        <v>47.61</v>
      </c>
      <c r="P177" s="31">
        <v>60.69</v>
      </c>
      <c r="Q177" s="31">
        <v>4.26</v>
      </c>
    </row>
    <row r="178" spans="2:17" x14ac:dyDescent="0.2">
      <c r="B178" s="31">
        <v>5.6008333333333331</v>
      </c>
      <c r="E178" s="31">
        <v>6.0341666666666702</v>
      </c>
      <c r="F178" s="31">
        <v>5.9008333333333303</v>
      </c>
      <c r="G178" s="31">
        <v>6.44</v>
      </c>
      <c r="H178" s="31">
        <v>0</v>
      </c>
      <c r="I178" s="31">
        <v>2.79</v>
      </c>
      <c r="J178" s="31">
        <v>3.77</v>
      </c>
      <c r="K178" s="31">
        <v>1.05</v>
      </c>
      <c r="L178" s="31">
        <v>0.26</v>
      </c>
      <c r="M178" s="31">
        <v>0</v>
      </c>
      <c r="N178" s="31">
        <v>17.38</v>
      </c>
      <c r="O178" s="31">
        <v>47.45</v>
      </c>
      <c r="P178" s="31">
        <v>60.53</v>
      </c>
      <c r="Q178" s="31">
        <v>4.53</v>
      </c>
    </row>
    <row r="179" spans="2:17" x14ac:dyDescent="0.2">
      <c r="B179" s="31">
        <v>5.6341666666666672</v>
      </c>
      <c r="E179" s="31">
        <v>6.0674999999999999</v>
      </c>
      <c r="F179" s="31">
        <v>5.9341666666666697</v>
      </c>
      <c r="G179" s="31">
        <v>6.16</v>
      </c>
      <c r="H179" s="31">
        <v>0</v>
      </c>
      <c r="I179" s="31">
        <v>2.23</v>
      </c>
      <c r="J179" s="31">
        <v>3.49</v>
      </c>
      <c r="K179" s="31">
        <v>1.05</v>
      </c>
      <c r="L179" s="31">
        <v>0.26</v>
      </c>
      <c r="M179" s="31">
        <v>0</v>
      </c>
      <c r="N179" s="31">
        <v>17.09</v>
      </c>
      <c r="O179" s="31">
        <v>47.14</v>
      </c>
      <c r="P179" s="31">
        <v>60.05</v>
      </c>
      <c r="Q179" s="31">
        <v>4.13</v>
      </c>
    </row>
    <row r="180" spans="2:17" x14ac:dyDescent="0.2">
      <c r="B180" s="31">
        <v>5.6675000000000004</v>
      </c>
      <c r="E180" s="31">
        <v>6.0736111111111102</v>
      </c>
      <c r="F180" s="31">
        <v>5.9675000000000002</v>
      </c>
      <c r="G180" s="31">
        <v>6.3</v>
      </c>
      <c r="H180" s="31">
        <v>0</v>
      </c>
      <c r="I180" s="31">
        <v>2.09</v>
      </c>
      <c r="J180" s="31">
        <v>3.35</v>
      </c>
      <c r="K180" s="31">
        <v>1.05</v>
      </c>
      <c r="L180" s="31">
        <v>0.26</v>
      </c>
      <c r="M180" s="31">
        <v>0</v>
      </c>
      <c r="N180" s="31">
        <v>17.38</v>
      </c>
      <c r="O180" s="31">
        <v>46.98</v>
      </c>
      <c r="P180" s="31">
        <v>59.88</v>
      </c>
      <c r="Q180" s="31">
        <v>4.53</v>
      </c>
    </row>
    <row r="181" spans="2:17" x14ac:dyDescent="0.2">
      <c r="B181" s="31">
        <v>5.7008333333333336</v>
      </c>
      <c r="E181" s="31">
        <v>6.1008333333333304</v>
      </c>
      <c r="F181" s="31">
        <v>6.0008333333333299</v>
      </c>
      <c r="G181" s="31">
        <v>6.02</v>
      </c>
      <c r="H181" s="31">
        <v>0</v>
      </c>
      <c r="I181" s="31">
        <v>1.95</v>
      </c>
      <c r="J181" s="31">
        <v>3.21</v>
      </c>
      <c r="K181" s="31">
        <v>1.05</v>
      </c>
      <c r="L181" s="31">
        <v>0.39</v>
      </c>
      <c r="M181" s="31">
        <v>0</v>
      </c>
      <c r="N181" s="31">
        <v>17.53</v>
      </c>
      <c r="O181" s="31">
        <v>46.67</v>
      </c>
      <c r="P181" s="31">
        <v>59.72</v>
      </c>
      <c r="Q181" s="31">
        <v>4.3899999999999997</v>
      </c>
    </row>
    <row r="182" spans="2:17" x14ac:dyDescent="0.2">
      <c r="B182" s="31">
        <v>5.7341666666666669</v>
      </c>
      <c r="E182" s="31">
        <v>6.1341666666666699</v>
      </c>
      <c r="F182" s="31">
        <v>6.0341666666666702</v>
      </c>
      <c r="G182" s="31">
        <v>5.88</v>
      </c>
      <c r="H182" s="31">
        <v>0</v>
      </c>
      <c r="I182" s="31">
        <v>1.53</v>
      </c>
      <c r="J182" s="31">
        <v>3.21</v>
      </c>
      <c r="K182" s="31">
        <v>1.18</v>
      </c>
      <c r="L182" s="31">
        <v>0.26</v>
      </c>
      <c r="M182" s="31">
        <v>0</v>
      </c>
      <c r="N182" s="31">
        <v>17.670000000000002</v>
      </c>
      <c r="O182" s="31">
        <v>46.2</v>
      </c>
      <c r="P182" s="31">
        <v>59.56</v>
      </c>
      <c r="Q182" s="31">
        <v>4.3899999999999997</v>
      </c>
    </row>
    <row r="183" spans="2:17" x14ac:dyDescent="0.2">
      <c r="B183" s="31">
        <v>5.7675000000000001</v>
      </c>
      <c r="E183" s="31">
        <v>6.1675000000000004</v>
      </c>
      <c r="F183" s="31">
        <v>6.0674999999999999</v>
      </c>
      <c r="G183" s="31">
        <v>5.74</v>
      </c>
      <c r="H183" s="31">
        <v>0</v>
      </c>
      <c r="I183" s="31">
        <v>1.39</v>
      </c>
      <c r="J183" s="31">
        <v>3.07</v>
      </c>
      <c r="K183" s="31">
        <v>1.18</v>
      </c>
      <c r="L183" s="31">
        <v>0.26</v>
      </c>
      <c r="M183" s="31">
        <v>0</v>
      </c>
      <c r="N183" s="31">
        <v>17.23</v>
      </c>
      <c r="O183" s="31">
        <v>46.2</v>
      </c>
      <c r="P183" s="31">
        <v>59.24</v>
      </c>
      <c r="Q183" s="31">
        <v>4.3899999999999997</v>
      </c>
    </row>
    <row r="184" spans="2:17" x14ac:dyDescent="0.2">
      <c r="B184" s="31">
        <v>5.8008333333333333</v>
      </c>
      <c r="E184" s="31">
        <v>6.2008333333333301</v>
      </c>
      <c r="F184" s="31">
        <v>6.0736111111111102</v>
      </c>
      <c r="G184" s="31">
        <v>5.17</v>
      </c>
      <c r="H184" s="31">
        <v>0</v>
      </c>
      <c r="I184" s="31">
        <v>1.1100000000000001</v>
      </c>
      <c r="J184" s="31">
        <v>3.35</v>
      </c>
      <c r="K184" s="31">
        <v>1.18</v>
      </c>
      <c r="L184" s="31">
        <v>0.39</v>
      </c>
      <c r="M184" s="31">
        <v>0</v>
      </c>
      <c r="N184" s="31">
        <v>17.09</v>
      </c>
      <c r="O184" s="31">
        <v>45.73</v>
      </c>
      <c r="P184" s="31">
        <v>59.08</v>
      </c>
      <c r="Q184" s="31">
        <v>4.66</v>
      </c>
    </row>
    <row r="185" spans="2:17" x14ac:dyDescent="0.2">
      <c r="B185" s="31">
        <v>5.8341666666666665</v>
      </c>
      <c r="E185" s="31">
        <v>6.2341666666666704</v>
      </c>
      <c r="F185" s="31">
        <v>6.1008333333333304</v>
      </c>
      <c r="G185" s="31">
        <v>4.47</v>
      </c>
      <c r="H185" s="31">
        <v>0</v>
      </c>
      <c r="I185" s="31">
        <v>0.7</v>
      </c>
      <c r="J185" s="31">
        <v>3.35</v>
      </c>
      <c r="K185" s="31">
        <v>1.18</v>
      </c>
      <c r="L185" s="31">
        <v>0.39</v>
      </c>
      <c r="M185" s="31">
        <v>0</v>
      </c>
      <c r="N185" s="31">
        <v>17.23</v>
      </c>
      <c r="O185" s="31">
        <v>45.58</v>
      </c>
      <c r="P185" s="31">
        <v>58.43</v>
      </c>
      <c r="Q185" s="31">
        <v>4.3899999999999997</v>
      </c>
    </row>
    <row r="186" spans="2:17" x14ac:dyDescent="0.2">
      <c r="B186" s="31">
        <v>5.8675000000000006</v>
      </c>
      <c r="E186" s="31">
        <v>6.2675000000000001</v>
      </c>
      <c r="F186" s="31">
        <v>6.1341666666666699</v>
      </c>
      <c r="G186" s="31">
        <v>3.77</v>
      </c>
      <c r="H186" s="31">
        <v>0</v>
      </c>
      <c r="I186" s="31">
        <v>0.7</v>
      </c>
      <c r="J186" s="31">
        <v>3.63</v>
      </c>
      <c r="K186" s="31">
        <v>1.31</v>
      </c>
      <c r="L186" s="31">
        <v>0.39</v>
      </c>
      <c r="M186" s="31">
        <v>0</v>
      </c>
      <c r="N186" s="31">
        <v>17.53</v>
      </c>
      <c r="O186" s="31">
        <v>45.26</v>
      </c>
      <c r="P186" s="31">
        <v>58.59</v>
      </c>
      <c r="Q186" s="31">
        <v>4.3899999999999997</v>
      </c>
    </row>
    <row r="187" spans="2:17" x14ac:dyDescent="0.2">
      <c r="B187" s="31">
        <v>5.9008333333333338</v>
      </c>
      <c r="E187" s="31">
        <v>6.3008333333333297</v>
      </c>
      <c r="F187" s="31">
        <v>6.1675000000000004</v>
      </c>
      <c r="G187" s="31">
        <v>3.21</v>
      </c>
      <c r="H187" s="31">
        <v>0</v>
      </c>
      <c r="I187" s="31">
        <v>0.28000000000000003</v>
      </c>
      <c r="J187" s="31">
        <v>3.63</v>
      </c>
      <c r="K187" s="31">
        <v>1.31</v>
      </c>
      <c r="L187" s="31">
        <v>0.26</v>
      </c>
      <c r="M187" s="31">
        <v>0</v>
      </c>
      <c r="N187" s="31">
        <v>17.53</v>
      </c>
      <c r="O187" s="31">
        <v>45.11</v>
      </c>
      <c r="P187" s="31">
        <v>58.11</v>
      </c>
      <c r="Q187" s="31">
        <v>4.53</v>
      </c>
    </row>
    <row r="188" spans="2:17" x14ac:dyDescent="0.2">
      <c r="B188" s="31">
        <v>5.934166666666667</v>
      </c>
      <c r="E188" s="31">
        <v>6.3341666666666701</v>
      </c>
      <c r="F188" s="31">
        <v>6.2008333333333301</v>
      </c>
      <c r="G188" s="31">
        <v>2.79</v>
      </c>
      <c r="H188" s="31">
        <v>0</v>
      </c>
      <c r="I188" s="31">
        <v>0</v>
      </c>
      <c r="J188" s="31">
        <v>3.91</v>
      </c>
      <c r="K188" s="31">
        <v>1.31</v>
      </c>
      <c r="L188" s="31">
        <v>0.52</v>
      </c>
      <c r="M188" s="31">
        <v>0</v>
      </c>
      <c r="N188" s="31">
        <v>17.53</v>
      </c>
      <c r="O188" s="31">
        <v>44.8</v>
      </c>
      <c r="P188" s="31">
        <v>57.79</v>
      </c>
      <c r="Q188" s="31">
        <v>4.53</v>
      </c>
    </row>
    <row r="189" spans="2:17" x14ac:dyDescent="0.2">
      <c r="B189" s="31">
        <v>5.9675000000000002</v>
      </c>
      <c r="E189" s="31">
        <v>6.3674999999999997</v>
      </c>
      <c r="F189" s="31">
        <v>6.2341666666666704</v>
      </c>
      <c r="G189" s="31">
        <v>2.93</v>
      </c>
      <c r="H189" s="31">
        <v>0</v>
      </c>
      <c r="I189" s="31">
        <v>0</v>
      </c>
      <c r="J189" s="31">
        <v>4.1900000000000004</v>
      </c>
      <c r="K189" s="31">
        <v>1.18</v>
      </c>
      <c r="L189" s="31">
        <v>0.39</v>
      </c>
      <c r="M189" s="31">
        <v>0</v>
      </c>
      <c r="N189" s="31">
        <v>17.53</v>
      </c>
      <c r="O189" s="31">
        <v>44.8</v>
      </c>
      <c r="P189" s="31">
        <v>57.3</v>
      </c>
      <c r="Q189" s="31">
        <v>4.53</v>
      </c>
    </row>
    <row r="190" spans="2:17" x14ac:dyDescent="0.2">
      <c r="B190" s="31">
        <v>6.0008333333333335</v>
      </c>
      <c r="E190" s="31">
        <v>6.4008333333333303</v>
      </c>
      <c r="F190" s="31">
        <v>6.2675000000000001</v>
      </c>
      <c r="G190" s="31">
        <v>2.79</v>
      </c>
      <c r="H190" s="31">
        <v>0</v>
      </c>
      <c r="I190" s="31">
        <v>0</v>
      </c>
      <c r="J190" s="31">
        <v>4.1900000000000004</v>
      </c>
      <c r="K190" s="31">
        <v>1.44</v>
      </c>
      <c r="L190" s="31">
        <v>0.52</v>
      </c>
      <c r="M190" s="31">
        <v>0</v>
      </c>
      <c r="N190" s="31">
        <v>17.53</v>
      </c>
      <c r="O190" s="31">
        <v>44.48</v>
      </c>
      <c r="P190" s="31">
        <v>56.98</v>
      </c>
      <c r="Q190" s="31">
        <v>4.53</v>
      </c>
    </row>
    <row r="191" spans="2:17" x14ac:dyDescent="0.2">
      <c r="B191" s="31">
        <v>6.0341666666666667</v>
      </c>
      <c r="E191" s="31">
        <v>6.4344444444444404</v>
      </c>
      <c r="F191" s="31">
        <v>6.3008333333333297</v>
      </c>
      <c r="G191" s="31">
        <v>2.79</v>
      </c>
      <c r="H191" s="31">
        <v>0</v>
      </c>
      <c r="I191" s="31">
        <v>0</v>
      </c>
      <c r="J191" s="31">
        <v>4.33</v>
      </c>
      <c r="K191" s="31">
        <v>1.31</v>
      </c>
      <c r="L191" s="31">
        <v>0.52</v>
      </c>
      <c r="M191" s="31">
        <v>0</v>
      </c>
      <c r="N191" s="31">
        <v>17.670000000000002</v>
      </c>
      <c r="O191" s="31">
        <v>44.17</v>
      </c>
      <c r="P191" s="31">
        <v>57.14</v>
      </c>
      <c r="Q191" s="31">
        <v>4.53</v>
      </c>
    </row>
    <row r="192" spans="2:17" x14ac:dyDescent="0.2">
      <c r="B192" s="31">
        <v>6.0674999999999999</v>
      </c>
      <c r="E192" s="31">
        <v>6.4677777777777798</v>
      </c>
      <c r="F192" s="31">
        <v>6.3341666666666701</v>
      </c>
      <c r="G192" s="31">
        <v>2.79</v>
      </c>
      <c r="H192" s="31">
        <v>0</v>
      </c>
      <c r="I192" s="31">
        <v>0</v>
      </c>
      <c r="J192" s="31">
        <v>4.1900000000000004</v>
      </c>
      <c r="K192" s="31">
        <v>1.44</v>
      </c>
      <c r="L192" s="31">
        <v>0.52</v>
      </c>
      <c r="M192" s="31">
        <v>0</v>
      </c>
      <c r="N192" s="31">
        <v>17.53</v>
      </c>
      <c r="O192" s="31">
        <v>44.17</v>
      </c>
      <c r="P192" s="31">
        <v>56.66</v>
      </c>
      <c r="Q192" s="31">
        <v>4.3899999999999997</v>
      </c>
    </row>
    <row r="193" spans="2:17" x14ac:dyDescent="0.2">
      <c r="B193" s="31">
        <v>6.0736111111111111</v>
      </c>
      <c r="E193" s="31">
        <v>6.5011111111111104</v>
      </c>
      <c r="F193" s="31">
        <v>6.3674999999999997</v>
      </c>
      <c r="G193" s="31">
        <v>3.07</v>
      </c>
      <c r="H193" s="31">
        <v>0</v>
      </c>
      <c r="I193" s="31">
        <v>0</v>
      </c>
      <c r="J193" s="31">
        <v>4.47</v>
      </c>
      <c r="K193" s="31">
        <v>1.31</v>
      </c>
      <c r="L193" s="31">
        <v>0.52</v>
      </c>
      <c r="M193" s="31">
        <v>0</v>
      </c>
      <c r="N193" s="31">
        <v>17.82</v>
      </c>
      <c r="O193" s="31">
        <v>43.86</v>
      </c>
      <c r="P193" s="31">
        <v>56.34</v>
      </c>
      <c r="Q193" s="31">
        <v>4.3899999999999997</v>
      </c>
    </row>
    <row r="194" spans="2:17" x14ac:dyDescent="0.2">
      <c r="B194" s="31">
        <v>6.1008333333333331</v>
      </c>
      <c r="E194" s="31">
        <v>6.5344444444444401</v>
      </c>
      <c r="F194" s="31">
        <v>6.4008333333333303</v>
      </c>
      <c r="G194" s="31">
        <v>2.79</v>
      </c>
      <c r="H194" s="31">
        <v>0</v>
      </c>
      <c r="I194" s="31">
        <v>0</v>
      </c>
      <c r="J194" s="31">
        <v>4.47</v>
      </c>
      <c r="K194" s="31">
        <v>1.18</v>
      </c>
      <c r="L194" s="31">
        <v>0.39</v>
      </c>
      <c r="M194" s="31">
        <v>0</v>
      </c>
      <c r="N194" s="31">
        <v>17.82</v>
      </c>
      <c r="O194" s="31">
        <v>43.55</v>
      </c>
      <c r="P194" s="31">
        <v>56.02</v>
      </c>
      <c r="Q194" s="31">
        <v>4.66</v>
      </c>
    </row>
    <row r="195" spans="2:17" x14ac:dyDescent="0.2">
      <c r="B195" s="31">
        <v>6.1341666666666672</v>
      </c>
      <c r="E195" s="31">
        <v>6.5677777777777804</v>
      </c>
      <c r="F195" s="31">
        <v>6.4344444444444404</v>
      </c>
      <c r="G195" s="31">
        <v>2.93</v>
      </c>
      <c r="H195" s="31">
        <v>0</v>
      </c>
      <c r="I195" s="31">
        <v>0</v>
      </c>
      <c r="J195" s="31">
        <v>4.47</v>
      </c>
      <c r="K195" s="31">
        <v>1.31</v>
      </c>
      <c r="L195" s="31">
        <v>0.52</v>
      </c>
      <c r="M195" s="31">
        <v>0</v>
      </c>
      <c r="N195" s="31">
        <v>17.53</v>
      </c>
      <c r="O195" s="31">
        <v>43.39</v>
      </c>
      <c r="P195" s="31">
        <v>55.54</v>
      </c>
      <c r="Q195" s="31">
        <v>4.53</v>
      </c>
    </row>
    <row r="196" spans="2:17" x14ac:dyDescent="0.2">
      <c r="B196" s="31">
        <v>6.1675000000000004</v>
      </c>
      <c r="E196" s="31">
        <v>6.60111111111111</v>
      </c>
      <c r="F196" s="31">
        <v>6.4677777777777798</v>
      </c>
      <c r="G196" s="31">
        <v>2.93</v>
      </c>
      <c r="H196" s="31">
        <v>0</v>
      </c>
      <c r="I196" s="31">
        <v>0</v>
      </c>
      <c r="J196" s="31">
        <v>4.33</v>
      </c>
      <c r="K196" s="31">
        <v>1.18</v>
      </c>
      <c r="L196" s="31">
        <v>0.26</v>
      </c>
      <c r="M196" s="31">
        <v>0</v>
      </c>
      <c r="N196" s="31">
        <v>17.53</v>
      </c>
      <c r="O196" s="31">
        <v>43.08</v>
      </c>
      <c r="P196" s="31">
        <v>55.06</v>
      </c>
      <c r="Q196" s="31">
        <v>4.8</v>
      </c>
    </row>
    <row r="197" spans="2:17" x14ac:dyDescent="0.2">
      <c r="B197" s="31">
        <v>6.2008333333333336</v>
      </c>
      <c r="E197" s="31">
        <v>6.6344444444444397</v>
      </c>
      <c r="F197" s="31">
        <v>6.5011111111111104</v>
      </c>
      <c r="G197" s="31">
        <v>2.93</v>
      </c>
      <c r="H197" s="31">
        <v>0</v>
      </c>
      <c r="I197" s="31">
        <v>0</v>
      </c>
      <c r="J197" s="31">
        <v>4.6100000000000003</v>
      </c>
      <c r="K197" s="31">
        <v>1.18</v>
      </c>
      <c r="L197" s="31">
        <v>0.39</v>
      </c>
      <c r="M197" s="31">
        <v>0</v>
      </c>
      <c r="N197" s="31">
        <v>17.670000000000002</v>
      </c>
      <c r="O197" s="31">
        <v>43.08</v>
      </c>
      <c r="P197" s="31">
        <v>54.42</v>
      </c>
      <c r="Q197" s="31">
        <v>4.53</v>
      </c>
    </row>
    <row r="198" spans="2:17" x14ac:dyDescent="0.2">
      <c r="B198" s="31">
        <v>6.2341666666666669</v>
      </c>
      <c r="E198" s="31">
        <v>6.66777777777778</v>
      </c>
      <c r="F198" s="31">
        <v>6.5344444444444401</v>
      </c>
      <c r="G198" s="31">
        <v>2.93</v>
      </c>
      <c r="H198" s="31">
        <v>0</v>
      </c>
      <c r="I198" s="31">
        <v>0</v>
      </c>
      <c r="J198" s="31">
        <v>4.33</v>
      </c>
      <c r="K198" s="31">
        <v>1.05</v>
      </c>
      <c r="L198" s="31">
        <v>0.39</v>
      </c>
      <c r="M198" s="31">
        <v>0</v>
      </c>
      <c r="N198" s="31">
        <v>17.96</v>
      </c>
      <c r="O198" s="31">
        <v>43.08</v>
      </c>
      <c r="P198" s="31">
        <v>54.42</v>
      </c>
      <c r="Q198" s="31">
        <v>4.66</v>
      </c>
    </row>
    <row r="199" spans="2:17" x14ac:dyDescent="0.2">
      <c r="B199" s="31">
        <v>6.2675000000000001</v>
      </c>
      <c r="E199" s="31">
        <v>6.7011111111111097</v>
      </c>
      <c r="F199" s="31">
        <v>6.5677777777777804</v>
      </c>
      <c r="G199" s="31">
        <v>3.07</v>
      </c>
      <c r="H199" s="31">
        <v>0</v>
      </c>
      <c r="I199" s="31">
        <v>0</v>
      </c>
      <c r="J199" s="31">
        <v>4.1900000000000004</v>
      </c>
      <c r="K199" s="31">
        <v>1.05</v>
      </c>
      <c r="L199" s="31">
        <v>0.13</v>
      </c>
      <c r="M199" s="31">
        <v>0</v>
      </c>
      <c r="N199" s="31">
        <v>17.38</v>
      </c>
      <c r="O199" s="31">
        <v>42.77</v>
      </c>
      <c r="P199" s="31">
        <v>53.3</v>
      </c>
      <c r="Q199" s="31">
        <v>4.53</v>
      </c>
    </row>
    <row r="200" spans="2:17" x14ac:dyDescent="0.2">
      <c r="B200" s="31">
        <v>6.3008333333333333</v>
      </c>
      <c r="E200" s="31">
        <v>6.7344444444444402</v>
      </c>
      <c r="F200" s="31">
        <v>6.60111111111111</v>
      </c>
      <c r="G200" s="31">
        <v>3.07</v>
      </c>
      <c r="H200" s="31">
        <v>0</v>
      </c>
      <c r="I200" s="31">
        <v>0</v>
      </c>
      <c r="J200" s="31">
        <v>4.05</v>
      </c>
      <c r="K200" s="31">
        <v>1.05</v>
      </c>
      <c r="L200" s="31">
        <v>0.26</v>
      </c>
      <c r="M200" s="31">
        <v>0</v>
      </c>
      <c r="N200" s="31">
        <v>17.23</v>
      </c>
      <c r="O200" s="31">
        <v>42.31</v>
      </c>
      <c r="P200" s="31">
        <v>52.51</v>
      </c>
      <c r="Q200" s="31">
        <v>4.3899999999999997</v>
      </c>
    </row>
    <row r="201" spans="2:17" x14ac:dyDescent="0.2">
      <c r="B201" s="31">
        <v>6.3341666666666665</v>
      </c>
      <c r="E201" s="31">
        <v>6.7677777777777797</v>
      </c>
      <c r="F201" s="31">
        <v>6.6344444444444397</v>
      </c>
      <c r="G201" s="31">
        <v>3.21</v>
      </c>
      <c r="H201" s="31">
        <v>0</v>
      </c>
      <c r="I201" s="31">
        <v>0</v>
      </c>
      <c r="J201" s="31">
        <v>4.05</v>
      </c>
      <c r="K201" s="31">
        <v>1.05</v>
      </c>
      <c r="L201" s="31">
        <v>0.26</v>
      </c>
      <c r="M201" s="31">
        <v>0</v>
      </c>
      <c r="N201" s="31">
        <v>17.23</v>
      </c>
      <c r="O201" s="31">
        <v>42.15</v>
      </c>
      <c r="P201" s="31">
        <v>51.4</v>
      </c>
      <c r="Q201" s="31">
        <v>4.53</v>
      </c>
    </row>
    <row r="202" spans="2:17" x14ac:dyDescent="0.2">
      <c r="B202" s="31">
        <v>6.3675000000000006</v>
      </c>
      <c r="E202" s="31">
        <v>6.8011111111111102</v>
      </c>
      <c r="F202" s="31">
        <v>6.66777777777778</v>
      </c>
      <c r="G202" s="31">
        <v>3.21</v>
      </c>
      <c r="H202" s="31">
        <v>0</v>
      </c>
      <c r="I202" s="31">
        <v>0</v>
      </c>
      <c r="J202" s="31">
        <v>3.91</v>
      </c>
      <c r="K202" s="31">
        <v>1.05</v>
      </c>
      <c r="L202" s="31">
        <v>0.13</v>
      </c>
      <c r="M202" s="31">
        <v>0</v>
      </c>
      <c r="N202" s="31">
        <v>16.940000000000001</v>
      </c>
      <c r="O202" s="31">
        <v>41.84</v>
      </c>
      <c r="P202" s="31">
        <v>50.45</v>
      </c>
      <c r="Q202" s="31">
        <v>4.26</v>
      </c>
    </row>
    <row r="203" spans="2:17" x14ac:dyDescent="0.2">
      <c r="B203" s="31">
        <v>6.4008333333333338</v>
      </c>
      <c r="E203" s="31">
        <v>6.8344444444444399</v>
      </c>
      <c r="F203" s="31">
        <v>6.7011111111111097</v>
      </c>
      <c r="G203" s="31">
        <v>3.07</v>
      </c>
      <c r="H203" s="31">
        <v>0</v>
      </c>
      <c r="I203" s="31">
        <v>0</v>
      </c>
      <c r="J203" s="31">
        <v>4.05</v>
      </c>
      <c r="K203" s="31">
        <v>0.92</v>
      </c>
      <c r="L203" s="31">
        <v>0.13</v>
      </c>
      <c r="M203" s="31">
        <v>0</v>
      </c>
      <c r="N203" s="31">
        <v>17.670000000000002</v>
      </c>
      <c r="O203" s="31">
        <v>41.84</v>
      </c>
      <c r="P203" s="31">
        <v>49.81</v>
      </c>
      <c r="Q203" s="31">
        <v>4.3899999999999997</v>
      </c>
    </row>
    <row r="204" spans="2:17" x14ac:dyDescent="0.2">
      <c r="B204" s="31">
        <v>6.434444444444444</v>
      </c>
      <c r="E204" s="31">
        <v>6.8677777777777802</v>
      </c>
      <c r="F204" s="31">
        <v>6.7344444444444402</v>
      </c>
      <c r="G204" s="31">
        <v>2.93</v>
      </c>
      <c r="H204" s="31">
        <v>0</v>
      </c>
      <c r="I204" s="31">
        <v>0</v>
      </c>
      <c r="J204" s="31">
        <v>3.63</v>
      </c>
      <c r="K204" s="31">
        <v>1.05</v>
      </c>
      <c r="L204" s="31">
        <v>0.26</v>
      </c>
      <c r="M204" s="31">
        <v>0</v>
      </c>
      <c r="N204" s="31">
        <v>17.82</v>
      </c>
      <c r="O204" s="31">
        <v>41.53</v>
      </c>
      <c r="P204" s="31">
        <v>48.87</v>
      </c>
      <c r="Q204" s="31">
        <v>4.3899999999999997</v>
      </c>
    </row>
    <row r="205" spans="2:17" x14ac:dyDescent="0.2">
      <c r="B205" s="31">
        <v>6.4677777777777781</v>
      </c>
      <c r="E205" s="31">
        <v>6.9011111111111099</v>
      </c>
      <c r="F205" s="31">
        <v>6.7677777777777797</v>
      </c>
      <c r="G205" s="31">
        <v>2.93</v>
      </c>
      <c r="H205" s="31">
        <v>0</v>
      </c>
      <c r="I205" s="31">
        <v>0</v>
      </c>
      <c r="J205" s="31">
        <v>3.35</v>
      </c>
      <c r="K205" s="31">
        <v>1.05</v>
      </c>
      <c r="L205" s="31">
        <v>0.26</v>
      </c>
      <c r="M205" s="31">
        <v>0</v>
      </c>
      <c r="N205" s="31">
        <v>17.670000000000002</v>
      </c>
      <c r="O205" s="31">
        <v>41.23</v>
      </c>
      <c r="P205" s="31">
        <v>48.24</v>
      </c>
      <c r="Q205" s="31">
        <v>4.3899999999999997</v>
      </c>
    </row>
    <row r="206" spans="2:17" x14ac:dyDescent="0.2">
      <c r="B206" s="31">
        <v>6.5011111111111113</v>
      </c>
      <c r="E206" s="31">
        <v>6.9344444444444404</v>
      </c>
      <c r="F206" s="31">
        <v>6.8011111111111102</v>
      </c>
      <c r="G206" s="31">
        <v>3.21</v>
      </c>
      <c r="H206" s="31">
        <v>0</v>
      </c>
      <c r="I206" s="31">
        <v>0</v>
      </c>
      <c r="J206" s="31">
        <v>3.07</v>
      </c>
      <c r="K206" s="31">
        <v>0.92</v>
      </c>
      <c r="L206" s="31">
        <v>0.26</v>
      </c>
      <c r="M206" s="31">
        <v>0</v>
      </c>
      <c r="N206" s="31">
        <v>17.53</v>
      </c>
      <c r="O206" s="31">
        <v>41.07</v>
      </c>
      <c r="P206" s="31">
        <v>47.61</v>
      </c>
      <c r="Q206" s="31">
        <v>4.3899999999999997</v>
      </c>
    </row>
    <row r="207" spans="2:17" x14ac:dyDescent="0.2">
      <c r="B207" s="31">
        <v>6.5344444444444445</v>
      </c>
      <c r="E207" s="31">
        <v>6.9677777777777798</v>
      </c>
      <c r="F207" s="31">
        <v>6.8344444444444399</v>
      </c>
      <c r="G207" s="31">
        <v>2.93</v>
      </c>
      <c r="H207" s="31">
        <v>0</v>
      </c>
      <c r="I207" s="31">
        <v>0</v>
      </c>
      <c r="J207" s="31">
        <v>3.07</v>
      </c>
      <c r="K207" s="31">
        <v>1.05</v>
      </c>
      <c r="L207" s="31">
        <v>0.13</v>
      </c>
      <c r="M207" s="31">
        <v>0</v>
      </c>
      <c r="N207" s="31">
        <v>17.38</v>
      </c>
      <c r="O207" s="31">
        <v>41.07</v>
      </c>
      <c r="P207" s="31">
        <v>47.61</v>
      </c>
      <c r="Q207" s="31">
        <v>4.3899999999999997</v>
      </c>
    </row>
    <row r="208" spans="2:17" x14ac:dyDescent="0.2">
      <c r="B208" s="31">
        <v>6.5677777777777777</v>
      </c>
      <c r="E208" s="31">
        <v>7.0011111111111104</v>
      </c>
      <c r="F208" s="31">
        <v>6.8677777777777802</v>
      </c>
      <c r="G208" s="31">
        <v>3.07</v>
      </c>
      <c r="H208" s="31">
        <v>0</v>
      </c>
      <c r="I208" s="31">
        <v>0</v>
      </c>
      <c r="J208" s="31">
        <v>2.79</v>
      </c>
      <c r="K208" s="31">
        <v>1.05</v>
      </c>
      <c r="L208" s="31">
        <v>0.13</v>
      </c>
      <c r="M208" s="31">
        <v>0</v>
      </c>
      <c r="N208" s="31">
        <v>17.23</v>
      </c>
      <c r="O208" s="31">
        <v>40.76</v>
      </c>
      <c r="P208" s="31">
        <v>47.61</v>
      </c>
      <c r="Q208" s="31">
        <v>4.26</v>
      </c>
    </row>
    <row r="209" spans="2:17" x14ac:dyDescent="0.2">
      <c r="B209" s="31">
        <v>6.6011111111111109</v>
      </c>
      <c r="E209" s="31">
        <v>7.0344444444444401</v>
      </c>
      <c r="F209" s="31">
        <v>6.9011111111111099</v>
      </c>
      <c r="G209" s="31">
        <v>3.21</v>
      </c>
      <c r="H209" s="31">
        <v>0</v>
      </c>
      <c r="I209" s="31">
        <v>0</v>
      </c>
      <c r="J209" s="31">
        <v>2.79</v>
      </c>
      <c r="K209" s="31">
        <v>1.05</v>
      </c>
      <c r="L209" s="31">
        <v>0.13</v>
      </c>
      <c r="M209" s="31">
        <v>0</v>
      </c>
      <c r="N209" s="31">
        <v>17.23</v>
      </c>
      <c r="O209" s="31">
        <v>40.299999999999997</v>
      </c>
      <c r="P209" s="31">
        <v>47.61</v>
      </c>
      <c r="Q209" s="31">
        <v>4.26</v>
      </c>
    </row>
    <row r="210" spans="2:17" x14ac:dyDescent="0.2">
      <c r="B210" s="31">
        <v>6.6344444444444441</v>
      </c>
      <c r="E210" s="31">
        <v>7.0677777777777804</v>
      </c>
      <c r="F210" s="31">
        <v>6.9344444444444404</v>
      </c>
      <c r="G210" s="31">
        <v>3.07</v>
      </c>
      <c r="H210" s="31">
        <v>0</v>
      </c>
      <c r="I210" s="31">
        <v>0</v>
      </c>
      <c r="J210" s="31">
        <v>2.65</v>
      </c>
      <c r="K210" s="31">
        <v>0.92</v>
      </c>
      <c r="L210" s="31">
        <v>0.13</v>
      </c>
      <c r="M210" s="31">
        <v>0</v>
      </c>
      <c r="N210" s="31">
        <v>17.53</v>
      </c>
      <c r="O210" s="31">
        <v>39.840000000000003</v>
      </c>
      <c r="P210" s="31">
        <v>47.14</v>
      </c>
      <c r="Q210" s="31">
        <v>4.13</v>
      </c>
    </row>
    <row r="211" spans="2:17" x14ac:dyDescent="0.2">
      <c r="B211" s="31">
        <v>6.6677777777777774</v>
      </c>
      <c r="E211" s="31">
        <v>7.10111111111111</v>
      </c>
      <c r="F211" s="31">
        <v>6.9677777777777798</v>
      </c>
      <c r="G211" s="31">
        <v>3.21</v>
      </c>
      <c r="H211" s="31">
        <v>0</v>
      </c>
      <c r="I211" s="31">
        <v>0</v>
      </c>
      <c r="J211" s="31">
        <v>2.5099999999999998</v>
      </c>
      <c r="K211" s="31">
        <v>0.92</v>
      </c>
      <c r="L211" s="31">
        <v>0</v>
      </c>
      <c r="M211" s="31">
        <v>0</v>
      </c>
      <c r="N211" s="31">
        <v>17.23</v>
      </c>
      <c r="O211" s="31">
        <v>39.68</v>
      </c>
      <c r="P211" s="31">
        <v>46.98</v>
      </c>
      <c r="Q211" s="31">
        <v>4.26</v>
      </c>
    </row>
    <row r="212" spans="2:17" x14ac:dyDescent="0.2">
      <c r="B212" s="31">
        <v>6.7011111111111115</v>
      </c>
      <c r="E212" s="31">
        <v>7.1344444444444397</v>
      </c>
      <c r="F212" s="31">
        <v>7.0011111111111104</v>
      </c>
      <c r="G212" s="31">
        <v>3.21</v>
      </c>
      <c r="H212" s="31">
        <v>0</v>
      </c>
      <c r="I212" s="31">
        <v>0</v>
      </c>
      <c r="J212" s="31">
        <v>2.65</v>
      </c>
      <c r="K212" s="31">
        <v>1.05</v>
      </c>
      <c r="L212" s="31">
        <v>0.26</v>
      </c>
      <c r="M212" s="31">
        <v>0</v>
      </c>
      <c r="N212" s="31">
        <v>17.23</v>
      </c>
      <c r="O212" s="31">
        <v>39.22</v>
      </c>
      <c r="P212" s="31">
        <v>46.83</v>
      </c>
      <c r="Q212" s="31">
        <v>4.26</v>
      </c>
    </row>
    <row r="213" spans="2:17" x14ac:dyDescent="0.2">
      <c r="B213" s="31">
        <v>6.7344444444444447</v>
      </c>
      <c r="E213" s="31">
        <v>7.16777777777778</v>
      </c>
      <c r="F213" s="31">
        <v>7.0344444444444401</v>
      </c>
      <c r="G213" s="31">
        <v>3.21</v>
      </c>
      <c r="H213" s="31">
        <v>0</v>
      </c>
      <c r="I213" s="31">
        <v>0</v>
      </c>
      <c r="J213" s="31">
        <v>2.37</v>
      </c>
      <c r="K213" s="31">
        <v>1.05</v>
      </c>
      <c r="L213" s="31">
        <v>0.13</v>
      </c>
      <c r="M213" s="31">
        <v>0</v>
      </c>
      <c r="N213" s="31">
        <v>17.38</v>
      </c>
      <c r="O213" s="31">
        <v>38.76</v>
      </c>
      <c r="P213" s="31">
        <v>46.98</v>
      </c>
      <c r="Q213" s="31">
        <v>4.3899999999999997</v>
      </c>
    </row>
    <row r="214" spans="2:17" x14ac:dyDescent="0.2">
      <c r="B214" s="31">
        <v>6.7677777777777779</v>
      </c>
      <c r="E214" s="31">
        <v>7.2011111111111097</v>
      </c>
      <c r="F214" s="31">
        <v>7.0677777777777804</v>
      </c>
      <c r="G214" s="31">
        <v>3.07</v>
      </c>
      <c r="H214" s="31">
        <v>0</v>
      </c>
      <c r="I214" s="31">
        <v>0</v>
      </c>
      <c r="J214" s="31">
        <v>2.09</v>
      </c>
      <c r="K214" s="31">
        <v>0.92</v>
      </c>
      <c r="L214" s="31">
        <v>0.13</v>
      </c>
      <c r="M214" s="31">
        <v>0</v>
      </c>
      <c r="N214" s="31">
        <v>17.670000000000002</v>
      </c>
      <c r="O214" s="31">
        <v>38.61</v>
      </c>
      <c r="P214" s="31">
        <v>46.36</v>
      </c>
      <c r="Q214" s="31">
        <v>4.3899999999999997</v>
      </c>
    </row>
    <row r="215" spans="2:17" x14ac:dyDescent="0.2">
      <c r="B215" s="31">
        <v>6.8011111111111111</v>
      </c>
      <c r="E215" s="31">
        <v>7.2344444444444402</v>
      </c>
      <c r="F215" s="31">
        <v>7.10111111111111</v>
      </c>
      <c r="G215" s="31">
        <v>3.07</v>
      </c>
      <c r="H215" s="31">
        <v>0</v>
      </c>
      <c r="I215" s="31">
        <v>0</v>
      </c>
      <c r="J215" s="31">
        <v>2.09</v>
      </c>
      <c r="K215" s="31">
        <v>1.18</v>
      </c>
      <c r="L215" s="31">
        <v>0.13</v>
      </c>
      <c r="M215" s="31">
        <v>0</v>
      </c>
      <c r="N215" s="31">
        <v>17.53</v>
      </c>
      <c r="O215" s="31">
        <v>38.15</v>
      </c>
      <c r="P215" s="31">
        <v>46.04</v>
      </c>
      <c r="Q215" s="31">
        <v>4.3899999999999997</v>
      </c>
    </row>
    <row r="216" spans="2:17" x14ac:dyDescent="0.2">
      <c r="B216" s="31">
        <v>6.8344444444444443</v>
      </c>
      <c r="E216" s="31">
        <v>7.2677777777777797</v>
      </c>
      <c r="F216" s="31">
        <v>7.1344444444444397</v>
      </c>
      <c r="G216" s="31">
        <v>3.21</v>
      </c>
      <c r="H216" s="31">
        <v>0</v>
      </c>
      <c r="I216" s="31">
        <v>0</v>
      </c>
      <c r="J216" s="31">
        <v>1.95</v>
      </c>
      <c r="K216" s="31">
        <v>1.05</v>
      </c>
      <c r="L216" s="31">
        <v>0.26</v>
      </c>
      <c r="M216" s="31">
        <v>0</v>
      </c>
      <c r="N216" s="31">
        <v>17.38</v>
      </c>
      <c r="O216" s="31">
        <v>38.15</v>
      </c>
      <c r="P216" s="31">
        <v>46.2</v>
      </c>
      <c r="Q216" s="31">
        <v>4.3899999999999997</v>
      </c>
    </row>
    <row r="217" spans="2:17" x14ac:dyDescent="0.2">
      <c r="B217" s="31">
        <v>6.8677777777777775</v>
      </c>
      <c r="E217" s="31">
        <v>7.3011111111111102</v>
      </c>
      <c r="F217" s="31">
        <v>7.16777777777778</v>
      </c>
      <c r="G217" s="31">
        <v>3.21</v>
      </c>
      <c r="H217" s="31">
        <v>0</v>
      </c>
      <c r="I217" s="31">
        <v>0</v>
      </c>
      <c r="J217" s="31">
        <v>1.95</v>
      </c>
      <c r="K217" s="31">
        <v>1.05</v>
      </c>
      <c r="L217" s="31">
        <v>0.13</v>
      </c>
      <c r="M217" s="31">
        <v>0</v>
      </c>
      <c r="N217" s="31">
        <v>17.670000000000002</v>
      </c>
      <c r="O217" s="31">
        <v>37.53</v>
      </c>
      <c r="P217" s="31">
        <v>45.42</v>
      </c>
      <c r="Q217" s="31">
        <v>4.13</v>
      </c>
    </row>
    <row r="218" spans="2:17" x14ac:dyDescent="0.2">
      <c r="B218" s="31">
        <v>6.9011111111111108</v>
      </c>
      <c r="E218" s="31">
        <v>7.3344444444444399</v>
      </c>
      <c r="F218" s="31">
        <v>7.2011111111111097</v>
      </c>
      <c r="G218" s="31">
        <v>3.21</v>
      </c>
      <c r="H218" s="31">
        <v>0</v>
      </c>
      <c r="I218" s="31">
        <v>0</v>
      </c>
      <c r="J218" s="31">
        <v>1.95</v>
      </c>
      <c r="K218" s="31">
        <v>0.92</v>
      </c>
      <c r="L218" s="31">
        <v>0.13</v>
      </c>
      <c r="M218" s="31">
        <v>0</v>
      </c>
      <c r="N218" s="31">
        <v>17.53</v>
      </c>
      <c r="O218" s="31">
        <v>37.53</v>
      </c>
      <c r="P218" s="31">
        <v>45.26</v>
      </c>
      <c r="Q218" s="31">
        <v>4.26</v>
      </c>
    </row>
    <row r="219" spans="2:17" x14ac:dyDescent="0.2">
      <c r="B219" s="31">
        <v>6.934444444444444</v>
      </c>
      <c r="E219" s="31">
        <v>7.3677777777777802</v>
      </c>
      <c r="F219" s="31">
        <v>7.2344444444444402</v>
      </c>
      <c r="G219" s="31">
        <v>3.21</v>
      </c>
      <c r="H219" s="31">
        <v>0</v>
      </c>
      <c r="I219" s="31">
        <v>0</v>
      </c>
      <c r="J219" s="31">
        <v>1.95</v>
      </c>
      <c r="K219" s="31">
        <v>1.05</v>
      </c>
      <c r="L219" s="31">
        <v>0.26</v>
      </c>
      <c r="M219" s="31">
        <v>0</v>
      </c>
      <c r="N219" s="31">
        <v>17.670000000000002</v>
      </c>
      <c r="O219" s="31">
        <v>37.229999999999997</v>
      </c>
      <c r="P219" s="31">
        <v>44.8</v>
      </c>
      <c r="Q219" s="31">
        <v>4.3899999999999997</v>
      </c>
    </row>
    <row r="220" spans="2:17" x14ac:dyDescent="0.2">
      <c r="B220" s="31">
        <v>6.9677777777777781</v>
      </c>
      <c r="E220" s="31">
        <v>7.4011111111111099</v>
      </c>
      <c r="F220" s="31">
        <v>7.2677777777777797</v>
      </c>
      <c r="G220" s="31">
        <v>3.07</v>
      </c>
      <c r="H220" s="31">
        <v>0</v>
      </c>
      <c r="I220" s="31">
        <v>0</v>
      </c>
      <c r="J220" s="31">
        <v>2.09</v>
      </c>
      <c r="K220" s="31">
        <v>1.18</v>
      </c>
      <c r="L220" s="31">
        <v>0.39</v>
      </c>
      <c r="M220" s="31">
        <v>0</v>
      </c>
      <c r="N220" s="31">
        <v>17.38</v>
      </c>
      <c r="O220" s="31">
        <v>36.92</v>
      </c>
      <c r="P220" s="31">
        <v>44.48</v>
      </c>
      <c r="Q220" s="31">
        <v>4.3899999999999997</v>
      </c>
    </row>
    <row r="221" spans="2:17" x14ac:dyDescent="0.2">
      <c r="B221" s="31">
        <v>7.0011111111111113</v>
      </c>
      <c r="E221" s="31">
        <v>7.4344444444444404</v>
      </c>
      <c r="F221" s="31">
        <v>7.3011111111111102</v>
      </c>
      <c r="G221" s="31">
        <v>3.21</v>
      </c>
      <c r="H221" s="31">
        <v>0</v>
      </c>
      <c r="I221" s="31">
        <v>0</v>
      </c>
      <c r="J221" s="31">
        <v>1.81</v>
      </c>
      <c r="K221" s="31">
        <v>1.05</v>
      </c>
      <c r="L221" s="31">
        <v>0.13</v>
      </c>
      <c r="M221" s="31">
        <v>0</v>
      </c>
      <c r="N221" s="31">
        <v>17.38</v>
      </c>
      <c r="O221" s="31">
        <v>36.619999999999997</v>
      </c>
      <c r="P221" s="31">
        <v>44.48</v>
      </c>
      <c r="Q221" s="31">
        <v>4.3899999999999997</v>
      </c>
    </row>
    <row r="222" spans="2:17" x14ac:dyDescent="0.2">
      <c r="B222" s="31">
        <v>7.0344444444444445</v>
      </c>
      <c r="E222" s="31">
        <v>7.4677777777777798</v>
      </c>
      <c r="F222" s="31">
        <v>7.3344444444444399</v>
      </c>
      <c r="G222" s="31">
        <v>3.35</v>
      </c>
      <c r="H222" s="31">
        <v>0</v>
      </c>
      <c r="I222" s="31">
        <v>0</v>
      </c>
      <c r="J222" s="31">
        <v>1.67</v>
      </c>
      <c r="K222" s="31">
        <v>1.18</v>
      </c>
      <c r="L222" s="31">
        <v>0.26</v>
      </c>
      <c r="M222" s="31">
        <v>0</v>
      </c>
      <c r="N222" s="31">
        <v>17.53</v>
      </c>
      <c r="O222" s="31">
        <v>36.46</v>
      </c>
      <c r="P222" s="31">
        <v>44.17</v>
      </c>
      <c r="Q222" s="31">
        <v>4.3899999999999997</v>
      </c>
    </row>
    <row r="223" spans="2:17" x14ac:dyDescent="0.2">
      <c r="B223" s="31">
        <v>7.0677777777777777</v>
      </c>
      <c r="E223" s="31">
        <v>7.5011111111111104</v>
      </c>
      <c r="F223" s="31">
        <v>7.3677777777777802</v>
      </c>
      <c r="G223" s="31">
        <v>3.21</v>
      </c>
      <c r="H223" s="31">
        <v>0</v>
      </c>
      <c r="I223" s="31">
        <v>0</v>
      </c>
      <c r="J223" s="31">
        <v>1.67</v>
      </c>
      <c r="K223" s="31">
        <v>1.31</v>
      </c>
      <c r="L223" s="31">
        <v>0.39</v>
      </c>
      <c r="M223" s="31">
        <v>0</v>
      </c>
      <c r="N223" s="31">
        <v>17.23</v>
      </c>
      <c r="O223" s="31">
        <v>36.01</v>
      </c>
      <c r="P223" s="31">
        <v>43.86</v>
      </c>
      <c r="Q223" s="31">
        <v>4.3899999999999997</v>
      </c>
    </row>
    <row r="224" spans="2:17" x14ac:dyDescent="0.2">
      <c r="B224" s="31">
        <v>7.1011111111111109</v>
      </c>
      <c r="E224" s="31">
        <v>7.5344444444444401</v>
      </c>
      <c r="F224" s="31">
        <v>7.4011111111111099</v>
      </c>
      <c r="G224" s="31">
        <v>3.21</v>
      </c>
      <c r="H224" s="31">
        <v>0</v>
      </c>
      <c r="I224" s="31">
        <v>0</v>
      </c>
      <c r="J224" s="31">
        <v>1.53</v>
      </c>
      <c r="K224" s="31">
        <v>1.18</v>
      </c>
      <c r="L224" s="31">
        <v>0.39</v>
      </c>
      <c r="M224" s="31">
        <v>0</v>
      </c>
      <c r="N224" s="31">
        <v>17.09</v>
      </c>
      <c r="O224" s="31">
        <v>35.85</v>
      </c>
      <c r="P224" s="31">
        <v>43.55</v>
      </c>
      <c r="Q224" s="31">
        <v>4.53</v>
      </c>
    </row>
    <row r="225" spans="2:17" x14ac:dyDescent="0.2">
      <c r="B225" s="31">
        <v>7.1344444444444441</v>
      </c>
      <c r="E225" s="31">
        <v>7.5677777777777804</v>
      </c>
      <c r="F225" s="31">
        <v>7.4344444444444404</v>
      </c>
      <c r="G225" s="31">
        <v>3.21</v>
      </c>
      <c r="H225" s="31">
        <v>0</v>
      </c>
      <c r="I225" s="31">
        <v>0</v>
      </c>
      <c r="J225" s="31">
        <v>1.39</v>
      </c>
      <c r="K225" s="31">
        <v>1.18</v>
      </c>
      <c r="L225" s="31">
        <v>0.26</v>
      </c>
      <c r="M225" s="31">
        <v>0</v>
      </c>
      <c r="N225" s="31">
        <v>17.09</v>
      </c>
      <c r="O225" s="31">
        <v>35.549999999999997</v>
      </c>
      <c r="P225" s="31">
        <v>43.24</v>
      </c>
      <c r="Q225" s="31">
        <v>4.53</v>
      </c>
    </row>
    <row r="226" spans="2:17" x14ac:dyDescent="0.2">
      <c r="B226" s="31">
        <v>7.1677777777777774</v>
      </c>
      <c r="E226" s="31">
        <v>7.60111111111111</v>
      </c>
      <c r="F226" s="31">
        <v>7.4677777777777798</v>
      </c>
      <c r="G226" s="31">
        <v>3.21</v>
      </c>
      <c r="H226" s="31">
        <v>0</v>
      </c>
      <c r="I226" s="31">
        <v>0</v>
      </c>
      <c r="J226" s="31">
        <v>1.39</v>
      </c>
      <c r="K226" s="31">
        <v>1.31</v>
      </c>
      <c r="L226" s="31">
        <v>0.39</v>
      </c>
      <c r="M226" s="31">
        <v>0</v>
      </c>
      <c r="N226" s="31">
        <v>17.82</v>
      </c>
      <c r="O226" s="31">
        <v>35.4</v>
      </c>
      <c r="P226" s="31">
        <v>42.93</v>
      </c>
      <c r="Q226" s="31">
        <v>4.53</v>
      </c>
    </row>
    <row r="227" spans="2:17" x14ac:dyDescent="0.2">
      <c r="B227" s="31">
        <v>7.2011111111111115</v>
      </c>
      <c r="E227" s="31">
        <v>7.6344444444444397</v>
      </c>
      <c r="F227" s="31">
        <v>7.5011111111111104</v>
      </c>
      <c r="G227" s="31">
        <v>3.49</v>
      </c>
      <c r="H227" s="31">
        <v>0</v>
      </c>
      <c r="I227" s="31">
        <v>0</v>
      </c>
      <c r="J227" s="31">
        <v>1.25</v>
      </c>
      <c r="K227" s="31">
        <v>1.18</v>
      </c>
      <c r="L227" s="31">
        <v>0.39</v>
      </c>
      <c r="M227" s="31">
        <v>0</v>
      </c>
      <c r="N227" s="31">
        <v>17.96</v>
      </c>
      <c r="O227" s="31">
        <v>35.090000000000003</v>
      </c>
      <c r="P227" s="31">
        <v>42.77</v>
      </c>
      <c r="Q227" s="31">
        <v>4.53</v>
      </c>
    </row>
    <row r="228" spans="2:17" x14ac:dyDescent="0.2">
      <c r="B228" s="31">
        <v>7.2344444444444447</v>
      </c>
      <c r="E228" s="31">
        <v>7.66777777777778</v>
      </c>
      <c r="F228" s="31">
        <v>7.5344444444444401</v>
      </c>
      <c r="G228" s="31">
        <v>3.35</v>
      </c>
      <c r="H228" s="31">
        <v>0</v>
      </c>
      <c r="I228" s="31">
        <v>0</v>
      </c>
      <c r="J228" s="31">
        <v>1.25</v>
      </c>
      <c r="K228" s="31">
        <v>1.31</v>
      </c>
      <c r="L228" s="31">
        <v>0.39</v>
      </c>
      <c r="M228" s="31">
        <v>0</v>
      </c>
      <c r="N228" s="31">
        <v>17.670000000000002</v>
      </c>
      <c r="O228" s="31">
        <v>34.64</v>
      </c>
      <c r="P228" s="31">
        <v>42.31</v>
      </c>
      <c r="Q228" s="31">
        <v>4.3899999999999997</v>
      </c>
    </row>
    <row r="229" spans="2:17" x14ac:dyDescent="0.2">
      <c r="B229" s="31">
        <v>7.2677777777777779</v>
      </c>
      <c r="E229" s="31">
        <v>7.7011111111111097</v>
      </c>
      <c r="F229" s="31">
        <v>7.5677777777777804</v>
      </c>
      <c r="G229" s="31">
        <v>3.35</v>
      </c>
      <c r="H229" s="31">
        <v>0</v>
      </c>
      <c r="I229" s="31">
        <v>0</v>
      </c>
      <c r="J229" s="31">
        <v>0.83</v>
      </c>
      <c r="K229" s="31">
        <v>1.31</v>
      </c>
      <c r="L229" s="31">
        <v>0.39</v>
      </c>
      <c r="M229" s="31">
        <v>0</v>
      </c>
      <c r="N229" s="31">
        <v>17.53</v>
      </c>
      <c r="O229" s="31">
        <v>34.479999999999997</v>
      </c>
      <c r="P229" s="31">
        <v>41.69</v>
      </c>
      <c r="Q229" s="31">
        <v>4.53</v>
      </c>
    </row>
    <row r="230" spans="2:17" x14ac:dyDescent="0.2">
      <c r="B230" s="31">
        <v>7.3011111111111111</v>
      </c>
      <c r="E230" s="31">
        <v>7.7344444444444402</v>
      </c>
      <c r="F230" s="31">
        <v>7.60111111111111</v>
      </c>
      <c r="G230" s="31">
        <v>3.63</v>
      </c>
      <c r="H230" s="31">
        <v>0</v>
      </c>
      <c r="I230" s="31">
        <v>0</v>
      </c>
      <c r="J230" s="31">
        <v>0.97</v>
      </c>
      <c r="K230" s="31">
        <v>1.18</v>
      </c>
      <c r="L230" s="31">
        <v>0.39</v>
      </c>
      <c r="M230" s="31">
        <v>0</v>
      </c>
      <c r="N230" s="31">
        <v>17.82</v>
      </c>
      <c r="O230" s="31">
        <v>34.18</v>
      </c>
      <c r="P230" s="31">
        <v>41.38</v>
      </c>
      <c r="Q230" s="31">
        <v>4.66</v>
      </c>
    </row>
    <row r="231" spans="2:17" x14ac:dyDescent="0.2">
      <c r="B231" s="31">
        <v>7.3344444444444443</v>
      </c>
      <c r="E231" s="31">
        <v>7.7677777777777797</v>
      </c>
      <c r="F231" s="31">
        <v>7.6344444444444397</v>
      </c>
      <c r="G231" s="31">
        <v>3.35</v>
      </c>
      <c r="H231" s="31">
        <v>0</v>
      </c>
      <c r="I231" s="31">
        <v>0</v>
      </c>
      <c r="J231" s="31">
        <v>0.83</v>
      </c>
      <c r="K231" s="31">
        <v>1.31</v>
      </c>
      <c r="L231" s="31">
        <v>0.39</v>
      </c>
      <c r="M231" s="31">
        <v>0</v>
      </c>
      <c r="N231" s="31">
        <v>17.670000000000002</v>
      </c>
      <c r="O231" s="31">
        <v>33.72</v>
      </c>
      <c r="P231" s="31">
        <v>40.76</v>
      </c>
      <c r="Q231" s="31">
        <v>4.53</v>
      </c>
    </row>
    <row r="232" spans="2:17" x14ac:dyDescent="0.2">
      <c r="B232" s="31">
        <v>7.3677777777777775</v>
      </c>
      <c r="E232" s="31">
        <v>7.8011111111111102</v>
      </c>
      <c r="F232" s="31">
        <v>7.66777777777778</v>
      </c>
      <c r="G232" s="31">
        <v>3.35</v>
      </c>
      <c r="H232" s="31">
        <v>0</v>
      </c>
      <c r="I232" s="31">
        <v>0</v>
      </c>
      <c r="J232" s="31">
        <v>0.83</v>
      </c>
      <c r="K232" s="31">
        <v>1.31</v>
      </c>
      <c r="L232" s="31">
        <v>0.52</v>
      </c>
      <c r="M232" s="31">
        <v>0</v>
      </c>
      <c r="N232" s="31">
        <v>17.82</v>
      </c>
      <c r="O232" s="31">
        <v>33.72</v>
      </c>
      <c r="P232" s="31">
        <v>40.61</v>
      </c>
      <c r="Q232" s="31">
        <v>4.3899999999999997</v>
      </c>
    </row>
    <row r="233" spans="2:17" x14ac:dyDescent="0.2">
      <c r="B233" s="31">
        <v>7.4011111111111108</v>
      </c>
      <c r="E233" s="31">
        <v>7.8344444444444399</v>
      </c>
      <c r="F233" s="31">
        <v>7.7011111111111097</v>
      </c>
      <c r="G233" s="31">
        <v>3.49</v>
      </c>
      <c r="H233" s="31">
        <v>0</v>
      </c>
      <c r="I233" s="31">
        <v>0</v>
      </c>
      <c r="J233" s="31">
        <v>0.56000000000000005</v>
      </c>
      <c r="K233" s="31">
        <v>1.18</v>
      </c>
      <c r="L233" s="31">
        <v>0.39</v>
      </c>
      <c r="M233" s="31">
        <v>0</v>
      </c>
      <c r="N233" s="31">
        <v>17.38</v>
      </c>
      <c r="O233" s="31">
        <v>33.270000000000003</v>
      </c>
      <c r="P233" s="31">
        <v>39.840000000000003</v>
      </c>
      <c r="Q233" s="31">
        <v>4.53</v>
      </c>
    </row>
    <row r="234" spans="2:17" x14ac:dyDescent="0.2">
      <c r="B234" s="31">
        <v>7.434444444444444</v>
      </c>
      <c r="E234" s="31">
        <v>7.8677777777777802</v>
      </c>
      <c r="F234" s="31">
        <v>7.7344444444444402</v>
      </c>
      <c r="G234" s="31">
        <v>3.49</v>
      </c>
      <c r="I234" s="31">
        <v>0</v>
      </c>
      <c r="J234" s="31">
        <v>0.42</v>
      </c>
      <c r="K234" s="31">
        <v>1.18</v>
      </c>
      <c r="L234" s="31">
        <v>0.26</v>
      </c>
      <c r="M234" s="31">
        <v>0</v>
      </c>
      <c r="N234" s="31">
        <v>17.670000000000002</v>
      </c>
      <c r="O234" s="31">
        <v>33.42</v>
      </c>
      <c r="P234" s="31">
        <v>39.53</v>
      </c>
      <c r="Q234" s="31">
        <v>4.53</v>
      </c>
    </row>
    <row r="235" spans="2:17" x14ac:dyDescent="0.2">
      <c r="B235" s="31">
        <v>7.4677777777777781</v>
      </c>
      <c r="E235" s="31">
        <v>7.9011111111111099</v>
      </c>
      <c r="F235" s="31">
        <v>7.7677777777777797</v>
      </c>
      <c r="G235" s="31">
        <v>3.35</v>
      </c>
      <c r="I235" s="31">
        <v>0</v>
      </c>
      <c r="J235" s="31">
        <v>0.56000000000000005</v>
      </c>
      <c r="K235" s="31">
        <v>1.18</v>
      </c>
      <c r="L235" s="31">
        <v>0.39</v>
      </c>
      <c r="M235" s="31">
        <v>0</v>
      </c>
      <c r="N235" s="31">
        <v>17.53</v>
      </c>
      <c r="O235" s="31">
        <v>33.119999999999997</v>
      </c>
      <c r="P235" s="31">
        <v>38.909999999999997</v>
      </c>
      <c r="Q235" s="31">
        <v>4.66</v>
      </c>
    </row>
    <row r="236" spans="2:17" x14ac:dyDescent="0.2">
      <c r="B236" s="31">
        <v>7.5011111111111113</v>
      </c>
      <c r="E236" s="31">
        <v>7.9344444444444404</v>
      </c>
      <c r="F236" s="31">
        <v>7.8011111111111102</v>
      </c>
      <c r="G236" s="31">
        <v>3.21</v>
      </c>
      <c r="I236" s="31">
        <v>0</v>
      </c>
      <c r="J236" s="31">
        <v>0.42</v>
      </c>
      <c r="K236" s="31">
        <v>1.31</v>
      </c>
      <c r="L236" s="31">
        <v>0.39</v>
      </c>
      <c r="M236" s="31">
        <v>0</v>
      </c>
      <c r="N236" s="31">
        <v>17.670000000000002</v>
      </c>
      <c r="O236" s="31">
        <v>32.82</v>
      </c>
      <c r="P236" s="31">
        <v>38.15</v>
      </c>
      <c r="Q236" s="31">
        <v>4.66</v>
      </c>
    </row>
    <row r="237" spans="2:17" x14ac:dyDescent="0.2">
      <c r="B237" s="31">
        <v>7.5344444444444445</v>
      </c>
      <c r="E237" s="31">
        <v>7.9677777777777798</v>
      </c>
      <c r="F237" s="31">
        <v>7.8344444444444399</v>
      </c>
      <c r="G237" s="31">
        <v>3.49</v>
      </c>
      <c r="I237" s="31">
        <v>0</v>
      </c>
      <c r="J237" s="31">
        <v>0.42</v>
      </c>
      <c r="K237" s="31">
        <v>1.18</v>
      </c>
      <c r="L237" s="31">
        <v>0.26</v>
      </c>
      <c r="M237" s="31">
        <v>0</v>
      </c>
      <c r="N237" s="31">
        <v>17.38</v>
      </c>
      <c r="O237" s="31">
        <v>32.659999999999997</v>
      </c>
      <c r="P237" s="31">
        <v>37.840000000000003</v>
      </c>
      <c r="Q237" s="31">
        <v>4.53</v>
      </c>
    </row>
    <row r="238" spans="2:17" x14ac:dyDescent="0.2">
      <c r="B238" s="31">
        <v>7.5677777777777777</v>
      </c>
      <c r="E238" s="31">
        <v>8.0011111111111095</v>
      </c>
      <c r="F238" s="31">
        <v>7.8677777777777802</v>
      </c>
      <c r="G238" s="31">
        <v>3.49</v>
      </c>
      <c r="I238" s="31">
        <v>0</v>
      </c>
      <c r="J238" s="31">
        <v>0.28000000000000003</v>
      </c>
      <c r="K238" s="31">
        <v>1.05</v>
      </c>
      <c r="L238" s="31">
        <v>0.26</v>
      </c>
      <c r="M238" s="31">
        <v>0</v>
      </c>
      <c r="N238" s="31">
        <v>17.670000000000002</v>
      </c>
      <c r="O238" s="31">
        <v>32.51</v>
      </c>
      <c r="P238" s="31">
        <v>36.92</v>
      </c>
      <c r="Q238" s="31">
        <v>4.26</v>
      </c>
    </row>
    <row r="239" spans="2:17" x14ac:dyDescent="0.2">
      <c r="B239" s="31">
        <v>7.6011111111111109</v>
      </c>
      <c r="E239" s="31">
        <v>8.0344444444444392</v>
      </c>
      <c r="F239" s="31">
        <v>7.9011111111111099</v>
      </c>
      <c r="G239" s="31">
        <v>3.63</v>
      </c>
      <c r="I239" s="31">
        <v>0</v>
      </c>
      <c r="J239" s="31">
        <v>0.42</v>
      </c>
      <c r="K239" s="31">
        <v>0.92</v>
      </c>
      <c r="L239" s="31">
        <v>0.26</v>
      </c>
      <c r="M239" s="31">
        <v>0</v>
      </c>
      <c r="N239" s="31">
        <v>17.82</v>
      </c>
      <c r="O239" s="31">
        <v>32.36</v>
      </c>
      <c r="P239" s="31">
        <v>35.85</v>
      </c>
      <c r="Q239" s="31">
        <v>4.53</v>
      </c>
    </row>
    <row r="240" spans="2:17" x14ac:dyDescent="0.2">
      <c r="B240" s="31">
        <v>7.6344444444444441</v>
      </c>
      <c r="E240" s="31">
        <v>8.0677777777777795</v>
      </c>
      <c r="F240" s="31">
        <v>7.9344444444444404</v>
      </c>
      <c r="G240" s="31">
        <v>3.35</v>
      </c>
      <c r="I240" s="31">
        <v>0</v>
      </c>
      <c r="J240" s="31">
        <v>0.28000000000000003</v>
      </c>
      <c r="K240" s="31">
        <v>1.05</v>
      </c>
      <c r="L240" s="31">
        <v>0.26</v>
      </c>
      <c r="M240" s="31">
        <v>0</v>
      </c>
      <c r="N240" s="31">
        <v>17.670000000000002</v>
      </c>
      <c r="O240" s="31">
        <v>31.91</v>
      </c>
      <c r="P240" s="31">
        <v>34.94</v>
      </c>
      <c r="Q240" s="31">
        <v>4.3899999999999997</v>
      </c>
    </row>
    <row r="241" spans="2:17" x14ac:dyDescent="0.2">
      <c r="B241" s="31">
        <v>7.6677777777777774</v>
      </c>
      <c r="E241" s="31">
        <v>8.1011111111111092</v>
      </c>
      <c r="F241" s="31">
        <v>7.9677777777777798</v>
      </c>
      <c r="G241" s="31">
        <v>3.49</v>
      </c>
      <c r="I241" s="31">
        <v>0</v>
      </c>
      <c r="J241" s="31">
        <v>0.28000000000000003</v>
      </c>
      <c r="K241" s="31">
        <v>1.05</v>
      </c>
      <c r="L241" s="31">
        <v>0.13</v>
      </c>
      <c r="M241" s="31">
        <v>0</v>
      </c>
      <c r="N241" s="31">
        <v>17.23</v>
      </c>
      <c r="O241" s="31">
        <v>31.76</v>
      </c>
      <c r="P241" s="31">
        <v>33.880000000000003</v>
      </c>
      <c r="Q241" s="31">
        <v>4.3899999999999997</v>
      </c>
    </row>
    <row r="242" spans="2:17" x14ac:dyDescent="0.2">
      <c r="B242" s="31">
        <v>7.7011111111111115</v>
      </c>
      <c r="E242" s="31">
        <v>8.1344444444444406</v>
      </c>
      <c r="F242" s="31">
        <v>8.0011111111111095</v>
      </c>
      <c r="G242" s="31">
        <v>3.49</v>
      </c>
      <c r="I242" s="31">
        <v>0</v>
      </c>
      <c r="J242" s="31">
        <v>0.28000000000000003</v>
      </c>
      <c r="K242" s="31">
        <v>0.92</v>
      </c>
      <c r="L242" s="31">
        <v>0.13</v>
      </c>
      <c r="M242" s="31">
        <v>0</v>
      </c>
      <c r="N242" s="31">
        <v>17.670000000000002</v>
      </c>
      <c r="O242" s="31">
        <v>31.46</v>
      </c>
      <c r="P242" s="31">
        <v>32.97</v>
      </c>
      <c r="Q242" s="31">
        <v>4.3899999999999997</v>
      </c>
    </row>
    <row r="243" spans="2:17" x14ac:dyDescent="0.2">
      <c r="B243" s="31">
        <v>7.7344444444444447</v>
      </c>
      <c r="E243" s="31">
        <v>8.167777777777772</v>
      </c>
      <c r="F243" s="31">
        <v>8.0344444444444392</v>
      </c>
      <c r="G243" s="31">
        <v>3.49</v>
      </c>
      <c r="I243" s="31">
        <v>0</v>
      </c>
      <c r="J243" s="31">
        <v>0.14000000000000001</v>
      </c>
      <c r="K243" s="31">
        <v>0.79</v>
      </c>
      <c r="L243" s="31">
        <v>0.13</v>
      </c>
      <c r="M243" s="31">
        <v>0</v>
      </c>
      <c r="N243" s="31">
        <v>17.09</v>
      </c>
      <c r="O243" s="31">
        <v>31.15</v>
      </c>
      <c r="P243" s="31">
        <v>31.91</v>
      </c>
      <c r="Q243" s="31">
        <v>4.26</v>
      </c>
    </row>
    <row r="244" spans="2:17" x14ac:dyDescent="0.2">
      <c r="B244" s="31">
        <v>7.7677777777777779</v>
      </c>
      <c r="E244" s="31">
        <v>8.2011111111111035</v>
      </c>
      <c r="F244" s="31">
        <v>8.0677777777777795</v>
      </c>
      <c r="G244" s="31">
        <v>3.49</v>
      </c>
      <c r="I244" s="31">
        <v>0</v>
      </c>
      <c r="J244" s="31">
        <v>0.28000000000000003</v>
      </c>
      <c r="K244" s="31">
        <v>0.92</v>
      </c>
      <c r="L244" s="31">
        <v>0.13</v>
      </c>
      <c r="M244" s="31">
        <v>0</v>
      </c>
      <c r="N244" s="31">
        <v>17.670000000000002</v>
      </c>
      <c r="O244" s="31">
        <v>30.85</v>
      </c>
      <c r="P244" s="31">
        <v>31.15</v>
      </c>
      <c r="Q244" s="31">
        <v>4.26</v>
      </c>
    </row>
    <row r="245" spans="2:17" x14ac:dyDescent="0.2">
      <c r="B245" s="31">
        <v>7.8011111111111111</v>
      </c>
      <c r="E245" s="31">
        <v>8.2344444444444349</v>
      </c>
      <c r="F245" s="31">
        <v>8.1011111111111092</v>
      </c>
      <c r="G245" s="31">
        <v>3.49</v>
      </c>
      <c r="I245" s="31">
        <v>0</v>
      </c>
      <c r="J245" s="31">
        <v>0.28000000000000003</v>
      </c>
      <c r="K245" s="31">
        <v>1.05</v>
      </c>
      <c r="L245" s="31">
        <v>0.26</v>
      </c>
      <c r="M245" s="31">
        <v>0</v>
      </c>
      <c r="N245" s="31">
        <v>17.23</v>
      </c>
      <c r="O245" s="31">
        <v>29.95</v>
      </c>
      <c r="P245" s="31">
        <v>30.55</v>
      </c>
      <c r="Q245" s="31">
        <v>4.26</v>
      </c>
    </row>
    <row r="246" spans="2:17" x14ac:dyDescent="0.2">
      <c r="B246" s="31">
        <v>7.8344444444444443</v>
      </c>
      <c r="E246" s="31">
        <v>8.2677777777777663</v>
      </c>
      <c r="F246" s="31">
        <v>8.1344444444444406</v>
      </c>
      <c r="G246" s="31">
        <v>3.49</v>
      </c>
      <c r="I246" s="31">
        <v>0</v>
      </c>
      <c r="J246" s="31">
        <v>0.28000000000000003</v>
      </c>
      <c r="K246" s="31">
        <v>0.92</v>
      </c>
      <c r="L246" s="31">
        <v>0</v>
      </c>
      <c r="M246" s="31">
        <v>0</v>
      </c>
      <c r="N246" s="31">
        <v>17.38</v>
      </c>
      <c r="O246" s="31">
        <v>29.5</v>
      </c>
      <c r="P246" s="31">
        <v>30.1</v>
      </c>
      <c r="Q246" s="31">
        <v>4.13</v>
      </c>
    </row>
    <row r="247" spans="2:17" x14ac:dyDescent="0.2">
      <c r="B247" s="31">
        <v>7.8677777777777775</v>
      </c>
      <c r="E247" s="31">
        <v>8.3011111111110978</v>
      </c>
      <c r="F247" s="31">
        <v>8.167777777777772</v>
      </c>
      <c r="G247" s="31">
        <v>3.35</v>
      </c>
      <c r="I247" s="31">
        <v>0</v>
      </c>
      <c r="J247" s="31">
        <v>0.28000000000000003</v>
      </c>
      <c r="K247" s="31">
        <v>0.92</v>
      </c>
      <c r="L247" s="31">
        <v>0.13</v>
      </c>
      <c r="M247" s="31">
        <v>0</v>
      </c>
      <c r="N247" s="31">
        <v>17.23</v>
      </c>
      <c r="O247" s="31">
        <v>29.35</v>
      </c>
      <c r="P247" s="31">
        <v>29.95</v>
      </c>
      <c r="Q247" s="31">
        <v>4.3899999999999997</v>
      </c>
    </row>
    <row r="248" spans="2:17" x14ac:dyDescent="0.2">
      <c r="B248" s="31">
        <v>7.9011111111111108</v>
      </c>
      <c r="E248" s="31">
        <v>8.3344444444444292</v>
      </c>
      <c r="F248" s="31">
        <v>8.2011111111111035</v>
      </c>
      <c r="G248" s="31">
        <v>3.49</v>
      </c>
      <c r="I248" s="31">
        <v>0</v>
      </c>
      <c r="J248" s="31">
        <v>0.28000000000000003</v>
      </c>
      <c r="K248" s="31">
        <v>1.05</v>
      </c>
      <c r="L248" s="31">
        <v>0.26</v>
      </c>
      <c r="M248" s="31">
        <v>0</v>
      </c>
      <c r="N248" s="31">
        <v>17.38</v>
      </c>
      <c r="O248" s="31">
        <v>29.2</v>
      </c>
      <c r="P248" s="31">
        <v>29.35</v>
      </c>
      <c r="Q248" s="31">
        <v>4.3899999999999997</v>
      </c>
    </row>
    <row r="249" spans="2:17" x14ac:dyDescent="0.2">
      <c r="B249" s="31">
        <v>7.934444444444444</v>
      </c>
      <c r="E249" s="31">
        <v>8.3677777777777607</v>
      </c>
      <c r="F249" s="31">
        <v>8.2344444444444349</v>
      </c>
      <c r="G249" s="31">
        <v>3.21</v>
      </c>
      <c r="I249" s="31">
        <v>0</v>
      </c>
      <c r="J249" s="31">
        <v>0.14000000000000001</v>
      </c>
      <c r="K249" s="31">
        <v>1.05</v>
      </c>
      <c r="L249" s="31">
        <v>0.13</v>
      </c>
      <c r="M249" s="31">
        <v>0</v>
      </c>
      <c r="N249" s="31">
        <v>17.09</v>
      </c>
      <c r="O249" s="31">
        <v>29.05</v>
      </c>
      <c r="P249" s="31">
        <v>29.2</v>
      </c>
      <c r="Q249" s="31">
        <v>4.13</v>
      </c>
    </row>
    <row r="250" spans="2:17" x14ac:dyDescent="0.2">
      <c r="B250" s="31">
        <v>7.9677777777777781</v>
      </c>
      <c r="E250" s="31">
        <v>8.4011111111110921</v>
      </c>
      <c r="F250" s="31">
        <v>8.2677777777777663</v>
      </c>
      <c r="G250" s="31">
        <v>3.35</v>
      </c>
      <c r="I250" s="31">
        <v>0</v>
      </c>
      <c r="J250" s="31">
        <v>0.14000000000000001</v>
      </c>
      <c r="K250" s="31">
        <v>0.92</v>
      </c>
      <c r="L250" s="31">
        <v>0.13</v>
      </c>
      <c r="M250" s="31">
        <v>0</v>
      </c>
      <c r="N250" s="31">
        <v>17.23</v>
      </c>
      <c r="O250" s="31">
        <v>28.75</v>
      </c>
      <c r="P250" s="31">
        <v>29.05</v>
      </c>
      <c r="Q250" s="31">
        <v>4.13</v>
      </c>
    </row>
    <row r="251" spans="2:17" x14ac:dyDescent="0.2">
      <c r="B251" s="31">
        <v>8.0011111111111113</v>
      </c>
      <c r="E251" s="31">
        <v>8.4344444444444235</v>
      </c>
      <c r="F251" s="31">
        <v>8.3011111111110978</v>
      </c>
      <c r="G251" s="31">
        <v>3.35</v>
      </c>
      <c r="I251" s="31">
        <v>0</v>
      </c>
      <c r="J251" s="31">
        <v>0.28000000000000003</v>
      </c>
      <c r="K251" s="31">
        <v>0.92</v>
      </c>
      <c r="L251" s="31">
        <v>0.13</v>
      </c>
      <c r="M251" s="31">
        <v>0</v>
      </c>
      <c r="N251" s="31">
        <v>17.38</v>
      </c>
      <c r="O251" s="31">
        <v>28.6</v>
      </c>
      <c r="P251" s="31">
        <v>29.05</v>
      </c>
      <c r="Q251" s="31">
        <v>4.26</v>
      </c>
    </row>
    <row r="252" spans="2:17" x14ac:dyDescent="0.2">
      <c r="B252" s="31">
        <v>8.0344444444444445</v>
      </c>
      <c r="E252" s="31">
        <v>8.467777777777755</v>
      </c>
      <c r="F252" s="31">
        <v>8.3344444444444292</v>
      </c>
      <c r="G252" s="31">
        <v>3.35</v>
      </c>
      <c r="I252" s="31">
        <v>0</v>
      </c>
      <c r="J252" s="31">
        <v>0.28000000000000003</v>
      </c>
      <c r="K252" s="31">
        <v>0.92</v>
      </c>
      <c r="L252" s="31">
        <v>0.13</v>
      </c>
      <c r="M252" s="31">
        <v>0</v>
      </c>
      <c r="N252" s="31">
        <v>17.23</v>
      </c>
      <c r="O252" s="31">
        <v>28.45</v>
      </c>
      <c r="P252" s="31">
        <v>28.75</v>
      </c>
      <c r="Q252" s="31">
        <v>4.3899999999999997</v>
      </c>
    </row>
    <row r="253" spans="2:17" x14ac:dyDescent="0.2">
      <c r="B253" s="31">
        <v>8.0677777777777777</v>
      </c>
      <c r="E253" s="31">
        <v>8.5011111111110864</v>
      </c>
      <c r="F253" s="31">
        <v>8.3677777777777607</v>
      </c>
      <c r="G253" s="31">
        <v>3.49</v>
      </c>
      <c r="I253" s="31">
        <v>0</v>
      </c>
      <c r="J253" s="31">
        <v>0.42</v>
      </c>
      <c r="K253" s="31">
        <v>1.05</v>
      </c>
      <c r="L253" s="31">
        <v>0.13</v>
      </c>
      <c r="M253" s="31">
        <v>0</v>
      </c>
      <c r="N253" s="31">
        <v>16.940000000000001</v>
      </c>
      <c r="O253" s="31">
        <v>28.3</v>
      </c>
      <c r="P253" s="31">
        <v>28.75</v>
      </c>
      <c r="Q253" s="31">
        <v>4.3899999999999997</v>
      </c>
    </row>
    <row r="254" spans="2:17" x14ac:dyDescent="0.2">
      <c r="B254" s="31">
        <v>8.1011111111111109</v>
      </c>
      <c r="E254" s="31">
        <v>8.5344444444444179</v>
      </c>
      <c r="F254" s="31">
        <v>8.4011111111110921</v>
      </c>
      <c r="G254" s="31">
        <v>3.63</v>
      </c>
      <c r="I254" s="31">
        <v>0</v>
      </c>
      <c r="K254" s="31">
        <v>0.92</v>
      </c>
      <c r="L254" s="31">
        <v>0.13</v>
      </c>
      <c r="M254" s="31">
        <v>0</v>
      </c>
      <c r="N254" s="31">
        <v>17.38</v>
      </c>
      <c r="O254" s="31">
        <v>28</v>
      </c>
      <c r="P254" s="31">
        <v>28.3</v>
      </c>
      <c r="Q254" s="31">
        <v>4.3899999999999997</v>
      </c>
    </row>
    <row r="255" spans="2:17" x14ac:dyDescent="0.2">
      <c r="B255" s="31">
        <v>8.1344444444444441</v>
      </c>
      <c r="E255" s="31">
        <v>8.5677777777777493</v>
      </c>
      <c r="F255" s="31">
        <v>8.4344444444444235</v>
      </c>
      <c r="G255" s="31">
        <v>3.49</v>
      </c>
      <c r="I255" s="31">
        <v>0</v>
      </c>
      <c r="K255" s="31">
        <v>1.05</v>
      </c>
      <c r="L255" s="31">
        <v>0.26</v>
      </c>
      <c r="M255" s="31">
        <v>0</v>
      </c>
      <c r="N255" s="31">
        <v>17.53</v>
      </c>
      <c r="O255" s="31">
        <v>27.7</v>
      </c>
      <c r="P255" s="31">
        <v>28.3</v>
      </c>
      <c r="Q255" s="31">
        <v>4.53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251"/>
  <sheetViews>
    <sheetView topLeftCell="D1" workbookViewId="0">
      <selection activeCell="F4" sqref="F4"/>
    </sheetView>
  </sheetViews>
  <sheetFormatPr baseColWidth="10" defaultRowHeight="16" x14ac:dyDescent="0.2"/>
  <cols>
    <col min="6" max="6" width="12.1640625" bestFit="1" customWidth="1"/>
  </cols>
  <sheetData>
    <row r="3" spans="2:19" x14ac:dyDescent="0.2">
      <c r="F3" s="48" t="s">
        <v>76</v>
      </c>
      <c r="G3" s="49">
        <v>0.38100000000000001</v>
      </c>
      <c r="H3" s="49">
        <v>0.65600000000000003</v>
      </c>
      <c r="I3" s="49">
        <v>0.96899999999999997</v>
      </c>
      <c r="J3" s="49">
        <v>0.46100000000000002</v>
      </c>
      <c r="K3" s="49">
        <v>0.48499999999999999</v>
      </c>
      <c r="L3" s="49">
        <v>0.8</v>
      </c>
      <c r="M3" s="49">
        <v>1.1599999999999999</v>
      </c>
      <c r="N3" s="49">
        <v>1.264</v>
      </c>
      <c r="O3" s="49">
        <v>0.74299999999999999</v>
      </c>
      <c r="P3" s="49">
        <v>0.56599999999999995</v>
      </c>
      <c r="Q3" s="49">
        <v>0.67400000000000004</v>
      </c>
      <c r="R3" s="49">
        <v>0.82</v>
      </c>
      <c r="S3" s="50">
        <v>1.08</v>
      </c>
    </row>
    <row r="4" spans="2:19" x14ac:dyDescent="0.2">
      <c r="C4" s="5"/>
      <c r="D4" s="5"/>
      <c r="F4" s="51" t="s">
        <v>39</v>
      </c>
      <c r="G4" s="5">
        <v>5.7000000000000002E-2</v>
      </c>
      <c r="H4" s="5">
        <v>8.1000000000000003E-2</v>
      </c>
      <c r="I4" s="5">
        <v>0.123</v>
      </c>
      <c r="J4" s="5">
        <v>0.159</v>
      </c>
      <c r="K4" s="5">
        <v>0.23300000000000001</v>
      </c>
      <c r="L4" s="5">
        <v>0.17499999999999999</v>
      </c>
      <c r="M4" s="5">
        <v>0.32700000000000001</v>
      </c>
      <c r="N4" s="5">
        <v>0.41699999999999998</v>
      </c>
      <c r="O4" s="5">
        <v>0.2</v>
      </c>
      <c r="P4" s="5">
        <v>0.153</v>
      </c>
      <c r="Q4" s="5">
        <v>6.6000000000000003E-2</v>
      </c>
      <c r="R4" s="5">
        <v>0.23599999999999999</v>
      </c>
      <c r="S4" s="61">
        <v>8.2000000000000003E-2</v>
      </c>
    </row>
    <row r="5" spans="2:19" x14ac:dyDescent="0.2">
      <c r="C5" s="5"/>
      <c r="D5" s="34"/>
      <c r="F5" s="51" t="s">
        <v>44</v>
      </c>
      <c r="G5" s="5">
        <v>2.216535433070866E-2</v>
      </c>
      <c r="H5" s="5">
        <v>2.3353658536585362E-2</v>
      </c>
      <c r="I5" s="5">
        <v>2.3885448916408671E-2</v>
      </c>
      <c r="J5" s="5">
        <v>2.2657266811279827E-2</v>
      </c>
      <c r="K5" s="5">
        <v>2.2773195876288659E-2</v>
      </c>
      <c r="L5" s="5">
        <v>2.3649999999999997E-2</v>
      </c>
      <c r="M5" s="5">
        <v>2.4068965517241379E-2</v>
      </c>
      <c r="N5" s="5">
        <v>2.4145569620253167E-2</v>
      </c>
      <c r="O5" s="5">
        <v>2.35464333781965E-2</v>
      </c>
      <c r="P5" s="5">
        <v>2.3091872791519436E-2</v>
      </c>
      <c r="Q5" s="5">
        <v>2.3397626112759643E-2</v>
      </c>
      <c r="R5" s="5">
        <v>2.3682926829268293E-2</v>
      </c>
      <c r="S5" s="61">
        <v>2.4E-2</v>
      </c>
    </row>
    <row r="6" spans="2:19" x14ac:dyDescent="0.2">
      <c r="C6" s="5"/>
      <c r="D6" s="34"/>
      <c r="F6" s="51" t="s">
        <v>42</v>
      </c>
      <c r="G6" s="5">
        <f>SLOPE(G40:G100,$C40:$C100)</f>
        <v>-23.134455016023526</v>
      </c>
      <c r="H6" s="5">
        <f>SLOPE(H10:H70,$C10:$C70)</f>
        <v>-28.999174272638385</v>
      </c>
      <c r="I6" s="5">
        <f>SLOPE(I70:I130,$C70:$C130)</f>
        <v>-31.028959861103633</v>
      </c>
      <c r="J6" s="5">
        <f>SLOPE(J40:J100,B40:B100)</f>
        <v>-15.269396255685676</v>
      </c>
      <c r="K6" s="5">
        <f>SLOPE(K70:K130,B70:B130)</f>
        <v>-12.775687146166218</v>
      </c>
      <c r="L6" s="5">
        <f>SLOPE(L10:L25,C10:C25)</f>
        <v>-144.64367647058879</v>
      </c>
      <c r="M6" s="5">
        <f>SLOPE(M30:M60,$E30:$E60)</f>
        <v>-45.327217741935456</v>
      </c>
      <c r="N6" s="5">
        <f>SLOPE(N18:N75,$E18:$E75)</f>
        <v>-28.876511119997556</v>
      </c>
      <c r="O6" s="5">
        <f>SLOPE(O10:O70,$F10:$F70)</f>
        <v>-37.743839238498161</v>
      </c>
      <c r="P6" s="5">
        <f>SLOPE(P27:P57,$F27:$F57)</f>
        <v>-28.312620967741978</v>
      </c>
      <c r="Q6" s="5">
        <f>SLOPE(Q10:Q91,$F10:$F91)</f>
        <v>-14.705397507499057</v>
      </c>
      <c r="R6" s="5">
        <f>SLOPE(R10:R112,$F10:$F112)</f>
        <v>-14.772667603681464</v>
      </c>
      <c r="S6" s="61">
        <f>SLOPE(S10:S91,$F10:$F91)</f>
        <v>-24.914202901843019</v>
      </c>
    </row>
    <row r="7" spans="2:19" x14ac:dyDescent="0.2">
      <c r="F7" s="88" t="s">
        <v>46</v>
      </c>
      <c r="G7" s="64">
        <f>(-1*G5*(G6-(-1.246263))*5.31)/100</f>
        <v>2.5761971132938113E-2</v>
      </c>
      <c r="H7" s="64">
        <f>(-1*H5*(H6-(-1.296))*5.31)/100</f>
        <v>3.4354132081398078E-2</v>
      </c>
      <c r="I7" s="64">
        <f>(-1*I5*(I6-(-1.709))*5.31)/100</f>
        <v>3.7187013425507155E-2</v>
      </c>
      <c r="J7" s="64">
        <f>(-1*J5*(J6-(-1.39))*5.31)/100</f>
        <v>1.6698313678075526E-2</v>
      </c>
      <c r="K7" s="64">
        <f>(-1*K5*(K6-(-1.39))*5.31)/100</f>
        <v>1.3768218477343198E-2</v>
      </c>
      <c r="L7" s="64">
        <f>(-1*L5*(L6-(-3.3))*5.31)/100</f>
        <v>0.17750150906691242</v>
      </c>
      <c r="M7" s="64">
        <f>(-1*M5*(M6-(-1.23))*5.31)/100</f>
        <v>5.6358981342880948E-2</v>
      </c>
      <c r="N7" s="64">
        <f>(-1*N5*(N6-(-1.23))*5.31)/100</f>
        <v>3.5446414303165724E-2</v>
      </c>
      <c r="O7" s="64">
        <f>(-1*O5*(O6-(-1.44))*5.31)/100</f>
        <v>4.5391256989309008E-2</v>
      </c>
      <c r="P7" s="64">
        <f>(-1*P5*(P6-(-1.1642))*5.31)/100</f>
        <v>3.3288808612666754E-2</v>
      </c>
      <c r="Q7" s="64">
        <f>(-1*Q5*(Q6-(-4.412))*5.31)/100</f>
        <v>1.2788660621086221E-2</v>
      </c>
      <c r="R7" s="64">
        <f>(-1*R5*(R6-(-0.8549))*5.31)/100</f>
        <v>1.7502475351770162E-2</v>
      </c>
      <c r="S7" s="98">
        <f>(-1*S5*(S6-(-0.8549))*5.31)/100</f>
        <v>3.066117561810874E-2</v>
      </c>
    </row>
    <row r="9" spans="2:19" x14ac:dyDescent="0.2">
      <c r="B9" t="s">
        <v>45</v>
      </c>
      <c r="C9" t="s">
        <v>45</v>
      </c>
      <c r="D9" t="s">
        <v>45</v>
      </c>
      <c r="E9" t="s">
        <v>45</v>
      </c>
      <c r="F9" t="s">
        <v>45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  <c r="R9" t="s">
        <v>19</v>
      </c>
      <c r="S9" t="s">
        <v>21</v>
      </c>
    </row>
    <row r="10" spans="2:19" x14ac:dyDescent="0.2">
      <c r="B10">
        <v>2.7777777777777778E-4</v>
      </c>
      <c r="C10">
        <v>0.96694444444444405</v>
      </c>
      <c r="D10">
        <v>0.83361111111111097</v>
      </c>
      <c r="E10">
        <v>0.433611111111111</v>
      </c>
      <c r="F10">
        <v>0.30027777777777798</v>
      </c>
      <c r="G10">
        <v>67.239999999999995</v>
      </c>
      <c r="H10">
        <v>72.010000000000005</v>
      </c>
      <c r="I10">
        <v>83.57</v>
      </c>
      <c r="J10">
        <v>72.44</v>
      </c>
      <c r="K10">
        <v>80.7</v>
      </c>
      <c r="L10">
        <v>82.04</v>
      </c>
      <c r="M10">
        <v>74.48</v>
      </c>
      <c r="N10">
        <v>93.51</v>
      </c>
      <c r="O10">
        <v>71.209999999999994</v>
      </c>
      <c r="P10">
        <v>69.7</v>
      </c>
      <c r="Q10">
        <v>80.5</v>
      </c>
      <c r="R10">
        <v>76.290000000000006</v>
      </c>
      <c r="S10">
        <v>72.83</v>
      </c>
    </row>
    <row r="11" spans="2:19" x14ac:dyDescent="0.2">
      <c r="B11">
        <v>3.3611111111111112E-2</v>
      </c>
      <c r="C11">
        <v>1.00027777777778</v>
      </c>
      <c r="D11">
        <v>0.86694444444444396</v>
      </c>
      <c r="E11">
        <v>0.466944444444444</v>
      </c>
      <c r="F11">
        <v>0.33361111111111103</v>
      </c>
      <c r="G11">
        <v>66.91</v>
      </c>
      <c r="H11">
        <v>71.849999999999994</v>
      </c>
      <c r="I11">
        <v>83.4</v>
      </c>
      <c r="J11">
        <v>72.12</v>
      </c>
      <c r="K11">
        <v>79.39</v>
      </c>
      <c r="L11">
        <v>81.13</v>
      </c>
      <c r="M11">
        <v>73.819999999999993</v>
      </c>
      <c r="N11">
        <v>93.16</v>
      </c>
      <c r="O11">
        <v>70.569999999999993</v>
      </c>
      <c r="P11">
        <v>69.180000000000007</v>
      </c>
      <c r="Q11">
        <v>80.16</v>
      </c>
      <c r="R11">
        <v>73.98</v>
      </c>
      <c r="S11">
        <v>72.010000000000005</v>
      </c>
    </row>
    <row r="12" spans="2:19" x14ac:dyDescent="0.2">
      <c r="B12">
        <v>6.6944444444444445E-2</v>
      </c>
      <c r="C12">
        <v>1.0336111111111099</v>
      </c>
      <c r="D12">
        <v>0.90027777777777795</v>
      </c>
      <c r="E12">
        <v>0.50027777777777804</v>
      </c>
      <c r="F12">
        <v>0.36694444444444402</v>
      </c>
      <c r="G12">
        <v>66.58</v>
      </c>
      <c r="H12">
        <v>71.38</v>
      </c>
      <c r="I12">
        <v>83.57</v>
      </c>
      <c r="J12">
        <v>72.12</v>
      </c>
      <c r="K12">
        <v>78.41</v>
      </c>
      <c r="L12">
        <v>79.87</v>
      </c>
      <c r="M12">
        <v>73.650000000000006</v>
      </c>
      <c r="N12">
        <v>92.64</v>
      </c>
      <c r="O12">
        <v>68.81</v>
      </c>
      <c r="P12">
        <v>68.3</v>
      </c>
      <c r="Q12">
        <v>79.819999999999993</v>
      </c>
      <c r="R12">
        <v>75.3</v>
      </c>
      <c r="S12">
        <v>72.34</v>
      </c>
    </row>
    <row r="13" spans="2:19" x14ac:dyDescent="0.2">
      <c r="B13">
        <v>0.10027777777777777</v>
      </c>
      <c r="C13">
        <v>1.06694444444444</v>
      </c>
      <c r="D13">
        <v>0.93361111111111095</v>
      </c>
      <c r="E13">
        <v>0.53361111111111104</v>
      </c>
      <c r="F13">
        <v>0.40027777777777801</v>
      </c>
      <c r="G13">
        <v>66.58</v>
      </c>
      <c r="H13">
        <v>70.430000000000007</v>
      </c>
      <c r="I13">
        <v>83.07</v>
      </c>
      <c r="J13">
        <v>72.44</v>
      </c>
      <c r="K13">
        <v>77.599999999999994</v>
      </c>
      <c r="L13">
        <v>78.790000000000006</v>
      </c>
      <c r="M13">
        <v>72.989999999999995</v>
      </c>
      <c r="N13">
        <v>92.29</v>
      </c>
      <c r="O13">
        <v>67.06</v>
      </c>
      <c r="P13">
        <v>67.59</v>
      </c>
      <c r="Q13">
        <v>79.319999999999993</v>
      </c>
      <c r="R13">
        <v>74.8</v>
      </c>
      <c r="S13">
        <v>71.19</v>
      </c>
    </row>
    <row r="14" spans="2:19" x14ac:dyDescent="0.2">
      <c r="B14">
        <v>0.13361111111111112</v>
      </c>
      <c r="C14">
        <v>1.1002777777777799</v>
      </c>
      <c r="D14">
        <v>0.96694444444444405</v>
      </c>
      <c r="E14">
        <v>0.56694444444444403</v>
      </c>
      <c r="F14">
        <v>0.433611111111111</v>
      </c>
      <c r="G14">
        <v>66.42</v>
      </c>
      <c r="H14">
        <v>69.010000000000005</v>
      </c>
      <c r="I14">
        <v>82.74</v>
      </c>
      <c r="J14">
        <v>72.44</v>
      </c>
      <c r="K14">
        <v>76.3</v>
      </c>
      <c r="L14">
        <v>77.349999999999994</v>
      </c>
      <c r="M14">
        <v>72.17</v>
      </c>
      <c r="N14">
        <v>90.73</v>
      </c>
      <c r="O14">
        <v>64.849999999999994</v>
      </c>
      <c r="P14">
        <v>66.72</v>
      </c>
      <c r="Q14">
        <v>78.650000000000006</v>
      </c>
      <c r="R14">
        <v>74.14</v>
      </c>
      <c r="S14">
        <v>71.52</v>
      </c>
    </row>
    <row r="15" spans="2:19" x14ac:dyDescent="0.2">
      <c r="B15">
        <v>0.16694444444444445</v>
      </c>
      <c r="C15">
        <v>1.13361111111111</v>
      </c>
      <c r="D15">
        <v>1.00027777777778</v>
      </c>
      <c r="E15">
        <v>0.60027777777777802</v>
      </c>
      <c r="F15">
        <v>0.466944444444444</v>
      </c>
      <c r="G15">
        <v>66.25</v>
      </c>
      <c r="H15">
        <v>68.06</v>
      </c>
      <c r="I15">
        <v>82.41</v>
      </c>
      <c r="J15">
        <v>72.28</v>
      </c>
      <c r="K15">
        <v>75.17</v>
      </c>
      <c r="L15">
        <v>75.38</v>
      </c>
      <c r="M15">
        <v>71.180000000000007</v>
      </c>
      <c r="N15">
        <v>89.52</v>
      </c>
      <c r="O15">
        <v>62.96</v>
      </c>
      <c r="P15">
        <v>66.02</v>
      </c>
      <c r="Q15">
        <v>78.48</v>
      </c>
      <c r="R15">
        <v>74.14</v>
      </c>
      <c r="S15">
        <v>72.17</v>
      </c>
    </row>
    <row r="16" spans="2:19" x14ac:dyDescent="0.2">
      <c r="B16">
        <v>0.2002777777777778</v>
      </c>
      <c r="C16">
        <v>1.1669444444444399</v>
      </c>
      <c r="D16">
        <v>1.0336111111111099</v>
      </c>
      <c r="E16">
        <v>0.63361111111111101</v>
      </c>
      <c r="F16">
        <v>0.50027777777777804</v>
      </c>
      <c r="G16">
        <v>66.09</v>
      </c>
      <c r="H16">
        <v>67.59</v>
      </c>
      <c r="I16">
        <v>82.41</v>
      </c>
      <c r="J16">
        <v>72.28</v>
      </c>
      <c r="K16">
        <v>73.56</v>
      </c>
      <c r="L16">
        <v>70.760000000000005</v>
      </c>
      <c r="M16">
        <v>71.180000000000007</v>
      </c>
      <c r="N16">
        <v>85.41</v>
      </c>
      <c r="O16">
        <v>62.34</v>
      </c>
      <c r="P16">
        <v>65.319999999999993</v>
      </c>
      <c r="Q16">
        <v>77.98</v>
      </c>
      <c r="R16">
        <v>74.14</v>
      </c>
      <c r="S16">
        <v>72.17</v>
      </c>
    </row>
    <row r="17" spans="2:19" x14ac:dyDescent="0.2">
      <c r="B17">
        <v>0.23361111111111113</v>
      </c>
      <c r="C17">
        <v>1.20027777777778</v>
      </c>
      <c r="D17">
        <v>1.06694444444444</v>
      </c>
      <c r="E17">
        <v>0.66694444444444401</v>
      </c>
      <c r="F17">
        <v>0.53361111111111104</v>
      </c>
      <c r="G17">
        <v>65.92</v>
      </c>
      <c r="H17">
        <v>67.12</v>
      </c>
      <c r="I17">
        <v>82.08</v>
      </c>
      <c r="J17">
        <v>72.44</v>
      </c>
      <c r="K17">
        <v>72.599999999999994</v>
      </c>
      <c r="L17">
        <v>61.5</v>
      </c>
      <c r="M17">
        <v>70.849999999999994</v>
      </c>
      <c r="N17">
        <v>77.31</v>
      </c>
      <c r="O17">
        <v>61.4</v>
      </c>
      <c r="P17">
        <v>64.97</v>
      </c>
      <c r="Q17">
        <v>75.31</v>
      </c>
      <c r="R17">
        <v>72.989999999999995</v>
      </c>
      <c r="S17">
        <v>71.19</v>
      </c>
    </row>
    <row r="18" spans="2:19" x14ac:dyDescent="0.2">
      <c r="B18">
        <v>0.26694444444444443</v>
      </c>
      <c r="C18">
        <v>1.2336111111111101</v>
      </c>
      <c r="D18">
        <v>1.1002777777777799</v>
      </c>
      <c r="E18">
        <v>0.700277777777778</v>
      </c>
      <c r="F18">
        <v>0.56694444444444403</v>
      </c>
      <c r="G18">
        <v>65.760000000000005</v>
      </c>
      <c r="H18">
        <v>66.81</v>
      </c>
      <c r="I18">
        <v>81.91</v>
      </c>
      <c r="J18">
        <v>72.44</v>
      </c>
      <c r="K18">
        <v>72.12</v>
      </c>
      <c r="L18">
        <v>51.93</v>
      </c>
      <c r="M18">
        <v>70.52</v>
      </c>
      <c r="N18">
        <v>67.41</v>
      </c>
      <c r="O18">
        <v>59.84</v>
      </c>
      <c r="P18">
        <v>64.62</v>
      </c>
      <c r="Q18">
        <v>75.64</v>
      </c>
      <c r="R18">
        <v>72.67</v>
      </c>
      <c r="S18">
        <v>69.73</v>
      </c>
    </row>
    <row r="19" spans="2:19" x14ac:dyDescent="0.2">
      <c r="B19">
        <v>0.30027777777777775</v>
      </c>
      <c r="C19">
        <v>1.26694444444444</v>
      </c>
      <c r="D19">
        <v>1.13361111111111</v>
      </c>
      <c r="E19">
        <v>0.73361111111111099</v>
      </c>
      <c r="F19">
        <v>0.60027777777777802</v>
      </c>
      <c r="G19">
        <v>65.430000000000007</v>
      </c>
      <c r="H19">
        <v>66.97</v>
      </c>
      <c r="I19">
        <v>81.58</v>
      </c>
      <c r="J19">
        <v>71.64</v>
      </c>
      <c r="K19">
        <v>70.680000000000007</v>
      </c>
      <c r="L19">
        <v>45.06</v>
      </c>
      <c r="M19">
        <v>69.7</v>
      </c>
      <c r="N19">
        <v>64.010000000000005</v>
      </c>
      <c r="O19">
        <v>57.67</v>
      </c>
      <c r="P19">
        <v>64.099999999999994</v>
      </c>
      <c r="Q19">
        <v>75.48</v>
      </c>
      <c r="R19">
        <v>71.849999999999994</v>
      </c>
      <c r="S19">
        <v>69.73</v>
      </c>
    </row>
    <row r="20" spans="2:19" x14ac:dyDescent="0.2">
      <c r="B20">
        <v>0.33361111111111108</v>
      </c>
      <c r="C20">
        <v>1.3002777777777801</v>
      </c>
      <c r="D20">
        <v>1.1669444444444399</v>
      </c>
      <c r="E20">
        <v>0.76694444444444398</v>
      </c>
      <c r="F20">
        <v>0.63361111111111101</v>
      </c>
      <c r="G20">
        <v>65.099999999999994</v>
      </c>
      <c r="H20">
        <v>66.81</v>
      </c>
      <c r="I20">
        <v>81.09</v>
      </c>
      <c r="J20">
        <v>71.8</v>
      </c>
      <c r="K20">
        <v>69.73</v>
      </c>
      <c r="L20">
        <v>38.950000000000003</v>
      </c>
      <c r="M20">
        <v>68.72</v>
      </c>
      <c r="N20">
        <v>64.010000000000005</v>
      </c>
      <c r="O20">
        <v>55.2</v>
      </c>
      <c r="P20">
        <v>63.76</v>
      </c>
      <c r="Q20">
        <v>74.98</v>
      </c>
      <c r="R20">
        <v>73.319999999999993</v>
      </c>
      <c r="S20">
        <v>67.78</v>
      </c>
    </row>
    <row r="21" spans="2:19" x14ac:dyDescent="0.2">
      <c r="B21">
        <v>0.36694444444444441</v>
      </c>
      <c r="C21">
        <v>1.33361111111111</v>
      </c>
      <c r="D21">
        <v>1.20027777777778</v>
      </c>
      <c r="E21">
        <v>0.80027777777777798</v>
      </c>
      <c r="F21">
        <v>0.66694444444444401</v>
      </c>
      <c r="G21">
        <v>64.78</v>
      </c>
      <c r="H21">
        <v>66.5</v>
      </c>
      <c r="I21">
        <v>81.09</v>
      </c>
      <c r="J21">
        <v>71.48</v>
      </c>
      <c r="K21">
        <v>68.14</v>
      </c>
      <c r="L21">
        <v>34.229999999999997</v>
      </c>
      <c r="M21">
        <v>68.39</v>
      </c>
      <c r="N21">
        <v>64.489999999999995</v>
      </c>
      <c r="O21">
        <v>51.68</v>
      </c>
      <c r="P21">
        <v>63.58</v>
      </c>
      <c r="Q21">
        <v>74.650000000000006</v>
      </c>
      <c r="R21">
        <v>72.34</v>
      </c>
      <c r="S21">
        <v>66.319999999999993</v>
      </c>
    </row>
    <row r="22" spans="2:19" x14ac:dyDescent="0.2">
      <c r="B22">
        <v>0.40027777777777779</v>
      </c>
      <c r="C22">
        <v>1.3669444444444401</v>
      </c>
      <c r="D22">
        <v>1.2336111111111101</v>
      </c>
      <c r="E22">
        <v>0.83361111111111097</v>
      </c>
      <c r="F22">
        <v>0.700277777777778</v>
      </c>
      <c r="G22">
        <v>64.61</v>
      </c>
      <c r="H22">
        <v>66.5</v>
      </c>
      <c r="I22">
        <v>80.92</v>
      </c>
      <c r="J22">
        <v>71.48</v>
      </c>
      <c r="K22">
        <v>67.66</v>
      </c>
      <c r="L22">
        <v>29.39</v>
      </c>
      <c r="M22">
        <v>67.41</v>
      </c>
      <c r="N22">
        <v>65.459999999999994</v>
      </c>
      <c r="O22">
        <v>47.6</v>
      </c>
      <c r="P22">
        <v>63.06</v>
      </c>
      <c r="Q22">
        <v>72.33</v>
      </c>
      <c r="R22">
        <v>71.36</v>
      </c>
      <c r="S22">
        <v>66.16</v>
      </c>
    </row>
    <row r="23" spans="2:19" x14ac:dyDescent="0.2">
      <c r="B23">
        <v>0.43361111111111111</v>
      </c>
      <c r="C23">
        <v>1.40027777777778</v>
      </c>
      <c r="D23">
        <v>1.26694444444444</v>
      </c>
      <c r="E23">
        <v>0.86694444444444396</v>
      </c>
      <c r="F23">
        <v>0.73361111111111099</v>
      </c>
      <c r="G23">
        <v>64.12</v>
      </c>
      <c r="H23">
        <v>66.34</v>
      </c>
      <c r="I23">
        <v>80.430000000000007</v>
      </c>
      <c r="J23">
        <v>71.64</v>
      </c>
      <c r="K23">
        <v>66.87</v>
      </c>
      <c r="L23">
        <v>26.04</v>
      </c>
      <c r="M23">
        <v>66.44</v>
      </c>
      <c r="N23">
        <v>65.459999999999994</v>
      </c>
      <c r="O23">
        <v>44.3</v>
      </c>
      <c r="P23">
        <v>62.54</v>
      </c>
      <c r="Q23">
        <v>71.84</v>
      </c>
      <c r="R23">
        <v>71.52</v>
      </c>
      <c r="S23">
        <v>66.489999999999995</v>
      </c>
    </row>
    <row r="24" spans="2:19" x14ac:dyDescent="0.2">
      <c r="B24">
        <v>0.46694444444444444</v>
      </c>
      <c r="C24">
        <v>1.4336111111111101</v>
      </c>
      <c r="D24">
        <v>1.3002777777777801</v>
      </c>
      <c r="E24">
        <v>0.90027777777777795</v>
      </c>
      <c r="F24">
        <v>0.76694444444444398</v>
      </c>
      <c r="G24">
        <v>63.8</v>
      </c>
      <c r="H24">
        <v>65.87</v>
      </c>
      <c r="I24">
        <v>80.27</v>
      </c>
      <c r="J24">
        <v>70.36</v>
      </c>
      <c r="K24">
        <v>65.77</v>
      </c>
      <c r="L24">
        <v>23.03</v>
      </c>
      <c r="M24">
        <v>64.489999999999995</v>
      </c>
      <c r="N24">
        <v>67.09</v>
      </c>
      <c r="O24">
        <v>41.92</v>
      </c>
      <c r="P24">
        <v>61.68</v>
      </c>
      <c r="Q24">
        <v>71.84</v>
      </c>
      <c r="R24">
        <v>71.19</v>
      </c>
      <c r="S24">
        <v>66.319999999999993</v>
      </c>
    </row>
    <row r="25" spans="2:19" x14ac:dyDescent="0.2">
      <c r="B25">
        <v>0.50027777777777771</v>
      </c>
      <c r="C25">
        <v>1.4669444444444399</v>
      </c>
      <c r="D25">
        <v>1.33361111111111</v>
      </c>
      <c r="E25">
        <v>0.93361111111111095</v>
      </c>
      <c r="F25">
        <v>0.80027777777777798</v>
      </c>
      <c r="G25">
        <v>63.47</v>
      </c>
      <c r="H25">
        <v>65.09</v>
      </c>
      <c r="I25">
        <v>80.099999999999994</v>
      </c>
      <c r="J25">
        <v>70.2</v>
      </c>
      <c r="K25">
        <v>64.040000000000006</v>
      </c>
      <c r="L25">
        <v>20.98</v>
      </c>
      <c r="M25">
        <v>58.72</v>
      </c>
      <c r="N25">
        <v>65.14</v>
      </c>
      <c r="O25">
        <v>40.880000000000003</v>
      </c>
      <c r="P25">
        <v>61.5</v>
      </c>
      <c r="Q25">
        <v>70.849999999999994</v>
      </c>
      <c r="R25">
        <v>70.7</v>
      </c>
      <c r="S25">
        <v>65.36</v>
      </c>
    </row>
    <row r="26" spans="2:19" x14ac:dyDescent="0.2">
      <c r="B26">
        <v>0.53361111111111115</v>
      </c>
      <c r="C26">
        <v>1.50027777777778</v>
      </c>
      <c r="D26">
        <v>1.3669444444444401</v>
      </c>
      <c r="E26">
        <v>0.96694444444444405</v>
      </c>
      <c r="F26">
        <v>0.83361111111111097</v>
      </c>
      <c r="G26">
        <v>63.31</v>
      </c>
      <c r="H26">
        <v>63.69</v>
      </c>
      <c r="I26">
        <v>79.94</v>
      </c>
      <c r="J26">
        <v>70.2</v>
      </c>
      <c r="K26">
        <v>63.57</v>
      </c>
      <c r="M26">
        <v>56.33</v>
      </c>
      <c r="N26">
        <v>64.010000000000005</v>
      </c>
      <c r="O26">
        <v>39.700000000000003</v>
      </c>
      <c r="P26">
        <v>60.81</v>
      </c>
      <c r="Q26">
        <v>70.849999999999994</v>
      </c>
      <c r="R26">
        <v>70.540000000000006</v>
      </c>
      <c r="S26">
        <v>65.2</v>
      </c>
    </row>
    <row r="27" spans="2:19" x14ac:dyDescent="0.2">
      <c r="B27">
        <v>0.56694444444444447</v>
      </c>
      <c r="C27">
        <v>1.5336111111111099</v>
      </c>
      <c r="D27">
        <v>1.40027777777778</v>
      </c>
      <c r="E27">
        <v>1.00027777777778</v>
      </c>
      <c r="F27">
        <v>0.86694444444444396</v>
      </c>
      <c r="G27">
        <v>62.98</v>
      </c>
      <c r="H27">
        <v>62.29</v>
      </c>
      <c r="I27">
        <v>79.94</v>
      </c>
      <c r="J27">
        <v>69.41</v>
      </c>
      <c r="K27">
        <v>63.1</v>
      </c>
      <c r="M27">
        <v>55.07</v>
      </c>
      <c r="N27">
        <v>63.36</v>
      </c>
      <c r="O27">
        <v>37.200000000000003</v>
      </c>
      <c r="P27">
        <v>60.12</v>
      </c>
      <c r="Q27">
        <v>69.86</v>
      </c>
      <c r="R27">
        <v>69.239999999999995</v>
      </c>
      <c r="S27">
        <v>63.91</v>
      </c>
    </row>
    <row r="28" spans="2:19" x14ac:dyDescent="0.2">
      <c r="B28">
        <v>0.6002777777777778</v>
      </c>
      <c r="C28">
        <v>1.56694444444444</v>
      </c>
      <c r="D28">
        <v>1.4336111111111101</v>
      </c>
      <c r="E28">
        <v>1.0336111111111099</v>
      </c>
      <c r="F28">
        <v>0.90027777777777795</v>
      </c>
      <c r="G28">
        <v>62.33</v>
      </c>
      <c r="H28">
        <v>60.91</v>
      </c>
      <c r="I28">
        <v>79.61</v>
      </c>
      <c r="J28">
        <v>69.09</v>
      </c>
      <c r="K28">
        <v>61.85</v>
      </c>
      <c r="M28">
        <v>50.21</v>
      </c>
      <c r="N28">
        <v>58.56</v>
      </c>
      <c r="O28">
        <v>35.590000000000003</v>
      </c>
      <c r="P28">
        <v>59.61</v>
      </c>
      <c r="Q28">
        <v>69.37</v>
      </c>
      <c r="R28">
        <v>68.75</v>
      </c>
      <c r="S28">
        <v>63.11</v>
      </c>
    </row>
    <row r="29" spans="2:19" x14ac:dyDescent="0.2">
      <c r="B29">
        <v>0.63361111111111112</v>
      </c>
      <c r="C29">
        <v>1.6002777777777799</v>
      </c>
      <c r="D29">
        <v>1.4669444444444399</v>
      </c>
      <c r="E29">
        <v>1.06694444444444</v>
      </c>
      <c r="F29">
        <v>0.93361111111111095</v>
      </c>
      <c r="G29">
        <v>62</v>
      </c>
      <c r="H29">
        <v>59.21</v>
      </c>
      <c r="I29">
        <v>79.28</v>
      </c>
      <c r="J29">
        <v>67.349999999999994</v>
      </c>
      <c r="K29">
        <v>61.07</v>
      </c>
      <c r="M29">
        <v>52.87</v>
      </c>
      <c r="N29">
        <v>56.65</v>
      </c>
      <c r="O29">
        <v>33.56</v>
      </c>
      <c r="P29">
        <v>59.09</v>
      </c>
      <c r="Q29">
        <v>68.88</v>
      </c>
      <c r="R29">
        <v>67.13</v>
      </c>
      <c r="S29">
        <v>61.99</v>
      </c>
    </row>
    <row r="30" spans="2:19" x14ac:dyDescent="0.2">
      <c r="B30">
        <v>0.66694444444444445</v>
      </c>
      <c r="C30">
        <v>1.63361111111111</v>
      </c>
      <c r="D30">
        <v>1.50027777777778</v>
      </c>
      <c r="E30">
        <v>1.1002777777777799</v>
      </c>
      <c r="F30">
        <v>0.96694444444444405</v>
      </c>
      <c r="G30">
        <v>61.52</v>
      </c>
      <c r="H30">
        <v>57.07</v>
      </c>
      <c r="I30">
        <v>79.12</v>
      </c>
      <c r="J30">
        <v>66.400000000000006</v>
      </c>
      <c r="K30">
        <v>60.14</v>
      </c>
      <c r="M30">
        <v>49.27</v>
      </c>
      <c r="N30">
        <v>53.97</v>
      </c>
      <c r="O30">
        <v>30.95</v>
      </c>
      <c r="P30">
        <v>58.4</v>
      </c>
      <c r="Q30">
        <v>68.39</v>
      </c>
      <c r="R30">
        <v>67.13</v>
      </c>
      <c r="S30">
        <v>61.04</v>
      </c>
    </row>
    <row r="31" spans="2:19" x14ac:dyDescent="0.2">
      <c r="B31">
        <v>0.70027777777777778</v>
      </c>
      <c r="C31">
        <v>1.6669444444444399</v>
      </c>
      <c r="D31">
        <v>1.5336111111111099</v>
      </c>
      <c r="E31">
        <v>1.13361111111111</v>
      </c>
      <c r="F31">
        <v>1.00027777777778</v>
      </c>
      <c r="G31">
        <v>61.03</v>
      </c>
      <c r="H31">
        <v>55.09</v>
      </c>
      <c r="I31">
        <v>78.95</v>
      </c>
      <c r="J31">
        <v>66.400000000000006</v>
      </c>
      <c r="K31">
        <v>59.52</v>
      </c>
      <c r="M31">
        <v>41.88</v>
      </c>
      <c r="N31">
        <v>51.93</v>
      </c>
      <c r="O31">
        <v>27.23</v>
      </c>
      <c r="P31">
        <v>57.89</v>
      </c>
      <c r="Q31">
        <v>68.23</v>
      </c>
      <c r="R31">
        <v>66.650000000000006</v>
      </c>
      <c r="S31">
        <v>60.4</v>
      </c>
    </row>
    <row r="32" spans="2:19" x14ac:dyDescent="0.2">
      <c r="B32">
        <v>0.7336111111111111</v>
      </c>
      <c r="C32">
        <v>1.70027777777778</v>
      </c>
      <c r="D32">
        <v>1.56694444444444</v>
      </c>
      <c r="E32">
        <v>1.1669444444444399</v>
      </c>
      <c r="F32">
        <v>1.0336111111111099</v>
      </c>
      <c r="G32">
        <v>60.54</v>
      </c>
      <c r="H32">
        <v>53.58</v>
      </c>
      <c r="I32">
        <v>78.459999999999994</v>
      </c>
      <c r="J32">
        <v>66.08</v>
      </c>
      <c r="K32">
        <v>58.44</v>
      </c>
      <c r="M32">
        <v>37.33</v>
      </c>
      <c r="N32">
        <v>52.24</v>
      </c>
      <c r="O32">
        <v>25.24</v>
      </c>
      <c r="P32">
        <v>57.2</v>
      </c>
      <c r="Q32">
        <v>68.069999999999993</v>
      </c>
      <c r="R32">
        <v>66.16</v>
      </c>
      <c r="S32">
        <v>60.4</v>
      </c>
    </row>
    <row r="33" spans="2:19" x14ac:dyDescent="0.2">
      <c r="B33">
        <v>0.76694444444444443</v>
      </c>
      <c r="C33">
        <v>1.7336111111111101</v>
      </c>
      <c r="D33">
        <v>1.6002777777777799</v>
      </c>
      <c r="E33">
        <v>1.20027777777778</v>
      </c>
      <c r="F33">
        <v>1.06694444444444</v>
      </c>
      <c r="G33">
        <v>60.06</v>
      </c>
      <c r="H33">
        <v>52.67</v>
      </c>
      <c r="I33">
        <v>77.97</v>
      </c>
      <c r="J33">
        <v>66.08</v>
      </c>
      <c r="K33">
        <v>57.82</v>
      </c>
      <c r="M33">
        <v>35.53</v>
      </c>
      <c r="N33">
        <v>52.71</v>
      </c>
      <c r="O33">
        <v>24.1</v>
      </c>
      <c r="P33">
        <v>56.69</v>
      </c>
      <c r="Q33">
        <v>68.069999999999993</v>
      </c>
      <c r="R33">
        <v>66.489999999999995</v>
      </c>
      <c r="S33">
        <v>60.4</v>
      </c>
    </row>
    <row r="34" spans="2:19" x14ac:dyDescent="0.2">
      <c r="B34">
        <v>0.80027777777777775</v>
      </c>
      <c r="C34">
        <v>1.76694444444444</v>
      </c>
      <c r="D34">
        <v>1.63361111111111</v>
      </c>
      <c r="E34">
        <v>1.2336111111111101</v>
      </c>
      <c r="F34">
        <v>1.1002777777777799</v>
      </c>
      <c r="G34">
        <v>59.25</v>
      </c>
      <c r="H34">
        <v>52.37</v>
      </c>
      <c r="I34">
        <v>77.81</v>
      </c>
      <c r="J34">
        <v>65.930000000000007</v>
      </c>
      <c r="K34">
        <v>56.9</v>
      </c>
      <c r="M34">
        <v>28.98</v>
      </c>
      <c r="N34">
        <v>51.3</v>
      </c>
      <c r="O34">
        <v>23.4</v>
      </c>
      <c r="P34">
        <v>56.01</v>
      </c>
      <c r="Q34">
        <v>68.069999999999993</v>
      </c>
      <c r="R34">
        <v>66.489999999999995</v>
      </c>
      <c r="S34">
        <v>60.4</v>
      </c>
    </row>
    <row r="35" spans="2:19" x14ac:dyDescent="0.2">
      <c r="B35">
        <v>0.83361111111111108</v>
      </c>
      <c r="C35">
        <v>1.8002777777777801</v>
      </c>
      <c r="D35">
        <v>1.6669444444444399</v>
      </c>
      <c r="E35">
        <v>1.26694444444444</v>
      </c>
      <c r="F35">
        <v>1.13361111111111</v>
      </c>
      <c r="G35">
        <v>59.09</v>
      </c>
      <c r="H35">
        <v>53.28</v>
      </c>
      <c r="I35">
        <v>77.64</v>
      </c>
      <c r="J35">
        <v>64.83</v>
      </c>
      <c r="K35">
        <v>55.98</v>
      </c>
      <c r="M35">
        <v>24</v>
      </c>
      <c r="N35">
        <v>49.27</v>
      </c>
      <c r="O35">
        <v>22.41</v>
      </c>
      <c r="P35">
        <v>55.33</v>
      </c>
      <c r="Q35">
        <v>67.900000000000006</v>
      </c>
      <c r="R35">
        <v>65.84</v>
      </c>
      <c r="S35">
        <v>60.09</v>
      </c>
    </row>
    <row r="36" spans="2:19" x14ac:dyDescent="0.2">
      <c r="B36">
        <v>0.86694444444444441</v>
      </c>
      <c r="C36">
        <v>1.83361111111111</v>
      </c>
      <c r="D36">
        <v>1.70027777777778</v>
      </c>
      <c r="E36">
        <v>1.3002777777777801</v>
      </c>
      <c r="F36">
        <v>1.1669444444444399</v>
      </c>
      <c r="G36">
        <v>58.28</v>
      </c>
      <c r="H36">
        <v>53.88</v>
      </c>
      <c r="I36">
        <v>77.150000000000006</v>
      </c>
      <c r="J36">
        <v>65.14</v>
      </c>
      <c r="K36">
        <v>55.52</v>
      </c>
      <c r="M36">
        <v>30.61</v>
      </c>
      <c r="N36">
        <v>47.57</v>
      </c>
      <c r="O36">
        <v>21.56</v>
      </c>
      <c r="P36">
        <v>54.98</v>
      </c>
      <c r="Q36">
        <v>68.069999999999993</v>
      </c>
      <c r="R36">
        <v>66.489999999999995</v>
      </c>
      <c r="S36">
        <v>59.61</v>
      </c>
    </row>
    <row r="37" spans="2:19" x14ac:dyDescent="0.2">
      <c r="B37">
        <v>0.90027777777777773</v>
      </c>
      <c r="C37">
        <v>1.8669444444444401</v>
      </c>
      <c r="D37">
        <v>1.7336111111111101</v>
      </c>
      <c r="E37">
        <v>1.33361111111111</v>
      </c>
      <c r="F37">
        <v>1.20027777777778</v>
      </c>
      <c r="G37">
        <v>57.64</v>
      </c>
      <c r="H37">
        <v>53.58</v>
      </c>
      <c r="I37">
        <v>76.989999999999995</v>
      </c>
      <c r="J37">
        <v>65.14</v>
      </c>
      <c r="K37">
        <v>54.14</v>
      </c>
      <c r="M37">
        <v>29.72</v>
      </c>
      <c r="N37">
        <v>45.87</v>
      </c>
      <c r="O37">
        <v>20.58</v>
      </c>
      <c r="P37">
        <v>54.47</v>
      </c>
      <c r="Q37">
        <v>68.069999999999993</v>
      </c>
      <c r="R37">
        <v>65.84</v>
      </c>
      <c r="S37">
        <v>58.66</v>
      </c>
    </row>
    <row r="38" spans="2:19" x14ac:dyDescent="0.2">
      <c r="B38">
        <v>0.93361111111111106</v>
      </c>
      <c r="C38">
        <v>1.90027777777778</v>
      </c>
      <c r="D38">
        <v>1.76694444444444</v>
      </c>
      <c r="E38">
        <v>1.3669444444444401</v>
      </c>
      <c r="F38">
        <v>1.2336111111111101</v>
      </c>
      <c r="G38">
        <v>57.16</v>
      </c>
      <c r="H38">
        <v>53.58</v>
      </c>
      <c r="I38">
        <v>76.67</v>
      </c>
      <c r="J38">
        <v>64.67</v>
      </c>
      <c r="K38">
        <v>53.53</v>
      </c>
      <c r="M38">
        <v>24.58</v>
      </c>
      <c r="N38">
        <v>44.64</v>
      </c>
      <c r="O38">
        <v>20.02</v>
      </c>
      <c r="P38">
        <v>53.46</v>
      </c>
      <c r="Q38">
        <v>67.900000000000006</v>
      </c>
      <c r="R38">
        <v>66.650000000000006</v>
      </c>
      <c r="S38">
        <v>56.61</v>
      </c>
    </row>
    <row r="39" spans="2:19" x14ac:dyDescent="0.2">
      <c r="B39">
        <v>0.96694444444444438</v>
      </c>
      <c r="C39">
        <v>1.9336111111111101</v>
      </c>
      <c r="D39">
        <v>1.8002777777777801</v>
      </c>
      <c r="E39">
        <v>1.40027777777778</v>
      </c>
      <c r="F39">
        <v>1.26694444444444</v>
      </c>
      <c r="G39">
        <v>56.52</v>
      </c>
      <c r="H39">
        <v>51.62</v>
      </c>
      <c r="I39">
        <v>76.010000000000005</v>
      </c>
      <c r="J39">
        <v>64.349999999999994</v>
      </c>
      <c r="K39">
        <v>52.01</v>
      </c>
      <c r="M39">
        <v>23.71</v>
      </c>
      <c r="N39">
        <v>43.72</v>
      </c>
      <c r="O39">
        <v>18.21</v>
      </c>
      <c r="P39">
        <v>52.61</v>
      </c>
      <c r="Q39">
        <v>67.58</v>
      </c>
      <c r="R39">
        <v>66</v>
      </c>
      <c r="S39">
        <v>54.57</v>
      </c>
    </row>
    <row r="40" spans="2:19" x14ac:dyDescent="0.2">
      <c r="B40">
        <v>1.0002777777777778</v>
      </c>
      <c r="C40">
        <v>1.9669444444444399</v>
      </c>
      <c r="D40">
        <v>1.83361111111111</v>
      </c>
      <c r="E40">
        <v>1.4336111111111101</v>
      </c>
      <c r="F40">
        <v>1.3002777777777801</v>
      </c>
      <c r="G40">
        <v>56.04</v>
      </c>
      <c r="H40">
        <v>48.03</v>
      </c>
      <c r="I40">
        <v>75.849999999999994</v>
      </c>
      <c r="J40">
        <v>63.73</v>
      </c>
      <c r="K40">
        <v>51.4</v>
      </c>
      <c r="M40">
        <v>22.25</v>
      </c>
      <c r="N40">
        <v>42.19</v>
      </c>
      <c r="O40">
        <v>16.82</v>
      </c>
      <c r="P40">
        <v>51.76</v>
      </c>
      <c r="Q40">
        <v>67.58</v>
      </c>
      <c r="R40">
        <v>65.84</v>
      </c>
      <c r="S40">
        <v>52.23</v>
      </c>
    </row>
    <row r="41" spans="2:19" x14ac:dyDescent="0.2">
      <c r="B41">
        <v>1.033611111111111</v>
      </c>
      <c r="C41">
        <v>2.00027777777778</v>
      </c>
      <c r="D41">
        <v>1.8669444444444401</v>
      </c>
      <c r="E41">
        <v>1.4669444444444399</v>
      </c>
      <c r="F41">
        <v>1.33361111111111</v>
      </c>
      <c r="G41">
        <v>55.24</v>
      </c>
      <c r="H41">
        <v>44.47</v>
      </c>
      <c r="I41">
        <v>75.53</v>
      </c>
      <c r="J41">
        <v>62.79</v>
      </c>
      <c r="K41">
        <v>50.79</v>
      </c>
      <c r="M41">
        <v>19.649999999999999</v>
      </c>
      <c r="N41">
        <v>40.97</v>
      </c>
      <c r="O41">
        <v>16.260000000000002</v>
      </c>
      <c r="P41">
        <v>50.92</v>
      </c>
      <c r="Q41">
        <v>67.25</v>
      </c>
      <c r="R41">
        <v>65.2</v>
      </c>
      <c r="S41">
        <v>50.99</v>
      </c>
    </row>
    <row r="42" spans="2:19" x14ac:dyDescent="0.2">
      <c r="B42">
        <v>1.0669444444444445</v>
      </c>
      <c r="C42">
        <v>2.0336111111111101</v>
      </c>
      <c r="D42">
        <v>1.90027777777778</v>
      </c>
      <c r="E42">
        <v>1.50027777777778</v>
      </c>
      <c r="F42">
        <v>1.3669444444444401</v>
      </c>
      <c r="G42">
        <v>54.76</v>
      </c>
      <c r="H42">
        <v>41.97</v>
      </c>
      <c r="I42">
        <v>75.040000000000006</v>
      </c>
      <c r="J42">
        <v>62.48</v>
      </c>
      <c r="K42">
        <v>50.19</v>
      </c>
      <c r="M42">
        <v>17.21</v>
      </c>
      <c r="N42">
        <v>40.36</v>
      </c>
      <c r="O42">
        <v>14.6</v>
      </c>
      <c r="P42">
        <v>49.4</v>
      </c>
      <c r="Q42">
        <v>64.98</v>
      </c>
      <c r="R42">
        <v>64.55</v>
      </c>
      <c r="S42">
        <v>50.53</v>
      </c>
    </row>
    <row r="43" spans="2:19" x14ac:dyDescent="0.2">
      <c r="B43">
        <v>1.1002777777777777</v>
      </c>
      <c r="C43">
        <v>2.0669444444444398</v>
      </c>
      <c r="D43">
        <v>1.9336111111111101</v>
      </c>
      <c r="E43">
        <v>1.5336111111111099</v>
      </c>
      <c r="F43">
        <v>1.40027777777778</v>
      </c>
      <c r="G43">
        <v>53.96</v>
      </c>
      <c r="H43">
        <v>39.479999999999997</v>
      </c>
      <c r="I43">
        <v>74.72</v>
      </c>
      <c r="J43">
        <v>62.48</v>
      </c>
      <c r="K43">
        <v>49.13</v>
      </c>
      <c r="M43">
        <v>14.64</v>
      </c>
      <c r="N43">
        <v>39.450000000000003</v>
      </c>
      <c r="O43">
        <v>13.5</v>
      </c>
      <c r="P43">
        <v>47.9</v>
      </c>
      <c r="Q43">
        <v>65.459999999999994</v>
      </c>
      <c r="R43">
        <v>63.11</v>
      </c>
      <c r="S43">
        <v>49.91</v>
      </c>
    </row>
    <row r="44" spans="2:19" x14ac:dyDescent="0.2">
      <c r="B44">
        <v>1.1336111111111111</v>
      </c>
      <c r="C44">
        <v>2.1002777777777801</v>
      </c>
      <c r="D44">
        <v>1.9669444444444399</v>
      </c>
      <c r="E44">
        <v>1.56694444444444</v>
      </c>
      <c r="F44">
        <v>1.4336111111111101</v>
      </c>
      <c r="G44">
        <v>53.32</v>
      </c>
      <c r="H44">
        <v>36.869999999999997</v>
      </c>
      <c r="I44">
        <v>74.23</v>
      </c>
      <c r="J44">
        <v>61.85</v>
      </c>
      <c r="K44">
        <v>47.63</v>
      </c>
      <c r="M44">
        <v>12.66</v>
      </c>
      <c r="N44">
        <v>38.54</v>
      </c>
      <c r="O44">
        <v>11.72</v>
      </c>
      <c r="P44">
        <v>46.39</v>
      </c>
      <c r="Q44">
        <v>65.790000000000006</v>
      </c>
      <c r="R44">
        <v>63.43</v>
      </c>
      <c r="S44">
        <v>49.44</v>
      </c>
    </row>
    <row r="45" spans="2:19" x14ac:dyDescent="0.2">
      <c r="B45">
        <v>1.1669444444444443</v>
      </c>
      <c r="C45">
        <v>2.1336111111111098</v>
      </c>
      <c r="D45">
        <v>2.00027777777778</v>
      </c>
      <c r="E45">
        <v>1.6002777777777799</v>
      </c>
      <c r="F45">
        <v>1.4669444444444399</v>
      </c>
      <c r="G45">
        <v>52.69</v>
      </c>
      <c r="H45">
        <v>35</v>
      </c>
      <c r="I45">
        <v>73.91</v>
      </c>
      <c r="J45">
        <v>61.39</v>
      </c>
      <c r="K45">
        <v>47.33</v>
      </c>
      <c r="M45">
        <v>10.97</v>
      </c>
      <c r="N45">
        <v>37.479999999999997</v>
      </c>
      <c r="O45">
        <v>9.81</v>
      </c>
      <c r="P45">
        <v>45.23</v>
      </c>
      <c r="Q45">
        <v>63.69</v>
      </c>
      <c r="R45">
        <v>63.27</v>
      </c>
      <c r="S45">
        <v>48.36</v>
      </c>
    </row>
    <row r="46" spans="2:19" x14ac:dyDescent="0.2">
      <c r="B46">
        <v>1.2002777777777778</v>
      </c>
      <c r="C46">
        <v>2.1669444444444399</v>
      </c>
      <c r="D46">
        <v>2.0336111111111101</v>
      </c>
      <c r="E46">
        <v>1.63361111111111</v>
      </c>
      <c r="F46">
        <v>1.50027777777778</v>
      </c>
      <c r="G46">
        <v>51.89</v>
      </c>
      <c r="H46">
        <v>34.57</v>
      </c>
      <c r="I46">
        <v>73.58</v>
      </c>
      <c r="J46">
        <v>60.61</v>
      </c>
      <c r="K46">
        <v>46.88</v>
      </c>
      <c r="M46">
        <v>9</v>
      </c>
      <c r="N46">
        <v>36.729999999999997</v>
      </c>
      <c r="O46">
        <v>6.69</v>
      </c>
      <c r="P46">
        <v>44.4</v>
      </c>
      <c r="Q46">
        <v>62.08</v>
      </c>
      <c r="R46">
        <v>62.47</v>
      </c>
      <c r="S46">
        <v>47.6</v>
      </c>
    </row>
    <row r="47" spans="2:19" x14ac:dyDescent="0.2">
      <c r="B47">
        <v>1.233611111111111</v>
      </c>
      <c r="C47">
        <v>2.2002777777777802</v>
      </c>
      <c r="D47">
        <v>2.0669444444444398</v>
      </c>
      <c r="E47">
        <v>1.6669444444444399</v>
      </c>
      <c r="F47">
        <v>1.5336111111111099</v>
      </c>
      <c r="G47">
        <v>51.1</v>
      </c>
      <c r="H47">
        <v>34.57</v>
      </c>
      <c r="I47">
        <v>72.290000000000006</v>
      </c>
      <c r="J47">
        <v>59.99</v>
      </c>
      <c r="K47">
        <v>45.68</v>
      </c>
      <c r="M47">
        <v>8.16</v>
      </c>
      <c r="N47">
        <v>35.979999999999997</v>
      </c>
      <c r="O47">
        <v>4.8099999999999996</v>
      </c>
      <c r="P47">
        <v>43.73</v>
      </c>
      <c r="Q47">
        <v>61.27</v>
      </c>
      <c r="R47">
        <v>60.88</v>
      </c>
      <c r="S47">
        <v>46.83</v>
      </c>
    </row>
    <row r="48" spans="2:19" x14ac:dyDescent="0.2">
      <c r="B48">
        <v>1.2669444444444444</v>
      </c>
      <c r="C48">
        <v>2.2336111111111099</v>
      </c>
      <c r="D48">
        <v>2.1002777777777801</v>
      </c>
      <c r="E48">
        <v>1.70027777777778</v>
      </c>
      <c r="F48">
        <v>1.56694444444444</v>
      </c>
      <c r="G48">
        <v>50.79</v>
      </c>
      <c r="H48">
        <v>34.28</v>
      </c>
      <c r="I48">
        <v>71.17</v>
      </c>
      <c r="J48">
        <v>59.37</v>
      </c>
      <c r="K48">
        <v>45.08</v>
      </c>
      <c r="M48">
        <v>7.32</v>
      </c>
      <c r="N48">
        <v>35.83</v>
      </c>
      <c r="O48">
        <v>4.4000000000000004</v>
      </c>
      <c r="P48">
        <v>43.23</v>
      </c>
      <c r="Q48">
        <v>60.95</v>
      </c>
      <c r="R48">
        <v>61.04</v>
      </c>
      <c r="S48">
        <v>46.06</v>
      </c>
    </row>
    <row r="49" spans="2:19" x14ac:dyDescent="0.2">
      <c r="B49">
        <v>1.3002777777777779</v>
      </c>
      <c r="C49">
        <v>2.26694444444444</v>
      </c>
      <c r="D49">
        <v>2.1336111111111098</v>
      </c>
      <c r="E49">
        <v>1.7336111111111101</v>
      </c>
      <c r="F49">
        <v>1.6002777777777799</v>
      </c>
      <c r="G49">
        <v>49.84</v>
      </c>
      <c r="H49">
        <v>33.700000000000003</v>
      </c>
      <c r="I49">
        <v>71.17</v>
      </c>
      <c r="J49">
        <v>59.06</v>
      </c>
      <c r="K49">
        <v>44.04</v>
      </c>
      <c r="M49">
        <v>6.9</v>
      </c>
      <c r="N49">
        <v>35.08</v>
      </c>
      <c r="O49">
        <v>4.13</v>
      </c>
      <c r="P49">
        <v>41.58</v>
      </c>
      <c r="Q49">
        <v>60.79</v>
      </c>
      <c r="R49">
        <v>59.29</v>
      </c>
      <c r="S49">
        <v>44.99</v>
      </c>
    </row>
    <row r="50" spans="2:19" x14ac:dyDescent="0.2">
      <c r="B50">
        <v>1.3336111111111111</v>
      </c>
      <c r="C50">
        <v>2.3002777777777799</v>
      </c>
      <c r="D50">
        <v>2.1669444444444399</v>
      </c>
      <c r="E50">
        <v>1.76694444444444</v>
      </c>
      <c r="F50">
        <v>1.63361111111111</v>
      </c>
      <c r="G50">
        <v>49.21</v>
      </c>
      <c r="H50">
        <v>32.99</v>
      </c>
      <c r="I50">
        <v>70.84</v>
      </c>
      <c r="J50">
        <v>58.29</v>
      </c>
      <c r="K50">
        <v>43.89</v>
      </c>
      <c r="M50">
        <v>6.07</v>
      </c>
      <c r="N50">
        <v>34.479999999999997</v>
      </c>
      <c r="O50">
        <v>3.73</v>
      </c>
      <c r="P50">
        <v>40.1</v>
      </c>
      <c r="Q50">
        <v>60.63</v>
      </c>
      <c r="R50">
        <v>60.24</v>
      </c>
      <c r="S50">
        <v>44.08</v>
      </c>
    </row>
    <row r="51" spans="2:19" x14ac:dyDescent="0.2">
      <c r="B51">
        <v>1.3669444444444445</v>
      </c>
      <c r="C51">
        <v>2.33361111111111</v>
      </c>
      <c r="D51">
        <v>2.2002777777777802</v>
      </c>
      <c r="E51">
        <v>1.8002777777777801</v>
      </c>
      <c r="F51">
        <v>1.6669444444444399</v>
      </c>
      <c r="G51">
        <v>48.27</v>
      </c>
      <c r="H51">
        <v>32.270000000000003</v>
      </c>
      <c r="I51">
        <v>70.36</v>
      </c>
      <c r="J51">
        <v>57.82</v>
      </c>
      <c r="K51">
        <v>43.3</v>
      </c>
      <c r="M51">
        <v>4.4000000000000004</v>
      </c>
      <c r="N51">
        <v>33.58</v>
      </c>
      <c r="O51">
        <v>3.2</v>
      </c>
      <c r="P51">
        <v>39.119999999999997</v>
      </c>
      <c r="Q51">
        <v>60.47</v>
      </c>
      <c r="R51">
        <v>59.61</v>
      </c>
      <c r="S51">
        <v>43.17</v>
      </c>
    </row>
    <row r="52" spans="2:19" x14ac:dyDescent="0.2">
      <c r="B52">
        <v>1.4002777777777777</v>
      </c>
      <c r="C52">
        <v>2.3669444444444401</v>
      </c>
      <c r="D52">
        <v>2.2336111111111099</v>
      </c>
      <c r="E52">
        <v>1.83361111111111</v>
      </c>
      <c r="F52">
        <v>1.70027777777778</v>
      </c>
      <c r="G52">
        <v>47.48</v>
      </c>
      <c r="H52">
        <v>31.28</v>
      </c>
      <c r="I52">
        <v>69.88</v>
      </c>
      <c r="J52">
        <v>57.05</v>
      </c>
      <c r="K52">
        <v>42.56</v>
      </c>
      <c r="M52">
        <v>2.61</v>
      </c>
      <c r="N52">
        <v>32.99</v>
      </c>
      <c r="O52">
        <v>2.66</v>
      </c>
      <c r="P52">
        <v>38.46</v>
      </c>
      <c r="Q52">
        <v>59.67</v>
      </c>
      <c r="R52">
        <v>59.77</v>
      </c>
      <c r="S52">
        <v>42.41</v>
      </c>
    </row>
    <row r="53" spans="2:19" x14ac:dyDescent="0.2">
      <c r="B53">
        <v>1.4336111111111112</v>
      </c>
      <c r="C53">
        <v>2.40027777777778</v>
      </c>
      <c r="D53">
        <v>2.26694444444444</v>
      </c>
      <c r="E53">
        <v>1.8669444444444401</v>
      </c>
      <c r="F53">
        <v>1.7336111111111101</v>
      </c>
      <c r="G53">
        <v>46.86</v>
      </c>
      <c r="H53">
        <v>30.42</v>
      </c>
      <c r="I53">
        <v>69.400000000000006</v>
      </c>
      <c r="J53">
        <v>56.44</v>
      </c>
      <c r="K53">
        <v>41.82</v>
      </c>
      <c r="M53">
        <v>1.23</v>
      </c>
      <c r="N53">
        <v>31.65</v>
      </c>
      <c r="O53">
        <v>1.99</v>
      </c>
      <c r="P53">
        <v>37.479999999999997</v>
      </c>
      <c r="Q53">
        <v>58.4</v>
      </c>
      <c r="R53">
        <v>58.82</v>
      </c>
      <c r="S53">
        <v>41.5</v>
      </c>
    </row>
    <row r="54" spans="2:19" x14ac:dyDescent="0.2">
      <c r="B54">
        <v>1.4669444444444444</v>
      </c>
      <c r="C54">
        <v>2.4336111111111101</v>
      </c>
      <c r="D54">
        <v>2.3002777777777799</v>
      </c>
      <c r="E54">
        <v>1.90027777777778</v>
      </c>
      <c r="F54">
        <v>1.76694444444444</v>
      </c>
      <c r="G54">
        <v>45.92</v>
      </c>
      <c r="H54">
        <v>29.43</v>
      </c>
      <c r="I54">
        <v>69.239999999999995</v>
      </c>
      <c r="J54">
        <v>56.13</v>
      </c>
      <c r="K54">
        <v>41.23</v>
      </c>
      <c r="M54">
        <v>0</v>
      </c>
      <c r="N54">
        <v>31.05</v>
      </c>
      <c r="O54">
        <v>1.73</v>
      </c>
      <c r="P54">
        <v>36.5</v>
      </c>
      <c r="Q54">
        <v>57.6</v>
      </c>
      <c r="R54">
        <v>58.5</v>
      </c>
      <c r="S54">
        <v>40.9</v>
      </c>
    </row>
    <row r="55" spans="2:19" x14ac:dyDescent="0.2">
      <c r="B55">
        <v>1.5002777777777778</v>
      </c>
      <c r="C55">
        <v>2.4669444444444402</v>
      </c>
      <c r="D55">
        <v>2.33361111111111</v>
      </c>
      <c r="E55">
        <v>1.9336111111111101</v>
      </c>
      <c r="F55">
        <v>1.8002777777777801</v>
      </c>
      <c r="G55">
        <v>45.14</v>
      </c>
      <c r="H55">
        <v>28.72</v>
      </c>
      <c r="I55">
        <v>68.599999999999994</v>
      </c>
      <c r="J55">
        <v>55.82</v>
      </c>
      <c r="K55">
        <v>41.23</v>
      </c>
      <c r="M55">
        <v>0</v>
      </c>
      <c r="N55">
        <v>30.02</v>
      </c>
      <c r="O55">
        <v>1.73</v>
      </c>
      <c r="P55">
        <v>35.200000000000003</v>
      </c>
      <c r="Q55">
        <v>57.76</v>
      </c>
      <c r="R55">
        <v>58.5</v>
      </c>
      <c r="S55">
        <v>39.840000000000003</v>
      </c>
    </row>
    <row r="56" spans="2:19" x14ac:dyDescent="0.2">
      <c r="B56">
        <v>1.533611111111111</v>
      </c>
      <c r="C56">
        <v>2.50027777777778</v>
      </c>
      <c r="D56">
        <v>2.3669444444444401</v>
      </c>
      <c r="E56">
        <v>1.9669444444444399</v>
      </c>
      <c r="F56">
        <v>1.83361111111111</v>
      </c>
      <c r="G56">
        <v>44.21</v>
      </c>
      <c r="H56">
        <v>28.01</v>
      </c>
      <c r="I56">
        <v>68.13</v>
      </c>
      <c r="J56">
        <v>54.9</v>
      </c>
      <c r="K56">
        <v>40.78</v>
      </c>
      <c r="M56">
        <v>0</v>
      </c>
      <c r="N56">
        <v>29.28</v>
      </c>
      <c r="O56">
        <v>1.46</v>
      </c>
      <c r="P56">
        <v>33.74</v>
      </c>
      <c r="Q56">
        <v>57.76</v>
      </c>
      <c r="R56">
        <v>57.08</v>
      </c>
      <c r="S56">
        <v>39.24</v>
      </c>
    </row>
    <row r="57" spans="2:19" x14ac:dyDescent="0.2">
      <c r="B57">
        <v>1.5669444444444445</v>
      </c>
      <c r="C57">
        <v>2.5336111111111101</v>
      </c>
      <c r="D57">
        <v>2.40027777777778</v>
      </c>
      <c r="E57">
        <v>2.00027777777778</v>
      </c>
      <c r="F57">
        <v>1.8669444444444401</v>
      </c>
      <c r="G57">
        <v>43.58</v>
      </c>
      <c r="H57">
        <v>28.15</v>
      </c>
      <c r="I57">
        <v>67.650000000000006</v>
      </c>
      <c r="J57">
        <v>54.29</v>
      </c>
      <c r="K57">
        <v>40.19</v>
      </c>
      <c r="M57">
        <v>0</v>
      </c>
      <c r="N57">
        <v>28.54</v>
      </c>
      <c r="O57">
        <v>1.59</v>
      </c>
      <c r="P57">
        <v>32.450000000000003</v>
      </c>
      <c r="Q57">
        <v>57.44</v>
      </c>
      <c r="R57">
        <v>57.08</v>
      </c>
      <c r="S57">
        <v>38.04</v>
      </c>
    </row>
    <row r="58" spans="2:19" x14ac:dyDescent="0.2">
      <c r="B58">
        <v>1.6002777777777777</v>
      </c>
      <c r="C58">
        <v>2.5669444444444398</v>
      </c>
      <c r="D58">
        <v>2.4336111111111101</v>
      </c>
      <c r="E58">
        <v>2.0336111111111101</v>
      </c>
      <c r="F58">
        <v>1.90027777777778</v>
      </c>
      <c r="G58">
        <v>42.81</v>
      </c>
      <c r="H58">
        <v>28.15</v>
      </c>
      <c r="I58">
        <v>67.17</v>
      </c>
      <c r="J58">
        <v>53.53</v>
      </c>
      <c r="K58">
        <v>39.31</v>
      </c>
      <c r="M58">
        <v>0</v>
      </c>
      <c r="N58">
        <v>27.51</v>
      </c>
      <c r="O58">
        <v>1.46</v>
      </c>
      <c r="P58">
        <v>31.32</v>
      </c>
      <c r="Q58">
        <v>57.28</v>
      </c>
      <c r="R58">
        <v>57.08</v>
      </c>
      <c r="S58">
        <v>37.29</v>
      </c>
    </row>
    <row r="59" spans="2:19" x14ac:dyDescent="0.2">
      <c r="B59">
        <v>1.6336111111111111</v>
      </c>
      <c r="C59">
        <v>2.6002777777777801</v>
      </c>
      <c r="D59">
        <v>2.4669444444444402</v>
      </c>
      <c r="E59">
        <v>2.0669444444444398</v>
      </c>
      <c r="F59">
        <v>1.9336111111111101</v>
      </c>
      <c r="G59">
        <v>41.88</v>
      </c>
      <c r="H59">
        <v>28.01</v>
      </c>
      <c r="I59">
        <v>66.69</v>
      </c>
      <c r="J59">
        <v>52.77</v>
      </c>
      <c r="K59">
        <v>38.869999999999997</v>
      </c>
      <c r="M59">
        <v>0</v>
      </c>
      <c r="N59">
        <v>26.77</v>
      </c>
      <c r="O59">
        <v>1.59</v>
      </c>
      <c r="P59">
        <v>29.87</v>
      </c>
      <c r="Q59">
        <v>56.65</v>
      </c>
      <c r="R59">
        <v>55.82</v>
      </c>
      <c r="S59">
        <v>36.54</v>
      </c>
    </row>
    <row r="60" spans="2:19" x14ac:dyDescent="0.2">
      <c r="B60">
        <v>1.6669444444444443</v>
      </c>
      <c r="C60">
        <v>2.6336111111111098</v>
      </c>
      <c r="D60">
        <v>2.50027777777778</v>
      </c>
      <c r="E60">
        <v>2.1002777777777801</v>
      </c>
      <c r="F60">
        <v>1.9669444444444399</v>
      </c>
      <c r="G60">
        <v>40.950000000000003</v>
      </c>
      <c r="H60">
        <v>27.73</v>
      </c>
      <c r="I60">
        <v>66.22</v>
      </c>
      <c r="J60">
        <v>52.01</v>
      </c>
      <c r="K60">
        <v>38.58</v>
      </c>
      <c r="M60">
        <v>0</v>
      </c>
      <c r="N60">
        <v>25.75</v>
      </c>
      <c r="O60">
        <v>1.46</v>
      </c>
      <c r="P60">
        <v>27.95</v>
      </c>
      <c r="Q60">
        <v>55.86</v>
      </c>
      <c r="R60">
        <v>54.57</v>
      </c>
      <c r="S60">
        <v>35.950000000000003</v>
      </c>
    </row>
    <row r="61" spans="2:19" x14ac:dyDescent="0.2">
      <c r="B61">
        <v>1.7002777777777778</v>
      </c>
      <c r="C61">
        <v>2.6669444444444399</v>
      </c>
      <c r="D61">
        <v>2.5336111111111101</v>
      </c>
      <c r="E61">
        <v>2.1336111111111098</v>
      </c>
      <c r="F61">
        <v>2.00027777777778</v>
      </c>
      <c r="G61">
        <v>40.49</v>
      </c>
      <c r="H61">
        <v>27.45</v>
      </c>
      <c r="I61">
        <v>65.59</v>
      </c>
      <c r="J61">
        <v>51.4</v>
      </c>
      <c r="K61">
        <v>37.840000000000003</v>
      </c>
      <c r="M61">
        <v>0</v>
      </c>
      <c r="N61">
        <v>25.02</v>
      </c>
      <c r="O61">
        <v>1.46</v>
      </c>
      <c r="P61">
        <v>25.72</v>
      </c>
      <c r="Q61">
        <v>55.23</v>
      </c>
      <c r="R61">
        <v>54.88</v>
      </c>
      <c r="S61">
        <v>35.049999999999997</v>
      </c>
    </row>
    <row r="62" spans="2:19" x14ac:dyDescent="0.2">
      <c r="B62">
        <v>1.733611111111111</v>
      </c>
      <c r="C62">
        <v>2.7002777777777802</v>
      </c>
      <c r="D62">
        <v>2.5669444444444398</v>
      </c>
      <c r="E62">
        <v>2.1669444444444399</v>
      </c>
      <c r="F62">
        <v>2.0336111111111101</v>
      </c>
      <c r="G62">
        <v>39.57</v>
      </c>
      <c r="H62">
        <v>26.88</v>
      </c>
      <c r="I62">
        <v>64.64</v>
      </c>
      <c r="J62">
        <v>50.79</v>
      </c>
      <c r="K62">
        <v>37.549999999999997</v>
      </c>
      <c r="M62">
        <v>0</v>
      </c>
      <c r="N62">
        <v>24.14</v>
      </c>
      <c r="O62">
        <v>1.46</v>
      </c>
      <c r="P62">
        <v>22.87</v>
      </c>
      <c r="Q62">
        <v>53.49</v>
      </c>
      <c r="R62">
        <v>53.17</v>
      </c>
      <c r="S62">
        <v>34.31</v>
      </c>
    </row>
    <row r="63" spans="2:19" x14ac:dyDescent="0.2">
      <c r="B63">
        <v>1.7669444444444444</v>
      </c>
      <c r="C63">
        <v>2.7336111111111099</v>
      </c>
      <c r="D63">
        <v>2.6002777777777801</v>
      </c>
      <c r="E63">
        <v>2.2002777777777802</v>
      </c>
      <c r="F63">
        <v>2.0669444444444398</v>
      </c>
      <c r="G63">
        <v>38.799999999999997</v>
      </c>
      <c r="H63">
        <v>25.9</v>
      </c>
      <c r="I63">
        <v>64.16</v>
      </c>
      <c r="J63">
        <v>50.04</v>
      </c>
      <c r="K63">
        <v>37.26</v>
      </c>
      <c r="M63">
        <v>0</v>
      </c>
      <c r="N63">
        <v>23.71</v>
      </c>
      <c r="O63">
        <v>1.46</v>
      </c>
      <c r="P63">
        <v>20.98</v>
      </c>
      <c r="Q63">
        <v>53.65</v>
      </c>
      <c r="R63">
        <v>53.32</v>
      </c>
      <c r="S63">
        <v>33.42</v>
      </c>
    </row>
    <row r="64" spans="2:19" x14ac:dyDescent="0.2">
      <c r="B64">
        <v>1.8002777777777779</v>
      </c>
      <c r="C64">
        <v>2.76694444444444</v>
      </c>
      <c r="D64">
        <v>2.6336111111111098</v>
      </c>
      <c r="E64">
        <v>2.2336111111111099</v>
      </c>
      <c r="F64">
        <v>2.1002777777777801</v>
      </c>
      <c r="G64">
        <v>38.04</v>
      </c>
      <c r="H64">
        <v>25.34</v>
      </c>
      <c r="I64">
        <v>62.75</v>
      </c>
      <c r="J64">
        <v>49.58</v>
      </c>
      <c r="K64">
        <v>37.549999999999997</v>
      </c>
      <c r="M64">
        <v>0</v>
      </c>
      <c r="N64">
        <v>22.98</v>
      </c>
      <c r="O64">
        <v>1.46</v>
      </c>
      <c r="P64">
        <v>18.95</v>
      </c>
      <c r="Q64">
        <v>54.28</v>
      </c>
      <c r="R64">
        <v>52.85</v>
      </c>
      <c r="S64">
        <v>32.39</v>
      </c>
    </row>
    <row r="65" spans="2:19" x14ac:dyDescent="0.2">
      <c r="B65">
        <v>1.8336111111111111</v>
      </c>
      <c r="C65">
        <v>2.8002777777777799</v>
      </c>
      <c r="D65">
        <v>2.6669444444444399</v>
      </c>
      <c r="E65">
        <v>2.26694444444444</v>
      </c>
      <c r="F65">
        <v>2.1336111111111098</v>
      </c>
      <c r="G65">
        <v>37.119999999999997</v>
      </c>
      <c r="H65">
        <v>24.64</v>
      </c>
      <c r="I65">
        <v>61.96</v>
      </c>
      <c r="J65">
        <v>49.43</v>
      </c>
      <c r="K65">
        <v>37.11</v>
      </c>
      <c r="M65">
        <v>0</v>
      </c>
      <c r="N65">
        <v>22.54</v>
      </c>
      <c r="O65">
        <v>1.46</v>
      </c>
      <c r="P65">
        <v>16.77</v>
      </c>
      <c r="Q65">
        <v>54.44</v>
      </c>
      <c r="R65">
        <v>52.85</v>
      </c>
      <c r="S65">
        <v>31.5</v>
      </c>
    </row>
    <row r="66" spans="2:19" x14ac:dyDescent="0.2">
      <c r="B66">
        <v>1.8669444444444445</v>
      </c>
      <c r="C66">
        <v>2.83361111111111</v>
      </c>
      <c r="D66">
        <v>2.7002777777777802</v>
      </c>
      <c r="E66">
        <v>2.3002777777777799</v>
      </c>
      <c r="F66">
        <v>2.1669444444444399</v>
      </c>
      <c r="G66">
        <v>36.36</v>
      </c>
      <c r="H66">
        <v>23.52</v>
      </c>
      <c r="I66">
        <v>60.87</v>
      </c>
      <c r="J66">
        <v>48.83</v>
      </c>
      <c r="K66">
        <v>36.68</v>
      </c>
      <c r="M66">
        <v>0</v>
      </c>
      <c r="N66">
        <v>21.38</v>
      </c>
      <c r="O66">
        <v>1.59</v>
      </c>
      <c r="P66">
        <v>14.75</v>
      </c>
      <c r="Q66">
        <v>54.44</v>
      </c>
      <c r="R66">
        <v>51.45</v>
      </c>
      <c r="S66">
        <v>30.62</v>
      </c>
    </row>
    <row r="67" spans="2:19" x14ac:dyDescent="0.2">
      <c r="B67">
        <v>1.9002777777777777</v>
      </c>
      <c r="C67">
        <v>2.8669444444444401</v>
      </c>
      <c r="D67">
        <v>2.7336111111111099</v>
      </c>
      <c r="E67">
        <v>2.33361111111111</v>
      </c>
      <c r="F67">
        <v>2.2002777777777802</v>
      </c>
      <c r="G67">
        <v>35.44</v>
      </c>
      <c r="H67">
        <v>22.82</v>
      </c>
      <c r="I67">
        <v>60.08</v>
      </c>
      <c r="J67">
        <v>48.23</v>
      </c>
      <c r="K67">
        <v>36.24</v>
      </c>
      <c r="M67">
        <v>0</v>
      </c>
      <c r="N67">
        <v>20.81</v>
      </c>
      <c r="O67">
        <v>1.46</v>
      </c>
      <c r="P67">
        <v>11.51</v>
      </c>
      <c r="Q67">
        <v>52.87</v>
      </c>
      <c r="R67">
        <v>50.22</v>
      </c>
      <c r="S67">
        <v>29.89</v>
      </c>
    </row>
    <row r="68" spans="2:19" x14ac:dyDescent="0.2">
      <c r="B68">
        <v>1.9336111111111112</v>
      </c>
      <c r="C68">
        <v>2.90027777777778</v>
      </c>
      <c r="D68">
        <v>2.76694444444444</v>
      </c>
      <c r="E68">
        <v>2.3669444444444401</v>
      </c>
      <c r="F68">
        <v>2.2336111111111099</v>
      </c>
      <c r="G68">
        <v>34.840000000000003</v>
      </c>
      <c r="H68">
        <v>21.85</v>
      </c>
      <c r="I68">
        <v>59.46</v>
      </c>
      <c r="J68">
        <v>47.78</v>
      </c>
      <c r="K68">
        <v>36.53</v>
      </c>
      <c r="M68">
        <v>0</v>
      </c>
      <c r="N68">
        <v>19.940000000000001</v>
      </c>
      <c r="O68">
        <v>1.46</v>
      </c>
      <c r="P68">
        <v>7.84</v>
      </c>
      <c r="Q68">
        <v>51.14</v>
      </c>
      <c r="R68">
        <v>50.37</v>
      </c>
      <c r="S68">
        <v>29.15</v>
      </c>
    </row>
    <row r="69" spans="2:19" x14ac:dyDescent="0.2">
      <c r="B69">
        <v>1.9669444444444444</v>
      </c>
      <c r="C69">
        <v>2.9338888888888901</v>
      </c>
      <c r="D69">
        <v>2.8002777777777799</v>
      </c>
      <c r="E69">
        <v>2.40027777777778</v>
      </c>
      <c r="F69">
        <v>2.26694444444444</v>
      </c>
      <c r="G69">
        <v>34.229999999999997</v>
      </c>
      <c r="H69">
        <v>20.6</v>
      </c>
      <c r="I69">
        <v>58.84</v>
      </c>
      <c r="J69">
        <v>47.33</v>
      </c>
      <c r="K69">
        <v>35.51</v>
      </c>
      <c r="M69">
        <v>0</v>
      </c>
      <c r="N69">
        <v>19.36</v>
      </c>
      <c r="O69">
        <v>1.46</v>
      </c>
      <c r="P69">
        <v>4.05</v>
      </c>
      <c r="Q69">
        <v>49.74</v>
      </c>
      <c r="R69">
        <v>49.29</v>
      </c>
      <c r="S69">
        <v>28.57</v>
      </c>
    </row>
    <row r="70" spans="2:19" x14ac:dyDescent="0.2">
      <c r="B70">
        <v>2.0002777777777778</v>
      </c>
      <c r="C70">
        <v>2.9672222222222202</v>
      </c>
      <c r="D70">
        <v>2.83361111111111</v>
      </c>
      <c r="E70">
        <v>2.4336111111111101</v>
      </c>
      <c r="F70">
        <v>2.3002777777777799</v>
      </c>
      <c r="G70">
        <v>33.17</v>
      </c>
      <c r="H70">
        <v>19.36</v>
      </c>
      <c r="I70">
        <v>58.22</v>
      </c>
      <c r="J70">
        <v>46.43</v>
      </c>
      <c r="K70">
        <v>35.659999999999997</v>
      </c>
      <c r="M70">
        <v>0</v>
      </c>
      <c r="N70">
        <v>18.36</v>
      </c>
      <c r="O70">
        <v>1.59</v>
      </c>
      <c r="P70">
        <v>0.45</v>
      </c>
      <c r="Q70">
        <v>48.81</v>
      </c>
      <c r="R70">
        <v>48.36</v>
      </c>
      <c r="S70">
        <v>27.69</v>
      </c>
    </row>
    <row r="71" spans="2:19" x14ac:dyDescent="0.2">
      <c r="B71">
        <v>2.033611111111111</v>
      </c>
      <c r="C71">
        <v>3.0005555555555601</v>
      </c>
      <c r="D71">
        <v>2.8669444444444401</v>
      </c>
      <c r="E71">
        <v>2.4669444444444402</v>
      </c>
      <c r="F71">
        <v>2.33361111111111</v>
      </c>
      <c r="G71">
        <v>32.57</v>
      </c>
      <c r="H71">
        <v>18.260000000000002</v>
      </c>
      <c r="I71">
        <v>57.6</v>
      </c>
      <c r="J71">
        <v>45.68</v>
      </c>
      <c r="K71">
        <v>34.78</v>
      </c>
      <c r="M71">
        <v>0</v>
      </c>
      <c r="N71">
        <v>17.5</v>
      </c>
      <c r="O71">
        <v>1.59</v>
      </c>
      <c r="P71">
        <v>0</v>
      </c>
      <c r="Q71">
        <v>48.34</v>
      </c>
      <c r="R71">
        <v>47.75</v>
      </c>
      <c r="S71">
        <v>26.82</v>
      </c>
    </row>
    <row r="72" spans="2:19" x14ac:dyDescent="0.2">
      <c r="B72">
        <v>2.0669444444444443</v>
      </c>
      <c r="C72">
        <v>3.0338888888888902</v>
      </c>
      <c r="D72">
        <v>2.90027777777778</v>
      </c>
      <c r="E72">
        <v>2.50027777777778</v>
      </c>
      <c r="F72">
        <v>2.3669444444444401</v>
      </c>
      <c r="G72">
        <v>31.96</v>
      </c>
      <c r="H72">
        <v>17.02</v>
      </c>
      <c r="I72">
        <v>57.13</v>
      </c>
      <c r="J72">
        <v>45.38</v>
      </c>
      <c r="K72">
        <v>33.909999999999997</v>
      </c>
      <c r="M72">
        <v>0</v>
      </c>
      <c r="N72">
        <v>16.78</v>
      </c>
      <c r="O72">
        <v>1.33</v>
      </c>
      <c r="P72">
        <v>0</v>
      </c>
      <c r="Q72">
        <v>48.03</v>
      </c>
      <c r="R72">
        <v>47.9</v>
      </c>
      <c r="S72">
        <v>25.95</v>
      </c>
    </row>
    <row r="73" spans="2:19" x14ac:dyDescent="0.2">
      <c r="B73">
        <v>2.1002777777777779</v>
      </c>
      <c r="C73">
        <v>3.0672222222222199</v>
      </c>
      <c r="D73">
        <v>2.9338888888888901</v>
      </c>
      <c r="E73">
        <v>2.5336111111111101</v>
      </c>
      <c r="F73">
        <v>2.40027777777778</v>
      </c>
      <c r="G73">
        <v>30.91</v>
      </c>
      <c r="H73">
        <v>16.2</v>
      </c>
      <c r="I73">
        <v>56.51</v>
      </c>
      <c r="J73">
        <v>45.53</v>
      </c>
      <c r="K73">
        <v>34.06</v>
      </c>
      <c r="M73">
        <v>0</v>
      </c>
      <c r="N73">
        <v>15.78</v>
      </c>
      <c r="O73">
        <v>1.59</v>
      </c>
      <c r="P73">
        <v>0</v>
      </c>
      <c r="Q73">
        <v>47.72</v>
      </c>
      <c r="R73">
        <v>46.83</v>
      </c>
      <c r="S73">
        <v>24.93</v>
      </c>
    </row>
    <row r="74" spans="2:19" x14ac:dyDescent="0.2">
      <c r="B74">
        <v>2.1336111111111111</v>
      </c>
      <c r="C74">
        <v>3.1005555555555602</v>
      </c>
      <c r="D74">
        <v>2.9672222222222202</v>
      </c>
      <c r="E74">
        <v>2.5669444444444398</v>
      </c>
      <c r="F74">
        <v>2.4336111111111101</v>
      </c>
      <c r="G74">
        <v>29.86</v>
      </c>
      <c r="H74">
        <v>15.38</v>
      </c>
      <c r="I74">
        <v>55.74</v>
      </c>
      <c r="J74">
        <v>45.68</v>
      </c>
      <c r="K74">
        <v>34.200000000000003</v>
      </c>
      <c r="M74">
        <v>0</v>
      </c>
      <c r="N74">
        <v>14.93</v>
      </c>
      <c r="O74">
        <v>1.73</v>
      </c>
      <c r="P74">
        <v>0</v>
      </c>
      <c r="Q74">
        <v>47.57</v>
      </c>
      <c r="R74">
        <v>46.22</v>
      </c>
      <c r="S74">
        <v>23.92</v>
      </c>
    </row>
    <row r="75" spans="2:19" x14ac:dyDescent="0.2">
      <c r="B75">
        <v>2.1669444444444448</v>
      </c>
      <c r="C75">
        <v>3.1338888888888898</v>
      </c>
      <c r="D75">
        <v>3.0005555555555601</v>
      </c>
      <c r="E75">
        <v>2.6002777777777801</v>
      </c>
      <c r="F75">
        <v>2.4669444444444402</v>
      </c>
      <c r="G75">
        <v>29.26</v>
      </c>
      <c r="H75">
        <v>14.7</v>
      </c>
      <c r="I75">
        <v>51.6</v>
      </c>
      <c r="J75">
        <v>46.13</v>
      </c>
      <c r="K75">
        <v>33.479999999999997</v>
      </c>
      <c r="M75">
        <v>0</v>
      </c>
      <c r="N75">
        <v>14.08</v>
      </c>
      <c r="O75">
        <v>1.46</v>
      </c>
      <c r="P75">
        <v>0</v>
      </c>
      <c r="Q75">
        <v>47.1</v>
      </c>
      <c r="R75">
        <v>46.67</v>
      </c>
      <c r="S75">
        <v>22.91</v>
      </c>
    </row>
    <row r="76" spans="2:19" x14ac:dyDescent="0.2">
      <c r="B76">
        <v>2.200277777777778</v>
      </c>
      <c r="C76">
        <v>3.1672222222222199</v>
      </c>
      <c r="D76">
        <v>3.0338888888888902</v>
      </c>
      <c r="E76">
        <v>2.6336111111111098</v>
      </c>
      <c r="F76">
        <v>2.50027777777778</v>
      </c>
      <c r="G76">
        <v>28.51</v>
      </c>
      <c r="H76">
        <v>14.15</v>
      </c>
      <c r="I76">
        <v>51.14</v>
      </c>
      <c r="J76">
        <v>44.93</v>
      </c>
      <c r="K76">
        <v>32.76</v>
      </c>
      <c r="M76">
        <v>0</v>
      </c>
      <c r="N76">
        <v>13.23</v>
      </c>
      <c r="O76">
        <v>1.59</v>
      </c>
      <c r="P76">
        <v>0</v>
      </c>
      <c r="Q76">
        <v>46.64</v>
      </c>
      <c r="R76">
        <v>45.45</v>
      </c>
      <c r="S76">
        <v>22.34</v>
      </c>
    </row>
    <row r="77" spans="2:19" x14ac:dyDescent="0.2">
      <c r="B77">
        <v>2.2336111111111112</v>
      </c>
      <c r="C77">
        <v>3.2005555555555598</v>
      </c>
      <c r="D77">
        <v>3.0672222222222199</v>
      </c>
      <c r="E77">
        <v>2.6669444444444399</v>
      </c>
      <c r="F77">
        <v>2.5336111111111101</v>
      </c>
      <c r="G77">
        <v>27.47</v>
      </c>
      <c r="H77">
        <v>13.47</v>
      </c>
      <c r="I77">
        <v>50.53</v>
      </c>
      <c r="J77">
        <v>44.93</v>
      </c>
      <c r="K77">
        <v>31.89</v>
      </c>
      <c r="M77">
        <v>0</v>
      </c>
      <c r="N77">
        <v>12.52</v>
      </c>
      <c r="O77">
        <v>1.59</v>
      </c>
      <c r="P77">
        <v>0</v>
      </c>
      <c r="Q77">
        <v>46.18</v>
      </c>
      <c r="R77">
        <v>44.69</v>
      </c>
      <c r="S77">
        <v>21.33</v>
      </c>
    </row>
    <row r="78" spans="2:19" x14ac:dyDescent="0.2">
      <c r="B78">
        <v>2.2669444444444449</v>
      </c>
      <c r="C78">
        <v>3.2338888888888899</v>
      </c>
      <c r="D78">
        <v>3.1005555555555602</v>
      </c>
      <c r="E78">
        <v>2.7002777777777802</v>
      </c>
      <c r="F78">
        <v>2.5669444444444398</v>
      </c>
      <c r="G78">
        <v>26.73</v>
      </c>
      <c r="H78">
        <v>11.04</v>
      </c>
      <c r="I78">
        <v>48.71</v>
      </c>
      <c r="J78">
        <v>44.79</v>
      </c>
      <c r="K78">
        <v>31.32</v>
      </c>
      <c r="M78">
        <v>0</v>
      </c>
      <c r="N78">
        <v>11.53</v>
      </c>
      <c r="O78">
        <v>1.46</v>
      </c>
      <c r="P78">
        <v>0</v>
      </c>
      <c r="Q78">
        <v>45.71</v>
      </c>
      <c r="R78">
        <v>44.23</v>
      </c>
      <c r="S78">
        <v>20.61</v>
      </c>
    </row>
    <row r="79" spans="2:19" x14ac:dyDescent="0.2">
      <c r="B79">
        <v>2.3002777777777781</v>
      </c>
      <c r="C79">
        <v>3.26722222222222</v>
      </c>
      <c r="D79">
        <v>3.1338888888888898</v>
      </c>
      <c r="E79">
        <v>2.7336111111111099</v>
      </c>
      <c r="F79">
        <v>2.6002777777777801</v>
      </c>
      <c r="G79">
        <v>25.98</v>
      </c>
      <c r="H79">
        <v>8.75</v>
      </c>
      <c r="I79">
        <v>47.65</v>
      </c>
      <c r="J79">
        <v>44.64</v>
      </c>
      <c r="K79">
        <v>30.6</v>
      </c>
      <c r="M79">
        <v>0</v>
      </c>
      <c r="N79">
        <v>10.68</v>
      </c>
      <c r="O79">
        <v>1.59</v>
      </c>
      <c r="P79">
        <v>0</v>
      </c>
      <c r="Q79">
        <v>44.95</v>
      </c>
      <c r="R79">
        <v>43.77</v>
      </c>
      <c r="S79">
        <v>19.899999999999999</v>
      </c>
    </row>
    <row r="80" spans="2:19" x14ac:dyDescent="0.2">
      <c r="B80">
        <v>2.3336111111111113</v>
      </c>
      <c r="C80">
        <v>3.3005555555555599</v>
      </c>
      <c r="D80">
        <v>3.1672222222222199</v>
      </c>
      <c r="E80">
        <v>2.76694444444444</v>
      </c>
      <c r="F80">
        <v>2.6336111111111098</v>
      </c>
      <c r="G80">
        <v>25.24</v>
      </c>
      <c r="H80">
        <v>7.01</v>
      </c>
      <c r="I80">
        <v>47.2</v>
      </c>
      <c r="J80">
        <v>44.79</v>
      </c>
      <c r="K80">
        <v>29.88</v>
      </c>
      <c r="M80">
        <v>0</v>
      </c>
      <c r="N80">
        <v>9.6999999999999993</v>
      </c>
      <c r="O80">
        <v>1.59</v>
      </c>
      <c r="P80">
        <v>0</v>
      </c>
      <c r="Q80">
        <v>44.95</v>
      </c>
      <c r="R80">
        <v>42.26</v>
      </c>
      <c r="S80">
        <v>18.899999999999999</v>
      </c>
    </row>
    <row r="81" spans="2:19" x14ac:dyDescent="0.2">
      <c r="B81">
        <v>2.3669444444444445</v>
      </c>
      <c r="C81">
        <v>3.33388888888889</v>
      </c>
      <c r="D81">
        <v>3.2005555555555598</v>
      </c>
      <c r="E81">
        <v>2.8002777777777799</v>
      </c>
      <c r="F81">
        <v>2.6669444444444399</v>
      </c>
      <c r="G81">
        <v>24.35</v>
      </c>
      <c r="H81">
        <v>5.41</v>
      </c>
      <c r="I81">
        <v>46.89</v>
      </c>
      <c r="J81">
        <v>43.45</v>
      </c>
      <c r="K81">
        <v>29.74</v>
      </c>
      <c r="M81">
        <v>0</v>
      </c>
      <c r="N81">
        <v>8.7200000000000006</v>
      </c>
      <c r="O81">
        <v>1.59</v>
      </c>
      <c r="P81">
        <v>0</v>
      </c>
      <c r="Q81">
        <v>44.79</v>
      </c>
      <c r="R81">
        <v>41.35</v>
      </c>
      <c r="S81">
        <v>17.899999999999999</v>
      </c>
    </row>
    <row r="82" spans="2:19" x14ac:dyDescent="0.2">
      <c r="B82">
        <v>2.4002777777777782</v>
      </c>
      <c r="C82">
        <v>3.3672222222222201</v>
      </c>
      <c r="D82">
        <v>3.2338888888888899</v>
      </c>
      <c r="E82">
        <v>2.83361111111111</v>
      </c>
      <c r="F82">
        <v>2.7002777777777802</v>
      </c>
      <c r="G82">
        <v>23.62</v>
      </c>
      <c r="H82">
        <v>4.08</v>
      </c>
      <c r="I82">
        <v>46.59</v>
      </c>
      <c r="J82">
        <v>42.41</v>
      </c>
      <c r="K82">
        <v>29.45</v>
      </c>
      <c r="M82">
        <v>0</v>
      </c>
      <c r="N82">
        <v>7.88</v>
      </c>
      <c r="O82">
        <v>1.59</v>
      </c>
      <c r="P82">
        <v>0</v>
      </c>
      <c r="Q82">
        <v>44.64</v>
      </c>
      <c r="R82">
        <v>41.65</v>
      </c>
      <c r="S82">
        <v>17.05</v>
      </c>
    </row>
    <row r="83" spans="2:19" x14ac:dyDescent="0.2">
      <c r="B83">
        <v>2.4336111111111114</v>
      </c>
      <c r="C83">
        <v>3.40055555555556</v>
      </c>
      <c r="D83">
        <v>3.26722222222222</v>
      </c>
      <c r="E83">
        <v>2.8669444444444401</v>
      </c>
      <c r="F83">
        <v>2.7336111111111099</v>
      </c>
      <c r="G83">
        <v>22.88</v>
      </c>
      <c r="H83">
        <v>2.89</v>
      </c>
      <c r="I83">
        <v>45.84</v>
      </c>
      <c r="J83">
        <v>41.67</v>
      </c>
      <c r="K83">
        <v>28.45</v>
      </c>
      <c r="M83">
        <v>0</v>
      </c>
      <c r="N83">
        <v>6.77</v>
      </c>
      <c r="O83">
        <v>1.59</v>
      </c>
      <c r="P83">
        <v>0</v>
      </c>
      <c r="Q83">
        <v>44.33</v>
      </c>
      <c r="R83">
        <v>41.2</v>
      </c>
      <c r="S83">
        <v>15.78</v>
      </c>
    </row>
    <row r="84" spans="2:19" x14ac:dyDescent="0.2">
      <c r="B84">
        <v>2.4669444444444446</v>
      </c>
      <c r="C84">
        <v>3.4338888888888901</v>
      </c>
      <c r="D84">
        <v>3.3005555555555599</v>
      </c>
      <c r="E84">
        <v>2.90027777777778</v>
      </c>
      <c r="F84">
        <v>2.76694444444444</v>
      </c>
      <c r="G84">
        <v>22</v>
      </c>
      <c r="H84">
        <v>2.37</v>
      </c>
      <c r="I84">
        <v>44.04</v>
      </c>
      <c r="J84">
        <v>40.78</v>
      </c>
      <c r="K84">
        <v>28.31</v>
      </c>
      <c r="M84">
        <v>0</v>
      </c>
      <c r="N84">
        <v>5.93</v>
      </c>
      <c r="O84">
        <v>1.73</v>
      </c>
      <c r="P84">
        <v>0</v>
      </c>
      <c r="Q84">
        <v>44.18</v>
      </c>
      <c r="R84">
        <v>40.29</v>
      </c>
      <c r="S84">
        <v>14.65</v>
      </c>
    </row>
    <row r="85" spans="2:19" x14ac:dyDescent="0.2">
      <c r="B85">
        <v>2.5002777777777778</v>
      </c>
      <c r="C85">
        <v>3.4672222222222202</v>
      </c>
      <c r="D85">
        <v>3.33388888888889</v>
      </c>
      <c r="E85">
        <v>2.9338888888888901</v>
      </c>
      <c r="F85">
        <v>2.8002777777777799</v>
      </c>
      <c r="G85">
        <v>21.26</v>
      </c>
      <c r="H85">
        <v>1.84</v>
      </c>
      <c r="I85">
        <v>42.25</v>
      </c>
      <c r="J85">
        <v>40.340000000000003</v>
      </c>
      <c r="K85">
        <v>27.45</v>
      </c>
      <c r="M85">
        <v>0</v>
      </c>
      <c r="N85">
        <v>5.0999999999999996</v>
      </c>
      <c r="O85">
        <v>1.59</v>
      </c>
      <c r="P85">
        <v>0</v>
      </c>
      <c r="Q85">
        <v>44.02</v>
      </c>
      <c r="R85">
        <v>40.14</v>
      </c>
      <c r="S85">
        <v>13.66</v>
      </c>
    </row>
    <row r="86" spans="2:19" x14ac:dyDescent="0.2">
      <c r="B86">
        <v>2.5336111111111115</v>
      </c>
      <c r="C86">
        <v>3.5005555555555601</v>
      </c>
      <c r="D86">
        <v>3.3672222222222201</v>
      </c>
      <c r="E86">
        <v>2.9672222222222202</v>
      </c>
      <c r="F86">
        <v>2.83361111111111</v>
      </c>
      <c r="G86">
        <v>20.53</v>
      </c>
      <c r="H86">
        <v>1.31</v>
      </c>
      <c r="I86">
        <v>40.32</v>
      </c>
      <c r="J86">
        <v>39.6</v>
      </c>
      <c r="K86">
        <v>26.74</v>
      </c>
      <c r="M86">
        <v>0</v>
      </c>
      <c r="N86">
        <v>4.13</v>
      </c>
      <c r="O86">
        <v>1.73</v>
      </c>
      <c r="P86">
        <v>0</v>
      </c>
      <c r="Q86">
        <v>43.56</v>
      </c>
      <c r="R86">
        <v>38.49</v>
      </c>
      <c r="S86">
        <v>12.82</v>
      </c>
    </row>
    <row r="87" spans="2:19" x14ac:dyDescent="0.2">
      <c r="B87">
        <v>2.5669444444444447</v>
      </c>
      <c r="C87">
        <v>3.5338888888888902</v>
      </c>
      <c r="D87">
        <v>3.40055555555556</v>
      </c>
      <c r="E87">
        <v>3.0005555555555601</v>
      </c>
      <c r="F87">
        <v>2.8669444444444401</v>
      </c>
      <c r="G87">
        <v>19.8</v>
      </c>
      <c r="H87">
        <v>0.92</v>
      </c>
      <c r="I87">
        <v>38.840000000000003</v>
      </c>
      <c r="J87">
        <v>39.31</v>
      </c>
      <c r="K87">
        <v>26.74</v>
      </c>
      <c r="M87">
        <v>0</v>
      </c>
      <c r="N87">
        <v>3.71</v>
      </c>
      <c r="O87">
        <v>1.99</v>
      </c>
      <c r="P87">
        <v>0</v>
      </c>
      <c r="Q87">
        <v>43.1</v>
      </c>
      <c r="R87">
        <v>38.64</v>
      </c>
      <c r="S87">
        <v>12.54</v>
      </c>
    </row>
    <row r="88" spans="2:19" x14ac:dyDescent="0.2">
      <c r="B88">
        <v>2.6002777777777779</v>
      </c>
      <c r="C88">
        <v>3.5672222222222199</v>
      </c>
      <c r="D88">
        <v>3.4338888888888901</v>
      </c>
      <c r="E88">
        <v>3.0338888888888902</v>
      </c>
      <c r="F88">
        <v>2.90027777777778</v>
      </c>
      <c r="G88">
        <v>19.22</v>
      </c>
      <c r="H88">
        <v>0.52</v>
      </c>
      <c r="I88">
        <v>38.25</v>
      </c>
      <c r="J88">
        <v>38.869999999999997</v>
      </c>
      <c r="K88">
        <v>26.17</v>
      </c>
      <c r="M88">
        <v>0</v>
      </c>
      <c r="N88">
        <v>3.3</v>
      </c>
      <c r="O88">
        <v>1.73</v>
      </c>
      <c r="P88">
        <v>0</v>
      </c>
      <c r="Q88">
        <v>42.34</v>
      </c>
      <c r="R88">
        <v>37.590000000000003</v>
      </c>
      <c r="S88">
        <v>11.42</v>
      </c>
    </row>
    <row r="89" spans="2:19" x14ac:dyDescent="0.2">
      <c r="B89">
        <v>2.6336111111111111</v>
      </c>
      <c r="C89">
        <v>3.6005555555555602</v>
      </c>
      <c r="D89">
        <v>3.4672222222222202</v>
      </c>
      <c r="E89">
        <v>3.0672222222222199</v>
      </c>
      <c r="F89">
        <v>2.9338888888888901</v>
      </c>
      <c r="G89">
        <v>18.34</v>
      </c>
      <c r="H89">
        <v>0.13</v>
      </c>
      <c r="I89">
        <v>37.36</v>
      </c>
      <c r="J89">
        <v>38.28</v>
      </c>
      <c r="K89">
        <v>25.61</v>
      </c>
      <c r="M89">
        <v>0</v>
      </c>
      <c r="N89">
        <v>2.61</v>
      </c>
      <c r="O89">
        <v>1.59</v>
      </c>
      <c r="P89">
        <v>0</v>
      </c>
      <c r="Q89">
        <v>41.58</v>
      </c>
      <c r="R89">
        <v>36.69</v>
      </c>
      <c r="S89">
        <v>9.89</v>
      </c>
    </row>
    <row r="90" spans="2:19" x14ac:dyDescent="0.2">
      <c r="B90">
        <v>2.6669444444444448</v>
      </c>
      <c r="C90">
        <v>3.6338888888888898</v>
      </c>
      <c r="D90">
        <v>3.5005555555555601</v>
      </c>
      <c r="E90">
        <v>3.1005555555555602</v>
      </c>
      <c r="F90">
        <v>2.9672222222222202</v>
      </c>
      <c r="G90">
        <v>17.61</v>
      </c>
      <c r="H90">
        <v>0</v>
      </c>
      <c r="I90">
        <v>36.630000000000003</v>
      </c>
      <c r="J90">
        <v>37.700000000000003</v>
      </c>
      <c r="K90">
        <v>25.18</v>
      </c>
      <c r="M90">
        <v>0</v>
      </c>
      <c r="N90">
        <v>2.61</v>
      </c>
      <c r="O90">
        <v>1.59</v>
      </c>
      <c r="P90">
        <v>0</v>
      </c>
      <c r="Q90">
        <v>40.97</v>
      </c>
      <c r="R90">
        <v>35.65</v>
      </c>
      <c r="S90">
        <v>9.4700000000000006</v>
      </c>
    </row>
    <row r="91" spans="2:19" x14ac:dyDescent="0.2">
      <c r="B91">
        <v>2.700277777777778</v>
      </c>
      <c r="C91">
        <v>3.6672222222222199</v>
      </c>
      <c r="D91">
        <v>3.5338888888888902</v>
      </c>
      <c r="E91">
        <v>3.1338888888888898</v>
      </c>
      <c r="F91">
        <v>3.0005555555555601</v>
      </c>
      <c r="G91">
        <v>17.03</v>
      </c>
      <c r="H91">
        <v>0</v>
      </c>
      <c r="I91">
        <v>35.020000000000003</v>
      </c>
      <c r="J91">
        <v>37.26</v>
      </c>
      <c r="K91">
        <v>24.62</v>
      </c>
      <c r="M91">
        <v>0</v>
      </c>
      <c r="N91">
        <v>2.61</v>
      </c>
      <c r="O91">
        <v>1.73</v>
      </c>
      <c r="P91">
        <v>0</v>
      </c>
      <c r="Q91">
        <v>40.21</v>
      </c>
      <c r="R91">
        <v>34.909999999999997</v>
      </c>
      <c r="S91">
        <v>8.64</v>
      </c>
    </row>
    <row r="92" spans="2:19" x14ac:dyDescent="0.2">
      <c r="B92">
        <v>2.7336111111111112</v>
      </c>
      <c r="C92">
        <v>3.7005555555555598</v>
      </c>
      <c r="D92">
        <v>3.5672222222222199</v>
      </c>
      <c r="E92">
        <v>3.1672222222222199</v>
      </c>
      <c r="F92">
        <v>3.0338888888888902</v>
      </c>
      <c r="G92">
        <v>16.45</v>
      </c>
      <c r="H92">
        <v>0</v>
      </c>
      <c r="I92">
        <v>34.29</v>
      </c>
      <c r="J92">
        <v>36.82</v>
      </c>
      <c r="K92">
        <v>23.49</v>
      </c>
      <c r="M92">
        <v>0</v>
      </c>
      <c r="N92">
        <v>2.33</v>
      </c>
      <c r="O92">
        <v>1.73</v>
      </c>
      <c r="P92">
        <v>0</v>
      </c>
    </row>
    <row r="93" spans="2:19" x14ac:dyDescent="0.2">
      <c r="B93">
        <v>2.7669444444444449</v>
      </c>
      <c r="C93">
        <v>3.7338888888888899</v>
      </c>
      <c r="D93">
        <v>3.6005555555555602</v>
      </c>
      <c r="E93">
        <v>3.2005555555555598</v>
      </c>
      <c r="F93">
        <v>3.0672222222222199</v>
      </c>
      <c r="G93">
        <v>15.73</v>
      </c>
      <c r="H93">
        <v>0</v>
      </c>
      <c r="I93">
        <v>33.119999999999997</v>
      </c>
      <c r="J93">
        <v>36.380000000000003</v>
      </c>
      <c r="K93">
        <v>23.63</v>
      </c>
      <c r="M93">
        <v>0</v>
      </c>
      <c r="N93">
        <v>2.61</v>
      </c>
      <c r="O93">
        <v>1.73</v>
      </c>
      <c r="P93">
        <v>0</v>
      </c>
    </row>
    <row r="94" spans="2:19" x14ac:dyDescent="0.2">
      <c r="B94">
        <v>2.8002777777777781</v>
      </c>
      <c r="C94">
        <v>3.76722222222222</v>
      </c>
      <c r="D94">
        <v>3.6338888888888898</v>
      </c>
      <c r="E94">
        <v>3.2338888888888899</v>
      </c>
      <c r="F94">
        <v>3.1005555555555602</v>
      </c>
      <c r="G94">
        <v>15.01</v>
      </c>
      <c r="H94">
        <v>0</v>
      </c>
      <c r="I94">
        <v>32.25</v>
      </c>
      <c r="J94">
        <v>35.799999999999997</v>
      </c>
      <c r="K94">
        <v>22.64</v>
      </c>
      <c r="M94">
        <v>0</v>
      </c>
      <c r="N94">
        <v>2.33</v>
      </c>
      <c r="O94">
        <v>1.73</v>
      </c>
      <c r="P94">
        <v>0</v>
      </c>
    </row>
    <row r="95" spans="2:19" x14ac:dyDescent="0.2">
      <c r="B95">
        <v>2.8336111111111113</v>
      </c>
      <c r="C95">
        <v>3.8005555555555599</v>
      </c>
      <c r="D95">
        <v>3.6672222222222199</v>
      </c>
      <c r="E95">
        <v>3.26722222222222</v>
      </c>
      <c r="F95">
        <v>3.1338888888888898</v>
      </c>
      <c r="G95">
        <v>14.43</v>
      </c>
      <c r="H95">
        <v>0</v>
      </c>
      <c r="I95">
        <v>31.24</v>
      </c>
      <c r="J95">
        <v>35.799999999999997</v>
      </c>
      <c r="K95">
        <v>22.22</v>
      </c>
      <c r="M95">
        <v>0</v>
      </c>
      <c r="N95">
        <v>2.2000000000000002</v>
      </c>
      <c r="O95">
        <v>1.59</v>
      </c>
      <c r="P95">
        <v>0</v>
      </c>
    </row>
    <row r="96" spans="2:19" x14ac:dyDescent="0.2">
      <c r="B96">
        <v>2.8669444444444445</v>
      </c>
      <c r="C96">
        <v>3.83388888888889</v>
      </c>
      <c r="D96">
        <v>3.7005555555555598</v>
      </c>
      <c r="E96">
        <v>3.3005555555555599</v>
      </c>
      <c r="F96">
        <v>3.1672222222222199</v>
      </c>
      <c r="G96">
        <v>13.71</v>
      </c>
      <c r="H96">
        <v>0</v>
      </c>
      <c r="I96">
        <v>30.08</v>
      </c>
      <c r="J96">
        <v>34.78</v>
      </c>
      <c r="K96">
        <v>21.8</v>
      </c>
      <c r="M96">
        <v>0</v>
      </c>
      <c r="N96">
        <v>1.23</v>
      </c>
      <c r="O96">
        <v>1.59</v>
      </c>
      <c r="P96">
        <v>0</v>
      </c>
    </row>
    <row r="97" spans="2:16" x14ac:dyDescent="0.2">
      <c r="B97">
        <v>2.9002777777777782</v>
      </c>
      <c r="C97">
        <v>3.8672222222222201</v>
      </c>
      <c r="D97">
        <v>3.7338888888888899</v>
      </c>
      <c r="E97">
        <v>3.33388888888889</v>
      </c>
      <c r="F97">
        <v>3.2005555555555598</v>
      </c>
      <c r="G97">
        <v>12.99</v>
      </c>
      <c r="H97">
        <v>0</v>
      </c>
      <c r="I97">
        <v>28.93</v>
      </c>
      <c r="J97">
        <v>34.06</v>
      </c>
      <c r="K97">
        <v>21.1</v>
      </c>
      <c r="M97">
        <v>0</v>
      </c>
      <c r="N97">
        <v>0.82</v>
      </c>
      <c r="O97">
        <v>1.46</v>
      </c>
      <c r="P97">
        <v>0</v>
      </c>
    </row>
    <row r="98" spans="2:16" x14ac:dyDescent="0.2">
      <c r="B98">
        <v>2.9338888888888888</v>
      </c>
      <c r="C98">
        <v>3.90055555555556</v>
      </c>
      <c r="D98">
        <v>3.76722222222222</v>
      </c>
      <c r="E98">
        <v>3.3672222222222201</v>
      </c>
      <c r="F98">
        <v>3.2338888888888899</v>
      </c>
      <c r="G98">
        <v>12.42</v>
      </c>
      <c r="H98">
        <v>0</v>
      </c>
      <c r="I98">
        <v>27.06</v>
      </c>
      <c r="J98">
        <v>33.340000000000003</v>
      </c>
      <c r="K98">
        <v>20.96</v>
      </c>
      <c r="M98">
        <v>0</v>
      </c>
      <c r="N98">
        <v>0.55000000000000004</v>
      </c>
      <c r="O98">
        <v>1.46</v>
      </c>
      <c r="P98">
        <v>0</v>
      </c>
    </row>
    <row r="99" spans="2:16" x14ac:dyDescent="0.2">
      <c r="B99">
        <v>2.967222222222222</v>
      </c>
      <c r="C99">
        <v>3.9338888888888901</v>
      </c>
      <c r="D99">
        <v>3.8005555555555599</v>
      </c>
      <c r="E99">
        <v>3.40055555555556</v>
      </c>
      <c r="F99">
        <v>3.26722222222222</v>
      </c>
      <c r="G99">
        <v>11.56</v>
      </c>
      <c r="H99">
        <v>0</v>
      </c>
      <c r="I99">
        <v>25.21</v>
      </c>
      <c r="J99">
        <v>32.61</v>
      </c>
      <c r="K99">
        <v>20.399999999999999</v>
      </c>
      <c r="M99">
        <v>0</v>
      </c>
      <c r="N99">
        <v>0.41</v>
      </c>
      <c r="O99">
        <v>1.33</v>
      </c>
      <c r="P99">
        <v>0</v>
      </c>
    </row>
    <row r="100" spans="2:16" x14ac:dyDescent="0.2">
      <c r="B100">
        <v>3.0005555555555556</v>
      </c>
      <c r="C100">
        <v>3.9672222222222202</v>
      </c>
      <c r="D100">
        <v>3.83388888888889</v>
      </c>
      <c r="E100">
        <v>3.4338888888888901</v>
      </c>
      <c r="F100">
        <v>3.3005555555555599</v>
      </c>
      <c r="G100">
        <v>11.13</v>
      </c>
      <c r="H100">
        <v>0</v>
      </c>
      <c r="I100">
        <v>24.36</v>
      </c>
      <c r="J100">
        <v>32.18</v>
      </c>
      <c r="K100">
        <v>20.12</v>
      </c>
      <c r="M100">
        <v>0</v>
      </c>
      <c r="N100">
        <v>0.68</v>
      </c>
      <c r="O100">
        <v>1.33</v>
      </c>
      <c r="P100">
        <v>0</v>
      </c>
    </row>
    <row r="101" spans="2:16" x14ac:dyDescent="0.2">
      <c r="B101">
        <v>3.0338888888888889</v>
      </c>
      <c r="C101">
        <v>4.0005555555555601</v>
      </c>
      <c r="D101">
        <v>3.8672222222222201</v>
      </c>
      <c r="E101">
        <v>3.4672222222222202</v>
      </c>
      <c r="F101">
        <v>3.33388888888889</v>
      </c>
      <c r="G101">
        <v>10.42</v>
      </c>
      <c r="H101">
        <v>0</v>
      </c>
      <c r="I101">
        <v>23.36</v>
      </c>
      <c r="J101">
        <v>31.46</v>
      </c>
      <c r="K101">
        <v>19.559999999999999</v>
      </c>
      <c r="M101">
        <v>0</v>
      </c>
      <c r="N101">
        <v>0.68</v>
      </c>
      <c r="O101">
        <v>1.33</v>
      </c>
      <c r="P101">
        <v>0</v>
      </c>
    </row>
    <row r="102" spans="2:16" x14ac:dyDescent="0.2">
      <c r="B102">
        <v>3.0672222222222221</v>
      </c>
      <c r="C102">
        <v>4.0338888888888897</v>
      </c>
      <c r="D102">
        <v>3.90055555555556</v>
      </c>
      <c r="E102">
        <v>3.5005555555555601</v>
      </c>
      <c r="F102">
        <v>3.3672222222222201</v>
      </c>
      <c r="G102">
        <v>9.85</v>
      </c>
      <c r="H102">
        <v>0</v>
      </c>
      <c r="I102">
        <v>22.37</v>
      </c>
      <c r="J102">
        <v>31.17</v>
      </c>
      <c r="K102">
        <v>19.420000000000002</v>
      </c>
      <c r="M102">
        <v>0</v>
      </c>
      <c r="N102">
        <v>0.55000000000000004</v>
      </c>
      <c r="O102">
        <v>1.33</v>
      </c>
      <c r="P102">
        <v>0</v>
      </c>
    </row>
    <row r="103" spans="2:16" x14ac:dyDescent="0.2">
      <c r="B103">
        <v>3.1005555555555557</v>
      </c>
      <c r="C103">
        <v>4.0672222222222203</v>
      </c>
      <c r="D103">
        <v>3.9338888888888901</v>
      </c>
      <c r="E103">
        <v>3.5338888888888902</v>
      </c>
      <c r="F103">
        <v>3.40055555555556</v>
      </c>
      <c r="G103">
        <v>9.1300000000000008</v>
      </c>
      <c r="H103">
        <v>0</v>
      </c>
      <c r="I103">
        <v>21.1</v>
      </c>
      <c r="J103">
        <v>30.89</v>
      </c>
      <c r="K103">
        <v>19.420000000000002</v>
      </c>
      <c r="M103">
        <v>0</v>
      </c>
      <c r="N103">
        <v>0.55000000000000004</v>
      </c>
      <c r="O103">
        <v>1.33</v>
      </c>
      <c r="P103">
        <v>0</v>
      </c>
    </row>
    <row r="104" spans="2:16" x14ac:dyDescent="0.2">
      <c r="B104">
        <v>3.1338888888888889</v>
      </c>
      <c r="C104">
        <v>4.1005555555555597</v>
      </c>
      <c r="D104">
        <v>3.9672222222222202</v>
      </c>
      <c r="E104">
        <v>3.5672222222222199</v>
      </c>
      <c r="F104">
        <v>3.4338888888888901</v>
      </c>
      <c r="G104">
        <v>8.57</v>
      </c>
      <c r="H104">
        <v>0</v>
      </c>
      <c r="I104">
        <v>19.41</v>
      </c>
      <c r="J104">
        <v>30.17</v>
      </c>
      <c r="K104">
        <v>18.87</v>
      </c>
      <c r="M104">
        <v>0</v>
      </c>
      <c r="N104">
        <v>0.41</v>
      </c>
      <c r="O104">
        <v>1.33</v>
      </c>
      <c r="P104">
        <v>0</v>
      </c>
    </row>
    <row r="105" spans="2:16" x14ac:dyDescent="0.2">
      <c r="B105">
        <v>3.1672222222222222</v>
      </c>
      <c r="C105">
        <v>4.1338888888888903</v>
      </c>
      <c r="D105">
        <v>4.0005555555555601</v>
      </c>
      <c r="E105">
        <v>3.6005555555555602</v>
      </c>
      <c r="F105">
        <v>3.4672222222222202</v>
      </c>
      <c r="G105">
        <v>7.86</v>
      </c>
      <c r="H105">
        <v>0</v>
      </c>
      <c r="I105">
        <v>18.43</v>
      </c>
      <c r="J105">
        <v>30.02</v>
      </c>
      <c r="K105">
        <v>19.010000000000002</v>
      </c>
      <c r="M105">
        <v>0</v>
      </c>
      <c r="N105">
        <v>0.41</v>
      </c>
      <c r="O105">
        <v>1.33</v>
      </c>
      <c r="P105">
        <v>0</v>
      </c>
    </row>
    <row r="106" spans="2:16" x14ac:dyDescent="0.2">
      <c r="B106">
        <v>3.2005555555555554</v>
      </c>
      <c r="C106">
        <v>4.1672222222222199</v>
      </c>
      <c r="D106">
        <v>4.0338888888888897</v>
      </c>
      <c r="E106">
        <v>3.6338888888888898</v>
      </c>
      <c r="F106">
        <v>3.5005555555555601</v>
      </c>
      <c r="G106">
        <v>7.43</v>
      </c>
      <c r="H106">
        <v>0</v>
      </c>
      <c r="I106">
        <v>17.45</v>
      </c>
      <c r="J106">
        <v>29.59</v>
      </c>
      <c r="K106">
        <v>18.73</v>
      </c>
      <c r="M106">
        <v>0</v>
      </c>
      <c r="N106">
        <v>0.41</v>
      </c>
      <c r="O106">
        <v>1.2</v>
      </c>
      <c r="P106">
        <v>0</v>
      </c>
    </row>
    <row r="107" spans="2:16" x14ac:dyDescent="0.2">
      <c r="B107">
        <v>3.233888888888889</v>
      </c>
      <c r="C107">
        <v>4.2005555555555603</v>
      </c>
      <c r="D107">
        <v>4.0672222222222203</v>
      </c>
      <c r="E107">
        <v>3.6672222222222199</v>
      </c>
      <c r="F107">
        <v>3.5338888888888902</v>
      </c>
      <c r="G107">
        <v>7.01</v>
      </c>
      <c r="H107">
        <v>0</v>
      </c>
      <c r="I107">
        <v>16.48</v>
      </c>
      <c r="J107">
        <v>29.17</v>
      </c>
      <c r="K107">
        <v>18.309999999999999</v>
      </c>
      <c r="M107">
        <v>0</v>
      </c>
      <c r="N107">
        <v>0.55000000000000004</v>
      </c>
      <c r="O107">
        <v>1.33</v>
      </c>
      <c r="P107">
        <v>0</v>
      </c>
    </row>
    <row r="108" spans="2:16" x14ac:dyDescent="0.2">
      <c r="B108">
        <v>3.2672222222222222</v>
      </c>
      <c r="C108">
        <v>4.2338888888888899</v>
      </c>
      <c r="E108">
        <v>3.7005555555555598</v>
      </c>
      <c r="F108">
        <v>3.5672222222222199</v>
      </c>
      <c r="G108">
        <v>6.44</v>
      </c>
      <c r="H108">
        <v>0</v>
      </c>
      <c r="I108">
        <v>15.78</v>
      </c>
      <c r="J108">
        <v>28.74</v>
      </c>
      <c r="K108">
        <v>17.75</v>
      </c>
      <c r="O108">
        <v>1.33</v>
      </c>
      <c r="P108">
        <v>0</v>
      </c>
    </row>
    <row r="109" spans="2:16" x14ac:dyDescent="0.2">
      <c r="B109">
        <v>3.3005555555555555</v>
      </c>
      <c r="C109">
        <v>4.2672222222222196</v>
      </c>
      <c r="E109">
        <v>3.7338888888888899</v>
      </c>
      <c r="F109">
        <v>3.6005555555555602</v>
      </c>
      <c r="G109">
        <v>5.88</v>
      </c>
      <c r="H109">
        <v>0</v>
      </c>
      <c r="I109">
        <v>12.19</v>
      </c>
      <c r="J109">
        <v>28.02</v>
      </c>
      <c r="K109">
        <v>17.62</v>
      </c>
      <c r="O109">
        <v>1.2</v>
      </c>
      <c r="P109">
        <v>0</v>
      </c>
    </row>
    <row r="110" spans="2:16" x14ac:dyDescent="0.2">
      <c r="B110">
        <v>3.3338888888888887</v>
      </c>
      <c r="C110">
        <v>4.3005555555555599</v>
      </c>
      <c r="E110">
        <v>3.76722222222222</v>
      </c>
      <c r="F110">
        <v>3.6338888888888898</v>
      </c>
      <c r="G110">
        <v>5.31</v>
      </c>
      <c r="H110">
        <v>0</v>
      </c>
      <c r="I110">
        <v>11.78</v>
      </c>
      <c r="J110">
        <v>27.45</v>
      </c>
      <c r="K110">
        <v>17.75</v>
      </c>
      <c r="O110">
        <v>1.2</v>
      </c>
      <c r="P110">
        <v>0</v>
      </c>
    </row>
    <row r="111" spans="2:16" x14ac:dyDescent="0.2">
      <c r="B111">
        <v>3.3672222222222223</v>
      </c>
      <c r="C111">
        <v>4.3338888888888896</v>
      </c>
      <c r="E111">
        <v>3.8005555555555599</v>
      </c>
      <c r="F111">
        <v>3.6672222222222199</v>
      </c>
      <c r="G111">
        <v>4.75</v>
      </c>
      <c r="H111">
        <v>0</v>
      </c>
      <c r="I111">
        <v>11.36</v>
      </c>
      <c r="J111">
        <v>27.03</v>
      </c>
      <c r="K111">
        <v>17.2</v>
      </c>
      <c r="O111">
        <v>1.33</v>
      </c>
      <c r="P111">
        <v>0</v>
      </c>
    </row>
    <row r="112" spans="2:16" x14ac:dyDescent="0.2">
      <c r="B112">
        <v>3.4005555555555556</v>
      </c>
      <c r="C112">
        <v>4.3672222222222201</v>
      </c>
      <c r="E112">
        <v>3.83388888888889</v>
      </c>
      <c r="F112">
        <v>3.7005555555555598</v>
      </c>
      <c r="G112">
        <v>4.1900000000000004</v>
      </c>
      <c r="H112">
        <v>0</v>
      </c>
      <c r="I112">
        <v>10.95</v>
      </c>
      <c r="J112">
        <v>26.17</v>
      </c>
      <c r="K112">
        <v>16.649999999999999</v>
      </c>
      <c r="O112">
        <v>1.06</v>
      </c>
      <c r="P112">
        <v>0</v>
      </c>
    </row>
    <row r="113" spans="2:16" x14ac:dyDescent="0.2">
      <c r="B113">
        <v>3.4338888888888888</v>
      </c>
      <c r="C113">
        <v>4.4005555555555604</v>
      </c>
      <c r="E113">
        <v>3.8672222222222201</v>
      </c>
      <c r="F113">
        <v>3.7338888888888899</v>
      </c>
      <c r="G113">
        <v>3.77</v>
      </c>
      <c r="H113">
        <v>0</v>
      </c>
      <c r="I113">
        <v>10.27</v>
      </c>
      <c r="J113">
        <v>25.32</v>
      </c>
      <c r="K113">
        <v>16.37</v>
      </c>
      <c r="O113">
        <v>1.06</v>
      </c>
      <c r="P113">
        <v>0</v>
      </c>
    </row>
    <row r="114" spans="2:16" x14ac:dyDescent="0.2">
      <c r="B114">
        <v>3.467222222222222</v>
      </c>
      <c r="C114">
        <v>4.4338888888888901</v>
      </c>
      <c r="E114">
        <v>3.90055555555556</v>
      </c>
      <c r="F114">
        <v>3.76722222222222</v>
      </c>
      <c r="G114">
        <v>3.21</v>
      </c>
      <c r="H114">
        <v>0</v>
      </c>
      <c r="I114">
        <v>9.7200000000000006</v>
      </c>
      <c r="J114">
        <v>24.9</v>
      </c>
      <c r="K114">
        <v>16.23</v>
      </c>
      <c r="O114">
        <v>1.2</v>
      </c>
      <c r="P114">
        <v>0</v>
      </c>
    </row>
    <row r="115" spans="2:16" x14ac:dyDescent="0.2">
      <c r="B115">
        <v>3.5005555555555556</v>
      </c>
      <c r="C115">
        <v>4.4672222222222198</v>
      </c>
      <c r="E115">
        <v>3.9338888888888901</v>
      </c>
      <c r="F115">
        <v>3.8005555555555599</v>
      </c>
      <c r="G115">
        <v>2.65</v>
      </c>
      <c r="H115">
        <v>0</v>
      </c>
      <c r="I115">
        <v>9.17</v>
      </c>
      <c r="J115">
        <v>24.76</v>
      </c>
      <c r="K115">
        <v>15.82</v>
      </c>
      <c r="O115">
        <v>1.2</v>
      </c>
      <c r="P115">
        <v>0</v>
      </c>
    </row>
    <row r="116" spans="2:16" x14ac:dyDescent="0.2">
      <c r="B116">
        <v>3.5338888888888889</v>
      </c>
      <c r="C116">
        <v>4.5005555555555601</v>
      </c>
      <c r="E116">
        <v>3.9672222222222202</v>
      </c>
      <c r="F116">
        <v>3.83388888888889</v>
      </c>
      <c r="G116">
        <v>2.09</v>
      </c>
      <c r="H116">
        <v>0</v>
      </c>
      <c r="I116">
        <v>8.49</v>
      </c>
      <c r="J116">
        <v>25.32</v>
      </c>
      <c r="K116">
        <v>15.4</v>
      </c>
      <c r="O116">
        <v>0.93</v>
      </c>
      <c r="P116">
        <v>0</v>
      </c>
    </row>
    <row r="117" spans="2:16" x14ac:dyDescent="0.2">
      <c r="B117">
        <v>3.5672222222222221</v>
      </c>
      <c r="C117">
        <v>4.5338888888888897</v>
      </c>
      <c r="E117">
        <v>4.0005555555555601</v>
      </c>
      <c r="F117">
        <v>3.8672222222222201</v>
      </c>
      <c r="G117">
        <v>1.53</v>
      </c>
      <c r="H117">
        <v>0</v>
      </c>
      <c r="I117">
        <v>7.67</v>
      </c>
      <c r="J117">
        <v>25.61</v>
      </c>
      <c r="K117">
        <v>14.71</v>
      </c>
      <c r="O117">
        <v>1.2</v>
      </c>
      <c r="P117">
        <v>0</v>
      </c>
    </row>
    <row r="118" spans="2:16" x14ac:dyDescent="0.2">
      <c r="B118">
        <v>3.6005555555555557</v>
      </c>
      <c r="C118">
        <v>4.5672222222222203</v>
      </c>
      <c r="E118">
        <v>4.0338888888888897</v>
      </c>
      <c r="F118">
        <v>3.90055555555556</v>
      </c>
      <c r="G118">
        <v>1.1100000000000001</v>
      </c>
      <c r="H118">
        <v>0</v>
      </c>
      <c r="I118">
        <v>6.99</v>
      </c>
      <c r="J118">
        <v>25.46</v>
      </c>
      <c r="K118">
        <v>14.58</v>
      </c>
      <c r="O118">
        <v>1.06</v>
      </c>
      <c r="P118">
        <v>0</v>
      </c>
    </row>
    <row r="119" spans="2:16" x14ac:dyDescent="0.2">
      <c r="B119">
        <v>3.6338888888888889</v>
      </c>
      <c r="C119">
        <v>4.6008333333333304</v>
      </c>
      <c r="E119">
        <v>4.0672222222222203</v>
      </c>
      <c r="F119">
        <v>3.9338888888888901</v>
      </c>
      <c r="G119">
        <v>0.42</v>
      </c>
      <c r="H119">
        <v>0</v>
      </c>
      <c r="I119">
        <v>6.18</v>
      </c>
      <c r="J119">
        <v>24.76</v>
      </c>
      <c r="K119">
        <v>13.89</v>
      </c>
      <c r="O119">
        <v>1.06</v>
      </c>
      <c r="P119">
        <v>0</v>
      </c>
    </row>
    <row r="120" spans="2:16" x14ac:dyDescent="0.2">
      <c r="B120">
        <v>3.6672222222222222</v>
      </c>
      <c r="C120">
        <v>4.6341666666666699</v>
      </c>
      <c r="E120">
        <v>4.1005555555555597</v>
      </c>
      <c r="F120">
        <v>3.9672222222222202</v>
      </c>
      <c r="G120">
        <v>0</v>
      </c>
      <c r="H120">
        <v>0</v>
      </c>
      <c r="I120">
        <v>5.37</v>
      </c>
      <c r="J120">
        <v>23.63</v>
      </c>
      <c r="K120">
        <v>13.2</v>
      </c>
      <c r="O120">
        <v>1.2</v>
      </c>
      <c r="P120">
        <v>0</v>
      </c>
    </row>
    <row r="121" spans="2:16" x14ac:dyDescent="0.2">
      <c r="B121">
        <v>3.7005555555555554</v>
      </c>
      <c r="C121">
        <v>4.6675000000000004</v>
      </c>
      <c r="E121">
        <v>4.1338888888888903</v>
      </c>
      <c r="F121">
        <v>4.0005555555555601</v>
      </c>
      <c r="G121">
        <v>0</v>
      </c>
      <c r="H121">
        <v>0</v>
      </c>
      <c r="I121">
        <v>4.83</v>
      </c>
      <c r="J121">
        <v>23.06</v>
      </c>
      <c r="K121">
        <v>13.07</v>
      </c>
      <c r="O121">
        <v>1.06</v>
      </c>
      <c r="P121">
        <v>0</v>
      </c>
    </row>
    <row r="122" spans="2:16" x14ac:dyDescent="0.2">
      <c r="B122">
        <v>3.733888888888889</v>
      </c>
      <c r="C122">
        <v>4.7008333333333301</v>
      </c>
      <c r="E122">
        <v>4.1672222222222199</v>
      </c>
      <c r="F122">
        <v>4.0338888888888897</v>
      </c>
      <c r="G122">
        <v>0</v>
      </c>
      <c r="H122">
        <v>0</v>
      </c>
      <c r="I122">
        <v>4.1500000000000004</v>
      </c>
      <c r="J122">
        <v>23.06</v>
      </c>
      <c r="K122">
        <v>12.79</v>
      </c>
      <c r="O122">
        <v>0.93</v>
      </c>
      <c r="P122">
        <v>0</v>
      </c>
    </row>
    <row r="123" spans="2:16" x14ac:dyDescent="0.2">
      <c r="B123">
        <v>3.7672222222222222</v>
      </c>
      <c r="C123">
        <v>4.7341666666666704</v>
      </c>
      <c r="E123">
        <v>4.2005555555555603</v>
      </c>
      <c r="F123">
        <v>4.0672222222222203</v>
      </c>
      <c r="G123">
        <v>0</v>
      </c>
      <c r="H123">
        <v>0</v>
      </c>
      <c r="I123">
        <v>3.48</v>
      </c>
      <c r="J123">
        <v>22.64</v>
      </c>
      <c r="K123">
        <v>12.11</v>
      </c>
      <c r="O123">
        <v>1.06</v>
      </c>
      <c r="P123">
        <v>0</v>
      </c>
    </row>
    <row r="124" spans="2:16" x14ac:dyDescent="0.2">
      <c r="B124">
        <v>3.8005555555555555</v>
      </c>
      <c r="C124">
        <v>4.7675000000000001</v>
      </c>
      <c r="E124">
        <v>4.2338888888888899</v>
      </c>
      <c r="F124">
        <v>4.1005555555555597</v>
      </c>
      <c r="G124">
        <v>0</v>
      </c>
      <c r="H124">
        <v>0</v>
      </c>
      <c r="I124">
        <v>3.08</v>
      </c>
      <c r="J124">
        <v>22.08</v>
      </c>
      <c r="K124">
        <v>11.56</v>
      </c>
      <c r="O124">
        <v>1.06</v>
      </c>
      <c r="P124">
        <v>0</v>
      </c>
    </row>
    <row r="125" spans="2:16" x14ac:dyDescent="0.2">
      <c r="B125">
        <v>3.8338888888888887</v>
      </c>
      <c r="C125">
        <v>4.8008333333333297</v>
      </c>
      <c r="E125">
        <v>4.2672222222222196</v>
      </c>
      <c r="F125">
        <v>4.1338888888888903</v>
      </c>
      <c r="G125">
        <v>0</v>
      </c>
      <c r="H125">
        <v>0</v>
      </c>
      <c r="I125">
        <v>2.67</v>
      </c>
      <c r="J125">
        <v>21.24</v>
      </c>
      <c r="K125">
        <v>11.15</v>
      </c>
      <c r="O125">
        <v>0.93</v>
      </c>
      <c r="P125">
        <v>0</v>
      </c>
    </row>
    <row r="126" spans="2:16" x14ac:dyDescent="0.2">
      <c r="B126">
        <v>3.8672222222222223</v>
      </c>
      <c r="C126">
        <v>4.8341666666666701</v>
      </c>
      <c r="E126">
        <v>4.3005555555555599</v>
      </c>
      <c r="F126">
        <v>4.1672222222222199</v>
      </c>
      <c r="G126">
        <v>0</v>
      </c>
      <c r="H126">
        <v>0</v>
      </c>
      <c r="I126">
        <v>2.14</v>
      </c>
      <c r="J126">
        <v>20.82</v>
      </c>
      <c r="K126">
        <v>10.61</v>
      </c>
      <c r="O126">
        <v>0.93</v>
      </c>
      <c r="P126">
        <v>0</v>
      </c>
    </row>
    <row r="127" spans="2:16" x14ac:dyDescent="0.2">
      <c r="B127">
        <v>3.9005555555555556</v>
      </c>
      <c r="C127">
        <v>4.8674999999999997</v>
      </c>
      <c r="E127">
        <v>4.3338888888888896</v>
      </c>
      <c r="F127">
        <v>4.2005555555555603</v>
      </c>
      <c r="G127">
        <v>0</v>
      </c>
      <c r="H127">
        <v>0</v>
      </c>
      <c r="I127">
        <v>1.74</v>
      </c>
      <c r="J127">
        <v>19.98</v>
      </c>
      <c r="K127">
        <v>10.47</v>
      </c>
      <c r="O127">
        <v>0.93</v>
      </c>
      <c r="P127">
        <v>0</v>
      </c>
    </row>
    <row r="128" spans="2:16" x14ac:dyDescent="0.2">
      <c r="B128">
        <v>3.9338888888888888</v>
      </c>
      <c r="C128">
        <v>4.9008333333333303</v>
      </c>
      <c r="E128">
        <v>4.3672222222222201</v>
      </c>
      <c r="F128">
        <v>4.2338888888888899</v>
      </c>
      <c r="G128">
        <v>0</v>
      </c>
      <c r="H128">
        <v>0</v>
      </c>
      <c r="I128">
        <v>1.2</v>
      </c>
      <c r="J128">
        <v>19.559999999999999</v>
      </c>
      <c r="K128">
        <v>9.7899999999999991</v>
      </c>
      <c r="O128">
        <v>0.8</v>
      </c>
      <c r="P128">
        <v>0</v>
      </c>
    </row>
    <row r="129" spans="2:16" x14ac:dyDescent="0.2">
      <c r="B129">
        <v>3.967222222222222</v>
      </c>
      <c r="C129">
        <v>4.9341666666666697</v>
      </c>
      <c r="E129">
        <v>4.4005555555555604</v>
      </c>
      <c r="F129">
        <v>4.2672222222222196</v>
      </c>
      <c r="G129">
        <v>0</v>
      </c>
      <c r="H129">
        <v>0</v>
      </c>
      <c r="I129">
        <v>0.67</v>
      </c>
      <c r="J129">
        <v>19.28</v>
      </c>
      <c r="K129">
        <v>9.11</v>
      </c>
      <c r="O129">
        <v>0.8</v>
      </c>
      <c r="P129">
        <v>0</v>
      </c>
    </row>
    <row r="130" spans="2:16" x14ac:dyDescent="0.2">
      <c r="B130">
        <v>4.0005555555555556</v>
      </c>
      <c r="C130">
        <v>4.9675000000000002</v>
      </c>
      <c r="E130">
        <v>4.4338888888888901</v>
      </c>
      <c r="F130">
        <v>4.3005555555555599</v>
      </c>
      <c r="G130">
        <v>0</v>
      </c>
      <c r="H130">
        <v>0</v>
      </c>
      <c r="I130">
        <v>0.4</v>
      </c>
      <c r="J130">
        <v>18.59</v>
      </c>
      <c r="K130">
        <v>8.98</v>
      </c>
      <c r="O130">
        <v>1.06</v>
      </c>
      <c r="P130">
        <v>0</v>
      </c>
    </row>
    <row r="131" spans="2:16" x14ac:dyDescent="0.2">
      <c r="B131">
        <v>4.0338888888888889</v>
      </c>
      <c r="C131">
        <v>5.0008333333333299</v>
      </c>
      <c r="E131">
        <v>4.4672222222222198</v>
      </c>
      <c r="F131">
        <v>4.3338888888888896</v>
      </c>
      <c r="G131">
        <v>0</v>
      </c>
      <c r="H131">
        <v>0</v>
      </c>
      <c r="I131">
        <v>0</v>
      </c>
      <c r="J131">
        <v>18.03</v>
      </c>
      <c r="K131">
        <v>8.3000000000000007</v>
      </c>
      <c r="O131">
        <v>0.8</v>
      </c>
      <c r="P131">
        <v>0</v>
      </c>
    </row>
    <row r="132" spans="2:16" x14ac:dyDescent="0.2">
      <c r="B132">
        <v>4.0672222222222221</v>
      </c>
      <c r="C132">
        <v>5.0341666666666702</v>
      </c>
      <c r="E132">
        <v>4.5005555555555601</v>
      </c>
      <c r="F132">
        <v>4.3672222222222201</v>
      </c>
      <c r="G132">
        <v>0</v>
      </c>
      <c r="H132">
        <v>0</v>
      </c>
      <c r="I132">
        <v>0</v>
      </c>
      <c r="J132">
        <v>17.34</v>
      </c>
      <c r="K132">
        <v>8.57</v>
      </c>
      <c r="O132">
        <v>0.8</v>
      </c>
      <c r="P132">
        <v>0</v>
      </c>
    </row>
    <row r="133" spans="2:16" x14ac:dyDescent="0.2">
      <c r="B133">
        <v>4.1005555555555553</v>
      </c>
      <c r="C133">
        <v>5.0674999999999999</v>
      </c>
      <c r="E133">
        <v>4.5338888888888897</v>
      </c>
      <c r="F133">
        <v>4.4005555555555604</v>
      </c>
      <c r="G133">
        <v>0</v>
      </c>
      <c r="H133">
        <v>0</v>
      </c>
      <c r="I133">
        <v>0</v>
      </c>
      <c r="J133">
        <v>16.78</v>
      </c>
      <c r="K133">
        <v>7.89</v>
      </c>
      <c r="O133">
        <v>0.53</v>
      </c>
      <c r="P133">
        <v>0</v>
      </c>
    </row>
    <row r="134" spans="2:16" x14ac:dyDescent="0.2">
      <c r="B134">
        <v>4.1338888888888885</v>
      </c>
      <c r="C134">
        <v>5.1008333333333304</v>
      </c>
      <c r="E134">
        <v>4.5672222222222203</v>
      </c>
      <c r="F134">
        <v>4.4338888888888901</v>
      </c>
      <c r="G134">
        <v>0</v>
      </c>
      <c r="H134">
        <v>0</v>
      </c>
      <c r="I134">
        <v>0</v>
      </c>
      <c r="J134">
        <v>16.09</v>
      </c>
      <c r="K134">
        <v>7.62</v>
      </c>
      <c r="O134">
        <v>0.8</v>
      </c>
      <c r="P134">
        <v>0</v>
      </c>
    </row>
    <row r="135" spans="2:16" x14ac:dyDescent="0.2">
      <c r="B135">
        <v>4.1672222222222226</v>
      </c>
      <c r="C135">
        <v>5.1341666666666699</v>
      </c>
      <c r="E135">
        <v>4.6008333333333304</v>
      </c>
      <c r="F135">
        <v>4.4672222222222198</v>
      </c>
      <c r="G135">
        <v>0</v>
      </c>
      <c r="H135">
        <v>0</v>
      </c>
      <c r="I135">
        <v>0</v>
      </c>
      <c r="J135">
        <v>15.27</v>
      </c>
      <c r="K135">
        <v>6.95</v>
      </c>
      <c r="O135">
        <v>0.66</v>
      </c>
      <c r="P135">
        <v>0</v>
      </c>
    </row>
    <row r="136" spans="2:16" x14ac:dyDescent="0.2">
      <c r="B136">
        <v>4.2005555555555558</v>
      </c>
      <c r="C136">
        <v>5.1675000000000004</v>
      </c>
      <c r="E136">
        <v>4.6341666666666699</v>
      </c>
      <c r="F136">
        <v>4.5005555555555601</v>
      </c>
      <c r="G136">
        <v>0</v>
      </c>
      <c r="H136">
        <v>0</v>
      </c>
      <c r="I136">
        <v>0</v>
      </c>
      <c r="J136">
        <v>14.85</v>
      </c>
      <c r="K136">
        <v>6.81</v>
      </c>
      <c r="O136">
        <v>0.66</v>
      </c>
      <c r="P136">
        <v>0</v>
      </c>
    </row>
    <row r="137" spans="2:16" x14ac:dyDescent="0.2">
      <c r="B137">
        <v>4.233888888888889</v>
      </c>
      <c r="C137">
        <v>5.2008333333333301</v>
      </c>
      <c r="E137">
        <v>4.6675000000000004</v>
      </c>
      <c r="F137">
        <v>4.5338888888888897</v>
      </c>
      <c r="G137">
        <v>0</v>
      </c>
      <c r="H137">
        <v>0</v>
      </c>
      <c r="I137">
        <v>0</v>
      </c>
      <c r="J137">
        <v>14.3</v>
      </c>
      <c r="K137">
        <v>6.68</v>
      </c>
      <c r="O137">
        <v>0.53</v>
      </c>
      <c r="P137">
        <v>0</v>
      </c>
    </row>
    <row r="138" spans="2:16" x14ac:dyDescent="0.2">
      <c r="B138">
        <v>4.2672222222222222</v>
      </c>
      <c r="C138">
        <v>5.2341666666666704</v>
      </c>
      <c r="E138">
        <v>4.7008333333333301</v>
      </c>
      <c r="F138">
        <v>4.5672222222222203</v>
      </c>
      <c r="G138">
        <v>0</v>
      </c>
      <c r="H138">
        <v>0</v>
      </c>
      <c r="I138">
        <v>0</v>
      </c>
      <c r="J138">
        <v>13.75</v>
      </c>
      <c r="K138">
        <v>6.81</v>
      </c>
      <c r="P138">
        <v>0</v>
      </c>
    </row>
    <row r="139" spans="2:16" x14ac:dyDescent="0.2">
      <c r="B139">
        <v>4.3005555555555564</v>
      </c>
      <c r="C139">
        <v>5.2675000000000001</v>
      </c>
      <c r="E139">
        <v>4.7341666666666704</v>
      </c>
      <c r="F139">
        <v>4.6008333333333304</v>
      </c>
      <c r="G139">
        <v>0</v>
      </c>
      <c r="H139">
        <v>0</v>
      </c>
      <c r="I139">
        <v>0</v>
      </c>
      <c r="J139">
        <v>13.34</v>
      </c>
      <c r="K139">
        <v>6.54</v>
      </c>
      <c r="P139">
        <v>0</v>
      </c>
    </row>
    <row r="140" spans="2:16" x14ac:dyDescent="0.2">
      <c r="B140">
        <v>4.3338888888888896</v>
      </c>
      <c r="C140">
        <v>5.3008333333333297</v>
      </c>
      <c r="E140">
        <v>4.7675000000000001</v>
      </c>
      <c r="F140">
        <v>4.6341666666666699</v>
      </c>
      <c r="G140">
        <v>0</v>
      </c>
      <c r="H140">
        <v>0</v>
      </c>
      <c r="I140">
        <v>0</v>
      </c>
      <c r="J140">
        <v>12.93</v>
      </c>
      <c r="K140">
        <v>6.81</v>
      </c>
      <c r="P140">
        <v>0</v>
      </c>
    </row>
    <row r="141" spans="2:16" x14ac:dyDescent="0.2">
      <c r="B141">
        <v>4.3672222222222228</v>
      </c>
      <c r="C141">
        <v>5.3341666666666701</v>
      </c>
      <c r="E141">
        <v>4.8008333333333297</v>
      </c>
      <c r="F141">
        <v>4.6675000000000004</v>
      </c>
      <c r="G141">
        <v>0</v>
      </c>
      <c r="H141">
        <v>0</v>
      </c>
      <c r="I141">
        <v>0</v>
      </c>
      <c r="J141">
        <v>12.79</v>
      </c>
      <c r="K141">
        <v>6.95</v>
      </c>
      <c r="P141">
        <v>0</v>
      </c>
    </row>
    <row r="142" spans="2:16" x14ac:dyDescent="0.2">
      <c r="B142">
        <v>4.400555555555556</v>
      </c>
      <c r="C142">
        <v>5.3674999999999997</v>
      </c>
      <c r="E142">
        <v>4.8341666666666701</v>
      </c>
      <c r="F142">
        <v>4.7008333333333301</v>
      </c>
      <c r="G142">
        <v>0</v>
      </c>
      <c r="H142">
        <v>0</v>
      </c>
      <c r="I142">
        <v>0</v>
      </c>
      <c r="J142">
        <v>12.38</v>
      </c>
      <c r="K142">
        <v>6.81</v>
      </c>
      <c r="P142">
        <v>0</v>
      </c>
    </row>
    <row r="143" spans="2:16" x14ac:dyDescent="0.2">
      <c r="B143">
        <v>4.4338888888888892</v>
      </c>
      <c r="C143">
        <v>5.4008333333333303</v>
      </c>
      <c r="E143">
        <v>4.8674999999999997</v>
      </c>
      <c r="F143">
        <v>4.7341666666666704</v>
      </c>
      <c r="G143">
        <v>0</v>
      </c>
      <c r="H143">
        <v>0</v>
      </c>
      <c r="I143">
        <v>0</v>
      </c>
      <c r="J143">
        <v>11.83</v>
      </c>
      <c r="K143">
        <v>6.68</v>
      </c>
      <c r="P143">
        <v>0</v>
      </c>
    </row>
    <row r="144" spans="2:16" x14ac:dyDescent="0.2">
      <c r="B144">
        <v>4.4672222222222224</v>
      </c>
      <c r="C144">
        <v>5.4341666666666697</v>
      </c>
      <c r="E144">
        <v>4.9008333333333303</v>
      </c>
      <c r="F144">
        <v>4.7675000000000001</v>
      </c>
      <c r="G144">
        <v>0</v>
      </c>
      <c r="H144">
        <v>0</v>
      </c>
      <c r="I144">
        <v>0</v>
      </c>
      <c r="J144">
        <v>11.15</v>
      </c>
      <c r="K144">
        <v>6.27</v>
      </c>
      <c r="P144">
        <v>0</v>
      </c>
    </row>
    <row r="145" spans="2:16" x14ac:dyDescent="0.2">
      <c r="B145">
        <v>4.5005555555555556</v>
      </c>
      <c r="C145">
        <v>5.4675000000000002</v>
      </c>
      <c r="E145">
        <v>4.9341666666666697</v>
      </c>
      <c r="F145">
        <v>4.8008333333333297</v>
      </c>
      <c r="G145">
        <v>0</v>
      </c>
      <c r="H145">
        <v>0</v>
      </c>
      <c r="I145">
        <v>0</v>
      </c>
      <c r="J145">
        <v>10.74</v>
      </c>
      <c r="K145">
        <v>6.14</v>
      </c>
      <c r="P145">
        <v>0</v>
      </c>
    </row>
    <row r="146" spans="2:16" x14ac:dyDescent="0.2">
      <c r="B146">
        <v>4.5338888888888897</v>
      </c>
      <c r="C146">
        <v>5.5008333333333299</v>
      </c>
      <c r="E146">
        <v>4.9675000000000002</v>
      </c>
      <c r="F146">
        <v>4.8341666666666701</v>
      </c>
      <c r="G146">
        <v>0</v>
      </c>
      <c r="H146">
        <v>0</v>
      </c>
      <c r="I146">
        <v>0</v>
      </c>
      <c r="J146">
        <v>10.74</v>
      </c>
      <c r="K146">
        <v>6.41</v>
      </c>
      <c r="P146">
        <v>0</v>
      </c>
    </row>
    <row r="147" spans="2:16" x14ac:dyDescent="0.2">
      <c r="B147">
        <v>4.567222222222223</v>
      </c>
      <c r="C147">
        <v>5.5341666666666702</v>
      </c>
      <c r="E147">
        <v>5.0008333333333299</v>
      </c>
      <c r="F147">
        <v>4.8674999999999997</v>
      </c>
      <c r="G147">
        <v>0</v>
      </c>
      <c r="H147">
        <v>0</v>
      </c>
      <c r="I147">
        <v>0</v>
      </c>
      <c r="J147">
        <v>10.199999999999999</v>
      </c>
      <c r="K147">
        <v>6.54</v>
      </c>
    </row>
    <row r="148" spans="2:16" x14ac:dyDescent="0.2">
      <c r="B148">
        <v>4.6008333333333331</v>
      </c>
      <c r="C148">
        <v>5.5674999999999999</v>
      </c>
      <c r="E148">
        <v>5.0341666666666702</v>
      </c>
      <c r="F148">
        <v>4.9008333333333303</v>
      </c>
      <c r="G148">
        <v>0</v>
      </c>
      <c r="H148">
        <v>0</v>
      </c>
      <c r="I148">
        <v>0</v>
      </c>
      <c r="J148">
        <v>9.3800000000000008</v>
      </c>
      <c r="K148">
        <v>6.54</v>
      </c>
    </row>
    <row r="149" spans="2:16" x14ac:dyDescent="0.2">
      <c r="B149">
        <v>4.6341666666666672</v>
      </c>
      <c r="C149">
        <v>5.6008333333333304</v>
      </c>
      <c r="E149">
        <v>5.0674999999999999</v>
      </c>
      <c r="F149">
        <v>4.9341666666666697</v>
      </c>
      <c r="G149">
        <v>0</v>
      </c>
      <c r="H149">
        <v>0</v>
      </c>
      <c r="I149">
        <v>0</v>
      </c>
      <c r="J149">
        <v>8.7100000000000009</v>
      </c>
      <c r="K149">
        <v>6.68</v>
      </c>
    </row>
    <row r="150" spans="2:16" x14ac:dyDescent="0.2">
      <c r="B150">
        <v>4.6675000000000004</v>
      </c>
      <c r="C150">
        <v>5.6341666666666699</v>
      </c>
      <c r="E150">
        <v>5.1008333333333304</v>
      </c>
      <c r="F150">
        <v>4.9675000000000002</v>
      </c>
      <c r="G150">
        <v>0</v>
      </c>
      <c r="H150">
        <v>0</v>
      </c>
      <c r="I150">
        <v>0</v>
      </c>
      <c r="J150">
        <v>8.0299999999999994</v>
      </c>
      <c r="K150">
        <v>6.41</v>
      </c>
    </row>
    <row r="151" spans="2:16" x14ac:dyDescent="0.2">
      <c r="B151">
        <v>4.7008333333333336</v>
      </c>
      <c r="C151">
        <v>5.6675000000000004</v>
      </c>
      <c r="E151">
        <v>5.1341666666666699</v>
      </c>
      <c r="F151">
        <v>5.0008333333333299</v>
      </c>
      <c r="G151">
        <v>0</v>
      </c>
      <c r="H151">
        <v>0</v>
      </c>
      <c r="I151">
        <v>0</v>
      </c>
      <c r="J151">
        <v>7.89</v>
      </c>
      <c r="K151">
        <v>6.54</v>
      </c>
    </row>
    <row r="152" spans="2:16" x14ac:dyDescent="0.2">
      <c r="B152">
        <v>4.7341666666666669</v>
      </c>
      <c r="C152">
        <v>5.7008333333333301</v>
      </c>
      <c r="E152">
        <v>5.1675000000000004</v>
      </c>
      <c r="F152">
        <v>5.0341666666666702</v>
      </c>
      <c r="G152">
        <v>0</v>
      </c>
      <c r="H152">
        <v>0</v>
      </c>
      <c r="I152">
        <v>0</v>
      </c>
      <c r="J152">
        <v>8.57</v>
      </c>
      <c r="K152">
        <v>6.27</v>
      </c>
    </row>
    <row r="153" spans="2:16" x14ac:dyDescent="0.2">
      <c r="B153">
        <v>4.7675000000000001</v>
      </c>
      <c r="C153">
        <v>5.7341666666666704</v>
      </c>
      <c r="E153">
        <v>5.2008333333333301</v>
      </c>
      <c r="F153">
        <v>5.0674999999999999</v>
      </c>
      <c r="G153">
        <v>0</v>
      </c>
      <c r="H153">
        <v>0</v>
      </c>
      <c r="I153">
        <v>0</v>
      </c>
      <c r="J153">
        <v>7.89</v>
      </c>
      <c r="K153">
        <v>6.14</v>
      </c>
    </row>
    <row r="154" spans="2:16" x14ac:dyDescent="0.2">
      <c r="B154">
        <v>4.8008333333333333</v>
      </c>
      <c r="C154">
        <v>5.7675000000000001</v>
      </c>
      <c r="E154">
        <v>5.2341666666666704</v>
      </c>
      <c r="F154">
        <v>5.1008333333333304</v>
      </c>
      <c r="G154">
        <v>0</v>
      </c>
      <c r="H154">
        <v>0</v>
      </c>
      <c r="I154">
        <v>0</v>
      </c>
      <c r="J154">
        <v>7.08</v>
      </c>
      <c r="K154">
        <v>6.01</v>
      </c>
    </row>
    <row r="155" spans="2:16" x14ac:dyDescent="0.2">
      <c r="B155">
        <v>4.8341666666666665</v>
      </c>
      <c r="C155">
        <v>5.8008333333333297</v>
      </c>
      <c r="E155">
        <v>5.2675000000000001</v>
      </c>
      <c r="F155">
        <v>5.1341666666666699</v>
      </c>
      <c r="G155">
        <v>0</v>
      </c>
      <c r="H155">
        <v>0</v>
      </c>
      <c r="I155">
        <v>0</v>
      </c>
      <c r="J155">
        <v>6.81</v>
      </c>
      <c r="K155">
        <v>6.27</v>
      </c>
    </row>
    <row r="156" spans="2:16" x14ac:dyDescent="0.2">
      <c r="B156">
        <v>4.8675000000000006</v>
      </c>
      <c r="C156">
        <v>5.8341666666666701</v>
      </c>
      <c r="E156">
        <v>5.3008333333333297</v>
      </c>
      <c r="F156">
        <v>5.1675000000000004</v>
      </c>
      <c r="G156">
        <v>0</v>
      </c>
      <c r="H156">
        <v>0</v>
      </c>
      <c r="I156">
        <v>0</v>
      </c>
      <c r="J156">
        <v>6.54</v>
      </c>
      <c r="K156">
        <v>6.41</v>
      </c>
    </row>
    <row r="157" spans="2:16" x14ac:dyDescent="0.2">
      <c r="B157">
        <v>4.9008333333333338</v>
      </c>
      <c r="C157">
        <v>5.8674999999999997</v>
      </c>
      <c r="E157">
        <v>5.3341666666666701</v>
      </c>
      <c r="F157">
        <v>5.2008333333333301</v>
      </c>
      <c r="G157">
        <v>0</v>
      </c>
      <c r="H157">
        <v>0</v>
      </c>
      <c r="I157">
        <v>0</v>
      </c>
      <c r="J157">
        <v>6.01</v>
      </c>
      <c r="K157">
        <v>6.14</v>
      </c>
    </row>
    <row r="158" spans="2:16" x14ac:dyDescent="0.2">
      <c r="B158">
        <v>4.934166666666667</v>
      </c>
      <c r="C158">
        <v>5.9008333333333303</v>
      </c>
      <c r="E158">
        <v>5.3674999999999997</v>
      </c>
      <c r="F158">
        <v>5.2341666666666704</v>
      </c>
      <c r="G158">
        <v>0</v>
      </c>
      <c r="H158">
        <v>0</v>
      </c>
      <c r="I158">
        <v>0</v>
      </c>
      <c r="J158">
        <v>5.74</v>
      </c>
      <c r="K158">
        <v>5.74</v>
      </c>
    </row>
    <row r="159" spans="2:16" x14ac:dyDescent="0.2">
      <c r="B159">
        <v>4.9675000000000002</v>
      </c>
      <c r="C159">
        <v>5.9341666666666697</v>
      </c>
      <c r="E159">
        <v>5.4008333333333303</v>
      </c>
      <c r="F159">
        <v>5.2675000000000001</v>
      </c>
      <c r="G159">
        <v>0</v>
      </c>
      <c r="H159">
        <v>0</v>
      </c>
      <c r="I159">
        <v>0</v>
      </c>
      <c r="J159">
        <v>5.6</v>
      </c>
      <c r="K159">
        <v>6.14</v>
      </c>
    </row>
    <row r="160" spans="2:16" x14ac:dyDescent="0.2">
      <c r="B160">
        <v>5.0008333333333335</v>
      </c>
      <c r="C160">
        <v>5.9675000000000002</v>
      </c>
      <c r="E160">
        <v>5.4341666666666697</v>
      </c>
      <c r="F160">
        <v>5.3008333333333297</v>
      </c>
      <c r="G160">
        <v>0</v>
      </c>
      <c r="H160">
        <v>0</v>
      </c>
      <c r="I160">
        <v>0</v>
      </c>
      <c r="J160">
        <v>5.6</v>
      </c>
      <c r="K160">
        <v>5.47</v>
      </c>
    </row>
    <row r="161" spans="2:11" x14ac:dyDescent="0.2">
      <c r="B161">
        <v>5.0341666666666667</v>
      </c>
      <c r="C161">
        <v>6.0008333333333299</v>
      </c>
      <c r="E161">
        <v>5.4675000000000002</v>
      </c>
      <c r="F161">
        <v>5.3341666666666701</v>
      </c>
      <c r="G161">
        <v>0</v>
      </c>
      <c r="H161">
        <v>0</v>
      </c>
      <c r="I161">
        <v>0</v>
      </c>
      <c r="J161">
        <v>5.33</v>
      </c>
      <c r="K161">
        <v>5.6</v>
      </c>
    </row>
    <row r="162" spans="2:11" x14ac:dyDescent="0.2">
      <c r="B162">
        <v>5.0674999999999999</v>
      </c>
      <c r="E162">
        <v>5.5008333333333299</v>
      </c>
      <c r="F162">
        <v>5.3674999999999997</v>
      </c>
      <c r="G162">
        <v>0</v>
      </c>
      <c r="H162">
        <v>0</v>
      </c>
      <c r="I162">
        <v>0</v>
      </c>
      <c r="J162">
        <v>5.6</v>
      </c>
      <c r="K162">
        <v>5.2</v>
      </c>
    </row>
    <row r="163" spans="2:11" x14ac:dyDescent="0.2">
      <c r="B163">
        <v>5.1008333333333331</v>
      </c>
      <c r="E163">
        <v>5.5341666666666702</v>
      </c>
      <c r="F163">
        <v>5.4008333333333303</v>
      </c>
      <c r="G163">
        <v>0</v>
      </c>
      <c r="H163">
        <v>0</v>
      </c>
      <c r="I163">
        <v>0</v>
      </c>
      <c r="J163">
        <v>5.47</v>
      </c>
      <c r="K163">
        <v>5.6</v>
      </c>
    </row>
    <row r="164" spans="2:11" x14ac:dyDescent="0.2">
      <c r="B164">
        <v>5.1341666666666672</v>
      </c>
      <c r="E164">
        <v>5.5674999999999999</v>
      </c>
      <c r="F164">
        <v>5.4341666666666697</v>
      </c>
      <c r="G164">
        <v>0</v>
      </c>
      <c r="H164">
        <v>0</v>
      </c>
      <c r="I164">
        <v>0</v>
      </c>
      <c r="J164">
        <v>5.47</v>
      </c>
      <c r="K164">
        <v>5.6</v>
      </c>
    </row>
    <row r="165" spans="2:11" x14ac:dyDescent="0.2">
      <c r="B165">
        <v>5.1675000000000004</v>
      </c>
      <c r="E165">
        <v>5.6008333333333304</v>
      </c>
      <c r="F165">
        <v>5.4675000000000002</v>
      </c>
      <c r="G165">
        <v>0</v>
      </c>
      <c r="H165">
        <v>0</v>
      </c>
      <c r="I165">
        <v>0</v>
      </c>
      <c r="J165">
        <v>5.47</v>
      </c>
      <c r="K165">
        <v>5.47</v>
      </c>
    </row>
    <row r="166" spans="2:11" x14ac:dyDescent="0.2">
      <c r="B166">
        <v>5.2008333333333336</v>
      </c>
      <c r="E166">
        <v>5.6341666666666699</v>
      </c>
      <c r="F166">
        <v>5.5008333333333299</v>
      </c>
      <c r="G166">
        <v>0</v>
      </c>
      <c r="H166">
        <v>0</v>
      </c>
      <c r="I166">
        <v>0</v>
      </c>
      <c r="J166">
        <v>5.2</v>
      </c>
      <c r="K166">
        <v>5.47</v>
      </c>
    </row>
    <row r="167" spans="2:11" x14ac:dyDescent="0.2">
      <c r="B167">
        <v>5.2341666666666669</v>
      </c>
      <c r="E167">
        <v>5.6675000000000004</v>
      </c>
      <c r="F167">
        <v>5.5341666666666702</v>
      </c>
      <c r="G167">
        <v>0</v>
      </c>
      <c r="H167">
        <v>0</v>
      </c>
      <c r="I167">
        <v>0</v>
      </c>
      <c r="J167">
        <v>5.47</v>
      </c>
      <c r="K167">
        <v>5.47</v>
      </c>
    </row>
    <row r="168" spans="2:11" x14ac:dyDescent="0.2">
      <c r="B168">
        <v>5.2675000000000001</v>
      </c>
      <c r="E168">
        <v>5.7008333333333301</v>
      </c>
      <c r="F168">
        <v>5.5674999999999999</v>
      </c>
      <c r="G168">
        <v>0</v>
      </c>
      <c r="H168">
        <v>0</v>
      </c>
      <c r="I168">
        <v>0</v>
      </c>
      <c r="J168">
        <v>5.47</v>
      </c>
      <c r="K168">
        <v>5.47</v>
      </c>
    </row>
    <row r="169" spans="2:11" x14ac:dyDescent="0.2">
      <c r="B169">
        <v>5.3008333333333333</v>
      </c>
      <c r="E169">
        <v>5.7341666666666704</v>
      </c>
      <c r="F169">
        <v>5.6008333333333304</v>
      </c>
      <c r="G169">
        <v>0</v>
      </c>
      <c r="H169">
        <v>0</v>
      </c>
      <c r="I169">
        <v>0</v>
      </c>
      <c r="J169">
        <v>5.47</v>
      </c>
      <c r="K169">
        <v>5.6</v>
      </c>
    </row>
    <row r="170" spans="2:11" x14ac:dyDescent="0.2">
      <c r="B170">
        <v>5.3341666666666665</v>
      </c>
      <c r="E170">
        <v>5.7675000000000001</v>
      </c>
      <c r="F170">
        <v>5.6341666666666699</v>
      </c>
      <c r="G170">
        <v>0</v>
      </c>
      <c r="H170">
        <v>0</v>
      </c>
      <c r="I170">
        <v>0</v>
      </c>
      <c r="J170">
        <v>5.33</v>
      </c>
      <c r="K170">
        <v>5.47</v>
      </c>
    </row>
    <row r="171" spans="2:11" x14ac:dyDescent="0.2">
      <c r="B171">
        <v>5.3675000000000006</v>
      </c>
      <c r="E171">
        <v>5.8008333333333297</v>
      </c>
      <c r="F171">
        <v>5.6675000000000004</v>
      </c>
      <c r="G171">
        <v>0</v>
      </c>
      <c r="H171">
        <v>0</v>
      </c>
      <c r="I171">
        <v>0</v>
      </c>
      <c r="J171">
        <v>5.47</v>
      </c>
      <c r="K171">
        <v>5.33</v>
      </c>
    </row>
    <row r="172" spans="2:11" x14ac:dyDescent="0.2">
      <c r="B172">
        <v>5.4008333333333338</v>
      </c>
      <c r="E172">
        <v>5.8341666666666701</v>
      </c>
      <c r="F172">
        <v>5.7008333333333301</v>
      </c>
      <c r="G172">
        <v>0</v>
      </c>
      <c r="H172">
        <v>0</v>
      </c>
      <c r="I172">
        <v>0</v>
      </c>
      <c r="J172">
        <v>5.33</v>
      </c>
      <c r="K172">
        <v>5.0599999999999996</v>
      </c>
    </row>
    <row r="173" spans="2:11" x14ac:dyDescent="0.2">
      <c r="B173">
        <v>5.434166666666667</v>
      </c>
      <c r="E173">
        <v>5.8674999999999997</v>
      </c>
      <c r="F173">
        <v>5.7341666666666704</v>
      </c>
      <c r="G173">
        <v>0</v>
      </c>
      <c r="H173">
        <v>0</v>
      </c>
      <c r="I173">
        <v>0</v>
      </c>
      <c r="J173">
        <v>5.33</v>
      </c>
      <c r="K173">
        <v>5.33</v>
      </c>
    </row>
    <row r="174" spans="2:11" x14ac:dyDescent="0.2">
      <c r="B174">
        <v>5.4675000000000002</v>
      </c>
      <c r="E174">
        <v>5.9008333333333303</v>
      </c>
      <c r="F174">
        <v>5.7675000000000001</v>
      </c>
      <c r="G174">
        <v>0</v>
      </c>
      <c r="H174">
        <v>0</v>
      </c>
      <c r="I174">
        <v>0</v>
      </c>
      <c r="J174">
        <v>5.47</v>
      </c>
      <c r="K174">
        <v>5.2</v>
      </c>
    </row>
    <row r="175" spans="2:11" x14ac:dyDescent="0.2">
      <c r="B175">
        <v>5.5008333333333335</v>
      </c>
      <c r="E175">
        <v>5.9341666666666697</v>
      </c>
      <c r="F175">
        <v>5.8008333333333297</v>
      </c>
      <c r="G175">
        <v>0</v>
      </c>
      <c r="H175">
        <v>0</v>
      </c>
      <c r="I175">
        <v>0</v>
      </c>
      <c r="J175">
        <v>5.47</v>
      </c>
      <c r="K175">
        <v>5.2</v>
      </c>
    </row>
    <row r="176" spans="2:11" x14ac:dyDescent="0.2">
      <c r="B176">
        <v>5.5341666666666667</v>
      </c>
      <c r="E176">
        <v>5.9675000000000002</v>
      </c>
      <c r="F176">
        <v>5.8341666666666701</v>
      </c>
      <c r="G176">
        <v>0</v>
      </c>
      <c r="H176">
        <v>0</v>
      </c>
      <c r="I176">
        <v>0</v>
      </c>
      <c r="J176">
        <v>5.33</v>
      </c>
      <c r="K176">
        <v>5.47</v>
      </c>
    </row>
    <row r="177" spans="2:11" x14ac:dyDescent="0.2">
      <c r="B177">
        <v>5.5674999999999999</v>
      </c>
      <c r="E177">
        <v>6.0008333333333299</v>
      </c>
      <c r="F177">
        <v>5.8674999999999997</v>
      </c>
      <c r="G177">
        <v>0</v>
      </c>
      <c r="H177">
        <v>0</v>
      </c>
      <c r="I177">
        <v>0</v>
      </c>
      <c r="J177">
        <v>5.47</v>
      </c>
      <c r="K177">
        <v>5.6</v>
      </c>
    </row>
    <row r="178" spans="2:11" x14ac:dyDescent="0.2">
      <c r="B178">
        <v>5.6008333333333331</v>
      </c>
      <c r="E178">
        <v>6.0341666666666702</v>
      </c>
      <c r="F178">
        <v>5.9008333333333303</v>
      </c>
      <c r="G178">
        <v>0</v>
      </c>
      <c r="H178">
        <v>0</v>
      </c>
      <c r="I178">
        <v>0</v>
      </c>
      <c r="J178">
        <v>5.47</v>
      </c>
      <c r="K178">
        <v>5.6</v>
      </c>
    </row>
    <row r="179" spans="2:11" x14ac:dyDescent="0.2">
      <c r="B179">
        <v>5.6341666666666672</v>
      </c>
      <c r="E179">
        <v>6.0674999999999999</v>
      </c>
      <c r="F179">
        <v>5.9341666666666697</v>
      </c>
      <c r="G179">
        <v>0</v>
      </c>
      <c r="H179">
        <v>0</v>
      </c>
      <c r="I179">
        <v>0</v>
      </c>
      <c r="J179">
        <v>5.47</v>
      </c>
      <c r="K179">
        <v>5.33</v>
      </c>
    </row>
    <row r="180" spans="2:11" x14ac:dyDescent="0.2">
      <c r="B180">
        <v>5.6675000000000004</v>
      </c>
      <c r="E180">
        <v>6.0736111111111102</v>
      </c>
      <c r="F180">
        <v>5.9675000000000002</v>
      </c>
      <c r="G180">
        <v>0</v>
      </c>
      <c r="H180">
        <v>0</v>
      </c>
      <c r="I180">
        <v>0</v>
      </c>
      <c r="J180">
        <v>5.47</v>
      </c>
      <c r="K180">
        <v>5.6</v>
      </c>
    </row>
    <row r="181" spans="2:11" x14ac:dyDescent="0.2">
      <c r="B181">
        <v>5.7008333333333336</v>
      </c>
      <c r="E181">
        <v>6.1008333333333304</v>
      </c>
      <c r="F181">
        <v>6.0008333333333299</v>
      </c>
      <c r="G181">
        <v>0</v>
      </c>
      <c r="H181">
        <v>0</v>
      </c>
      <c r="I181">
        <v>0</v>
      </c>
      <c r="J181">
        <v>5.47</v>
      </c>
      <c r="K181">
        <v>5.74</v>
      </c>
    </row>
    <row r="182" spans="2:11" x14ac:dyDescent="0.2">
      <c r="B182">
        <v>5.7341666666666669</v>
      </c>
      <c r="E182">
        <v>6.1341666666666699</v>
      </c>
      <c r="F182">
        <v>6.0341666666666702</v>
      </c>
      <c r="G182">
        <v>0</v>
      </c>
      <c r="H182">
        <v>0</v>
      </c>
      <c r="I182">
        <v>0</v>
      </c>
      <c r="J182">
        <v>5.6</v>
      </c>
      <c r="K182">
        <v>5.33</v>
      </c>
    </row>
    <row r="183" spans="2:11" x14ac:dyDescent="0.2">
      <c r="B183">
        <v>5.7675000000000001</v>
      </c>
      <c r="E183">
        <v>6.1675000000000004</v>
      </c>
      <c r="F183">
        <v>6.0674999999999999</v>
      </c>
      <c r="G183">
        <v>0</v>
      </c>
      <c r="H183">
        <v>0</v>
      </c>
      <c r="I183">
        <v>0</v>
      </c>
      <c r="J183">
        <v>5.6</v>
      </c>
      <c r="K183">
        <v>5.47</v>
      </c>
    </row>
    <row r="184" spans="2:11" x14ac:dyDescent="0.2">
      <c r="B184">
        <v>5.8008333333333333</v>
      </c>
      <c r="E184">
        <v>6.2008333333333301</v>
      </c>
      <c r="F184">
        <v>6.0736111111111102</v>
      </c>
      <c r="G184">
        <v>0</v>
      </c>
      <c r="H184">
        <v>0</v>
      </c>
      <c r="I184">
        <v>0</v>
      </c>
      <c r="J184">
        <v>5.6</v>
      </c>
      <c r="K184">
        <v>5.47</v>
      </c>
    </row>
    <row r="185" spans="2:11" x14ac:dyDescent="0.2">
      <c r="B185">
        <v>5.8341666666666665</v>
      </c>
      <c r="E185">
        <v>6.2341666666666704</v>
      </c>
      <c r="F185">
        <v>6.1008333333333304</v>
      </c>
      <c r="G185">
        <v>0</v>
      </c>
      <c r="H185">
        <v>0</v>
      </c>
      <c r="I185">
        <v>0</v>
      </c>
      <c r="J185">
        <v>5.6</v>
      </c>
      <c r="K185">
        <v>5.74</v>
      </c>
    </row>
    <row r="186" spans="2:11" x14ac:dyDescent="0.2">
      <c r="B186">
        <v>5.8675000000000006</v>
      </c>
      <c r="E186">
        <v>6.2675000000000001</v>
      </c>
      <c r="F186">
        <v>6.1341666666666699</v>
      </c>
      <c r="G186">
        <v>0</v>
      </c>
      <c r="H186">
        <v>0</v>
      </c>
      <c r="I186">
        <v>0</v>
      </c>
      <c r="J186">
        <v>5.6</v>
      </c>
      <c r="K186">
        <v>5.33</v>
      </c>
    </row>
    <row r="187" spans="2:11" x14ac:dyDescent="0.2">
      <c r="B187">
        <v>5.9008333333333338</v>
      </c>
      <c r="E187">
        <v>6.3008333333333297</v>
      </c>
      <c r="F187">
        <v>6.1675000000000004</v>
      </c>
      <c r="G187">
        <v>0</v>
      </c>
      <c r="H187">
        <v>0</v>
      </c>
      <c r="I187">
        <v>0</v>
      </c>
      <c r="J187">
        <v>5.74</v>
      </c>
      <c r="K187">
        <v>5.47</v>
      </c>
    </row>
    <row r="188" spans="2:11" x14ac:dyDescent="0.2">
      <c r="B188">
        <v>5.934166666666667</v>
      </c>
      <c r="E188">
        <v>6.3341666666666701</v>
      </c>
      <c r="F188">
        <v>6.2008333333333301</v>
      </c>
      <c r="G188">
        <v>0</v>
      </c>
      <c r="H188">
        <v>0</v>
      </c>
      <c r="I188">
        <v>0</v>
      </c>
      <c r="J188">
        <v>5.74</v>
      </c>
      <c r="K188">
        <v>5.47</v>
      </c>
    </row>
    <row r="189" spans="2:11" x14ac:dyDescent="0.2">
      <c r="B189">
        <v>5.9675000000000002</v>
      </c>
      <c r="E189">
        <v>6.3674999999999997</v>
      </c>
      <c r="F189">
        <v>6.2341666666666704</v>
      </c>
      <c r="G189">
        <v>0</v>
      </c>
      <c r="H189">
        <v>0</v>
      </c>
      <c r="I189">
        <v>0</v>
      </c>
      <c r="J189">
        <v>5.6</v>
      </c>
      <c r="K189">
        <v>5.47</v>
      </c>
    </row>
    <row r="190" spans="2:11" x14ac:dyDescent="0.2">
      <c r="B190">
        <v>6.0008333333333335</v>
      </c>
      <c r="E190">
        <v>6.4008333333333303</v>
      </c>
      <c r="F190">
        <v>6.2675000000000001</v>
      </c>
      <c r="G190">
        <v>0</v>
      </c>
      <c r="H190">
        <v>0</v>
      </c>
      <c r="I190">
        <v>0</v>
      </c>
      <c r="J190">
        <v>5.74</v>
      </c>
      <c r="K190">
        <v>5.33</v>
      </c>
    </row>
    <row r="191" spans="2:11" x14ac:dyDescent="0.2">
      <c r="B191">
        <v>6.0341666666666667</v>
      </c>
      <c r="E191">
        <v>6.4344444444444404</v>
      </c>
      <c r="F191">
        <v>6.3008333333333297</v>
      </c>
      <c r="G191">
        <v>0</v>
      </c>
      <c r="H191">
        <v>0</v>
      </c>
      <c r="I191">
        <v>0</v>
      </c>
      <c r="J191">
        <v>5.6</v>
      </c>
      <c r="K191">
        <v>5.47</v>
      </c>
    </row>
    <row r="192" spans="2:11" x14ac:dyDescent="0.2">
      <c r="B192">
        <v>6.0674999999999999</v>
      </c>
      <c r="E192">
        <v>6.4677777777777798</v>
      </c>
      <c r="F192">
        <v>6.3341666666666701</v>
      </c>
      <c r="G192">
        <v>0</v>
      </c>
      <c r="H192">
        <v>0</v>
      </c>
      <c r="I192">
        <v>0</v>
      </c>
      <c r="J192">
        <v>5.6</v>
      </c>
      <c r="K192">
        <v>5.47</v>
      </c>
    </row>
    <row r="193" spans="2:11" x14ac:dyDescent="0.2">
      <c r="B193">
        <v>6.0736111111111111</v>
      </c>
      <c r="E193">
        <v>6.5011111111111104</v>
      </c>
      <c r="F193">
        <v>6.3674999999999997</v>
      </c>
      <c r="G193">
        <v>0</v>
      </c>
      <c r="H193">
        <v>0</v>
      </c>
      <c r="I193">
        <v>0</v>
      </c>
      <c r="J193">
        <v>5.6</v>
      </c>
      <c r="K193">
        <v>5.47</v>
      </c>
    </row>
    <row r="194" spans="2:11" x14ac:dyDescent="0.2">
      <c r="B194">
        <v>6.1008333333333331</v>
      </c>
      <c r="E194">
        <v>6.5344444444444401</v>
      </c>
      <c r="F194">
        <v>6.4008333333333303</v>
      </c>
      <c r="G194">
        <v>0</v>
      </c>
      <c r="H194">
        <v>0</v>
      </c>
      <c r="I194">
        <v>0</v>
      </c>
      <c r="J194">
        <v>5.74</v>
      </c>
      <c r="K194">
        <v>5.74</v>
      </c>
    </row>
    <row r="195" spans="2:11" x14ac:dyDescent="0.2">
      <c r="B195">
        <v>6.1341666666666672</v>
      </c>
      <c r="E195">
        <v>6.5677777777777804</v>
      </c>
      <c r="F195">
        <v>6.4344444444444404</v>
      </c>
      <c r="G195">
        <v>0</v>
      </c>
      <c r="H195">
        <v>0</v>
      </c>
      <c r="I195">
        <v>0</v>
      </c>
      <c r="J195">
        <v>5.74</v>
      </c>
      <c r="K195">
        <v>5.47</v>
      </c>
    </row>
    <row r="196" spans="2:11" x14ac:dyDescent="0.2">
      <c r="B196">
        <v>6.1675000000000004</v>
      </c>
      <c r="E196">
        <v>6.60111111111111</v>
      </c>
      <c r="F196">
        <v>6.4677777777777798</v>
      </c>
      <c r="G196">
        <v>0</v>
      </c>
      <c r="H196">
        <v>0</v>
      </c>
      <c r="I196">
        <v>0</v>
      </c>
      <c r="J196">
        <v>5.87</v>
      </c>
      <c r="K196">
        <v>5.87</v>
      </c>
    </row>
    <row r="197" spans="2:11" x14ac:dyDescent="0.2">
      <c r="B197">
        <v>6.2008333333333336</v>
      </c>
      <c r="E197">
        <v>6.6344444444444397</v>
      </c>
      <c r="F197">
        <v>6.5011111111111104</v>
      </c>
      <c r="G197">
        <v>0</v>
      </c>
      <c r="H197">
        <v>0</v>
      </c>
      <c r="I197">
        <v>0</v>
      </c>
      <c r="J197">
        <v>5.6</v>
      </c>
      <c r="K197">
        <v>5.74</v>
      </c>
    </row>
    <row r="198" spans="2:11" x14ac:dyDescent="0.2">
      <c r="B198">
        <v>6.2341666666666669</v>
      </c>
      <c r="E198">
        <v>6.66777777777778</v>
      </c>
      <c r="F198">
        <v>6.5344444444444401</v>
      </c>
      <c r="G198">
        <v>0</v>
      </c>
      <c r="H198">
        <v>0</v>
      </c>
      <c r="I198">
        <v>0</v>
      </c>
      <c r="J198">
        <v>5.6</v>
      </c>
      <c r="K198">
        <v>5.6</v>
      </c>
    </row>
    <row r="199" spans="2:11" x14ac:dyDescent="0.2">
      <c r="B199">
        <v>6.2675000000000001</v>
      </c>
      <c r="E199">
        <v>6.7011111111111097</v>
      </c>
      <c r="F199">
        <v>6.5677777777777804</v>
      </c>
      <c r="G199">
        <v>0</v>
      </c>
      <c r="H199">
        <v>0</v>
      </c>
      <c r="I199">
        <v>0</v>
      </c>
      <c r="J199">
        <v>5.6</v>
      </c>
      <c r="K199">
        <v>5.87</v>
      </c>
    </row>
    <row r="200" spans="2:11" x14ac:dyDescent="0.2">
      <c r="B200">
        <v>6.3008333333333333</v>
      </c>
      <c r="E200">
        <v>6.7344444444444402</v>
      </c>
      <c r="F200">
        <v>6.60111111111111</v>
      </c>
      <c r="G200">
        <v>0</v>
      </c>
      <c r="H200">
        <v>0</v>
      </c>
      <c r="I200">
        <v>0</v>
      </c>
      <c r="J200">
        <v>5.6</v>
      </c>
      <c r="K200">
        <v>5.74</v>
      </c>
    </row>
    <row r="201" spans="2:11" x14ac:dyDescent="0.2">
      <c r="B201">
        <v>6.3341666666666665</v>
      </c>
      <c r="E201">
        <v>6.7677777777777797</v>
      </c>
      <c r="F201">
        <v>6.6344444444444397</v>
      </c>
      <c r="G201">
        <v>0</v>
      </c>
      <c r="H201">
        <v>0</v>
      </c>
      <c r="I201">
        <v>0</v>
      </c>
      <c r="J201">
        <v>5.6</v>
      </c>
      <c r="K201">
        <v>5.6</v>
      </c>
    </row>
    <row r="202" spans="2:11" x14ac:dyDescent="0.2">
      <c r="B202">
        <v>6.3675000000000006</v>
      </c>
      <c r="E202">
        <v>6.8011111111111102</v>
      </c>
      <c r="F202">
        <v>6.66777777777778</v>
      </c>
      <c r="G202">
        <v>0</v>
      </c>
      <c r="H202">
        <v>0</v>
      </c>
      <c r="I202">
        <v>0</v>
      </c>
      <c r="J202">
        <v>5.33</v>
      </c>
      <c r="K202">
        <v>5.6</v>
      </c>
    </row>
    <row r="203" spans="2:11" x14ac:dyDescent="0.2">
      <c r="B203">
        <v>6.4008333333333338</v>
      </c>
      <c r="E203">
        <v>6.8344444444444399</v>
      </c>
      <c r="F203">
        <v>6.7011111111111097</v>
      </c>
      <c r="G203">
        <v>0</v>
      </c>
      <c r="H203">
        <v>0</v>
      </c>
      <c r="I203">
        <v>0</v>
      </c>
      <c r="J203">
        <v>5.47</v>
      </c>
      <c r="K203">
        <v>5.6</v>
      </c>
    </row>
    <row r="204" spans="2:11" x14ac:dyDescent="0.2">
      <c r="B204">
        <v>6.434444444444444</v>
      </c>
      <c r="E204">
        <v>6.8677777777777802</v>
      </c>
      <c r="F204">
        <v>6.7344444444444402</v>
      </c>
      <c r="G204">
        <v>0</v>
      </c>
      <c r="H204">
        <v>0</v>
      </c>
      <c r="I204">
        <v>0</v>
      </c>
      <c r="J204">
        <v>5.47</v>
      </c>
      <c r="K204">
        <v>5.33</v>
      </c>
    </row>
    <row r="205" spans="2:11" x14ac:dyDescent="0.2">
      <c r="B205">
        <v>6.4677777777777781</v>
      </c>
      <c r="E205">
        <v>6.9011111111111099</v>
      </c>
      <c r="F205">
        <v>6.7677777777777797</v>
      </c>
      <c r="G205">
        <v>0</v>
      </c>
      <c r="H205">
        <v>0</v>
      </c>
      <c r="I205">
        <v>0</v>
      </c>
      <c r="J205">
        <v>5.47</v>
      </c>
      <c r="K205">
        <v>5.47</v>
      </c>
    </row>
    <row r="206" spans="2:11" x14ac:dyDescent="0.2">
      <c r="B206">
        <v>6.5011111111111113</v>
      </c>
      <c r="E206">
        <v>6.9344444444444404</v>
      </c>
      <c r="F206">
        <v>6.8011111111111102</v>
      </c>
      <c r="G206">
        <v>0</v>
      </c>
      <c r="H206">
        <v>0</v>
      </c>
      <c r="I206">
        <v>0</v>
      </c>
      <c r="J206">
        <v>5.6</v>
      </c>
      <c r="K206">
        <v>5.74</v>
      </c>
    </row>
    <row r="207" spans="2:11" x14ac:dyDescent="0.2">
      <c r="B207">
        <v>6.5344444444444445</v>
      </c>
      <c r="E207">
        <v>6.9677777777777798</v>
      </c>
      <c r="F207">
        <v>6.8344444444444399</v>
      </c>
      <c r="G207">
        <v>0</v>
      </c>
      <c r="H207">
        <v>0</v>
      </c>
      <c r="I207">
        <v>0</v>
      </c>
      <c r="J207">
        <v>5.6</v>
      </c>
      <c r="K207">
        <v>5.2</v>
      </c>
    </row>
    <row r="208" spans="2:11" x14ac:dyDescent="0.2">
      <c r="B208">
        <v>6.5677777777777777</v>
      </c>
      <c r="E208">
        <v>7.0011111111111104</v>
      </c>
      <c r="F208">
        <v>6.8677777777777802</v>
      </c>
      <c r="G208">
        <v>0</v>
      </c>
      <c r="H208">
        <v>0</v>
      </c>
      <c r="I208">
        <v>0</v>
      </c>
      <c r="J208">
        <v>5.47</v>
      </c>
      <c r="K208">
        <v>5.6</v>
      </c>
    </row>
    <row r="209" spans="2:11" x14ac:dyDescent="0.2">
      <c r="B209">
        <v>6.6011111111111109</v>
      </c>
      <c r="E209">
        <v>7.0344444444444401</v>
      </c>
      <c r="F209">
        <v>6.9011111111111099</v>
      </c>
      <c r="G209">
        <v>0</v>
      </c>
      <c r="H209">
        <v>0</v>
      </c>
      <c r="I209">
        <v>0</v>
      </c>
      <c r="J209">
        <v>5.47</v>
      </c>
      <c r="K209">
        <v>5.47</v>
      </c>
    </row>
    <row r="210" spans="2:11" x14ac:dyDescent="0.2">
      <c r="B210">
        <v>6.6344444444444441</v>
      </c>
      <c r="E210">
        <v>7.0677777777777804</v>
      </c>
      <c r="F210">
        <v>6.9344444444444404</v>
      </c>
      <c r="G210">
        <v>0</v>
      </c>
      <c r="H210">
        <v>0</v>
      </c>
      <c r="I210">
        <v>0</v>
      </c>
      <c r="J210">
        <v>5.33</v>
      </c>
      <c r="K210">
        <v>5.47</v>
      </c>
    </row>
    <row r="211" spans="2:11" x14ac:dyDescent="0.2">
      <c r="B211">
        <v>6.6677777777777774</v>
      </c>
      <c r="E211">
        <v>7.10111111111111</v>
      </c>
      <c r="F211">
        <v>6.9677777777777798</v>
      </c>
      <c r="G211">
        <v>0</v>
      </c>
      <c r="H211">
        <v>0</v>
      </c>
      <c r="I211">
        <v>0</v>
      </c>
      <c r="J211">
        <v>5.47</v>
      </c>
      <c r="K211">
        <v>5.6</v>
      </c>
    </row>
    <row r="212" spans="2:11" x14ac:dyDescent="0.2">
      <c r="B212">
        <v>6.7011111111111115</v>
      </c>
      <c r="E212">
        <v>7.1344444444444397</v>
      </c>
      <c r="F212">
        <v>7.0011111111111104</v>
      </c>
      <c r="G212">
        <v>0</v>
      </c>
      <c r="H212">
        <v>0</v>
      </c>
      <c r="I212">
        <v>0</v>
      </c>
      <c r="J212">
        <v>5.47</v>
      </c>
      <c r="K212">
        <v>5.6</v>
      </c>
    </row>
    <row r="213" spans="2:11" x14ac:dyDescent="0.2">
      <c r="B213">
        <v>6.7344444444444447</v>
      </c>
      <c r="E213">
        <v>7.16777777777778</v>
      </c>
      <c r="F213">
        <v>7.0344444444444401</v>
      </c>
      <c r="G213">
        <v>0</v>
      </c>
      <c r="H213">
        <v>0</v>
      </c>
      <c r="I213">
        <v>0</v>
      </c>
      <c r="J213">
        <v>5.47</v>
      </c>
      <c r="K213">
        <v>5.47</v>
      </c>
    </row>
    <row r="214" spans="2:11" x14ac:dyDescent="0.2">
      <c r="B214">
        <v>6.7677777777777779</v>
      </c>
      <c r="E214">
        <v>7.2011111111111097</v>
      </c>
      <c r="F214">
        <v>7.0677777777777804</v>
      </c>
      <c r="G214">
        <v>0</v>
      </c>
      <c r="H214">
        <v>0</v>
      </c>
      <c r="I214">
        <v>0</v>
      </c>
      <c r="J214">
        <v>5.47</v>
      </c>
      <c r="K214">
        <v>5.47</v>
      </c>
    </row>
    <row r="215" spans="2:11" x14ac:dyDescent="0.2">
      <c r="B215">
        <v>6.8011111111111111</v>
      </c>
      <c r="E215">
        <v>7.2344444444444402</v>
      </c>
      <c r="F215">
        <v>7.10111111111111</v>
      </c>
      <c r="G215">
        <v>0</v>
      </c>
      <c r="H215">
        <v>0</v>
      </c>
      <c r="I215">
        <v>0</v>
      </c>
      <c r="J215">
        <v>5.6</v>
      </c>
      <c r="K215">
        <v>5.33</v>
      </c>
    </row>
    <row r="216" spans="2:11" x14ac:dyDescent="0.2">
      <c r="B216">
        <v>6.8344444444444443</v>
      </c>
      <c r="E216">
        <v>7.2677777777777797</v>
      </c>
      <c r="F216">
        <v>7.1344444444444397</v>
      </c>
      <c r="G216">
        <v>0</v>
      </c>
      <c r="H216">
        <v>0</v>
      </c>
      <c r="I216">
        <v>0</v>
      </c>
      <c r="J216">
        <v>5.6</v>
      </c>
      <c r="K216">
        <v>5.33</v>
      </c>
    </row>
    <row r="217" spans="2:11" x14ac:dyDescent="0.2">
      <c r="B217">
        <v>6.8677777777777775</v>
      </c>
      <c r="E217">
        <v>7.3011111111111102</v>
      </c>
      <c r="F217">
        <v>7.16777777777778</v>
      </c>
      <c r="G217">
        <v>0</v>
      </c>
      <c r="H217">
        <v>0</v>
      </c>
      <c r="I217">
        <v>0</v>
      </c>
      <c r="J217">
        <v>5.33</v>
      </c>
      <c r="K217">
        <v>5.0599999999999996</v>
      </c>
    </row>
    <row r="218" spans="2:11" x14ac:dyDescent="0.2">
      <c r="B218">
        <v>6.9011111111111108</v>
      </c>
      <c r="E218">
        <v>7.3344444444444399</v>
      </c>
      <c r="F218">
        <v>7.2011111111111097</v>
      </c>
      <c r="G218">
        <v>0</v>
      </c>
      <c r="H218">
        <v>0</v>
      </c>
      <c r="I218">
        <v>0</v>
      </c>
      <c r="J218">
        <v>5.47</v>
      </c>
      <c r="K218">
        <v>5.47</v>
      </c>
    </row>
    <row r="219" spans="2:11" x14ac:dyDescent="0.2">
      <c r="B219">
        <v>6.934444444444444</v>
      </c>
      <c r="E219">
        <v>7.3677777777777802</v>
      </c>
      <c r="F219">
        <v>7.2344444444444402</v>
      </c>
      <c r="G219">
        <v>0</v>
      </c>
      <c r="H219">
        <v>0</v>
      </c>
      <c r="I219">
        <v>0</v>
      </c>
      <c r="J219">
        <v>5.6</v>
      </c>
      <c r="K219">
        <v>5.33</v>
      </c>
    </row>
    <row r="220" spans="2:11" x14ac:dyDescent="0.2">
      <c r="B220">
        <v>6.9677777777777781</v>
      </c>
      <c r="E220">
        <v>7.4011111111111099</v>
      </c>
      <c r="F220">
        <v>7.2677777777777797</v>
      </c>
      <c r="G220">
        <v>0</v>
      </c>
      <c r="H220">
        <v>0</v>
      </c>
      <c r="I220">
        <v>0</v>
      </c>
      <c r="J220">
        <v>5.47</v>
      </c>
      <c r="K220">
        <v>5.74</v>
      </c>
    </row>
    <row r="221" spans="2:11" x14ac:dyDescent="0.2">
      <c r="B221">
        <v>7.0011111111111113</v>
      </c>
      <c r="E221">
        <v>7.4344444444444404</v>
      </c>
      <c r="F221">
        <v>7.3011111111111102</v>
      </c>
      <c r="G221">
        <v>0</v>
      </c>
      <c r="H221">
        <v>0</v>
      </c>
      <c r="I221">
        <v>0</v>
      </c>
      <c r="J221">
        <v>5.6</v>
      </c>
      <c r="K221">
        <v>5.0599999999999996</v>
      </c>
    </row>
    <row r="222" spans="2:11" x14ac:dyDescent="0.2">
      <c r="B222">
        <v>7.0344444444444445</v>
      </c>
      <c r="E222">
        <v>7.4677777777777798</v>
      </c>
      <c r="F222">
        <v>7.3344444444444399</v>
      </c>
      <c r="G222">
        <v>0</v>
      </c>
      <c r="H222">
        <v>0</v>
      </c>
      <c r="I222">
        <v>0</v>
      </c>
      <c r="J222">
        <v>5.6</v>
      </c>
      <c r="K222">
        <v>5.74</v>
      </c>
    </row>
    <row r="223" spans="2:11" x14ac:dyDescent="0.2">
      <c r="B223">
        <v>7.0677777777777777</v>
      </c>
      <c r="E223">
        <v>7.5011111111111104</v>
      </c>
      <c r="F223">
        <v>7.3677777777777802</v>
      </c>
      <c r="G223">
        <v>0</v>
      </c>
      <c r="H223">
        <v>0</v>
      </c>
      <c r="I223">
        <v>0</v>
      </c>
      <c r="J223">
        <v>5.87</v>
      </c>
      <c r="K223">
        <v>5.47</v>
      </c>
    </row>
    <row r="224" spans="2:11" x14ac:dyDescent="0.2">
      <c r="B224">
        <v>7.1011111111111109</v>
      </c>
      <c r="E224">
        <v>7.5344444444444401</v>
      </c>
      <c r="F224">
        <v>7.4011111111111099</v>
      </c>
      <c r="G224">
        <v>0</v>
      </c>
      <c r="H224">
        <v>0</v>
      </c>
      <c r="I224">
        <v>0</v>
      </c>
      <c r="J224">
        <v>5.74</v>
      </c>
      <c r="K224">
        <v>5.87</v>
      </c>
    </row>
    <row r="225" spans="2:11" x14ac:dyDescent="0.2">
      <c r="B225">
        <v>7.1344444444444441</v>
      </c>
      <c r="E225">
        <v>7.5677777777777804</v>
      </c>
      <c r="F225">
        <v>7.4344444444444404</v>
      </c>
      <c r="G225">
        <v>0</v>
      </c>
      <c r="H225">
        <v>0</v>
      </c>
      <c r="I225">
        <v>0</v>
      </c>
      <c r="J225">
        <v>5.6</v>
      </c>
      <c r="K225">
        <v>5.87</v>
      </c>
    </row>
    <row r="226" spans="2:11" x14ac:dyDescent="0.2">
      <c r="B226">
        <v>7.1677777777777774</v>
      </c>
      <c r="E226">
        <v>7.60111111111111</v>
      </c>
      <c r="F226">
        <v>7.4677777777777798</v>
      </c>
      <c r="G226">
        <v>0</v>
      </c>
      <c r="H226">
        <v>0</v>
      </c>
      <c r="I226">
        <v>0</v>
      </c>
      <c r="J226">
        <v>5.74</v>
      </c>
      <c r="K226">
        <v>5.6</v>
      </c>
    </row>
    <row r="227" spans="2:11" x14ac:dyDescent="0.2">
      <c r="B227">
        <v>7.2011111111111115</v>
      </c>
      <c r="E227">
        <v>7.6344444444444397</v>
      </c>
      <c r="F227">
        <v>7.5011111111111104</v>
      </c>
      <c r="G227">
        <v>0</v>
      </c>
      <c r="H227">
        <v>0</v>
      </c>
      <c r="I227">
        <v>0</v>
      </c>
      <c r="J227">
        <v>5.74</v>
      </c>
      <c r="K227">
        <v>5.74</v>
      </c>
    </row>
    <row r="228" spans="2:11" x14ac:dyDescent="0.2">
      <c r="B228">
        <v>7.2344444444444447</v>
      </c>
      <c r="E228">
        <v>7.66777777777778</v>
      </c>
      <c r="F228">
        <v>7.5344444444444401</v>
      </c>
      <c r="G228">
        <v>0</v>
      </c>
      <c r="H228">
        <v>0</v>
      </c>
      <c r="I228">
        <v>0</v>
      </c>
      <c r="J228">
        <v>5.6</v>
      </c>
      <c r="K228">
        <v>5.47</v>
      </c>
    </row>
    <row r="229" spans="2:11" x14ac:dyDescent="0.2">
      <c r="B229">
        <v>7.2677777777777779</v>
      </c>
      <c r="E229">
        <v>7.7011111111111097</v>
      </c>
      <c r="F229">
        <v>7.5677777777777804</v>
      </c>
      <c r="G229">
        <v>0</v>
      </c>
      <c r="H229">
        <v>0</v>
      </c>
      <c r="I229">
        <v>0</v>
      </c>
      <c r="J229">
        <v>5.87</v>
      </c>
      <c r="K229">
        <v>6.01</v>
      </c>
    </row>
    <row r="230" spans="2:11" x14ac:dyDescent="0.2">
      <c r="B230">
        <v>7.3011111111111111</v>
      </c>
      <c r="E230">
        <v>7.7344444444444402</v>
      </c>
      <c r="F230">
        <v>7.60111111111111</v>
      </c>
      <c r="G230">
        <v>0</v>
      </c>
      <c r="H230">
        <v>0</v>
      </c>
      <c r="I230">
        <v>0</v>
      </c>
      <c r="J230">
        <v>5.87</v>
      </c>
      <c r="K230">
        <v>5.87</v>
      </c>
    </row>
    <row r="231" spans="2:11" x14ac:dyDescent="0.2">
      <c r="B231">
        <v>7.3344444444444443</v>
      </c>
      <c r="E231">
        <v>7.7677777777777797</v>
      </c>
      <c r="F231">
        <v>7.6344444444444397</v>
      </c>
      <c r="G231">
        <v>0</v>
      </c>
      <c r="H231">
        <v>0</v>
      </c>
      <c r="I231">
        <v>0</v>
      </c>
      <c r="J231">
        <v>5.74</v>
      </c>
      <c r="K231">
        <v>5.33</v>
      </c>
    </row>
    <row r="232" spans="2:11" x14ac:dyDescent="0.2">
      <c r="B232">
        <v>7.3677777777777775</v>
      </c>
      <c r="E232">
        <v>7.8011111111111102</v>
      </c>
      <c r="F232">
        <v>7.66777777777778</v>
      </c>
      <c r="G232">
        <v>0</v>
      </c>
      <c r="H232">
        <v>0</v>
      </c>
      <c r="I232">
        <v>0</v>
      </c>
      <c r="J232">
        <v>5.74</v>
      </c>
      <c r="K232">
        <v>5.6</v>
      </c>
    </row>
    <row r="233" spans="2:11" x14ac:dyDescent="0.2">
      <c r="B233">
        <v>7.4011111111111108</v>
      </c>
      <c r="E233">
        <v>7.8344444444444399</v>
      </c>
      <c r="F233">
        <v>7.7011111111111097</v>
      </c>
      <c r="G233">
        <v>0</v>
      </c>
      <c r="H233">
        <v>0</v>
      </c>
      <c r="I233">
        <v>0</v>
      </c>
      <c r="J233">
        <v>5.74</v>
      </c>
      <c r="K233">
        <v>5.6</v>
      </c>
    </row>
    <row r="234" spans="2:11" x14ac:dyDescent="0.2">
      <c r="B234">
        <v>7.434444444444444</v>
      </c>
      <c r="E234">
        <v>7.8677777777777802</v>
      </c>
      <c r="F234">
        <v>7.7344444444444402</v>
      </c>
      <c r="G234">
        <v>0</v>
      </c>
      <c r="H234">
        <v>0</v>
      </c>
      <c r="I234">
        <v>0</v>
      </c>
      <c r="J234">
        <v>5.6</v>
      </c>
      <c r="K234">
        <v>6.01</v>
      </c>
    </row>
    <row r="235" spans="2:11" x14ac:dyDescent="0.2">
      <c r="B235">
        <v>7.4677777777777781</v>
      </c>
      <c r="E235">
        <v>7.9011111111111099</v>
      </c>
      <c r="F235">
        <v>7.7677777777777797</v>
      </c>
      <c r="G235">
        <v>0</v>
      </c>
      <c r="H235">
        <v>0</v>
      </c>
      <c r="I235">
        <v>0</v>
      </c>
      <c r="J235">
        <v>5.74</v>
      </c>
      <c r="K235">
        <v>5.87</v>
      </c>
    </row>
    <row r="236" spans="2:11" x14ac:dyDescent="0.2">
      <c r="B236">
        <v>7.5011111111111113</v>
      </c>
      <c r="E236">
        <v>7.9344444444444404</v>
      </c>
      <c r="F236">
        <v>7.8011111111111102</v>
      </c>
      <c r="G236">
        <v>0</v>
      </c>
      <c r="H236">
        <v>0</v>
      </c>
      <c r="I236">
        <v>0</v>
      </c>
      <c r="J236">
        <v>5.87</v>
      </c>
      <c r="K236">
        <v>6.01</v>
      </c>
    </row>
    <row r="237" spans="2:11" x14ac:dyDescent="0.2">
      <c r="B237">
        <v>7.5344444444444445</v>
      </c>
      <c r="E237">
        <v>7.9677777777777798</v>
      </c>
      <c r="F237">
        <v>7.8344444444444399</v>
      </c>
      <c r="G237">
        <v>0</v>
      </c>
      <c r="H237">
        <v>0</v>
      </c>
      <c r="I237">
        <v>0</v>
      </c>
      <c r="J237">
        <v>5.87</v>
      </c>
      <c r="K237">
        <v>6.14</v>
      </c>
    </row>
    <row r="238" spans="2:11" x14ac:dyDescent="0.2">
      <c r="B238">
        <v>7.5677777777777777</v>
      </c>
      <c r="E238">
        <v>8.0011111111111095</v>
      </c>
      <c r="F238">
        <v>7.8677777777777802</v>
      </c>
      <c r="G238">
        <v>0</v>
      </c>
      <c r="H238">
        <v>0</v>
      </c>
      <c r="I238">
        <v>0</v>
      </c>
      <c r="J238">
        <v>5.6</v>
      </c>
      <c r="K238">
        <v>5.6</v>
      </c>
    </row>
    <row r="239" spans="2:11" x14ac:dyDescent="0.2">
      <c r="B239">
        <v>7.6011111111111109</v>
      </c>
      <c r="E239">
        <v>8.0344444444444392</v>
      </c>
      <c r="F239">
        <v>7.9011111111111099</v>
      </c>
      <c r="G239">
        <v>0</v>
      </c>
      <c r="H239">
        <v>0</v>
      </c>
      <c r="I239">
        <v>0</v>
      </c>
      <c r="J239">
        <v>5.74</v>
      </c>
      <c r="K239">
        <v>5.6</v>
      </c>
    </row>
    <row r="240" spans="2:11" x14ac:dyDescent="0.2">
      <c r="B240">
        <v>7.6344444444444441</v>
      </c>
      <c r="E240">
        <v>8.0677777777777795</v>
      </c>
      <c r="F240">
        <v>7.9344444444444404</v>
      </c>
      <c r="G240">
        <v>0</v>
      </c>
      <c r="H240">
        <v>0</v>
      </c>
      <c r="I240">
        <v>0</v>
      </c>
      <c r="J240">
        <v>5.74</v>
      </c>
      <c r="K240">
        <v>5.87</v>
      </c>
    </row>
    <row r="241" spans="2:11" x14ac:dyDescent="0.2">
      <c r="B241">
        <v>7.6677777777777774</v>
      </c>
      <c r="E241">
        <v>8.1011111111111092</v>
      </c>
      <c r="F241">
        <v>7.9677777777777798</v>
      </c>
      <c r="G241">
        <v>0</v>
      </c>
      <c r="H241">
        <v>0</v>
      </c>
      <c r="I241">
        <v>0</v>
      </c>
      <c r="J241">
        <v>5.6</v>
      </c>
      <c r="K241">
        <v>5.74</v>
      </c>
    </row>
    <row r="242" spans="2:11" x14ac:dyDescent="0.2">
      <c r="B242">
        <v>7.7011111111111115</v>
      </c>
      <c r="E242">
        <v>8.1344444444444406</v>
      </c>
      <c r="F242">
        <v>8.0011111111111095</v>
      </c>
      <c r="G242">
        <v>0</v>
      </c>
      <c r="H242">
        <v>0</v>
      </c>
      <c r="I242">
        <v>0</v>
      </c>
      <c r="J242">
        <v>5.74</v>
      </c>
      <c r="K242">
        <v>5.74</v>
      </c>
    </row>
    <row r="243" spans="2:11" x14ac:dyDescent="0.2">
      <c r="B243">
        <v>7.7344444444444447</v>
      </c>
      <c r="E243">
        <v>8.167777777777772</v>
      </c>
      <c r="F243">
        <v>8.0344444444444392</v>
      </c>
      <c r="G243">
        <v>0</v>
      </c>
      <c r="H243">
        <v>0</v>
      </c>
      <c r="I243">
        <v>0</v>
      </c>
      <c r="J243">
        <v>5.47</v>
      </c>
      <c r="K243">
        <v>5.87</v>
      </c>
    </row>
    <row r="244" spans="2:11" x14ac:dyDescent="0.2">
      <c r="B244">
        <v>7.7677777777777779</v>
      </c>
      <c r="E244">
        <v>8.2011111111111035</v>
      </c>
      <c r="F244">
        <v>8.0677777777777795</v>
      </c>
      <c r="G244">
        <v>0</v>
      </c>
      <c r="H244">
        <v>0</v>
      </c>
      <c r="I244">
        <v>0</v>
      </c>
      <c r="J244">
        <v>5.33</v>
      </c>
      <c r="K244">
        <v>5.6</v>
      </c>
    </row>
    <row r="245" spans="2:11" x14ac:dyDescent="0.2">
      <c r="B245">
        <v>7.8011111111111111</v>
      </c>
      <c r="E245">
        <v>8.2344444444444349</v>
      </c>
      <c r="F245">
        <v>8.1011111111111092</v>
      </c>
      <c r="G245">
        <v>0</v>
      </c>
      <c r="H245">
        <v>0</v>
      </c>
      <c r="I245">
        <v>0</v>
      </c>
      <c r="J245">
        <v>5.47</v>
      </c>
      <c r="K245">
        <v>5.87</v>
      </c>
    </row>
    <row r="246" spans="2:11" x14ac:dyDescent="0.2">
      <c r="B246">
        <v>7.8344444444444443</v>
      </c>
      <c r="E246">
        <v>8.2677777777777663</v>
      </c>
      <c r="F246">
        <v>8.1344444444444406</v>
      </c>
      <c r="G246">
        <v>0</v>
      </c>
      <c r="H246">
        <v>0</v>
      </c>
      <c r="I246">
        <v>0</v>
      </c>
      <c r="J246">
        <v>5.47</v>
      </c>
      <c r="K246">
        <v>5.6</v>
      </c>
    </row>
    <row r="247" spans="2:11" x14ac:dyDescent="0.2">
      <c r="B247">
        <v>7.8677777777777775</v>
      </c>
      <c r="E247">
        <v>8.3011111111110978</v>
      </c>
      <c r="F247">
        <v>8.167777777777772</v>
      </c>
      <c r="G247">
        <v>0</v>
      </c>
      <c r="H247">
        <v>0</v>
      </c>
      <c r="I247">
        <v>0</v>
      </c>
      <c r="J247">
        <v>5.6</v>
      </c>
      <c r="K247">
        <v>5.47</v>
      </c>
    </row>
    <row r="248" spans="2:11" x14ac:dyDescent="0.2">
      <c r="B248">
        <v>7.9011111111111108</v>
      </c>
      <c r="E248">
        <v>8.3344444444444292</v>
      </c>
      <c r="F248">
        <v>8.2011111111111035</v>
      </c>
      <c r="G248">
        <v>0</v>
      </c>
      <c r="H248">
        <v>0</v>
      </c>
      <c r="I248">
        <v>0</v>
      </c>
      <c r="J248">
        <v>5.74</v>
      </c>
      <c r="K248">
        <v>5.87</v>
      </c>
    </row>
    <row r="249" spans="2:11" x14ac:dyDescent="0.2">
      <c r="B249">
        <v>7.934444444444444</v>
      </c>
      <c r="E249">
        <v>8.3677777777777607</v>
      </c>
      <c r="F249">
        <v>8.2344444444444349</v>
      </c>
      <c r="G249">
        <v>0</v>
      </c>
      <c r="H249">
        <v>0</v>
      </c>
      <c r="I249">
        <v>0</v>
      </c>
      <c r="J249">
        <v>5.33</v>
      </c>
      <c r="K249">
        <v>5.6</v>
      </c>
    </row>
    <row r="250" spans="2:11" x14ac:dyDescent="0.2">
      <c r="B250">
        <v>7.9677777777777781</v>
      </c>
      <c r="E250">
        <v>8.4011111111110921</v>
      </c>
      <c r="F250">
        <v>8.2677777777777663</v>
      </c>
      <c r="G250">
        <v>0</v>
      </c>
      <c r="H250">
        <v>0</v>
      </c>
      <c r="I250">
        <v>0</v>
      </c>
      <c r="J250">
        <v>5.33</v>
      </c>
      <c r="K250">
        <v>5.6</v>
      </c>
    </row>
    <row r="251" spans="2:11" x14ac:dyDescent="0.2">
      <c r="B251">
        <v>8.0011111111111113</v>
      </c>
      <c r="E251">
        <v>8.4344444444444235</v>
      </c>
      <c r="F251">
        <v>8.3011111111110978</v>
      </c>
      <c r="G251">
        <v>0</v>
      </c>
      <c r="H251">
        <v>0</v>
      </c>
      <c r="I251">
        <v>0</v>
      </c>
      <c r="J251">
        <v>5.47</v>
      </c>
      <c r="K251">
        <v>5.6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254"/>
  <sheetViews>
    <sheetView topLeftCell="B1" workbookViewId="0">
      <selection activeCell="F3" sqref="F3:Q4"/>
    </sheetView>
  </sheetViews>
  <sheetFormatPr baseColWidth="10" defaultRowHeight="16" x14ac:dyDescent="0.2"/>
  <sheetData>
    <row r="3" spans="2:17" x14ac:dyDescent="0.2">
      <c r="F3" s="48" t="s">
        <v>76</v>
      </c>
      <c r="G3" s="49">
        <v>0.76</v>
      </c>
      <c r="H3" s="49">
        <v>0.44700000000000001</v>
      </c>
      <c r="I3" s="49">
        <v>0.34</v>
      </c>
      <c r="J3" s="49">
        <v>0.89200000000000002</v>
      </c>
      <c r="K3" s="49">
        <v>0.71599999999999997</v>
      </c>
      <c r="L3" s="49">
        <v>0.51500000000000001</v>
      </c>
      <c r="M3" s="49">
        <v>0.66800000000000004</v>
      </c>
      <c r="N3" s="49">
        <v>1.569</v>
      </c>
      <c r="O3" s="49">
        <v>0.65800000000000003</v>
      </c>
      <c r="P3" s="49">
        <v>0.61299999999999999</v>
      </c>
      <c r="Q3" s="50">
        <v>0.75</v>
      </c>
    </row>
    <row r="4" spans="2:17" x14ac:dyDescent="0.2">
      <c r="F4" s="51" t="s">
        <v>39</v>
      </c>
      <c r="G4" s="5">
        <v>0.187</v>
      </c>
      <c r="H4" s="5">
        <v>0.10299999999999999</v>
      </c>
      <c r="I4" s="5">
        <v>7.8E-2</v>
      </c>
      <c r="J4" s="5">
        <v>0.159</v>
      </c>
      <c r="K4" s="5">
        <v>0.248</v>
      </c>
      <c r="L4" s="5">
        <v>0.17699999999999999</v>
      </c>
      <c r="M4" s="5">
        <v>0.192</v>
      </c>
      <c r="N4" s="5">
        <v>0.09</v>
      </c>
      <c r="O4" s="5">
        <v>0.23400000000000001</v>
      </c>
      <c r="P4" s="5">
        <v>0.20799999999999999</v>
      </c>
      <c r="Q4" s="61">
        <v>0.222</v>
      </c>
    </row>
    <row r="5" spans="2:17" x14ac:dyDescent="0.2">
      <c r="F5" s="51" t="s">
        <v>44</v>
      </c>
      <c r="G5" s="5">
        <v>2.357894736842105E-2</v>
      </c>
      <c r="H5" s="5">
        <v>2.2583892617449662E-2</v>
      </c>
      <c r="I5" s="5">
        <v>2.1823529411764707E-2</v>
      </c>
      <c r="J5" s="5">
        <v>2.3789237668161434E-2</v>
      </c>
      <c r="K5" s="5">
        <v>2.3491620111731844E-2</v>
      </c>
      <c r="L5" s="5">
        <v>2.2902912621359225E-2</v>
      </c>
      <c r="M5" s="5">
        <v>2.3383233532934131E-2</v>
      </c>
      <c r="N5" s="5">
        <v>2.4311663479923518E-2</v>
      </c>
      <c r="O5" s="5">
        <v>2.3358662613981764E-2</v>
      </c>
      <c r="P5" s="5">
        <v>2.3238172920065255E-2</v>
      </c>
      <c r="Q5" s="61">
        <v>2.3559999999999998E-2</v>
      </c>
    </row>
    <row r="6" spans="2:17" x14ac:dyDescent="0.2">
      <c r="F6" s="51" t="s">
        <v>42</v>
      </c>
      <c r="G6" s="5">
        <f>SLOPE(G40:G70,$C40:$C70)</f>
        <v>-28.629385484668969</v>
      </c>
      <c r="H6" s="5">
        <f>SLOPE(H70:H130,$C70:$C130)</f>
        <v>-16.477592825089978</v>
      </c>
      <c r="I6" s="5">
        <f>SLOPE(I40:I130,$C40:$C130)</f>
        <v>-16.51874803915652</v>
      </c>
      <c r="J6" s="5">
        <f>SLOPE(J40:J70,B40:B70)</f>
        <v>-20.212137096774192</v>
      </c>
      <c r="K6" s="5">
        <f>SLOPE(K10:K49,C10:C49)</f>
        <v>-35.114240150093828</v>
      </c>
      <c r="L6" s="5">
        <v>-15.89</v>
      </c>
      <c r="M6" s="5">
        <f>SLOPE(M10:M75,$E10:$E75)</f>
        <v>-28.878367602546721</v>
      </c>
      <c r="N6" s="5">
        <f>SLOPE(N19:N87,$F19:$F87)</f>
        <v>-16.662583120204616</v>
      </c>
      <c r="O6" s="5">
        <f>SLOPE(O19:O57,$F19:$F57)</f>
        <v>-57.082226720647874</v>
      </c>
      <c r="P6" s="5">
        <f>SLOPE(P55:P70,$F55:$F70)</f>
        <v>-78.784852941176567</v>
      </c>
      <c r="Q6" s="61">
        <f>SLOPE(Q46:Q61,$F46:$F61)</f>
        <v>-92.045735294117733</v>
      </c>
    </row>
    <row r="7" spans="2:17" x14ac:dyDescent="0.2">
      <c r="F7" s="88" t="s">
        <v>46</v>
      </c>
      <c r="G7" s="64">
        <f>(-1*G5*(G6-(-1.296))*5.31)/100</f>
        <v>3.4222549506194369E-2</v>
      </c>
      <c r="H7" s="64">
        <f>(-1*H5*(H6-(-1.709))*5.31)/100</f>
        <v>1.7710565898498756E-2</v>
      </c>
      <c r="I7" s="64">
        <f t="shared" ref="I7" si="0">(-1*I5*(I6-(-1.709))*5.31)/100</f>
        <v>1.7161971608599256E-2</v>
      </c>
      <c r="J7" s="64">
        <f>(-1*J5*(J6-(-1.39))*5.31)/100</f>
        <v>2.3776283948629389E-2</v>
      </c>
      <c r="K7" s="64">
        <f>(-1*K5*(K6-(-3.3))*5.31)/100</f>
        <v>3.9685243123093718E-2</v>
      </c>
      <c r="L7" s="64">
        <f>(-1*L5*(L6-(-6.64))*5.31)/100</f>
        <v>1.1249338106796116E-2</v>
      </c>
      <c r="M7" s="64">
        <f>(-1*M5*(M6-(-1.23))*5.31)/100</f>
        <v>3.4329587355747759E-2</v>
      </c>
      <c r="N7" s="64">
        <f>(-1*N5*(N6-(-1.1642))*5.31)/100</f>
        <v>2.0007627317261242E-2</v>
      </c>
      <c r="O7" s="64">
        <f>(-1*O5*(O6-(-1.1642))*5.31)/100</f>
        <v>6.9357644003003954E-2</v>
      </c>
      <c r="P7" s="64">
        <f>(-1*P5*(P6-(-4.4127))*5.31)/100</f>
        <v>9.1771293670732293E-2</v>
      </c>
      <c r="Q7" s="98">
        <f>(-1*Q5*(Q6-(-0.8549))*5.31)/100</f>
        <v>0.11408301782301185</v>
      </c>
    </row>
    <row r="9" spans="2:17" x14ac:dyDescent="0.2">
      <c r="B9" t="s">
        <v>45</v>
      </c>
      <c r="C9" t="s">
        <v>45</v>
      </c>
      <c r="D9" t="s">
        <v>45</v>
      </c>
      <c r="E9" t="s">
        <v>45</v>
      </c>
      <c r="F9" t="s">
        <v>45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</row>
    <row r="10" spans="2:17" x14ac:dyDescent="0.2">
      <c r="B10">
        <v>2.7777777777777778E-4</v>
      </c>
      <c r="C10">
        <v>0.96694444444444405</v>
      </c>
      <c r="D10">
        <v>0.83361111111111097</v>
      </c>
      <c r="E10">
        <v>0.433611111111111</v>
      </c>
      <c r="F10">
        <v>0.30027777777777798</v>
      </c>
      <c r="G10">
        <v>58.14</v>
      </c>
      <c r="H10">
        <v>80.430000000000007</v>
      </c>
      <c r="I10">
        <v>76.83</v>
      </c>
      <c r="J10">
        <v>65.45</v>
      </c>
      <c r="K10">
        <v>62.89</v>
      </c>
      <c r="M10">
        <v>78.48</v>
      </c>
      <c r="N10">
        <v>97.74</v>
      </c>
      <c r="O10">
        <v>83.13</v>
      </c>
      <c r="P10">
        <v>67.25</v>
      </c>
      <c r="Q10">
        <v>73.98</v>
      </c>
    </row>
    <row r="11" spans="2:17" x14ac:dyDescent="0.2">
      <c r="B11">
        <v>3.3611111111111112E-2</v>
      </c>
      <c r="C11">
        <v>1.00027777777778</v>
      </c>
      <c r="D11">
        <v>0.86694444444444396</v>
      </c>
      <c r="E11">
        <v>0.466944444444444</v>
      </c>
      <c r="F11">
        <v>0.33361111111111103</v>
      </c>
      <c r="G11">
        <v>58.6</v>
      </c>
      <c r="H11">
        <v>81.09</v>
      </c>
      <c r="I11">
        <v>77.64</v>
      </c>
      <c r="J11">
        <v>65.45</v>
      </c>
      <c r="K11">
        <v>62.71</v>
      </c>
      <c r="M11">
        <v>77.81</v>
      </c>
      <c r="N11">
        <v>97.17</v>
      </c>
      <c r="O11">
        <v>82.4</v>
      </c>
      <c r="P11">
        <v>66.930000000000007</v>
      </c>
      <c r="Q11">
        <v>73.81</v>
      </c>
    </row>
    <row r="12" spans="2:17" x14ac:dyDescent="0.2">
      <c r="B12">
        <v>6.6944444444444445E-2</v>
      </c>
      <c r="C12">
        <v>1.0336111111111099</v>
      </c>
      <c r="D12">
        <v>0.90027777777777795</v>
      </c>
      <c r="E12">
        <v>0.50027777777777804</v>
      </c>
      <c r="F12">
        <v>0.36694444444444402</v>
      </c>
      <c r="G12">
        <v>59.21</v>
      </c>
      <c r="H12">
        <v>81.42</v>
      </c>
      <c r="I12">
        <v>82.41</v>
      </c>
      <c r="J12">
        <v>65.45</v>
      </c>
      <c r="K12">
        <v>61.16</v>
      </c>
      <c r="M12">
        <v>77.14</v>
      </c>
      <c r="N12">
        <v>96.8</v>
      </c>
      <c r="O12">
        <v>80.59</v>
      </c>
      <c r="P12">
        <v>67.09</v>
      </c>
      <c r="Q12">
        <v>73.319999999999993</v>
      </c>
    </row>
    <row r="13" spans="2:17" x14ac:dyDescent="0.2">
      <c r="B13">
        <v>0.10027777777777777</v>
      </c>
      <c r="C13">
        <v>1.06694444444444</v>
      </c>
      <c r="D13">
        <v>0.93361111111111095</v>
      </c>
      <c r="E13">
        <v>0.53361111111111104</v>
      </c>
      <c r="F13">
        <v>0.40027777777777801</v>
      </c>
      <c r="G13">
        <v>58.45</v>
      </c>
      <c r="H13">
        <v>81.58</v>
      </c>
      <c r="I13">
        <v>74.55</v>
      </c>
      <c r="J13">
        <v>65.3</v>
      </c>
      <c r="K13">
        <v>60.12</v>
      </c>
      <c r="M13">
        <v>76.31</v>
      </c>
      <c r="N13">
        <v>96.61</v>
      </c>
      <c r="O13">
        <v>78.069999999999993</v>
      </c>
      <c r="P13">
        <v>66.930000000000007</v>
      </c>
      <c r="Q13">
        <v>72.83</v>
      </c>
    </row>
    <row r="14" spans="2:17" x14ac:dyDescent="0.2">
      <c r="B14">
        <v>0.13361111111111112</v>
      </c>
      <c r="C14">
        <v>1.1002777777777799</v>
      </c>
      <c r="D14">
        <v>0.96694444444444405</v>
      </c>
      <c r="E14">
        <v>0.56694444444444403</v>
      </c>
      <c r="F14">
        <v>0.433611111111111</v>
      </c>
      <c r="G14">
        <v>58.29</v>
      </c>
      <c r="H14">
        <v>81.42</v>
      </c>
      <c r="I14">
        <v>78.63</v>
      </c>
      <c r="J14">
        <v>65.14</v>
      </c>
      <c r="K14">
        <v>59.95</v>
      </c>
      <c r="M14">
        <v>75.31</v>
      </c>
      <c r="N14">
        <v>96.05</v>
      </c>
      <c r="O14">
        <v>75.38</v>
      </c>
      <c r="P14">
        <v>66.44</v>
      </c>
      <c r="Q14">
        <v>72.010000000000005</v>
      </c>
    </row>
    <row r="15" spans="2:17" x14ac:dyDescent="0.2">
      <c r="B15">
        <v>0.16694444444444445</v>
      </c>
      <c r="C15">
        <v>1.13361111111111</v>
      </c>
      <c r="D15">
        <v>1.00027777777778</v>
      </c>
      <c r="E15">
        <v>0.60027777777777802</v>
      </c>
      <c r="F15">
        <v>0.466944444444444</v>
      </c>
      <c r="G15">
        <v>57.99</v>
      </c>
      <c r="H15">
        <v>81.42</v>
      </c>
      <c r="I15">
        <v>73.91</v>
      </c>
      <c r="J15">
        <v>65.14</v>
      </c>
      <c r="K15">
        <v>59.78</v>
      </c>
      <c r="M15">
        <v>74.650000000000006</v>
      </c>
      <c r="N15">
        <v>94.55</v>
      </c>
      <c r="O15">
        <v>73.06</v>
      </c>
      <c r="P15">
        <v>66.27</v>
      </c>
      <c r="Q15">
        <v>71.36</v>
      </c>
    </row>
    <row r="16" spans="2:17" x14ac:dyDescent="0.2">
      <c r="B16">
        <v>0.2002777777777778</v>
      </c>
      <c r="C16">
        <v>1.1669444444444399</v>
      </c>
      <c r="D16">
        <v>1.0336111111111099</v>
      </c>
      <c r="E16">
        <v>0.63361111111111101</v>
      </c>
      <c r="F16">
        <v>0.50027777777777804</v>
      </c>
      <c r="G16">
        <v>57.53</v>
      </c>
      <c r="H16">
        <v>81.09</v>
      </c>
      <c r="I16">
        <v>76.83</v>
      </c>
      <c r="J16">
        <v>64.67</v>
      </c>
      <c r="K16">
        <v>57.72</v>
      </c>
      <c r="M16">
        <v>73.650000000000006</v>
      </c>
      <c r="N16">
        <v>93.99</v>
      </c>
      <c r="O16">
        <v>72.36</v>
      </c>
      <c r="P16">
        <v>65.95</v>
      </c>
      <c r="Q16">
        <v>70.540000000000006</v>
      </c>
    </row>
    <row r="17" spans="2:17" x14ac:dyDescent="0.2">
      <c r="B17">
        <v>0.23361111111111113</v>
      </c>
      <c r="C17">
        <v>1.20027777777778</v>
      </c>
      <c r="D17">
        <v>1.06694444444444</v>
      </c>
      <c r="E17">
        <v>0.66694444444444401</v>
      </c>
      <c r="F17">
        <v>0.53361111111111104</v>
      </c>
      <c r="G17">
        <v>58.14</v>
      </c>
      <c r="H17">
        <v>80.92</v>
      </c>
      <c r="I17">
        <v>75.53</v>
      </c>
      <c r="J17">
        <v>64.510000000000005</v>
      </c>
      <c r="K17">
        <v>55.5</v>
      </c>
      <c r="M17">
        <v>72.66</v>
      </c>
      <c r="N17">
        <v>93.43</v>
      </c>
      <c r="O17">
        <v>71.47</v>
      </c>
      <c r="P17">
        <v>65.459999999999994</v>
      </c>
      <c r="Q17">
        <v>69.08</v>
      </c>
    </row>
    <row r="18" spans="2:17" x14ac:dyDescent="0.2">
      <c r="B18">
        <v>0.26694444444444443</v>
      </c>
      <c r="C18">
        <v>1.2336111111111101</v>
      </c>
      <c r="D18">
        <v>1.1002777777777799</v>
      </c>
      <c r="E18">
        <v>0.700277777777778</v>
      </c>
      <c r="F18">
        <v>0.56694444444444403</v>
      </c>
      <c r="G18">
        <v>57.07</v>
      </c>
      <c r="H18">
        <v>80.430000000000007</v>
      </c>
      <c r="I18">
        <v>74.55</v>
      </c>
      <c r="J18">
        <v>64.349999999999994</v>
      </c>
      <c r="K18">
        <v>54.3</v>
      </c>
      <c r="M18">
        <v>71.67</v>
      </c>
      <c r="N18">
        <v>92.87</v>
      </c>
      <c r="O18">
        <v>70.760000000000005</v>
      </c>
      <c r="P18">
        <v>64.98</v>
      </c>
      <c r="Q18">
        <v>65.680000000000007</v>
      </c>
    </row>
    <row r="19" spans="2:17" x14ac:dyDescent="0.2">
      <c r="B19">
        <v>0.30027777777777775</v>
      </c>
      <c r="C19">
        <v>1.26694444444444</v>
      </c>
      <c r="D19">
        <v>1.13361111111111</v>
      </c>
      <c r="E19">
        <v>0.73361111111111099</v>
      </c>
      <c r="F19">
        <v>0.60027777777777802</v>
      </c>
      <c r="G19">
        <v>55.85</v>
      </c>
      <c r="H19">
        <v>80.099999999999994</v>
      </c>
      <c r="I19">
        <v>72.61</v>
      </c>
      <c r="J19">
        <v>64.040000000000006</v>
      </c>
      <c r="K19">
        <v>53.29</v>
      </c>
      <c r="M19">
        <v>70.680000000000007</v>
      </c>
      <c r="N19">
        <v>91.94</v>
      </c>
      <c r="O19">
        <v>69.53</v>
      </c>
      <c r="P19">
        <v>64.819999999999993</v>
      </c>
      <c r="Q19">
        <v>64.709999999999994</v>
      </c>
    </row>
    <row r="20" spans="2:17" x14ac:dyDescent="0.2">
      <c r="B20">
        <v>0.33361111111111108</v>
      </c>
      <c r="C20">
        <v>1.3002777777777801</v>
      </c>
      <c r="D20">
        <v>1.1669444444444399</v>
      </c>
      <c r="E20">
        <v>0.76694444444444398</v>
      </c>
      <c r="F20">
        <v>0.63361111111111101</v>
      </c>
      <c r="G20">
        <v>54.18</v>
      </c>
      <c r="H20">
        <v>79.94</v>
      </c>
      <c r="I20">
        <v>76.010000000000005</v>
      </c>
      <c r="J20">
        <v>63.73</v>
      </c>
      <c r="K20">
        <v>51.76</v>
      </c>
      <c r="M20">
        <v>69.86</v>
      </c>
      <c r="N20">
        <v>91.39</v>
      </c>
      <c r="O20">
        <v>69</v>
      </c>
      <c r="P20">
        <v>64.819999999999993</v>
      </c>
      <c r="Q20">
        <v>65.2</v>
      </c>
    </row>
    <row r="21" spans="2:17" x14ac:dyDescent="0.2">
      <c r="B21">
        <v>0.36694444444444441</v>
      </c>
      <c r="C21">
        <v>1.33361111111111</v>
      </c>
      <c r="D21">
        <v>1.20027777777778</v>
      </c>
      <c r="E21">
        <v>0.80027777777777798</v>
      </c>
      <c r="F21">
        <v>0.66694444444444401</v>
      </c>
      <c r="G21">
        <v>52.97</v>
      </c>
      <c r="H21">
        <v>79.77</v>
      </c>
      <c r="I21">
        <v>69.400000000000006</v>
      </c>
      <c r="J21">
        <v>63.41</v>
      </c>
      <c r="K21">
        <v>50.58</v>
      </c>
      <c r="M21">
        <v>68.72</v>
      </c>
      <c r="N21">
        <v>91.39</v>
      </c>
      <c r="O21">
        <v>67.77</v>
      </c>
      <c r="P21">
        <v>63.52</v>
      </c>
      <c r="Q21">
        <v>65.680000000000007</v>
      </c>
    </row>
    <row r="22" spans="2:17" x14ac:dyDescent="0.2">
      <c r="B22">
        <v>0.40027777777777779</v>
      </c>
      <c r="C22">
        <v>1.3669444444444401</v>
      </c>
      <c r="D22">
        <v>1.2336111111111101</v>
      </c>
      <c r="E22">
        <v>0.83361111111111097</v>
      </c>
      <c r="F22">
        <v>0.700277777777778</v>
      </c>
      <c r="G22">
        <v>50.72</v>
      </c>
      <c r="H22">
        <v>79.45</v>
      </c>
      <c r="I22">
        <v>74.55</v>
      </c>
      <c r="J22">
        <v>63.1</v>
      </c>
      <c r="K22">
        <v>50.08</v>
      </c>
      <c r="M22">
        <v>67.739999999999995</v>
      </c>
      <c r="N22">
        <v>90.46</v>
      </c>
      <c r="O22">
        <v>65.849999999999994</v>
      </c>
      <c r="P22">
        <v>61.27</v>
      </c>
      <c r="Q22">
        <v>65.52</v>
      </c>
    </row>
    <row r="23" spans="2:17" x14ac:dyDescent="0.2">
      <c r="B23">
        <v>0.43361111111111111</v>
      </c>
      <c r="C23">
        <v>1.40027777777778</v>
      </c>
      <c r="D23">
        <v>1.26694444444444</v>
      </c>
      <c r="E23">
        <v>0.86694444444444396</v>
      </c>
      <c r="F23">
        <v>0.73361111111111099</v>
      </c>
      <c r="G23">
        <v>50.27</v>
      </c>
      <c r="H23">
        <v>79.12</v>
      </c>
      <c r="I23">
        <v>69.239999999999995</v>
      </c>
      <c r="J23">
        <v>63.1</v>
      </c>
      <c r="K23">
        <v>48.57</v>
      </c>
      <c r="M23">
        <v>66.930000000000007</v>
      </c>
      <c r="N23">
        <v>90.28</v>
      </c>
      <c r="O23">
        <v>65.150000000000006</v>
      </c>
      <c r="P23">
        <v>60.31</v>
      </c>
      <c r="Q23">
        <v>65.36</v>
      </c>
    </row>
    <row r="24" spans="2:17" x14ac:dyDescent="0.2">
      <c r="B24">
        <v>0.46694444444444444</v>
      </c>
      <c r="C24">
        <v>1.4336111111111101</v>
      </c>
      <c r="D24">
        <v>1.3002777777777801</v>
      </c>
      <c r="E24">
        <v>0.90027777777777795</v>
      </c>
      <c r="F24">
        <v>0.76694444444444398</v>
      </c>
      <c r="G24">
        <v>48.77</v>
      </c>
      <c r="H24">
        <v>78.459999999999994</v>
      </c>
      <c r="I24">
        <v>67.17</v>
      </c>
      <c r="J24">
        <v>62.95</v>
      </c>
      <c r="K24">
        <v>47.73</v>
      </c>
      <c r="M24">
        <v>65.95</v>
      </c>
      <c r="N24">
        <v>89.35</v>
      </c>
      <c r="O24">
        <v>64.45</v>
      </c>
      <c r="P24">
        <v>60.63</v>
      </c>
      <c r="Q24">
        <v>65.36</v>
      </c>
    </row>
    <row r="25" spans="2:17" x14ac:dyDescent="0.2">
      <c r="B25">
        <v>0.50027777777777771</v>
      </c>
      <c r="C25">
        <v>1.4669444444444399</v>
      </c>
      <c r="D25">
        <v>1.33361111111111</v>
      </c>
      <c r="E25">
        <v>0.93361111111111095</v>
      </c>
      <c r="F25">
        <v>0.80027777777777798</v>
      </c>
      <c r="G25">
        <v>49.52</v>
      </c>
      <c r="H25">
        <v>78.13</v>
      </c>
      <c r="I25">
        <v>69.56</v>
      </c>
      <c r="J25">
        <v>62.63</v>
      </c>
      <c r="K25">
        <v>46.23</v>
      </c>
      <c r="L25">
        <v>62.63</v>
      </c>
      <c r="M25">
        <v>64.650000000000006</v>
      </c>
      <c r="N25">
        <v>89.54</v>
      </c>
      <c r="O25">
        <v>62.71</v>
      </c>
      <c r="P25">
        <v>60.47</v>
      </c>
      <c r="Q25">
        <v>64.88</v>
      </c>
    </row>
    <row r="26" spans="2:17" x14ac:dyDescent="0.2">
      <c r="B26">
        <v>0.53361111111111115</v>
      </c>
      <c r="C26">
        <v>1.50027777777778</v>
      </c>
      <c r="D26">
        <v>1.3669444444444401</v>
      </c>
      <c r="E26">
        <v>0.96694444444444405</v>
      </c>
      <c r="F26">
        <v>0.83361111111111097</v>
      </c>
      <c r="G26">
        <v>50.42</v>
      </c>
      <c r="H26">
        <v>77.64</v>
      </c>
      <c r="I26">
        <v>71.010000000000005</v>
      </c>
      <c r="J26">
        <v>62.16</v>
      </c>
      <c r="K26">
        <v>44.56</v>
      </c>
      <c r="L26">
        <v>62.31</v>
      </c>
      <c r="M26">
        <v>64.010000000000005</v>
      </c>
      <c r="N26">
        <v>89.17</v>
      </c>
      <c r="O26">
        <v>61.33</v>
      </c>
      <c r="P26">
        <v>61.11</v>
      </c>
      <c r="Q26">
        <v>64.39</v>
      </c>
    </row>
    <row r="27" spans="2:17" x14ac:dyDescent="0.2">
      <c r="B27">
        <v>0.56694444444444447</v>
      </c>
      <c r="C27">
        <v>1.5336111111111099</v>
      </c>
      <c r="D27">
        <v>1.40027777777778</v>
      </c>
      <c r="E27">
        <v>1.00027777777778</v>
      </c>
      <c r="F27">
        <v>0.86694444444444396</v>
      </c>
      <c r="G27">
        <v>50.27</v>
      </c>
      <c r="H27">
        <v>77.150000000000006</v>
      </c>
      <c r="I27">
        <v>70.2</v>
      </c>
      <c r="J27">
        <v>61.54</v>
      </c>
      <c r="K27">
        <v>43.4</v>
      </c>
      <c r="L27">
        <v>61.99</v>
      </c>
      <c r="M27">
        <v>62.4</v>
      </c>
      <c r="N27">
        <v>88.62</v>
      </c>
      <c r="O27">
        <v>59.61</v>
      </c>
      <c r="P27">
        <v>61.11</v>
      </c>
      <c r="Q27">
        <v>63.91</v>
      </c>
    </row>
    <row r="28" spans="2:17" x14ac:dyDescent="0.2">
      <c r="B28">
        <v>0.6002777777777778</v>
      </c>
      <c r="C28">
        <v>1.56694444444444</v>
      </c>
      <c r="D28">
        <v>1.4336111111111101</v>
      </c>
      <c r="E28">
        <v>1.0336111111111099</v>
      </c>
      <c r="F28">
        <v>0.90027777777777795</v>
      </c>
      <c r="G28">
        <v>49.97</v>
      </c>
      <c r="H28">
        <v>76.34</v>
      </c>
      <c r="I28">
        <v>71.33</v>
      </c>
      <c r="J28">
        <v>61.23</v>
      </c>
      <c r="K28">
        <v>43.07</v>
      </c>
      <c r="L28">
        <v>61.52</v>
      </c>
      <c r="M28">
        <v>60.95</v>
      </c>
      <c r="N28">
        <v>87.88</v>
      </c>
      <c r="O28">
        <v>57.55</v>
      </c>
      <c r="P28">
        <v>61.11</v>
      </c>
      <c r="Q28">
        <v>62.31</v>
      </c>
    </row>
    <row r="29" spans="2:17" x14ac:dyDescent="0.2">
      <c r="B29">
        <v>0.63361111111111112</v>
      </c>
      <c r="C29">
        <v>1.6002777777777799</v>
      </c>
      <c r="D29">
        <v>1.4669444444444399</v>
      </c>
      <c r="E29">
        <v>1.06694444444444</v>
      </c>
      <c r="F29">
        <v>0.93361111111111095</v>
      </c>
      <c r="G29">
        <v>48.92</v>
      </c>
      <c r="H29">
        <v>76.010000000000005</v>
      </c>
      <c r="I29">
        <v>69.72</v>
      </c>
      <c r="J29">
        <v>60.14</v>
      </c>
      <c r="K29">
        <v>40.43</v>
      </c>
      <c r="L29">
        <v>60.88</v>
      </c>
      <c r="M29">
        <v>59.83</v>
      </c>
      <c r="N29">
        <v>87.7</v>
      </c>
      <c r="O29">
        <v>56.01</v>
      </c>
      <c r="P29">
        <v>60.47</v>
      </c>
      <c r="Q29">
        <v>61.04</v>
      </c>
    </row>
    <row r="30" spans="2:17" x14ac:dyDescent="0.2">
      <c r="B30">
        <v>0.66694444444444445</v>
      </c>
      <c r="C30">
        <v>1.63361111111111</v>
      </c>
      <c r="D30">
        <v>1.50027777777778</v>
      </c>
      <c r="E30">
        <v>1.1002777777777799</v>
      </c>
      <c r="F30">
        <v>0.96694444444444405</v>
      </c>
      <c r="G30">
        <v>46.69</v>
      </c>
      <c r="H30">
        <v>75.2</v>
      </c>
      <c r="I30">
        <v>68.290000000000006</v>
      </c>
      <c r="J30">
        <v>59.21</v>
      </c>
      <c r="K30">
        <v>39.44</v>
      </c>
      <c r="L30">
        <v>60.56</v>
      </c>
      <c r="M30">
        <v>58.72</v>
      </c>
      <c r="N30">
        <v>86.96</v>
      </c>
      <c r="O30">
        <v>54.13</v>
      </c>
      <c r="P30">
        <v>59.83</v>
      </c>
      <c r="Q30">
        <v>60.72</v>
      </c>
    </row>
    <row r="31" spans="2:17" x14ac:dyDescent="0.2">
      <c r="B31">
        <v>0.70027777777777778</v>
      </c>
      <c r="C31">
        <v>1.6669444444444399</v>
      </c>
      <c r="D31">
        <v>1.5336111111111099</v>
      </c>
      <c r="E31">
        <v>1.13361111111111</v>
      </c>
      <c r="F31">
        <v>1.00027777777778</v>
      </c>
      <c r="G31">
        <v>45.65</v>
      </c>
      <c r="H31">
        <v>74.88</v>
      </c>
      <c r="I31">
        <v>71.010000000000005</v>
      </c>
      <c r="J31">
        <v>58.44</v>
      </c>
      <c r="K31">
        <v>37.32</v>
      </c>
      <c r="L31">
        <v>60.24</v>
      </c>
      <c r="M31">
        <v>57.28</v>
      </c>
      <c r="N31">
        <v>86.96</v>
      </c>
      <c r="O31">
        <v>53.96</v>
      </c>
      <c r="P31">
        <v>59.83</v>
      </c>
      <c r="Q31">
        <v>60.56</v>
      </c>
    </row>
    <row r="32" spans="2:17" x14ac:dyDescent="0.2">
      <c r="B32">
        <v>0.7336111111111111</v>
      </c>
      <c r="C32">
        <v>1.70027777777778</v>
      </c>
      <c r="D32">
        <v>1.56694444444444</v>
      </c>
      <c r="E32">
        <v>1.1669444444444399</v>
      </c>
      <c r="F32">
        <v>1.0336111111111099</v>
      </c>
      <c r="G32">
        <v>44.76</v>
      </c>
      <c r="H32">
        <v>74.39</v>
      </c>
      <c r="I32">
        <v>67.33</v>
      </c>
      <c r="J32">
        <v>57.51</v>
      </c>
      <c r="K32">
        <v>36.5</v>
      </c>
      <c r="L32">
        <v>59.93</v>
      </c>
      <c r="M32">
        <v>55.7</v>
      </c>
      <c r="N32">
        <v>86.6</v>
      </c>
      <c r="O32">
        <v>53.29</v>
      </c>
      <c r="P32">
        <v>59.67</v>
      </c>
      <c r="Q32">
        <v>60.4</v>
      </c>
    </row>
    <row r="33" spans="2:17" x14ac:dyDescent="0.2">
      <c r="B33">
        <v>0.76694444444444443</v>
      </c>
      <c r="C33">
        <v>1.7336111111111101</v>
      </c>
      <c r="D33">
        <v>1.6002777777777799</v>
      </c>
      <c r="E33">
        <v>1.20027777777778</v>
      </c>
      <c r="F33">
        <v>1.06694444444444</v>
      </c>
      <c r="G33">
        <v>45.21</v>
      </c>
      <c r="H33">
        <v>74.069999999999993</v>
      </c>
      <c r="I33">
        <v>72.61</v>
      </c>
      <c r="J33">
        <v>56.44</v>
      </c>
      <c r="K33">
        <v>36.340000000000003</v>
      </c>
      <c r="L33">
        <v>59.45</v>
      </c>
      <c r="M33">
        <v>54.6</v>
      </c>
      <c r="N33">
        <v>85.68</v>
      </c>
      <c r="O33">
        <v>51.59</v>
      </c>
      <c r="P33">
        <v>59.83</v>
      </c>
      <c r="Q33">
        <v>59.45</v>
      </c>
    </row>
    <row r="34" spans="2:17" x14ac:dyDescent="0.2">
      <c r="B34">
        <v>0.80027777777777775</v>
      </c>
      <c r="C34">
        <v>1.76694444444444</v>
      </c>
      <c r="D34">
        <v>1.63361111111111</v>
      </c>
      <c r="E34">
        <v>1.2336111111111101</v>
      </c>
      <c r="F34">
        <v>1.1002777777777799</v>
      </c>
      <c r="G34">
        <v>44.47</v>
      </c>
      <c r="H34">
        <v>73.58</v>
      </c>
      <c r="I34">
        <v>68.92</v>
      </c>
      <c r="J34">
        <v>55.36</v>
      </c>
      <c r="K34">
        <v>34.549999999999997</v>
      </c>
      <c r="L34">
        <v>59.13</v>
      </c>
      <c r="M34">
        <v>53.49</v>
      </c>
      <c r="N34">
        <v>85.68</v>
      </c>
      <c r="O34">
        <v>49.91</v>
      </c>
      <c r="P34">
        <v>59.35</v>
      </c>
      <c r="Q34">
        <v>58.5</v>
      </c>
    </row>
    <row r="35" spans="2:17" x14ac:dyDescent="0.2">
      <c r="B35">
        <v>0.83361111111111108</v>
      </c>
      <c r="C35">
        <v>1.8002777777777801</v>
      </c>
      <c r="D35">
        <v>1.6669444444444399</v>
      </c>
      <c r="E35">
        <v>1.26694444444444</v>
      </c>
      <c r="F35">
        <v>1.13361111111111</v>
      </c>
      <c r="G35">
        <v>42.41</v>
      </c>
      <c r="H35">
        <v>72.94</v>
      </c>
      <c r="I35">
        <v>62.43</v>
      </c>
      <c r="J35">
        <v>54.14</v>
      </c>
      <c r="K35">
        <v>32.450000000000003</v>
      </c>
      <c r="L35">
        <v>58.5</v>
      </c>
      <c r="M35">
        <v>52.55</v>
      </c>
      <c r="N35">
        <v>85.31</v>
      </c>
      <c r="O35">
        <v>47.73</v>
      </c>
      <c r="P35">
        <v>59.35</v>
      </c>
      <c r="Q35">
        <v>56.77</v>
      </c>
    </row>
    <row r="36" spans="2:17" x14ac:dyDescent="0.2">
      <c r="B36">
        <v>0.86694444444444441</v>
      </c>
      <c r="C36">
        <v>1.83361111111111</v>
      </c>
      <c r="D36">
        <v>1.70027777777778</v>
      </c>
      <c r="E36">
        <v>1.3002777777777801</v>
      </c>
      <c r="F36">
        <v>1.1669444444444399</v>
      </c>
      <c r="G36">
        <v>41.38</v>
      </c>
      <c r="H36">
        <v>71.97</v>
      </c>
      <c r="I36">
        <v>65.739999999999995</v>
      </c>
      <c r="J36">
        <v>52.92</v>
      </c>
      <c r="K36">
        <v>32.119999999999997</v>
      </c>
      <c r="L36">
        <v>57.87</v>
      </c>
      <c r="M36">
        <v>51.3</v>
      </c>
      <c r="N36">
        <v>84.4</v>
      </c>
      <c r="O36">
        <v>46.06</v>
      </c>
      <c r="P36">
        <v>59.03</v>
      </c>
      <c r="Q36">
        <v>55.2</v>
      </c>
    </row>
    <row r="37" spans="2:17" x14ac:dyDescent="0.2">
      <c r="B37">
        <v>0.90027777777777773</v>
      </c>
      <c r="C37">
        <v>1.8669444444444401</v>
      </c>
      <c r="D37">
        <v>1.7336111111111101</v>
      </c>
      <c r="E37">
        <v>1.33361111111111</v>
      </c>
      <c r="F37">
        <v>1.20027777777778</v>
      </c>
      <c r="G37">
        <v>41.53</v>
      </c>
      <c r="H37">
        <v>71.010000000000005</v>
      </c>
      <c r="I37">
        <v>67.17</v>
      </c>
      <c r="J37">
        <v>51.85</v>
      </c>
      <c r="K37">
        <v>30.84</v>
      </c>
      <c r="L37">
        <v>57.4</v>
      </c>
      <c r="M37">
        <v>49.9</v>
      </c>
      <c r="N37">
        <v>83.86</v>
      </c>
      <c r="O37">
        <v>45.73</v>
      </c>
      <c r="P37">
        <v>58.72</v>
      </c>
      <c r="Q37">
        <v>54.26</v>
      </c>
    </row>
    <row r="38" spans="2:17" x14ac:dyDescent="0.2">
      <c r="B38">
        <v>0.93361111111111106</v>
      </c>
      <c r="C38">
        <v>1.90027777777778</v>
      </c>
      <c r="D38">
        <v>1.76694444444444</v>
      </c>
      <c r="E38">
        <v>1.3669444444444401</v>
      </c>
      <c r="F38">
        <v>1.2336111111111101</v>
      </c>
      <c r="G38">
        <v>42.11</v>
      </c>
      <c r="H38">
        <v>70.040000000000006</v>
      </c>
      <c r="I38">
        <v>61.02</v>
      </c>
      <c r="J38">
        <v>50.64</v>
      </c>
      <c r="K38">
        <v>30.84</v>
      </c>
      <c r="L38">
        <v>57.08</v>
      </c>
      <c r="M38">
        <v>48.34</v>
      </c>
      <c r="N38">
        <v>84.04</v>
      </c>
      <c r="O38">
        <v>44.89</v>
      </c>
      <c r="P38">
        <v>58.4</v>
      </c>
      <c r="Q38">
        <v>53.79</v>
      </c>
    </row>
    <row r="39" spans="2:17" x14ac:dyDescent="0.2">
      <c r="B39">
        <v>0.96694444444444438</v>
      </c>
      <c r="C39">
        <v>1.9336111111111101</v>
      </c>
      <c r="D39">
        <v>1.8002777777777801</v>
      </c>
      <c r="E39">
        <v>1.40027777777778</v>
      </c>
      <c r="F39">
        <v>1.26694444444444</v>
      </c>
      <c r="G39">
        <v>41.67</v>
      </c>
      <c r="H39">
        <v>68.92</v>
      </c>
      <c r="I39">
        <v>62.9</v>
      </c>
      <c r="J39">
        <v>49.43</v>
      </c>
      <c r="K39">
        <v>29.71</v>
      </c>
      <c r="L39">
        <v>56.61</v>
      </c>
      <c r="M39">
        <v>46.79</v>
      </c>
      <c r="N39">
        <v>82.76</v>
      </c>
      <c r="O39">
        <v>41.75</v>
      </c>
      <c r="P39">
        <v>58.24</v>
      </c>
      <c r="Q39">
        <v>53.01</v>
      </c>
    </row>
    <row r="40" spans="2:17" x14ac:dyDescent="0.2">
      <c r="B40">
        <v>1.0002777777777778</v>
      </c>
      <c r="C40">
        <v>1.9669444444444399</v>
      </c>
      <c r="D40">
        <v>1.83361111111111</v>
      </c>
      <c r="E40">
        <v>1.4336111111111101</v>
      </c>
      <c r="F40">
        <v>1.3002777777777801</v>
      </c>
      <c r="G40">
        <v>41.97</v>
      </c>
      <c r="H40">
        <v>67.97</v>
      </c>
      <c r="I40">
        <v>62.12</v>
      </c>
      <c r="J40">
        <v>48.83</v>
      </c>
      <c r="K40">
        <v>28.27</v>
      </c>
      <c r="L40">
        <v>56.14</v>
      </c>
      <c r="M40">
        <v>44.64</v>
      </c>
      <c r="N40">
        <v>82.4</v>
      </c>
      <c r="O40">
        <v>38.79</v>
      </c>
      <c r="P40">
        <v>57.44</v>
      </c>
      <c r="Q40">
        <v>52.08</v>
      </c>
    </row>
    <row r="41" spans="2:17" x14ac:dyDescent="0.2">
      <c r="B41">
        <v>1.033611111111111</v>
      </c>
      <c r="C41">
        <v>2.00027777777778</v>
      </c>
      <c r="D41">
        <v>1.8669444444444401</v>
      </c>
      <c r="E41">
        <v>1.4669444444444399</v>
      </c>
      <c r="F41">
        <v>1.33361111111111</v>
      </c>
      <c r="G41">
        <v>42.7</v>
      </c>
      <c r="H41">
        <v>66.69</v>
      </c>
      <c r="I41">
        <v>67.17</v>
      </c>
      <c r="J41">
        <v>48.08</v>
      </c>
      <c r="K41">
        <v>26.84</v>
      </c>
      <c r="L41">
        <v>55.67</v>
      </c>
      <c r="M41">
        <v>42.04</v>
      </c>
      <c r="N41">
        <v>82.22</v>
      </c>
      <c r="O41">
        <v>35.69</v>
      </c>
      <c r="P41">
        <v>57.28</v>
      </c>
      <c r="Q41">
        <v>51.45</v>
      </c>
    </row>
    <row r="42" spans="2:17" x14ac:dyDescent="0.2">
      <c r="B42">
        <v>1.0669444444444445</v>
      </c>
      <c r="C42">
        <v>2.0336111111111101</v>
      </c>
      <c r="D42">
        <v>1.90027777777778</v>
      </c>
      <c r="E42">
        <v>1.50027777777778</v>
      </c>
      <c r="F42">
        <v>1.3669444444444401</v>
      </c>
      <c r="G42">
        <v>40.65</v>
      </c>
      <c r="H42">
        <v>65.59</v>
      </c>
      <c r="I42">
        <v>66.849999999999994</v>
      </c>
      <c r="J42">
        <v>47.33</v>
      </c>
      <c r="K42">
        <v>25.88</v>
      </c>
      <c r="L42">
        <v>55.2</v>
      </c>
      <c r="M42">
        <v>39.15</v>
      </c>
      <c r="N42">
        <v>81.489999999999995</v>
      </c>
      <c r="O42">
        <v>30.51</v>
      </c>
      <c r="P42">
        <v>56.65</v>
      </c>
      <c r="Q42">
        <v>50.53</v>
      </c>
    </row>
    <row r="43" spans="2:17" x14ac:dyDescent="0.2">
      <c r="B43">
        <v>1.1002777777777777</v>
      </c>
      <c r="C43">
        <v>2.0669444444444398</v>
      </c>
      <c r="D43">
        <v>1.9336111111111101</v>
      </c>
      <c r="E43">
        <v>1.5336111111111099</v>
      </c>
      <c r="F43">
        <v>1.40027777777778</v>
      </c>
      <c r="G43">
        <v>39.630000000000003</v>
      </c>
      <c r="H43">
        <v>64.16</v>
      </c>
      <c r="I43">
        <v>68.760000000000005</v>
      </c>
      <c r="J43">
        <v>46.73</v>
      </c>
      <c r="K43">
        <v>24.77</v>
      </c>
      <c r="L43">
        <v>54.57</v>
      </c>
      <c r="M43">
        <v>37.630000000000003</v>
      </c>
      <c r="N43">
        <v>80.77</v>
      </c>
      <c r="O43">
        <v>23.82</v>
      </c>
      <c r="P43">
        <v>54.75</v>
      </c>
      <c r="Q43">
        <v>49.29</v>
      </c>
    </row>
    <row r="44" spans="2:17" x14ac:dyDescent="0.2">
      <c r="B44">
        <v>1.1336111111111111</v>
      </c>
      <c r="C44">
        <v>2.1002777777777801</v>
      </c>
      <c r="D44">
        <v>1.9669444444444399</v>
      </c>
      <c r="E44">
        <v>1.56694444444444</v>
      </c>
      <c r="F44">
        <v>1.4336111111111101</v>
      </c>
      <c r="G44">
        <v>38.9</v>
      </c>
      <c r="H44">
        <v>62.75</v>
      </c>
      <c r="I44">
        <v>65.430000000000007</v>
      </c>
      <c r="J44">
        <v>45.38</v>
      </c>
      <c r="K44">
        <v>23.19</v>
      </c>
      <c r="L44">
        <v>54.26</v>
      </c>
      <c r="M44">
        <v>37.630000000000003</v>
      </c>
      <c r="N44">
        <v>80.59</v>
      </c>
      <c r="O44">
        <v>23.35</v>
      </c>
      <c r="P44">
        <v>54.75</v>
      </c>
      <c r="Q44">
        <v>48.06</v>
      </c>
    </row>
    <row r="45" spans="2:17" x14ac:dyDescent="0.2">
      <c r="B45">
        <v>1.1669444444444443</v>
      </c>
      <c r="C45">
        <v>2.1336111111111098</v>
      </c>
      <c r="D45">
        <v>2.00027777777778</v>
      </c>
      <c r="E45">
        <v>1.6002777777777799</v>
      </c>
      <c r="F45">
        <v>1.4669444444444399</v>
      </c>
      <c r="G45">
        <v>36.729999999999997</v>
      </c>
      <c r="H45">
        <v>61.33</v>
      </c>
      <c r="I45">
        <v>59.46</v>
      </c>
      <c r="J45">
        <v>44.04</v>
      </c>
      <c r="K45">
        <v>22.24</v>
      </c>
      <c r="L45">
        <v>53.79</v>
      </c>
      <c r="M45">
        <v>38.54</v>
      </c>
      <c r="N45">
        <v>79.87</v>
      </c>
      <c r="O45">
        <v>23.51</v>
      </c>
      <c r="P45">
        <v>54.28</v>
      </c>
      <c r="Q45">
        <v>46.52</v>
      </c>
    </row>
    <row r="46" spans="2:17" x14ac:dyDescent="0.2">
      <c r="B46">
        <v>1.2002777777777778</v>
      </c>
      <c r="C46">
        <v>2.1669444444444399</v>
      </c>
      <c r="D46">
        <v>2.0336111111111101</v>
      </c>
      <c r="E46">
        <v>1.63361111111111</v>
      </c>
      <c r="F46">
        <v>1.50027777777778</v>
      </c>
      <c r="G46">
        <v>34.57</v>
      </c>
      <c r="H46">
        <v>60.4</v>
      </c>
      <c r="I46">
        <v>67.650000000000006</v>
      </c>
      <c r="J46">
        <v>42.11</v>
      </c>
      <c r="K46">
        <v>22.24</v>
      </c>
      <c r="L46">
        <v>53.17</v>
      </c>
      <c r="M46">
        <v>37.33</v>
      </c>
      <c r="N46">
        <v>79.150000000000006</v>
      </c>
      <c r="O46">
        <v>21.77</v>
      </c>
      <c r="P46">
        <v>54.44</v>
      </c>
      <c r="Q46">
        <v>44.84</v>
      </c>
    </row>
    <row r="47" spans="2:17" x14ac:dyDescent="0.2">
      <c r="B47">
        <v>1.233611111111111</v>
      </c>
      <c r="C47">
        <v>2.2002777777777802</v>
      </c>
      <c r="D47">
        <v>2.0669444444444398</v>
      </c>
      <c r="E47">
        <v>1.6669444444444399</v>
      </c>
      <c r="F47">
        <v>1.5336111111111099</v>
      </c>
      <c r="G47">
        <v>33.270000000000003</v>
      </c>
      <c r="H47">
        <v>59.15</v>
      </c>
      <c r="I47">
        <v>62.12</v>
      </c>
      <c r="J47">
        <v>39.9</v>
      </c>
      <c r="K47">
        <v>21.77</v>
      </c>
      <c r="L47">
        <v>52.85</v>
      </c>
      <c r="M47">
        <v>38.39</v>
      </c>
      <c r="N47">
        <v>79.150000000000006</v>
      </c>
      <c r="O47">
        <v>20.04</v>
      </c>
      <c r="P47">
        <v>54.6</v>
      </c>
      <c r="Q47">
        <v>42.41</v>
      </c>
    </row>
    <row r="48" spans="2:17" x14ac:dyDescent="0.2">
      <c r="B48">
        <v>1.2669444444444444</v>
      </c>
      <c r="C48">
        <v>2.2336111111111099</v>
      </c>
      <c r="D48">
        <v>2.1002777777777801</v>
      </c>
      <c r="E48">
        <v>1.70027777777778</v>
      </c>
      <c r="F48">
        <v>1.56694444444444</v>
      </c>
      <c r="G48">
        <v>31.85</v>
      </c>
      <c r="H48">
        <v>57.75</v>
      </c>
      <c r="I48">
        <v>61.33</v>
      </c>
      <c r="J48">
        <v>38.58</v>
      </c>
      <c r="K48">
        <v>21.3</v>
      </c>
      <c r="L48">
        <v>52.23</v>
      </c>
      <c r="M48">
        <v>38.090000000000003</v>
      </c>
      <c r="N48">
        <v>78.25</v>
      </c>
      <c r="O48">
        <v>18.170000000000002</v>
      </c>
      <c r="P48">
        <v>54.75</v>
      </c>
      <c r="Q48">
        <v>40.44</v>
      </c>
    </row>
    <row r="49" spans="2:17" x14ac:dyDescent="0.2">
      <c r="B49">
        <v>1.3002777777777779</v>
      </c>
      <c r="C49">
        <v>2.26694444444444</v>
      </c>
      <c r="D49">
        <v>2.1336111111111098</v>
      </c>
      <c r="E49">
        <v>1.7336111111111101</v>
      </c>
      <c r="F49">
        <v>1.6002777777777799</v>
      </c>
      <c r="G49">
        <v>30.85</v>
      </c>
      <c r="H49">
        <v>56.98</v>
      </c>
      <c r="I49">
        <v>58.37</v>
      </c>
      <c r="J49">
        <v>37.99</v>
      </c>
      <c r="K49">
        <v>20.36</v>
      </c>
      <c r="L49">
        <v>51.77</v>
      </c>
      <c r="M49">
        <v>37.03</v>
      </c>
      <c r="N49">
        <v>78.069999999999993</v>
      </c>
      <c r="O49">
        <v>15.37</v>
      </c>
      <c r="P49">
        <v>54.44</v>
      </c>
      <c r="Q49">
        <v>38.64</v>
      </c>
    </row>
    <row r="50" spans="2:17" x14ac:dyDescent="0.2">
      <c r="B50">
        <v>1.3336111111111111</v>
      </c>
      <c r="C50">
        <v>2.3002777777777799</v>
      </c>
      <c r="D50">
        <v>2.1669444444444399</v>
      </c>
      <c r="E50">
        <v>1.76694444444444</v>
      </c>
      <c r="F50">
        <v>1.63361111111111</v>
      </c>
      <c r="G50">
        <v>29.71</v>
      </c>
      <c r="H50">
        <v>56.05</v>
      </c>
      <c r="I50">
        <v>58.84</v>
      </c>
      <c r="J50">
        <v>37.840000000000003</v>
      </c>
      <c r="L50">
        <v>51.3</v>
      </c>
      <c r="M50">
        <v>35.83</v>
      </c>
      <c r="N50">
        <v>77.17</v>
      </c>
      <c r="O50">
        <v>14.44</v>
      </c>
      <c r="P50">
        <v>54.28</v>
      </c>
      <c r="Q50">
        <v>36.54</v>
      </c>
    </row>
    <row r="51" spans="2:17" x14ac:dyDescent="0.2">
      <c r="B51">
        <v>1.3669444444444445</v>
      </c>
      <c r="C51">
        <v>2.33361111111111</v>
      </c>
      <c r="D51">
        <v>2.2002777777777802</v>
      </c>
      <c r="E51">
        <v>1.8002777777777801</v>
      </c>
      <c r="F51">
        <v>1.6669444444444399</v>
      </c>
      <c r="G51">
        <v>28.44</v>
      </c>
      <c r="H51">
        <v>55.59</v>
      </c>
      <c r="I51">
        <v>59.15</v>
      </c>
      <c r="J51">
        <v>37.700000000000003</v>
      </c>
      <c r="L51">
        <v>50.68</v>
      </c>
      <c r="M51">
        <v>34.93</v>
      </c>
      <c r="N51">
        <v>77.17</v>
      </c>
      <c r="O51">
        <v>10.9</v>
      </c>
      <c r="P51">
        <v>53.81</v>
      </c>
      <c r="Q51">
        <v>33.869999999999997</v>
      </c>
    </row>
    <row r="52" spans="2:17" x14ac:dyDescent="0.2">
      <c r="B52">
        <v>1.4002777777777777</v>
      </c>
      <c r="C52">
        <v>2.3669444444444401</v>
      </c>
      <c r="D52">
        <v>2.2336111111111099</v>
      </c>
      <c r="E52">
        <v>1.83361111111111</v>
      </c>
      <c r="F52">
        <v>1.70027777777778</v>
      </c>
      <c r="G52">
        <v>28.15</v>
      </c>
      <c r="H52">
        <v>54.97</v>
      </c>
      <c r="I52">
        <v>60.24</v>
      </c>
      <c r="J52">
        <v>37.26</v>
      </c>
      <c r="L52">
        <v>49.91</v>
      </c>
      <c r="M52">
        <v>34.33</v>
      </c>
      <c r="N52">
        <v>76.27</v>
      </c>
      <c r="O52">
        <v>8.4499999999999993</v>
      </c>
      <c r="P52">
        <v>52.87</v>
      </c>
      <c r="Q52">
        <v>30.91</v>
      </c>
    </row>
    <row r="53" spans="2:17" x14ac:dyDescent="0.2">
      <c r="B53">
        <v>1.4336111111111112</v>
      </c>
      <c r="C53">
        <v>2.40027777777778</v>
      </c>
      <c r="D53">
        <v>2.26694444444444</v>
      </c>
      <c r="E53">
        <v>1.8669444444444401</v>
      </c>
      <c r="F53">
        <v>1.7336111111111101</v>
      </c>
      <c r="G53">
        <v>28.01</v>
      </c>
      <c r="H53">
        <v>54.66</v>
      </c>
      <c r="I53">
        <v>58.68</v>
      </c>
      <c r="J53">
        <v>37.11</v>
      </c>
      <c r="L53">
        <v>49.6</v>
      </c>
      <c r="M53">
        <v>34.03</v>
      </c>
      <c r="N53">
        <v>75.92</v>
      </c>
      <c r="O53">
        <v>8.3000000000000007</v>
      </c>
      <c r="P53">
        <v>51.93</v>
      </c>
      <c r="Q53">
        <v>27.11</v>
      </c>
    </row>
    <row r="54" spans="2:17" x14ac:dyDescent="0.2">
      <c r="B54">
        <v>1.4669444444444444</v>
      </c>
      <c r="C54">
        <v>2.4336111111111101</v>
      </c>
      <c r="D54">
        <v>2.3002777777777799</v>
      </c>
      <c r="E54">
        <v>1.90027777777778</v>
      </c>
      <c r="F54">
        <v>1.76694444444444</v>
      </c>
      <c r="G54">
        <v>27.59</v>
      </c>
      <c r="H54">
        <v>54.05</v>
      </c>
      <c r="I54">
        <v>60.08</v>
      </c>
      <c r="J54">
        <v>36.97</v>
      </c>
      <c r="L54">
        <v>49.13</v>
      </c>
      <c r="M54">
        <v>33.58</v>
      </c>
      <c r="N54">
        <v>75.56</v>
      </c>
      <c r="O54">
        <v>7.99</v>
      </c>
      <c r="P54">
        <v>50.36</v>
      </c>
      <c r="Q54">
        <v>23.34</v>
      </c>
    </row>
    <row r="55" spans="2:17" x14ac:dyDescent="0.2">
      <c r="B55">
        <v>1.5002777777777778</v>
      </c>
      <c r="C55">
        <v>2.4669444444444402</v>
      </c>
      <c r="D55">
        <v>2.33361111111111</v>
      </c>
      <c r="E55">
        <v>1.9336111111111101</v>
      </c>
      <c r="F55">
        <v>1.8002777777777801</v>
      </c>
      <c r="G55">
        <v>26.18</v>
      </c>
      <c r="H55">
        <v>53.43</v>
      </c>
      <c r="I55">
        <v>60.87</v>
      </c>
      <c r="J55">
        <v>36.82</v>
      </c>
      <c r="L55">
        <v>48.67</v>
      </c>
      <c r="M55">
        <v>33.28</v>
      </c>
      <c r="N55">
        <v>74.84</v>
      </c>
      <c r="O55">
        <v>5.57</v>
      </c>
      <c r="P55">
        <v>48.5</v>
      </c>
      <c r="Q55">
        <v>19.47</v>
      </c>
    </row>
    <row r="56" spans="2:17" x14ac:dyDescent="0.2">
      <c r="B56">
        <v>1.533611111111111</v>
      </c>
      <c r="C56">
        <v>2.50027777777778</v>
      </c>
      <c r="D56">
        <v>2.3669444444444401</v>
      </c>
      <c r="E56">
        <v>1.9669444444444399</v>
      </c>
      <c r="F56">
        <v>1.83361111111111</v>
      </c>
      <c r="G56">
        <v>24.92</v>
      </c>
      <c r="H56">
        <v>52.82</v>
      </c>
      <c r="I56">
        <v>54.2</v>
      </c>
      <c r="J56">
        <v>36.53</v>
      </c>
      <c r="L56">
        <v>48.21</v>
      </c>
      <c r="M56">
        <v>32.69</v>
      </c>
      <c r="N56">
        <v>74.31</v>
      </c>
      <c r="O56">
        <v>4.66</v>
      </c>
      <c r="P56">
        <v>46.49</v>
      </c>
      <c r="Q56">
        <v>15.92</v>
      </c>
    </row>
    <row r="57" spans="2:17" x14ac:dyDescent="0.2">
      <c r="B57">
        <v>1.5669444444444445</v>
      </c>
      <c r="C57">
        <v>2.5336111111111101</v>
      </c>
      <c r="D57">
        <v>2.40027777777778</v>
      </c>
      <c r="E57">
        <v>2.00027777777778</v>
      </c>
      <c r="F57">
        <v>1.8669444444444401</v>
      </c>
      <c r="G57">
        <v>24.36</v>
      </c>
      <c r="H57">
        <v>52.21</v>
      </c>
      <c r="I57">
        <v>56.67</v>
      </c>
      <c r="J57">
        <v>36.24</v>
      </c>
      <c r="L57">
        <v>47.6</v>
      </c>
      <c r="M57">
        <v>32.24</v>
      </c>
      <c r="N57">
        <v>73.599999999999994</v>
      </c>
      <c r="O57">
        <v>3.3</v>
      </c>
      <c r="P57">
        <v>43.87</v>
      </c>
      <c r="Q57">
        <v>12.4</v>
      </c>
    </row>
    <row r="58" spans="2:17" x14ac:dyDescent="0.2">
      <c r="B58">
        <v>1.6002777777777777</v>
      </c>
      <c r="C58">
        <v>2.5669444444444398</v>
      </c>
      <c r="D58">
        <v>2.4336111111111101</v>
      </c>
      <c r="E58">
        <v>2.0336111111111101</v>
      </c>
      <c r="F58">
        <v>1.90027777777778</v>
      </c>
      <c r="G58">
        <v>24.78</v>
      </c>
      <c r="H58">
        <v>51.9</v>
      </c>
      <c r="I58">
        <v>56.67</v>
      </c>
      <c r="J58">
        <v>35.950000000000003</v>
      </c>
      <c r="L58">
        <v>46.98</v>
      </c>
      <c r="M58">
        <v>31.94</v>
      </c>
      <c r="N58">
        <v>73.599999999999994</v>
      </c>
      <c r="O58">
        <v>2.85</v>
      </c>
      <c r="P58">
        <v>40.36</v>
      </c>
      <c r="Q58">
        <v>9.19</v>
      </c>
    </row>
    <row r="59" spans="2:17" x14ac:dyDescent="0.2">
      <c r="B59">
        <v>1.6336111111111111</v>
      </c>
      <c r="C59">
        <v>2.6002777777777801</v>
      </c>
      <c r="D59">
        <v>2.4669444444444402</v>
      </c>
      <c r="E59">
        <v>2.0669444444444398</v>
      </c>
      <c r="F59">
        <v>1.9336111111111101</v>
      </c>
      <c r="G59">
        <v>23.66</v>
      </c>
      <c r="H59">
        <v>51.29</v>
      </c>
      <c r="I59">
        <v>46.74</v>
      </c>
      <c r="J59">
        <v>35.51</v>
      </c>
      <c r="L59">
        <v>46.37</v>
      </c>
      <c r="M59">
        <v>31.5</v>
      </c>
      <c r="N59">
        <v>72.89</v>
      </c>
      <c r="O59">
        <v>2.7</v>
      </c>
      <c r="P59">
        <v>36.729999999999997</v>
      </c>
      <c r="Q59">
        <v>6.01</v>
      </c>
    </row>
    <row r="60" spans="2:17" x14ac:dyDescent="0.2">
      <c r="B60">
        <v>1.6669444444444443</v>
      </c>
      <c r="C60">
        <v>2.6336111111111098</v>
      </c>
      <c r="D60">
        <v>2.50027777777778</v>
      </c>
      <c r="E60">
        <v>2.1002777777777801</v>
      </c>
      <c r="F60">
        <v>1.9669444444444399</v>
      </c>
      <c r="G60">
        <v>22.41</v>
      </c>
      <c r="H60">
        <v>51.14</v>
      </c>
      <c r="I60">
        <v>50.68</v>
      </c>
      <c r="J60">
        <v>35.51</v>
      </c>
      <c r="L60">
        <v>46.06</v>
      </c>
      <c r="M60">
        <v>31.05</v>
      </c>
      <c r="N60">
        <v>72.36</v>
      </c>
      <c r="O60">
        <v>2.5499999999999998</v>
      </c>
      <c r="P60">
        <v>33.43</v>
      </c>
      <c r="Q60">
        <v>3.82</v>
      </c>
    </row>
    <row r="61" spans="2:17" x14ac:dyDescent="0.2">
      <c r="B61">
        <v>1.7002777777777778</v>
      </c>
      <c r="C61">
        <v>2.6669444444444399</v>
      </c>
      <c r="D61">
        <v>2.5336111111111101</v>
      </c>
      <c r="E61">
        <v>2.1336111111111098</v>
      </c>
      <c r="F61">
        <v>2.00027777777778</v>
      </c>
      <c r="G61">
        <v>20.329999999999998</v>
      </c>
      <c r="H61">
        <v>50.38</v>
      </c>
      <c r="I61">
        <v>49.16</v>
      </c>
      <c r="J61">
        <v>35.369999999999997</v>
      </c>
      <c r="L61">
        <v>45.3</v>
      </c>
      <c r="M61">
        <v>30.76</v>
      </c>
      <c r="N61">
        <v>71.819999999999993</v>
      </c>
      <c r="O61">
        <v>2.5499999999999998</v>
      </c>
      <c r="P61">
        <v>30.16</v>
      </c>
      <c r="Q61">
        <v>1.9</v>
      </c>
    </row>
    <row r="62" spans="2:17" x14ac:dyDescent="0.2">
      <c r="B62">
        <v>1.733611111111111</v>
      </c>
      <c r="C62">
        <v>2.7002777777777802</v>
      </c>
      <c r="D62">
        <v>2.5669444444444398</v>
      </c>
      <c r="E62">
        <v>2.1669444444444399</v>
      </c>
      <c r="F62">
        <v>2.0336111111111101</v>
      </c>
      <c r="G62">
        <v>20.05</v>
      </c>
      <c r="H62">
        <v>49.92</v>
      </c>
      <c r="I62">
        <v>48.25</v>
      </c>
      <c r="J62">
        <v>34.64</v>
      </c>
      <c r="L62">
        <v>44.69</v>
      </c>
      <c r="M62">
        <v>30.16</v>
      </c>
      <c r="N62">
        <v>71.12</v>
      </c>
      <c r="O62">
        <v>2.7</v>
      </c>
      <c r="P62">
        <v>27.07</v>
      </c>
      <c r="Q62">
        <v>0.41</v>
      </c>
    </row>
    <row r="63" spans="2:17" x14ac:dyDescent="0.2">
      <c r="B63">
        <v>1.7669444444444444</v>
      </c>
      <c r="C63">
        <v>2.7336111111111099</v>
      </c>
      <c r="D63">
        <v>2.6002777777777801</v>
      </c>
      <c r="E63">
        <v>2.2002777777777802</v>
      </c>
      <c r="F63">
        <v>2.0669444444444398</v>
      </c>
      <c r="G63">
        <v>18.940000000000001</v>
      </c>
      <c r="H63">
        <v>49.31</v>
      </c>
      <c r="I63">
        <v>51.75</v>
      </c>
      <c r="J63">
        <v>33.619999999999997</v>
      </c>
      <c r="L63">
        <v>44.23</v>
      </c>
      <c r="M63">
        <v>29.42</v>
      </c>
      <c r="N63">
        <v>70.59</v>
      </c>
      <c r="O63">
        <v>2.7</v>
      </c>
      <c r="P63">
        <v>24.14</v>
      </c>
      <c r="Q63">
        <v>0</v>
      </c>
    </row>
    <row r="64" spans="2:17" x14ac:dyDescent="0.2">
      <c r="B64">
        <v>1.8002777777777779</v>
      </c>
      <c r="C64">
        <v>2.76694444444444</v>
      </c>
      <c r="D64">
        <v>2.6336111111111098</v>
      </c>
      <c r="E64">
        <v>2.2336111111111099</v>
      </c>
      <c r="F64">
        <v>2.1002777777777801</v>
      </c>
      <c r="G64">
        <v>18.39</v>
      </c>
      <c r="H64">
        <v>48.86</v>
      </c>
      <c r="I64">
        <v>47.65</v>
      </c>
      <c r="J64">
        <v>32.47</v>
      </c>
      <c r="L64">
        <v>43.62</v>
      </c>
      <c r="M64">
        <v>28.39</v>
      </c>
      <c r="N64">
        <v>69.88</v>
      </c>
      <c r="O64">
        <v>2.5499999999999998</v>
      </c>
      <c r="P64">
        <v>21.67</v>
      </c>
      <c r="Q64">
        <v>0</v>
      </c>
    </row>
    <row r="65" spans="2:17" x14ac:dyDescent="0.2">
      <c r="B65">
        <v>1.8336111111111111</v>
      </c>
      <c r="C65">
        <v>2.8002777777777799</v>
      </c>
      <c r="D65">
        <v>2.6669444444444399</v>
      </c>
      <c r="E65">
        <v>2.26694444444444</v>
      </c>
      <c r="F65">
        <v>2.1336111111111098</v>
      </c>
      <c r="G65">
        <v>16.34</v>
      </c>
      <c r="H65">
        <v>48.4</v>
      </c>
      <c r="I65">
        <v>48.25</v>
      </c>
      <c r="J65">
        <v>31.17</v>
      </c>
      <c r="L65">
        <v>43.17</v>
      </c>
      <c r="M65">
        <v>27.51</v>
      </c>
      <c r="N65">
        <v>69</v>
      </c>
      <c r="O65">
        <v>2.5499999999999998</v>
      </c>
      <c r="P65">
        <v>19.649999999999999</v>
      </c>
      <c r="Q65">
        <v>0</v>
      </c>
    </row>
    <row r="66" spans="2:17" x14ac:dyDescent="0.2">
      <c r="B66">
        <v>1.8669444444444445</v>
      </c>
      <c r="C66">
        <v>2.83361111111111</v>
      </c>
      <c r="D66">
        <v>2.7002777777777802</v>
      </c>
      <c r="E66">
        <v>2.3002777777777799</v>
      </c>
      <c r="F66">
        <v>2.1669444444444399</v>
      </c>
      <c r="G66">
        <v>15.79</v>
      </c>
      <c r="H66">
        <v>47.65</v>
      </c>
      <c r="I66">
        <v>48.86</v>
      </c>
      <c r="J66">
        <v>29.59</v>
      </c>
      <c r="L66">
        <v>42.56</v>
      </c>
      <c r="M66">
        <v>26.34</v>
      </c>
      <c r="N66">
        <v>68.650000000000006</v>
      </c>
      <c r="O66">
        <v>2.85</v>
      </c>
      <c r="P66">
        <v>17.93</v>
      </c>
      <c r="Q66">
        <v>0</v>
      </c>
    </row>
    <row r="67" spans="2:17" x14ac:dyDescent="0.2">
      <c r="B67">
        <v>1.9002777777777777</v>
      </c>
      <c r="C67">
        <v>2.8669444444444401</v>
      </c>
      <c r="D67">
        <v>2.7336111111111099</v>
      </c>
      <c r="E67">
        <v>2.33361111111111</v>
      </c>
      <c r="F67">
        <v>2.2002777777777802</v>
      </c>
      <c r="G67">
        <v>14.56</v>
      </c>
      <c r="H67">
        <v>47.2</v>
      </c>
      <c r="I67">
        <v>45.69</v>
      </c>
      <c r="J67">
        <v>28.02</v>
      </c>
      <c r="L67">
        <v>41.8</v>
      </c>
      <c r="M67">
        <v>25.31</v>
      </c>
      <c r="N67">
        <v>68.12</v>
      </c>
      <c r="O67">
        <v>2.7</v>
      </c>
      <c r="P67">
        <v>16.07</v>
      </c>
      <c r="Q67">
        <v>0</v>
      </c>
    </row>
    <row r="68" spans="2:17" x14ac:dyDescent="0.2">
      <c r="B68">
        <v>1.9336111111111112</v>
      </c>
      <c r="C68">
        <v>2.90027777777778</v>
      </c>
      <c r="D68">
        <v>2.76694444444444</v>
      </c>
      <c r="E68">
        <v>2.3669444444444401</v>
      </c>
      <c r="F68">
        <v>2.2336111111111099</v>
      </c>
      <c r="G68">
        <v>15.24</v>
      </c>
      <c r="H68">
        <v>46.44</v>
      </c>
      <c r="I68">
        <v>49.47</v>
      </c>
      <c r="J68">
        <v>26.74</v>
      </c>
      <c r="L68">
        <v>41.35</v>
      </c>
      <c r="M68">
        <v>24.29</v>
      </c>
      <c r="N68">
        <v>67.239999999999995</v>
      </c>
      <c r="O68">
        <v>2.5499999999999998</v>
      </c>
      <c r="P68">
        <v>14.36</v>
      </c>
      <c r="Q68">
        <v>0</v>
      </c>
    </row>
    <row r="69" spans="2:17" x14ac:dyDescent="0.2">
      <c r="B69">
        <v>1.9669444444444444</v>
      </c>
      <c r="C69">
        <v>2.9338888888888901</v>
      </c>
      <c r="D69">
        <v>2.8002777777777799</v>
      </c>
      <c r="E69">
        <v>2.40027777777778</v>
      </c>
      <c r="F69">
        <v>2.26694444444444</v>
      </c>
      <c r="G69">
        <v>15.65</v>
      </c>
      <c r="H69">
        <v>46.14</v>
      </c>
      <c r="I69">
        <v>46.44</v>
      </c>
      <c r="J69">
        <v>25.75</v>
      </c>
      <c r="L69">
        <v>40.74</v>
      </c>
      <c r="M69">
        <v>23.12</v>
      </c>
      <c r="N69">
        <v>66.89</v>
      </c>
      <c r="O69">
        <v>2.85</v>
      </c>
      <c r="P69">
        <v>12.8</v>
      </c>
      <c r="Q69">
        <v>0</v>
      </c>
    </row>
    <row r="70" spans="2:17" x14ac:dyDescent="0.2">
      <c r="B70">
        <v>2.0002777777777778</v>
      </c>
      <c r="C70">
        <v>2.9672222222222202</v>
      </c>
      <c r="D70">
        <v>2.83361111111111</v>
      </c>
      <c r="E70">
        <v>2.4336111111111101</v>
      </c>
      <c r="F70">
        <v>2.3002777777777799</v>
      </c>
      <c r="G70">
        <v>14.15</v>
      </c>
      <c r="H70">
        <v>45.54</v>
      </c>
      <c r="I70">
        <v>45.24</v>
      </c>
      <c r="J70">
        <v>25.04</v>
      </c>
      <c r="L70">
        <v>39.99</v>
      </c>
      <c r="M70">
        <v>21.82</v>
      </c>
      <c r="N70">
        <v>66.02</v>
      </c>
      <c r="O70">
        <v>2.5499999999999998</v>
      </c>
      <c r="P70">
        <v>10.119999999999999</v>
      </c>
      <c r="Q70">
        <v>0</v>
      </c>
    </row>
    <row r="71" spans="2:17" x14ac:dyDescent="0.2">
      <c r="B71">
        <v>2.033611111111111</v>
      </c>
      <c r="C71">
        <v>3.0005555555555601</v>
      </c>
      <c r="D71">
        <v>2.8669444444444401</v>
      </c>
      <c r="E71">
        <v>2.4669444444444402</v>
      </c>
      <c r="F71">
        <v>2.33361111111111</v>
      </c>
      <c r="G71">
        <v>12.93</v>
      </c>
      <c r="H71">
        <v>45.09</v>
      </c>
      <c r="I71">
        <v>50.53</v>
      </c>
      <c r="J71">
        <v>24.47</v>
      </c>
      <c r="L71">
        <v>39.54</v>
      </c>
      <c r="M71">
        <v>20.52</v>
      </c>
      <c r="N71">
        <v>65.319999999999993</v>
      </c>
      <c r="O71">
        <v>2.5499999999999998</v>
      </c>
      <c r="P71">
        <v>8.86</v>
      </c>
      <c r="Q71">
        <v>0</v>
      </c>
    </row>
    <row r="72" spans="2:17" x14ac:dyDescent="0.2">
      <c r="B72">
        <v>2.0669444444444443</v>
      </c>
      <c r="C72">
        <v>3.0338888888888902</v>
      </c>
      <c r="D72">
        <v>2.90027777777778</v>
      </c>
      <c r="E72">
        <v>2.50027777777778</v>
      </c>
      <c r="F72">
        <v>2.3669444444444401</v>
      </c>
      <c r="G72">
        <v>12.52</v>
      </c>
      <c r="H72">
        <v>44.79</v>
      </c>
      <c r="I72">
        <v>48.56</v>
      </c>
      <c r="J72">
        <v>23.91</v>
      </c>
      <c r="L72">
        <v>39.090000000000003</v>
      </c>
      <c r="M72">
        <v>19.510000000000002</v>
      </c>
      <c r="N72">
        <v>64.8</v>
      </c>
      <c r="O72">
        <v>2.7</v>
      </c>
      <c r="P72">
        <v>7.74</v>
      </c>
      <c r="Q72">
        <v>0</v>
      </c>
    </row>
    <row r="73" spans="2:17" x14ac:dyDescent="0.2">
      <c r="B73">
        <v>2.1002777777777779</v>
      </c>
      <c r="C73">
        <v>3.0672222222222199</v>
      </c>
      <c r="D73">
        <v>2.9338888888888901</v>
      </c>
      <c r="E73">
        <v>2.5336111111111101</v>
      </c>
      <c r="F73">
        <v>2.40027777777778</v>
      </c>
      <c r="G73">
        <v>11.71</v>
      </c>
      <c r="H73">
        <v>44.19</v>
      </c>
      <c r="I73">
        <v>48.71</v>
      </c>
      <c r="J73">
        <v>22.92</v>
      </c>
      <c r="L73">
        <v>38.340000000000003</v>
      </c>
      <c r="M73">
        <v>18.5</v>
      </c>
      <c r="N73">
        <v>63.93</v>
      </c>
      <c r="O73">
        <v>2.85</v>
      </c>
      <c r="P73">
        <v>6.77</v>
      </c>
      <c r="Q73">
        <v>0</v>
      </c>
    </row>
    <row r="74" spans="2:17" x14ac:dyDescent="0.2">
      <c r="B74">
        <v>2.1336111111111111</v>
      </c>
      <c r="C74">
        <v>3.1005555555555602</v>
      </c>
      <c r="D74">
        <v>2.9672222222222202</v>
      </c>
      <c r="E74">
        <v>2.5669444444444398</v>
      </c>
      <c r="F74">
        <v>2.4336111111111101</v>
      </c>
      <c r="G74">
        <v>10.36</v>
      </c>
      <c r="H74">
        <v>43.89</v>
      </c>
      <c r="I74">
        <v>44.64</v>
      </c>
      <c r="J74">
        <v>21.38</v>
      </c>
      <c r="L74">
        <v>37.74</v>
      </c>
      <c r="M74">
        <v>17.36</v>
      </c>
      <c r="N74">
        <v>63.41</v>
      </c>
      <c r="O74">
        <v>2.7</v>
      </c>
      <c r="P74">
        <v>5.65</v>
      </c>
      <c r="Q74">
        <v>0</v>
      </c>
    </row>
    <row r="75" spans="2:17" x14ac:dyDescent="0.2">
      <c r="B75">
        <v>2.1669444444444448</v>
      </c>
      <c r="C75">
        <v>3.1338888888888898</v>
      </c>
      <c r="D75">
        <v>3.0005555555555601</v>
      </c>
      <c r="E75">
        <v>2.6002777777777801</v>
      </c>
      <c r="F75">
        <v>2.4669444444444402</v>
      </c>
      <c r="G75">
        <v>10.63</v>
      </c>
      <c r="H75">
        <v>43.59</v>
      </c>
      <c r="I75">
        <v>46.59</v>
      </c>
      <c r="J75">
        <v>19.420000000000002</v>
      </c>
      <c r="L75">
        <v>36.99</v>
      </c>
      <c r="M75">
        <v>16.350000000000001</v>
      </c>
      <c r="N75">
        <v>62.37</v>
      </c>
      <c r="O75">
        <v>2.7</v>
      </c>
      <c r="P75">
        <v>4.54</v>
      </c>
      <c r="Q75">
        <v>0</v>
      </c>
    </row>
    <row r="76" spans="2:17" x14ac:dyDescent="0.2">
      <c r="B76">
        <v>2.200277777777778</v>
      </c>
      <c r="C76">
        <v>3.1672222222222199</v>
      </c>
      <c r="D76">
        <v>3.0338888888888902</v>
      </c>
      <c r="E76">
        <v>2.6336111111111098</v>
      </c>
      <c r="F76">
        <v>2.50027777777778</v>
      </c>
      <c r="G76">
        <v>10.36</v>
      </c>
      <c r="H76">
        <v>42.99</v>
      </c>
      <c r="I76">
        <v>45.84</v>
      </c>
      <c r="J76">
        <v>17.75</v>
      </c>
      <c r="L76">
        <v>36.69</v>
      </c>
      <c r="M76">
        <v>15.21</v>
      </c>
      <c r="N76">
        <v>61.85</v>
      </c>
      <c r="O76">
        <v>2.85</v>
      </c>
      <c r="P76">
        <v>3.57</v>
      </c>
      <c r="Q76">
        <v>0</v>
      </c>
    </row>
    <row r="77" spans="2:17" x14ac:dyDescent="0.2">
      <c r="B77">
        <v>2.2336111111111112</v>
      </c>
      <c r="C77">
        <v>3.2005555555555598</v>
      </c>
      <c r="D77">
        <v>3.0672222222222199</v>
      </c>
      <c r="E77">
        <v>2.6669444444444399</v>
      </c>
      <c r="F77">
        <v>2.5336111111111101</v>
      </c>
      <c r="G77">
        <v>10.36</v>
      </c>
      <c r="H77">
        <v>42.7</v>
      </c>
      <c r="I77">
        <v>42.99</v>
      </c>
      <c r="J77">
        <v>16.78</v>
      </c>
      <c r="L77">
        <v>36.1</v>
      </c>
      <c r="M77">
        <v>14.08</v>
      </c>
      <c r="N77">
        <v>61.33</v>
      </c>
      <c r="O77">
        <v>2.85</v>
      </c>
      <c r="P77">
        <v>2.61</v>
      </c>
      <c r="Q77">
        <v>0</v>
      </c>
    </row>
    <row r="78" spans="2:17" x14ac:dyDescent="0.2">
      <c r="B78">
        <v>2.2669444444444449</v>
      </c>
      <c r="C78">
        <v>3.2338888888888899</v>
      </c>
      <c r="D78">
        <v>3.1005555555555602</v>
      </c>
      <c r="E78">
        <v>2.7002777777777802</v>
      </c>
      <c r="F78">
        <v>2.5669444444444398</v>
      </c>
      <c r="G78">
        <v>10.63</v>
      </c>
      <c r="H78">
        <v>42.55</v>
      </c>
      <c r="I78">
        <v>49.16</v>
      </c>
      <c r="J78">
        <v>16.09</v>
      </c>
      <c r="L78">
        <v>35.5</v>
      </c>
      <c r="M78">
        <v>13.08</v>
      </c>
      <c r="N78">
        <v>60.64</v>
      </c>
      <c r="O78">
        <v>2.85</v>
      </c>
      <c r="P78">
        <v>1.37</v>
      </c>
      <c r="Q78">
        <v>0</v>
      </c>
    </row>
    <row r="79" spans="2:17" x14ac:dyDescent="0.2">
      <c r="B79">
        <v>2.3002777777777781</v>
      </c>
      <c r="C79">
        <v>3.26722222222222</v>
      </c>
      <c r="D79">
        <v>3.1338888888888898</v>
      </c>
      <c r="E79">
        <v>2.7336111111111099</v>
      </c>
      <c r="F79">
        <v>2.6002777777777801</v>
      </c>
      <c r="G79">
        <v>9.15</v>
      </c>
      <c r="H79">
        <v>42.1</v>
      </c>
      <c r="I79">
        <v>42.84</v>
      </c>
      <c r="J79">
        <v>15.13</v>
      </c>
      <c r="L79">
        <v>35.049999999999997</v>
      </c>
      <c r="M79">
        <v>11.95</v>
      </c>
      <c r="N79">
        <v>59.95</v>
      </c>
      <c r="O79">
        <v>2.7</v>
      </c>
      <c r="P79">
        <v>0.55000000000000004</v>
      </c>
      <c r="Q79">
        <v>0</v>
      </c>
    </row>
    <row r="80" spans="2:17" x14ac:dyDescent="0.2">
      <c r="B80">
        <v>2.3336111111111113</v>
      </c>
      <c r="C80">
        <v>3.3005555555555599</v>
      </c>
      <c r="D80">
        <v>3.1672222222222199</v>
      </c>
      <c r="E80">
        <v>2.76694444444444</v>
      </c>
      <c r="F80">
        <v>2.6336111111111098</v>
      </c>
      <c r="G80">
        <v>9.69</v>
      </c>
      <c r="H80">
        <v>41.65</v>
      </c>
      <c r="I80">
        <v>41.95</v>
      </c>
      <c r="J80">
        <v>14.16</v>
      </c>
      <c r="L80">
        <v>34.61</v>
      </c>
      <c r="M80">
        <v>10.97</v>
      </c>
      <c r="N80">
        <v>58.75</v>
      </c>
      <c r="O80">
        <v>2.7</v>
      </c>
      <c r="P80">
        <v>0</v>
      </c>
      <c r="Q80">
        <v>0</v>
      </c>
    </row>
    <row r="81" spans="2:17" x14ac:dyDescent="0.2">
      <c r="B81">
        <v>2.3669444444444445</v>
      </c>
      <c r="C81">
        <v>3.33388888888889</v>
      </c>
      <c r="D81">
        <v>3.2005555555555598</v>
      </c>
      <c r="E81">
        <v>2.8002777777777799</v>
      </c>
      <c r="F81">
        <v>2.6669444444444399</v>
      </c>
      <c r="G81">
        <v>9.9600000000000009</v>
      </c>
      <c r="H81">
        <v>41.21</v>
      </c>
      <c r="I81">
        <v>41.06</v>
      </c>
      <c r="J81">
        <v>13.75</v>
      </c>
      <c r="L81">
        <v>34.159999999999997</v>
      </c>
      <c r="M81">
        <v>9.84</v>
      </c>
      <c r="N81">
        <v>58.06</v>
      </c>
      <c r="O81">
        <v>2.85</v>
      </c>
      <c r="P81">
        <v>0</v>
      </c>
      <c r="Q81">
        <v>0</v>
      </c>
    </row>
    <row r="82" spans="2:17" x14ac:dyDescent="0.2">
      <c r="B82">
        <v>2.4002777777777782</v>
      </c>
      <c r="C82">
        <v>3.3672222222222201</v>
      </c>
      <c r="D82">
        <v>3.2338888888888899</v>
      </c>
      <c r="E82">
        <v>2.83361111111111</v>
      </c>
      <c r="F82">
        <v>2.7002777777777802</v>
      </c>
      <c r="G82">
        <v>8.8800000000000008</v>
      </c>
      <c r="H82">
        <v>40.61</v>
      </c>
      <c r="I82">
        <v>42.25</v>
      </c>
      <c r="J82">
        <v>13.2</v>
      </c>
      <c r="L82">
        <v>33.42</v>
      </c>
      <c r="M82">
        <v>8.58</v>
      </c>
      <c r="N82">
        <v>57.55</v>
      </c>
      <c r="O82">
        <v>2.85</v>
      </c>
      <c r="P82">
        <v>0</v>
      </c>
      <c r="Q82">
        <v>0</v>
      </c>
    </row>
    <row r="83" spans="2:17" x14ac:dyDescent="0.2">
      <c r="B83">
        <v>2.4336111111111114</v>
      </c>
      <c r="C83">
        <v>3.40055555555556</v>
      </c>
      <c r="D83">
        <v>3.26722222222222</v>
      </c>
      <c r="E83">
        <v>2.8669444444444401</v>
      </c>
      <c r="F83">
        <v>2.7336111111111099</v>
      </c>
      <c r="G83">
        <v>7.94</v>
      </c>
      <c r="H83">
        <v>39.43</v>
      </c>
      <c r="I83">
        <v>36.92</v>
      </c>
      <c r="J83">
        <v>12.24</v>
      </c>
      <c r="L83">
        <v>33.130000000000003</v>
      </c>
      <c r="M83">
        <v>7.32</v>
      </c>
      <c r="N83">
        <v>56.52</v>
      </c>
      <c r="O83">
        <v>2.85</v>
      </c>
      <c r="P83">
        <v>0</v>
      </c>
      <c r="Q83">
        <v>0</v>
      </c>
    </row>
    <row r="84" spans="2:17" x14ac:dyDescent="0.2">
      <c r="B84">
        <v>2.4669444444444446</v>
      </c>
      <c r="C84">
        <v>3.4338888888888901</v>
      </c>
      <c r="D84">
        <v>3.3005555555555599</v>
      </c>
      <c r="E84">
        <v>2.90027777777778</v>
      </c>
      <c r="F84">
        <v>2.76694444444444</v>
      </c>
      <c r="G84">
        <v>7.68</v>
      </c>
      <c r="H84">
        <v>38.54</v>
      </c>
      <c r="I84">
        <v>42.55</v>
      </c>
      <c r="J84">
        <v>10.74</v>
      </c>
      <c r="L84">
        <v>32.68</v>
      </c>
      <c r="M84">
        <v>5.79</v>
      </c>
      <c r="N84">
        <v>55.67</v>
      </c>
      <c r="O84">
        <v>2.5499999999999998</v>
      </c>
      <c r="P84">
        <v>0</v>
      </c>
      <c r="Q84">
        <v>0</v>
      </c>
    </row>
    <row r="85" spans="2:17" x14ac:dyDescent="0.2">
      <c r="B85">
        <v>2.5002777777777778</v>
      </c>
      <c r="C85">
        <v>3.4672222222222202</v>
      </c>
      <c r="D85">
        <v>3.33388888888889</v>
      </c>
      <c r="E85">
        <v>2.9338888888888901</v>
      </c>
      <c r="F85">
        <v>2.8002777777777799</v>
      </c>
      <c r="G85">
        <v>7.94</v>
      </c>
      <c r="H85">
        <v>37.51</v>
      </c>
      <c r="I85">
        <v>40.909999999999997</v>
      </c>
      <c r="J85">
        <v>9.3800000000000008</v>
      </c>
      <c r="L85">
        <v>31.94</v>
      </c>
      <c r="M85">
        <v>4.2699999999999996</v>
      </c>
      <c r="N85">
        <v>54.98</v>
      </c>
      <c r="O85">
        <v>2.85</v>
      </c>
      <c r="P85">
        <v>0</v>
      </c>
      <c r="Q85">
        <v>0</v>
      </c>
    </row>
    <row r="86" spans="2:17" x14ac:dyDescent="0.2">
      <c r="B86">
        <v>2.5336111111111115</v>
      </c>
      <c r="C86">
        <v>3.5005555555555601</v>
      </c>
      <c r="D86">
        <v>3.3672222222222201</v>
      </c>
      <c r="E86">
        <v>2.9672222222222202</v>
      </c>
      <c r="F86">
        <v>2.83361111111111</v>
      </c>
      <c r="G86">
        <v>7.81</v>
      </c>
      <c r="H86">
        <v>36.479999999999997</v>
      </c>
      <c r="I86">
        <v>43.89</v>
      </c>
      <c r="J86">
        <v>8.57</v>
      </c>
      <c r="L86">
        <v>31.5</v>
      </c>
      <c r="M86">
        <v>3.16</v>
      </c>
      <c r="N86">
        <v>53.79</v>
      </c>
      <c r="O86">
        <v>2.85</v>
      </c>
      <c r="P86">
        <v>0</v>
      </c>
      <c r="Q86">
        <v>0</v>
      </c>
    </row>
    <row r="87" spans="2:17" x14ac:dyDescent="0.2">
      <c r="B87">
        <v>2.5669444444444447</v>
      </c>
      <c r="C87">
        <v>3.5338888888888902</v>
      </c>
      <c r="D87">
        <v>3.40055555555556</v>
      </c>
      <c r="E87">
        <v>3.0005555555555601</v>
      </c>
      <c r="F87">
        <v>2.8669444444444401</v>
      </c>
      <c r="G87">
        <v>7.41</v>
      </c>
      <c r="H87">
        <v>35.46</v>
      </c>
      <c r="I87">
        <v>38.4</v>
      </c>
      <c r="J87">
        <v>8.0299999999999994</v>
      </c>
      <c r="L87">
        <v>31.21</v>
      </c>
      <c r="M87">
        <v>2.88</v>
      </c>
      <c r="N87">
        <v>52.95</v>
      </c>
      <c r="O87">
        <v>2.5499999999999998</v>
      </c>
      <c r="P87">
        <v>0</v>
      </c>
      <c r="Q87">
        <v>0</v>
      </c>
    </row>
    <row r="88" spans="2:17" x14ac:dyDescent="0.2">
      <c r="B88">
        <v>2.6002777777777779</v>
      </c>
      <c r="C88">
        <v>3.5672222222222199</v>
      </c>
      <c r="D88">
        <v>3.4338888888888901</v>
      </c>
      <c r="E88">
        <v>3.0338888888888902</v>
      </c>
      <c r="F88">
        <v>2.90027777777778</v>
      </c>
      <c r="G88">
        <v>7.28</v>
      </c>
      <c r="H88">
        <v>34.43</v>
      </c>
      <c r="I88">
        <v>37.950000000000003</v>
      </c>
      <c r="J88">
        <v>7.62</v>
      </c>
      <c r="L88">
        <v>30.62</v>
      </c>
      <c r="M88">
        <v>2.75</v>
      </c>
      <c r="N88">
        <v>52.27</v>
      </c>
      <c r="O88">
        <v>2.7</v>
      </c>
      <c r="P88">
        <v>0</v>
      </c>
      <c r="Q88">
        <v>0</v>
      </c>
    </row>
    <row r="89" spans="2:17" x14ac:dyDescent="0.2">
      <c r="B89">
        <v>2.6336111111111111</v>
      </c>
      <c r="C89">
        <v>3.6005555555555602</v>
      </c>
      <c r="D89">
        <v>3.4672222222222202</v>
      </c>
      <c r="E89">
        <v>3.0672222222222199</v>
      </c>
      <c r="F89">
        <v>2.9338888888888901</v>
      </c>
      <c r="G89">
        <v>6.74</v>
      </c>
      <c r="H89">
        <v>33.409999999999997</v>
      </c>
      <c r="I89">
        <v>39.72</v>
      </c>
      <c r="J89">
        <v>7.49</v>
      </c>
      <c r="L89">
        <v>30.18</v>
      </c>
      <c r="M89">
        <v>2.88</v>
      </c>
      <c r="N89">
        <v>51.76</v>
      </c>
      <c r="O89">
        <v>2.7</v>
      </c>
      <c r="P89">
        <v>0</v>
      </c>
      <c r="Q89">
        <v>0</v>
      </c>
    </row>
    <row r="90" spans="2:17" x14ac:dyDescent="0.2">
      <c r="B90">
        <v>2.6669444444444448</v>
      </c>
      <c r="C90">
        <v>3.6338888888888898</v>
      </c>
      <c r="D90">
        <v>3.5005555555555601</v>
      </c>
      <c r="E90">
        <v>3.1005555555555602</v>
      </c>
      <c r="F90">
        <v>2.9672222222222202</v>
      </c>
      <c r="G90">
        <v>6.61</v>
      </c>
      <c r="H90">
        <v>32.54</v>
      </c>
      <c r="I90">
        <v>35.020000000000003</v>
      </c>
      <c r="J90">
        <v>7.35</v>
      </c>
      <c r="L90">
        <v>29.45</v>
      </c>
      <c r="M90">
        <v>2.75</v>
      </c>
      <c r="N90">
        <v>50.75</v>
      </c>
      <c r="O90">
        <v>2.5499999999999998</v>
      </c>
      <c r="P90">
        <v>0</v>
      </c>
      <c r="Q90">
        <v>0</v>
      </c>
    </row>
    <row r="91" spans="2:17" x14ac:dyDescent="0.2">
      <c r="B91">
        <v>2.700277777777778</v>
      </c>
      <c r="C91">
        <v>3.6672222222222199</v>
      </c>
      <c r="D91">
        <v>3.5338888888888902</v>
      </c>
      <c r="E91">
        <v>3.1338888888888898</v>
      </c>
      <c r="F91">
        <v>3.0005555555555601</v>
      </c>
      <c r="G91">
        <v>6.21</v>
      </c>
      <c r="H91">
        <v>31.67</v>
      </c>
      <c r="I91">
        <v>35.75</v>
      </c>
      <c r="J91">
        <v>7.22</v>
      </c>
      <c r="L91">
        <v>29.01</v>
      </c>
      <c r="M91">
        <v>2.88</v>
      </c>
      <c r="N91">
        <v>50.25</v>
      </c>
      <c r="O91">
        <v>2.7</v>
      </c>
      <c r="P91">
        <v>0</v>
      </c>
      <c r="Q91">
        <v>0</v>
      </c>
    </row>
    <row r="92" spans="2:17" x14ac:dyDescent="0.2">
      <c r="B92">
        <v>2.7336111111111112</v>
      </c>
      <c r="C92">
        <v>3.7005555555555598</v>
      </c>
      <c r="D92">
        <v>3.5672222222222199</v>
      </c>
      <c r="E92">
        <v>3.1672222222222199</v>
      </c>
      <c r="F92">
        <v>3.0338888888888902</v>
      </c>
      <c r="G92">
        <v>5.94</v>
      </c>
      <c r="H92">
        <v>30.8</v>
      </c>
      <c r="I92">
        <v>35.46</v>
      </c>
      <c r="J92">
        <v>6.54</v>
      </c>
      <c r="L92">
        <v>28.42</v>
      </c>
      <c r="M92">
        <v>2.61</v>
      </c>
      <c r="N92">
        <v>49.57</v>
      </c>
      <c r="O92">
        <v>2.7</v>
      </c>
    </row>
    <row r="93" spans="2:17" x14ac:dyDescent="0.2">
      <c r="B93">
        <v>2.7669444444444449</v>
      </c>
      <c r="C93">
        <v>3.7338888888888899</v>
      </c>
      <c r="D93">
        <v>3.6005555555555602</v>
      </c>
      <c r="E93">
        <v>3.2005555555555598</v>
      </c>
      <c r="F93">
        <v>3.0672222222222199</v>
      </c>
      <c r="G93">
        <v>5.68</v>
      </c>
      <c r="H93">
        <v>30.23</v>
      </c>
      <c r="I93">
        <v>34.29</v>
      </c>
      <c r="J93">
        <v>6.41</v>
      </c>
      <c r="L93">
        <v>27.98</v>
      </c>
      <c r="M93">
        <v>2.75</v>
      </c>
      <c r="N93">
        <v>49.24</v>
      </c>
      <c r="O93">
        <v>2.5499999999999998</v>
      </c>
    </row>
    <row r="94" spans="2:17" x14ac:dyDescent="0.2">
      <c r="B94">
        <v>2.8002777777777781</v>
      </c>
      <c r="C94">
        <v>3.76722222222222</v>
      </c>
      <c r="D94">
        <v>3.6338888888888898</v>
      </c>
      <c r="E94">
        <v>3.2338888888888899</v>
      </c>
      <c r="F94">
        <v>3.1005555555555602</v>
      </c>
      <c r="G94">
        <v>5.81</v>
      </c>
      <c r="H94">
        <v>29.79</v>
      </c>
      <c r="I94">
        <v>35.6</v>
      </c>
      <c r="J94">
        <v>6.27</v>
      </c>
      <c r="L94">
        <v>27.11</v>
      </c>
      <c r="M94">
        <v>2.75</v>
      </c>
      <c r="N94">
        <v>48.23</v>
      </c>
      <c r="O94">
        <v>2.7</v>
      </c>
    </row>
    <row r="95" spans="2:17" x14ac:dyDescent="0.2">
      <c r="B95">
        <v>2.8336111111111113</v>
      </c>
      <c r="C95">
        <v>3.8005555555555599</v>
      </c>
      <c r="D95">
        <v>3.6672222222222199</v>
      </c>
      <c r="E95">
        <v>3.26722222222222</v>
      </c>
      <c r="F95">
        <v>3.1338888888888898</v>
      </c>
      <c r="G95">
        <v>5.68</v>
      </c>
      <c r="H95">
        <v>29.22</v>
      </c>
      <c r="I95">
        <v>32.83</v>
      </c>
      <c r="J95">
        <v>6.27</v>
      </c>
      <c r="L95">
        <v>26.67</v>
      </c>
      <c r="M95">
        <v>2.75</v>
      </c>
      <c r="N95">
        <v>47.73</v>
      </c>
      <c r="O95">
        <v>2.85</v>
      </c>
    </row>
    <row r="96" spans="2:17" x14ac:dyDescent="0.2">
      <c r="B96">
        <v>2.8669444444444445</v>
      </c>
      <c r="C96">
        <v>3.83388888888889</v>
      </c>
      <c r="D96">
        <v>3.7005555555555598</v>
      </c>
      <c r="E96">
        <v>3.3005555555555599</v>
      </c>
      <c r="F96">
        <v>3.1672222222222199</v>
      </c>
      <c r="G96">
        <v>5.81</v>
      </c>
      <c r="H96">
        <v>28.79</v>
      </c>
      <c r="I96">
        <v>33.119999999999997</v>
      </c>
      <c r="J96">
        <v>5.87</v>
      </c>
      <c r="L96">
        <v>26.09</v>
      </c>
      <c r="M96">
        <v>2.75</v>
      </c>
      <c r="N96">
        <v>47.23</v>
      </c>
      <c r="O96">
        <v>2.7</v>
      </c>
    </row>
    <row r="97" spans="2:15" x14ac:dyDescent="0.2">
      <c r="B97">
        <v>2.9002777777777782</v>
      </c>
      <c r="C97">
        <v>3.8672222222222201</v>
      </c>
      <c r="D97">
        <v>3.7338888888888899</v>
      </c>
      <c r="E97">
        <v>3.33388888888889</v>
      </c>
      <c r="F97">
        <v>3.2005555555555598</v>
      </c>
      <c r="G97">
        <v>6.08</v>
      </c>
      <c r="H97">
        <v>28.21</v>
      </c>
      <c r="I97">
        <v>31.38</v>
      </c>
      <c r="J97">
        <v>5.6</v>
      </c>
      <c r="L97">
        <v>25.66</v>
      </c>
      <c r="M97">
        <v>2.88</v>
      </c>
      <c r="N97">
        <v>46.39</v>
      </c>
      <c r="O97">
        <v>2.5499999999999998</v>
      </c>
    </row>
    <row r="98" spans="2:15" x14ac:dyDescent="0.2">
      <c r="B98">
        <v>2.9338888888888888</v>
      </c>
      <c r="C98">
        <v>3.90055555555556</v>
      </c>
      <c r="D98">
        <v>3.76722222222222</v>
      </c>
      <c r="E98">
        <v>3.3672222222222201</v>
      </c>
      <c r="F98">
        <v>3.2338888888888899</v>
      </c>
      <c r="G98">
        <v>5.94</v>
      </c>
      <c r="H98">
        <v>28.07</v>
      </c>
      <c r="I98">
        <v>30.95</v>
      </c>
      <c r="J98">
        <v>5.33</v>
      </c>
      <c r="L98">
        <v>25.37</v>
      </c>
      <c r="M98">
        <v>2.61</v>
      </c>
      <c r="N98">
        <v>45.73</v>
      </c>
      <c r="O98">
        <v>2.5499999999999998</v>
      </c>
    </row>
    <row r="99" spans="2:15" x14ac:dyDescent="0.2">
      <c r="B99">
        <v>2.967222222222222</v>
      </c>
      <c r="C99">
        <v>3.9338888888888901</v>
      </c>
      <c r="D99">
        <v>3.8005555555555599</v>
      </c>
      <c r="E99">
        <v>3.40055555555556</v>
      </c>
      <c r="F99">
        <v>3.26722222222222</v>
      </c>
      <c r="G99">
        <v>5.81</v>
      </c>
      <c r="H99">
        <v>27.49</v>
      </c>
      <c r="I99">
        <v>32.83</v>
      </c>
      <c r="J99">
        <v>5.0599999999999996</v>
      </c>
      <c r="L99">
        <v>24.64</v>
      </c>
      <c r="M99">
        <v>2.75</v>
      </c>
      <c r="N99">
        <v>45.23</v>
      </c>
      <c r="O99">
        <v>2.5499999999999998</v>
      </c>
    </row>
    <row r="100" spans="2:15" x14ac:dyDescent="0.2">
      <c r="B100">
        <v>3.0005555555555556</v>
      </c>
      <c r="C100">
        <v>3.9672222222222202</v>
      </c>
      <c r="D100">
        <v>3.83388888888889</v>
      </c>
      <c r="E100">
        <v>3.4338888888888901</v>
      </c>
      <c r="F100">
        <v>3.3005555555555599</v>
      </c>
      <c r="G100">
        <v>5.68</v>
      </c>
      <c r="H100">
        <v>27.21</v>
      </c>
      <c r="I100">
        <v>34.58</v>
      </c>
      <c r="J100">
        <v>4.93</v>
      </c>
      <c r="L100">
        <v>23.92</v>
      </c>
      <c r="M100">
        <v>2.75</v>
      </c>
      <c r="N100">
        <v>44.73</v>
      </c>
      <c r="O100">
        <v>2.5499999999999998</v>
      </c>
    </row>
    <row r="101" spans="2:15" x14ac:dyDescent="0.2">
      <c r="B101">
        <v>3.0338888888888889</v>
      </c>
      <c r="C101">
        <v>4.0005555555555601</v>
      </c>
      <c r="D101">
        <v>3.8672222222222201</v>
      </c>
      <c r="E101">
        <v>3.4672222222222202</v>
      </c>
      <c r="F101">
        <v>3.33388888888889</v>
      </c>
      <c r="G101">
        <v>5.54</v>
      </c>
      <c r="H101">
        <v>27.06</v>
      </c>
      <c r="I101">
        <v>28.79</v>
      </c>
      <c r="J101">
        <v>4.8</v>
      </c>
      <c r="L101">
        <v>23.34</v>
      </c>
      <c r="M101">
        <v>2.61</v>
      </c>
      <c r="N101">
        <v>44.23</v>
      </c>
      <c r="O101">
        <v>2.5499999999999998</v>
      </c>
    </row>
    <row r="102" spans="2:15" x14ac:dyDescent="0.2">
      <c r="B102">
        <v>3.0672222222222221</v>
      </c>
      <c r="C102">
        <v>4.0338888888888897</v>
      </c>
      <c r="D102">
        <v>3.90055555555556</v>
      </c>
      <c r="E102">
        <v>3.5005555555555601</v>
      </c>
      <c r="F102">
        <v>3.3672222222222201</v>
      </c>
      <c r="G102">
        <v>5.41</v>
      </c>
      <c r="H102">
        <v>26.78</v>
      </c>
      <c r="I102">
        <v>32.69</v>
      </c>
      <c r="J102">
        <v>4.8</v>
      </c>
      <c r="L102">
        <v>22.91</v>
      </c>
      <c r="M102">
        <v>2.4700000000000002</v>
      </c>
      <c r="N102">
        <v>43.07</v>
      </c>
      <c r="O102">
        <v>2.5499999999999998</v>
      </c>
    </row>
    <row r="103" spans="2:15" x14ac:dyDescent="0.2">
      <c r="B103">
        <v>3.1005555555555557</v>
      </c>
      <c r="C103">
        <v>4.0672222222222203</v>
      </c>
      <c r="D103">
        <v>3.9338888888888901</v>
      </c>
      <c r="E103">
        <v>3.5338888888888902</v>
      </c>
      <c r="F103">
        <v>3.40055555555556</v>
      </c>
      <c r="G103">
        <v>5.14</v>
      </c>
      <c r="H103">
        <v>26.21</v>
      </c>
      <c r="I103">
        <v>30.8</v>
      </c>
      <c r="J103">
        <v>4.93</v>
      </c>
      <c r="L103">
        <v>22.34</v>
      </c>
      <c r="M103">
        <v>2.75</v>
      </c>
      <c r="N103">
        <v>42.57</v>
      </c>
      <c r="O103">
        <v>2.5499999999999998</v>
      </c>
    </row>
    <row r="104" spans="2:15" x14ac:dyDescent="0.2">
      <c r="B104">
        <v>3.1338888888888889</v>
      </c>
      <c r="C104">
        <v>4.1005555555555597</v>
      </c>
      <c r="D104">
        <v>3.9672222222222202</v>
      </c>
      <c r="E104">
        <v>3.5672222222222199</v>
      </c>
      <c r="F104">
        <v>3.4338888888888901</v>
      </c>
      <c r="G104">
        <v>5.28</v>
      </c>
      <c r="H104">
        <v>25.92</v>
      </c>
      <c r="I104">
        <v>30.37</v>
      </c>
      <c r="J104">
        <v>4.13</v>
      </c>
      <c r="L104">
        <v>21.76</v>
      </c>
      <c r="M104">
        <v>2.4700000000000002</v>
      </c>
      <c r="N104">
        <v>41.58</v>
      </c>
      <c r="O104">
        <v>2.5499999999999998</v>
      </c>
    </row>
    <row r="105" spans="2:15" x14ac:dyDescent="0.2">
      <c r="B105">
        <v>3.1672222222222222</v>
      </c>
      <c r="C105">
        <v>4.1338888888888903</v>
      </c>
      <c r="D105">
        <v>4.0005555555555601</v>
      </c>
      <c r="E105">
        <v>3.6005555555555602</v>
      </c>
      <c r="F105">
        <v>3.4672222222222202</v>
      </c>
      <c r="G105">
        <v>5.28</v>
      </c>
      <c r="H105">
        <v>25.64</v>
      </c>
      <c r="I105">
        <v>26.35</v>
      </c>
      <c r="J105">
        <v>4.13</v>
      </c>
      <c r="L105">
        <v>21.19</v>
      </c>
      <c r="M105">
        <v>2.75</v>
      </c>
      <c r="N105">
        <v>41.09</v>
      </c>
      <c r="O105">
        <v>2.4</v>
      </c>
    </row>
    <row r="106" spans="2:15" x14ac:dyDescent="0.2">
      <c r="B106">
        <v>3.2005555555555554</v>
      </c>
      <c r="C106">
        <v>4.1672222222222199</v>
      </c>
      <c r="D106">
        <v>4.0338888888888897</v>
      </c>
      <c r="E106">
        <v>3.6338888888888898</v>
      </c>
      <c r="F106">
        <v>3.5005555555555601</v>
      </c>
      <c r="G106">
        <v>5.28</v>
      </c>
      <c r="H106">
        <v>25.21</v>
      </c>
      <c r="I106">
        <v>29.22</v>
      </c>
      <c r="J106">
        <v>4.13</v>
      </c>
      <c r="L106">
        <v>20.61</v>
      </c>
      <c r="M106">
        <v>2.61</v>
      </c>
      <c r="N106">
        <v>40.1</v>
      </c>
      <c r="O106">
        <v>2.5499999999999998</v>
      </c>
    </row>
    <row r="107" spans="2:15" x14ac:dyDescent="0.2">
      <c r="B107">
        <v>3.233888888888889</v>
      </c>
      <c r="C107">
        <v>4.2005555555555603</v>
      </c>
      <c r="D107">
        <v>4.0672222222222203</v>
      </c>
      <c r="E107">
        <v>3.6672222222222199</v>
      </c>
      <c r="F107">
        <v>3.5338888888888902</v>
      </c>
      <c r="G107">
        <v>5.28</v>
      </c>
      <c r="H107">
        <v>24.64</v>
      </c>
      <c r="I107">
        <v>24.78</v>
      </c>
      <c r="J107">
        <v>4.13</v>
      </c>
      <c r="M107">
        <v>2.4700000000000002</v>
      </c>
      <c r="N107">
        <v>39.28</v>
      </c>
      <c r="O107">
        <v>2.4</v>
      </c>
    </row>
    <row r="108" spans="2:15" x14ac:dyDescent="0.2">
      <c r="B108">
        <v>3.2672222222222222</v>
      </c>
      <c r="C108">
        <v>4.2338888888888899</v>
      </c>
      <c r="E108">
        <v>3.7005555555555598</v>
      </c>
      <c r="F108">
        <v>3.5672222222222199</v>
      </c>
      <c r="G108">
        <v>5.41</v>
      </c>
      <c r="H108">
        <v>24.21</v>
      </c>
      <c r="I108">
        <v>23.93</v>
      </c>
      <c r="J108">
        <v>4.3899999999999997</v>
      </c>
      <c r="N108">
        <v>38.79</v>
      </c>
      <c r="O108">
        <v>2.5499999999999998</v>
      </c>
    </row>
    <row r="109" spans="2:15" x14ac:dyDescent="0.2">
      <c r="B109">
        <v>3.3005555555555555</v>
      </c>
      <c r="C109">
        <v>4.2672222222222196</v>
      </c>
      <c r="E109">
        <v>3.7338888888888899</v>
      </c>
      <c r="F109">
        <v>3.6005555555555602</v>
      </c>
      <c r="G109">
        <v>5.28</v>
      </c>
      <c r="H109">
        <v>23.5</v>
      </c>
      <c r="I109">
        <v>28.5</v>
      </c>
      <c r="J109">
        <v>4.53</v>
      </c>
      <c r="N109">
        <v>37.97</v>
      </c>
      <c r="O109">
        <v>2.4</v>
      </c>
    </row>
    <row r="110" spans="2:15" x14ac:dyDescent="0.2">
      <c r="B110">
        <v>3.3338888888888887</v>
      </c>
      <c r="C110">
        <v>4.3005555555555599</v>
      </c>
      <c r="E110">
        <v>3.76722222222222</v>
      </c>
      <c r="F110">
        <v>3.6338888888888898</v>
      </c>
      <c r="G110">
        <v>5.28</v>
      </c>
      <c r="H110">
        <v>23.22</v>
      </c>
      <c r="I110">
        <v>26.21</v>
      </c>
      <c r="J110">
        <v>4.3899999999999997</v>
      </c>
      <c r="N110">
        <v>37.15</v>
      </c>
      <c r="O110">
        <v>2.7</v>
      </c>
    </row>
    <row r="111" spans="2:15" x14ac:dyDescent="0.2">
      <c r="B111">
        <v>3.3672222222222223</v>
      </c>
      <c r="C111">
        <v>4.3338888888888896</v>
      </c>
      <c r="E111">
        <v>3.8005555555555599</v>
      </c>
      <c r="F111">
        <v>3.6672222222222199</v>
      </c>
      <c r="G111">
        <v>5.41</v>
      </c>
      <c r="H111">
        <v>22.65</v>
      </c>
      <c r="I111">
        <v>26.49</v>
      </c>
      <c r="J111">
        <v>4.53</v>
      </c>
      <c r="N111">
        <v>36.18</v>
      </c>
      <c r="O111">
        <v>2.4</v>
      </c>
    </row>
    <row r="112" spans="2:15" x14ac:dyDescent="0.2">
      <c r="B112">
        <v>3.4005555555555556</v>
      </c>
      <c r="C112">
        <v>4.3672222222222201</v>
      </c>
      <c r="E112">
        <v>3.83388888888889</v>
      </c>
      <c r="F112">
        <v>3.7005555555555598</v>
      </c>
      <c r="G112">
        <v>5.28</v>
      </c>
      <c r="H112">
        <v>22.37</v>
      </c>
      <c r="I112">
        <v>24.5</v>
      </c>
      <c r="J112">
        <v>4.53</v>
      </c>
      <c r="N112">
        <v>35.69</v>
      </c>
      <c r="O112">
        <v>2.4</v>
      </c>
    </row>
    <row r="113" spans="2:15" x14ac:dyDescent="0.2">
      <c r="B113">
        <v>3.4338888888888888</v>
      </c>
      <c r="C113">
        <v>4.4005555555555604</v>
      </c>
      <c r="E113">
        <v>3.8672222222222201</v>
      </c>
      <c r="F113">
        <v>3.7338888888888899</v>
      </c>
      <c r="G113">
        <v>5.41</v>
      </c>
      <c r="H113">
        <v>21.66</v>
      </c>
      <c r="I113">
        <v>21.1</v>
      </c>
      <c r="J113">
        <v>4.3899999999999997</v>
      </c>
      <c r="N113">
        <v>34.71</v>
      </c>
      <c r="O113">
        <v>2.25</v>
      </c>
    </row>
    <row r="114" spans="2:15" x14ac:dyDescent="0.2">
      <c r="B114">
        <v>3.467222222222222</v>
      </c>
      <c r="C114">
        <v>4.4338888888888901</v>
      </c>
      <c r="E114">
        <v>3.90055555555556</v>
      </c>
      <c r="F114">
        <v>3.76722222222222</v>
      </c>
      <c r="G114">
        <v>5.41</v>
      </c>
      <c r="H114">
        <v>21.38</v>
      </c>
      <c r="I114">
        <v>25.35</v>
      </c>
      <c r="J114">
        <v>4.53</v>
      </c>
      <c r="N114">
        <v>33.9</v>
      </c>
      <c r="O114">
        <v>2.4</v>
      </c>
    </row>
    <row r="115" spans="2:15" x14ac:dyDescent="0.2">
      <c r="B115">
        <v>3.5005555555555556</v>
      </c>
      <c r="C115">
        <v>4.4672222222222198</v>
      </c>
      <c r="E115">
        <v>3.9338888888888901</v>
      </c>
      <c r="F115">
        <v>3.8005555555555599</v>
      </c>
      <c r="G115">
        <v>5.41</v>
      </c>
      <c r="H115">
        <v>20.96</v>
      </c>
      <c r="I115">
        <v>24.64</v>
      </c>
      <c r="J115">
        <v>4.26</v>
      </c>
      <c r="N115">
        <v>33.42</v>
      </c>
      <c r="O115">
        <v>2.25</v>
      </c>
    </row>
    <row r="116" spans="2:15" x14ac:dyDescent="0.2">
      <c r="B116">
        <v>3.5338888888888889</v>
      </c>
      <c r="C116">
        <v>4.5005555555555601</v>
      </c>
      <c r="E116">
        <v>3.9672222222222202</v>
      </c>
      <c r="F116">
        <v>3.83388888888889</v>
      </c>
      <c r="G116">
        <v>5.54</v>
      </c>
      <c r="H116">
        <v>20.399999999999999</v>
      </c>
      <c r="I116">
        <v>25.78</v>
      </c>
      <c r="J116">
        <v>4.26</v>
      </c>
      <c r="N116">
        <v>32.450000000000003</v>
      </c>
      <c r="O116">
        <v>2.4</v>
      </c>
    </row>
    <row r="117" spans="2:15" x14ac:dyDescent="0.2">
      <c r="B117">
        <v>3.5672222222222221</v>
      </c>
      <c r="C117">
        <v>4.5338888888888897</v>
      </c>
      <c r="E117">
        <v>4.0005555555555601</v>
      </c>
      <c r="F117">
        <v>3.8672222222222201</v>
      </c>
      <c r="G117">
        <v>5.41</v>
      </c>
      <c r="H117">
        <v>20.12</v>
      </c>
      <c r="I117">
        <v>23.08</v>
      </c>
      <c r="J117">
        <v>4.3899999999999997</v>
      </c>
      <c r="N117">
        <v>31.64</v>
      </c>
      <c r="O117">
        <v>2.4</v>
      </c>
    </row>
    <row r="118" spans="2:15" x14ac:dyDescent="0.2">
      <c r="B118">
        <v>3.6005555555555557</v>
      </c>
      <c r="C118">
        <v>4.5672222222222203</v>
      </c>
      <c r="E118">
        <v>4.0338888888888897</v>
      </c>
      <c r="F118">
        <v>3.90055555555556</v>
      </c>
      <c r="G118">
        <v>5.54</v>
      </c>
      <c r="H118">
        <v>19.690000000000001</v>
      </c>
      <c r="I118">
        <v>20.399999999999999</v>
      </c>
      <c r="J118">
        <v>4.53</v>
      </c>
      <c r="N118">
        <v>31.32</v>
      </c>
      <c r="O118">
        <v>2.25</v>
      </c>
    </row>
    <row r="119" spans="2:15" x14ac:dyDescent="0.2">
      <c r="B119">
        <v>3.6338888888888889</v>
      </c>
      <c r="C119">
        <v>4.6008333333333304</v>
      </c>
      <c r="E119">
        <v>4.0672222222222203</v>
      </c>
      <c r="F119">
        <v>3.9338888888888901</v>
      </c>
      <c r="G119">
        <v>5.28</v>
      </c>
      <c r="H119">
        <v>18.850000000000001</v>
      </c>
      <c r="I119">
        <v>22.23</v>
      </c>
      <c r="J119">
        <v>4.26</v>
      </c>
      <c r="N119">
        <v>30.84</v>
      </c>
      <c r="O119">
        <v>2.25</v>
      </c>
    </row>
    <row r="120" spans="2:15" x14ac:dyDescent="0.2">
      <c r="B120">
        <v>3.6672222222222222</v>
      </c>
      <c r="C120">
        <v>4.6341666666666699</v>
      </c>
      <c r="E120">
        <v>4.1005555555555597</v>
      </c>
      <c r="F120">
        <v>3.9672222222222202</v>
      </c>
      <c r="G120">
        <v>5.41</v>
      </c>
      <c r="H120">
        <v>18.57</v>
      </c>
      <c r="I120">
        <v>23.08</v>
      </c>
      <c r="J120">
        <v>4.26</v>
      </c>
      <c r="N120">
        <v>29.39</v>
      </c>
      <c r="O120">
        <v>2.4</v>
      </c>
    </row>
    <row r="121" spans="2:15" x14ac:dyDescent="0.2">
      <c r="B121">
        <v>3.7005555555555554</v>
      </c>
      <c r="C121">
        <v>4.6675000000000004</v>
      </c>
      <c r="E121">
        <v>4.1338888888888903</v>
      </c>
      <c r="F121">
        <v>4.0005555555555601</v>
      </c>
      <c r="G121">
        <v>5.54</v>
      </c>
      <c r="H121">
        <v>18.43</v>
      </c>
      <c r="I121">
        <v>17.73</v>
      </c>
      <c r="J121">
        <v>4.3899999999999997</v>
      </c>
      <c r="N121">
        <v>28.75</v>
      </c>
      <c r="O121">
        <v>2.25</v>
      </c>
    </row>
    <row r="122" spans="2:15" x14ac:dyDescent="0.2">
      <c r="B122">
        <v>3.733888888888889</v>
      </c>
      <c r="C122">
        <v>4.7008333333333301</v>
      </c>
      <c r="E122">
        <v>4.1672222222222199</v>
      </c>
      <c r="F122">
        <v>4.0338888888888897</v>
      </c>
      <c r="G122">
        <v>5.41</v>
      </c>
      <c r="H122">
        <v>18.010000000000002</v>
      </c>
      <c r="I122">
        <v>19.98</v>
      </c>
      <c r="J122">
        <v>4.26</v>
      </c>
      <c r="N122">
        <v>27.47</v>
      </c>
      <c r="O122">
        <v>2.1</v>
      </c>
    </row>
    <row r="123" spans="2:15" x14ac:dyDescent="0.2">
      <c r="B123">
        <v>3.7672222222222222</v>
      </c>
      <c r="C123">
        <v>4.7341666666666704</v>
      </c>
      <c r="E123">
        <v>4.2005555555555603</v>
      </c>
      <c r="F123">
        <v>4.0672222222222203</v>
      </c>
      <c r="G123">
        <v>5.28</v>
      </c>
      <c r="H123">
        <v>18.010000000000002</v>
      </c>
      <c r="I123">
        <v>22.23</v>
      </c>
      <c r="J123">
        <v>4.26</v>
      </c>
      <c r="N123">
        <v>26.52</v>
      </c>
      <c r="O123">
        <v>2.1</v>
      </c>
    </row>
    <row r="124" spans="2:15" x14ac:dyDescent="0.2">
      <c r="B124">
        <v>3.8005555555555555</v>
      </c>
      <c r="C124">
        <v>4.7675000000000001</v>
      </c>
      <c r="E124">
        <v>4.2338888888888899</v>
      </c>
      <c r="F124">
        <v>4.1005555555555597</v>
      </c>
      <c r="G124">
        <v>5.28</v>
      </c>
      <c r="H124">
        <v>17.18</v>
      </c>
      <c r="I124">
        <v>18.43</v>
      </c>
      <c r="J124">
        <v>4.26</v>
      </c>
      <c r="N124">
        <v>25.41</v>
      </c>
      <c r="O124">
        <v>2.1</v>
      </c>
    </row>
    <row r="125" spans="2:15" x14ac:dyDescent="0.2">
      <c r="B125">
        <v>3.8338888888888887</v>
      </c>
      <c r="C125">
        <v>4.8008333333333297</v>
      </c>
      <c r="E125">
        <v>4.2672222222222196</v>
      </c>
      <c r="F125">
        <v>4.1338888888888903</v>
      </c>
      <c r="G125">
        <v>5.41</v>
      </c>
      <c r="H125">
        <v>16.2</v>
      </c>
      <c r="I125">
        <v>20.399999999999999</v>
      </c>
      <c r="J125">
        <v>4.13</v>
      </c>
      <c r="N125">
        <v>24.77</v>
      </c>
      <c r="O125">
        <v>2.25</v>
      </c>
    </row>
    <row r="126" spans="2:15" x14ac:dyDescent="0.2">
      <c r="B126">
        <v>3.8672222222222223</v>
      </c>
      <c r="C126">
        <v>4.8341666666666701</v>
      </c>
      <c r="E126">
        <v>4.3005555555555599</v>
      </c>
      <c r="F126">
        <v>4.1672222222222199</v>
      </c>
      <c r="G126">
        <v>5.14</v>
      </c>
      <c r="H126">
        <v>15.37</v>
      </c>
      <c r="I126">
        <v>21.38</v>
      </c>
      <c r="J126">
        <v>4.3899999999999997</v>
      </c>
      <c r="N126">
        <v>23.66</v>
      </c>
      <c r="O126">
        <v>2.25</v>
      </c>
    </row>
    <row r="127" spans="2:15" x14ac:dyDescent="0.2">
      <c r="B127">
        <v>3.9005555555555556</v>
      </c>
      <c r="C127">
        <v>4.8674999999999997</v>
      </c>
      <c r="E127">
        <v>4.3338888888888896</v>
      </c>
      <c r="F127">
        <v>4.2005555555555603</v>
      </c>
      <c r="G127">
        <v>5.28</v>
      </c>
      <c r="H127">
        <v>14.26</v>
      </c>
      <c r="I127">
        <v>20.399999999999999</v>
      </c>
      <c r="J127">
        <v>4.26</v>
      </c>
      <c r="N127">
        <v>22.72</v>
      </c>
      <c r="O127">
        <v>2.25</v>
      </c>
    </row>
    <row r="128" spans="2:15" x14ac:dyDescent="0.2">
      <c r="B128">
        <v>3.9338888888888888</v>
      </c>
      <c r="C128">
        <v>4.9008333333333303</v>
      </c>
      <c r="E128">
        <v>4.3672222222222201</v>
      </c>
      <c r="F128">
        <v>4.2338888888888899</v>
      </c>
      <c r="G128">
        <v>5.14</v>
      </c>
      <c r="H128">
        <v>13.57</v>
      </c>
      <c r="I128">
        <v>16.34</v>
      </c>
      <c r="J128">
        <v>4.26</v>
      </c>
      <c r="N128">
        <v>21.93</v>
      </c>
      <c r="O128">
        <v>1.95</v>
      </c>
    </row>
    <row r="129" spans="2:15" x14ac:dyDescent="0.2">
      <c r="B129">
        <v>3.967222222222222</v>
      </c>
      <c r="C129">
        <v>4.9341666666666697</v>
      </c>
      <c r="E129">
        <v>4.4005555555555604</v>
      </c>
      <c r="F129">
        <v>4.2672222222222196</v>
      </c>
      <c r="G129">
        <v>5.28</v>
      </c>
      <c r="H129">
        <v>12.6</v>
      </c>
      <c r="I129">
        <v>13.02</v>
      </c>
      <c r="J129">
        <v>4.26</v>
      </c>
      <c r="N129">
        <v>20.98</v>
      </c>
      <c r="O129">
        <v>2.1</v>
      </c>
    </row>
    <row r="130" spans="2:15" x14ac:dyDescent="0.2">
      <c r="B130">
        <v>4.0005555555555556</v>
      </c>
      <c r="C130">
        <v>4.9675000000000002</v>
      </c>
      <c r="E130">
        <v>4.4338888888888901</v>
      </c>
      <c r="F130">
        <v>4.3005555555555599</v>
      </c>
      <c r="G130">
        <v>5.28</v>
      </c>
      <c r="H130">
        <v>12.05</v>
      </c>
      <c r="I130">
        <v>14.81</v>
      </c>
      <c r="J130">
        <v>4.26</v>
      </c>
      <c r="N130">
        <v>20.51</v>
      </c>
      <c r="O130">
        <v>2.1</v>
      </c>
    </row>
    <row r="131" spans="2:15" x14ac:dyDescent="0.2">
      <c r="B131">
        <v>4.0338888888888889</v>
      </c>
      <c r="C131">
        <v>5.0008333333333299</v>
      </c>
      <c r="E131">
        <v>4.4672222222222198</v>
      </c>
      <c r="F131">
        <v>4.3338888888888896</v>
      </c>
      <c r="G131">
        <v>5.28</v>
      </c>
      <c r="H131">
        <v>11.36</v>
      </c>
      <c r="I131">
        <v>20.12</v>
      </c>
      <c r="J131">
        <v>4.13</v>
      </c>
      <c r="N131">
        <v>19.420000000000002</v>
      </c>
      <c r="O131">
        <v>1.95</v>
      </c>
    </row>
    <row r="132" spans="2:15" x14ac:dyDescent="0.2">
      <c r="B132">
        <v>4.0672222222222221</v>
      </c>
      <c r="C132">
        <v>5.0341666666666702</v>
      </c>
      <c r="E132">
        <v>4.5005555555555601</v>
      </c>
      <c r="F132">
        <v>4.3672222222222201</v>
      </c>
      <c r="G132">
        <v>5.28</v>
      </c>
      <c r="H132">
        <v>10.95</v>
      </c>
      <c r="I132">
        <v>17.59</v>
      </c>
      <c r="J132">
        <v>4.26</v>
      </c>
      <c r="N132">
        <v>18.79</v>
      </c>
      <c r="O132">
        <v>1.95</v>
      </c>
    </row>
    <row r="133" spans="2:15" x14ac:dyDescent="0.2">
      <c r="B133">
        <v>4.1005555555555553</v>
      </c>
      <c r="C133">
        <v>5.0674999999999999</v>
      </c>
      <c r="E133">
        <v>4.5338888888888897</v>
      </c>
      <c r="F133">
        <v>4.4005555555555604</v>
      </c>
      <c r="G133">
        <v>5.28</v>
      </c>
      <c r="H133">
        <v>10.68</v>
      </c>
      <c r="I133">
        <v>11.78</v>
      </c>
      <c r="J133">
        <v>4.26</v>
      </c>
      <c r="N133">
        <v>18.32</v>
      </c>
      <c r="O133">
        <v>1.95</v>
      </c>
    </row>
    <row r="134" spans="2:15" x14ac:dyDescent="0.2">
      <c r="B134">
        <v>4.1338888888888885</v>
      </c>
      <c r="C134">
        <v>5.1008333333333304</v>
      </c>
      <c r="E134">
        <v>4.5672222222222203</v>
      </c>
      <c r="F134">
        <v>4.4338888888888901</v>
      </c>
      <c r="G134">
        <v>5.28</v>
      </c>
      <c r="H134">
        <v>10.27</v>
      </c>
      <c r="I134">
        <v>15.09</v>
      </c>
      <c r="J134">
        <v>3.99</v>
      </c>
      <c r="N134">
        <v>17.39</v>
      </c>
      <c r="O134">
        <v>2.1</v>
      </c>
    </row>
    <row r="135" spans="2:15" x14ac:dyDescent="0.2">
      <c r="B135">
        <v>4.1672222222222226</v>
      </c>
      <c r="C135">
        <v>5.1341666666666699</v>
      </c>
      <c r="E135">
        <v>4.6008333333333304</v>
      </c>
      <c r="F135">
        <v>4.4672222222222198</v>
      </c>
      <c r="G135">
        <v>5.28</v>
      </c>
      <c r="H135">
        <v>9.7200000000000006</v>
      </c>
      <c r="I135">
        <v>12.19</v>
      </c>
      <c r="J135">
        <v>4.13</v>
      </c>
      <c r="N135">
        <v>16.61</v>
      </c>
      <c r="O135">
        <v>1.8</v>
      </c>
    </row>
    <row r="136" spans="2:15" x14ac:dyDescent="0.2">
      <c r="B136">
        <v>4.2005555555555558</v>
      </c>
      <c r="C136">
        <v>5.1675000000000004</v>
      </c>
      <c r="E136">
        <v>4.6341666666666699</v>
      </c>
      <c r="F136">
        <v>4.5005555555555601</v>
      </c>
      <c r="G136">
        <v>5.41</v>
      </c>
      <c r="H136">
        <v>9.4499999999999993</v>
      </c>
      <c r="I136">
        <v>13.57</v>
      </c>
      <c r="J136">
        <v>4.13</v>
      </c>
      <c r="N136">
        <v>15.99</v>
      </c>
      <c r="O136">
        <v>1.95</v>
      </c>
    </row>
    <row r="137" spans="2:15" x14ac:dyDescent="0.2">
      <c r="B137">
        <v>4.233888888888889</v>
      </c>
      <c r="C137">
        <v>5.2008333333333301</v>
      </c>
      <c r="E137">
        <v>4.6675000000000004</v>
      </c>
      <c r="F137">
        <v>4.5338888888888897</v>
      </c>
      <c r="G137">
        <v>5.28</v>
      </c>
      <c r="H137">
        <v>9.17</v>
      </c>
      <c r="I137">
        <v>14.4</v>
      </c>
      <c r="J137">
        <v>3.99</v>
      </c>
      <c r="N137">
        <v>15.21</v>
      </c>
      <c r="O137">
        <v>1.8</v>
      </c>
    </row>
    <row r="138" spans="2:15" x14ac:dyDescent="0.2">
      <c r="B138">
        <v>4.2672222222222222</v>
      </c>
      <c r="C138">
        <v>5.2341666666666704</v>
      </c>
      <c r="E138">
        <v>4.7008333333333301</v>
      </c>
      <c r="F138">
        <v>4.5672222222222203</v>
      </c>
      <c r="G138">
        <v>5.54</v>
      </c>
      <c r="H138">
        <v>8.6300000000000008</v>
      </c>
      <c r="I138">
        <v>9.0399999999999991</v>
      </c>
      <c r="J138">
        <v>3.99</v>
      </c>
      <c r="N138">
        <v>14.28</v>
      </c>
      <c r="O138">
        <v>1.95</v>
      </c>
    </row>
    <row r="139" spans="2:15" x14ac:dyDescent="0.2">
      <c r="B139">
        <v>4.3005555555555564</v>
      </c>
      <c r="C139">
        <v>5.2675000000000001</v>
      </c>
      <c r="E139">
        <v>4.7341666666666704</v>
      </c>
      <c r="F139">
        <v>4.6008333333333304</v>
      </c>
      <c r="G139">
        <v>5.41</v>
      </c>
      <c r="H139">
        <v>8.35</v>
      </c>
      <c r="I139">
        <v>9.99</v>
      </c>
      <c r="J139">
        <v>3.99</v>
      </c>
      <c r="N139">
        <v>13.2</v>
      </c>
      <c r="O139">
        <v>1.95</v>
      </c>
    </row>
    <row r="140" spans="2:15" x14ac:dyDescent="0.2">
      <c r="B140">
        <v>4.3338888888888896</v>
      </c>
      <c r="C140">
        <v>5.3008333333333297</v>
      </c>
      <c r="E140">
        <v>4.7675000000000001</v>
      </c>
      <c r="F140">
        <v>4.6341666666666699</v>
      </c>
      <c r="G140">
        <v>5.28</v>
      </c>
      <c r="H140">
        <v>8.08</v>
      </c>
      <c r="I140">
        <v>16.34</v>
      </c>
      <c r="J140">
        <v>3.99</v>
      </c>
      <c r="N140">
        <v>12.43</v>
      </c>
      <c r="O140">
        <v>1.8</v>
      </c>
    </row>
    <row r="141" spans="2:15" x14ac:dyDescent="0.2">
      <c r="B141">
        <v>4.3672222222222228</v>
      </c>
      <c r="C141">
        <v>5.3341666666666701</v>
      </c>
      <c r="E141">
        <v>4.8008333333333297</v>
      </c>
      <c r="F141">
        <v>4.6675000000000004</v>
      </c>
      <c r="G141">
        <v>5.41</v>
      </c>
      <c r="H141">
        <v>7.95</v>
      </c>
      <c r="I141">
        <v>12.74</v>
      </c>
      <c r="J141">
        <v>4.26</v>
      </c>
      <c r="N141">
        <v>11.97</v>
      </c>
      <c r="O141">
        <v>1.8</v>
      </c>
    </row>
    <row r="142" spans="2:15" x14ac:dyDescent="0.2">
      <c r="B142">
        <v>4.400555555555556</v>
      </c>
      <c r="C142">
        <v>5.3674999999999997</v>
      </c>
      <c r="E142">
        <v>4.8341666666666701</v>
      </c>
      <c r="F142">
        <v>4.7008333333333301</v>
      </c>
      <c r="G142">
        <v>5.41</v>
      </c>
      <c r="H142">
        <v>7.67</v>
      </c>
      <c r="I142">
        <v>10.68</v>
      </c>
      <c r="J142">
        <v>4.26</v>
      </c>
      <c r="N142">
        <v>11.05</v>
      </c>
      <c r="O142">
        <v>1.65</v>
      </c>
    </row>
    <row r="143" spans="2:15" x14ac:dyDescent="0.2">
      <c r="B143">
        <v>4.4338888888888892</v>
      </c>
      <c r="C143">
        <v>5.4008333333333303</v>
      </c>
      <c r="E143">
        <v>4.8674999999999997</v>
      </c>
      <c r="F143">
        <v>4.7341666666666704</v>
      </c>
      <c r="G143">
        <v>5.41</v>
      </c>
      <c r="H143">
        <v>7.13</v>
      </c>
      <c r="I143">
        <v>11.5</v>
      </c>
      <c r="J143">
        <v>4.26</v>
      </c>
      <c r="N143">
        <v>9.98</v>
      </c>
      <c r="O143">
        <v>1.8</v>
      </c>
    </row>
    <row r="144" spans="2:15" x14ac:dyDescent="0.2">
      <c r="B144">
        <v>4.4672222222222224</v>
      </c>
      <c r="C144">
        <v>5.4341666666666697</v>
      </c>
      <c r="E144">
        <v>4.9008333333333303</v>
      </c>
      <c r="F144">
        <v>4.7675000000000001</v>
      </c>
      <c r="G144">
        <v>5.28</v>
      </c>
      <c r="H144">
        <v>6.86</v>
      </c>
      <c r="I144">
        <v>8.35</v>
      </c>
      <c r="J144">
        <v>4.13</v>
      </c>
      <c r="N144">
        <v>9.06</v>
      </c>
      <c r="O144">
        <v>1.8</v>
      </c>
    </row>
    <row r="145" spans="2:15" x14ac:dyDescent="0.2">
      <c r="B145">
        <v>4.5005555555555556</v>
      </c>
      <c r="C145">
        <v>5.4675000000000002</v>
      </c>
      <c r="E145">
        <v>4.9341666666666697</v>
      </c>
      <c r="F145">
        <v>4.8008333333333297</v>
      </c>
      <c r="G145">
        <v>5.54</v>
      </c>
      <c r="H145">
        <v>6.32</v>
      </c>
      <c r="I145">
        <v>9.86</v>
      </c>
      <c r="J145">
        <v>4.26</v>
      </c>
      <c r="N145">
        <v>8.4499999999999993</v>
      </c>
      <c r="O145">
        <v>1.65</v>
      </c>
    </row>
    <row r="146" spans="2:15" x14ac:dyDescent="0.2">
      <c r="B146">
        <v>4.5338888888888897</v>
      </c>
      <c r="C146">
        <v>5.5008333333333299</v>
      </c>
      <c r="E146">
        <v>4.9675000000000002</v>
      </c>
      <c r="F146">
        <v>4.8341666666666701</v>
      </c>
      <c r="G146">
        <v>5.41</v>
      </c>
      <c r="H146">
        <v>6.05</v>
      </c>
      <c r="I146">
        <v>10.95</v>
      </c>
      <c r="J146">
        <v>4.26</v>
      </c>
      <c r="N146">
        <v>7.84</v>
      </c>
      <c r="O146">
        <v>1.65</v>
      </c>
    </row>
    <row r="147" spans="2:15" x14ac:dyDescent="0.2">
      <c r="B147">
        <v>4.567222222222223</v>
      </c>
      <c r="C147">
        <v>5.5341666666666702</v>
      </c>
      <c r="E147">
        <v>5.0008333333333299</v>
      </c>
      <c r="F147">
        <v>4.8674999999999997</v>
      </c>
      <c r="G147">
        <v>5.54</v>
      </c>
      <c r="H147">
        <v>5.64</v>
      </c>
      <c r="I147">
        <v>8.35</v>
      </c>
      <c r="J147">
        <v>4.26</v>
      </c>
    </row>
    <row r="148" spans="2:15" x14ac:dyDescent="0.2">
      <c r="B148">
        <v>4.6008333333333331</v>
      </c>
      <c r="C148">
        <v>5.5674999999999999</v>
      </c>
      <c r="E148">
        <v>5.0341666666666702</v>
      </c>
      <c r="F148">
        <v>4.9008333333333303</v>
      </c>
      <c r="G148">
        <v>5.41</v>
      </c>
      <c r="H148">
        <v>5.23</v>
      </c>
      <c r="I148">
        <v>6.32</v>
      </c>
      <c r="J148">
        <v>4.53</v>
      </c>
    </row>
    <row r="149" spans="2:15" x14ac:dyDescent="0.2">
      <c r="B149">
        <v>4.6341666666666672</v>
      </c>
      <c r="C149">
        <v>5.6008333333333304</v>
      </c>
      <c r="E149">
        <v>5.0674999999999999</v>
      </c>
      <c r="F149">
        <v>4.9341666666666697</v>
      </c>
      <c r="G149">
        <v>5.54</v>
      </c>
      <c r="H149">
        <v>5.37</v>
      </c>
      <c r="I149">
        <v>9.4499999999999993</v>
      </c>
      <c r="J149">
        <v>4.53</v>
      </c>
    </row>
    <row r="150" spans="2:15" x14ac:dyDescent="0.2">
      <c r="B150">
        <v>4.6675000000000004</v>
      </c>
      <c r="C150">
        <v>5.6341666666666699</v>
      </c>
      <c r="E150">
        <v>5.1008333333333304</v>
      </c>
      <c r="F150">
        <v>4.9675000000000002</v>
      </c>
      <c r="G150">
        <v>5.28</v>
      </c>
      <c r="H150">
        <v>4.96</v>
      </c>
      <c r="I150">
        <v>9.4499999999999993</v>
      </c>
      <c r="J150">
        <v>4.26</v>
      </c>
    </row>
    <row r="151" spans="2:15" x14ac:dyDescent="0.2">
      <c r="B151">
        <v>4.7008333333333336</v>
      </c>
      <c r="C151">
        <v>5.6675000000000004</v>
      </c>
      <c r="E151">
        <v>5.1341666666666699</v>
      </c>
      <c r="F151">
        <v>5.0008333333333299</v>
      </c>
      <c r="G151">
        <v>5.54</v>
      </c>
      <c r="H151">
        <v>4.83</v>
      </c>
      <c r="I151">
        <v>7.81</v>
      </c>
      <c r="J151">
        <v>4.3899999999999997</v>
      </c>
    </row>
    <row r="152" spans="2:15" x14ac:dyDescent="0.2">
      <c r="B152">
        <v>4.7341666666666669</v>
      </c>
      <c r="C152">
        <v>5.7008333333333301</v>
      </c>
      <c r="E152">
        <v>5.1675000000000004</v>
      </c>
      <c r="F152">
        <v>5.0341666666666702</v>
      </c>
      <c r="G152">
        <v>5.54</v>
      </c>
      <c r="H152">
        <v>4.5599999999999996</v>
      </c>
      <c r="I152">
        <v>5.77</v>
      </c>
      <c r="J152">
        <v>4.53</v>
      </c>
    </row>
    <row r="153" spans="2:15" x14ac:dyDescent="0.2">
      <c r="B153">
        <v>4.7675000000000001</v>
      </c>
      <c r="C153">
        <v>5.7341666666666704</v>
      </c>
      <c r="E153">
        <v>5.2008333333333301</v>
      </c>
      <c r="F153">
        <v>5.0674999999999999</v>
      </c>
      <c r="G153">
        <v>5.54</v>
      </c>
      <c r="H153">
        <v>4.6900000000000004</v>
      </c>
      <c r="I153">
        <v>5.37</v>
      </c>
      <c r="J153">
        <v>4.53</v>
      </c>
    </row>
    <row r="154" spans="2:15" x14ac:dyDescent="0.2">
      <c r="B154">
        <v>4.8008333333333333</v>
      </c>
      <c r="C154">
        <v>5.7675000000000001</v>
      </c>
      <c r="E154">
        <v>5.2341666666666704</v>
      </c>
      <c r="F154">
        <v>5.1008333333333304</v>
      </c>
      <c r="G154">
        <v>5.41</v>
      </c>
      <c r="H154">
        <v>4.42</v>
      </c>
      <c r="I154">
        <v>6.99</v>
      </c>
      <c r="J154">
        <v>4.26</v>
      </c>
    </row>
    <row r="155" spans="2:15" x14ac:dyDescent="0.2">
      <c r="B155">
        <v>4.8341666666666665</v>
      </c>
      <c r="C155">
        <v>5.8008333333333297</v>
      </c>
      <c r="E155">
        <v>5.2675000000000001</v>
      </c>
      <c r="F155">
        <v>5.1341666666666699</v>
      </c>
      <c r="G155">
        <v>5.54</v>
      </c>
      <c r="H155">
        <v>4.42</v>
      </c>
      <c r="I155">
        <v>7.54</v>
      </c>
      <c r="J155">
        <v>4.53</v>
      </c>
    </row>
    <row r="156" spans="2:15" x14ac:dyDescent="0.2">
      <c r="B156">
        <v>4.8675000000000006</v>
      </c>
      <c r="C156">
        <v>5.8341666666666701</v>
      </c>
      <c r="E156">
        <v>5.3008333333333297</v>
      </c>
      <c r="F156">
        <v>5.1675000000000004</v>
      </c>
      <c r="G156">
        <v>5.54</v>
      </c>
      <c r="H156">
        <v>4.29</v>
      </c>
      <c r="I156">
        <v>6.32</v>
      </c>
      <c r="J156">
        <v>4.53</v>
      </c>
    </row>
    <row r="157" spans="2:15" x14ac:dyDescent="0.2">
      <c r="B157">
        <v>4.9008333333333338</v>
      </c>
      <c r="C157">
        <v>5.8674999999999997</v>
      </c>
      <c r="E157">
        <v>5.3341666666666701</v>
      </c>
      <c r="F157">
        <v>5.2008333333333301</v>
      </c>
      <c r="G157">
        <v>5.28</v>
      </c>
      <c r="H157">
        <v>4.29</v>
      </c>
      <c r="I157">
        <v>6.72</v>
      </c>
      <c r="J157">
        <v>4.53</v>
      </c>
    </row>
    <row r="158" spans="2:15" x14ac:dyDescent="0.2">
      <c r="B158">
        <v>4.934166666666667</v>
      </c>
      <c r="C158">
        <v>5.9008333333333303</v>
      </c>
      <c r="E158">
        <v>5.3674999999999997</v>
      </c>
      <c r="F158">
        <v>5.2341666666666704</v>
      </c>
      <c r="G158">
        <v>5.54</v>
      </c>
      <c r="H158">
        <v>4.42</v>
      </c>
      <c r="I158">
        <v>5.23</v>
      </c>
      <c r="J158">
        <v>4.3899999999999997</v>
      </c>
    </row>
    <row r="159" spans="2:15" x14ac:dyDescent="0.2">
      <c r="B159">
        <v>4.9675000000000002</v>
      </c>
      <c r="C159">
        <v>5.9341666666666697</v>
      </c>
      <c r="E159">
        <v>5.4008333333333303</v>
      </c>
      <c r="F159">
        <v>5.2675000000000001</v>
      </c>
      <c r="G159">
        <v>5.54</v>
      </c>
      <c r="H159">
        <v>4.42</v>
      </c>
      <c r="I159">
        <v>5.91</v>
      </c>
      <c r="J159">
        <v>4.26</v>
      </c>
    </row>
    <row r="160" spans="2:15" x14ac:dyDescent="0.2">
      <c r="B160">
        <v>5.0008333333333335</v>
      </c>
      <c r="C160">
        <v>5.9675000000000002</v>
      </c>
      <c r="E160">
        <v>5.4341666666666697</v>
      </c>
      <c r="F160">
        <v>5.3008333333333297</v>
      </c>
      <c r="G160">
        <v>5.41</v>
      </c>
      <c r="H160">
        <v>4.29</v>
      </c>
      <c r="I160">
        <v>4.6900000000000004</v>
      </c>
      <c r="J160">
        <v>4.26</v>
      </c>
    </row>
    <row r="161" spans="2:10" x14ac:dyDescent="0.2">
      <c r="B161">
        <v>5.0341666666666667</v>
      </c>
      <c r="C161">
        <v>6.0008333333333299</v>
      </c>
      <c r="E161">
        <v>5.4675000000000002</v>
      </c>
      <c r="F161">
        <v>5.3341666666666701</v>
      </c>
      <c r="G161">
        <v>5.41</v>
      </c>
      <c r="H161">
        <v>4.42</v>
      </c>
      <c r="I161">
        <v>6.72</v>
      </c>
      <c r="J161">
        <v>4.26</v>
      </c>
    </row>
    <row r="162" spans="2:10" x14ac:dyDescent="0.2">
      <c r="B162">
        <v>5.0674999999999999</v>
      </c>
      <c r="E162">
        <v>5.5008333333333299</v>
      </c>
      <c r="F162">
        <v>5.3674999999999997</v>
      </c>
      <c r="G162">
        <v>5.41</v>
      </c>
      <c r="H162">
        <v>4.29</v>
      </c>
      <c r="I162">
        <v>8.6300000000000008</v>
      </c>
      <c r="J162">
        <v>4.26</v>
      </c>
    </row>
    <row r="163" spans="2:10" x14ac:dyDescent="0.2">
      <c r="B163">
        <v>5.1008333333333331</v>
      </c>
      <c r="E163">
        <v>5.5341666666666702</v>
      </c>
      <c r="F163">
        <v>5.4008333333333303</v>
      </c>
      <c r="G163">
        <v>5.41</v>
      </c>
      <c r="H163">
        <v>4.29</v>
      </c>
      <c r="I163">
        <v>10.54</v>
      </c>
      <c r="J163">
        <v>4.26</v>
      </c>
    </row>
    <row r="164" spans="2:10" x14ac:dyDescent="0.2">
      <c r="B164">
        <v>5.1341666666666672</v>
      </c>
      <c r="E164">
        <v>5.5674999999999999</v>
      </c>
      <c r="F164">
        <v>5.4341666666666697</v>
      </c>
      <c r="G164">
        <v>5.28</v>
      </c>
      <c r="H164">
        <v>4.1500000000000004</v>
      </c>
      <c r="I164">
        <v>7.4</v>
      </c>
      <c r="J164">
        <v>4.13</v>
      </c>
    </row>
    <row r="165" spans="2:10" x14ac:dyDescent="0.2">
      <c r="B165">
        <v>5.1675000000000004</v>
      </c>
      <c r="E165">
        <v>5.6008333333333304</v>
      </c>
      <c r="F165">
        <v>5.4675000000000002</v>
      </c>
      <c r="G165">
        <v>5.28</v>
      </c>
      <c r="H165">
        <v>4.1500000000000004</v>
      </c>
      <c r="I165">
        <v>7.27</v>
      </c>
      <c r="J165">
        <v>4.13</v>
      </c>
    </row>
    <row r="166" spans="2:10" x14ac:dyDescent="0.2">
      <c r="B166">
        <v>5.2008333333333336</v>
      </c>
      <c r="E166">
        <v>5.6341666666666699</v>
      </c>
      <c r="F166">
        <v>5.5008333333333299</v>
      </c>
      <c r="G166">
        <v>5.28</v>
      </c>
      <c r="H166">
        <v>4.1500000000000004</v>
      </c>
      <c r="I166">
        <v>6.18</v>
      </c>
      <c r="J166">
        <v>4.13</v>
      </c>
    </row>
    <row r="167" spans="2:10" x14ac:dyDescent="0.2">
      <c r="B167">
        <v>5.2341666666666669</v>
      </c>
      <c r="E167">
        <v>5.6675000000000004</v>
      </c>
      <c r="F167">
        <v>5.5341666666666702</v>
      </c>
      <c r="G167">
        <v>5.28</v>
      </c>
      <c r="H167">
        <v>4.1500000000000004</v>
      </c>
      <c r="I167">
        <v>6.72</v>
      </c>
      <c r="J167">
        <v>4.13</v>
      </c>
    </row>
    <row r="168" spans="2:10" x14ac:dyDescent="0.2">
      <c r="B168">
        <v>5.2675000000000001</v>
      </c>
      <c r="E168">
        <v>5.7008333333333301</v>
      </c>
      <c r="F168">
        <v>5.5674999999999999</v>
      </c>
      <c r="G168">
        <v>5.14</v>
      </c>
      <c r="H168">
        <v>4.1500000000000004</v>
      </c>
      <c r="I168">
        <v>8.9</v>
      </c>
      <c r="J168">
        <v>4.13</v>
      </c>
    </row>
    <row r="169" spans="2:10" x14ac:dyDescent="0.2">
      <c r="B169">
        <v>5.3008333333333333</v>
      </c>
      <c r="E169">
        <v>5.7341666666666704</v>
      </c>
      <c r="F169">
        <v>5.6008333333333304</v>
      </c>
      <c r="G169">
        <v>5.28</v>
      </c>
      <c r="H169">
        <v>4.0199999999999996</v>
      </c>
      <c r="I169">
        <v>6.99</v>
      </c>
      <c r="J169">
        <v>4.13</v>
      </c>
    </row>
    <row r="170" spans="2:10" x14ac:dyDescent="0.2">
      <c r="B170">
        <v>5.3341666666666665</v>
      </c>
      <c r="E170">
        <v>5.7675000000000001</v>
      </c>
      <c r="F170">
        <v>5.6341666666666699</v>
      </c>
      <c r="G170">
        <v>5.41</v>
      </c>
      <c r="H170">
        <v>4.0199999999999996</v>
      </c>
      <c r="I170">
        <v>7.67</v>
      </c>
      <c r="J170">
        <v>4.13</v>
      </c>
    </row>
    <row r="171" spans="2:10" x14ac:dyDescent="0.2">
      <c r="B171">
        <v>5.3675000000000006</v>
      </c>
      <c r="E171">
        <v>5.8008333333333297</v>
      </c>
      <c r="F171">
        <v>5.6675000000000004</v>
      </c>
      <c r="G171">
        <v>5.28</v>
      </c>
      <c r="H171">
        <v>4.29</v>
      </c>
      <c r="I171">
        <v>2.41</v>
      </c>
      <c r="J171">
        <v>4.13</v>
      </c>
    </row>
    <row r="172" spans="2:10" x14ac:dyDescent="0.2">
      <c r="B172">
        <v>5.4008333333333338</v>
      </c>
      <c r="E172">
        <v>5.8341666666666701</v>
      </c>
      <c r="F172">
        <v>5.7008333333333301</v>
      </c>
      <c r="G172">
        <v>5.41</v>
      </c>
      <c r="H172">
        <v>4.0199999999999996</v>
      </c>
      <c r="I172">
        <v>9.17</v>
      </c>
      <c r="J172">
        <v>3.99</v>
      </c>
    </row>
    <row r="173" spans="2:10" x14ac:dyDescent="0.2">
      <c r="B173">
        <v>5.434166666666667</v>
      </c>
      <c r="E173">
        <v>5.8674999999999997</v>
      </c>
      <c r="F173">
        <v>5.7341666666666704</v>
      </c>
      <c r="G173">
        <v>5.28</v>
      </c>
      <c r="H173">
        <v>4.1500000000000004</v>
      </c>
      <c r="I173">
        <v>6.99</v>
      </c>
      <c r="J173">
        <v>3.99</v>
      </c>
    </row>
    <row r="174" spans="2:10" x14ac:dyDescent="0.2">
      <c r="B174">
        <v>5.4675000000000002</v>
      </c>
      <c r="E174">
        <v>5.9008333333333303</v>
      </c>
      <c r="F174">
        <v>5.7675000000000001</v>
      </c>
      <c r="G174">
        <v>5.41</v>
      </c>
      <c r="H174">
        <v>4.1500000000000004</v>
      </c>
      <c r="I174">
        <v>7.13</v>
      </c>
      <c r="J174">
        <v>4.13</v>
      </c>
    </row>
    <row r="175" spans="2:10" x14ac:dyDescent="0.2">
      <c r="B175">
        <v>5.5008333333333335</v>
      </c>
      <c r="E175">
        <v>5.9341666666666697</v>
      </c>
      <c r="F175">
        <v>5.8008333333333297</v>
      </c>
      <c r="G175">
        <v>5.28</v>
      </c>
      <c r="H175">
        <v>4.29</v>
      </c>
      <c r="I175">
        <v>6.59</v>
      </c>
      <c r="J175">
        <v>4.13</v>
      </c>
    </row>
    <row r="176" spans="2:10" x14ac:dyDescent="0.2">
      <c r="B176">
        <v>5.5341666666666667</v>
      </c>
      <c r="E176">
        <v>5.9675000000000002</v>
      </c>
      <c r="F176">
        <v>5.8341666666666701</v>
      </c>
      <c r="G176">
        <v>5.41</v>
      </c>
      <c r="H176">
        <v>4.0199999999999996</v>
      </c>
      <c r="I176">
        <v>6.59</v>
      </c>
      <c r="J176">
        <v>4.26</v>
      </c>
    </row>
    <row r="177" spans="2:10" x14ac:dyDescent="0.2">
      <c r="B177">
        <v>5.5674999999999999</v>
      </c>
      <c r="E177">
        <v>6.0008333333333299</v>
      </c>
      <c r="F177">
        <v>5.8674999999999997</v>
      </c>
      <c r="G177">
        <v>5.28</v>
      </c>
      <c r="H177">
        <v>4.1500000000000004</v>
      </c>
      <c r="I177">
        <v>7.95</v>
      </c>
      <c r="J177">
        <v>4.26</v>
      </c>
    </row>
    <row r="178" spans="2:10" x14ac:dyDescent="0.2">
      <c r="B178">
        <v>5.6008333333333331</v>
      </c>
      <c r="E178">
        <v>6.0341666666666702</v>
      </c>
      <c r="F178">
        <v>5.9008333333333303</v>
      </c>
      <c r="G178">
        <v>5.41</v>
      </c>
      <c r="H178">
        <v>4.29</v>
      </c>
      <c r="I178">
        <v>6.05</v>
      </c>
      <c r="J178">
        <v>4.26</v>
      </c>
    </row>
    <row r="179" spans="2:10" x14ac:dyDescent="0.2">
      <c r="B179">
        <v>5.6341666666666672</v>
      </c>
      <c r="E179">
        <v>6.0674999999999999</v>
      </c>
      <c r="F179">
        <v>5.9341666666666697</v>
      </c>
      <c r="G179">
        <v>5.41</v>
      </c>
      <c r="H179">
        <v>4.42</v>
      </c>
      <c r="I179">
        <v>8.2200000000000006</v>
      </c>
      <c r="J179">
        <v>4.13</v>
      </c>
    </row>
    <row r="180" spans="2:10" x14ac:dyDescent="0.2">
      <c r="B180">
        <v>5.6675000000000004</v>
      </c>
      <c r="E180">
        <v>6.0736111111111102</v>
      </c>
      <c r="F180">
        <v>5.9675000000000002</v>
      </c>
      <c r="G180">
        <v>5.41</v>
      </c>
      <c r="H180">
        <v>4.42</v>
      </c>
      <c r="I180">
        <v>6.59</v>
      </c>
      <c r="J180">
        <v>4.26</v>
      </c>
    </row>
    <row r="181" spans="2:10" x14ac:dyDescent="0.2">
      <c r="B181">
        <v>5.7008333333333336</v>
      </c>
      <c r="E181">
        <v>6.1008333333333304</v>
      </c>
      <c r="F181">
        <v>6.0008333333333299</v>
      </c>
      <c r="G181">
        <v>5.54</v>
      </c>
      <c r="H181">
        <v>4.42</v>
      </c>
      <c r="I181">
        <v>3.08</v>
      </c>
      <c r="J181">
        <v>4.26</v>
      </c>
    </row>
    <row r="182" spans="2:10" x14ac:dyDescent="0.2">
      <c r="B182">
        <v>5.7341666666666669</v>
      </c>
      <c r="E182">
        <v>6.1341666666666699</v>
      </c>
      <c r="F182">
        <v>6.0341666666666702</v>
      </c>
      <c r="G182">
        <v>5.54</v>
      </c>
      <c r="H182">
        <v>4.1500000000000004</v>
      </c>
      <c r="I182">
        <v>8.6300000000000008</v>
      </c>
      <c r="J182">
        <v>4.26</v>
      </c>
    </row>
    <row r="183" spans="2:10" x14ac:dyDescent="0.2">
      <c r="B183">
        <v>5.7675000000000001</v>
      </c>
      <c r="E183">
        <v>6.1675000000000004</v>
      </c>
      <c r="F183">
        <v>6.0674999999999999</v>
      </c>
      <c r="G183">
        <v>5.41</v>
      </c>
      <c r="H183">
        <v>4.29</v>
      </c>
      <c r="I183">
        <v>3.21</v>
      </c>
      <c r="J183">
        <v>4.3899999999999997</v>
      </c>
    </row>
    <row r="184" spans="2:10" x14ac:dyDescent="0.2">
      <c r="B184">
        <v>5.8008333333333333</v>
      </c>
      <c r="E184">
        <v>6.2008333333333301</v>
      </c>
      <c r="F184">
        <v>6.0736111111111102</v>
      </c>
      <c r="G184">
        <v>5.28</v>
      </c>
      <c r="H184">
        <v>4.42</v>
      </c>
      <c r="I184">
        <v>5.5</v>
      </c>
      <c r="J184">
        <v>4.3899999999999997</v>
      </c>
    </row>
    <row r="185" spans="2:10" x14ac:dyDescent="0.2">
      <c r="B185">
        <v>5.8341666666666665</v>
      </c>
      <c r="E185">
        <v>6.2341666666666704</v>
      </c>
      <c r="F185">
        <v>6.1008333333333304</v>
      </c>
      <c r="G185">
        <v>5.41</v>
      </c>
      <c r="H185">
        <v>4.42</v>
      </c>
      <c r="I185">
        <v>4.0199999999999996</v>
      </c>
      <c r="J185">
        <v>4.26</v>
      </c>
    </row>
    <row r="186" spans="2:10" x14ac:dyDescent="0.2">
      <c r="B186">
        <v>5.8675000000000006</v>
      </c>
      <c r="E186">
        <v>6.2675000000000001</v>
      </c>
      <c r="F186">
        <v>6.1341666666666699</v>
      </c>
      <c r="G186">
        <v>5.54</v>
      </c>
      <c r="H186">
        <v>4.5599999999999996</v>
      </c>
      <c r="I186">
        <v>5.77</v>
      </c>
      <c r="J186">
        <v>4.3899999999999997</v>
      </c>
    </row>
    <row r="187" spans="2:10" x14ac:dyDescent="0.2">
      <c r="B187">
        <v>5.9008333333333338</v>
      </c>
      <c r="E187">
        <v>6.3008333333333297</v>
      </c>
      <c r="F187">
        <v>6.1675000000000004</v>
      </c>
      <c r="G187">
        <v>5.54</v>
      </c>
      <c r="H187">
        <v>4.42</v>
      </c>
      <c r="I187">
        <v>6.72</v>
      </c>
      <c r="J187">
        <v>4.3899999999999997</v>
      </c>
    </row>
    <row r="188" spans="2:10" x14ac:dyDescent="0.2">
      <c r="B188">
        <v>5.934166666666667</v>
      </c>
      <c r="E188">
        <v>6.3341666666666701</v>
      </c>
      <c r="F188">
        <v>6.2008333333333301</v>
      </c>
      <c r="G188">
        <v>5.68</v>
      </c>
      <c r="H188">
        <v>4.42</v>
      </c>
      <c r="I188">
        <v>5.5</v>
      </c>
      <c r="J188">
        <v>4.26</v>
      </c>
    </row>
    <row r="189" spans="2:10" x14ac:dyDescent="0.2">
      <c r="B189">
        <v>5.9675000000000002</v>
      </c>
      <c r="E189">
        <v>6.3674999999999997</v>
      </c>
      <c r="F189">
        <v>6.2341666666666704</v>
      </c>
      <c r="G189">
        <v>5.54</v>
      </c>
      <c r="H189">
        <v>4.42</v>
      </c>
      <c r="I189">
        <v>8.08</v>
      </c>
      <c r="J189">
        <v>4.3899999999999997</v>
      </c>
    </row>
    <row r="190" spans="2:10" x14ac:dyDescent="0.2">
      <c r="B190">
        <v>6.0008333333333335</v>
      </c>
      <c r="E190">
        <v>6.4008333333333303</v>
      </c>
      <c r="F190">
        <v>6.2675000000000001</v>
      </c>
      <c r="G190">
        <v>5.68</v>
      </c>
      <c r="H190">
        <v>4.42</v>
      </c>
      <c r="I190">
        <v>8.08</v>
      </c>
      <c r="J190">
        <v>4.3899999999999997</v>
      </c>
    </row>
    <row r="191" spans="2:10" x14ac:dyDescent="0.2">
      <c r="B191">
        <v>6.0341666666666667</v>
      </c>
      <c r="E191">
        <v>6.4344444444444404</v>
      </c>
      <c r="F191">
        <v>6.3008333333333297</v>
      </c>
      <c r="G191">
        <v>5.54</v>
      </c>
      <c r="H191">
        <v>4.5599999999999996</v>
      </c>
      <c r="I191">
        <v>8.49</v>
      </c>
      <c r="J191">
        <v>4.26</v>
      </c>
    </row>
    <row r="192" spans="2:10" x14ac:dyDescent="0.2">
      <c r="B192">
        <v>6.0674999999999999</v>
      </c>
      <c r="E192">
        <v>6.4677777777777798</v>
      </c>
      <c r="F192">
        <v>6.3341666666666701</v>
      </c>
      <c r="G192">
        <v>5.68</v>
      </c>
      <c r="H192">
        <v>4.5599999999999996</v>
      </c>
      <c r="I192">
        <v>6.45</v>
      </c>
      <c r="J192">
        <v>4.3899999999999997</v>
      </c>
    </row>
    <row r="193" spans="2:10" x14ac:dyDescent="0.2">
      <c r="B193">
        <v>6.0736111111111111</v>
      </c>
      <c r="E193">
        <v>6.5011111111111104</v>
      </c>
      <c r="F193">
        <v>6.3674999999999997</v>
      </c>
      <c r="G193">
        <v>5.68</v>
      </c>
      <c r="H193">
        <v>4.42</v>
      </c>
      <c r="I193">
        <v>6.99</v>
      </c>
      <c r="J193">
        <v>4.53</v>
      </c>
    </row>
    <row r="194" spans="2:10" x14ac:dyDescent="0.2">
      <c r="B194">
        <v>6.1008333333333331</v>
      </c>
      <c r="E194">
        <v>6.5344444444444401</v>
      </c>
      <c r="F194">
        <v>6.4008333333333303</v>
      </c>
      <c r="G194">
        <v>5.54</v>
      </c>
      <c r="H194">
        <v>4.5599999999999996</v>
      </c>
      <c r="I194">
        <v>6.32</v>
      </c>
      <c r="J194">
        <v>4.3899999999999997</v>
      </c>
    </row>
    <row r="195" spans="2:10" x14ac:dyDescent="0.2">
      <c r="B195">
        <v>6.1341666666666672</v>
      </c>
      <c r="E195">
        <v>6.5677777777777804</v>
      </c>
      <c r="F195">
        <v>6.4344444444444404</v>
      </c>
      <c r="G195">
        <v>5.68</v>
      </c>
      <c r="H195">
        <v>4.5599999999999996</v>
      </c>
      <c r="I195">
        <v>6.86</v>
      </c>
      <c r="J195">
        <v>4.3899999999999997</v>
      </c>
    </row>
    <row r="196" spans="2:10" x14ac:dyDescent="0.2">
      <c r="B196">
        <v>6.1675000000000004</v>
      </c>
      <c r="E196">
        <v>6.60111111111111</v>
      </c>
      <c r="F196">
        <v>6.4677777777777798</v>
      </c>
      <c r="G196">
        <v>5.54</v>
      </c>
      <c r="H196">
        <v>4.42</v>
      </c>
      <c r="I196">
        <v>6.05</v>
      </c>
      <c r="J196">
        <v>4.3899999999999997</v>
      </c>
    </row>
    <row r="197" spans="2:10" x14ac:dyDescent="0.2">
      <c r="B197">
        <v>6.2008333333333336</v>
      </c>
      <c r="E197">
        <v>6.6344444444444397</v>
      </c>
      <c r="F197">
        <v>6.5011111111111104</v>
      </c>
      <c r="G197">
        <v>5.81</v>
      </c>
      <c r="H197">
        <v>4.5599999999999996</v>
      </c>
      <c r="I197">
        <v>9.58</v>
      </c>
      <c r="J197">
        <v>4.3899999999999997</v>
      </c>
    </row>
    <row r="198" spans="2:10" x14ac:dyDescent="0.2">
      <c r="B198">
        <v>6.2341666666666669</v>
      </c>
      <c r="E198">
        <v>6.66777777777778</v>
      </c>
      <c r="F198">
        <v>6.5344444444444401</v>
      </c>
      <c r="G198">
        <v>5.68</v>
      </c>
      <c r="H198">
        <v>4.29</v>
      </c>
      <c r="I198">
        <v>7.13</v>
      </c>
      <c r="J198">
        <v>4.3899999999999997</v>
      </c>
    </row>
    <row r="199" spans="2:10" x14ac:dyDescent="0.2">
      <c r="B199">
        <v>6.2675000000000001</v>
      </c>
      <c r="E199">
        <v>6.7011111111111097</v>
      </c>
      <c r="F199">
        <v>6.5677777777777804</v>
      </c>
      <c r="G199">
        <v>5.41</v>
      </c>
      <c r="H199">
        <v>4.42</v>
      </c>
      <c r="I199">
        <v>8.49</v>
      </c>
      <c r="J199">
        <v>4.3899999999999997</v>
      </c>
    </row>
    <row r="200" spans="2:10" x14ac:dyDescent="0.2">
      <c r="B200">
        <v>6.3008333333333333</v>
      </c>
      <c r="E200">
        <v>6.7344444444444402</v>
      </c>
      <c r="F200">
        <v>6.60111111111111</v>
      </c>
      <c r="G200">
        <v>5.54</v>
      </c>
      <c r="H200">
        <v>4.29</v>
      </c>
      <c r="I200">
        <v>6.59</v>
      </c>
      <c r="J200">
        <v>4.26</v>
      </c>
    </row>
    <row r="201" spans="2:10" x14ac:dyDescent="0.2">
      <c r="B201">
        <v>6.3341666666666665</v>
      </c>
      <c r="E201">
        <v>6.7677777777777797</v>
      </c>
      <c r="F201">
        <v>6.6344444444444397</v>
      </c>
      <c r="G201">
        <v>5.54</v>
      </c>
      <c r="H201">
        <v>4.29</v>
      </c>
      <c r="I201">
        <v>6.72</v>
      </c>
      <c r="J201">
        <v>4.26</v>
      </c>
    </row>
    <row r="202" spans="2:10" x14ac:dyDescent="0.2">
      <c r="B202">
        <v>6.3675000000000006</v>
      </c>
      <c r="E202">
        <v>6.8011111111111102</v>
      </c>
      <c r="F202">
        <v>6.66777777777778</v>
      </c>
      <c r="G202">
        <v>5.41</v>
      </c>
      <c r="H202">
        <v>4.29</v>
      </c>
      <c r="I202">
        <v>6.05</v>
      </c>
      <c r="J202">
        <v>4.13</v>
      </c>
    </row>
    <row r="203" spans="2:10" x14ac:dyDescent="0.2">
      <c r="B203">
        <v>6.4008333333333338</v>
      </c>
      <c r="E203">
        <v>6.8344444444444399</v>
      </c>
      <c r="F203">
        <v>6.7011111111111097</v>
      </c>
      <c r="G203">
        <v>5.41</v>
      </c>
      <c r="H203">
        <v>4.1500000000000004</v>
      </c>
      <c r="I203">
        <v>1.2</v>
      </c>
      <c r="J203">
        <v>4.13</v>
      </c>
    </row>
    <row r="204" spans="2:10" x14ac:dyDescent="0.2">
      <c r="B204">
        <v>6.434444444444444</v>
      </c>
      <c r="E204">
        <v>6.8677777777777802</v>
      </c>
      <c r="F204">
        <v>6.7344444444444402</v>
      </c>
      <c r="G204">
        <v>5.41</v>
      </c>
      <c r="H204">
        <v>4.1500000000000004</v>
      </c>
      <c r="I204">
        <v>5.37</v>
      </c>
      <c r="J204">
        <v>4.13</v>
      </c>
    </row>
    <row r="205" spans="2:10" x14ac:dyDescent="0.2">
      <c r="B205">
        <v>6.4677777777777781</v>
      </c>
      <c r="E205">
        <v>6.9011111111111099</v>
      </c>
      <c r="F205">
        <v>6.7677777777777797</v>
      </c>
      <c r="G205">
        <v>5.68</v>
      </c>
      <c r="H205">
        <v>4.29</v>
      </c>
      <c r="I205">
        <v>5.0999999999999996</v>
      </c>
      <c r="J205">
        <v>4.26</v>
      </c>
    </row>
    <row r="206" spans="2:10" x14ac:dyDescent="0.2">
      <c r="B206">
        <v>6.5011111111111113</v>
      </c>
      <c r="E206">
        <v>6.9344444444444404</v>
      </c>
      <c r="F206">
        <v>6.8011111111111102</v>
      </c>
      <c r="G206">
        <v>5.54</v>
      </c>
      <c r="H206">
        <v>4.29</v>
      </c>
      <c r="I206">
        <v>6.18</v>
      </c>
      <c r="J206">
        <v>4.26</v>
      </c>
    </row>
    <row r="207" spans="2:10" x14ac:dyDescent="0.2">
      <c r="B207">
        <v>6.5344444444444445</v>
      </c>
      <c r="E207">
        <v>6.9677777777777798</v>
      </c>
      <c r="F207">
        <v>6.8344444444444399</v>
      </c>
      <c r="G207">
        <v>5.41</v>
      </c>
      <c r="H207">
        <v>4.1500000000000004</v>
      </c>
      <c r="I207">
        <v>6.86</v>
      </c>
      <c r="J207">
        <v>3.99</v>
      </c>
    </row>
    <row r="208" spans="2:10" x14ac:dyDescent="0.2">
      <c r="B208">
        <v>6.5677777777777777</v>
      </c>
      <c r="E208">
        <v>7.0011111111111104</v>
      </c>
      <c r="F208">
        <v>6.8677777777777802</v>
      </c>
      <c r="G208">
        <v>5.41</v>
      </c>
      <c r="H208">
        <v>4.29</v>
      </c>
      <c r="I208">
        <v>8.49</v>
      </c>
      <c r="J208">
        <v>4.26</v>
      </c>
    </row>
    <row r="209" spans="2:10" x14ac:dyDescent="0.2">
      <c r="B209">
        <v>6.6011111111111109</v>
      </c>
      <c r="E209">
        <v>7.0344444444444401</v>
      </c>
      <c r="F209">
        <v>6.9011111111111099</v>
      </c>
      <c r="G209">
        <v>5.41</v>
      </c>
      <c r="H209">
        <v>4.29</v>
      </c>
      <c r="I209">
        <v>6.59</v>
      </c>
      <c r="J209">
        <v>4.13</v>
      </c>
    </row>
    <row r="210" spans="2:10" x14ac:dyDescent="0.2">
      <c r="B210">
        <v>6.6344444444444441</v>
      </c>
      <c r="E210">
        <v>7.0677777777777804</v>
      </c>
      <c r="F210">
        <v>6.9344444444444404</v>
      </c>
      <c r="G210">
        <v>5.54</v>
      </c>
      <c r="H210">
        <v>4.29</v>
      </c>
      <c r="I210">
        <v>9.58</v>
      </c>
      <c r="J210">
        <v>3.99</v>
      </c>
    </row>
    <row r="211" spans="2:10" x14ac:dyDescent="0.2">
      <c r="B211">
        <v>6.6677777777777774</v>
      </c>
      <c r="E211">
        <v>7.10111111111111</v>
      </c>
      <c r="F211">
        <v>6.9677777777777798</v>
      </c>
      <c r="G211">
        <v>5.41</v>
      </c>
      <c r="H211">
        <v>4.1500000000000004</v>
      </c>
      <c r="I211">
        <v>8.6300000000000008</v>
      </c>
      <c r="J211">
        <v>4.13</v>
      </c>
    </row>
    <row r="212" spans="2:10" x14ac:dyDescent="0.2">
      <c r="B212">
        <v>6.7011111111111115</v>
      </c>
      <c r="E212">
        <v>7.1344444444444397</v>
      </c>
      <c r="F212">
        <v>7.0011111111111104</v>
      </c>
      <c r="G212">
        <v>5.54</v>
      </c>
      <c r="H212">
        <v>4.29</v>
      </c>
      <c r="I212">
        <v>6.05</v>
      </c>
      <c r="J212">
        <v>4.13</v>
      </c>
    </row>
    <row r="213" spans="2:10" x14ac:dyDescent="0.2">
      <c r="B213">
        <v>6.7344444444444447</v>
      </c>
      <c r="E213">
        <v>7.16777777777778</v>
      </c>
      <c r="F213">
        <v>7.0344444444444401</v>
      </c>
      <c r="G213">
        <v>5.54</v>
      </c>
      <c r="H213">
        <v>4.1500000000000004</v>
      </c>
      <c r="I213">
        <v>9.99</v>
      </c>
      <c r="J213">
        <v>4.26</v>
      </c>
    </row>
    <row r="214" spans="2:10" x14ac:dyDescent="0.2">
      <c r="B214">
        <v>6.7677777777777779</v>
      </c>
      <c r="E214">
        <v>7.2011111111111097</v>
      </c>
      <c r="F214">
        <v>7.0677777777777804</v>
      </c>
      <c r="G214">
        <v>5.54</v>
      </c>
      <c r="H214">
        <v>4.1500000000000004</v>
      </c>
      <c r="I214">
        <v>4.29</v>
      </c>
      <c r="J214">
        <v>4.26</v>
      </c>
    </row>
    <row r="215" spans="2:10" x14ac:dyDescent="0.2">
      <c r="B215">
        <v>6.8011111111111111</v>
      </c>
      <c r="E215">
        <v>7.2344444444444402</v>
      </c>
      <c r="F215">
        <v>7.10111111111111</v>
      </c>
      <c r="G215">
        <v>5.54</v>
      </c>
      <c r="H215">
        <v>4.29</v>
      </c>
      <c r="I215">
        <v>2.94</v>
      </c>
      <c r="J215">
        <v>4.13</v>
      </c>
    </row>
    <row r="216" spans="2:10" x14ac:dyDescent="0.2">
      <c r="B216">
        <v>6.8344444444444443</v>
      </c>
      <c r="E216">
        <v>7.2677777777777797</v>
      </c>
      <c r="F216">
        <v>7.1344444444444397</v>
      </c>
      <c r="G216">
        <v>5.54</v>
      </c>
      <c r="H216">
        <v>4.29</v>
      </c>
      <c r="I216">
        <v>3.21</v>
      </c>
      <c r="J216">
        <v>4.26</v>
      </c>
    </row>
    <row r="217" spans="2:10" x14ac:dyDescent="0.2">
      <c r="B217">
        <v>6.8677777777777775</v>
      </c>
      <c r="E217">
        <v>7.3011111111111102</v>
      </c>
      <c r="F217">
        <v>7.16777777777778</v>
      </c>
      <c r="G217">
        <v>5.54</v>
      </c>
      <c r="H217">
        <v>4.0199999999999996</v>
      </c>
      <c r="I217">
        <v>7.54</v>
      </c>
      <c r="J217">
        <v>3.99</v>
      </c>
    </row>
    <row r="218" spans="2:10" x14ac:dyDescent="0.2">
      <c r="B218">
        <v>6.9011111111111108</v>
      </c>
      <c r="E218">
        <v>7.3344444444444399</v>
      </c>
      <c r="F218">
        <v>7.2011111111111097</v>
      </c>
      <c r="G218">
        <v>5.54</v>
      </c>
      <c r="H218">
        <v>4.1500000000000004</v>
      </c>
      <c r="I218">
        <v>5.64</v>
      </c>
      <c r="J218">
        <v>4.13</v>
      </c>
    </row>
    <row r="219" spans="2:10" x14ac:dyDescent="0.2">
      <c r="B219">
        <v>6.934444444444444</v>
      </c>
      <c r="E219">
        <v>7.3677777777777802</v>
      </c>
      <c r="F219">
        <v>7.2344444444444402</v>
      </c>
      <c r="G219">
        <v>5.54</v>
      </c>
      <c r="H219">
        <v>4.42</v>
      </c>
      <c r="I219">
        <v>7.67</v>
      </c>
      <c r="J219">
        <v>4.26</v>
      </c>
    </row>
    <row r="220" spans="2:10" x14ac:dyDescent="0.2">
      <c r="B220">
        <v>6.9677777777777781</v>
      </c>
      <c r="E220">
        <v>7.4011111111111099</v>
      </c>
      <c r="F220">
        <v>7.2677777777777797</v>
      </c>
      <c r="G220">
        <v>5.68</v>
      </c>
      <c r="H220">
        <v>4.42</v>
      </c>
      <c r="I220">
        <v>5.91</v>
      </c>
      <c r="J220">
        <v>4.26</v>
      </c>
    </row>
    <row r="221" spans="2:10" x14ac:dyDescent="0.2">
      <c r="B221">
        <v>7.0011111111111113</v>
      </c>
      <c r="E221">
        <v>7.4344444444444404</v>
      </c>
      <c r="F221">
        <v>7.3011111111111102</v>
      </c>
      <c r="G221">
        <v>5.41</v>
      </c>
      <c r="H221">
        <v>4.42</v>
      </c>
      <c r="I221">
        <v>4.1500000000000004</v>
      </c>
      <c r="J221">
        <v>4.26</v>
      </c>
    </row>
    <row r="222" spans="2:10" x14ac:dyDescent="0.2">
      <c r="B222">
        <v>7.0344444444444445</v>
      </c>
      <c r="E222">
        <v>7.4677777777777798</v>
      </c>
      <c r="F222">
        <v>7.3344444444444399</v>
      </c>
      <c r="G222">
        <v>5.81</v>
      </c>
      <c r="H222">
        <v>4.1500000000000004</v>
      </c>
      <c r="I222">
        <v>8.35</v>
      </c>
      <c r="J222">
        <v>4.26</v>
      </c>
    </row>
    <row r="223" spans="2:10" x14ac:dyDescent="0.2">
      <c r="B223">
        <v>7.0677777777777777</v>
      </c>
      <c r="E223">
        <v>7.5011111111111104</v>
      </c>
      <c r="F223">
        <v>7.3677777777777802</v>
      </c>
      <c r="G223">
        <v>5.54</v>
      </c>
      <c r="H223">
        <v>4.42</v>
      </c>
      <c r="I223">
        <v>5.64</v>
      </c>
      <c r="J223">
        <v>4.13</v>
      </c>
    </row>
    <row r="224" spans="2:10" x14ac:dyDescent="0.2">
      <c r="B224">
        <v>7.1011111111111109</v>
      </c>
      <c r="E224">
        <v>7.5344444444444401</v>
      </c>
      <c r="F224">
        <v>7.4011111111111099</v>
      </c>
      <c r="G224">
        <v>5.68</v>
      </c>
      <c r="H224">
        <v>4.29</v>
      </c>
      <c r="I224">
        <v>3.62</v>
      </c>
      <c r="J224">
        <v>4.26</v>
      </c>
    </row>
    <row r="225" spans="2:10" x14ac:dyDescent="0.2">
      <c r="B225">
        <v>7.1344444444444441</v>
      </c>
      <c r="E225">
        <v>7.5677777777777804</v>
      </c>
      <c r="F225">
        <v>7.4344444444444404</v>
      </c>
      <c r="G225">
        <v>5.54</v>
      </c>
      <c r="H225">
        <v>4.29</v>
      </c>
      <c r="I225">
        <v>7.27</v>
      </c>
      <c r="J225">
        <v>4.26</v>
      </c>
    </row>
    <row r="226" spans="2:10" x14ac:dyDescent="0.2">
      <c r="B226">
        <v>7.1677777777777774</v>
      </c>
      <c r="E226">
        <v>7.60111111111111</v>
      </c>
      <c r="F226">
        <v>7.4677777777777798</v>
      </c>
      <c r="G226">
        <v>5.81</v>
      </c>
      <c r="H226">
        <v>4.5599999999999996</v>
      </c>
      <c r="I226">
        <v>5.91</v>
      </c>
      <c r="J226">
        <v>4.26</v>
      </c>
    </row>
    <row r="227" spans="2:10" x14ac:dyDescent="0.2">
      <c r="B227">
        <v>7.2011111111111115</v>
      </c>
      <c r="E227">
        <v>7.6344444444444397</v>
      </c>
      <c r="F227">
        <v>7.5011111111111104</v>
      </c>
      <c r="G227">
        <v>5.68</v>
      </c>
      <c r="H227">
        <v>4.29</v>
      </c>
      <c r="I227">
        <v>3.88</v>
      </c>
      <c r="J227">
        <v>4.3899999999999997</v>
      </c>
    </row>
    <row r="228" spans="2:10" x14ac:dyDescent="0.2">
      <c r="B228">
        <v>7.2344444444444447</v>
      </c>
      <c r="E228">
        <v>7.66777777777778</v>
      </c>
      <c r="F228">
        <v>7.5344444444444401</v>
      </c>
      <c r="G228">
        <v>5.81</v>
      </c>
      <c r="H228">
        <v>4.29</v>
      </c>
      <c r="I228">
        <v>7.13</v>
      </c>
      <c r="J228">
        <v>4.3899999999999997</v>
      </c>
    </row>
    <row r="229" spans="2:10" x14ac:dyDescent="0.2">
      <c r="B229">
        <v>7.2677777777777779</v>
      </c>
      <c r="E229">
        <v>7.7011111111111097</v>
      </c>
      <c r="F229">
        <v>7.5677777777777804</v>
      </c>
      <c r="G229">
        <v>5.81</v>
      </c>
      <c r="H229">
        <v>4.42</v>
      </c>
      <c r="I229">
        <v>4.42</v>
      </c>
      <c r="J229">
        <v>4.53</v>
      </c>
    </row>
    <row r="230" spans="2:10" x14ac:dyDescent="0.2">
      <c r="B230">
        <v>7.3011111111111111</v>
      </c>
      <c r="E230">
        <v>7.7344444444444402</v>
      </c>
      <c r="F230">
        <v>7.60111111111111</v>
      </c>
      <c r="G230">
        <v>5.68</v>
      </c>
      <c r="H230">
        <v>4.5599999999999996</v>
      </c>
      <c r="I230">
        <v>6.05</v>
      </c>
      <c r="J230">
        <v>4.53</v>
      </c>
    </row>
    <row r="231" spans="2:10" x14ac:dyDescent="0.2">
      <c r="B231">
        <v>7.3344444444444443</v>
      </c>
      <c r="E231">
        <v>7.7677777777777797</v>
      </c>
      <c r="F231">
        <v>7.6344444444444397</v>
      </c>
      <c r="G231">
        <v>5.81</v>
      </c>
      <c r="H231">
        <v>4.5599999999999996</v>
      </c>
      <c r="I231">
        <v>7.81</v>
      </c>
      <c r="J231">
        <v>4.3899999999999997</v>
      </c>
    </row>
    <row r="232" spans="2:10" x14ac:dyDescent="0.2">
      <c r="B232">
        <v>7.3677777777777775</v>
      </c>
      <c r="E232">
        <v>7.8011111111111102</v>
      </c>
      <c r="F232">
        <v>7.66777777777778</v>
      </c>
      <c r="G232">
        <v>5.81</v>
      </c>
      <c r="H232">
        <v>4.42</v>
      </c>
      <c r="I232">
        <v>8.35</v>
      </c>
      <c r="J232">
        <v>4.26</v>
      </c>
    </row>
    <row r="233" spans="2:10" x14ac:dyDescent="0.2">
      <c r="B233">
        <v>7.4011111111111108</v>
      </c>
      <c r="E233">
        <v>7.8344444444444399</v>
      </c>
      <c r="F233">
        <v>7.7011111111111097</v>
      </c>
      <c r="G233">
        <v>5.81</v>
      </c>
      <c r="H233">
        <v>4.5599999999999996</v>
      </c>
      <c r="I233">
        <v>7.13</v>
      </c>
      <c r="J233">
        <v>4.26</v>
      </c>
    </row>
    <row r="234" spans="2:10" x14ac:dyDescent="0.2">
      <c r="B234">
        <v>7.434444444444444</v>
      </c>
      <c r="E234">
        <v>7.8677777777777802</v>
      </c>
      <c r="F234">
        <v>7.7344444444444402</v>
      </c>
      <c r="G234">
        <v>5.81</v>
      </c>
      <c r="H234">
        <v>4.5599999999999996</v>
      </c>
      <c r="I234">
        <v>5.23</v>
      </c>
      <c r="J234">
        <v>4.26</v>
      </c>
    </row>
    <row r="235" spans="2:10" x14ac:dyDescent="0.2">
      <c r="B235">
        <v>7.4677777777777781</v>
      </c>
      <c r="E235">
        <v>7.9011111111111099</v>
      </c>
      <c r="F235">
        <v>7.7677777777777797</v>
      </c>
      <c r="G235">
        <v>5.68</v>
      </c>
      <c r="H235">
        <v>4.29</v>
      </c>
      <c r="I235">
        <v>6.59</v>
      </c>
      <c r="J235">
        <v>4.3899999999999997</v>
      </c>
    </row>
    <row r="236" spans="2:10" x14ac:dyDescent="0.2">
      <c r="B236">
        <v>7.5011111111111113</v>
      </c>
      <c r="E236">
        <v>7.9344444444444404</v>
      </c>
      <c r="F236">
        <v>7.8011111111111102</v>
      </c>
      <c r="G236">
        <v>5.94</v>
      </c>
      <c r="H236">
        <v>4.42</v>
      </c>
      <c r="I236">
        <v>10.130000000000001</v>
      </c>
      <c r="J236">
        <v>4.53</v>
      </c>
    </row>
    <row r="237" spans="2:10" x14ac:dyDescent="0.2">
      <c r="B237">
        <v>7.5344444444444445</v>
      </c>
      <c r="E237">
        <v>7.9677777777777798</v>
      </c>
      <c r="F237">
        <v>7.8344444444444399</v>
      </c>
      <c r="G237">
        <v>5.81</v>
      </c>
      <c r="H237">
        <v>4.5599999999999996</v>
      </c>
      <c r="I237">
        <v>6.32</v>
      </c>
      <c r="J237">
        <v>4.3899999999999997</v>
      </c>
    </row>
    <row r="238" spans="2:10" x14ac:dyDescent="0.2">
      <c r="B238">
        <v>7.5677777777777777</v>
      </c>
      <c r="E238">
        <v>8.0011111111111095</v>
      </c>
      <c r="F238">
        <v>7.8677777777777802</v>
      </c>
      <c r="G238">
        <v>5.68</v>
      </c>
      <c r="H238">
        <v>4.5599999999999996</v>
      </c>
      <c r="I238">
        <v>5.64</v>
      </c>
      <c r="J238">
        <v>4.26</v>
      </c>
    </row>
    <row r="239" spans="2:10" x14ac:dyDescent="0.2">
      <c r="B239">
        <v>7.6011111111111109</v>
      </c>
      <c r="E239">
        <v>8.0344444444444392</v>
      </c>
      <c r="F239">
        <v>7.9011111111111099</v>
      </c>
      <c r="G239">
        <v>5.68</v>
      </c>
      <c r="H239">
        <v>4.29</v>
      </c>
      <c r="I239">
        <v>6.59</v>
      </c>
      <c r="J239">
        <v>4.13</v>
      </c>
    </row>
    <row r="240" spans="2:10" x14ac:dyDescent="0.2">
      <c r="B240">
        <v>7.6344444444444441</v>
      </c>
      <c r="E240">
        <v>8.0677777777777795</v>
      </c>
      <c r="F240">
        <v>7.9344444444444404</v>
      </c>
      <c r="G240">
        <v>5.68</v>
      </c>
      <c r="H240">
        <v>4.29</v>
      </c>
      <c r="I240">
        <v>5.91</v>
      </c>
      <c r="J240">
        <v>4.26</v>
      </c>
    </row>
    <row r="241" spans="2:10" x14ac:dyDescent="0.2">
      <c r="B241">
        <v>7.6677777777777774</v>
      </c>
      <c r="E241">
        <v>8.1011111111111092</v>
      </c>
      <c r="F241">
        <v>7.9677777777777798</v>
      </c>
      <c r="G241">
        <v>5.68</v>
      </c>
      <c r="H241">
        <v>4.29</v>
      </c>
      <c r="I241">
        <v>8.76</v>
      </c>
      <c r="J241">
        <v>4.3899999999999997</v>
      </c>
    </row>
    <row r="242" spans="2:10" x14ac:dyDescent="0.2">
      <c r="B242">
        <v>7.7011111111111115</v>
      </c>
      <c r="E242">
        <v>8.1344444444444406</v>
      </c>
      <c r="F242">
        <v>8.0011111111111095</v>
      </c>
      <c r="G242">
        <v>5.68</v>
      </c>
      <c r="H242">
        <v>4.1500000000000004</v>
      </c>
      <c r="I242">
        <v>5.91</v>
      </c>
      <c r="J242">
        <v>4.26</v>
      </c>
    </row>
    <row r="243" spans="2:10" x14ac:dyDescent="0.2">
      <c r="B243">
        <v>7.7344444444444447</v>
      </c>
      <c r="E243">
        <v>8.167777777777772</v>
      </c>
      <c r="F243">
        <v>8.0344444444444392</v>
      </c>
      <c r="G243">
        <v>5.68</v>
      </c>
      <c r="H243">
        <v>4.1500000000000004</v>
      </c>
      <c r="I243">
        <v>8.49</v>
      </c>
      <c r="J243">
        <v>4.13</v>
      </c>
    </row>
    <row r="244" spans="2:10" x14ac:dyDescent="0.2">
      <c r="B244">
        <v>7.7677777777777779</v>
      </c>
      <c r="E244">
        <v>8.2011111111111035</v>
      </c>
      <c r="F244">
        <v>8.0677777777777795</v>
      </c>
      <c r="G244">
        <v>5.81</v>
      </c>
      <c r="H244">
        <v>4.29</v>
      </c>
      <c r="I244">
        <v>6.32</v>
      </c>
      <c r="J244">
        <v>3.99</v>
      </c>
    </row>
    <row r="245" spans="2:10" x14ac:dyDescent="0.2">
      <c r="B245">
        <v>7.8011111111111111</v>
      </c>
      <c r="E245">
        <v>8.2344444444444349</v>
      </c>
      <c r="F245">
        <v>8.1011111111111092</v>
      </c>
      <c r="G245">
        <v>5.68</v>
      </c>
      <c r="H245">
        <v>4.29</v>
      </c>
      <c r="I245">
        <v>8.6300000000000008</v>
      </c>
      <c r="J245">
        <v>4.13</v>
      </c>
    </row>
    <row r="246" spans="2:10" x14ac:dyDescent="0.2">
      <c r="B246">
        <v>7.8344444444444443</v>
      </c>
      <c r="E246">
        <v>8.2677777777777663</v>
      </c>
      <c r="F246">
        <v>8.1344444444444406</v>
      </c>
      <c r="G246">
        <v>5.54</v>
      </c>
      <c r="H246">
        <v>4.1500000000000004</v>
      </c>
      <c r="I246">
        <v>6.72</v>
      </c>
      <c r="J246">
        <v>4.13</v>
      </c>
    </row>
    <row r="247" spans="2:10" x14ac:dyDescent="0.2">
      <c r="B247">
        <v>7.8677777777777775</v>
      </c>
      <c r="E247">
        <v>8.3011111111110978</v>
      </c>
      <c r="F247">
        <v>8.167777777777772</v>
      </c>
      <c r="G247">
        <v>5.68</v>
      </c>
      <c r="H247">
        <v>4.29</v>
      </c>
      <c r="I247">
        <v>7.95</v>
      </c>
      <c r="J247">
        <v>4.13</v>
      </c>
    </row>
    <row r="248" spans="2:10" x14ac:dyDescent="0.2">
      <c r="B248">
        <v>7.9011111111111108</v>
      </c>
      <c r="E248">
        <v>8.3344444444444292</v>
      </c>
      <c r="F248">
        <v>8.2011111111111035</v>
      </c>
      <c r="G248">
        <v>5.68</v>
      </c>
      <c r="H248">
        <v>4.1500000000000004</v>
      </c>
      <c r="I248">
        <v>4.29</v>
      </c>
      <c r="J248">
        <v>4.26</v>
      </c>
    </row>
    <row r="249" spans="2:10" x14ac:dyDescent="0.2">
      <c r="B249">
        <v>7.934444444444444</v>
      </c>
      <c r="E249">
        <v>8.3677777777777607</v>
      </c>
      <c r="F249">
        <v>8.2344444444444349</v>
      </c>
      <c r="G249">
        <v>5.54</v>
      </c>
      <c r="H249">
        <v>4.29</v>
      </c>
      <c r="I249">
        <v>3.08</v>
      </c>
      <c r="J249">
        <v>4.13</v>
      </c>
    </row>
    <row r="250" spans="2:10" x14ac:dyDescent="0.2">
      <c r="B250">
        <v>7.9677777777777781</v>
      </c>
      <c r="E250">
        <v>8.4011111111110921</v>
      </c>
      <c r="F250">
        <v>8.2677777777777663</v>
      </c>
      <c r="G250">
        <v>5.81</v>
      </c>
      <c r="H250">
        <v>4.29</v>
      </c>
      <c r="I250">
        <v>8.9</v>
      </c>
      <c r="J250">
        <v>3.99</v>
      </c>
    </row>
    <row r="251" spans="2:10" x14ac:dyDescent="0.2">
      <c r="B251">
        <v>8.0011111111111113</v>
      </c>
      <c r="E251">
        <v>8.4344444444444235</v>
      </c>
      <c r="F251">
        <v>8.3011111111110978</v>
      </c>
      <c r="G251">
        <v>5.54</v>
      </c>
      <c r="H251">
        <v>4.1500000000000004</v>
      </c>
      <c r="I251">
        <v>7.4</v>
      </c>
      <c r="J251">
        <v>4.13</v>
      </c>
    </row>
    <row r="252" spans="2:10" x14ac:dyDescent="0.2">
      <c r="B252">
        <v>8.0344444444444445</v>
      </c>
      <c r="E252">
        <v>8.467777777777755</v>
      </c>
      <c r="F252">
        <v>8.3344444444444292</v>
      </c>
      <c r="G252">
        <v>5.54</v>
      </c>
      <c r="H252">
        <v>4.29</v>
      </c>
      <c r="I252">
        <v>6.86</v>
      </c>
      <c r="J252">
        <v>4.13</v>
      </c>
    </row>
    <row r="253" spans="2:10" x14ac:dyDescent="0.2">
      <c r="B253">
        <v>8.0677777777777777</v>
      </c>
      <c r="E253">
        <v>8.5011111111110864</v>
      </c>
      <c r="F253">
        <v>8.3677777777777607</v>
      </c>
      <c r="G253">
        <v>5.68</v>
      </c>
      <c r="H253">
        <v>4.1500000000000004</v>
      </c>
      <c r="I253">
        <v>4.6900000000000004</v>
      </c>
      <c r="J253">
        <v>4.13</v>
      </c>
    </row>
    <row r="254" spans="2:10" x14ac:dyDescent="0.2">
      <c r="B254">
        <v>8.1011111111111109</v>
      </c>
      <c r="E254">
        <v>8.5344444444444179</v>
      </c>
      <c r="F254">
        <v>8.4011111111110921</v>
      </c>
      <c r="G254">
        <v>5.68</v>
      </c>
      <c r="H254">
        <v>4.29</v>
      </c>
      <c r="I254">
        <v>7.95</v>
      </c>
      <c r="J254">
        <v>4.13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45"/>
  <sheetViews>
    <sheetView workbookViewId="0">
      <selection activeCell="F4" sqref="F4"/>
    </sheetView>
  </sheetViews>
  <sheetFormatPr baseColWidth="10" defaultRowHeight="16" x14ac:dyDescent="0.2"/>
  <sheetData>
    <row r="3" spans="2:18" x14ac:dyDescent="0.2">
      <c r="F3" s="48" t="s">
        <v>76</v>
      </c>
      <c r="G3" s="49">
        <v>1.173</v>
      </c>
      <c r="H3" s="49">
        <v>0.72099999999999997</v>
      </c>
      <c r="I3" s="49">
        <v>0.78400000000000003</v>
      </c>
      <c r="J3" s="49">
        <v>1.026</v>
      </c>
      <c r="K3" s="49">
        <v>0.84799999999999998</v>
      </c>
      <c r="L3" s="49">
        <v>1.1599999999999999</v>
      </c>
      <c r="M3" s="49">
        <v>0.45</v>
      </c>
      <c r="N3" s="49">
        <v>1.1439999999999999</v>
      </c>
      <c r="O3" s="49">
        <v>1.6970000000000001</v>
      </c>
      <c r="P3" s="49">
        <v>0.82199999999999995</v>
      </c>
      <c r="Q3" s="49">
        <v>2.0449999999999999</v>
      </c>
      <c r="R3" s="50">
        <v>1.1719999999999999</v>
      </c>
    </row>
    <row r="4" spans="2:18" x14ac:dyDescent="0.2">
      <c r="F4" s="51" t="s">
        <v>39</v>
      </c>
      <c r="G4" s="5">
        <v>8.2000000000000003E-2</v>
      </c>
      <c r="H4" s="5">
        <v>8.2000000000000003E-2</v>
      </c>
      <c r="I4" s="5">
        <v>0.04</v>
      </c>
      <c r="J4" s="5">
        <v>4.9000000000000002E-2</v>
      </c>
      <c r="K4" s="5">
        <v>3.3000000000000002E-2</v>
      </c>
      <c r="L4" s="5">
        <v>6.6000000000000003E-2</v>
      </c>
      <c r="M4" s="5">
        <v>0.14000000000000001</v>
      </c>
      <c r="N4" s="5">
        <v>6.2E-2</v>
      </c>
      <c r="O4" s="5">
        <v>9.1999999999999998E-2</v>
      </c>
      <c r="P4" s="5">
        <v>5.8999999999999997E-2</v>
      </c>
      <c r="Q4" s="5">
        <v>0.14099999999999999</v>
      </c>
      <c r="R4" s="61">
        <v>6.9000000000000006E-2</v>
      </c>
    </row>
    <row r="5" spans="2:18" x14ac:dyDescent="0.2">
      <c r="F5" s="51" t="s">
        <v>44</v>
      </c>
      <c r="G5" s="5">
        <v>2.407928388746803E-2</v>
      </c>
      <c r="H5" s="5">
        <v>2.3502080443828018E-2</v>
      </c>
      <c r="I5" s="5">
        <v>2.3622448979591839E-2</v>
      </c>
      <c r="J5" s="5">
        <v>2.394736842105263E-2</v>
      </c>
      <c r="K5" s="5">
        <v>2.372641509433962E-2</v>
      </c>
      <c r="L5" s="5">
        <v>2.4068965517241379E-2</v>
      </c>
      <c r="M5" s="5">
        <v>2.2600000000000002E-2</v>
      </c>
      <c r="N5" s="5">
        <v>2.4055944055944058E-2</v>
      </c>
      <c r="O5" s="5">
        <v>2.4363582793164407E-2</v>
      </c>
      <c r="P5" s="5">
        <v>2.3686131386861313E-2</v>
      </c>
      <c r="Q5" s="5">
        <v>2.4471882640586799E-2</v>
      </c>
      <c r="R5" s="61">
        <v>2.4078498293515358E-2</v>
      </c>
    </row>
    <row r="6" spans="2:18" x14ac:dyDescent="0.2">
      <c r="F6" s="51" t="s">
        <v>42</v>
      </c>
      <c r="G6" s="5">
        <f>SLOPE(G29:G59,$E29:$E59)</f>
        <v>-33.07657258064517</v>
      </c>
      <c r="H6" s="5">
        <f>SLOPE(H18:H26,$F18:$F26)</f>
        <v>-20.015000000000018</v>
      </c>
      <c r="I6" s="5">
        <f>SLOPE(I56:I116,$F56:$F116)</f>
        <v>-20.79699646364918</v>
      </c>
      <c r="J6" s="5">
        <f>SLOPE(J26:J86,$F26:$F86)</f>
        <v>-25.631581173982024</v>
      </c>
      <c r="K6" s="5">
        <f>SLOPE(K18:K86,$F18:$F86)</f>
        <v>-19.034665692363909</v>
      </c>
      <c r="L6" s="5">
        <f>SLOPE(L18:L56,$F18:$F56)</f>
        <v>-47.349959514170116</v>
      </c>
      <c r="M6" s="5">
        <f>SLOPE(M9:M90,$F9:$F90)</f>
        <v>-12.351725836444322</v>
      </c>
      <c r="N6" s="5">
        <f>SLOPE(N9:N90,$F9:$F90)</f>
        <v>-12.48979186695782</v>
      </c>
      <c r="O6" s="5">
        <f>SLOPE(O9:O90,$F9:$F90)</f>
        <v>-28.073628868374456</v>
      </c>
      <c r="P6" s="5">
        <f>SLOPE(P36:P57,$F36:$F57)</f>
        <v>-89.09559570863928</v>
      </c>
      <c r="Q6" s="5">
        <f>SLOPE(Q69:Q99,$C69:$C99)</f>
        <v>-29.895000000000003</v>
      </c>
      <c r="R6" s="61">
        <f>SLOPE(R9:R42,C9:C42)</f>
        <v>-21.705882352941192</v>
      </c>
    </row>
    <row r="7" spans="2:18" x14ac:dyDescent="0.2">
      <c r="F7" s="88" t="s">
        <v>46</v>
      </c>
      <c r="G7" s="64">
        <f>(-1*G5*(G6-(-1.23))*5.31)/100</f>
        <v>4.0719345352848366E-2</v>
      </c>
      <c r="H7" s="64">
        <f>(-1*H5*(H6-(-1.164))*5.31)/100</f>
        <v>2.3525302849514582E-2</v>
      </c>
      <c r="I7" s="64">
        <f>(-1*I5*(I6-(-1.164))*5.31)/100</f>
        <v>2.4626689181518068E-2</v>
      </c>
      <c r="J7" s="64">
        <f>(-1*J5*(J6-(-1.1642))*5.31)/100</f>
        <v>3.111285067652593E-2</v>
      </c>
      <c r="K7" s="64">
        <f>(-1*K5*(K6-(-1.72))*5.31)/100</f>
        <v>2.1814273602691291E-2</v>
      </c>
      <c r="L7" s="64">
        <f>(-1*L5*(L6-(-1.72))*5.31)/100</f>
        <v>5.8317920463493038E-2</v>
      </c>
      <c r="M7" s="64">
        <f>(-1*M5*(M6-(-4.4127))*5.31)/100</f>
        <v>9.5273073452833736E-3</v>
      </c>
      <c r="N7" s="64">
        <f>(-1*N5*(N6-(-4.412))*5.31)/100</f>
        <v>1.0318334081020864E-2</v>
      </c>
      <c r="O7" s="64">
        <f>(-1*O5*(O6-(-4.412))*5.31)/100</f>
        <v>3.0611197065051391E-2</v>
      </c>
      <c r="P7" s="64">
        <f>(-1*P5*(P6-(-0.8549))*5.31)/100</f>
        <v>0.11098328581903488</v>
      </c>
      <c r="Q7" s="64">
        <f>(-1*Q5*(Q6-(-2.765))*5.31)/100</f>
        <v>3.525426754767727E-2</v>
      </c>
      <c r="R7" s="98">
        <f>(-1*R5*(R6-(-3.3))*5.31)/100</f>
        <v>2.3533176962457353E-2</v>
      </c>
    </row>
    <row r="8" spans="2:18" x14ac:dyDescent="0.2">
      <c r="B8" t="s">
        <v>45</v>
      </c>
      <c r="C8" t="s">
        <v>45</v>
      </c>
      <c r="D8" t="s">
        <v>45</v>
      </c>
      <c r="E8" t="s">
        <v>45</v>
      </c>
      <c r="F8" t="s">
        <v>45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19</v>
      </c>
    </row>
    <row r="9" spans="2:18" x14ac:dyDescent="0.2">
      <c r="B9">
        <v>2.7777777777777778E-4</v>
      </c>
      <c r="C9">
        <v>0.96694444444444405</v>
      </c>
      <c r="D9">
        <v>0.83361111111111097</v>
      </c>
      <c r="E9">
        <v>0.433611111111111</v>
      </c>
      <c r="F9">
        <v>0.30027777777777798</v>
      </c>
      <c r="G9">
        <v>67.739999999999995</v>
      </c>
      <c r="H9">
        <v>69.77</v>
      </c>
      <c r="I9">
        <v>72.17</v>
      </c>
      <c r="J9">
        <v>71.53</v>
      </c>
      <c r="K9">
        <v>81.86</v>
      </c>
      <c r="L9">
        <v>77.89</v>
      </c>
      <c r="M9">
        <v>78.650000000000006</v>
      </c>
      <c r="N9">
        <v>77.48</v>
      </c>
      <c r="O9">
        <v>75.81</v>
      </c>
      <c r="P9">
        <v>73.489999999999995</v>
      </c>
      <c r="Q9">
        <v>62.48</v>
      </c>
      <c r="R9">
        <v>50.58</v>
      </c>
    </row>
    <row r="10" spans="2:18" x14ac:dyDescent="0.2">
      <c r="B10">
        <v>3.3611111111111112E-2</v>
      </c>
      <c r="C10">
        <v>1.00027777777778</v>
      </c>
      <c r="D10">
        <v>0.86694444444444396</v>
      </c>
      <c r="E10">
        <v>0.466944444444444</v>
      </c>
      <c r="F10">
        <v>0.33361111111111103</v>
      </c>
      <c r="G10">
        <v>66.599999999999994</v>
      </c>
      <c r="H10">
        <v>69.77</v>
      </c>
      <c r="I10">
        <v>71.849999999999994</v>
      </c>
      <c r="J10">
        <v>71.209999999999994</v>
      </c>
      <c r="K10">
        <v>81.489999999999995</v>
      </c>
      <c r="L10">
        <v>77.349999999999994</v>
      </c>
      <c r="M10">
        <v>78.819999999999993</v>
      </c>
      <c r="N10">
        <v>76.98</v>
      </c>
      <c r="O10">
        <v>74.31</v>
      </c>
      <c r="P10">
        <v>74.8</v>
      </c>
      <c r="Q10">
        <v>62.48</v>
      </c>
      <c r="R10">
        <v>49.4</v>
      </c>
    </row>
    <row r="11" spans="2:18" x14ac:dyDescent="0.2">
      <c r="B11">
        <v>6.6944444444444445E-2</v>
      </c>
      <c r="C11">
        <v>1.0336111111111099</v>
      </c>
      <c r="D11">
        <v>0.90027777777777795</v>
      </c>
      <c r="E11">
        <v>0.50027777777777804</v>
      </c>
      <c r="F11">
        <v>0.36694444444444402</v>
      </c>
      <c r="G11">
        <v>65.95</v>
      </c>
      <c r="H11">
        <v>69.290000000000006</v>
      </c>
      <c r="I11">
        <v>71.849999999999994</v>
      </c>
      <c r="J11">
        <v>72.010000000000005</v>
      </c>
      <c r="K11">
        <v>80.95</v>
      </c>
      <c r="L11">
        <v>76.63</v>
      </c>
      <c r="M11">
        <v>78.650000000000006</v>
      </c>
      <c r="N11">
        <v>76.98</v>
      </c>
      <c r="O11">
        <v>73.319999999999993</v>
      </c>
      <c r="P11">
        <v>73.650000000000006</v>
      </c>
      <c r="Q11">
        <v>62.48</v>
      </c>
      <c r="R11">
        <v>47.9</v>
      </c>
    </row>
    <row r="12" spans="2:18" x14ac:dyDescent="0.2">
      <c r="B12">
        <v>0.10027777777777777</v>
      </c>
      <c r="C12">
        <v>1.06694444444444</v>
      </c>
      <c r="D12">
        <v>0.93361111111111095</v>
      </c>
      <c r="E12">
        <v>0.53361111111111104</v>
      </c>
      <c r="F12">
        <v>0.40027777777777801</v>
      </c>
      <c r="G12">
        <v>64.489999999999995</v>
      </c>
      <c r="H12">
        <v>69.13</v>
      </c>
      <c r="I12">
        <v>71.209999999999994</v>
      </c>
      <c r="J12">
        <v>71.53</v>
      </c>
      <c r="K12">
        <v>79.69</v>
      </c>
      <c r="L12">
        <v>76.09</v>
      </c>
      <c r="M12">
        <v>78.48</v>
      </c>
      <c r="N12">
        <v>76.48</v>
      </c>
      <c r="O12">
        <v>72.17</v>
      </c>
      <c r="P12">
        <v>72.989999999999995</v>
      </c>
      <c r="Q12">
        <v>62.32</v>
      </c>
      <c r="R12">
        <v>46.23</v>
      </c>
    </row>
    <row r="13" spans="2:18" x14ac:dyDescent="0.2">
      <c r="B13">
        <v>0.13361111111111112</v>
      </c>
      <c r="C13">
        <v>1.1002777777777799</v>
      </c>
      <c r="D13">
        <v>0.96694444444444405</v>
      </c>
      <c r="E13">
        <v>0.56694444444444403</v>
      </c>
      <c r="F13">
        <v>0.433611111111111</v>
      </c>
      <c r="G13">
        <v>63.04</v>
      </c>
      <c r="H13">
        <v>68.97</v>
      </c>
      <c r="I13">
        <v>71.05</v>
      </c>
      <c r="J13">
        <v>71.37</v>
      </c>
      <c r="K13">
        <v>78.97</v>
      </c>
      <c r="L13">
        <v>75.56</v>
      </c>
      <c r="M13">
        <v>77.98</v>
      </c>
      <c r="N13">
        <v>76.48</v>
      </c>
      <c r="O13">
        <v>71.510000000000005</v>
      </c>
      <c r="P13">
        <v>74.47</v>
      </c>
      <c r="Q13">
        <v>62.16</v>
      </c>
      <c r="R13">
        <v>44.73</v>
      </c>
    </row>
    <row r="14" spans="2:18" x14ac:dyDescent="0.2">
      <c r="B14">
        <v>0.16694444444444445</v>
      </c>
      <c r="C14">
        <v>1.13361111111111</v>
      </c>
      <c r="D14">
        <v>1.00027777777778</v>
      </c>
      <c r="E14">
        <v>0.60027777777777802</v>
      </c>
      <c r="F14">
        <v>0.466944444444444</v>
      </c>
      <c r="G14">
        <v>61.75</v>
      </c>
      <c r="H14">
        <v>68.489999999999995</v>
      </c>
      <c r="I14">
        <v>70.41</v>
      </c>
      <c r="J14">
        <v>70.41</v>
      </c>
      <c r="K14">
        <v>78.430000000000007</v>
      </c>
      <c r="L14">
        <v>74.67</v>
      </c>
      <c r="M14">
        <v>78.150000000000006</v>
      </c>
      <c r="N14">
        <v>75.98</v>
      </c>
      <c r="O14">
        <v>71.510000000000005</v>
      </c>
      <c r="P14">
        <v>72.34</v>
      </c>
      <c r="Q14">
        <v>61.83</v>
      </c>
      <c r="R14">
        <v>43.9</v>
      </c>
    </row>
    <row r="15" spans="2:18" x14ac:dyDescent="0.2">
      <c r="B15">
        <v>0.2002777777777778</v>
      </c>
      <c r="C15">
        <v>1.1669444444444399</v>
      </c>
      <c r="D15">
        <v>1.0336111111111099</v>
      </c>
      <c r="E15">
        <v>0.63361111111111101</v>
      </c>
      <c r="F15">
        <v>0.50027777777777804</v>
      </c>
      <c r="G15">
        <v>59.51</v>
      </c>
      <c r="H15">
        <v>68.34</v>
      </c>
      <c r="I15">
        <v>70.41</v>
      </c>
      <c r="J15">
        <v>70.09</v>
      </c>
      <c r="K15">
        <v>79.150000000000006</v>
      </c>
      <c r="L15">
        <v>73.95</v>
      </c>
      <c r="M15">
        <v>77.98</v>
      </c>
      <c r="N15">
        <v>75.64</v>
      </c>
      <c r="O15">
        <v>72.33</v>
      </c>
      <c r="P15">
        <v>70.38</v>
      </c>
      <c r="Q15">
        <v>61.51</v>
      </c>
      <c r="R15">
        <v>42.57</v>
      </c>
    </row>
    <row r="16" spans="2:18" x14ac:dyDescent="0.2">
      <c r="B16">
        <v>0.23361111111111113</v>
      </c>
      <c r="C16">
        <v>1.20027777777778</v>
      </c>
      <c r="D16">
        <v>1.06694444444444</v>
      </c>
      <c r="E16">
        <v>0.66694444444444401</v>
      </c>
      <c r="F16">
        <v>0.53361111111111104</v>
      </c>
      <c r="G16">
        <v>55.07</v>
      </c>
      <c r="H16">
        <v>67.86</v>
      </c>
      <c r="I16">
        <v>70.09</v>
      </c>
      <c r="J16">
        <v>68.81</v>
      </c>
      <c r="K16">
        <v>79.87</v>
      </c>
      <c r="L16">
        <v>73.42</v>
      </c>
      <c r="M16">
        <v>77.98</v>
      </c>
      <c r="N16">
        <v>75.48</v>
      </c>
      <c r="O16">
        <v>72.33</v>
      </c>
      <c r="P16">
        <v>73.319999999999993</v>
      </c>
      <c r="Q16">
        <v>61.34</v>
      </c>
      <c r="R16">
        <v>41.42</v>
      </c>
    </row>
    <row r="17" spans="2:18" x14ac:dyDescent="0.2">
      <c r="B17">
        <v>0.26694444444444443</v>
      </c>
      <c r="C17">
        <v>1.2336111111111101</v>
      </c>
      <c r="D17">
        <v>1.1002777777777799</v>
      </c>
      <c r="E17">
        <v>0.700277777777778</v>
      </c>
      <c r="F17">
        <v>0.56694444444444403</v>
      </c>
      <c r="G17">
        <v>51.77</v>
      </c>
      <c r="H17">
        <v>66.27</v>
      </c>
      <c r="I17">
        <v>69.77</v>
      </c>
      <c r="J17">
        <v>67.38</v>
      </c>
      <c r="K17">
        <v>80.41</v>
      </c>
      <c r="L17">
        <v>72</v>
      </c>
      <c r="M17">
        <v>77.64</v>
      </c>
      <c r="N17">
        <v>75.31</v>
      </c>
      <c r="O17">
        <v>71.34</v>
      </c>
      <c r="P17">
        <v>68.430000000000007</v>
      </c>
      <c r="Q17">
        <v>61.02</v>
      </c>
      <c r="R17">
        <v>38.950000000000003</v>
      </c>
    </row>
    <row r="18" spans="2:18" x14ac:dyDescent="0.2">
      <c r="B18">
        <v>0.30027777777777775</v>
      </c>
      <c r="C18">
        <v>1.26694444444444</v>
      </c>
      <c r="D18">
        <v>1.13361111111111</v>
      </c>
      <c r="E18">
        <v>0.73361111111111099</v>
      </c>
      <c r="F18">
        <v>0.60027777777777802</v>
      </c>
      <c r="G18">
        <v>45.1</v>
      </c>
      <c r="H18">
        <v>65.48</v>
      </c>
      <c r="I18">
        <v>69.290000000000006</v>
      </c>
      <c r="J18">
        <v>65.959999999999994</v>
      </c>
      <c r="K18">
        <v>80.77</v>
      </c>
      <c r="L18">
        <v>71.47</v>
      </c>
      <c r="M18">
        <v>77.48</v>
      </c>
      <c r="N18">
        <v>75.31</v>
      </c>
      <c r="O18">
        <v>70.03</v>
      </c>
      <c r="P18">
        <v>73.98</v>
      </c>
      <c r="Q18">
        <v>61.02</v>
      </c>
      <c r="R18">
        <v>38.950000000000003</v>
      </c>
    </row>
    <row r="19" spans="2:18" x14ac:dyDescent="0.2">
      <c r="B19">
        <v>0.33361111111111108</v>
      </c>
      <c r="C19">
        <v>1.3002777777777801</v>
      </c>
      <c r="D19">
        <v>1.1669444444444399</v>
      </c>
      <c r="E19">
        <v>0.76694444444444398</v>
      </c>
      <c r="F19">
        <v>0.63361111111111101</v>
      </c>
      <c r="G19">
        <v>41.12</v>
      </c>
      <c r="H19">
        <v>65.319999999999993</v>
      </c>
      <c r="I19">
        <v>69.290000000000006</v>
      </c>
      <c r="J19">
        <v>64.69</v>
      </c>
      <c r="K19">
        <v>80.95</v>
      </c>
      <c r="L19">
        <v>70.59</v>
      </c>
      <c r="M19">
        <v>77.14</v>
      </c>
      <c r="N19">
        <v>74.81</v>
      </c>
      <c r="O19">
        <v>68.72</v>
      </c>
      <c r="P19">
        <v>72.17</v>
      </c>
      <c r="Q19">
        <v>60.53</v>
      </c>
      <c r="R19">
        <v>38.299999999999997</v>
      </c>
    </row>
    <row r="20" spans="2:18" x14ac:dyDescent="0.2">
      <c r="B20">
        <v>0.36694444444444441</v>
      </c>
      <c r="C20">
        <v>1.33361111111111</v>
      </c>
      <c r="D20">
        <v>1.20027777777778</v>
      </c>
      <c r="E20">
        <v>0.80027777777777798</v>
      </c>
      <c r="F20">
        <v>0.66694444444444401</v>
      </c>
      <c r="G20">
        <v>37.33</v>
      </c>
      <c r="H20">
        <v>65.17</v>
      </c>
      <c r="I20">
        <v>69.290000000000006</v>
      </c>
      <c r="J20">
        <v>63.12</v>
      </c>
      <c r="K20">
        <v>80.95</v>
      </c>
      <c r="L20">
        <v>69.7</v>
      </c>
      <c r="M20">
        <v>76.81</v>
      </c>
      <c r="N20">
        <v>74.650000000000006</v>
      </c>
      <c r="O20">
        <v>68.069999999999993</v>
      </c>
      <c r="P20">
        <v>74.8</v>
      </c>
      <c r="Q20">
        <v>60.37</v>
      </c>
      <c r="R20">
        <v>37.81</v>
      </c>
    </row>
    <row r="21" spans="2:18" x14ac:dyDescent="0.2">
      <c r="B21">
        <v>0.40027777777777779</v>
      </c>
      <c r="C21">
        <v>1.3669444444444401</v>
      </c>
      <c r="D21">
        <v>1.2336111111111101</v>
      </c>
      <c r="E21">
        <v>0.83361111111111097</v>
      </c>
      <c r="F21">
        <v>0.700277777777778</v>
      </c>
      <c r="G21">
        <v>38.39</v>
      </c>
      <c r="H21">
        <v>64.69</v>
      </c>
      <c r="I21">
        <v>68.97</v>
      </c>
      <c r="J21">
        <v>60.78</v>
      </c>
      <c r="K21">
        <v>80.77</v>
      </c>
      <c r="L21">
        <v>68.650000000000006</v>
      </c>
      <c r="M21">
        <v>76.48</v>
      </c>
      <c r="N21">
        <v>74.31</v>
      </c>
      <c r="O21">
        <v>66.930000000000007</v>
      </c>
      <c r="P21">
        <v>71.680000000000007</v>
      </c>
      <c r="Q21">
        <v>60.21</v>
      </c>
      <c r="R21">
        <v>39.770000000000003</v>
      </c>
    </row>
    <row r="22" spans="2:18" x14ac:dyDescent="0.2">
      <c r="B22">
        <v>0.43361111111111111</v>
      </c>
      <c r="C22">
        <v>1.40027777777778</v>
      </c>
      <c r="D22">
        <v>1.26694444444444</v>
      </c>
      <c r="E22">
        <v>0.86694444444444396</v>
      </c>
      <c r="F22">
        <v>0.73361111111111099</v>
      </c>
      <c r="G22">
        <v>38.54</v>
      </c>
      <c r="H22">
        <v>64.06</v>
      </c>
      <c r="I22">
        <v>68.489999999999995</v>
      </c>
      <c r="J22">
        <v>59.37</v>
      </c>
      <c r="K22">
        <v>80.77</v>
      </c>
      <c r="L22">
        <v>67.59</v>
      </c>
      <c r="M22">
        <v>76.14</v>
      </c>
      <c r="N22">
        <v>73.98</v>
      </c>
      <c r="O22">
        <v>66.27</v>
      </c>
      <c r="P22">
        <v>71.19</v>
      </c>
      <c r="Q22">
        <v>59.72</v>
      </c>
      <c r="R22">
        <v>39.61</v>
      </c>
    </row>
    <row r="23" spans="2:18" x14ac:dyDescent="0.2">
      <c r="B23">
        <v>0.46694444444444444</v>
      </c>
      <c r="C23">
        <v>1.4336111111111101</v>
      </c>
      <c r="D23">
        <v>1.3002777777777801</v>
      </c>
      <c r="E23">
        <v>0.90027777777777795</v>
      </c>
      <c r="F23">
        <v>0.76694444444444398</v>
      </c>
      <c r="G23">
        <v>39.299999999999997</v>
      </c>
      <c r="H23">
        <v>62.96</v>
      </c>
      <c r="I23">
        <v>67.86</v>
      </c>
      <c r="J23">
        <v>58.6</v>
      </c>
      <c r="K23">
        <v>81.13</v>
      </c>
      <c r="L23">
        <v>66.19</v>
      </c>
      <c r="M23">
        <v>75.48</v>
      </c>
      <c r="N23">
        <v>73.819999999999993</v>
      </c>
      <c r="O23">
        <v>65.790000000000006</v>
      </c>
      <c r="P23">
        <v>71.849999999999994</v>
      </c>
      <c r="Q23">
        <v>59.56</v>
      </c>
      <c r="R23">
        <v>39.44</v>
      </c>
    </row>
    <row r="24" spans="2:18" x14ac:dyDescent="0.2">
      <c r="B24">
        <v>0.50027777777777771</v>
      </c>
      <c r="C24">
        <v>1.4669444444444399</v>
      </c>
      <c r="D24">
        <v>1.33361111111111</v>
      </c>
      <c r="E24">
        <v>0.93361111111111095</v>
      </c>
      <c r="F24">
        <v>0.80027777777777798</v>
      </c>
      <c r="G24">
        <v>40.51</v>
      </c>
      <c r="H24">
        <v>62.18</v>
      </c>
      <c r="I24">
        <v>67.540000000000006</v>
      </c>
      <c r="J24">
        <v>57.05</v>
      </c>
      <c r="K24">
        <v>80.95</v>
      </c>
      <c r="L24">
        <v>64.8</v>
      </c>
      <c r="M24">
        <v>74.98</v>
      </c>
      <c r="N24">
        <v>73.650000000000006</v>
      </c>
      <c r="O24">
        <v>65.14</v>
      </c>
      <c r="P24">
        <v>68.59</v>
      </c>
      <c r="Q24">
        <v>59.24</v>
      </c>
      <c r="R24">
        <v>36.659999999999997</v>
      </c>
    </row>
    <row r="25" spans="2:18" x14ac:dyDescent="0.2">
      <c r="B25">
        <v>0.53361111111111115</v>
      </c>
      <c r="C25">
        <v>1.50027777777778</v>
      </c>
      <c r="D25">
        <v>1.3669444444444401</v>
      </c>
      <c r="E25">
        <v>0.96694444444444405</v>
      </c>
      <c r="F25">
        <v>0.83361111111111097</v>
      </c>
      <c r="G25">
        <v>39.9</v>
      </c>
      <c r="H25">
        <v>61.24</v>
      </c>
      <c r="I25">
        <v>67.38</v>
      </c>
      <c r="J25">
        <v>55.51</v>
      </c>
      <c r="K25">
        <v>80.23</v>
      </c>
      <c r="L25">
        <v>63.41</v>
      </c>
      <c r="M25">
        <v>74.650000000000006</v>
      </c>
      <c r="N25">
        <v>73.319999999999993</v>
      </c>
      <c r="O25">
        <v>64.98</v>
      </c>
      <c r="P25">
        <v>72.34</v>
      </c>
      <c r="Q25">
        <v>59.08</v>
      </c>
      <c r="R25">
        <v>36.18</v>
      </c>
    </row>
    <row r="26" spans="2:18" x14ac:dyDescent="0.2">
      <c r="B26">
        <v>0.56694444444444447</v>
      </c>
      <c r="C26">
        <v>1.5336111111111099</v>
      </c>
      <c r="D26">
        <v>1.40027777777778</v>
      </c>
      <c r="E26">
        <v>1.00027777777778</v>
      </c>
      <c r="F26">
        <v>0.86694444444444396</v>
      </c>
      <c r="G26">
        <v>38.69</v>
      </c>
      <c r="H26">
        <v>60.46</v>
      </c>
      <c r="I26">
        <v>66.27</v>
      </c>
      <c r="J26">
        <v>53.82</v>
      </c>
      <c r="K26">
        <v>79.510000000000005</v>
      </c>
      <c r="L26">
        <v>62.02</v>
      </c>
      <c r="M26">
        <v>74.31</v>
      </c>
      <c r="N26">
        <v>73.16</v>
      </c>
      <c r="O26">
        <v>64.010000000000005</v>
      </c>
      <c r="P26">
        <v>71.680000000000007</v>
      </c>
      <c r="Q26">
        <v>58.75</v>
      </c>
      <c r="R26">
        <v>33.090000000000003</v>
      </c>
    </row>
    <row r="27" spans="2:18" x14ac:dyDescent="0.2">
      <c r="B27">
        <v>0.6002777777777778</v>
      </c>
      <c r="C27">
        <v>1.56694444444444</v>
      </c>
      <c r="D27">
        <v>1.4336111111111101</v>
      </c>
      <c r="E27">
        <v>1.0336111111111099</v>
      </c>
      <c r="F27">
        <v>0.90027777777777795</v>
      </c>
      <c r="G27">
        <v>36.880000000000003</v>
      </c>
      <c r="H27">
        <v>59.06</v>
      </c>
      <c r="I27">
        <v>65.319999999999993</v>
      </c>
      <c r="J27">
        <v>51.84</v>
      </c>
      <c r="K27">
        <v>79.150000000000006</v>
      </c>
      <c r="L27">
        <v>60.29</v>
      </c>
      <c r="M27">
        <v>74.31</v>
      </c>
      <c r="N27">
        <v>72.66</v>
      </c>
      <c r="O27">
        <v>63.04</v>
      </c>
      <c r="P27">
        <v>68.260000000000005</v>
      </c>
      <c r="Q27">
        <v>58.59</v>
      </c>
      <c r="R27">
        <v>33.42</v>
      </c>
    </row>
    <row r="28" spans="2:18" x14ac:dyDescent="0.2">
      <c r="B28">
        <v>0.63361111111111112</v>
      </c>
      <c r="C28">
        <v>1.6002777777777799</v>
      </c>
      <c r="D28">
        <v>1.4669444444444399</v>
      </c>
      <c r="E28">
        <v>1.06694444444444</v>
      </c>
      <c r="F28">
        <v>0.93361111111111095</v>
      </c>
      <c r="G28">
        <v>35.53</v>
      </c>
      <c r="H28">
        <v>57.98</v>
      </c>
      <c r="I28">
        <v>64.540000000000006</v>
      </c>
      <c r="J28">
        <v>50.47</v>
      </c>
      <c r="K28">
        <v>78.430000000000007</v>
      </c>
      <c r="L28">
        <v>58.23</v>
      </c>
      <c r="M28">
        <v>73.650000000000006</v>
      </c>
      <c r="N28">
        <v>72.33</v>
      </c>
      <c r="O28">
        <v>62.24</v>
      </c>
      <c r="P28">
        <v>69.73</v>
      </c>
      <c r="Q28">
        <v>58.59</v>
      </c>
      <c r="R28">
        <v>31.48</v>
      </c>
    </row>
    <row r="29" spans="2:18" x14ac:dyDescent="0.2">
      <c r="B29">
        <v>0.66694444444444445</v>
      </c>
      <c r="C29">
        <v>1.63361111111111</v>
      </c>
      <c r="D29">
        <v>1.50027777777778</v>
      </c>
      <c r="E29">
        <v>1.1002777777777799</v>
      </c>
      <c r="F29">
        <v>0.96694444444444405</v>
      </c>
      <c r="G29">
        <v>34.33</v>
      </c>
      <c r="H29">
        <v>57.21</v>
      </c>
      <c r="I29">
        <v>64.06</v>
      </c>
      <c r="J29">
        <v>49.56</v>
      </c>
      <c r="K29">
        <v>78.25</v>
      </c>
      <c r="L29">
        <v>56.35</v>
      </c>
      <c r="M29">
        <v>73.319999999999993</v>
      </c>
      <c r="N29">
        <v>70.36</v>
      </c>
      <c r="O29">
        <v>61.43</v>
      </c>
      <c r="P29">
        <v>69.08</v>
      </c>
      <c r="Q29">
        <v>58.27</v>
      </c>
      <c r="R29">
        <v>31.64</v>
      </c>
    </row>
    <row r="30" spans="2:18" x14ac:dyDescent="0.2">
      <c r="B30">
        <v>0.70027777777777778</v>
      </c>
      <c r="C30">
        <v>1.6669444444444399</v>
      </c>
      <c r="D30">
        <v>1.5336111111111099</v>
      </c>
      <c r="E30">
        <v>1.13361111111111</v>
      </c>
      <c r="F30">
        <v>1.00027777777778</v>
      </c>
      <c r="G30">
        <v>32.24</v>
      </c>
      <c r="H30">
        <v>55.66</v>
      </c>
      <c r="I30">
        <v>63.59</v>
      </c>
      <c r="J30">
        <v>48.35</v>
      </c>
      <c r="K30">
        <v>77.89</v>
      </c>
      <c r="L30">
        <v>54.3</v>
      </c>
      <c r="M30">
        <v>73.16</v>
      </c>
      <c r="N30">
        <v>69.86</v>
      </c>
      <c r="O30">
        <v>60.47</v>
      </c>
      <c r="P30">
        <v>67.290000000000006</v>
      </c>
      <c r="Q30">
        <v>57.62</v>
      </c>
      <c r="R30">
        <v>31.16</v>
      </c>
    </row>
    <row r="31" spans="2:18" x14ac:dyDescent="0.2">
      <c r="B31">
        <v>0.7336111111111111</v>
      </c>
      <c r="C31">
        <v>1.70027777777778</v>
      </c>
      <c r="D31">
        <v>1.56694444444444</v>
      </c>
      <c r="E31">
        <v>1.1669444444444399</v>
      </c>
      <c r="F31">
        <v>1.0336111111111099</v>
      </c>
      <c r="G31">
        <v>29.72</v>
      </c>
      <c r="H31">
        <v>54.28</v>
      </c>
      <c r="I31">
        <v>63.12</v>
      </c>
      <c r="J31">
        <v>46.09</v>
      </c>
      <c r="K31">
        <v>77.53</v>
      </c>
      <c r="L31">
        <v>52.95</v>
      </c>
      <c r="M31">
        <v>72.5</v>
      </c>
      <c r="N31">
        <v>69.540000000000006</v>
      </c>
      <c r="O31">
        <v>59.67</v>
      </c>
      <c r="P31">
        <v>64.88</v>
      </c>
      <c r="Q31">
        <v>57.62</v>
      </c>
      <c r="R31">
        <v>31.64</v>
      </c>
    </row>
    <row r="32" spans="2:18" x14ac:dyDescent="0.2">
      <c r="B32">
        <v>0.76694444444444443</v>
      </c>
      <c r="C32">
        <v>1.7336111111111101</v>
      </c>
      <c r="D32">
        <v>1.6002777777777799</v>
      </c>
      <c r="E32">
        <v>1.20027777777778</v>
      </c>
      <c r="F32">
        <v>1.06694444444444</v>
      </c>
      <c r="G32">
        <v>28.24</v>
      </c>
      <c r="H32">
        <v>52.29</v>
      </c>
      <c r="I32">
        <v>62.34</v>
      </c>
      <c r="J32">
        <v>44.6</v>
      </c>
      <c r="K32">
        <v>77.17</v>
      </c>
      <c r="L32">
        <v>51.59</v>
      </c>
      <c r="M32">
        <v>72.5</v>
      </c>
      <c r="N32">
        <v>69.05</v>
      </c>
      <c r="O32">
        <v>58.72</v>
      </c>
      <c r="P32">
        <v>68.75</v>
      </c>
      <c r="Q32">
        <v>57.14</v>
      </c>
      <c r="R32">
        <v>32.770000000000003</v>
      </c>
    </row>
    <row r="33" spans="2:18" x14ac:dyDescent="0.2">
      <c r="B33">
        <v>0.80027777777777775</v>
      </c>
      <c r="C33">
        <v>1.76694444444444</v>
      </c>
      <c r="D33">
        <v>1.63361111111111</v>
      </c>
      <c r="E33">
        <v>1.2336111111111101</v>
      </c>
      <c r="F33">
        <v>1.1002777777777799</v>
      </c>
      <c r="G33">
        <v>26.63</v>
      </c>
      <c r="H33">
        <v>50.62</v>
      </c>
      <c r="I33">
        <v>62.18</v>
      </c>
      <c r="J33">
        <v>43.11</v>
      </c>
      <c r="K33">
        <v>76.63</v>
      </c>
      <c r="L33">
        <v>49.74</v>
      </c>
      <c r="M33">
        <v>72.17</v>
      </c>
      <c r="N33">
        <v>68.56</v>
      </c>
      <c r="O33">
        <v>58.08</v>
      </c>
      <c r="P33">
        <v>69.73</v>
      </c>
      <c r="Q33">
        <v>56.98</v>
      </c>
      <c r="R33">
        <v>33.25</v>
      </c>
    </row>
    <row r="34" spans="2:18" x14ac:dyDescent="0.2">
      <c r="B34">
        <v>0.83361111111111108</v>
      </c>
      <c r="C34">
        <v>1.8002777777777801</v>
      </c>
      <c r="D34">
        <v>1.6669444444444399</v>
      </c>
      <c r="E34">
        <v>1.26694444444444</v>
      </c>
      <c r="F34">
        <v>1.13361111111111</v>
      </c>
      <c r="G34">
        <v>25.16</v>
      </c>
      <c r="H34">
        <v>48.8</v>
      </c>
      <c r="I34">
        <v>61.71</v>
      </c>
      <c r="J34">
        <v>41.92</v>
      </c>
      <c r="K34">
        <v>76.09</v>
      </c>
      <c r="L34">
        <v>47.9</v>
      </c>
      <c r="M34">
        <v>71.84</v>
      </c>
      <c r="N34">
        <v>67.41</v>
      </c>
      <c r="O34">
        <v>57.44</v>
      </c>
      <c r="P34">
        <v>66.81</v>
      </c>
      <c r="Q34">
        <v>56.5</v>
      </c>
      <c r="R34">
        <v>32.93</v>
      </c>
    </row>
    <row r="35" spans="2:18" x14ac:dyDescent="0.2">
      <c r="B35">
        <v>0.86694444444444441</v>
      </c>
      <c r="C35">
        <v>1.83361111111111</v>
      </c>
      <c r="D35">
        <v>1.70027777777778</v>
      </c>
      <c r="E35">
        <v>1.3002777777777801</v>
      </c>
      <c r="F35">
        <v>1.1669444444444399</v>
      </c>
      <c r="G35">
        <v>24</v>
      </c>
      <c r="H35">
        <v>46.84</v>
      </c>
      <c r="I35">
        <v>61.24</v>
      </c>
      <c r="J35">
        <v>39.85</v>
      </c>
      <c r="K35">
        <v>75.739999999999995</v>
      </c>
      <c r="L35">
        <v>46.23</v>
      </c>
      <c r="M35">
        <v>71.67</v>
      </c>
      <c r="N35">
        <v>66.599999999999994</v>
      </c>
      <c r="O35">
        <v>56.65</v>
      </c>
      <c r="P35">
        <v>69.73</v>
      </c>
      <c r="Q35">
        <v>56.02</v>
      </c>
      <c r="R35">
        <v>31.96</v>
      </c>
    </row>
    <row r="36" spans="2:18" x14ac:dyDescent="0.2">
      <c r="B36">
        <v>0.90027777777777773</v>
      </c>
      <c r="C36">
        <v>1.8669444444444401</v>
      </c>
      <c r="D36">
        <v>1.7336111111111101</v>
      </c>
      <c r="E36">
        <v>1.33361111111111</v>
      </c>
      <c r="F36">
        <v>1.20027777777778</v>
      </c>
      <c r="G36">
        <v>22.69</v>
      </c>
      <c r="H36">
        <v>44.9</v>
      </c>
      <c r="I36">
        <v>60.46</v>
      </c>
      <c r="J36">
        <v>37.200000000000003</v>
      </c>
      <c r="K36">
        <v>75.38</v>
      </c>
      <c r="L36">
        <v>44.56</v>
      </c>
      <c r="M36">
        <v>71.510000000000005</v>
      </c>
      <c r="N36">
        <v>66.11</v>
      </c>
      <c r="O36">
        <v>55.86</v>
      </c>
      <c r="P36">
        <v>67.290000000000006</v>
      </c>
      <c r="Q36">
        <v>55.7</v>
      </c>
      <c r="R36">
        <v>31</v>
      </c>
    </row>
    <row r="37" spans="2:18" x14ac:dyDescent="0.2">
      <c r="B37">
        <v>0.93361111111111106</v>
      </c>
      <c r="C37">
        <v>1.90027777777778</v>
      </c>
      <c r="D37">
        <v>1.76694444444444</v>
      </c>
      <c r="E37">
        <v>1.3669444444444401</v>
      </c>
      <c r="F37">
        <v>1.2336111111111101</v>
      </c>
      <c r="G37">
        <v>21.67</v>
      </c>
      <c r="H37">
        <v>42.96</v>
      </c>
      <c r="I37">
        <v>60.46</v>
      </c>
      <c r="J37">
        <v>34.72</v>
      </c>
      <c r="K37">
        <v>75.02</v>
      </c>
      <c r="L37">
        <v>42.9</v>
      </c>
      <c r="M37">
        <v>71.180000000000007</v>
      </c>
      <c r="N37">
        <v>67.41</v>
      </c>
      <c r="O37">
        <v>55.07</v>
      </c>
      <c r="P37">
        <v>64.069999999999993</v>
      </c>
      <c r="Q37">
        <v>55.38</v>
      </c>
      <c r="R37">
        <v>30.35</v>
      </c>
    </row>
    <row r="38" spans="2:18" x14ac:dyDescent="0.2">
      <c r="B38">
        <v>0.96694444444444438</v>
      </c>
      <c r="C38">
        <v>1.9336111111111101</v>
      </c>
      <c r="D38">
        <v>1.8002777777777801</v>
      </c>
      <c r="E38">
        <v>1.40027777777778</v>
      </c>
      <c r="F38">
        <v>1.26694444444444</v>
      </c>
      <c r="G38">
        <v>20.52</v>
      </c>
      <c r="H38">
        <v>40.729999999999997</v>
      </c>
      <c r="I38">
        <v>59.84</v>
      </c>
      <c r="J38">
        <v>32.69</v>
      </c>
      <c r="K38">
        <v>74.67</v>
      </c>
      <c r="L38">
        <v>41.42</v>
      </c>
      <c r="M38">
        <v>70.849999999999994</v>
      </c>
      <c r="N38">
        <v>67.900000000000006</v>
      </c>
      <c r="O38">
        <v>54.6</v>
      </c>
      <c r="P38">
        <v>63.59</v>
      </c>
      <c r="Q38">
        <v>54.9</v>
      </c>
      <c r="R38">
        <v>29.55</v>
      </c>
    </row>
    <row r="39" spans="2:18" x14ac:dyDescent="0.2">
      <c r="B39">
        <v>1.0002777777777778</v>
      </c>
      <c r="C39">
        <v>1.9669444444444399</v>
      </c>
      <c r="D39">
        <v>1.83361111111111</v>
      </c>
      <c r="E39">
        <v>1.4336111111111101</v>
      </c>
      <c r="F39">
        <v>1.3002777777777801</v>
      </c>
      <c r="G39">
        <v>19.8</v>
      </c>
      <c r="H39">
        <v>38.520000000000003</v>
      </c>
      <c r="I39">
        <v>59.22</v>
      </c>
      <c r="J39">
        <v>30.67</v>
      </c>
      <c r="K39">
        <v>74.31</v>
      </c>
      <c r="L39">
        <v>39.770000000000003</v>
      </c>
      <c r="M39">
        <v>70.680000000000007</v>
      </c>
      <c r="N39">
        <v>68.069999999999993</v>
      </c>
      <c r="O39">
        <v>53.49</v>
      </c>
      <c r="P39">
        <v>64.709999999999994</v>
      </c>
      <c r="Q39">
        <v>54.42</v>
      </c>
      <c r="R39">
        <v>26.68</v>
      </c>
    </row>
    <row r="40" spans="2:18" x14ac:dyDescent="0.2">
      <c r="B40">
        <v>1.033611111111111</v>
      </c>
      <c r="C40">
        <v>2.00027777777778</v>
      </c>
      <c r="D40">
        <v>1.8669444444444401</v>
      </c>
      <c r="E40">
        <v>1.4669444444444399</v>
      </c>
      <c r="F40">
        <v>1.33361111111111</v>
      </c>
      <c r="G40">
        <v>18.79</v>
      </c>
      <c r="H40">
        <v>36.03</v>
      </c>
      <c r="I40">
        <v>58.75</v>
      </c>
      <c r="J40">
        <v>28.66</v>
      </c>
      <c r="K40">
        <v>73.42</v>
      </c>
      <c r="L40">
        <v>38.79</v>
      </c>
      <c r="M40">
        <v>70.19</v>
      </c>
      <c r="N40">
        <v>68.069999999999993</v>
      </c>
      <c r="O40">
        <v>52.71</v>
      </c>
      <c r="P40">
        <v>64.23</v>
      </c>
      <c r="Q40">
        <v>53.94</v>
      </c>
      <c r="R40">
        <v>23.66</v>
      </c>
    </row>
    <row r="41" spans="2:18" x14ac:dyDescent="0.2">
      <c r="B41">
        <v>1.0669444444444445</v>
      </c>
      <c r="C41">
        <v>2.0336111111111101</v>
      </c>
      <c r="D41">
        <v>1.90027777777778</v>
      </c>
      <c r="E41">
        <v>1.50027777777778</v>
      </c>
      <c r="F41">
        <v>1.3669444444444401</v>
      </c>
      <c r="G41">
        <v>16.78</v>
      </c>
      <c r="H41">
        <v>33.85</v>
      </c>
      <c r="I41">
        <v>58.44</v>
      </c>
      <c r="J41">
        <v>27.51</v>
      </c>
      <c r="K41">
        <v>72.709999999999994</v>
      </c>
      <c r="L41">
        <v>37.32</v>
      </c>
      <c r="M41">
        <v>70.19</v>
      </c>
      <c r="N41">
        <v>68.069999999999993</v>
      </c>
      <c r="O41">
        <v>51.93</v>
      </c>
      <c r="P41">
        <v>54.88</v>
      </c>
      <c r="Q41">
        <v>53.62</v>
      </c>
      <c r="R41">
        <v>20.51</v>
      </c>
    </row>
    <row r="42" spans="2:18" x14ac:dyDescent="0.2">
      <c r="B42">
        <v>1.1002777777777777</v>
      </c>
      <c r="C42">
        <v>2.0669444444444398</v>
      </c>
      <c r="D42">
        <v>1.9336111111111101</v>
      </c>
      <c r="E42">
        <v>1.5336111111111099</v>
      </c>
      <c r="F42">
        <v>1.40027777777778</v>
      </c>
      <c r="G42">
        <v>15.64</v>
      </c>
      <c r="H42">
        <v>31.53</v>
      </c>
      <c r="I42">
        <v>57.67</v>
      </c>
      <c r="J42">
        <v>26.8</v>
      </c>
      <c r="K42">
        <v>72.36</v>
      </c>
      <c r="L42">
        <v>36.01</v>
      </c>
      <c r="M42">
        <v>69.540000000000006</v>
      </c>
      <c r="N42">
        <v>67.900000000000006</v>
      </c>
      <c r="O42">
        <v>51.3</v>
      </c>
      <c r="P42">
        <v>53.32</v>
      </c>
      <c r="Q42">
        <v>53.3</v>
      </c>
      <c r="R42">
        <v>20.83</v>
      </c>
    </row>
    <row r="43" spans="2:18" x14ac:dyDescent="0.2">
      <c r="B43">
        <v>1.1336111111111111</v>
      </c>
      <c r="C43">
        <v>2.1002777777777801</v>
      </c>
      <c r="D43">
        <v>1.9669444444444399</v>
      </c>
      <c r="E43">
        <v>1.56694444444444</v>
      </c>
      <c r="F43">
        <v>1.4336111111111101</v>
      </c>
      <c r="G43">
        <v>14.36</v>
      </c>
      <c r="H43">
        <v>28.94</v>
      </c>
      <c r="I43">
        <v>57.05</v>
      </c>
      <c r="J43">
        <v>26.23</v>
      </c>
      <c r="K43">
        <v>71.650000000000006</v>
      </c>
      <c r="L43">
        <v>34.549999999999997</v>
      </c>
      <c r="M43">
        <v>69.37</v>
      </c>
      <c r="N43">
        <v>67.09</v>
      </c>
      <c r="O43">
        <v>50.21</v>
      </c>
      <c r="P43">
        <v>52.39</v>
      </c>
      <c r="Q43">
        <v>52.67</v>
      </c>
    </row>
    <row r="44" spans="2:18" x14ac:dyDescent="0.2">
      <c r="B44">
        <v>1.1669444444444443</v>
      </c>
      <c r="C44">
        <v>2.1336111111111098</v>
      </c>
      <c r="D44">
        <v>2.00027777777778</v>
      </c>
      <c r="E44">
        <v>1.6002777777777799</v>
      </c>
      <c r="F44">
        <v>1.4669444444444399</v>
      </c>
      <c r="G44">
        <v>13.23</v>
      </c>
      <c r="H44">
        <v>26.37</v>
      </c>
      <c r="I44">
        <v>56.59</v>
      </c>
      <c r="J44">
        <v>25.66</v>
      </c>
      <c r="K44">
        <v>70.760000000000005</v>
      </c>
      <c r="L44">
        <v>32.93</v>
      </c>
      <c r="M44">
        <v>69.209999999999994</v>
      </c>
      <c r="N44">
        <v>66.930000000000007</v>
      </c>
      <c r="O44">
        <v>49.43</v>
      </c>
      <c r="P44">
        <v>51.77</v>
      </c>
      <c r="Q44">
        <v>52.19</v>
      </c>
    </row>
    <row r="45" spans="2:18" x14ac:dyDescent="0.2">
      <c r="B45">
        <v>1.2002777777777778</v>
      </c>
      <c r="C45">
        <v>2.1669444444444399</v>
      </c>
      <c r="D45">
        <v>2.0336111111111101</v>
      </c>
      <c r="E45">
        <v>1.63361111111111</v>
      </c>
      <c r="F45">
        <v>1.50027777777778</v>
      </c>
      <c r="G45">
        <v>12.24</v>
      </c>
      <c r="H45">
        <v>23.82</v>
      </c>
      <c r="I45">
        <v>56.13</v>
      </c>
      <c r="J45">
        <v>25.09</v>
      </c>
      <c r="K45">
        <v>70.06</v>
      </c>
      <c r="L45">
        <v>31.32</v>
      </c>
      <c r="M45">
        <v>69.05</v>
      </c>
      <c r="N45">
        <v>66.44</v>
      </c>
      <c r="O45">
        <v>48.81</v>
      </c>
      <c r="P45">
        <v>46.37</v>
      </c>
      <c r="Q45">
        <v>51.87</v>
      </c>
    </row>
    <row r="46" spans="2:18" x14ac:dyDescent="0.2">
      <c r="B46">
        <v>1.233611111111111</v>
      </c>
      <c r="C46">
        <v>2.2002777777777802</v>
      </c>
      <c r="D46">
        <v>2.0669444444444398</v>
      </c>
      <c r="E46">
        <v>1.6669444444444399</v>
      </c>
      <c r="F46">
        <v>1.5336111111111099</v>
      </c>
      <c r="G46">
        <v>11.53</v>
      </c>
      <c r="H46">
        <v>21</v>
      </c>
      <c r="I46">
        <v>55.82</v>
      </c>
      <c r="J46">
        <v>24.38</v>
      </c>
      <c r="K46">
        <v>69.7</v>
      </c>
      <c r="L46">
        <v>29.55</v>
      </c>
      <c r="M46">
        <v>68.56</v>
      </c>
      <c r="N46">
        <v>66.11</v>
      </c>
      <c r="O46">
        <v>47.88</v>
      </c>
      <c r="P46">
        <v>46.06</v>
      </c>
      <c r="Q46">
        <v>51.4</v>
      </c>
    </row>
    <row r="47" spans="2:18" x14ac:dyDescent="0.2">
      <c r="B47">
        <v>1.2669444444444444</v>
      </c>
      <c r="C47">
        <v>2.2336111111111099</v>
      </c>
      <c r="D47">
        <v>2.1002777777777801</v>
      </c>
      <c r="E47">
        <v>1.70027777777778</v>
      </c>
      <c r="F47">
        <v>1.56694444444444</v>
      </c>
      <c r="G47">
        <v>10.4</v>
      </c>
      <c r="H47">
        <v>18.760000000000002</v>
      </c>
      <c r="I47">
        <v>55.36</v>
      </c>
      <c r="J47">
        <v>23.68</v>
      </c>
      <c r="K47">
        <v>68.819999999999993</v>
      </c>
      <c r="L47">
        <v>27.95</v>
      </c>
      <c r="M47">
        <v>68.23</v>
      </c>
      <c r="N47">
        <v>65.63</v>
      </c>
      <c r="O47">
        <v>47.1</v>
      </c>
      <c r="P47">
        <v>42.11</v>
      </c>
      <c r="Q47">
        <v>51.08</v>
      </c>
    </row>
    <row r="48" spans="2:18" x14ac:dyDescent="0.2">
      <c r="B48">
        <v>1.3002777777777779</v>
      </c>
      <c r="C48">
        <v>2.26694444444444</v>
      </c>
      <c r="D48">
        <v>2.1336111111111098</v>
      </c>
      <c r="E48">
        <v>1.7336111111111101</v>
      </c>
      <c r="F48">
        <v>1.6002777777777799</v>
      </c>
      <c r="G48">
        <v>9.42</v>
      </c>
      <c r="H48">
        <v>16.54</v>
      </c>
      <c r="I48">
        <v>54.74</v>
      </c>
      <c r="J48">
        <v>22.69</v>
      </c>
      <c r="K48">
        <v>67.77</v>
      </c>
      <c r="L48">
        <v>26.36</v>
      </c>
      <c r="M48">
        <v>68.069999999999993</v>
      </c>
      <c r="N48">
        <v>65.790000000000006</v>
      </c>
      <c r="O48">
        <v>46.18</v>
      </c>
      <c r="P48">
        <v>34.31</v>
      </c>
      <c r="Q48">
        <v>50.45</v>
      </c>
    </row>
    <row r="49" spans="2:17" x14ac:dyDescent="0.2">
      <c r="B49">
        <v>1.3336111111111111</v>
      </c>
      <c r="C49">
        <v>2.3002777777777799</v>
      </c>
      <c r="D49">
        <v>2.1669444444444399</v>
      </c>
      <c r="E49">
        <v>1.76694444444444</v>
      </c>
      <c r="F49">
        <v>1.63361111111111</v>
      </c>
      <c r="G49">
        <v>8.3000000000000007</v>
      </c>
      <c r="H49">
        <v>14.33</v>
      </c>
      <c r="I49">
        <v>54.28</v>
      </c>
      <c r="J49">
        <v>21.56</v>
      </c>
      <c r="K49">
        <v>66.540000000000006</v>
      </c>
      <c r="L49">
        <v>24.93</v>
      </c>
      <c r="M49">
        <v>67.58</v>
      </c>
      <c r="N49">
        <v>65.3</v>
      </c>
      <c r="O49">
        <v>45.41</v>
      </c>
      <c r="P49">
        <v>33.57</v>
      </c>
      <c r="Q49">
        <v>50.29</v>
      </c>
    </row>
    <row r="50" spans="2:17" x14ac:dyDescent="0.2">
      <c r="B50">
        <v>1.3669444444444445</v>
      </c>
      <c r="C50">
        <v>2.33361111111111</v>
      </c>
      <c r="D50">
        <v>2.2002777777777802</v>
      </c>
      <c r="E50">
        <v>1.8002777777777801</v>
      </c>
      <c r="F50">
        <v>1.6669444444444399</v>
      </c>
      <c r="G50">
        <v>7.46</v>
      </c>
      <c r="H50">
        <v>12.27</v>
      </c>
      <c r="I50">
        <v>53.98</v>
      </c>
      <c r="J50">
        <v>20.72</v>
      </c>
      <c r="K50">
        <v>64.97</v>
      </c>
      <c r="L50">
        <v>23.19</v>
      </c>
      <c r="M50">
        <v>67.09</v>
      </c>
      <c r="N50">
        <v>64.98</v>
      </c>
      <c r="O50">
        <v>44.33</v>
      </c>
      <c r="P50">
        <v>27.4</v>
      </c>
      <c r="Q50">
        <v>49.81</v>
      </c>
    </row>
    <row r="51" spans="2:17" x14ac:dyDescent="0.2">
      <c r="B51">
        <v>1.4002777777777777</v>
      </c>
      <c r="C51">
        <v>2.3669444444444401</v>
      </c>
      <c r="D51">
        <v>2.2336111111111099</v>
      </c>
      <c r="E51">
        <v>1.83361111111111</v>
      </c>
      <c r="F51">
        <v>1.70027777777778</v>
      </c>
      <c r="G51">
        <v>6.49</v>
      </c>
      <c r="H51">
        <v>10.08</v>
      </c>
      <c r="I51">
        <v>53.21</v>
      </c>
      <c r="J51">
        <v>19.88</v>
      </c>
      <c r="K51">
        <v>63.58</v>
      </c>
      <c r="L51">
        <v>21.14</v>
      </c>
      <c r="M51">
        <v>66.930000000000007</v>
      </c>
      <c r="N51">
        <v>64.650000000000006</v>
      </c>
      <c r="O51">
        <v>43.26</v>
      </c>
      <c r="P51">
        <v>21.62</v>
      </c>
      <c r="Q51">
        <v>49.5</v>
      </c>
    </row>
    <row r="52" spans="2:17" x14ac:dyDescent="0.2">
      <c r="B52">
        <v>1.4336111111111112</v>
      </c>
      <c r="C52">
        <v>2.40027777777778</v>
      </c>
      <c r="D52">
        <v>2.26694444444444</v>
      </c>
      <c r="E52">
        <v>1.8669444444444401</v>
      </c>
      <c r="F52">
        <v>1.7336111111111101</v>
      </c>
      <c r="G52">
        <v>5.37</v>
      </c>
      <c r="H52">
        <v>8.0399999999999991</v>
      </c>
      <c r="I52">
        <v>51.53</v>
      </c>
      <c r="J52">
        <v>18.63</v>
      </c>
      <c r="K52">
        <v>62.37</v>
      </c>
      <c r="L52">
        <v>19.57</v>
      </c>
      <c r="M52">
        <v>66.599999999999994</v>
      </c>
      <c r="N52">
        <v>64.17</v>
      </c>
      <c r="O52">
        <v>42.19</v>
      </c>
      <c r="P52">
        <v>18.62</v>
      </c>
      <c r="Q52">
        <v>49.34</v>
      </c>
    </row>
    <row r="53" spans="2:17" x14ac:dyDescent="0.2">
      <c r="B53">
        <v>1.4669444444444444</v>
      </c>
      <c r="C53">
        <v>2.4336111111111101</v>
      </c>
      <c r="D53">
        <v>2.3002777777777799</v>
      </c>
      <c r="E53">
        <v>1.90027777777778</v>
      </c>
      <c r="F53">
        <v>1.76694444444444</v>
      </c>
      <c r="G53">
        <v>4.68</v>
      </c>
      <c r="H53">
        <v>6.29</v>
      </c>
      <c r="I53">
        <v>48.35</v>
      </c>
      <c r="J53">
        <v>17.79</v>
      </c>
      <c r="K53">
        <v>61.16</v>
      </c>
      <c r="L53">
        <v>17.86</v>
      </c>
      <c r="M53">
        <v>66.27</v>
      </c>
      <c r="N53">
        <v>63.85</v>
      </c>
      <c r="O53">
        <v>41.43</v>
      </c>
      <c r="P53">
        <v>21.76</v>
      </c>
      <c r="Q53">
        <v>48.87</v>
      </c>
    </row>
    <row r="54" spans="2:17" x14ac:dyDescent="0.2">
      <c r="B54">
        <v>1.5002777777777778</v>
      </c>
      <c r="C54">
        <v>2.4669444444444402</v>
      </c>
      <c r="D54">
        <v>2.33361111111111</v>
      </c>
      <c r="E54">
        <v>1.9336111111111101</v>
      </c>
      <c r="F54">
        <v>1.8002777777777801</v>
      </c>
      <c r="G54">
        <v>3.44</v>
      </c>
      <c r="H54">
        <v>4.4000000000000004</v>
      </c>
      <c r="I54">
        <v>45.79</v>
      </c>
      <c r="J54">
        <v>16.399999999999999</v>
      </c>
      <c r="K54">
        <v>60.12</v>
      </c>
      <c r="L54">
        <v>16.14</v>
      </c>
      <c r="M54">
        <v>65.95</v>
      </c>
      <c r="N54">
        <v>63.69</v>
      </c>
      <c r="O54">
        <v>40.51</v>
      </c>
      <c r="P54">
        <v>15.07</v>
      </c>
      <c r="Q54">
        <v>48.24</v>
      </c>
    </row>
    <row r="55" spans="2:17" x14ac:dyDescent="0.2">
      <c r="B55">
        <v>1.533611111111111</v>
      </c>
      <c r="C55">
        <v>2.50027777777778</v>
      </c>
      <c r="D55">
        <v>2.3669444444444401</v>
      </c>
      <c r="E55">
        <v>1.9669444444444399</v>
      </c>
      <c r="F55">
        <v>1.83361111111111</v>
      </c>
      <c r="G55">
        <v>2.61</v>
      </c>
      <c r="H55">
        <v>3.06</v>
      </c>
      <c r="I55">
        <v>44.6</v>
      </c>
      <c r="J55">
        <v>15.99</v>
      </c>
      <c r="K55">
        <v>60.47</v>
      </c>
      <c r="L55">
        <v>14.59</v>
      </c>
      <c r="M55">
        <v>65.459999999999994</v>
      </c>
      <c r="N55">
        <v>63.36</v>
      </c>
      <c r="O55">
        <v>39.6</v>
      </c>
      <c r="P55">
        <v>13.1</v>
      </c>
      <c r="Q55">
        <v>47.77</v>
      </c>
    </row>
    <row r="56" spans="2:17" x14ac:dyDescent="0.2">
      <c r="B56">
        <v>1.5669444444444445</v>
      </c>
      <c r="C56">
        <v>2.5336111111111101</v>
      </c>
      <c r="D56">
        <v>2.40027777777778</v>
      </c>
      <c r="E56">
        <v>2.00027777777778</v>
      </c>
      <c r="F56">
        <v>1.8669444444444401</v>
      </c>
      <c r="G56">
        <v>2.06</v>
      </c>
      <c r="H56">
        <v>1.59</v>
      </c>
      <c r="I56">
        <v>43.4</v>
      </c>
      <c r="J56">
        <v>15.02</v>
      </c>
      <c r="K56">
        <v>61.16</v>
      </c>
      <c r="L56">
        <v>13.2</v>
      </c>
      <c r="M56">
        <v>65.14</v>
      </c>
      <c r="N56">
        <v>61.59</v>
      </c>
      <c r="O56">
        <v>38.840000000000003</v>
      </c>
      <c r="P56">
        <v>14.23</v>
      </c>
      <c r="Q56">
        <v>47.45</v>
      </c>
    </row>
    <row r="57" spans="2:17" x14ac:dyDescent="0.2">
      <c r="B57">
        <v>1.6002777777777777</v>
      </c>
      <c r="C57">
        <v>2.5669444444444398</v>
      </c>
      <c r="D57">
        <v>2.4336111111111101</v>
      </c>
      <c r="E57">
        <v>2.0336111111111101</v>
      </c>
      <c r="F57">
        <v>1.90027777777778</v>
      </c>
      <c r="G57">
        <v>1.37</v>
      </c>
      <c r="H57">
        <v>0.13</v>
      </c>
      <c r="I57">
        <v>42.66</v>
      </c>
      <c r="J57">
        <v>14.47</v>
      </c>
      <c r="K57">
        <v>60.98</v>
      </c>
      <c r="L57">
        <v>11.67</v>
      </c>
      <c r="M57">
        <v>64.33</v>
      </c>
      <c r="N57">
        <v>61.11</v>
      </c>
      <c r="O57">
        <v>37.94</v>
      </c>
      <c r="P57">
        <v>11.7</v>
      </c>
      <c r="Q57">
        <v>47.14</v>
      </c>
    </row>
    <row r="58" spans="2:17" x14ac:dyDescent="0.2">
      <c r="B58">
        <v>1.6336111111111111</v>
      </c>
      <c r="C58">
        <v>2.6002777777777801</v>
      </c>
      <c r="D58">
        <v>2.4669444444444402</v>
      </c>
      <c r="E58">
        <v>2.0669444444444398</v>
      </c>
      <c r="F58">
        <v>1.9336111111111101</v>
      </c>
      <c r="G58">
        <v>0.82</v>
      </c>
      <c r="H58">
        <v>0</v>
      </c>
      <c r="I58">
        <v>42.21</v>
      </c>
      <c r="J58">
        <v>13.64</v>
      </c>
      <c r="K58">
        <v>60.47</v>
      </c>
      <c r="L58">
        <v>10.130000000000001</v>
      </c>
      <c r="M58">
        <v>64.17</v>
      </c>
      <c r="N58">
        <v>60.47</v>
      </c>
      <c r="O58">
        <v>36.880000000000003</v>
      </c>
      <c r="P58">
        <v>12.68</v>
      </c>
      <c r="Q58">
        <v>46.67</v>
      </c>
    </row>
    <row r="59" spans="2:17" x14ac:dyDescent="0.2">
      <c r="B59">
        <v>1.6669444444444443</v>
      </c>
      <c r="C59">
        <v>2.6336111111111098</v>
      </c>
      <c r="D59">
        <v>2.50027777777778</v>
      </c>
      <c r="E59">
        <v>2.1002777777777801</v>
      </c>
      <c r="F59">
        <v>1.9669444444444399</v>
      </c>
      <c r="G59">
        <v>0.41</v>
      </c>
      <c r="H59">
        <v>0</v>
      </c>
      <c r="I59">
        <v>41.47</v>
      </c>
      <c r="J59">
        <v>12.95</v>
      </c>
      <c r="K59">
        <v>60.29</v>
      </c>
      <c r="L59">
        <v>8.4499999999999993</v>
      </c>
      <c r="M59">
        <v>63.69</v>
      </c>
      <c r="N59">
        <v>60.47</v>
      </c>
      <c r="O59">
        <v>35.380000000000003</v>
      </c>
      <c r="P59">
        <v>8.2200000000000006</v>
      </c>
      <c r="Q59">
        <v>46.36</v>
      </c>
    </row>
    <row r="60" spans="2:17" x14ac:dyDescent="0.2">
      <c r="B60">
        <v>1.7002777777777778</v>
      </c>
      <c r="C60">
        <v>2.6669444444444399</v>
      </c>
      <c r="D60">
        <v>2.5336111111111101</v>
      </c>
      <c r="E60">
        <v>2.1336111111111098</v>
      </c>
      <c r="F60">
        <v>2.00027777777778</v>
      </c>
      <c r="G60">
        <v>0</v>
      </c>
      <c r="H60">
        <v>0</v>
      </c>
      <c r="I60">
        <v>40.880000000000003</v>
      </c>
      <c r="J60">
        <v>12.54</v>
      </c>
      <c r="K60">
        <v>59.95</v>
      </c>
      <c r="L60">
        <v>6.93</v>
      </c>
      <c r="M60">
        <v>63.2</v>
      </c>
      <c r="N60">
        <v>60.31</v>
      </c>
      <c r="O60">
        <v>33.43</v>
      </c>
      <c r="P60">
        <v>11.14</v>
      </c>
      <c r="Q60">
        <v>45.89</v>
      </c>
    </row>
    <row r="61" spans="2:17" x14ac:dyDescent="0.2">
      <c r="B61">
        <v>1.733611111111111</v>
      </c>
      <c r="C61">
        <v>2.7002777777777802</v>
      </c>
      <c r="D61">
        <v>2.5669444444444398</v>
      </c>
      <c r="E61">
        <v>2.1669444444444399</v>
      </c>
      <c r="F61">
        <v>2.0336111111111101</v>
      </c>
      <c r="G61">
        <v>0</v>
      </c>
      <c r="H61">
        <v>0</v>
      </c>
      <c r="I61">
        <v>40.29</v>
      </c>
      <c r="J61">
        <v>12.13</v>
      </c>
      <c r="K61">
        <v>59.61</v>
      </c>
      <c r="L61">
        <v>4.66</v>
      </c>
      <c r="M61">
        <v>62.88</v>
      </c>
      <c r="N61">
        <v>59.67</v>
      </c>
      <c r="O61">
        <v>32.24</v>
      </c>
      <c r="P61">
        <v>9.19</v>
      </c>
      <c r="Q61">
        <v>45.42</v>
      </c>
    </row>
    <row r="62" spans="2:17" x14ac:dyDescent="0.2">
      <c r="B62">
        <v>1.7669444444444444</v>
      </c>
      <c r="C62">
        <v>2.7336111111111099</v>
      </c>
      <c r="D62">
        <v>2.6002777777777801</v>
      </c>
      <c r="E62">
        <v>2.2002777777777802</v>
      </c>
      <c r="F62">
        <v>2.0669444444444398</v>
      </c>
      <c r="G62">
        <v>0</v>
      </c>
      <c r="H62">
        <v>0</v>
      </c>
      <c r="I62">
        <v>39.26</v>
      </c>
      <c r="J62">
        <v>11.86</v>
      </c>
      <c r="K62">
        <v>58.92</v>
      </c>
      <c r="L62">
        <v>2.85</v>
      </c>
      <c r="M62">
        <v>62.4</v>
      </c>
      <c r="N62">
        <v>59.35</v>
      </c>
      <c r="O62">
        <v>31.65</v>
      </c>
      <c r="P62">
        <v>10.59</v>
      </c>
      <c r="Q62">
        <v>44.8</v>
      </c>
    </row>
    <row r="63" spans="2:17" x14ac:dyDescent="0.2">
      <c r="B63">
        <v>1.8002777777777779</v>
      </c>
      <c r="C63">
        <v>2.76694444444444</v>
      </c>
      <c r="D63">
        <v>2.6336111111111098</v>
      </c>
      <c r="E63">
        <v>2.2336111111111099</v>
      </c>
      <c r="F63">
        <v>2.1002777777777801</v>
      </c>
      <c r="G63">
        <v>0</v>
      </c>
      <c r="H63">
        <v>0</v>
      </c>
      <c r="I63">
        <v>38.67</v>
      </c>
      <c r="J63">
        <v>11.45</v>
      </c>
      <c r="K63">
        <v>58.23</v>
      </c>
      <c r="L63">
        <v>1.2</v>
      </c>
      <c r="M63">
        <v>62.08</v>
      </c>
      <c r="N63">
        <v>59.03</v>
      </c>
      <c r="O63">
        <v>30.16</v>
      </c>
      <c r="P63">
        <v>6.29</v>
      </c>
      <c r="Q63">
        <v>44.48</v>
      </c>
    </row>
    <row r="64" spans="2:17" x14ac:dyDescent="0.2">
      <c r="B64">
        <v>1.8336111111111111</v>
      </c>
      <c r="C64">
        <v>2.8002777777777799</v>
      </c>
      <c r="D64">
        <v>2.6669444444444399</v>
      </c>
      <c r="E64">
        <v>2.26694444444444</v>
      </c>
      <c r="F64">
        <v>2.1336111111111098</v>
      </c>
      <c r="G64">
        <v>0</v>
      </c>
      <c r="H64">
        <v>0</v>
      </c>
      <c r="I64">
        <v>38.08</v>
      </c>
      <c r="J64">
        <v>11.31</v>
      </c>
      <c r="K64">
        <v>57.55</v>
      </c>
      <c r="L64">
        <v>0</v>
      </c>
      <c r="M64">
        <v>61.43</v>
      </c>
      <c r="N64">
        <v>58.72</v>
      </c>
      <c r="O64">
        <v>28.69</v>
      </c>
      <c r="P64">
        <v>3.54</v>
      </c>
      <c r="Q64">
        <v>44.02</v>
      </c>
    </row>
    <row r="65" spans="2:17" x14ac:dyDescent="0.2">
      <c r="B65">
        <v>1.8669444444444445</v>
      </c>
      <c r="C65">
        <v>2.83361111111111</v>
      </c>
      <c r="D65">
        <v>2.7002777777777802</v>
      </c>
      <c r="E65">
        <v>2.3002777777777799</v>
      </c>
      <c r="F65">
        <v>2.1669444444444399</v>
      </c>
      <c r="G65">
        <v>0</v>
      </c>
      <c r="H65">
        <v>0</v>
      </c>
      <c r="I65">
        <v>37.35</v>
      </c>
      <c r="J65">
        <v>10.9</v>
      </c>
      <c r="K65">
        <v>56.86</v>
      </c>
      <c r="L65">
        <v>0</v>
      </c>
      <c r="M65">
        <v>60.79</v>
      </c>
      <c r="N65">
        <v>57.92</v>
      </c>
      <c r="O65">
        <v>27.36</v>
      </c>
      <c r="P65">
        <v>6.15</v>
      </c>
      <c r="Q65">
        <v>43.55</v>
      </c>
    </row>
    <row r="66" spans="2:17" x14ac:dyDescent="0.2">
      <c r="B66">
        <v>1.9002777777777777</v>
      </c>
      <c r="C66">
        <v>2.8669444444444401</v>
      </c>
      <c r="D66">
        <v>2.7336111111111099</v>
      </c>
      <c r="E66">
        <v>2.33361111111111</v>
      </c>
      <c r="F66">
        <v>2.2002777777777802</v>
      </c>
      <c r="G66">
        <v>0</v>
      </c>
      <c r="H66">
        <v>0</v>
      </c>
      <c r="I66">
        <v>36.76</v>
      </c>
      <c r="J66">
        <v>10.220000000000001</v>
      </c>
      <c r="K66">
        <v>56.35</v>
      </c>
      <c r="L66">
        <v>0</v>
      </c>
      <c r="M66">
        <v>60.63</v>
      </c>
      <c r="N66">
        <v>56.97</v>
      </c>
      <c r="O66">
        <v>26.04</v>
      </c>
      <c r="P66">
        <v>4.09</v>
      </c>
      <c r="Q66">
        <v>43.08</v>
      </c>
    </row>
    <row r="67" spans="2:17" x14ac:dyDescent="0.2">
      <c r="B67">
        <v>1.9336111111111112</v>
      </c>
      <c r="C67">
        <v>2.90027777777778</v>
      </c>
      <c r="D67">
        <v>2.76694444444444</v>
      </c>
      <c r="E67">
        <v>2.3669444444444401</v>
      </c>
      <c r="F67">
        <v>2.2336111111111099</v>
      </c>
      <c r="G67">
        <v>0</v>
      </c>
      <c r="H67">
        <v>0</v>
      </c>
      <c r="I67">
        <v>35.880000000000003</v>
      </c>
      <c r="J67">
        <v>9.67</v>
      </c>
      <c r="K67">
        <v>55.33</v>
      </c>
      <c r="L67">
        <v>0</v>
      </c>
      <c r="M67">
        <v>59.99</v>
      </c>
      <c r="N67">
        <v>56.02</v>
      </c>
      <c r="O67">
        <v>25.02</v>
      </c>
      <c r="P67">
        <v>3.13</v>
      </c>
      <c r="Q67">
        <v>42.46</v>
      </c>
    </row>
    <row r="68" spans="2:17" x14ac:dyDescent="0.2">
      <c r="B68">
        <v>1.9669444444444444</v>
      </c>
      <c r="C68">
        <v>2.9338888888888901</v>
      </c>
      <c r="D68">
        <v>2.8002777777777799</v>
      </c>
      <c r="E68">
        <v>2.40027777777778</v>
      </c>
      <c r="F68">
        <v>2.26694444444444</v>
      </c>
      <c r="G68">
        <v>0</v>
      </c>
      <c r="H68">
        <v>0</v>
      </c>
      <c r="I68">
        <v>35.01</v>
      </c>
      <c r="J68">
        <v>9.26</v>
      </c>
      <c r="K68">
        <v>54.81</v>
      </c>
      <c r="L68">
        <v>0</v>
      </c>
      <c r="M68">
        <v>59.19</v>
      </c>
      <c r="N68">
        <v>54.91</v>
      </c>
      <c r="O68">
        <v>24.14</v>
      </c>
      <c r="P68">
        <v>5.32</v>
      </c>
      <c r="Q68">
        <v>42</v>
      </c>
    </row>
    <row r="69" spans="2:17" x14ac:dyDescent="0.2">
      <c r="B69">
        <v>2.0002777777777778</v>
      </c>
      <c r="C69">
        <v>2.9672222222222202</v>
      </c>
      <c r="D69">
        <v>2.83361111111111</v>
      </c>
      <c r="E69">
        <v>2.4336111111111101</v>
      </c>
      <c r="F69">
        <v>2.3002777777777799</v>
      </c>
      <c r="G69">
        <v>0</v>
      </c>
      <c r="H69">
        <v>0</v>
      </c>
      <c r="I69">
        <v>34.57</v>
      </c>
      <c r="J69">
        <v>8.7200000000000006</v>
      </c>
      <c r="K69">
        <v>53.46</v>
      </c>
      <c r="L69">
        <v>0</v>
      </c>
      <c r="M69">
        <v>58.72</v>
      </c>
      <c r="N69">
        <v>54.44</v>
      </c>
      <c r="O69">
        <v>23.27</v>
      </c>
      <c r="P69">
        <v>4.91</v>
      </c>
      <c r="Q69">
        <v>41.38</v>
      </c>
    </row>
    <row r="70" spans="2:17" x14ac:dyDescent="0.2">
      <c r="B70">
        <v>2.033611111111111</v>
      </c>
      <c r="C70">
        <v>3.0005555555555601</v>
      </c>
      <c r="D70">
        <v>2.8669444444444401</v>
      </c>
      <c r="E70">
        <v>2.4669444444444402</v>
      </c>
      <c r="F70">
        <v>2.33361111111111</v>
      </c>
      <c r="G70">
        <v>0</v>
      </c>
      <c r="H70">
        <v>0</v>
      </c>
      <c r="I70">
        <v>33.700000000000003</v>
      </c>
      <c r="J70">
        <v>7.77</v>
      </c>
      <c r="K70">
        <v>53.63</v>
      </c>
      <c r="L70">
        <v>0</v>
      </c>
      <c r="M70">
        <v>58.24</v>
      </c>
      <c r="N70">
        <v>54.12</v>
      </c>
      <c r="O70">
        <v>22.25</v>
      </c>
      <c r="P70">
        <v>2.86</v>
      </c>
      <c r="Q70">
        <v>40.76</v>
      </c>
    </row>
    <row r="71" spans="2:17" x14ac:dyDescent="0.2">
      <c r="B71">
        <v>2.0669444444444443</v>
      </c>
      <c r="C71">
        <v>3.0338888888888902</v>
      </c>
      <c r="D71">
        <v>2.90027777777778</v>
      </c>
      <c r="E71">
        <v>2.50027777777778</v>
      </c>
      <c r="F71">
        <v>2.3669444444444401</v>
      </c>
      <c r="G71">
        <v>0</v>
      </c>
      <c r="H71">
        <v>0</v>
      </c>
      <c r="I71">
        <v>33.119999999999997</v>
      </c>
      <c r="J71">
        <v>6.96</v>
      </c>
      <c r="K71">
        <v>52.95</v>
      </c>
      <c r="L71">
        <v>0</v>
      </c>
      <c r="M71">
        <v>57.6</v>
      </c>
      <c r="N71">
        <v>53.34</v>
      </c>
      <c r="O71">
        <v>20.81</v>
      </c>
      <c r="P71">
        <v>4.5</v>
      </c>
      <c r="Q71">
        <v>40.15</v>
      </c>
    </row>
    <row r="72" spans="2:17" x14ac:dyDescent="0.2">
      <c r="B72">
        <v>2.1002777777777779</v>
      </c>
      <c r="C72">
        <v>3.0672222222222199</v>
      </c>
      <c r="D72">
        <v>2.9338888888888901</v>
      </c>
      <c r="E72">
        <v>2.5336111111111101</v>
      </c>
      <c r="F72">
        <v>2.40027777777778</v>
      </c>
      <c r="G72">
        <v>0</v>
      </c>
      <c r="H72">
        <v>0</v>
      </c>
      <c r="I72">
        <v>32.54</v>
      </c>
      <c r="J72">
        <v>6.15</v>
      </c>
      <c r="K72">
        <v>52.61</v>
      </c>
      <c r="L72">
        <v>0</v>
      </c>
      <c r="M72">
        <v>56.97</v>
      </c>
      <c r="N72">
        <v>53.02</v>
      </c>
      <c r="O72">
        <v>19.940000000000001</v>
      </c>
      <c r="P72">
        <v>1.9</v>
      </c>
      <c r="Q72">
        <v>39.53</v>
      </c>
    </row>
    <row r="73" spans="2:17" x14ac:dyDescent="0.2">
      <c r="B73">
        <v>2.1336111111111111</v>
      </c>
      <c r="C73">
        <v>3.1005555555555602</v>
      </c>
      <c r="D73">
        <v>2.9672222222222202</v>
      </c>
      <c r="E73">
        <v>2.5669444444444398</v>
      </c>
      <c r="F73">
        <v>2.4336111111111101</v>
      </c>
      <c r="G73">
        <v>0</v>
      </c>
      <c r="H73">
        <v>0</v>
      </c>
      <c r="I73">
        <v>31.82</v>
      </c>
      <c r="J73">
        <v>5.34</v>
      </c>
      <c r="K73">
        <v>51.93</v>
      </c>
      <c r="L73">
        <v>0</v>
      </c>
      <c r="M73">
        <v>56.33</v>
      </c>
      <c r="N73">
        <v>52.55</v>
      </c>
      <c r="O73">
        <v>19.22</v>
      </c>
      <c r="P73">
        <v>3.13</v>
      </c>
      <c r="Q73">
        <v>38.61</v>
      </c>
    </row>
    <row r="74" spans="2:17" x14ac:dyDescent="0.2">
      <c r="B74">
        <v>2.1669444444444448</v>
      </c>
      <c r="C74">
        <v>3.1338888888888898</v>
      </c>
      <c r="D74">
        <v>3.0005555555555601</v>
      </c>
      <c r="E74">
        <v>2.6002777777777801</v>
      </c>
      <c r="F74">
        <v>2.4669444444444402</v>
      </c>
      <c r="G74">
        <v>0</v>
      </c>
      <c r="H74">
        <v>0</v>
      </c>
      <c r="I74">
        <v>31.1</v>
      </c>
      <c r="J74">
        <v>4.9400000000000004</v>
      </c>
      <c r="K74">
        <v>51.26</v>
      </c>
      <c r="L74">
        <v>0</v>
      </c>
      <c r="M74">
        <v>55.7</v>
      </c>
      <c r="N74">
        <v>51.77</v>
      </c>
      <c r="O74">
        <v>18.36</v>
      </c>
      <c r="P74">
        <v>1.63</v>
      </c>
      <c r="Q74">
        <v>37.99</v>
      </c>
    </row>
    <row r="75" spans="2:17" x14ac:dyDescent="0.2">
      <c r="B75">
        <v>2.200277777777778</v>
      </c>
      <c r="C75">
        <v>3.1672222222222199</v>
      </c>
      <c r="D75">
        <v>3.0338888888888902</v>
      </c>
      <c r="E75">
        <v>2.6336111111111098</v>
      </c>
      <c r="F75">
        <v>2.50027777777778</v>
      </c>
      <c r="G75">
        <v>0</v>
      </c>
      <c r="H75">
        <v>0</v>
      </c>
      <c r="I75">
        <v>30.23</v>
      </c>
      <c r="J75">
        <v>4.2699999999999996</v>
      </c>
      <c r="K75">
        <v>50.25</v>
      </c>
      <c r="L75">
        <v>0</v>
      </c>
      <c r="M75">
        <v>54.6</v>
      </c>
      <c r="N75">
        <v>51.3</v>
      </c>
      <c r="O75">
        <v>17.5</v>
      </c>
      <c r="P75">
        <v>2.1800000000000002</v>
      </c>
      <c r="Q75">
        <v>37.07</v>
      </c>
    </row>
    <row r="76" spans="2:17" x14ac:dyDescent="0.2">
      <c r="B76">
        <v>2.2336111111111112</v>
      </c>
      <c r="C76">
        <v>3.2005555555555598</v>
      </c>
      <c r="D76">
        <v>3.0672222222222199</v>
      </c>
      <c r="E76">
        <v>2.6669444444444399</v>
      </c>
      <c r="F76">
        <v>2.5336111111111101</v>
      </c>
      <c r="G76">
        <v>0</v>
      </c>
      <c r="H76">
        <v>0</v>
      </c>
      <c r="I76">
        <v>29.66</v>
      </c>
      <c r="J76">
        <v>3.46</v>
      </c>
      <c r="K76">
        <v>49.24</v>
      </c>
      <c r="L76">
        <v>0</v>
      </c>
      <c r="M76">
        <v>53.34</v>
      </c>
      <c r="N76">
        <v>50.99</v>
      </c>
      <c r="O76">
        <v>16.21</v>
      </c>
      <c r="P76">
        <v>1.22</v>
      </c>
      <c r="Q76">
        <v>36.01</v>
      </c>
    </row>
    <row r="77" spans="2:17" x14ac:dyDescent="0.2">
      <c r="B77">
        <v>2.2669444444444449</v>
      </c>
      <c r="C77">
        <v>3.2338888888888899</v>
      </c>
      <c r="D77">
        <v>3.1005555555555602</v>
      </c>
      <c r="E77">
        <v>2.7002777777777802</v>
      </c>
      <c r="F77">
        <v>2.5669444444444398</v>
      </c>
      <c r="G77">
        <v>0</v>
      </c>
      <c r="H77">
        <v>0</v>
      </c>
      <c r="I77">
        <v>28.8</v>
      </c>
      <c r="J77">
        <v>3.06</v>
      </c>
      <c r="K77">
        <v>47.9</v>
      </c>
      <c r="L77">
        <v>0</v>
      </c>
      <c r="M77">
        <v>52.55</v>
      </c>
      <c r="N77">
        <v>50.68</v>
      </c>
      <c r="O77">
        <v>15.07</v>
      </c>
      <c r="P77">
        <v>0.27</v>
      </c>
      <c r="Q77">
        <v>35.24</v>
      </c>
    </row>
    <row r="78" spans="2:17" x14ac:dyDescent="0.2">
      <c r="B78">
        <v>2.3002777777777781</v>
      </c>
      <c r="C78">
        <v>3.26722222222222</v>
      </c>
      <c r="D78">
        <v>3.1338888888888898</v>
      </c>
      <c r="E78">
        <v>2.7336111111111099</v>
      </c>
      <c r="F78">
        <v>2.6002777777777801</v>
      </c>
      <c r="G78">
        <v>0</v>
      </c>
      <c r="H78">
        <v>0</v>
      </c>
      <c r="I78">
        <v>27.94</v>
      </c>
      <c r="J78">
        <v>2.5299999999999998</v>
      </c>
      <c r="K78">
        <v>46.89</v>
      </c>
      <c r="L78">
        <v>0</v>
      </c>
      <c r="M78">
        <v>51.77</v>
      </c>
      <c r="N78">
        <v>49.9</v>
      </c>
      <c r="O78">
        <v>13.93</v>
      </c>
      <c r="P78">
        <v>0</v>
      </c>
      <c r="Q78">
        <v>34.33</v>
      </c>
    </row>
    <row r="79" spans="2:17" x14ac:dyDescent="0.2">
      <c r="B79">
        <v>2.3336111111111113</v>
      </c>
      <c r="C79">
        <v>3.3005555555555599</v>
      </c>
      <c r="D79">
        <v>3.1672222222222199</v>
      </c>
      <c r="E79">
        <v>2.76694444444444</v>
      </c>
      <c r="F79">
        <v>2.6336111111111098</v>
      </c>
      <c r="G79">
        <v>0</v>
      </c>
      <c r="H79">
        <v>0</v>
      </c>
      <c r="I79">
        <v>26.8</v>
      </c>
      <c r="J79">
        <v>1.86</v>
      </c>
      <c r="K79">
        <v>45.73</v>
      </c>
      <c r="L79">
        <v>0</v>
      </c>
      <c r="M79">
        <v>51.3</v>
      </c>
      <c r="N79">
        <v>49.74</v>
      </c>
      <c r="O79">
        <v>12.94</v>
      </c>
      <c r="P79">
        <v>0.68</v>
      </c>
      <c r="Q79">
        <v>33.270000000000003</v>
      </c>
    </row>
    <row r="80" spans="2:17" x14ac:dyDescent="0.2">
      <c r="B80">
        <v>2.3669444444444445</v>
      </c>
      <c r="C80">
        <v>3.33388888888889</v>
      </c>
      <c r="D80">
        <v>3.2005555555555598</v>
      </c>
      <c r="E80">
        <v>2.8002777777777799</v>
      </c>
      <c r="F80">
        <v>2.6669444444444399</v>
      </c>
      <c r="G80">
        <v>0</v>
      </c>
      <c r="H80">
        <v>0</v>
      </c>
      <c r="I80">
        <v>26.37</v>
      </c>
      <c r="J80">
        <v>1.2</v>
      </c>
      <c r="K80">
        <v>44.89</v>
      </c>
      <c r="L80">
        <v>0</v>
      </c>
      <c r="M80">
        <v>51.14</v>
      </c>
      <c r="N80">
        <v>49.12</v>
      </c>
      <c r="O80">
        <v>11.39</v>
      </c>
      <c r="P80">
        <v>2.86</v>
      </c>
      <c r="Q80">
        <v>32.21</v>
      </c>
    </row>
    <row r="81" spans="2:17" x14ac:dyDescent="0.2">
      <c r="B81">
        <v>2.4002777777777782</v>
      </c>
      <c r="C81">
        <v>3.3672222222222201</v>
      </c>
      <c r="D81">
        <v>3.2338888888888899</v>
      </c>
      <c r="E81">
        <v>2.83361111111111</v>
      </c>
      <c r="F81">
        <v>2.7002777777777802</v>
      </c>
      <c r="G81">
        <v>0</v>
      </c>
      <c r="H81">
        <v>0</v>
      </c>
      <c r="I81">
        <v>25.66</v>
      </c>
      <c r="J81">
        <v>0.53</v>
      </c>
      <c r="K81">
        <v>43.57</v>
      </c>
      <c r="L81">
        <v>0</v>
      </c>
      <c r="M81">
        <v>50.21</v>
      </c>
      <c r="N81">
        <v>48.34</v>
      </c>
      <c r="O81">
        <v>10.26</v>
      </c>
      <c r="P81">
        <v>1.77</v>
      </c>
      <c r="Q81">
        <v>31</v>
      </c>
    </row>
    <row r="82" spans="2:17" x14ac:dyDescent="0.2">
      <c r="B82">
        <v>2.4336111111111114</v>
      </c>
      <c r="C82">
        <v>3.40055555555556</v>
      </c>
      <c r="D82">
        <v>3.26722222222222</v>
      </c>
      <c r="E82">
        <v>2.8669444444444401</v>
      </c>
      <c r="F82">
        <v>2.7336111111111099</v>
      </c>
      <c r="G82">
        <v>0</v>
      </c>
      <c r="H82">
        <v>0</v>
      </c>
      <c r="I82">
        <v>24.81</v>
      </c>
      <c r="J82">
        <v>0.27</v>
      </c>
      <c r="K82">
        <v>42.41</v>
      </c>
      <c r="L82">
        <v>0</v>
      </c>
      <c r="M82">
        <v>48.34</v>
      </c>
      <c r="N82">
        <v>47.72</v>
      </c>
      <c r="O82">
        <v>9.2799999999999994</v>
      </c>
      <c r="P82">
        <v>3.68</v>
      </c>
      <c r="Q82">
        <v>29.95</v>
      </c>
    </row>
    <row r="83" spans="2:17" x14ac:dyDescent="0.2">
      <c r="B83">
        <v>2.4669444444444446</v>
      </c>
      <c r="C83">
        <v>3.4338888888888901</v>
      </c>
      <c r="D83">
        <v>3.3005555555555599</v>
      </c>
      <c r="E83">
        <v>2.90027777777778</v>
      </c>
      <c r="F83">
        <v>2.76694444444444</v>
      </c>
      <c r="G83">
        <v>0</v>
      </c>
      <c r="H83">
        <v>0</v>
      </c>
      <c r="I83">
        <v>23.96</v>
      </c>
      <c r="J83">
        <v>0</v>
      </c>
      <c r="K83">
        <v>41.25</v>
      </c>
      <c r="L83">
        <v>0</v>
      </c>
      <c r="M83">
        <v>48.65</v>
      </c>
      <c r="N83">
        <v>47.57</v>
      </c>
      <c r="O83">
        <v>8.3000000000000007</v>
      </c>
      <c r="P83">
        <v>0.54</v>
      </c>
      <c r="Q83">
        <v>28.9</v>
      </c>
    </row>
    <row r="84" spans="2:17" x14ac:dyDescent="0.2">
      <c r="B84">
        <v>2.5002777777777778</v>
      </c>
      <c r="C84">
        <v>3.4672222222222202</v>
      </c>
      <c r="D84">
        <v>3.33388888888889</v>
      </c>
      <c r="E84">
        <v>2.9338888888888901</v>
      </c>
      <c r="F84">
        <v>2.8002777777777799</v>
      </c>
      <c r="G84">
        <v>0</v>
      </c>
      <c r="H84">
        <v>0</v>
      </c>
      <c r="I84">
        <v>22.97</v>
      </c>
      <c r="J84">
        <v>0</v>
      </c>
      <c r="K84">
        <v>40.1</v>
      </c>
      <c r="L84">
        <v>0</v>
      </c>
      <c r="M84">
        <v>48.65</v>
      </c>
      <c r="N84">
        <v>46.79</v>
      </c>
      <c r="O84">
        <v>7.32</v>
      </c>
      <c r="P84">
        <v>2.1800000000000002</v>
      </c>
      <c r="Q84">
        <v>28</v>
      </c>
    </row>
    <row r="85" spans="2:17" x14ac:dyDescent="0.2">
      <c r="B85">
        <v>2.5336111111111115</v>
      </c>
      <c r="C85">
        <v>3.5005555555555601</v>
      </c>
      <c r="D85">
        <v>3.3672222222222201</v>
      </c>
      <c r="E85">
        <v>2.9672222222222202</v>
      </c>
      <c r="F85">
        <v>2.83361111111111</v>
      </c>
      <c r="G85">
        <v>0</v>
      </c>
      <c r="H85">
        <v>0</v>
      </c>
      <c r="I85">
        <v>22.55</v>
      </c>
      <c r="J85">
        <v>0</v>
      </c>
      <c r="K85">
        <v>39.119999999999997</v>
      </c>
      <c r="L85">
        <v>0</v>
      </c>
      <c r="M85">
        <v>48.19</v>
      </c>
      <c r="N85">
        <v>46.18</v>
      </c>
      <c r="O85">
        <v>6.07</v>
      </c>
      <c r="P85">
        <v>1.0900000000000001</v>
      </c>
      <c r="Q85">
        <v>26.96</v>
      </c>
    </row>
    <row r="86" spans="2:17" x14ac:dyDescent="0.2">
      <c r="B86">
        <v>2.5669444444444447</v>
      </c>
      <c r="C86">
        <v>3.5338888888888902</v>
      </c>
      <c r="D86">
        <v>3.40055555555556</v>
      </c>
      <c r="E86">
        <v>3.0005555555555601</v>
      </c>
      <c r="F86">
        <v>2.8669444444444401</v>
      </c>
      <c r="G86">
        <v>0</v>
      </c>
      <c r="H86">
        <v>0</v>
      </c>
      <c r="I86">
        <v>21.85</v>
      </c>
      <c r="J86">
        <v>0</v>
      </c>
      <c r="K86">
        <v>38.299999999999997</v>
      </c>
      <c r="L86">
        <v>0</v>
      </c>
      <c r="M86">
        <v>47.88</v>
      </c>
      <c r="N86">
        <v>45.56</v>
      </c>
      <c r="O86">
        <v>5.0999999999999996</v>
      </c>
      <c r="P86">
        <v>1.77</v>
      </c>
      <c r="Q86">
        <v>25.91</v>
      </c>
    </row>
    <row r="87" spans="2:17" x14ac:dyDescent="0.2">
      <c r="B87">
        <v>2.6002777777777779</v>
      </c>
      <c r="C87">
        <v>3.5672222222222199</v>
      </c>
      <c r="D87">
        <v>3.4338888888888901</v>
      </c>
      <c r="E87">
        <v>3.0338888888888902</v>
      </c>
      <c r="F87">
        <v>2.90027777777778</v>
      </c>
      <c r="G87">
        <v>0</v>
      </c>
      <c r="H87">
        <v>0</v>
      </c>
      <c r="I87">
        <v>21.14</v>
      </c>
      <c r="J87">
        <v>0</v>
      </c>
      <c r="K87">
        <v>37.15</v>
      </c>
      <c r="L87">
        <v>0</v>
      </c>
      <c r="M87">
        <v>47.26</v>
      </c>
      <c r="N87">
        <v>44.79</v>
      </c>
      <c r="O87">
        <v>3.99</v>
      </c>
      <c r="P87">
        <v>2.86</v>
      </c>
      <c r="Q87">
        <v>24.87</v>
      </c>
    </row>
    <row r="88" spans="2:17" x14ac:dyDescent="0.2">
      <c r="B88">
        <v>2.6336111111111111</v>
      </c>
      <c r="C88">
        <v>3.6005555555555602</v>
      </c>
      <c r="D88">
        <v>3.4672222222222202</v>
      </c>
      <c r="E88">
        <v>3.0672222222222199</v>
      </c>
      <c r="F88">
        <v>2.9338888888888901</v>
      </c>
      <c r="G88">
        <v>0</v>
      </c>
      <c r="H88">
        <v>0</v>
      </c>
      <c r="I88">
        <v>20.58</v>
      </c>
      <c r="J88">
        <v>0</v>
      </c>
      <c r="K88">
        <v>36.01</v>
      </c>
      <c r="L88">
        <v>0</v>
      </c>
      <c r="M88">
        <v>46.64</v>
      </c>
      <c r="N88">
        <v>44.33</v>
      </c>
      <c r="O88">
        <v>2.88</v>
      </c>
      <c r="P88">
        <v>0</v>
      </c>
      <c r="Q88">
        <v>23.84</v>
      </c>
    </row>
    <row r="89" spans="2:17" x14ac:dyDescent="0.2">
      <c r="B89">
        <v>2.6669444444444448</v>
      </c>
      <c r="C89">
        <v>3.6338888888888898</v>
      </c>
      <c r="D89">
        <v>3.5005555555555601</v>
      </c>
      <c r="E89">
        <v>3.1005555555555602</v>
      </c>
      <c r="F89">
        <v>2.9672222222222202</v>
      </c>
      <c r="G89">
        <v>0</v>
      </c>
      <c r="H89">
        <v>0</v>
      </c>
      <c r="I89">
        <v>19.739999999999998</v>
      </c>
      <c r="J89">
        <v>0</v>
      </c>
      <c r="K89">
        <v>35.200000000000003</v>
      </c>
      <c r="L89">
        <v>0</v>
      </c>
      <c r="M89">
        <v>45.41</v>
      </c>
      <c r="N89">
        <v>43.72</v>
      </c>
      <c r="O89">
        <v>1.65</v>
      </c>
      <c r="P89">
        <v>0.54</v>
      </c>
      <c r="Q89">
        <v>22.66</v>
      </c>
    </row>
    <row r="90" spans="2:17" x14ac:dyDescent="0.2">
      <c r="B90">
        <v>2.700277777777778</v>
      </c>
      <c r="C90">
        <v>3.6672222222222199</v>
      </c>
      <c r="D90">
        <v>3.5338888888888902</v>
      </c>
      <c r="E90">
        <v>3.1338888888888898</v>
      </c>
      <c r="F90">
        <v>3.0005555555555601</v>
      </c>
      <c r="G90">
        <v>0</v>
      </c>
      <c r="H90">
        <v>0</v>
      </c>
      <c r="I90">
        <v>19.32</v>
      </c>
      <c r="J90">
        <v>0</v>
      </c>
      <c r="K90">
        <v>34.229999999999997</v>
      </c>
      <c r="L90">
        <v>0</v>
      </c>
      <c r="M90">
        <v>44.18</v>
      </c>
      <c r="N90">
        <v>43.26</v>
      </c>
      <c r="O90">
        <v>0.27</v>
      </c>
      <c r="P90">
        <v>0</v>
      </c>
      <c r="Q90">
        <v>21.62</v>
      </c>
    </row>
    <row r="91" spans="2:17" x14ac:dyDescent="0.2">
      <c r="B91">
        <v>2.7336111111111112</v>
      </c>
      <c r="C91">
        <v>3.7005555555555598</v>
      </c>
      <c r="D91">
        <v>3.5672222222222199</v>
      </c>
      <c r="E91">
        <v>3.1672222222222199</v>
      </c>
      <c r="F91">
        <v>3.0338888888888902</v>
      </c>
      <c r="G91">
        <v>0</v>
      </c>
      <c r="H91">
        <v>0</v>
      </c>
      <c r="I91">
        <v>18.63</v>
      </c>
      <c r="J91">
        <v>0</v>
      </c>
      <c r="K91">
        <v>33.090000000000003</v>
      </c>
      <c r="L91">
        <v>0</v>
      </c>
      <c r="Q91">
        <v>20.6</v>
      </c>
    </row>
    <row r="92" spans="2:17" x14ac:dyDescent="0.2">
      <c r="B92">
        <v>2.7669444444444449</v>
      </c>
      <c r="C92">
        <v>3.7338888888888899</v>
      </c>
      <c r="D92">
        <v>3.6005555555555602</v>
      </c>
      <c r="E92">
        <v>3.2005555555555598</v>
      </c>
      <c r="F92">
        <v>3.0672222222222199</v>
      </c>
      <c r="G92">
        <v>0</v>
      </c>
      <c r="H92">
        <v>0</v>
      </c>
      <c r="I92">
        <v>17.649999999999999</v>
      </c>
      <c r="J92">
        <v>0</v>
      </c>
      <c r="K92">
        <v>31.64</v>
      </c>
      <c r="L92">
        <v>0</v>
      </c>
      <c r="Q92">
        <v>19.86</v>
      </c>
    </row>
    <row r="93" spans="2:17" x14ac:dyDescent="0.2">
      <c r="B93">
        <v>2.8002777777777781</v>
      </c>
      <c r="C93">
        <v>3.76722222222222</v>
      </c>
      <c r="D93">
        <v>3.6338888888888898</v>
      </c>
      <c r="E93">
        <v>3.2338888888888899</v>
      </c>
      <c r="F93">
        <v>3.1005555555555602</v>
      </c>
      <c r="G93">
        <v>0</v>
      </c>
      <c r="H93">
        <v>0</v>
      </c>
      <c r="I93">
        <v>17.23</v>
      </c>
      <c r="J93">
        <v>0</v>
      </c>
      <c r="K93">
        <v>30.68</v>
      </c>
      <c r="L93">
        <v>0</v>
      </c>
      <c r="Q93">
        <v>18.55</v>
      </c>
    </row>
    <row r="94" spans="2:17" x14ac:dyDescent="0.2">
      <c r="B94">
        <v>2.8336111111111113</v>
      </c>
      <c r="C94">
        <v>3.8005555555555599</v>
      </c>
      <c r="D94">
        <v>3.6672222222222199</v>
      </c>
      <c r="E94">
        <v>3.26722222222222</v>
      </c>
      <c r="F94">
        <v>3.1338888888888898</v>
      </c>
      <c r="G94">
        <v>0</v>
      </c>
      <c r="H94">
        <v>0</v>
      </c>
      <c r="I94">
        <v>16.399999999999999</v>
      </c>
      <c r="J94">
        <v>0</v>
      </c>
      <c r="K94">
        <v>29.71</v>
      </c>
      <c r="L94">
        <v>0</v>
      </c>
      <c r="Q94">
        <v>17.82</v>
      </c>
    </row>
    <row r="95" spans="2:17" x14ac:dyDescent="0.2">
      <c r="B95">
        <v>2.8669444444444445</v>
      </c>
      <c r="C95">
        <v>3.83388888888889</v>
      </c>
      <c r="D95">
        <v>3.7005555555555598</v>
      </c>
      <c r="E95">
        <v>3.3005555555555599</v>
      </c>
      <c r="F95">
        <v>3.1672222222222199</v>
      </c>
      <c r="G95">
        <v>0</v>
      </c>
      <c r="H95">
        <v>0</v>
      </c>
      <c r="I95">
        <v>15.71</v>
      </c>
      <c r="J95">
        <v>0</v>
      </c>
      <c r="K95">
        <v>28.75</v>
      </c>
      <c r="L95">
        <v>0</v>
      </c>
      <c r="Q95">
        <v>16.8</v>
      </c>
    </row>
    <row r="96" spans="2:17" x14ac:dyDescent="0.2">
      <c r="B96">
        <v>2.9002777777777782</v>
      </c>
      <c r="C96">
        <v>3.8672222222222201</v>
      </c>
      <c r="D96">
        <v>3.7338888888888899</v>
      </c>
      <c r="E96">
        <v>3.33388888888889</v>
      </c>
      <c r="F96">
        <v>3.2005555555555598</v>
      </c>
      <c r="G96">
        <v>0</v>
      </c>
      <c r="H96">
        <v>0</v>
      </c>
      <c r="I96">
        <v>15.02</v>
      </c>
      <c r="J96">
        <v>0</v>
      </c>
      <c r="K96">
        <v>27.95</v>
      </c>
      <c r="L96">
        <v>0</v>
      </c>
      <c r="Q96">
        <v>15.49</v>
      </c>
    </row>
    <row r="97" spans="2:17" x14ac:dyDescent="0.2">
      <c r="B97">
        <v>2.9338888888888888</v>
      </c>
      <c r="C97">
        <v>3.90055555555556</v>
      </c>
      <c r="D97">
        <v>3.76722222222222</v>
      </c>
      <c r="E97">
        <v>3.3672222222222201</v>
      </c>
      <c r="F97">
        <v>3.2338888888888899</v>
      </c>
      <c r="G97">
        <v>0</v>
      </c>
      <c r="H97">
        <v>0</v>
      </c>
      <c r="I97">
        <v>14.33</v>
      </c>
      <c r="J97">
        <v>0</v>
      </c>
      <c r="K97">
        <v>27.15</v>
      </c>
      <c r="L97">
        <v>0</v>
      </c>
      <c r="Q97">
        <v>14.48</v>
      </c>
    </row>
    <row r="98" spans="2:17" x14ac:dyDescent="0.2">
      <c r="B98">
        <v>2.967222222222222</v>
      </c>
      <c r="C98">
        <v>3.9338888888888901</v>
      </c>
      <c r="D98">
        <v>3.8005555555555599</v>
      </c>
      <c r="E98">
        <v>3.40055555555556</v>
      </c>
      <c r="F98">
        <v>3.26722222222222</v>
      </c>
      <c r="G98">
        <v>0</v>
      </c>
      <c r="H98">
        <v>0</v>
      </c>
      <c r="I98">
        <v>13.64</v>
      </c>
      <c r="J98">
        <v>0</v>
      </c>
      <c r="K98">
        <v>26.04</v>
      </c>
      <c r="L98">
        <v>0</v>
      </c>
      <c r="Q98">
        <v>13.47</v>
      </c>
    </row>
    <row r="99" spans="2:17" x14ac:dyDescent="0.2">
      <c r="B99">
        <v>3.0005555555555556</v>
      </c>
      <c r="C99">
        <v>3.9672222222222202</v>
      </c>
      <c r="D99">
        <v>3.83388888888889</v>
      </c>
      <c r="E99">
        <v>3.4338888888888901</v>
      </c>
      <c r="F99">
        <v>3.3005555555555599</v>
      </c>
      <c r="G99">
        <v>0</v>
      </c>
      <c r="H99">
        <v>0</v>
      </c>
      <c r="I99">
        <v>12.82</v>
      </c>
      <c r="J99">
        <v>0</v>
      </c>
      <c r="K99">
        <v>25.41</v>
      </c>
      <c r="L99">
        <v>0</v>
      </c>
      <c r="Q99">
        <v>12.32</v>
      </c>
    </row>
    <row r="100" spans="2:17" x14ac:dyDescent="0.2">
      <c r="B100">
        <v>3.0338888888888889</v>
      </c>
      <c r="C100">
        <v>4.0005555555555601</v>
      </c>
      <c r="D100">
        <v>3.8672222222222201</v>
      </c>
      <c r="E100">
        <v>3.4672222222222202</v>
      </c>
      <c r="F100">
        <v>3.33388888888889</v>
      </c>
      <c r="G100">
        <v>0</v>
      </c>
      <c r="H100">
        <v>0</v>
      </c>
      <c r="I100">
        <v>12.27</v>
      </c>
      <c r="J100">
        <v>0</v>
      </c>
      <c r="K100">
        <v>25.09</v>
      </c>
      <c r="L100">
        <v>0</v>
      </c>
      <c r="Q100">
        <v>11.31</v>
      </c>
    </row>
    <row r="101" spans="2:17" x14ac:dyDescent="0.2">
      <c r="B101">
        <v>3.0672222222222221</v>
      </c>
      <c r="C101">
        <v>4.0338888888888897</v>
      </c>
      <c r="D101">
        <v>3.90055555555556</v>
      </c>
      <c r="E101">
        <v>3.5005555555555601</v>
      </c>
      <c r="F101">
        <v>3.3672222222222201</v>
      </c>
      <c r="G101">
        <v>0</v>
      </c>
      <c r="H101">
        <v>0</v>
      </c>
      <c r="I101">
        <v>11.58</v>
      </c>
      <c r="J101">
        <v>0</v>
      </c>
      <c r="K101">
        <v>24.77</v>
      </c>
      <c r="L101">
        <v>0</v>
      </c>
      <c r="Q101">
        <v>10.02</v>
      </c>
    </row>
    <row r="102" spans="2:17" x14ac:dyDescent="0.2">
      <c r="B102">
        <v>3.1005555555555557</v>
      </c>
      <c r="C102">
        <v>4.0672222222222203</v>
      </c>
      <c r="D102">
        <v>3.9338888888888901</v>
      </c>
      <c r="E102">
        <v>3.5338888888888902</v>
      </c>
      <c r="F102">
        <v>3.40055555555556</v>
      </c>
      <c r="G102">
        <v>0</v>
      </c>
      <c r="H102">
        <v>0</v>
      </c>
      <c r="I102">
        <v>10.9</v>
      </c>
      <c r="J102">
        <v>0</v>
      </c>
      <c r="K102">
        <v>24.45</v>
      </c>
      <c r="L102">
        <v>0</v>
      </c>
      <c r="Q102">
        <v>8.8800000000000008</v>
      </c>
    </row>
    <row r="103" spans="2:17" x14ac:dyDescent="0.2">
      <c r="B103">
        <v>3.1338888888888889</v>
      </c>
      <c r="C103">
        <v>4.1005555555555597</v>
      </c>
      <c r="D103">
        <v>3.9672222222222202</v>
      </c>
      <c r="E103">
        <v>3.5672222222222199</v>
      </c>
      <c r="F103">
        <v>3.4338888888888901</v>
      </c>
      <c r="G103">
        <v>0</v>
      </c>
      <c r="H103">
        <v>0</v>
      </c>
      <c r="I103">
        <v>10.35</v>
      </c>
      <c r="J103">
        <v>0</v>
      </c>
      <c r="K103">
        <v>23.82</v>
      </c>
      <c r="L103">
        <v>0</v>
      </c>
      <c r="Q103">
        <v>7.74</v>
      </c>
    </row>
    <row r="104" spans="2:17" x14ac:dyDescent="0.2">
      <c r="B104">
        <v>3.1672222222222222</v>
      </c>
      <c r="C104">
        <v>4.1338888888888903</v>
      </c>
      <c r="D104">
        <v>4.0005555555555601</v>
      </c>
      <c r="E104">
        <v>3.6005555555555602</v>
      </c>
      <c r="F104">
        <v>3.4672222222222202</v>
      </c>
      <c r="G104">
        <v>0</v>
      </c>
      <c r="H104">
        <v>0</v>
      </c>
      <c r="I104">
        <v>9.67</v>
      </c>
      <c r="J104">
        <v>0</v>
      </c>
      <c r="K104">
        <v>23.35</v>
      </c>
      <c r="L104">
        <v>0</v>
      </c>
      <c r="Q104">
        <v>6.75</v>
      </c>
    </row>
    <row r="105" spans="2:17" x14ac:dyDescent="0.2">
      <c r="B105">
        <v>3.2005555555555554</v>
      </c>
      <c r="C105">
        <v>4.1672222222222199</v>
      </c>
      <c r="D105">
        <v>4.0338888888888897</v>
      </c>
      <c r="E105">
        <v>3.6338888888888898</v>
      </c>
      <c r="F105">
        <v>3.5005555555555601</v>
      </c>
      <c r="G105">
        <v>0</v>
      </c>
      <c r="H105">
        <v>0</v>
      </c>
      <c r="I105">
        <v>8.86</v>
      </c>
      <c r="J105">
        <v>0</v>
      </c>
      <c r="K105">
        <v>22.4</v>
      </c>
      <c r="L105">
        <v>0</v>
      </c>
      <c r="Q105">
        <v>5.76</v>
      </c>
    </row>
    <row r="106" spans="2:17" x14ac:dyDescent="0.2">
      <c r="B106">
        <v>3.233888888888889</v>
      </c>
      <c r="C106">
        <v>4.2005555555555603</v>
      </c>
      <c r="D106">
        <v>4.0672222222222203</v>
      </c>
      <c r="E106">
        <v>3.6672222222222199</v>
      </c>
      <c r="F106">
        <v>3.5338888888888902</v>
      </c>
      <c r="G106">
        <v>0</v>
      </c>
      <c r="H106">
        <v>0</v>
      </c>
      <c r="I106">
        <v>8.4499999999999993</v>
      </c>
      <c r="J106">
        <v>0</v>
      </c>
      <c r="K106">
        <v>21.61</v>
      </c>
      <c r="L106">
        <v>0</v>
      </c>
      <c r="Q106">
        <v>5.05</v>
      </c>
    </row>
    <row r="107" spans="2:17" x14ac:dyDescent="0.2">
      <c r="B107">
        <v>3.2672222222222222</v>
      </c>
      <c r="C107">
        <v>4.2338888888888899</v>
      </c>
      <c r="E107">
        <v>3.7005555555555598</v>
      </c>
      <c r="F107">
        <v>3.5672222222222199</v>
      </c>
      <c r="H107">
        <v>0</v>
      </c>
      <c r="I107">
        <v>7.91</v>
      </c>
      <c r="J107">
        <v>0</v>
      </c>
      <c r="K107">
        <v>20.83</v>
      </c>
      <c r="L107">
        <v>0</v>
      </c>
      <c r="Q107">
        <v>4.49</v>
      </c>
    </row>
    <row r="108" spans="2:17" x14ac:dyDescent="0.2">
      <c r="B108">
        <v>3.3005555555555555</v>
      </c>
      <c r="C108">
        <v>4.2672222222222196</v>
      </c>
      <c r="E108">
        <v>3.7338888888888899</v>
      </c>
      <c r="F108">
        <v>3.6005555555555602</v>
      </c>
      <c r="H108">
        <v>0</v>
      </c>
      <c r="I108">
        <v>7.5</v>
      </c>
      <c r="J108">
        <v>0</v>
      </c>
      <c r="K108">
        <v>19.73</v>
      </c>
      <c r="L108">
        <v>0</v>
      </c>
      <c r="Q108">
        <v>3.92</v>
      </c>
    </row>
    <row r="109" spans="2:17" x14ac:dyDescent="0.2">
      <c r="B109">
        <v>3.3338888888888887</v>
      </c>
      <c r="C109">
        <v>4.3005555555555599</v>
      </c>
      <c r="E109">
        <v>3.76722222222222</v>
      </c>
      <c r="F109">
        <v>3.6338888888888898</v>
      </c>
      <c r="H109">
        <v>0</v>
      </c>
      <c r="I109">
        <v>6.83</v>
      </c>
      <c r="J109">
        <v>0</v>
      </c>
      <c r="K109">
        <v>18.64</v>
      </c>
      <c r="L109">
        <v>0</v>
      </c>
      <c r="Q109">
        <v>3.64</v>
      </c>
    </row>
    <row r="110" spans="2:17" x14ac:dyDescent="0.2">
      <c r="B110">
        <v>3.3672222222222223</v>
      </c>
      <c r="C110">
        <v>4.3338888888888896</v>
      </c>
      <c r="E110">
        <v>3.8005555555555599</v>
      </c>
      <c r="F110">
        <v>3.6672222222222199</v>
      </c>
      <c r="H110">
        <v>0</v>
      </c>
      <c r="I110">
        <v>6.29</v>
      </c>
      <c r="J110">
        <v>0</v>
      </c>
      <c r="K110">
        <v>17.54</v>
      </c>
      <c r="L110">
        <v>0</v>
      </c>
      <c r="Q110">
        <v>3.22</v>
      </c>
    </row>
    <row r="111" spans="2:17" x14ac:dyDescent="0.2">
      <c r="B111">
        <v>3.4005555555555556</v>
      </c>
      <c r="C111">
        <v>4.3672222222222201</v>
      </c>
      <c r="E111">
        <v>3.83388888888889</v>
      </c>
      <c r="F111">
        <v>3.7005555555555598</v>
      </c>
      <c r="H111">
        <v>0</v>
      </c>
      <c r="I111">
        <v>6.02</v>
      </c>
      <c r="J111">
        <v>0</v>
      </c>
      <c r="K111">
        <v>16.3</v>
      </c>
      <c r="L111">
        <v>0</v>
      </c>
      <c r="Q111">
        <v>3.22</v>
      </c>
    </row>
    <row r="112" spans="2:17" x14ac:dyDescent="0.2">
      <c r="B112">
        <v>3.4338888888888888</v>
      </c>
      <c r="C112">
        <v>4.4005555555555604</v>
      </c>
      <c r="E112">
        <v>3.8672222222222201</v>
      </c>
      <c r="F112">
        <v>3.7338888888888899</v>
      </c>
      <c r="H112">
        <v>0</v>
      </c>
      <c r="I112">
        <v>5.21</v>
      </c>
      <c r="J112">
        <v>0</v>
      </c>
      <c r="K112">
        <v>15.21</v>
      </c>
      <c r="L112">
        <v>0</v>
      </c>
      <c r="Q112">
        <v>2.94</v>
      </c>
    </row>
    <row r="113" spans="2:17" x14ac:dyDescent="0.2">
      <c r="B113">
        <v>3.467222222222222</v>
      </c>
      <c r="C113">
        <v>4.4338888888888901</v>
      </c>
      <c r="E113">
        <v>3.90055555555556</v>
      </c>
      <c r="F113">
        <v>3.76722222222222</v>
      </c>
      <c r="H113">
        <v>0</v>
      </c>
      <c r="I113">
        <v>4.8099999999999996</v>
      </c>
      <c r="J113">
        <v>0</v>
      </c>
      <c r="K113">
        <v>14.28</v>
      </c>
      <c r="L113">
        <v>0</v>
      </c>
      <c r="Q113">
        <v>2.8</v>
      </c>
    </row>
    <row r="114" spans="2:17" x14ac:dyDescent="0.2">
      <c r="B114">
        <v>3.5005555555555556</v>
      </c>
      <c r="C114">
        <v>4.4672222222222198</v>
      </c>
      <c r="E114">
        <v>3.9338888888888901</v>
      </c>
      <c r="F114">
        <v>3.8005555555555599</v>
      </c>
      <c r="H114">
        <v>0</v>
      </c>
      <c r="I114">
        <v>4</v>
      </c>
      <c r="J114">
        <v>0</v>
      </c>
      <c r="K114">
        <v>13.2</v>
      </c>
      <c r="L114">
        <v>0</v>
      </c>
      <c r="Q114">
        <v>2.8</v>
      </c>
    </row>
    <row r="115" spans="2:17" x14ac:dyDescent="0.2">
      <c r="B115">
        <v>3.5338888888888889</v>
      </c>
      <c r="C115">
        <v>4.5005555555555601</v>
      </c>
      <c r="E115">
        <v>3.9672222222222202</v>
      </c>
      <c r="F115">
        <v>3.83388888888889</v>
      </c>
      <c r="H115">
        <v>0</v>
      </c>
      <c r="I115">
        <v>3.46</v>
      </c>
      <c r="J115">
        <v>0</v>
      </c>
      <c r="K115">
        <v>11.67</v>
      </c>
      <c r="L115">
        <v>0</v>
      </c>
      <c r="Q115">
        <v>2.94</v>
      </c>
    </row>
    <row r="116" spans="2:17" x14ac:dyDescent="0.2">
      <c r="B116">
        <v>3.5672222222222221</v>
      </c>
      <c r="C116">
        <v>4.5338888888888897</v>
      </c>
      <c r="E116">
        <v>4.0005555555555601</v>
      </c>
      <c r="F116">
        <v>3.8672222222222201</v>
      </c>
      <c r="H116">
        <v>0</v>
      </c>
      <c r="I116">
        <v>2.93</v>
      </c>
      <c r="J116">
        <v>0</v>
      </c>
      <c r="K116">
        <v>10.44</v>
      </c>
      <c r="L116">
        <v>0</v>
      </c>
      <c r="Q116">
        <v>2.8</v>
      </c>
    </row>
    <row r="117" spans="2:17" x14ac:dyDescent="0.2">
      <c r="B117">
        <v>3.6005555555555557</v>
      </c>
      <c r="C117">
        <v>4.5672222222222203</v>
      </c>
      <c r="E117">
        <v>4.0338888888888897</v>
      </c>
      <c r="F117">
        <v>3.90055555555556</v>
      </c>
      <c r="H117">
        <v>0</v>
      </c>
      <c r="I117">
        <v>2.5299999999999998</v>
      </c>
      <c r="J117">
        <v>0</v>
      </c>
      <c r="K117">
        <v>9.3699999999999992</v>
      </c>
      <c r="L117">
        <v>0</v>
      </c>
      <c r="Q117">
        <v>2.8</v>
      </c>
    </row>
    <row r="118" spans="2:17" x14ac:dyDescent="0.2">
      <c r="B118">
        <v>3.6338888888888889</v>
      </c>
      <c r="C118">
        <v>4.6008333333333304</v>
      </c>
      <c r="E118">
        <v>4.0672222222222203</v>
      </c>
      <c r="F118">
        <v>3.9338888888888901</v>
      </c>
      <c r="H118">
        <v>0</v>
      </c>
      <c r="I118">
        <v>2.2599999999999998</v>
      </c>
      <c r="J118">
        <v>0</v>
      </c>
      <c r="K118">
        <v>8.3000000000000007</v>
      </c>
      <c r="L118">
        <v>0</v>
      </c>
      <c r="Q118">
        <v>2.8</v>
      </c>
    </row>
    <row r="119" spans="2:17" x14ac:dyDescent="0.2">
      <c r="B119">
        <v>3.6672222222222222</v>
      </c>
      <c r="C119">
        <v>4.6341666666666699</v>
      </c>
      <c r="E119">
        <v>4.1005555555555597</v>
      </c>
      <c r="F119">
        <v>3.9672222222222202</v>
      </c>
      <c r="H119">
        <v>0</v>
      </c>
      <c r="I119">
        <v>1.59</v>
      </c>
      <c r="J119">
        <v>0</v>
      </c>
      <c r="K119">
        <v>7.39</v>
      </c>
      <c r="L119">
        <v>0</v>
      </c>
      <c r="Q119">
        <v>2.66</v>
      </c>
    </row>
    <row r="120" spans="2:17" x14ac:dyDescent="0.2">
      <c r="B120">
        <v>3.7005555555555554</v>
      </c>
      <c r="C120">
        <v>4.6675000000000004</v>
      </c>
      <c r="E120">
        <v>4.1338888888888903</v>
      </c>
      <c r="F120">
        <v>4.0005555555555601</v>
      </c>
      <c r="H120">
        <v>0</v>
      </c>
      <c r="I120">
        <v>0.93</v>
      </c>
      <c r="J120">
        <v>0</v>
      </c>
      <c r="K120">
        <v>6.32</v>
      </c>
      <c r="L120">
        <v>0</v>
      </c>
      <c r="Q120">
        <v>2.8</v>
      </c>
    </row>
    <row r="121" spans="2:17" x14ac:dyDescent="0.2">
      <c r="B121">
        <v>3.733888888888889</v>
      </c>
      <c r="C121">
        <v>4.7008333333333301</v>
      </c>
      <c r="E121">
        <v>4.1672222222222199</v>
      </c>
      <c r="F121">
        <v>4.0338888888888897</v>
      </c>
      <c r="H121">
        <v>0</v>
      </c>
      <c r="I121">
        <v>0.4</v>
      </c>
      <c r="J121">
        <v>0</v>
      </c>
      <c r="K121">
        <v>5.41</v>
      </c>
      <c r="L121">
        <v>0</v>
      </c>
      <c r="Q121">
        <v>2.8</v>
      </c>
    </row>
    <row r="122" spans="2:17" x14ac:dyDescent="0.2">
      <c r="B122">
        <v>3.7672222222222222</v>
      </c>
      <c r="C122">
        <v>4.7341666666666704</v>
      </c>
      <c r="E122">
        <v>4.2005555555555603</v>
      </c>
      <c r="F122">
        <v>4.0672222222222203</v>
      </c>
      <c r="H122">
        <v>0</v>
      </c>
      <c r="I122">
        <v>0</v>
      </c>
      <c r="J122">
        <v>0</v>
      </c>
      <c r="K122">
        <v>4.2</v>
      </c>
      <c r="L122">
        <v>0</v>
      </c>
      <c r="Q122">
        <v>2.66</v>
      </c>
    </row>
    <row r="123" spans="2:17" x14ac:dyDescent="0.2">
      <c r="B123">
        <v>3.8005555555555555</v>
      </c>
      <c r="C123">
        <v>4.7675000000000001</v>
      </c>
      <c r="E123">
        <v>4.2338888888888899</v>
      </c>
      <c r="F123">
        <v>4.1005555555555597</v>
      </c>
      <c r="H123">
        <v>0</v>
      </c>
      <c r="I123">
        <v>0</v>
      </c>
      <c r="J123">
        <v>0</v>
      </c>
      <c r="K123">
        <v>3.15</v>
      </c>
      <c r="L123">
        <v>0</v>
      </c>
      <c r="Q123">
        <v>2.66</v>
      </c>
    </row>
    <row r="124" spans="2:17" x14ac:dyDescent="0.2">
      <c r="B124">
        <v>3.8338888888888887</v>
      </c>
      <c r="C124">
        <v>4.8008333333333297</v>
      </c>
      <c r="E124">
        <v>4.2672222222222196</v>
      </c>
      <c r="F124">
        <v>4.1338888888888903</v>
      </c>
      <c r="H124">
        <v>0</v>
      </c>
      <c r="I124">
        <v>0</v>
      </c>
      <c r="J124">
        <v>0</v>
      </c>
      <c r="K124">
        <v>2.25</v>
      </c>
      <c r="L124">
        <v>0</v>
      </c>
      <c r="Q124">
        <v>2.52</v>
      </c>
    </row>
    <row r="125" spans="2:17" x14ac:dyDescent="0.2">
      <c r="B125">
        <v>3.8672222222222223</v>
      </c>
      <c r="C125">
        <v>4.8341666666666701</v>
      </c>
      <c r="E125">
        <v>4.3005555555555599</v>
      </c>
      <c r="F125">
        <v>4.1672222222222199</v>
      </c>
      <c r="H125">
        <v>0</v>
      </c>
      <c r="I125">
        <v>0</v>
      </c>
      <c r="J125">
        <v>0</v>
      </c>
      <c r="K125">
        <v>1.05</v>
      </c>
      <c r="L125">
        <v>0</v>
      </c>
      <c r="Q125">
        <v>2.8</v>
      </c>
    </row>
    <row r="126" spans="2:17" x14ac:dyDescent="0.2">
      <c r="B126">
        <v>3.9005555555555556</v>
      </c>
      <c r="C126">
        <v>4.8674999999999997</v>
      </c>
      <c r="E126">
        <v>4.3338888888888896</v>
      </c>
      <c r="F126">
        <v>4.2005555555555603</v>
      </c>
      <c r="H126">
        <v>0</v>
      </c>
      <c r="I126">
        <v>0</v>
      </c>
      <c r="J126">
        <v>0</v>
      </c>
      <c r="K126">
        <v>0</v>
      </c>
      <c r="L126">
        <v>0</v>
      </c>
      <c r="Q126">
        <v>2.52</v>
      </c>
    </row>
    <row r="127" spans="2:17" x14ac:dyDescent="0.2">
      <c r="B127">
        <v>3.9338888888888888</v>
      </c>
      <c r="C127">
        <v>4.9008333333333303</v>
      </c>
      <c r="E127">
        <v>4.3672222222222201</v>
      </c>
      <c r="F127">
        <v>4.2338888888888899</v>
      </c>
      <c r="H127">
        <v>0</v>
      </c>
      <c r="I127">
        <v>0</v>
      </c>
      <c r="J127">
        <v>0</v>
      </c>
      <c r="K127">
        <v>0</v>
      </c>
      <c r="L127">
        <v>0</v>
      </c>
      <c r="Q127">
        <v>2.52</v>
      </c>
    </row>
    <row r="128" spans="2:17" x14ac:dyDescent="0.2">
      <c r="B128">
        <v>3.967222222222222</v>
      </c>
      <c r="C128">
        <v>4.9341666666666697</v>
      </c>
      <c r="E128">
        <v>4.4005555555555604</v>
      </c>
      <c r="F128">
        <v>4.2672222222222196</v>
      </c>
      <c r="H128">
        <v>0</v>
      </c>
      <c r="I128">
        <v>0</v>
      </c>
      <c r="J128">
        <v>0</v>
      </c>
      <c r="K128">
        <v>0</v>
      </c>
      <c r="L128">
        <v>0</v>
      </c>
      <c r="Q128">
        <v>2.66</v>
      </c>
    </row>
    <row r="129" spans="2:17" x14ac:dyDescent="0.2">
      <c r="B129">
        <v>4.0005555555555556</v>
      </c>
      <c r="C129">
        <v>4.9675000000000002</v>
      </c>
      <c r="E129">
        <v>4.4338888888888901</v>
      </c>
      <c r="F129">
        <v>4.3005555555555599</v>
      </c>
      <c r="H129">
        <v>0</v>
      </c>
      <c r="I129">
        <v>0</v>
      </c>
      <c r="J129">
        <v>0</v>
      </c>
      <c r="K129">
        <v>0</v>
      </c>
      <c r="L129">
        <v>0</v>
      </c>
      <c r="Q129">
        <v>2.66</v>
      </c>
    </row>
    <row r="130" spans="2:17" x14ac:dyDescent="0.2">
      <c r="B130">
        <v>4.0338888888888889</v>
      </c>
      <c r="C130">
        <v>5.0008333333333299</v>
      </c>
      <c r="E130">
        <v>4.4672222222222198</v>
      </c>
      <c r="F130">
        <v>4.3338888888888896</v>
      </c>
      <c r="H130">
        <v>0</v>
      </c>
      <c r="I130">
        <v>0</v>
      </c>
      <c r="J130">
        <v>0</v>
      </c>
      <c r="K130">
        <v>0</v>
      </c>
      <c r="L130">
        <v>0</v>
      </c>
      <c r="Q130">
        <v>2.52</v>
      </c>
    </row>
    <row r="131" spans="2:17" x14ac:dyDescent="0.2">
      <c r="B131">
        <v>4.0672222222222221</v>
      </c>
      <c r="C131">
        <v>5.0341666666666702</v>
      </c>
      <c r="E131">
        <v>4.5005555555555601</v>
      </c>
      <c r="F131">
        <v>4.3672222222222201</v>
      </c>
      <c r="H131">
        <v>0</v>
      </c>
      <c r="I131">
        <v>0</v>
      </c>
      <c r="J131">
        <v>0</v>
      </c>
      <c r="K131">
        <v>0</v>
      </c>
      <c r="L131">
        <v>0</v>
      </c>
      <c r="Q131">
        <v>2.66</v>
      </c>
    </row>
    <row r="132" spans="2:17" x14ac:dyDescent="0.2">
      <c r="B132">
        <v>4.1005555555555553</v>
      </c>
      <c r="C132">
        <v>5.0674999999999999</v>
      </c>
      <c r="E132">
        <v>4.5338888888888897</v>
      </c>
      <c r="F132">
        <v>4.4005555555555604</v>
      </c>
      <c r="H132">
        <v>0</v>
      </c>
      <c r="I132">
        <v>0</v>
      </c>
      <c r="J132">
        <v>0</v>
      </c>
      <c r="K132">
        <v>0</v>
      </c>
      <c r="L132">
        <v>0</v>
      </c>
      <c r="Q132">
        <v>2.52</v>
      </c>
    </row>
    <row r="133" spans="2:17" x14ac:dyDescent="0.2">
      <c r="B133">
        <v>4.1338888888888885</v>
      </c>
      <c r="C133">
        <v>5.1008333333333304</v>
      </c>
      <c r="E133">
        <v>4.5672222222222203</v>
      </c>
      <c r="F133">
        <v>4.4338888888888901</v>
      </c>
      <c r="H133">
        <v>0</v>
      </c>
      <c r="I133">
        <v>0</v>
      </c>
      <c r="J133">
        <v>0</v>
      </c>
      <c r="K133">
        <v>0</v>
      </c>
      <c r="L133">
        <v>0</v>
      </c>
      <c r="Q133">
        <v>2.66</v>
      </c>
    </row>
    <row r="134" spans="2:17" x14ac:dyDescent="0.2">
      <c r="B134">
        <v>4.1672222222222226</v>
      </c>
      <c r="C134">
        <v>5.1341666666666699</v>
      </c>
      <c r="E134">
        <v>4.6008333333333304</v>
      </c>
      <c r="F134">
        <v>4.4672222222222198</v>
      </c>
      <c r="H134">
        <v>0</v>
      </c>
      <c r="I134">
        <v>0</v>
      </c>
      <c r="J134">
        <v>0</v>
      </c>
      <c r="K134">
        <v>0</v>
      </c>
      <c r="L134">
        <v>0</v>
      </c>
      <c r="Q134">
        <v>2.66</v>
      </c>
    </row>
    <row r="135" spans="2:17" x14ac:dyDescent="0.2">
      <c r="B135">
        <v>4.2005555555555558</v>
      </c>
      <c r="C135">
        <v>5.1675000000000004</v>
      </c>
      <c r="E135">
        <v>4.6341666666666699</v>
      </c>
      <c r="F135">
        <v>4.5005555555555601</v>
      </c>
      <c r="H135">
        <v>0</v>
      </c>
      <c r="I135">
        <v>0</v>
      </c>
      <c r="J135">
        <v>0</v>
      </c>
      <c r="K135">
        <v>0</v>
      </c>
      <c r="L135">
        <v>0</v>
      </c>
      <c r="Q135">
        <v>2.66</v>
      </c>
    </row>
    <row r="136" spans="2:17" x14ac:dyDescent="0.2">
      <c r="B136">
        <v>4.233888888888889</v>
      </c>
      <c r="C136">
        <v>5.2008333333333301</v>
      </c>
      <c r="E136">
        <v>4.6675000000000004</v>
      </c>
      <c r="F136">
        <v>4.5338888888888897</v>
      </c>
      <c r="H136">
        <v>0</v>
      </c>
      <c r="I136">
        <v>0</v>
      </c>
      <c r="J136">
        <v>0</v>
      </c>
      <c r="K136">
        <v>0</v>
      </c>
      <c r="L136">
        <v>0</v>
      </c>
      <c r="Q136">
        <v>2.66</v>
      </c>
    </row>
    <row r="137" spans="2:17" x14ac:dyDescent="0.2">
      <c r="B137">
        <v>4.2672222222222222</v>
      </c>
      <c r="C137">
        <v>5.2341666666666704</v>
      </c>
      <c r="E137">
        <v>4.7008333333333301</v>
      </c>
      <c r="F137">
        <v>4.5672222222222203</v>
      </c>
      <c r="K137">
        <v>0</v>
      </c>
      <c r="L137">
        <v>0</v>
      </c>
      <c r="Q137">
        <v>2.66</v>
      </c>
    </row>
    <row r="138" spans="2:17" x14ac:dyDescent="0.2">
      <c r="B138">
        <v>4.3005555555555564</v>
      </c>
      <c r="C138">
        <v>5.2675000000000001</v>
      </c>
      <c r="E138">
        <v>4.7341666666666704</v>
      </c>
      <c r="F138">
        <v>4.6008333333333304</v>
      </c>
      <c r="K138">
        <v>0</v>
      </c>
      <c r="L138">
        <v>0</v>
      </c>
      <c r="Q138">
        <v>2.66</v>
      </c>
    </row>
    <row r="139" spans="2:17" x14ac:dyDescent="0.2">
      <c r="B139">
        <v>4.3338888888888896</v>
      </c>
      <c r="C139">
        <v>5.3008333333333297</v>
      </c>
      <c r="E139">
        <v>4.7675000000000001</v>
      </c>
      <c r="F139">
        <v>4.6341666666666699</v>
      </c>
      <c r="K139">
        <v>0</v>
      </c>
      <c r="L139">
        <v>0</v>
      </c>
      <c r="Q139">
        <v>2.66</v>
      </c>
    </row>
    <row r="140" spans="2:17" x14ac:dyDescent="0.2">
      <c r="B140">
        <v>4.3672222222222228</v>
      </c>
      <c r="C140">
        <v>5.3341666666666701</v>
      </c>
      <c r="E140">
        <v>4.8008333333333297</v>
      </c>
      <c r="F140">
        <v>4.6675000000000004</v>
      </c>
      <c r="K140">
        <v>0</v>
      </c>
      <c r="L140">
        <v>0</v>
      </c>
      <c r="Q140">
        <v>2.8</v>
      </c>
    </row>
    <row r="141" spans="2:17" x14ac:dyDescent="0.2">
      <c r="B141">
        <v>4.400555555555556</v>
      </c>
      <c r="C141">
        <v>5.3674999999999997</v>
      </c>
      <c r="E141">
        <v>4.8341666666666701</v>
      </c>
      <c r="F141">
        <v>4.7008333333333301</v>
      </c>
      <c r="K141">
        <v>0</v>
      </c>
      <c r="L141">
        <v>0</v>
      </c>
      <c r="Q141">
        <v>2.94</v>
      </c>
    </row>
    <row r="142" spans="2:17" x14ac:dyDescent="0.2">
      <c r="B142">
        <v>4.4338888888888892</v>
      </c>
      <c r="C142">
        <v>5.4008333333333303</v>
      </c>
      <c r="E142">
        <v>4.8674999999999997</v>
      </c>
      <c r="F142">
        <v>4.7341666666666704</v>
      </c>
      <c r="K142">
        <v>0</v>
      </c>
      <c r="L142">
        <v>0</v>
      </c>
      <c r="Q142">
        <v>2.66</v>
      </c>
    </row>
    <row r="143" spans="2:17" x14ac:dyDescent="0.2">
      <c r="B143">
        <v>4.4672222222222224</v>
      </c>
      <c r="C143">
        <v>5.4341666666666697</v>
      </c>
      <c r="E143">
        <v>4.9008333333333303</v>
      </c>
      <c r="F143">
        <v>4.7675000000000001</v>
      </c>
      <c r="K143">
        <v>0</v>
      </c>
      <c r="L143">
        <v>0</v>
      </c>
      <c r="Q143">
        <v>2.66</v>
      </c>
    </row>
    <row r="144" spans="2:17" x14ac:dyDescent="0.2">
      <c r="B144">
        <v>4.5005555555555556</v>
      </c>
      <c r="C144">
        <v>5.4675000000000002</v>
      </c>
      <c r="E144">
        <v>4.9341666666666697</v>
      </c>
      <c r="F144">
        <v>4.8008333333333297</v>
      </c>
      <c r="K144">
        <v>0</v>
      </c>
      <c r="L144">
        <v>0</v>
      </c>
      <c r="Q144">
        <v>2.8</v>
      </c>
    </row>
    <row r="145" spans="2:17" x14ac:dyDescent="0.2">
      <c r="B145">
        <v>4.5338888888888897</v>
      </c>
      <c r="C145">
        <v>5.5008333333333299</v>
      </c>
      <c r="E145">
        <v>4.9675000000000002</v>
      </c>
      <c r="F145">
        <v>4.8341666666666701</v>
      </c>
      <c r="K145">
        <v>0</v>
      </c>
      <c r="L145">
        <v>0</v>
      </c>
      <c r="Q145">
        <v>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ALL SPECIES</vt:lpstr>
      <vt:lpstr>Styela plicata</vt:lpstr>
      <vt:lpstr>Styela clava</vt:lpstr>
      <vt:lpstr>Ciona intestinalis</vt:lpstr>
      <vt:lpstr>Pyura dalbyi</vt:lpstr>
      <vt:lpstr>Pyura doppelgangera</vt:lpstr>
      <vt:lpstr>Herdmania grandis</vt:lpstr>
      <vt:lpstr>Botrylloides magnicoecum </vt:lpstr>
      <vt:lpstr>Bugula dentata </vt:lpstr>
      <vt:lpstr>Bugula neritina</vt:lpstr>
      <vt:lpstr>Bugula flabelata</vt:lpstr>
      <vt:lpstr>Watersipora subtorquata</vt:lpstr>
      <vt:lpstr>Didemnum sp</vt:lpstr>
      <vt:lpstr>Celleporaria sp</vt:lpstr>
      <vt:lpstr>Diplosoma sp</vt:lpstr>
    </vt:vector>
  </TitlesOfParts>
  <Company>Monash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Lagos</dc:creator>
  <cp:lastModifiedBy>Microsoft Office User</cp:lastModifiedBy>
  <dcterms:created xsi:type="dcterms:W3CDTF">2015-10-12T01:16:03Z</dcterms:created>
  <dcterms:modified xsi:type="dcterms:W3CDTF">2017-05-09T18:50:30Z</dcterms:modified>
</cp:coreProperties>
</file>