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mzimmerman\Desktop\Manuscripts\Temp-Age\"/>
    </mc:Choice>
  </mc:AlternateContent>
  <bookViews>
    <workbookView xWindow="0" yWindow="0" windowWidth="24000" windowHeight="9735" activeTab="1"/>
  </bookViews>
  <sheets>
    <sheet name="Sheet1" sheetId="1" r:id="rId1"/>
    <sheet name="Sheet2" sheetId="5" r:id="rId2"/>
  </sheets>
  <calcPr calcId="152511"/>
</workbook>
</file>

<file path=xl/calcChain.xml><?xml version="1.0" encoding="utf-8"?>
<calcChain xmlns="http://schemas.openxmlformats.org/spreadsheetml/2006/main">
  <c r="L47" i="1" l="1"/>
  <c r="L51" i="1"/>
  <c r="L58" i="1"/>
  <c r="L72" i="1"/>
  <c r="L77" i="1"/>
  <c r="L9" i="1"/>
  <c r="L19" i="1"/>
  <c r="L27" i="1"/>
  <c r="L29" i="1"/>
  <c r="L31" i="1"/>
  <c r="L41" i="1"/>
  <c r="L48" i="1"/>
  <c r="L66" i="1"/>
  <c r="L70" i="1"/>
  <c r="L23" i="1"/>
  <c r="L24" i="1"/>
  <c r="L42" i="1"/>
  <c r="L52" i="1"/>
  <c r="L56" i="1"/>
  <c r="L61" i="1"/>
  <c r="L10" i="1"/>
  <c r="L28" i="1"/>
  <c r="L37" i="1"/>
  <c r="L59" i="1"/>
  <c r="L73" i="1"/>
  <c r="L74" i="1"/>
  <c r="L76" i="1"/>
  <c r="L78" i="1"/>
  <c r="L7" i="1"/>
  <c r="L11" i="1"/>
  <c r="L35" i="1"/>
  <c r="L36" i="1"/>
  <c r="L38" i="1"/>
  <c r="L40" i="1"/>
  <c r="L50" i="1"/>
  <c r="L65" i="1"/>
  <c r="L67" i="1"/>
  <c r="L69" i="1"/>
  <c r="L71" i="1"/>
  <c r="L2" i="1"/>
  <c r="L3" i="1"/>
  <c r="L12" i="1"/>
  <c r="L17" i="1"/>
  <c r="L33" i="1"/>
  <c r="L43" i="1"/>
  <c r="L53" i="1"/>
  <c r="L55" i="1"/>
  <c r="L64" i="1"/>
  <c r="L68" i="1"/>
  <c r="L4" i="1"/>
  <c r="L18" i="1"/>
  <c r="L22" i="1"/>
  <c r="L30" i="1"/>
  <c r="L32" i="1"/>
  <c r="L44" i="1"/>
  <c r="L45" i="1"/>
  <c r="L49" i="1"/>
  <c r="L54" i="1"/>
  <c r="L57" i="1"/>
  <c r="L75" i="1"/>
  <c r="L5" i="1"/>
  <c r="L8" i="1"/>
  <c r="L15" i="1"/>
  <c r="L16" i="1"/>
  <c r="L20" i="1"/>
  <c r="L25" i="1"/>
  <c r="L46" i="1"/>
  <c r="L6" i="1"/>
  <c r="L13" i="1"/>
  <c r="L21" i="1"/>
  <c r="L26" i="1"/>
  <c r="L34" i="1"/>
  <c r="L39" i="1"/>
  <c r="L60" i="1"/>
  <c r="L62" i="1"/>
  <c r="L63" i="1"/>
  <c r="L14" i="1"/>
  <c r="M72" i="1" l="1"/>
  <c r="M58" i="1"/>
  <c r="M47" i="1"/>
  <c r="M14" i="1"/>
  <c r="M77" i="1"/>
  <c r="M66" i="1"/>
  <c r="M70" i="1"/>
  <c r="M27" i="1"/>
  <c r="M19" i="1"/>
  <c r="M41" i="1"/>
  <c r="M29" i="1"/>
  <c r="M48" i="1"/>
  <c r="M9" i="1"/>
  <c r="M31" i="1"/>
  <c r="M42" i="1"/>
  <c r="M61" i="1"/>
  <c r="M56" i="1"/>
  <c r="M52" i="1"/>
  <c r="M23" i="1"/>
  <c r="M24" i="1"/>
  <c r="M37" i="1"/>
  <c r="M59" i="1"/>
  <c r="M76" i="1"/>
  <c r="M73" i="1"/>
  <c r="M78" i="1"/>
  <c r="M10" i="1"/>
  <c r="M74" i="1"/>
  <c r="M28" i="1"/>
  <c r="M71" i="1"/>
  <c r="M40" i="1"/>
  <c r="M7" i="1"/>
  <c r="M11" i="1"/>
  <c r="M50" i="1"/>
  <c r="M35" i="1"/>
  <c r="M69" i="1"/>
  <c r="M36" i="1"/>
  <c r="M67" i="1"/>
  <c r="M38" i="1"/>
  <c r="M65" i="1"/>
  <c r="M55" i="1"/>
  <c r="M12" i="1"/>
  <c r="M64" i="1"/>
  <c r="M2" i="1"/>
  <c r="M33" i="1"/>
  <c r="M53" i="1"/>
  <c r="M68" i="1"/>
  <c r="M43" i="1"/>
  <c r="M17" i="1"/>
  <c r="M3" i="1"/>
  <c r="M32" i="1"/>
  <c r="M30" i="1"/>
  <c r="M57" i="1"/>
  <c r="M75" i="1"/>
  <c r="M49" i="1"/>
  <c r="M54" i="1"/>
  <c r="M44" i="1"/>
  <c r="M45" i="1"/>
  <c r="M22" i="1"/>
  <c r="M4" i="1"/>
  <c r="M18" i="1"/>
  <c r="M8" i="1"/>
  <c r="M25" i="1"/>
  <c r="M20" i="1"/>
  <c r="M15" i="1"/>
  <c r="M5" i="1"/>
  <c r="M16" i="1"/>
  <c r="M46" i="1"/>
  <c r="M39" i="1"/>
  <c r="M34" i="1"/>
  <c r="M13" i="1"/>
  <c r="M62" i="1"/>
  <c r="M6" i="1"/>
  <c r="M21" i="1"/>
  <c r="M26" i="1"/>
  <c r="M63" i="1"/>
  <c r="M60" i="1"/>
  <c r="M51" i="1"/>
</calcChain>
</file>

<file path=xl/sharedStrings.xml><?xml version="1.0" encoding="utf-8"?>
<sst xmlns="http://schemas.openxmlformats.org/spreadsheetml/2006/main" count="42" uniqueCount="18">
  <si>
    <t>Date</t>
  </si>
  <si>
    <t>Day #</t>
  </si>
  <si>
    <t>Temp</t>
  </si>
  <si>
    <t>Turtle</t>
  </si>
  <si>
    <t>PL</t>
  </si>
  <si>
    <t>UL</t>
  </si>
  <si>
    <t>UR</t>
  </si>
  <si>
    <t>LL</t>
  </si>
  <si>
    <t>LR</t>
  </si>
  <si>
    <t>Cells</t>
  </si>
  <si>
    <t>File #</t>
  </si>
  <si>
    <t>UR/UL</t>
  </si>
  <si>
    <t>UR/LR</t>
  </si>
  <si>
    <t>Stim spots Avg</t>
  </si>
  <si>
    <t>Stim Size Avg</t>
  </si>
  <si>
    <t>Unstim spots Avg</t>
  </si>
  <si>
    <t>Unstim Size Avg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</si>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</sst>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2" max="2" width="9.140625" style="3" hidden="1" customWidth="1"/>
    <col min="3" max="4" width="9.140625" customWidth="1"/>
    <col min="12" max="12" width="13.28515625" bestFit="1" customWidth="1"/>
  </cols>
  <sheetData>
    <row r="1" spans="1:13" x14ac:dyDescent="0.25">
      <c r="A1" t="s">
        <v>0</v>
      </c>
      <c r="B1" s="3" t="s">
        <v>10</v>
      </c>
      <c r="C1" s="1" t="s">
        <v>1</v>
      </c>
      <c r="D1" t="s">
        <v>2</v>
      </c>
      <c r="E1" t="s">
        <v>3</v>
      </c>
      <c r="F1" t="s">
        <v>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</row>
    <row r="2" spans="1:13" x14ac:dyDescent="0.25">
      <c r="A2" s="2">
        <v>41438</v>
      </c>
      <c r="B2" s="3">
        <v>4</v>
      </c>
      <c r="C2">
        <v>28</v>
      </c>
      <c r="D2">
        <v>29</v>
      </c>
      <c r="E2">
        <v>838</v>
      </c>
      <c r="F2">
        <v>6</v>
      </c>
      <c r="G2">
        <v>241</v>
      </c>
      <c r="H2">
        <v>3.58</v>
      </c>
      <c r="I2">
        <v>1.74</v>
      </c>
      <c r="J2">
        <v>52.69</v>
      </c>
      <c r="K2">
        <v>41.98</v>
      </c>
      <c r="L2">
        <f>(I2/(H2+I2))*100</f>
        <v>32.70676691729323</v>
      </c>
      <c r="M2">
        <f>I2/K2+I2</f>
        <v>1.7814483087184374</v>
      </c>
    </row>
    <row r="3" spans="1:13" x14ac:dyDescent="0.25">
      <c r="A3" s="2">
        <v>41438</v>
      </c>
      <c r="B3" s="3">
        <v>10</v>
      </c>
      <c r="C3">
        <v>28</v>
      </c>
      <c r="D3">
        <v>29</v>
      </c>
      <c r="E3">
        <v>203</v>
      </c>
      <c r="F3">
        <v>6</v>
      </c>
      <c r="G3">
        <v>211</v>
      </c>
      <c r="H3">
        <v>3.58</v>
      </c>
      <c r="I3">
        <v>1.25</v>
      </c>
      <c r="J3">
        <v>84.67</v>
      </c>
      <c r="K3">
        <v>10.5</v>
      </c>
      <c r="L3">
        <f>(I3/(H3+I3))*100</f>
        <v>25.879917184265011</v>
      </c>
      <c r="M3">
        <f>I3/K3+I3</f>
        <v>1.3690476190476191</v>
      </c>
    </row>
    <row r="4" spans="1:13" x14ac:dyDescent="0.25">
      <c r="A4" s="2">
        <v>41439</v>
      </c>
      <c r="B4" s="3">
        <v>11</v>
      </c>
      <c r="C4">
        <v>29</v>
      </c>
      <c r="D4">
        <v>37</v>
      </c>
      <c r="E4">
        <v>401</v>
      </c>
      <c r="F4">
        <v>6</v>
      </c>
      <c r="G4">
        <v>180</v>
      </c>
      <c r="H4">
        <v>0.35</v>
      </c>
      <c r="I4">
        <v>0.27</v>
      </c>
      <c r="J4">
        <v>86.3</v>
      </c>
      <c r="K4">
        <v>13.08</v>
      </c>
      <c r="L4">
        <f>(I4/(H4+I4))*100</f>
        <v>43.548387096774199</v>
      </c>
      <c r="M4">
        <f>I4/K4+I4</f>
        <v>0.29064220183486239</v>
      </c>
    </row>
    <row r="5" spans="1:13" x14ac:dyDescent="0.25">
      <c r="A5" s="2">
        <v>41441</v>
      </c>
      <c r="B5" s="3">
        <v>5</v>
      </c>
      <c r="C5">
        <v>31</v>
      </c>
      <c r="D5">
        <v>25</v>
      </c>
      <c r="E5">
        <v>1091</v>
      </c>
      <c r="F5">
        <v>6</v>
      </c>
      <c r="G5">
        <v>197</v>
      </c>
      <c r="H5">
        <v>4.3600000000000003</v>
      </c>
      <c r="I5">
        <v>1.02</v>
      </c>
      <c r="J5">
        <v>89.11</v>
      </c>
      <c r="K5">
        <v>5.51</v>
      </c>
      <c r="L5">
        <f>(I5/(H5+I5))*100</f>
        <v>18.959107806691446</v>
      </c>
      <c r="M5">
        <f>I5/K5+I5</f>
        <v>1.2051179673321235</v>
      </c>
    </row>
    <row r="6" spans="1:13" x14ac:dyDescent="0.25">
      <c r="A6" s="2">
        <v>41442</v>
      </c>
      <c r="B6" s="3">
        <v>5</v>
      </c>
      <c r="C6">
        <v>32</v>
      </c>
      <c r="D6">
        <v>33</v>
      </c>
      <c r="E6">
        <v>1301</v>
      </c>
      <c r="F6">
        <v>6</v>
      </c>
      <c r="G6">
        <v>216</v>
      </c>
      <c r="H6">
        <v>2.7</v>
      </c>
      <c r="I6">
        <v>1.46</v>
      </c>
      <c r="J6">
        <v>84.12</v>
      </c>
      <c r="K6">
        <v>11.73</v>
      </c>
      <c r="L6">
        <f>(I6/(H6+I6))*100</f>
        <v>35.096153846153847</v>
      </c>
      <c r="M6">
        <f>I6/K6+I6</f>
        <v>1.5844671781756181</v>
      </c>
    </row>
    <row r="7" spans="1:13" x14ac:dyDescent="0.25">
      <c r="A7" s="2">
        <v>41437</v>
      </c>
      <c r="B7" s="3">
        <v>3</v>
      </c>
      <c r="C7">
        <v>27</v>
      </c>
      <c r="D7">
        <v>27</v>
      </c>
      <c r="E7">
        <v>484</v>
      </c>
      <c r="F7">
        <v>7</v>
      </c>
      <c r="G7">
        <v>226</v>
      </c>
      <c r="H7">
        <v>2.65</v>
      </c>
      <c r="I7">
        <v>1.06</v>
      </c>
      <c r="J7">
        <v>75.5</v>
      </c>
      <c r="K7">
        <v>20.78</v>
      </c>
      <c r="L7">
        <f>(I7/(H7+I7))*100</f>
        <v>28.571428571428577</v>
      </c>
      <c r="M7">
        <f>I7/K7+I7</f>
        <v>1.1110105871029836</v>
      </c>
    </row>
    <row r="8" spans="1:13" x14ac:dyDescent="0.25">
      <c r="A8" s="2">
        <v>41441</v>
      </c>
      <c r="B8" s="3">
        <v>1</v>
      </c>
      <c r="C8">
        <v>31</v>
      </c>
      <c r="D8">
        <v>25</v>
      </c>
      <c r="E8">
        <v>1289</v>
      </c>
      <c r="F8">
        <v>7</v>
      </c>
      <c r="G8">
        <v>205</v>
      </c>
      <c r="H8">
        <v>4.62</v>
      </c>
      <c r="I8">
        <v>0.85</v>
      </c>
      <c r="J8">
        <v>89.79</v>
      </c>
      <c r="K8">
        <v>4.7300000000000004</v>
      </c>
      <c r="L8">
        <f>(I8/(H8+I8))*100</f>
        <v>15.53930530164534</v>
      </c>
      <c r="M8">
        <f>I8/K8+I8</f>
        <v>1.0297040169133191</v>
      </c>
    </row>
    <row r="9" spans="1:13" x14ac:dyDescent="0.25">
      <c r="A9" s="2">
        <v>41416</v>
      </c>
      <c r="B9" s="3">
        <v>10</v>
      </c>
      <c r="C9">
        <v>6</v>
      </c>
      <c r="D9">
        <v>29</v>
      </c>
      <c r="E9">
        <v>1239</v>
      </c>
      <c r="F9">
        <v>8</v>
      </c>
      <c r="G9">
        <v>189</v>
      </c>
      <c r="H9">
        <v>2.1</v>
      </c>
      <c r="I9">
        <v>0.36</v>
      </c>
      <c r="J9">
        <v>87.49</v>
      </c>
      <c r="K9">
        <v>10.050000000000001</v>
      </c>
      <c r="L9">
        <f>(I9/(H9+I9))*100</f>
        <v>14.634146341463413</v>
      </c>
      <c r="M9">
        <f>I9/K9+I9</f>
        <v>0.39582089552238803</v>
      </c>
    </row>
    <row r="10" spans="1:13" x14ac:dyDescent="0.25">
      <c r="A10" s="2">
        <v>41435</v>
      </c>
      <c r="B10" s="3">
        <v>8</v>
      </c>
      <c r="C10">
        <v>25</v>
      </c>
      <c r="D10">
        <v>33</v>
      </c>
      <c r="E10">
        <v>1274</v>
      </c>
      <c r="F10">
        <v>8</v>
      </c>
      <c r="G10">
        <v>221</v>
      </c>
      <c r="H10">
        <v>11.86</v>
      </c>
      <c r="I10">
        <v>2.69</v>
      </c>
      <c r="J10">
        <v>72.62</v>
      </c>
      <c r="K10">
        <v>12.83</v>
      </c>
      <c r="L10">
        <f>(I10/(H10+I10))*100</f>
        <v>18.487972508591067</v>
      </c>
      <c r="M10">
        <f>I10/K10+I10</f>
        <v>2.8996648480124705</v>
      </c>
    </row>
    <row r="11" spans="1:13" x14ac:dyDescent="0.25">
      <c r="A11" s="2">
        <v>41437</v>
      </c>
      <c r="B11" s="3">
        <v>4</v>
      </c>
      <c r="C11">
        <v>27</v>
      </c>
      <c r="D11">
        <v>27</v>
      </c>
      <c r="E11">
        <v>1279</v>
      </c>
      <c r="F11">
        <v>8</v>
      </c>
      <c r="G11">
        <v>180</v>
      </c>
      <c r="H11">
        <v>1.22</v>
      </c>
      <c r="I11">
        <v>0.55000000000000004</v>
      </c>
      <c r="J11">
        <v>81.040000000000006</v>
      </c>
      <c r="K11">
        <v>17.190000000000001</v>
      </c>
      <c r="L11">
        <f>(I11/(H11+I11))*100</f>
        <v>31.073446327683619</v>
      </c>
      <c r="M11">
        <f>I11/K11+I11</f>
        <v>0.58199534613147186</v>
      </c>
    </row>
    <row r="12" spans="1:13" x14ac:dyDescent="0.25">
      <c r="A12" s="2">
        <v>41438</v>
      </c>
      <c r="B12" s="3">
        <v>2</v>
      </c>
      <c r="C12">
        <v>28</v>
      </c>
      <c r="D12">
        <v>29</v>
      </c>
      <c r="E12">
        <v>1215</v>
      </c>
      <c r="F12">
        <v>8</v>
      </c>
      <c r="G12">
        <v>221</v>
      </c>
      <c r="H12">
        <v>13.31</v>
      </c>
      <c r="I12">
        <v>1.4</v>
      </c>
      <c r="J12">
        <v>77.38</v>
      </c>
      <c r="K12">
        <v>7.92</v>
      </c>
      <c r="L12">
        <f>(I12/(H12+I12))*100</f>
        <v>9.5173351461590734</v>
      </c>
      <c r="M12">
        <f>I12/K12+I12</f>
        <v>1.5767676767676766</v>
      </c>
    </row>
    <row r="13" spans="1:13" x14ac:dyDescent="0.25">
      <c r="A13" s="2">
        <v>41442</v>
      </c>
      <c r="B13" s="3">
        <v>3</v>
      </c>
      <c r="C13">
        <v>32</v>
      </c>
      <c r="D13">
        <v>33</v>
      </c>
      <c r="E13">
        <v>420</v>
      </c>
      <c r="F13">
        <v>8</v>
      </c>
      <c r="G13">
        <v>199</v>
      </c>
      <c r="H13">
        <v>2.56</v>
      </c>
      <c r="I13">
        <v>0.62</v>
      </c>
      <c r="J13">
        <v>81.56</v>
      </c>
      <c r="K13">
        <v>15.26</v>
      </c>
      <c r="L13">
        <f>(I13/(H13+I13))*100</f>
        <v>19.49685534591195</v>
      </c>
      <c r="M13">
        <f>I13/K13+I13</f>
        <v>0.66062909567496719</v>
      </c>
    </row>
    <row r="14" spans="1:13" x14ac:dyDescent="0.25">
      <c r="A14" s="2">
        <v>41414</v>
      </c>
      <c r="B14" s="3">
        <v>6</v>
      </c>
      <c r="C14">
        <v>4</v>
      </c>
      <c r="D14">
        <v>27</v>
      </c>
      <c r="E14">
        <v>1235</v>
      </c>
      <c r="F14">
        <v>9</v>
      </c>
      <c r="G14">
        <v>191</v>
      </c>
      <c r="H14">
        <v>5.73</v>
      </c>
      <c r="I14">
        <v>1.02</v>
      </c>
      <c r="J14">
        <v>73.400000000000006</v>
      </c>
      <c r="K14">
        <v>19.84</v>
      </c>
      <c r="L14">
        <f>(I14/(H14+I14))*100</f>
        <v>15.111111111111111</v>
      </c>
      <c r="M14">
        <f>I14/K14+I14</f>
        <v>1.0714112903225808</v>
      </c>
    </row>
    <row r="15" spans="1:13" x14ac:dyDescent="0.25">
      <c r="A15" s="2">
        <v>41441</v>
      </c>
      <c r="B15" s="3">
        <v>4</v>
      </c>
      <c r="C15">
        <v>31</v>
      </c>
      <c r="D15">
        <v>25</v>
      </c>
      <c r="E15">
        <v>1287</v>
      </c>
      <c r="F15">
        <v>9</v>
      </c>
      <c r="G15">
        <v>208</v>
      </c>
      <c r="H15">
        <v>5.15</v>
      </c>
      <c r="I15">
        <v>0.92</v>
      </c>
      <c r="J15">
        <v>80.52</v>
      </c>
      <c r="K15">
        <v>13.4</v>
      </c>
      <c r="L15">
        <f>(I15/(H15+I15))*100</f>
        <v>15.156507413509059</v>
      </c>
      <c r="M15">
        <f>I15/K15+I15</f>
        <v>0.98865671641791053</v>
      </c>
    </row>
    <row r="16" spans="1:13" x14ac:dyDescent="0.25">
      <c r="A16" s="2">
        <v>41441</v>
      </c>
      <c r="B16" s="3">
        <v>6</v>
      </c>
      <c r="C16">
        <v>31</v>
      </c>
      <c r="D16">
        <v>25</v>
      </c>
      <c r="E16">
        <v>998</v>
      </c>
      <c r="F16">
        <v>9</v>
      </c>
      <c r="G16">
        <v>206</v>
      </c>
      <c r="H16">
        <v>4.92</v>
      </c>
      <c r="I16">
        <v>0.99</v>
      </c>
      <c r="J16">
        <v>82.43</v>
      </c>
      <c r="K16">
        <v>11.66</v>
      </c>
      <c r="L16">
        <f>(I16/(H16+I16))*100</f>
        <v>16.751269035532996</v>
      </c>
      <c r="M16">
        <f>I16/K16+I16</f>
        <v>1.0749056603773586</v>
      </c>
    </row>
    <row r="17" spans="1:13" x14ac:dyDescent="0.25">
      <c r="A17" s="2">
        <v>41438</v>
      </c>
      <c r="B17" s="3">
        <v>9</v>
      </c>
      <c r="C17">
        <v>28</v>
      </c>
      <c r="D17">
        <v>29</v>
      </c>
      <c r="E17">
        <v>1283</v>
      </c>
      <c r="F17">
        <v>10</v>
      </c>
      <c r="G17">
        <v>109</v>
      </c>
      <c r="H17">
        <v>2.68</v>
      </c>
      <c r="I17">
        <v>2.19</v>
      </c>
      <c r="J17">
        <v>86.02</v>
      </c>
      <c r="K17">
        <v>9.11</v>
      </c>
      <c r="L17">
        <f>(I17/(H17+I17))*100</f>
        <v>44.969199178644764</v>
      </c>
      <c r="M17">
        <f>I17/K17+I17</f>
        <v>2.4303951701427002</v>
      </c>
    </row>
    <row r="18" spans="1:13" x14ac:dyDescent="0.25">
      <c r="A18" s="2">
        <v>41439</v>
      </c>
      <c r="B18" s="3">
        <v>12</v>
      </c>
      <c r="C18">
        <v>29</v>
      </c>
      <c r="D18">
        <v>37</v>
      </c>
      <c r="E18">
        <v>326</v>
      </c>
      <c r="F18">
        <v>10</v>
      </c>
      <c r="G18">
        <v>189</v>
      </c>
      <c r="H18">
        <v>7.81</v>
      </c>
      <c r="I18">
        <v>2.16</v>
      </c>
      <c r="J18">
        <v>73.25</v>
      </c>
      <c r="K18">
        <v>16.79</v>
      </c>
      <c r="L18">
        <f>(I18/(H18+I18))*100</f>
        <v>21.66499498495487</v>
      </c>
      <c r="M18">
        <f>I18/K18+I18</f>
        <v>2.2886480047647408</v>
      </c>
    </row>
    <row r="19" spans="1:13" x14ac:dyDescent="0.25">
      <c r="A19" s="2">
        <v>41416</v>
      </c>
      <c r="B19" s="3">
        <v>4</v>
      </c>
      <c r="C19">
        <v>6</v>
      </c>
      <c r="D19">
        <v>29</v>
      </c>
      <c r="E19">
        <v>1240</v>
      </c>
      <c r="F19">
        <v>11</v>
      </c>
      <c r="G19">
        <v>197</v>
      </c>
      <c r="H19">
        <v>7.16</v>
      </c>
      <c r="I19">
        <v>2.81</v>
      </c>
      <c r="J19">
        <v>57.49</v>
      </c>
      <c r="K19">
        <v>32.549999999999997</v>
      </c>
      <c r="L19">
        <f>(I19/(H19+I19))*100</f>
        <v>28.184553660982946</v>
      </c>
      <c r="M19">
        <f>I19/K19+I19</f>
        <v>2.8963287250384027</v>
      </c>
    </row>
    <row r="20" spans="1:13" x14ac:dyDescent="0.25">
      <c r="A20" s="2">
        <v>41441</v>
      </c>
      <c r="B20" s="3">
        <v>3</v>
      </c>
      <c r="C20">
        <v>31</v>
      </c>
      <c r="D20">
        <v>25</v>
      </c>
      <c r="E20">
        <v>1288</v>
      </c>
      <c r="F20">
        <v>11</v>
      </c>
      <c r="G20">
        <v>188</v>
      </c>
      <c r="H20">
        <v>9.68</v>
      </c>
      <c r="I20">
        <v>1.84</v>
      </c>
      <c r="J20">
        <v>82.82</v>
      </c>
      <c r="K20">
        <v>5.66</v>
      </c>
      <c r="L20">
        <f>(I20/(H20+I20))*100</f>
        <v>15.972222222222223</v>
      </c>
      <c r="M20">
        <f>I20/K20+I20</f>
        <v>2.1650883392226148</v>
      </c>
    </row>
    <row r="21" spans="1:13" x14ac:dyDescent="0.25">
      <c r="A21" s="2">
        <v>41442</v>
      </c>
      <c r="B21" s="3">
        <v>6</v>
      </c>
      <c r="C21">
        <v>32</v>
      </c>
      <c r="D21">
        <v>33</v>
      </c>
      <c r="E21">
        <v>509</v>
      </c>
      <c r="F21">
        <v>11</v>
      </c>
      <c r="G21">
        <v>203</v>
      </c>
      <c r="H21">
        <v>5.01</v>
      </c>
      <c r="I21">
        <v>0.96</v>
      </c>
      <c r="J21">
        <v>84.88</v>
      </c>
      <c r="K21">
        <v>9.15</v>
      </c>
      <c r="L21">
        <f>(I21/(H21+I21))*100</f>
        <v>16.08040201005025</v>
      </c>
      <c r="M21">
        <f>I21/K21+I21</f>
        <v>1.0649180327868852</v>
      </c>
    </row>
    <row r="22" spans="1:13" x14ac:dyDescent="0.25">
      <c r="A22" s="2">
        <v>41439</v>
      </c>
      <c r="B22" s="3">
        <v>10</v>
      </c>
      <c r="C22">
        <v>29</v>
      </c>
      <c r="D22">
        <v>37</v>
      </c>
      <c r="E22">
        <v>1109</v>
      </c>
      <c r="F22">
        <v>12</v>
      </c>
      <c r="G22">
        <v>186</v>
      </c>
      <c r="H22">
        <v>6.59</v>
      </c>
      <c r="I22">
        <v>1.5</v>
      </c>
      <c r="J22">
        <v>76.91</v>
      </c>
      <c r="K22">
        <v>15</v>
      </c>
      <c r="L22">
        <f>(I22/(H22+I22))*100</f>
        <v>18.54140914709518</v>
      </c>
      <c r="M22">
        <f>I22/K22+I22</f>
        <v>1.6</v>
      </c>
    </row>
    <row r="23" spans="1:13" x14ac:dyDescent="0.25">
      <c r="A23" s="2">
        <v>41418</v>
      </c>
      <c r="B23" s="3">
        <v>9</v>
      </c>
      <c r="C23">
        <v>8</v>
      </c>
      <c r="D23">
        <v>37</v>
      </c>
      <c r="E23">
        <v>797</v>
      </c>
      <c r="F23">
        <v>13</v>
      </c>
      <c r="G23">
        <v>193</v>
      </c>
      <c r="H23">
        <v>3.52</v>
      </c>
      <c r="I23">
        <v>0.99</v>
      </c>
      <c r="J23">
        <v>70.180000000000007</v>
      </c>
      <c r="K23">
        <v>25.31</v>
      </c>
      <c r="L23">
        <f>(I23/(H23+I23))*100</f>
        <v>21.951219512195124</v>
      </c>
      <c r="M23">
        <f>I23/K23+I23</f>
        <v>1.0291149743184511</v>
      </c>
    </row>
    <row r="24" spans="1:13" x14ac:dyDescent="0.25">
      <c r="A24" s="2">
        <v>41418</v>
      </c>
      <c r="B24" s="3">
        <v>12</v>
      </c>
      <c r="C24">
        <v>8</v>
      </c>
      <c r="D24">
        <v>37</v>
      </c>
      <c r="E24">
        <v>734</v>
      </c>
      <c r="F24">
        <v>13</v>
      </c>
      <c r="G24">
        <v>241</v>
      </c>
      <c r="H24">
        <v>2.2200000000000002</v>
      </c>
      <c r="I24">
        <v>1.24</v>
      </c>
      <c r="J24">
        <v>78.150000000000006</v>
      </c>
      <c r="K24">
        <v>18.39</v>
      </c>
      <c r="L24">
        <f>(I24/(H24+I24))*100</f>
        <v>35.838150289017342</v>
      </c>
      <c r="M24">
        <f>I24/K24+I24</f>
        <v>1.3074279499728112</v>
      </c>
    </row>
    <row r="25" spans="1:13" x14ac:dyDescent="0.25">
      <c r="A25" s="2">
        <v>41441</v>
      </c>
      <c r="B25" s="3">
        <v>2</v>
      </c>
      <c r="C25">
        <v>31</v>
      </c>
      <c r="D25">
        <v>25</v>
      </c>
      <c r="E25">
        <v>545</v>
      </c>
      <c r="F25">
        <v>14</v>
      </c>
      <c r="G25">
        <v>198</v>
      </c>
      <c r="H25">
        <v>6.92</v>
      </c>
      <c r="I25">
        <v>1.35</v>
      </c>
      <c r="J25">
        <v>83.37</v>
      </c>
      <c r="K25">
        <v>8.36</v>
      </c>
      <c r="L25">
        <f>(I25/(H25+I25))*100</f>
        <v>16.324062877871828</v>
      </c>
      <c r="M25">
        <f>I25/K25+I25</f>
        <v>1.5114832535885168</v>
      </c>
    </row>
    <row r="26" spans="1:13" x14ac:dyDescent="0.25">
      <c r="A26" s="2">
        <v>41442</v>
      </c>
      <c r="B26" s="3">
        <v>7</v>
      </c>
      <c r="C26">
        <v>32</v>
      </c>
      <c r="D26">
        <v>33</v>
      </c>
      <c r="E26">
        <v>682</v>
      </c>
      <c r="F26">
        <v>14</v>
      </c>
      <c r="G26">
        <v>198</v>
      </c>
      <c r="H26">
        <v>10.91</v>
      </c>
      <c r="I26">
        <v>2.77</v>
      </c>
      <c r="J26">
        <v>69.989999999999995</v>
      </c>
      <c r="K26">
        <v>16.34</v>
      </c>
      <c r="L26">
        <f>(I26/(H26+I26))*100</f>
        <v>20.248538011695906</v>
      </c>
      <c r="M26">
        <f>I26/K26+I26</f>
        <v>2.9395226438188495</v>
      </c>
    </row>
    <row r="27" spans="1:13" x14ac:dyDescent="0.25">
      <c r="A27" s="2">
        <v>41416</v>
      </c>
      <c r="B27" s="3">
        <v>3</v>
      </c>
      <c r="C27">
        <v>6</v>
      </c>
      <c r="D27">
        <v>29</v>
      </c>
      <c r="E27">
        <v>1176</v>
      </c>
      <c r="F27">
        <v>15</v>
      </c>
      <c r="G27">
        <v>190</v>
      </c>
      <c r="H27">
        <v>2.2599999999999998</v>
      </c>
      <c r="I27">
        <v>0.57999999999999996</v>
      </c>
      <c r="J27">
        <v>69.459999999999994</v>
      </c>
      <c r="K27">
        <v>27.7</v>
      </c>
      <c r="L27">
        <f>(I27/(H27+I27))*100</f>
        <v>20.422535211267608</v>
      </c>
      <c r="M27">
        <f>I27/K27+I27</f>
        <v>0.60093862815884469</v>
      </c>
    </row>
    <row r="28" spans="1:13" x14ac:dyDescent="0.25">
      <c r="A28" s="2">
        <v>41435</v>
      </c>
      <c r="B28" s="3">
        <v>10</v>
      </c>
      <c r="C28">
        <v>25</v>
      </c>
      <c r="D28">
        <v>33</v>
      </c>
      <c r="E28">
        <v>1231</v>
      </c>
      <c r="F28">
        <v>15</v>
      </c>
      <c r="G28">
        <v>214</v>
      </c>
      <c r="H28">
        <v>23.23</v>
      </c>
      <c r="I28">
        <v>6.94</v>
      </c>
      <c r="J28">
        <v>56.58</v>
      </c>
      <c r="K28">
        <v>13.25</v>
      </c>
      <c r="L28">
        <f>(I28/(H28+I28))*100</f>
        <v>23.002983095790519</v>
      </c>
      <c r="M28">
        <f>I28/K28+I28</f>
        <v>7.4637735849056606</v>
      </c>
    </row>
    <row r="29" spans="1:13" x14ac:dyDescent="0.25">
      <c r="A29" s="2">
        <v>41416</v>
      </c>
      <c r="B29" s="3">
        <v>8</v>
      </c>
      <c r="C29">
        <v>6</v>
      </c>
      <c r="D29">
        <v>29</v>
      </c>
      <c r="E29">
        <v>782</v>
      </c>
      <c r="F29">
        <v>16</v>
      </c>
      <c r="G29">
        <v>221</v>
      </c>
      <c r="H29">
        <v>5</v>
      </c>
      <c r="I29">
        <v>1.3</v>
      </c>
      <c r="J29">
        <v>57.11</v>
      </c>
      <c r="K29">
        <v>36.58</v>
      </c>
      <c r="L29">
        <f>(I29/(H29+I29))*100</f>
        <v>20.634920634920636</v>
      </c>
      <c r="M29">
        <f>I29/K29+I29</f>
        <v>1.3355385456533626</v>
      </c>
    </row>
    <row r="30" spans="1:13" x14ac:dyDescent="0.25">
      <c r="A30" s="2">
        <v>41439</v>
      </c>
      <c r="B30" s="3">
        <v>2</v>
      </c>
      <c r="C30">
        <v>29</v>
      </c>
      <c r="D30">
        <v>37</v>
      </c>
      <c r="E30">
        <v>1109</v>
      </c>
      <c r="F30">
        <v>16</v>
      </c>
      <c r="G30">
        <v>201</v>
      </c>
      <c r="H30">
        <v>2.15</v>
      </c>
      <c r="I30">
        <v>1.78</v>
      </c>
      <c r="J30">
        <v>69.5</v>
      </c>
      <c r="K30">
        <v>26.57</v>
      </c>
      <c r="L30">
        <f>(I30/(H30+I30))*100</f>
        <v>45.292620865139952</v>
      </c>
      <c r="M30">
        <f>I30/K30+I30</f>
        <v>1.8469928490779075</v>
      </c>
    </row>
    <row r="31" spans="1:13" x14ac:dyDescent="0.25">
      <c r="A31" s="2">
        <v>41416</v>
      </c>
      <c r="B31" s="3">
        <v>11</v>
      </c>
      <c r="C31">
        <v>6</v>
      </c>
      <c r="D31">
        <v>29</v>
      </c>
      <c r="E31">
        <v>971</v>
      </c>
      <c r="F31">
        <v>19</v>
      </c>
      <c r="G31">
        <v>176</v>
      </c>
      <c r="H31">
        <v>5.72</v>
      </c>
      <c r="I31">
        <v>0.9</v>
      </c>
      <c r="J31">
        <v>46.23</v>
      </c>
      <c r="K31">
        <v>47.16</v>
      </c>
      <c r="L31">
        <f>(I31/(H31+I31))*100</f>
        <v>13.595166163141995</v>
      </c>
      <c r="M31">
        <f>I31/K31+I31</f>
        <v>0.91908396946564885</v>
      </c>
    </row>
    <row r="32" spans="1:13" x14ac:dyDescent="0.25">
      <c r="A32" s="2">
        <v>41439</v>
      </c>
      <c r="B32" s="3">
        <v>1</v>
      </c>
      <c r="C32">
        <v>29</v>
      </c>
      <c r="D32">
        <v>37</v>
      </c>
      <c r="E32">
        <v>979</v>
      </c>
      <c r="F32">
        <v>19</v>
      </c>
      <c r="G32">
        <v>233</v>
      </c>
      <c r="H32">
        <v>7.54</v>
      </c>
      <c r="I32">
        <v>2.96</v>
      </c>
      <c r="J32">
        <v>69.55</v>
      </c>
      <c r="K32">
        <v>19.95</v>
      </c>
      <c r="L32">
        <f>(I32/(H32+I32))*100</f>
        <v>28.19047619047619</v>
      </c>
      <c r="M32">
        <f>I32/K32+I32</f>
        <v>3.1083709273182958</v>
      </c>
    </row>
    <row r="33" spans="1:13" x14ac:dyDescent="0.25">
      <c r="A33" s="2">
        <v>41438</v>
      </c>
      <c r="B33" s="3">
        <v>5</v>
      </c>
      <c r="C33">
        <v>28</v>
      </c>
      <c r="D33">
        <v>29</v>
      </c>
      <c r="E33">
        <v>1282</v>
      </c>
      <c r="F33">
        <v>20</v>
      </c>
      <c r="G33">
        <v>239</v>
      </c>
      <c r="H33">
        <v>3.55</v>
      </c>
      <c r="I33">
        <v>0.57999999999999996</v>
      </c>
      <c r="J33">
        <v>75.14</v>
      </c>
      <c r="K33">
        <v>20.73</v>
      </c>
      <c r="L33">
        <f>(I33/(H33+I33))*100</f>
        <v>14.043583535108958</v>
      </c>
      <c r="M33">
        <f>I33/K33+I33</f>
        <v>0.60797877472262418</v>
      </c>
    </row>
    <row r="34" spans="1:13" x14ac:dyDescent="0.25">
      <c r="A34" s="2">
        <v>41442</v>
      </c>
      <c r="B34" s="3">
        <v>2</v>
      </c>
      <c r="C34">
        <v>32</v>
      </c>
      <c r="D34">
        <v>33</v>
      </c>
      <c r="E34">
        <v>1295</v>
      </c>
      <c r="F34">
        <v>20</v>
      </c>
      <c r="G34">
        <v>199</v>
      </c>
      <c r="H34">
        <v>2.44</v>
      </c>
      <c r="I34">
        <v>0.92</v>
      </c>
      <c r="J34">
        <v>74.67</v>
      </c>
      <c r="K34">
        <v>21.97</v>
      </c>
      <c r="L34">
        <f>(I34/(H34+I34))*100</f>
        <v>27.380952380952383</v>
      </c>
      <c r="M34">
        <f>I34/K34+I34</f>
        <v>0.96187528447883486</v>
      </c>
    </row>
    <row r="35" spans="1:13" x14ac:dyDescent="0.25">
      <c r="A35" s="2">
        <v>41437</v>
      </c>
      <c r="B35" s="3">
        <v>6</v>
      </c>
      <c r="C35">
        <v>27</v>
      </c>
      <c r="D35">
        <v>27</v>
      </c>
      <c r="E35">
        <v>1213</v>
      </c>
      <c r="F35">
        <v>21</v>
      </c>
      <c r="G35">
        <v>184</v>
      </c>
      <c r="H35">
        <v>7.41</v>
      </c>
      <c r="I35">
        <v>3.21</v>
      </c>
      <c r="J35">
        <v>60.9</v>
      </c>
      <c r="K35">
        <v>28.48</v>
      </c>
      <c r="L35">
        <f>(I35/(H35+I35))*100</f>
        <v>30.225988700564972</v>
      </c>
      <c r="M35">
        <f>I35/K35+I35</f>
        <v>3.3227106741573031</v>
      </c>
    </row>
    <row r="36" spans="1:13" x14ac:dyDescent="0.25">
      <c r="A36" s="2">
        <v>41437</v>
      </c>
      <c r="B36" s="3">
        <v>8</v>
      </c>
      <c r="C36">
        <v>27</v>
      </c>
      <c r="D36">
        <v>27</v>
      </c>
      <c r="E36">
        <v>1278</v>
      </c>
      <c r="F36">
        <v>22</v>
      </c>
      <c r="G36">
        <v>217</v>
      </c>
      <c r="H36">
        <v>2.23</v>
      </c>
      <c r="I36">
        <v>0.32</v>
      </c>
      <c r="J36">
        <v>71.010000000000005</v>
      </c>
      <c r="K36">
        <v>26.44</v>
      </c>
      <c r="L36">
        <f>(I36/(H36+I36))*100</f>
        <v>12.549019607843137</v>
      </c>
      <c r="M36">
        <f>I36/K36+I36</f>
        <v>0.33210287443267777</v>
      </c>
    </row>
    <row r="37" spans="1:13" x14ac:dyDescent="0.25">
      <c r="A37" s="2">
        <v>41435</v>
      </c>
      <c r="B37" s="3">
        <v>1</v>
      </c>
      <c r="C37">
        <v>25</v>
      </c>
      <c r="D37">
        <v>33</v>
      </c>
      <c r="E37">
        <v>1272</v>
      </c>
      <c r="F37">
        <v>23</v>
      </c>
      <c r="G37">
        <v>180</v>
      </c>
      <c r="H37">
        <v>8.6999999999999993</v>
      </c>
      <c r="I37">
        <v>1.2</v>
      </c>
      <c r="J37">
        <v>78.319999999999993</v>
      </c>
      <c r="K37">
        <v>11.78</v>
      </c>
      <c r="L37">
        <f>(I37/(H37+I37))*100</f>
        <v>12.121212121212123</v>
      </c>
      <c r="M37">
        <f>I37/K37+I37</f>
        <v>1.301867572156197</v>
      </c>
    </row>
    <row r="38" spans="1:13" x14ac:dyDescent="0.25">
      <c r="A38" s="2">
        <v>41437</v>
      </c>
      <c r="B38" s="3">
        <v>11</v>
      </c>
      <c r="C38">
        <v>27</v>
      </c>
      <c r="D38">
        <v>27</v>
      </c>
      <c r="E38">
        <v>658</v>
      </c>
      <c r="F38">
        <v>23</v>
      </c>
      <c r="G38">
        <v>206</v>
      </c>
      <c r="H38">
        <v>2.0099999999999998</v>
      </c>
      <c r="I38">
        <v>0.82</v>
      </c>
      <c r="J38">
        <v>71.13</v>
      </c>
      <c r="K38">
        <v>26.04</v>
      </c>
      <c r="L38">
        <f>(I38/(H38+I38))*100</f>
        <v>28.975265017667844</v>
      </c>
      <c r="M38">
        <f>I38/K38+I38</f>
        <v>0.85149001536098301</v>
      </c>
    </row>
    <row r="39" spans="1:13" x14ac:dyDescent="0.25">
      <c r="A39" s="2">
        <v>41442</v>
      </c>
      <c r="B39" s="3">
        <v>1</v>
      </c>
      <c r="C39">
        <v>32</v>
      </c>
      <c r="D39">
        <v>33</v>
      </c>
      <c r="E39">
        <v>1293</v>
      </c>
      <c r="F39">
        <v>24</v>
      </c>
      <c r="G39">
        <v>233</v>
      </c>
      <c r="H39">
        <v>3.42</v>
      </c>
      <c r="I39">
        <v>1.55</v>
      </c>
      <c r="J39">
        <v>73.95</v>
      </c>
      <c r="K39">
        <v>21.07</v>
      </c>
      <c r="L39">
        <f>(I39/(H39+I39))*100</f>
        <v>31.187122736418516</v>
      </c>
      <c r="M39">
        <f>I39/K39+I39</f>
        <v>1.6235643094447081</v>
      </c>
    </row>
    <row r="40" spans="1:13" x14ac:dyDescent="0.25">
      <c r="A40" s="2">
        <v>41437</v>
      </c>
      <c r="B40" s="3">
        <v>2</v>
      </c>
      <c r="C40">
        <v>27</v>
      </c>
      <c r="D40">
        <v>27</v>
      </c>
      <c r="E40">
        <v>668</v>
      </c>
      <c r="F40">
        <v>25</v>
      </c>
      <c r="G40">
        <v>228</v>
      </c>
      <c r="H40">
        <v>3.57</v>
      </c>
      <c r="I40">
        <v>0.57999999999999996</v>
      </c>
      <c r="J40">
        <v>64.510000000000005</v>
      </c>
      <c r="K40">
        <v>31.34</v>
      </c>
      <c r="L40">
        <f>(I40/(H40+I40))*100</f>
        <v>13.975903614457833</v>
      </c>
      <c r="M40">
        <f>I40/K40+I40</f>
        <v>0.59850670070197831</v>
      </c>
    </row>
    <row r="41" spans="1:13" x14ac:dyDescent="0.25">
      <c r="A41" s="2">
        <v>41416</v>
      </c>
      <c r="B41" s="3">
        <v>6</v>
      </c>
      <c r="C41">
        <v>6</v>
      </c>
      <c r="D41">
        <v>29</v>
      </c>
      <c r="E41">
        <v>769</v>
      </c>
      <c r="F41">
        <v>26</v>
      </c>
      <c r="G41">
        <v>192</v>
      </c>
      <c r="H41">
        <v>2.68</v>
      </c>
      <c r="I41">
        <v>1.05</v>
      </c>
      <c r="J41">
        <v>62.07</v>
      </c>
      <c r="K41">
        <v>34.19</v>
      </c>
      <c r="L41">
        <f>(I41/(H41+I41))*100</f>
        <v>28.150134048257371</v>
      </c>
      <c r="M41">
        <f>I41/K41+I41</f>
        <v>1.0807107341327875</v>
      </c>
    </row>
    <row r="42" spans="1:13" x14ac:dyDescent="0.25">
      <c r="A42" s="2">
        <v>41418</v>
      </c>
      <c r="B42" s="3">
        <v>1</v>
      </c>
      <c r="C42">
        <v>8</v>
      </c>
      <c r="D42">
        <v>37</v>
      </c>
      <c r="E42">
        <v>1186</v>
      </c>
      <c r="F42">
        <v>26</v>
      </c>
      <c r="G42">
        <v>222</v>
      </c>
      <c r="H42">
        <v>6.01</v>
      </c>
      <c r="I42">
        <v>2.46</v>
      </c>
      <c r="J42">
        <v>63.67</v>
      </c>
      <c r="K42">
        <v>27.86</v>
      </c>
      <c r="L42">
        <f>(I42/(H42+I42))*100</f>
        <v>29.043683589138137</v>
      </c>
      <c r="M42">
        <f>I42/K42+I42</f>
        <v>2.5482986360373294</v>
      </c>
    </row>
    <row r="43" spans="1:13" x14ac:dyDescent="0.25">
      <c r="A43" s="2">
        <v>41438</v>
      </c>
      <c r="B43" s="3">
        <v>8</v>
      </c>
      <c r="C43">
        <v>28</v>
      </c>
      <c r="D43">
        <v>29</v>
      </c>
      <c r="E43">
        <v>833</v>
      </c>
      <c r="F43">
        <v>26</v>
      </c>
      <c r="G43">
        <v>213</v>
      </c>
      <c r="H43">
        <v>12.51</v>
      </c>
      <c r="I43">
        <v>2.33</v>
      </c>
      <c r="J43">
        <v>62.03</v>
      </c>
      <c r="K43">
        <v>23.14</v>
      </c>
      <c r="L43">
        <f>(I43/(H43+I43))*100</f>
        <v>15.700808625336929</v>
      </c>
      <c r="M43">
        <f>I43/K43+I43</f>
        <v>2.4306914433880729</v>
      </c>
    </row>
    <row r="44" spans="1:13" x14ac:dyDescent="0.25">
      <c r="A44" s="2">
        <v>41439</v>
      </c>
      <c r="B44" s="3">
        <v>8</v>
      </c>
      <c r="C44">
        <v>29</v>
      </c>
      <c r="D44">
        <v>37</v>
      </c>
      <c r="E44">
        <v>1184</v>
      </c>
      <c r="F44">
        <v>26</v>
      </c>
      <c r="G44">
        <v>185</v>
      </c>
      <c r="H44">
        <v>7.71</v>
      </c>
      <c r="I44">
        <v>1.51</v>
      </c>
      <c r="J44">
        <v>72.91</v>
      </c>
      <c r="K44">
        <v>17.87</v>
      </c>
      <c r="L44">
        <f>(I44/(H44+I44))*100</f>
        <v>16.37744034707158</v>
      </c>
      <c r="M44">
        <f>I44/K44+I44</f>
        <v>1.5944991606043648</v>
      </c>
    </row>
    <row r="45" spans="1:13" x14ac:dyDescent="0.25">
      <c r="A45" s="2">
        <v>41439</v>
      </c>
      <c r="B45" s="3">
        <v>9</v>
      </c>
      <c r="C45">
        <v>29</v>
      </c>
      <c r="D45">
        <v>37</v>
      </c>
      <c r="E45">
        <v>1285</v>
      </c>
      <c r="F45">
        <v>26</v>
      </c>
      <c r="G45">
        <v>241</v>
      </c>
      <c r="H45">
        <v>12.9</v>
      </c>
      <c r="I45">
        <v>3.16</v>
      </c>
      <c r="J45">
        <v>69.33</v>
      </c>
      <c r="K45">
        <v>14.6</v>
      </c>
      <c r="L45">
        <f>(I45/(H45+I45))*100</f>
        <v>19.676214196762139</v>
      </c>
      <c r="M45">
        <f>I45/K45+I45</f>
        <v>3.3764383561643836</v>
      </c>
    </row>
    <row r="46" spans="1:13" x14ac:dyDescent="0.25">
      <c r="A46" s="2">
        <v>41441</v>
      </c>
      <c r="B46" s="3">
        <v>8</v>
      </c>
      <c r="C46">
        <v>31</v>
      </c>
      <c r="D46">
        <v>25</v>
      </c>
      <c r="E46">
        <v>1291</v>
      </c>
      <c r="F46">
        <v>27</v>
      </c>
      <c r="G46">
        <v>189</v>
      </c>
      <c r="H46">
        <v>26.8</v>
      </c>
      <c r="I46">
        <v>2.94</v>
      </c>
      <c r="J46">
        <v>54.25</v>
      </c>
      <c r="K46">
        <v>16.02</v>
      </c>
      <c r="L46">
        <f>(I46/(H46+I46))*100</f>
        <v>9.8856758574310692</v>
      </c>
      <c r="M46">
        <f>I46/K46+I46</f>
        <v>3.1235205992509361</v>
      </c>
    </row>
    <row r="47" spans="1:13" x14ac:dyDescent="0.25">
      <c r="A47" s="2">
        <v>41414</v>
      </c>
      <c r="B47" s="3">
        <v>5</v>
      </c>
      <c r="C47">
        <v>4</v>
      </c>
      <c r="D47">
        <v>27</v>
      </c>
      <c r="E47">
        <v>1236</v>
      </c>
      <c r="F47">
        <v>31</v>
      </c>
      <c r="G47">
        <v>193</v>
      </c>
      <c r="H47">
        <v>5.49</v>
      </c>
      <c r="I47">
        <v>0.82</v>
      </c>
      <c r="J47">
        <v>84.07</v>
      </c>
      <c r="K47">
        <v>9.61</v>
      </c>
      <c r="L47">
        <f>(I47/(H47+I47))*100</f>
        <v>12.995245641838348</v>
      </c>
      <c r="M47">
        <f>I47/K47+I47</f>
        <v>0.90532778355879284</v>
      </c>
    </row>
    <row r="48" spans="1:13" x14ac:dyDescent="0.25">
      <c r="A48" s="2">
        <v>41416</v>
      </c>
      <c r="B48" s="3">
        <v>9</v>
      </c>
      <c r="C48">
        <v>6</v>
      </c>
      <c r="D48">
        <v>29</v>
      </c>
      <c r="E48">
        <v>1237</v>
      </c>
      <c r="F48">
        <v>31</v>
      </c>
      <c r="G48">
        <v>208</v>
      </c>
      <c r="H48">
        <v>1.81</v>
      </c>
      <c r="I48">
        <v>0.66</v>
      </c>
      <c r="J48">
        <v>45.98</v>
      </c>
      <c r="K48">
        <v>51.55</v>
      </c>
      <c r="L48">
        <f>(I48/(H48+I48))*100</f>
        <v>26.720647773279349</v>
      </c>
      <c r="M48">
        <f>I48/K48+I48</f>
        <v>0.67280310378273522</v>
      </c>
    </row>
    <row r="49" spans="1:13" x14ac:dyDescent="0.25">
      <c r="A49" s="2">
        <v>41439</v>
      </c>
      <c r="B49" s="3">
        <v>6</v>
      </c>
      <c r="C49">
        <v>29</v>
      </c>
      <c r="D49">
        <v>37</v>
      </c>
      <c r="E49">
        <v>1384</v>
      </c>
      <c r="F49">
        <v>32</v>
      </c>
      <c r="G49">
        <v>218</v>
      </c>
      <c r="H49">
        <v>27.23</v>
      </c>
      <c r="I49">
        <v>4.8099999999999996</v>
      </c>
      <c r="J49">
        <v>49.44</v>
      </c>
      <c r="K49">
        <v>18.52</v>
      </c>
      <c r="L49">
        <f>(I49/(H49+I49))*100</f>
        <v>15.012484394506863</v>
      </c>
      <c r="M49">
        <f>I49/K49+I49</f>
        <v>5.0697192224622025</v>
      </c>
    </row>
    <row r="50" spans="1:13" x14ac:dyDescent="0.25">
      <c r="A50" s="2">
        <v>41437</v>
      </c>
      <c r="B50" s="3">
        <v>5</v>
      </c>
      <c r="C50">
        <v>27</v>
      </c>
      <c r="D50">
        <v>27</v>
      </c>
      <c r="E50">
        <v>609</v>
      </c>
      <c r="F50">
        <v>33</v>
      </c>
      <c r="G50">
        <v>222</v>
      </c>
      <c r="H50">
        <v>3.44</v>
      </c>
      <c r="I50">
        <v>0.47</v>
      </c>
      <c r="J50">
        <v>61.95</v>
      </c>
      <c r="K50">
        <v>34.14</v>
      </c>
      <c r="L50">
        <f>(I50/(H50+I50))*100</f>
        <v>12.020460358056265</v>
      </c>
      <c r="M50">
        <f>I50/K50+I50</f>
        <v>0.48376684241359108</v>
      </c>
    </row>
    <row r="51" spans="1:13" x14ac:dyDescent="0.25">
      <c r="A51" s="2">
        <v>41414</v>
      </c>
      <c r="B51" s="3">
        <v>2</v>
      </c>
      <c r="C51">
        <v>4</v>
      </c>
      <c r="D51">
        <v>27</v>
      </c>
      <c r="E51">
        <v>411</v>
      </c>
      <c r="F51">
        <v>36</v>
      </c>
      <c r="G51">
        <v>207</v>
      </c>
      <c r="H51">
        <v>2.61</v>
      </c>
      <c r="I51">
        <v>0.8</v>
      </c>
      <c r="J51">
        <v>75.510000000000005</v>
      </c>
      <c r="K51">
        <v>21.08</v>
      </c>
      <c r="L51">
        <f>(I51/(H51+I51))*100</f>
        <v>23.460410557184751</v>
      </c>
      <c r="M51">
        <f>I51/K51+I51</f>
        <v>0.83795066413662245</v>
      </c>
    </row>
    <row r="52" spans="1:13" x14ac:dyDescent="0.25">
      <c r="A52" s="2">
        <v>41418</v>
      </c>
      <c r="B52" s="3">
        <v>7</v>
      </c>
      <c r="C52">
        <v>8</v>
      </c>
      <c r="D52">
        <v>37</v>
      </c>
      <c r="E52">
        <v>28</v>
      </c>
      <c r="F52">
        <v>36</v>
      </c>
      <c r="G52">
        <v>230</v>
      </c>
      <c r="H52">
        <v>4.71</v>
      </c>
      <c r="I52">
        <v>1.44</v>
      </c>
      <c r="J52">
        <v>64.45</v>
      </c>
      <c r="K52">
        <v>29.4</v>
      </c>
      <c r="L52">
        <f>(I52/(H52+I52))*100</f>
        <v>23.414634146341463</v>
      </c>
      <c r="M52">
        <f>I52/K52+I52</f>
        <v>1.4889795918367346</v>
      </c>
    </row>
    <row r="53" spans="1:13" x14ac:dyDescent="0.25">
      <c r="A53" s="2">
        <v>41438</v>
      </c>
      <c r="B53" s="3">
        <v>6</v>
      </c>
      <c r="C53">
        <v>28</v>
      </c>
      <c r="D53">
        <v>29</v>
      </c>
      <c r="E53">
        <v>1281</v>
      </c>
      <c r="F53">
        <v>36</v>
      </c>
      <c r="G53">
        <v>207</v>
      </c>
      <c r="H53">
        <v>5.7</v>
      </c>
      <c r="I53">
        <v>0.84</v>
      </c>
      <c r="J53">
        <v>63.37</v>
      </c>
      <c r="K53">
        <v>30.09</v>
      </c>
      <c r="L53">
        <f>(I53/(H53+I53))*100</f>
        <v>12.844036697247708</v>
      </c>
      <c r="M53">
        <f>I53/K53+I53</f>
        <v>0.86791625124626115</v>
      </c>
    </row>
    <row r="54" spans="1:13" x14ac:dyDescent="0.25">
      <c r="A54" s="2">
        <v>41439</v>
      </c>
      <c r="B54" s="3">
        <v>7</v>
      </c>
      <c r="C54">
        <v>29</v>
      </c>
      <c r="D54">
        <v>37</v>
      </c>
      <c r="E54">
        <v>855</v>
      </c>
      <c r="F54">
        <v>36</v>
      </c>
      <c r="G54">
        <v>208</v>
      </c>
      <c r="H54">
        <v>4.5999999999999996</v>
      </c>
      <c r="I54">
        <v>2.2400000000000002</v>
      </c>
      <c r="J54">
        <v>71.7</v>
      </c>
      <c r="K54">
        <v>21.46</v>
      </c>
      <c r="L54">
        <f>(I54/(H54+I54))*100</f>
        <v>32.748538011695913</v>
      </c>
      <c r="M54">
        <f>I54/K54+I54</f>
        <v>2.344380242311277</v>
      </c>
    </row>
    <row r="55" spans="1:13" x14ac:dyDescent="0.25">
      <c r="A55" s="2">
        <v>41438</v>
      </c>
      <c r="B55" s="3">
        <v>1</v>
      </c>
      <c r="C55">
        <v>28</v>
      </c>
      <c r="D55">
        <v>29</v>
      </c>
      <c r="E55">
        <v>1077</v>
      </c>
      <c r="F55">
        <v>38</v>
      </c>
      <c r="G55">
        <v>205</v>
      </c>
      <c r="H55">
        <v>5.4</v>
      </c>
      <c r="I55">
        <v>0.6</v>
      </c>
      <c r="J55">
        <v>82.26</v>
      </c>
      <c r="K55">
        <v>11.75</v>
      </c>
      <c r="L55">
        <f>(I55/(H55+I55))*100</f>
        <v>10</v>
      </c>
      <c r="M55">
        <f>I55/K55+I55</f>
        <v>0.65106382978723398</v>
      </c>
    </row>
    <row r="56" spans="1:13" x14ac:dyDescent="0.25">
      <c r="A56" s="2">
        <v>41418</v>
      </c>
      <c r="B56" s="3">
        <v>5</v>
      </c>
      <c r="C56">
        <v>8</v>
      </c>
      <c r="D56">
        <v>37</v>
      </c>
      <c r="E56">
        <v>883</v>
      </c>
      <c r="F56">
        <v>40</v>
      </c>
      <c r="G56">
        <v>197</v>
      </c>
      <c r="H56">
        <v>1.45</v>
      </c>
      <c r="I56">
        <v>0.15</v>
      </c>
      <c r="J56">
        <v>89.66</v>
      </c>
      <c r="K56">
        <v>8.73</v>
      </c>
      <c r="L56">
        <f>(I56/(H56+I56))*100</f>
        <v>9.375</v>
      </c>
      <c r="M56">
        <f>I56/K56+I56</f>
        <v>0.16718213058419243</v>
      </c>
    </row>
    <row r="57" spans="1:13" x14ac:dyDescent="0.25">
      <c r="A57" s="2">
        <v>41439</v>
      </c>
      <c r="B57" s="3">
        <v>3</v>
      </c>
      <c r="C57">
        <v>29</v>
      </c>
      <c r="D57">
        <v>37</v>
      </c>
      <c r="E57">
        <v>365</v>
      </c>
      <c r="F57">
        <v>41</v>
      </c>
      <c r="G57">
        <v>213</v>
      </c>
      <c r="H57">
        <v>6.05</v>
      </c>
      <c r="I57">
        <v>2.11</v>
      </c>
      <c r="J57">
        <v>76.44</v>
      </c>
      <c r="K57">
        <v>15.39</v>
      </c>
      <c r="L57">
        <f>(I57/(H57+I57))*100</f>
        <v>25.8578431372549</v>
      </c>
      <c r="M57">
        <f>I57/K57+I57</f>
        <v>2.2471020142949967</v>
      </c>
    </row>
    <row r="58" spans="1:13" x14ac:dyDescent="0.25">
      <c r="A58" s="2">
        <v>41414</v>
      </c>
      <c r="B58" s="3">
        <v>4</v>
      </c>
      <c r="C58">
        <v>4</v>
      </c>
      <c r="D58">
        <v>27</v>
      </c>
      <c r="E58">
        <v>431</v>
      </c>
      <c r="F58">
        <v>42</v>
      </c>
      <c r="G58">
        <v>213</v>
      </c>
      <c r="H58">
        <v>9.83</v>
      </c>
      <c r="I58">
        <v>1.57</v>
      </c>
      <c r="J58">
        <v>77.38</v>
      </c>
      <c r="K58">
        <v>11.22</v>
      </c>
      <c r="L58">
        <f>(I58/(H58+I58))*100</f>
        <v>13.771929824561404</v>
      </c>
      <c r="M58">
        <f>I58/K58+I58</f>
        <v>1.7099286987522282</v>
      </c>
    </row>
    <row r="59" spans="1:13" x14ac:dyDescent="0.25">
      <c r="A59" s="2">
        <v>41435</v>
      </c>
      <c r="B59" s="3">
        <v>2</v>
      </c>
      <c r="C59">
        <v>25</v>
      </c>
      <c r="D59">
        <v>33</v>
      </c>
      <c r="E59">
        <v>459</v>
      </c>
      <c r="F59">
        <v>42</v>
      </c>
      <c r="G59">
        <v>226</v>
      </c>
      <c r="H59">
        <v>26.24</v>
      </c>
      <c r="I59">
        <v>6.84</v>
      </c>
      <c r="J59">
        <v>36.61</v>
      </c>
      <c r="K59">
        <v>30.3</v>
      </c>
      <c r="L59">
        <f>(I59/(H59+I59))*100</f>
        <v>20.677146311970983</v>
      </c>
      <c r="M59">
        <f>I59/K59+I59</f>
        <v>7.0657425742574258</v>
      </c>
    </row>
    <row r="60" spans="1:13" x14ac:dyDescent="0.25">
      <c r="A60" s="2">
        <v>41442</v>
      </c>
      <c r="B60" s="3">
        <v>11</v>
      </c>
      <c r="C60">
        <v>32</v>
      </c>
      <c r="D60">
        <v>33</v>
      </c>
      <c r="E60">
        <v>1302</v>
      </c>
      <c r="F60">
        <v>43</v>
      </c>
      <c r="G60">
        <v>203</v>
      </c>
      <c r="H60">
        <v>10.79</v>
      </c>
      <c r="I60">
        <v>1.3</v>
      </c>
      <c r="J60">
        <v>69.040000000000006</v>
      </c>
      <c r="K60">
        <v>18.87</v>
      </c>
      <c r="L60">
        <f>(I60/(H60+I60))*100</f>
        <v>10.75268817204301</v>
      </c>
      <c r="M60">
        <f>I60/K60+I60</f>
        <v>1.3688924218335983</v>
      </c>
    </row>
    <row r="61" spans="1:13" x14ac:dyDescent="0.25">
      <c r="A61" s="2">
        <v>41418</v>
      </c>
      <c r="B61" s="3">
        <v>3</v>
      </c>
      <c r="C61">
        <v>8</v>
      </c>
      <c r="D61">
        <v>37</v>
      </c>
      <c r="E61">
        <v>784</v>
      </c>
      <c r="F61">
        <v>45</v>
      </c>
      <c r="G61">
        <v>207</v>
      </c>
      <c r="H61">
        <v>1.44</v>
      </c>
      <c r="I61">
        <v>0.52</v>
      </c>
      <c r="J61">
        <v>77.86</v>
      </c>
      <c r="K61">
        <v>20.18</v>
      </c>
      <c r="L61">
        <f>(I61/(H61+I61))*100</f>
        <v>26.530612244897959</v>
      </c>
      <c r="M61">
        <f>I61/K61+I61</f>
        <v>0.54576808721506442</v>
      </c>
    </row>
    <row r="62" spans="1:13" x14ac:dyDescent="0.25">
      <c r="A62" s="2">
        <v>41442</v>
      </c>
      <c r="B62" s="3">
        <v>4</v>
      </c>
      <c r="C62">
        <v>32</v>
      </c>
      <c r="D62">
        <v>33</v>
      </c>
      <c r="E62">
        <v>221</v>
      </c>
      <c r="F62">
        <v>45</v>
      </c>
      <c r="G62">
        <v>206</v>
      </c>
      <c r="H62">
        <v>16.54</v>
      </c>
      <c r="I62">
        <v>4.12</v>
      </c>
      <c r="J62">
        <v>51.32</v>
      </c>
      <c r="K62">
        <v>28.02</v>
      </c>
      <c r="L62">
        <f>(I62/(H62+I62))*100</f>
        <v>19.941916747337849</v>
      </c>
      <c r="M62">
        <f>I62/K62+I62</f>
        <v>4.2670378301213416</v>
      </c>
    </row>
    <row r="63" spans="1:13" x14ac:dyDescent="0.25">
      <c r="A63" s="2">
        <v>41442</v>
      </c>
      <c r="B63" s="3">
        <v>10</v>
      </c>
      <c r="C63">
        <v>32</v>
      </c>
      <c r="D63">
        <v>33</v>
      </c>
      <c r="E63">
        <v>1298</v>
      </c>
      <c r="F63">
        <v>48</v>
      </c>
      <c r="G63">
        <v>240</v>
      </c>
      <c r="H63">
        <v>5.33</v>
      </c>
      <c r="I63">
        <v>1.02</v>
      </c>
      <c r="J63">
        <v>80.150000000000006</v>
      </c>
      <c r="K63">
        <v>13.5</v>
      </c>
      <c r="L63">
        <f>(I63/(H63+I63))*100</f>
        <v>16.062992125984255</v>
      </c>
      <c r="M63">
        <f>I63/K63+I63</f>
        <v>1.0955555555555556</v>
      </c>
    </row>
    <row r="64" spans="1:13" x14ac:dyDescent="0.25">
      <c r="A64" s="2">
        <v>41438</v>
      </c>
      <c r="B64" s="3">
        <v>3</v>
      </c>
      <c r="C64">
        <v>28</v>
      </c>
      <c r="D64">
        <v>29</v>
      </c>
      <c r="E64">
        <v>597</v>
      </c>
      <c r="F64">
        <v>50</v>
      </c>
      <c r="G64">
        <v>212</v>
      </c>
      <c r="H64">
        <v>15.41</v>
      </c>
      <c r="I64">
        <v>6.66</v>
      </c>
      <c r="J64">
        <v>49.78</v>
      </c>
      <c r="K64">
        <v>28.15</v>
      </c>
      <c r="L64">
        <f>(I64/(H64+I64))*100</f>
        <v>30.176710466696871</v>
      </c>
      <c r="M64">
        <f>I64/K64+I64</f>
        <v>6.8965896980461814</v>
      </c>
    </row>
    <row r="65" spans="1:13" x14ac:dyDescent="0.25">
      <c r="A65" s="2">
        <v>41437</v>
      </c>
      <c r="B65" s="3">
        <v>12</v>
      </c>
      <c r="C65">
        <v>27</v>
      </c>
      <c r="D65">
        <v>27</v>
      </c>
      <c r="E65">
        <v>1022</v>
      </c>
      <c r="F65">
        <v>51</v>
      </c>
      <c r="G65">
        <v>192</v>
      </c>
      <c r="H65">
        <v>26.2</v>
      </c>
      <c r="I65">
        <v>3.22</v>
      </c>
      <c r="J65">
        <v>46.49</v>
      </c>
      <c r="K65">
        <v>24.09</v>
      </c>
      <c r="L65">
        <f>(I65/(H65+I65))*100</f>
        <v>10.944935418082938</v>
      </c>
      <c r="M65">
        <f>I65/K65+I65</f>
        <v>3.3536654213366544</v>
      </c>
    </row>
    <row r="66" spans="1:13" x14ac:dyDescent="0.25">
      <c r="A66" s="2">
        <v>41416</v>
      </c>
      <c r="B66" s="3">
        <v>1</v>
      </c>
      <c r="C66">
        <v>6</v>
      </c>
      <c r="D66">
        <v>29</v>
      </c>
      <c r="E66">
        <v>1071</v>
      </c>
      <c r="F66">
        <v>52</v>
      </c>
      <c r="G66">
        <v>210</v>
      </c>
      <c r="H66">
        <v>3.62</v>
      </c>
      <c r="I66">
        <v>1.59</v>
      </c>
      <c r="J66">
        <v>72.03</v>
      </c>
      <c r="K66">
        <v>22.76</v>
      </c>
      <c r="L66">
        <f>(I66/(H66+I66))*100</f>
        <v>30.518234165067181</v>
      </c>
      <c r="M66">
        <f>I66/K66+I66</f>
        <v>1.6598594024604569</v>
      </c>
    </row>
    <row r="67" spans="1:13" x14ac:dyDescent="0.25">
      <c r="A67" s="2">
        <v>41437</v>
      </c>
      <c r="B67" s="3">
        <v>9</v>
      </c>
      <c r="C67">
        <v>27</v>
      </c>
      <c r="D67">
        <v>27</v>
      </c>
      <c r="E67">
        <v>637</v>
      </c>
      <c r="F67">
        <v>53</v>
      </c>
      <c r="G67">
        <v>203</v>
      </c>
      <c r="H67">
        <v>37.78</v>
      </c>
      <c r="I67">
        <v>4.32</v>
      </c>
      <c r="J67">
        <v>36.68</v>
      </c>
      <c r="K67">
        <v>21.23</v>
      </c>
      <c r="L67">
        <f>(I67/(H67+I67))*100</f>
        <v>10.261282660332542</v>
      </c>
      <c r="M67">
        <f>I67/K67+I67</f>
        <v>4.5234856335374474</v>
      </c>
    </row>
    <row r="68" spans="1:13" x14ac:dyDescent="0.25">
      <c r="A68" s="2">
        <v>41438</v>
      </c>
      <c r="B68" s="3">
        <v>7</v>
      </c>
      <c r="C68">
        <v>28</v>
      </c>
      <c r="D68">
        <v>29</v>
      </c>
      <c r="E68">
        <v>1280</v>
      </c>
      <c r="F68">
        <v>53</v>
      </c>
      <c r="G68">
        <v>166</v>
      </c>
      <c r="H68">
        <v>0.52</v>
      </c>
      <c r="I68">
        <v>0.43</v>
      </c>
      <c r="J68">
        <v>81.86</v>
      </c>
      <c r="K68">
        <v>17.190000000000001</v>
      </c>
      <c r="L68">
        <f>(I68/(H68+I68))*100</f>
        <v>45.263157894736842</v>
      </c>
      <c r="M68">
        <f>I68/K68+I68</f>
        <v>0.45501454333915065</v>
      </c>
    </row>
    <row r="69" spans="1:13" x14ac:dyDescent="0.25">
      <c r="A69" s="2">
        <v>41437</v>
      </c>
      <c r="B69" s="3">
        <v>7</v>
      </c>
      <c r="C69">
        <v>27</v>
      </c>
      <c r="D69">
        <v>27</v>
      </c>
      <c r="E69">
        <v>617</v>
      </c>
      <c r="F69">
        <v>55</v>
      </c>
      <c r="G69">
        <v>211</v>
      </c>
      <c r="H69">
        <v>2.72</v>
      </c>
      <c r="I69">
        <v>0.65</v>
      </c>
      <c r="J69">
        <v>52.51</v>
      </c>
      <c r="K69">
        <v>44.12</v>
      </c>
      <c r="L69">
        <f>(I69/(H69+I69))*100</f>
        <v>19.287833827893174</v>
      </c>
      <c r="M69">
        <f>I69/K69+I69</f>
        <v>0.66473254759746148</v>
      </c>
    </row>
    <row r="70" spans="1:13" x14ac:dyDescent="0.25">
      <c r="A70" s="2">
        <v>41416</v>
      </c>
      <c r="B70" s="3">
        <v>2</v>
      </c>
      <c r="C70">
        <v>6</v>
      </c>
      <c r="D70">
        <v>29</v>
      </c>
      <c r="E70">
        <v>528</v>
      </c>
      <c r="F70">
        <v>56</v>
      </c>
      <c r="G70">
        <v>206</v>
      </c>
      <c r="H70">
        <v>10.74</v>
      </c>
      <c r="I70">
        <v>3.42</v>
      </c>
      <c r="J70">
        <v>60.14</v>
      </c>
      <c r="K70">
        <v>25.7</v>
      </c>
      <c r="L70">
        <f>(I70/(H70+I70))*100</f>
        <v>24.152542372881356</v>
      </c>
      <c r="M70">
        <f>I70/K70+I70</f>
        <v>3.5530739299610894</v>
      </c>
    </row>
    <row r="71" spans="1:13" x14ac:dyDescent="0.25">
      <c r="A71" s="2">
        <v>41437</v>
      </c>
      <c r="B71" s="3">
        <v>1</v>
      </c>
      <c r="C71">
        <v>27</v>
      </c>
      <c r="D71">
        <v>27</v>
      </c>
      <c r="E71">
        <v>1117</v>
      </c>
      <c r="F71">
        <v>57</v>
      </c>
      <c r="G71">
        <v>208</v>
      </c>
      <c r="H71">
        <v>3.58</v>
      </c>
      <c r="I71">
        <v>0.16</v>
      </c>
      <c r="J71">
        <v>88.56</v>
      </c>
      <c r="K71">
        <v>7.69</v>
      </c>
      <c r="L71">
        <f>(I71/(H71+I71))*100</f>
        <v>4.2780748663101598</v>
      </c>
      <c r="M71">
        <f>I71/K71+I71</f>
        <v>0.18080624187256178</v>
      </c>
    </row>
    <row r="72" spans="1:13" x14ac:dyDescent="0.25">
      <c r="A72" s="2">
        <v>41414</v>
      </c>
      <c r="B72" s="3">
        <v>3</v>
      </c>
      <c r="C72">
        <v>4</v>
      </c>
      <c r="D72">
        <v>27</v>
      </c>
      <c r="E72">
        <v>632</v>
      </c>
      <c r="F72">
        <v>63</v>
      </c>
      <c r="G72">
        <v>218</v>
      </c>
      <c r="H72">
        <v>10.15</v>
      </c>
      <c r="I72">
        <v>1.44</v>
      </c>
      <c r="J72">
        <v>74.180000000000007</v>
      </c>
      <c r="K72">
        <v>14.23</v>
      </c>
      <c r="L72">
        <f>(I72/(H72+I72))*100</f>
        <v>12.424503882657463</v>
      </c>
      <c r="M72">
        <f>I72/K72+I72</f>
        <v>1.5411946591707659</v>
      </c>
    </row>
    <row r="73" spans="1:13" x14ac:dyDescent="0.25">
      <c r="A73" s="2">
        <v>41435</v>
      </c>
      <c r="B73" s="3">
        <v>6</v>
      </c>
      <c r="C73">
        <v>25</v>
      </c>
      <c r="D73">
        <v>33</v>
      </c>
      <c r="E73">
        <v>1273</v>
      </c>
      <c r="F73">
        <v>66</v>
      </c>
      <c r="G73">
        <v>183</v>
      </c>
      <c r="H73">
        <v>16.96</v>
      </c>
      <c r="I73">
        <v>5.09</v>
      </c>
      <c r="J73">
        <v>46.94</v>
      </c>
      <c r="K73">
        <v>31.01</v>
      </c>
      <c r="L73">
        <f>(I73/(H73+I73))*100</f>
        <v>23.083900226757368</v>
      </c>
      <c r="M73">
        <f>I73/K73+I73</f>
        <v>5.2541405998065143</v>
      </c>
    </row>
    <row r="74" spans="1:13" x14ac:dyDescent="0.25">
      <c r="A74" s="2">
        <v>41435</v>
      </c>
      <c r="B74" s="3">
        <v>9</v>
      </c>
      <c r="C74">
        <v>25</v>
      </c>
      <c r="D74">
        <v>33</v>
      </c>
      <c r="E74">
        <v>1275</v>
      </c>
      <c r="F74">
        <v>66</v>
      </c>
      <c r="G74">
        <v>207</v>
      </c>
      <c r="H74">
        <v>58.12</v>
      </c>
      <c r="I74">
        <v>6.95</v>
      </c>
      <c r="J74">
        <v>27.9</v>
      </c>
      <c r="K74">
        <v>7.03</v>
      </c>
      <c r="L74">
        <f>(I74/(H74+I74))*100</f>
        <v>10.680805286614417</v>
      </c>
      <c r="M74">
        <f>I74/K74+I74</f>
        <v>7.9386201991465146</v>
      </c>
    </row>
    <row r="75" spans="1:13" x14ac:dyDescent="0.25">
      <c r="A75" s="2">
        <v>41439</v>
      </c>
      <c r="B75" s="3">
        <v>5</v>
      </c>
      <c r="C75">
        <v>29</v>
      </c>
      <c r="D75">
        <v>37</v>
      </c>
      <c r="E75">
        <v>1284</v>
      </c>
      <c r="F75">
        <v>66</v>
      </c>
      <c r="G75">
        <v>184</v>
      </c>
      <c r="H75">
        <v>8.81</v>
      </c>
      <c r="I75">
        <v>1.39</v>
      </c>
      <c r="J75">
        <v>69.150000000000006</v>
      </c>
      <c r="K75">
        <v>20.64</v>
      </c>
      <c r="L75">
        <f>(I75/(H75+I75))*100</f>
        <v>13.627450980392156</v>
      </c>
      <c r="M75">
        <f>I75/K75+I75</f>
        <v>1.45734496124031</v>
      </c>
    </row>
    <row r="76" spans="1:13" x14ac:dyDescent="0.25">
      <c r="A76" s="2">
        <v>41435</v>
      </c>
      <c r="B76" s="3">
        <v>5</v>
      </c>
      <c r="C76">
        <v>25</v>
      </c>
      <c r="D76">
        <v>33</v>
      </c>
      <c r="E76">
        <v>1269</v>
      </c>
      <c r="F76">
        <v>70</v>
      </c>
      <c r="G76">
        <v>192</v>
      </c>
      <c r="H76">
        <v>22.95</v>
      </c>
      <c r="I76">
        <v>4.6500000000000004</v>
      </c>
      <c r="J76">
        <v>49.31</v>
      </c>
      <c r="K76">
        <v>23.09</v>
      </c>
      <c r="L76">
        <f>(I76/(H76+I76))*100</f>
        <v>16.847826086956523</v>
      </c>
      <c r="M76">
        <f>I76/K76+I76</f>
        <v>4.8513858813339112</v>
      </c>
    </row>
    <row r="77" spans="1:13" x14ac:dyDescent="0.25">
      <c r="A77" s="2">
        <v>41414</v>
      </c>
      <c r="B77" s="3">
        <v>7</v>
      </c>
      <c r="C77">
        <v>4</v>
      </c>
      <c r="D77">
        <v>27</v>
      </c>
      <c r="E77">
        <v>1230</v>
      </c>
      <c r="F77">
        <v>72</v>
      </c>
      <c r="G77">
        <v>186</v>
      </c>
      <c r="H77">
        <v>3.96</v>
      </c>
      <c r="I77">
        <v>0.23</v>
      </c>
      <c r="J77">
        <v>86.38</v>
      </c>
      <c r="K77">
        <v>9.44</v>
      </c>
      <c r="L77">
        <f>(I77/(H77+I77))*100</f>
        <v>5.4892601431980905</v>
      </c>
      <c r="M77">
        <f>I77/K77+I77</f>
        <v>0.25436440677966105</v>
      </c>
    </row>
    <row r="78" spans="1:13" x14ac:dyDescent="0.25">
      <c r="A78" s="2">
        <v>41435</v>
      </c>
      <c r="B78" s="3">
        <v>7</v>
      </c>
      <c r="C78">
        <v>25</v>
      </c>
      <c r="D78">
        <v>33</v>
      </c>
      <c r="E78">
        <v>727</v>
      </c>
      <c r="F78">
        <v>112</v>
      </c>
      <c r="G78">
        <v>204</v>
      </c>
      <c r="H78">
        <v>13.07</v>
      </c>
      <c r="I78">
        <v>4.1900000000000004</v>
      </c>
      <c r="J78">
        <v>46.61</v>
      </c>
      <c r="K78">
        <v>36.130000000000003</v>
      </c>
      <c r="L78">
        <f>(I78/(H78+I78))*100</f>
        <v>24.275782155272303</v>
      </c>
      <c r="M78">
        <f>I78/K78+I78</f>
        <v>4.305970107943538</v>
      </c>
    </row>
    <row r="79" spans="1:13" x14ac:dyDescent="0.25">
      <c r="A79" s="2"/>
    </row>
    <row r="80" spans="1:13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</sheetData>
  <sortState ref="A2:M93">
    <sortCondition ref="F2:F93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selection activeCell="C9" sqref="C9"/>
    </sheetView>
  </sheetViews>
  <sheetFormatPr defaultRowHeight="15" x14ac:dyDescent="0.25"/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>
        <v>41069</v>
      </c>
      <c r="B2">
        <v>33</v>
      </c>
      <c r="C2">
        <v>257</v>
      </c>
      <c r="D2">
        <v>220</v>
      </c>
      <c r="E2" t="s">
        <v>17</v>
      </c>
      <c r="F2" t="s">
        <v>17</v>
      </c>
      <c r="G2">
        <v>30</v>
      </c>
      <c r="H2">
        <v>149.15</v>
      </c>
    </row>
    <row r="3" spans="1:8" x14ac:dyDescent="0.25">
      <c r="A3">
        <v>41069</v>
      </c>
      <c r="B3">
        <v>33</v>
      </c>
      <c r="C3">
        <v>793</v>
      </c>
      <c r="D3">
        <v>212</v>
      </c>
      <c r="E3" t="s">
        <v>17</v>
      </c>
      <c r="F3" t="s">
        <v>17</v>
      </c>
      <c r="G3">
        <v>52.5</v>
      </c>
      <c r="H3">
        <v>181.45</v>
      </c>
    </row>
    <row r="4" spans="1:8" x14ac:dyDescent="0.25">
      <c r="A4">
        <v>41069</v>
      </c>
      <c r="B4">
        <v>33</v>
      </c>
      <c r="C4" t="s">
        <v>17</v>
      </c>
      <c r="D4" t="s">
        <v>17</v>
      </c>
      <c r="E4">
        <v>15.5</v>
      </c>
      <c r="F4">
        <v>95.9</v>
      </c>
      <c r="G4">
        <v>13</v>
      </c>
      <c r="H4">
        <v>75.449999999999989</v>
      </c>
    </row>
    <row r="5" spans="1:8" x14ac:dyDescent="0.25">
      <c r="A5">
        <v>41069</v>
      </c>
      <c r="B5">
        <v>33</v>
      </c>
      <c r="C5">
        <v>323</v>
      </c>
      <c r="D5">
        <v>229</v>
      </c>
      <c r="E5">
        <v>3.5</v>
      </c>
      <c r="F5">
        <v>190.83500000000001</v>
      </c>
      <c r="G5">
        <v>2.5</v>
      </c>
      <c r="H5">
        <v>51.75</v>
      </c>
    </row>
    <row r="6" spans="1:8" x14ac:dyDescent="0.25">
      <c r="A6">
        <v>41070</v>
      </c>
      <c r="B6">
        <v>29</v>
      </c>
      <c r="C6">
        <v>618</v>
      </c>
      <c r="D6">
        <v>234</v>
      </c>
      <c r="E6">
        <v>126.5</v>
      </c>
      <c r="F6">
        <v>335.45</v>
      </c>
      <c r="G6" t="s">
        <v>17</v>
      </c>
      <c r="H6" t="s">
        <v>17</v>
      </c>
    </row>
    <row r="7" spans="1:8" x14ac:dyDescent="0.25">
      <c r="A7">
        <v>41070</v>
      </c>
      <c r="B7">
        <v>29</v>
      </c>
      <c r="C7">
        <v>770</v>
      </c>
      <c r="D7">
        <v>239</v>
      </c>
      <c r="E7">
        <v>152</v>
      </c>
      <c r="F7">
        <v>393.5</v>
      </c>
      <c r="G7">
        <v>22</v>
      </c>
      <c r="H7">
        <v>84.074999999999989</v>
      </c>
    </row>
    <row r="8" spans="1:8" x14ac:dyDescent="0.25">
      <c r="A8">
        <v>41070</v>
      </c>
      <c r="B8">
        <v>29</v>
      </c>
      <c r="C8">
        <v>286</v>
      </c>
      <c r="D8">
        <v>218</v>
      </c>
      <c r="E8">
        <v>13.5</v>
      </c>
      <c r="F8">
        <v>204.215</v>
      </c>
      <c r="G8">
        <v>11</v>
      </c>
      <c r="H8">
        <v>193.6</v>
      </c>
    </row>
    <row r="9" spans="1:8" x14ac:dyDescent="0.25">
      <c r="A9">
        <v>41070</v>
      </c>
      <c r="B9">
        <v>29</v>
      </c>
      <c r="C9">
        <v>654</v>
      </c>
      <c r="D9">
        <v>223</v>
      </c>
      <c r="E9">
        <v>1</v>
      </c>
      <c r="F9">
        <v>156</v>
      </c>
      <c r="G9" t="s">
        <v>17</v>
      </c>
      <c r="H9" t="s">
        <v>17</v>
      </c>
    </row>
    <row r="10" spans="1:8" x14ac:dyDescent="0.25">
      <c r="A10">
        <v>41070</v>
      </c>
      <c r="B10">
        <v>29</v>
      </c>
      <c r="C10">
        <v>365</v>
      </c>
      <c r="D10">
        <v>213</v>
      </c>
      <c r="E10">
        <v>0</v>
      </c>
      <c r="F10" t="s">
        <v>17</v>
      </c>
      <c r="G10">
        <v>7</v>
      </c>
      <c r="H10">
        <v>139.25</v>
      </c>
    </row>
    <row r="11" spans="1:8" x14ac:dyDescent="0.25">
      <c r="A11">
        <v>41070</v>
      </c>
      <c r="B11">
        <v>29</v>
      </c>
      <c r="C11">
        <v>185</v>
      </c>
      <c r="D11">
        <v>204</v>
      </c>
      <c r="E11">
        <v>38</v>
      </c>
      <c r="F11">
        <v>355.15</v>
      </c>
      <c r="G11">
        <v>1.5</v>
      </c>
      <c r="H11">
        <v>109</v>
      </c>
    </row>
    <row r="12" spans="1:8" x14ac:dyDescent="0.25">
      <c r="A12">
        <v>41070</v>
      </c>
      <c r="B12">
        <v>29</v>
      </c>
      <c r="C12">
        <v>618</v>
      </c>
      <c r="D12">
        <v>234</v>
      </c>
      <c r="E12">
        <v>126.5</v>
      </c>
      <c r="F12">
        <v>335.45</v>
      </c>
      <c r="G12">
        <v>72.5</v>
      </c>
      <c r="H12">
        <v>132.80000000000001</v>
      </c>
    </row>
    <row r="13" spans="1:8" x14ac:dyDescent="0.25">
      <c r="A13">
        <v>41070</v>
      </c>
      <c r="B13">
        <v>29</v>
      </c>
      <c r="C13">
        <v>545</v>
      </c>
      <c r="D13">
        <v>195</v>
      </c>
      <c r="E13">
        <v>29.5</v>
      </c>
      <c r="F13">
        <v>136</v>
      </c>
      <c r="G13">
        <v>17</v>
      </c>
      <c r="H13">
        <v>198.8</v>
      </c>
    </row>
    <row r="14" spans="1:8" x14ac:dyDescent="0.25">
      <c r="A14">
        <v>41070</v>
      </c>
      <c r="B14">
        <v>29</v>
      </c>
      <c r="C14">
        <v>684</v>
      </c>
      <c r="D14">
        <v>197</v>
      </c>
      <c r="E14">
        <v>42.5</v>
      </c>
      <c r="F14">
        <v>150.60000000000002</v>
      </c>
      <c r="G14">
        <v>23.5</v>
      </c>
      <c r="H14">
        <v>91.515000000000001</v>
      </c>
    </row>
    <row r="15" spans="1:8" x14ac:dyDescent="0.25">
      <c r="A15">
        <v>41071</v>
      </c>
      <c r="B15">
        <v>37</v>
      </c>
      <c r="C15">
        <v>520</v>
      </c>
      <c r="D15">
        <v>222</v>
      </c>
      <c r="E15">
        <v>31.5</v>
      </c>
      <c r="F15">
        <v>114.85</v>
      </c>
      <c r="G15">
        <v>16.5</v>
      </c>
      <c r="H15">
        <v>113.755</v>
      </c>
    </row>
    <row r="16" spans="1:8" x14ac:dyDescent="0.25">
      <c r="A16">
        <v>41071</v>
      </c>
      <c r="B16">
        <v>37</v>
      </c>
      <c r="C16">
        <v>390</v>
      </c>
      <c r="D16">
        <v>221</v>
      </c>
      <c r="E16">
        <v>51</v>
      </c>
      <c r="F16">
        <v>167.25</v>
      </c>
      <c r="G16">
        <v>12</v>
      </c>
      <c r="H16">
        <v>92.584999999999994</v>
      </c>
    </row>
    <row r="17" spans="1:8" x14ac:dyDescent="0.25">
      <c r="A17">
        <v>41071</v>
      </c>
      <c r="B17">
        <v>37</v>
      </c>
      <c r="C17">
        <v>1027</v>
      </c>
      <c r="D17">
        <v>187</v>
      </c>
      <c r="E17">
        <v>172</v>
      </c>
      <c r="F17">
        <v>255.95</v>
      </c>
      <c r="G17">
        <v>40</v>
      </c>
      <c r="H17">
        <v>99.15</v>
      </c>
    </row>
    <row r="18" spans="1:8" x14ac:dyDescent="0.25">
      <c r="A18">
        <v>41071</v>
      </c>
      <c r="B18">
        <v>37</v>
      </c>
      <c r="C18">
        <v>1183</v>
      </c>
      <c r="D18">
        <v>219</v>
      </c>
      <c r="E18">
        <v>7.5</v>
      </c>
      <c r="F18">
        <v>83.055000000000007</v>
      </c>
      <c r="G18">
        <v>3</v>
      </c>
      <c r="H18">
        <v>92.414999999999992</v>
      </c>
    </row>
    <row r="19" spans="1:8" x14ac:dyDescent="0.25">
      <c r="A19">
        <v>41071</v>
      </c>
      <c r="B19">
        <v>37</v>
      </c>
      <c r="C19">
        <v>609</v>
      </c>
      <c r="D19">
        <v>222</v>
      </c>
      <c r="E19">
        <v>126</v>
      </c>
      <c r="F19">
        <v>212.15</v>
      </c>
      <c r="G19">
        <v>36.5</v>
      </c>
      <c r="H19">
        <v>102.6</v>
      </c>
    </row>
    <row r="20" spans="1:8" x14ac:dyDescent="0.25">
      <c r="A20">
        <v>41071</v>
      </c>
      <c r="B20">
        <v>37</v>
      </c>
      <c r="C20">
        <v>1180</v>
      </c>
      <c r="D20">
        <v>192</v>
      </c>
      <c r="E20">
        <v>93</v>
      </c>
      <c r="F20">
        <v>129.75</v>
      </c>
      <c r="G20">
        <v>1.5</v>
      </c>
      <c r="H20">
        <v>77</v>
      </c>
    </row>
    <row r="21" spans="1:8" x14ac:dyDescent="0.25">
      <c r="A21">
        <v>41071</v>
      </c>
      <c r="B21">
        <v>37</v>
      </c>
      <c r="C21">
        <v>1181</v>
      </c>
      <c r="D21" t="s">
        <v>17</v>
      </c>
      <c r="E21">
        <v>80.5</v>
      </c>
      <c r="F21">
        <v>183.2</v>
      </c>
      <c r="G21">
        <v>24.5</v>
      </c>
      <c r="H21">
        <v>74.550000000000011</v>
      </c>
    </row>
    <row r="22" spans="1:8" x14ac:dyDescent="0.25">
      <c r="A22">
        <v>41071</v>
      </c>
      <c r="B22">
        <v>37</v>
      </c>
      <c r="C22">
        <v>1182</v>
      </c>
      <c r="D22">
        <v>195</v>
      </c>
      <c r="E22">
        <v>116</v>
      </c>
      <c r="F22">
        <v>191.5</v>
      </c>
      <c r="G22" t="s">
        <v>17</v>
      </c>
      <c r="H22" t="s">
        <v>17</v>
      </c>
    </row>
    <row r="23" spans="1:8" x14ac:dyDescent="0.25">
      <c r="A23">
        <v>41077</v>
      </c>
      <c r="B23">
        <v>27</v>
      </c>
      <c r="C23">
        <v>356</v>
      </c>
      <c r="D23">
        <v>202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41077</v>
      </c>
      <c r="B24">
        <v>27</v>
      </c>
      <c r="C24">
        <v>394</v>
      </c>
      <c r="D24">
        <v>193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41077</v>
      </c>
      <c r="B25">
        <v>27</v>
      </c>
      <c r="C25">
        <v>1194</v>
      </c>
      <c r="D25">
        <v>168</v>
      </c>
      <c r="E25">
        <v>5.5</v>
      </c>
      <c r="F25">
        <v>60.465000000000003</v>
      </c>
      <c r="G25">
        <v>3</v>
      </c>
      <c r="H25">
        <v>99.75</v>
      </c>
    </row>
    <row r="26" spans="1:8" x14ac:dyDescent="0.25">
      <c r="A26">
        <v>41077</v>
      </c>
      <c r="B26">
        <v>27</v>
      </c>
      <c r="C26">
        <v>646</v>
      </c>
      <c r="D26">
        <v>212</v>
      </c>
      <c r="E26">
        <v>0.5</v>
      </c>
      <c r="F26">
        <v>112</v>
      </c>
      <c r="G26">
        <v>0</v>
      </c>
      <c r="H26">
        <v>0</v>
      </c>
    </row>
    <row r="27" spans="1:8" x14ac:dyDescent="0.25">
      <c r="A27">
        <v>41077</v>
      </c>
      <c r="B27">
        <v>27</v>
      </c>
      <c r="C27">
        <v>1141</v>
      </c>
      <c r="D27">
        <v>172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41077</v>
      </c>
      <c r="B28">
        <v>27</v>
      </c>
      <c r="C28">
        <v>1195</v>
      </c>
      <c r="D28">
        <v>185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41102</v>
      </c>
      <c r="B29">
        <v>37</v>
      </c>
      <c r="C29">
        <v>431</v>
      </c>
      <c r="D29">
        <v>222</v>
      </c>
      <c r="E29">
        <v>28</v>
      </c>
      <c r="F29">
        <v>206.65</v>
      </c>
      <c r="G29">
        <v>15</v>
      </c>
      <c r="H29">
        <v>288.8</v>
      </c>
    </row>
    <row r="30" spans="1:8" x14ac:dyDescent="0.25">
      <c r="A30">
        <v>41102</v>
      </c>
      <c r="B30">
        <v>37</v>
      </c>
      <c r="C30">
        <v>501</v>
      </c>
      <c r="D30">
        <v>220</v>
      </c>
      <c r="E30">
        <v>64</v>
      </c>
      <c r="F30">
        <v>144.80000000000001</v>
      </c>
      <c r="G30">
        <v>27</v>
      </c>
      <c r="H30">
        <v>138.5</v>
      </c>
    </row>
    <row r="31" spans="1:8" x14ac:dyDescent="0.25">
      <c r="A31">
        <v>41102</v>
      </c>
      <c r="B31">
        <v>37</v>
      </c>
      <c r="C31">
        <v>403</v>
      </c>
      <c r="D31">
        <v>205</v>
      </c>
      <c r="E31">
        <v>186</v>
      </c>
      <c r="F31">
        <v>276.2</v>
      </c>
      <c r="G31">
        <v>84.5</v>
      </c>
      <c r="H31">
        <v>160</v>
      </c>
    </row>
    <row r="32" spans="1:8" x14ac:dyDescent="0.25">
      <c r="A32">
        <v>41102</v>
      </c>
      <c r="B32">
        <v>37</v>
      </c>
      <c r="C32">
        <v>1197</v>
      </c>
      <c r="D32">
        <v>245</v>
      </c>
      <c r="E32">
        <v>62</v>
      </c>
      <c r="F32">
        <v>410.2</v>
      </c>
      <c r="G32">
        <v>80</v>
      </c>
      <c r="H32">
        <v>232.8</v>
      </c>
    </row>
    <row r="33" spans="1:8" x14ac:dyDescent="0.25">
      <c r="A33">
        <v>41104</v>
      </c>
      <c r="B33">
        <v>33</v>
      </c>
      <c r="C33">
        <v>1117</v>
      </c>
      <c r="D33">
        <v>209</v>
      </c>
      <c r="E33">
        <v>50</v>
      </c>
      <c r="F33">
        <v>206.4</v>
      </c>
      <c r="G33">
        <v>41.5</v>
      </c>
      <c r="H33">
        <v>276.60000000000002</v>
      </c>
    </row>
    <row r="34" spans="1:8" x14ac:dyDescent="0.25">
      <c r="A34">
        <v>41104</v>
      </c>
      <c r="B34">
        <v>33</v>
      </c>
      <c r="C34">
        <v>1198</v>
      </c>
      <c r="D34">
        <v>217</v>
      </c>
      <c r="E34">
        <v>36.5</v>
      </c>
      <c r="F34">
        <v>273</v>
      </c>
      <c r="G34">
        <v>30.5</v>
      </c>
      <c r="H34">
        <v>129.61000000000001</v>
      </c>
    </row>
    <row r="35" spans="1:8" x14ac:dyDescent="0.25">
      <c r="A35">
        <v>41104</v>
      </c>
      <c r="B35">
        <v>33</v>
      </c>
      <c r="C35">
        <v>218</v>
      </c>
      <c r="D35">
        <v>192</v>
      </c>
      <c r="E35">
        <v>65.5</v>
      </c>
      <c r="F35">
        <v>417.4</v>
      </c>
      <c r="G35">
        <v>30.5</v>
      </c>
      <c r="H35">
        <v>237.30500000000001</v>
      </c>
    </row>
    <row r="36" spans="1:8" x14ac:dyDescent="0.25">
      <c r="A36">
        <v>41104</v>
      </c>
      <c r="B36">
        <v>33</v>
      </c>
      <c r="C36">
        <v>323</v>
      </c>
      <c r="D36">
        <v>210</v>
      </c>
      <c r="E36">
        <v>90.5</v>
      </c>
      <c r="F36">
        <v>120.4</v>
      </c>
      <c r="G36">
        <v>56</v>
      </c>
      <c r="H36">
        <v>124.60000000000001</v>
      </c>
    </row>
    <row r="37" spans="1:8" x14ac:dyDescent="0.25">
      <c r="A37">
        <v>41104</v>
      </c>
      <c r="B37">
        <v>33</v>
      </c>
      <c r="C37">
        <v>112</v>
      </c>
      <c r="D37">
        <v>217</v>
      </c>
      <c r="E37">
        <v>67</v>
      </c>
      <c r="F37">
        <v>217.6</v>
      </c>
      <c r="G37">
        <v>9</v>
      </c>
      <c r="H37">
        <v>81.449999999999989</v>
      </c>
    </row>
    <row r="38" spans="1:8" x14ac:dyDescent="0.25">
      <c r="A38">
        <v>41104</v>
      </c>
      <c r="B38">
        <v>33</v>
      </c>
      <c r="C38">
        <v>410</v>
      </c>
      <c r="D38">
        <v>234</v>
      </c>
      <c r="E38">
        <v>30</v>
      </c>
      <c r="F38">
        <v>187.2</v>
      </c>
      <c r="G38">
        <v>1</v>
      </c>
      <c r="H38">
        <v>52</v>
      </c>
    </row>
    <row r="39" spans="1:8" x14ac:dyDescent="0.25">
      <c r="A39">
        <v>41104</v>
      </c>
      <c r="B39">
        <v>33</v>
      </c>
      <c r="C39">
        <v>490</v>
      </c>
      <c r="D39">
        <v>187</v>
      </c>
      <c r="E39">
        <v>99.5</v>
      </c>
      <c r="F39">
        <v>410</v>
      </c>
      <c r="G39">
        <v>55.5</v>
      </c>
      <c r="H39">
        <v>155.4</v>
      </c>
    </row>
    <row r="40" spans="1:8" x14ac:dyDescent="0.25">
      <c r="A40">
        <v>41115</v>
      </c>
      <c r="B40">
        <v>37</v>
      </c>
      <c r="C40">
        <v>322</v>
      </c>
      <c r="D40">
        <v>202</v>
      </c>
      <c r="E40">
        <v>112.5</v>
      </c>
      <c r="F40">
        <v>194.2</v>
      </c>
      <c r="G40">
        <v>136</v>
      </c>
      <c r="H40">
        <v>84</v>
      </c>
    </row>
    <row r="41" spans="1:8" x14ac:dyDescent="0.25">
      <c r="A41">
        <v>41115</v>
      </c>
      <c r="B41">
        <v>37</v>
      </c>
      <c r="C41">
        <v>1201</v>
      </c>
      <c r="D41">
        <v>177</v>
      </c>
      <c r="E41">
        <v>82</v>
      </c>
      <c r="F41">
        <v>125.2</v>
      </c>
      <c r="G41">
        <v>57</v>
      </c>
      <c r="H41">
        <v>114.4</v>
      </c>
    </row>
    <row r="42" spans="1:8" x14ac:dyDescent="0.25">
      <c r="A42">
        <v>41115</v>
      </c>
      <c r="B42">
        <v>37</v>
      </c>
      <c r="C42">
        <v>540</v>
      </c>
      <c r="D42">
        <v>210</v>
      </c>
      <c r="E42">
        <v>180.5</v>
      </c>
      <c r="F42">
        <v>127.4</v>
      </c>
      <c r="G42">
        <v>209.5</v>
      </c>
      <c r="H42">
        <v>62.2</v>
      </c>
    </row>
    <row r="43" spans="1:8" x14ac:dyDescent="0.25">
      <c r="A43">
        <v>41115</v>
      </c>
      <c r="B43">
        <v>37</v>
      </c>
      <c r="C43">
        <v>365</v>
      </c>
      <c r="D43">
        <v>200</v>
      </c>
      <c r="E43" t="s">
        <v>17</v>
      </c>
      <c r="F43" t="s">
        <v>17</v>
      </c>
      <c r="G43">
        <v>134</v>
      </c>
      <c r="H43">
        <v>90</v>
      </c>
    </row>
    <row r="44" spans="1:8" x14ac:dyDescent="0.25">
      <c r="A44">
        <v>41115</v>
      </c>
      <c r="B44">
        <v>37</v>
      </c>
      <c r="C44">
        <v>1199</v>
      </c>
      <c r="D44">
        <v>197</v>
      </c>
      <c r="E44" t="s">
        <v>17</v>
      </c>
      <c r="F44" t="s">
        <v>17</v>
      </c>
      <c r="G44">
        <v>74.5</v>
      </c>
      <c r="H44">
        <v>129.19999999999999</v>
      </c>
    </row>
    <row r="45" spans="1:8" x14ac:dyDescent="0.25">
      <c r="A45">
        <v>41115</v>
      </c>
      <c r="B45">
        <v>37</v>
      </c>
      <c r="C45">
        <v>430</v>
      </c>
      <c r="D45">
        <v>205</v>
      </c>
      <c r="E45">
        <v>79</v>
      </c>
      <c r="F45">
        <v>124.8</v>
      </c>
      <c r="G45">
        <v>48</v>
      </c>
      <c r="H45">
        <v>105.2</v>
      </c>
    </row>
    <row r="46" spans="1:8" x14ac:dyDescent="0.25">
      <c r="A46">
        <v>41115</v>
      </c>
      <c r="B46">
        <v>37</v>
      </c>
      <c r="C46">
        <v>306</v>
      </c>
      <c r="D46">
        <v>205</v>
      </c>
      <c r="E46">
        <v>164</v>
      </c>
      <c r="F46">
        <v>186.4</v>
      </c>
      <c r="G46">
        <v>100.5</v>
      </c>
      <c r="H46">
        <v>106.2</v>
      </c>
    </row>
    <row r="47" spans="1:8" x14ac:dyDescent="0.25">
      <c r="A47">
        <v>41121</v>
      </c>
      <c r="B47">
        <v>29</v>
      </c>
      <c r="C47">
        <v>792</v>
      </c>
      <c r="D47">
        <v>224</v>
      </c>
      <c r="E47">
        <v>23.5</v>
      </c>
      <c r="F47">
        <v>149.19999999999999</v>
      </c>
      <c r="G47">
        <v>14.5</v>
      </c>
      <c r="H47">
        <v>198.4</v>
      </c>
    </row>
    <row r="48" spans="1:8" x14ac:dyDescent="0.25">
      <c r="A48">
        <v>41121</v>
      </c>
      <c r="B48">
        <v>29</v>
      </c>
      <c r="C48">
        <v>1209</v>
      </c>
      <c r="D48">
        <v>194</v>
      </c>
      <c r="E48">
        <v>99</v>
      </c>
      <c r="F48">
        <v>211</v>
      </c>
      <c r="G48">
        <v>54</v>
      </c>
      <c r="H48">
        <v>100.6</v>
      </c>
    </row>
    <row r="49" spans="1:8" x14ac:dyDescent="0.25">
      <c r="A49">
        <v>41121</v>
      </c>
      <c r="B49">
        <v>29</v>
      </c>
      <c r="C49">
        <v>1210</v>
      </c>
      <c r="D49">
        <v>191</v>
      </c>
      <c r="E49">
        <v>119</v>
      </c>
      <c r="F49">
        <v>285.79999999999995</v>
      </c>
      <c r="G49">
        <v>47</v>
      </c>
      <c r="H49">
        <v>63.2</v>
      </c>
    </row>
    <row r="50" spans="1:8" x14ac:dyDescent="0.25">
      <c r="A50">
        <v>41121</v>
      </c>
      <c r="B50">
        <v>29</v>
      </c>
      <c r="C50">
        <v>1211</v>
      </c>
      <c r="D50">
        <v>176</v>
      </c>
      <c r="E50">
        <v>116</v>
      </c>
      <c r="F50">
        <v>253.2</v>
      </c>
      <c r="G50">
        <v>26.5</v>
      </c>
      <c r="H50">
        <v>58.4</v>
      </c>
    </row>
    <row r="51" spans="1:8" x14ac:dyDescent="0.25">
      <c r="A51">
        <v>41119</v>
      </c>
      <c r="B51">
        <v>27</v>
      </c>
      <c r="C51">
        <v>203</v>
      </c>
      <c r="D51">
        <v>211</v>
      </c>
      <c r="E51">
        <v>1</v>
      </c>
      <c r="F51">
        <v>43</v>
      </c>
      <c r="G51">
        <v>1</v>
      </c>
      <c r="H51">
        <v>78</v>
      </c>
    </row>
    <row r="52" spans="1:8" x14ac:dyDescent="0.25">
      <c r="A52">
        <v>41119</v>
      </c>
      <c r="B52">
        <v>27</v>
      </c>
      <c r="C52">
        <v>574</v>
      </c>
      <c r="D52">
        <v>210</v>
      </c>
      <c r="E52">
        <v>2</v>
      </c>
      <c r="F52">
        <v>53</v>
      </c>
      <c r="G52">
        <v>6</v>
      </c>
      <c r="H52">
        <v>56</v>
      </c>
    </row>
    <row r="53" spans="1:8" x14ac:dyDescent="0.25">
      <c r="A53">
        <v>41119</v>
      </c>
      <c r="B53">
        <v>27</v>
      </c>
      <c r="C53">
        <v>685</v>
      </c>
      <c r="D53">
        <v>189</v>
      </c>
      <c r="E53">
        <v>28.5</v>
      </c>
      <c r="F53">
        <v>82</v>
      </c>
      <c r="G53">
        <v>15.5</v>
      </c>
      <c r="H53">
        <v>48.8</v>
      </c>
    </row>
    <row r="54" spans="1:8" x14ac:dyDescent="0.25">
      <c r="A54">
        <v>41119</v>
      </c>
      <c r="B54">
        <v>27</v>
      </c>
      <c r="C54">
        <v>1203</v>
      </c>
      <c r="D54">
        <v>203</v>
      </c>
      <c r="E54">
        <v>21</v>
      </c>
      <c r="F54">
        <v>70</v>
      </c>
      <c r="G54">
        <v>10</v>
      </c>
      <c r="H54">
        <v>46.4</v>
      </c>
    </row>
    <row r="55" spans="1:8" x14ac:dyDescent="0.25">
      <c r="A55">
        <v>41119</v>
      </c>
      <c r="B55">
        <v>27</v>
      </c>
      <c r="C55">
        <v>1204</v>
      </c>
      <c r="D55">
        <v>213</v>
      </c>
      <c r="E55">
        <v>11</v>
      </c>
      <c r="F55">
        <v>115</v>
      </c>
      <c r="G55">
        <v>0</v>
      </c>
      <c r="H55">
        <v>0</v>
      </c>
    </row>
    <row r="56" spans="1:8" x14ac:dyDescent="0.25">
      <c r="A56">
        <v>41119</v>
      </c>
      <c r="B56">
        <v>27</v>
      </c>
      <c r="C56">
        <v>248</v>
      </c>
      <c r="D56">
        <v>221</v>
      </c>
      <c r="E56">
        <v>3</v>
      </c>
      <c r="F56">
        <v>73.599999999999994</v>
      </c>
      <c r="G56">
        <v>0</v>
      </c>
      <c r="H56">
        <v>0</v>
      </c>
    </row>
    <row r="57" spans="1:8" x14ac:dyDescent="0.25">
      <c r="A57">
        <v>41120</v>
      </c>
      <c r="B57">
        <v>33</v>
      </c>
      <c r="C57">
        <v>1213</v>
      </c>
      <c r="D57">
        <v>186</v>
      </c>
      <c r="E57">
        <v>6</v>
      </c>
      <c r="F57">
        <v>37.335000000000001</v>
      </c>
      <c r="G57">
        <v>24</v>
      </c>
      <c r="H57">
        <v>46</v>
      </c>
    </row>
    <row r="58" spans="1:8" x14ac:dyDescent="0.25">
      <c r="A58">
        <v>41120</v>
      </c>
      <c r="B58">
        <v>33</v>
      </c>
      <c r="C58">
        <v>1185</v>
      </c>
      <c r="D58">
        <v>187</v>
      </c>
      <c r="E58">
        <v>22.5</v>
      </c>
      <c r="F58">
        <v>51.35</v>
      </c>
      <c r="G58">
        <v>45</v>
      </c>
      <c r="H58">
        <v>54.2</v>
      </c>
    </row>
    <row r="59" spans="1:8" x14ac:dyDescent="0.25">
      <c r="A59">
        <v>41120</v>
      </c>
      <c r="B59">
        <v>33</v>
      </c>
      <c r="C59">
        <v>312</v>
      </c>
      <c r="D59">
        <v>217</v>
      </c>
      <c r="E59">
        <v>39.5</v>
      </c>
      <c r="F59">
        <v>88.2</v>
      </c>
      <c r="G59">
        <v>16</v>
      </c>
      <c r="H59">
        <v>55.135000000000005</v>
      </c>
    </row>
    <row r="60" spans="1:8" x14ac:dyDescent="0.25">
      <c r="A60">
        <v>41120</v>
      </c>
      <c r="B60">
        <v>33</v>
      </c>
      <c r="C60">
        <v>1207</v>
      </c>
      <c r="D60">
        <v>197</v>
      </c>
      <c r="E60">
        <v>48</v>
      </c>
      <c r="F60" t="s">
        <v>17</v>
      </c>
      <c r="G60" t="s">
        <v>17</v>
      </c>
      <c r="H6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Illinois State University / 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lmzimme</dc:creator>
  <cp:lastModifiedBy>Laura Zimmerman</cp:lastModifiedBy>
  <dcterms:created xsi:type="dcterms:W3CDTF">2013-05-21T19:38:26Z</dcterms:created>
  <dcterms:modified xsi:type="dcterms:W3CDTF">2017-03-02T14:13:16Z</dcterms:modified>
</cp:coreProperties>
</file>