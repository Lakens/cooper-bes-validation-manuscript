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i unidad\Articulos y publicaciones\0 - SCI\Completos\97. People Nat 24\6b. People Nat\Re-resubmission\Dryad 2\"/>
    </mc:Choice>
  </mc:AlternateContent>
  <xr:revisionPtr revIDLastSave="0" documentId="13_ncr:1_{2680B54A-8229-4E4A-8B66-685163CAC14A}" xr6:coauthVersionLast="47" xr6:coauthVersionMax="47" xr10:uidLastSave="{00000000-0000-0000-0000-000000000000}"/>
  <bookViews>
    <workbookView xWindow="-108" yWindow="-108" windowWidth="23256" windowHeight="12456" tabRatio="785" xr2:uid="{00000000-000D-0000-FFFF-FFFF00000000}"/>
  </bookViews>
  <sheets>
    <sheet name="Occupied by Bonelli's (n=72)" sheetId="1" r:id="rId1"/>
    <sheet name="Occupied by golden (n=31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4" i="1" l="1"/>
  <c r="S33" i="3"/>
  <c r="D74" i="1" l="1"/>
  <c r="E74" i="1"/>
  <c r="F74" i="1"/>
  <c r="G74" i="1"/>
  <c r="H74" i="1"/>
  <c r="D75" i="1"/>
  <c r="E75" i="1"/>
  <c r="F75" i="1"/>
  <c r="G75" i="1"/>
  <c r="H75" i="1"/>
  <c r="D33" i="3"/>
  <c r="E33" i="3"/>
  <c r="F33" i="3"/>
  <c r="G33" i="3"/>
  <c r="H33" i="3"/>
  <c r="D34" i="3"/>
  <c r="E34" i="3"/>
  <c r="F34" i="3"/>
  <c r="G34" i="3"/>
  <c r="H34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2" i="1"/>
  <c r="I3" i="1"/>
  <c r="M3" i="1" s="1"/>
  <c r="N3" i="1" s="1"/>
  <c r="I4" i="1"/>
  <c r="M4" i="1" s="1"/>
  <c r="N4" i="1" s="1"/>
  <c r="I5" i="1"/>
  <c r="M5" i="1" s="1"/>
  <c r="N5" i="1" s="1"/>
  <c r="I6" i="1"/>
  <c r="M6" i="1" s="1"/>
  <c r="N6" i="1" s="1"/>
  <c r="I7" i="1"/>
  <c r="M7" i="1" s="1"/>
  <c r="N7" i="1" s="1"/>
  <c r="I8" i="1"/>
  <c r="M8" i="1" s="1"/>
  <c r="N8" i="1" s="1"/>
  <c r="I9" i="1"/>
  <c r="M9" i="1" s="1"/>
  <c r="N9" i="1" s="1"/>
  <c r="I10" i="1"/>
  <c r="M10" i="1" s="1"/>
  <c r="N10" i="1" s="1"/>
  <c r="I11" i="1"/>
  <c r="M11" i="1" s="1"/>
  <c r="N11" i="1" s="1"/>
  <c r="I12" i="1"/>
  <c r="M12" i="1" s="1"/>
  <c r="N12" i="1" s="1"/>
  <c r="I13" i="1"/>
  <c r="M13" i="1" s="1"/>
  <c r="N13" i="1" s="1"/>
  <c r="I14" i="1"/>
  <c r="M14" i="1" s="1"/>
  <c r="N14" i="1" s="1"/>
  <c r="I15" i="1"/>
  <c r="M15" i="1" s="1"/>
  <c r="N15" i="1" s="1"/>
  <c r="I16" i="1"/>
  <c r="M16" i="1" s="1"/>
  <c r="N16" i="1" s="1"/>
  <c r="I17" i="1"/>
  <c r="M17" i="1" s="1"/>
  <c r="N17" i="1" s="1"/>
  <c r="I18" i="1"/>
  <c r="M18" i="1" s="1"/>
  <c r="N18" i="1" s="1"/>
  <c r="I19" i="1"/>
  <c r="M19" i="1" s="1"/>
  <c r="N19" i="1" s="1"/>
  <c r="I20" i="1"/>
  <c r="M20" i="1" s="1"/>
  <c r="N20" i="1" s="1"/>
  <c r="I21" i="1"/>
  <c r="M21" i="1" s="1"/>
  <c r="N21" i="1" s="1"/>
  <c r="I22" i="1"/>
  <c r="M22" i="1" s="1"/>
  <c r="N22" i="1" s="1"/>
  <c r="I23" i="1"/>
  <c r="M23" i="1" s="1"/>
  <c r="N23" i="1" s="1"/>
  <c r="I24" i="1"/>
  <c r="M24" i="1" s="1"/>
  <c r="N24" i="1" s="1"/>
  <c r="I25" i="1"/>
  <c r="M25" i="1" s="1"/>
  <c r="N25" i="1" s="1"/>
  <c r="I26" i="1"/>
  <c r="M26" i="1" s="1"/>
  <c r="N26" i="1" s="1"/>
  <c r="I27" i="1"/>
  <c r="M27" i="1" s="1"/>
  <c r="N27" i="1" s="1"/>
  <c r="I28" i="1"/>
  <c r="M28" i="1" s="1"/>
  <c r="N28" i="1" s="1"/>
  <c r="I29" i="1"/>
  <c r="M29" i="1" s="1"/>
  <c r="N29" i="1" s="1"/>
  <c r="I30" i="1"/>
  <c r="M30" i="1" s="1"/>
  <c r="N30" i="1" s="1"/>
  <c r="I31" i="1"/>
  <c r="M31" i="1" s="1"/>
  <c r="N31" i="1" s="1"/>
  <c r="I32" i="1"/>
  <c r="M32" i="1" s="1"/>
  <c r="N32" i="1" s="1"/>
  <c r="I33" i="1"/>
  <c r="M33" i="1" s="1"/>
  <c r="N33" i="1" s="1"/>
  <c r="I34" i="1"/>
  <c r="M34" i="1" s="1"/>
  <c r="N34" i="1" s="1"/>
  <c r="I35" i="1"/>
  <c r="M35" i="1" s="1"/>
  <c r="N35" i="1" s="1"/>
  <c r="I36" i="1"/>
  <c r="M36" i="1" s="1"/>
  <c r="N36" i="1" s="1"/>
  <c r="I37" i="1"/>
  <c r="M37" i="1" s="1"/>
  <c r="N37" i="1" s="1"/>
  <c r="I38" i="1"/>
  <c r="M38" i="1" s="1"/>
  <c r="N38" i="1" s="1"/>
  <c r="I39" i="1"/>
  <c r="M39" i="1" s="1"/>
  <c r="N39" i="1" s="1"/>
  <c r="I40" i="1"/>
  <c r="M40" i="1" s="1"/>
  <c r="N40" i="1" s="1"/>
  <c r="I41" i="1"/>
  <c r="M41" i="1" s="1"/>
  <c r="N41" i="1" s="1"/>
  <c r="I42" i="1"/>
  <c r="M42" i="1" s="1"/>
  <c r="N42" i="1" s="1"/>
  <c r="I43" i="1"/>
  <c r="M43" i="1" s="1"/>
  <c r="N43" i="1" s="1"/>
  <c r="I44" i="1"/>
  <c r="M44" i="1" s="1"/>
  <c r="N44" i="1" s="1"/>
  <c r="I45" i="1"/>
  <c r="M45" i="1" s="1"/>
  <c r="N45" i="1" s="1"/>
  <c r="I46" i="1"/>
  <c r="M46" i="1" s="1"/>
  <c r="N46" i="1" s="1"/>
  <c r="I47" i="1"/>
  <c r="M47" i="1" s="1"/>
  <c r="N47" i="1" s="1"/>
  <c r="I48" i="1"/>
  <c r="M48" i="1" s="1"/>
  <c r="N48" i="1" s="1"/>
  <c r="I49" i="1"/>
  <c r="M49" i="1" s="1"/>
  <c r="N49" i="1" s="1"/>
  <c r="I50" i="1"/>
  <c r="M50" i="1" s="1"/>
  <c r="N50" i="1" s="1"/>
  <c r="I51" i="1"/>
  <c r="M51" i="1" s="1"/>
  <c r="N51" i="1" s="1"/>
  <c r="I52" i="1"/>
  <c r="M52" i="1" s="1"/>
  <c r="N52" i="1" s="1"/>
  <c r="I53" i="1"/>
  <c r="M53" i="1" s="1"/>
  <c r="N53" i="1" s="1"/>
  <c r="I54" i="1"/>
  <c r="M54" i="1" s="1"/>
  <c r="N54" i="1" s="1"/>
  <c r="I55" i="1"/>
  <c r="M55" i="1" s="1"/>
  <c r="N55" i="1" s="1"/>
  <c r="I56" i="1"/>
  <c r="M56" i="1" s="1"/>
  <c r="N56" i="1" s="1"/>
  <c r="I57" i="1"/>
  <c r="M57" i="1" s="1"/>
  <c r="N57" i="1" s="1"/>
  <c r="I58" i="1"/>
  <c r="M58" i="1" s="1"/>
  <c r="N58" i="1" s="1"/>
  <c r="I59" i="1"/>
  <c r="M59" i="1" s="1"/>
  <c r="N59" i="1" s="1"/>
  <c r="I60" i="1"/>
  <c r="M60" i="1" s="1"/>
  <c r="N60" i="1" s="1"/>
  <c r="I61" i="1"/>
  <c r="M61" i="1" s="1"/>
  <c r="N61" i="1" s="1"/>
  <c r="I62" i="1"/>
  <c r="M62" i="1" s="1"/>
  <c r="N62" i="1" s="1"/>
  <c r="I63" i="1"/>
  <c r="M63" i="1" s="1"/>
  <c r="N63" i="1" s="1"/>
  <c r="I64" i="1"/>
  <c r="M64" i="1" s="1"/>
  <c r="N64" i="1" s="1"/>
  <c r="I65" i="1"/>
  <c r="M65" i="1" s="1"/>
  <c r="N65" i="1" s="1"/>
  <c r="I66" i="1"/>
  <c r="M66" i="1" s="1"/>
  <c r="N66" i="1" s="1"/>
  <c r="I67" i="1"/>
  <c r="M67" i="1" s="1"/>
  <c r="N67" i="1" s="1"/>
  <c r="I68" i="1"/>
  <c r="M68" i="1" s="1"/>
  <c r="N68" i="1" s="1"/>
  <c r="I69" i="1"/>
  <c r="M69" i="1" s="1"/>
  <c r="N69" i="1" s="1"/>
  <c r="I70" i="1"/>
  <c r="M70" i="1" s="1"/>
  <c r="N70" i="1" s="1"/>
  <c r="I71" i="1"/>
  <c r="M71" i="1" s="1"/>
  <c r="N71" i="1" s="1"/>
  <c r="I72" i="1"/>
  <c r="M72" i="1" s="1"/>
  <c r="N72" i="1" s="1"/>
  <c r="I73" i="1"/>
  <c r="M73" i="1" s="1"/>
  <c r="N73" i="1" s="1"/>
  <c r="I2" i="1"/>
  <c r="M2" i="1" s="1"/>
  <c r="N2" i="1" s="1"/>
  <c r="O68" i="1" l="1"/>
  <c r="P68" i="1"/>
  <c r="O60" i="1"/>
  <c r="P60" i="1" s="1"/>
  <c r="O52" i="1"/>
  <c r="P52" i="1" s="1"/>
  <c r="O48" i="1"/>
  <c r="P48" i="1" s="1"/>
  <c r="O40" i="1"/>
  <c r="P40" i="1"/>
  <c r="O32" i="1"/>
  <c r="P32" i="1" s="1"/>
  <c r="O20" i="1"/>
  <c r="P20" i="1"/>
  <c r="O16" i="1"/>
  <c r="P16" i="1" s="1"/>
  <c r="O8" i="1"/>
  <c r="P8" i="1" s="1"/>
  <c r="O43" i="1"/>
  <c r="P43" i="1" s="1"/>
  <c r="O35" i="1"/>
  <c r="P35" i="1" s="1"/>
  <c r="O23" i="1"/>
  <c r="P23" i="1" s="1"/>
  <c r="O15" i="1"/>
  <c r="P15" i="1" s="1"/>
  <c r="O3" i="1"/>
  <c r="P3" i="1" s="1"/>
  <c r="O2" i="1"/>
  <c r="P2" i="1" s="1"/>
  <c r="O70" i="1"/>
  <c r="P70" i="1"/>
  <c r="O66" i="1"/>
  <c r="P66" i="1" s="1"/>
  <c r="O62" i="1"/>
  <c r="P62" i="1" s="1"/>
  <c r="O58" i="1"/>
  <c r="P58" i="1" s="1"/>
  <c r="O54" i="1"/>
  <c r="P54" i="1" s="1"/>
  <c r="O50" i="1"/>
  <c r="P50" i="1" s="1"/>
  <c r="O46" i="1"/>
  <c r="P46" i="1"/>
  <c r="O42" i="1"/>
  <c r="P42" i="1" s="1"/>
  <c r="O38" i="1"/>
  <c r="P38" i="1"/>
  <c r="O34" i="1"/>
  <c r="P34" i="1" s="1"/>
  <c r="O30" i="1"/>
  <c r="P30" i="1" s="1"/>
  <c r="O26" i="1"/>
  <c r="P26" i="1" s="1"/>
  <c r="O22" i="1"/>
  <c r="P22" i="1" s="1"/>
  <c r="O18" i="1"/>
  <c r="P18" i="1" s="1"/>
  <c r="O14" i="1"/>
  <c r="P14" i="1" s="1"/>
  <c r="O10" i="1"/>
  <c r="P10" i="1" s="1"/>
  <c r="O6" i="1"/>
  <c r="P6" i="1"/>
  <c r="O72" i="1"/>
  <c r="P72" i="1" s="1"/>
  <c r="O64" i="1"/>
  <c r="P64" i="1"/>
  <c r="O56" i="1"/>
  <c r="P56" i="1" s="1"/>
  <c r="O44" i="1"/>
  <c r="P44" i="1" s="1"/>
  <c r="O36" i="1"/>
  <c r="P36" i="1" s="1"/>
  <c r="O28" i="1"/>
  <c r="P28" i="1" s="1"/>
  <c r="O24" i="1"/>
  <c r="P24" i="1" s="1"/>
  <c r="O12" i="1"/>
  <c r="P12" i="1" s="1"/>
  <c r="O4" i="1"/>
  <c r="P4" i="1"/>
  <c r="O71" i="1"/>
  <c r="P71" i="1" s="1"/>
  <c r="O67" i="1"/>
  <c r="P67" i="1" s="1"/>
  <c r="O63" i="1"/>
  <c r="P63" i="1" s="1"/>
  <c r="O59" i="1"/>
  <c r="P59" i="1" s="1"/>
  <c r="O55" i="1"/>
  <c r="P55" i="1" s="1"/>
  <c r="O51" i="1"/>
  <c r="P51" i="1" s="1"/>
  <c r="O47" i="1"/>
  <c r="P47" i="1" s="1"/>
  <c r="O39" i="1"/>
  <c r="P39" i="1" s="1"/>
  <c r="O31" i="1"/>
  <c r="P31" i="1" s="1"/>
  <c r="O27" i="1"/>
  <c r="P27" i="1" s="1"/>
  <c r="O19" i="1"/>
  <c r="P19" i="1" s="1"/>
  <c r="O11" i="1"/>
  <c r="P11" i="1" s="1"/>
  <c r="O7" i="1"/>
  <c r="P7" i="1" s="1"/>
  <c r="O73" i="1"/>
  <c r="P73" i="1"/>
  <c r="O69" i="1"/>
  <c r="P69" i="1" s="1"/>
  <c r="O65" i="1"/>
  <c r="P65" i="1" s="1"/>
  <c r="O61" i="1"/>
  <c r="P61" i="1" s="1"/>
  <c r="O57" i="1"/>
  <c r="P57" i="1" s="1"/>
  <c r="O53" i="1"/>
  <c r="P53" i="1" s="1"/>
  <c r="O49" i="1"/>
  <c r="P49" i="1" s="1"/>
  <c r="O45" i="1"/>
  <c r="P45" i="1" s="1"/>
  <c r="O41" i="1"/>
  <c r="P41" i="1" s="1"/>
  <c r="O37" i="1"/>
  <c r="P37" i="1" s="1"/>
  <c r="O33" i="1"/>
  <c r="P33" i="1" s="1"/>
  <c r="O29" i="1"/>
  <c r="P29" i="1" s="1"/>
  <c r="O25" i="1"/>
  <c r="P25" i="1"/>
  <c r="O21" i="1"/>
  <c r="P21" i="1" s="1"/>
  <c r="O17" i="1"/>
  <c r="P17" i="1" s="1"/>
  <c r="O13" i="1"/>
  <c r="P13" i="1" s="1"/>
  <c r="O9" i="1"/>
  <c r="P9" i="1" s="1"/>
  <c r="O5" i="1"/>
  <c r="P5" i="1" s="1"/>
  <c r="N24" i="3"/>
  <c r="O24" i="3" s="1"/>
  <c r="N20" i="3"/>
  <c r="O20" i="3" s="1"/>
  <c r="N16" i="3"/>
  <c r="O16" i="3" s="1"/>
  <c r="N12" i="3"/>
  <c r="O12" i="3" s="1"/>
  <c r="N4" i="3"/>
  <c r="O4" i="3" s="1"/>
  <c r="N31" i="3"/>
  <c r="O31" i="3" s="1"/>
  <c r="N30" i="3"/>
  <c r="O30" i="3" s="1"/>
  <c r="N29" i="3"/>
  <c r="O29" i="3" s="1"/>
  <c r="N26" i="3"/>
  <c r="O26" i="3" s="1"/>
  <c r="N23" i="3"/>
  <c r="O23" i="3" s="1"/>
  <c r="N19" i="3"/>
  <c r="O19" i="3" s="1"/>
  <c r="N15" i="3"/>
  <c r="O15" i="3" s="1"/>
  <c r="N7" i="3"/>
  <c r="O7" i="3" s="1"/>
  <c r="N28" i="3"/>
  <c r="O28" i="3" s="1"/>
  <c r="N22" i="3"/>
  <c r="O22" i="3" s="1"/>
  <c r="N18" i="3"/>
  <c r="O18" i="3" s="1"/>
  <c r="N14" i="3"/>
  <c r="O14" i="3" s="1"/>
  <c r="N11" i="3"/>
  <c r="O11" i="3" s="1"/>
  <c r="N6" i="3"/>
  <c r="O6" i="3" s="1"/>
  <c r="N2" i="3"/>
  <c r="O2" i="3" s="1"/>
  <c r="P2" i="3" s="1"/>
  <c r="N3" i="3"/>
  <c r="O3" i="3" s="1"/>
  <c r="N32" i="3"/>
  <c r="O32" i="3" s="1"/>
  <c r="N27" i="3"/>
  <c r="O27" i="3" s="1"/>
  <c r="N25" i="3"/>
  <c r="O25" i="3" s="1"/>
  <c r="N21" i="3"/>
  <c r="O21" i="3" s="1"/>
  <c r="N17" i="3"/>
  <c r="O17" i="3" s="1"/>
  <c r="N13" i="3"/>
  <c r="O13" i="3" s="1"/>
  <c r="N10" i="3"/>
  <c r="O10" i="3" s="1"/>
  <c r="N9" i="3"/>
  <c r="O9" i="3" s="1"/>
  <c r="N5" i="3"/>
  <c r="O5" i="3" s="1"/>
  <c r="N8" i="3"/>
  <c r="O8" i="3" s="1"/>
  <c r="P75" i="1" l="1"/>
  <c r="P74" i="1"/>
  <c r="P9" i="3"/>
  <c r="Q9" i="3"/>
  <c r="P14" i="3"/>
  <c r="Q14" i="3"/>
  <c r="P24" i="3"/>
  <c r="Q24" i="3"/>
  <c r="P10" i="3"/>
  <c r="Q10" i="3" s="1"/>
  <c r="P25" i="3"/>
  <c r="Q25" i="3"/>
  <c r="Q2" i="3"/>
  <c r="P18" i="3"/>
  <c r="Q18" i="3" s="1"/>
  <c r="P15" i="3"/>
  <c r="Q15" i="3" s="1"/>
  <c r="P29" i="3"/>
  <c r="Q29" i="3" s="1"/>
  <c r="P12" i="3"/>
  <c r="Q12" i="3"/>
  <c r="P3" i="3"/>
  <c r="Q3" i="3" s="1"/>
  <c r="P26" i="3"/>
  <c r="Q26" i="3"/>
  <c r="P13" i="3"/>
  <c r="Q13" i="3" s="1"/>
  <c r="P6" i="3"/>
  <c r="Q6" i="3"/>
  <c r="P22" i="3"/>
  <c r="Q22" i="3" s="1"/>
  <c r="P19" i="3"/>
  <c r="Q19" i="3" s="1"/>
  <c r="P30" i="3"/>
  <c r="Q30" i="3" s="1"/>
  <c r="P16" i="3"/>
  <c r="Q16" i="3"/>
  <c r="P21" i="3"/>
  <c r="Q21" i="3" s="1"/>
  <c r="P7" i="3"/>
  <c r="Q7" i="3"/>
  <c r="P4" i="3"/>
  <c r="Q4" i="3" s="1"/>
  <c r="P8" i="3"/>
  <c r="Q8" i="3"/>
  <c r="P27" i="3"/>
  <c r="Q27" i="3" s="1"/>
  <c r="P5" i="3"/>
  <c r="Q5" i="3" s="1"/>
  <c r="P17" i="3"/>
  <c r="Q17" i="3" s="1"/>
  <c r="P32" i="3"/>
  <c r="Q32" i="3"/>
  <c r="P11" i="3"/>
  <c r="Q11" i="3" s="1"/>
  <c r="P28" i="3"/>
  <c r="Q28" i="3"/>
  <c r="P23" i="3"/>
  <c r="Q23" i="3" s="1"/>
  <c r="P31" i="3"/>
  <c r="Q31" i="3"/>
  <c r="P20" i="3"/>
  <c r="Q20" i="3" s="1"/>
  <c r="Q34" i="3" l="1"/>
  <c r="Q33" i="3"/>
</calcChain>
</file>

<file path=xl/sharedStrings.xml><?xml version="1.0" encoding="utf-8"?>
<sst xmlns="http://schemas.openxmlformats.org/spreadsheetml/2006/main" count="415" uniqueCount="135">
  <si>
    <t>unpaved</t>
  </si>
  <si>
    <t>paved</t>
  </si>
  <si>
    <t>house</t>
  </si>
  <si>
    <t>village</t>
  </si>
  <si>
    <t>range</t>
  </si>
  <si>
    <t>cliff</t>
  </si>
  <si>
    <t>Ac</t>
  </si>
  <si>
    <t>Galera</t>
  </si>
  <si>
    <t>Valcabra</t>
  </si>
  <si>
    <t>Bodurria</t>
  </si>
  <si>
    <t>Gor</t>
  </si>
  <si>
    <t>Gorafe</t>
  </si>
  <si>
    <t>Guadiana</t>
  </si>
  <si>
    <t>Lobos</t>
  </si>
  <si>
    <t>Alicún</t>
  </si>
  <si>
    <t>Peña Fraile</t>
  </si>
  <si>
    <t>Bacaire</t>
  </si>
  <si>
    <t>Delgadillo</t>
  </si>
  <si>
    <t>Benaúa</t>
  </si>
  <si>
    <t>Avellán</t>
  </si>
  <si>
    <t>La Peza</t>
  </si>
  <si>
    <t>Rías</t>
  </si>
  <si>
    <t>Deifontes</t>
  </si>
  <si>
    <t>Cogollos</t>
  </si>
  <si>
    <t>Quéntar</t>
  </si>
  <si>
    <t>Beas</t>
  </si>
  <si>
    <t>Sierra Elvira</t>
  </si>
  <si>
    <t>Puerta Alta</t>
  </si>
  <si>
    <t>Colonera 1</t>
  </si>
  <si>
    <t>Colomera 2</t>
  </si>
  <si>
    <t>Las Cabras</t>
  </si>
  <si>
    <t>Olivares</t>
  </si>
  <si>
    <t>Tiena</t>
  </si>
  <si>
    <t>Parapanda</t>
  </si>
  <si>
    <t>Alomartes</t>
  </si>
  <si>
    <t>Pesquera</t>
  </si>
  <si>
    <t>Albarracín</t>
  </si>
  <si>
    <t>Viñuela</t>
  </si>
  <si>
    <t>Zorreras</t>
  </si>
  <si>
    <t>Lillo</t>
  </si>
  <si>
    <t>Panes</t>
  </si>
  <si>
    <t>Salar</t>
  </si>
  <si>
    <t>Zumbeón</t>
  </si>
  <si>
    <t>Gibalto</t>
  </si>
  <si>
    <t>Alazores</t>
  </si>
  <si>
    <t>Zafarraya</t>
  </si>
  <si>
    <t>Puente Castilla</t>
  </si>
  <si>
    <t>Turro</t>
  </si>
  <si>
    <t>Cacín</t>
  </si>
  <si>
    <t>Valdeinfierno</t>
  </si>
  <si>
    <t>Cebollón 1</t>
  </si>
  <si>
    <t>Cebollón 2</t>
  </si>
  <si>
    <t>Carrabé</t>
  </si>
  <si>
    <t>Albuñuelas</t>
  </si>
  <si>
    <t>Río Verde</t>
  </si>
  <si>
    <t>Lentegí</t>
  </si>
  <si>
    <t>Guájar Alto</t>
  </si>
  <si>
    <t>Dílar</t>
  </si>
  <si>
    <t>Dúrcal</t>
  </si>
  <si>
    <t>Tablate</t>
  </si>
  <si>
    <t>Rules</t>
  </si>
  <si>
    <t>Almejíjar</t>
  </si>
  <si>
    <t>Juviles</t>
  </si>
  <si>
    <t>Juviley</t>
  </si>
  <si>
    <t>Bérchules</t>
  </si>
  <si>
    <t>Golco</t>
  </si>
  <si>
    <t>Válor</t>
  </si>
  <si>
    <t>Vados</t>
  </si>
  <si>
    <t>Lagos</t>
  </si>
  <si>
    <t>Haza Lino N</t>
  </si>
  <si>
    <t>Haza Lino S</t>
  </si>
  <si>
    <t>Albondón</t>
  </si>
  <si>
    <t>Melicena</t>
  </si>
  <si>
    <t>Angosturas</t>
  </si>
  <si>
    <t>Ermita</t>
  </si>
  <si>
    <t>Turón 1</t>
  </si>
  <si>
    <t>Turón 2</t>
  </si>
  <si>
    <t>Canteras</t>
  </si>
  <si>
    <t>Calahonda</t>
  </si>
  <si>
    <t>Duda-Guardal</t>
  </si>
  <si>
    <t>Jabalcón</t>
  </si>
  <si>
    <t>Baul S</t>
  </si>
  <si>
    <t>Baul N</t>
  </si>
  <si>
    <t>Alamedilla Peñon</t>
  </si>
  <si>
    <t>Alamedilla O</t>
  </si>
  <si>
    <t>Rambla Menores E</t>
  </si>
  <si>
    <t>Mencal</t>
  </si>
  <si>
    <t>Cucadero</t>
  </si>
  <si>
    <t>Cerro Muerto</t>
  </si>
  <si>
    <t>Gibalto E</t>
  </si>
  <si>
    <t>Espantaperros</t>
  </si>
  <si>
    <t>Silladero</t>
  </si>
  <si>
    <t>Puerto</t>
  </si>
  <si>
    <t>Hubares</t>
  </si>
  <si>
    <t>Tobera Río Verde</t>
  </si>
  <si>
    <t>Tres lindes</t>
  </si>
  <si>
    <t>Buitrera Albuñuelas</t>
  </si>
  <si>
    <t>Pozo Herrero</t>
  </si>
  <si>
    <t>Pinos del Valle</t>
  </si>
  <si>
    <t>Hornos</t>
  </si>
  <si>
    <t>Castillejos</t>
  </si>
  <si>
    <t>Almezar</t>
  </si>
  <si>
    <t>Padules</t>
  </si>
  <si>
    <t>Güejar Sierra</t>
  </si>
  <si>
    <t>G. Sierra Canales 1</t>
  </si>
  <si>
    <t>G. Sierra Canales 2</t>
  </si>
  <si>
    <t>Pollos Monachil</t>
  </si>
  <si>
    <t>Buitrera Dúrcal</t>
  </si>
  <si>
    <t>Tahá</t>
  </si>
  <si>
    <t>5.003xhouse</t>
  </si>
  <si>
    <t>0.005xrange</t>
  </si>
  <si>
    <t>3.11xunpaved</t>
  </si>
  <si>
    <t>0.605xpaved</t>
  </si>
  <si>
    <t>-0.308xvillage</t>
  </si>
  <si>
    <t>2.146xunpaved</t>
  </si>
  <si>
    <t>0.514xpaved</t>
  </si>
  <si>
    <t>1.267xhouse</t>
  </si>
  <si>
    <t>-0.098xvillage</t>
  </si>
  <si>
    <t>e^N</t>
  </si>
  <si>
    <t>1+e^N</t>
  </si>
  <si>
    <t>p_Ac=(e^N)/(1+e^N)</t>
  </si>
  <si>
    <t>no</t>
  </si>
  <si>
    <t>yes</t>
  </si>
  <si>
    <t>sum-2.958</t>
  </si>
  <si>
    <t>sum-5.109</t>
  </si>
  <si>
    <t>SD</t>
  </si>
  <si>
    <t>n/a</t>
  </si>
  <si>
    <t>Mean/Sum</t>
  </si>
  <si>
    <t>cliff_ID</t>
  </si>
  <si>
    <t>Af</t>
  </si>
  <si>
    <t>estimated_no_Acpairs</t>
  </si>
  <si>
    <t>estimated_no_Afpairs</t>
  </si>
  <si>
    <t>Acpair2.5km</t>
  </si>
  <si>
    <t>Afpair2.5km</t>
  </si>
  <si>
    <t>p_Af=(e^N)/(1+e^N)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</si>
</sst>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workbookViewId="0"/>
  </sheetViews>
  <sheetFormatPr baseColWidth="10" defaultColWidth="11.44140625" defaultRowHeight="13.8" x14ac:dyDescent="0.3"/>
  <cols>
    <col min="1" max="1" width="6.21875" style="2" bestFit="1" customWidth="1"/>
    <col min="2" max="2" width="12.44140625" style="1" bestFit="1" customWidth="1"/>
    <col min="3" max="3" width="3.5546875" style="5" bestFit="1" customWidth="1"/>
    <col min="4" max="4" width="7" style="5" customWidth="1"/>
    <col min="5" max="5" width="7.6640625" style="5" bestFit="1" customWidth="1"/>
    <col min="6" max="7" width="5.6640625" style="5" bestFit="1" customWidth="1"/>
    <col min="8" max="8" width="5.88671875" style="5" bestFit="1" customWidth="1"/>
    <col min="9" max="9" width="13" style="5" bestFit="1" customWidth="1"/>
    <col min="10" max="11" width="11" style="5" bestFit="1" customWidth="1"/>
    <col min="12" max="12" width="11.6640625" style="5" bestFit="1" customWidth="1"/>
    <col min="13" max="13" width="9.5546875" style="5" bestFit="1" customWidth="1"/>
    <col min="14" max="14" width="10.44140625" style="5" bestFit="1" customWidth="1"/>
    <col min="15" max="15" width="5.6640625" style="5" bestFit="1" customWidth="1"/>
    <col min="16" max="16" width="17" style="5" bestFit="1" customWidth="1"/>
    <col min="17" max="17" width="10.77734375" style="5" bestFit="1" customWidth="1"/>
    <col min="18" max="18" width="18.33203125" style="5" bestFit="1" customWidth="1"/>
    <col min="19" max="16384" width="11.44140625" style="1"/>
  </cols>
  <sheetData>
    <row r="1" spans="1:18" x14ac:dyDescent="0.3">
      <c r="A1" s="2" t="s">
        <v>128</v>
      </c>
      <c r="B1" s="1" t="s">
        <v>5</v>
      </c>
      <c r="C1" s="5" t="s">
        <v>129</v>
      </c>
      <c r="D1" s="5" t="s">
        <v>4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114</v>
      </c>
      <c r="J1" s="5" t="s">
        <v>115</v>
      </c>
      <c r="K1" s="5" t="s">
        <v>116</v>
      </c>
      <c r="L1" s="6" t="s">
        <v>117</v>
      </c>
      <c r="M1" s="5" t="s">
        <v>123</v>
      </c>
      <c r="N1" s="5" t="s">
        <v>118</v>
      </c>
      <c r="O1" s="5" t="s">
        <v>119</v>
      </c>
      <c r="P1" s="5" t="s">
        <v>120</v>
      </c>
      <c r="Q1" s="5" t="s">
        <v>132</v>
      </c>
      <c r="R1" s="5" t="s">
        <v>130</v>
      </c>
    </row>
    <row r="2" spans="1:18" x14ac:dyDescent="0.3">
      <c r="A2" s="2">
        <v>1</v>
      </c>
      <c r="B2" s="1" t="s">
        <v>7</v>
      </c>
      <c r="C2" s="5" t="s">
        <v>122</v>
      </c>
      <c r="D2" s="5">
        <v>143</v>
      </c>
      <c r="E2" s="5">
        <v>0.41499999999999998</v>
      </c>
      <c r="F2" s="5">
        <v>2.85</v>
      </c>
      <c r="G2" s="5">
        <v>0.83</v>
      </c>
      <c r="H2" s="5">
        <v>3.42</v>
      </c>
      <c r="I2" s="5">
        <f>2.146*E2</f>
        <v>0.89058999999999988</v>
      </c>
      <c r="J2" s="5">
        <f>0.514*F2</f>
        <v>1.4649000000000001</v>
      </c>
      <c r="K2" s="5">
        <f>1.267*G2</f>
        <v>1.0516099999999999</v>
      </c>
      <c r="L2" s="5">
        <f>-0.098*H2</f>
        <v>-0.33516000000000001</v>
      </c>
      <c r="M2" s="5">
        <f>I2+J2+K2+L2-2.958</f>
        <v>0.11393999999999949</v>
      </c>
      <c r="N2" s="5">
        <f>EXP(M2)</f>
        <v>1.120684881773973</v>
      </c>
      <c r="O2" s="5">
        <f>1+N2</f>
        <v>2.1206848817739727</v>
      </c>
      <c r="P2" s="5">
        <f>N2/O2</f>
        <v>0.52845422316422119</v>
      </c>
      <c r="Q2" s="5" t="s">
        <v>126</v>
      </c>
      <c r="R2" s="5" t="s">
        <v>126</v>
      </c>
    </row>
    <row r="3" spans="1:18" x14ac:dyDescent="0.3">
      <c r="A3" s="2">
        <v>2</v>
      </c>
      <c r="B3" s="1" t="s">
        <v>8</v>
      </c>
      <c r="C3" s="5" t="s">
        <v>122</v>
      </c>
      <c r="D3" s="5">
        <v>270</v>
      </c>
      <c r="E3" s="5">
        <v>0.622</v>
      </c>
      <c r="F3" s="5">
        <v>7.3</v>
      </c>
      <c r="G3" s="5">
        <v>1.03</v>
      </c>
      <c r="H3" s="5">
        <v>1.03</v>
      </c>
      <c r="I3" s="5">
        <f>2.146*E3</f>
        <v>1.3348119999999999</v>
      </c>
      <c r="J3" s="5">
        <f>0.514*F3</f>
        <v>3.7522000000000002</v>
      </c>
      <c r="K3" s="5">
        <f>1.267*G3</f>
        <v>1.30501</v>
      </c>
      <c r="L3" s="5">
        <f>-0.098*H3</f>
        <v>-0.10094</v>
      </c>
      <c r="M3" s="5">
        <f t="shared" ref="M3:M66" si="0">I3+J3+K3+L3-2.958</f>
        <v>3.3330820000000001</v>
      </c>
      <c r="N3" s="5">
        <f>EXP(M3)</f>
        <v>28.024580498085548</v>
      </c>
      <c r="O3" s="5">
        <f t="shared" ref="O3:O66" si="1">1+N3</f>
        <v>29.024580498085548</v>
      </c>
      <c r="P3" s="5">
        <f t="shared" ref="P3:P66" si="2">N3/O3</f>
        <v>0.96554644432962744</v>
      </c>
      <c r="Q3" s="5" t="s">
        <v>122</v>
      </c>
      <c r="R3" s="5">
        <v>0</v>
      </c>
    </row>
    <row r="4" spans="1:18" x14ac:dyDescent="0.3">
      <c r="A4" s="2">
        <v>3</v>
      </c>
      <c r="B4" s="1" t="s">
        <v>9</v>
      </c>
      <c r="C4" s="5" t="s">
        <v>122</v>
      </c>
      <c r="D4" s="5">
        <v>237</v>
      </c>
      <c r="E4" s="5">
        <v>0.19500000000000001</v>
      </c>
      <c r="F4" s="5">
        <v>1.01</v>
      </c>
      <c r="G4" s="5">
        <v>1.03</v>
      </c>
      <c r="H4" s="5">
        <v>3.38</v>
      </c>
      <c r="I4" s="5">
        <f>2.146*E4</f>
        <v>0.41847000000000001</v>
      </c>
      <c r="J4" s="5">
        <f>0.514*F4</f>
        <v>0.51914000000000005</v>
      </c>
      <c r="K4" s="5">
        <f>1.267*G4</f>
        <v>1.30501</v>
      </c>
      <c r="L4" s="5">
        <f>-0.098*H4</f>
        <v>-0.33123999999999998</v>
      </c>
      <c r="M4" s="5">
        <f t="shared" si="0"/>
        <v>-1.0466200000000001</v>
      </c>
      <c r="N4" s="5">
        <f>EXP(M4)</f>
        <v>0.35112253987157604</v>
      </c>
      <c r="O4" s="5">
        <f t="shared" si="1"/>
        <v>1.351122539871576</v>
      </c>
      <c r="P4" s="5">
        <f t="shared" si="2"/>
        <v>0.25987468161470401</v>
      </c>
      <c r="Q4" s="5" t="s">
        <v>126</v>
      </c>
      <c r="R4" s="5" t="s">
        <v>126</v>
      </c>
    </row>
    <row r="5" spans="1:18" x14ac:dyDescent="0.3">
      <c r="A5" s="2">
        <v>4</v>
      </c>
      <c r="B5" s="1" t="s">
        <v>10</v>
      </c>
      <c r="C5" s="5" t="s">
        <v>122</v>
      </c>
      <c r="D5" s="5">
        <v>332</v>
      </c>
      <c r="E5" s="5">
        <v>0.33300000000000002</v>
      </c>
      <c r="F5" s="5">
        <v>0.81</v>
      </c>
      <c r="G5" s="5">
        <v>0.79</v>
      </c>
      <c r="H5" s="5">
        <v>1.7</v>
      </c>
      <c r="I5" s="5">
        <f>2.146*E5</f>
        <v>0.71461799999999998</v>
      </c>
      <c r="J5" s="5">
        <f>0.514*F5</f>
        <v>0.41634000000000004</v>
      </c>
      <c r="K5" s="5">
        <f>1.267*G5</f>
        <v>1.0009299999999999</v>
      </c>
      <c r="L5" s="5">
        <f>-0.098*H5</f>
        <v>-0.1666</v>
      </c>
      <c r="M5" s="5">
        <f t="shared" si="0"/>
        <v>-0.99271200000000026</v>
      </c>
      <c r="N5" s="5">
        <f>EXP(M5)</f>
        <v>0.37057034026442554</v>
      </c>
      <c r="O5" s="5">
        <f t="shared" si="1"/>
        <v>1.3705703402644256</v>
      </c>
      <c r="P5" s="5">
        <f t="shared" si="2"/>
        <v>0.27037673979792309</v>
      </c>
      <c r="Q5" s="5" t="s">
        <v>126</v>
      </c>
      <c r="R5" s="5" t="s">
        <v>126</v>
      </c>
    </row>
    <row r="6" spans="1:18" x14ac:dyDescent="0.3">
      <c r="A6" s="2">
        <v>5</v>
      </c>
      <c r="B6" s="1" t="s">
        <v>11</v>
      </c>
      <c r="C6" s="5" t="s">
        <v>122</v>
      </c>
      <c r="D6" s="5">
        <v>140</v>
      </c>
      <c r="E6" s="5">
        <v>0.14399999999999999</v>
      </c>
      <c r="F6" s="5">
        <v>0.56999999999999995</v>
      </c>
      <c r="G6" s="5">
        <v>0.54</v>
      </c>
      <c r="H6" s="5">
        <v>1.82</v>
      </c>
      <c r="I6" s="5">
        <f>2.146*E6</f>
        <v>0.30902399999999997</v>
      </c>
      <c r="J6" s="5">
        <f>0.514*F6</f>
        <v>0.29297999999999996</v>
      </c>
      <c r="K6" s="5">
        <f>1.267*G6</f>
        <v>0.68418000000000001</v>
      </c>
      <c r="L6" s="5">
        <f>-0.098*H6</f>
        <v>-0.17836000000000002</v>
      </c>
      <c r="M6" s="5">
        <f t="shared" si="0"/>
        <v>-1.8501760000000003</v>
      </c>
      <c r="N6" s="5">
        <f>EXP(M6)</f>
        <v>0.15720949500750275</v>
      </c>
      <c r="O6" s="5">
        <f t="shared" si="1"/>
        <v>1.1572094950075027</v>
      </c>
      <c r="P6" s="5">
        <f t="shared" si="2"/>
        <v>0.13585223391766543</v>
      </c>
      <c r="Q6" s="5" t="s">
        <v>126</v>
      </c>
      <c r="R6" s="5" t="s">
        <v>126</v>
      </c>
    </row>
    <row r="7" spans="1:18" x14ac:dyDescent="0.3">
      <c r="A7" s="2">
        <v>6</v>
      </c>
      <c r="B7" s="1" t="s">
        <v>12</v>
      </c>
      <c r="C7" s="5" t="s">
        <v>122</v>
      </c>
      <c r="D7" s="5">
        <v>177</v>
      </c>
      <c r="E7" s="5">
        <v>0.35</v>
      </c>
      <c r="F7" s="5">
        <v>2.06</v>
      </c>
      <c r="G7" s="5">
        <v>1.18</v>
      </c>
      <c r="H7" s="5">
        <v>2.75</v>
      </c>
      <c r="I7" s="5">
        <f>2.146*E7</f>
        <v>0.75109999999999988</v>
      </c>
      <c r="J7" s="5">
        <f>0.514*F7</f>
        <v>1.05884</v>
      </c>
      <c r="K7" s="5">
        <f>1.267*G7</f>
        <v>1.4950599999999998</v>
      </c>
      <c r="L7" s="5">
        <f>-0.098*H7</f>
        <v>-0.26950000000000002</v>
      </c>
      <c r="M7" s="5">
        <f t="shared" si="0"/>
        <v>7.749999999999968E-2</v>
      </c>
      <c r="N7" s="5">
        <f>EXP(M7)</f>
        <v>1.0805822324585594</v>
      </c>
      <c r="O7" s="5">
        <f t="shared" si="1"/>
        <v>2.0805822324585597</v>
      </c>
      <c r="P7" s="5">
        <f t="shared" si="2"/>
        <v>0.51936530822993177</v>
      </c>
      <c r="Q7" s="5" t="s">
        <v>126</v>
      </c>
      <c r="R7" s="5" t="s">
        <v>126</v>
      </c>
    </row>
    <row r="8" spans="1:18" x14ac:dyDescent="0.3">
      <c r="A8" s="2">
        <v>7</v>
      </c>
      <c r="B8" s="1" t="s">
        <v>13</v>
      </c>
      <c r="C8" s="5" t="s">
        <v>122</v>
      </c>
      <c r="D8" s="5">
        <v>160</v>
      </c>
      <c r="E8" s="5">
        <v>0.253</v>
      </c>
      <c r="F8" s="5">
        <v>2.12</v>
      </c>
      <c r="G8" s="5">
        <v>0.54</v>
      </c>
      <c r="H8" s="5">
        <v>6.26</v>
      </c>
      <c r="I8" s="5">
        <f>2.146*E8</f>
        <v>0.54293800000000003</v>
      </c>
      <c r="J8" s="5">
        <f>0.514*F8</f>
        <v>1.08968</v>
      </c>
      <c r="K8" s="5">
        <f>1.267*G8</f>
        <v>0.68418000000000001</v>
      </c>
      <c r="L8" s="5">
        <f>-0.098*H8</f>
        <v>-0.61348000000000003</v>
      </c>
      <c r="M8" s="5">
        <f t="shared" si="0"/>
        <v>-1.2546820000000003</v>
      </c>
      <c r="N8" s="5">
        <f>EXP(M8)</f>
        <v>0.28516651675972193</v>
      </c>
      <c r="O8" s="5">
        <f t="shared" si="1"/>
        <v>1.2851665167597219</v>
      </c>
      <c r="P8" s="5">
        <f t="shared" si="2"/>
        <v>0.22189071458125872</v>
      </c>
      <c r="Q8" s="5" t="s">
        <v>126</v>
      </c>
      <c r="R8" s="5" t="s">
        <v>126</v>
      </c>
    </row>
    <row r="9" spans="1:18" x14ac:dyDescent="0.3">
      <c r="A9" s="2">
        <v>8</v>
      </c>
      <c r="B9" s="1" t="s">
        <v>14</v>
      </c>
      <c r="C9" s="5" t="s">
        <v>122</v>
      </c>
      <c r="D9" s="5">
        <v>227</v>
      </c>
      <c r="E9" s="5">
        <v>0.35199999999999998</v>
      </c>
      <c r="F9" s="5">
        <v>0.62</v>
      </c>
      <c r="G9" s="5">
        <v>1.27</v>
      </c>
      <c r="H9" s="5">
        <v>1.73</v>
      </c>
      <c r="I9" s="5">
        <f>2.146*E9</f>
        <v>0.75539199999999995</v>
      </c>
      <c r="J9" s="5">
        <f>0.514*F9</f>
        <v>0.31868000000000002</v>
      </c>
      <c r="K9" s="5">
        <f>1.267*G9</f>
        <v>1.6090899999999999</v>
      </c>
      <c r="L9" s="5">
        <f>-0.098*H9</f>
        <v>-0.16954</v>
      </c>
      <c r="M9" s="5">
        <f t="shared" si="0"/>
        <v>-0.44437800000000038</v>
      </c>
      <c r="N9" s="5">
        <f>EXP(M9)</f>
        <v>0.64122299272004579</v>
      </c>
      <c r="O9" s="5">
        <f t="shared" si="1"/>
        <v>1.6412229927200457</v>
      </c>
      <c r="P9" s="5">
        <f t="shared" si="2"/>
        <v>0.39069827534973089</v>
      </c>
      <c r="Q9" s="5" t="s">
        <v>126</v>
      </c>
      <c r="R9" s="5" t="s">
        <v>126</v>
      </c>
    </row>
    <row r="10" spans="1:18" x14ac:dyDescent="0.3">
      <c r="A10" s="2">
        <v>9</v>
      </c>
      <c r="B10" s="1" t="s">
        <v>15</v>
      </c>
      <c r="C10" s="5" t="s">
        <v>122</v>
      </c>
      <c r="D10" s="5">
        <v>221</v>
      </c>
      <c r="E10" s="5">
        <v>0.28100000000000003</v>
      </c>
      <c r="F10" s="5">
        <v>0.6</v>
      </c>
      <c r="G10" s="5">
        <v>0.91</v>
      </c>
      <c r="H10" s="5">
        <v>2.5499999999999998</v>
      </c>
      <c r="I10" s="5">
        <f>2.146*E10</f>
        <v>0.60302600000000006</v>
      </c>
      <c r="J10" s="5">
        <f>0.514*F10</f>
        <v>0.30840000000000001</v>
      </c>
      <c r="K10" s="5">
        <f>1.267*G10</f>
        <v>1.1529700000000001</v>
      </c>
      <c r="L10" s="5">
        <f>-0.098*H10</f>
        <v>-0.24989999999999998</v>
      </c>
      <c r="M10" s="5">
        <f t="shared" si="0"/>
        <v>-1.1435039999999999</v>
      </c>
      <c r="N10" s="5">
        <f>EXP(M10)</f>
        <v>0.3187003370441826</v>
      </c>
      <c r="O10" s="5">
        <f t="shared" si="1"/>
        <v>1.3187003370441825</v>
      </c>
      <c r="P10" s="5">
        <f t="shared" si="2"/>
        <v>0.24167760338830085</v>
      </c>
      <c r="Q10" s="5" t="s">
        <v>126</v>
      </c>
      <c r="R10" s="5" t="s">
        <v>126</v>
      </c>
    </row>
    <row r="11" spans="1:18" x14ac:dyDescent="0.3">
      <c r="A11" s="2">
        <v>10</v>
      </c>
      <c r="B11" s="1" t="s">
        <v>16</v>
      </c>
      <c r="C11" s="5" t="s">
        <v>122</v>
      </c>
      <c r="D11" s="5">
        <v>140</v>
      </c>
      <c r="E11" s="5">
        <v>0.627</v>
      </c>
      <c r="F11" s="5">
        <v>2.2999999999999998</v>
      </c>
      <c r="G11" s="5">
        <v>1.08</v>
      </c>
      <c r="H11" s="5">
        <v>5.87</v>
      </c>
      <c r="I11" s="5">
        <f>2.146*E11</f>
        <v>1.345542</v>
      </c>
      <c r="J11" s="5">
        <f>0.514*F11</f>
        <v>1.1821999999999999</v>
      </c>
      <c r="K11" s="5">
        <f>1.267*G11</f>
        <v>1.36836</v>
      </c>
      <c r="L11" s="5">
        <f>-0.098*H11</f>
        <v>-0.57525999999999999</v>
      </c>
      <c r="M11" s="5">
        <f t="shared" si="0"/>
        <v>0.36284199999999966</v>
      </c>
      <c r="N11" s="5">
        <f>EXP(M11)</f>
        <v>1.4374087307190748</v>
      </c>
      <c r="O11" s="5">
        <f t="shared" si="1"/>
        <v>2.437408730719075</v>
      </c>
      <c r="P11" s="5">
        <f t="shared" si="2"/>
        <v>0.58972822760629728</v>
      </c>
      <c r="Q11" s="5" t="s">
        <v>126</v>
      </c>
      <c r="R11" s="5" t="s">
        <v>126</v>
      </c>
    </row>
    <row r="12" spans="1:18" x14ac:dyDescent="0.3">
      <c r="A12" s="2">
        <v>11</v>
      </c>
      <c r="B12" s="1" t="s">
        <v>17</v>
      </c>
      <c r="C12" s="5" t="s">
        <v>122</v>
      </c>
      <c r="D12" s="5">
        <v>110</v>
      </c>
      <c r="E12" s="5">
        <v>0.49</v>
      </c>
      <c r="F12" s="5">
        <v>1.74</v>
      </c>
      <c r="G12" s="5">
        <v>1.17</v>
      </c>
      <c r="H12" s="5">
        <v>1.57</v>
      </c>
      <c r="I12" s="5">
        <f>2.146*E12</f>
        <v>1.0515399999999999</v>
      </c>
      <c r="J12" s="5">
        <f>0.514*F12</f>
        <v>0.89436000000000004</v>
      </c>
      <c r="K12" s="5">
        <f>1.267*G12</f>
        <v>1.4823899999999999</v>
      </c>
      <c r="L12" s="5">
        <f>-0.098*H12</f>
        <v>-0.15386000000000002</v>
      </c>
      <c r="M12" s="5">
        <f t="shared" si="0"/>
        <v>0.31642999999999954</v>
      </c>
      <c r="N12" s="5">
        <f>EXP(M12)</f>
        <v>1.3722201834613561</v>
      </c>
      <c r="O12" s="5">
        <f t="shared" si="1"/>
        <v>2.3722201834613559</v>
      </c>
      <c r="P12" s="5">
        <f t="shared" si="2"/>
        <v>0.57845397026304746</v>
      </c>
      <c r="Q12" s="5" t="s">
        <v>126</v>
      </c>
      <c r="R12" s="5" t="s">
        <v>126</v>
      </c>
    </row>
    <row r="13" spans="1:18" x14ac:dyDescent="0.3">
      <c r="A13" s="2">
        <v>12</v>
      </c>
      <c r="B13" s="1" t="s">
        <v>18</v>
      </c>
      <c r="C13" s="5" t="s">
        <v>122</v>
      </c>
      <c r="D13" s="5">
        <v>186</v>
      </c>
      <c r="E13" s="5">
        <v>0.253</v>
      </c>
      <c r="F13" s="5">
        <v>1.82</v>
      </c>
      <c r="G13" s="5">
        <v>0.85</v>
      </c>
      <c r="H13" s="5">
        <v>1.97</v>
      </c>
      <c r="I13" s="5">
        <f>2.146*E13</f>
        <v>0.54293800000000003</v>
      </c>
      <c r="J13" s="5">
        <f>0.514*F13</f>
        <v>0.93548000000000009</v>
      </c>
      <c r="K13" s="5">
        <f>1.267*G13</f>
        <v>1.0769499999999999</v>
      </c>
      <c r="L13" s="5">
        <f>-0.098*H13</f>
        <v>-0.19306000000000001</v>
      </c>
      <c r="M13" s="5">
        <f t="shared" si="0"/>
        <v>-0.59569200000000055</v>
      </c>
      <c r="N13" s="5">
        <f>EXP(M13)</f>
        <v>0.55118101660352026</v>
      </c>
      <c r="O13" s="5">
        <f t="shared" si="1"/>
        <v>1.5511810166035203</v>
      </c>
      <c r="P13" s="5">
        <f t="shared" si="2"/>
        <v>0.35532991359731253</v>
      </c>
      <c r="Q13" s="5" t="s">
        <v>126</v>
      </c>
      <c r="R13" s="5" t="s">
        <v>126</v>
      </c>
    </row>
    <row r="14" spans="1:18" x14ac:dyDescent="0.3">
      <c r="A14" s="2">
        <v>13</v>
      </c>
      <c r="B14" s="1" t="s">
        <v>19</v>
      </c>
      <c r="C14" s="5" t="s">
        <v>122</v>
      </c>
      <c r="D14" s="5">
        <v>159</v>
      </c>
      <c r="E14" s="5">
        <v>9.7000000000000003E-2</v>
      </c>
      <c r="F14" s="5">
        <v>0.41</v>
      </c>
      <c r="G14" s="5">
        <v>0.73</v>
      </c>
      <c r="H14" s="5">
        <v>2.2999999999999998</v>
      </c>
      <c r="I14" s="5">
        <f>2.146*E14</f>
        <v>0.20816199999999999</v>
      </c>
      <c r="J14" s="5">
        <f>0.514*F14</f>
        <v>0.21073999999999998</v>
      </c>
      <c r="K14" s="5">
        <f>1.267*G14</f>
        <v>0.9249099999999999</v>
      </c>
      <c r="L14" s="5">
        <f>-0.098*H14</f>
        <v>-0.22539999999999999</v>
      </c>
      <c r="M14" s="5">
        <f t="shared" si="0"/>
        <v>-1.8395880000000004</v>
      </c>
      <c r="N14" s="5">
        <f>EXP(M14)</f>
        <v>0.15888287236748058</v>
      </c>
      <c r="O14" s="5">
        <f t="shared" si="1"/>
        <v>1.1588828723674807</v>
      </c>
      <c r="P14" s="5">
        <f t="shared" si="2"/>
        <v>0.13710002637531343</v>
      </c>
      <c r="Q14" s="5" t="s">
        <v>126</v>
      </c>
      <c r="R14" s="5" t="s">
        <v>126</v>
      </c>
    </row>
    <row r="15" spans="1:18" x14ac:dyDescent="0.3">
      <c r="A15" s="2">
        <v>14</v>
      </c>
      <c r="B15" s="1" t="s">
        <v>20</v>
      </c>
      <c r="C15" s="5" t="s">
        <v>122</v>
      </c>
      <c r="D15" s="5">
        <v>175</v>
      </c>
      <c r="E15" s="5">
        <v>0.38400000000000001</v>
      </c>
      <c r="F15" s="5">
        <v>2.56</v>
      </c>
      <c r="G15" s="5">
        <v>1.02</v>
      </c>
      <c r="H15" s="5">
        <v>3.06</v>
      </c>
      <c r="I15" s="5">
        <f>2.146*E15</f>
        <v>0.82406400000000002</v>
      </c>
      <c r="J15" s="5">
        <f>0.514*F15</f>
        <v>1.3158400000000001</v>
      </c>
      <c r="K15" s="5">
        <f>1.267*G15</f>
        <v>1.2923399999999998</v>
      </c>
      <c r="L15" s="5">
        <f>-0.098*H15</f>
        <v>-0.29988000000000004</v>
      </c>
      <c r="M15" s="5">
        <f t="shared" si="0"/>
        <v>0.17436399999999974</v>
      </c>
      <c r="N15" s="5">
        <f>EXP(M15)</f>
        <v>1.1904888248946888</v>
      </c>
      <c r="O15" s="5">
        <f t="shared" si="1"/>
        <v>2.1904888248946888</v>
      </c>
      <c r="P15" s="5">
        <f t="shared" si="2"/>
        <v>0.54348089402004751</v>
      </c>
      <c r="Q15" s="5" t="s">
        <v>126</v>
      </c>
      <c r="R15" s="5" t="s">
        <v>126</v>
      </c>
    </row>
    <row r="16" spans="1:18" x14ac:dyDescent="0.3">
      <c r="A16" s="2">
        <v>15</v>
      </c>
      <c r="B16" s="1" t="s">
        <v>21</v>
      </c>
      <c r="C16" s="5" t="s">
        <v>122</v>
      </c>
      <c r="D16" s="5">
        <v>237</v>
      </c>
      <c r="E16" s="5">
        <v>0.246</v>
      </c>
      <c r="F16" s="5">
        <v>2.2000000000000002</v>
      </c>
      <c r="G16" s="5">
        <v>1.22</v>
      </c>
      <c r="H16" s="5">
        <v>4.78</v>
      </c>
      <c r="I16" s="5">
        <f>2.146*E16</f>
        <v>0.52791599999999994</v>
      </c>
      <c r="J16" s="5">
        <f>0.514*F16</f>
        <v>1.1308</v>
      </c>
      <c r="K16" s="5">
        <f>1.267*G16</f>
        <v>1.5457399999999999</v>
      </c>
      <c r="L16" s="5">
        <f>-0.098*H16</f>
        <v>-0.46844000000000002</v>
      </c>
      <c r="M16" s="5">
        <f t="shared" si="0"/>
        <v>-0.2219840000000004</v>
      </c>
      <c r="N16" s="5">
        <f>EXP(M16)</f>
        <v>0.80092817908300595</v>
      </c>
      <c r="O16" s="5">
        <f t="shared" si="1"/>
        <v>1.8009281790830061</v>
      </c>
      <c r="P16" s="5">
        <f t="shared" si="2"/>
        <v>0.44473077182390547</v>
      </c>
      <c r="Q16" s="5" t="s">
        <v>126</v>
      </c>
      <c r="R16" s="5" t="s">
        <v>126</v>
      </c>
    </row>
    <row r="17" spans="1:18" x14ac:dyDescent="0.3">
      <c r="A17" s="2">
        <v>16</v>
      </c>
      <c r="B17" s="1" t="s">
        <v>22</v>
      </c>
      <c r="C17" s="5" t="s">
        <v>122</v>
      </c>
      <c r="D17" s="5">
        <v>230</v>
      </c>
      <c r="E17" s="5">
        <v>0.35</v>
      </c>
      <c r="F17" s="5">
        <v>0.43</v>
      </c>
      <c r="G17" s="5">
        <v>0.56000000000000005</v>
      </c>
      <c r="H17" s="5">
        <v>1.54</v>
      </c>
      <c r="I17" s="5">
        <f>2.146*E17</f>
        <v>0.75109999999999988</v>
      </c>
      <c r="J17" s="5">
        <f>0.514*F17</f>
        <v>0.22101999999999999</v>
      </c>
      <c r="K17" s="5">
        <f>1.267*G17</f>
        <v>0.70952000000000004</v>
      </c>
      <c r="L17" s="5">
        <f>-0.098*H17</f>
        <v>-0.15092</v>
      </c>
      <c r="M17" s="5">
        <f t="shared" si="0"/>
        <v>-1.4272800000000003</v>
      </c>
      <c r="N17" s="5">
        <f>EXP(M17)</f>
        <v>0.23996072856699679</v>
      </c>
      <c r="O17" s="5">
        <f t="shared" si="1"/>
        <v>1.2399607285669969</v>
      </c>
      <c r="P17" s="5">
        <f t="shared" si="2"/>
        <v>0.19352284555359719</v>
      </c>
      <c r="Q17" s="5" t="s">
        <v>126</v>
      </c>
      <c r="R17" s="5" t="s">
        <v>126</v>
      </c>
    </row>
    <row r="18" spans="1:18" x14ac:dyDescent="0.3">
      <c r="A18" s="2">
        <v>17</v>
      </c>
      <c r="B18" s="1" t="s">
        <v>23</v>
      </c>
      <c r="C18" s="5" t="s">
        <v>122</v>
      </c>
      <c r="D18" s="5">
        <v>175</v>
      </c>
      <c r="E18" s="5">
        <v>0.372</v>
      </c>
      <c r="F18" s="5">
        <v>1.96</v>
      </c>
      <c r="G18" s="5">
        <v>0.51</v>
      </c>
      <c r="H18" s="5">
        <v>1.91</v>
      </c>
      <c r="I18" s="5">
        <f>2.146*E18</f>
        <v>0.79831199999999991</v>
      </c>
      <c r="J18" s="5">
        <f>0.514*F18</f>
        <v>1.0074400000000001</v>
      </c>
      <c r="K18" s="5">
        <f>1.267*G18</f>
        <v>0.64616999999999991</v>
      </c>
      <c r="L18" s="5">
        <f>-0.098*H18</f>
        <v>-0.18718000000000001</v>
      </c>
      <c r="M18" s="5">
        <f t="shared" si="0"/>
        <v>-0.6932580000000006</v>
      </c>
      <c r="N18" s="5">
        <f>EXP(M18)</f>
        <v>0.499944593350096</v>
      </c>
      <c r="O18" s="5">
        <f t="shared" si="1"/>
        <v>1.4999445933500959</v>
      </c>
      <c r="P18" s="5">
        <f t="shared" si="2"/>
        <v>0.33330870724596556</v>
      </c>
      <c r="Q18" s="5" t="s">
        <v>126</v>
      </c>
      <c r="R18" s="5" t="s">
        <v>126</v>
      </c>
    </row>
    <row r="19" spans="1:18" x14ac:dyDescent="0.3">
      <c r="A19" s="2">
        <v>18</v>
      </c>
      <c r="B19" s="1" t="s">
        <v>24</v>
      </c>
      <c r="C19" s="5" t="s">
        <v>122</v>
      </c>
      <c r="D19" s="5">
        <v>301</v>
      </c>
      <c r="E19" s="5">
        <v>0.56599999999999995</v>
      </c>
      <c r="F19" s="5">
        <v>0.44</v>
      </c>
      <c r="G19" s="5">
        <v>0.77</v>
      </c>
      <c r="H19" s="5">
        <v>2.89</v>
      </c>
      <c r="I19" s="5">
        <f>2.146*E19</f>
        <v>1.2146359999999998</v>
      </c>
      <c r="J19" s="5">
        <f>0.514*F19</f>
        <v>0.22616</v>
      </c>
      <c r="K19" s="5">
        <f>1.267*G19</f>
        <v>0.97558999999999996</v>
      </c>
      <c r="L19" s="5">
        <f>-0.098*H19</f>
        <v>-0.28322000000000003</v>
      </c>
      <c r="M19" s="5">
        <f t="shared" si="0"/>
        <v>-0.82483400000000051</v>
      </c>
      <c r="N19" s="5">
        <f>EXP(M19)</f>
        <v>0.43830774551203405</v>
      </c>
      <c r="O19" s="5">
        <f t="shared" si="1"/>
        <v>1.4383077455120341</v>
      </c>
      <c r="P19" s="5">
        <f t="shared" si="2"/>
        <v>0.30473850042154749</v>
      </c>
      <c r="Q19" s="5" t="s">
        <v>126</v>
      </c>
      <c r="R19" s="5" t="s">
        <v>126</v>
      </c>
    </row>
    <row r="20" spans="1:18" x14ac:dyDescent="0.3">
      <c r="A20" s="2">
        <v>19</v>
      </c>
      <c r="B20" s="1" t="s">
        <v>25</v>
      </c>
      <c r="C20" s="5" t="s">
        <v>122</v>
      </c>
      <c r="D20" s="5">
        <v>249</v>
      </c>
      <c r="E20" s="5">
        <v>0.02</v>
      </c>
      <c r="F20" s="5">
        <v>1.94</v>
      </c>
      <c r="G20" s="5">
        <v>1.49</v>
      </c>
      <c r="H20" s="5">
        <v>1.85</v>
      </c>
      <c r="I20" s="5">
        <f>2.146*E20</f>
        <v>4.292E-2</v>
      </c>
      <c r="J20" s="5">
        <f>0.514*F20</f>
        <v>0.99716000000000005</v>
      </c>
      <c r="K20" s="5">
        <f>1.267*G20</f>
        <v>1.8878299999999999</v>
      </c>
      <c r="L20" s="5">
        <f>-0.098*H20</f>
        <v>-0.18130000000000002</v>
      </c>
      <c r="M20" s="5">
        <f t="shared" si="0"/>
        <v>-0.21139000000000063</v>
      </c>
      <c r="N20" s="5">
        <f>EXP(M20)</f>
        <v>0.80945831657050482</v>
      </c>
      <c r="O20" s="5">
        <f t="shared" si="1"/>
        <v>1.8094583165705047</v>
      </c>
      <c r="P20" s="5">
        <f t="shared" si="2"/>
        <v>0.44734841867188413</v>
      </c>
      <c r="Q20" s="5" t="s">
        <v>126</v>
      </c>
      <c r="R20" s="5" t="s">
        <v>126</v>
      </c>
    </row>
    <row r="21" spans="1:18" x14ac:dyDescent="0.3">
      <c r="A21" s="2">
        <v>20</v>
      </c>
      <c r="B21" s="1" t="s">
        <v>26</v>
      </c>
      <c r="C21" s="5" t="s">
        <v>122</v>
      </c>
      <c r="D21" s="5">
        <v>200</v>
      </c>
      <c r="E21" s="5">
        <v>0.20399999999999999</v>
      </c>
      <c r="F21" s="5">
        <v>0.20599999999999999</v>
      </c>
      <c r="G21" s="5">
        <v>0.38</v>
      </c>
      <c r="H21" s="5">
        <v>0.38</v>
      </c>
      <c r="I21" s="5">
        <f>2.146*E21</f>
        <v>0.43778399999999995</v>
      </c>
      <c r="J21" s="5">
        <f>0.514*F21</f>
        <v>0.10588399999999999</v>
      </c>
      <c r="K21" s="5">
        <f>1.267*G21</f>
        <v>0.48145999999999994</v>
      </c>
      <c r="L21" s="5">
        <f>-0.098*H21</f>
        <v>-3.7240000000000002E-2</v>
      </c>
      <c r="M21" s="5">
        <f t="shared" si="0"/>
        <v>-1.9701120000000003</v>
      </c>
      <c r="N21" s="5">
        <f>EXP(M21)</f>
        <v>0.13944123792179555</v>
      </c>
      <c r="O21" s="5">
        <f t="shared" si="1"/>
        <v>1.1394412379217955</v>
      </c>
      <c r="P21" s="5">
        <f t="shared" si="2"/>
        <v>0.1223768574289269</v>
      </c>
      <c r="Q21" s="5" t="s">
        <v>126</v>
      </c>
      <c r="R21" s="5" t="s">
        <v>126</v>
      </c>
    </row>
    <row r="22" spans="1:18" x14ac:dyDescent="0.3">
      <c r="A22" s="2">
        <v>21</v>
      </c>
      <c r="B22" s="1" t="s">
        <v>27</v>
      </c>
      <c r="C22" s="5" t="s">
        <v>122</v>
      </c>
      <c r="D22" s="5">
        <v>350</v>
      </c>
      <c r="E22" s="5">
        <v>0.56599999999999995</v>
      </c>
      <c r="F22" s="5">
        <v>1.64</v>
      </c>
      <c r="G22" s="5">
        <v>0.73</v>
      </c>
      <c r="H22" s="5">
        <v>6.62</v>
      </c>
      <c r="I22" s="5">
        <f>2.146*E22</f>
        <v>1.2146359999999998</v>
      </c>
      <c r="J22" s="5">
        <f>0.514*F22</f>
        <v>0.84295999999999993</v>
      </c>
      <c r="K22" s="5">
        <f>1.267*G22</f>
        <v>0.9249099999999999</v>
      </c>
      <c r="L22" s="5">
        <f>-0.098*H22</f>
        <v>-0.64876</v>
      </c>
      <c r="M22" s="5">
        <f t="shared" si="0"/>
        <v>-0.62425400000000053</v>
      </c>
      <c r="N22" s="5">
        <f>EXP(M22)</f>
        <v>0.53566088252248323</v>
      </c>
      <c r="O22" s="5">
        <f t="shared" si="1"/>
        <v>1.5356608825224831</v>
      </c>
      <c r="P22" s="5">
        <f t="shared" si="2"/>
        <v>0.34881456486838708</v>
      </c>
      <c r="Q22" s="5" t="s">
        <v>126</v>
      </c>
      <c r="R22" s="5" t="s">
        <v>126</v>
      </c>
    </row>
    <row r="23" spans="1:18" x14ac:dyDescent="0.3">
      <c r="A23" s="2">
        <v>23</v>
      </c>
      <c r="B23" s="1" t="s">
        <v>28</v>
      </c>
      <c r="C23" s="5" t="s">
        <v>122</v>
      </c>
      <c r="D23" s="5">
        <v>300</v>
      </c>
      <c r="E23" s="5">
        <v>0.18099999999999999</v>
      </c>
      <c r="F23" s="5">
        <v>0.58099999999999996</v>
      </c>
      <c r="G23" s="5">
        <v>0.95</v>
      </c>
      <c r="H23" s="5">
        <v>1.99</v>
      </c>
      <c r="I23" s="5">
        <f>2.146*E23</f>
        <v>0.38842599999999999</v>
      </c>
      <c r="J23" s="5">
        <f>0.514*F23</f>
        <v>0.29863400000000001</v>
      </c>
      <c r="K23" s="5">
        <f>1.267*G23</f>
        <v>1.2036499999999999</v>
      </c>
      <c r="L23" s="5">
        <f>-0.098*H23</f>
        <v>-0.19502</v>
      </c>
      <c r="M23" s="5">
        <f t="shared" si="0"/>
        <v>-1.2623100000000003</v>
      </c>
      <c r="N23" s="5">
        <f>EXP(M23)</f>
        <v>0.28299954191927923</v>
      </c>
      <c r="O23" s="5">
        <f t="shared" si="1"/>
        <v>1.2829995419192792</v>
      </c>
      <c r="P23" s="5">
        <f t="shared" si="2"/>
        <v>0.22057649490344428</v>
      </c>
      <c r="Q23" s="5" t="s">
        <v>126</v>
      </c>
      <c r="R23" s="5" t="s">
        <v>126</v>
      </c>
    </row>
    <row r="24" spans="1:18" x14ac:dyDescent="0.3">
      <c r="A24" s="2">
        <v>24</v>
      </c>
      <c r="B24" s="1" t="s">
        <v>29</v>
      </c>
      <c r="C24" s="5" t="s">
        <v>122</v>
      </c>
      <c r="D24" s="5">
        <v>350</v>
      </c>
      <c r="E24" s="5">
        <v>0.628</v>
      </c>
      <c r="F24" s="5">
        <v>3.12</v>
      </c>
      <c r="G24" s="5">
        <v>0.89</v>
      </c>
      <c r="H24" s="5">
        <v>3.07</v>
      </c>
      <c r="I24" s="5">
        <f>2.146*E24</f>
        <v>1.347688</v>
      </c>
      <c r="J24" s="5">
        <f>0.514*F24</f>
        <v>1.60368</v>
      </c>
      <c r="K24" s="5">
        <f>1.267*G24</f>
        <v>1.1276299999999999</v>
      </c>
      <c r="L24" s="5">
        <f>-0.098*H24</f>
        <v>-0.30086000000000002</v>
      </c>
      <c r="M24" s="5">
        <f t="shared" si="0"/>
        <v>0.82013800000000003</v>
      </c>
      <c r="N24" s="5">
        <f>EXP(M24)</f>
        <v>2.2708131881306794</v>
      </c>
      <c r="O24" s="5">
        <f t="shared" si="1"/>
        <v>3.2708131881306794</v>
      </c>
      <c r="P24" s="5">
        <f>N24/O24</f>
        <v>0.69426563289249932</v>
      </c>
      <c r="Q24" s="5" t="s">
        <v>126</v>
      </c>
      <c r="R24" s="5" t="s">
        <v>126</v>
      </c>
    </row>
    <row r="25" spans="1:18" x14ac:dyDescent="0.3">
      <c r="A25" s="2">
        <v>25</v>
      </c>
      <c r="B25" s="1" t="s">
        <v>30</v>
      </c>
      <c r="C25" s="5" t="s">
        <v>122</v>
      </c>
      <c r="D25" s="5">
        <v>350</v>
      </c>
      <c r="E25" s="5">
        <v>0.59599999999999997</v>
      </c>
      <c r="F25" s="5">
        <v>0.97</v>
      </c>
      <c r="G25" s="5">
        <v>0.71</v>
      </c>
      <c r="H25" s="5">
        <v>2.86</v>
      </c>
      <c r="I25" s="5">
        <f>2.146*E25</f>
        <v>1.2790159999999999</v>
      </c>
      <c r="J25" s="5">
        <f>0.514*F25</f>
        <v>0.49858000000000002</v>
      </c>
      <c r="K25" s="5">
        <f>1.267*G25</f>
        <v>0.89956999999999987</v>
      </c>
      <c r="L25" s="5">
        <f>-0.098*H25</f>
        <v>-0.28027999999999997</v>
      </c>
      <c r="M25" s="5">
        <f t="shared" si="0"/>
        <v>-0.56111400000000033</v>
      </c>
      <c r="N25" s="5">
        <f>EXP(M25)</f>
        <v>0.57057309125419231</v>
      </c>
      <c r="O25" s="5">
        <f t="shared" si="1"/>
        <v>1.5705730912541922</v>
      </c>
      <c r="P25" s="5">
        <f t="shared" si="2"/>
        <v>0.36328974081591908</v>
      </c>
      <c r="Q25" s="5" t="s">
        <v>126</v>
      </c>
      <c r="R25" s="5" t="s">
        <v>126</v>
      </c>
    </row>
    <row r="26" spans="1:18" x14ac:dyDescent="0.3">
      <c r="A26" s="2">
        <v>26</v>
      </c>
      <c r="B26" s="1" t="s">
        <v>31</v>
      </c>
      <c r="C26" s="5" t="s">
        <v>122</v>
      </c>
      <c r="D26" s="5">
        <v>490</v>
      </c>
      <c r="E26" s="5">
        <v>0.54100000000000004</v>
      </c>
      <c r="F26" s="5">
        <v>1.54</v>
      </c>
      <c r="G26" s="5">
        <v>1.08</v>
      </c>
      <c r="H26" s="5">
        <v>1.26</v>
      </c>
      <c r="I26" s="5">
        <f>2.146*E26</f>
        <v>1.1609860000000001</v>
      </c>
      <c r="J26" s="5">
        <f>0.514*F26</f>
        <v>0.79156000000000004</v>
      </c>
      <c r="K26" s="5">
        <f>1.267*G26</f>
        <v>1.36836</v>
      </c>
      <c r="L26" s="5">
        <f>-0.098*H26</f>
        <v>-0.12348000000000001</v>
      </c>
      <c r="M26" s="5">
        <f t="shared" si="0"/>
        <v>0.23942599999999992</v>
      </c>
      <c r="N26" s="5">
        <f>EXP(M26)</f>
        <v>1.2705196626920987</v>
      </c>
      <c r="O26" s="5">
        <f t="shared" si="1"/>
        <v>2.2705196626920987</v>
      </c>
      <c r="P26" s="5">
        <f t="shared" si="2"/>
        <v>0.55957219114573764</v>
      </c>
      <c r="Q26" s="5" t="s">
        <v>126</v>
      </c>
      <c r="R26" s="5" t="s">
        <v>126</v>
      </c>
    </row>
    <row r="27" spans="1:18" x14ac:dyDescent="0.3">
      <c r="A27" s="2">
        <v>27</v>
      </c>
      <c r="B27" s="1" t="s">
        <v>32</v>
      </c>
      <c r="C27" s="5" t="s">
        <v>122</v>
      </c>
      <c r="D27" s="5">
        <v>480</v>
      </c>
      <c r="E27" s="5">
        <v>0.621</v>
      </c>
      <c r="F27" s="5">
        <v>0.91</v>
      </c>
      <c r="G27" s="5">
        <v>0.92</v>
      </c>
      <c r="H27" s="5">
        <v>1.57</v>
      </c>
      <c r="I27" s="5">
        <f>2.146*E27</f>
        <v>1.3326659999999999</v>
      </c>
      <c r="J27" s="5">
        <f>0.514*F27</f>
        <v>0.46774000000000004</v>
      </c>
      <c r="K27" s="5">
        <f>1.267*G27</f>
        <v>1.16564</v>
      </c>
      <c r="L27" s="5">
        <f>-0.098*H27</f>
        <v>-0.15386000000000002</v>
      </c>
      <c r="M27" s="5">
        <f t="shared" si="0"/>
        <v>-0.14581400000000011</v>
      </c>
      <c r="N27" s="5">
        <f>EXP(M27)</f>
        <v>0.86431845146656183</v>
      </c>
      <c r="O27" s="5">
        <f t="shared" si="1"/>
        <v>1.8643184514665618</v>
      </c>
      <c r="P27" s="5">
        <f t="shared" si="2"/>
        <v>0.46361095165187455</v>
      </c>
      <c r="Q27" s="5" t="s">
        <v>126</v>
      </c>
      <c r="R27" s="5" t="s">
        <v>126</v>
      </c>
    </row>
    <row r="28" spans="1:18" x14ac:dyDescent="0.3">
      <c r="A28" s="2">
        <v>28</v>
      </c>
      <c r="B28" s="1" t="s">
        <v>33</v>
      </c>
      <c r="C28" s="5" t="s">
        <v>122</v>
      </c>
      <c r="D28" s="5">
        <v>293</v>
      </c>
      <c r="E28" s="5">
        <v>0.17899999999999999</v>
      </c>
      <c r="F28" s="5">
        <v>2.04</v>
      </c>
      <c r="G28" s="5">
        <v>0.99</v>
      </c>
      <c r="H28" s="5">
        <v>3.61</v>
      </c>
      <c r="I28" s="5">
        <f>2.146*E28</f>
        <v>0.38413399999999998</v>
      </c>
      <c r="J28" s="5">
        <f>0.514*F28</f>
        <v>1.0485599999999999</v>
      </c>
      <c r="K28" s="5">
        <f>1.267*G28</f>
        <v>1.2543299999999999</v>
      </c>
      <c r="L28" s="5">
        <f>-0.098*H28</f>
        <v>-0.35377999999999998</v>
      </c>
      <c r="M28" s="5">
        <f t="shared" si="0"/>
        <v>-0.62475600000000009</v>
      </c>
      <c r="N28" s="5">
        <f>EXP(M28)</f>
        <v>0.53539204824250708</v>
      </c>
      <c r="O28" s="5">
        <f t="shared" si="1"/>
        <v>1.5353920482425072</v>
      </c>
      <c r="P28" s="5">
        <f t="shared" si="2"/>
        <v>0.34870054775608988</v>
      </c>
      <c r="Q28" s="5" t="s">
        <v>126</v>
      </c>
      <c r="R28" s="5" t="s">
        <v>126</v>
      </c>
    </row>
    <row r="29" spans="1:18" x14ac:dyDescent="0.3">
      <c r="A29" s="2">
        <v>29</v>
      </c>
      <c r="B29" s="1" t="s">
        <v>34</v>
      </c>
      <c r="C29" s="5" t="s">
        <v>122</v>
      </c>
      <c r="D29" s="5">
        <v>370</v>
      </c>
      <c r="E29" s="5">
        <v>0.08</v>
      </c>
      <c r="F29" s="5">
        <v>0.08</v>
      </c>
      <c r="G29" s="5">
        <v>0.62</v>
      </c>
      <c r="H29" s="5">
        <v>2.17</v>
      </c>
      <c r="I29" s="5">
        <f>2.146*E29</f>
        <v>0.17168</v>
      </c>
      <c r="J29" s="5">
        <f>0.514*F29</f>
        <v>4.1120000000000004E-2</v>
      </c>
      <c r="K29" s="5">
        <f>1.267*G29</f>
        <v>0.78553999999999991</v>
      </c>
      <c r="L29" s="5">
        <f>-0.098*H29</f>
        <v>-0.21265999999999999</v>
      </c>
      <c r="M29" s="5">
        <f t="shared" si="0"/>
        <v>-2.17232</v>
      </c>
      <c r="N29" s="5">
        <f>EXP(M29)</f>
        <v>0.11391303187691788</v>
      </c>
      <c r="O29" s="5">
        <f t="shared" si="1"/>
        <v>1.1139130318769179</v>
      </c>
      <c r="P29" s="5">
        <f t="shared" si="2"/>
        <v>0.10226384701234444</v>
      </c>
      <c r="Q29" s="5" t="s">
        <v>126</v>
      </c>
      <c r="R29" s="5" t="s">
        <v>126</v>
      </c>
    </row>
    <row r="30" spans="1:18" x14ac:dyDescent="0.3">
      <c r="A30" s="2">
        <v>31</v>
      </c>
      <c r="B30" s="1" t="s">
        <v>35</v>
      </c>
      <c r="C30" s="5" t="s">
        <v>122</v>
      </c>
      <c r="D30" s="5">
        <v>250</v>
      </c>
      <c r="E30" s="5">
        <v>0.42599999999999999</v>
      </c>
      <c r="F30" s="5">
        <v>0.81</v>
      </c>
      <c r="G30" s="5">
        <v>0.63</v>
      </c>
      <c r="H30" s="5">
        <v>2.4500000000000002</v>
      </c>
      <c r="I30" s="5">
        <f>2.146*E30</f>
        <v>0.9141959999999999</v>
      </c>
      <c r="J30" s="5">
        <f>0.514*F30</f>
        <v>0.41634000000000004</v>
      </c>
      <c r="K30" s="5">
        <f>1.267*G30</f>
        <v>0.79820999999999998</v>
      </c>
      <c r="L30" s="5">
        <f>-0.098*H30</f>
        <v>-0.24010000000000004</v>
      </c>
      <c r="M30" s="5">
        <f t="shared" si="0"/>
        <v>-1.0693540000000001</v>
      </c>
      <c r="N30" s="5">
        <f>EXP(M30)</f>
        <v>0.34323017250784454</v>
      </c>
      <c r="O30" s="5">
        <f t="shared" si="1"/>
        <v>1.3432301725078446</v>
      </c>
      <c r="P30" s="5">
        <f t="shared" si="2"/>
        <v>0.2555259549203136</v>
      </c>
      <c r="Q30" s="5" t="s">
        <v>126</v>
      </c>
      <c r="R30" s="5" t="s">
        <v>126</v>
      </c>
    </row>
    <row r="31" spans="1:18" x14ac:dyDescent="0.3">
      <c r="A31" s="2">
        <v>32</v>
      </c>
      <c r="B31" s="1" t="s">
        <v>36</v>
      </c>
      <c r="C31" s="5" t="s">
        <v>122</v>
      </c>
      <c r="D31" s="5">
        <v>190</v>
      </c>
      <c r="E31" s="5">
        <v>0.32800000000000001</v>
      </c>
      <c r="F31" s="5">
        <v>2.56</v>
      </c>
      <c r="G31" s="5">
        <v>0.32800000000000001</v>
      </c>
      <c r="H31" s="5">
        <v>2.89</v>
      </c>
      <c r="I31" s="5">
        <f>2.146*E31</f>
        <v>0.70388799999999996</v>
      </c>
      <c r="J31" s="5">
        <f>0.514*F31</f>
        <v>1.3158400000000001</v>
      </c>
      <c r="K31" s="5">
        <f>1.267*G31</f>
        <v>0.415576</v>
      </c>
      <c r="L31" s="5">
        <f>-0.098*H31</f>
        <v>-0.28322000000000003</v>
      </c>
      <c r="M31" s="5">
        <f t="shared" si="0"/>
        <v>-0.80591599999999985</v>
      </c>
      <c r="N31" s="5">
        <f>EXP(M31)</f>
        <v>0.4466785815272748</v>
      </c>
      <c r="O31" s="5">
        <f t="shared" si="1"/>
        <v>1.4466785815272747</v>
      </c>
      <c r="P31" s="5">
        <f t="shared" si="2"/>
        <v>0.30876145346377581</v>
      </c>
      <c r="Q31" s="5" t="s">
        <v>126</v>
      </c>
      <c r="R31" s="5" t="s">
        <v>126</v>
      </c>
    </row>
    <row r="32" spans="1:18" x14ac:dyDescent="0.3">
      <c r="A32" s="2">
        <v>33</v>
      </c>
      <c r="B32" s="1" t="s">
        <v>37</v>
      </c>
      <c r="C32" s="5" t="s">
        <v>122</v>
      </c>
      <c r="D32" s="5">
        <v>160</v>
      </c>
      <c r="E32" s="5">
        <v>0.13</v>
      </c>
      <c r="F32" s="5">
        <v>1.28</v>
      </c>
      <c r="G32" s="5">
        <v>0.9</v>
      </c>
      <c r="H32" s="5">
        <v>1.57</v>
      </c>
      <c r="I32" s="5">
        <f>2.146*E32</f>
        <v>0.27898000000000001</v>
      </c>
      <c r="J32" s="5">
        <f>0.514*F32</f>
        <v>0.65792000000000006</v>
      </c>
      <c r="K32" s="5">
        <f>1.267*G32</f>
        <v>1.1402999999999999</v>
      </c>
      <c r="L32" s="5">
        <f>-0.098*H32</f>
        <v>-0.15386000000000002</v>
      </c>
      <c r="M32" s="5">
        <f t="shared" si="0"/>
        <v>-1.0346600000000004</v>
      </c>
      <c r="N32" s="5">
        <f>EXP(M32)</f>
        <v>0.35534717842887786</v>
      </c>
      <c r="O32" s="5">
        <f t="shared" si="1"/>
        <v>1.355347178428878</v>
      </c>
      <c r="P32" s="5">
        <f t="shared" si="2"/>
        <v>0.26218166391934888</v>
      </c>
      <c r="Q32" s="5" t="s">
        <v>126</v>
      </c>
      <c r="R32" s="5" t="s">
        <v>126</v>
      </c>
    </row>
    <row r="33" spans="1:18" x14ac:dyDescent="0.3">
      <c r="A33" s="2">
        <v>34</v>
      </c>
      <c r="B33" s="1" t="s">
        <v>38</v>
      </c>
      <c r="C33" s="5" t="s">
        <v>122</v>
      </c>
      <c r="D33" s="5">
        <v>455</v>
      </c>
      <c r="E33" s="5">
        <v>9.1999999999999998E-2</v>
      </c>
      <c r="F33" s="5">
        <v>0.96</v>
      </c>
      <c r="G33" s="5">
        <v>1.48</v>
      </c>
      <c r="H33" s="5">
        <v>2.09</v>
      </c>
      <c r="I33" s="5">
        <f>2.146*E33</f>
        <v>0.197432</v>
      </c>
      <c r="J33" s="5">
        <f>0.514*F33</f>
        <v>0.49343999999999999</v>
      </c>
      <c r="K33" s="5">
        <f>1.267*G33</f>
        <v>1.8751599999999999</v>
      </c>
      <c r="L33" s="5">
        <f>-0.098*H33</f>
        <v>-0.20482</v>
      </c>
      <c r="M33" s="5">
        <f t="shared" si="0"/>
        <v>-0.5967880000000001</v>
      </c>
      <c r="N33" s="5">
        <f>EXP(M33)</f>
        <v>0.5505772531321429</v>
      </c>
      <c r="O33" s="5">
        <f t="shared" si="1"/>
        <v>1.5505772531321429</v>
      </c>
      <c r="P33" s="5">
        <f t="shared" si="2"/>
        <v>0.35507889208356763</v>
      </c>
      <c r="Q33" s="5" t="s">
        <v>126</v>
      </c>
      <c r="R33" s="5" t="s">
        <v>126</v>
      </c>
    </row>
    <row r="34" spans="1:18" x14ac:dyDescent="0.3">
      <c r="A34" s="2">
        <v>35</v>
      </c>
      <c r="B34" s="1" t="s">
        <v>39</v>
      </c>
      <c r="C34" s="5" t="s">
        <v>122</v>
      </c>
      <c r="D34" s="5">
        <v>390</v>
      </c>
      <c r="E34" s="5">
        <v>0.27500000000000002</v>
      </c>
      <c r="F34" s="5">
        <v>3.55</v>
      </c>
      <c r="G34" s="5">
        <v>0.27500000000000002</v>
      </c>
      <c r="H34" s="5">
        <v>4.03</v>
      </c>
      <c r="I34" s="5">
        <f>2.146*E34</f>
        <v>0.59015000000000006</v>
      </c>
      <c r="J34" s="5">
        <f>0.514*F34</f>
        <v>1.8247</v>
      </c>
      <c r="K34" s="5">
        <f>1.267*G34</f>
        <v>0.34842499999999998</v>
      </c>
      <c r="L34" s="5">
        <f>-0.098*H34</f>
        <v>-0.39494000000000001</v>
      </c>
      <c r="M34" s="5">
        <f t="shared" si="0"/>
        <v>-0.58966500000000011</v>
      </c>
      <c r="N34" s="5">
        <f>EXP(M34)</f>
        <v>0.55451301548305643</v>
      </c>
      <c r="O34" s="5">
        <f t="shared" si="1"/>
        <v>1.5545130154830564</v>
      </c>
      <c r="P34" s="5">
        <f t="shared" si="2"/>
        <v>0.35671172255238054</v>
      </c>
      <c r="Q34" s="5" t="s">
        <v>126</v>
      </c>
      <c r="R34" s="5" t="s">
        <v>126</v>
      </c>
    </row>
    <row r="35" spans="1:18" x14ac:dyDescent="0.3">
      <c r="A35" s="2">
        <v>36</v>
      </c>
      <c r="B35" s="1" t="s">
        <v>40</v>
      </c>
      <c r="C35" s="5" t="s">
        <v>122</v>
      </c>
      <c r="D35" s="5">
        <v>230</v>
      </c>
      <c r="E35" s="5">
        <v>0.317</v>
      </c>
      <c r="F35" s="5">
        <v>3.37</v>
      </c>
      <c r="G35" s="5">
        <v>3.3</v>
      </c>
      <c r="H35" s="5">
        <v>3.39</v>
      </c>
      <c r="I35" s="5">
        <f>2.146*E35</f>
        <v>0.68028199999999994</v>
      </c>
      <c r="J35" s="5">
        <f>0.514*F35</f>
        <v>1.7321800000000001</v>
      </c>
      <c r="K35" s="5">
        <f>1.267*G35</f>
        <v>4.1810999999999998</v>
      </c>
      <c r="L35" s="5">
        <f>-0.098*H35</f>
        <v>-0.33222000000000002</v>
      </c>
      <c r="M35" s="5">
        <f t="shared" si="0"/>
        <v>3.3033419999999998</v>
      </c>
      <c r="N35" s="5">
        <f>EXP(M35)</f>
        <v>27.203400938786551</v>
      </c>
      <c r="O35" s="5">
        <f t="shared" si="1"/>
        <v>28.203400938786551</v>
      </c>
      <c r="P35" s="5">
        <f t="shared" si="2"/>
        <v>0.96454328319586602</v>
      </c>
      <c r="Q35" s="5" t="s">
        <v>121</v>
      </c>
      <c r="R35" s="5">
        <v>1</v>
      </c>
    </row>
    <row r="36" spans="1:18" x14ac:dyDescent="0.3">
      <c r="A36" s="2">
        <v>37</v>
      </c>
      <c r="B36" s="1" t="s">
        <v>41</v>
      </c>
      <c r="C36" s="5" t="s">
        <v>122</v>
      </c>
      <c r="D36" s="5">
        <v>280</v>
      </c>
      <c r="E36" s="5">
        <v>0.189</v>
      </c>
      <c r="F36" s="5">
        <v>3.45</v>
      </c>
      <c r="G36" s="5">
        <v>1.1399999999999999</v>
      </c>
      <c r="H36" s="5">
        <v>5.47</v>
      </c>
      <c r="I36" s="5">
        <f>2.146*E36</f>
        <v>0.40559400000000001</v>
      </c>
      <c r="J36" s="5">
        <f>0.514*F36</f>
        <v>1.7733000000000001</v>
      </c>
      <c r="K36" s="5">
        <f>1.267*G36</f>
        <v>1.4443799999999998</v>
      </c>
      <c r="L36" s="5">
        <f>-0.098*H36</f>
        <v>-0.53605999999999998</v>
      </c>
      <c r="M36" s="5">
        <f t="shared" si="0"/>
        <v>0.12921399999999972</v>
      </c>
      <c r="N36" s="5">
        <f>EXP(M36)</f>
        <v>1.1379336159049895</v>
      </c>
      <c r="O36" s="5">
        <f t="shared" si="1"/>
        <v>2.1379336159049895</v>
      </c>
      <c r="P36" s="5">
        <f t="shared" si="2"/>
        <v>0.53225862928550338</v>
      </c>
      <c r="Q36" s="5" t="s">
        <v>126</v>
      </c>
      <c r="R36" s="5" t="s">
        <v>126</v>
      </c>
    </row>
    <row r="37" spans="1:18" x14ac:dyDescent="0.3">
      <c r="A37" s="2">
        <v>38</v>
      </c>
      <c r="B37" s="1" t="s">
        <v>42</v>
      </c>
      <c r="C37" s="5" t="s">
        <v>122</v>
      </c>
      <c r="D37" s="5">
        <v>370</v>
      </c>
      <c r="E37" s="5">
        <v>1.04</v>
      </c>
      <c r="F37" s="5">
        <v>1.36</v>
      </c>
      <c r="G37" s="5">
        <v>1.04</v>
      </c>
      <c r="H37" s="5">
        <v>3.92</v>
      </c>
      <c r="I37" s="5">
        <f>2.146*E37</f>
        <v>2.23184</v>
      </c>
      <c r="J37" s="5">
        <f>0.514*F37</f>
        <v>0.69904000000000011</v>
      </c>
      <c r="K37" s="5">
        <f>1.267*G37</f>
        <v>1.31768</v>
      </c>
      <c r="L37" s="5">
        <f>-0.098*H37</f>
        <v>-0.38416</v>
      </c>
      <c r="M37" s="5">
        <f t="shared" si="0"/>
        <v>0.90640000000000009</v>
      </c>
      <c r="N37" s="5">
        <f>EXP(M37)</f>
        <v>2.4753950513739298</v>
      </c>
      <c r="O37" s="5">
        <f t="shared" si="1"/>
        <v>3.4753950513739298</v>
      </c>
      <c r="P37" s="5">
        <f t="shared" si="2"/>
        <v>0.71226292688519843</v>
      </c>
      <c r="Q37" s="5" t="s">
        <v>122</v>
      </c>
      <c r="R37" s="5">
        <v>0</v>
      </c>
    </row>
    <row r="38" spans="1:18" x14ac:dyDescent="0.3">
      <c r="A38" s="2">
        <v>39</v>
      </c>
      <c r="B38" s="1" t="s">
        <v>43</v>
      </c>
      <c r="C38" s="5" t="s">
        <v>122</v>
      </c>
      <c r="D38" s="5">
        <v>296</v>
      </c>
      <c r="E38" s="5">
        <v>1.41</v>
      </c>
      <c r="F38" s="5">
        <v>2.21</v>
      </c>
      <c r="G38" s="5">
        <v>1.48</v>
      </c>
      <c r="H38" s="5">
        <v>3.17</v>
      </c>
      <c r="I38" s="5">
        <f>2.146*E38</f>
        <v>3.0258599999999998</v>
      </c>
      <c r="J38" s="5">
        <f>0.514*F38</f>
        <v>1.1359399999999999</v>
      </c>
      <c r="K38" s="5">
        <f>1.267*G38</f>
        <v>1.8751599999999999</v>
      </c>
      <c r="L38" s="5">
        <f>-0.098*H38</f>
        <v>-0.31065999999999999</v>
      </c>
      <c r="M38" s="5">
        <f t="shared" si="0"/>
        <v>2.7682999999999991</v>
      </c>
      <c r="N38" s="5">
        <f>EXP(M38)</f>
        <v>15.931527379141599</v>
      </c>
      <c r="O38" s="5">
        <f t="shared" si="1"/>
        <v>16.931527379141599</v>
      </c>
      <c r="P38" s="5">
        <f t="shared" si="2"/>
        <v>0.94093858294013533</v>
      </c>
      <c r="Q38" s="5" t="s">
        <v>122</v>
      </c>
      <c r="R38" s="5">
        <v>0</v>
      </c>
    </row>
    <row r="39" spans="1:18" x14ac:dyDescent="0.3">
      <c r="A39" s="2">
        <v>40</v>
      </c>
      <c r="B39" s="1" t="s">
        <v>44</v>
      </c>
      <c r="C39" s="5" t="s">
        <v>122</v>
      </c>
      <c r="D39" s="5">
        <v>407</v>
      </c>
      <c r="E39" s="5">
        <v>0.89200000000000002</v>
      </c>
      <c r="F39" s="5">
        <v>0.17199999999999999</v>
      </c>
      <c r="G39" s="5">
        <v>0.73</v>
      </c>
      <c r="H39" s="5">
        <v>3.66</v>
      </c>
      <c r="I39" s="5">
        <f>2.146*E39</f>
        <v>1.9142319999999999</v>
      </c>
      <c r="J39" s="5">
        <f>0.514*F39</f>
        <v>8.8408E-2</v>
      </c>
      <c r="K39" s="5">
        <f>1.267*G39</f>
        <v>0.9249099999999999</v>
      </c>
      <c r="L39" s="5">
        <f>-0.098*H39</f>
        <v>-0.35868000000000005</v>
      </c>
      <c r="M39" s="5">
        <f t="shared" si="0"/>
        <v>-0.3891300000000002</v>
      </c>
      <c r="N39" s="5">
        <f>EXP(M39)</f>
        <v>0.67764617028547558</v>
      </c>
      <c r="O39" s="5">
        <f t="shared" si="1"/>
        <v>1.6776461702854757</v>
      </c>
      <c r="P39" s="5">
        <f t="shared" si="2"/>
        <v>0.40392675302335312</v>
      </c>
      <c r="Q39" s="5" t="s">
        <v>126</v>
      </c>
      <c r="R39" s="5" t="s">
        <v>126</v>
      </c>
    </row>
    <row r="40" spans="1:18" x14ac:dyDescent="0.3">
      <c r="A40" s="2">
        <v>42</v>
      </c>
      <c r="B40" s="1" t="s">
        <v>45</v>
      </c>
      <c r="C40" s="5" t="s">
        <v>122</v>
      </c>
      <c r="D40" s="5">
        <v>294</v>
      </c>
      <c r="E40" s="5">
        <v>0.09</v>
      </c>
      <c r="F40" s="5">
        <v>0.68</v>
      </c>
      <c r="G40" s="5">
        <v>0.21</v>
      </c>
      <c r="H40" s="5">
        <v>1.62</v>
      </c>
      <c r="I40" s="5">
        <f>2.146*E40</f>
        <v>0.19313999999999998</v>
      </c>
      <c r="J40" s="5">
        <f>0.514*F40</f>
        <v>0.34952000000000005</v>
      </c>
      <c r="K40" s="5">
        <f>1.267*G40</f>
        <v>0.26606999999999997</v>
      </c>
      <c r="L40" s="5">
        <f>-0.098*H40</f>
        <v>-0.15876000000000001</v>
      </c>
      <c r="M40" s="5">
        <f t="shared" si="0"/>
        <v>-2.3080300000000005</v>
      </c>
      <c r="N40" s="5">
        <f>EXP(M40)</f>
        <v>9.9456988963257567E-2</v>
      </c>
      <c r="O40" s="5">
        <f t="shared" si="1"/>
        <v>1.0994569889632575</v>
      </c>
      <c r="P40" s="5">
        <f t="shared" si="2"/>
        <v>9.0460099814401465E-2</v>
      </c>
      <c r="Q40" s="5" t="s">
        <v>126</v>
      </c>
      <c r="R40" s="5" t="s">
        <v>126</v>
      </c>
    </row>
    <row r="41" spans="1:18" x14ac:dyDescent="0.3">
      <c r="A41" s="2">
        <v>43</v>
      </c>
      <c r="B41" s="1" t="s">
        <v>46</v>
      </c>
      <c r="C41" s="5" t="s">
        <v>122</v>
      </c>
      <c r="D41" s="5">
        <v>111</v>
      </c>
      <c r="E41" s="5">
        <v>7.8E-2</v>
      </c>
      <c r="F41" s="5">
        <v>6.3E-2</v>
      </c>
      <c r="G41" s="5">
        <v>1.1200000000000001</v>
      </c>
      <c r="H41" s="5">
        <v>1.97</v>
      </c>
      <c r="I41" s="5">
        <f>2.146*E41</f>
        <v>0.16738799999999998</v>
      </c>
      <c r="J41" s="5">
        <f>0.514*F41</f>
        <v>3.2382000000000001E-2</v>
      </c>
      <c r="K41" s="5">
        <f>1.267*G41</f>
        <v>1.4190400000000001</v>
      </c>
      <c r="L41" s="5">
        <f>-0.098*H41</f>
        <v>-0.19306000000000001</v>
      </c>
      <c r="M41" s="5">
        <f t="shared" si="0"/>
        <v>-1.5322500000000001</v>
      </c>
      <c r="N41" s="5">
        <f>EXP(M41)</f>
        <v>0.21604900975960561</v>
      </c>
      <c r="O41" s="5">
        <f t="shared" si="1"/>
        <v>1.2160490097596055</v>
      </c>
      <c r="P41" s="5">
        <f t="shared" si="2"/>
        <v>0.17766472241305081</v>
      </c>
      <c r="Q41" s="5" t="s">
        <v>126</v>
      </c>
      <c r="R41" s="5" t="s">
        <v>126</v>
      </c>
    </row>
    <row r="42" spans="1:18" x14ac:dyDescent="0.3">
      <c r="A42" s="2">
        <v>44</v>
      </c>
      <c r="B42" s="1" t="s">
        <v>47</v>
      </c>
      <c r="C42" s="5" t="s">
        <v>122</v>
      </c>
      <c r="D42" s="5">
        <v>167</v>
      </c>
      <c r="E42" s="5">
        <v>0.47699999999999998</v>
      </c>
      <c r="F42" s="5">
        <v>1.17</v>
      </c>
      <c r="G42" s="5">
        <v>0.7</v>
      </c>
      <c r="H42" s="5">
        <v>1.77</v>
      </c>
      <c r="I42" s="5">
        <f>2.146*E42</f>
        <v>1.0236419999999999</v>
      </c>
      <c r="J42" s="5">
        <f>0.514*F42</f>
        <v>0.60138000000000003</v>
      </c>
      <c r="K42" s="5">
        <f>1.267*G42</f>
        <v>0.88689999999999991</v>
      </c>
      <c r="L42" s="5">
        <f>-0.098*H42</f>
        <v>-0.17346</v>
      </c>
      <c r="M42" s="5">
        <f t="shared" si="0"/>
        <v>-0.61953800000000037</v>
      </c>
      <c r="N42" s="5">
        <f>EXP(M42)</f>
        <v>0.53819302534419156</v>
      </c>
      <c r="O42" s="5">
        <f t="shared" si="1"/>
        <v>1.5381930253441916</v>
      </c>
      <c r="P42" s="5">
        <f t="shared" si="2"/>
        <v>0.34988653340419584</v>
      </c>
      <c r="Q42" s="5" t="s">
        <v>126</v>
      </c>
      <c r="R42" s="5" t="s">
        <v>126</v>
      </c>
    </row>
    <row r="43" spans="1:18" x14ac:dyDescent="0.3">
      <c r="A43" s="2">
        <v>45</v>
      </c>
      <c r="B43" s="1" t="s">
        <v>48</v>
      </c>
      <c r="C43" s="5" t="s">
        <v>122</v>
      </c>
      <c r="D43" s="5">
        <v>195</v>
      </c>
      <c r="E43" s="5">
        <v>0.26</v>
      </c>
      <c r="F43" s="5">
        <v>0.21099999999999999</v>
      </c>
      <c r="G43" s="5">
        <v>0.47</v>
      </c>
      <c r="H43" s="5">
        <v>2.38</v>
      </c>
      <c r="I43" s="5">
        <f>2.146*E43</f>
        <v>0.55796000000000001</v>
      </c>
      <c r="J43" s="5">
        <f>0.514*F43</f>
        <v>0.10845399999999999</v>
      </c>
      <c r="K43" s="5">
        <f>1.267*G43</f>
        <v>0.59548999999999996</v>
      </c>
      <c r="L43" s="5">
        <f>-0.098*H43</f>
        <v>-0.23324</v>
      </c>
      <c r="M43" s="5">
        <f t="shared" si="0"/>
        <v>-1.9293360000000002</v>
      </c>
      <c r="N43" s="5">
        <f>EXP(M43)</f>
        <v>0.1452446088921302</v>
      </c>
      <c r="O43" s="5">
        <f t="shared" si="1"/>
        <v>1.1452446088921302</v>
      </c>
      <c r="P43" s="5">
        <f t="shared" si="2"/>
        <v>0.12682409309277148</v>
      </c>
      <c r="Q43" s="5" t="s">
        <v>126</v>
      </c>
      <c r="R43" s="5" t="s">
        <v>126</v>
      </c>
    </row>
    <row r="44" spans="1:18" x14ac:dyDescent="0.3">
      <c r="A44" s="2">
        <v>46</v>
      </c>
      <c r="B44" s="1" t="s">
        <v>49</v>
      </c>
      <c r="C44" s="5" t="s">
        <v>122</v>
      </c>
      <c r="D44" s="5">
        <v>430</v>
      </c>
      <c r="E44" s="5">
        <v>0.22</v>
      </c>
      <c r="F44" s="5">
        <v>3.42</v>
      </c>
      <c r="G44" s="5">
        <v>2.16</v>
      </c>
      <c r="H44" s="5">
        <v>3.57</v>
      </c>
      <c r="I44" s="5">
        <f>2.146*E44</f>
        <v>0.47211999999999998</v>
      </c>
      <c r="J44" s="5">
        <f>0.514*F44</f>
        <v>1.7578800000000001</v>
      </c>
      <c r="K44" s="5">
        <f>1.267*G44</f>
        <v>2.73672</v>
      </c>
      <c r="L44" s="5">
        <f>-0.098*H44</f>
        <v>-0.34986</v>
      </c>
      <c r="M44" s="5">
        <f t="shared" si="0"/>
        <v>1.6588600000000007</v>
      </c>
      <c r="N44" s="5">
        <f>EXP(M44)</f>
        <v>5.2533186462861394</v>
      </c>
      <c r="O44" s="5">
        <f t="shared" si="1"/>
        <v>6.2533186462861394</v>
      </c>
      <c r="P44" s="5">
        <f t="shared" si="2"/>
        <v>0.84008491225792525</v>
      </c>
      <c r="Q44" s="5" t="s">
        <v>122</v>
      </c>
      <c r="R44" s="5">
        <v>0</v>
      </c>
    </row>
    <row r="45" spans="1:18" x14ac:dyDescent="0.3">
      <c r="A45" s="2">
        <v>47</v>
      </c>
      <c r="B45" s="1" t="s">
        <v>50</v>
      </c>
      <c r="C45" s="5" t="s">
        <v>122</v>
      </c>
      <c r="D45" s="5">
        <v>180</v>
      </c>
      <c r="E45" s="5">
        <v>0.378</v>
      </c>
      <c r="F45" s="5">
        <v>3.93</v>
      </c>
      <c r="G45" s="5">
        <v>3.21</v>
      </c>
      <c r="H45" s="5">
        <v>3.93</v>
      </c>
      <c r="I45" s="5">
        <f>2.146*E45</f>
        <v>0.81118800000000002</v>
      </c>
      <c r="J45" s="5">
        <f>0.514*F45</f>
        <v>2.0200200000000001</v>
      </c>
      <c r="K45" s="5">
        <f>1.267*G45</f>
        <v>4.0670699999999993</v>
      </c>
      <c r="L45" s="5">
        <f>-0.098*H45</f>
        <v>-0.38514000000000004</v>
      </c>
      <c r="M45" s="5">
        <f t="shared" si="0"/>
        <v>3.5551379999999995</v>
      </c>
      <c r="N45" s="5">
        <f>EXP(M45)</f>
        <v>34.99264862001845</v>
      </c>
      <c r="O45" s="5">
        <f t="shared" si="1"/>
        <v>35.99264862001845</v>
      </c>
      <c r="P45" s="5">
        <f t="shared" si="2"/>
        <v>0.97221654870256424</v>
      </c>
      <c r="Q45" s="5" t="s">
        <v>122</v>
      </c>
      <c r="R45" s="5">
        <v>0</v>
      </c>
    </row>
    <row r="46" spans="1:18" x14ac:dyDescent="0.3">
      <c r="A46" s="2">
        <v>48</v>
      </c>
      <c r="B46" s="1" t="s">
        <v>51</v>
      </c>
      <c r="C46" s="5" t="s">
        <v>122</v>
      </c>
      <c r="D46" s="5">
        <v>260</v>
      </c>
      <c r="E46" s="5">
        <v>0.33200000000000002</v>
      </c>
      <c r="F46" s="5">
        <v>6.15</v>
      </c>
      <c r="G46" s="5">
        <v>4.7</v>
      </c>
      <c r="H46" s="5">
        <v>6.15</v>
      </c>
      <c r="I46" s="5">
        <f>2.146*E46</f>
        <v>0.71247199999999999</v>
      </c>
      <c r="J46" s="5">
        <f>0.514*F46</f>
        <v>3.1611000000000002</v>
      </c>
      <c r="K46" s="5">
        <f>1.267*G46</f>
        <v>5.9548999999999994</v>
      </c>
      <c r="L46" s="5">
        <f>-0.098*H46</f>
        <v>-0.60270000000000001</v>
      </c>
      <c r="M46" s="5">
        <f t="shared" si="0"/>
        <v>6.267771999999999</v>
      </c>
      <c r="N46" s="5">
        <f>EXP(M46)</f>
        <v>527.30124098280339</v>
      </c>
      <c r="O46" s="5">
        <f t="shared" si="1"/>
        <v>528.30124098280339</v>
      </c>
      <c r="P46" s="5">
        <f t="shared" si="2"/>
        <v>0.99810714054326333</v>
      </c>
      <c r="Q46" s="5" t="s">
        <v>122</v>
      </c>
      <c r="R46" s="5">
        <v>0</v>
      </c>
    </row>
    <row r="47" spans="1:18" x14ac:dyDescent="0.3">
      <c r="A47" s="2">
        <v>49</v>
      </c>
      <c r="B47" s="1" t="s">
        <v>52</v>
      </c>
      <c r="C47" s="5" t="s">
        <v>122</v>
      </c>
      <c r="D47" s="5">
        <v>185</v>
      </c>
      <c r="E47" s="5">
        <v>4.8000000000000001E-2</v>
      </c>
      <c r="F47" s="5">
        <v>3.11</v>
      </c>
      <c r="G47" s="5">
        <v>0.75</v>
      </c>
      <c r="H47" s="5">
        <v>6.48</v>
      </c>
      <c r="I47" s="5">
        <f>2.146*E47</f>
        <v>0.103008</v>
      </c>
      <c r="J47" s="5">
        <f>0.514*F47</f>
        <v>1.5985400000000001</v>
      </c>
      <c r="K47" s="5">
        <f>1.267*G47</f>
        <v>0.95024999999999993</v>
      </c>
      <c r="L47" s="5">
        <f>-0.098*H47</f>
        <v>-0.63504000000000005</v>
      </c>
      <c r="M47" s="5">
        <f t="shared" si="0"/>
        <v>-0.94124200000000036</v>
      </c>
      <c r="N47" s="5">
        <f>EXP(M47)</f>
        <v>0.39014297674653087</v>
      </c>
      <c r="O47" s="5">
        <f t="shared" si="1"/>
        <v>1.3901429767465308</v>
      </c>
      <c r="P47" s="5">
        <f t="shared" si="2"/>
        <v>0.28064953265427095</v>
      </c>
      <c r="Q47" s="5" t="s">
        <v>126</v>
      </c>
      <c r="R47" s="5" t="s">
        <v>126</v>
      </c>
    </row>
    <row r="48" spans="1:18" x14ac:dyDescent="0.3">
      <c r="A48" s="2">
        <v>50</v>
      </c>
      <c r="B48" s="1" t="s">
        <v>53</v>
      </c>
      <c r="C48" s="5" t="s">
        <v>122</v>
      </c>
      <c r="D48" s="5">
        <v>220</v>
      </c>
      <c r="E48" s="5">
        <v>9.8000000000000004E-2</v>
      </c>
      <c r="F48" s="5">
        <v>3.83</v>
      </c>
      <c r="G48" s="5">
        <v>3.02</v>
      </c>
      <c r="H48" s="5">
        <v>3.83</v>
      </c>
      <c r="I48" s="5">
        <f>2.146*E48</f>
        <v>0.21030799999999999</v>
      </c>
      <c r="J48" s="5">
        <f>0.514*F48</f>
        <v>1.96862</v>
      </c>
      <c r="K48" s="5">
        <f>1.267*G48</f>
        <v>3.8263399999999996</v>
      </c>
      <c r="L48" s="5">
        <f>-0.098*H48</f>
        <v>-0.37534000000000001</v>
      </c>
      <c r="M48" s="5">
        <f t="shared" si="0"/>
        <v>2.6719279999999994</v>
      </c>
      <c r="N48" s="5">
        <f>EXP(M48)</f>
        <v>14.46783630867403</v>
      </c>
      <c r="O48" s="5">
        <f t="shared" si="1"/>
        <v>15.46783630867403</v>
      </c>
      <c r="P48" s="5">
        <f t="shared" si="2"/>
        <v>0.93534971666080913</v>
      </c>
      <c r="Q48" s="5" t="s">
        <v>122</v>
      </c>
      <c r="R48" s="5">
        <v>0</v>
      </c>
    </row>
    <row r="49" spans="1:18" x14ac:dyDescent="0.3">
      <c r="A49" s="2">
        <v>51</v>
      </c>
      <c r="B49" s="1" t="s">
        <v>54</v>
      </c>
      <c r="C49" s="5" t="s">
        <v>122</v>
      </c>
      <c r="D49" s="5">
        <v>580</v>
      </c>
      <c r="E49" s="5">
        <v>7.8E-2</v>
      </c>
      <c r="F49" s="5">
        <v>0.69</v>
      </c>
      <c r="G49" s="5">
        <v>1.06</v>
      </c>
      <c r="H49" s="5">
        <v>3.88</v>
      </c>
      <c r="I49" s="5">
        <f>2.146*E49</f>
        <v>0.16738799999999998</v>
      </c>
      <c r="J49" s="5">
        <f>0.514*F49</f>
        <v>0.35465999999999998</v>
      </c>
      <c r="K49" s="5">
        <f>1.267*G49</f>
        <v>1.3430199999999999</v>
      </c>
      <c r="L49" s="5">
        <f>-0.098*H49</f>
        <v>-0.38024000000000002</v>
      </c>
      <c r="M49" s="5">
        <f t="shared" si="0"/>
        <v>-1.4731720000000004</v>
      </c>
      <c r="N49" s="5">
        <f>EXP(M49)</f>
        <v>0.22919731703294702</v>
      </c>
      <c r="O49" s="5">
        <f t="shared" si="1"/>
        <v>1.2291973170329471</v>
      </c>
      <c r="P49" s="5">
        <f t="shared" si="2"/>
        <v>0.18646096428699224</v>
      </c>
      <c r="Q49" s="5" t="s">
        <v>126</v>
      </c>
      <c r="R49" s="5" t="s">
        <v>126</v>
      </c>
    </row>
    <row r="50" spans="1:18" x14ac:dyDescent="0.3">
      <c r="A50" s="2">
        <v>52</v>
      </c>
      <c r="B50" s="1" t="s">
        <v>55</v>
      </c>
      <c r="C50" s="5" t="s">
        <v>122</v>
      </c>
      <c r="D50" s="5">
        <v>390</v>
      </c>
      <c r="E50" s="5">
        <v>0.63400000000000001</v>
      </c>
      <c r="F50" s="5">
        <v>1.49</v>
      </c>
      <c r="G50" s="5">
        <v>0.74</v>
      </c>
      <c r="H50" s="5">
        <v>1.49</v>
      </c>
      <c r="I50" s="5">
        <f>2.146*E50</f>
        <v>1.3605639999999999</v>
      </c>
      <c r="J50" s="5">
        <f>0.514*F50</f>
        <v>0.76585999999999999</v>
      </c>
      <c r="K50" s="5">
        <f>1.267*G50</f>
        <v>0.93757999999999997</v>
      </c>
      <c r="L50" s="5">
        <f>-0.098*H50</f>
        <v>-0.14602000000000001</v>
      </c>
      <c r="M50" s="5">
        <f t="shared" si="0"/>
        <v>-4.0016000000000052E-2</v>
      </c>
      <c r="N50" s="5">
        <f>EXP(M50)</f>
        <v>0.96077406664427711</v>
      </c>
      <c r="O50" s="5">
        <f t="shared" si="1"/>
        <v>1.960774066644277</v>
      </c>
      <c r="P50" s="5">
        <f t="shared" si="2"/>
        <v>0.4899973347202477</v>
      </c>
      <c r="Q50" s="5" t="s">
        <v>126</v>
      </c>
      <c r="R50" s="5" t="s">
        <v>126</v>
      </c>
    </row>
    <row r="51" spans="1:18" x14ac:dyDescent="0.3">
      <c r="A51" s="2">
        <v>53</v>
      </c>
      <c r="B51" s="1" t="s">
        <v>56</v>
      </c>
      <c r="C51" s="5" t="s">
        <v>122</v>
      </c>
      <c r="D51" s="5">
        <v>410</v>
      </c>
      <c r="E51" s="5">
        <v>0.21</v>
      </c>
      <c r="F51" s="5">
        <v>1.42</v>
      </c>
      <c r="G51" s="5">
        <v>0.41</v>
      </c>
      <c r="H51" s="5">
        <v>1.34</v>
      </c>
      <c r="I51" s="5">
        <f>2.146*E51</f>
        <v>0.45065999999999995</v>
      </c>
      <c r="J51" s="5">
        <f>0.514*F51</f>
        <v>0.72987999999999997</v>
      </c>
      <c r="K51" s="5">
        <f>1.267*G51</f>
        <v>0.51946999999999988</v>
      </c>
      <c r="L51" s="5">
        <f>-0.098*H51</f>
        <v>-0.13132000000000002</v>
      </c>
      <c r="M51" s="5">
        <f t="shared" si="0"/>
        <v>-1.3893100000000005</v>
      </c>
      <c r="N51" s="5">
        <f>EXP(M51)</f>
        <v>0.24924722589787979</v>
      </c>
      <c r="O51" s="5">
        <f t="shared" si="1"/>
        <v>1.2492472258978797</v>
      </c>
      <c r="P51" s="5">
        <f t="shared" si="2"/>
        <v>0.19951793426536263</v>
      </c>
      <c r="Q51" s="5" t="s">
        <v>126</v>
      </c>
      <c r="R51" s="5" t="s">
        <v>126</v>
      </c>
    </row>
    <row r="52" spans="1:18" x14ac:dyDescent="0.3">
      <c r="A52" s="2">
        <v>54</v>
      </c>
      <c r="B52" s="1" t="s">
        <v>57</v>
      </c>
      <c r="C52" s="5" t="s">
        <v>122</v>
      </c>
      <c r="D52" s="5">
        <v>390</v>
      </c>
      <c r="E52" s="5">
        <v>1.01</v>
      </c>
      <c r="F52" s="5">
        <v>2.2000000000000002</v>
      </c>
      <c r="G52" s="5">
        <v>1.01</v>
      </c>
      <c r="H52" s="5">
        <v>2.7</v>
      </c>
      <c r="I52" s="5">
        <f>2.146*E52</f>
        <v>2.1674599999999997</v>
      </c>
      <c r="J52" s="5">
        <f>0.514*F52</f>
        <v>1.1308</v>
      </c>
      <c r="K52" s="5">
        <f>1.267*G52</f>
        <v>1.2796699999999999</v>
      </c>
      <c r="L52" s="5">
        <f>-0.098*H52</f>
        <v>-0.2646</v>
      </c>
      <c r="M52" s="5">
        <f t="shared" si="0"/>
        <v>1.3553300000000004</v>
      </c>
      <c r="N52" s="5">
        <f>EXP(M52)</f>
        <v>3.8780404988617252</v>
      </c>
      <c r="O52" s="5">
        <f t="shared" si="1"/>
        <v>4.8780404988617256</v>
      </c>
      <c r="P52" s="5">
        <f t="shared" si="2"/>
        <v>0.79499965196407307</v>
      </c>
      <c r="Q52" s="5" t="s">
        <v>122</v>
      </c>
      <c r="R52" s="5">
        <v>0</v>
      </c>
    </row>
    <row r="53" spans="1:18" x14ac:dyDescent="0.3">
      <c r="A53" s="2">
        <v>55</v>
      </c>
      <c r="B53" s="1" t="s">
        <v>58</v>
      </c>
      <c r="C53" s="5" t="s">
        <v>122</v>
      </c>
      <c r="D53" s="5">
        <v>430</v>
      </c>
      <c r="E53" s="5">
        <v>0.46800000000000003</v>
      </c>
      <c r="F53" s="5">
        <v>1.41</v>
      </c>
      <c r="G53" s="5">
        <v>0.46</v>
      </c>
      <c r="H53" s="5">
        <v>2.2999999999999998</v>
      </c>
      <c r="I53" s="5">
        <f>2.146*E53</f>
        <v>1.0043280000000001</v>
      </c>
      <c r="J53" s="5">
        <f>0.514*F53</f>
        <v>0.72473999999999994</v>
      </c>
      <c r="K53" s="5">
        <f>1.267*G53</f>
        <v>0.58282</v>
      </c>
      <c r="L53" s="5">
        <f>-0.098*H53</f>
        <v>-0.22539999999999999</v>
      </c>
      <c r="M53" s="5">
        <f t="shared" si="0"/>
        <v>-0.87151200000000006</v>
      </c>
      <c r="N53" s="5">
        <f>EXP(M53)</f>
        <v>0.4183185731556916</v>
      </c>
      <c r="O53" s="5">
        <f t="shared" si="1"/>
        <v>1.4183185731556915</v>
      </c>
      <c r="P53" s="5">
        <f t="shared" si="2"/>
        <v>0.29493978367987711</v>
      </c>
      <c r="Q53" s="5" t="s">
        <v>126</v>
      </c>
      <c r="R53" s="5" t="s">
        <v>126</v>
      </c>
    </row>
    <row r="54" spans="1:18" x14ac:dyDescent="0.3">
      <c r="A54" s="2">
        <v>56</v>
      </c>
      <c r="B54" s="1" t="s">
        <v>59</v>
      </c>
      <c r="C54" s="5" t="s">
        <v>122</v>
      </c>
      <c r="D54" s="5">
        <v>260</v>
      </c>
      <c r="E54" s="5">
        <v>0.19700000000000001</v>
      </c>
      <c r="F54" s="5">
        <v>0.94</v>
      </c>
      <c r="G54" s="5">
        <v>0.59</v>
      </c>
      <c r="H54" s="5">
        <v>1.24</v>
      </c>
      <c r="I54" s="5">
        <f>2.146*E54</f>
        <v>0.42276200000000003</v>
      </c>
      <c r="J54" s="5">
        <f>0.514*F54</f>
        <v>0.48315999999999998</v>
      </c>
      <c r="K54" s="5">
        <f>1.267*G54</f>
        <v>0.74752999999999992</v>
      </c>
      <c r="L54" s="5">
        <f>-0.098*H54</f>
        <v>-0.12152</v>
      </c>
      <c r="M54" s="5">
        <f t="shared" si="0"/>
        <v>-1.4260680000000003</v>
      </c>
      <c r="N54" s="5">
        <f>EXP(M54)</f>
        <v>0.24025173728568056</v>
      </c>
      <c r="O54" s="5">
        <f t="shared" si="1"/>
        <v>1.2402517372856805</v>
      </c>
      <c r="P54" s="5">
        <f t="shared" si="2"/>
        <v>0.19371207478529884</v>
      </c>
      <c r="Q54" s="5" t="s">
        <v>126</v>
      </c>
      <c r="R54" s="5" t="s">
        <v>126</v>
      </c>
    </row>
    <row r="55" spans="1:18" x14ac:dyDescent="0.3">
      <c r="A55" s="2">
        <v>56</v>
      </c>
      <c r="B55" s="1" t="s">
        <v>60</v>
      </c>
      <c r="C55" s="5" t="s">
        <v>122</v>
      </c>
      <c r="D55" s="5">
        <v>390</v>
      </c>
      <c r="E55" s="5">
        <v>0.17199999999999999</v>
      </c>
      <c r="F55" s="5">
        <v>0.11</v>
      </c>
      <c r="G55" s="5">
        <v>0.93</v>
      </c>
      <c r="H55" s="5">
        <v>4.0999999999999996</v>
      </c>
      <c r="I55" s="5">
        <f>2.146*E55</f>
        <v>0.36911199999999994</v>
      </c>
      <c r="J55" s="5">
        <f>0.514*F55</f>
        <v>5.654E-2</v>
      </c>
      <c r="K55" s="5">
        <f>1.267*G55</f>
        <v>1.17831</v>
      </c>
      <c r="L55" s="5">
        <f>-0.098*H55</f>
        <v>-0.40179999999999999</v>
      </c>
      <c r="M55" s="5">
        <f t="shared" si="0"/>
        <v>-1.7558380000000002</v>
      </c>
      <c r="N55" s="5">
        <f>EXP(M55)</f>
        <v>0.1727624067172574</v>
      </c>
      <c r="O55" s="5">
        <f t="shared" si="1"/>
        <v>1.1727624067172573</v>
      </c>
      <c r="P55" s="5">
        <f t="shared" si="2"/>
        <v>0.14731236755861402</v>
      </c>
      <c r="Q55" s="5" t="s">
        <v>126</v>
      </c>
      <c r="R55" s="5" t="s">
        <v>126</v>
      </c>
    </row>
    <row r="56" spans="1:18" x14ac:dyDescent="0.3">
      <c r="A56" s="2">
        <v>58</v>
      </c>
      <c r="B56" s="1" t="s">
        <v>61</v>
      </c>
      <c r="C56" s="5" t="s">
        <v>122</v>
      </c>
      <c r="D56" s="5">
        <v>300</v>
      </c>
      <c r="E56" s="5">
        <v>0.16300000000000001</v>
      </c>
      <c r="F56" s="5">
        <v>0.21</v>
      </c>
      <c r="G56" s="5">
        <v>0.21</v>
      </c>
      <c r="H56" s="5">
        <v>0.21</v>
      </c>
      <c r="I56" s="5">
        <f>2.146*E56</f>
        <v>0.349798</v>
      </c>
      <c r="J56" s="5">
        <f>0.514*F56</f>
        <v>0.10793999999999999</v>
      </c>
      <c r="K56" s="5">
        <f>1.267*G56</f>
        <v>0.26606999999999997</v>
      </c>
      <c r="L56" s="5">
        <f>-0.098*H56</f>
        <v>-2.0580000000000001E-2</v>
      </c>
      <c r="M56" s="5">
        <f t="shared" si="0"/>
        <v>-2.254772</v>
      </c>
      <c r="N56" s="5">
        <f>EXP(M56)</f>
        <v>0.10489745763033909</v>
      </c>
      <c r="O56" s="5">
        <f t="shared" si="1"/>
        <v>1.1048974576303392</v>
      </c>
      <c r="P56" s="5">
        <f t="shared" si="2"/>
        <v>9.4938636075162536E-2</v>
      </c>
      <c r="Q56" s="5" t="s">
        <v>126</v>
      </c>
      <c r="R56" s="5" t="s">
        <v>126</v>
      </c>
    </row>
    <row r="57" spans="1:18" x14ac:dyDescent="0.3">
      <c r="A57" s="2">
        <v>59</v>
      </c>
      <c r="B57" s="1" t="s">
        <v>62</v>
      </c>
      <c r="C57" s="5" t="s">
        <v>122</v>
      </c>
      <c r="D57" s="5">
        <v>368</v>
      </c>
      <c r="E57" s="5">
        <v>0.25700000000000001</v>
      </c>
      <c r="F57" s="5">
        <v>0.44</v>
      </c>
      <c r="G57" s="5">
        <v>0.56000000000000005</v>
      </c>
      <c r="H57" s="5">
        <v>0.62</v>
      </c>
      <c r="I57" s="5">
        <f>2.146*E57</f>
        <v>0.55152199999999996</v>
      </c>
      <c r="J57" s="5">
        <f>0.514*F57</f>
        <v>0.22616</v>
      </c>
      <c r="K57" s="5">
        <f>1.267*G57</f>
        <v>0.70952000000000004</v>
      </c>
      <c r="L57" s="5">
        <f>-0.098*H57</f>
        <v>-6.0760000000000002E-2</v>
      </c>
      <c r="M57" s="5">
        <f t="shared" si="0"/>
        <v>-1.5315580000000002</v>
      </c>
      <c r="N57" s="5">
        <f>EXP(M57)</f>
        <v>0.21619856741533997</v>
      </c>
      <c r="O57" s="5">
        <f t="shared" si="1"/>
        <v>1.2161985674153399</v>
      </c>
      <c r="P57" s="5">
        <f t="shared" si="2"/>
        <v>0.17776584614369695</v>
      </c>
      <c r="Q57" s="5" t="s">
        <v>126</v>
      </c>
      <c r="R57" s="5" t="s">
        <v>126</v>
      </c>
    </row>
    <row r="58" spans="1:18" x14ac:dyDescent="0.3">
      <c r="A58" s="2">
        <v>60</v>
      </c>
      <c r="B58" s="1" t="s">
        <v>63</v>
      </c>
      <c r="C58" s="5" t="s">
        <v>122</v>
      </c>
      <c r="D58" s="5">
        <v>382</v>
      </c>
      <c r="E58" s="5">
        <v>0.9</v>
      </c>
      <c r="F58" s="5">
        <v>0.87</v>
      </c>
      <c r="G58" s="5">
        <v>1.29</v>
      </c>
      <c r="H58" s="5">
        <v>3.9</v>
      </c>
      <c r="I58" s="5">
        <f>2.146*E58</f>
        <v>1.9314</v>
      </c>
      <c r="J58" s="5">
        <f>0.514*F58</f>
        <v>0.44718000000000002</v>
      </c>
      <c r="K58" s="5">
        <f>1.267*G58</f>
        <v>1.6344299999999998</v>
      </c>
      <c r="L58" s="5">
        <f>-0.098*H58</f>
        <v>-0.38219999999999998</v>
      </c>
      <c r="M58" s="5">
        <f t="shared" si="0"/>
        <v>0.67280999999999924</v>
      </c>
      <c r="N58" s="5">
        <f>EXP(M58)</f>
        <v>1.9597364501654413</v>
      </c>
      <c r="O58" s="5">
        <f t="shared" si="1"/>
        <v>2.9597364501654413</v>
      </c>
      <c r="P58" s="5">
        <f t="shared" si="2"/>
        <v>0.66213207938020879</v>
      </c>
      <c r="Q58" s="5" t="s">
        <v>126</v>
      </c>
      <c r="R58" s="5" t="s">
        <v>126</v>
      </c>
    </row>
    <row r="59" spans="1:18" x14ac:dyDescent="0.3">
      <c r="A59" s="2">
        <v>61</v>
      </c>
      <c r="B59" s="1" t="s">
        <v>64</v>
      </c>
      <c r="C59" s="5" t="s">
        <v>122</v>
      </c>
      <c r="D59" s="5">
        <v>370</v>
      </c>
      <c r="E59" s="5">
        <v>0.37</v>
      </c>
      <c r="F59" s="5">
        <v>1.5</v>
      </c>
      <c r="G59" s="5">
        <v>0.48</v>
      </c>
      <c r="H59" s="5">
        <v>1.5</v>
      </c>
      <c r="I59" s="5">
        <f>2.146*E59</f>
        <v>0.79401999999999995</v>
      </c>
      <c r="J59" s="5">
        <f>0.514*F59</f>
        <v>0.77100000000000002</v>
      </c>
      <c r="K59" s="5">
        <f>1.267*G59</f>
        <v>0.60815999999999992</v>
      </c>
      <c r="L59" s="5">
        <f>-0.098*H59</f>
        <v>-0.14700000000000002</v>
      </c>
      <c r="M59" s="5">
        <f t="shared" si="0"/>
        <v>-0.93182000000000009</v>
      </c>
      <c r="N59" s="5">
        <f>EXP(M59)</f>
        <v>0.39383627568232787</v>
      </c>
      <c r="O59" s="5">
        <f t="shared" si="1"/>
        <v>1.3938362756823279</v>
      </c>
      <c r="P59" s="5">
        <f t="shared" si="2"/>
        <v>0.28255562188574285</v>
      </c>
      <c r="Q59" s="5" t="s">
        <v>126</v>
      </c>
      <c r="R59" s="5" t="s">
        <v>126</v>
      </c>
    </row>
    <row r="60" spans="1:18" x14ac:dyDescent="0.3">
      <c r="A60" s="2">
        <v>62</v>
      </c>
      <c r="B60" s="1" t="s">
        <v>65</v>
      </c>
      <c r="C60" s="5" t="s">
        <v>122</v>
      </c>
      <c r="D60" s="5">
        <v>292</v>
      </c>
      <c r="E60" s="5">
        <v>0.47</v>
      </c>
      <c r="F60" s="5">
        <v>0.69</v>
      </c>
      <c r="G60" s="5">
        <v>0.47</v>
      </c>
      <c r="H60" s="5">
        <v>0.78</v>
      </c>
      <c r="I60" s="5">
        <f>2.146*E60</f>
        <v>1.0086199999999999</v>
      </c>
      <c r="J60" s="5">
        <f>0.514*F60</f>
        <v>0.35465999999999998</v>
      </c>
      <c r="K60" s="5">
        <f>1.267*G60</f>
        <v>0.59548999999999996</v>
      </c>
      <c r="L60" s="5">
        <f>-0.098*H60</f>
        <v>-7.6440000000000008E-2</v>
      </c>
      <c r="M60" s="5">
        <f t="shared" si="0"/>
        <v>-1.0756700000000003</v>
      </c>
      <c r="N60" s="5">
        <f>EXP(M60)</f>
        <v>0.34106916239211765</v>
      </c>
      <c r="O60" s="5">
        <f t="shared" si="1"/>
        <v>1.3410691623921176</v>
      </c>
      <c r="P60" s="5">
        <f t="shared" si="2"/>
        <v>0.25432630318912058</v>
      </c>
      <c r="Q60" s="5" t="s">
        <v>126</v>
      </c>
      <c r="R60" s="5" t="s">
        <v>126</v>
      </c>
    </row>
    <row r="61" spans="1:18" x14ac:dyDescent="0.3">
      <c r="A61" s="2">
        <v>64</v>
      </c>
      <c r="B61" s="1" t="s">
        <v>66</v>
      </c>
      <c r="C61" s="5" t="s">
        <v>122</v>
      </c>
      <c r="D61" s="5">
        <v>168</v>
      </c>
      <c r="E61" s="5">
        <v>0.111</v>
      </c>
      <c r="F61" s="5">
        <v>1.86</v>
      </c>
      <c r="G61" s="5">
        <v>1.1200000000000001</v>
      </c>
      <c r="H61" s="5">
        <v>1.86</v>
      </c>
      <c r="I61" s="5">
        <f>2.146*E61</f>
        <v>0.238206</v>
      </c>
      <c r="J61" s="5">
        <f>0.514*F61</f>
        <v>0.95604000000000011</v>
      </c>
      <c r="K61" s="5">
        <f>1.267*G61</f>
        <v>1.4190400000000001</v>
      </c>
      <c r="L61" s="5">
        <f>-0.098*H61</f>
        <v>-0.18228000000000003</v>
      </c>
      <c r="M61" s="5">
        <f t="shared" si="0"/>
        <v>-0.52699399999999974</v>
      </c>
      <c r="N61" s="5">
        <f>EXP(M61)</f>
        <v>0.59037697821170654</v>
      </c>
      <c r="O61" s="5">
        <f t="shared" si="1"/>
        <v>1.5903769782117065</v>
      </c>
      <c r="P61" s="5">
        <f t="shared" si="2"/>
        <v>0.37121826227361121</v>
      </c>
      <c r="Q61" s="5" t="s">
        <v>126</v>
      </c>
      <c r="R61" s="5" t="s">
        <v>126</v>
      </c>
    </row>
    <row r="62" spans="1:18" x14ac:dyDescent="0.3">
      <c r="A62" s="2">
        <v>65</v>
      </c>
      <c r="B62" s="1" t="s">
        <v>67</v>
      </c>
      <c r="C62" s="5" t="s">
        <v>122</v>
      </c>
      <c r="D62" s="5">
        <v>470</v>
      </c>
      <c r="E62" s="5">
        <v>0.68700000000000006</v>
      </c>
      <c r="F62" s="5">
        <v>1.036</v>
      </c>
      <c r="G62" s="5">
        <v>0.74</v>
      </c>
      <c r="H62" s="5">
        <v>3.7</v>
      </c>
      <c r="I62" s="5">
        <f>2.146*E62</f>
        <v>1.474302</v>
      </c>
      <c r="J62" s="5">
        <f>0.514*F62</f>
        <v>0.53250399999999998</v>
      </c>
      <c r="K62" s="5">
        <f>1.267*G62</f>
        <v>0.93757999999999997</v>
      </c>
      <c r="L62" s="5">
        <f>-0.098*H62</f>
        <v>-0.36260000000000003</v>
      </c>
      <c r="M62" s="5">
        <f t="shared" si="0"/>
        <v>-0.37621400000000005</v>
      </c>
      <c r="N62" s="5">
        <f>EXP(M62)</f>
        <v>0.68645541586372871</v>
      </c>
      <c r="O62" s="5">
        <f t="shared" si="1"/>
        <v>1.6864554158637288</v>
      </c>
      <c r="P62" s="5">
        <f t="shared" si="2"/>
        <v>0.40704035778624853</v>
      </c>
      <c r="Q62" s="5" t="s">
        <v>126</v>
      </c>
      <c r="R62" s="5" t="s">
        <v>126</v>
      </c>
    </row>
    <row r="63" spans="1:18" x14ac:dyDescent="0.3">
      <c r="A63" s="2">
        <v>66</v>
      </c>
      <c r="B63" s="1" t="s">
        <v>68</v>
      </c>
      <c r="C63" s="5" t="s">
        <v>122</v>
      </c>
      <c r="D63" s="5">
        <v>586</v>
      </c>
      <c r="E63" s="5">
        <v>0.56699999999999995</v>
      </c>
      <c r="F63" s="5">
        <v>0.72</v>
      </c>
      <c r="G63" s="5">
        <v>0.98</v>
      </c>
      <c r="H63" s="5">
        <v>1.45</v>
      </c>
      <c r="I63" s="5">
        <f>2.146*E63</f>
        <v>1.2167819999999998</v>
      </c>
      <c r="J63" s="5">
        <f>0.514*F63</f>
        <v>0.37008000000000002</v>
      </c>
      <c r="K63" s="5">
        <f>1.267*G63</f>
        <v>1.24166</v>
      </c>
      <c r="L63" s="5">
        <f>-0.098*H63</f>
        <v>-0.1421</v>
      </c>
      <c r="M63" s="5">
        <f t="shared" si="0"/>
        <v>-0.27157800000000076</v>
      </c>
      <c r="N63" s="5">
        <f>EXP(M63)</f>
        <v>0.76217583143458745</v>
      </c>
      <c r="O63" s="5">
        <f t="shared" si="1"/>
        <v>1.7621758314345874</v>
      </c>
      <c r="P63" s="5">
        <f t="shared" si="2"/>
        <v>0.43251973942583249</v>
      </c>
      <c r="Q63" s="5" t="s">
        <v>126</v>
      </c>
      <c r="R63" s="5" t="s">
        <v>126</v>
      </c>
    </row>
    <row r="64" spans="1:18" x14ac:dyDescent="0.3">
      <c r="A64" s="2">
        <v>67</v>
      </c>
      <c r="B64" s="1" t="s">
        <v>69</v>
      </c>
      <c r="C64" s="5" t="s">
        <v>122</v>
      </c>
      <c r="D64" s="5">
        <v>310</v>
      </c>
      <c r="E64" s="5">
        <v>0.22600000000000001</v>
      </c>
      <c r="F64" s="5">
        <v>0.7</v>
      </c>
      <c r="G64" s="5">
        <v>0.26</v>
      </c>
      <c r="H64" s="5">
        <v>2.1</v>
      </c>
      <c r="I64" s="5">
        <f>2.146*E64</f>
        <v>0.48499599999999998</v>
      </c>
      <c r="J64" s="5">
        <f>0.514*F64</f>
        <v>0.35980000000000001</v>
      </c>
      <c r="K64" s="5">
        <f>1.267*G64</f>
        <v>0.32941999999999999</v>
      </c>
      <c r="L64" s="5">
        <f>-0.098*H64</f>
        <v>-0.20580000000000001</v>
      </c>
      <c r="M64" s="5">
        <f t="shared" si="0"/>
        <v>-1.9895840000000002</v>
      </c>
      <c r="N64" s="5">
        <f>EXP(M64)</f>
        <v>0.13675230257213125</v>
      </c>
      <c r="O64" s="5">
        <f t="shared" si="1"/>
        <v>1.1367523025721313</v>
      </c>
      <c r="P64" s="5">
        <f t="shared" si="2"/>
        <v>0.12030088020292687</v>
      </c>
      <c r="Q64" s="5" t="s">
        <v>126</v>
      </c>
      <c r="R64" s="5" t="s">
        <v>126</v>
      </c>
    </row>
    <row r="65" spans="1:18" x14ac:dyDescent="0.3">
      <c r="A65" s="2">
        <v>68</v>
      </c>
      <c r="B65" s="1" t="s">
        <v>70</v>
      </c>
      <c r="C65" s="5" t="s">
        <v>122</v>
      </c>
      <c r="D65" s="5">
        <v>385</v>
      </c>
      <c r="E65" s="5">
        <v>0.495</v>
      </c>
      <c r="F65" s="5">
        <v>0.76</v>
      </c>
      <c r="G65" s="5">
        <v>0.73</v>
      </c>
      <c r="H65" s="5">
        <v>0.95</v>
      </c>
      <c r="I65" s="5">
        <f>2.146*E65</f>
        <v>1.06227</v>
      </c>
      <c r="J65" s="5">
        <f>0.514*F65</f>
        <v>0.39063999999999999</v>
      </c>
      <c r="K65" s="5">
        <f>1.267*G65</f>
        <v>0.9249099999999999</v>
      </c>
      <c r="L65" s="5">
        <f>-0.098*H65</f>
        <v>-9.3100000000000002E-2</v>
      </c>
      <c r="M65" s="5">
        <f t="shared" si="0"/>
        <v>-0.67328000000000054</v>
      </c>
      <c r="N65" s="5">
        <f>EXP(M65)</f>
        <v>0.51003292322715965</v>
      </c>
      <c r="O65" s="5">
        <f t="shared" si="1"/>
        <v>1.5100329232271597</v>
      </c>
      <c r="P65" s="5">
        <f t="shared" si="2"/>
        <v>0.33776278343464539</v>
      </c>
      <c r="Q65" s="5" t="s">
        <v>126</v>
      </c>
      <c r="R65" s="5" t="s">
        <v>126</v>
      </c>
    </row>
    <row r="66" spans="1:18" x14ac:dyDescent="0.3">
      <c r="A66" s="2">
        <v>69</v>
      </c>
      <c r="B66" s="1" t="s">
        <v>71</v>
      </c>
      <c r="C66" s="5" t="s">
        <v>122</v>
      </c>
      <c r="D66" s="5">
        <v>389</v>
      </c>
      <c r="E66" s="5">
        <v>0.17899999999999999</v>
      </c>
      <c r="F66" s="5">
        <v>1.46</v>
      </c>
      <c r="G66" s="5">
        <v>0.71</v>
      </c>
      <c r="H66" s="5">
        <v>2.2999999999999998</v>
      </c>
      <c r="I66" s="5">
        <f>2.146*E66</f>
        <v>0.38413399999999998</v>
      </c>
      <c r="J66" s="5">
        <f>0.514*F66</f>
        <v>0.75044</v>
      </c>
      <c r="K66" s="5">
        <f>1.267*G66</f>
        <v>0.89956999999999987</v>
      </c>
      <c r="L66" s="5">
        <f>-0.098*H66</f>
        <v>-0.22539999999999999</v>
      </c>
      <c r="M66" s="5">
        <f t="shared" si="0"/>
        <v>-1.1492560000000003</v>
      </c>
      <c r="N66" s="5">
        <f>EXP(M66)</f>
        <v>0.31687243479213406</v>
      </c>
      <c r="O66" s="5">
        <f t="shared" si="1"/>
        <v>1.3168724347921341</v>
      </c>
      <c r="P66" s="5">
        <f t="shared" si="2"/>
        <v>0.24062500392617892</v>
      </c>
      <c r="Q66" s="5" t="s">
        <v>126</v>
      </c>
      <c r="R66" s="5" t="s">
        <v>126</v>
      </c>
    </row>
    <row r="67" spans="1:18" x14ac:dyDescent="0.3">
      <c r="A67" s="2">
        <v>70</v>
      </c>
      <c r="B67" s="1" t="s">
        <v>72</v>
      </c>
      <c r="C67" s="5" t="s">
        <v>122</v>
      </c>
      <c r="D67" s="5">
        <v>280</v>
      </c>
      <c r="E67" s="5">
        <v>0.47599999999999998</v>
      </c>
      <c r="F67" s="5">
        <v>1.07</v>
      </c>
      <c r="G67" s="5">
        <v>0.82</v>
      </c>
      <c r="H67" s="5">
        <v>1.31</v>
      </c>
      <c r="I67" s="5">
        <f>2.146*E67</f>
        <v>1.021496</v>
      </c>
      <c r="J67" s="5">
        <f>0.514*F67</f>
        <v>0.54998000000000002</v>
      </c>
      <c r="K67" s="5">
        <f>1.267*G67</f>
        <v>1.0389399999999998</v>
      </c>
      <c r="L67" s="5">
        <f>-0.098*H67</f>
        <v>-0.12838000000000002</v>
      </c>
      <c r="M67" s="5">
        <f t="shared" ref="M67:M73" si="3">I67+J67+K67+L67-2.958</f>
        <v>-0.47596400000000028</v>
      </c>
      <c r="N67" s="5">
        <f>EXP(M67)</f>
        <v>0.62128584813540599</v>
      </c>
      <c r="O67" s="5">
        <f t="shared" ref="O67:O73" si="4">1+N67</f>
        <v>1.621285848135406</v>
      </c>
      <c r="P67" s="5">
        <f t="shared" ref="P67:P73" si="5">N67/O67</f>
        <v>0.3832056196937319</v>
      </c>
      <c r="Q67" s="5" t="s">
        <v>126</v>
      </c>
      <c r="R67" s="5" t="s">
        <v>126</v>
      </c>
    </row>
    <row r="68" spans="1:18" x14ac:dyDescent="0.3">
      <c r="A68" s="2">
        <v>71</v>
      </c>
      <c r="B68" s="1" t="s">
        <v>73</v>
      </c>
      <c r="C68" s="5" t="s">
        <v>122</v>
      </c>
      <c r="D68" s="5">
        <v>210</v>
      </c>
      <c r="E68" s="5">
        <v>7.2999999999999995E-2</v>
      </c>
      <c r="F68" s="5">
        <v>2.5</v>
      </c>
      <c r="G68" s="5">
        <v>0.57999999999999996</v>
      </c>
      <c r="H68" s="5">
        <v>2.8</v>
      </c>
      <c r="I68" s="5">
        <f>2.146*E68</f>
        <v>0.15665799999999999</v>
      </c>
      <c r="J68" s="5">
        <f>0.514*F68</f>
        <v>1.2850000000000001</v>
      </c>
      <c r="K68" s="5">
        <f>1.267*G68</f>
        <v>0.73485999999999985</v>
      </c>
      <c r="L68" s="5">
        <f>-0.098*H68</f>
        <v>-0.27439999999999998</v>
      </c>
      <c r="M68" s="5">
        <f t="shared" si="3"/>
        <v>-1.0558820000000004</v>
      </c>
      <c r="N68" s="5">
        <f>EXP(M68)</f>
        <v>0.34788545697912754</v>
      </c>
      <c r="O68" s="5">
        <f t="shared" si="4"/>
        <v>1.3478854569791276</v>
      </c>
      <c r="P68" s="5">
        <f t="shared" si="5"/>
        <v>0.25809719600269759</v>
      </c>
      <c r="Q68" s="5" t="s">
        <v>126</v>
      </c>
      <c r="R68" s="5" t="s">
        <v>126</v>
      </c>
    </row>
    <row r="69" spans="1:18" x14ac:dyDescent="0.3">
      <c r="A69" s="2">
        <v>72</v>
      </c>
      <c r="B69" s="1" t="s">
        <v>74</v>
      </c>
      <c r="C69" s="5" t="s">
        <v>122</v>
      </c>
      <c r="D69" s="5">
        <v>260</v>
      </c>
      <c r="E69" s="5">
        <v>0.14199999999999999</v>
      </c>
      <c r="F69" s="5">
        <v>2.2999999999999998</v>
      </c>
      <c r="G69" s="5">
        <v>0.38</v>
      </c>
      <c r="H69" s="5">
        <v>0.51</v>
      </c>
      <c r="I69" s="5">
        <f>2.146*E69</f>
        <v>0.30473199999999995</v>
      </c>
      <c r="J69" s="5">
        <f>0.514*F69</f>
        <v>1.1821999999999999</v>
      </c>
      <c r="K69" s="5">
        <f>1.267*G69</f>
        <v>0.48145999999999994</v>
      </c>
      <c r="L69" s="5">
        <f>-0.098*H69</f>
        <v>-4.9980000000000004E-2</v>
      </c>
      <c r="M69" s="5">
        <f t="shared" si="3"/>
        <v>-1.0395880000000002</v>
      </c>
      <c r="N69" s="5">
        <f>EXP(M69)</f>
        <v>0.35360033529027307</v>
      </c>
      <c r="O69" s="5">
        <f t="shared" si="4"/>
        <v>1.353600335290273</v>
      </c>
      <c r="P69" s="5">
        <f t="shared" si="5"/>
        <v>0.2612294974161965</v>
      </c>
      <c r="Q69" s="5" t="s">
        <v>126</v>
      </c>
      <c r="R69" s="5" t="s">
        <v>126</v>
      </c>
    </row>
    <row r="70" spans="1:18" x14ac:dyDescent="0.3">
      <c r="A70" s="2">
        <v>73</v>
      </c>
      <c r="B70" s="1" t="s">
        <v>75</v>
      </c>
      <c r="C70" s="5" t="s">
        <v>122</v>
      </c>
      <c r="D70" s="5">
        <v>460</v>
      </c>
      <c r="E70" s="5">
        <v>0.52400000000000002</v>
      </c>
      <c r="F70" s="5">
        <v>2.6</v>
      </c>
      <c r="G70" s="5">
        <v>1.01</v>
      </c>
      <c r="H70" s="5">
        <v>3.3</v>
      </c>
      <c r="I70" s="5">
        <f>2.146*E70</f>
        <v>1.1245039999999999</v>
      </c>
      <c r="J70" s="5">
        <f>0.514*F70</f>
        <v>1.3364</v>
      </c>
      <c r="K70" s="5">
        <f>1.267*G70</f>
        <v>1.2796699999999999</v>
      </c>
      <c r="L70" s="5">
        <f>-0.098*H70</f>
        <v>-0.32340000000000002</v>
      </c>
      <c r="M70" s="5">
        <f t="shared" si="3"/>
        <v>0.45917399999999997</v>
      </c>
      <c r="N70" s="5">
        <f>EXP(M70)</f>
        <v>1.5827660801219514</v>
      </c>
      <c r="O70" s="5">
        <f t="shared" si="4"/>
        <v>2.5827660801219512</v>
      </c>
      <c r="P70" s="5">
        <f t="shared" si="5"/>
        <v>0.61281820769739148</v>
      </c>
      <c r="Q70" s="5" t="s">
        <v>126</v>
      </c>
      <c r="R70" s="5" t="s">
        <v>126</v>
      </c>
    </row>
    <row r="71" spans="1:18" x14ac:dyDescent="0.3">
      <c r="A71" s="2">
        <v>74</v>
      </c>
      <c r="B71" s="1" t="s">
        <v>76</v>
      </c>
      <c r="C71" s="5" t="s">
        <v>122</v>
      </c>
      <c r="D71" s="5">
        <v>320</v>
      </c>
      <c r="E71" s="5">
        <v>0.48199999999999998</v>
      </c>
      <c r="F71" s="5">
        <v>1.28</v>
      </c>
      <c r="G71" s="5">
        <v>0.48</v>
      </c>
      <c r="H71" s="5">
        <v>0.67</v>
      </c>
      <c r="I71" s="5">
        <f>2.146*E71</f>
        <v>1.0343719999999998</v>
      </c>
      <c r="J71" s="5">
        <f>0.514*F71</f>
        <v>0.65792000000000006</v>
      </c>
      <c r="K71" s="5">
        <f>1.267*G71</f>
        <v>0.60815999999999992</v>
      </c>
      <c r="L71" s="5">
        <f>-0.098*H71</f>
        <v>-6.566000000000001E-2</v>
      </c>
      <c r="M71" s="5">
        <f t="shared" si="3"/>
        <v>-0.72320800000000007</v>
      </c>
      <c r="N71" s="5">
        <f>EXP(M71)</f>
        <v>0.48519325669467939</v>
      </c>
      <c r="O71" s="5">
        <f t="shared" si="4"/>
        <v>1.4851932566946795</v>
      </c>
      <c r="P71" s="5">
        <f t="shared" si="5"/>
        <v>0.32668695101301798</v>
      </c>
      <c r="Q71" s="5" t="s">
        <v>126</v>
      </c>
      <c r="R71" s="5" t="s">
        <v>126</v>
      </c>
    </row>
    <row r="72" spans="1:18" x14ac:dyDescent="0.3">
      <c r="A72" s="2">
        <v>75</v>
      </c>
      <c r="B72" s="1" t="s">
        <v>77</v>
      </c>
      <c r="C72" s="5" t="s">
        <v>122</v>
      </c>
      <c r="D72" s="5">
        <v>210</v>
      </c>
      <c r="E72" s="5">
        <v>0.254</v>
      </c>
      <c r="F72" s="5">
        <v>0.43</v>
      </c>
      <c r="G72" s="5">
        <v>0.83</v>
      </c>
      <c r="H72" s="5">
        <v>1.04</v>
      </c>
      <c r="I72" s="5">
        <f>2.146*E72</f>
        <v>0.54508400000000001</v>
      </c>
      <c r="J72" s="5">
        <f>0.514*F72</f>
        <v>0.22101999999999999</v>
      </c>
      <c r="K72" s="5">
        <f>1.267*G72</f>
        <v>1.0516099999999999</v>
      </c>
      <c r="L72" s="5">
        <f>-0.098*H72</f>
        <v>-0.10192000000000001</v>
      </c>
      <c r="M72" s="5">
        <f t="shared" si="3"/>
        <v>-1.2422060000000001</v>
      </c>
      <c r="N72" s="5">
        <f>EXP(M72)</f>
        <v>0.28874653997167665</v>
      </c>
      <c r="O72" s="5">
        <f t="shared" si="4"/>
        <v>1.2887465399716767</v>
      </c>
      <c r="P72" s="5">
        <f t="shared" si="5"/>
        <v>0.2240522329379232</v>
      </c>
      <c r="Q72" s="5" t="s">
        <v>126</v>
      </c>
      <c r="R72" s="5" t="s">
        <v>126</v>
      </c>
    </row>
    <row r="73" spans="1:18" x14ac:dyDescent="0.3">
      <c r="A73" s="2">
        <v>76</v>
      </c>
      <c r="B73" s="1" t="s">
        <v>78</v>
      </c>
      <c r="C73" s="5" t="s">
        <v>122</v>
      </c>
      <c r="D73" s="5">
        <v>250</v>
      </c>
      <c r="E73" s="5">
        <v>0.108</v>
      </c>
      <c r="F73" s="5">
        <v>0.06</v>
      </c>
      <c r="G73" s="5">
        <v>0.14000000000000001</v>
      </c>
      <c r="H73" s="5">
        <v>0.67</v>
      </c>
      <c r="I73" s="5">
        <f>2.146*E73</f>
        <v>0.23176799999999997</v>
      </c>
      <c r="J73" s="5">
        <f>0.514*F73</f>
        <v>3.0839999999999999E-2</v>
      </c>
      <c r="K73" s="5">
        <f>1.267*G73</f>
        <v>0.17738000000000001</v>
      </c>
      <c r="L73" s="5">
        <f>-0.098*H73</f>
        <v>-6.566000000000001E-2</v>
      </c>
      <c r="M73" s="5">
        <f t="shared" si="3"/>
        <v>-2.5836720000000004</v>
      </c>
      <c r="N73" s="5">
        <f>EXP(M73)</f>
        <v>7.5496272107937731E-2</v>
      </c>
      <c r="O73" s="5">
        <f t="shared" si="4"/>
        <v>1.0754962721079377</v>
      </c>
      <c r="P73" s="5">
        <f t="shared" si="5"/>
        <v>7.0196684140957075E-2</v>
      </c>
      <c r="Q73" s="5" t="s">
        <v>126</v>
      </c>
      <c r="R73" s="5" t="s">
        <v>126</v>
      </c>
    </row>
    <row r="74" spans="1:18" x14ac:dyDescent="0.3">
      <c r="B74" s="3" t="s">
        <v>127</v>
      </c>
      <c r="D74" s="4">
        <f>AVERAGE(D2:D73)</f>
        <v>291.41666666666669</v>
      </c>
      <c r="E74" s="4">
        <f>AVERAGE(E2:E73)</f>
        <v>0.36498611111111118</v>
      </c>
      <c r="F74" s="4">
        <f>AVERAGE(F2:F73)</f>
        <v>1.6091527777777777</v>
      </c>
      <c r="G74" s="4">
        <f>AVERAGE(G2:G73)</f>
        <v>0.964208333333333</v>
      </c>
      <c r="H74" s="4">
        <f>AVERAGE(H2:H73)</f>
        <v>2.5968055555555556</v>
      </c>
      <c r="P74" s="4">
        <f>AVERAGE(P2:P73)</f>
        <v>0.39406659033508257</v>
      </c>
      <c r="R74" s="4">
        <f>SUM(R2:R73)</f>
        <v>1</v>
      </c>
    </row>
    <row r="75" spans="1:18" x14ac:dyDescent="0.3">
      <c r="B75" s="3" t="s">
        <v>125</v>
      </c>
      <c r="D75" s="4">
        <f>_xlfn.STDEV.S(D2:D73)</f>
        <v>110.69864561432118</v>
      </c>
      <c r="E75" s="4">
        <f>_xlfn.STDEV.S(E2:E73)</f>
        <v>0.26237042371616792</v>
      </c>
      <c r="F75" s="4">
        <f>_xlfn.STDEV.S(F2:F73)</f>
        <v>1.3427323169275966</v>
      </c>
      <c r="G75" s="4">
        <f>_xlfn.STDEV.S(G2:G73)</f>
        <v>0.74053629096718632</v>
      </c>
      <c r="H75" s="4">
        <f>_xlfn.STDEV.S(H2:H73)</f>
        <v>1.5067555166684983</v>
      </c>
      <c r="P75" s="4">
        <f>_xlfn.STDEV.S(P2:P73)</f>
        <v>0.24278998685655853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workbookViewId="0"/>
  </sheetViews>
  <sheetFormatPr baseColWidth="10" defaultColWidth="11.44140625" defaultRowHeight="13.8" x14ac:dyDescent="0.3"/>
  <cols>
    <col min="1" max="1" width="6.21875" style="2" bestFit="1" customWidth="1"/>
    <col min="2" max="2" width="16.33203125" style="1" bestFit="1" customWidth="1"/>
    <col min="3" max="3" width="3.5546875" style="5" bestFit="1" customWidth="1"/>
    <col min="4" max="4" width="6.88671875" style="5" customWidth="1"/>
    <col min="5" max="5" width="7.6640625" style="5" bestFit="1" customWidth="1"/>
    <col min="6" max="7" width="5.6640625" style="5" bestFit="1" customWidth="1"/>
    <col min="8" max="8" width="5.88671875" style="5" bestFit="1" customWidth="1"/>
    <col min="9" max="9" width="10.6640625" style="5" bestFit="1" customWidth="1"/>
    <col min="10" max="10" width="12" style="5" bestFit="1" customWidth="1"/>
    <col min="11" max="12" width="11" style="5" bestFit="1" customWidth="1"/>
    <col min="13" max="13" width="11.6640625" style="5" bestFit="1" customWidth="1"/>
    <col min="14" max="14" width="9.44140625" style="5" bestFit="1" customWidth="1"/>
    <col min="15" max="16" width="12" style="5" bestFit="1" customWidth="1"/>
    <col min="17" max="17" width="16.88671875" style="5" bestFit="1" customWidth="1"/>
    <col min="18" max="18" width="10.5546875" style="5" bestFit="1" customWidth="1"/>
    <col min="19" max="19" width="18.109375" style="5" bestFit="1" customWidth="1"/>
    <col min="20" max="16384" width="11.44140625" style="1"/>
  </cols>
  <sheetData>
    <row r="1" spans="1:19" x14ac:dyDescent="0.3">
      <c r="A1" s="2" t="s">
        <v>128</v>
      </c>
      <c r="B1" s="1" t="s">
        <v>5</v>
      </c>
      <c r="C1" s="5" t="s">
        <v>6</v>
      </c>
      <c r="D1" s="5" t="s">
        <v>4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110</v>
      </c>
      <c r="J1" s="5" t="s">
        <v>111</v>
      </c>
      <c r="K1" s="5" t="s">
        <v>112</v>
      </c>
      <c r="L1" s="5" t="s">
        <v>109</v>
      </c>
      <c r="M1" s="6" t="s">
        <v>113</v>
      </c>
      <c r="N1" s="5" t="s">
        <v>124</v>
      </c>
      <c r="O1" s="5" t="s">
        <v>118</v>
      </c>
      <c r="P1" s="5" t="s">
        <v>119</v>
      </c>
      <c r="Q1" s="5" t="s">
        <v>134</v>
      </c>
      <c r="R1" s="5" t="s">
        <v>133</v>
      </c>
      <c r="S1" s="5" t="s">
        <v>131</v>
      </c>
    </row>
    <row r="2" spans="1:19" x14ac:dyDescent="0.3">
      <c r="A2" s="2">
        <v>12</v>
      </c>
      <c r="B2" s="1" t="s">
        <v>79</v>
      </c>
      <c r="C2" s="5" t="s">
        <v>122</v>
      </c>
      <c r="D2" s="5">
        <v>140</v>
      </c>
      <c r="E2" s="5">
        <v>0.14000000000000001</v>
      </c>
      <c r="F2" s="5">
        <v>4.04</v>
      </c>
      <c r="G2" s="5">
        <v>3.83</v>
      </c>
      <c r="H2" s="5">
        <v>6.65</v>
      </c>
      <c r="I2" s="5">
        <f>0.005*D2</f>
        <v>0.70000000000000007</v>
      </c>
      <c r="J2" s="5">
        <f>3.11*E2</f>
        <v>0.43540000000000001</v>
      </c>
      <c r="K2" s="5">
        <f>0.605*F2</f>
        <v>2.4441999999999999</v>
      </c>
      <c r="L2" s="5">
        <f>5.003*G2</f>
        <v>19.161490000000001</v>
      </c>
      <c r="M2" s="5">
        <f>-0.308*H2</f>
        <v>-2.0482</v>
      </c>
      <c r="N2" s="5">
        <f t="shared" ref="N2:N29" si="0">I2+J2+K2+L2+M2-5.109</f>
        <v>15.583889999999998</v>
      </c>
      <c r="O2" s="5">
        <f>EXP(N2)</f>
        <v>5861347.0080894604</v>
      </c>
      <c r="P2" s="5">
        <f>1+O2</f>
        <v>5861348.0080894604</v>
      </c>
      <c r="Q2" s="5">
        <f>O2/P2</f>
        <v>0.99999982939078202</v>
      </c>
      <c r="R2" s="5" t="s">
        <v>121</v>
      </c>
      <c r="S2" s="5">
        <v>1</v>
      </c>
    </row>
    <row r="3" spans="1:19" x14ac:dyDescent="0.3">
      <c r="A3" s="2">
        <v>23</v>
      </c>
      <c r="B3" s="1" t="s">
        <v>80</v>
      </c>
      <c r="C3" s="5" t="s">
        <v>122</v>
      </c>
      <c r="D3" s="5">
        <v>310</v>
      </c>
      <c r="E3" s="5">
        <v>0.39</v>
      </c>
      <c r="F3" s="5">
        <v>2.14</v>
      </c>
      <c r="G3" s="5">
        <v>2.37</v>
      </c>
      <c r="H3" s="5">
        <v>5.16</v>
      </c>
      <c r="I3" s="5">
        <f>0.005*D3</f>
        <v>1.55</v>
      </c>
      <c r="J3" s="5">
        <f>3.11*E3</f>
        <v>1.2129000000000001</v>
      </c>
      <c r="K3" s="5">
        <f>0.605*F3</f>
        <v>1.2947</v>
      </c>
      <c r="L3" s="5">
        <f>5.003*G3</f>
        <v>11.85711</v>
      </c>
      <c r="M3" s="5">
        <f>-0.308*H3</f>
        <v>-1.58928</v>
      </c>
      <c r="N3" s="5">
        <f t="shared" si="0"/>
        <v>9.216429999999999</v>
      </c>
      <c r="O3" s="5">
        <f>EXP(N3)</f>
        <v>10061.082075034439</v>
      </c>
      <c r="P3" s="5">
        <f t="shared" ref="P3:P32" si="1">1+O3</f>
        <v>10062.082075034439</v>
      </c>
      <c r="Q3" s="5">
        <f t="shared" ref="Q3:Q32" si="2">O3/P3</f>
        <v>0.99990061699034627</v>
      </c>
      <c r="R3" s="5" t="s">
        <v>121</v>
      </c>
      <c r="S3" s="5">
        <v>1</v>
      </c>
    </row>
    <row r="4" spans="1:19" x14ac:dyDescent="0.3">
      <c r="A4" s="2">
        <v>25</v>
      </c>
      <c r="B4" s="1" t="s">
        <v>81</v>
      </c>
      <c r="C4" s="5" t="s">
        <v>122</v>
      </c>
      <c r="D4" s="5">
        <v>190</v>
      </c>
      <c r="E4" s="5">
        <v>0.28000000000000003</v>
      </c>
      <c r="F4" s="5">
        <v>1.59</v>
      </c>
      <c r="G4" s="5">
        <v>1.5</v>
      </c>
      <c r="H4" s="5">
        <v>4.08</v>
      </c>
      <c r="I4" s="5">
        <f>0.005*D4</f>
        <v>0.95000000000000007</v>
      </c>
      <c r="J4" s="5">
        <f>3.11*E4</f>
        <v>0.87080000000000002</v>
      </c>
      <c r="K4" s="5">
        <f>0.605*F4</f>
        <v>0.96194999999999997</v>
      </c>
      <c r="L4" s="5">
        <f>5.003*G4</f>
        <v>7.5045000000000002</v>
      </c>
      <c r="M4" s="5">
        <f>-0.308*H4</f>
        <v>-1.25664</v>
      </c>
      <c r="N4" s="5">
        <f t="shared" si="0"/>
        <v>3.9216099999999994</v>
      </c>
      <c r="O4" s="5">
        <f>EXP(N4)</f>
        <v>50.481654850724581</v>
      </c>
      <c r="P4" s="5">
        <f t="shared" si="1"/>
        <v>51.481654850724581</v>
      </c>
      <c r="Q4" s="5">
        <f t="shared" si="2"/>
        <v>0.98057560498201568</v>
      </c>
      <c r="R4" s="5" t="s">
        <v>121</v>
      </c>
      <c r="S4" s="5">
        <v>1</v>
      </c>
    </row>
    <row r="5" spans="1:19" x14ac:dyDescent="0.3">
      <c r="A5" s="2">
        <v>26</v>
      </c>
      <c r="B5" s="1" t="s">
        <v>82</v>
      </c>
      <c r="C5" s="5" t="s">
        <v>122</v>
      </c>
      <c r="D5" s="5">
        <v>250</v>
      </c>
      <c r="E5" s="5">
        <v>0.22</v>
      </c>
      <c r="F5" s="5">
        <v>2.39</v>
      </c>
      <c r="G5" s="5">
        <v>1.56</v>
      </c>
      <c r="H5" s="5">
        <v>4.09</v>
      </c>
      <c r="I5" s="5">
        <f>0.005*D5</f>
        <v>1.25</v>
      </c>
      <c r="J5" s="5">
        <f>3.11*E5</f>
        <v>0.68420000000000003</v>
      </c>
      <c r="K5" s="5">
        <f>0.605*F5</f>
        <v>1.4459500000000001</v>
      </c>
      <c r="L5" s="5">
        <f>5.003*G5</f>
        <v>7.8046800000000003</v>
      </c>
      <c r="M5" s="5">
        <f>-0.308*H5</f>
        <v>-1.25972</v>
      </c>
      <c r="N5" s="5">
        <f t="shared" si="0"/>
        <v>4.8161100000000019</v>
      </c>
      <c r="O5" s="5">
        <f>EXP(N5)</f>
        <v>123.48380328777006</v>
      </c>
      <c r="P5" s="5">
        <f t="shared" si="1"/>
        <v>124.48380328777006</v>
      </c>
      <c r="Q5" s="5">
        <f t="shared" si="2"/>
        <v>0.9919668264176642</v>
      </c>
      <c r="R5" s="5" t="s">
        <v>121</v>
      </c>
      <c r="S5" s="5">
        <v>1</v>
      </c>
    </row>
    <row r="6" spans="1:19" x14ac:dyDescent="0.3">
      <c r="A6" s="2">
        <v>32</v>
      </c>
      <c r="B6" s="1" t="s">
        <v>83</v>
      </c>
      <c r="C6" s="5" t="s">
        <v>122</v>
      </c>
      <c r="D6" s="5">
        <v>150</v>
      </c>
      <c r="E6" s="5">
        <v>0.73</v>
      </c>
      <c r="F6" s="5">
        <v>4.12</v>
      </c>
      <c r="G6" s="5">
        <v>1.46</v>
      </c>
      <c r="H6" s="5">
        <v>4.88</v>
      </c>
      <c r="I6" s="5">
        <f>0.005*D6</f>
        <v>0.75</v>
      </c>
      <c r="J6" s="5">
        <f>3.11*E6</f>
        <v>2.2702999999999998</v>
      </c>
      <c r="K6" s="5">
        <f>0.605*F6</f>
        <v>2.4925999999999999</v>
      </c>
      <c r="L6" s="5">
        <f>5.003*G6</f>
        <v>7.3043800000000001</v>
      </c>
      <c r="M6" s="5">
        <f>-0.308*H6</f>
        <v>-1.5030399999999999</v>
      </c>
      <c r="N6" s="5">
        <f t="shared" si="0"/>
        <v>6.2052399999999999</v>
      </c>
      <c r="O6" s="5">
        <f>EXP(N6)</f>
        <v>495.33782275305862</v>
      </c>
      <c r="P6" s="5">
        <f t="shared" si="1"/>
        <v>496.33782275305862</v>
      </c>
      <c r="Q6" s="5">
        <f t="shared" si="2"/>
        <v>0.9979852432070293</v>
      </c>
      <c r="R6" s="5" t="s">
        <v>122</v>
      </c>
      <c r="S6" s="5">
        <v>0</v>
      </c>
    </row>
    <row r="7" spans="1:19" x14ac:dyDescent="0.3">
      <c r="A7" s="2">
        <v>33</v>
      </c>
      <c r="B7" s="1" t="s">
        <v>84</v>
      </c>
      <c r="C7" s="5" t="s">
        <v>122</v>
      </c>
      <c r="D7" s="5">
        <v>160</v>
      </c>
      <c r="E7" s="5">
        <v>0.66</v>
      </c>
      <c r="F7" s="5">
        <v>2.65</v>
      </c>
      <c r="G7" s="5">
        <v>1.1299999999999999</v>
      </c>
      <c r="H7" s="5">
        <v>3.41</v>
      </c>
      <c r="I7" s="5">
        <f>0.005*D7</f>
        <v>0.8</v>
      </c>
      <c r="J7" s="5">
        <f>3.11*E7</f>
        <v>2.0526</v>
      </c>
      <c r="K7" s="5">
        <f>0.605*F7</f>
        <v>1.6032499999999998</v>
      </c>
      <c r="L7" s="5">
        <f>5.003*G7</f>
        <v>5.6533899999999999</v>
      </c>
      <c r="M7" s="5">
        <f>-0.308*H7</f>
        <v>-1.0502800000000001</v>
      </c>
      <c r="N7" s="5">
        <f t="shared" si="0"/>
        <v>3.949959999999999</v>
      </c>
      <c r="O7" s="5">
        <f>EXP(N7)</f>
        <v>51.933289461705726</v>
      </c>
      <c r="P7" s="5">
        <f t="shared" si="1"/>
        <v>52.933289461705726</v>
      </c>
      <c r="Q7" s="5">
        <f t="shared" si="2"/>
        <v>0.98110829668495392</v>
      </c>
      <c r="R7" s="5" t="s">
        <v>121</v>
      </c>
      <c r="S7" s="5">
        <v>1</v>
      </c>
    </row>
    <row r="8" spans="1:19" x14ac:dyDescent="0.3">
      <c r="A8" s="2">
        <v>34</v>
      </c>
      <c r="B8" s="1" t="s">
        <v>85</v>
      </c>
      <c r="C8" s="5" t="s">
        <v>122</v>
      </c>
      <c r="D8" s="5">
        <v>180</v>
      </c>
      <c r="E8" s="5">
        <v>0.11</v>
      </c>
      <c r="F8" s="5">
        <v>0.92</v>
      </c>
      <c r="G8" s="5">
        <v>1.58</v>
      </c>
      <c r="H8" s="5">
        <v>3.27</v>
      </c>
      <c r="I8" s="5">
        <f>0.005*D8</f>
        <v>0.9</v>
      </c>
      <c r="J8" s="5">
        <f>3.11*E8</f>
        <v>0.34210000000000002</v>
      </c>
      <c r="K8" s="5">
        <f>0.605*F8</f>
        <v>0.55659999999999998</v>
      </c>
      <c r="L8" s="5">
        <f>5.003*G8</f>
        <v>7.9047400000000003</v>
      </c>
      <c r="M8" s="5">
        <f>-0.308*H8</f>
        <v>-1.0071600000000001</v>
      </c>
      <c r="N8" s="5">
        <f t="shared" si="0"/>
        <v>3.5872799999999998</v>
      </c>
      <c r="O8" s="5">
        <f>EXP(N8)</f>
        <v>36.135653155605738</v>
      </c>
      <c r="P8" s="5">
        <f t="shared" si="1"/>
        <v>37.135653155605738</v>
      </c>
      <c r="Q8" s="5">
        <f t="shared" si="2"/>
        <v>0.9730717002388567</v>
      </c>
      <c r="R8" s="5" t="s">
        <v>121</v>
      </c>
      <c r="S8" s="5">
        <v>1</v>
      </c>
    </row>
    <row r="9" spans="1:19" x14ac:dyDescent="0.3">
      <c r="A9" s="2">
        <v>36</v>
      </c>
      <c r="B9" s="1" t="s">
        <v>86</v>
      </c>
      <c r="C9" s="5" t="s">
        <v>122</v>
      </c>
      <c r="D9" s="5">
        <v>367</v>
      </c>
      <c r="E9" s="5">
        <v>0.65</v>
      </c>
      <c r="F9" s="5">
        <v>3.76</v>
      </c>
      <c r="G9" s="5">
        <v>1.49</v>
      </c>
      <c r="H9" s="5">
        <v>4.6900000000000004</v>
      </c>
      <c r="I9" s="5">
        <f>0.005*D9</f>
        <v>1.835</v>
      </c>
      <c r="J9" s="5">
        <f>3.11*E9</f>
        <v>2.0215000000000001</v>
      </c>
      <c r="K9" s="5">
        <f>0.605*F9</f>
        <v>2.2747999999999999</v>
      </c>
      <c r="L9" s="5">
        <f>5.003*G9</f>
        <v>7.4544699999999997</v>
      </c>
      <c r="M9" s="5">
        <f>-0.308*H9</f>
        <v>-1.44452</v>
      </c>
      <c r="N9" s="5">
        <f t="shared" si="0"/>
        <v>7.0322499999999994</v>
      </c>
      <c r="O9" s="5">
        <f>EXP(N9)</f>
        <v>1132.5760415957711</v>
      </c>
      <c r="P9" s="5">
        <f t="shared" si="1"/>
        <v>1133.5760415957711</v>
      </c>
      <c r="Q9" s="5">
        <f t="shared" si="2"/>
        <v>0.99911783597808557</v>
      </c>
      <c r="R9" s="5" t="s">
        <v>121</v>
      </c>
      <c r="S9" s="5">
        <v>1</v>
      </c>
    </row>
    <row r="10" spans="1:19" x14ac:dyDescent="0.3">
      <c r="A10" s="2">
        <v>48</v>
      </c>
      <c r="B10" s="1" t="s">
        <v>87</v>
      </c>
      <c r="C10" s="5" t="s">
        <v>122</v>
      </c>
      <c r="D10" s="5">
        <v>340</v>
      </c>
      <c r="E10" s="5">
        <v>0.33</v>
      </c>
      <c r="F10" s="5">
        <v>2.1</v>
      </c>
      <c r="G10" s="5">
        <v>3.75</v>
      </c>
      <c r="H10" s="5">
        <v>5.14</v>
      </c>
      <c r="I10" s="5">
        <f>0.005*D10</f>
        <v>1.7</v>
      </c>
      <c r="J10" s="5">
        <f>3.11*E10</f>
        <v>1.0263</v>
      </c>
      <c r="K10" s="5">
        <f>0.605*F10</f>
        <v>1.2705</v>
      </c>
      <c r="L10" s="5">
        <f>5.003*G10</f>
        <v>18.76125</v>
      </c>
      <c r="M10" s="5">
        <f>-0.308*H10</f>
        <v>-1.5831199999999999</v>
      </c>
      <c r="N10" s="5">
        <f t="shared" si="0"/>
        <v>16.065930000000002</v>
      </c>
      <c r="O10" s="5">
        <f>EXP(N10)</f>
        <v>9491716.2263052482</v>
      </c>
      <c r="P10" s="5">
        <f t="shared" si="1"/>
        <v>9491717.2263052482</v>
      </c>
      <c r="Q10" s="5">
        <f t="shared" si="2"/>
        <v>0.99999989464498618</v>
      </c>
      <c r="R10" s="5" t="s">
        <v>121</v>
      </c>
      <c r="S10" s="5">
        <v>1</v>
      </c>
    </row>
    <row r="11" spans="1:19" x14ac:dyDescent="0.3">
      <c r="A11" s="2">
        <v>49</v>
      </c>
      <c r="B11" s="1" t="s">
        <v>88</v>
      </c>
      <c r="C11" s="5" t="s">
        <v>122</v>
      </c>
      <c r="D11" s="5">
        <v>312</v>
      </c>
      <c r="E11" s="5">
        <v>0.84</v>
      </c>
      <c r="F11" s="5">
        <v>0.92</v>
      </c>
      <c r="G11" s="5">
        <v>1.48</v>
      </c>
      <c r="H11" s="5">
        <v>6.1</v>
      </c>
      <c r="I11" s="5">
        <f>0.005*D11</f>
        <v>1.56</v>
      </c>
      <c r="J11" s="5">
        <f>3.11*E11</f>
        <v>2.6123999999999996</v>
      </c>
      <c r="K11" s="5">
        <f>0.605*F11</f>
        <v>0.55659999999999998</v>
      </c>
      <c r="L11" s="5">
        <f>5.003*G11</f>
        <v>7.4044400000000001</v>
      </c>
      <c r="M11" s="5">
        <f>-0.308*H11</f>
        <v>-1.8787999999999998</v>
      </c>
      <c r="N11" s="5">
        <f t="shared" si="0"/>
        <v>5.1456400000000002</v>
      </c>
      <c r="O11" s="5">
        <f>EXP(N11)</f>
        <v>171.68132556658904</v>
      </c>
      <c r="P11" s="5">
        <f t="shared" si="1"/>
        <v>172.68132556658904</v>
      </c>
      <c r="Q11" s="5">
        <f t="shared" si="2"/>
        <v>0.99420898584882367</v>
      </c>
      <c r="R11" s="5" t="s">
        <v>122</v>
      </c>
      <c r="S11" s="5">
        <v>0</v>
      </c>
    </row>
    <row r="12" spans="1:19" x14ac:dyDescent="0.3">
      <c r="A12" s="2">
        <v>51</v>
      </c>
      <c r="B12" s="1" t="s">
        <v>43</v>
      </c>
      <c r="C12" s="5" t="s">
        <v>122</v>
      </c>
      <c r="D12" s="5">
        <v>220</v>
      </c>
      <c r="E12" s="5">
        <v>1.1599999999999999</v>
      </c>
      <c r="F12" s="5">
        <v>1.56</v>
      </c>
      <c r="G12" s="5">
        <v>1.54</v>
      </c>
      <c r="H12" s="5">
        <v>7.06</v>
      </c>
      <c r="I12" s="5">
        <f>0.005*D12</f>
        <v>1.1000000000000001</v>
      </c>
      <c r="J12" s="5">
        <f>3.11*E12</f>
        <v>3.6075999999999997</v>
      </c>
      <c r="K12" s="5">
        <f>0.605*F12</f>
        <v>0.94379999999999997</v>
      </c>
      <c r="L12" s="5">
        <f>5.003*G12</f>
        <v>7.7046200000000002</v>
      </c>
      <c r="M12" s="5">
        <f>-0.308*H12</f>
        <v>-2.17448</v>
      </c>
      <c r="N12" s="5">
        <f t="shared" si="0"/>
        <v>6.0725399999999983</v>
      </c>
      <c r="O12" s="5">
        <f>EXP(N12)</f>
        <v>433.7810874294957</v>
      </c>
      <c r="P12" s="5">
        <f t="shared" si="1"/>
        <v>434.7810874294957</v>
      </c>
      <c r="Q12" s="5">
        <f t="shared" si="2"/>
        <v>0.99769999195247383</v>
      </c>
      <c r="R12" s="5" t="s">
        <v>122</v>
      </c>
      <c r="S12" s="5">
        <v>0</v>
      </c>
    </row>
    <row r="13" spans="1:19" x14ac:dyDescent="0.3">
      <c r="A13" s="2">
        <v>52</v>
      </c>
      <c r="B13" s="1" t="s">
        <v>89</v>
      </c>
      <c r="C13" s="5" t="s">
        <v>122</v>
      </c>
      <c r="D13" s="5">
        <v>520</v>
      </c>
      <c r="E13" s="5">
        <v>0.52</v>
      </c>
      <c r="F13" s="5">
        <v>1.34</v>
      </c>
      <c r="G13" s="5">
        <v>1.34</v>
      </c>
      <c r="H13" s="5">
        <v>7.7</v>
      </c>
      <c r="I13" s="5">
        <f>0.005*D13</f>
        <v>2.6</v>
      </c>
      <c r="J13" s="5">
        <f>3.11*E13</f>
        <v>1.6172</v>
      </c>
      <c r="K13" s="5">
        <f>0.605*F13</f>
        <v>0.81069999999999998</v>
      </c>
      <c r="L13" s="5">
        <f>5.003*G13</f>
        <v>6.7040200000000008</v>
      </c>
      <c r="M13" s="5">
        <f>-0.308*H13</f>
        <v>-2.3715999999999999</v>
      </c>
      <c r="N13" s="5">
        <f t="shared" si="0"/>
        <v>4.2513200000000015</v>
      </c>
      <c r="O13" s="5">
        <f>EXP(N13)</f>
        <v>70.198012593703069</v>
      </c>
      <c r="P13" s="5">
        <f t="shared" si="1"/>
        <v>71.198012593703069</v>
      </c>
      <c r="Q13" s="5">
        <f t="shared" si="2"/>
        <v>0.98595466413217769</v>
      </c>
      <c r="R13" s="5" t="s">
        <v>122</v>
      </c>
      <c r="S13" s="5">
        <v>0</v>
      </c>
    </row>
    <row r="14" spans="1:19" x14ac:dyDescent="0.3">
      <c r="A14" s="2">
        <v>53</v>
      </c>
      <c r="B14" s="1" t="s">
        <v>90</v>
      </c>
      <c r="C14" s="5" t="s">
        <v>122</v>
      </c>
      <c r="D14" s="5">
        <v>361</v>
      </c>
      <c r="E14" s="5">
        <v>0.33</v>
      </c>
      <c r="F14" s="5">
        <v>1.56</v>
      </c>
      <c r="G14" s="5">
        <v>0.69</v>
      </c>
      <c r="H14" s="5">
        <v>6.24</v>
      </c>
      <c r="I14" s="5">
        <f>0.005*D14</f>
        <v>1.8049999999999999</v>
      </c>
      <c r="J14" s="5">
        <f>3.11*E14</f>
        <v>1.0263</v>
      </c>
      <c r="K14" s="5">
        <f>0.605*F14</f>
        <v>0.94379999999999997</v>
      </c>
      <c r="L14" s="5">
        <f>5.003*G14</f>
        <v>3.45207</v>
      </c>
      <c r="M14" s="5">
        <f>-0.308*H14</f>
        <v>-1.9219200000000001</v>
      </c>
      <c r="N14" s="5">
        <f t="shared" si="0"/>
        <v>0.19624999999999915</v>
      </c>
      <c r="O14" s="5">
        <f>EXP(N14)</f>
        <v>1.2168310750802829</v>
      </c>
      <c r="P14" s="5">
        <f t="shared" si="1"/>
        <v>2.2168310750802829</v>
      </c>
      <c r="Q14" s="5">
        <f t="shared" si="2"/>
        <v>0.54890563776322698</v>
      </c>
      <c r="R14" s="5" t="s">
        <v>126</v>
      </c>
      <c r="S14" s="5" t="s">
        <v>126</v>
      </c>
    </row>
    <row r="15" spans="1:19" x14ac:dyDescent="0.3">
      <c r="A15" s="2">
        <v>54</v>
      </c>
      <c r="B15" s="1" t="s">
        <v>91</v>
      </c>
      <c r="C15" s="5" t="s">
        <v>122</v>
      </c>
      <c r="D15" s="5">
        <v>400</v>
      </c>
      <c r="E15" s="5">
        <v>1.08</v>
      </c>
      <c r="F15" s="5">
        <v>3.58</v>
      </c>
      <c r="G15" s="5">
        <v>1.96</v>
      </c>
      <c r="H15" s="5">
        <v>6.19</v>
      </c>
      <c r="I15" s="5">
        <f>0.005*D15</f>
        <v>2</v>
      </c>
      <c r="J15" s="5">
        <f>3.11*E15</f>
        <v>3.3588</v>
      </c>
      <c r="K15" s="5">
        <f>0.605*F15</f>
        <v>2.1659000000000002</v>
      </c>
      <c r="L15" s="5">
        <f>5.003*G15</f>
        <v>9.8058800000000002</v>
      </c>
      <c r="M15" s="5">
        <f>-0.308*H15</f>
        <v>-1.90652</v>
      </c>
      <c r="N15" s="5">
        <f t="shared" si="0"/>
        <v>10.315060000000001</v>
      </c>
      <c r="O15" s="5">
        <f>EXP(N15)</f>
        <v>30183.78081532893</v>
      </c>
      <c r="P15" s="5">
        <f t="shared" si="1"/>
        <v>30184.78081532893</v>
      </c>
      <c r="Q15" s="5">
        <f t="shared" si="2"/>
        <v>0.99996687072183432</v>
      </c>
      <c r="R15" s="5" t="s">
        <v>121</v>
      </c>
      <c r="S15" s="5">
        <v>1</v>
      </c>
    </row>
    <row r="16" spans="1:19" x14ac:dyDescent="0.3">
      <c r="A16" s="2">
        <v>55</v>
      </c>
      <c r="B16" s="1" t="s">
        <v>92</v>
      </c>
      <c r="C16" s="5" t="s">
        <v>122</v>
      </c>
      <c r="D16" s="5">
        <v>444</v>
      </c>
      <c r="E16" s="5">
        <v>0.39</v>
      </c>
      <c r="F16" s="5">
        <v>3.98</v>
      </c>
      <c r="G16" s="5">
        <v>3.31</v>
      </c>
      <c r="H16" s="5">
        <v>5.04</v>
      </c>
      <c r="I16" s="5">
        <f>0.005*D16</f>
        <v>2.2200000000000002</v>
      </c>
      <c r="J16" s="5">
        <f>3.11*E16</f>
        <v>1.2129000000000001</v>
      </c>
      <c r="K16" s="5">
        <f>0.605*F16</f>
        <v>2.4078999999999997</v>
      </c>
      <c r="L16" s="5">
        <f>5.003*G16</f>
        <v>16.559930000000001</v>
      </c>
      <c r="M16" s="5">
        <f>-0.308*H16</f>
        <v>-1.5523199999999999</v>
      </c>
      <c r="N16" s="5">
        <f t="shared" si="0"/>
        <v>15.739410000000001</v>
      </c>
      <c r="O16" s="5">
        <f>EXP(N16)</f>
        <v>6847608.3274894822</v>
      </c>
      <c r="P16" s="5">
        <f t="shared" si="1"/>
        <v>6847609.3274894822</v>
      </c>
      <c r="Q16" s="5">
        <f t="shared" si="2"/>
        <v>0.99999985396363134</v>
      </c>
      <c r="R16" s="5" t="s">
        <v>121</v>
      </c>
      <c r="S16" s="5">
        <v>1</v>
      </c>
    </row>
    <row r="17" spans="1:19" x14ac:dyDescent="0.3">
      <c r="A17" s="2">
        <v>56</v>
      </c>
      <c r="B17" s="1" t="s">
        <v>93</v>
      </c>
      <c r="C17" s="5" t="s">
        <v>122</v>
      </c>
      <c r="D17" s="5">
        <v>360</v>
      </c>
      <c r="E17" s="5">
        <v>0.31</v>
      </c>
      <c r="F17" s="5">
        <v>7.79</v>
      </c>
      <c r="G17" s="5">
        <v>5.49</v>
      </c>
      <c r="H17" s="5">
        <v>7.22</v>
      </c>
      <c r="I17" s="5">
        <f>0.005*D17</f>
        <v>1.8</v>
      </c>
      <c r="J17" s="5">
        <f>3.11*E17</f>
        <v>0.96409999999999996</v>
      </c>
      <c r="K17" s="5">
        <f>0.605*F17</f>
        <v>4.7129500000000002</v>
      </c>
      <c r="L17" s="5">
        <f>5.003*G17</f>
        <v>27.466470000000001</v>
      </c>
      <c r="M17" s="5">
        <f>-0.308*H17</f>
        <v>-2.22376</v>
      </c>
      <c r="N17" s="5">
        <f t="shared" si="0"/>
        <v>27.610759999999999</v>
      </c>
      <c r="O17" s="5">
        <f>EXP(N17)</f>
        <v>979942761232.82568</v>
      </c>
      <c r="P17" s="5">
        <f t="shared" si="1"/>
        <v>979942761233.82568</v>
      </c>
      <c r="Q17" s="5">
        <f t="shared" si="2"/>
        <v>0.99999999999897948</v>
      </c>
      <c r="R17" s="5" t="s">
        <v>121</v>
      </c>
      <c r="S17" s="5">
        <v>1</v>
      </c>
    </row>
    <row r="18" spans="1:19" x14ac:dyDescent="0.3">
      <c r="A18" s="2">
        <v>56</v>
      </c>
      <c r="B18" s="1" t="s">
        <v>94</v>
      </c>
      <c r="C18" s="5" t="s">
        <v>122</v>
      </c>
      <c r="D18" s="5">
        <v>500</v>
      </c>
      <c r="E18" s="5">
        <v>0.4</v>
      </c>
      <c r="F18" s="5">
        <v>5.49</v>
      </c>
      <c r="G18" s="5">
        <v>5.97</v>
      </c>
      <c r="H18" s="5">
        <v>9.5399999999999991</v>
      </c>
      <c r="I18" s="5">
        <f>0.005*D18</f>
        <v>2.5</v>
      </c>
      <c r="J18" s="5">
        <f>3.11*E18</f>
        <v>1.244</v>
      </c>
      <c r="K18" s="5">
        <f>0.605*F18</f>
        <v>3.32145</v>
      </c>
      <c r="L18" s="5">
        <f>5.003*G18</f>
        <v>29.867909999999998</v>
      </c>
      <c r="M18" s="5">
        <f>-0.308*H18</f>
        <v>-2.9383199999999996</v>
      </c>
      <c r="N18" s="5">
        <f t="shared" si="0"/>
        <v>28.886040000000001</v>
      </c>
      <c r="O18" s="5">
        <f>EXP(N18)</f>
        <v>3507904617238.5552</v>
      </c>
      <c r="P18" s="5">
        <f t="shared" si="1"/>
        <v>3507904617239.5552</v>
      </c>
      <c r="Q18" s="5">
        <f t="shared" si="2"/>
        <v>0.99999999999971489</v>
      </c>
      <c r="R18" s="5" t="s">
        <v>121</v>
      </c>
      <c r="S18" s="5">
        <v>1</v>
      </c>
    </row>
    <row r="19" spans="1:19" x14ac:dyDescent="0.3">
      <c r="A19" s="2">
        <v>58</v>
      </c>
      <c r="B19" s="1" t="s">
        <v>95</v>
      </c>
      <c r="C19" s="5" t="s">
        <v>122</v>
      </c>
      <c r="D19" s="5">
        <v>330</v>
      </c>
      <c r="E19" s="5">
        <v>0.1</v>
      </c>
      <c r="F19" s="5">
        <v>2.13</v>
      </c>
      <c r="G19" s="5">
        <v>1.71</v>
      </c>
      <c r="H19" s="5">
        <v>2.13</v>
      </c>
      <c r="I19" s="5">
        <f>0.005*D19</f>
        <v>1.6500000000000001</v>
      </c>
      <c r="J19" s="5">
        <f>3.11*E19</f>
        <v>0.311</v>
      </c>
      <c r="K19" s="5">
        <f>0.605*F19</f>
        <v>1.2886499999999999</v>
      </c>
      <c r="L19" s="5">
        <f>5.003*G19</f>
        <v>8.5551300000000001</v>
      </c>
      <c r="M19" s="5">
        <f>-0.308*H19</f>
        <v>-0.65603999999999996</v>
      </c>
      <c r="N19" s="5">
        <f t="shared" si="0"/>
        <v>6.0397400000000001</v>
      </c>
      <c r="O19" s="5">
        <f>EXP(N19)</f>
        <v>419.78387688875893</v>
      </c>
      <c r="P19" s="5">
        <f t="shared" si="1"/>
        <v>420.78387688875893</v>
      </c>
      <c r="Q19" s="5">
        <f t="shared" si="2"/>
        <v>0.99762348308734183</v>
      </c>
      <c r="R19" s="5" t="s">
        <v>121</v>
      </c>
      <c r="S19" s="5">
        <v>1</v>
      </c>
    </row>
    <row r="20" spans="1:19" x14ac:dyDescent="0.3">
      <c r="A20" s="2">
        <v>59</v>
      </c>
      <c r="B20" s="1" t="s">
        <v>96</v>
      </c>
      <c r="C20" s="5" t="s">
        <v>122</v>
      </c>
      <c r="D20" s="5">
        <v>317</v>
      </c>
      <c r="E20" s="5">
        <v>0.08</v>
      </c>
      <c r="F20" s="5">
        <v>3.04</v>
      </c>
      <c r="G20" s="5">
        <v>2.5099999999999998</v>
      </c>
      <c r="H20" s="5">
        <v>4.84</v>
      </c>
      <c r="I20" s="5">
        <f>0.005*D20</f>
        <v>1.585</v>
      </c>
      <c r="J20" s="5">
        <f>3.11*E20</f>
        <v>0.24879999999999999</v>
      </c>
      <c r="K20" s="5">
        <f>0.605*F20</f>
        <v>1.8391999999999999</v>
      </c>
      <c r="L20" s="5">
        <f>5.003*G20</f>
        <v>12.55753</v>
      </c>
      <c r="M20" s="5">
        <f>-0.308*H20</f>
        <v>-1.49072</v>
      </c>
      <c r="N20" s="5">
        <f t="shared" si="0"/>
        <v>9.6308100000000021</v>
      </c>
      <c r="O20" s="5">
        <f>EXP(N20)</f>
        <v>15226.764792772809</v>
      </c>
      <c r="P20" s="5">
        <f t="shared" si="1"/>
        <v>15227.764792772809</v>
      </c>
      <c r="Q20" s="5">
        <f t="shared" si="2"/>
        <v>0.999934330480303</v>
      </c>
      <c r="R20" s="5" t="s">
        <v>122</v>
      </c>
      <c r="S20" s="5">
        <v>0</v>
      </c>
    </row>
    <row r="21" spans="1:19" x14ac:dyDescent="0.3">
      <c r="A21" s="2">
        <v>60</v>
      </c>
      <c r="B21" s="1" t="s">
        <v>97</v>
      </c>
      <c r="C21" s="5" t="s">
        <v>122</v>
      </c>
      <c r="D21" s="5">
        <v>220</v>
      </c>
      <c r="E21" s="5">
        <v>0.23</v>
      </c>
      <c r="F21" s="5">
        <v>2.5299999999999998</v>
      </c>
      <c r="G21" s="5">
        <v>1.31</v>
      </c>
      <c r="H21" s="5">
        <v>6.59</v>
      </c>
      <c r="I21" s="5">
        <f>0.005*D21</f>
        <v>1.1000000000000001</v>
      </c>
      <c r="J21" s="5">
        <f>3.11*E21</f>
        <v>0.71530000000000005</v>
      </c>
      <c r="K21" s="5">
        <f>0.605*F21</f>
        <v>1.5306499999999998</v>
      </c>
      <c r="L21" s="5">
        <f>5.003*G21</f>
        <v>6.5539300000000003</v>
      </c>
      <c r="M21" s="5">
        <f>-0.308*H21</f>
        <v>-2.0297199999999997</v>
      </c>
      <c r="N21" s="5">
        <f t="shared" si="0"/>
        <v>2.7611600000000003</v>
      </c>
      <c r="O21" s="5">
        <f>EXP(N21)</f>
        <v>15.81818140032623</v>
      </c>
      <c r="P21" s="5">
        <f t="shared" si="1"/>
        <v>16.818181400326232</v>
      </c>
      <c r="Q21" s="5">
        <f t="shared" si="2"/>
        <v>0.94054053906324231</v>
      </c>
      <c r="R21" s="5" t="s">
        <v>121</v>
      </c>
      <c r="S21" s="5">
        <v>1</v>
      </c>
    </row>
    <row r="22" spans="1:19" x14ac:dyDescent="0.3">
      <c r="A22" s="2">
        <v>61</v>
      </c>
      <c r="B22" s="1" t="s">
        <v>98</v>
      </c>
      <c r="C22" s="5" t="s">
        <v>122</v>
      </c>
      <c r="D22" s="5">
        <v>390</v>
      </c>
      <c r="E22" s="5">
        <v>0.61</v>
      </c>
      <c r="F22" s="5">
        <v>2.13</v>
      </c>
      <c r="G22" s="5">
        <v>1.1599999999999999</v>
      </c>
      <c r="H22" s="5">
        <v>2.15</v>
      </c>
      <c r="I22" s="5">
        <f>0.005*D22</f>
        <v>1.95</v>
      </c>
      <c r="J22" s="5">
        <f>3.11*E22</f>
        <v>1.8970999999999998</v>
      </c>
      <c r="K22" s="5">
        <f>0.605*F22</f>
        <v>1.2886499999999999</v>
      </c>
      <c r="L22" s="5">
        <f>5.003*G22</f>
        <v>5.8034799999999995</v>
      </c>
      <c r="M22" s="5">
        <f>-0.308*H22</f>
        <v>-0.66220000000000001</v>
      </c>
      <c r="N22" s="5">
        <f t="shared" si="0"/>
        <v>5.1680299999999981</v>
      </c>
      <c r="O22" s="5">
        <f>EXP(N22)</f>
        <v>175.56862638412235</v>
      </c>
      <c r="P22" s="5">
        <f t="shared" si="1"/>
        <v>176.56862638412235</v>
      </c>
      <c r="Q22" s="5">
        <f t="shared" si="2"/>
        <v>0.99433647969926142</v>
      </c>
      <c r="R22" s="5" t="s">
        <v>121</v>
      </c>
      <c r="S22" s="5">
        <v>1</v>
      </c>
    </row>
    <row r="23" spans="1:19" x14ac:dyDescent="0.3">
      <c r="A23" s="2">
        <v>62</v>
      </c>
      <c r="B23" s="1" t="s">
        <v>99</v>
      </c>
      <c r="C23" s="5" t="s">
        <v>122</v>
      </c>
      <c r="D23" s="5">
        <v>450</v>
      </c>
      <c r="E23" s="5">
        <v>1.2</v>
      </c>
      <c r="F23" s="5">
        <v>3.63</v>
      </c>
      <c r="G23" s="5">
        <v>1.33</v>
      </c>
      <c r="H23" s="5">
        <v>5.3</v>
      </c>
      <c r="I23" s="5">
        <f>0.005*D23</f>
        <v>2.25</v>
      </c>
      <c r="J23" s="5">
        <f>3.11*E23</f>
        <v>3.7319999999999998</v>
      </c>
      <c r="K23" s="5">
        <f>0.605*F23</f>
        <v>2.1961499999999998</v>
      </c>
      <c r="L23" s="5">
        <f>5.003*G23</f>
        <v>6.6539900000000003</v>
      </c>
      <c r="M23" s="5">
        <f>-0.308*H23</f>
        <v>-1.6323999999999999</v>
      </c>
      <c r="N23" s="5">
        <f t="shared" si="0"/>
        <v>8.0907399999999985</v>
      </c>
      <c r="O23" s="5">
        <f>EXP(N23)</f>
        <v>3264.1021122990546</v>
      </c>
      <c r="P23" s="5">
        <f t="shared" si="1"/>
        <v>3265.1021122990546</v>
      </c>
      <c r="Q23" s="5">
        <f t="shared" si="2"/>
        <v>0.99969373086488378</v>
      </c>
      <c r="R23" s="5" t="s">
        <v>121</v>
      </c>
      <c r="S23" s="5">
        <v>1</v>
      </c>
    </row>
    <row r="24" spans="1:19" x14ac:dyDescent="0.3">
      <c r="A24" s="2">
        <v>64</v>
      </c>
      <c r="B24" s="1" t="s">
        <v>100</v>
      </c>
      <c r="C24" s="5" t="s">
        <v>122</v>
      </c>
      <c r="D24" s="5">
        <v>510</v>
      </c>
      <c r="E24" s="5">
        <v>0.48</v>
      </c>
      <c r="F24" s="5">
        <v>2.25</v>
      </c>
      <c r="G24" s="5">
        <v>2.1</v>
      </c>
      <c r="H24" s="5">
        <v>4.37</v>
      </c>
      <c r="I24" s="5">
        <f>0.005*D24</f>
        <v>2.5500000000000003</v>
      </c>
      <c r="J24" s="5">
        <f>3.11*E24</f>
        <v>1.4927999999999999</v>
      </c>
      <c r="K24" s="5">
        <f>0.605*F24</f>
        <v>1.3612500000000001</v>
      </c>
      <c r="L24" s="5">
        <f>5.003*G24</f>
        <v>10.506300000000001</v>
      </c>
      <c r="M24" s="5">
        <f>-0.308*H24</f>
        <v>-1.34596</v>
      </c>
      <c r="N24" s="5">
        <f t="shared" si="0"/>
        <v>9.4553900000000013</v>
      </c>
      <c r="O24" s="5">
        <f>EXP(N24)</f>
        <v>12776.847205992282</v>
      </c>
      <c r="P24" s="5">
        <f t="shared" si="1"/>
        <v>12777.847205992282</v>
      </c>
      <c r="Q24" s="5">
        <f t="shared" si="2"/>
        <v>0.99992173955566388</v>
      </c>
      <c r="R24" s="5" t="s">
        <v>121</v>
      </c>
      <c r="S24" s="5">
        <v>1</v>
      </c>
    </row>
    <row r="25" spans="1:19" x14ac:dyDescent="0.3">
      <c r="A25" s="2">
        <v>65</v>
      </c>
      <c r="B25" s="1" t="s">
        <v>101</v>
      </c>
      <c r="C25" s="5" t="s">
        <v>122</v>
      </c>
      <c r="D25" s="5">
        <v>520</v>
      </c>
      <c r="E25" s="5">
        <v>2.0499999999999998</v>
      </c>
      <c r="F25" s="5">
        <v>0.95</v>
      </c>
      <c r="G25" s="5">
        <v>0.95</v>
      </c>
      <c r="H25" s="5">
        <v>2.98</v>
      </c>
      <c r="I25" s="5">
        <f>0.005*D25</f>
        <v>2.6</v>
      </c>
      <c r="J25" s="5">
        <f>3.11*E25</f>
        <v>6.3754999999999988</v>
      </c>
      <c r="K25" s="5">
        <f>0.605*F25</f>
        <v>0.57474999999999998</v>
      </c>
      <c r="L25" s="5">
        <f>5.003*G25</f>
        <v>4.7528499999999996</v>
      </c>
      <c r="M25" s="5">
        <f>-0.308*H25</f>
        <v>-0.91783999999999999</v>
      </c>
      <c r="N25" s="5">
        <f t="shared" si="0"/>
        <v>8.2762599999999971</v>
      </c>
      <c r="O25" s="5">
        <f>EXP(N25)</f>
        <v>3929.4706455413029</v>
      </c>
      <c r="P25" s="5">
        <f t="shared" si="1"/>
        <v>3930.4706455413029</v>
      </c>
      <c r="Q25" s="5">
        <f t="shared" si="2"/>
        <v>0.999745577542696</v>
      </c>
      <c r="R25" s="5" t="s">
        <v>121</v>
      </c>
      <c r="S25" s="5">
        <v>1</v>
      </c>
    </row>
    <row r="26" spans="1:19" x14ac:dyDescent="0.3">
      <c r="A26" s="2">
        <v>67</v>
      </c>
      <c r="B26" s="1" t="s">
        <v>102</v>
      </c>
      <c r="C26" s="5" t="s">
        <v>122</v>
      </c>
      <c r="D26" s="5">
        <v>280</v>
      </c>
      <c r="E26" s="5">
        <v>1.08</v>
      </c>
      <c r="F26" s="5">
        <v>2.83</v>
      </c>
      <c r="G26" s="5">
        <v>1.1599999999999999</v>
      </c>
      <c r="H26" s="5">
        <v>3.85</v>
      </c>
      <c r="I26" s="5">
        <f>0.005*D26</f>
        <v>1.4000000000000001</v>
      </c>
      <c r="J26" s="5">
        <f>3.11*E26</f>
        <v>3.3588</v>
      </c>
      <c r="K26" s="5">
        <f>0.605*F26</f>
        <v>1.7121500000000001</v>
      </c>
      <c r="L26" s="5">
        <f>5.003*G26</f>
        <v>5.8034799999999995</v>
      </c>
      <c r="M26" s="5">
        <f>-0.308*H26</f>
        <v>-1.1858</v>
      </c>
      <c r="N26" s="5">
        <f t="shared" si="0"/>
        <v>5.9796299999999984</v>
      </c>
      <c r="O26" s="5">
        <f>EXP(N26)</f>
        <v>395.294082283661</v>
      </c>
      <c r="P26" s="5">
        <f t="shared" si="1"/>
        <v>396.294082283661</v>
      </c>
      <c r="Q26" s="5">
        <f t="shared" si="2"/>
        <v>0.99747662141650595</v>
      </c>
      <c r="R26" s="5" t="s">
        <v>121</v>
      </c>
      <c r="S26" s="5">
        <v>1</v>
      </c>
    </row>
    <row r="27" spans="1:19" x14ac:dyDescent="0.3">
      <c r="A27" s="2">
        <v>69</v>
      </c>
      <c r="B27" s="1" t="s">
        <v>103</v>
      </c>
      <c r="C27" s="5" t="s">
        <v>122</v>
      </c>
      <c r="D27" s="5">
        <v>560</v>
      </c>
      <c r="E27" s="5">
        <v>0.21</v>
      </c>
      <c r="F27" s="5">
        <v>0.61</v>
      </c>
      <c r="G27" s="5">
        <v>0.36</v>
      </c>
      <c r="H27" s="5">
        <v>0.61</v>
      </c>
      <c r="I27" s="5">
        <f>0.005*D27</f>
        <v>2.8000000000000003</v>
      </c>
      <c r="J27" s="5">
        <f>3.11*E27</f>
        <v>0.6530999999999999</v>
      </c>
      <c r="K27" s="5">
        <f>0.605*F27</f>
        <v>0.36904999999999999</v>
      </c>
      <c r="L27" s="5">
        <f>5.003*G27</f>
        <v>1.80108</v>
      </c>
      <c r="M27" s="5">
        <f>-0.308*H27</f>
        <v>-0.18787999999999999</v>
      </c>
      <c r="N27" s="5">
        <f t="shared" si="0"/>
        <v>0.32635000000000058</v>
      </c>
      <c r="O27" s="5">
        <f>EXP(N27)</f>
        <v>1.3859003491184831</v>
      </c>
      <c r="P27" s="5">
        <f t="shared" si="1"/>
        <v>2.3859003491184829</v>
      </c>
      <c r="Q27" s="5">
        <f t="shared" si="2"/>
        <v>0.58087101149489784</v>
      </c>
      <c r="R27" s="5" t="s">
        <v>126</v>
      </c>
      <c r="S27" s="5" t="s">
        <v>126</v>
      </c>
    </row>
    <row r="28" spans="1:19" x14ac:dyDescent="0.3">
      <c r="A28" s="2">
        <v>70</v>
      </c>
      <c r="B28" s="1" t="s">
        <v>104</v>
      </c>
      <c r="C28" s="5" t="s">
        <v>122</v>
      </c>
      <c r="D28" s="5">
        <v>295</v>
      </c>
      <c r="E28" s="5">
        <v>0.54</v>
      </c>
      <c r="F28" s="5">
        <v>0.73</v>
      </c>
      <c r="G28" s="5">
        <v>0.54</v>
      </c>
      <c r="H28" s="5">
        <v>0.93</v>
      </c>
      <c r="I28" s="5">
        <f>0.005*D28</f>
        <v>1.4750000000000001</v>
      </c>
      <c r="J28" s="5">
        <f>3.11*E28</f>
        <v>1.6794</v>
      </c>
      <c r="K28" s="5">
        <f>0.605*F28</f>
        <v>0.44164999999999999</v>
      </c>
      <c r="L28" s="5">
        <f>5.003*G28</f>
        <v>2.7016200000000001</v>
      </c>
      <c r="M28" s="5">
        <f>-0.308*H28</f>
        <v>-0.28644000000000003</v>
      </c>
      <c r="N28" s="5">
        <f t="shared" si="0"/>
        <v>0.90223000000000031</v>
      </c>
      <c r="O28" s="5">
        <f>EXP(N28)</f>
        <v>2.4650941463235108</v>
      </c>
      <c r="P28" s="5">
        <f t="shared" si="1"/>
        <v>3.4650941463235108</v>
      </c>
      <c r="Q28" s="5">
        <f t="shared" si="2"/>
        <v>0.71140755264586186</v>
      </c>
      <c r="R28" s="5" t="s">
        <v>121</v>
      </c>
      <c r="S28" s="5">
        <v>1</v>
      </c>
    </row>
    <row r="29" spans="1:19" x14ac:dyDescent="0.3">
      <c r="A29" s="2">
        <v>71</v>
      </c>
      <c r="B29" s="1" t="s">
        <v>105</v>
      </c>
      <c r="C29" s="5" t="s">
        <v>122</v>
      </c>
      <c r="D29" s="5">
        <v>415</v>
      </c>
      <c r="E29" s="5">
        <v>0.17</v>
      </c>
      <c r="F29" s="5">
        <v>0.52</v>
      </c>
      <c r="G29" s="5">
        <v>0.85</v>
      </c>
      <c r="H29" s="5">
        <v>1.45</v>
      </c>
      <c r="I29" s="5">
        <f>0.005*D29</f>
        <v>2.0750000000000002</v>
      </c>
      <c r="J29" s="5">
        <f>3.11*E29</f>
        <v>0.52870000000000006</v>
      </c>
      <c r="K29" s="5">
        <f>0.605*F29</f>
        <v>0.31459999999999999</v>
      </c>
      <c r="L29" s="5">
        <f>5.003*G29</f>
        <v>4.2525500000000003</v>
      </c>
      <c r="M29" s="5">
        <f>-0.308*H29</f>
        <v>-0.4466</v>
      </c>
      <c r="N29" s="5">
        <f t="shared" si="0"/>
        <v>1.6152500000000005</v>
      </c>
      <c r="O29" s="5">
        <f>EXP(N29)</f>
        <v>5.0291450525842114</v>
      </c>
      <c r="P29" s="5">
        <f t="shared" si="1"/>
        <v>6.0291450525842114</v>
      </c>
      <c r="Q29" s="5">
        <f t="shared" si="2"/>
        <v>0.83413900457223533</v>
      </c>
      <c r="R29" s="5" t="s">
        <v>121</v>
      </c>
      <c r="S29" s="5">
        <v>1</v>
      </c>
    </row>
    <row r="30" spans="1:19" x14ac:dyDescent="0.3">
      <c r="A30" s="2">
        <v>75</v>
      </c>
      <c r="B30" s="1" t="s">
        <v>106</v>
      </c>
      <c r="C30" s="5" t="s">
        <v>122</v>
      </c>
      <c r="D30" s="5">
        <v>622</v>
      </c>
      <c r="E30" s="5">
        <v>0.12</v>
      </c>
      <c r="F30" s="5">
        <v>3.04</v>
      </c>
      <c r="G30" s="5">
        <v>1.91</v>
      </c>
      <c r="H30" s="5">
        <v>4.45</v>
      </c>
      <c r="I30" s="5">
        <f>0.005*D30</f>
        <v>3.11</v>
      </c>
      <c r="J30" s="5">
        <f>3.11*E30</f>
        <v>0.37319999999999998</v>
      </c>
      <c r="K30" s="5">
        <f>0.605*F30</f>
        <v>1.8391999999999999</v>
      </c>
      <c r="L30" s="5">
        <f>5.003*G30</f>
        <v>9.5557300000000005</v>
      </c>
      <c r="M30" s="5">
        <f>-0.308*H30</f>
        <v>-1.3706</v>
      </c>
      <c r="N30" s="5">
        <f t="shared" ref="N30:N32" si="3">I30+J30+K30+L30+M30-5.109</f>
        <v>8.3985300000000009</v>
      </c>
      <c r="O30" s="5">
        <f>EXP(N30)</f>
        <v>4440.5343620605054</v>
      </c>
      <c r="P30" s="5">
        <f t="shared" si="1"/>
        <v>4441.5343620605054</v>
      </c>
      <c r="Q30" s="5">
        <f t="shared" si="2"/>
        <v>0.99977485258055365</v>
      </c>
      <c r="R30" s="5" t="s">
        <v>121</v>
      </c>
      <c r="S30" s="5">
        <v>1</v>
      </c>
    </row>
    <row r="31" spans="1:19" x14ac:dyDescent="0.3">
      <c r="A31" s="2">
        <v>79</v>
      </c>
      <c r="B31" s="1" t="s">
        <v>107</v>
      </c>
      <c r="C31" s="5" t="s">
        <v>122</v>
      </c>
      <c r="D31" s="5">
        <v>520</v>
      </c>
      <c r="E31" s="5">
        <v>0.7</v>
      </c>
      <c r="F31" s="5">
        <v>5.86</v>
      </c>
      <c r="G31" s="5">
        <v>1.47</v>
      </c>
      <c r="H31" s="5">
        <v>5.87</v>
      </c>
      <c r="I31" s="5">
        <f>0.005*D31</f>
        <v>2.6</v>
      </c>
      <c r="J31" s="5">
        <f>3.11*E31</f>
        <v>2.1769999999999996</v>
      </c>
      <c r="K31" s="5">
        <f>0.605*F31</f>
        <v>3.5453000000000001</v>
      </c>
      <c r="L31" s="5">
        <f>5.003*G31</f>
        <v>7.3544099999999997</v>
      </c>
      <c r="M31" s="5">
        <f>-0.308*H31</f>
        <v>-1.80796</v>
      </c>
      <c r="N31" s="5">
        <f t="shared" si="3"/>
        <v>8.7597499999999986</v>
      </c>
      <c r="O31" s="5">
        <f>EXP(N31)</f>
        <v>6372.5182492712729</v>
      </c>
      <c r="P31" s="5">
        <f t="shared" si="1"/>
        <v>6373.5182492712729</v>
      </c>
      <c r="Q31" s="5">
        <f t="shared" si="2"/>
        <v>0.99984310078658445</v>
      </c>
      <c r="R31" s="5" t="s">
        <v>122</v>
      </c>
      <c r="S31" s="5">
        <v>0</v>
      </c>
    </row>
    <row r="32" spans="1:19" x14ac:dyDescent="0.3">
      <c r="A32" s="2">
        <v>85</v>
      </c>
      <c r="B32" s="1" t="s">
        <v>108</v>
      </c>
      <c r="C32" s="5" t="s">
        <v>122</v>
      </c>
      <c r="D32" s="5">
        <v>260</v>
      </c>
      <c r="E32" s="5">
        <v>0.79</v>
      </c>
      <c r="F32" s="5">
        <v>1.05</v>
      </c>
      <c r="G32" s="5">
        <v>0.92</v>
      </c>
      <c r="H32" s="5">
        <v>1.95</v>
      </c>
      <c r="I32" s="5">
        <f>0.005*D32</f>
        <v>1.3</v>
      </c>
      <c r="J32" s="5">
        <f>3.11*E32</f>
        <v>2.4569000000000001</v>
      </c>
      <c r="K32" s="5">
        <f>0.605*F32</f>
        <v>0.63524999999999998</v>
      </c>
      <c r="L32" s="5">
        <f>5.003*G32</f>
        <v>4.60276</v>
      </c>
      <c r="M32" s="5">
        <f>-0.308*H32</f>
        <v>-0.60060000000000002</v>
      </c>
      <c r="N32" s="5">
        <f t="shared" si="3"/>
        <v>3.2853100000000008</v>
      </c>
      <c r="O32" s="5">
        <f>EXP(N32)</f>
        <v>26.717265383523738</v>
      </c>
      <c r="P32" s="5">
        <f t="shared" si="1"/>
        <v>27.717265383523738</v>
      </c>
      <c r="Q32" s="5">
        <f t="shared" si="2"/>
        <v>0.96392140472146148</v>
      </c>
      <c r="R32" s="5" t="s">
        <v>121</v>
      </c>
      <c r="S32" s="5">
        <v>1</v>
      </c>
    </row>
    <row r="33" spans="2:19" x14ac:dyDescent="0.3">
      <c r="B33" s="3" t="s">
        <v>127</v>
      </c>
      <c r="D33" s="4">
        <f>AVERAGE(D2:D32)</f>
        <v>351.38709677419354</v>
      </c>
      <c r="E33" s="4">
        <f>AVERAGE(E2:E32)</f>
        <v>0.54516129032258065</v>
      </c>
      <c r="F33" s="4">
        <f>AVERAGE(F2:F32)</f>
        <v>2.620322580645162</v>
      </c>
      <c r="G33" s="4">
        <f>AVERAGE(G2:G32)</f>
        <v>1.8945161290322576</v>
      </c>
      <c r="H33" s="4">
        <f>AVERAGE(H2:H32)</f>
        <v>4.6429032258064522</v>
      </c>
      <c r="Q33" s="4">
        <f>AVERAGE(Q2:Q32)</f>
        <v>0.95063520262668011</v>
      </c>
      <c r="S33" s="4">
        <f>SUM(S2:S32)</f>
        <v>23</v>
      </c>
    </row>
    <row r="34" spans="2:19" x14ac:dyDescent="0.3">
      <c r="B34" s="3" t="s">
        <v>125</v>
      </c>
      <c r="D34" s="4">
        <f>_xlfn.STDEV.S(D2:D32)</f>
        <v>131.61222775496074</v>
      </c>
      <c r="E34" s="4">
        <f>_xlfn.STDEV.S(E2:E32)</f>
        <v>0.43112929976780717</v>
      </c>
      <c r="F34" s="4">
        <f>_xlfn.STDEV.S(F2:F32)</f>
        <v>1.6772983910065373</v>
      </c>
      <c r="G34" s="4">
        <f>_xlfn.STDEV.S(G2:G32)</f>
        <v>1.3142344760599292</v>
      </c>
      <c r="H34" s="4">
        <f>_xlfn.STDEV.S(H2:H32)</f>
        <v>2.0893686343779976</v>
      </c>
      <c r="Q34" s="4">
        <f>_xlfn.STDEV.S(Q2:Q32)</f>
        <v>0.1184699069258297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Occupied by Bonelli's (n=72)</vt:lpstr>
      <vt:lpstr>Occupied by golden (n=31)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MOLEÓN PAIZ</cp:lastModifiedBy>
  <dcterms:created xsi:type="dcterms:W3CDTF">2021-07-23T11:53:25Z</dcterms:created>
  <dcterms:modified xsi:type="dcterms:W3CDTF">2024-04-28T14:55:09Z</dcterms:modified>
</cp:coreProperties>
</file>