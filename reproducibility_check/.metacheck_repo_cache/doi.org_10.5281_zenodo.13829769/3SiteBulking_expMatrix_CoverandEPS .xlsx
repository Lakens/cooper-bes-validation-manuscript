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ja6\Dropbox\manuscripts\SonoranCultivation\manuscript docs\"/>
    </mc:Choice>
  </mc:AlternateContent>
  <xr:revisionPtr revIDLastSave="0" documentId="13_ncr:1_{45D6213E-C955-463C-BE4D-BBDCDFA12A0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over" sheetId="1" r:id="rId1"/>
    <sheet name="summary" sheetId="4" r:id="rId2"/>
    <sheet name="stats table" sheetId="5" r:id="rId3"/>
    <sheet name="Sheet1" sheetId="3" r:id="rId4"/>
    <sheet name="EPS" sheetId="2" r:id="rId5"/>
  </sheets>
  <calcPr calcId="191029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Y71" i="5" l="1"/>
  <c r="M44" i="5" s="1"/>
  <c r="W72" i="5"/>
  <c r="W73" i="5"/>
  <c r="W74" i="5"/>
  <c r="W75" i="5"/>
  <c r="W76" i="5"/>
  <c r="W77" i="5"/>
  <c r="W78" i="5"/>
  <c r="W79" i="5"/>
  <c r="W80" i="5"/>
  <c r="W81" i="5"/>
  <c r="W82" i="5"/>
  <c r="W83" i="5"/>
  <c r="W84" i="5"/>
  <c r="W85" i="5"/>
  <c r="W86" i="5"/>
  <c r="W87" i="5"/>
  <c r="W88" i="5"/>
  <c r="W89" i="5"/>
  <c r="W90" i="5"/>
  <c r="W91" i="5"/>
  <c r="W92" i="5"/>
  <c r="W93" i="5"/>
  <c r="W94" i="5"/>
  <c r="W95" i="5"/>
  <c r="W71" i="5"/>
  <c r="X72" i="5"/>
  <c r="X73" i="5"/>
  <c r="X74" i="5"/>
  <c r="X75" i="5"/>
  <c r="X76" i="5"/>
  <c r="X77" i="5"/>
  <c r="X78" i="5"/>
  <c r="X79" i="5"/>
  <c r="X80" i="5"/>
  <c r="X81" i="5"/>
  <c r="X82" i="5"/>
  <c r="X83" i="5"/>
  <c r="X84" i="5"/>
  <c r="X85" i="5"/>
  <c r="X86" i="5"/>
  <c r="X87" i="5"/>
  <c r="X88" i="5"/>
  <c r="X89" i="5"/>
  <c r="X90" i="5"/>
  <c r="X91" i="5"/>
  <c r="X92" i="5"/>
  <c r="X93" i="5"/>
  <c r="X94" i="5"/>
  <c r="X95" i="5"/>
  <c r="X71" i="5"/>
  <c r="L44" i="5" s="1"/>
  <c r="L71" i="5"/>
  <c r="Z71" i="5"/>
  <c r="Y72" i="5"/>
  <c r="Y73" i="5"/>
  <c r="Y74" i="5"/>
  <c r="Y75" i="5"/>
  <c r="Y76" i="5"/>
  <c r="Y77" i="5"/>
  <c r="Y78" i="5"/>
  <c r="Y79" i="5"/>
  <c r="Y80" i="5"/>
  <c r="Y81" i="5"/>
  <c r="Y82" i="5"/>
  <c r="Y83" i="5"/>
  <c r="Y84" i="5"/>
  <c r="Y85" i="5"/>
  <c r="Y86" i="5"/>
  <c r="Y87" i="5"/>
  <c r="Y88" i="5"/>
  <c r="Y89" i="5"/>
  <c r="Y90" i="5"/>
  <c r="Y91" i="5"/>
  <c r="Y92" i="5"/>
  <c r="Y93" i="5"/>
  <c r="Y94" i="5"/>
  <c r="Y95" i="5"/>
  <c r="N71" i="5"/>
  <c r="F71" i="5"/>
  <c r="E118" i="5"/>
  <c r="E117" i="5"/>
  <c r="E116" i="5"/>
  <c r="E119" i="5" l="1"/>
  <c r="U44" i="5"/>
  <c r="V44" i="5"/>
  <c r="W44" i="5"/>
  <c r="X44" i="5"/>
  <c r="Y44" i="5"/>
  <c r="Z44" i="5"/>
  <c r="AA44" i="5"/>
  <c r="U45" i="5"/>
  <c r="V45" i="5"/>
  <c r="W45" i="5"/>
  <c r="X45" i="5"/>
  <c r="Y45" i="5"/>
  <c r="Z45" i="5"/>
  <c r="AA45" i="5"/>
  <c r="U46" i="5"/>
  <c r="V46" i="5"/>
  <c r="W46" i="5"/>
  <c r="X46" i="5"/>
  <c r="Y46" i="5"/>
  <c r="Z46" i="5"/>
  <c r="AA46" i="5"/>
  <c r="T45" i="5"/>
  <c r="T46" i="5"/>
  <c r="T44" i="5"/>
  <c r="G71" i="5"/>
  <c r="H71" i="5"/>
  <c r="I71" i="5"/>
  <c r="J71" i="5"/>
  <c r="K71" i="5"/>
  <c r="O71" i="5"/>
  <c r="P71" i="5"/>
  <c r="Q71" i="5"/>
  <c r="R71" i="5"/>
  <c r="F44" i="5" s="1"/>
  <c r="S71" i="5"/>
  <c r="T71" i="5"/>
  <c r="U71" i="5"/>
  <c r="V71" i="5"/>
  <c r="AA71" i="5"/>
  <c r="AB71" i="5"/>
  <c r="AC71" i="5"/>
  <c r="G72" i="5"/>
  <c r="H72" i="5"/>
  <c r="H45" i="5" s="1"/>
  <c r="I72" i="5"/>
  <c r="J72" i="5"/>
  <c r="K72" i="5"/>
  <c r="L72" i="5"/>
  <c r="N72" i="5"/>
  <c r="O72" i="5"/>
  <c r="P72" i="5"/>
  <c r="Q72" i="5"/>
  <c r="R72" i="5"/>
  <c r="S72" i="5"/>
  <c r="T72" i="5"/>
  <c r="U72" i="5"/>
  <c r="V72" i="5"/>
  <c r="Z72" i="5"/>
  <c r="AA72" i="5"/>
  <c r="AB72" i="5"/>
  <c r="AC72" i="5"/>
  <c r="G73" i="5"/>
  <c r="H73" i="5"/>
  <c r="I73" i="5"/>
  <c r="J73" i="5"/>
  <c r="K73" i="5"/>
  <c r="L73" i="5"/>
  <c r="N73" i="5"/>
  <c r="O73" i="5"/>
  <c r="P73" i="5"/>
  <c r="Q73" i="5"/>
  <c r="R73" i="5"/>
  <c r="S73" i="5"/>
  <c r="T73" i="5"/>
  <c r="U73" i="5"/>
  <c r="V73" i="5"/>
  <c r="Z73" i="5"/>
  <c r="AA73" i="5"/>
  <c r="AB73" i="5"/>
  <c r="AC73" i="5"/>
  <c r="G74" i="5"/>
  <c r="H74" i="5"/>
  <c r="I74" i="5"/>
  <c r="J74" i="5"/>
  <c r="K74" i="5"/>
  <c r="L74" i="5"/>
  <c r="L47" i="5" s="1"/>
  <c r="N74" i="5"/>
  <c r="O74" i="5"/>
  <c r="P74" i="5"/>
  <c r="Q74" i="5"/>
  <c r="R74" i="5"/>
  <c r="S74" i="5"/>
  <c r="T74" i="5"/>
  <c r="U74" i="5"/>
  <c r="V74" i="5"/>
  <c r="Z74" i="5"/>
  <c r="AA74" i="5"/>
  <c r="AB74" i="5"/>
  <c r="AC74" i="5"/>
  <c r="G75" i="5"/>
  <c r="H75" i="5"/>
  <c r="I75" i="5"/>
  <c r="J75" i="5"/>
  <c r="K75" i="5"/>
  <c r="L75" i="5"/>
  <c r="N75" i="5"/>
  <c r="O75" i="5"/>
  <c r="P75" i="5"/>
  <c r="Q75" i="5"/>
  <c r="R75" i="5"/>
  <c r="S75" i="5"/>
  <c r="T75" i="5"/>
  <c r="U75" i="5"/>
  <c r="V75" i="5"/>
  <c r="Z75" i="5"/>
  <c r="AA75" i="5"/>
  <c r="AB75" i="5"/>
  <c r="AC75" i="5"/>
  <c r="G76" i="5"/>
  <c r="H76" i="5"/>
  <c r="I76" i="5"/>
  <c r="J76" i="5"/>
  <c r="K76" i="5"/>
  <c r="L76" i="5"/>
  <c r="N76" i="5"/>
  <c r="O76" i="5"/>
  <c r="P76" i="5"/>
  <c r="Q76" i="5"/>
  <c r="R76" i="5"/>
  <c r="S76" i="5"/>
  <c r="T76" i="5"/>
  <c r="U76" i="5"/>
  <c r="V76" i="5"/>
  <c r="Z76" i="5"/>
  <c r="AA76" i="5"/>
  <c r="AB76" i="5"/>
  <c r="AC76" i="5"/>
  <c r="G77" i="5"/>
  <c r="H77" i="5"/>
  <c r="H50" i="5" s="1"/>
  <c r="I77" i="5"/>
  <c r="J77" i="5"/>
  <c r="J50" i="5" s="1"/>
  <c r="K77" i="5"/>
  <c r="L77" i="5"/>
  <c r="N77" i="5"/>
  <c r="O77" i="5"/>
  <c r="P77" i="5"/>
  <c r="Q77" i="5"/>
  <c r="R77" i="5"/>
  <c r="S77" i="5"/>
  <c r="T77" i="5"/>
  <c r="U77" i="5"/>
  <c r="V77" i="5"/>
  <c r="Z77" i="5"/>
  <c r="AA77" i="5"/>
  <c r="AB77" i="5"/>
  <c r="AC77" i="5"/>
  <c r="G78" i="5"/>
  <c r="H78" i="5"/>
  <c r="I78" i="5"/>
  <c r="J78" i="5"/>
  <c r="K78" i="5"/>
  <c r="L78" i="5"/>
  <c r="N78" i="5"/>
  <c r="O78" i="5"/>
  <c r="P78" i="5"/>
  <c r="Q78" i="5"/>
  <c r="R78" i="5"/>
  <c r="S78" i="5"/>
  <c r="T78" i="5"/>
  <c r="U78" i="5"/>
  <c r="V78" i="5"/>
  <c r="Z78" i="5"/>
  <c r="AA78" i="5"/>
  <c r="AB78" i="5"/>
  <c r="AC78" i="5"/>
  <c r="G79" i="5"/>
  <c r="H79" i="5"/>
  <c r="I79" i="5"/>
  <c r="J79" i="5"/>
  <c r="K79" i="5"/>
  <c r="L79" i="5"/>
  <c r="L52" i="5" s="1"/>
  <c r="N79" i="5"/>
  <c r="O79" i="5"/>
  <c r="P79" i="5"/>
  <c r="Q79" i="5"/>
  <c r="R79" i="5"/>
  <c r="S79" i="5"/>
  <c r="T79" i="5"/>
  <c r="U79" i="5"/>
  <c r="V79" i="5"/>
  <c r="Z79" i="5"/>
  <c r="AA79" i="5"/>
  <c r="AB79" i="5"/>
  <c r="AC79" i="5"/>
  <c r="G80" i="5"/>
  <c r="H80" i="5"/>
  <c r="H53" i="5" s="1"/>
  <c r="I80" i="5"/>
  <c r="J80" i="5"/>
  <c r="K80" i="5"/>
  <c r="L80" i="5"/>
  <c r="N80" i="5"/>
  <c r="O80" i="5"/>
  <c r="P80" i="5"/>
  <c r="Q80" i="5"/>
  <c r="R80" i="5"/>
  <c r="S80" i="5"/>
  <c r="T80" i="5"/>
  <c r="U80" i="5"/>
  <c r="V80" i="5"/>
  <c r="Z80" i="5"/>
  <c r="AA80" i="5"/>
  <c r="AB80" i="5"/>
  <c r="AC80" i="5"/>
  <c r="G81" i="5"/>
  <c r="H81" i="5"/>
  <c r="I81" i="5"/>
  <c r="J81" i="5"/>
  <c r="K81" i="5"/>
  <c r="L81" i="5"/>
  <c r="N81" i="5"/>
  <c r="O81" i="5"/>
  <c r="P81" i="5"/>
  <c r="Q81" i="5"/>
  <c r="R81" i="5"/>
  <c r="S81" i="5"/>
  <c r="T81" i="5"/>
  <c r="U81" i="5"/>
  <c r="V81" i="5"/>
  <c r="Z81" i="5"/>
  <c r="AA81" i="5"/>
  <c r="AB81" i="5"/>
  <c r="AC81" i="5"/>
  <c r="G82" i="5"/>
  <c r="H82" i="5"/>
  <c r="I82" i="5"/>
  <c r="J82" i="5"/>
  <c r="J55" i="5" s="1"/>
  <c r="K82" i="5"/>
  <c r="L82" i="5"/>
  <c r="L55" i="5" s="1"/>
  <c r="N82" i="5"/>
  <c r="O82" i="5"/>
  <c r="P82" i="5"/>
  <c r="Q82" i="5"/>
  <c r="R82" i="5"/>
  <c r="S82" i="5"/>
  <c r="T82" i="5"/>
  <c r="U82" i="5"/>
  <c r="V82" i="5"/>
  <c r="Z82" i="5"/>
  <c r="AA82" i="5"/>
  <c r="AB82" i="5"/>
  <c r="AC82" i="5"/>
  <c r="G83" i="5"/>
  <c r="H83" i="5"/>
  <c r="I83" i="5"/>
  <c r="J83" i="5"/>
  <c r="K83" i="5"/>
  <c r="L83" i="5"/>
  <c r="N83" i="5"/>
  <c r="O83" i="5"/>
  <c r="P83" i="5"/>
  <c r="Q83" i="5"/>
  <c r="R83" i="5"/>
  <c r="S83" i="5"/>
  <c r="T83" i="5"/>
  <c r="U83" i="5"/>
  <c r="V83" i="5"/>
  <c r="Z83" i="5"/>
  <c r="AA83" i="5"/>
  <c r="AB83" i="5"/>
  <c r="AC83" i="5"/>
  <c r="G84" i="5"/>
  <c r="H84" i="5"/>
  <c r="I84" i="5"/>
  <c r="J84" i="5"/>
  <c r="K84" i="5"/>
  <c r="L84" i="5"/>
  <c r="N84" i="5"/>
  <c r="O84" i="5"/>
  <c r="P84" i="5"/>
  <c r="Q84" i="5"/>
  <c r="R84" i="5"/>
  <c r="S84" i="5"/>
  <c r="T84" i="5"/>
  <c r="U84" i="5"/>
  <c r="V84" i="5"/>
  <c r="Z84" i="5"/>
  <c r="AA84" i="5"/>
  <c r="AB84" i="5"/>
  <c r="AC84" i="5"/>
  <c r="G85" i="5"/>
  <c r="H85" i="5"/>
  <c r="H58" i="5" s="1"/>
  <c r="I85" i="5"/>
  <c r="J85" i="5"/>
  <c r="J58" i="5" s="1"/>
  <c r="K85" i="5"/>
  <c r="L85" i="5"/>
  <c r="N85" i="5"/>
  <c r="O85" i="5"/>
  <c r="P85" i="5"/>
  <c r="Q85" i="5"/>
  <c r="R85" i="5"/>
  <c r="S85" i="5"/>
  <c r="T85" i="5"/>
  <c r="U85" i="5"/>
  <c r="V85" i="5"/>
  <c r="Z85" i="5"/>
  <c r="AA85" i="5"/>
  <c r="AB85" i="5"/>
  <c r="AC85" i="5"/>
  <c r="G86" i="5"/>
  <c r="H86" i="5"/>
  <c r="I86" i="5"/>
  <c r="J86" i="5"/>
  <c r="K86" i="5"/>
  <c r="L86" i="5"/>
  <c r="N86" i="5"/>
  <c r="O86" i="5"/>
  <c r="P86" i="5"/>
  <c r="Q86" i="5"/>
  <c r="R86" i="5"/>
  <c r="S86" i="5"/>
  <c r="T86" i="5"/>
  <c r="U86" i="5"/>
  <c r="V86" i="5"/>
  <c r="Z86" i="5"/>
  <c r="AA86" i="5"/>
  <c r="AB86" i="5"/>
  <c r="AC86" i="5"/>
  <c r="G87" i="5"/>
  <c r="H87" i="5"/>
  <c r="I87" i="5"/>
  <c r="J87" i="5"/>
  <c r="K87" i="5"/>
  <c r="L87" i="5"/>
  <c r="N87" i="5"/>
  <c r="O87" i="5"/>
  <c r="P87" i="5"/>
  <c r="Q87" i="5"/>
  <c r="R87" i="5"/>
  <c r="S87" i="5"/>
  <c r="T87" i="5"/>
  <c r="U87" i="5"/>
  <c r="V87" i="5"/>
  <c r="Z87" i="5"/>
  <c r="AA87" i="5"/>
  <c r="AB87" i="5"/>
  <c r="AC87" i="5"/>
  <c r="G88" i="5"/>
  <c r="G61" i="5" s="1"/>
  <c r="H88" i="5"/>
  <c r="I88" i="5"/>
  <c r="I61" i="5" s="1"/>
  <c r="J88" i="5"/>
  <c r="K88" i="5"/>
  <c r="L88" i="5"/>
  <c r="N88" i="5"/>
  <c r="O88" i="5"/>
  <c r="P88" i="5"/>
  <c r="Q88" i="5"/>
  <c r="R88" i="5"/>
  <c r="S88" i="5"/>
  <c r="T88" i="5"/>
  <c r="U88" i="5"/>
  <c r="V88" i="5"/>
  <c r="Z88" i="5"/>
  <c r="AA88" i="5"/>
  <c r="AB88" i="5"/>
  <c r="AC88" i="5"/>
  <c r="G89" i="5"/>
  <c r="H89" i="5"/>
  <c r="I89" i="5"/>
  <c r="J89" i="5"/>
  <c r="K89" i="5"/>
  <c r="L89" i="5"/>
  <c r="N89" i="5"/>
  <c r="O89" i="5"/>
  <c r="P89" i="5"/>
  <c r="Q89" i="5"/>
  <c r="R89" i="5"/>
  <c r="S89" i="5"/>
  <c r="T89" i="5"/>
  <c r="U89" i="5"/>
  <c r="V89" i="5"/>
  <c r="Z89" i="5"/>
  <c r="AA89" i="5"/>
  <c r="AB89" i="5"/>
  <c r="AC89" i="5"/>
  <c r="G90" i="5"/>
  <c r="H90" i="5"/>
  <c r="I90" i="5"/>
  <c r="J90" i="5"/>
  <c r="K90" i="5"/>
  <c r="K63" i="5" s="1"/>
  <c r="L90" i="5"/>
  <c r="N90" i="5"/>
  <c r="M63" i="5" s="1"/>
  <c r="O90" i="5"/>
  <c r="P90" i="5"/>
  <c r="Q90" i="5"/>
  <c r="R90" i="5"/>
  <c r="S90" i="5"/>
  <c r="T90" i="5"/>
  <c r="U90" i="5"/>
  <c r="V90" i="5"/>
  <c r="Z90" i="5"/>
  <c r="AA90" i="5"/>
  <c r="AB90" i="5"/>
  <c r="AC90" i="5"/>
  <c r="G91" i="5"/>
  <c r="G64" i="5" s="1"/>
  <c r="H91" i="5"/>
  <c r="I91" i="5"/>
  <c r="J91" i="5"/>
  <c r="K91" i="5"/>
  <c r="L91" i="5"/>
  <c r="N91" i="5"/>
  <c r="O91" i="5"/>
  <c r="P91" i="5"/>
  <c r="Q91" i="5"/>
  <c r="R91" i="5"/>
  <c r="S91" i="5"/>
  <c r="T91" i="5"/>
  <c r="U91" i="5"/>
  <c r="V91" i="5"/>
  <c r="Z91" i="5"/>
  <c r="AA91" i="5"/>
  <c r="AB91" i="5"/>
  <c r="AC91" i="5"/>
  <c r="G92" i="5"/>
  <c r="H92" i="5"/>
  <c r="I92" i="5"/>
  <c r="J92" i="5"/>
  <c r="K92" i="5"/>
  <c r="L92" i="5"/>
  <c r="N92" i="5"/>
  <c r="O92" i="5"/>
  <c r="P92" i="5"/>
  <c r="Q92" i="5"/>
  <c r="R92" i="5"/>
  <c r="S92" i="5"/>
  <c r="T92" i="5"/>
  <c r="U92" i="5"/>
  <c r="V92" i="5"/>
  <c r="Z92" i="5"/>
  <c r="AA92" i="5"/>
  <c r="AB92" i="5"/>
  <c r="AC92" i="5"/>
  <c r="G93" i="5"/>
  <c r="H93" i="5"/>
  <c r="I93" i="5"/>
  <c r="I66" i="5" s="1"/>
  <c r="J93" i="5"/>
  <c r="K93" i="5"/>
  <c r="K66" i="5" s="1"/>
  <c r="L93" i="5"/>
  <c r="N93" i="5"/>
  <c r="O93" i="5"/>
  <c r="P93" i="5"/>
  <c r="Q93" i="5"/>
  <c r="R93" i="5"/>
  <c r="S93" i="5"/>
  <c r="T93" i="5"/>
  <c r="U93" i="5"/>
  <c r="V93" i="5"/>
  <c r="Z93" i="5"/>
  <c r="AA93" i="5"/>
  <c r="AB93" i="5"/>
  <c r="AC93" i="5"/>
  <c r="G94" i="5"/>
  <c r="H94" i="5"/>
  <c r="I94" i="5"/>
  <c r="J94" i="5"/>
  <c r="K94" i="5"/>
  <c r="L94" i="5"/>
  <c r="N94" i="5"/>
  <c r="O94" i="5"/>
  <c r="P94" i="5"/>
  <c r="Q94" i="5"/>
  <c r="R94" i="5"/>
  <c r="S94" i="5"/>
  <c r="T94" i="5"/>
  <c r="U94" i="5"/>
  <c r="V94" i="5"/>
  <c r="Z94" i="5"/>
  <c r="AA94" i="5"/>
  <c r="AB94" i="5"/>
  <c r="AC94" i="5"/>
  <c r="G95" i="5"/>
  <c r="H95" i="5"/>
  <c r="I95" i="5"/>
  <c r="J95" i="5"/>
  <c r="K95" i="5"/>
  <c r="L95" i="5"/>
  <c r="N95" i="5"/>
  <c r="O95" i="5"/>
  <c r="P95" i="5"/>
  <c r="Q95" i="5"/>
  <c r="R95" i="5"/>
  <c r="S95" i="5"/>
  <c r="T95" i="5"/>
  <c r="U95" i="5"/>
  <c r="V95" i="5"/>
  <c r="Z95" i="5"/>
  <c r="AA95" i="5"/>
  <c r="AB95" i="5"/>
  <c r="AC95" i="5"/>
  <c r="F72" i="5"/>
  <c r="F45" i="5" s="1"/>
  <c r="F73" i="5"/>
  <c r="F46" i="5" s="1"/>
  <c r="F74" i="5"/>
  <c r="F75" i="5"/>
  <c r="F48" i="5" s="1"/>
  <c r="F76" i="5"/>
  <c r="F77" i="5"/>
  <c r="F50" i="5" s="1"/>
  <c r="F78" i="5"/>
  <c r="F51" i="5" s="1"/>
  <c r="F79" i="5"/>
  <c r="F52" i="5" s="1"/>
  <c r="F80" i="5"/>
  <c r="F81" i="5"/>
  <c r="F82" i="5"/>
  <c r="F83" i="5"/>
  <c r="F84" i="5"/>
  <c r="F85" i="5"/>
  <c r="F58" i="5" s="1"/>
  <c r="F86" i="5"/>
  <c r="F87" i="5"/>
  <c r="F88" i="5"/>
  <c r="F61" i="5" s="1"/>
  <c r="F89" i="5"/>
  <c r="F90" i="5"/>
  <c r="F63" i="5" s="1"/>
  <c r="F91" i="5"/>
  <c r="F92" i="5"/>
  <c r="F93" i="5"/>
  <c r="F94" i="5"/>
  <c r="F67" i="5" s="1"/>
  <c r="F95" i="5"/>
  <c r="I63" i="4"/>
  <c r="I64" i="4" s="1"/>
  <c r="H63" i="4"/>
  <c r="H64" i="4" s="1"/>
  <c r="G63" i="4"/>
  <c r="G64" i="4" s="1"/>
  <c r="AB25" i="4"/>
  <c r="K26" i="4"/>
  <c r="N52" i="5" l="1"/>
  <c r="P60" i="5"/>
  <c r="F60" i="5"/>
  <c r="H66" i="5"/>
  <c r="F56" i="5"/>
  <c r="J63" i="5"/>
  <c r="F54" i="5"/>
  <c r="F62" i="5"/>
  <c r="J47" i="5"/>
  <c r="F59" i="5"/>
  <c r="F57" i="5"/>
  <c r="F53" i="5"/>
  <c r="K67" i="5"/>
  <c r="G65" i="5"/>
  <c r="I62" i="5"/>
  <c r="J59" i="5"/>
  <c r="L56" i="5"/>
  <c r="H54" i="5"/>
  <c r="J51" i="5"/>
  <c r="L48" i="5"/>
  <c r="H46" i="5"/>
  <c r="F49" i="5"/>
  <c r="G66" i="5"/>
  <c r="M65" i="5"/>
  <c r="I63" i="5"/>
  <c r="K60" i="5"/>
  <c r="L57" i="5"/>
  <c r="H55" i="5"/>
  <c r="J52" i="5"/>
  <c r="L49" i="5"/>
  <c r="H47" i="5"/>
  <c r="J44" i="5"/>
  <c r="L59" i="5"/>
  <c r="J67" i="5"/>
  <c r="L64" i="5"/>
  <c r="H62" i="5"/>
  <c r="I59" i="5"/>
  <c r="K56" i="5"/>
  <c r="G54" i="5"/>
  <c r="I51" i="5"/>
  <c r="K48" i="5"/>
  <c r="G46" i="5"/>
  <c r="M45" i="5"/>
  <c r="F66" i="5"/>
  <c r="H67" i="5"/>
  <c r="J64" i="5"/>
  <c r="L61" i="5"/>
  <c r="G59" i="5"/>
  <c r="I56" i="5"/>
  <c r="K53" i="5"/>
  <c r="G51" i="5"/>
  <c r="I48" i="5"/>
  <c r="K45" i="5"/>
  <c r="F47" i="5"/>
  <c r="J66" i="5"/>
  <c r="L63" i="5"/>
  <c r="H61" i="5"/>
  <c r="I58" i="5"/>
  <c r="K55" i="5"/>
  <c r="G53" i="5"/>
  <c r="I50" i="5"/>
  <c r="K47" i="5"/>
  <c r="G45" i="5"/>
  <c r="L60" i="5"/>
  <c r="G58" i="5"/>
  <c r="M57" i="5"/>
  <c r="I55" i="5"/>
  <c r="K52" i="5"/>
  <c r="G50" i="5"/>
  <c r="M49" i="5"/>
  <c r="I47" i="5"/>
  <c r="K44" i="5"/>
  <c r="L65" i="5"/>
  <c r="H63" i="5"/>
  <c r="J60" i="5"/>
  <c r="K57" i="5"/>
  <c r="G55" i="5"/>
  <c r="I52" i="5"/>
  <c r="K49" i="5"/>
  <c r="G47" i="5"/>
  <c r="I44" i="5"/>
  <c r="H44" i="5"/>
  <c r="K65" i="5"/>
  <c r="G63" i="5"/>
  <c r="L46" i="5"/>
  <c r="J65" i="5"/>
  <c r="L62" i="5"/>
  <c r="H60" i="5"/>
  <c r="I57" i="5"/>
  <c r="K54" i="5"/>
  <c r="G52" i="5"/>
  <c r="I49" i="5"/>
  <c r="K46" i="5"/>
  <c r="G44" i="5"/>
  <c r="I60" i="5"/>
  <c r="J57" i="5"/>
  <c r="L54" i="5"/>
  <c r="F55" i="5"/>
  <c r="I65" i="5"/>
  <c r="K62" i="5"/>
  <c r="G60" i="5"/>
  <c r="H57" i="5"/>
  <c r="J54" i="5"/>
  <c r="L51" i="5"/>
  <c r="H49" i="5"/>
  <c r="J46" i="5"/>
  <c r="H52" i="5"/>
  <c r="J49" i="5"/>
  <c r="L67" i="5"/>
  <c r="H65" i="5"/>
  <c r="J62" i="5"/>
  <c r="K59" i="5"/>
  <c r="G57" i="5"/>
  <c r="M56" i="5"/>
  <c r="I54" i="5"/>
  <c r="K51" i="5"/>
  <c r="G49" i="5"/>
  <c r="M48" i="5"/>
  <c r="I46" i="5"/>
  <c r="N60" i="5"/>
  <c r="I67" i="5"/>
  <c r="K64" i="5"/>
  <c r="G62" i="5"/>
  <c r="H59" i="5"/>
  <c r="J56" i="5"/>
  <c r="L53" i="5"/>
  <c r="H51" i="5"/>
  <c r="J48" i="5"/>
  <c r="L45" i="5"/>
  <c r="F65" i="5"/>
  <c r="G67" i="5"/>
  <c r="I64" i="5"/>
  <c r="K61" i="5"/>
  <c r="L58" i="5"/>
  <c r="H56" i="5"/>
  <c r="J53" i="5"/>
  <c r="L50" i="5"/>
  <c r="H48" i="5"/>
  <c r="J45" i="5"/>
  <c r="P44" i="5"/>
  <c r="F64" i="5"/>
  <c r="L66" i="5"/>
  <c r="H64" i="5"/>
  <c r="J61" i="5"/>
  <c r="K58" i="5"/>
  <c r="G56" i="5"/>
  <c r="M55" i="5"/>
  <c r="I53" i="5"/>
  <c r="O52" i="5"/>
  <c r="K50" i="5"/>
  <c r="G48" i="5"/>
  <c r="I45" i="5"/>
  <c r="O44" i="5"/>
  <c r="M60" i="5"/>
  <c r="M52" i="5"/>
  <c r="O60" i="5"/>
  <c r="M47" i="5"/>
  <c r="M62" i="5"/>
  <c r="M54" i="5"/>
  <c r="M46" i="5"/>
  <c r="M67" i="5"/>
  <c r="M59" i="5"/>
  <c r="M51" i="5"/>
  <c r="M61" i="5"/>
  <c r="M53" i="5"/>
  <c r="M66" i="5"/>
  <c r="M58" i="5"/>
  <c r="M50" i="5"/>
  <c r="M64" i="5"/>
  <c r="P52" i="5"/>
  <c r="N44" i="5"/>
  <c r="AD2" i="1"/>
  <c r="AD3" i="1"/>
  <c r="AD4" i="1"/>
  <c r="AD5" i="1"/>
  <c r="AD6" i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AD70" i="1"/>
  <c r="AD71" i="1"/>
  <c r="AD72" i="1"/>
  <c r="AD73" i="1"/>
  <c r="AD74" i="1"/>
  <c r="AD75" i="1"/>
  <c r="AD76" i="1"/>
  <c r="AD77" i="1"/>
  <c r="AD78" i="1"/>
  <c r="AD79" i="1"/>
  <c r="AD80" i="1"/>
  <c r="AD81" i="1"/>
  <c r="AD82" i="1"/>
  <c r="AD83" i="1"/>
  <c r="AD84" i="1"/>
  <c r="AD85" i="1"/>
  <c r="AD86" i="1"/>
  <c r="AD87" i="1"/>
  <c r="AD88" i="1"/>
  <c r="AD89" i="1"/>
  <c r="AD90" i="1"/>
  <c r="AD91" i="1"/>
  <c r="AD92" i="1"/>
  <c r="AD93" i="1"/>
  <c r="AD94" i="1"/>
  <c r="AD95" i="1"/>
  <c r="AD96" i="1"/>
  <c r="AD97" i="1"/>
  <c r="AD98" i="1"/>
  <c r="AD99" i="1"/>
  <c r="AD100" i="1"/>
  <c r="AD101" i="1"/>
  <c r="AD102" i="1"/>
  <c r="AD103" i="1"/>
  <c r="AD104" i="1"/>
  <c r="AD105" i="1"/>
  <c r="AD106" i="1"/>
  <c r="AD107" i="1"/>
  <c r="AD108" i="1"/>
  <c r="AD109" i="1"/>
  <c r="K2" i="1" l="1"/>
  <c r="L2" i="1"/>
  <c r="M2" i="1"/>
  <c r="N2" i="1"/>
  <c r="K3" i="1"/>
  <c r="L3" i="1"/>
  <c r="M3" i="1"/>
  <c r="N3" i="1"/>
  <c r="K4" i="1"/>
  <c r="L4" i="1"/>
  <c r="M4" i="1"/>
  <c r="N4" i="1"/>
  <c r="K5" i="1"/>
  <c r="L5" i="1"/>
  <c r="M5" i="1"/>
  <c r="N5" i="1"/>
  <c r="K6" i="1"/>
  <c r="L6" i="1"/>
  <c r="M6" i="1"/>
  <c r="N6" i="1"/>
  <c r="K7" i="1"/>
  <c r="L7" i="1"/>
  <c r="M7" i="1"/>
  <c r="N7" i="1"/>
  <c r="K8" i="1"/>
  <c r="L8" i="1"/>
  <c r="M8" i="1"/>
  <c r="N8" i="1"/>
  <c r="K9" i="1"/>
  <c r="L9" i="1"/>
  <c r="M9" i="1"/>
  <c r="N9" i="1"/>
  <c r="K10" i="1"/>
  <c r="L10" i="1"/>
  <c r="M10" i="1"/>
  <c r="N10" i="1"/>
  <c r="K11" i="1"/>
  <c r="L11" i="1"/>
  <c r="M11" i="1"/>
  <c r="N11" i="1"/>
  <c r="K12" i="1"/>
  <c r="L12" i="1"/>
  <c r="M12" i="1"/>
  <c r="N12" i="1"/>
  <c r="K13" i="1"/>
  <c r="L13" i="1"/>
  <c r="M13" i="1"/>
  <c r="N13" i="1"/>
  <c r="K14" i="1"/>
  <c r="L14" i="1"/>
  <c r="M14" i="1"/>
  <c r="N14" i="1"/>
  <c r="K15" i="1"/>
  <c r="L15" i="1"/>
  <c r="M15" i="1"/>
  <c r="N15" i="1"/>
  <c r="K16" i="1"/>
  <c r="L16" i="1"/>
  <c r="M16" i="1"/>
  <c r="N16" i="1"/>
  <c r="K17" i="1"/>
  <c r="L17" i="1"/>
  <c r="M17" i="1"/>
  <c r="N17" i="1"/>
  <c r="K18" i="1"/>
  <c r="L18" i="1"/>
  <c r="M18" i="1"/>
  <c r="N18" i="1"/>
  <c r="K19" i="1"/>
  <c r="L19" i="1"/>
  <c r="M19" i="1"/>
  <c r="N19" i="1"/>
  <c r="K20" i="1"/>
  <c r="L20" i="1"/>
  <c r="M20" i="1"/>
  <c r="N20" i="1"/>
  <c r="K21" i="1"/>
  <c r="L21" i="1"/>
  <c r="M21" i="1"/>
  <c r="N21" i="1"/>
  <c r="K22" i="1"/>
  <c r="L22" i="1"/>
  <c r="M22" i="1"/>
  <c r="N22" i="1"/>
  <c r="K23" i="1"/>
  <c r="L23" i="1"/>
  <c r="M23" i="1"/>
  <c r="N23" i="1"/>
  <c r="K24" i="1"/>
  <c r="L24" i="1"/>
  <c r="M24" i="1"/>
  <c r="N24" i="1"/>
  <c r="K25" i="1"/>
  <c r="L25" i="1"/>
  <c r="M25" i="1"/>
  <c r="N25" i="1"/>
  <c r="K26" i="1"/>
  <c r="L26" i="1"/>
  <c r="M26" i="1"/>
  <c r="N26" i="1"/>
  <c r="K27" i="1"/>
  <c r="L27" i="1"/>
  <c r="M27" i="1"/>
  <c r="N27" i="1"/>
  <c r="K28" i="1"/>
  <c r="L28" i="1"/>
  <c r="M28" i="1"/>
  <c r="N28" i="1"/>
  <c r="K29" i="1"/>
  <c r="L29" i="1"/>
  <c r="M29" i="1"/>
  <c r="N29" i="1"/>
  <c r="K30" i="1"/>
  <c r="L30" i="1"/>
  <c r="M30" i="1"/>
  <c r="N30" i="1"/>
  <c r="K31" i="1"/>
  <c r="L31" i="1"/>
  <c r="M31" i="1"/>
  <c r="N31" i="1"/>
  <c r="K32" i="1"/>
  <c r="L32" i="1"/>
  <c r="M32" i="1"/>
  <c r="N32" i="1"/>
  <c r="K33" i="1"/>
  <c r="L33" i="1"/>
  <c r="M33" i="1"/>
  <c r="N33" i="1"/>
  <c r="K34" i="1"/>
  <c r="L34" i="1"/>
  <c r="M34" i="1"/>
  <c r="N34" i="1"/>
  <c r="K35" i="1"/>
  <c r="L35" i="1"/>
  <c r="M35" i="1"/>
  <c r="N35" i="1"/>
  <c r="K36" i="1"/>
  <c r="L36" i="1"/>
  <c r="M36" i="1"/>
  <c r="N36" i="1"/>
  <c r="K37" i="1"/>
  <c r="L37" i="1"/>
  <c r="M37" i="1"/>
  <c r="N37" i="1"/>
  <c r="K38" i="1"/>
  <c r="L38" i="1"/>
  <c r="M38" i="1"/>
  <c r="N38" i="1"/>
  <c r="K39" i="1"/>
  <c r="L39" i="1"/>
  <c r="M39" i="1"/>
  <c r="N39" i="1"/>
  <c r="K40" i="1"/>
  <c r="L40" i="1"/>
  <c r="M40" i="1"/>
  <c r="N40" i="1"/>
  <c r="K41" i="1"/>
  <c r="L41" i="1"/>
  <c r="M41" i="1"/>
  <c r="N41" i="1"/>
  <c r="K42" i="1"/>
  <c r="L42" i="1"/>
  <c r="M42" i="1"/>
  <c r="N42" i="1"/>
  <c r="K43" i="1"/>
  <c r="L43" i="1"/>
  <c r="M43" i="1"/>
  <c r="N43" i="1"/>
  <c r="K44" i="1"/>
  <c r="L44" i="1"/>
  <c r="M44" i="1"/>
  <c r="N44" i="1"/>
  <c r="K45" i="1"/>
  <c r="L45" i="1"/>
  <c r="M45" i="1"/>
  <c r="N45" i="1"/>
  <c r="K46" i="1"/>
  <c r="L46" i="1"/>
  <c r="M46" i="1"/>
  <c r="N46" i="1"/>
  <c r="K47" i="1"/>
  <c r="L47" i="1"/>
  <c r="M47" i="1"/>
  <c r="N47" i="1"/>
  <c r="K48" i="1"/>
  <c r="L48" i="1"/>
  <c r="M48" i="1"/>
  <c r="N48" i="1"/>
  <c r="K49" i="1"/>
  <c r="L49" i="1"/>
  <c r="M49" i="1"/>
  <c r="N49" i="1"/>
  <c r="K50" i="1"/>
  <c r="L50" i="1"/>
  <c r="M50" i="1"/>
  <c r="N50" i="1"/>
  <c r="K51" i="1"/>
  <c r="L51" i="1"/>
  <c r="M51" i="1"/>
  <c r="N51" i="1"/>
  <c r="K52" i="1"/>
  <c r="L52" i="1"/>
  <c r="M52" i="1"/>
  <c r="N52" i="1"/>
  <c r="K53" i="1"/>
  <c r="L53" i="1"/>
  <c r="M53" i="1"/>
  <c r="N53" i="1"/>
  <c r="K54" i="1"/>
  <c r="L54" i="1"/>
  <c r="M54" i="1"/>
  <c r="N54" i="1"/>
  <c r="K55" i="1"/>
  <c r="L55" i="1"/>
  <c r="M55" i="1"/>
  <c r="N55" i="1"/>
  <c r="K56" i="1"/>
  <c r="L56" i="1"/>
  <c r="M56" i="1"/>
  <c r="N56" i="1"/>
  <c r="K57" i="1"/>
  <c r="L57" i="1"/>
  <c r="M57" i="1"/>
  <c r="N57" i="1"/>
  <c r="K58" i="1"/>
  <c r="L58" i="1"/>
  <c r="M58" i="1"/>
  <c r="N58" i="1"/>
  <c r="K59" i="1"/>
  <c r="L59" i="1"/>
  <c r="M59" i="1"/>
  <c r="N59" i="1"/>
  <c r="K60" i="1"/>
  <c r="L60" i="1"/>
  <c r="M60" i="1"/>
  <c r="N60" i="1"/>
  <c r="K61" i="1"/>
  <c r="L61" i="1"/>
  <c r="M61" i="1"/>
  <c r="N61" i="1"/>
  <c r="K62" i="1"/>
  <c r="L62" i="1"/>
  <c r="M62" i="1"/>
  <c r="N62" i="1"/>
  <c r="K63" i="1"/>
  <c r="L63" i="1"/>
  <c r="M63" i="1"/>
  <c r="N63" i="1"/>
  <c r="K64" i="1"/>
  <c r="L64" i="1"/>
  <c r="M64" i="1"/>
  <c r="N64" i="1"/>
  <c r="K65" i="1"/>
  <c r="L65" i="1"/>
  <c r="M65" i="1"/>
  <c r="N65" i="1"/>
  <c r="K66" i="1"/>
  <c r="L66" i="1"/>
  <c r="M66" i="1"/>
  <c r="N66" i="1"/>
  <c r="K67" i="1"/>
  <c r="L67" i="1"/>
  <c r="M67" i="1"/>
  <c r="N67" i="1"/>
  <c r="K68" i="1"/>
  <c r="L68" i="1"/>
  <c r="M68" i="1"/>
  <c r="N68" i="1"/>
  <c r="K69" i="1"/>
  <c r="L69" i="1"/>
  <c r="M69" i="1"/>
  <c r="N69" i="1"/>
  <c r="K70" i="1"/>
  <c r="L70" i="1"/>
  <c r="M70" i="1"/>
  <c r="N70" i="1"/>
  <c r="M71" i="1"/>
  <c r="N71" i="1"/>
  <c r="M72" i="1"/>
  <c r="N72" i="1"/>
  <c r="M73" i="1"/>
  <c r="N73" i="1"/>
  <c r="M74" i="1"/>
  <c r="N74" i="1"/>
  <c r="M75" i="1"/>
  <c r="N75" i="1"/>
  <c r="M76" i="1"/>
  <c r="N76" i="1"/>
  <c r="M77" i="1"/>
  <c r="N77" i="1"/>
  <c r="M78" i="1"/>
  <c r="N78" i="1"/>
  <c r="M79" i="1"/>
  <c r="N79" i="1"/>
  <c r="M80" i="1"/>
  <c r="N80" i="1"/>
  <c r="M81" i="1"/>
  <c r="N81" i="1"/>
  <c r="M82" i="1"/>
  <c r="N82" i="1"/>
  <c r="M83" i="1"/>
  <c r="N83" i="1"/>
  <c r="M84" i="1"/>
  <c r="N84" i="1"/>
  <c r="M85" i="1"/>
  <c r="N85" i="1"/>
  <c r="M86" i="1"/>
  <c r="N86" i="1"/>
  <c r="M87" i="1"/>
  <c r="N87" i="1"/>
  <c r="M88" i="1"/>
  <c r="N88" i="1"/>
  <c r="M89" i="1"/>
  <c r="N89" i="1"/>
  <c r="M90" i="1"/>
  <c r="N90" i="1"/>
  <c r="M91" i="1"/>
  <c r="N91" i="1"/>
  <c r="M92" i="1"/>
  <c r="N92" i="1"/>
  <c r="M93" i="1"/>
  <c r="N93" i="1"/>
  <c r="M94" i="1"/>
  <c r="N94" i="1"/>
  <c r="M95" i="1"/>
  <c r="N95" i="1"/>
  <c r="M96" i="1"/>
  <c r="N96" i="1"/>
  <c r="M97" i="1"/>
  <c r="N97" i="1"/>
  <c r="M98" i="1"/>
  <c r="N98" i="1"/>
  <c r="M99" i="1"/>
  <c r="N99" i="1"/>
  <c r="M100" i="1"/>
  <c r="N100" i="1"/>
  <c r="M101" i="1"/>
  <c r="N101" i="1"/>
  <c r="M102" i="1"/>
  <c r="N102" i="1"/>
  <c r="M103" i="1"/>
  <c r="N103" i="1"/>
  <c r="M104" i="1"/>
  <c r="N104" i="1"/>
  <c r="M105" i="1"/>
  <c r="N105" i="1"/>
  <c r="M106" i="1"/>
  <c r="N106" i="1"/>
  <c r="M107" i="1"/>
  <c r="N107" i="1"/>
  <c r="M108" i="1"/>
  <c r="N108" i="1"/>
  <c r="M109" i="1"/>
  <c r="N109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71" i="1"/>
  <c r="P108" i="1" l="1"/>
  <c r="P100" i="1"/>
  <c r="P92" i="1"/>
  <c r="P84" i="1"/>
  <c r="P76" i="1"/>
  <c r="O108" i="1"/>
  <c r="O100" i="1"/>
  <c r="O92" i="1"/>
  <c r="O84" i="1"/>
  <c r="O76" i="1"/>
  <c r="O72" i="1"/>
  <c r="O69" i="1"/>
  <c r="O67" i="1"/>
  <c r="O65" i="1"/>
  <c r="O63" i="1"/>
  <c r="O61" i="1"/>
  <c r="O59" i="1"/>
  <c r="O57" i="1"/>
  <c r="O55" i="1"/>
  <c r="O53" i="1"/>
  <c r="O51" i="1"/>
  <c r="O49" i="1"/>
  <c r="O47" i="1"/>
  <c r="O45" i="1"/>
  <c r="O43" i="1"/>
  <c r="O41" i="1"/>
  <c r="O39" i="1"/>
  <c r="O37" i="1"/>
  <c r="O35" i="1"/>
  <c r="O33" i="1"/>
  <c r="O31" i="1"/>
  <c r="O29" i="1"/>
  <c r="O27" i="1"/>
  <c r="O25" i="1"/>
  <c r="O23" i="1"/>
  <c r="O21" i="1"/>
  <c r="O19" i="1"/>
  <c r="O17" i="1"/>
  <c r="O15" i="1"/>
  <c r="O13" i="1"/>
  <c r="O11" i="1"/>
  <c r="O9" i="1"/>
  <c r="O7" i="1"/>
  <c r="O5" i="1"/>
  <c r="P3" i="1"/>
  <c r="P107" i="1"/>
  <c r="P99" i="1"/>
  <c r="P91" i="1"/>
  <c r="P83" i="1"/>
  <c r="P75" i="1"/>
  <c r="O102" i="1"/>
  <c r="O98" i="1"/>
  <c r="O94" i="1"/>
  <c r="O90" i="1"/>
  <c r="O86" i="1"/>
  <c r="O82" i="1"/>
  <c r="O78" i="1"/>
  <c r="O74" i="1"/>
  <c r="O70" i="1"/>
  <c r="O66" i="1"/>
  <c r="O62" i="1"/>
  <c r="O58" i="1"/>
  <c r="O54" i="1"/>
  <c r="O50" i="1"/>
  <c r="O46" i="1"/>
  <c r="O42" i="1"/>
  <c r="O38" i="1"/>
  <c r="O34" i="1"/>
  <c r="O30" i="1"/>
  <c r="O26" i="1"/>
  <c r="O22" i="1"/>
  <c r="O18" i="1"/>
  <c r="O14" i="1"/>
  <c r="O10" i="1"/>
  <c r="O106" i="1"/>
  <c r="P65" i="1"/>
  <c r="P61" i="1"/>
  <c r="P59" i="1"/>
  <c r="P57" i="1"/>
  <c r="P55" i="1"/>
  <c r="P53" i="1"/>
  <c r="P51" i="1"/>
  <c r="P47" i="1"/>
  <c r="P45" i="1"/>
  <c r="P43" i="1"/>
  <c r="P41" i="1"/>
  <c r="P39" i="1"/>
  <c r="P37" i="1"/>
  <c r="P35" i="1"/>
  <c r="P33" i="1"/>
  <c r="P31" i="1"/>
  <c r="P29" i="1"/>
  <c r="P27" i="1"/>
  <c r="P25" i="1"/>
  <c r="P23" i="1"/>
  <c r="P21" i="1"/>
  <c r="P19" i="1"/>
  <c r="P17" i="1"/>
  <c r="P13" i="1"/>
  <c r="P11" i="1"/>
  <c r="P9" i="1"/>
  <c r="P7" i="1"/>
  <c r="P69" i="1"/>
  <c r="P63" i="1"/>
  <c r="P49" i="1"/>
  <c r="P67" i="1"/>
  <c r="P62" i="1"/>
  <c r="P58" i="1"/>
  <c r="P54" i="1"/>
  <c r="P50" i="1"/>
  <c r="P46" i="1"/>
  <c r="P42" i="1"/>
  <c r="P38" i="1"/>
  <c r="P34" i="1"/>
  <c r="P30" i="1"/>
  <c r="P26" i="1"/>
  <c r="P22" i="1"/>
  <c r="P18" i="1"/>
  <c r="P6" i="1"/>
  <c r="P66" i="1"/>
  <c r="P102" i="1"/>
  <c r="P94" i="1"/>
  <c r="P86" i="1"/>
  <c r="P78" i="1"/>
  <c r="P104" i="1"/>
  <c r="P96" i="1"/>
  <c r="P88" i="1"/>
  <c r="P80" i="1"/>
  <c r="P70" i="1"/>
  <c r="P15" i="1"/>
  <c r="P106" i="1"/>
  <c r="P98" i="1"/>
  <c r="P90" i="1"/>
  <c r="P82" i="1"/>
  <c r="P74" i="1"/>
  <c r="P105" i="1"/>
  <c r="P97" i="1"/>
  <c r="P89" i="1"/>
  <c r="P81" i="1"/>
  <c r="P73" i="1"/>
  <c r="P12" i="1"/>
  <c r="P8" i="1"/>
  <c r="O6" i="1"/>
  <c r="O107" i="1"/>
  <c r="O103" i="1"/>
  <c r="O99" i="1"/>
  <c r="O95" i="1"/>
  <c r="O91" i="1"/>
  <c r="O87" i="1"/>
  <c r="O83" i="1"/>
  <c r="O79" i="1"/>
  <c r="O75" i="1"/>
  <c r="O71" i="1"/>
  <c r="P5" i="1"/>
  <c r="P68" i="1"/>
  <c r="P64" i="1"/>
  <c r="P60" i="1"/>
  <c r="P56" i="1"/>
  <c r="P52" i="1"/>
  <c r="P48" i="1"/>
  <c r="P44" i="1"/>
  <c r="P40" i="1"/>
  <c r="P36" i="1"/>
  <c r="P32" i="1"/>
  <c r="P28" i="1"/>
  <c r="P24" i="1"/>
  <c r="P20" i="1"/>
  <c r="P16" i="1"/>
  <c r="O68" i="1"/>
  <c r="O64" i="1"/>
  <c r="O60" i="1"/>
  <c r="O56" i="1"/>
  <c r="O52" i="1"/>
  <c r="O48" i="1"/>
  <c r="O44" i="1"/>
  <c r="O40" i="1"/>
  <c r="O36" i="1"/>
  <c r="O32" i="1"/>
  <c r="O28" i="1"/>
  <c r="O24" i="1"/>
  <c r="O20" i="1"/>
  <c r="O16" i="1"/>
  <c r="O12" i="1"/>
  <c r="O8" i="1"/>
  <c r="P103" i="1"/>
  <c r="P87" i="1"/>
  <c r="P79" i="1"/>
  <c r="P14" i="1"/>
  <c r="P10" i="1"/>
  <c r="O2" i="1"/>
  <c r="P95" i="1"/>
  <c r="P71" i="1"/>
  <c r="O109" i="1"/>
  <c r="O105" i="1"/>
  <c r="O101" i="1"/>
  <c r="O97" i="1"/>
  <c r="O93" i="1"/>
  <c r="O89" i="1"/>
  <c r="O85" i="1"/>
  <c r="O81" i="1"/>
  <c r="O77" i="1"/>
  <c r="O73" i="1"/>
  <c r="P109" i="1"/>
  <c r="P101" i="1"/>
  <c r="P93" i="1"/>
  <c r="P85" i="1"/>
  <c r="P77" i="1"/>
  <c r="P72" i="1"/>
  <c r="O4" i="1"/>
  <c r="O104" i="1"/>
  <c r="O96" i="1"/>
  <c r="O88" i="1"/>
  <c r="O80" i="1"/>
  <c r="P2" i="1"/>
  <c r="O3" i="1"/>
  <c r="P4" i="1"/>
  <c r="Q41" i="2" l="1"/>
  <c r="T41" i="2"/>
  <c r="W41" i="2"/>
  <c r="Q17" i="2"/>
  <c r="T17" i="2"/>
  <c r="W17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38" i="2"/>
  <c r="W39" i="2"/>
  <c r="W40" i="2"/>
  <c r="W42" i="2"/>
  <c r="W43" i="2"/>
  <c r="W44" i="2"/>
  <c r="W45" i="2"/>
  <c r="W46" i="2"/>
  <c r="W47" i="2"/>
  <c r="X47" i="2" s="1"/>
  <c r="W48" i="2"/>
  <c r="X48" i="2" s="1"/>
  <c r="W2" i="2"/>
  <c r="T3" i="2"/>
  <c r="T4" i="2"/>
  <c r="T5" i="2"/>
  <c r="T6" i="2"/>
  <c r="T7" i="2"/>
  <c r="T8" i="2"/>
  <c r="T9" i="2"/>
  <c r="T10" i="2"/>
  <c r="T11" i="2"/>
  <c r="T12" i="2"/>
  <c r="T13" i="2"/>
  <c r="T14" i="2"/>
  <c r="T15" i="2"/>
  <c r="T16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38" i="2"/>
  <c r="T39" i="2"/>
  <c r="T40" i="2"/>
  <c r="T42" i="2"/>
  <c r="T43" i="2"/>
  <c r="T44" i="2"/>
  <c r="T45" i="2"/>
  <c r="T46" i="2"/>
  <c r="T47" i="2"/>
  <c r="U47" i="2" s="1"/>
  <c r="T48" i="2"/>
  <c r="U48" i="2" s="1"/>
  <c r="T49" i="2"/>
  <c r="U49" i="2" s="1"/>
  <c r="T2" i="2"/>
  <c r="Q46" i="2"/>
  <c r="Q47" i="2"/>
  <c r="R47" i="2" s="1"/>
  <c r="Q48" i="2"/>
  <c r="R48" i="2" s="1"/>
  <c r="Q49" i="2"/>
  <c r="R49" i="2" s="1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2" i="2"/>
  <c r="Q43" i="2"/>
  <c r="Q44" i="2"/>
  <c r="Q45" i="2"/>
  <c r="Q2" i="2"/>
  <c r="X19" i="2" l="1"/>
  <c r="Y19" i="2" s="1"/>
  <c r="X2" i="2"/>
  <c r="Y2" i="2" s="1"/>
  <c r="X35" i="2"/>
  <c r="Y35" i="2" s="1"/>
  <c r="X41" i="2"/>
  <c r="Y41" i="2" s="1"/>
  <c r="U41" i="2"/>
  <c r="V41" i="2" s="1"/>
  <c r="X45" i="2"/>
  <c r="Y45" i="2" s="1"/>
  <c r="X36" i="2"/>
  <c r="Y36" i="2" s="1"/>
  <c r="X28" i="2"/>
  <c r="Y28" i="2" s="1"/>
  <c r="X20" i="2"/>
  <c r="Y20" i="2" s="1"/>
  <c r="X11" i="2"/>
  <c r="Y11" i="2" s="1"/>
  <c r="X3" i="2"/>
  <c r="Y3" i="2" s="1"/>
  <c r="X17" i="2"/>
  <c r="Y17" i="2" s="1"/>
  <c r="U22" i="2"/>
  <c r="V22" i="2" s="1"/>
  <c r="R30" i="2"/>
  <c r="S30" i="2" s="1"/>
  <c r="R22" i="2"/>
  <c r="S22" i="2" s="1"/>
  <c r="R5" i="2"/>
  <c r="S5" i="2" s="1"/>
  <c r="X39" i="2"/>
  <c r="Y39" i="2" s="1"/>
  <c r="X31" i="2"/>
  <c r="Y31" i="2" s="1"/>
  <c r="X23" i="2"/>
  <c r="Y23" i="2" s="1"/>
  <c r="X6" i="2"/>
  <c r="Y6" i="2" s="1"/>
  <c r="U5" i="2"/>
  <c r="V5" i="2" s="1"/>
  <c r="R38" i="2"/>
  <c r="S38" i="2" s="1"/>
  <c r="R13" i="2"/>
  <c r="S13" i="2" s="1"/>
  <c r="X14" i="2"/>
  <c r="Y14" i="2" s="1"/>
  <c r="U17" i="2"/>
  <c r="V17" i="2" s="1"/>
  <c r="R17" i="2"/>
  <c r="S17" i="2" s="1"/>
  <c r="R43" i="2"/>
  <c r="S43" i="2" s="1"/>
  <c r="R34" i="2"/>
  <c r="S34" i="2" s="1"/>
  <c r="R26" i="2"/>
  <c r="S26" i="2" s="1"/>
  <c r="R18" i="2"/>
  <c r="S18" i="2" s="1"/>
  <c r="R9" i="2"/>
  <c r="S9" i="2" s="1"/>
  <c r="U46" i="2"/>
  <c r="V46" i="2" s="1"/>
  <c r="U37" i="2"/>
  <c r="V37" i="2" s="1"/>
  <c r="U29" i="2"/>
  <c r="V29" i="2" s="1"/>
  <c r="U21" i="2"/>
  <c r="V21" i="2" s="1"/>
  <c r="U12" i="2"/>
  <c r="V12" i="2" s="1"/>
  <c r="X44" i="2"/>
  <c r="Y44" i="2" s="1"/>
  <c r="X27" i="2"/>
  <c r="Y27" i="2" s="1"/>
  <c r="X10" i="2"/>
  <c r="Y10" i="2" s="1"/>
  <c r="X40" i="2"/>
  <c r="Y40" i="2" s="1"/>
  <c r="X32" i="2"/>
  <c r="Y32" i="2" s="1"/>
  <c r="X24" i="2"/>
  <c r="Y24" i="2" s="1"/>
  <c r="X15" i="2"/>
  <c r="Y15" i="2" s="1"/>
  <c r="X7" i="2"/>
  <c r="Y7" i="2" s="1"/>
  <c r="R41" i="2"/>
  <c r="S41" i="2" s="1"/>
  <c r="R6" i="2"/>
  <c r="S6" i="2" s="1"/>
  <c r="U45" i="2"/>
  <c r="V45" i="2" s="1"/>
  <c r="U36" i="2"/>
  <c r="V36" i="2" s="1"/>
  <c r="U28" i="2"/>
  <c r="V28" i="2" s="1"/>
  <c r="U20" i="2"/>
  <c r="V20" i="2" s="1"/>
  <c r="U11" i="2"/>
  <c r="V11" i="2" s="1"/>
  <c r="U3" i="2"/>
  <c r="V3" i="2" s="1"/>
  <c r="U33" i="2"/>
  <c r="V33" i="2" s="1"/>
  <c r="U16" i="2"/>
  <c r="V16" i="2" s="1"/>
  <c r="R42" i="2"/>
  <c r="S42" i="2" s="1"/>
  <c r="R33" i="2"/>
  <c r="S33" i="2" s="1"/>
  <c r="R25" i="2"/>
  <c r="S25" i="2" s="1"/>
  <c r="R16" i="2"/>
  <c r="S16" i="2" s="1"/>
  <c r="R8" i="2"/>
  <c r="S8" i="2" s="1"/>
  <c r="R35" i="2"/>
  <c r="S35" i="2" s="1"/>
  <c r="R19" i="2"/>
  <c r="S19" i="2" s="1"/>
  <c r="R2" i="2"/>
  <c r="S2" i="2" s="1"/>
  <c r="U44" i="2"/>
  <c r="V44" i="2" s="1"/>
  <c r="U35" i="2"/>
  <c r="V35" i="2" s="1"/>
  <c r="U27" i="2"/>
  <c r="V27" i="2" s="1"/>
  <c r="U23" i="2"/>
  <c r="V23" i="2" s="1"/>
  <c r="U14" i="2"/>
  <c r="V14" i="2" s="1"/>
  <c r="U30" i="2"/>
  <c r="V30" i="2" s="1"/>
  <c r="U13" i="2"/>
  <c r="V13" i="2" s="1"/>
  <c r="R40" i="2"/>
  <c r="S40" i="2" s="1"/>
  <c r="R32" i="2"/>
  <c r="S32" i="2" s="1"/>
  <c r="R28" i="2"/>
  <c r="S28" i="2" s="1"/>
  <c r="R24" i="2"/>
  <c r="S24" i="2" s="1"/>
  <c r="R20" i="2"/>
  <c r="S20" i="2" s="1"/>
  <c r="R15" i="2"/>
  <c r="S15" i="2" s="1"/>
  <c r="R11" i="2"/>
  <c r="S11" i="2" s="1"/>
  <c r="R7" i="2"/>
  <c r="S7" i="2" s="1"/>
  <c r="R3" i="2"/>
  <c r="S3" i="2" s="1"/>
  <c r="R46" i="2"/>
  <c r="S46" i="2" s="1"/>
  <c r="U2" i="2"/>
  <c r="V2" i="2" s="1"/>
  <c r="U6" i="2"/>
  <c r="V6" i="2" s="1"/>
  <c r="X43" i="2"/>
  <c r="Y43" i="2" s="1"/>
  <c r="X38" i="2"/>
  <c r="Y38" i="2" s="1"/>
  <c r="X34" i="2"/>
  <c r="Y34" i="2" s="1"/>
  <c r="X30" i="2"/>
  <c r="Y30" i="2" s="1"/>
  <c r="X26" i="2"/>
  <c r="Y26" i="2" s="1"/>
  <c r="X22" i="2"/>
  <c r="Y22" i="2" s="1"/>
  <c r="X18" i="2"/>
  <c r="Y18" i="2" s="1"/>
  <c r="X13" i="2"/>
  <c r="Y13" i="2" s="1"/>
  <c r="X9" i="2"/>
  <c r="Y9" i="2" s="1"/>
  <c r="X5" i="2"/>
  <c r="Y5" i="2" s="1"/>
  <c r="U40" i="2"/>
  <c r="V40" i="2" s="1"/>
  <c r="U32" i="2"/>
  <c r="V32" i="2" s="1"/>
  <c r="U24" i="2"/>
  <c r="V24" i="2" s="1"/>
  <c r="U15" i="2"/>
  <c r="V15" i="2" s="1"/>
  <c r="U7" i="2"/>
  <c r="V7" i="2" s="1"/>
  <c r="U42" i="2"/>
  <c r="V42" i="2" s="1"/>
  <c r="U25" i="2"/>
  <c r="V25" i="2" s="1"/>
  <c r="R37" i="2"/>
  <c r="S37" i="2" s="1"/>
  <c r="R29" i="2"/>
  <c r="S29" i="2" s="1"/>
  <c r="R21" i="2"/>
  <c r="S21" i="2" s="1"/>
  <c r="R12" i="2"/>
  <c r="S12" i="2" s="1"/>
  <c r="R4" i="2"/>
  <c r="S4" i="2" s="1"/>
  <c r="R44" i="2"/>
  <c r="S44" i="2" s="1"/>
  <c r="R27" i="2"/>
  <c r="S27" i="2" s="1"/>
  <c r="R10" i="2"/>
  <c r="S10" i="2" s="1"/>
  <c r="U39" i="2"/>
  <c r="V39" i="2" s="1"/>
  <c r="U31" i="2"/>
  <c r="V31" i="2" s="1"/>
  <c r="U19" i="2"/>
  <c r="V19" i="2" s="1"/>
  <c r="U10" i="2"/>
  <c r="V10" i="2" s="1"/>
  <c r="U38" i="2"/>
  <c r="V38" i="2" s="1"/>
  <c r="R45" i="2"/>
  <c r="S45" i="2" s="1"/>
  <c r="R36" i="2"/>
  <c r="S36" i="2" s="1"/>
  <c r="R39" i="2"/>
  <c r="S39" i="2" s="1"/>
  <c r="R31" i="2"/>
  <c r="S31" i="2" s="1"/>
  <c r="R23" i="2"/>
  <c r="S23" i="2" s="1"/>
  <c r="R14" i="2"/>
  <c r="S14" i="2" s="1"/>
  <c r="U8" i="2"/>
  <c r="V8" i="2" s="1"/>
  <c r="U4" i="2"/>
  <c r="V4" i="2" s="1"/>
  <c r="U43" i="2"/>
  <c r="V43" i="2" s="1"/>
  <c r="U34" i="2"/>
  <c r="V34" i="2" s="1"/>
  <c r="U26" i="2"/>
  <c r="V26" i="2" s="1"/>
  <c r="U18" i="2"/>
  <c r="V18" i="2" s="1"/>
  <c r="U9" i="2"/>
  <c r="V9" i="2" s="1"/>
  <c r="X46" i="2"/>
  <c r="Y46" i="2" s="1"/>
  <c r="X42" i="2"/>
  <c r="Y42" i="2" s="1"/>
  <c r="X37" i="2"/>
  <c r="Y37" i="2" s="1"/>
  <c r="X33" i="2"/>
  <c r="Y33" i="2" s="1"/>
  <c r="X29" i="2"/>
  <c r="Y29" i="2" s="1"/>
  <c r="X25" i="2"/>
  <c r="Y25" i="2" s="1"/>
  <c r="X21" i="2"/>
  <c r="Y21" i="2" s="1"/>
  <c r="X16" i="2"/>
  <c r="Y16" i="2" s="1"/>
  <c r="X12" i="2"/>
  <c r="Y12" i="2" s="1"/>
  <c r="X8" i="2"/>
  <c r="Y8" i="2" s="1"/>
  <c r="X4" i="2"/>
  <c r="Y4" i="2" s="1"/>
</calcChain>
</file>

<file path=xl/sharedStrings.xml><?xml version="1.0" encoding="utf-8"?>
<sst xmlns="http://schemas.openxmlformats.org/spreadsheetml/2006/main" count="1701" uniqueCount="192">
  <si>
    <t>inoc</t>
  </si>
  <si>
    <t>C</t>
  </si>
  <si>
    <t>irrigation type</t>
  </si>
  <si>
    <t>soil</t>
  </si>
  <si>
    <t>jute</t>
  </si>
  <si>
    <t>rep</t>
  </si>
  <si>
    <t>weight</t>
  </si>
  <si>
    <t>LB</t>
  </si>
  <si>
    <t>TB</t>
  </si>
  <si>
    <t>G</t>
  </si>
  <si>
    <t>Plot number</t>
  </si>
  <si>
    <t>Hoop</t>
  </si>
  <si>
    <t>Quesadilla</t>
  </si>
  <si>
    <t>GH</t>
  </si>
  <si>
    <t>native</t>
  </si>
  <si>
    <t>J_direct</t>
  </si>
  <si>
    <t>B</t>
  </si>
  <si>
    <t>Date ran</t>
  </si>
  <si>
    <t>LBmg_L</t>
  </si>
  <si>
    <t>LBug</t>
  </si>
  <si>
    <t>LBug_g</t>
  </si>
  <si>
    <t>TBmg_L</t>
  </si>
  <si>
    <t>TBug</t>
  </si>
  <si>
    <t>TBug_g</t>
  </si>
  <si>
    <t>Gmg_L</t>
  </si>
  <si>
    <t>Gug</t>
  </si>
  <si>
    <t>Gug_g</t>
  </si>
  <si>
    <t>NA</t>
  </si>
  <si>
    <t>Date</t>
  </si>
  <si>
    <t>Conc</t>
  </si>
  <si>
    <t>Abs</t>
  </si>
  <si>
    <t>blank</t>
  </si>
  <si>
    <t>Row Labels</t>
  </si>
  <si>
    <t>Grand Total</t>
  </si>
  <si>
    <t>Average of LBmg_L</t>
  </si>
  <si>
    <t>Average of TBmg_L</t>
  </si>
  <si>
    <t>Average of LBug</t>
  </si>
  <si>
    <t>Average of LBug_g</t>
  </si>
  <si>
    <t>Average of TBug_g</t>
  </si>
  <si>
    <t>Average of Gug</t>
  </si>
  <si>
    <t>Average of Gug_g</t>
  </si>
  <si>
    <t>Average of Gmg_L</t>
  </si>
  <si>
    <t>Average of TBug</t>
  </si>
  <si>
    <t>sand</t>
  </si>
  <si>
    <t>J_scrape</t>
  </si>
  <si>
    <t>no</t>
  </si>
  <si>
    <t>plot #</t>
  </si>
  <si>
    <t>Inoc</t>
  </si>
  <si>
    <t>Bare_1</t>
  </si>
  <si>
    <t>Rock_1</t>
  </si>
  <si>
    <t>Cyano_1</t>
  </si>
  <si>
    <t>Lichen_1</t>
  </si>
  <si>
    <t>Moss_1</t>
  </si>
  <si>
    <t>Rock_2</t>
  </si>
  <si>
    <t>Bare_2</t>
  </si>
  <si>
    <t>Cyano_2</t>
  </si>
  <si>
    <t>Lichen_2</t>
  </si>
  <si>
    <t>Bare fabric_2</t>
  </si>
  <si>
    <t>Moss_2</t>
  </si>
  <si>
    <t>Jute_2</t>
  </si>
  <si>
    <t>Plant_2</t>
  </si>
  <si>
    <t>%Bare_1</t>
  </si>
  <si>
    <t>%LS_1</t>
  </si>
  <si>
    <t>%TotalBiocrust_1</t>
  </si>
  <si>
    <t>% cyano_1</t>
  </si>
  <si>
    <t>%moss</t>
  </si>
  <si>
    <t>%lichen</t>
  </si>
  <si>
    <t>% plant</t>
  </si>
  <si>
    <t>tot chl a (665+750)</t>
  </si>
  <si>
    <t>Jute_noScrapeCat</t>
  </si>
  <si>
    <t>N Rows</t>
  </si>
  <si>
    <t>Mean(%Bare_1 2)</t>
  </si>
  <si>
    <t>Mean(% cyano_1 2)</t>
  </si>
  <si>
    <t>Mean(%lichen 2)</t>
  </si>
  <si>
    <t>Mean(%moss 2)</t>
  </si>
  <si>
    <t>Mean(%LS_1 2)</t>
  </si>
  <si>
    <t>Mean(%TotalBiocrust_1 2)</t>
  </si>
  <si>
    <t>Mean(% plant)</t>
  </si>
  <si>
    <t>Mean(Average of LBmg_L)</t>
  </si>
  <si>
    <t>Mean(Chl a)</t>
  </si>
  <si>
    <t>Mean(Average of TBmg_L)</t>
  </si>
  <si>
    <t>Mean(Average of LBug)</t>
  </si>
  <si>
    <t>Mean(Average of LBug_g)</t>
  </si>
  <si>
    <t>Mean(Average of TBug_g)</t>
  </si>
  <si>
    <t>Mean(Average of Gug)</t>
  </si>
  <si>
    <t>Mean(Average of Gug_g)</t>
  </si>
  <si>
    <t>Mean(Average of Gmg_L)</t>
  </si>
  <si>
    <t>Mean(Average of TBug)</t>
  </si>
  <si>
    <t>Std Err(%Bare_1 2)</t>
  </si>
  <si>
    <t>Std Err(% cyano_1 2)</t>
  </si>
  <si>
    <t>Std Err(%lichen 2)</t>
  </si>
  <si>
    <t>Std Err(%moss 2)</t>
  </si>
  <si>
    <t>Std Err(%LS_1 2)</t>
  </si>
  <si>
    <t>Std Err(%TotalBiocrust_1 2)</t>
  </si>
  <si>
    <t>Std Err(% plant)</t>
  </si>
  <si>
    <t>Std Err(Average of LBmg_L)</t>
  </si>
  <si>
    <t>Std Err(Chl a)</t>
  </si>
  <si>
    <t>Std Err(Average of TBmg_L)</t>
  </si>
  <si>
    <t>Std Err(Average of LBug)</t>
  </si>
  <si>
    <t>Std Err(Average of LBug_g)</t>
  </si>
  <si>
    <t>Std Err(Average of TBug_g)</t>
  </si>
  <si>
    <t>Std Err(Average of Gug)</t>
  </si>
  <si>
    <t>Std Err(Average of Gug_g)</t>
  </si>
  <si>
    <t>Std Err(Average of Gmg_L)</t>
  </si>
  <si>
    <t>Std Err(Average of TBug)</t>
  </si>
  <si>
    <t>Mean(%Bare_1)</t>
  </si>
  <si>
    <t>Mean(% cyano_1)</t>
  </si>
  <si>
    <t>Mean(%lichen)</t>
  </si>
  <si>
    <t>Mean(%moss)</t>
  </si>
  <si>
    <t>Mean(%LS_1)</t>
  </si>
  <si>
    <t>Mean(%TotalBiocrust_1)</t>
  </si>
  <si>
    <t>Std Err(%Bare_1)</t>
  </si>
  <si>
    <t>Std Err(% cyano_1)</t>
  </si>
  <si>
    <t>Std Err(%lichen)</t>
  </si>
  <si>
    <t>Std Err(%moss)</t>
  </si>
  <si>
    <t>Std Err(%LS_1)</t>
  </si>
  <si>
    <t>Std Err(%TotalBiocrust_1)</t>
  </si>
  <si>
    <t>J</t>
  </si>
  <si>
    <t>N</t>
  </si>
  <si>
    <t>Mean(%Cyano_2)</t>
  </si>
  <si>
    <t>Mean(% Lichen_2)</t>
  </si>
  <si>
    <t>Mean(% Moss_2)</t>
  </si>
  <si>
    <t>Mean(%LS_2)</t>
  </si>
  <si>
    <t>Mean(TTL biocurst_2)</t>
  </si>
  <si>
    <t>Std Err(%Cyano_2)</t>
  </si>
  <si>
    <t>Std Err(% Lichen_2)</t>
  </si>
  <si>
    <t>Std Err(% Moss_2)</t>
  </si>
  <si>
    <t>Std Err(%LS_2)</t>
  </si>
  <si>
    <t>Std Err(TTL biocurst_2)</t>
  </si>
  <si>
    <t>Mean(% increase over initial)</t>
  </si>
  <si>
    <t>Std Err(% increase over initial)</t>
  </si>
  <si>
    <t>Mean(tot chl a (665+750))</t>
  </si>
  <si>
    <t>Std Err(tot chl a (665+750))</t>
  </si>
  <si>
    <t>Irrigation by inoc</t>
  </si>
  <si>
    <t>stats table</t>
  </si>
  <si>
    <t>Summar All</t>
  </si>
  <si>
    <t>Greenhouse</t>
  </si>
  <si>
    <t>Gh</t>
  </si>
  <si>
    <t>% increase</t>
  </si>
  <si>
    <t>SE</t>
  </si>
  <si>
    <t>% Bare</t>
  </si>
  <si>
    <t>F Ratio</t>
  </si>
  <si>
    <t>Prob &gt; F</t>
  </si>
  <si>
    <t>% Cyanobacteria</t>
  </si>
  <si>
    <t>% Lichen</t>
  </si>
  <si>
    <t>&lt;.0001</t>
  </si>
  <si>
    <t>% Moss</t>
  </si>
  <si>
    <t>% Total Biocrust</t>
  </si>
  <si>
    <t>Chlorophyll a</t>
  </si>
  <si>
    <t>LB EPS ug/G</t>
  </si>
  <si>
    <t>TB EPS ug/G</t>
  </si>
  <si>
    <t>Total EPS ug/G</t>
  </si>
  <si>
    <t>Hoop House</t>
  </si>
  <si>
    <t>Mean(LBug_g)</t>
  </si>
  <si>
    <t>Mean(TBug_g)</t>
  </si>
  <si>
    <t>Mean(Gug_g)</t>
  </si>
  <si>
    <t>Mean(EPS total ug_G)</t>
  </si>
  <si>
    <t>Std Err(LBug_g)</t>
  </si>
  <si>
    <t>Std Err(TBug_g)</t>
  </si>
  <si>
    <t>Std Err(Gug_g)</t>
  </si>
  <si>
    <t>Std Err(EPS total ug_G)</t>
  </si>
  <si>
    <t>% Plants</t>
  </si>
  <si>
    <t>soil type</t>
  </si>
  <si>
    <t>Jute/No</t>
  </si>
  <si>
    <t>Inoculum</t>
  </si>
  <si>
    <t>Jute</t>
  </si>
  <si>
    <t>No Jute</t>
  </si>
  <si>
    <t>Biocrust</t>
  </si>
  <si>
    <t>Control</t>
  </si>
  <si>
    <t>Native</t>
  </si>
  <si>
    <t>Sand</t>
  </si>
  <si>
    <t>Replicates</t>
  </si>
  <si>
    <t>% Bare soil</t>
  </si>
  <si>
    <t>% LS</t>
  </si>
  <si>
    <t>%Total Biocrust</t>
  </si>
  <si>
    <t>Chlorophyll a (ug/g soil)</t>
  </si>
  <si>
    <t>Loosely Bound EPS (ug/g soil)</t>
  </si>
  <si>
    <t>Tightly bound EPS (Ug/g soil)</t>
  </si>
  <si>
    <t>Sheath PS (ug/g soil)</t>
  </si>
  <si>
    <t>Irrigation Type</t>
  </si>
  <si>
    <t>Soil Typle</t>
  </si>
  <si>
    <t>Irrigation * Soil</t>
  </si>
  <si>
    <t>irrigation * Jute</t>
  </si>
  <si>
    <t>Soil*Jute</t>
  </si>
  <si>
    <t xml:space="preserve">Soil * Jute * Irrigation </t>
  </si>
  <si>
    <t>STD Chl a</t>
  </si>
  <si>
    <t>%TotalBiocrust_2</t>
  </si>
  <si>
    <t>%LS_2</t>
  </si>
  <si>
    <t>%moss_2</t>
  </si>
  <si>
    <t>%lichen_2</t>
  </si>
  <si>
    <t>% cyano_2</t>
  </si>
  <si>
    <t>%Bare_2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</si>
</sst>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10" x14ac:knownFonts="1">
    <font>
      <sz val="11"/>
      <color rgb="FF000000"/>
      <name val="Calibri"/>
    </font>
    <font>
      <sz val="11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rgb="FF000000"/>
      <name val="Calibri"/>
      <family val="2"/>
    </font>
    <font>
      <sz val="10"/>
      <color rgb="FF000000"/>
      <name val="Tahoma"/>
      <family val="2"/>
    </font>
    <font>
      <b/>
      <sz val="11"/>
      <color rgb="FF000000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color theme="1"/>
      <name val="Calibri"/>
    </font>
  </fonts>
  <fills count="14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E2EFD9"/>
        <bgColor rgb="FFE2EFD9"/>
      </patternFill>
    </fill>
    <fill>
      <patternFill patternType="solid">
        <fgColor rgb="FFD9D9D9"/>
        <bgColor rgb="FFD9D9D9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D9EAD3"/>
        <bgColor indexed="64"/>
      </patternFill>
    </fill>
    <fill>
      <patternFill patternType="solid">
        <fgColor rgb="FFE2EFD9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theme="4" tint="0.39997558519241921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2" borderId="0" xfId="0" applyFont="1" applyFill="1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14" fontId="0" fillId="0" borderId="0" xfId="0" applyNumberFormat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6" borderId="2" xfId="0" applyFont="1" applyFill="1" applyBorder="1" applyAlignment="1">
      <alignment horizontal="center"/>
    </xf>
    <xf numFmtId="0" fontId="2" fillId="7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2" fontId="0" fillId="5" borderId="2" xfId="0" applyNumberFormat="1" applyFill="1" applyBorder="1" applyAlignment="1">
      <alignment horizontal="center"/>
    </xf>
    <xf numFmtId="2" fontId="0" fillId="6" borderId="2" xfId="0" applyNumberFormat="1" applyFill="1" applyBorder="1" applyAlignment="1">
      <alignment horizontal="center"/>
    </xf>
    <xf numFmtId="2" fontId="0" fillId="7" borderId="2" xfId="0" applyNumberFormat="1" applyFill="1" applyBorder="1" applyAlignment="1">
      <alignment horizontal="center"/>
    </xf>
    <xf numFmtId="0" fontId="0" fillId="8" borderId="2" xfId="0" applyFill="1" applyBorder="1" applyAlignment="1">
      <alignment horizontal="center"/>
    </xf>
    <xf numFmtId="2" fontId="0" fillId="8" borderId="2" xfId="0" applyNumberFormat="1" applyFill="1" applyBorder="1" applyAlignment="1">
      <alignment horizontal="center"/>
    </xf>
    <xf numFmtId="0" fontId="0" fillId="6" borderId="2" xfId="0" applyFill="1" applyBorder="1" applyAlignment="1">
      <alignment horizontal="center"/>
    </xf>
    <xf numFmtId="0" fontId="0" fillId="6" borderId="3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0" fillId="7" borderId="2" xfId="0" applyFill="1" applyBorder="1" applyAlignment="1">
      <alignment horizontal="center"/>
    </xf>
    <xf numFmtId="0" fontId="2" fillId="8" borderId="2" xfId="0" applyFont="1" applyFill="1" applyBorder="1" applyAlignment="1">
      <alignment horizontal="center" wrapText="1"/>
    </xf>
    <xf numFmtId="14" fontId="0" fillId="5" borderId="2" xfId="0" applyNumberFormat="1" applyFill="1" applyBorder="1" applyAlignment="1">
      <alignment horizontal="center"/>
    </xf>
    <xf numFmtId="14" fontId="0" fillId="6" borderId="2" xfId="0" applyNumberFormat="1" applyFill="1" applyBorder="1" applyAlignment="1">
      <alignment horizontal="center"/>
    </xf>
    <xf numFmtId="14" fontId="0" fillId="9" borderId="2" xfId="0" applyNumberFormat="1" applyFill="1" applyBorder="1" applyAlignment="1">
      <alignment horizontal="center"/>
    </xf>
    <xf numFmtId="0" fontId="0" fillId="9" borderId="2" xfId="0" applyFill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3" fillId="10" borderId="4" xfId="0" applyFont="1" applyFill="1" applyBorder="1"/>
    <xf numFmtId="0" fontId="2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0" fontId="4" fillId="11" borderId="5" xfId="0" applyFont="1" applyFill="1" applyBorder="1" applyAlignment="1">
      <alignment horizontal="right" wrapText="1"/>
    </xf>
    <xf numFmtId="0" fontId="4" fillId="0" borderId="6" xfId="0" applyFont="1" applyBorder="1" applyAlignment="1">
      <alignment wrapText="1"/>
    </xf>
    <xf numFmtId="0" fontId="5" fillId="0" borderId="6" xfId="0" applyFont="1" applyBorder="1" applyAlignment="1">
      <alignment vertical="center" wrapText="1"/>
    </xf>
    <xf numFmtId="0" fontId="4" fillId="0" borderId="6" xfId="0" applyFont="1" applyBorder="1" applyAlignment="1">
      <alignment horizontal="right" wrapText="1"/>
    </xf>
    <xf numFmtId="0" fontId="6" fillId="11" borderId="5" xfId="0" applyFont="1" applyFill="1" applyBorder="1" applyAlignment="1">
      <alignment wrapText="1"/>
    </xf>
    <xf numFmtId="0" fontId="6" fillId="0" borderId="6" xfId="0" applyFont="1" applyBorder="1" applyAlignment="1">
      <alignment wrapText="1"/>
    </xf>
    <xf numFmtId="0" fontId="6" fillId="0" borderId="7" xfId="0" applyFont="1" applyBorder="1" applyAlignment="1">
      <alignment wrapText="1"/>
    </xf>
    <xf numFmtId="0" fontId="6" fillId="12" borderId="8" xfId="0" applyFont="1" applyFill="1" applyBorder="1" applyAlignment="1">
      <alignment wrapText="1"/>
    </xf>
    <xf numFmtId="0" fontId="6" fillId="12" borderId="9" xfId="0" applyFont="1" applyFill="1" applyBorder="1" applyAlignment="1">
      <alignment wrapText="1"/>
    </xf>
    <xf numFmtId="0" fontId="7" fillId="4" borderId="0" xfId="0" applyFont="1" applyFill="1"/>
    <xf numFmtId="0" fontId="6" fillId="3" borderId="10" xfId="0" applyFont="1" applyFill="1" applyBorder="1"/>
    <xf numFmtId="0" fontId="6" fillId="3" borderId="11" xfId="0" applyFont="1" applyFill="1" applyBorder="1"/>
    <xf numFmtId="0" fontId="8" fillId="4" borderId="0" xfId="0" applyFont="1" applyFill="1"/>
    <xf numFmtId="0" fontId="0" fillId="0" borderId="1" xfId="0" applyBorder="1"/>
    <xf numFmtId="0" fontId="0" fillId="0" borderId="12" xfId="0" applyBorder="1"/>
    <xf numFmtId="0" fontId="0" fillId="13" borderId="1" xfId="0" applyFill="1" applyBorder="1"/>
    <xf numFmtId="0" fontId="5" fillId="0" borderId="1" xfId="0" applyFont="1" applyBorder="1" applyAlignment="1">
      <alignment horizontal="left" vertical="center" wrapText="1"/>
    </xf>
    <xf numFmtId="0" fontId="4" fillId="0" borderId="1" xfId="0" applyFont="1" applyBorder="1"/>
    <xf numFmtId="0" fontId="5" fillId="13" borderId="1" xfId="0" applyFont="1" applyFill="1" applyBorder="1" applyAlignment="1">
      <alignment horizontal="left" vertical="center" wrapText="1"/>
    </xf>
    <xf numFmtId="0" fontId="6" fillId="12" borderId="0" xfId="0" applyFont="1" applyFill="1" applyAlignment="1">
      <alignment wrapText="1"/>
    </xf>
    <xf numFmtId="0" fontId="4" fillId="0" borderId="0" xfId="0" applyFont="1" applyAlignment="1">
      <alignment wrapText="1"/>
    </xf>
    <xf numFmtId="0" fontId="4" fillId="0" borderId="0" xfId="0" applyFont="1" applyAlignment="1">
      <alignment horizontal="right" wrapText="1"/>
    </xf>
    <xf numFmtId="0" fontId="0" fillId="0" borderId="0" xfId="0" applyAlignment="1">
      <alignment wrapText="1"/>
    </xf>
    <xf numFmtId="0" fontId="9" fillId="10" borderId="4" xfId="0" applyFont="1" applyFill="1" applyBorder="1"/>
    <xf numFmtId="0" fontId="9" fillId="10" borderId="0" xfId="0" applyFont="1" applyFill="1"/>
    <xf numFmtId="2" fontId="0" fillId="0" borderId="0" xfId="0" applyNumberFormat="1"/>
    <xf numFmtId="2" fontId="4" fillId="0" borderId="0" xfId="0" applyNumberFormat="1" applyFont="1"/>
    <xf numFmtId="2" fontId="6" fillId="0" borderId="0" xfId="0" applyNumberFormat="1" applyFont="1"/>
    <xf numFmtId="164" fontId="0" fillId="0" borderId="0" xfId="0" applyNumberFormat="1"/>
    <xf numFmtId="164" fontId="4" fillId="0" borderId="0" xfId="0" applyNumberFormat="1" applyFont="1"/>
    <xf numFmtId="165" fontId="0" fillId="0" borderId="0" xfId="0" applyNumberFormat="1"/>
    <xf numFmtId="165" fontId="0" fillId="0" borderId="0" xfId="0" applyNumberFormat="1" applyAlignment="1">
      <alignment wrapText="1"/>
    </xf>
    <xf numFmtId="1" fontId="0" fillId="0" borderId="0" xfId="0" applyNumberFormat="1"/>
    <xf numFmtId="1" fontId="4" fillId="0" borderId="0" xfId="0" applyNumberFormat="1" applyFont="1"/>
    <xf numFmtId="1" fontId="0" fillId="0" borderId="0" xfId="0" applyNumberFormat="1" applyAlignment="1">
      <alignment wrapText="1"/>
    </xf>
    <xf numFmtId="1" fontId="4" fillId="0" borderId="0" xfId="0" applyNumberFormat="1" applyFont="1" applyAlignment="1">
      <alignment wrapText="1"/>
    </xf>
    <xf numFmtId="164" fontId="4" fillId="0" borderId="0" xfId="0" applyNumberFormat="1" applyFont="1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v>Lichen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summary!$C$32:$C$34</c:f>
              <c:strCache>
                <c:ptCount val="3"/>
                <c:pt idx="0">
                  <c:v>GH</c:v>
                </c:pt>
                <c:pt idx="1">
                  <c:v>Hoop</c:v>
                </c:pt>
                <c:pt idx="2">
                  <c:v>Quesadilla</c:v>
                </c:pt>
              </c:strCache>
            </c:strRef>
          </c:cat>
          <c:val>
            <c:numRef>
              <c:f>summary!$F$32:$F$34</c:f>
              <c:numCache>
                <c:formatCode>General</c:formatCode>
                <c:ptCount val="3"/>
                <c:pt idx="0">
                  <c:v>4.6666666667000003</c:v>
                </c:pt>
                <c:pt idx="1">
                  <c:v>7.1666666667000003</c:v>
                </c:pt>
                <c:pt idx="2">
                  <c:v>7.9444444444000002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A63-4CA7-8923-8DDF58F04227}"/>
            </c:ext>
          </c:extLst>
        </c:ser>
        <c:ser>
          <c:idx val="2"/>
          <c:order val="1"/>
          <c:tx>
            <c:v>Bryophytes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summary!$C$32:$C$34</c:f>
              <c:strCache>
                <c:ptCount val="3"/>
                <c:pt idx="0">
                  <c:v>GH</c:v>
                </c:pt>
                <c:pt idx="1">
                  <c:v>Hoop</c:v>
                </c:pt>
                <c:pt idx="2">
                  <c:v>Quesadilla</c:v>
                </c:pt>
              </c:strCache>
            </c:strRef>
          </c:cat>
          <c:val>
            <c:numRef>
              <c:f>summary!$G$32:$G$34</c:f>
              <c:numCache>
                <c:formatCode>General</c:formatCode>
                <c:ptCount val="3"/>
                <c:pt idx="0">
                  <c:v>14.111111111</c:v>
                </c:pt>
                <c:pt idx="1">
                  <c:v>3</c:v>
                </c:pt>
                <c:pt idx="2">
                  <c:v>2.1666666666999999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A63-4CA7-8923-8DDF58F04227}"/>
            </c:ext>
          </c:extLst>
        </c:ser>
        <c:ser>
          <c:idx val="0"/>
          <c:order val="2"/>
          <c:tx>
            <c:v>Cyanobacteria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summary!$C$32:$C$34</c:f>
              <c:strCache>
                <c:ptCount val="3"/>
                <c:pt idx="0">
                  <c:v>GH</c:v>
                </c:pt>
                <c:pt idx="1">
                  <c:v>Hoop</c:v>
                </c:pt>
                <c:pt idx="2">
                  <c:v>Quesadilla</c:v>
                </c:pt>
              </c:strCache>
            </c:strRef>
          </c:cat>
          <c:val>
            <c:numRef>
              <c:f>summary!$E$32:$E$34</c:f>
              <c:numCache>
                <c:formatCode>General</c:formatCode>
                <c:ptCount val="3"/>
                <c:pt idx="0">
                  <c:v>59.611111111</c:v>
                </c:pt>
                <c:pt idx="1">
                  <c:v>34.388888889</c:v>
                </c:pt>
                <c:pt idx="2">
                  <c:v>65.444444443999998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63-4CA7-8923-8DDF58F042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79472784"/>
        <c:axId val="1770037504"/>
      </c:barChart>
      <c:catAx>
        <c:axId val="1579472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0037504"/>
        <c:crosses val="autoZero"/>
        <c:auto val="1"/>
        <c:lblAlgn val="ctr"/>
        <c:lblOffset val="100"/>
        <c:noMultiLvlLbl val="0"/>
      </c:catAx>
      <c:valAx>
        <c:axId val="1770037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94727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v>Cyanobacteria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summary!$C$44:$E$57</c:f>
              <c:multiLvlStrCache>
                <c:ptCount val="14"/>
                <c:lvl>
                  <c:pt idx="0">
                    <c:v>N</c:v>
                  </c:pt>
                  <c:pt idx="1">
                    <c:v>J</c:v>
                  </c:pt>
                  <c:pt idx="2">
                    <c:v>N</c:v>
                  </c:pt>
                  <c:pt idx="3">
                    <c:v>J</c:v>
                  </c:pt>
                  <c:pt idx="5">
                    <c:v>N</c:v>
                  </c:pt>
                  <c:pt idx="6">
                    <c:v>J</c:v>
                  </c:pt>
                  <c:pt idx="7">
                    <c:v>N</c:v>
                  </c:pt>
                  <c:pt idx="8">
                    <c:v>J</c:v>
                  </c:pt>
                  <c:pt idx="10">
                    <c:v>N</c:v>
                  </c:pt>
                  <c:pt idx="11">
                    <c:v>J</c:v>
                  </c:pt>
                  <c:pt idx="12">
                    <c:v>N</c:v>
                  </c:pt>
                  <c:pt idx="13">
                    <c:v>J</c:v>
                  </c:pt>
                </c:lvl>
                <c:lvl>
                  <c:pt idx="0">
                    <c:v>sand</c:v>
                  </c:pt>
                  <c:pt idx="1">
                    <c:v>sand</c:v>
                  </c:pt>
                  <c:pt idx="2">
                    <c:v>native</c:v>
                  </c:pt>
                  <c:pt idx="3">
                    <c:v>native</c:v>
                  </c:pt>
                  <c:pt idx="5">
                    <c:v>sand</c:v>
                  </c:pt>
                  <c:pt idx="6">
                    <c:v>sand</c:v>
                  </c:pt>
                  <c:pt idx="7">
                    <c:v>native</c:v>
                  </c:pt>
                  <c:pt idx="8">
                    <c:v>native</c:v>
                  </c:pt>
                  <c:pt idx="10">
                    <c:v>sand</c:v>
                  </c:pt>
                  <c:pt idx="11">
                    <c:v>sand</c:v>
                  </c:pt>
                  <c:pt idx="12">
                    <c:v>native</c:v>
                  </c:pt>
                  <c:pt idx="13">
                    <c:v>native</c:v>
                  </c:pt>
                </c:lvl>
                <c:lvl>
                  <c:pt idx="0">
                    <c:v>GH</c:v>
                  </c:pt>
                  <c:pt idx="1">
                    <c:v>GH</c:v>
                  </c:pt>
                  <c:pt idx="2">
                    <c:v>GH</c:v>
                  </c:pt>
                  <c:pt idx="3">
                    <c:v>GH</c:v>
                  </c:pt>
                  <c:pt idx="5">
                    <c:v>Quesadilla</c:v>
                  </c:pt>
                  <c:pt idx="6">
                    <c:v>Quesadilla</c:v>
                  </c:pt>
                  <c:pt idx="7">
                    <c:v>Quesadilla</c:v>
                  </c:pt>
                  <c:pt idx="8">
                    <c:v>Quesadilla</c:v>
                  </c:pt>
                  <c:pt idx="10">
                    <c:v>Hoop</c:v>
                  </c:pt>
                  <c:pt idx="11">
                    <c:v>Hoop</c:v>
                  </c:pt>
                  <c:pt idx="12">
                    <c:v>Hoop</c:v>
                  </c:pt>
                  <c:pt idx="13">
                    <c:v>Hoop</c:v>
                  </c:pt>
                </c:lvl>
              </c:multiLvlStrCache>
            </c:multiLvlStrRef>
          </c:cat>
          <c:val>
            <c:numRef>
              <c:f>summary!$G$44:$G$57</c:f>
              <c:numCache>
                <c:formatCode>General</c:formatCode>
                <c:ptCount val="14"/>
                <c:pt idx="0">
                  <c:v>63.666666667000001</c:v>
                </c:pt>
                <c:pt idx="1">
                  <c:v>55.333333332999999</c:v>
                </c:pt>
                <c:pt idx="2">
                  <c:v>56</c:v>
                </c:pt>
                <c:pt idx="3">
                  <c:v>63.666666667000001</c:v>
                </c:pt>
                <c:pt idx="5">
                  <c:v>68</c:v>
                </c:pt>
                <c:pt idx="6">
                  <c:v>68</c:v>
                </c:pt>
                <c:pt idx="7">
                  <c:v>66</c:v>
                </c:pt>
                <c:pt idx="8">
                  <c:v>61.333333332999999</c:v>
                </c:pt>
                <c:pt idx="10">
                  <c:v>21.666666667000001</c:v>
                </c:pt>
                <c:pt idx="11">
                  <c:v>32.333333332999999</c:v>
                </c:pt>
                <c:pt idx="12">
                  <c:v>45.333333332999999</c:v>
                </c:pt>
                <c:pt idx="13">
                  <c:v>37.333333332999999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2B-479A-91B3-7CDDBB2F8394}"/>
            </c:ext>
          </c:extLst>
        </c:ser>
        <c:ser>
          <c:idx val="1"/>
          <c:order val="1"/>
          <c:tx>
            <c:v>Lichen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summary!$C$44:$E$57</c:f>
              <c:multiLvlStrCache>
                <c:ptCount val="14"/>
                <c:lvl>
                  <c:pt idx="0">
                    <c:v>N</c:v>
                  </c:pt>
                  <c:pt idx="1">
                    <c:v>J</c:v>
                  </c:pt>
                  <c:pt idx="2">
                    <c:v>N</c:v>
                  </c:pt>
                  <c:pt idx="3">
                    <c:v>J</c:v>
                  </c:pt>
                  <c:pt idx="5">
                    <c:v>N</c:v>
                  </c:pt>
                  <c:pt idx="6">
                    <c:v>J</c:v>
                  </c:pt>
                  <c:pt idx="7">
                    <c:v>N</c:v>
                  </c:pt>
                  <c:pt idx="8">
                    <c:v>J</c:v>
                  </c:pt>
                  <c:pt idx="10">
                    <c:v>N</c:v>
                  </c:pt>
                  <c:pt idx="11">
                    <c:v>J</c:v>
                  </c:pt>
                  <c:pt idx="12">
                    <c:v>N</c:v>
                  </c:pt>
                  <c:pt idx="13">
                    <c:v>J</c:v>
                  </c:pt>
                </c:lvl>
                <c:lvl>
                  <c:pt idx="0">
                    <c:v>sand</c:v>
                  </c:pt>
                  <c:pt idx="1">
                    <c:v>sand</c:v>
                  </c:pt>
                  <c:pt idx="2">
                    <c:v>native</c:v>
                  </c:pt>
                  <c:pt idx="3">
                    <c:v>native</c:v>
                  </c:pt>
                  <c:pt idx="5">
                    <c:v>sand</c:v>
                  </c:pt>
                  <c:pt idx="6">
                    <c:v>sand</c:v>
                  </c:pt>
                  <c:pt idx="7">
                    <c:v>native</c:v>
                  </c:pt>
                  <c:pt idx="8">
                    <c:v>native</c:v>
                  </c:pt>
                  <c:pt idx="10">
                    <c:v>sand</c:v>
                  </c:pt>
                  <c:pt idx="11">
                    <c:v>sand</c:v>
                  </c:pt>
                  <c:pt idx="12">
                    <c:v>native</c:v>
                  </c:pt>
                  <c:pt idx="13">
                    <c:v>native</c:v>
                  </c:pt>
                </c:lvl>
                <c:lvl>
                  <c:pt idx="0">
                    <c:v>GH</c:v>
                  </c:pt>
                  <c:pt idx="1">
                    <c:v>GH</c:v>
                  </c:pt>
                  <c:pt idx="2">
                    <c:v>GH</c:v>
                  </c:pt>
                  <c:pt idx="3">
                    <c:v>GH</c:v>
                  </c:pt>
                  <c:pt idx="5">
                    <c:v>Quesadilla</c:v>
                  </c:pt>
                  <c:pt idx="6">
                    <c:v>Quesadilla</c:v>
                  </c:pt>
                  <c:pt idx="7">
                    <c:v>Quesadilla</c:v>
                  </c:pt>
                  <c:pt idx="8">
                    <c:v>Quesadilla</c:v>
                  </c:pt>
                  <c:pt idx="10">
                    <c:v>Hoop</c:v>
                  </c:pt>
                  <c:pt idx="11">
                    <c:v>Hoop</c:v>
                  </c:pt>
                  <c:pt idx="12">
                    <c:v>Hoop</c:v>
                  </c:pt>
                  <c:pt idx="13">
                    <c:v>Hoop</c:v>
                  </c:pt>
                </c:lvl>
              </c:multiLvlStrCache>
            </c:multiLvlStrRef>
          </c:cat>
          <c:val>
            <c:numRef>
              <c:f>summary!$H$44:$H$57</c:f>
              <c:numCache>
                <c:formatCode>General</c:formatCode>
                <c:ptCount val="14"/>
                <c:pt idx="0">
                  <c:v>4</c:v>
                </c:pt>
                <c:pt idx="1">
                  <c:v>4.3333333332999997</c:v>
                </c:pt>
                <c:pt idx="2">
                  <c:v>6.6666666667000003</c:v>
                </c:pt>
                <c:pt idx="3">
                  <c:v>4.3333333332999997</c:v>
                </c:pt>
                <c:pt idx="5">
                  <c:v>8.6666666666999994</c:v>
                </c:pt>
                <c:pt idx="6">
                  <c:v>7.1666666667000003</c:v>
                </c:pt>
                <c:pt idx="7">
                  <c:v>12</c:v>
                </c:pt>
                <c:pt idx="8">
                  <c:v>6.3333333332999997</c:v>
                </c:pt>
                <c:pt idx="10">
                  <c:v>4.6666666667000003</c:v>
                </c:pt>
                <c:pt idx="11">
                  <c:v>6</c:v>
                </c:pt>
                <c:pt idx="12">
                  <c:v>8.6666666666999994</c:v>
                </c:pt>
                <c:pt idx="13">
                  <c:v>8.8333333333000006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02B-479A-91B3-7CDDBB2F8394}"/>
            </c:ext>
          </c:extLst>
        </c:ser>
        <c:ser>
          <c:idx val="2"/>
          <c:order val="2"/>
          <c:tx>
            <c:v>Bryophytes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summary!$P$44:$P$57</c:f>
                <c:numCache>
                  <c:formatCode>General</c:formatCode>
                  <c:ptCount val="14"/>
                  <c:pt idx="0">
                    <c:v>15.365907429</c:v>
                  </c:pt>
                  <c:pt idx="1">
                    <c:v>10.754374257</c:v>
                  </c:pt>
                  <c:pt idx="2">
                    <c:v>11.944315245</c:v>
                  </c:pt>
                  <c:pt idx="3">
                    <c:v>6.5889408416000004</c:v>
                  </c:pt>
                  <c:pt idx="5">
                    <c:v>15.646085771999999</c:v>
                  </c:pt>
                  <c:pt idx="6">
                    <c:v>10.952606811000001</c:v>
                  </c:pt>
                  <c:pt idx="7">
                    <c:v>16.036763319999999</c:v>
                  </c:pt>
                  <c:pt idx="8">
                    <c:v>9.6309423476999996</c:v>
                  </c:pt>
                  <c:pt idx="10">
                    <c:v>7.7244201508000003</c:v>
                  </c:pt>
                  <c:pt idx="11">
                    <c:v>7.2130283360999998</c:v>
                  </c:pt>
                  <c:pt idx="12">
                    <c:v>12.579524810000001</c:v>
                  </c:pt>
                  <c:pt idx="13">
                    <c:v>8.9446953977000003</c:v>
                  </c:pt>
                </c:numCache>
              </c:numRef>
            </c:plus>
            <c:minus>
              <c:numRef>
                <c:f>summary!$P$44:$P$57</c:f>
                <c:numCache>
                  <c:formatCode>General</c:formatCode>
                  <c:ptCount val="14"/>
                  <c:pt idx="0">
                    <c:v>15.365907429</c:v>
                  </c:pt>
                  <c:pt idx="1">
                    <c:v>10.754374257</c:v>
                  </c:pt>
                  <c:pt idx="2">
                    <c:v>11.944315245</c:v>
                  </c:pt>
                  <c:pt idx="3">
                    <c:v>6.5889408416000004</c:v>
                  </c:pt>
                  <c:pt idx="5">
                    <c:v>15.646085771999999</c:v>
                  </c:pt>
                  <c:pt idx="6">
                    <c:v>10.952606811000001</c:v>
                  </c:pt>
                  <c:pt idx="7">
                    <c:v>16.036763319999999</c:v>
                  </c:pt>
                  <c:pt idx="8">
                    <c:v>9.6309423476999996</c:v>
                  </c:pt>
                  <c:pt idx="10">
                    <c:v>7.7244201508000003</c:v>
                  </c:pt>
                  <c:pt idx="11">
                    <c:v>7.2130283360999998</c:v>
                  </c:pt>
                  <c:pt idx="12">
                    <c:v>12.579524810000001</c:v>
                  </c:pt>
                  <c:pt idx="13">
                    <c:v>8.9446953977000003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multiLvlStrRef>
              <c:f>summary!$C$44:$E$57</c:f>
              <c:multiLvlStrCache>
                <c:ptCount val="14"/>
                <c:lvl>
                  <c:pt idx="0">
                    <c:v>N</c:v>
                  </c:pt>
                  <c:pt idx="1">
                    <c:v>J</c:v>
                  </c:pt>
                  <c:pt idx="2">
                    <c:v>N</c:v>
                  </c:pt>
                  <c:pt idx="3">
                    <c:v>J</c:v>
                  </c:pt>
                  <c:pt idx="5">
                    <c:v>N</c:v>
                  </c:pt>
                  <c:pt idx="6">
                    <c:v>J</c:v>
                  </c:pt>
                  <c:pt idx="7">
                    <c:v>N</c:v>
                  </c:pt>
                  <c:pt idx="8">
                    <c:v>J</c:v>
                  </c:pt>
                  <c:pt idx="10">
                    <c:v>N</c:v>
                  </c:pt>
                  <c:pt idx="11">
                    <c:v>J</c:v>
                  </c:pt>
                  <c:pt idx="12">
                    <c:v>N</c:v>
                  </c:pt>
                  <c:pt idx="13">
                    <c:v>J</c:v>
                  </c:pt>
                </c:lvl>
                <c:lvl>
                  <c:pt idx="0">
                    <c:v>sand</c:v>
                  </c:pt>
                  <c:pt idx="1">
                    <c:v>sand</c:v>
                  </c:pt>
                  <c:pt idx="2">
                    <c:v>native</c:v>
                  </c:pt>
                  <c:pt idx="3">
                    <c:v>native</c:v>
                  </c:pt>
                  <c:pt idx="5">
                    <c:v>sand</c:v>
                  </c:pt>
                  <c:pt idx="6">
                    <c:v>sand</c:v>
                  </c:pt>
                  <c:pt idx="7">
                    <c:v>native</c:v>
                  </c:pt>
                  <c:pt idx="8">
                    <c:v>native</c:v>
                  </c:pt>
                  <c:pt idx="10">
                    <c:v>sand</c:v>
                  </c:pt>
                  <c:pt idx="11">
                    <c:v>sand</c:v>
                  </c:pt>
                  <c:pt idx="12">
                    <c:v>native</c:v>
                  </c:pt>
                  <c:pt idx="13">
                    <c:v>native</c:v>
                  </c:pt>
                </c:lvl>
                <c:lvl>
                  <c:pt idx="0">
                    <c:v>GH</c:v>
                  </c:pt>
                  <c:pt idx="1">
                    <c:v>GH</c:v>
                  </c:pt>
                  <c:pt idx="2">
                    <c:v>GH</c:v>
                  </c:pt>
                  <c:pt idx="3">
                    <c:v>GH</c:v>
                  </c:pt>
                  <c:pt idx="5">
                    <c:v>Quesadilla</c:v>
                  </c:pt>
                  <c:pt idx="6">
                    <c:v>Quesadilla</c:v>
                  </c:pt>
                  <c:pt idx="7">
                    <c:v>Quesadilla</c:v>
                  </c:pt>
                  <c:pt idx="8">
                    <c:v>Quesadilla</c:v>
                  </c:pt>
                  <c:pt idx="10">
                    <c:v>Hoop</c:v>
                  </c:pt>
                  <c:pt idx="11">
                    <c:v>Hoop</c:v>
                  </c:pt>
                  <c:pt idx="12">
                    <c:v>Hoop</c:v>
                  </c:pt>
                  <c:pt idx="13">
                    <c:v>Hoop</c:v>
                  </c:pt>
                </c:lvl>
              </c:multiLvlStrCache>
            </c:multiLvlStrRef>
          </c:cat>
          <c:val>
            <c:numRef>
              <c:f>summary!$I$44:$I$57</c:f>
              <c:numCache>
                <c:formatCode>General</c:formatCode>
                <c:ptCount val="14"/>
                <c:pt idx="0">
                  <c:v>10</c:v>
                </c:pt>
                <c:pt idx="1">
                  <c:v>17</c:v>
                </c:pt>
                <c:pt idx="2">
                  <c:v>11.333333333000001</c:v>
                </c:pt>
                <c:pt idx="3">
                  <c:v>14.666666666999999</c:v>
                </c:pt>
                <c:pt idx="5">
                  <c:v>1.3333333332999999</c:v>
                </c:pt>
                <c:pt idx="6">
                  <c:v>1.5</c:v>
                </c:pt>
                <c:pt idx="7">
                  <c:v>1.6666666667000001</c:v>
                </c:pt>
                <c:pt idx="8">
                  <c:v>3.5</c:v>
                </c:pt>
                <c:pt idx="10">
                  <c:v>2.6666666666999999</c:v>
                </c:pt>
                <c:pt idx="11">
                  <c:v>2.5</c:v>
                </c:pt>
                <c:pt idx="12">
                  <c:v>3.6666666666999999</c:v>
                </c:pt>
                <c:pt idx="13">
                  <c:v>3.3333333333000001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02B-479A-91B3-7CDDBB2F83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6"/>
        <c:overlap val="100"/>
        <c:axId val="1786330496"/>
        <c:axId val="1901595376"/>
      </c:barChart>
      <c:catAx>
        <c:axId val="178633049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901595376"/>
        <c:crosses val="autoZero"/>
        <c:auto val="1"/>
        <c:lblAlgn val="ctr"/>
        <c:lblOffset val="100"/>
        <c:noMultiLvlLbl val="0"/>
      </c:catAx>
      <c:valAx>
        <c:axId val="1901595376"/>
        <c:scaling>
          <c:orientation val="minMax"/>
          <c:max val="1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+mn-cs"/>
                  </a:defRPr>
                </a:pPr>
                <a:r>
                  <a:rPr lang="en-US"/>
                  <a:t>% Biocrust Cover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1786330496"/>
        <c:crosses val="autoZero"/>
        <c:crossBetween val="between"/>
      </c:valAx>
      <c:spPr>
        <a:noFill/>
        <a:ln>
          <a:solidFill>
            <a:schemeClr val="tx1">
              <a:lumMod val="85000"/>
              <a:lumOff val="15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73546500964487871"/>
          <c:y val="3.1259608508205951E-2"/>
          <c:w val="0.2158169686620498"/>
          <c:h val="0.2139206618571110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 baseline="0">
          <a:solidFill>
            <a:schemeClr val="tx1"/>
          </a:solidFill>
          <a:latin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summary!$F$69:$F$71</c:f>
                <c:numCache>
                  <c:formatCode>General</c:formatCode>
                  <c:ptCount val="3"/>
                  <c:pt idx="0">
                    <c:v>22.684999999999999</c:v>
                  </c:pt>
                  <c:pt idx="1">
                    <c:v>9.4799647573999994</c:v>
                  </c:pt>
                  <c:pt idx="2">
                    <c:v>19.649807697</c:v>
                  </c:pt>
                </c:numCache>
              </c:numRef>
            </c:plus>
            <c:minus>
              <c:numRef>
                <c:f>summary!$F$69:$F$71</c:f>
                <c:numCache>
                  <c:formatCode>General</c:formatCode>
                  <c:ptCount val="3"/>
                  <c:pt idx="0">
                    <c:v>22.684999999999999</c:v>
                  </c:pt>
                  <c:pt idx="1">
                    <c:v>9.4799647573999994</c:v>
                  </c:pt>
                  <c:pt idx="2">
                    <c:v>19.649807697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summary!$B$69:$B$71</c:f>
              <c:strCache>
                <c:ptCount val="3"/>
                <c:pt idx="0">
                  <c:v>Greenhouse</c:v>
                </c:pt>
                <c:pt idx="1">
                  <c:v>Quesadilla</c:v>
                </c:pt>
                <c:pt idx="2">
                  <c:v>Hoop</c:v>
                </c:pt>
              </c:strCache>
            </c:strRef>
          </c:cat>
          <c:val>
            <c:numRef>
              <c:f>summary!$E$69:$E$71</c:f>
              <c:numCache>
                <c:formatCode>General</c:formatCode>
                <c:ptCount val="3"/>
                <c:pt idx="0">
                  <c:v>288.75000000124999</c:v>
                </c:pt>
                <c:pt idx="1">
                  <c:v>352.66666666999998</c:v>
                </c:pt>
                <c:pt idx="2">
                  <c:v>166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21-4044-A4FD-26196D4616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5"/>
        <c:axId val="207335535"/>
        <c:axId val="207321807"/>
      </c:barChart>
      <c:catAx>
        <c:axId val="2073355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50000"/>
                <a:lumOff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207321807"/>
        <c:crosses val="autoZero"/>
        <c:auto val="1"/>
        <c:lblAlgn val="ctr"/>
        <c:lblOffset val="100"/>
        <c:noMultiLvlLbl val="0"/>
      </c:catAx>
      <c:valAx>
        <c:axId val="20732180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+mn-cs"/>
                  </a:defRPr>
                </a:pPr>
                <a:r>
                  <a:rPr lang="en-US"/>
                  <a:t>% Increase over intital cover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207335535"/>
        <c:crosses val="autoZero"/>
        <c:crossBetween val="between"/>
      </c:valAx>
      <c:spPr>
        <a:noFill/>
        <a:ln>
          <a:solidFill>
            <a:schemeClr val="tx1">
              <a:lumMod val="50000"/>
              <a:lumOff val="50000"/>
            </a:schemeClr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100" baseline="0">
          <a:solidFill>
            <a:sysClr val="windowText" lastClr="000000"/>
          </a:solidFill>
          <a:latin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5824759405074365"/>
          <c:y val="4.659678903773392E-2"/>
          <c:w val="0.8005669291338583"/>
          <c:h val="0.8416746864975212"/>
        </c:manualLayout>
      </c:layout>
      <c:barChart>
        <c:barDir val="col"/>
        <c:grouping val="clustered"/>
        <c:varyColors val="0"/>
        <c:ser>
          <c:idx val="0"/>
          <c:order val="0"/>
          <c:tx>
            <c:v>Native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summary!$E$121:$E$123</c:f>
                <c:numCache>
                  <c:formatCode>General</c:formatCode>
                  <c:ptCount val="3"/>
                  <c:pt idx="0">
                    <c:v>7.0368906647505192</c:v>
                  </c:pt>
                  <c:pt idx="1">
                    <c:v>3.8914857849614739</c:v>
                  </c:pt>
                  <c:pt idx="2">
                    <c:v>4.006017655502319</c:v>
                  </c:pt>
                </c:numCache>
              </c:numRef>
            </c:plus>
            <c:minus>
              <c:numRef>
                <c:f>summary!$E$121:$E$123</c:f>
                <c:numCache>
                  <c:formatCode>General</c:formatCode>
                  <c:ptCount val="3"/>
                  <c:pt idx="0">
                    <c:v>7.0368906647505192</c:v>
                  </c:pt>
                  <c:pt idx="1">
                    <c:v>3.8914857849614739</c:v>
                  </c:pt>
                  <c:pt idx="2">
                    <c:v>4.006017655502319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summary!$A$121:$A$123</c:f>
              <c:strCache>
                <c:ptCount val="3"/>
                <c:pt idx="0">
                  <c:v>Greenhouse</c:v>
                </c:pt>
                <c:pt idx="1">
                  <c:v>Quesadilla</c:v>
                </c:pt>
                <c:pt idx="2">
                  <c:v>Hoop House</c:v>
                </c:pt>
              </c:strCache>
            </c:strRef>
          </c:cat>
          <c:val>
            <c:numRef>
              <c:f>summary!$D$121:$D$123</c:f>
              <c:numCache>
                <c:formatCode>General</c:formatCode>
                <c:ptCount val="3"/>
                <c:pt idx="0">
                  <c:v>80.134678943108227</c:v>
                </c:pt>
                <c:pt idx="1">
                  <c:v>33.167674594234235</c:v>
                </c:pt>
                <c:pt idx="2">
                  <c:v>30.745814790792849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B6-4279-9446-63EE70BBCE3E}"/>
            </c:ext>
          </c:extLst>
        </c:ser>
        <c:ser>
          <c:idx val="1"/>
          <c:order val="1"/>
          <c:tx>
            <c:v>Sand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summary!$E$125:$E$127</c:f>
                <c:numCache>
                  <c:formatCode>General</c:formatCode>
                  <c:ptCount val="3"/>
                  <c:pt idx="0">
                    <c:v>3.8477939262323968</c:v>
                  </c:pt>
                  <c:pt idx="1">
                    <c:v>3.6264266309760944</c:v>
                  </c:pt>
                  <c:pt idx="2">
                    <c:v>3.3124980315411117</c:v>
                  </c:pt>
                </c:numCache>
              </c:numRef>
            </c:plus>
            <c:minus>
              <c:numRef>
                <c:f>summary!$E$125:$E$127</c:f>
                <c:numCache>
                  <c:formatCode>General</c:formatCode>
                  <c:ptCount val="3"/>
                  <c:pt idx="0">
                    <c:v>3.8477939262323968</c:v>
                  </c:pt>
                  <c:pt idx="1">
                    <c:v>3.6264266309760944</c:v>
                  </c:pt>
                  <c:pt idx="2">
                    <c:v>3.3124980315411117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summary!$A$121:$A$123</c:f>
              <c:strCache>
                <c:ptCount val="3"/>
                <c:pt idx="0">
                  <c:v>Greenhouse</c:v>
                </c:pt>
                <c:pt idx="1">
                  <c:v>Quesadilla</c:v>
                </c:pt>
                <c:pt idx="2">
                  <c:v>Hoop House</c:v>
                </c:pt>
              </c:strCache>
            </c:strRef>
          </c:cat>
          <c:val>
            <c:numRef>
              <c:f>summary!$D$125:$D$127</c:f>
              <c:numCache>
                <c:formatCode>General</c:formatCode>
                <c:ptCount val="3"/>
                <c:pt idx="0">
                  <c:v>39.292606230495949</c:v>
                </c:pt>
                <c:pt idx="1">
                  <c:v>29.516770396293946</c:v>
                </c:pt>
                <c:pt idx="2">
                  <c:v>25.324278698286452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EB6-4279-9446-63EE70BBCE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956387984"/>
        <c:axId val="956390064"/>
      </c:barChart>
      <c:catAx>
        <c:axId val="956387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85000"/>
                <a:lumOff val="1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956390064"/>
        <c:crosses val="autoZero"/>
        <c:auto val="1"/>
        <c:lblAlgn val="ctr"/>
        <c:lblOffset val="100"/>
        <c:noMultiLvlLbl val="0"/>
      </c:catAx>
      <c:valAx>
        <c:axId val="95639006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+mn-cs"/>
                  </a:defRPr>
                </a:pPr>
                <a:r>
                  <a:rPr lang="en-US"/>
                  <a:t>Chlorophyll a (ug/g soil)</a:t>
                </a:r>
              </a:p>
            </c:rich>
          </c:tx>
          <c:layout>
            <c:manualLayout>
              <c:xMode val="edge"/>
              <c:yMode val="edge"/>
              <c:x val="3.1208223972003499E-2"/>
              <c:y val="0.2456375907557009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956387984"/>
        <c:crosses val="autoZero"/>
        <c:crossBetween val="between"/>
      </c:valAx>
      <c:spPr>
        <a:noFill/>
        <a:ln>
          <a:solidFill>
            <a:schemeClr val="tx1">
              <a:lumMod val="85000"/>
              <a:lumOff val="15000"/>
            </a:schemeClr>
          </a:solidFill>
        </a:ln>
        <a:effectLst/>
      </c:spPr>
    </c:plotArea>
    <c:legend>
      <c:legendPos val="r"/>
      <c:layout>
        <c:manualLayout>
          <c:xMode val="edge"/>
          <c:yMode val="edge"/>
          <c:x val="0.75048118985126866"/>
          <c:y val="6.396836759041484E-2"/>
          <c:w val="0.12854746281714785"/>
          <c:h val="0.1563472747724716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100" baseline="0">
          <a:solidFill>
            <a:schemeClr val="tx1"/>
          </a:solidFill>
          <a:latin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96768040071981"/>
          <c:y val="0.11029266558710847"/>
          <c:w val="0.83459736151517494"/>
          <c:h val="0.81989044284722856"/>
        </c:manualLayout>
      </c:layout>
      <c:barChart>
        <c:barDir val="col"/>
        <c:grouping val="stacked"/>
        <c:varyColors val="0"/>
        <c:ser>
          <c:idx val="0"/>
          <c:order val="0"/>
          <c:tx>
            <c:v>Cyanobacteria</c:v>
          </c:tx>
          <c:spPr>
            <a:solidFill>
              <a:schemeClr val="bg2">
                <a:lumMod val="50000"/>
              </a:schemeClr>
            </a:solidFill>
            <a:ln>
              <a:solidFill>
                <a:schemeClr val="tx1">
                  <a:lumMod val="85000"/>
                  <a:lumOff val="15000"/>
                </a:schemeClr>
              </a:solidFill>
            </a:ln>
            <a:effectLst/>
          </c:spPr>
          <c:invertIfNegative val="0"/>
          <c:cat>
            <c:multiLvlStrRef>
              <c:f>summary!$A$134:$B$140</c:f>
              <c:multiLvlStrCache>
                <c:ptCount val="7"/>
                <c:lvl>
                  <c:pt idx="0">
                    <c:v>native</c:v>
                  </c:pt>
                  <c:pt idx="1">
                    <c:v>native</c:v>
                  </c:pt>
                  <c:pt idx="2">
                    <c:v>native</c:v>
                  </c:pt>
                  <c:pt idx="4">
                    <c:v>sand</c:v>
                  </c:pt>
                  <c:pt idx="5">
                    <c:v>sand</c:v>
                  </c:pt>
                  <c:pt idx="6">
                    <c:v>sand</c:v>
                  </c:pt>
                </c:lvl>
                <c:lvl>
                  <c:pt idx="0">
                    <c:v>GH</c:v>
                  </c:pt>
                  <c:pt idx="1">
                    <c:v>Quesadilla</c:v>
                  </c:pt>
                  <c:pt idx="2">
                    <c:v>Hoop</c:v>
                  </c:pt>
                  <c:pt idx="4">
                    <c:v>GH</c:v>
                  </c:pt>
                  <c:pt idx="5">
                    <c:v>Quesadilla</c:v>
                  </c:pt>
                  <c:pt idx="6">
                    <c:v>Hoop</c:v>
                  </c:pt>
                </c:lvl>
              </c:multiLvlStrCache>
            </c:multiLvlStrRef>
          </c:cat>
          <c:val>
            <c:numRef>
              <c:f>summary!$D$134:$D$140</c:f>
              <c:numCache>
                <c:formatCode>General</c:formatCode>
                <c:ptCount val="7"/>
                <c:pt idx="0">
                  <c:v>61.111111111111001</c:v>
                </c:pt>
                <c:pt idx="1">
                  <c:v>62.888888888888999</c:v>
                </c:pt>
                <c:pt idx="2">
                  <c:v>40</c:v>
                </c:pt>
                <c:pt idx="4">
                  <c:v>58.111111111111001</c:v>
                </c:pt>
                <c:pt idx="5">
                  <c:v>68</c:v>
                </c:pt>
                <c:pt idx="6">
                  <c:v>28.777777777777999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60-4093-8B98-CA1FDC09D748}"/>
            </c:ext>
          </c:extLst>
        </c:ser>
        <c:ser>
          <c:idx val="1"/>
          <c:order val="1"/>
          <c:tx>
            <c:v>Lichen</c:v>
          </c:tx>
          <c:spPr>
            <a:solidFill>
              <a:schemeClr val="accent2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multiLvlStrRef>
              <c:f>summary!$A$134:$B$140</c:f>
              <c:multiLvlStrCache>
                <c:ptCount val="7"/>
                <c:lvl>
                  <c:pt idx="0">
                    <c:v>native</c:v>
                  </c:pt>
                  <c:pt idx="1">
                    <c:v>native</c:v>
                  </c:pt>
                  <c:pt idx="2">
                    <c:v>native</c:v>
                  </c:pt>
                  <c:pt idx="4">
                    <c:v>sand</c:v>
                  </c:pt>
                  <c:pt idx="5">
                    <c:v>sand</c:v>
                  </c:pt>
                  <c:pt idx="6">
                    <c:v>sand</c:v>
                  </c:pt>
                </c:lvl>
                <c:lvl>
                  <c:pt idx="0">
                    <c:v>GH</c:v>
                  </c:pt>
                  <c:pt idx="1">
                    <c:v>Quesadilla</c:v>
                  </c:pt>
                  <c:pt idx="2">
                    <c:v>Hoop</c:v>
                  </c:pt>
                  <c:pt idx="4">
                    <c:v>GH</c:v>
                  </c:pt>
                  <c:pt idx="5">
                    <c:v>Quesadilla</c:v>
                  </c:pt>
                  <c:pt idx="6">
                    <c:v>Hoop</c:v>
                  </c:pt>
                </c:lvl>
              </c:multiLvlStrCache>
            </c:multiLvlStrRef>
          </c:cat>
          <c:val>
            <c:numRef>
              <c:f>summary!$E$134:$E$140</c:f>
              <c:numCache>
                <c:formatCode>General</c:formatCode>
                <c:ptCount val="7"/>
                <c:pt idx="0">
                  <c:v>5.1111111111111001</c:v>
                </c:pt>
                <c:pt idx="1">
                  <c:v>8.2222222222222001</c:v>
                </c:pt>
                <c:pt idx="2">
                  <c:v>8.7777777777777999</c:v>
                </c:pt>
                <c:pt idx="4">
                  <c:v>4.2222222222222001</c:v>
                </c:pt>
                <c:pt idx="5">
                  <c:v>7.6666666666666998</c:v>
                </c:pt>
                <c:pt idx="6">
                  <c:v>5.5555555555555998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360-4093-8B98-CA1FDC09D748}"/>
            </c:ext>
          </c:extLst>
        </c:ser>
        <c:ser>
          <c:idx val="2"/>
          <c:order val="2"/>
          <c:tx>
            <c:v>Moss</c:v>
          </c:tx>
          <c:spPr>
            <a:solidFill>
              <a:schemeClr val="accent6">
                <a:lumMod val="75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summary!$M$134:$M$140</c:f>
                <c:numCache>
                  <c:formatCode>General</c:formatCode>
                  <c:ptCount val="7"/>
                  <c:pt idx="0">
                    <c:v>5.8048636107645999</c:v>
                  </c:pt>
                  <c:pt idx="1">
                    <c:v>8.1344904352099991</c:v>
                  </c:pt>
                  <c:pt idx="2">
                    <c:v>7.134357428575</c:v>
                  </c:pt>
                  <c:pt idx="4">
                    <c:v>8.5470630968596009</c:v>
                  </c:pt>
                  <c:pt idx="5">
                    <c:v>8.7046261041846993</c:v>
                  </c:pt>
                  <c:pt idx="6">
                    <c:v>5.4884840156571002</c:v>
                  </c:pt>
                </c:numCache>
              </c:numRef>
            </c:plus>
            <c:minus>
              <c:numRef>
                <c:f>summary!$M$134:$M$140</c:f>
                <c:numCache>
                  <c:formatCode>General</c:formatCode>
                  <c:ptCount val="7"/>
                  <c:pt idx="0">
                    <c:v>5.8048636107645999</c:v>
                  </c:pt>
                  <c:pt idx="1">
                    <c:v>8.1344904352099991</c:v>
                  </c:pt>
                  <c:pt idx="2">
                    <c:v>7.134357428575</c:v>
                  </c:pt>
                  <c:pt idx="4">
                    <c:v>8.5470630968596009</c:v>
                  </c:pt>
                  <c:pt idx="5">
                    <c:v>8.7046261041846993</c:v>
                  </c:pt>
                  <c:pt idx="6">
                    <c:v>5.4884840156571002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multiLvlStrRef>
              <c:f>summary!$A$134:$B$140</c:f>
              <c:multiLvlStrCache>
                <c:ptCount val="7"/>
                <c:lvl>
                  <c:pt idx="0">
                    <c:v>native</c:v>
                  </c:pt>
                  <c:pt idx="1">
                    <c:v>native</c:v>
                  </c:pt>
                  <c:pt idx="2">
                    <c:v>native</c:v>
                  </c:pt>
                  <c:pt idx="4">
                    <c:v>sand</c:v>
                  </c:pt>
                  <c:pt idx="5">
                    <c:v>sand</c:v>
                  </c:pt>
                  <c:pt idx="6">
                    <c:v>sand</c:v>
                  </c:pt>
                </c:lvl>
                <c:lvl>
                  <c:pt idx="0">
                    <c:v>GH</c:v>
                  </c:pt>
                  <c:pt idx="1">
                    <c:v>Quesadilla</c:v>
                  </c:pt>
                  <c:pt idx="2">
                    <c:v>Hoop</c:v>
                  </c:pt>
                  <c:pt idx="4">
                    <c:v>GH</c:v>
                  </c:pt>
                  <c:pt idx="5">
                    <c:v>Quesadilla</c:v>
                  </c:pt>
                  <c:pt idx="6">
                    <c:v>Hoop</c:v>
                  </c:pt>
                </c:lvl>
              </c:multiLvlStrCache>
            </c:multiLvlStrRef>
          </c:cat>
          <c:val>
            <c:numRef>
              <c:f>summary!$F$134:$F$140</c:f>
              <c:numCache>
                <c:formatCode>General</c:formatCode>
                <c:ptCount val="7"/>
                <c:pt idx="0">
                  <c:v>13.555555555555999</c:v>
                </c:pt>
                <c:pt idx="1">
                  <c:v>2.8888888888888999</c:v>
                </c:pt>
                <c:pt idx="2">
                  <c:v>3.4444444444443998</c:v>
                </c:pt>
                <c:pt idx="4">
                  <c:v>14.666666666667</c:v>
                </c:pt>
                <c:pt idx="5">
                  <c:v>1.4444444444444</c:v>
                </c:pt>
                <c:pt idx="6">
                  <c:v>2.5555555555556002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360-4093-8B98-CA1FDC09D7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5"/>
        <c:overlap val="100"/>
        <c:axId val="845088016"/>
        <c:axId val="845088432"/>
      </c:barChart>
      <c:catAx>
        <c:axId val="84508801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845088432"/>
        <c:crosses val="autoZero"/>
        <c:auto val="1"/>
        <c:lblAlgn val="ctr"/>
        <c:lblOffset val="100"/>
        <c:noMultiLvlLbl val="0"/>
      </c:catAx>
      <c:valAx>
        <c:axId val="845088432"/>
        <c:scaling>
          <c:orientation val="minMax"/>
          <c:max val="1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+mn-cs"/>
                  </a:defRPr>
                </a:pPr>
                <a:r>
                  <a:rPr lang="en-US"/>
                  <a:t>% Cover by functional group</a:t>
                </a:r>
              </a:p>
            </c:rich>
          </c:tx>
          <c:layout>
            <c:manualLayout>
              <c:xMode val="edge"/>
              <c:yMode val="edge"/>
              <c:x val="5.025351625675553E-3"/>
              <c:y val="0.1355926943627879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45088016"/>
        <c:crosses val="autoZero"/>
        <c:crossBetween val="between"/>
      </c:valAx>
      <c:spPr>
        <a:noFill/>
        <a:ln>
          <a:solidFill>
            <a:schemeClr val="tx1">
              <a:lumMod val="85000"/>
              <a:lumOff val="15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11372281950028006"/>
          <c:y val="0.10194127020846648"/>
          <c:w val="0.88011113713474354"/>
          <c:h val="8.617630866873388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100" baseline="0">
          <a:solidFill>
            <a:schemeClr val="tx1"/>
          </a:solidFill>
          <a:latin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367551808667758"/>
          <c:y val="6.0185185185185182E-2"/>
          <c:w val="0.8549904696997459"/>
          <c:h val="0.8416746864975212"/>
        </c:manualLayout>
      </c:layout>
      <c:barChart>
        <c:barDir val="col"/>
        <c:grouping val="clustered"/>
        <c:varyColors val="0"/>
        <c:ser>
          <c:idx val="0"/>
          <c:order val="0"/>
          <c:tx>
            <c:v>Loosely Bound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summary!$G$148:$G$150</c:f>
                <c:numCache>
                  <c:formatCode>General</c:formatCode>
                  <c:ptCount val="3"/>
                  <c:pt idx="0">
                    <c:v>88.512500535000001</c:v>
                  </c:pt>
                  <c:pt idx="1">
                    <c:v>33.441081777000001</c:v>
                  </c:pt>
                  <c:pt idx="2">
                    <c:v>90.950901977000001</c:v>
                  </c:pt>
                </c:numCache>
              </c:numRef>
            </c:plus>
            <c:minus>
              <c:numRef>
                <c:f>summary!$G$148:$G$150</c:f>
                <c:numCache>
                  <c:formatCode>General</c:formatCode>
                  <c:ptCount val="3"/>
                  <c:pt idx="0">
                    <c:v>88.512500535000001</c:v>
                  </c:pt>
                  <c:pt idx="1">
                    <c:v>33.441081777000001</c:v>
                  </c:pt>
                  <c:pt idx="2">
                    <c:v>90.950901977000001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summary!$A$121:$A$123</c:f>
              <c:strCache>
                <c:ptCount val="3"/>
                <c:pt idx="0">
                  <c:v>Greenhouse</c:v>
                </c:pt>
                <c:pt idx="1">
                  <c:v>Quesadilla</c:v>
                </c:pt>
                <c:pt idx="2">
                  <c:v>Hoop House</c:v>
                </c:pt>
              </c:strCache>
            </c:strRef>
          </c:cat>
          <c:val>
            <c:numRef>
              <c:f>summary!$C$148:$C$150</c:f>
              <c:numCache>
                <c:formatCode>General</c:formatCode>
                <c:ptCount val="3"/>
                <c:pt idx="0">
                  <c:v>522.40899999999999</c:v>
                </c:pt>
                <c:pt idx="1">
                  <c:v>338.95</c:v>
                </c:pt>
                <c:pt idx="2">
                  <c:v>269.90699999999998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61-4E03-9BB3-C3647E040C08}"/>
            </c:ext>
          </c:extLst>
        </c:ser>
        <c:ser>
          <c:idx val="1"/>
          <c:order val="1"/>
          <c:tx>
            <c:v>Tightly bound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summary!$H$148:$H$150</c:f>
                <c:numCache>
                  <c:formatCode>General</c:formatCode>
                  <c:ptCount val="3"/>
                  <c:pt idx="0">
                    <c:v>22.833833179999999</c:v>
                  </c:pt>
                  <c:pt idx="1">
                    <c:v>53.593117915999997</c:v>
                  </c:pt>
                  <c:pt idx="2">
                    <c:v>102.61280247000001</c:v>
                  </c:pt>
                </c:numCache>
              </c:numRef>
            </c:plus>
            <c:minus>
              <c:numRef>
                <c:f>summary!$H$148:$H$150</c:f>
                <c:numCache>
                  <c:formatCode>General</c:formatCode>
                  <c:ptCount val="3"/>
                  <c:pt idx="0">
                    <c:v>22.833833179999999</c:v>
                  </c:pt>
                  <c:pt idx="1">
                    <c:v>53.593117915999997</c:v>
                  </c:pt>
                  <c:pt idx="2">
                    <c:v>102.61280247000001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summary!$D$148:$D$150</c:f>
              <c:numCache>
                <c:formatCode>General</c:formatCode>
                <c:ptCount val="3"/>
                <c:pt idx="0">
                  <c:v>475.61900000000003</c:v>
                </c:pt>
                <c:pt idx="1">
                  <c:v>395.22699999999998</c:v>
                </c:pt>
                <c:pt idx="2">
                  <c:v>356.20299999999997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561-4E03-9BB3-C3647E040C08}"/>
            </c:ext>
          </c:extLst>
        </c:ser>
        <c:ser>
          <c:idx val="2"/>
          <c:order val="2"/>
          <c:tx>
            <c:v>Sheath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summary!$I$148:$I$150</c:f>
                <c:numCache>
                  <c:formatCode>General</c:formatCode>
                  <c:ptCount val="3"/>
                  <c:pt idx="0">
                    <c:v>40.949540349000003</c:v>
                  </c:pt>
                  <c:pt idx="1">
                    <c:v>54.702953114000003</c:v>
                  </c:pt>
                  <c:pt idx="2">
                    <c:v>160.09419867</c:v>
                  </c:pt>
                </c:numCache>
              </c:numRef>
            </c:plus>
            <c:minus>
              <c:numRef>
                <c:f>summary!$I$148:$I$150</c:f>
                <c:numCache>
                  <c:formatCode>General</c:formatCode>
                  <c:ptCount val="3"/>
                  <c:pt idx="0">
                    <c:v>40.949540349000003</c:v>
                  </c:pt>
                  <c:pt idx="1">
                    <c:v>54.702953114000003</c:v>
                  </c:pt>
                  <c:pt idx="2">
                    <c:v>160.09419867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summary!$E$148:$E$150</c:f>
              <c:numCache>
                <c:formatCode>General</c:formatCode>
                <c:ptCount val="3"/>
                <c:pt idx="0">
                  <c:v>652.596</c:v>
                </c:pt>
                <c:pt idx="1">
                  <c:v>537.59699999999998</c:v>
                </c:pt>
                <c:pt idx="2">
                  <c:v>512.86099999999999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561-4E03-9BB3-C3647E040C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85251728"/>
        <c:axId val="385240080"/>
      </c:barChart>
      <c:catAx>
        <c:axId val="385251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85000"/>
                <a:lumOff val="1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385240080"/>
        <c:crosses val="autoZero"/>
        <c:auto val="1"/>
        <c:lblAlgn val="ctr"/>
        <c:lblOffset val="100"/>
        <c:noMultiLvlLbl val="0"/>
      </c:catAx>
      <c:valAx>
        <c:axId val="38524008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+mn-cs"/>
                  </a:defRPr>
                </a:pPr>
                <a:r>
                  <a:rPr lang="en-US"/>
                  <a:t>EPS (ug/g soil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385251728"/>
        <c:crosses val="autoZero"/>
        <c:crossBetween val="between"/>
      </c:valAx>
      <c:spPr>
        <a:noFill/>
        <a:ln>
          <a:solidFill>
            <a:schemeClr val="tx1">
              <a:lumMod val="85000"/>
              <a:lumOff val="15000"/>
            </a:schemeClr>
          </a:solidFill>
        </a:ln>
        <a:effectLst/>
      </c:spPr>
    </c:plotArea>
    <c:legend>
      <c:legendPos val="r"/>
      <c:layout>
        <c:manualLayout>
          <c:xMode val="edge"/>
          <c:yMode val="edge"/>
          <c:x val="0.25720653872824445"/>
          <c:y val="6.3367235345581807E-2"/>
          <c:w val="0.58379680664916889"/>
          <c:h val="0.109376640419947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100" baseline="0">
          <a:solidFill>
            <a:schemeClr val="tx1"/>
          </a:solidFill>
          <a:latin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428625</xdr:colOff>
      <xdr:row>24</xdr:row>
      <xdr:rowOff>90487</xdr:rowOff>
    </xdr:from>
    <xdr:to>
      <xdr:col>23</xdr:col>
      <xdr:colOff>123825</xdr:colOff>
      <xdr:row>36</xdr:row>
      <xdr:rowOff>109537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F4CFD82-75D9-4C57-A56F-8AE3DAF893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228600</xdr:colOff>
      <xdr:row>34</xdr:row>
      <xdr:rowOff>6667</xdr:rowOff>
    </xdr:from>
    <xdr:to>
      <xdr:col>23</xdr:col>
      <xdr:colOff>457200</xdr:colOff>
      <xdr:row>59</xdr:row>
      <xdr:rowOff>142875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442E2E5-E839-4AD3-855B-21301BB05D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161926</xdr:colOff>
      <xdr:row>58</xdr:row>
      <xdr:rowOff>75247</xdr:rowOff>
    </xdr:from>
    <xdr:to>
      <xdr:col>16</xdr:col>
      <xdr:colOff>293371</xdr:colOff>
      <xdr:row>74</xdr:row>
      <xdr:rowOff>105727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76CC9B9-085B-4E4C-8A79-4085C2069D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533400</xdr:colOff>
      <xdr:row>115</xdr:row>
      <xdr:rowOff>166687</xdr:rowOff>
    </xdr:from>
    <xdr:to>
      <xdr:col>18</xdr:col>
      <xdr:colOff>104775</xdr:colOff>
      <xdr:row>131</xdr:row>
      <xdr:rowOff>52387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80E5288-904C-253B-FCCA-BA7902FCB6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100012</xdr:colOff>
      <xdr:row>133</xdr:row>
      <xdr:rowOff>171450</xdr:rowOff>
    </xdr:from>
    <xdr:to>
      <xdr:col>19</xdr:col>
      <xdr:colOff>476250</xdr:colOff>
      <xdr:row>146</xdr:row>
      <xdr:rowOff>176212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432BFEE-FA17-A90C-8F2D-D5812EC685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423861</xdr:colOff>
      <xdr:row>134</xdr:row>
      <xdr:rowOff>185737</xdr:rowOff>
    </xdr:from>
    <xdr:to>
      <xdr:col>21</xdr:col>
      <xdr:colOff>333374</xdr:colOff>
      <xdr:row>149</xdr:row>
      <xdr:rowOff>71437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77FD6169-74DC-9702-E5B0-6332C8D7FB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ita Joy Antoninka" refreshedDate="43684.584382060188" createdVersion="6" refreshedVersion="6" minRefreshableVersion="3" recordCount="48" xr:uid="{A1F42434-346D-43FC-A255-9824CB06927E}">
  <cacheSource type="worksheet">
    <worksheetSource ref="F1:Y49" sheet="EPS"/>
  </cacheSource>
  <cacheFields count="20">
    <cacheField name="Date ran" numFmtId="14">
      <sharedItems containsSemiMixedTypes="0" containsNonDate="0" containsDate="1" containsString="0" minDate="2019-07-15T00:00:00" maxDate="2019-07-16T00:00:00"/>
    </cacheField>
    <cacheField name="Plot number" numFmtId="0">
      <sharedItems containsMixedTypes="1" containsNumber="1" containsInteger="1" minValue="4" maxValue="108" count="16">
        <n v="4"/>
        <n v="18"/>
        <n v="30"/>
        <n v="32"/>
        <n v="33"/>
        <n v="43"/>
        <n v="50"/>
        <n v="51"/>
        <n v="64"/>
        <n v="71"/>
        <n v="92"/>
        <n v="96"/>
        <n v="97"/>
        <n v="100"/>
        <n v="108"/>
        <s v="blank"/>
      </sharedItems>
    </cacheField>
    <cacheField name="irrigation type" numFmtId="0">
      <sharedItems/>
    </cacheField>
    <cacheField name="soil" numFmtId="0">
      <sharedItems/>
    </cacheField>
    <cacheField name="jute" numFmtId="0">
      <sharedItems/>
    </cacheField>
    <cacheField name="inoc" numFmtId="0">
      <sharedItems/>
    </cacheField>
    <cacheField name="rep" numFmtId="0">
      <sharedItems containsSemiMixedTypes="0" containsString="0" containsNumber="1" containsInteger="1" minValue="1" maxValue="3"/>
    </cacheField>
    <cacheField name="weight" numFmtId="0">
      <sharedItems containsMixedTypes="1" containsNumber="1" minValue="29.4" maxValue="277"/>
    </cacheField>
    <cacheField name="LB" numFmtId="0">
      <sharedItems containsSemiMixedTypes="0" containsString="0" containsNumber="1" minValue="-1E-3" maxValue="0.42599999999999999"/>
    </cacheField>
    <cacheField name="TB" numFmtId="0">
      <sharedItems containsSemiMixedTypes="0" containsString="0" containsNumber="1" minValue="6.0000000000000001E-3" maxValue="0.29299999999999998"/>
    </cacheField>
    <cacheField name="G" numFmtId="0">
      <sharedItems containsMixedTypes="1" containsNumber="1" minValue="5.0000000000000001E-3" maxValue="0.34100000000000003"/>
    </cacheField>
    <cacheField name="LBmg_L" numFmtId="0">
      <sharedItems containsSemiMixedTypes="0" containsString="0" containsNumber="1" minValue="0.57084299999999999" maxValue="42.782781999999997"/>
    </cacheField>
    <cacheField name="LBug" numFmtId="2">
      <sharedItems containsSemiMixedTypes="0" containsString="0" containsNumber="1" minValue="3.4250579999999999" maxValue="251.49220799999998"/>
    </cacheField>
    <cacheField name="LBug_g" numFmtId="2">
      <sharedItems containsMixedTypes="1" containsNumber="1" minValue="106.27725907990315" maxValue="1533.2922448979593" count="46">
        <n v="200.86482071713147"/>
        <n v="134.16972667295005"/>
        <n v="140.20240231548476"/>
        <n v="1533.2922448979593"/>
        <n v="226.39007633587786"/>
        <n v="243.59014373716641"/>
        <n v="186.08376470588234"/>
        <n v="186.29369675090251"/>
        <n v="235.30941176470589"/>
        <n v="106.27725907990315"/>
        <n v="119.85619517003448"/>
        <n v="143.02714893617022"/>
        <n v="169.39581133708353"/>
        <n v="189.99283018867922"/>
        <n v="233.86574667323814"/>
        <n v="343.80992459943457"/>
        <n v="345.18448108632407"/>
        <n v="318.83443929564413"/>
        <n v="326.37000000000012"/>
        <n v="410.76315789473688"/>
        <n v="372.6821415929204"/>
        <n v="153.44967164179101"/>
        <n v="172.16668539325846"/>
        <n v="158.87732142857138"/>
        <n v="302.08995102840356"/>
        <n v="615.55290680100745"/>
        <n v="563.85441624365478"/>
        <n v="293.4940462889067"/>
        <n v="319.44312796208533"/>
        <n v="387.67450980392152"/>
        <n v="217.39386574074078"/>
        <n v="287.08915630550626"/>
        <n v="257.75901098901102"/>
        <n v="207.69410641200545"/>
        <n v="303.6092135877152"/>
        <n v="279.81009808500698"/>
        <n v="404.9262705436156"/>
        <n v="426.61502976190479"/>
        <n v="422.43283902439026"/>
        <n v="1096.4225631252978"/>
        <n v="1126.1847193062526"/>
        <n v="1180.7145915492956"/>
        <n v="418.07365638766527"/>
        <n v="738.86200692041507"/>
        <n v="468.55509589041094"/>
        <s v="NA"/>
      </sharedItems>
    </cacheField>
    <cacheField name="TBmg_L" numFmtId="2">
      <sharedItems containsSemiMixedTypes="0" containsString="0" containsNumber="1" minValue="10.402200000000001" maxValue="39.60445"/>
    </cacheField>
    <cacheField name="TBug" numFmtId="2">
      <sharedItems containsSemiMixedTypes="0" containsString="0" containsNumber="1" minValue="23.605999999999995" maxValue="168.905"/>
    </cacheField>
    <cacheField name="TBug_g" numFmtId="2">
      <sharedItems containsMixedTypes="1" containsNumber="1" minValue="94.197924980047873" maxValue="1778.8945578231301" count="46">
        <n v="269.57669322709171"/>
        <n v="289.61828463713499"/>
        <n v="214.00385914134111"/>
        <n v="1778.8945578231301"/>
        <n v="359.36132315521638"/>
        <n v="230.87012320328557"/>
        <n v="190.53186274509804"/>
        <n v="235.09025270758121"/>
        <n v="352.62197902416784"/>
        <n v="333.08958837772406"/>
        <n v="215.63578117299176"/>
        <n v="241.50591016548472"/>
        <n v="202.53137170056254"/>
        <n v="208.05397103992976"/>
        <n v="221.65352390340084"/>
        <n v="355.7893496701227"/>
        <n v="345.41707080504375"/>
        <n v="256.49675625579255"/>
        <n v="387.5263157894737"/>
        <n v="514.85687903970472"/>
        <n v="474.53318584070803"/>
        <n v="232.86069651741295"/>
        <n v="204.83380149812749"/>
        <n v="240.03054511278202"/>
        <n v="827.15475024485806"/>
        <n v="647.91939546599485"/>
        <n v="734.3654822335028"/>
        <n v="94.197924980047873"/>
        <n v="288.4597156398105"/>
        <n v="323.96591970121375"/>
        <n v="376.06674382716056"/>
        <n v="389.46936056838376"/>
        <n v="401.51098901098902"/>
        <n v="443.2764893133243"/>
        <n v="561.5425779432295"/>
        <n v="520.86875291919682"/>
        <n v="565.1348504003372"/>
        <n v="528.93849206349228"/>
        <n v="603.55121951219519"/>
        <n v="388.77322534540269"/>
        <n v="344.5846645367414"/>
        <n v="414.64319248826303"/>
        <n v="488.57929515418527"/>
        <n v="617.64211566979736"/>
        <n v="489.70091324200922"/>
        <s v="NA"/>
      </sharedItems>
    </cacheField>
    <cacheField name="Gmg_L" numFmtId="2">
      <sharedItems containsMixedTypes="1" containsNumber="1" minValue="0.29185000000000005" maxValue="34.34545" count="43">
        <n v="9.6160499999999995"/>
        <n v="11.44035"/>
        <n v="11.744399999999999"/>
        <n v="13.7714"/>
        <n v="17.521349999999998"/>
        <n v="11.339"/>
        <n v="21.169949999999996"/>
        <n v="14.075449999999998"/>
        <n v="8.2985000000000007"/>
        <n v="11.541700000000001"/>
        <n v="12.149799999999999"/>
        <n v="14.582199999999998"/>
        <n v="13.366"/>
        <n v="14.987599999999999"/>
        <n v="15.392999999999999"/>
        <n v="16.609200000000001"/>
        <n v="22.082100000000001"/>
        <n v="21.98075"/>
        <n v="10.426849999999998"/>
        <n v="13.67005"/>
        <n v="11.947099999999999"/>
        <n v="28.771199999999997"/>
        <n v="34.34545"/>
        <n v="30.190099999999997"/>
        <n v="15.899750000000001"/>
        <n v="17.419999999999998"/>
        <n v="16.507850000000001"/>
        <n v="20.764549999999996"/>
        <n v="25.426649999999999"/>
        <n v="19.649699999999999"/>
        <n v="27.555"/>
        <n v="27.1496"/>
        <n v="29.176599999999997"/>
        <n v="26.440149999999999"/>
        <n v="22.994250000000001"/>
        <n v="23.095600000000001"/>
        <n v="16.001100000000001"/>
        <n v="15.595699999999999"/>
        <n v="25.832049999999999"/>
        <n v="33.129249999999999"/>
        <n v="0.39319999999999999"/>
        <n v="0.29185000000000005"/>
        <s v="NA"/>
      </sharedItems>
    </cacheField>
    <cacheField name="Gug" numFmtId="2">
      <sharedItems containsMixedTypes="1" containsNumber="1" minValue="1.7511000000000005" maxValue="204.01755" count="43">
        <n v="55.641149999999996"/>
        <n v="66.586950000000002"/>
        <n v="68.411249999999981"/>
        <n v="80.573249999999987"/>
        <n v="103.07294999999999"/>
        <n v="65.978849999999994"/>
        <n v="124.96454999999999"/>
        <n v="82.397549999999995"/>
        <n v="47.735850000000006"/>
        <n v="67.195049999999995"/>
        <n v="70.843649999999982"/>
        <n v="85.43804999999999"/>
        <n v="78.140849999999986"/>
        <n v="87.870449999999991"/>
        <n v="90.302849999999992"/>
        <n v="97.600049999999996"/>
        <n v="130.43745000000001"/>
        <n v="129.82935000000001"/>
        <n v="60.505949999999984"/>
        <n v="79.965149999999994"/>
        <n v="69.627449999999982"/>
        <n v="170.57204999999999"/>
        <n v="204.01755"/>
        <n v="179.08544999999998"/>
        <n v="93.343350000000001"/>
        <n v="102.46484999999998"/>
        <n v="96.991950000000003"/>
        <n v="122.53214999999999"/>
        <n v="150.50475"/>
        <n v="115.84304999999999"/>
        <n v="163.27485000000001"/>
        <n v="160.84245000000001"/>
        <n v="173.00444999999999"/>
        <n v="156.58574999999999"/>
        <n v="135.91035000000002"/>
        <n v="136.51845000000003"/>
        <n v="93.951449999999994"/>
        <n v="91.519049999999993"/>
        <n v="152.93715"/>
        <n v="196.72035"/>
        <n v="2.3592"/>
        <n v="1.7511000000000005"/>
        <s v="NA"/>
      </sharedItems>
    </cacheField>
    <cacheField name="Gug_g" numFmtId="2">
      <sharedItems containsMixedTypes="1" containsNumber="1" minValue="231.1663438256659" maxValue="2740.5867346938771" count="46">
        <n v="277.09736055776892"/>
        <n v="313.79335532516495"/>
        <n v="330.01085383502158"/>
        <n v="2740.5867346938771"/>
        <n v="524.54427480916024"/>
        <n v="338.70046201232032"/>
        <n v="335.34926470588226"/>
        <n v="451.13555956678692"/>
        <n v="375.72982216142265"/>
        <n v="231.1663438256659"/>
        <n v="331.17323804829965"/>
        <n v="334.95815602836871"/>
        <n v="348.65101687581131"/>
        <n v="374.89271610355411"/>
        <n v="385.12000985707238"/>
        <n v="414.09260131950987"/>
        <n v="437.93816682832198"/>
        <n v="452.2708526413345"/>
        <n v="624.10263157894747"/>
        <n v="602.20429362880895"/>
        <n v="574.4661504424779"/>
        <n v="301.02462686567156"/>
        <n v="374.3686797752809"/>
        <n v="327.19666353383445"/>
        <n v="835.31856023506361"/>
        <n v="1027.7962216624685"/>
        <n v="826.42108906322107"/>
        <n v="372.47944932162812"/>
        <n v="441.46854803963799"/>
        <n v="452.81022408963588"/>
        <n v="472.73206018518516"/>
        <n v="668.31594138543517"/>
        <n v="578.63661338661336"/>
        <n v="742.4959072305594"/>
        <n v="748.45253606328527"/>
        <n v="808.05441382531524"/>
        <n v="659.86409608091014"/>
        <n v="674.15848214285722"/>
        <n v="665.94365853658553"/>
        <n v="447.60100047641731"/>
        <n v="417.70447284345045"/>
        <n v="441.08661971830986"/>
        <n v="673.73193832599122"/>
        <n v="972.41893227879382"/>
        <n v="817.7417808219177"/>
        <s v="N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">
  <r>
    <d v="2019-07-15T00:00:00"/>
    <x v="0"/>
    <s v="Hoop"/>
    <s v="native"/>
    <s v="J_direct"/>
    <s v="B"/>
    <n v="1"/>
    <n v="200.8"/>
    <n v="7.0000000000000007E-2"/>
    <n v="0.105"/>
    <n v="9.7000000000000003E-2"/>
    <n v="7.58969"/>
    <n v="40.333655999999998"/>
    <x v="0"/>
    <n v="20.475450000000002"/>
    <n v="54.131000000000014"/>
    <x v="0"/>
    <x v="0"/>
    <x v="0"/>
    <x v="0"/>
  </r>
  <r>
    <d v="2019-07-15T00:00:00"/>
    <x v="0"/>
    <s v="Hoop"/>
    <s v="native"/>
    <s v="J_direct"/>
    <s v="B"/>
    <n v="2"/>
    <n v="212.2"/>
    <n v="0.05"/>
    <n v="0.11700000000000001"/>
    <n v="0.115"/>
    <n v="5.6125499999999997"/>
    <n v="28.470815999999999"/>
    <x v="1"/>
    <n v="21.696450000000006"/>
    <n v="61.45700000000005"/>
    <x v="1"/>
    <x v="1"/>
    <x v="1"/>
    <x v="1"/>
  </r>
  <r>
    <d v="2019-07-15T00:00:00"/>
    <x v="0"/>
    <s v="Hoop"/>
    <s v="native"/>
    <s v="J_direct"/>
    <s v="B"/>
    <n v="3"/>
    <n v="207.3"/>
    <n v="5.0999999999999997E-2"/>
    <n v="8.8999999999999996E-2"/>
    <n v="0.11799999999999999"/>
    <n v="5.7114069999999995"/>
    <n v="29.063957999999992"/>
    <x v="2"/>
    <n v="18.847450000000002"/>
    <n v="44.363000000000014"/>
    <x v="2"/>
    <x v="2"/>
    <x v="2"/>
    <x v="2"/>
  </r>
  <r>
    <d v="2019-07-15T00:00:00"/>
    <x v="1"/>
    <s v="Hoop"/>
    <s v="native"/>
    <s v="J_direct"/>
    <s v="B"/>
    <n v="1"/>
    <n v="29.4"/>
    <n v="7.8E-2"/>
    <n v="0.10199999999999999"/>
    <n v="0.13800000000000001"/>
    <n v="8.3805460000000007"/>
    <n v="45.078792"/>
    <x v="3"/>
    <n v="20.170200000000001"/>
    <n v="52.299500000000023"/>
    <x v="3"/>
    <x v="3"/>
    <x v="3"/>
    <x v="3"/>
  </r>
  <r>
    <d v="2019-07-15T00:00:00"/>
    <x v="1"/>
    <s v="Hoop"/>
    <s v="native"/>
    <s v="J_direct"/>
    <s v="B"/>
    <n v="2"/>
    <n v="196.5"/>
    <n v="7.6999999999999999E-2"/>
    <n v="0.13200000000000001"/>
    <n v="0.17499999999999999"/>
    <n v="8.2816890000000001"/>
    <n v="44.48565"/>
    <x v="4"/>
    <n v="23.222700000000003"/>
    <n v="70.614500000000021"/>
    <x v="4"/>
    <x v="4"/>
    <x v="4"/>
    <x v="4"/>
  </r>
  <r>
    <d v="2019-07-15T00:00:00"/>
    <x v="1"/>
    <s v="Hoop"/>
    <s v="native"/>
    <s v="J_direct"/>
    <s v="B"/>
    <n v="3"/>
    <n v="194.8"/>
    <n v="8.2000000000000003E-2"/>
    <n v="0.09"/>
    <n v="0.114"/>
    <n v="8.7759740000000015"/>
    <n v="47.451360000000015"/>
    <x v="5"/>
    <n v="18.949200000000001"/>
    <n v="44.97350000000003"/>
    <x v="5"/>
    <x v="5"/>
    <x v="5"/>
    <x v="5"/>
  </r>
  <r>
    <d v="2019-07-15T00:00:00"/>
    <x v="2"/>
    <s v="Hoop"/>
    <s v="native"/>
    <s v="J_direct"/>
    <s v="B"/>
    <n v="1"/>
    <n v="204"/>
    <n v="6.6000000000000003E-2"/>
    <n v="0.08"/>
    <n v="0.11799999999999999"/>
    <n v="7.1942620000000002"/>
    <n v="37.961087999999997"/>
    <x v="6"/>
    <n v="17.931699999999999"/>
    <n v="38.868499999999997"/>
    <x v="6"/>
    <x v="2"/>
    <x v="2"/>
    <x v="6"/>
  </r>
  <r>
    <d v="2019-07-15T00:00:00"/>
    <x v="2"/>
    <s v="Hoop"/>
    <s v="native"/>
    <s v="J_direct"/>
    <s v="B"/>
    <n v="2"/>
    <n v="277"/>
    <n v="8.8999999999999996E-2"/>
    <n v="0.123"/>
    <n v="0.21099999999999999"/>
    <n v="9.4679730000000006"/>
    <n v="51.603354000000003"/>
    <x v="7"/>
    <n v="22.306950000000001"/>
    <n v="65.12"/>
    <x v="7"/>
    <x v="6"/>
    <x v="6"/>
    <x v="7"/>
  </r>
  <r>
    <d v="2019-07-15T00:00:00"/>
    <x v="2"/>
    <s v="Hoop"/>
    <s v="native"/>
    <s v="J_direct"/>
    <s v="B"/>
    <n v="3"/>
    <n v="219.3"/>
    <n v="8.8999999999999996E-2"/>
    <n v="0.14299999999999999"/>
    <n v="0.14099999999999999"/>
    <n v="9.4679730000000006"/>
    <n v="51.603354000000003"/>
    <x v="8"/>
    <n v="24.341950000000001"/>
    <n v="77.330000000000013"/>
    <x v="8"/>
    <x v="7"/>
    <x v="7"/>
    <x v="8"/>
  </r>
  <r>
    <d v="2019-07-15T00:00:00"/>
    <x v="3"/>
    <s v="Hoop"/>
    <s v="native"/>
    <s v="J_direct"/>
    <s v="B"/>
    <n v="1"/>
    <n v="206.5"/>
    <n v="3.9E-2"/>
    <n v="0.129"/>
    <n v="8.4000000000000005E-2"/>
    <n v="4.5251229999999998"/>
    <n v="21.946254"/>
    <x v="9"/>
    <n v="22.917450000000002"/>
    <n v="68.783000000000015"/>
    <x v="9"/>
    <x v="8"/>
    <x v="8"/>
    <x v="9"/>
  </r>
  <r>
    <d v="2019-07-15T00:00:00"/>
    <x v="3"/>
    <s v="Hoop"/>
    <s v="native"/>
    <s v="J_direct"/>
    <s v="B"/>
    <n v="2"/>
    <n v="202.9"/>
    <n v="4.2999999999999997E-2"/>
    <n v="8.7999999999999995E-2"/>
    <n v="0.11600000000000001"/>
    <n v="4.9205509999999997"/>
    <n v="24.318821999999997"/>
    <x v="10"/>
    <n v="18.745700000000003"/>
    <n v="43.752500000000026"/>
    <x v="10"/>
    <x v="9"/>
    <x v="9"/>
    <x v="10"/>
  </r>
  <r>
    <d v="2019-07-15T00:00:00"/>
    <x v="3"/>
    <s v="Hoop"/>
    <s v="native"/>
    <s v="J_direct"/>
    <s v="B"/>
    <n v="3"/>
    <n v="211.5"/>
    <n v="5.2999999999999999E-2"/>
    <n v="0.1"/>
    <n v="0.122"/>
    <n v="5.9091209999999998"/>
    <n v="30.250242"/>
    <x v="11"/>
    <n v="19.966700000000003"/>
    <n v="51.07850000000002"/>
    <x v="11"/>
    <x v="10"/>
    <x v="10"/>
    <x v="11"/>
  </r>
  <r>
    <d v="2019-07-15T00:00:00"/>
    <x v="4"/>
    <s v="Hoop"/>
    <s v="native"/>
    <s v="J_direct"/>
    <s v="B"/>
    <n v="1"/>
    <n v="231.1"/>
    <n v="6.8000000000000005E-2"/>
    <n v="9.2999999999999999E-2"/>
    <n v="0.13800000000000001"/>
    <n v="7.3919760000000005"/>
    <n v="39.147372000000004"/>
    <x v="12"/>
    <n v="19.254450000000002"/>
    <n v="46.805000000000007"/>
    <x v="12"/>
    <x v="3"/>
    <x v="3"/>
    <x v="12"/>
  </r>
  <r>
    <d v="2019-07-15T00:00:00"/>
    <x v="4"/>
    <s v="Hoop"/>
    <s v="native"/>
    <s v="J_direct"/>
    <s v="B"/>
    <n v="2"/>
    <n v="227.9"/>
    <n v="7.4999999999999997E-2"/>
    <n v="9.4E-2"/>
    <n v="0.14599999999999999"/>
    <n v="8.0839750000000006"/>
    <n v="43.299365999999999"/>
    <x v="13"/>
    <n v="19.356200000000001"/>
    <n v="47.415499999999994"/>
    <x v="13"/>
    <x v="11"/>
    <x v="11"/>
    <x v="13"/>
  </r>
  <r>
    <d v="2019-07-15T00:00:00"/>
    <x v="4"/>
    <s v="Hoop"/>
    <s v="native"/>
    <s v="J_direct"/>
    <s v="B"/>
    <n v="3"/>
    <n v="202.9"/>
    <n v="8.2000000000000003E-2"/>
    <n v="0.09"/>
    <n v="0.13400000000000001"/>
    <n v="8.7759740000000015"/>
    <n v="47.451360000000015"/>
    <x v="14"/>
    <n v="18.949200000000001"/>
    <n v="44.97350000000003"/>
    <x v="14"/>
    <x v="12"/>
    <x v="12"/>
    <x v="14"/>
  </r>
  <r>
    <d v="2019-07-15T00:00:00"/>
    <x v="5"/>
    <s v="Quesadilla"/>
    <s v="native"/>
    <s v="J_direct"/>
    <s v="B"/>
    <n v="1"/>
    <n v="212.2"/>
    <n v="0.125"/>
    <n v="0.14000000000000001"/>
    <n v="0.15"/>
    <n v="13.026825000000001"/>
    <n v="72.95646600000002"/>
    <x v="15"/>
    <n v="24.036700000000003"/>
    <n v="75.498500000000035"/>
    <x v="15"/>
    <x v="13"/>
    <x v="13"/>
    <x v="15"/>
  </r>
  <r>
    <d v="2019-07-15T00:00:00"/>
    <x v="5"/>
    <s v="Quesadilla"/>
    <s v="native"/>
    <s v="J_direct"/>
    <s v="B"/>
    <n v="2"/>
    <n v="206.2"/>
    <n v="0.122"/>
    <n v="0.13300000000000001"/>
    <n v="0.154"/>
    <n v="12.730254"/>
    <n v="71.177040000000019"/>
    <x v="16"/>
    <n v="23.324450000000002"/>
    <n v="71.225000000000023"/>
    <x v="16"/>
    <x v="14"/>
    <x v="14"/>
    <x v="16"/>
  </r>
  <r>
    <d v="2019-07-15T00:00:00"/>
    <x v="5"/>
    <s v="Quesadilla"/>
    <s v="native"/>
    <s v="J_direct"/>
    <s v="B"/>
    <n v="3"/>
    <n v="215.8"/>
    <n v="0.11799999999999999"/>
    <n v="0.107"/>
    <n v="0.16600000000000001"/>
    <n v="12.334826"/>
    <n v="68.804472000000004"/>
    <x v="17"/>
    <n v="20.678950000000004"/>
    <n v="55.352000000000032"/>
    <x v="17"/>
    <x v="15"/>
    <x v="15"/>
    <x v="17"/>
  </r>
  <r>
    <d v="2019-07-15T00:00:00"/>
    <x v="6"/>
    <s v="Quesadilla"/>
    <s v="native"/>
    <s v="J_direct"/>
    <s v="B"/>
    <n v="1"/>
    <n v="209"/>
    <n v="0.11700000000000001"/>
    <n v="0.14899999999999999"/>
    <n v="0.22"/>
    <n v="12.235969000000001"/>
    <n v="68.211330000000018"/>
    <x v="18"/>
    <n v="24.952450000000002"/>
    <n v="80.992999999999995"/>
    <x v="18"/>
    <x v="16"/>
    <x v="16"/>
    <x v="18"/>
  </r>
  <r>
    <d v="2019-07-15T00:00:00"/>
    <x v="6"/>
    <s v="Quesadilla"/>
    <s v="native"/>
    <s v="J_direct"/>
    <s v="B"/>
    <n v="2"/>
    <n v="216.6"/>
    <n v="0.152"/>
    <n v="0.19900000000000001"/>
    <n v="0.22"/>
    <n v="15.695964"/>
    <n v="88.971299999999999"/>
    <x v="19"/>
    <n v="30.039950000000005"/>
    <n v="111.51800000000003"/>
    <x v="19"/>
    <x v="16"/>
    <x v="16"/>
    <x v="19"/>
  </r>
  <r>
    <d v="2019-07-15T00:00:00"/>
    <x v="6"/>
    <s v="Quesadilla"/>
    <s v="native"/>
    <s v="J_direct"/>
    <s v="B"/>
    <n v="3"/>
    <n v="226"/>
    <n v="0.14399999999999999"/>
    <n v="0.192"/>
    <n v="0.219"/>
    <n v="14.905108"/>
    <n v="84.226164000000011"/>
    <x v="20"/>
    <n v="29.327700000000004"/>
    <n v="107.24450000000002"/>
    <x v="20"/>
    <x v="17"/>
    <x v="17"/>
    <x v="20"/>
  </r>
  <r>
    <d v="2019-07-15T00:00:00"/>
    <x v="7"/>
    <s v="Quesadilla"/>
    <s v="native"/>
    <s v="J_direct"/>
    <s v="B"/>
    <n v="1"/>
    <n v="201"/>
    <n v="5.3999999999999999E-2"/>
    <n v="9.2999999999999999E-2"/>
    <n v="0.105"/>
    <n v="6.0079779999999996"/>
    <n v="30.843383999999993"/>
    <x v="21"/>
    <n v="19.254450000000002"/>
    <n v="46.805000000000007"/>
    <x v="21"/>
    <x v="18"/>
    <x v="18"/>
    <x v="21"/>
  </r>
  <r>
    <d v="2019-07-15T00:00:00"/>
    <x v="7"/>
    <s v="Quesadilla"/>
    <s v="native"/>
    <s v="J_direct"/>
    <s v="B"/>
    <n v="2"/>
    <n v="213.6"/>
    <n v="6.4000000000000001E-2"/>
    <n v="8.7999999999999995E-2"/>
    <n v="0.13700000000000001"/>
    <n v="6.9965479999999998"/>
    <n v="36.774804000000003"/>
    <x v="22"/>
    <n v="18.745700000000003"/>
    <n v="43.752500000000026"/>
    <x v="22"/>
    <x v="19"/>
    <x v="19"/>
    <x v="22"/>
  </r>
  <r>
    <d v="2019-07-15T00:00:00"/>
    <x v="7"/>
    <s v="Quesadilla"/>
    <s v="native"/>
    <s v="J_direct"/>
    <s v="B"/>
    <n v="3"/>
    <n v="212.8"/>
    <n v="5.8999999999999997E-2"/>
    <n v="0.1"/>
    <n v="0.12"/>
    <n v="6.5022629999999992"/>
    <n v="33.809093999999995"/>
    <x v="23"/>
    <n v="19.966700000000003"/>
    <n v="51.07850000000002"/>
    <x v="23"/>
    <x v="20"/>
    <x v="20"/>
    <x v="23"/>
  </r>
  <r>
    <d v="2019-07-15T00:00:00"/>
    <x v="8"/>
    <s v="Quesadilla"/>
    <s v="native"/>
    <s v="J_direct"/>
    <s v="B"/>
    <n v="1"/>
    <n v="204.2"/>
    <n v="0.106"/>
    <n v="0.29299999999999998"/>
    <n v="0.28599999999999998"/>
    <n v="11.148542000000001"/>
    <n v="61.686768000000008"/>
    <x v="24"/>
    <n v="39.60445"/>
    <n v="168.905"/>
    <x v="24"/>
    <x v="21"/>
    <x v="21"/>
    <x v="24"/>
  </r>
  <r>
    <d v="2019-07-15T00:00:00"/>
    <x v="8"/>
    <s v="Quesadilla"/>
    <s v="native"/>
    <s v="J_direct"/>
    <s v="B"/>
    <n v="2"/>
    <n v="198.5"/>
    <n v="0.20799999999999999"/>
    <n v="0.22700000000000001"/>
    <n v="0.34100000000000003"/>
    <n v="21.231955999999997"/>
    <n v="122.18725199999999"/>
    <x v="25"/>
    <n v="32.888950000000001"/>
    <n v="128.61199999999999"/>
    <x v="25"/>
    <x v="22"/>
    <x v="22"/>
    <x v="25"/>
  </r>
  <r>
    <d v="2019-07-15T00:00:00"/>
    <x v="8"/>
    <s v="Quesadilla"/>
    <s v="native"/>
    <s v="J_direct"/>
    <s v="B"/>
    <n v="3"/>
    <n v="216.7"/>
    <n v="0.20799999999999999"/>
    <n v="0.27700000000000002"/>
    <n v="0.3"/>
    <n v="21.231955999999997"/>
    <n v="122.18725199999999"/>
    <x v="26"/>
    <n v="37.97645"/>
    <n v="159.13700000000003"/>
    <x v="26"/>
    <x v="23"/>
    <x v="23"/>
    <x v="26"/>
  </r>
  <r>
    <d v="2019-07-15T00:00:00"/>
    <x v="9"/>
    <s v="Quesadilla"/>
    <s v="native"/>
    <s v="J_direct"/>
    <s v="B"/>
    <n v="1"/>
    <n v="250.6"/>
    <n v="0.126"/>
    <n v="5.5E-2"/>
    <n v="0.159"/>
    <n v="13.125682000000001"/>
    <n v="73.549608000000021"/>
    <x v="27"/>
    <n v="15.38795"/>
    <n v="23.605999999999995"/>
    <x v="27"/>
    <x v="24"/>
    <x v="24"/>
    <x v="27"/>
  </r>
  <r>
    <d v="2019-07-15T00:00:00"/>
    <x v="9"/>
    <s v="Quesadilla"/>
    <s v="native"/>
    <s v="J_direct"/>
    <s v="B"/>
    <n v="2"/>
    <n v="232.1"/>
    <n v="0.127"/>
    <n v="0.126"/>
    <n v="0.17399999999999999"/>
    <n v="13.224539"/>
    <n v="74.142750000000007"/>
    <x v="28"/>
    <n v="22.612200000000001"/>
    <n v="66.95150000000001"/>
    <x v="28"/>
    <x v="25"/>
    <x v="25"/>
    <x v="28"/>
  </r>
  <r>
    <d v="2019-07-15T00:00:00"/>
    <x v="9"/>
    <s v="Quesadilla"/>
    <s v="native"/>
    <s v="J_direct"/>
    <s v="B"/>
    <n v="3"/>
    <n v="214.2"/>
    <n v="0.14199999999999999"/>
    <n v="0.13"/>
    <n v="0.16500000000000001"/>
    <n v="14.707393999999999"/>
    <n v="83.039879999999997"/>
    <x v="29"/>
    <n v="23.019200000000001"/>
    <n v="69.393499999999989"/>
    <x v="29"/>
    <x v="26"/>
    <x v="26"/>
    <x v="29"/>
  </r>
  <r>
    <d v="2019-07-15T00:00:00"/>
    <x v="10"/>
    <s v="GH"/>
    <s v="native"/>
    <s v="J_direct"/>
    <s v="B"/>
    <n v="1"/>
    <n v="259.2"/>
    <n v="9.7000000000000003E-2"/>
    <n v="0.17599999999999999"/>
    <n v="0.20699999999999999"/>
    <n v="10.258829"/>
    <n v="56.348490000000005"/>
    <x v="30"/>
    <n v="27.699700000000004"/>
    <n v="97.476500000000016"/>
    <x v="30"/>
    <x v="27"/>
    <x v="27"/>
    <x v="30"/>
  </r>
  <r>
    <d v="2019-07-15T00:00:00"/>
    <x v="10"/>
    <s v="GH"/>
    <s v="native"/>
    <s v="J_direct"/>
    <s v="B"/>
    <n v="2"/>
    <n v="225.2"/>
    <n v="0.111"/>
    <n v="0.16"/>
    <n v="0.253"/>
    <n v="11.642827"/>
    <n v="64.652478000000002"/>
    <x v="31"/>
    <n v="26.071700000000003"/>
    <n v="87.708500000000015"/>
    <x v="31"/>
    <x v="28"/>
    <x v="28"/>
    <x v="31"/>
  </r>
  <r>
    <d v="2019-07-15T00:00:00"/>
    <x v="10"/>
    <s v="GH"/>
    <s v="native"/>
    <s v="J_direct"/>
    <s v="B"/>
    <n v="3"/>
    <n v="200.2"/>
    <n v="8.8999999999999996E-2"/>
    <n v="0.14799999999999999"/>
    <n v="0.19600000000000001"/>
    <n v="9.4679730000000006"/>
    <n v="51.603354000000003"/>
    <x v="32"/>
    <n v="24.8507"/>
    <n v="80.382499999999993"/>
    <x v="32"/>
    <x v="29"/>
    <x v="29"/>
    <x v="32"/>
  </r>
  <r>
    <d v="2019-07-15T00:00:00"/>
    <x v="11"/>
    <s v="GH"/>
    <s v="native"/>
    <s v="J_direct"/>
    <s v="B"/>
    <n v="1"/>
    <n v="219.9"/>
    <n v="7.9000000000000001E-2"/>
    <n v="0.17599999999999999"/>
    <n v="0.27400000000000002"/>
    <n v="8.4794029999999996"/>
    <n v="45.671934"/>
    <x v="33"/>
    <n v="27.699700000000004"/>
    <n v="97.476500000000016"/>
    <x v="33"/>
    <x v="30"/>
    <x v="30"/>
    <x v="33"/>
  </r>
  <r>
    <d v="2019-07-15T00:00:00"/>
    <x v="11"/>
    <s v="GH"/>
    <s v="native"/>
    <s v="J_direct"/>
    <s v="B"/>
    <n v="2"/>
    <n v="214.9"/>
    <n v="0.112"/>
    <n v="0.214"/>
    <n v="0.27"/>
    <n v="11.741684000000001"/>
    <n v="65.245620000000002"/>
    <x v="34"/>
    <n v="31.566200000000002"/>
    <n v="120.67550000000003"/>
    <x v="34"/>
    <x v="31"/>
    <x v="31"/>
    <x v="34"/>
  </r>
  <r>
    <d v="2019-07-15T00:00:00"/>
    <x v="11"/>
    <s v="GH"/>
    <s v="native"/>
    <s v="J_direct"/>
    <s v="B"/>
    <n v="3"/>
    <n v="214.1"/>
    <n v="0.10299999999999999"/>
    <n v="0.19900000000000001"/>
    <n v="0.28999999999999998"/>
    <n v="10.851971000000001"/>
    <n v="59.907341999999993"/>
    <x v="35"/>
    <n v="30.039950000000005"/>
    <n v="111.51800000000003"/>
    <x v="35"/>
    <x v="32"/>
    <x v="32"/>
    <x v="35"/>
  </r>
  <r>
    <d v="2019-07-15T00:00:00"/>
    <x v="12"/>
    <s v="GH"/>
    <s v="native"/>
    <s v="J_direct"/>
    <s v="B"/>
    <n v="1"/>
    <n v="237.3"/>
    <n v="0.16400000000000001"/>
    <n v="0.23599999999999999"/>
    <n v="0.26300000000000001"/>
    <n v="16.882248000000001"/>
    <n v="96.089003999999989"/>
    <x v="36"/>
    <n v="33.804699999999997"/>
    <n v="134.10650000000001"/>
    <x v="36"/>
    <x v="33"/>
    <x v="33"/>
    <x v="36"/>
  </r>
  <r>
    <d v="2019-07-15T00:00:00"/>
    <x v="12"/>
    <s v="GH"/>
    <s v="native"/>
    <s v="J_direct"/>
    <s v="B"/>
    <n v="2"/>
    <n v="201.6"/>
    <n v="0.14699999999999999"/>
    <n v="0.191"/>
    <n v="0.22900000000000001"/>
    <n v="15.201679"/>
    <n v="86.005590000000012"/>
    <x v="37"/>
    <n v="29.225950000000005"/>
    <n v="106.63400000000004"/>
    <x v="37"/>
    <x v="34"/>
    <x v="34"/>
    <x v="37"/>
  </r>
  <r>
    <d v="2019-07-15T00:00:00"/>
    <x v="12"/>
    <s v="GH"/>
    <s v="native"/>
    <s v="J_direct"/>
    <s v="B"/>
    <n v="3"/>
    <n v="205"/>
    <n v="0.14799999999999999"/>
    <n v="0.219"/>
    <n v="0.23"/>
    <n v="15.300535999999999"/>
    <n v="86.598731999999998"/>
    <x v="38"/>
    <n v="32.074950000000001"/>
    <n v="123.72800000000001"/>
    <x v="38"/>
    <x v="35"/>
    <x v="35"/>
    <x v="38"/>
  </r>
  <r>
    <d v="2019-07-15T00:00:00"/>
    <x v="13"/>
    <s v="GH"/>
    <s v="native"/>
    <s v="J_direct"/>
    <s v="B"/>
    <n v="1"/>
    <n v="209.9"/>
    <n v="0.39"/>
    <n v="0.15"/>
    <n v="0.16"/>
    <n v="39.223930000000003"/>
    <n v="230.13909600000002"/>
    <x v="39"/>
    <n v="25.054200000000002"/>
    <n v="81.603500000000025"/>
    <x v="39"/>
    <x v="36"/>
    <x v="36"/>
    <x v="39"/>
  </r>
  <r>
    <d v="2019-07-15T00:00:00"/>
    <x v="13"/>
    <s v="GH"/>
    <s v="native"/>
    <s v="J_direct"/>
    <s v="B"/>
    <n v="2"/>
    <n v="219.1"/>
    <n v="0.41799999999999998"/>
    <n v="0.14000000000000001"/>
    <n v="0.156"/>
    <n v="41.991925999999999"/>
    <n v="246.74707199999995"/>
    <x v="40"/>
    <n v="24.036700000000003"/>
    <n v="75.498500000000035"/>
    <x v="40"/>
    <x v="37"/>
    <x v="37"/>
    <x v="40"/>
  </r>
  <r>
    <d v="2019-07-15T00:00:00"/>
    <x v="13"/>
    <s v="GH"/>
    <s v="native"/>
    <s v="J_direct"/>
    <s v="B"/>
    <n v="3"/>
    <n v="213"/>
    <n v="0.42599999999999999"/>
    <n v="0.161"/>
    <n v="0.16"/>
    <n v="42.782781999999997"/>
    <n v="251.49220799999998"/>
    <x v="41"/>
    <n v="26.173450000000003"/>
    <n v="88.319000000000017"/>
    <x v="41"/>
    <x v="36"/>
    <x v="36"/>
    <x v="41"/>
  </r>
  <r>
    <d v="2019-07-15T00:00:00"/>
    <x v="14"/>
    <s v="GH"/>
    <s v="native"/>
    <s v="J_direct"/>
    <s v="B"/>
    <n v="1"/>
    <n v="227"/>
    <n v="0.16200000000000001"/>
    <n v="0.19800000000000001"/>
    <n v="0.25700000000000001"/>
    <n v="16.684533999999999"/>
    <n v="94.902720000000016"/>
    <x v="42"/>
    <n v="29.938200000000005"/>
    <n v="110.90750000000006"/>
    <x v="42"/>
    <x v="38"/>
    <x v="38"/>
    <x v="42"/>
  </r>
  <r>
    <d v="2019-07-15T00:00:00"/>
    <x v="14"/>
    <s v="GH"/>
    <s v="native"/>
    <s v="J_direct"/>
    <s v="B"/>
    <n v="2"/>
    <n v="202.3"/>
    <n v="0.254"/>
    <n v="0.221"/>
    <n v="0.32900000000000001"/>
    <n v="25.779377999999998"/>
    <n v="149.47178399999999"/>
    <x v="43"/>
    <n v="32.278449999999999"/>
    <n v="124.94900000000001"/>
    <x v="43"/>
    <x v="39"/>
    <x v="39"/>
    <x v="43"/>
  </r>
  <r>
    <d v="2019-07-15T00:00:00"/>
    <x v="14"/>
    <s v="GH"/>
    <s v="native"/>
    <s v="J_direct"/>
    <s v="B"/>
    <n v="3"/>
    <n v="219"/>
    <n v="0.17499999999999999"/>
    <n v="0.192"/>
    <n v="0.3"/>
    <n v="17.969674999999999"/>
    <n v="102.61356599999999"/>
    <x v="44"/>
    <n v="29.327700000000004"/>
    <n v="107.24450000000002"/>
    <x v="44"/>
    <x v="23"/>
    <x v="23"/>
    <x v="44"/>
  </r>
  <r>
    <d v="2019-07-15T00:00:00"/>
    <x v="15"/>
    <s v="blank"/>
    <s v="blank"/>
    <s v="blank"/>
    <s v="blank"/>
    <n v="1"/>
    <s v="NA"/>
    <n v="-1E-3"/>
    <n v="6.0000000000000001E-3"/>
    <n v="6.0000000000000001E-3"/>
    <n v="0.57084299999999999"/>
    <n v="3.4250579999999999"/>
    <x v="45"/>
    <n v="10.402200000000001"/>
    <n v="62.413200000000003"/>
    <x v="45"/>
    <x v="40"/>
    <x v="40"/>
    <x v="45"/>
  </r>
  <r>
    <d v="2019-07-15T00:00:00"/>
    <x v="15"/>
    <s v="blank"/>
    <s v="blank"/>
    <s v="blank"/>
    <s v="blank"/>
    <n v="2"/>
    <s v="NA"/>
    <n v="5.0000000000000001E-3"/>
    <n v="1.7999999999999999E-2"/>
    <n v="5.0000000000000001E-3"/>
    <n v="1.163985"/>
    <n v="6.9839099999999998"/>
    <x v="45"/>
    <n v="11.623200000000001"/>
    <n v="69.739199999999997"/>
    <x v="45"/>
    <x v="41"/>
    <x v="41"/>
    <x v="45"/>
  </r>
  <r>
    <d v="2019-07-15T00:00:00"/>
    <x v="15"/>
    <s v="blank"/>
    <s v="blank"/>
    <s v="blank"/>
    <s v="blank"/>
    <n v="3"/>
    <s v="NA"/>
    <n v="2E-3"/>
    <n v="2.5000000000000001E-2"/>
    <s v="NA"/>
    <n v="0.86741399999999991"/>
    <n v="5.2044839999999999"/>
    <x v="45"/>
    <n v="12.33545"/>
    <n v="74.012699999999995"/>
    <x v="45"/>
    <x v="42"/>
    <x v="42"/>
    <x v="4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24B54F-6CBF-443D-8B9D-22C14A205DA7}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J20" firstHeaderRow="0" firstDataRow="1" firstDataCol="1"/>
  <pivotFields count="20">
    <pivotField numFmtId="14" showAll="0"/>
    <pivotField axis="axisRow"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numFmtId="2" showAll="0"/>
    <pivotField dataField="1" showAll="0">
      <items count="47">
        <item x="9"/>
        <item x="10"/>
        <item x="1"/>
        <item x="2"/>
        <item x="11"/>
        <item x="21"/>
        <item x="23"/>
        <item x="12"/>
        <item x="22"/>
        <item x="6"/>
        <item x="7"/>
        <item x="13"/>
        <item x="0"/>
        <item x="33"/>
        <item x="30"/>
        <item x="4"/>
        <item x="14"/>
        <item x="8"/>
        <item x="5"/>
        <item x="32"/>
        <item x="35"/>
        <item x="31"/>
        <item x="27"/>
        <item x="24"/>
        <item x="34"/>
        <item x="17"/>
        <item x="28"/>
        <item x="18"/>
        <item x="15"/>
        <item x="16"/>
        <item x="20"/>
        <item x="29"/>
        <item x="36"/>
        <item x="19"/>
        <item x="42"/>
        <item x="38"/>
        <item x="37"/>
        <item x="44"/>
        <item x="26"/>
        <item x="25"/>
        <item x="43"/>
        <item x="39"/>
        <item x="40"/>
        <item x="41"/>
        <item x="3"/>
        <item x="45"/>
        <item t="default"/>
      </items>
    </pivotField>
    <pivotField dataField="1" numFmtId="2" showAll="0"/>
    <pivotField dataField="1" numFmtId="2" showAll="0"/>
    <pivotField dataField="1" showAll="0">
      <items count="47">
        <item x="27"/>
        <item x="6"/>
        <item x="12"/>
        <item x="22"/>
        <item x="13"/>
        <item x="2"/>
        <item x="10"/>
        <item x="14"/>
        <item x="5"/>
        <item x="21"/>
        <item x="7"/>
        <item x="23"/>
        <item x="11"/>
        <item x="17"/>
        <item x="0"/>
        <item x="28"/>
        <item x="1"/>
        <item x="29"/>
        <item x="9"/>
        <item x="40"/>
        <item x="16"/>
        <item x="8"/>
        <item x="15"/>
        <item x="4"/>
        <item x="30"/>
        <item x="18"/>
        <item x="39"/>
        <item x="31"/>
        <item x="32"/>
        <item x="41"/>
        <item x="33"/>
        <item x="20"/>
        <item x="42"/>
        <item x="44"/>
        <item x="19"/>
        <item x="35"/>
        <item x="37"/>
        <item x="34"/>
        <item x="36"/>
        <item x="38"/>
        <item x="43"/>
        <item x="25"/>
        <item x="26"/>
        <item x="24"/>
        <item x="3"/>
        <item x="45"/>
        <item t="default"/>
      </items>
    </pivotField>
    <pivotField dataField="1" showAll="0">
      <items count="44">
        <item x="41"/>
        <item x="40"/>
        <item x="8"/>
        <item x="0"/>
        <item x="18"/>
        <item x="5"/>
        <item x="1"/>
        <item x="9"/>
        <item x="2"/>
        <item x="20"/>
        <item x="10"/>
        <item x="12"/>
        <item x="19"/>
        <item x="3"/>
        <item x="7"/>
        <item x="11"/>
        <item x="13"/>
        <item x="14"/>
        <item x="37"/>
        <item x="24"/>
        <item x="36"/>
        <item x="26"/>
        <item x="15"/>
        <item x="25"/>
        <item x="4"/>
        <item x="29"/>
        <item x="27"/>
        <item x="6"/>
        <item x="17"/>
        <item x="16"/>
        <item x="34"/>
        <item x="35"/>
        <item x="28"/>
        <item x="38"/>
        <item x="33"/>
        <item x="31"/>
        <item x="30"/>
        <item x="21"/>
        <item x="32"/>
        <item x="23"/>
        <item x="39"/>
        <item x="22"/>
        <item x="42"/>
        <item t="default"/>
      </items>
    </pivotField>
    <pivotField dataField="1" showAll="0">
      <items count="44">
        <item x="41"/>
        <item x="40"/>
        <item x="8"/>
        <item x="0"/>
        <item x="18"/>
        <item x="5"/>
        <item x="1"/>
        <item x="9"/>
        <item x="2"/>
        <item x="20"/>
        <item x="10"/>
        <item x="12"/>
        <item x="19"/>
        <item x="3"/>
        <item x="7"/>
        <item x="11"/>
        <item x="13"/>
        <item x="14"/>
        <item x="37"/>
        <item x="24"/>
        <item x="36"/>
        <item x="26"/>
        <item x="15"/>
        <item x="25"/>
        <item x="4"/>
        <item x="29"/>
        <item x="27"/>
        <item x="6"/>
        <item x="17"/>
        <item x="16"/>
        <item x="34"/>
        <item x="35"/>
        <item x="28"/>
        <item x="38"/>
        <item x="33"/>
        <item x="31"/>
        <item x="30"/>
        <item x="21"/>
        <item x="32"/>
        <item x="23"/>
        <item x="39"/>
        <item x="22"/>
        <item x="42"/>
        <item t="default"/>
      </items>
    </pivotField>
    <pivotField dataField="1" showAll="0">
      <items count="47">
        <item x="9"/>
        <item x="0"/>
        <item x="21"/>
        <item x="1"/>
        <item x="23"/>
        <item x="2"/>
        <item x="10"/>
        <item x="11"/>
        <item x="6"/>
        <item x="5"/>
        <item x="12"/>
        <item x="27"/>
        <item x="22"/>
        <item x="13"/>
        <item x="8"/>
        <item x="14"/>
        <item x="15"/>
        <item x="40"/>
        <item x="16"/>
        <item x="41"/>
        <item x="28"/>
        <item x="39"/>
        <item x="7"/>
        <item x="17"/>
        <item x="29"/>
        <item x="30"/>
        <item x="4"/>
        <item x="20"/>
        <item x="32"/>
        <item x="19"/>
        <item x="18"/>
        <item x="36"/>
        <item x="38"/>
        <item x="31"/>
        <item x="42"/>
        <item x="37"/>
        <item x="33"/>
        <item x="34"/>
        <item x="35"/>
        <item x="44"/>
        <item x="26"/>
        <item x="24"/>
        <item x="43"/>
        <item x="25"/>
        <item x="3"/>
        <item x="45"/>
        <item t="default"/>
      </items>
    </pivotField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Fields count="1">
    <field x="-2"/>
  </colFields>
  <colItems count="9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</colItems>
  <dataFields count="9">
    <dataField name="Average of LBmg_L" fld="11" subtotal="average" baseField="1" baseItem="0"/>
    <dataField name="Average of TBmg_L" fld="14" subtotal="average" baseField="1" baseItem="0"/>
    <dataField name="Average of LBug" fld="12" subtotal="average" baseField="1" baseItem="0"/>
    <dataField name="Average of LBug_g" fld="13" subtotal="average" baseField="1" baseItem="0"/>
    <dataField name="Average of TBug_g" fld="16" subtotal="average" baseField="1" baseItem="0"/>
    <dataField name="Average of Gug" fld="18" subtotal="average" baseField="1" baseItem="0"/>
    <dataField name="Average of Gug_g" fld="19" subtotal="average" baseField="1" baseItem="0"/>
    <dataField name="Average of Gmg_L" fld="17" subtotal="average" baseField="1" baseItem="0"/>
    <dataField name="Average of TBug" fld="15" subtotal="average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999"/>
  <sheetViews>
    <sheetView tabSelected="1" zoomScale="85" zoomScaleNormal="85" workbookViewId="0">
      <pane ySplit="1" topLeftCell="A2" activePane="bottomLeft" state="frozen"/>
      <selection pane="bottomLeft" activeCell="R11" sqref="R11"/>
    </sheetView>
  </sheetViews>
  <sheetFormatPr defaultColWidth="14.42578125" defaultRowHeight="15" customHeight="1" x14ac:dyDescent="0.25"/>
  <cols>
    <col min="1" max="1" width="4.7109375" customWidth="1"/>
    <col min="2" max="2" width="8.7109375" customWidth="1"/>
    <col min="3" max="6" width="6.140625" customWidth="1"/>
    <col min="7" max="7" width="7.42578125" customWidth="1"/>
    <col min="8" max="8" width="6.5703125" customWidth="1"/>
    <col min="9" max="9" width="6" customWidth="1"/>
    <col min="10" max="18" width="6.7109375" customWidth="1"/>
    <col min="19" max="20" width="5.42578125" customWidth="1"/>
    <col min="21" max="21" width="6.85546875" customWidth="1"/>
    <col min="22" max="22" width="6.5703125" customWidth="1"/>
    <col min="23" max="23" width="8.7109375" customWidth="1"/>
    <col min="24" max="24" width="5.7109375" customWidth="1"/>
    <col min="25" max="25" width="9.42578125" customWidth="1"/>
    <col min="26" max="27" width="6.7109375" customWidth="1"/>
    <col min="28" max="28" width="8" customWidth="1"/>
    <col min="29" max="29" width="8.7109375" customWidth="1"/>
    <col min="30" max="30" width="7.85546875" customWidth="1"/>
    <col min="31" max="33" width="5.7109375" customWidth="1"/>
    <col min="34" max="34" width="8.7109375" customWidth="1"/>
    <col min="35" max="35" width="5.5703125" customWidth="1"/>
    <col min="36" max="39" width="14.42578125" style="2" customWidth="1"/>
    <col min="40" max="44" width="9.140625" style="2"/>
    <col min="45" max="48" width="8.7109375" customWidth="1"/>
  </cols>
  <sheetData>
    <row r="1" spans="1:49" ht="14.25" customHeight="1" thickBot="1" x14ac:dyDescent="0.3">
      <c r="A1" s="34" t="s">
        <v>46</v>
      </c>
      <c r="B1" s="35" t="s">
        <v>2</v>
      </c>
      <c r="C1" s="35" t="s">
        <v>3</v>
      </c>
      <c r="D1" s="35" t="s">
        <v>4</v>
      </c>
      <c r="E1" s="36" t="s">
        <v>47</v>
      </c>
      <c r="F1" s="37" t="s">
        <v>48</v>
      </c>
      <c r="G1" s="37" t="s">
        <v>49</v>
      </c>
      <c r="H1" s="37" t="s">
        <v>50</v>
      </c>
      <c r="I1" s="37" t="s">
        <v>51</v>
      </c>
      <c r="J1" s="38" t="s">
        <v>52</v>
      </c>
      <c r="K1" s="49" t="s">
        <v>61</v>
      </c>
      <c r="L1" s="49" t="s">
        <v>64</v>
      </c>
      <c r="M1" s="49" t="s">
        <v>66</v>
      </c>
      <c r="N1" s="49" t="s">
        <v>65</v>
      </c>
      <c r="O1" s="49" t="s">
        <v>62</v>
      </c>
      <c r="P1" s="49" t="s">
        <v>63</v>
      </c>
      <c r="Q1" s="49"/>
      <c r="R1" s="49"/>
      <c r="S1" s="40" t="s">
        <v>54</v>
      </c>
      <c r="T1" s="41" t="s">
        <v>53</v>
      </c>
      <c r="U1" s="41" t="s">
        <v>55</v>
      </c>
      <c r="V1" s="41" t="s">
        <v>56</v>
      </c>
      <c r="W1" s="41" t="s">
        <v>57</v>
      </c>
      <c r="X1" s="41" t="s">
        <v>58</v>
      </c>
      <c r="Y1" s="49" t="s">
        <v>191</v>
      </c>
      <c r="Z1" s="49" t="s">
        <v>190</v>
      </c>
      <c r="AA1" s="49" t="s">
        <v>189</v>
      </c>
      <c r="AB1" s="49" t="s">
        <v>188</v>
      </c>
      <c r="AC1" s="49" t="s">
        <v>187</v>
      </c>
      <c r="AD1" s="49" t="s">
        <v>186</v>
      </c>
      <c r="AE1" s="41"/>
      <c r="AF1" s="41"/>
      <c r="AG1" s="41" t="s">
        <v>59</v>
      </c>
      <c r="AH1" s="41" t="s">
        <v>60</v>
      </c>
      <c r="AI1" s="42" t="s">
        <v>67</v>
      </c>
      <c r="AJ1" s="27" t="s">
        <v>37</v>
      </c>
      <c r="AK1" s="27" t="s">
        <v>38</v>
      </c>
      <c r="AL1" s="27" t="s">
        <v>40</v>
      </c>
      <c r="AM1" s="28" t="s">
        <v>68</v>
      </c>
      <c r="AN1" s="53" t="s">
        <v>32</v>
      </c>
      <c r="AO1" s="53" t="s">
        <v>34</v>
      </c>
      <c r="AP1" s="53" t="s">
        <v>35</v>
      </c>
      <c r="AQ1" s="53" t="s">
        <v>36</v>
      </c>
      <c r="AR1" s="53" t="s">
        <v>37</v>
      </c>
      <c r="AS1" s="53" t="s">
        <v>38</v>
      </c>
      <c r="AT1" s="53" t="s">
        <v>39</v>
      </c>
      <c r="AU1" s="53" t="s">
        <v>40</v>
      </c>
      <c r="AV1" s="53" t="s">
        <v>41</v>
      </c>
      <c r="AW1" s="53" t="s">
        <v>42</v>
      </c>
    </row>
    <row r="2" spans="1:49" ht="14.25" customHeight="1" thickBot="1" x14ac:dyDescent="0.3">
      <c r="A2" s="30">
        <v>1</v>
      </c>
      <c r="B2" s="31" t="s">
        <v>11</v>
      </c>
      <c r="C2" s="31" t="s">
        <v>14</v>
      </c>
      <c r="D2" s="31" t="s">
        <v>45</v>
      </c>
      <c r="E2" s="31" t="s">
        <v>1</v>
      </c>
      <c r="F2" s="33">
        <v>20</v>
      </c>
      <c r="G2" s="33">
        <v>5</v>
      </c>
      <c r="H2" s="31"/>
      <c r="I2" s="31"/>
      <c r="J2" s="31"/>
      <c r="K2" s="50">
        <f>F2*4</f>
        <v>80</v>
      </c>
      <c r="L2" s="50">
        <f t="shared" ref="L2:N5" si="0">H2*4</f>
        <v>0</v>
      </c>
      <c r="M2" s="50">
        <f t="shared" si="0"/>
        <v>0</v>
      </c>
      <c r="N2" s="50">
        <f t="shared" si="0"/>
        <v>0</v>
      </c>
      <c r="O2" s="50">
        <f>M2+N2</f>
        <v>0</v>
      </c>
      <c r="P2" s="50">
        <f>SUM(L2:N2)</f>
        <v>0</v>
      </c>
      <c r="Q2" s="50"/>
      <c r="R2" s="50"/>
      <c r="S2" s="44">
        <v>20</v>
      </c>
      <c r="T2" s="44">
        <v>5</v>
      </c>
      <c r="U2" s="44">
        <v>0</v>
      </c>
      <c r="V2" s="44">
        <v>0</v>
      </c>
      <c r="W2" s="44">
        <v>0</v>
      </c>
      <c r="X2" s="44">
        <v>0</v>
      </c>
      <c r="Y2" s="50">
        <v>80</v>
      </c>
      <c r="Z2" s="50">
        <v>0</v>
      </c>
      <c r="AA2" s="50">
        <v>0</v>
      </c>
      <c r="AB2" s="50">
        <v>0</v>
      </c>
      <c r="AC2" s="50">
        <v>0</v>
      </c>
      <c r="AD2" s="50">
        <f t="shared" ref="AD2:AD65" si="1">SUM(Z2:AB2)</f>
        <v>0</v>
      </c>
      <c r="AE2" s="44"/>
      <c r="AF2" s="44"/>
      <c r="AG2" s="44"/>
      <c r="AH2" s="44">
        <v>0</v>
      </c>
      <c r="AI2" s="39">
        <v>0</v>
      </c>
      <c r="AM2" s="29">
        <v>12.478132509440439</v>
      </c>
      <c r="AN2" s="54"/>
      <c r="AO2" s="54"/>
      <c r="AP2" s="54"/>
      <c r="AQ2" s="54"/>
      <c r="AR2" s="54"/>
      <c r="AS2" s="54"/>
      <c r="AT2" s="54"/>
      <c r="AU2" s="54"/>
      <c r="AV2" s="54"/>
      <c r="AW2" s="54"/>
    </row>
    <row r="3" spans="1:49" ht="14.25" customHeight="1" thickBot="1" x14ac:dyDescent="0.3">
      <c r="A3" s="30">
        <v>2</v>
      </c>
      <c r="B3" s="31" t="s">
        <v>11</v>
      </c>
      <c r="C3" s="31" t="s">
        <v>43</v>
      </c>
      <c r="D3" s="31" t="s">
        <v>45</v>
      </c>
      <c r="E3" s="31" t="s">
        <v>16</v>
      </c>
      <c r="F3" s="33">
        <v>22</v>
      </c>
      <c r="G3" s="33">
        <v>2</v>
      </c>
      <c r="H3" s="31"/>
      <c r="I3" s="33">
        <v>1</v>
      </c>
      <c r="J3" s="31">
        <v>0.5</v>
      </c>
      <c r="K3" s="50">
        <f>F3*4</f>
        <v>88</v>
      </c>
      <c r="L3" s="50">
        <f t="shared" si="0"/>
        <v>0</v>
      </c>
      <c r="M3" s="50">
        <f t="shared" si="0"/>
        <v>4</v>
      </c>
      <c r="N3" s="50">
        <f t="shared" si="0"/>
        <v>2</v>
      </c>
      <c r="O3" s="50">
        <f>M3+N3</f>
        <v>6</v>
      </c>
      <c r="P3" s="50">
        <f>SUM(L3:N3)</f>
        <v>6</v>
      </c>
      <c r="Q3" s="50"/>
      <c r="R3" s="50"/>
      <c r="S3" s="45">
        <v>14</v>
      </c>
      <c r="T3" s="45">
        <v>8</v>
      </c>
      <c r="U3" s="43">
        <v>0.5</v>
      </c>
      <c r="V3" s="43">
        <v>3</v>
      </c>
      <c r="W3" s="43">
        <v>0</v>
      </c>
      <c r="X3" s="43">
        <v>0.5</v>
      </c>
      <c r="Y3" s="50">
        <v>56</v>
      </c>
      <c r="Z3" s="50">
        <v>2</v>
      </c>
      <c r="AA3" s="50">
        <v>12</v>
      </c>
      <c r="AB3" s="50">
        <v>2</v>
      </c>
      <c r="AC3" s="50">
        <v>14</v>
      </c>
      <c r="AD3" s="50">
        <f t="shared" si="1"/>
        <v>16</v>
      </c>
      <c r="AE3" s="43"/>
      <c r="AF3" s="43"/>
      <c r="AG3" s="43"/>
      <c r="AH3" s="43">
        <v>0</v>
      </c>
      <c r="AI3" s="39">
        <v>38</v>
      </c>
      <c r="AM3" s="29">
        <v>18.549205319493996</v>
      </c>
      <c r="AN3" s="54"/>
      <c r="AO3" s="54"/>
      <c r="AP3" s="54"/>
      <c r="AQ3" s="54"/>
      <c r="AR3" s="54"/>
      <c r="AS3" s="54"/>
      <c r="AT3" s="54"/>
      <c r="AU3" s="54"/>
      <c r="AV3" s="54"/>
      <c r="AW3" s="54"/>
    </row>
    <row r="4" spans="1:49" ht="14.25" customHeight="1" thickBot="1" x14ac:dyDescent="0.3">
      <c r="A4" s="30">
        <v>3</v>
      </c>
      <c r="B4" s="31" t="s">
        <v>11</v>
      </c>
      <c r="C4" s="31" t="s">
        <v>14</v>
      </c>
      <c r="D4" s="31" t="s">
        <v>44</v>
      </c>
      <c r="E4" s="31" t="s">
        <v>16</v>
      </c>
      <c r="F4" s="33">
        <v>18</v>
      </c>
      <c r="G4" s="33">
        <v>5</v>
      </c>
      <c r="H4" s="31"/>
      <c r="I4" s="33">
        <v>2</v>
      </c>
      <c r="J4" s="31">
        <v>0.5</v>
      </c>
      <c r="K4" s="50">
        <f>F4*4</f>
        <v>72</v>
      </c>
      <c r="L4" s="50">
        <f t="shared" si="0"/>
        <v>0</v>
      </c>
      <c r="M4" s="50">
        <f t="shared" si="0"/>
        <v>8</v>
      </c>
      <c r="N4" s="50">
        <f t="shared" si="0"/>
        <v>2</v>
      </c>
      <c r="O4" s="50">
        <f>M4+N4</f>
        <v>10</v>
      </c>
      <c r="P4" s="50">
        <f>SUM(L4:N4)</f>
        <v>10</v>
      </c>
      <c r="Q4" s="50"/>
      <c r="R4" s="50"/>
      <c r="S4" s="43">
        <v>9</v>
      </c>
      <c r="T4" s="43">
        <v>7</v>
      </c>
      <c r="U4" s="43">
        <v>1</v>
      </c>
      <c r="V4" s="43">
        <v>3</v>
      </c>
      <c r="W4" s="43">
        <v>0</v>
      </c>
      <c r="X4" s="43">
        <v>0.5</v>
      </c>
      <c r="Y4" s="50">
        <v>36</v>
      </c>
      <c r="Z4" s="50">
        <v>4</v>
      </c>
      <c r="AA4" s="50">
        <v>12</v>
      </c>
      <c r="AB4" s="50">
        <v>2</v>
      </c>
      <c r="AC4" s="50">
        <v>14</v>
      </c>
      <c r="AD4" s="50">
        <f t="shared" si="1"/>
        <v>18</v>
      </c>
      <c r="AE4" s="43"/>
      <c r="AF4" s="43"/>
      <c r="AG4" s="43"/>
      <c r="AH4" s="43">
        <v>0</v>
      </c>
      <c r="AI4" s="39">
        <v>80</v>
      </c>
      <c r="AM4" s="29">
        <v>51.53972249112617</v>
      </c>
      <c r="AN4" s="54"/>
      <c r="AO4" s="54"/>
      <c r="AP4" s="54"/>
      <c r="AQ4" s="54"/>
      <c r="AR4" s="54"/>
      <c r="AS4" s="54"/>
      <c r="AT4" s="54"/>
      <c r="AU4" s="54"/>
      <c r="AV4" s="54"/>
      <c r="AW4" s="54"/>
    </row>
    <row r="5" spans="1:49" ht="14.25" customHeight="1" thickBot="1" x14ac:dyDescent="0.3">
      <c r="A5" s="30">
        <v>4</v>
      </c>
      <c r="B5" s="31" t="s">
        <v>11</v>
      </c>
      <c r="C5" s="31" t="s">
        <v>14</v>
      </c>
      <c r="D5" s="31" t="s">
        <v>15</v>
      </c>
      <c r="E5" s="31" t="s">
        <v>16</v>
      </c>
      <c r="F5" s="33">
        <v>16</v>
      </c>
      <c r="G5" s="33">
        <v>6</v>
      </c>
      <c r="H5" s="31"/>
      <c r="I5" s="33">
        <v>1</v>
      </c>
      <c r="J5" s="33">
        <v>2</v>
      </c>
      <c r="K5" s="50">
        <f>F5*4</f>
        <v>64</v>
      </c>
      <c r="L5" s="50">
        <f t="shared" si="0"/>
        <v>0</v>
      </c>
      <c r="M5" s="50">
        <f t="shared" si="0"/>
        <v>4</v>
      </c>
      <c r="N5" s="50">
        <f t="shared" si="0"/>
        <v>8</v>
      </c>
      <c r="O5" s="50">
        <f>M5+N5</f>
        <v>12</v>
      </c>
      <c r="P5" s="50">
        <f>SUM(L5:N5)</f>
        <v>12</v>
      </c>
      <c r="Q5" s="51"/>
      <c r="R5" s="51"/>
      <c r="S5" s="43">
        <v>11</v>
      </c>
      <c r="T5" s="43">
        <v>5</v>
      </c>
      <c r="U5" s="43">
        <v>6</v>
      </c>
      <c r="V5" s="43">
        <v>3</v>
      </c>
      <c r="W5" s="43">
        <v>0</v>
      </c>
      <c r="X5" s="43">
        <v>0.5</v>
      </c>
      <c r="Y5" s="50">
        <v>44</v>
      </c>
      <c r="Z5" s="50">
        <v>24</v>
      </c>
      <c r="AA5" s="50">
        <v>12</v>
      </c>
      <c r="AB5" s="50">
        <v>2</v>
      </c>
      <c r="AC5" s="50">
        <v>14</v>
      </c>
      <c r="AD5" s="50">
        <f t="shared" si="1"/>
        <v>38</v>
      </c>
      <c r="AE5" s="43"/>
      <c r="AF5" s="43"/>
      <c r="AG5" s="43"/>
      <c r="AH5" s="43">
        <v>0</v>
      </c>
      <c r="AI5" s="39">
        <v>64.5</v>
      </c>
      <c r="AJ5">
        <v>158.4123165685221</v>
      </c>
      <c r="AK5">
        <v>257.73294566852263</v>
      </c>
      <c r="AL5">
        <v>306.96718990598515</v>
      </c>
      <c r="AM5" s="29">
        <v>37.012370444667326</v>
      </c>
      <c r="AN5" s="26">
        <v>4</v>
      </c>
      <c r="AO5">
        <v>6.3045489999999988</v>
      </c>
      <c r="AP5">
        <v>20.339783333333337</v>
      </c>
      <c r="AQ5">
        <v>32.622809999999994</v>
      </c>
      <c r="AR5">
        <v>158.4123165685221</v>
      </c>
      <c r="AS5">
        <v>257.73294566852263</v>
      </c>
      <c r="AT5">
        <v>63.546449999999993</v>
      </c>
      <c r="AU5">
        <v>306.96718990598515</v>
      </c>
      <c r="AV5">
        <v>10.933599999999998</v>
      </c>
      <c r="AW5">
        <v>53.317000000000029</v>
      </c>
    </row>
    <row r="6" spans="1:49" ht="14.25" customHeight="1" thickBot="1" x14ac:dyDescent="0.3">
      <c r="A6" s="30">
        <v>5</v>
      </c>
      <c r="B6" s="31" t="s">
        <v>11</v>
      </c>
      <c r="C6" s="31" t="s">
        <v>43</v>
      </c>
      <c r="D6" s="31" t="s">
        <v>15</v>
      </c>
      <c r="E6" s="31" t="s">
        <v>16</v>
      </c>
      <c r="F6" s="33">
        <v>17</v>
      </c>
      <c r="G6" s="33">
        <v>6</v>
      </c>
      <c r="H6" s="31"/>
      <c r="I6" s="33">
        <v>2</v>
      </c>
      <c r="J6" s="31">
        <v>0.5</v>
      </c>
      <c r="K6" s="50">
        <f t="shared" ref="K6:K69" si="2">F6*4</f>
        <v>68</v>
      </c>
      <c r="L6" s="50">
        <f t="shared" ref="L6:L69" si="3">H6*4</f>
        <v>0</v>
      </c>
      <c r="M6" s="50">
        <f t="shared" ref="M6:M69" si="4">I6*4</f>
        <v>8</v>
      </c>
      <c r="N6" s="50">
        <f t="shared" ref="N6:N69" si="5">J6*4</f>
        <v>2</v>
      </c>
      <c r="O6" s="50">
        <f>M6+N6</f>
        <v>10</v>
      </c>
      <c r="P6" s="50">
        <f>SUM(L6:N6)</f>
        <v>10</v>
      </c>
      <c r="Q6" s="50"/>
      <c r="R6" s="50"/>
      <c r="S6" s="43">
        <v>10</v>
      </c>
      <c r="T6" s="43">
        <v>4</v>
      </c>
      <c r="U6" s="43">
        <v>9</v>
      </c>
      <c r="V6" s="43">
        <v>2</v>
      </c>
      <c r="W6" s="43">
        <v>0</v>
      </c>
      <c r="X6" s="43">
        <v>0.5</v>
      </c>
      <c r="Y6" s="50">
        <v>40</v>
      </c>
      <c r="Z6" s="50">
        <v>36</v>
      </c>
      <c r="AA6" s="50">
        <v>8</v>
      </c>
      <c r="AB6" s="50">
        <v>2</v>
      </c>
      <c r="AC6" s="50">
        <v>10</v>
      </c>
      <c r="AD6" s="50">
        <f t="shared" si="1"/>
        <v>46</v>
      </c>
      <c r="AE6" s="43"/>
      <c r="AF6" s="43"/>
      <c r="AG6" s="43"/>
      <c r="AH6" s="43">
        <v>0</v>
      </c>
      <c r="AI6" s="39">
        <v>30.5</v>
      </c>
      <c r="AM6" s="29">
        <v>37.70323441147049</v>
      </c>
      <c r="AN6" s="26"/>
      <c r="AO6"/>
      <c r="AP6"/>
      <c r="AQ6"/>
      <c r="AR6"/>
    </row>
    <row r="7" spans="1:49" ht="14.25" customHeight="1" thickBot="1" x14ac:dyDescent="0.3">
      <c r="A7" s="30">
        <v>6</v>
      </c>
      <c r="B7" s="31" t="s">
        <v>11</v>
      </c>
      <c r="C7" s="31" t="s">
        <v>14</v>
      </c>
      <c r="D7" s="31" t="s">
        <v>15</v>
      </c>
      <c r="E7" s="31" t="s">
        <v>1</v>
      </c>
      <c r="F7" s="33">
        <v>17</v>
      </c>
      <c r="G7" s="33">
        <v>8</v>
      </c>
      <c r="H7" s="31"/>
      <c r="I7" s="31"/>
      <c r="J7" s="31"/>
      <c r="K7" s="50">
        <f t="shared" si="2"/>
        <v>68</v>
      </c>
      <c r="L7" s="50">
        <f t="shared" si="3"/>
        <v>0</v>
      </c>
      <c r="M7" s="50">
        <f t="shared" si="4"/>
        <v>0</v>
      </c>
      <c r="N7" s="50">
        <f t="shared" si="5"/>
        <v>0</v>
      </c>
      <c r="O7" s="50">
        <f t="shared" ref="O7:O70" si="6">M7+N7</f>
        <v>0</v>
      </c>
      <c r="P7" s="50">
        <f t="shared" ref="P7:P70" si="7">SUM(L7:N7)</f>
        <v>0</v>
      </c>
      <c r="Q7" s="50"/>
      <c r="R7" s="50"/>
      <c r="S7" s="43">
        <v>12</v>
      </c>
      <c r="T7" s="43">
        <v>6</v>
      </c>
      <c r="U7" s="43">
        <v>1</v>
      </c>
      <c r="V7" s="43">
        <v>0</v>
      </c>
      <c r="W7" s="43">
        <v>0</v>
      </c>
      <c r="X7" s="43">
        <v>0</v>
      </c>
      <c r="Y7" s="50">
        <v>48</v>
      </c>
      <c r="Z7" s="50">
        <v>4</v>
      </c>
      <c r="AA7" s="50">
        <v>0</v>
      </c>
      <c r="AB7" s="50">
        <v>0</v>
      </c>
      <c r="AC7" s="50">
        <v>0</v>
      </c>
      <c r="AD7" s="50">
        <f t="shared" si="1"/>
        <v>4</v>
      </c>
      <c r="AE7" s="43"/>
      <c r="AF7" s="43"/>
      <c r="AG7" s="43"/>
      <c r="AH7" s="43">
        <v>6</v>
      </c>
      <c r="AI7" s="39">
        <v>25</v>
      </c>
      <c r="AM7" s="29">
        <v>7.2302423263327942</v>
      </c>
      <c r="AN7" s="26"/>
      <c r="AO7"/>
      <c r="AP7"/>
      <c r="AQ7"/>
      <c r="AR7"/>
    </row>
    <row r="8" spans="1:49" ht="14.25" customHeight="1" thickBot="1" x14ac:dyDescent="0.3">
      <c r="A8" s="30">
        <v>7</v>
      </c>
      <c r="B8" s="31" t="s">
        <v>11</v>
      </c>
      <c r="C8" s="31" t="s">
        <v>43</v>
      </c>
      <c r="D8" s="31" t="s">
        <v>44</v>
      </c>
      <c r="E8" s="31" t="s">
        <v>16</v>
      </c>
      <c r="F8" s="33">
        <v>19</v>
      </c>
      <c r="G8" s="33">
        <v>3</v>
      </c>
      <c r="H8" s="31"/>
      <c r="I8" s="33">
        <v>3</v>
      </c>
      <c r="J8" s="31">
        <v>0.5</v>
      </c>
      <c r="K8" s="50">
        <f t="shared" si="2"/>
        <v>76</v>
      </c>
      <c r="L8" s="50">
        <f t="shared" si="3"/>
        <v>0</v>
      </c>
      <c r="M8" s="50">
        <f t="shared" si="4"/>
        <v>12</v>
      </c>
      <c r="N8" s="50">
        <f t="shared" si="5"/>
        <v>2</v>
      </c>
      <c r="O8" s="50">
        <f t="shared" si="6"/>
        <v>14</v>
      </c>
      <c r="P8" s="50">
        <f t="shared" si="7"/>
        <v>14</v>
      </c>
      <c r="Q8" s="50"/>
      <c r="R8" s="50"/>
      <c r="S8" s="43">
        <v>12</v>
      </c>
      <c r="T8" s="43">
        <v>2</v>
      </c>
      <c r="U8" s="43">
        <v>7</v>
      </c>
      <c r="V8" s="43">
        <v>3</v>
      </c>
      <c r="W8" s="43">
        <v>0</v>
      </c>
      <c r="X8" s="43">
        <v>0.5</v>
      </c>
      <c r="Y8" s="50">
        <v>48</v>
      </c>
      <c r="Z8" s="50">
        <v>28</v>
      </c>
      <c r="AA8" s="50">
        <v>12</v>
      </c>
      <c r="AB8" s="50">
        <v>2</v>
      </c>
      <c r="AC8" s="50">
        <v>14</v>
      </c>
      <c r="AD8" s="50">
        <f t="shared" si="1"/>
        <v>42</v>
      </c>
      <c r="AE8" s="43"/>
      <c r="AF8" s="43"/>
      <c r="AG8" s="43"/>
      <c r="AH8" s="43">
        <v>1</v>
      </c>
      <c r="AI8" s="39">
        <v>19</v>
      </c>
      <c r="AM8" s="29">
        <v>26.856772521062865</v>
      </c>
      <c r="AN8" s="26"/>
      <c r="AO8"/>
      <c r="AP8"/>
      <c r="AQ8"/>
      <c r="AR8"/>
    </row>
    <row r="9" spans="1:49" ht="14.25" customHeight="1" thickBot="1" x14ac:dyDescent="0.3">
      <c r="A9" s="30">
        <v>8</v>
      </c>
      <c r="B9" s="31" t="s">
        <v>11</v>
      </c>
      <c r="C9" s="31" t="s">
        <v>43</v>
      </c>
      <c r="D9" s="31" t="s">
        <v>45</v>
      </c>
      <c r="E9" s="31" t="s">
        <v>16</v>
      </c>
      <c r="F9" s="33">
        <v>20</v>
      </c>
      <c r="G9" s="33">
        <v>2</v>
      </c>
      <c r="H9" s="31"/>
      <c r="I9" s="33">
        <v>3</v>
      </c>
      <c r="J9" s="31"/>
      <c r="K9" s="50">
        <f t="shared" si="2"/>
        <v>80</v>
      </c>
      <c r="L9" s="50">
        <f t="shared" si="3"/>
        <v>0</v>
      </c>
      <c r="M9" s="50">
        <f t="shared" si="4"/>
        <v>12</v>
      </c>
      <c r="N9" s="50">
        <f t="shared" si="5"/>
        <v>0</v>
      </c>
      <c r="O9" s="50">
        <f t="shared" si="6"/>
        <v>12</v>
      </c>
      <c r="P9" s="50">
        <f t="shared" si="7"/>
        <v>12</v>
      </c>
      <c r="Q9" s="50"/>
      <c r="R9" s="50"/>
      <c r="S9" s="43">
        <v>13</v>
      </c>
      <c r="T9" s="43">
        <v>3</v>
      </c>
      <c r="U9" s="43">
        <v>7</v>
      </c>
      <c r="V9" s="43">
        <v>1</v>
      </c>
      <c r="W9" s="43">
        <v>1</v>
      </c>
      <c r="X9" s="43">
        <v>0.5</v>
      </c>
      <c r="Y9" s="50">
        <v>52</v>
      </c>
      <c r="Z9" s="50">
        <v>28</v>
      </c>
      <c r="AA9" s="50">
        <v>4</v>
      </c>
      <c r="AB9" s="50">
        <v>2</v>
      </c>
      <c r="AC9" s="50">
        <v>6</v>
      </c>
      <c r="AD9" s="50">
        <f t="shared" si="1"/>
        <v>34</v>
      </c>
      <c r="AE9" s="43"/>
      <c r="AF9" s="43"/>
      <c r="AG9" s="43"/>
      <c r="AH9" s="43">
        <v>0</v>
      </c>
      <c r="AI9" s="39">
        <v>23.5</v>
      </c>
      <c r="AM9" s="29">
        <v>15.513950456323336</v>
      </c>
      <c r="AN9" s="26"/>
      <c r="AO9"/>
      <c r="AP9"/>
      <c r="AQ9"/>
      <c r="AR9"/>
    </row>
    <row r="10" spans="1:49" ht="14.25" customHeight="1" thickBot="1" x14ac:dyDescent="0.3">
      <c r="A10" s="30">
        <v>9</v>
      </c>
      <c r="B10" s="31" t="s">
        <v>11</v>
      </c>
      <c r="C10" s="31" t="s">
        <v>43</v>
      </c>
      <c r="D10" s="31" t="s">
        <v>45</v>
      </c>
      <c r="E10" s="31" t="s">
        <v>16</v>
      </c>
      <c r="F10" s="33">
        <v>19</v>
      </c>
      <c r="G10" s="33">
        <v>4</v>
      </c>
      <c r="H10" s="31"/>
      <c r="I10" s="33">
        <v>2</v>
      </c>
      <c r="J10" s="31">
        <v>0.5</v>
      </c>
      <c r="K10" s="50">
        <f t="shared" si="2"/>
        <v>76</v>
      </c>
      <c r="L10" s="50">
        <f t="shared" si="3"/>
        <v>0</v>
      </c>
      <c r="M10" s="50">
        <f t="shared" si="4"/>
        <v>8</v>
      </c>
      <c r="N10" s="50">
        <f t="shared" si="5"/>
        <v>2</v>
      </c>
      <c r="O10" s="50">
        <f t="shared" si="6"/>
        <v>10</v>
      </c>
      <c r="P10" s="50">
        <f t="shared" si="7"/>
        <v>10</v>
      </c>
      <c r="Q10" s="50"/>
      <c r="R10" s="50"/>
      <c r="S10" s="43">
        <v>12</v>
      </c>
      <c r="T10" s="43">
        <v>2</v>
      </c>
      <c r="U10" s="43">
        <v>5</v>
      </c>
      <c r="V10" s="43">
        <v>1</v>
      </c>
      <c r="W10" s="43">
        <v>4</v>
      </c>
      <c r="X10" s="43">
        <v>1</v>
      </c>
      <c r="Y10" s="50">
        <v>48</v>
      </c>
      <c r="Z10" s="50">
        <v>20</v>
      </c>
      <c r="AA10" s="50">
        <v>4</v>
      </c>
      <c r="AB10" s="50">
        <v>4</v>
      </c>
      <c r="AC10" s="50">
        <v>8</v>
      </c>
      <c r="AD10" s="50">
        <f t="shared" si="1"/>
        <v>28</v>
      </c>
      <c r="AE10" s="43"/>
      <c r="AF10" s="43"/>
      <c r="AG10" s="43"/>
      <c r="AH10" s="43">
        <v>0</v>
      </c>
      <c r="AI10" s="39">
        <v>22.5</v>
      </c>
      <c r="AM10" s="29">
        <v>22.760236998025022</v>
      </c>
      <c r="AN10" s="26"/>
      <c r="AO10"/>
      <c r="AP10"/>
      <c r="AQ10"/>
      <c r="AR10"/>
    </row>
    <row r="11" spans="1:49" ht="14.25" customHeight="1" thickBot="1" x14ac:dyDescent="0.3">
      <c r="A11" s="30">
        <v>10</v>
      </c>
      <c r="B11" s="31" t="s">
        <v>11</v>
      </c>
      <c r="C11" s="31" t="s">
        <v>14</v>
      </c>
      <c r="D11" s="31" t="s">
        <v>45</v>
      </c>
      <c r="E11" s="31" t="s">
        <v>16</v>
      </c>
      <c r="F11" s="33">
        <v>21</v>
      </c>
      <c r="G11" s="33">
        <v>2</v>
      </c>
      <c r="H11" s="31"/>
      <c r="I11" s="33">
        <v>2</v>
      </c>
      <c r="J11" s="31">
        <v>0.5</v>
      </c>
      <c r="K11" s="50">
        <f t="shared" si="2"/>
        <v>84</v>
      </c>
      <c r="L11" s="50">
        <f t="shared" si="3"/>
        <v>0</v>
      </c>
      <c r="M11" s="50">
        <f t="shared" si="4"/>
        <v>8</v>
      </c>
      <c r="N11" s="50">
        <f t="shared" si="5"/>
        <v>2</v>
      </c>
      <c r="O11" s="50">
        <f t="shared" si="6"/>
        <v>10</v>
      </c>
      <c r="P11" s="50">
        <f t="shared" si="7"/>
        <v>10</v>
      </c>
      <c r="Q11" s="50"/>
      <c r="R11" s="50"/>
      <c r="S11" s="43">
        <v>1</v>
      </c>
      <c r="T11" s="43">
        <v>3</v>
      </c>
      <c r="U11" s="43">
        <v>8</v>
      </c>
      <c r="V11" s="43">
        <v>4</v>
      </c>
      <c r="W11" s="43">
        <v>9</v>
      </c>
      <c r="X11" s="43">
        <v>0.5</v>
      </c>
      <c r="Y11" s="50">
        <v>4</v>
      </c>
      <c r="Z11" s="50">
        <v>32</v>
      </c>
      <c r="AA11" s="50">
        <v>16</v>
      </c>
      <c r="AB11" s="50">
        <v>2</v>
      </c>
      <c r="AC11" s="50">
        <v>18</v>
      </c>
      <c r="AD11" s="50">
        <f t="shared" si="1"/>
        <v>50</v>
      </c>
      <c r="AE11" s="43"/>
      <c r="AF11" s="43"/>
      <c r="AG11" s="43"/>
      <c r="AH11" s="43">
        <v>0</v>
      </c>
      <c r="AI11" s="39">
        <v>39</v>
      </c>
      <c r="AM11" s="29">
        <v>21.999330431871442</v>
      </c>
      <c r="AN11" s="26"/>
      <c r="AO11"/>
      <c r="AP11"/>
      <c r="AQ11"/>
      <c r="AR11"/>
    </row>
    <row r="12" spans="1:49" ht="14.25" customHeight="1" thickBot="1" x14ac:dyDescent="0.3">
      <c r="A12" s="30">
        <v>11</v>
      </c>
      <c r="B12" s="31" t="s">
        <v>11</v>
      </c>
      <c r="C12" s="31" t="s">
        <v>43</v>
      </c>
      <c r="D12" s="31" t="s">
        <v>44</v>
      </c>
      <c r="E12" s="31" t="s">
        <v>1</v>
      </c>
      <c r="F12" s="33">
        <v>22</v>
      </c>
      <c r="G12" s="33">
        <v>3</v>
      </c>
      <c r="H12" s="31"/>
      <c r="I12" s="31"/>
      <c r="J12" s="31"/>
      <c r="K12" s="50">
        <f t="shared" si="2"/>
        <v>88</v>
      </c>
      <c r="L12" s="50">
        <f t="shared" si="3"/>
        <v>0</v>
      </c>
      <c r="M12" s="50">
        <f t="shared" si="4"/>
        <v>0</v>
      </c>
      <c r="N12" s="50">
        <f t="shared" si="5"/>
        <v>0</v>
      </c>
      <c r="O12" s="50">
        <f t="shared" si="6"/>
        <v>0</v>
      </c>
      <c r="P12" s="50">
        <f t="shared" si="7"/>
        <v>0</v>
      </c>
      <c r="Q12" s="50"/>
      <c r="R12" s="50"/>
      <c r="S12" s="43">
        <v>18</v>
      </c>
      <c r="T12" s="43">
        <v>1</v>
      </c>
      <c r="U12" s="43">
        <v>0</v>
      </c>
      <c r="V12" s="43">
        <v>0</v>
      </c>
      <c r="W12" s="43">
        <v>0</v>
      </c>
      <c r="X12" s="43">
        <v>0</v>
      </c>
      <c r="Y12" s="50">
        <v>72</v>
      </c>
      <c r="Z12" s="50">
        <v>0</v>
      </c>
      <c r="AA12" s="50">
        <v>0</v>
      </c>
      <c r="AB12" s="50">
        <v>0</v>
      </c>
      <c r="AC12" s="50">
        <v>0</v>
      </c>
      <c r="AD12" s="50">
        <f t="shared" si="1"/>
        <v>0</v>
      </c>
      <c r="AE12" s="43"/>
      <c r="AF12" s="43"/>
      <c r="AG12" s="43"/>
      <c r="AH12" s="43">
        <v>6</v>
      </c>
      <c r="AI12" s="39">
        <v>0</v>
      </c>
      <c r="AM12" s="29">
        <v>7.4506155950752397</v>
      </c>
      <c r="AN12" s="26"/>
      <c r="AO12"/>
      <c r="AP12"/>
      <c r="AQ12"/>
      <c r="AR12"/>
    </row>
    <row r="13" spans="1:49" ht="14.25" customHeight="1" thickBot="1" x14ac:dyDescent="0.3">
      <c r="A13" s="30">
        <v>12</v>
      </c>
      <c r="B13" s="31" t="s">
        <v>11</v>
      </c>
      <c r="C13" s="31" t="s">
        <v>43</v>
      </c>
      <c r="D13" s="31" t="s">
        <v>45</v>
      </c>
      <c r="E13" s="31" t="s">
        <v>1</v>
      </c>
      <c r="F13" s="33">
        <v>24</v>
      </c>
      <c r="G13" s="33">
        <v>1</v>
      </c>
      <c r="H13" s="31"/>
      <c r="I13" s="31"/>
      <c r="J13" s="31"/>
      <c r="K13" s="50">
        <f t="shared" si="2"/>
        <v>96</v>
      </c>
      <c r="L13" s="50">
        <f t="shared" si="3"/>
        <v>0</v>
      </c>
      <c r="M13" s="50">
        <f t="shared" si="4"/>
        <v>0</v>
      </c>
      <c r="N13" s="50">
        <f t="shared" si="5"/>
        <v>0</v>
      </c>
      <c r="O13" s="50">
        <f t="shared" si="6"/>
        <v>0</v>
      </c>
      <c r="P13" s="50">
        <f t="shared" si="7"/>
        <v>0</v>
      </c>
      <c r="Q13" s="50"/>
      <c r="R13" s="50"/>
      <c r="S13" s="45">
        <v>24</v>
      </c>
      <c r="T13" s="43">
        <v>1</v>
      </c>
      <c r="U13" s="43">
        <v>0</v>
      </c>
      <c r="V13" s="43">
        <v>0</v>
      </c>
      <c r="W13" s="43">
        <v>0.5</v>
      </c>
      <c r="X13" s="43">
        <v>0</v>
      </c>
      <c r="Y13" s="50">
        <v>96</v>
      </c>
      <c r="Z13" s="50">
        <v>0</v>
      </c>
      <c r="AA13" s="50">
        <v>0</v>
      </c>
      <c r="AB13" s="50">
        <v>0</v>
      </c>
      <c r="AC13" s="50">
        <v>0</v>
      </c>
      <c r="AD13" s="50">
        <f t="shared" si="1"/>
        <v>0</v>
      </c>
      <c r="AE13" s="43"/>
      <c r="AF13" s="43"/>
      <c r="AG13" s="43"/>
      <c r="AH13" s="43">
        <v>0</v>
      </c>
      <c r="AI13" s="39">
        <v>0</v>
      </c>
      <c r="AM13" s="29">
        <v>1.737769080234834</v>
      </c>
      <c r="AN13" s="26"/>
      <c r="AO13"/>
      <c r="AP13"/>
      <c r="AQ13"/>
      <c r="AR13"/>
    </row>
    <row r="14" spans="1:49" ht="14.25" customHeight="1" thickBot="1" x14ac:dyDescent="0.3">
      <c r="A14" s="30">
        <v>13</v>
      </c>
      <c r="B14" s="31" t="s">
        <v>11</v>
      </c>
      <c r="C14" s="31" t="s">
        <v>43</v>
      </c>
      <c r="D14" s="31" t="s">
        <v>15</v>
      </c>
      <c r="E14" s="31" t="s">
        <v>16</v>
      </c>
      <c r="F14" s="33">
        <v>21</v>
      </c>
      <c r="G14" s="33">
        <v>2</v>
      </c>
      <c r="H14" s="31"/>
      <c r="I14" s="33">
        <v>2</v>
      </c>
      <c r="J14" s="31"/>
      <c r="K14" s="50">
        <f t="shared" si="2"/>
        <v>84</v>
      </c>
      <c r="L14" s="50">
        <f t="shared" si="3"/>
        <v>0</v>
      </c>
      <c r="M14" s="50">
        <f t="shared" si="4"/>
        <v>8</v>
      </c>
      <c r="N14" s="50">
        <f t="shared" si="5"/>
        <v>0</v>
      </c>
      <c r="O14" s="50">
        <f t="shared" si="6"/>
        <v>8</v>
      </c>
      <c r="P14" s="50">
        <f t="shared" si="7"/>
        <v>8</v>
      </c>
      <c r="Q14" s="50"/>
      <c r="R14" s="50"/>
      <c r="S14" s="43">
        <v>7</v>
      </c>
      <c r="T14" s="43">
        <v>1</v>
      </c>
      <c r="U14" s="43">
        <v>9</v>
      </c>
      <c r="V14" s="43">
        <v>5</v>
      </c>
      <c r="W14" s="43">
        <v>0</v>
      </c>
      <c r="X14" s="43">
        <v>1</v>
      </c>
      <c r="Y14" s="50">
        <v>28</v>
      </c>
      <c r="Z14" s="50">
        <v>36</v>
      </c>
      <c r="AA14" s="50">
        <v>20</v>
      </c>
      <c r="AB14" s="50">
        <v>4</v>
      </c>
      <c r="AC14" s="50">
        <v>24</v>
      </c>
      <c r="AD14" s="50">
        <f t="shared" si="1"/>
        <v>60</v>
      </c>
      <c r="AE14" s="43"/>
      <c r="AF14" s="43"/>
      <c r="AG14" s="43"/>
      <c r="AH14" s="43">
        <v>2</v>
      </c>
      <c r="AI14" s="39">
        <v>12</v>
      </c>
      <c r="AM14" s="29">
        <v>34.183096686950648</v>
      </c>
      <c r="AN14" s="26"/>
      <c r="AO14"/>
      <c r="AP14"/>
      <c r="AQ14"/>
      <c r="AR14"/>
    </row>
    <row r="15" spans="1:49" ht="14.25" customHeight="1" thickBot="1" x14ac:dyDescent="0.3">
      <c r="A15" s="30">
        <v>14</v>
      </c>
      <c r="B15" s="31" t="s">
        <v>11</v>
      </c>
      <c r="C15" s="31" t="s">
        <v>14</v>
      </c>
      <c r="D15" s="31" t="s">
        <v>44</v>
      </c>
      <c r="E15" s="31" t="s">
        <v>16</v>
      </c>
      <c r="F15" s="33">
        <v>20</v>
      </c>
      <c r="G15" s="33">
        <v>2</v>
      </c>
      <c r="H15" s="31"/>
      <c r="I15" s="33">
        <v>3</v>
      </c>
      <c r="J15" s="31">
        <v>0.5</v>
      </c>
      <c r="K15" s="50">
        <f t="shared" si="2"/>
        <v>80</v>
      </c>
      <c r="L15" s="50">
        <f t="shared" si="3"/>
        <v>0</v>
      </c>
      <c r="M15" s="50">
        <f t="shared" si="4"/>
        <v>12</v>
      </c>
      <c r="N15" s="50">
        <f t="shared" si="5"/>
        <v>2</v>
      </c>
      <c r="O15" s="50">
        <f t="shared" si="6"/>
        <v>14</v>
      </c>
      <c r="P15" s="50">
        <f t="shared" si="7"/>
        <v>14</v>
      </c>
      <c r="Q15" s="50"/>
      <c r="R15" s="50"/>
      <c r="S15" s="43">
        <v>11</v>
      </c>
      <c r="T15" s="43">
        <v>5</v>
      </c>
      <c r="U15" s="43">
        <v>3</v>
      </c>
      <c r="V15" s="43">
        <v>4</v>
      </c>
      <c r="W15" s="43">
        <v>0</v>
      </c>
      <c r="X15" s="43">
        <v>0.5</v>
      </c>
      <c r="Y15" s="50">
        <v>44</v>
      </c>
      <c r="Z15" s="50">
        <v>12</v>
      </c>
      <c r="AA15" s="50">
        <v>16</v>
      </c>
      <c r="AB15" s="50">
        <v>2</v>
      </c>
      <c r="AC15" s="50">
        <v>18</v>
      </c>
      <c r="AD15" s="50">
        <f t="shared" si="1"/>
        <v>30</v>
      </c>
      <c r="AE15" s="43"/>
      <c r="AF15" s="43"/>
      <c r="AG15" s="43"/>
      <c r="AH15" s="43">
        <v>2</v>
      </c>
      <c r="AI15" s="39">
        <v>12.5</v>
      </c>
      <c r="AM15" s="29">
        <v>19.504032809295964</v>
      </c>
      <c r="AN15" s="26"/>
      <c r="AO15"/>
      <c r="AP15"/>
      <c r="AQ15"/>
      <c r="AR15"/>
    </row>
    <row r="16" spans="1:49" ht="14.25" customHeight="1" thickBot="1" x14ac:dyDescent="0.3">
      <c r="A16" s="30">
        <v>15</v>
      </c>
      <c r="B16" s="31" t="s">
        <v>11</v>
      </c>
      <c r="C16" s="31" t="s">
        <v>43</v>
      </c>
      <c r="D16" s="31" t="s">
        <v>44</v>
      </c>
      <c r="E16" s="31" t="s">
        <v>16</v>
      </c>
      <c r="F16" s="33">
        <v>24</v>
      </c>
      <c r="G16" s="33">
        <v>1</v>
      </c>
      <c r="H16" s="31"/>
      <c r="I16" s="31">
        <v>0.5</v>
      </c>
      <c r="J16" s="31">
        <v>0.5</v>
      </c>
      <c r="K16" s="50">
        <f t="shared" si="2"/>
        <v>96</v>
      </c>
      <c r="L16" s="50">
        <f t="shared" si="3"/>
        <v>0</v>
      </c>
      <c r="M16" s="50">
        <f t="shared" si="4"/>
        <v>2</v>
      </c>
      <c r="N16" s="50">
        <f t="shared" si="5"/>
        <v>2</v>
      </c>
      <c r="O16" s="50">
        <f t="shared" si="6"/>
        <v>4</v>
      </c>
      <c r="P16" s="50">
        <f t="shared" si="7"/>
        <v>4</v>
      </c>
      <c r="Q16" s="50"/>
      <c r="R16" s="50"/>
      <c r="S16" s="43">
        <v>7</v>
      </c>
      <c r="T16" s="43">
        <v>1</v>
      </c>
      <c r="U16" s="43">
        <v>14</v>
      </c>
      <c r="V16" s="43">
        <v>1</v>
      </c>
      <c r="W16" s="43">
        <v>0</v>
      </c>
      <c r="X16" s="43">
        <v>1</v>
      </c>
      <c r="Y16" s="50">
        <v>28</v>
      </c>
      <c r="Z16" s="50">
        <v>56</v>
      </c>
      <c r="AA16" s="50">
        <v>4</v>
      </c>
      <c r="AB16" s="50">
        <v>4</v>
      </c>
      <c r="AC16" s="50">
        <v>8</v>
      </c>
      <c r="AD16" s="50">
        <f t="shared" si="1"/>
        <v>64</v>
      </c>
      <c r="AE16" s="43"/>
      <c r="AF16" s="43"/>
      <c r="AG16" s="43"/>
      <c r="AH16" s="43">
        <v>1</v>
      </c>
      <c r="AI16" s="39">
        <v>5</v>
      </c>
      <c r="AM16" s="29">
        <v>33.057663740715732</v>
      </c>
      <c r="AN16" s="26"/>
      <c r="AO16"/>
      <c r="AP16"/>
      <c r="AQ16"/>
      <c r="AR16"/>
    </row>
    <row r="17" spans="1:49" ht="14.25" customHeight="1" thickBot="1" x14ac:dyDescent="0.3">
      <c r="A17" s="30">
        <v>16</v>
      </c>
      <c r="B17" s="31" t="s">
        <v>11</v>
      </c>
      <c r="C17" s="31" t="s">
        <v>43</v>
      </c>
      <c r="D17" s="31" t="s">
        <v>44</v>
      </c>
      <c r="E17" s="31" t="s">
        <v>16</v>
      </c>
      <c r="F17" s="33">
        <v>21</v>
      </c>
      <c r="G17" s="33">
        <v>2</v>
      </c>
      <c r="H17" s="31"/>
      <c r="I17" s="33">
        <v>2</v>
      </c>
      <c r="J17" s="31"/>
      <c r="K17" s="50">
        <f t="shared" si="2"/>
        <v>84</v>
      </c>
      <c r="L17" s="50">
        <f t="shared" si="3"/>
        <v>0</v>
      </c>
      <c r="M17" s="50">
        <f t="shared" si="4"/>
        <v>8</v>
      </c>
      <c r="N17" s="50">
        <f t="shared" si="5"/>
        <v>0</v>
      </c>
      <c r="O17" s="50">
        <f t="shared" si="6"/>
        <v>8</v>
      </c>
      <c r="P17" s="50">
        <f t="shared" si="7"/>
        <v>8</v>
      </c>
      <c r="Q17" s="50"/>
      <c r="R17" s="50"/>
      <c r="S17" s="43">
        <v>10</v>
      </c>
      <c r="T17" s="43">
        <v>3</v>
      </c>
      <c r="U17" s="43">
        <v>9</v>
      </c>
      <c r="V17" s="43">
        <v>0.5</v>
      </c>
      <c r="W17" s="43">
        <v>0</v>
      </c>
      <c r="X17" s="43">
        <v>0</v>
      </c>
      <c r="Y17" s="50">
        <v>40</v>
      </c>
      <c r="Z17" s="50">
        <v>36</v>
      </c>
      <c r="AA17" s="50">
        <v>2</v>
      </c>
      <c r="AB17" s="50">
        <v>0</v>
      </c>
      <c r="AC17" s="50">
        <v>2</v>
      </c>
      <c r="AD17" s="50">
        <f t="shared" si="1"/>
        <v>38</v>
      </c>
      <c r="AE17" s="43"/>
      <c r="AF17" s="43"/>
      <c r="AG17" s="43"/>
      <c r="AH17" s="43">
        <v>3</v>
      </c>
      <c r="AI17" s="39">
        <v>16</v>
      </c>
      <c r="AM17" s="29">
        <v>22.949429912810196</v>
      </c>
      <c r="AN17" s="26"/>
      <c r="AO17"/>
      <c r="AP17"/>
      <c r="AQ17"/>
      <c r="AR17"/>
    </row>
    <row r="18" spans="1:49" ht="14.25" customHeight="1" thickBot="1" x14ac:dyDescent="0.3">
      <c r="A18" s="30">
        <v>17</v>
      </c>
      <c r="B18" s="31" t="s">
        <v>11</v>
      </c>
      <c r="C18" s="31" t="s">
        <v>43</v>
      </c>
      <c r="D18" s="31" t="s">
        <v>15</v>
      </c>
      <c r="E18" s="31" t="s">
        <v>16</v>
      </c>
      <c r="F18" s="33">
        <v>21</v>
      </c>
      <c r="G18" s="33">
        <v>3</v>
      </c>
      <c r="H18" s="31"/>
      <c r="I18" s="33">
        <v>1</v>
      </c>
      <c r="J18" s="31">
        <v>0.5</v>
      </c>
      <c r="K18" s="50">
        <f t="shared" si="2"/>
        <v>84</v>
      </c>
      <c r="L18" s="50">
        <f t="shared" si="3"/>
        <v>0</v>
      </c>
      <c r="M18" s="50">
        <f t="shared" si="4"/>
        <v>4</v>
      </c>
      <c r="N18" s="50">
        <f t="shared" si="5"/>
        <v>2</v>
      </c>
      <c r="O18" s="50">
        <f t="shared" si="6"/>
        <v>6</v>
      </c>
      <c r="P18" s="50">
        <f t="shared" si="7"/>
        <v>6</v>
      </c>
      <c r="Q18" s="50"/>
      <c r="R18" s="50"/>
      <c r="S18" s="43">
        <v>10</v>
      </c>
      <c r="T18" s="43">
        <v>1</v>
      </c>
      <c r="U18" s="43">
        <v>13</v>
      </c>
      <c r="V18" s="43">
        <v>0.5</v>
      </c>
      <c r="W18" s="43">
        <v>0</v>
      </c>
      <c r="X18" s="43">
        <v>1</v>
      </c>
      <c r="Y18" s="50">
        <v>40</v>
      </c>
      <c r="Z18" s="50">
        <v>52</v>
      </c>
      <c r="AA18" s="50">
        <v>2</v>
      </c>
      <c r="AB18" s="50">
        <v>4</v>
      </c>
      <c r="AC18" s="50">
        <v>6</v>
      </c>
      <c r="AD18" s="50">
        <f t="shared" si="1"/>
        <v>58</v>
      </c>
      <c r="AE18" s="43"/>
      <c r="AF18" s="43"/>
      <c r="AG18" s="43"/>
      <c r="AH18" s="43">
        <v>0</v>
      </c>
      <c r="AI18" s="39">
        <v>18</v>
      </c>
      <c r="AM18" s="29">
        <v>31.85301837270341</v>
      </c>
      <c r="AN18" s="26"/>
      <c r="AO18"/>
      <c r="AP18"/>
      <c r="AQ18"/>
      <c r="AR18"/>
    </row>
    <row r="19" spans="1:49" ht="14.25" customHeight="1" thickBot="1" x14ac:dyDescent="0.3">
      <c r="A19" s="30">
        <v>18</v>
      </c>
      <c r="B19" s="31" t="s">
        <v>11</v>
      </c>
      <c r="C19" s="31" t="s">
        <v>14</v>
      </c>
      <c r="D19" s="31" t="s">
        <v>15</v>
      </c>
      <c r="E19" s="31" t="s">
        <v>16</v>
      </c>
      <c r="F19" s="33">
        <v>16</v>
      </c>
      <c r="G19" s="33">
        <v>5</v>
      </c>
      <c r="H19" s="31"/>
      <c r="I19" s="33">
        <v>4</v>
      </c>
      <c r="J19" s="31">
        <v>0.5</v>
      </c>
      <c r="K19" s="50">
        <f t="shared" si="2"/>
        <v>64</v>
      </c>
      <c r="L19" s="50">
        <f t="shared" si="3"/>
        <v>0</v>
      </c>
      <c r="M19" s="50">
        <f t="shared" si="4"/>
        <v>16</v>
      </c>
      <c r="N19" s="50">
        <f t="shared" si="5"/>
        <v>2</v>
      </c>
      <c r="O19" s="50">
        <f t="shared" si="6"/>
        <v>18</v>
      </c>
      <c r="P19" s="50">
        <f t="shared" si="7"/>
        <v>18</v>
      </c>
      <c r="Q19" s="50"/>
      <c r="R19" s="50"/>
      <c r="S19" s="43">
        <v>4</v>
      </c>
      <c r="T19" s="43">
        <v>8</v>
      </c>
      <c r="U19" s="43">
        <v>8</v>
      </c>
      <c r="V19" s="43">
        <v>4</v>
      </c>
      <c r="W19" s="43">
        <v>0</v>
      </c>
      <c r="X19" s="43">
        <v>1</v>
      </c>
      <c r="Y19" s="50">
        <v>16</v>
      </c>
      <c r="Z19" s="50">
        <v>32</v>
      </c>
      <c r="AA19" s="50">
        <v>16</v>
      </c>
      <c r="AB19" s="50">
        <v>4</v>
      </c>
      <c r="AC19" s="50">
        <v>20</v>
      </c>
      <c r="AD19" s="50">
        <f t="shared" si="1"/>
        <v>52</v>
      </c>
      <c r="AE19" s="43"/>
      <c r="AF19" s="43"/>
      <c r="AG19" s="43"/>
      <c r="AH19" s="43">
        <v>0</v>
      </c>
      <c r="AI19" s="39">
        <v>17</v>
      </c>
      <c r="AJ19">
        <v>667.75748832366787</v>
      </c>
      <c r="AK19">
        <v>789.70866806054391</v>
      </c>
      <c r="AL19">
        <v>1201.277157171786</v>
      </c>
      <c r="AM19" s="29">
        <v>31.164107676969095</v>
      </c>
      <c r="AN19" s="26">
        <v>18</v>
      </c>
      <c r="AO19">
        <v>8.4794030000000014</v>
      </c>
      <c r="AP19">
        <v>20.7807</v>
      </c>
      <c r="AQ19">
        <v>45.671934</v>
      </c>
      <c r="AR19">
        <v>667.75748832366787</v>
      </c>
      <c r="AS19">
        <v>789.70866806054391</v>
      </c>
      <c r="AT19">
        <v>83.208349999999982</v>
      </c>
      <c r="AU19">
        <v>1201.277157171786</v>
      </c>
      <c r="AV19">
        <v>14.210583333333332</v>
      </c>
      <c r="AW19">
        <v>55.962500000000027</v>
      </c>
    </row>
    <row r="20" spans="1:49" ht="14.25" customHeight="1" thickBot="1" x14ac:dyDescent="0.3">
      <c r="A20" s="30">
        <v>19</v>
      </c>
      <c r="B20" s="31" t="s">
        <v>11</v>
      </c>
      <c r="C20" s="31" t="s">
        <v>14</v>
      </c>
      <c r="D20" s="31" t="s">
        <v>45</v>
      </c>
      <c r="E20" s="31" t="s">
        <v>16</v>
      </c>
      <c r="F20" s="33">
        <v>18</v>
      </c>
      <c r="G20" s="33">
        <v>5</v>
      </c>
      <c r="H20" s="31"/>
      <c r="I20" s="33">
        <v>2</v>
      </c>
      <c r="J20" s="31">
        <v>0.5</v>
      </c>
      <c r="K20" s="50">
        <f t="shared" si="2"/>
        <v>72</v>
      </c>
      <c r="L20" s="50">
        <f t="shared" si="3"/>
        <v>0</v>
      </c>
      <c r="M20" s="50">
        <f t="shared" si="4"/>
        <v>8</v>
      </c>
      <c r="N20" s="50">
        <f t="shared" si="5"/>
        <v>2</v>
      </c>
      <c r="O20" s="50">
        <f t="shared" si="6"/>
        <v>10</v>
      </c>
      <c r="P20" s="50">
        <f t="shared" si="7"/>
        <v>10</v>
      </c>
      <c r="Q20" s="50"/>
      <c r="R20" s="50"/>
      <c r="S20" s="43">
        <v>0</v>
      </c>
      <c r="T20" s="43">
        <v>6</v>
      </c>
      <c r="U20" s="43">
        <v>15</v>
      </c>
      <c r="V20" s="43">
        <v>2</v>
      </c>
      <c r="W20" s="43">
        <v>0</v>
      </c>
      <c r="X20" s="43">
        <v>2</v>
      </c>
      <c r="Y20" s="50">
        <v>0</v>
      </c>
      <c r="Z20" s="50">
        <v>60</v>
      </c>
      <c r="AA20" s="50">
        <v>8</v>
      </c>
      <c r="AB20" s="50">
        <v>8</v>
      </c>
      <c r="AC20" s="50">
        <v>16</v>
      </c>
      <c r="AD20" s="50">
        <f t="shared" si="1"/>
        <v>76</v>
      </c>
      <c r="AE20" s="43"/>
      <c r="AF20" s="43"/>
      <c r="AG20" s="43"/>
      <c r="AH20" s="43">
        <v>0</v>
      </c>
      <c r="AI20" s="39">
        <v>48.6</v>
      </c>
      <c r="AM20" s="29">
        <v>41.602164355765986</v>
      </c>
      <c r="AN20" s="26"/>
      <c r="AO20"/>
      <c r="AP20"/>
      <c r="AQ20"/>
      <c r="AR20"/>
    </row>
    <row r="21" spans="1:49" ht="14.25" customHeight="1" thickBot="1" x14ac:dyDescent="0.3">
      <c r="A21" s="30">
        <v>20</v>
      </c>
      <c r="B21" s="31" t="s">
        <v>11</v>
      </c>
      <c r="C21" s="31" t="s">
        <v>43</v>
      </c>
      <c r="D21" s="31" t="s">
        <v>44</v>
      </c>
      <c r="E21" s="31" t="s">
        <v>16</v>
      </c>
      <c r="F21" s="33">
        <v>18</v>
      </c>
      <c r="G21" s="33">
        <v>5</v>
      </c>
      <c r="H21" s="31"/>
      <c r="I21" s="33">
        <v>2</v>
      </c>
      <c r="J21" s="31"/>
      <c r="K21" s="50">
        <f t="shared" si="2"/>
        <v>72</v>
      </c>
      <c r="L21" s="50">
        <f t="shared" si="3"/>
        <v>0</v>
      </c>
      <c r="M21" s="50">
        <f t="shared" si="4"/>
        <v>8</v>
      </c>
      <c r="N21" s="50">
        <f t="shared" si="5"/>
        <v>0</v>
      </c>
      <c r="O21" s="50">
        <f t="shared" si="6"/>
        <v>8</v>
      </c>
      <c r="P21" s="50">
        <f t="shared" si="7"/>
        <v>8</v>
      </c>
      <c r="Q21" s="50"/>
      <c r="R21" s="50"/>
      <c r="S21" s="43">
        <v>14</v>
      </c>
      <c r="T21" s="43">
        <v>6</v>
      </c>
      <c r="U21" s="43">
        <v>1</v>
      </c>
      <c r="V21" s="43">
        <v>1</v>
      </c>
      <c r="W21" s="43">
        <v>0</v>
      </c>
      <c r="X21" s="43">
        <v>0.5</v>
      </c>
      <c r="Y21" s="50">
        <v>56</v>
      </c>
      <c r="Z21" s="50">
        <v>4</v>
      </c>
      <c r="AA21" s="50">
        <v>4</v>
      </c>
      <c r="AB21" s="50">
        <v>2</v>
      </c>
      <c r="AC21" s="50">
        <v>6</v>
      </c>
      <c r="AD21" s="50">
        <f t="shared" si="1"/>
        <v>10</v>
      </c>
      <c r="AE21" s="43"/>
      <c r="AF21" s="43"/>
      <c r="AG21" s="43"/>
      <c r="AH21" s="43">
        <v>3</v>
      </c>
      <c r="AI21" s="39">
        <v>18</v>
      </c>
      <c r="AM21" s="29">
        <v>5.8733245729303558</v>
      </c>
      <c r="AN21" s="26"/>
      <c r="AO21"/>
      <c r="AP21"/>
      <c r="AQ21"/>
      <c r="AR21"/>
    </row>
    <row r="22" spans="1:49" ht="14.25" customHeight="1" thickBot="1" x14ac:dyDescent="0.3">
      <c r="A22" s="30">
        <v>21</v>
      </c>
      <c r="B22" s="31" t="s">
        <v>11</v>
      </c>
      <c r="C22" s="31" t="s">
        <v>43</v>
      </c>
      <c r="D22" s="31" t="s">
        <v>15</v>
      </c>
      <c r="E22" s="31" t="s">
        <v>1</v>
      </c>
      <c r="F22" s="33">
        <v>23</v>
      </c>
      <c r="G22" s="33">
        <v>2</v>
      </c>
      <c r="H22" s="31"/>
      <c r="I22" s="31"/>
      <c r="J22" s="31"/>
      <c r="K22" s="50">
        <f t="shared" si="2"/>
        <v>92</v>
      </c>
      <c r="L22" s="50">
        <f t="shared" si="3"/>
        <v>0</v>
      </c>
      <c r="M22" s="50">
        <f t="shared" si="4"/>
        <v>0</v>
      </c>
      <c r="N22" s="50">
        <f t="shared" si="5"/>
        <v>0</v>
      </c>
      <c r="O22" s="50">
        <f t="shared" si="6"/>
        <v>0</v>
      </c>
      <c r="P22" s="50">
        <f t="shared" si="7"/>
        <v>0</v>
      </c>
      <c r="Q22" s="50"/>
      <c r="R22" s="50"/>
      <c r="S22" s="43">
        <v>13</v>
      </c>
      <c r="T22" s="43">
        <v>0</v>
      </c>
      <c r="U22" s="43">
        <v>0</v>
      </c>
      <c r="V22" s="43">
        <v>0</v>
      </c>
      <c r="W22" s="43">
        <v>0</v>
      </c>
      <c r="X22" s="43">
        <v>0</v>
      </c>
      <c r="Y22" s="50">
        <v>52</v>
      </c>
      <c r="Z22" s="50">
        <v>0</v>
      </c>
      <c r="AA22" s="50">
        <v>0</v>
      </c>
      <c r="AB22" s="50">
        <v>0</v>
      </c>
      <c r="AC22" s="50">
        <v>0</v>
      </c>
      <c r="AD22" s="50">
        <f t="shared" si="1"/>
        <v>0</v>
      </c>
      <c r="AE22" s="43"/>
      <c r="AF22" s="43"/>
      <c r="AG22" s="43"/>
      <c r="AH22" s="43">
        <v>12</v>
      </c>
      <c r="AI22" s="39">
        <v>0</v>
      </c>
      <c r="AM22" s="29">
        <v>17.426134800550209</v>
      </c>
      <c r="AN22" s="26"/>
      <c r="AO22"/>
      <c r="AP22"/>
      <c r="AQ22"/>
      <c r="AR22"/>
    </row>
    <row r="23" spans="1:49" ht="14.25" customHeight="1" thickBot="1" x14ac:dyDescent="0.3">
      <c r="A23" s="30">
        <v>22</v>
      </c>
      <c r="B23" s="31" t="s">
        <v>11</v>
      </c>
      <c r="C23" s="31" t="s">
        <v>43</v>
      </c>
      <c r="D23" s="31" t="s">
        <v>15</v>
      </c>
      <c r="E23" s="31" t="s">
        <v>16</v>
      </c>
      <c r="F23" s="33">
        <v>20</v>
      </c>
      <c r="G23" s="33">
        <v>4</v>
      </c>
      <c r="H23" s="31"/>
      <c r="I23" s="33">
        <v>1</v>
      </c>
      <c r="J23" s="31">
        <v>0.5</v>
      </c>
      <c r="K23" s="50">
        <f t="shared" si="2"/>
        <v>80</v>
      </c>
      <c r="L23" s="50">
        <f t="shared" si="3"/>
        <v>0</v>
      </c>
      <c r="M23" s="50">
        <f t="shared" si="4"/>
        <v>4</v>
      </c>
      <c r="N23" s="50">
        <f t="shared" si="5"/>
        <v>2</v>
      </c>
      <c r="O23" s="50">
        <f t="shared" si="6"/>
        <v>6</v>
      </c>
      <c r="P23" s="50">
        <f t="shared" si="7"/>
        <v>6</v>
      </c>
      <c r="Q23" s="50"/>
      <c r="R23" s="50"/>
      <c r="S23" s="43">
        <v>9</v>
      </c>
      <c r="T23" s="43">
        <v>1</v>
      </c>
      <c r="U23" s="43">
        <v>10</v>
      </c>
      <c r="V23" s="43">
        <v>1</v>
      </c>
      <c r="W23" s="43">
        <v>0</v>
      </c>
      <c r="X23" s="43">
        <v>0.5</v>
      </c>
      <c r="Y23" s="50">
        <v>36</v>
      </c>
      <c r="Z23" s="50">
        <v>40</v>
      </c>
      <c r="AA23" s="50">
        <v>4</v>
      </c>
      <c r="AB23" s="50">
        <v>2</v>
      </c>
      <c r="AC23" s="50">
        <v>6</v>
      </c>
      <c r="AD23" s="50">
        <f t="shared" si="1"/>
        <v>46</v>
      </c>
      <c r="AE23" s="43"/>
      <c r="AF23" s="43"/>
      <c r="AG23" s="43"/>
      <c r="AH23" s="43">
        <v>4</v>
      </c>
      <c r="AI23" s="39">
        <v>42.6</v>
      </c>
      <c r="AM23" s="29">
        <v>21.660895132309708</v>
      </c>
      <c r="AN23" s="26"/>
      <c r="AO23"/>
      <c r="AP23"/>
      <c r="AQ23"/>
      <c r="AR23"/>
    </row>
    <row r="24" spans="1:49" ht="14.25" customHeight="1" thickBot="1" x14ac:dyDescent="0.3">
      <c r="A24" s="30">
        <v>23</v>
      </c>
      <c r="B24" s="31" t="s">
        <v>11</v>
      </c>
      <c r="C24" s="31" t="s">
        <v>14</v>
      </c>
      <c r="D24" s="31" t="s">
        <v>44</v>
      </c>
      <c r="E24" s="31" t="s">
        <v>16</v>
      </c>
      <c r="F24" s="33">
        <v>18</v>
      </c>
      <c r="G24" s="33">
        <v>5</v>
      </c>
      <c r="H24" s="31"/>
      <c r="I24" s="33">
        <v>2</v>
      </c>
      <c r="J24" s="31">
        <v>0.5</v>
      </c>
      <c r="K24" s="50">
        <f t="shared" si="2"/>
        <v>72</v>
      </c>
      <c r="L24" s="50">
        <f t="shared" si="3"/>
        <v>0</v>
      </c>
      <c r="M24" s="50">
        <f t="shared" si="4"/>
        <v>8</v>
      </c>
      <c r="N24" s="50">
        <f t="shared" si="5"/>
        <v>2</v>
      </c>
      <c r="O24" s="50">
        <f t="shared" si="6"/>
        <v>10</v>
      </c>
      <c r="P24" s="50">
        <f t="shared" si="7"/>
        <v>10</v>
      </c>
      <c r="Q24" s="50"/>
      <c r="R24" s="50"/>
      <c r="S24" s="43">
        <v>4</v>
      </c>
      <c r="T24" s="43">
        <v>0</v>
      </c>
      <c r="U24" s="43">
        <v>17</v>
      </c>
      <c r="V24" s="43">
        <v>3</v>
      </c>
      <c r="W24" s="43">
        <v>0</v>
      </c>
      <c r="X24" s="43">
        <v>1</v>
      </c>
      <c r="Y24" s="50">
        <v>16</v>
      </c>
      <c r="Z24" s="50">
        <v>68</v>
      </c>
      <c r="AA24" s="50">
        <v>12</v>
      </c>
      <c r="AB24" s="50">
        <v>4</v>
      </c>
      <c r="AC24" s="50">
        <v>16</v>
      </c>
      <c r="AD24" s="50">
        <f t="shared" si="1"/>
        <v>84</v>
      </c>
      <c r="AE24" s="43"/>
      <c r="AF24" s="43"/>
      <c r="AG24" s="43"/>
      <c r="AH24" s="43">
        <v>0</v>
      </c>
      <c r="AI24" s="39">
        <v>21</v>
      </c>
      <c r="AM24" s="29">
        <v>74.137178166838311</v>
      </c>
      <c r="AN24" s="26"/>
      <c r="AO24"/>
      <c r="AP24"/>
      <c r="AQ24"/>
      <c r="AR24"/>
    </row>
    <row r="25" spans="1:49" ht="14.25" customHeight="1" thickBot="1" x14ac:dyDescent="0.3">
      <c r="A25" s="30">
        <v>24</v>
      </c>
      <c r="B25" s="31" t="s">
        <v>11</v>
      </c>
      <c r="C25" s="31" t="s">
        <v>14</v>
      </c>
      <c r="D25" s="31" t="s">
        <v>45</v>
      </c>
      <c r="E25" s="31" t="s">
        <v>16</v>
      </c>
      <c r="F25" s="33">
        <v>22</v>
      </c>
      <c r="G25" s="33">
        <v>1</v>
      </c>
      <c r="H25" s="31"/>
      <c r="I25" s="33">
        <v>2</v>
      </c>
      <c r="J25" s="31">
        <v>0.5</v>
      </c>
      <c r="K25" s="50">
        <f t="shared" si="2"/>
        <v>88</v>
      </c>
      <c r="L25" s="50">
        <f t="shared" si="3"/>
        <v>0</v>
      </c>
      <c r="M25" s="50">
        <f t="shared" si="4"/>
        <v>8</v>
      </c>
      <c r="N25" s="50">
        <f t="shared" si="5"/>
        <v>2</v>
      </c>
      <c r="O25" s="50">
        <f t="shared" si="6"/>
        <v>10</v>
      </c>
      <c r="P25" s="50">
        <f t="shared" si="7"/>
        <v>10</v>
      </c>
      <c r="Q25" s="50"/>
      <c r="R25" s="50"/>
      <c r="S25" s="43">
        <v>3</v>
      </c>
      <c r="T25" s="43">
        <v>1</v>
      </c>
      <c r="U25" s="43">
        <v>18</v>
      </c>
      <c r="V25" s="43">
        <v>3</v>
      </c>
      <c r="W25" s="43">
        <v>0.5</v>
      </c>
      <c r="X25" s="43">
        <v>0.5</v>
      </c>
      <c r="Y25" s="50">
        <v>12</v>
      </c>
      <c r="Z25" s="50">
        <v>72</v>
      </c>
      <c r="AA25" s="50">
        <v>12</v>
      </c>
      <c r="AB25" s="50">
        <v>2</v>
      </c>
      <c r="AC25" s="50">
        <v>14</v>
      </c>
      <c r="AD25" s="50">
        <f t="shared" si="1"/>
        <v>86</v>
      </c>
      <c r="AE25" s="43"/>
      <c r="AF25" s="43"/>
      <c r="AG25" s="43"/>
      <c r="AH25" s="43">
        <v>0</v>
      </c>
      <c r="AI25" s="39">
        <v>24.5</v>
      </c>
      <c r="AM25" s="29">
        <v>53.790377784953186</v>
      </c>
      <c r="AN25" s="26"/>
      <c r="AO25"/>
      <c r="AP25"/>
      <c r="AQ25"/>
      <c r="AR25"/>
    </row>
    <row r="26" spans="1:49" ht="14.25" customHeight="1" thickBot="1" x14ac:dyDescent="0.3">
      <c r="A26" s="30">
        <v>25</v>
      </c>
      <c r="B26" s="31" t="s">
        <v>11</v>
      </c>
      <c r="C26" s="31" t="s">
        <v>14</v>
      </c>
      <c r="D26" s="31" t="s">
        <v>45</v>
      </c>
      <c r="E26" s="31" t="s">
        <v>16</v>
      </c>
      <c r="F26" s="33">
        <v>16</v>
      </c>
      <c r="G26" s="33">
        <v>5</v>
      </c>
      <c r="H26" s="31"/>
      <c r="I26" s="33">
        <v>4</v>
      </c>
      <c r="J26" s="31">
        <v>0.5</v>
      </c>
      <c r="K26" s="50">
        <f t="shared" si="2"/>
        <v>64</v>
      </c>
      <c r="L26" s="50">
        <f t="shared" si="3"/>
        <v>0</v>
      </c>
      <c r="M26" s="50">
        <f t="shared" si="4"/>
        <v>16</v>
      </c>
      <c r="N26" s="50">
        <f t="shared" si="5"/>
        <v>2</v>
      </c>
      <c r="O26" s="50">
        <f t="shared" si="6"/>
        <v>18</v>
      </c>
      <c r="P26" s="50">
        <f t="shared" si="7"/>
        <v>18</v>
      </c>
      <c r="Q26" s="50"/>
      <c r="R26" s="50"/>
      <c r="S26" s="43">
        <v>6</v>
      </c>
      <c r="T26" s="43">
        <v>1</v>
      </c>
      <c r="U26" s="43">
        <v>14</v>
      </c>
      <c r="V26" s="43">
        <v>2</v>
      </c>
      <c r="W26" s="43">
        <v>0</v>
      </c>
      <c r="X26" s="43">
        <v>2</v>
      </c>
      <c r="Y26" s="50">
        <v>24</v>
      </c>
      <c r="Z26" s="50">
        <v>56</v>
      </c>
      <c r="AA26" s="50">
        <v>8</v>
      </c>
      <c r="AB26" s="50">
        <v>8</v>
      </c>
      <c r="AC26" s="50">
        <v>16</v>
      </c>
      <c r="AD26" s="50">
        <f t="shared" si="1"/>
        <v>72</v>
      </c>
      <c r="AE26" s="43"/>
      <c r="AF26" s="43"/>
      <c r="AG26" s="43"/>
      <c r="AH26" s="43">
        <v>0</v>
      </c>
      <c r="AI26" s="39">
        <v>50</v>
      </c>
      <c r="AM26" s="29">
        <v>39.623591782637519</v>
      </c>
      <c r="AN26" s="26"/>
      <c r="AO26"/>
      <c r="AP26"/>
      <c r="AQ26"/>
      <c r="AR26"/>
    </row>
    <row r="27" spans="1:49" ht="14.25" customHeight="1" thickBot="1" x14ac:dyDescent="0.3">
      <c r="A27" s="30">
        <v>26</v>
      </c>
      <c r="B27" s="31" t="s">
        <v>11</v>
      </c>
      <c r="C27" s="31" t="s">
        <v>14</v>
      </c>
      <c r="D27" s="31" t="s">
        <v>44</v>
      </c>
      <c r="E27" s="31" t="s">
        <v>16</v>
      </c>
      <c r="F27" s="33">
        <v>15</v>
      </c>
      <c r="G27" s="33">
        <v>5</v>
      </c>
      <c r="H27" s="31"/>
      <c r="I27" s="33">
        <v>5</v>
      </c>
      <c r="J27" s="31">
        <v>0.5</v>
      </c>
      <c r="K27" s="50">
        <f t="shared" si="2"/>
        <v>60</v>
      </c>
      <c r="L27" s="50">
        <f t="shared" si="3"/>
        <v>0</v>
      </c>
      <c r="M27" s="50">
        <f t="shared" si="4"/>
        <v>20</v>
      </c>
      <c r="N27" s="50">
        <f t="shared" si="5"/>
        <v>2</v>
      </c>
      <c r="O27" s="50">
        <f t="shared" si="6"/>
        <v>22</v>
      </c>
      <c r="P27" s="50">
        <f t="shared" si="7"/>
        <v>22</v>
      </c>
      <c r="Q27" s="50"/>
      <c r="R27" s="50"/>
      <c r="S27" s="43">
        <v>0</v>
      </c>
      <c r="T27" s="43">
        <v>4</v>
      </c>
      <c r="U27" s="43">
        <v>16</v>
      </c>
      <c r="V27" s="43">
        <v>3</v>
      </c>
      <c r="W27" s="43">
        <v>0</v>
      </c>
      <c r="X27" s="43">
        <v>2</v>
      </c>
      <c r="Y27" s="50">
        <v>0</v>
      </c>
      <c r="Z27" s="50">
        <v>64</v>
      </c>
      <c r="AA27" s="50">
        <v>12</v>
      </c>
      <c r="AB27" s="50">
        <v>8</v>
      </c>
      <c r="AC27" s="50">
        <v>20</v>
      </c>
      <c r="AD27" s="50">
        <f t="shared" si="1"/>
        <v>84</v>
      </c>
      <c r="AE27" s="43"/>
      <c r="AF27" s="43"/>
      <c r="AG27" s="43"/>
      <c r="AH27" s="43">
        <v>0.5</v>
      </c>
      <c r="AI27" s="39">
        <v>33.5</v>
      </c>
      <c r="AM27" s="29">
        <v>23.44173969490425</v>
      </c>
      <c r="AN27" s="26"/>
      <c r="AO27"/>
      <c r="AP27"/>
      <c r="AQ27"/>
      <c r="AR27"/>
    </row>
    <row r="28" spans="1:49" ht="14.25" customHeight="1" thickBot="1" x14ac:dyDescent="0.3">
      <c r="A28" s="30">
        <v>27</v>
      </c>
      <c r="B28" s="31" t="s">
        <v>11</v>
      </c>
      <c r="C28" s="31" t="s">
        <v>43</v>
      </c>
      <c r="D28" s="31" t="s">
        <v>15</v>
      </c>
      <c r="E28" s="31" t="s">
        <v>16</v>
      </c>
      <c r="F28" s="33">
        <v>21</v>
      </c>
      <c r="G28" s="31"/>
      <c r="H28" s="31"/>
      <c r="I28" s="33">
        <v>4</v>
      </c>
      <c r="J28" s="31">
        <v>0.5</v>
      </c>
      <c r="K28" s="50">
        <f t="shared" si="2"/>
        <v>84</v>
      </c>
      <c r="L28" s="50">
        <f t="shared" si="3"/>
        <v>0</v>
      </c>
      <c r="M28" s="50">
        <f t="shared" si="4"/>
        <v>16</v>
      </c>
      <c r="N28" s="50">
        <f t="shared" si="5"/>
        <v>2</v>
      </c>
      <c r="O28" s="50">
        <f t="shared" si="6"/>
        <v>18</v>
      </c>
      <c r="P28" s="50">
        <f t="shared" si="7"/>
        <v>18</v>
      </c>
      <c r="Q28" s="50"/>
      <c r="R28" s="50"/>
      <c r="S28" s="43">
        <v>7</v>
      </c>
      <c r="T28" s="43">
        <v>1</v>
      </c>
      <c r="U28" s="43">
        <v>10</v>
      </c>
      <c r="V28" s="43">
        <v>2</v>
      </c>
      <c r="W28" s="43">
        <v>0</v>
      </c>
      <c r="X28" s="43">
        <v>0.5</v>
      </c>
      <c r="Y28" s="50">
        <v>28</v>
      </c>
      <c r="Z28" s="50">
        <v>40</v>
      </c>
      <c r="AA28" s="50">
        <v>8</v>
      </c>
      <c r="AB28" s="50">
        <v>2</v>
      </c>
      <c r="AC28" s="50">
        <v>10</v>
      </c>
      <c r="AD28" s="50">
        <f t="shared" si="1"/>
        <v>50</v>
      </c>
      <c r="AE28" s="43"/>
      <c r="AF28" s="43"/>
      <c r="AG28" s="43"/>
      <c r="AH28" s="43">
        <v>5</v>
      </c>
      <c r="AI28" s="39">
        <v>15</v>
      </c>
      <c r="AM28" s="29">
        <v>24.913906405575844</v>
      </c>
      <c r="AN28" s="26"/>
      <c r="AO28"/>
      <c r="AP28"/>
      <c r="AQ28"/>
      <c r="AR28"/>
    </row>
    <row r="29" spans="1:49" ht="14.25" customHeight="1" thickBot="1" x14ac:dyDescent="0.3">
      <c r="A29" s="30">
        <v>28</v>
      </c>
      <c r="B29" s="31" t="s">
        <v>11</v>
      </c>
      <c r="C29" s="31" t="s">
        <v>14</v>
      </c>
      <c r="D29" s="31" t="s">
        <v>45</v>
      </c>
      <c r="E29" s="31" t="s">
        <v>16</v>
      </c>
      <c r="F29" s="33">
        <v>21</v>
      </c>
      <c r="G29" s="33">
        <v>3</v>
      </c>
      <c r="H29" s="31"/>
      <c r="I29" s="33">
        <v>1</v>
      </c>
      <c r="J29" s="31">
        <v>0.5</v>
      </c>
      <c r="K29" s="50">
        <f t="shared" si="2"/>
        <v>84</v>
      </c>
      <c r="L29" s="50">
        <f t="shared" si="3"/>
        <v>0</v>
      </c>
      <c r="M29" s="50">
        <f t="shared" si="4"/>
        <v>4</v>
      </c>
      <c r="N29" s="50">
        <f t="shared" si="5"/>
        <v>2</v>
      </c>
      <c r="O29" s="50">
        <f t="shared" si="6"/>
        <v>6</v>
      </c>
      <c r="P29" s="50">
        <f t="shared" si="7"/>
        <v>6</v>
      </c>
      <c r="Q29" s="50"/>
      <c r="R29" s="50"/>
      <c r="S29" s="43">
        <v>5</v>
      </c>
      <c r="T29" s="43">
        <v>0</v>
      </c>
      <c r="U29" s="43">
        <v>13</v>
      </c>
      <c r="V29" s="43">
        <v>2</v>
      </c>
      <c r="W29" s="43">
        <v>5</v>
      </c>
      <c r="X29" s="43">
        <v>0.5</v>
      </c>
      <c r="Y29" s="50">
        <v>20</v>
      </c>
      <c r="Z29" s="50">
        <v>52</v>
      </c>
      <c r="AA29" s="50">
        <v>8</v>
      </c>
      <c r="AB29" s="50">
        <v>2</v>
      </c>
      <c r="AC29" s="50">
        <v>10</v>
      </c>
      <c r="AD29" s="50">
        <f t="shared" si="1"/>
        <v>62</v>
      </c>
      <c r="AE29" s="43"/>
      <c r="AF29" s="43"/>
      <c r="AG29" s="43"/>
      <c r="AH29" s="43">
        <v>0</v>
      </c>
      <c r="AI29" s="39">
        <v>21</v>
      </c>
      <c r="AM29" s="29">
        <v>19.350476816836569</v>
      </c>
      <c r="AN29" s="26"/>
      <c r="AO29"/>
      <c r="AP29"/>
      <c r="AQ29"/>
      <c r="AR29"/>
    </row>
    <row r="30" spans="1:49" ht="14.25" customHeight="1" thickBot="1" x14ac:dyDescent="0.3">
      <c r="A30" s="30">
        <v>29</v>
      </c>
      <c r="B30" s="31" t="s">
        <v>11</v>
      </c>
      <c r="C30" s="31" t="s">
        <v>43</v>
      </c>
      <c r="D30" s="31" t="s">
        <v>45</v>
      </c>
      <c r="E30" s="31" t="s">
        <v>16</v>
      </c>
      <c r="F30" s="33">
        <v>22</v>
      </c>
      <c r="G30" s="33">
        <v>2</v>
      </c>
      <c r="H30" s="31"/>
      <c r="I30" s="33">
        <v>1</v>
      </c>
      <c r="J30" s="31">
        <v>0.5</v>
      </c>
      <c r="K30" s="50">
        <f t="shared" si="2"/>
        <v>88</v>
      </c>
      <c r="L30" s="50">
        <f t="shared" si="3"/>
        <v>0</v>
      </c>
      <c r="M30" s="50">
        <f t="shared" si="4"/>
        <v>4</v>
      </c>
      <c r="N30" s="50">
        <f t="shared" si="5"/>
        <v>2</v>
      </c>
      <c r="O30" s="50">
        <f t="shared" si="6"/>
        <v>6</v>
      </c>
      <c r="P30" s="50">
        <f t="shared" si="7"/>
        <v>6</v>
      </c>
      <c r="Q30" s="50"/>
      <c r="R30" s="50"/>
      <c r="S30" s="43">
        <v>12</v>
      </c>
      <c r="T30" s="43">
        <v>0</v>
      </c>
      <c r="U30" s="43">
        <v>10</v>
      </c>
      <c r="V30" s="43">
        <v>2</v>
      </c>
      <c r="W30" s="43">
        <v>0</v>
      </c>
      <c r="X30" s="43">
        <v>1</v>
      </c>
      <c r="Y30" s="50">
        <v>48</v>
      </c>
      <c r="Z30" s="50">
        <v>40</v>
      </c>
      <c r="AA30" s="50">
        <v>8</v>
      </c>
      <c r="AB30" s="50">
        <v>4</v>
      </c>
      <c r="AC30" s="50">
        <v>12</v>
      </c>
      <c r="AD30" s="50">
        <f t="shared" si="1"/>
        <v>52</v>
      </c>
      <c r="AE30" s="43"/>
      <c r="AF30" s="43"/>
      <c r="AG30" s="43"/>
      <c r="AH30" s="43">
        <v>0</v>
      </c>
      <c r="AI30" s="39">
        <v>35</v>
      </c>
      <c r="AM30" s="29">
        <v>33.116156630470549</v>
      </c>
      <c r="AN30" s="26"/>
      <c r="AO30"/>
      <c r="AP30"/>
      <c r="AQ30"/>
      <c r="AR30"/>
    </row>
    <row r="31" spans="1:49" ht="14.25" customHeight="1" thickBot="1" x14ac:dyDescent="0.3">
      <c r="A31" s="30">
        <v>30</v>
      </c>
      <c r="B31" s="31" t="s">
        <v>11</v>
      </c>
      <c r="C31" s="31" t="s">
        <v>14</v>
      </c>
      <c r="D31" s="31" t="s">
        <v>15</v>
      </c>
      <c r="E31" s="31" t="s">
        <v>16</v>
      </c>
      <c r="F31" s="33">
        <v>23</v>
      </c>
      <c r="G31" s="33">
        <v>2</v>
      </c>
      <c r="H31" s="31"/>
      <c r="I31" s="31">
        <v>0.5</v>
      </c>
      <c r="J31" s="31">
        <v>0.5</v>
      </c>
      <c r="K31" s="50">
        <f t="shared" si="2"/>
        <v>92</v>
      </c>
      <c r="L31" s="50">
        <f t="shared" si="3"/>
        <v>0</v>
      </c>
      <c r="M31" s="50">
        <f t="shared" si="4"/>
        <v>2</v>
      </c>
      <c r="N31" s="50">
        <f t="shared" si="5"/>
        <v>2</v>
      </c>
      <c r="O31" s="50">
        <f t="shared" si="6"/>
        <v>4</v>
      </c>
      <c r="P31" s="50">
        <f t="shared" si="7"/>
        <v>4</v>
      </c>
      <c r="Q31" s="50"/>
      <c r="R31" s="50"/>
      <c r="S31" s="43">
        <v>6</v>
      </c>
      <c r="T31" s="43">
        <v>2</v>
      </c>
      <c r="U31" s="43">
        <v>11</v>
      </c>
      <c r="V31" s="43">
        <v>3</v>
      </c>
      <c r="W31" s="43">
        <v>0</v>
      </c>
      <c r="X31" s="43">
        <v>1</v>
      </c>
      <c r="Y31" s="50">
        <v>24</v>
      </c>
      <c r="Z31" s="50">
        <v>44</v>
      </c>
      <c r="AA31" s="50">
        <v>12</v>
      </c>
      <c r="AB31" s="50">
        <v>4</v>
      </c>
      <c r="AC31" s="50">
        <v>16</v>
      </c>
      <c r="AD31" s="50">
        <f t="shared" si="1"/>
        <v>60</v>
      </c>
      <c r="AE31" s="43"/>
      <c r="AF31" s="43"/>
      <c r="AG31" s="43"/>
      <c r="AH31" s="43">
        <v>2</v>
      </c>
      <c r="AI31" s="39">
        <v>22</v>
      </c>
      <c r="AJ31">
        <v>202.56229107383024</v>
      </c>
      <c r="AK31">
        <v>259.41469815894902</v>
      </c>
      <c r="AL31">
        <v>387.40488214469724</v>
      </c>
      <c r="AM31" s="29">
        <v>19.451976668826966</v>
      </c>
      <c r="AN31" s="26">
        <v>30</v>
      </c>
      <c r="AO31">
        <v>8.710069333333335</v>
      </c>
      <c r="AP31">
        <v>21.526866666666667</v>
      </c>
      <c r="AQ31">
        <v>47.055932000000006</v>
      </c>
      <c r="AR31">
        <v>202.56229107383024</v>
      </c>
      <c r="AS31">
        <v>259.41469815894902</v>
      </c>
      <c r="AT31">
        <v>91.924449999999979</v>
      </c>
      <c r="AU31">
        <v>387.40488214469724</v>
      </c>
      <c r="AV31">
        <v>15.663266666666665</v>
      </c>
      <c r="AW31">
        <v>60.43950000000001</v>
      </c>
    </row>
    <row r="32" spans="1:49" ht="14.25" customHeight="1" thickBot="1" x14ac:dyDescent="0.3">
      <c r="A32" s="30">
        <v>31</v>
      </c>
      <c r="B32" s="31" t="s">
        <v>11</v>
      </c>
      <c r="C32" s="31" t="s">
        <v>43</v>
      </c>
      <c r="D32" s="31" t="s">
        <v>45</v>
      </c>
      <c r="E32" s="31" t="s">
        <v>16</v>
      </c>
      <c r="F32" s="33">
        <v>20</v>
      </c>
      <c r="G32" s="33">
        <v>2</v>
      </c>
      <c r="H32" s="31"/>
      <c r="I32" s="33">
        <v>3</v>
      </c>
      <c r="J32" s="31"/>
      <c r="K32" s="50">
        <f t="shared" si="2"/>
        <v>80</v>
      </c>
      <c r="L32" s="50">
        <f t="shared" si="3"/>
        <v>0</v>
      </c>
      <c r="M32" s="50">
        <f t="shared" si="4"/>
        <v>12</v>
      </c>
      <c r="N32" s="50">
        <f t="shared" si="5"/>
        <v>0</v>
      </c>
      <c r="O32" s="50">
        <f t="shared" si="6"/>
        <v>12</v>
      </c>
      <c r="P32" s="50">
        <f t="shared" si="7"/>
        <v>12</v>
      </c>
      <c r="Q32" s="50"/>
      <c r="R32" s="50"/>
      <c r="S32" s="43">
        <v>14</v>
      </c>
      <c r="T32" s="43">
        <v>0</v>
      </c>
      <c r="U32" s="43">
        <v>10</v>
      </c>
      <c r="V32" s="43">
        <v>0</v>
      </c>
      <c r="W32" s="43">
        <v>0</v>
      </c>
      <c r="X32" s="43">
        <v>1</v>
      </c>
      <c r="Y32" s="50">
        <v>56</v>
      </c>
      <c r="Z32" s="50">
        <v>40</v>
      </c>
      <c r="AA32" s="50">
        <v>0</v>
      </c>
      <c r="AB32" s="50">
        <v>4</v>
      </c>
      <c r="AC32" s="50">
        <v>4</v>
      </c>
      <c r="AD32" s="50">
        <f t="shared" si="1"/>
        <v>44</v>
      </c>
      <c r="AE32" s="43"/>
      <c r="AF32" s="43"/>
      <c r="AG32" s="43"/>
      <c r="AH32" s="43">
        <v>0</v>
      </c>
      <c r="AI32" s="39">
        <v>23.5</v>
      </c>
      <c r="AJ32"/>
      <c r="AK32"/>
      <c r="AL32"/>
      <c r="AM32" s="29">
        <v>39.009004092769445</v>
      </c>
      <c r="AN32" s="26"/>
      <c r="AO32"/>
      <c r="AP32"/>
      <c r="AQ32"/>
      <c r="AR32"/>
    </row>
    <row r="33" spans="1:49" ht="14.25" customHeight="1" thickBot="1" x14ac:dyDescent="0.3">
      <c r="A33" s="30">
        <v>32</v>
      </c>
      <c r="B33" s="31" t="s">
        <v>11</v>
      </c>
      <c r="C33" s="31" t="s">
        <v>14</v>
      </c>
      <c r="D33" s="31" t="s">
        <v>15</v>
      </c>
      <c r="E33" s="31" t="s">
        <v>16</v>
      </c>
      <c r="F33" s="33">
        <v>21</v>
      </c>
      <c r="G33" s="33">
        <v>4</v>
      </c>
      <c r="H33" s="31"/>
      <c r="I33" s="31">
        <v>0.5</v>
      </c>
      <c r="J33" s="31"/>
      <c r="K33" s="50">
        <f t="shared" si="2"/>
        <v>84</v>
      </c>
      <c r="L33" s="50">
        <f t="shared" si="3"/>
        <v>0</v>
      </c>
      <c r="M33" s="50">
        <f t="shared" si="4"/>
        <v>2</v>
      </c>
      <c r="N33" s="50">
        <f t="shared" si="5"/>
        <v>0</v>
      </c>
      <c r="O33" s="50">
        <f t="shared" si="6"/>
        <v>2</v>
      </c>
      <c r="P33" s="50">
        <f t="shared" si="7"/>
        <v>2</v>
      </c>
      <c r="Q33" s="50"/>
      <c r="R33" s="50"/>
      <c r="S33" s="43">
        <v>4</v>
      </c>
      <c r="T33" s="43">
        <v>6</v>
      </c>
      <c r="U33" s="43">
        <v>12</v>
      </c>
      <c r="V33" s="43">
        <v>0.5</v>
      </c>
      <c r="W33" s="43">
        <v>0</v>
      </c>
      <c r="X33" s="43">
        <v>0.5</v>
      </c>
      <c r="Y33" s="50">
        <v>16</v>
      </c>
      <c r="Z33" s="50">
        <v>48</v>
      </c>
      <c r="AA33" s="50">
        <v>2</v>
      </c>
      <c r="AB33" s="50">
        <v>2</v>
      </c>
      <c r="AC33" s="50">
        <v>4</v>
      </c>
      <c r="AD33" s="50">
        <f t="shared" si="1"/>
        <v>52</v>
      </c>
      <c r="AE33" s="43"/>
      <c r="AF33" s="43"/>
      <c r="AG33" s="43"/>
      <c r="AH33" s="43">
        <v>3</v>
      </c>
      <c r="AI33" s="39">
        <v>7</v>
      </c>
      <c r="AJ33">
        <v>123.0535343953693</v>
      </c>
      <c r="AK33">
        <v>263.41042657206685</v>
      </c>
      <c r="AL33">
        <v>299.0992459674448</v>
      </c>
      <c r="AM33" s="29">
        <v>21.471923208776147</v>
      </c>
      <c r="AN33" s="26">
        <v>32</v>
      </c>
      <c r="AO33">
        <v>5.1182650000000001</v>
      </c>
      <c r="AP33">
        <v>20.543283333333335</v>
      </c>
      <c r="AQ33">
        <v>25.505105999999998</v>
      </c>
      <c r="AR33">
        <v>123.0535343953693</v>
      </c>
      <c r="AS33">
        <v>263.41042657206685</v>
      </c>
      <c r="AT33">
        <v>61.924849999999992</v>
      </c>
      <c r="AU33">
        <v>299.0992459674448</v>
      </c>
      <c r="AV33">
        <v>10.663333333333334</v>
      </c>
      <c r="AW33">
        <v>54.538000000000018</v>
      </c>
    </row>
    <row r="34" spans="1:49" ht="14.25" customHeight="1" thickBot="1" x14ac:dyDescent="0.3">
      <c r="A34" s="30">
        <v>33</v>
      </c>
      <c r="B34" s="31" t="s">
        <v>11</v>
      </c>
      <c r="C34" s="31" t="s">
        <v>14</v>
      </c>
      <c r="D34" s="31" t="s">
        <v>15</v>
      </c>
      <c r="E34" s="31" t="s">
        <v>16</v>
      </c>
      <c r="F34" s="33">
        <v>14</v>
      </c>
      <c r="G34" s="33">
        <v>8</v>
      </c>
      <c r="H34" s="31"/>
      <c r="I34" s="33">
        <v>3</v>
      </c>
      <c r="J34" s="31">
        <v>0.5</v>
      </c>
      <c r="K34" s="50">
        <f t="shared" si="2"/>
        <v>56</v>
      </c>
      <c r="L34" s="50">
        <f t="shared" si="3"/>
        <v>0</v>
      </c>
      <c r="M34" s="50">
        <f t="shared" si="4"/>
        <v>12</v>
      </c>
      <c r="N34" s="50">
        <f t="shared" si="5"/>
        <v>2</v>
      </c>
      <c r="O34" s="50">
        <f t="shared" si="6"/>
        <v>14</v>
      </c>
      <c r="P34" s="50">
        <f t="shared" si="7"/>
        <v>14</v>
      </c>
      <c r="Q34" s="50"/>
      <c r="R34" s="50"/>
      <c r="S34" s="43">
        <v>1</v>
      </c>
      <c r="T34" s="43">
        <v>2</v>
      </c>
      <c r="U34" s="43">
        <v>17</v>
      </c>
      <c r="V34" s="43">
        <v>1</v>
      </c>
      <c r="W34" s="43">
        <v>0</v>
      </c>
      <c r="X34" s="43">
        <v>2</v>
      </c>
      <c r="Y34" s="50">
        <v>4</v>
      </c>
      <c r="Z34" s="50">
        <v>68</v>
      </c>
      <c r="AA34" s="50">
        <v>4</v>
      </c>
      <c r="AB34" s="50">
        <v>8</v>
      </c>
      <c r="AC34" s="50">
        <v>12</v>
      </c>
      <c r="AD34" s="50">
        <f t="shared" si="1"/>
        <v>80</v>
      </c>
      <c r="AE34" s="43"/>
      <c r="AF34" s="43"/>
      <c r="AG34" s="43"/>
      <c r="AH34" s="43">
        <v>2</v>
      </c>
      <c r="AI34" s="39">
        <v>9.5</v>
      </c>
      <c r="AJ34">
        <v>197.7514627330003</v>
      </c>
      <c r="AK34">
        <v>210.74628888129772</v>
      </c>
      <c r="AL34">
        <v>369.55458094547924</v>
      </c>
      <c r="AM34" s="29">
        <v>29.190138466734211</v>
      </c>
      <c r="AN34" s="26">
        <v>33</v>
      </c>
      <c r="AO34">
        <v>8.0839750000000006</v>
      </c>
      <c r="AP34">
        <v>19.186616666666669</v>
      </c>
      <c r="AQ34">
        <v>43.299366000000013</v>
      </c>
      <c r="AR34">
        <v>197.7514627330003</v>
      </c>
      <c r="AS34">
        <v>210.74628888129772</v>
      </c>
      <c r="AT34">
        <v>81.384049999999988</v>
      </c>
      <c r="AU34">
        <v>369.55458094547924</v>
      </c>
      <c r="AV34">
        <v>13.906533333333334</v>
      </c>
      <c r="AW34">
        <v>46.398000000000003</v>
      </c>
    </row>
    <row r="35" spans="1:49" ht="14.25" customHeight="1" thickBot="1" x14ac:dyDescent="0.3">
      <c r="A35" s="30">
        <v>34</v>
      </c>
      <c r="B35" s="31" t="s">
        <v>11</v>
      </c>
      <c r="C35" s="31" t="s">
        <v>14</v>
      </c>
      <c r="D35" s="31" t="s">
        <v>44</v>
      </c>
      <c r="E35" s="31" t="s">
        <v>16</v>
      </c>
      <c r="F35" s="33">
        <v>16</v>
      </c>
      <c r="G35" s="33">
        <v>5</v>
      </c>
      <c r="H35" s="31"/>
      <c r="I35" s="33">
        <v>4</v>
      </c>
      <c r="J35" s="31"/>
      <c r="K35" s="50">
        <f t="shared" si="2"/>
        <v>64</v>
      </c>
      <c r="L35" s="50">
        <f t="shared" si="3"/>
        <v>0</v>
      </c>
      <c r="M35" s="50">
        <f t="shared" si="4"/>
        <v>16</v>
      </c>
      <c r="N35" s="50">
        <f t="shared" si="5"/>
        <v>0</v>
      </c>
      <c r="O35" s="50">
        <f t="shared" si="6"/>
        <v>16</v>
      </c>
      <c r="P35" s="50">
        <f t="shared" si="7"/>
        <v>16</v>
      </c>
      <c r="Q35" s="50"/>
      <c r="R35" s="50"/>
      <c r="S35" s="43">
        <v>0</v>
      </c>
      <c r="T35" s="43">
        <v>3</v>
      </c>
      <c r="U35" s="43">
        <v>19</v>
      </c>
      <c r="V35" s="43">
        <v>2</v>
      </c>
      <c r="W35" s="43">
        <v>0</v>
      </c>
      <c r="X35" s="43">
        <v>1</v>
      </c>
      <c r="Y35" s="50">
        <v>0</v>
      </c>
      <c r="Z35" s="50">
        <v>76</v>
      </c>
      <c r="AA35" s="50">
        <v>8</v>
      </c>
      <c r="AB35" s="50">
        <v>4</v>
      </c>
      <c r="AC35" s="50">
        <v>12</v>
      </c>
      <c r="AD35" s="50">
        <f t="shared" si="1"/>
        <v>88</v>
      </c>
      <c r="AE35" s="43"/>
      <c r="AF35" s="43"/>
      <c r="AG35" s="43"/>
      <c r="AH35" s="43">
        <v>0.5</v>
      </c>
      <c r="AI35" s="39">
        <v>17</v>
      </c>
      <c r="AM35" s="29">
        <v>37.019525065963066</v>
      </c>
      <c r="AN35" s="26"/>
      <c r="AO35"/>
      <c r="AP35"/>
      <c r="AQ35"/>
      <c r="AR35"/>
    </row>
    <row r="36" spans="1:49" ht="14.25" customHeight="1" thickBot="1" x14ac:dyDescent="0.3">
      <c r="A36" s="30">
        <v>35</v>
      </c>
      <c r="B36" s="31" t="s">
        <v>11</v>
      </c>
      <c r="C36" s="31" t="s">
        <v>14</v>
      </c>
      <c r="D36" s="31" t="s">
        <v>44</v>
      </c>
      <c r="E36" s="31" t="s">
        <v>1</v>
      </c>
      <c r="F36" s="33">
        <v>21</v>
      </c>
      <c r="G36" s="33">
        <v>4</v>
      </c>
      <c r="H36" s="31"/>
      <c r="I36" s="31"/>
      <c r="J36" s="31"/>
      <c r="K36" s="50">
        <f t="shared" si="2"/>
        <v>84</v>
      </c>
      <c r="L36" s="50">
        <f t="shared" si="3"/>
        <v>0</v>
      </c>
      <c r="M36" s="50">
        <f t="shared" si="4"/>
        <v>0</v>
      </c>
      <c r="N36" s="50">
        <f t="shared" si="5"/>
        <v>0</v>
      </c>
      <c r="O36" s="50">
        <f t="shared" si="6"/>
        <v>0</v>
      </c>
      <c r="P36" s="50">
        <f t="shared" si="7"/>
        <v>0</v>
      </c>
      <c r="Q36" s="50"/>
      <c r="R36" s="50"/>
      <c r="S36" s="43">
        <v>17</v>
      </c>
      <c r="T36" s="43">
        <v>3</v>
      </c>
      <c r="U36" s="43">
        <v>1</v>
      </c>
      <c r="V36" s="43">
        <v>0</v>
      </c>
      <c r="W36" s="43">
        <v>0</v>
      </c>
      <c r="X36" s="43">
        <v>0</v>
      </c>
      <c r="Y36" s="50">
        <v>68</v>
      </c>
      <c r="Z36" s="50">
        <v>4</v>
      </c>
      <c r="AA36" s="50">
        <v>0</v>
      </c>
      <c r="AB36" s="50">
        <v>0</v>
      </c>
      <c r="AC36" s="50">
        <v>0</v>
      </c>
      <c r="AD36" s="50">
        <f t="shared" si="1"/>
        <v>4</v>
      </c>
      <c r="AE36" s="43"/>
      <c r="AF36" s="43"/>
      <c r="AG36" s="43"/>
      <c r="AH36" s="43">
        <v>4</v>
      </c>
      <c r="AI36" s="39">
        <v>0</v>
      </c>
      <c r="AM36" s="29">
        <v>13.417635532331811</v>
      </c>
      <c r="AN36" s="26"/>
      <c r="AO36"/>
      <c r="AP36"/>
      <c r="AQ36"/>
      <c r="AR36"/>
    </row>
    <row r="37" spans="1:49" ht="14.25" customHeight="1" thickBot="1" x14ac:dyDescent="0.3">
      <c r="A37" s="30">
        <v>36</v>
      </c>
      <c r="B37" s="31" t="s">
        <v>11</v>
      </c>
      <c r="C37" s="31" t="s">
        <v>43</v>
      </c>
      <c r="D37" s="31" t="s">
        <v>44</v>
      </c>
      <c r="E37" s="31" t="s">
        <v>16</v>
      </c>
      <c r="F37" s="33">
        <v>18</v>
      </c>
      <c r="G37" s="33">
        <v>4</v>
      </c>
      <c r="H37" s="31"/>
      <c r="I37" s="33">
        <v>3</v>
      </c>
      <c r="J37" s="31"/>
      <c r="K37" s="50">
        <f t="shared" si="2"/>
        <v>72</v>
      </c>
      <c r="L37" s="50">
        <f t="shared" si="3"/>
        <v>0</v>
      </c>
      <c r="M37" s="50">
        <f t="shared" si="4"/>
        <v>12</v>
      </c>
      <c r="N37" s="50">
        <f t="shared" si="5"/>
        <v>0</v>
      </c>
      <c r="O37" s="50">
        <f t="shared" si="6"/>
        <v>12</v>
      </c>
      <c r="P37" s="50">
        <f t="shared" si="7"/>
        <v>12</v>
      </c>
      <c r="Q37" s="50"/>
      <c r="R37" s="50"/>
      <c r="S37" s="43">
        <v>6</v>
      </c>
      <c r="T37" s="43">
        <v>0</v>
      </c>
      <c r="U37" s="43">
        <v>15</v>
      </c>
      <c r="V37" s="43">
        <v>2</v>
      </c>
      <c r="W37" s="43">
        <v>0</v>
      </c>
      <c r="X37" s="43">
        <v>2</v>
      </c>
      <c r="Y37" s="50">
        <v>24</v>
      </c>
      <c r="Z37" s="50">
        <v>60</v>
      </c>
      <c r="AA37" s="50">
        <v>8</v>
      </c>
      <c r="AB37" s="50">
        <v>8</v>
      </c>
      <c r="AC37" s="50">
        <v>16</v>
      </c>
      <c r="AD37" s="50">
        <f t="shared" si="1"/>
        <v>76</v>
      </c>
      <c r="AE37" s="43"/>
      <c r="AF37" s="43"/>
      <c r="AG37" s="43"/>
      <c r="AH37" s="43">
        <v>0</v>
      </c>
      <c r="AI37" s="39">
        <v>8.5</v>
      </c>
      <c r="AM37" s="29">
        <v>61.222601839684629</v>
      </c>
      <c r="AN37" s="26"/>
      <c r="AO37"/>
      <c r="AP37"/>
      <c r="AQ37"/>
      <c r="AR37"/>
    </row>
    <row r="38" spans="1:49" ht="14.25" customHeight="1" thickBot="1" x14ac:dyDescent="0.3">
      <c r="A38" s="30">
        <v>37</v>
      </c>
      <c r="B38" s="31" t="s">
        <v>12</v>
      </c>
      <c r="C38" s="31" t="s">
        <v>14</v>
      </c>
      <c r="D38" s="31" t="s">
        <v>44</v>
      </c>
      <c r="E38" s="31" t="s">
        <v>16</v>
      </c>
      <c r="F38" s="32">
        <v>15</v>
      </c>
      <c r="G38" s="33">
        <v>3</v>
      </c>
      <c r="H38" s="31"/>
      <c r="I38" s="33">
        <v>7</v>
      </c>
      <c r="J38" s="31"/>
      <c r="K38" s="50">
        <f t="shared" si="2"/>
        <v>60</v>
      </c>
      <c r="L38" s="50">
        <f t="shared" si="3"/>
        <v>0</v>
      </c>
      <c r="M38" s="50">
        <f t="shared" si="4"/>
        <v>28</v>
      </c>
      <c r="N38" s="50">
        <f t="shared" si="5"/>
        <v>0</v>
      </c>
      <c r="O38" s="50">
        <f t="shared" si="6"/>
        <v>28</v>
      </c>
      <c r="P38" s="50">
        <f t="shared" si="7"/>
        <v>28</v>
      </c>
      <c r="Q38" s="50"/>
      <c r="R38" s="50"/>
      <c r="S38" s="46">
        <v>0</v>
      </c>
      <c r="T38" s="43">
        <v>0</v>
      </c>
      <c r="U38" s="43">
        <v>22</v>
      </c>
      <c r="V38" s="43">
        <v>2</v>
      </c>
      <c r="W38" s="43">
        <v>0</v>
      </c>
      <c r="X38" s="43">
        <v>1</v>
      </c>
      <c r="Y38" s="50">
        <v>0</v>
      </c>
      <c r="Z38" s="50">
        <v>88</v>
      </c>
      <c r="AA38" s="50">
        <v>8</v>
      </c>
      <c r="AB38" s="50">
        <v>4</v>
      </c>
      <c r="AC38" s="50">
        <v>12</v>
      </c>
      <c r="AD38" s="50">
        <f t="shared" si="1"/>
        <v>100</v>
      </c>
      <c r="AE38" s="43"/>
      <c r="AF38" s="43"/>
      <c r="AG38" s="43"/>
      <c r="AH38" s="43">
        <v>0</v>
      </c>
      <c r="AI38" s="39">
        <v>57.5</v>
      </c>
      <c r="AM38" s="29">
        <v>48.335580524344579</v>
      </c>
      <c r="AN38" s="26"/>
      <c r="AO38"/>
      <c r="AP38"/>
      <c r="AQ38"/>
      <c r="AR38"/>
    </row>
    <row r="39" spans="1:49" ht="14.25" customHeight="1" thickBot="1" x14ac:dyDescent="0.3">
      <c r="A39" s="30">
        <v>38</v>
      </c>
      <c r="B39" s="31" t="s">
        <v>12</v>
      </c>
      <c r="C39" s="31" t="s">
        <v>14</v>
      </c>
      <c r="D39" s="31" t="s">
        <v>45</v>
      </c>
      <c r="E39" s="31" t="s">
        <v>16</v>
      </c>
      <c r="F39" s="32">
        <v>19</v>
      </c>
      <c r="G39" s="33">
        <v>2</v>
      </c>
      <c r="H39" s="31"/>
      <c r="I39" s="33">
        <v>4</v>
      </c>
      <c r="J39" s="31"/>
      <c r="K39" s="50">
        <f t="shared" si="2"/>
        <v>76</v>
      </c>
      <c r="L39" s="50">
        <f t="shared" si="3"/>
        <v>0</v>
      </c>
      <c r="M39" s="50">
        <f t="shared" si="4"/>
        <v>16</v>
      </c>
      <c r="N39" s="50">
        <f t="shared" si="5"/>
        <v>0</v>
      </c>
      <c r="O39" s="50">
        <f t="shared" si="6"/>
        <v>16</v>
      </c>
      <c r="P39" s="50">
        <f t="shared" si="7"/>
        <v>16</v>
      </c>
      <c r="Q39" s="50"/>
      <c r="R39" s="50"/>
      <c r="S39" s="46">
        <v>0</v>
      </c>
      <c r="T39" s="43">
        <v>0</v>
      </c>
      <c r="U39" s="43">
        <v>20</v>
      </c>
      <c r="V39" s="43">
        <v>4</v>
      </c>
      <c r="W39" s="43">
        <v>0</v>
      </c>
      <c r="X39" s="43">
        <v>1</v>
      </c>
      <c r="Y39" s="50">
        <v>0</v>
      </c>
      <c r="Z39" s="50">
        <v>80</v>
      </c>
      <c r="AA39" s="50">
        <v>16</v>
      </c>
      <c r="AB39" s="50">
        <v>4</v>
      </c>
      <c r="AC39" s="50">
        <v>20</v>
      </c>
      <c r="AD39" s="50">
        <f t="shared" si="1"/>
        <v>100</v>
      </c>
      <c r="AE39" s="43"/>
      <c r="AF39" s="43"/>
      <c r="AG39" s="43"/>
      <c r="AH39" s="43">
        <v>0</v>
      </c>
      <c r="AI39" s="39">
        <v>72.5</v>
      </c>
      <c r="AM39" s="29">
        <v>53.918508655126502</v>
      </c>
      <c r="AN39" s="26"/>
      <c r="AO39"/>
      <c r="AP39"/>
      <c r="AQ39"/>
      <c r="AR39"/>
    </row>
    <row r="40" spans="1:49" ht="14.25" customHeight="1" thickBot="1" x14ac:dyDescent="0.3">
      <c r="A40" s="30">
        <v>39</v>
      </c>
      <c r="B40" s="31" t="s">
        <v>12</v>
      </c>
      <c r="C40" s="31" t="s">
        <v>14</v>
      </c>
      <c r="D40" s="31" t="s">
        <v>45</v>
      </c>
      <c r="E40" s="31" t="s">
        <v>16</v>
      </c>
      <c r="F40" s="32">
        <v>19</v>
      </c>
      <c r="G40" s="33">
        <v>4</v>
      </c>
      <c r="H40" s="31"/>
      <c r="I40" s="33">
        <v>2</v>
      </c>
      <c r="J40" s="31"/>
      <c r="K40" s="50">
        <f t="shared" si="2"/>
        <v>76</v>
      </c>
      <c r="L40" s="50">
        <f t="shared" si="3"/>
        <v>0</v>
      </c>
      <c r="M40" s="50">
        <f t="shared" si="4"/>
        <v>8</v>
      </c>
      <c r="N40" s="50">
        <f t="shared" si="5"/>
        <v>0</v>
      </c>
      <c r="O40" s="50">
        <f t="shared" si="6"/>
        <v>8</v>
      </c>
      <c r="P40" s="50">
        <f t="shared" si="7"/>
        <v>8</v>
      </c>
      <c r="Q40" s="50"/>
      <c r="R40" s="50"/>
      <c r="S40" s="46">
        <v>1</v>
      </c>
      <c r="T40" s="43">
        <v>1</v>
      </c>
      <c r="U40" s="43">
        <v>17</v>
      </c>
      <c r="V40" s="43">
        <v>6</v>
      </c>
      <c r="W40" s="43">
        <v>0</v>
      </c>
      <c r="X40" s="43">
        <v>0.5</v>
      </c>
      <c r="Y40" s="50">
        <v>4</v>
      </c>
      <c r="Z40" s="50">
        <v>68</v>
      </c>
      <c r="AA40" s="50">
        <v>24</v>
      </c>
      <c r="AB40" s="50">
        <v>2</v>
      </c>
      <c r="AC40" s="50">
        <v>26</v>
      </c>
      <c r="AD40" s="50">
        <f t="shared" si="1"/>
        <v>94</v>
      </c>
      <c r="AE40" s="43"/>
      <c r="AF40" s="43"/>
      <c r="AG40" s="43"/>
      <c r="AH40" s="43">
        <v>0</v>
      </c>
      <c r="AI40" s="39">
        <v>63</v>
      </c>
      <c r="AM40" s="29">
        <v>43.719933884297518</v>
      </c>
      <c r="AN40" s="26"/>
      <c r="AO40"/>
      <c r="AP40"/>
      <c r="AQ40"/>
      <c r="AR40"/>
    </row>
    <row r="41" spans="1:49" ht="14.25" customHeight="1" thickBot="1" x14ac:dyDescent="0.3">
      <c r="A41" s="30">
        <v>40</v>
      </c>
      <c r="B41" s="31" t="s">
        <v>12</v>
      </c>
      <c r="C41" s="31" t="s">
        <v>14</v>
      </c>
      <c r="D41" s="31" t="s">
        <v>44</v>
      </c>
      <c r="E41" s="31" t="s">
        <v>1</v>
      </c>
      <c r="F41" s="32">
        <v>19</v>
      </c>
      <c r="G41" s="33">
        <v>6</v>
      </c>
      <c r="H41" s="31"/>
      <c r="I41" s="31"/>
      <c r="J41" s="31"/>
      <c r="K41" s="50">
        <f t="shared" si="2"/>
        <v>76</v>
      </c>
      <c r="L41" s="50">
        <f t="shared" si="3"/>
        <v>0</v>
      </c>
      <c r="M41" s="50">
        <f t="shared" si="4"/>
        <v>0</v>
      </c>
      <c r="N41" s="50">
        <f t="shared" si="5"/>
        <v>0</v>
      </c>
      <c r="O41" s="50">
        <f t="shared" si="6"/>
        <v>0</v>
      </c>
      <c r="P41" s="50">
        <f t="shared" si="7"/>
        <v>0</v>
      </c>
      <c r="Q41" s="50"/>
      <c r="R41" s="50"/>
      <c r="S41" s="46">
        <v>8</v>
      </c>
      <c r="T41" s="43">
        <v>16</v>
      </c>
      <c r="U41" s="43">
        <v>0</v>
      </c>
      <c r="V41" s="43">
        <v>0</v>
      </c>
      <c r="W41" s="43">
        <v>0</v>
      </c>
      <c r="X41" s="43">
        <v>0</v>
      </c>
      <c r="Y41" s="50">
        <v>32</v>
      </c>
      <c r="Z41" s="50">
        <v>0</v>
      </c>
      <c r="AA41" s="50">
        <v>0</v>
      </c>
      <c r="AB41" s="50">
        <v>0</v>
      </c>
      <c r="AC41" s="50">
        <v>0</v>
      </c>
      <c r="AD41" s="50">
        <f t="shared" si="1"/>
        <v>0</v>
      </c>
      <c r="AE41" s="43"/>
      <c r="AF41" s="43"/>
      <c r="AG41" s="43"/>
      <c r="AH41" s="43">
        <v>1</v>
      </c>
      <c r="AI41" s="39">
        <v>0</v>
      </c>
      <c r="AM41" s="29">
        <v>5.2450549450549451</v>
      </c>
      <c r="AN41" s="26"/>
      <c r="AO41"/>
      <c r="AP41"/>
      <c r="AQ41"/>
      <c r="AR41"/>
    </row>
    <row r="42" spans="1:49" ht="14.25" customHeight="1" thickBot="1" x14ac:dyDescent="0.3">
      <c r="A42" s="30">
        <v>41</v>
      </c>
      <c r="B42" s="31" t="s">
        <v>12</v>
      </c>
      <c r="C42" s="31" t="s">
        <v>14</v>
      </c>
      <c r="D42" s="31" t="s">
        <v>45</v>
      </c>
      <c r="E42" s="31" t="s">
        <v>1</v>
      </c>
      <c r="F42" s="32">
        <v>14</v>
      </c>
      <c r="G42" s="33">
        <v>11</v>
      </c>
      <c r="H42" s="31"/>
      <c r="I42" s="31"/>
      <c r="J42" s="31"/>
      <c r="K42" s="50">
        <f t="shared" si="2"/>
        <v>56</v>
      </c>
      <c r="L42" s="50">
        <f t="shared" si="3"/>
        <v>0</v>
      </c>
      <c r="M42" s="50">
        <f t="shared" si="4"/>
        <v>0</v>
      </c>
      <c r="N42" s="50">
        <f t="shared" si="5"/>
        <v>0</v>
      </c>
      <c r="O42" s="50">
        <f t="shared" si="6"/>
        <v>0</v>
      </c>
      <c r="P42" s="50">
        <f t="shared" si="7"/>
        <v>0</v>
      </c>
      <c r="Q42" s="50"/>
      <c r="R42" s="50"/>
      <c r="S42" s="46">
        <v>14</v>
      </c>
      <c r="T42" s="43">
        <v>11</v>
      </c>
      <c r="U42" s="43">
        <v>0</v>
      </c>
      <c r="V42" s="43">
        <v>0</v>
      </c>
      <c r="W42" s="43">
        <v>0.5</v>
      </c>
      <c r="X42" s="43">
        <v>0</v>
      </c>
      <c r="Y42" s="50">
        <v>56</v>
      </c>
      <c r="Z42" s="50">
        <v>0</v>
      </c>
      <c r="AA42" s="50">
        <v>0</v>
      </c>
      <c r="AB42" s="50">
        <v>0</v>
      </c>
      <c r="AC42" s="50">
        <v>0</v>
      </c>
      <c r="AD42" s="50">
        <f t="shared" si="1"/>
        <v>0</v>
      </c>
      <c r="AE42" s="43"/>
      <c r="AF42" s="43"/>
      <c r="AG42" s="43"/>
      <c r="AH42" s="43">
        <v>0</v>
      </c>
      <c r="AI42" s="39">
        <v>0</v>
      </c>
      <c r="AM42" s="29">
        <v>18.686312943562012</v>
      </c>
      <c r="AN42" s="26"/>
      <c r="AO42"/>
      <c r="AP42"/>
      <c r="AQ42"/>
      <c r="AR42"/>
    </row>
    <row r="43" spans="1:49" ht="14.25" customHeight="1" thickBot="1" x14ac:dyDescent="0.3">
      <c r="A43" s="30">
        <v>42</v>
      </c>
      <c r="B43" s="31" t="s">
        <v>12</v>
      </c>
      <c r="C43" s="31" t="s">
        <v>43</v>
      </c>
      <c r="D43" s="31" t="s">
        <v>44</v>
      </c>
      <c r="E43" s="31" t="s">
        <v>16</v>
      </c>
      <c r="F43" s="32">
        <v>20</v>
      </c>
      <c r="G43" s="33">
        <v>3</v>
      </c>
      <c r="H43" s="31"/>
      <c r="I43" s="33">
        <v>2</v>
      </c>
      <c r="J43" s="31">
        <v>0.5</v>
      </c>
      <c r="K43" s="50">
        <f t="shared" si="2"/>
        <v>80</v>
      </c>
      <c r="L43" s="50">
        <f t="shared" si="3"/>
        <v>0</v>
      </c>
      <c r="M43" s="50">
        <f t="shared" si="4"/>
        <v>8</v>
      </c>
      <c r="N43" s="50">
        <f t="shared" si="5"/>
        <v>2</v>
      </c>
      <c r="O43" s="50">
        <f t="shared" si="6"/>
        <v>10</v>
      </c>
      <c r="P43" s="50">
        <f t="shared" si="7"/>
        <v>10</v>
      </c>
      <c r="Q43" s="50"/>
      <c r="R43" s="50"/>
      <c r="S43" s="46">
        <v>11</v>
      </c>
      <c r="T43" s="43">
        <v>0</v>
      </c>
      <c r="U43" s="43">
        <v>9</v>
      </c>
      <c r="V43" s="43">
        <v>3</v>
      </c>
      <c r="W43" s="43">
        <v>0</v>
      </c>
      <c r="X43" s="43">
        <v>2</v>
      </c>
      <c r="Y43" s="50">
        <v>44</v>
      </c>
      <c r="Z43" s="50">
        <v>36</v>
      </c>
      <c r="AA43" s="50">
        <v>12</v>
      </c>
      <c r="AB43" s="50">
        <v>8</v>
      </c>
      <c r="AC43" s="50">
        <v>20</v>
      </c>
      <c r="AD43" s="50">
        <f t="shared" si="1"/>
        <v>56</v>
      </c>
      <c r="AE43" s="43"/>
      <c r="AF43" s="43"/>
      <c r="AG43" s="43"/>
      <c r="AH43" s="43">
        <v>0</v>
      </c>
      <c r="AI43" s="39">
        <v>47.5</v>
      </c>
      <c r="AM43" s="29">
        <v>34.536637642330874</v>
      </c>
      <c r="AN43" s="26"/>
      <c r="AO43"/>
      <c r="AP43"/>
      <c r="AQ43"/>
      <c r="AR43"/>
    </row>
    <row r="44" spans="1:49" ht="14.25" customHeight="1" thickBot="1" x14ac:dyDescent="0.3">
      <c r="A44" s="30">
        <v>43</v>
      </c>
      <c r="B44" s="31" t="s">
        <v>12</v>
      </c>
      <c r="C44" s="31" t="s">
        <v>14</v>
      </c>
      <c r="D44" s="31" t="s">
        <v>15</v>
      </c>
      <c r="E44" s="31" t="s">
        <v>16</v>
      </c>
      <c r="F44" s="32">
        <v>18</v>
      </c>
      <c r="G44" s="33">
        <v>4</v>
      </c>
      <c r="H44" s="31"/>
      <c r="I44" s="33">
        <v>3</v>
      </c>
      <c r="J44" s="31">
        <v>0.5</v>
      </c>
      <c r="K44" s="50">
        <f t="shared" si="2"/>
        <v>72</v>
      </c>
      <c r="L44" s="50">
        <f t="shared" si="3"/>
        <v>0</v>
      </c>
      <c r="M44" s="50">
        <f t="shared" si="4"/>
        <v>12</v>
      </c>
      <c r="N44" s="50">
        <f t="shared" si="5"/>
        <v>2</v>
      </c>
      <c r="O44" s="50">
        <f t="shared" si="6"/>
        <v>14</v>
      </c>
      <c r="P44" s="50">
        <f t="shared" si="7"/>
        <v>14</v>
      </c>
      <c r="Q44" s="50"/>
      <c r="R44" s="50"/>
      <c r="S44" s="46">
        <v>2</v>
      </c>
      <c r="T44" s="43">
        <v>1</v>
      </c>
      <c r="U44" s="43">
        <v>16</v>
      </c>
      <c r="V44" s="43">
        <v>2</v>
      </c>
      <c r="W44" s="43">
        <v>0</v>
      </c>
      <c r="X44" s="43">
        <v>3</v>
      </c>
      <c r="Y44" s="50">
        <v>8</v>
      </c>
      <c r="Z44" s="50">
        <v>64</v>
      </c>
      <c r="AA44" s="50">
        <v>8</v>
      </c>
      <c r="AB44" s="50">
        <v>12</v>
      </c>
      <c r="AC44" s="50">
        <v>20</v>
      </c>
      <c r="AD44" s="50">
        <f t="shared" si="1"/>
        <v>84</v>
      </c>
      <c r="AE44" s="43"/>
      <c r="AF44" s="43"/>
      <c r="AG44" s="43"/>
      <c r="AH44" s="43">
        <v>1</v>
      </c>
      <c r="AI44" s="39">
        <v>32</v>
      </c>
      <c r="AJ44">
        <v>335.94294832713427</v>
      </c>
      <c r="AK44">
        <v>319.23439224365296</v>
      </c>
      <c r="AL44">
        <v>434.76720692972214</v>
      </c>
      <c r="AM44" s="29">
        <v>21.562402088772846</v>
      </c>
      <c r="AN44" s="26">
        <v>43</v>
      </c>
      <c r="AO44">
        <v>12.697301666666666</v>
      </c>
      <c r="AP44">
        <v>22.680033333333338</v>
      </c>
      <c r="AQ44">
        <v>70.979326000000015</v>
      </c>
      <c r="AR44">
        <v>335.94294832713427</v>
      </c>
      <c r="AS44">
        <v>319.23439224365296</v>
      </c>
      <c r="AT44">
        <v>91.924449999999993</v>
      </c>
      <c r="AU44">
        <v>434.76720692972214</v>
      </c>
      <c r="AV44">
        <v>15.663266666666667</v>
      </c>
      <c r="AW44">
        <v>67.358500000000035</v>
      </c>
    </row>
    <row r="45" spans="1:49" ht="14.25" customHeight="1" thickBot="1" x14ac:dyDescent="0.3">
      <c r="A45" s="30">
        <v>44</v>
      </c>
      <c r="B45" s="31" t="s">
        <v>12</v>
      </c>
      <c r="C45" s="31" t="s">
        <v>43</v>
      </c>
      <c r="D45" s="31" t="s">
        <v>15</v>
      </c>
      <c r="E45" s="31" t="s">
        <v>16</v>
      </c>
      <c r="F45" s="32">
        <v>21</v>
      </c>
      <c r="G45" s="31"/>
      <c r="H45" s="31"/>
      <c r="I45" s="33">
        <v>4</v>
      </c>
      <c r="J45" s="31">
        <v>0.5</v>
      </c>
      <c r="K45" s="50">
        <f t="shared" si="2"/>
        <v>84</v>
      </c>
      <c r="L45" s="50">
        <f t="shared" si="3"/>
        <v>0</v>
      </c>
      <c r="M45" s="50">
        <f t="shared" si="4"/>
        <v>16</v>
      </c>
      <c r="N45" s="50">
        <f t="shared" si="5"/>
        <v>2</v>
      </c>
      <c r="O45" s="50">
        <f t="shared" si="6"/>
        <v>18</v>
      </c>
      <c r="P45" s="50">
        <f t="shared" si="7"/>
        <v>18</v>
      </c>
      <c r="Q45" s="50"/>
      <c r="R45" s="50"/>
      <c r="S45" s="46">
        <v>0</v>
      </c>
      <c r="T45" s="43">
        <v>0</v>
      </c>
      <c r="U45" s="43">
        <v>22</v>
      </c>
      <c r="V45" s="43">
        <v>3</v>
      </c>
      <c r="W45" s="43">
        <v>0</v>
      </c>
      <c r="X45" s="43">
        <v>0.5</v>
      </c>
      <c r="Y45" s="50">
        <v>0</v>
      </c>
      <c r="Z45" s="50">
        <v>88</v>
      </c>
      <c r="AA45" s="50">
        <v>12</v>
      </c>
      <c r="AB45" s="50">
        <v>2</v>
      </c>
      <c r="AC45" s="50">
        <v>14</v>
      </c>
      <c r="AD45" s="50">
        <f t="shared" si="1"/>
        <v>102</v>
      </c>
      <c r="AE45" s="43"/>
      <c r="AF45" s="43"/>
      <c r="AG45" s="43"/>
      <c r="AH45" s="43">
        <v>0</v>
      </c>
      <c r="AI45" s="39">
        <v>47.5</v>
      </c>
      <c r="AM45" s="29">
        <v>57.905126452494883</v>
      </c>
      <c r="AN45" s="26"/>
      <c r="AO45"/>
      <c r="AP45"/>
      <c r="AQ45"/>
      <c r="AR45"/>
    </row>
    <row r="46" spans="1:49" ht="14.25" customHeight="1" thickBot="1" x14ac:dyDescent="0.3">
      <c r="A46" s="30">
        <v>45</v>
      </c>
      <c r="B46" s="31" t="s">
        <v>12</v>
      </c>
      <c r="C46" s="31" t="s">
        <v>14</v>
      </c>
      <c r="D46" s="31" t="s">
        <v>44</v>
      </c>
      <c r="E46" s="31" t="s">
        <v>16</v>
      </c>
      <c r="F46" s="32">
        <v>24</v>
      </c>
      <c r="G46" s="31"/>
      <c r="H46" s="31"/>
      <c r="I46" s="33">
        <v>1</v>
      </c>
      <c r="J46" s="31">
        <v>0.5</v>
      </c>
      <c r="K46" s="50">
        <f t="shared" si="2"/>
        <v>96</v>
      </c>
      <c r="L46" s="50">
        <f t="shared" si="3"/>
        <v>0</v>
      </c>
      <c r="M46" s="50">
        <f t="shared" si="4"/>
        <v>4</v>
      </c>
      <c r="N46" s="50">
        <f t="shared" si="5"/>
        <v>2</v>
      </c>
      <c r="O46" s="50">
        <f t="shared" si="6"/>
        <v>6</v>
      </c>
      <c r="P46" s="50">
        <f t="shared" si="7"/>
        <v>6</v>
      </c>
      <c r="Q46" s="50"/>
      <c r="R46" s="50"/>
      <c r="S46" s="46">
        <v>2</v>
      </c>
      <c r="T46" s="43">
        <v>1</v>
      </c>
      <c r="U46" s="43">
        <v>21</v>
      </c>
      <c r="V46" s="43">
        <v>1</v>
      </c>
      <c r="W46" s="43">
        <v>0</v>
      </c>
      <c r="X46" s="43">
        <v>0.5</v>
      </c>
      <c r="Y46" s="50">
        <v>8</v>
      </c>
      <c r="Z46" s="50">
        <v>84</v>
      </c>
      <c r="AA46" s="50">
        <v>4</v>
      </c>
      <c r="AB46" s="50">
        <v>2</v>
      </c>
      <c r="AC46" s="50">
        <v>6</v>
      </c>
      <c r="AD46" s="50">
        <f t="shared" si="1"/>
        <v>90</v>
      </c>
      <c r="AE46" s="43"/>
      <c r="AF46" s="43"/>
      <c r="AG46" s="43"/>
      <c r="AH46" s="43">
        <v>0</v>
      </c>
      <c r="AI46" s="39">
        <v>59</v>
      </c>
      <c r="AM46" s="29">
        <v>54.815543008967119</v>
      </c>
      <c r="AN46" s="26"/>
      <c r="AO46"/>
      <c r="AP46"/>
      <c r="AQ46"/>
      <c r="AR46"/>
    </row>
    <row r="47" spans="1:49" ht="14.25" customHeight="1" thickBot="1" x14ac:dyDescent="0.3">
      <c r="A47" s="30">
        <v>46</v>
      </c>
      <c r="B47" s="31" t="s">
        <v>12</v>
      </c>
      <c r="C47" s="31" t="s">
        <v>14</v>
      </c>
      <c r="D47" s="31" t="s">
        <v>44</v>
      </c>
      <c r="E47" s="31" t="s">
        <v>16</v>
      </c>
      <c r="F47" s="32">
        <v>18</v>
      </c>
      <c r="G47" s="33">
        <v>5</v>
      </c>
      <c r="H47" s="31"/>
      <c r="I47" s="33">
        <v>2</v>
      </c>
      <c r="J47" s="31"/>
      <c r="K47" s="50">
        <f t="shared" si="2"/>
        <v>72</v>
      </c>
      <c r="L47" s="50">
        <f t="shared" si="3"/>
        <v>0</v>
      </c>
      <c r="M47" s="50">
        <f t="shared" si="4"/>
        <v>8</v>
      </c>
      <c r="N47" s="50">
        <f t="shared" si="5"/>
        <v>0</v>
      </c>
      <c r="O47" s="50">
        <f t="shared" si="6"/>
        <v>8</v>
      </c>
      <c r="P47" s="50">
        <f t="shared" si="7"/>
        <v>8</v>
      </c>
      <c r="Q47" s="50"/>
      <c r="R47" s="50"/>
      <c r="S47" s="46">
        <v>2</v>
      </c>
      <c r="T47" s="43">
        <v>2</v>
      </c>
      <c r="U47" s="43">
        <v>18</v>
      </c>
      <c r="V47" s="43">
        <v>1</v>
      </c>
      <c r="W47" s="43">
        <v>0</v>
      </c>
      <c r="X47" s="43">
        <v>2</v>
      </c>
      <c r="Y47" s="50">
        <v>8</v>
      </c>
      <c r="Z47" s="50">
        <v>72</v>
      </c>
      <c r="AA47" s="50">
        <v>4</v>
      </c>
      <c r="AB47" s="50">
        <v>8</v>
      </c>
      <c r="AC47" s="50">
        <v>12</v>
      </c>
      <c r="AD47" s="50">
        <f t="shared" si="1"/>
        <v>84</v>
      </c>
      <c r="AE47" s="43"/>
      <c r="AF47" s="43"/>
      <c r="AG47" s="43"/>
      <c r="AH47" s="43">
        <v>0</v>
      </c>
      <c r="AI47" s="39">
        <v>48</v>
      </c>
      <c r="AM47" s="29">
        <v>65.382217911412866</v>
      </c>
      <c r="AN47" s="26"/>
      <c r="AO47"/>
      <c r="AP47"/>
      <c r="AQ47"/>
      <c r="AR47"/>
    </row>
    <row r="48" spans="1:49" ht="14.25" customHeight="1" thickBot="1" x14ac:dyDescent="0.3">
      <c r="A48" s="30">
        <v>47</v>
      </c>
      <c r="B48" s="31" t="s">
        <v>12</v>
      </c>
      <c r="C48" s="31" t="s">
        <v>43</v>
      </c>
      <c r="D48" s="31" t="s">
        <v>44</v>
      </c>
      <c r="E48" s="31" t="s">
        <v>1</v>
      </c>
      <c r="F48" s="32">
        <v>25</v>
      </c>
      <c r="G48" s="31"/>
      <c r="H48" s="31"/>
      <c r="I48" s="31"/>
      <c r="J48" s="31"/>
      <c r="K48" s="50">
        <f t="shared" si="2"/>
        <v>100</v>
      </c>
      <c r="L48" s="50">
        <f t="shared" si="3"/>
        <v>0</v>
      </c>
      <c r="M48" s="50">
        <f t="shared" si="4"/>
        <v>0</v>
      </c>
      <c r="N48" s="50">
        <f t="shared" si="5"/>
        <v>0</v>
      </c>
      <c r="O48" s="50">
        <f t="shared" si="6"/>
        <v>0</v>
      </c>
      <c r="P48" s="50">
        <f t="shared" si="7"/>
        <v>0</v>
      </c>
      <c r="Q48" s="50"/>
      <c r="R48" s="50"/>
      <c r="S48" s="46">
        <v>22</v>
      </c>
      <c r="T48" s="43">
        <v>0</v>
      </c>
      <c r="U48" s="43">
        <v>0</v>
      </c>
      <c r="V48" s="43">
        <v>0</v>
      </c>
      <c r="W48" s="43">
        <v>0</v>
      </c>
      <c r="X48" s="43">
        <v>0</v>
      </c>
      <c r="Y48" s="50">
        <v>88</v>
      </c>
      <c r="Z48" s="50">
        <v>0</v>
      </c>
      <c r="AA48" s="50">
        <v>0</v>
      </c>
      <c r="AB48" s="50">
        <v>0</v>
      </c>
      <c r="AC48" s="50">
        <v>0</v>
      </c>
      <c r="AD48" s="50">
        <f t="shared" si="1"/>
        <v>0</v>
      </c>
      <c r="AE48" s="43"/>
      <c r="AF48" s="43"/>
      <c r="AG48" s="43"/>
      <c r="AH48" s="43">
        <v>3</v>
      </c>
      <c r="AI48" s="39">
        <v>0</v>
      </c>
      <c r="AM48" s="29">
        <v>8.9623896809232857</v>
      </c>
      <c r="AN48" s="26"/>
      <c r="AO48"/>
      <c r="AP48"/>
      <c r="AQ48"/>
      <c r="AR48"/>
    </row>
    <row r="49" spans="1:49" ht="14.25" customHeight="1" thickBot="1" x14ac:dyDescent="0.3">
      <c r="A49" s="30">
        <v>48</v>
      </c>
      <c r="B49" s="31" t="s">
        <v>12</v>
      </c>
      <c r="C49" s="31" t="s">
        <v>43</v>
      </c>
      <c r="D49" s="31" t="s">
        <v>45</v>
      </c>
      <c r="E49" s="31" t="s">
        <v>16</v>
      </c>
      <c r="F49" s="32">
        <v>16</v>
      </c>
      <c r="G49" s="33">
        <v>4</v>
      </c>
      <c r="H49" s="31"/>
      <c r="I49" s="33">
        <v>5</v>
      </c>
      <c r="J49" s="31"/>
      <c r="K49" s="50">
        <f t="shared" si="2"/>
        <v>64</v>
      </c>
      <c r="L49" s="50">
        <f t="shared" si="3"/>
        <v>0</v>
      </c>
      <c r="M49" s="50">
        <f t="shared" si="4"/>
        <v>20</v>
      </c>
      <c r="N49" s="50">
        <f t="shared" si="5"/>
        <v>0</v>
      </c>
      <c r="O49" s="50">
        <f t="shared" si="6"/>
        <v>20</v>
      </c>
      <c r="P49" s="50">
        <f t="shared" si="7"/>
        <v>20</v>
      </c>
      <c r="Q49" s="50"/>
      <c r="R49" s="50"/>
      <c r="S49" s="46">
        <v>1</v>
      </c>
      <c r="T49" s="43">
        <v>0</v>
      </c>
      <c r="U49" s="43">
        <v>21</v>
      </c>
      <c r="V49" s="43">
        <v>2</v>
      </c>
      <c r="W49" s="43">
        <v>0</v>
      </c>
      <c r="X49" s="43">
        <v>1</v>
      </c>
      <c r="Y49" s="50">
        <v>4</v>
      </c>
      <c r="Z49" s="50">
        <v>84</v>
      </c>
      <c r="AA49" s="50">
        <v>8</v>
      </c>
      <c r="AB49" s="50">
        <v>4</v>
      </c>
      <c r="AC49" s="50">
        <v>12</v>
      </c>
      <c r="AD49" s="50">
        <f t="shared" si="1"/>
        <v>96</v>
      </c>
      <c r="AE49" s="43"/>
      <c r="AF49" s="43"/>
      <c r="AG49" s="43"/>
      <c r="AH49" s="43">
        <v>0</v>
      </c>
      <c r="AI49" s="39">
        <v>58</v>
      </c>
      <c r="AM49" s="29">
        <v>22.407570125042245</v>
      </c>
      <c r="AN49" s="26"/>
      <c r="AO49"/>
      <c r="AP49"/>
      <c r="AQ49"/>
      <c r="AR49"/>
    </row>
    <row r="50" spans="1:49" ht="14.25" customHeight="1" thickBot="1" x14ac:dyDescent="0.3">
      <c r="A50" s="30">
        <v>49</v>
      </c>
      <c r="B50" s="31" t="s">
        <v>12</v>
      </c>
      <c r="C50" s="31" t="s">
        <v>43</v>
      </c>
      <c r="D50" s="31" t="s">
        <v>15</v>
      </c>
      <c r="E50" s="31" t="s">
        <v>16</v>
      </c>
      <c r="F50" s="32">
        <v>20</v>
      </c>
      <c r="G50" s="33">
        <v>3</v>
      </c>
      <c r="H50" s="31"/>
      <c r="I50" s="33">
        <v>2</v>
      </c>
      <c r="J50" s="31"/>
      <c r="K50" s="50">
        <f t="shared" si="2"/>
        <v>80</v>
      </c>
      <c r="L50" s="50">
        <f t="shared" si="3"/>
        <v>0</v>
      </c>
      <c r="M50" s="50">
        <f t="shared" si="4"/>
        <v>8</v>
      </c>
      <c r="N50" s="50">
        <f t="shared" si="5"/>
        <v>0</v>
      </c>
      <c r="O50" s="50">
        <f t="shared" si="6"/>
        <v>8</v>
      </c>
      <c r="P50" s="50">
        <f t="shared" si="7"/>
        <v>8</v>
      </c>
      <c r="Q50" s="50"/>
      <c r="R50" s="50"/>
      <c r="S50" s="46">
        <v>1</v>
      </c>
      <c r="T50" s="43">
        <v>0</v>
      </c>
      <c r="U50" s="43">
        <v>21</v>
      </c>
      <c r="V50" s="43">
        <v>3</v>
      </c>
      <c r="W50" s="43">
        <v>0</v>
      </c>
      <c r="X50" s="43">
        <v>0.5</v>
      </c>
      <c r="Y50" s="50">
        <v>4</v>
      </c>
      <c r="Z50" s="50">
        <v>84</v>
      </c>
      <c r="AA50" s="50">
        <v>12</v>
      </c>
      <c r="AB50" s="50">
        <v>2</v>
      </c>
      <c r="AC50" s="50">
        <v>14</v>
      </c>
      <c r="AD50" s="50">
        <f t="shared" si="1"/>
        <v>98</v>
      </c>
      <c r="AE50" s="43"/>
      <c r="AF50" s="43"/>
      <c r="AG50" s="43"/>
      <c r="AH50" s="43">
        <v>0</v>
      </c>
      <c r="AI50" s="39">
        <v>61</v>
      </c>
      <c r="AM50" s="29">
        <v>29.882833607907745</v>
      </c>
      <c r="AN50" s="26"/>
      <c r="AO50"/>
      <c r="AP50"/>
      <c r="AQ50"/>
      <c r="AR50"/>
    </row>
    <row r="51" spans="1:49" ht="14.25" customHeight="1" thickBot="1" x14ac:dyDescent="0.3">
      <c r="A51" s="30">
        <v>50</v>
      </c>
      <c r="B51" s="31" t="s">
        <v>12</v>
      </c>
      <c r="C51" s="31" t="s">
        <v>14</v>
      </c>
      <c r="D51" s="31" t="s">
        <v>15</v>
      </c>
      <c r="E51" s="31" t="s">
        <v>16</v>
      </c>
      <c r="F51" s="32">
        <v>20</v>
      </c>
      <c r="G51" s="31"/>
      <c r="H51" s="31"/>
      <c r="I51" s="33">
        <v>5</v>
      </c>
      <c r="J51" s="31"/>
      <c r="K51" s="50">
        <f t="shared" si="2"/>
        <v>80</v>
      </c>
      <c r="L51" s="50">
        <f t="shared" si="3"/>
        <v>0</v>
      </c>
      <c r="M51" s="50">
        <f t="shared" si="4"/>
        <v>20</v>
      </c>
      <c r="N51" s="50">
        <f t="shared" si="5"/>
        <v>0</v>
      </c>
      <c r="O51" s="50">
        <f t="shared" si="6"/>
        <v>20</v>
      </c>
      <c r="P51" s="50">
        <f t="shared" si="7"/>
        <v>20</v>
      </c>
      <c r="Q51" s="50"/>
      <c r="R51" s="50"/>
      <c r="S51" s="46">
        <v>1</v>
      </c>
      <c r="T51" s="43">
        <v>3</v>
      </c>
      <c r="U51" s="43">
        <v>18</v>
      </c>
      <c r="V51" s="43">
        <v>3</v>
      </c>
      <c r="W51" s="43">
        <v>0</v>
      </c>
      <c r="X51" s="43">
        <v>0.5</v>
      </c>
      <c r="Y51" s="50">
        <v>4</v>
      </c>
      <c r="Z51" s="50">
        <v>72</v>
      </c>
      <c r="AA51" s="50">
        <v>12</v>
      </c>
      <c r="AB51" s="50">
        <v>2</v>
      </c>
      <c r="AC51" s="50">
        <v>14</v>
      </c>
      <c r="AD51" s="50">
        <f t="shared" si="1"/>
        <v>86</v>
      </c>
      <c r="AE51" s="43"/>
      <c r="AF51" s="43"/>
      <c r="AG51" s="43"/>
      <c r="AH51" s="43">
        <v>0</v>
      </c>
      <c r="AI51" s="39">
        <v>45.5</v>
      </c>
      <c r="AJ51">
        <v>369.93843316255243</v>
      </c>
      <c r="AK51">
        <v>458.97212688996211</v>
      </c>
      <c r="AL51">
        <v>600.25769188341144</v>
      </c>
      <c r="AM51" s="29">
        <v>34.966873570728524</v>
      </c>
      <c r="AN51" s="26">
        <v>50</v>
      </c>
      <c r="AO51">
        <v>14.279013666666666</v>
      </c>
      <c r="AP51">
        <v>28.106700000000004</v>
      </c>
      <c r="AQ51">
        <v>80.469598000000005</v>
      </c>
      <c r="AR51">
        <v>369.93843316255243</v>
      </c>
      <c r="AS51">
        <v>458.97212688996211</v>
      </c>
      <c r="AT51">
        <v>130.23474999999999</v>
      </c>
      <c r="AU51">
        <v>600.25769188341144</v>
      </c>
      <c r="AV51">
        <v>22.048316666666665</v>
      </c>
      <c r="AW51">
        <v>99.918500000000009</v>
      </c>
    </row>
    <row r="52" spans="1:49" ht="14.25" customHeight="1" thickBot="1" x14ac:dyDescent="0.3">
      <c r="A52" s="30">
        <v>51</v>
      </c>
      <c r="B52" s="31" t="s">
        <v>12</v>
      </c>
      <c r="C52" s="31" t="s">
        <v>14</v>
      </c>
      <c r="D52" s="31" t="s">
        <v>15</v>
      </c>
      <c r="E52" s="31" t="s">
        <v>16</v>
      </c>
      <c r="F52" s="32">
        <v>18</v>
      </c>
      <c r="G52" s="33">
        <v>4</v>
      </c>
      <c r="H52" s="31"/>
      <c r="I52" s="33">
        <v>3</v>
      </c>
      <c r="J52" s="31">
        <v>0.5</v>
      </c>
      <c r="K52" s="50">
        <f t="shared" si="2"/>
        <v>72</v>
      </c>
      <c r="L52" s="50">
        <f t="shared" si="3"/>
        <v>0</v>
      </c>
      <c r="M52" s="50">
        <f t="shared" si="4"/>
        <v>12</v>
      </c>
      <c r="N52" s="50">
        <f t="shared" si="5"/>
        <v>2</v>
      </c>
      <c r="O52" s="50">
        <f t="shared" si="6"/>
        <v>14</v>
      </c>
      <c r="P52" s="50">
        <f t="shared" si="7"/>
        <v>14</v>
      </c>
      <c r="Q52" s="50"/>
      <c r="R52" s="50"/>
      <c r="S52" s="46">
        <v>2</v>
      </c>
      <c r="T52" s="43">
        <v>1</v>
      </c>
      <c r="U52" s="43">
        <v>17</v>
      </c>
      <c r="V52" s="43">
        <v>3</v>
      </c>
      <c r="W52" s="43">
        <v>0</v>
      </c>
      <c r="X52" s="43">
        <v>2</v>
      </c>
      <c r="Y52" s="50">
        <v>8</v>
      </c>
      <c r="Z52" s="50">
        <v>68</v>
      </c>
      <c r="AA52" s="50">
        <v>12</v>
      </c>
      <c r="AB52" s="50">
        <v>8</v>
      </c>
      <c r="AC52" s="50">
        <v>20</v>
      </c>
      <c r="AD52" s="50">
        <f t="shared" si="1"/>
        <v>88</v>
      </c>
      <c r="AE52" s="43"/>
      <c r="AF52" s="43"/>
      <c r="AG52" s="43"/>
      <c r="AH52" s="43">
        <v>0</v>
      </c>
      <c r="AI52" s="39">
        <v>31</v>
      </c>
      <c r="AJ52">
        <v>161.49789282120696</v>
      </c>
      <c r="AK52">
        <v>225.90834770944082</v>
      </c>
      <c r="AL52">
        <v>334.19665672492897</v>
      </c>
      <c r="AM52" s="29">
        <v>28.522018042098225</v>
      </c>
      <c r="AN52" s="26">
        <v>51</v>
      </c>
      <c r="AO52">
        <v>6.5022629999999992</v>
      </c>
      <c r="AP52">
        <v>19.322283333333335</v>
      </c>
      <c r="AQ52">
        <v>33.809093999999995</v>
      </c>
      <c r="AR52">
        <v>161.49789282120696</v>
      </c>
      <c r="AS52">
        <v>225.90834770944082</v>
      </c>
      <c r="AT52">
        <v>70.032849999999982</v>
      </c>
      <c r="AU52">
        <v>334.19665672492897</v>
      </c>
      <c r="AV52">
        <v>12.014666666666665</v>
      </c>
      <c r="AW52">
        <v>47.212000000000018</v>
      </c>
    </row>
    <row r="53" spans="1:49" ht="14.25" customHeight="1" thickBot="1" x14ac:dyDescent="0.3">
      <c r="A53" s="30">
        <v>52</v>
      </c>
      <c r="B53" s="31" t="s">
        <v>12</v>
      </c>
      <c r="C53" s="31" t="s">
        <v>14</v>
      </c>
      <c r="D53" s="31" t="s">
        <v>44</v>
      </c>
      <c r="E53" s="31" t="s">
        <v>16</v>
      </c>
      <c r="F53" s="32">
        <v>20</v>
      </c>
      <c r="G53" s="33">
        <v>4</v>
      </c>
      <c r="H53" s="31"/>
      <c r="I53" s="33">
        <v>1</v>
      </c>
      <c r="J53" s="31">
        <v>0.5</v>
      </c>
      <c r="K53" s="50">
        <f t="shared" si="2"/>
        <v>80</v>
      </c>
      <c r="L53" s="50">
        <f t="shared" si="3"/>
        <v>0</v>
      </c>
      <c r="M53" s="50">
        <f t="shared" si="4"/>
        <v>4</v>
      </c>
      <c r="N53" s="50">
        <f t="shared" si="5"/>
        <v>2</v>
      </c>
      <c r="O53" s="50">
        <f t="shared" si="6"/>
        <v>6</v>
      </c>
      <c r="P53" s="50">
        <f t="shared" si="7"/>
        <v>6</v>
      </c>
      <c r="Q53" s="50"/>
      <c r="R53" s="50"/>
      <c r="S53" s="46">
        <v>6</v>
      </c>
      <c r="T53" s="43">
        <v>3</v>
      </c>
      <c r="U53" s="43">
        <v>13</v>
      </c>
      <c r="V53" s="43">
        <v>3</v>
      </c>
      <c r="W53" s="43">
        <v>0</v>
      </c>
      <c r="X53" s="43">
        <v>0.5</v>
      </c>
      <c r="Y53" s="50">
        <v>24</v>
      </c>
      <c r="Z53" s="50">
        <v>52</v>
      </c>
      <c r="AA53" s="50">
        <v>12</v>
      </c>
      <c r="AB53" s="50">
        <v>2</v>
      </c>
      <c r="AC53" s="50">
        <v>14</v>
      </c>
      <c r="AD53" s="50">
        <f t="shared" si="1"/>
        <v>66</v>
      </c>
      <c r="AE53" s="43"/>
      <c r="AF53" s="43"/>
      <c r="AG53" s="43"/>
      <c r="AH53" s="43">
        <v>0</v>
      </c>
      <c r="AI53" s="39">
        <v>43</v>
      </c>
      <c r="AM53" s="29">
        <v>26.033492171545273</v>
      </c>
      <c r="AN53" s="26"/>
      <c r="AO53"/>
      <c r="AP53"/>
      <c r="AQ53"/>
      <c r="AR53"/>
    </row>
    <row r="54" spans="1:49" ht="14.25" customHeight="1" thickBot="1" x14ac:dyDescent="0.3">
      <c r="A54" s="30">
        <v>53</v>
      </c>
      <c r="B54" s="31" t="s">
        <v>12</v>
      </c>
      <c r="C54" s="31" t="s">
        <v>14</v>
      </c>
      <c r="D54" s="31" t="s">
        <v>15</v>
      </c>
      <c r="E54" s="31" t="s">
        <v>1</v>
      </c>
      <c r="F54" s="32">
        <v>15</v>
      </c>
      <c r="G54" s="33">
        <v>9</v>
      </c>
      <c r="H54" s="31"/>
      <c r="I54" s="33">
        <v>1</v>
      </c>
      <c r="J54" s="31"/>
      <c r="K54" s="50">
        <f t="shared" si="2"/>
        <v>60</v>
      </c>
      <c r="L54" s="50">
        <f t="shared" si="3"/>
        <v>0</v>
      </c>
      <c r="M54" s="50">
        <f t="shared" si="4"/>
        <v>4</v>
      </c>
      <c r="N54" s="50">
        <f t="shared" si="5"/>
        <v>0</v>
      </c>
      <c r="O54" s="50">
        <f t="shared" si="6"/>
        <v>4</v>
      </c>
      <c r="P54" s="50">
        <f t="shared" si="7"/>
        <v>4</v>
      </c>
      <c r="Q54" s="50"/>
      <c r="R54" s="50"/>
      <c r="S54" s="46">
        <v>20</v>
      </c>
      <c r="T54" s="43">
        <v>1</v>
      </c>
      <c r="U54" s="43">
        <v>1</v>
      </c>
      <c r="V54" s="43">
        <v>0</v>
      </c>
      <c r="W54" s="43">
        <v>0</v>
      </c>
      <c r="X54" s="43">
        <v>0</v>
      </c>
      <c r="Y54" s="50">
        <v>80</v>
      </c>
      <c r="Z54" s="50">
        <v>4</v>
      </c>
      <c r="AA54" s="50">
        <v>0</v>
      </c>
      <c r="AB54" s="50">
        <v>0</v>
      </c>
      <c r="AC54" s="50">
        <v>0</v>
      </c>
      <c r="AD54" s="50">
        <f t="shared" si="1"/>
        <v>4</v>
      </c>
      <c r="AE54" s="43"/>
      <c r="AF54" s="43"/>
      <c r="AG54" s="43"/>
      <c r="AH54" s="43">
        <v>3</v>
      </c>
      <c r="AI54" s="39">
        <v>0</v>
      </c>
      <c r="AM54" s="29">
        <v>12.346286571642912</v>
      </c>
      <c r="AN54" s="26"/>
      <c r="AO54"/>
      <c r="AP54"/>
      <c r="AQ54"/>
      <c r="AR54"/>
    </row>
    <row r="55" spans="1:49" ht="14.25" customHeight="1" thickBot="1" x14ac:dyDescent="0.3">
      <c r="A55" s="30">
        <v>54</v>
      </c>
      <c r="B55" s="31" t="s">
        <v>12</v>
      </c>
      <c r="C55" s="31" t="s">
        <v>43</v>
      </c>
      <c r="D55" s="31" t="s">
        <v>45</v>
      </c>
      <c r="E55" s="31" t="s">
        <v>16</v>
      </c>
      <c r="F55" s="32">
        <v>21</v>
      </c>
      <c r="G55" s="33">
        <v>4</v>
      </c>
      <c r="H55" s="31"/>
      <c r="I55" s="31"/>
      <c r="J55" s="31">
        <v>0.5</v>
      </c>
      <c r="K55" s="50">
        <f t="shared" si="2"/>
        <v>84</v>
      </c>
      <c r="L55" s="50">
        <f t="shared" si="3"/>
        <v>0</v>
      </c>
      <c r="M55" s="50">
        <f t="shared" si="4"/>
        <v>0</v>
      </c>
      <c r="N55" s="50">
        <f t="shared" si="5"/>
        <v>2</v>
      </c>
      <c r="O55" s="50">
        <f t="shared" si="6"/>
        <v>2</v>
      </c>
      <c r="P55" s="50">
        <f t="shared" si="7"/>
        <v>2</v>
      </c>
      <c r="Q55" s="50"/>
      <c r="R55" s="50"/>
      <c r="S55" s="46">
        <v>2</v>
      </c>
      <c r="T55" s="43">
        <v>1</v>
      </c>
      <c r="U55" s="43">
        <v>18</v>
      </c>
      <c r="V55" s="43">
        <v>4</v>
      </c>
      <c r="W55" s="43">
        <v>0</v>
      </c>
      <c r="X55" s="43">
        <v>0.5</v>
      </c>
      <c r="Y55" s="50">
        <v>8</v>
      </c>
      <c r="Z55" s="50">
        <v>72</v>
      </c>
      <c r="AA55" s="50">
        <v>16</v>
      </c>
      <c r="AB55" s="50">
        <v>2</v>
      </c>
      <c r="AC55" s="50">
        <v>18</v>
      </c>
      <c r="AD55" s="50">
        <f t="shared" si="1"/>
        <v>90</v>
      </c>
      <c r="AE55" s="43"/>
      <c r="AF55" s="43"/>
      <c r="AG55" s="43"/>
      <c r="AH55" s="43">
        <v>0</v>
      </c>
      <c r="AI55" s="39">
        <v>45.5</v>
      </c>
      <c r="AM55" s="29">
        <v>50.983212161269009</v>
      </c>
      <c r="AN55" s="26"/>
      <c r="AO55"/>
      <c r="AP55"/>
      <c r="AQ55"/>
      <c r="AR55"/>
    </row>
    <row r="56" spans="1:49" ht="14.25" customHeight="1" thickBot="1" x14ac:dyDescent="0.3">
      <c r="A56" s="30">
        <v>55</v>
      </c>
      <c r="B56" s="31" t="s">
        <v>12</v>
      </c>
      <c r="C56" s="31" t="s">
        <v>43</v>
      </c>
      <c r="D56" s="31" t="s">
        <v>15</v>
      </c>
      <c r="E56" s="31" t="s">
        <v>1</v>
      </c>
      <c r="F56" s="32">
        <v>23</v>
      </c>
      <c r="G56" s="33">
        <v>2</v>
      </c>
      <c r="H56" s="31"/>
      <c r="I56" s="31"/>
      <c r="J56" s="31"/>
      <c r="K56" s="50">
        <f t="shared" si="2"/>
        <v>92</v>
      </c>
      <c r="L56" s="50">
        <f t="shared" si="3"/>
        <v>0</v>
      </c>
      <c r="M56" s="50">
        <f t="shared" si="4"/>
        <v>0</v>
      </c>
      <c r="N56" s="50">
        <f t="shared" si="5"/>
        <v>0</v>
      </c>
      <c r="O56" s="50">
        <f t="shared" si="6"/>
        <v>0</v>
      </c>
      <c r="P56" s="50">
        <f t="shared" si="7"/>
        <v>0</v>
      </c>
      <c r="Q56" s="50"/>
      <c r="R56" s="50"/>
      <c r="S56" s="46">
        <v>24</v>
      </c>
      <c r="T56" s="43">
        <v>0</v>
      </c>
      <c r="U56" s="43">
        <v>0</v>
      </c>
      <c r="V56" s="43">
        <v>0</v>
      </c>
      <c r="W56" s="43">
        <v>0</v>
      </c>
      <c r="X56" s="43">
        <v>0</v>
      </c>
      <c r="Y56" s="50">
        <v>96</v>
      </c>
      <c r="Z56" s="50">
        <v>0</v>
      </c>
      <c r="AA56" s="50">
        <v>0</v>
      </c>
      <c r="AB56" s="50">
        <v>0</v>
      </c>
      <c r="AC56" s="50">
        <v>0</v>
      </c>
      <c r="AD56" s="50">
        <f t="shared" si="1"/>
        <v>0</v>
      </c>
      <c r="AE56" s="43"/>
      <c r="AF56" s="43"/>
      <c r="AG56" s="43"/>
      <c r="AH56" s="43">
        <v>1</v>
      </c>
      <c r="AI56" s="39">
        <v>0</v>
      </c>
      <c r="AM56" s="29">
        <v>10.992042440318304</v>
      </c>
      <c r="AN56" s="26"/>
      <c r="AO56"/>
      <c r="AP56"/>
      <c r="AQ56"/>
      <c r="AR56"/>
    </row>
    <row r="57" spans="1:49" ht="14.25" customHeight="1" thickBot="1" x14ac:dyDescent="0.3">
      <c r="A57" s="30">
        <v>56</v>
      </c>
      <c r="B57" s="31" t="s">
        <v>12</v>
      </c>
      <c r="C57" s="31" t="s">
        <v>43</v>
      </c>
      <c r="D57" s="31" t="s">
        <v>15</v>
      </c>
      <c r="E57" s="31" t="s">
        <v>16</v>
      </c>
      <c r="F57" s="32">
        <v>20</v>
      </c>
      <c r="G57" s="33">
        <v>1</v>
      </c>
      <c r="H57" s="31"/>
      <c r="I57" s="33">
        <v>4</v>
      </c>
      <c r="J57" s="31">
        <v>0.5</v>
      </c>
      <c r="K57" s="50">
        <f t="shared" si="2"/>
        <v>80</v>
      </c>
      <c r="L57" s="50">
        <f t="shared" si="3"/>
        <v>0</v>
      </c>
      <c r="M57" s="50">
        <f t="shared" si="4"/>
        <v>16</v>
      </c>
      <c r="N57" s="50">
        <f t="shared" si="5"/>
        <v>2</v>
      </c>
      <c r="O57" s="50">
        <f t="shared" si="6"/>
        <v>18</v>
      </c>
      <c r="P57" s="50">
        <f t="shared" si="7"/>
        <v>18</v>
      </c>
      <c r="Q57" s="50"/>
      <c r="R57" s="50"/>
      <c r="S57" s="46">
        <v>1</v>
      </c>
      <c r="T57" s="43">
        <v>0</v>
      </c>
      <c r="U57" s="43">
        <v>20</v>
      </c>
      <c r="V57" s="43">
        <v>3</v>
      </c>
      <c r="W57" s="43">
        <v>0</v>
      </c>
      <c r="X57" s="43">
        <v>1</v>
      </c>
      <c r="Y57" s="50">
        <v>4</v>
      </c>
      <c r="Z57" s="50">
        <v>80</v>
      </c>
      <c r="AA57" s="50">
        <v>12</v>
      </c>
      <c r="AB57" s="50">
        <v>4</v>
      </c>
      <c r="AC57" s="50">
        <v>16</v>
      </c>
      <c r="AD57" s="50">
        <f t="shared" si="1"/>
        <v>96</v>
      </c>
      <c r="AE57" s="43"/>
      <c r="AF57" s="43"/>
      <c r="AG57" s="43"/>
      <c r="AH57" s="43">
        <v>0</v>
      </c>
      <c r="AI57" s="39">
        <v>17</v>
      </c>
      <c r="AM57" s="29">
        <v>39.687804878048787</v>
      </c>
      <c r="AN57" s="26"/>
      <c r="AO57"/>
      <c r="AP57"/>
      <c r="AQ57"/>
      <c r="AR57"/>
    </row>
    <row r="58" spans="1:49" ht="14.25" customHeight="1" thickBot="1" x14ac:dyDescent="0.3">
      <c r="A58" s="30">
        <v>57</v>
      </c>
      <c r="B58" s="31" t="s">
        <v>12</v>
      </c>
      <c r="C58" s="31" t="s">
        <v>14</v>
      </c>
      <c r="D58" s="31" t="s">
        <v>44</v>
      </c>
      <c r="E58" s="31" t="s">
        <v>16</v>
      </c>
      <c r="F58" s="32">
        <v>20</v>
      </c>
      <c r="G58" s="33">
        <v>2</v>
      </c>
      <c r="H58" s="31"/>
      <c r="I58" s="33">
        <v>3</v>
      </c>
      <c r="J58" s="31">
        <v>0.5</v>
      </c>
      <c r="K58" s="50">
        <f t="shared" si="2"/>
        <v>80</v>
      </c>
      <c r="L58" s="50">
        <f t="shared" si="3"/>
        <v>0</v>
      </c>
      <c r="M58" s="50">
        <f t="shared" si="4"/>
        <v>12</v>
      </c>
      <c r="N58" s="50">
        <f t="shared" si="5"/>
        <v>2</v>
      </c>
      <c r="O58" s="50">
        <f t="shared" si="6"/>
        <v>14</v>
      </c>
      <c r="P58" s="50">
        <f t="shared" si="7"/>
        <v>14</v>
      </c>
      <c r="Q58" s="50"/>
      <c r="R58" s="50"/>
      <c r="S58" s="46">
        <v>1</v>
      </c>
      <c r="T58" s="43">
        <v>5</v>
      </c>
      <c r="U58" s="43">
        <v>16</v>
      </c>
      <c r="V58" s="43">
        <v>2</v>
      </c>
      <c r="W58" s="43">
        <v>0</v>
      </c>
      <c r="X58" s="43">
        <v>1</v>
      </c>
      <c r="Y58" s="50">
        <v>4</v>
      </c>
      <c r="Z58" s="50">
        <v>64</v>
      </c>
      <c r="AA58" s="50">
        <v>8</v>
      </c>
      <c r="AB58" s="50">
        <v>4</v>
      </c>
      <c r="AC58" s="50">
        <v>12</v>
      </c>
      <c r="AD58" s="50">
        <f t="shared" si="1"/>
        <v>76</v>
      </c>
      <c r="AE58" s="43"/>
      <c r="AF58" s="43"/>
      <c r="AG58" s="43"/>
      <c r="AH58" s="43">
        <v>0</v>
      </c>
      <c r="AI58" s="39">
        <v>39</v>
      </c>
      <c r="AM58" s="29">
        <v>40.678474466709766</v>
      </c>
      <c r="AN58" s="26"/>
      <c r="AO58"/>
      <c r="AP58"/>
      <c r="AQ58"/>
      <c r="AR58"/>
    </row>
    <row r="59" spans="1:49" ht="14.25" customHeight="1" thickBot="1" x14ac:dyDescent="0.3">
      <c r="A59" s="30">
        <v>58</v>
      </c>
      <c r="B59" s="31" t="s">
        <v>12</v>
      </c>
      <c r="C59" s="31" t="s">
        <v>14</v>
      </c>
      <c r="D59" s="31" t="s">
        <v>45</v>
      </c>
      <c r="E59" s="31" t="s">
        <v>16</v>
      </c>
      <c r="F59" s="32">
        <v>12</v>
      </c>
      <c r="G59" s="33">
        <v>8</v>
      </c>
      <c r="H59" s="31"/>
      <c r="I59" s="33">
        <v>5</v>
      </c>
      <c r="J59" s="31"/>
      <c r="K59" s="50">
        <f t="shared" si="2"/>
        <v>48</v>
      </c>
      <c r="L59" s="50">
        <f t="shared" si="3"/>
        <v>0</v>
      </c>
      <c r="M59" s="50">
        <f t="shared" si="4"/>
        <v>20</v>
      </c>
      <c r="N59" s="50">
        <f t="shared" si="5"/>
        <v>0</v>
      </c>
      <c r="O59" s="50">
        <f t="shared" si="6"/>
        <v>20</v>
      </c>
      <c r="P59" s="50">
        <f t="shared" si="7"/>
        <v>20</v>
      </c>
      <c r="Q59" s="50"/>
      <c r="R59" s="50"/>
      <c r="S59" s="46">
        <v>2</v>
      </c>
      <c r="T59" s="43">
        <v>1</v>
      </c>
      <c r="U59" s="43">
        <v>16</v>
      </c>
      <c r="V59" s="43">
        <v>5</v>
      </c>
      <c r="W59" s="43">
        <v>0</v>
      </c>
      <c r="X59" s="43">
        <v>1</v>
      </c>
      <c r="Y59" s="50">
        <v>8</v>
      </c>
      <c r="Z59" s="50">
        <v>64</v>
      </c>
      <c r="AA59" s="50">
        <v>20</v>
      </c>
      <c r="AB59" s="50">
        <v>4</v>
      </c>
      <c r="AC59" s="50">
        <v>24</v>
      </c>
      <c r="AD59" s="50">
        <f t="shared" si="1"/>
        <v>88</v>
      </c>
      <c r="AE59" s="43"/>
      <c r="AF59" s="43"/>
      <c r="AG59" s="43"/>
      <c r="AH59" s="43">
        <v>0</v>
      </c>
      <c r="AI59" s="39">
        <v>58</v>
      </c>
      <c r="AM59" s="29">
        <v>35.938545207341939</v>
      </c>
      <c r="AN59" s="26"/>
      <c r="AO59"/>
      <c r="AP59"/>
      <c r="AQ59"/>
      <c r="AR59"/>
    </row>
    <row r="60" spans="1:49" ht="14.25" customHeight="1" thickBot="1" x14ac:dyDescent="0.3">
      <c r="A60" s="30">
        <v>59</v>
      </c>
      <c r="B60" s="31" t="s">
        <v>12</v>
      </c>
      <c r="C60" s="31" t="s">
        <v>43</v>
      </c>
      <c r="D60" s="31" t="s">
        <v>45</v>
      </c>
      <c r="E60" s="31" t="s">
        <v>16</v>
      </c>
      <c r="F60" s="32">
        <v>19</v>
      </c>
      <c r="G60" s="33">
        <v>3</v>
      </c>
      <c r="H60" s="31"/>
      <c r="I60" s="33">
        <v>3</v>
      </c>
      <c r="J60" s="31">
        <v>0.5</v>
      </c>
      <c r="K60" s="50">
        <f t="shared" si="2"/>
        <v>76</v>
      </c>
      <c r="L60" s="50">
        <f t="shared" si="3"/>
        <v>0</v>
      </c>
      <c r="M60" s="50">
        <f t="shared" si="4"/>
        <v>12</v>
      </c>
      <c r="N60" s="50">
        <f t="shared" si="5"/>
        <v>2</v>
      </c>
      <c r="O60" s="50">
        <f t="shared" si="6"/>
        <v>14</v>
      </c>
      <c r="P60" s="50">
        <f t="shared" si="7"/>
        <v>14</v>
      </c>
      <c r="Q60" s="50"/>
      <c r="R60" s="50"/>
      <c r="S60" s="46">
        <v>3</v>
      </c>
      <c r="T60" s="43">
        <v>0</v>
      </c>
      <c r="U60" s="43">
        <v>20</v>
      </c>
      <c r="V60" s="43">
        <v>2</v>
      </c>
      <c r="W60" s="43">
        <v>0</v>
      </c>
      <c r="X60" s="43">
        <v>0.5</v>
      </c>
      <c r="Y60" s="50">
        <v>12</v>
      </c>
      <c r="Z60" s="50">
        <v>80</v>
      </c>
      <c r="AA60" s="50">
        <v>8</v>
      </c>
      <c r="AB60" s="50">
        <v>2</v>
      </c>
      <c r="AC60" s="50">
        <v>10</v>
      </c>
      <c r="AD60" s="50">
        <f t="shared" si="1"/>
        <v>90</v>
      </c>
      <c r="AE60" s="43"/>
      <c r="AF60" s="43"/>
      <c r="AG60" s="43"/>
      <c r="AH60" s="43">
        <v>0</v>
      </c>
      <c r="AI60" s="39">
        <v>63</v>
      </c>
      <c r="AM60" s="29">
        <v>36.797360607060376</v>
      </c>
      <c r="AN60" s="26"/>
      <c r="AO60"/>
      <c r="AP60"/>
      <c r="AQ60"/>
      <c r="AR60"/>
    </row>
    <row r="61" spans="1:49" ht="14.25" customHeight="1" thickBot="1" x14ac:dyDescent="0.3">
      <c r="A61" s="30">
        <v>60</v>
      </c>
      <c r="B61" s="31" t="s">
        <v>12</v>
      </c>
      <c r="C61" s="31" t="s">
        <v>43</v>
      </c>
      <c r="D61" s="31" t="s">
        <v>44</v>
      </c>
      <c r="E61" s="31" t="s">
        <v>16</v>
      </c>
      <c r="F61" s="32">
        <v>14</v>
      </c>
      <c r="G61" s="33">
        <v>5</v>
      </c>
      <c r="H61" s="31"/>
      <c r="I61" s="33">
        <v>6</v>
      </c>
      <c r="J61" s="31">
        <v>0.5</v>
      </c>
      <c r="K61" s="50">
        <f t="shared" si="2"/>
        <v>56</v>
      </c>
      <c r="L61" s="50">
        <f t="shared" si="3"/>
        <v>0</v>
      </c>
      <c r="M61" s="50">
        <f t="shared" si="4"/>
        <v>24</v>
      </c>
      <c r="N61" s="50">
        <f t="shared" si="5"/>
        <v>2</v>
      </c>
      <c r="O61" s="50">
        <f t="shared" si="6"/>
        <v>26</v>
      </c>
      <c r="P61" s="50">
        <f t="shared" si="7"/>
        <v>26</v>
      </c>
      <c r="Q61" s="50"/>
      <c r="R61" s="50"/>
      <c r="S61" s="46">
        <v>0</v>
      </c>
      <c r="T61" s="43">
        <v>1</v>
      </c>
      <c r="U61" s="43">
        <v>23</v>
      </c>
      <c r="V61" s="43">
        <v>1</v>
      </c>
      <c r="W61" s="43">
        <v>0</v>
      </c>
      <c r="X61" s="43">
        <v>0.5</v>
      </c>
      <c r="Y61" s="50">
        <v>0</v>
      </c>
      <c r="Z61" s="50">
        <v>92</v>
      </c>
      <c r="AA61" s="50">
        <v>4</v>
      </c>
      <c r="AB61" s="50">
        <v>2</v>
      </c>
      <c r="AC61" s="50">
        <v>6</v>
      </c>
      <c r="AD61" s="50">
        <f t="shared" si="1"/>
        <v>98</v>
      </c>
      <c r="AE61" s="43"/>
      <c r="AF61" s="43"/>
      <c r="AG61" s="43"/>
      <c r="AH61" s="43">
        <v>0</v>
      </c>
      <c r="AI61" s="39">
        <v>51</v>
      </c>
      <c r="AM61" s="29">
        <v>18.969941800753169</v>
      </c>
      <c r="AN61" s="26"/>
      <c r="AO61"/>
      <c r="AP61"/>
      <c r="AQ61"/>
      <c r="AR61"/>
    </row>
    <row r="62" spans="1:49" ht="14.25" customHeight="1" thickBot="1" x14ac:dyDescent="0.3">
      <c r="A62" s="30">
        <v>61</v>
      </c>
      <c r="B62" s="31" t="s">
        <v>12</v>
      </c>
      <c r="C62" s="31" t="s">
        <v>43</v>
      </c>
      <c r="D62" s="31" t="s">
        <v>15</v>
      </c>
      <c r="E62" s="31" t="s">
        <v>16</v>
      </c>
      <c r="F62" s="32">
        <v>18</v>
      </c>
      <c r="G62" s="33">
        <v>2</v>
      </c>
      <c r="H62" s="31"/>
      <c r="I62" s="33">
        <v>5</v>
      </c>
      <c r="J62" s="31">
        <v>0.5</v>
      </c>
      <c r="K62" s="50">
        <f t="shared" si="2"/>
        <v>72</v>
      </c>
      <c r="L62" s="50">
        <f t="shared" si="3"/>
        <v>0</v>
      </c>
      <c r="M62" s="50">
        <f t="shared" si="4"/>
        <v>20</v>
      </c>
      <c r="N62" s="50">
        <f t="shared" si="5"/>
        <v>2</v>
      </c>
      <c r="O62" s="50">
        <f t="shared" si="6"/>
        <v>22</v>
      </c>
      <c r="P62" s="50">
        <f t="shared" si="7"/>
        <v>22</v>
      </c>
      <c r="Q62" s="50"/>
      <c r="R62" s="50"/>
      <c r="S62" s="46">
        <v>0</v>
      </c>
      <c r="T62" s="43">
        <v>0</v>
      </c>
      <c r="U62" s="43">
        <v>23</v>
      </c>
      <c r="V62" s="43">
        <v>1</v>
      </c>
      <c r="W62" s="43">
        <v>1</v>
      </c>
      <c r="X62" s="43">
        <v>0</v>
      </c>
      <c r="Y62" s="50">
        <v>0</v>
      </c>
      <c r="Z62" s="50">
        <v>92</v>
      </c>
      <c r="AA62" s="50">
        <v>4</v>
      </c>
      <c r="AB62" s="50">
        <v>0</v>
      </c>
      <c r="AC62" s="50">
        <v>4</v>
      </c>
      <c r="AD62" s="50">
        <f t="shared" si="1"/>
        <v>96</v>
      </c>
      <c r="AE62" s="43"/>
      <c r="AF62" s="43"/>
      <c r="AG62" s="43"/>
      <c r="AH62" s="43">
        <v>0</v>
      </c>
      <c r="AI62" s="39">
        <v>44</v>
      </c>
      <c r="AM62" s="29">
        <v>19.511317008603577</v>
      </c>
      <c r="AN62" s="26"/>
      <c r="AO62"/>
      <c r="AP62"/>
      <c r="AQ62"/>
      <c r="AR62"/>
    </row>
    <row r="63" spans="1:49" ht="14.25" customHeight="1" thickBot="1" x14ac:dyDescent="0.3">
      <c r="A63" s="30">
        <v>62</v>
      </c>
      <c r="B63" s="31" t="s">
        <v>12</v>
      </c>
      <c r="C63" s="31" t="s">
        <v>14</v>
      </c>
      <c r="D63" s="31" t="s">
        <v>45</v>
      </c>
      <c r="E63" s="31" t="s">
        <v>16</v>
      </c>
      <c r="F63" s="32">
        <v>17</v>
      </c>
      <c r="G63" s="33">
        <v>5</v>
      </c>
      <c r="H63" s="31"/>
      <c r="I63" s="33">
        <v>3</v>
      </c>
      <c r="J63" s="31">
        <v>0.5</v>
      </c>
      <c r="K63" s="50">
        <f t="shared" si="2"/>
        <v>68</v>
      </c>
      <c r="L63" s="50">
        <f t="shared" si="3"/>
        <v>0</v>
      </c>
      <c r="M63" s="50">
        <f t="shared" si="4"/>
        <v>12</v>
      </c>
      <c r="N63" s="50">
        <f t="shared" si="5"/>
        <v>2</v>
      </c>
      <c r="O63" s="50">
        <f t="shared" si="6"/>
        <v>14</v>
      </c>
      <c r="P63" s="50">
        <f t="shared" si="7"/>
        <v>14</v>
      </c>
      <c r="Q63" s="50"/>
      <c r="R63" s="50"/>
      <c r="S63" s="46">
        <v>0</v>
      </c>
      <c r="T63" s="43">
        <v>0</v>
      </c>
      <c r="U63" s="43">
        <v>24</v>
      </c>
      <c r="V63" s="43">
        <v>1</v>
      </c>
      <c r="W63" s="43">
        <v>0.5</v>
      </c>
      <c r="X63" s="43">
        <v>0</v>
      </c>
      <c r="Y63" s="50">
        <v>0</v>
      </c>
      <c r="Z63" s="50">
        <v>96</v>
      </c>
      <c r="AA63" s="50">
        <v>4</v>
      </c>
      <c r="AB63" s="50">
        <v>0</v>
      </c>
      <c r="AC63" s="50">
        <v>4</v>
      </c>
      <c r="AD63" s="50">
        <f t="shared" si="1"/>
        <v>100</v>
      </c>
      <c r="AE63" s="43"/>
      <c r="AF63" s="43"/>
      <c r="AG63" s="43"/>
      <c r="AH63" s="43">
        <v>0</v>
      </c>
      <c r="AI63" s="39">
        <v>55</v>
      </c>
      <c r="AM63" s="29">
        <v>20.077708264734934</v>
      </c>
      <c r="AN63" s="26"/>
      <c r="AO63"/>
      <c r="AP63"/>
      <c r="AQ63"/>
      <c r="AR63"/>
    </row>
    <row r="64" spans="1:49" ht="14.25" customHeight="1" thickBot="1" x14ac:dyDescent="0.3">
      <c r="A64" s="30">
        <v>63</v>
      </c>
      <c r="B64" s="31" t="s">
        <v>12</v>
      </c>
      <c r="C64" s="31" t="s">
        <v>43</v>
      </c>
      <c r="D64" s="31" t="s">
        <v>15</v>
      </c>
      <c r="E64" s="31" t="s">
        <v>16</v>
      </c>
      <c r="F64" s="32">
        <v>20</v>
      </c>
      <c r="G64" s="33">
        <v>2</v>
      </c>
      <c r="H64" s="31"/>
      <c r="I64" s="33">
        <v>3</v>
      </c>
      <c r="J64" s="31"/>
      <c r="K64" s="50">
        <f t="shared" si="2"/>
        <v>80</v>
      </c>
      <c r="L64" s="50">
        <f t="shared" si="3"/>
        <v>0</v>
      </c>
      <c r="M64" s="50">
        <f t="shared" si="4"/>
        <v>12</v>
      </c>
      <c r="N64" s="50">
        <f t="shared" si="5"/>
        <v>0</v>
      </c>
      <c r="O64" s="50">
        <f t="shared" si="6"/>
        <v>12</v>
      </c>
      <c r="P64" s="50">
        <f t="shared" si="7"/>
        <v>12</v>
      </c>
      <c r="Q64" s="50"/>
      <c r="R64" s="50"/>
      <c r="S64" s="46">
        <v>0</v>
      </c>
      <c r="T64" s="43">
        <v>0</v>
      </c>
      <c r="U64" s="43">
        <v>23</v>
      </c>
      <c r="V64" s="43">
        <v>2</v>
      </c>
      <c r="W64" s="43">
        <v>0.5</v>
      </c>
      <c r="X64" s="43">
        <v>0</v>
      </c>
      <c r="Y64" s="50">
        <v>0</v>
      </c>
      <c r="Z64" s="50">
        <v>92</v>
      </c>
      <c r="AA64" s="50">
        <v>8</v>
      </c>
      <c r="AB64" s="50">
        <v>0</v>
      </c>
      <c r="AC64" s="50">
        <v>8</v>
      </c>
      <c r="AD64" s="50">
        <f t="shared" si="1"/>
        <v>100</v>
      </c>
      <c r="AE64" s="43"/>
      <c r="AF64" s="43"/>
      <c r="AG64" s="43"/>
      <c r="AH64" s="43">
        <v>0</v>
      </c>
      <c r="AI64" s="39">
        <v>48</v>
      </c>
      <c r="AM64" s="29">
        <v>18.257577763070817</v>
      </c>
      <c r="AN64" s="26"/>
      <c r="AO64"/>
      <c r="AP64"/>
      <c r="AQ64"/>
      <c r="AR64"/>
    </row>
    <row r="65" spans="1:49" ht="14.25" customHeight="1" thickBot="1" x14ac:dyDescent="0.3">
      <c r="A65" s="30">
        <v>64</v>
      </c>
      <c r="B65" s="31" t="s">
        <v>12</v>
      </c>
      <c r="C65" s="31" t="s">
        <v>14</v>
      </c>
      <c r="D65" s="31" t="s">
        <v>15</v>
      </c>
      <c r="E65" s="31" t="s">
        <v>16</v>
      </c>
      <c r="F65" s="32">
        <v>15</v>
      </c>
      <c r="G65" s="33">
        <v>5</v>
      </c>
      <c r="H65" s="31"/>
      <c r="I65" s="33">
        <v>5</v>
      </c>
      <c r="J65" s="31"/>
      <c r="K65" s="50">
        <f t="shared" si="2"/>
        <v>60</v>
      </c>
      <c r="L65" s="50">
        <f t="shared" si="3"/>
        <v>0</v>
      </c>
      <c r="M65" s="50">
        <f t="shared" si="4"/>
        <v>20</v>
      </c>
      <c r="N65" s="50">
        <f t="shared" si="5"/>
        <v>0</v>
      </c>
      <c r="O65" s="50">
        <f t="shared" si="6"/>
        <v>20</v>
      </c>
      <c r="P65" s="50">
        <f t="shared" si="7"/>
        <v>20</v>
      </c>
      <c r="Q65" s="50"/>
      <c r="R65" s="50"/>
      <c r="S65" s="46">
        <v>2</v>
      </c>
      <c r="T65" s="43">
        <v>2</v>
      </c>
      <c r="U65" s="43">
        <v>20</v>
      </c>
      <c r="V65" s="43">
        <v>1</v>
      </c>
      <c r="W65" s="43">
        <v>0.5</v>
      </c>
      <c r="X65" s="43">
        <v>0</v>
      </c>
      <c r="Y65" s="50">
        <v>8</v>
      </c>
      <c r="Z65" s="50">
        <v>80</v>
      </c>
      <c r="AA65" s="50">
        <v>4</v>
      </c>
      <c r="AB65" s="50">
        <v>0</v>
      </c>
      <c r="AC65" s="50">
        <v>4</v>
      </c>
      <c r="AD65" s="50">
        <f t="shared" si="1"/>
        <v>84</v>
      </c>
      <c r="AE65" s="43"/>
      <c r="AF65" s="43"/>
      <c r="AG65" s="43"/>
      <c r="AH65" s="43">
        <v>0</v>
      </c>
      <c r="AI65" s="39">
        <v>21</v>
      </c>
      <c r="AJ65">
        <v>493.83242469102197</v>
      </c>
      <c r="AK65">
        <v>736.47987598145198</v>
      </c>
      <c r="AL65">
        <v>896.51195698691765</v>
      </c>
      <c r="AM65" s="29">
        <v>11.947167281260477</v>
      </c>
      <c r="AN65" s="26">
        <v>64</v>
      </c>
      <c r="AO65">
        <v>17.870817999999996</v>
      </c>
      <c r="AP65">
        <v>36.823283333333336</v>
      </c>
      <c r="AQ65">
        <v>102.02042399999999</v>
      </c>
      <c r="AR65">
        <v>493.83242469102197</v>
      </c>
      <c r="AS65">
        <v>736.47987598145198</v>
      </c>
      <c r="AT65">
        <v>184.55835000000002</v>
      </c>
      <c r="AU65">
        <v>896.51195698691765</v>
      </c>
      <c r="AV65">
        <v>31.102249999999998</v>
      </c>
      <c r="AW65">
        <v>152.21799999999999</v>
      </c>
    </row>
    <row r="66" spans="1:49" ht="14.25" customHeight="1" thickBot="1" x14ac:dyDescent="0.3">
      <c r="A66" s="30">
        <v>65</v>
      </c>
      <c r="B66" s="31" t="s">
        <v>12</v>
      </c>
      <c r="C66" s="31" t="s">
        <v>43</v>
      </c>
      <c r="D66" s="31" t="s">
        <v>44</v>
      </c>
      <c r="E66" s="31" t="s">
        <v>16</v>
      </c>
      <c r="F66" s="32">
        <v>20</v>
      </c>
      <c r="G66" s="33">
        <v>3</v>
      </c>
      <c r="H66" s="31"/>
      <c r="I66" s="33">
        <v>2</v>
      </c>
      <c r="J66" s="31">
        <v>0.5</v>
      </c>
      <c r="K66" s="50">
        <f t="shared" si="2"/>
        <v>80</v>
      </c>
      <c r="L66" s="50">
        <f t="shared" si="3"/>
        <v>0</v>
      </c>
      <c r="M66" s="50">
        <f t="shared" si="4"/>
        <v>8</v>
      </c>
      <c r="N66" s="50">
        <f t="shared" si="5"/>
        <v>2</v>
      </c>
      <c r="O66" s="50">
        <f t="shared" si="6"/>
        <v>10</v>
      </c>
      <c r="P66" s="50">
        <f t="shared" si="7"/>
        <v>10</v>
      </c>
      <c r="Q66" s="50"/>
      <c r="R66" s="50"/>
      <c r="S66" s="46">
        <v>4</v>
      </c>
      <c r="T66" s="43">
        <v>0</v>
      </c>
      <c r="U66" s="43">
        <v>20</v>
      </c>
      <c r="V66" s="43">
        <v>0.5</v>
      </c>
      <c r="W66" s="43">
        <v>0.5</v>
      </c>
      <c r="X66" s="43">
        <v>0</v>
      </c>
      <c r="Y66" s="50">
        <v>16</v>
      </c>
      <c r="Z66" s="50">
        <v>80</v>
      </c>
      <c r="AA66" s="50">
        <v>2</v>
      </c>
      <c r="AB66" s="50">
        <v>0</v>
      </c>
      <c r="AC66" s="50">
        <v>2</v>
      </c>
      <c r="AD66" s="50">
        <f t="shared" ref="AD66:AD108" si="8">SUM(Z66:AB66)</f>
        <v>82</v>
      </c>
      <c r="AE66" s="43"/>
      <c r="AF66" s="43"/>
      <c r="AG66" s="43"/>
      <c r="AH66" s="43">
        <v>0</v>
      </c>
      <c r="AI66" s="39">
        <v>72.5</v>
      </c>
      <c r="AM66" s="29">
        <v>53.378634433191777</v>
      </c>
      <c r="AN66" s="26"/>
      <c r="AO66"/>
      <c r="AP66"/>
      <c r="AQ66"/>
      <c r="AR66"/>
    </row>
    <row r="67" spans="1:49" ht="14.25" customHeight="1" thickBot="1" x14ac:dyDescent="0.3">
      <c r="A67" s="30">
        <v>66</v>
      </c>
      <c r="B67" s="31" t="s">
        <v>12</v>
      </c>
      <c r="C67" s="31" t="s">
        <v>43</v>
      </c>
      <c r="D67" s="31" t="s">
        <v>44</v>
      </c>
      <c r="E67" s="31" t="s">
        <v>16</v>
      </c>
      <c r="F67" s="32">
        <v>19</v>
      </c>
      <c r="G67" s="33">
        <v>3</v>
      </c>
      <c r="H67" s="31"/>
      <c r="I67" s="33">
        <v>3</v>
      </c>
      <c r="J67" s="31"/>
      <c r="K67" s="50">
        <f t="shared" si="2"/>
        <v>76</v>
      </c>
      <c r="L67" s="50">
        <f t="shared" si="3"/>
        <v>0</v>
      </c>
      <c r="M67" s="50">
        <f t="shared" si="4"/>
        <v>12</v>
      </c>
      <c r="N67" s="50">
        <f t="shared" si="5"/>
        <v>0</v>
      </c>
      <c r="O67" s="50">
        <f t="shared" si="6"/>
        <v>12</v>
      </c>
      <c r="P67" s="50">
        <f t="shared" si="7"/>
        <v>12</v>
      </c>
      <c r="Q67" s="50"/>
      <c r="R67" s="50"/>
      <c r="S67" s="46">
        <v>0</v>
      </c>
      <c r="T67" s="43">
        <v>0</v>
      </c>
      <c r="U67" s="43">
        <v>23</v>
      </c>
      <c r="V67" s="43">
        <v>2</v>
      </c>
      <c r="W67" s="43">
        <v>0.5</v>
      </c>
      <c r="X67" s="43">
        <v>0</v>
      </c>
      <c r="Y67" s="50">
        <v>0</v>
      </c>
      <c r="Z67" s="50">
        <v>92</v>
      </c>
      <c r="AA67" s="50">
        <v>8</v>
      </c>
      <c r="AB67" s="50">
        <v>0</v>
      </c>
      <c r="AC67" s="50">
        <v>8</v>
      </c>
      <c r="AD67" s="50">
        <f t="shared" si="8"/>
        <v>100</v>
      </c>
      <c r="AE67" s="43"/>
      <c r="AF67" s="43"/>
      <c r="AG67" s="43"/>
      <c r="AH67" s="43">
        <v>0</v>
      </c>
      <c r="AI67" s="39">
        <v>55.5</v>
      </c>
      <c r="AM67" s="29">
        <v>37.317822117010493</v>
      </c>
      <c r="AN67" s="26"/>
      <c r="AO67"/>
      <c r="AP67"/>
      <c r="AQ67"/>
      <c r="AR67"/>
    </row>
    <row r="68" spans="1:49" ht="14.25" customHeight="1" thickBot="1" x14ac:dyDescent="0.3">
      <c r="A68" s="30">
        <v>67</v>
      </c>
      <c r="B68" s="31" t="s">
        <v>12</v>
      </c>
      <c r="C68" s="31" t="s">
        <v>43</v>
      </c>
      <c r="D68" s="31" t="s">
        <v>45</v>
      </c>
      <c r="E68" s="31" t="s">
        <v>16</v>
      </c>
      <c r="F68" s="32">
        <v>22</v>
      </c>
      <c r="G68" s="33">
        <v>2</v>
      </c>
      <c r="H68" s="31"/>
      <c r="I68" s="33">
        <v>1</v>
      </c>
      <c r="J68" s="31"/>
      <c r="K68" s="50">
        <f t="shared" si="2"/>
        <v>88</v>
      </c>
      <c r="L68" s="50">
        <f t="shared" si="3"/>
        <v>0</v>
      </c>
      <c r="M68" s="50">
        <f t="shared" si="4"/>
        <v>4</v>
      </c>
      <c r="N68" s="50">
        <f t="shared" si="5"/>
        <v>0</v>
      </c>
      <c r="O68" s="50">
        <f t="shared" si="6"/>
        <v>4</v>
      </c>
      <c r="P68" s="50">
        <f t="shared" si="7"/>
        <v>4</v>
      </c>
      <c r="Q68" s="50"/>
      <c r="R68" s="50"/>
      <c r="S68" s="46">
        <v>0</v>
      </c>
      <c r="T68" s="43">
        <v>0</v>
      </c>
      <c r="U68" s="43">
        <v>21</v>
      </c>
      <c r="V68" s="43">
        <v>3</v>
      </c>
      <c r="W68" s="43">
        <v>1</v>
      </c>
      <c r="X68" s="43">
        <v>0</v>
      </c>
      <c r="Y68" s="50">
        <v>0</v>
      </c>
      <c r="Z68" s="50">
        <v>84</v>
      </c>
      <c r="AA68" s="50">
        <v>12</v>
      </c>
      <c r="AB68" s="50">
        <v>0</v>
      </c>
      <c r="AC68" s="50">
        <v>12</v>
      </c>
      <c r="AD68" s="50">
        <f t="shared" si="8"/>
        <v>96</v>
      </c>
      <c r="AE68" s="43"/>
      <c r="AF68" s="43"/>
      <c r="AG68" s="43"/>
      <c r="AH68" s="43">
        <v>0</v>
      </c>
      <c r="AI68" s="39">
        <v>35</v>
      </c>
      <c r="AM68" s="29">
        <v>33.645466847090667</v>
      </c>
      <c r="AN68" s="26"/>
      <c r="AO68"/>
      <c r="AP68"/>
      <c r="AQ68"/>
      <c r="AR68"/>
    </row>
    <row r="69" spans="1:49" ht="14.25" customHeight="1" thickBot="1" x14ac:dyDescent="0.3">
      <c r="A69" s="30">
        <v>68</v>
      </c>
      <c r="B69" s="31" t="s">
        <v>12</v>
      </c>
      <c r="C69" s="31" t="s">
        <v>14</v>
      </c>
      <c r="D69" s="31" t="s">
        <v>45</v>
      </c>
      <c r="E69" s="31" t="s">
        <v>16</v>
      </c>
      <c r="F69" s="32">
        <v>15</v>
      </c>
      <c r="G69" s="33">
        <v>6</v>
      </c>
      <c r="H69" s="31"/>
      <c r="I69" s="33">
        <v>4</v>
      </c>
      <c r="J69" s="31"/>
      <c r="K69" s="50">
        <f t="shared" si="2"/>
        <v>60</v>
      </c>
      <c r="L69" s="50">
        <f t="shared" si="3"/>
        <v>0</v>
      </c>
      <c r="M69" s="50">
        <f t="shared" si="4"/>
        <v>16</v>
      </c>
      <c r="N69" s="50">
        <f t="shared" si="5"/>
        <v>0</v>
      </c>
      <c r="O69" s="50">
        <f t="shared" si="6"/>
        <v>16</v>
      </c>
      <c r="P69" s="50">
        <f t="shared" si="7"/>
        <v>16</v>
      </c>
      <c r="Q69" s="50"/>
      <c r="R69" s="50"/>
      <c r="S69" s="46">
        <v>0</v>
      </c>
      <c r="T69" s="43">
        <v>0</v>
      </c>
      <c r="U69" s="43">
        <v>22</v>
      </c>
      <c r="V69" s="43">
        <v>2</v>
      </c>
      <c r="W69" s="43">
        <v>1</v>
      </c>
      <c r="X69" s="43">
        <v>0</v>
      </c>
      <c r="Y69" s="50">
        <v>0</v>
      </c>
      <c r="Z69" s="50">
        <v>88</v>
      </c>
      <c r="AA69" s="50">
        <v>8</v>
      </c>
      <c r="AB69" s="50">
        <v>0</v>
      </c>
      <c r="AC69" s="50">
        <v>8</v>
      </c>
      <c r="AD69" s="50">
        <f t="shared" si="8"/>
        <v>96</v>
      </c>
      <c r="AE69" s="43"/>
      <c r="AF69" s="43"/>
      <c r="AG69" s="43"/>
      <c r="AH69" s="43">
        <v>0</v>
      </c>
      <c r="AI69" s="39">
        <v>90</v>
      </c>
      <c r="AM69" s="29">
        <v>37.032956491949307</v>
      </c>
      <c r="AN69" s="26"/>
      <c r="AO69"/>
      <c r="AP69"/>
      <c r="AQ69"/>
      <c r="AR69"/>
    </row>
    <row r="70" spans="1:49" ht="14.25" customHeight="1" thickBot="1" x14ac:dyDescent="0.3">
      <c r="A70" s="30">
        <v>69</v>
      </c>
      <c r="B70" s="31" t="s">
        <v>12</v>
      </c>
      <c r="C70" s="31" t="s">
        <v>43</v>
      </c>
      <c r="D70" s="31" t="s">
        <v>45</v>
      </c>
      <c r="E70" s="31" t="s">
        <v>16</v>
      </c>
      <c r="F70" s="32">
        <v>20</v>
      </c>
      <c r="G70" s="33">
        <v>1</v>
      </c>
      <c r="H70" s="31"/>
      <c r="I70" s="33">
        <v>4</v>
      </c>
      <c r="J70" s="31">
        <v>0.5</v>
      </c>
      <c r="K70" s="50">
        <f>F70*4</f>
        <v>80</v>
      </c>
      <c r="L70" s="50">
        <f>H70*4</f>
        <v>0</v>
      </c>
      <c r="M70" s="50">
        <f>I70*4</f>
        <v>16</v>
      </c>
      <c r="N70" s="50">
        <f>J70*4</f>
        <v>2</v>
      </c>
      <c r="O70" s="50">
        <f t="shared" si="6"/>
        <v>18</v>
      </c>
      <c r="P70" s="50">
        <f t="shared" si="7"/>
        <v>18</v>
      </c>
      <c r="Q70" s="50"/>
      <c r="R70" s="50"/>
      <c r="S70" s="46">
        <v>0</v>
      </c>
      <c r="T70" s="43">
        <v>0</v>
      </c>
      <c r="U70" s="43">
        <v>22</v>
      </c>
      <c r="V70" s="43">
        <v>2</v>
      </c>
      <c r="W70" s="43">
        <v>1</v>
      </c>
      <c r="X70" s="43">
        <v>0</v>
      </c>
      <c r="Y70" s="50">
        <v>0</v>
      </c>
      <c r="Z70" s="50">
        <v>88</v>
      </c>
      <c r="AA70" s="50">
        <v>8</v>
      </c>
      <c r="AB70" s="50">
        <v>0</v>
      </c>
      <c r="AC70" s="50">
        <v>8</v>
      </c>
      <c r="AD70" s="50">
        <f t="shared" si="8"/>
        <v>96</v>
      </c>
      <c r="AE70" s="43"/>
      <c r="AF70" s="43"/>
      <c r="AG70" s="43"/>
      <c r="AH70" s="43">
        <v>0</v>
      </c>
      <c r="AI70" s="39">
        <v>47</v>
      </c>
      <c r="AM70" s="29">
        <v>25.569403231124305</v>
      </c>
      <c r="AN70" s="26"/>
      <c r="AO70"/>
      <c r="AP70"/>
      <c r="AQ70"/>
      <c r="AR70"/>
    </row>
    <row r="71" spans="1:49" ht="14.25" customHeight="1" thickBot="1" x14ac:dyDescent="0.3">
      <c r="A71" s="30">
        <v>70</v>
      </c>
      <c r="B71" s="31" t="s">
        <v>12</v>
      </c>
      <c r="C71" s="31" t="s">
        <v>43</v>
      </c>
      <c r="D71" s="31" t="s">
        <v>44</v>
      </c>
      <c r="E71" s="31" t="s">
        <v>16</v>
      </c>
      <c r="F71" s="32">
        <v>21</v>
      </c>
      <c r="G71" s="33">
        <v>1</v>
      </c>
      <c r="H71" s="31"/>
      <c r="I71" s="33">
        <v>3</v>
      </c>
      <c r="J71" s="31">
        <v>0.5</v>
      </c>
      <c r="K71" s="50">
        <f>F71*4</f>
        <v>84</v>
      </c>
      <c r="L71" s="50">
        <f>H71*4</f>
        <v>0</v>
      </c>
      <c r="M71" s="50">
        <f t="shared" ref="M71:N86" si="9">I71*4</f>
        <v>12</v>
      </c>
      <c r="N71" s="50">
        <f t="shared" si="9"/>
        <v>2</v>
      </c>
      <c r="O71" s="50">
        <f t="shared" ref="O71:O109" si="10">M71+N71</f>
        <v>14</v>
      </c>
      <c r="P71" s="50">
        <f t="shared" ref="P71:P109" si="11">SUM(L71:N71)</f>
        <v>14</v>
      </c>
      <c r="Q71" s="50"/>
      <c r="R71" s="50"/>
      <c r="S71" s="46">
        <v>1</v>
      </c>
      <c r="T71" s="43">
        <v>0</v>
      </c>
      <c r="U71" s="43">
        <v>20</v>
      </c>
      <c r="V71" s="43">
        <v>3</v>
      </c>
      <c r="W71" s="43">
        <v>1</v>
      </c>
      <c r="X71" s="43">
        <v>0</v>
      </c>
      <c r="Y71" s="50">
        <v>4</v>
      </c>
      <c r="Z71" s="50">
        <v>80</v>
      </c>
      <c r="AA71" s="50">
        <v>12</v>
      </c>
      <c r="AB71" s="50">
        <v>0</v>
      </c>
      <c r="AC71" s="50">
        <v>12</v>
      </c>
      <c r="AD71" s="50">
        <f t="shared" si="8"/>
        <v>92</v>
      </c>
      <c r="AE71" s="43"/>
      <c r="AF71" s="43"/>
      <c r="AG71" s="43"/>
      <c r="AH71" s="43">
        <v>0</v>
      </c>
      <c r="AI71" s="39">
        <v>55</v>
      </c>
      <c r="AM71" s="29">
        <v>30.50358939953037</v>
      </c>
      <c r="AN71" s="26"/>
      <c r="AO71"/>
      <c r="AP71"/>
      <c r="AQ71"/>
      <c r="AR71"/>
    </row>
    <row r="72" spans="1:49" ht="14.25" customHeight="1" thickBot="1" x14ac:dyDescent="0.3">
      <c r="A72" s="30">
        <v>71</v>
      </c>
      <c r="B72" s="31" t="s">
        <v>12</v>
      </c>
      <c r="C72" s="31" t="s">
        <v>14</v>
      </c>
      <c r="D72" s="31" t="s">
        <v>15</v>
      </c>
      <c r="E72" s="31" t="s">
        <v>16</v>
      </c>
      <c r="F72" s="32">
        <v>16</v>
      </c>
      <c r="G72" s="33">
        <v>3</v>
      </c>
      <c r="H72" s="31"/>
      <c r="I72" s="33">
        <v>6</v>
      </c>
      <c r="J72" s="31">
        <v>0.5</v>
      </c>
      <c r="K72" s="50">
        <f t="shared" ref="K72:K109" si="12">F72*4</f>
        <v>64</v>
      </c>
      <c r="L72" s="50">
        <f t="shared" ref="L72:L109" si="13">H72*4</f>
        <v>0</v>
      </c>
      <c r="M72" s="50">
        <f t="shared" si="9"/>
        <v>24</v>
      </c>
      <c r="N72" s="50">
        <f t="shared" si="9"/>
        <v>2</v>
      </c>
      <c r="O72" s="50">
        <f t="shared" si="10"/>
        <v>26</v>
      </c>
      <c r="P72" s="50">
        <f t="shared" si="11"/>
        <v>26</v>
      </c>
      <c r="Q72" s="50"/>
      <c r="R72" s="50"/>
      <c r="S72" s="46">
        <v>0</v>
      </c>
      <c r="T72" s="43">
        <v>2</v>
      </c>
      <c r="U72" s="43">
        <v>22</v>
      </c>
      <c r="V72" s="43">
        <v>1</v>
      </c>
      <c r="W72" s="43">
        <v>0.5</v>
      </c>
      <c r="X72" s="43">
        <v>0</v>
      </c>
      <c r="Y72" s="50">
        <v>0</v>
      </c>
      <c r="Z72" s="50">
        <v>88</v>
      </c>
      <c r="AA72" s="50">
        <v>4</v>
      </c>
      <c r="AB72" s="50">
        <v>0</v>
      </c>
      <c r="AC72" s="50">
        <v>4</v>
      </c>
      <c r="AD72" s="50">
        <f t="shared" si="8"/>
        <v>92</v>
      </c>
      <c r="AE72" s="43"/>
      <c r="AF72" s="43"/>
      <c r="AG72" s="43"/>
      <c r="AH72" s="43">
        <v>0</v>
      </c>
      <c r="AI72" s="39">
        <v>25.5</v>
      </c>
      <c r="AJ72">
        <v>333.53722801830452</v>
      </c>
      <c r="AK72">
        <v>235.5411867736907</v>
      </c>
      <c r="AL72">
        <v>422.252740483634</v>
      </c>
      <c r="AM72" s="29">
        <v>37.809066666666673</v>
      </c>
      <c r="AN72" s="26">
        <v>71</v>
      </c>
      <c r="AO72">
        <v>13.685871666666666</v>
      </c>
      <c r="AP72">
        <v>20.339783333333333</v>
      </c>
      <c r="AQ72">
        <v>76.910746000000003</v>
      </c>
      <c r="AR72">
        <v>333.53722801830452</v>
      </c>
      <c r="AS72">
        <v>235.5411867736907</v>
      </c>
      <c r="AT72">
        <v>97.60005000000001</v>
      </c>
      <c r="AU72">
        <v>422.252740483634</v>
      </c>
      <c r="AV72">
        <v>16.609200000000001</v>
      </c>
      <c r="AW72">
        <v>53.317</v>
      </c>
    </row>
    <row r="73" spans="1:49" ht="14.25" customHeight="1" thickBot="1" x14ac:dyDescent="0.3">
      <c r="A73" s="30">
        <v>72</v>
      </c>
      <c r="B73" s="31" t="s">
        <v>12</v>
      </c>
      <c r="C73" s="31" t="s">
        <v>43</v>
      </c>
      <c r="D73" s="31" t="s">
        <v>45</v>
      </c>
      <c r="E73" s="31" t="s">
        <v>1</v>
      </c>
      <c r="F73" s="32">
        <v>24</v>
      </c>
      <c r="G73" s="33">
        <v>1</v>
      </c>
      <c r="H73" s="31"/>
      <c r="I73" s="31"/>
      <c r="J73" s="31"/>
      <c r="K73" s="50">
        <f t="shared" si="12"/>
        <v>96</v>
      </c>
      <c r="L73" s="50">
        <f t="shared" si="13"/>
        <v>0</v>
      </c>
      <c r="M73" s="50">
        <f t="shared" si="9"/>
        <v>0</v>
      </c>
      <c r="N73" s="50">
        <f t="shared" si="9"/>
        <v>0</v>
      </c>
      <c r="O73" s="50">
        <f t="shared" si="10"/>
        <v>0</v>
      </c>
      <c r="P73" s="50">
        <f t="shared" si="11"/>
        <v>0</v>
      </c>
      <c r="Q73" s="50"/>
      <c r="R73" s="50"/>
      <c r="S73" s="46">
        <v>25</v>
      </c>
      <c r="T73" s="43">
        <v>0</v>
      </c>
      <c r="U73" s="43">
        <v>0</v>
      </c>
      <c r="V73" s="43">
        <v>0</v>
      </c>
      <c r="W73" s="43">
        <v>0</v>
      </c>
      <c r="X73" s="43">
        <v>0</v>
      </c>
      <c r="Y73" s="50">
        <v>100</v>
      </c>
      <c r="Z73" s="50">
        <v>0</v>
      </c>
      <c r="AA73" s="50">
        <v>0</v>
      </c>
      <c r="AB73" s="50">
        <v>0</v>
      </c>
      <c r="AC73" s="50">
        <v>0</v>
      </c>
      <c r="AD73" s="50">
        <f t="shared" si="8"/>
        <v>0</v>
      </c>
      <c r="AE73" s="43"/>
      <c r="AF73" s="43"/>
      <c r="AG73" s="43"/>
      <c r="AH73" s="43">
        <v>0</v>
      </c>
      <c r="AI73" s="39">
        <v>0</v>
      </c>
      <c r="AM73" s="29">
        <v>1.9931369375202308</v>
      </c>
      <c r="AN73" s="26"/>
      <c r="AO73"/>
      <c r="AP73"/>
      <c r="AQ73"/>
      <c r="AR73"/>
    </row>
    <row r="74" spans="1:49" ht="14.25" customHeight="1" thickBot="1" x14ac:dyDescent="0.3">
      <c r="A74" s="30">
        <v>73</v>
      </c>
      <c r="B74" s="31" t="s">
        <v>13</v>
      </c>
      <c r="C74" s="31" t="s">
        <v>14</v>
      </c>
      <c r="D74" s="31" t="s">
        <v>45</v>
      </c>
      <c r="E74" s="31" t="s">
        <v>1</v>
      </c>
      <c r="F74" s="32">
        <v>12</v>
      </c>
      <c r="G74" s="33">
        <v>13</v>
      </c>
      <c r="H74" s="31"/>
      <c r="I74" s="31"/>
      <c r="J74" s="31"/>
      <c r="K74" s="50">
        <f t="shared" si="12"/>
        <v>48</v>
      </c>
      <c r="L74" s="50">
        <f t="shared" si="13"/>
        <v>0</v>
      </c>
      <c r="M74" s="50">
        <f t="shared" si="9"/>
        <v>0</v>
      </c>
      <c r="N74" s="50">
        <f t="shared" si="9"/>
        <v>0</v>
      </c>
      <c r="O74" s="50">
        <f t="shared" si="10"/>
        <v>0</v>
      </c>
      <c r="P74" s="50">
        <f t="shared" si="11"/>
        <v>0</v>
      </c>
      <c r="Q74" s="50"/>
      <c r="R74" s="50"/>
      <c r="S74" s="46">
        <v>19</v>
      </c>
      <c r="T74" s="43">
        <v>2</v>
      </c>
      <c r="U74" s="43">
        <v>4</v>
      </c>
      <c r="V74" s="43"/>
      <c r="W74" s="43"/>
      <c r="X74" s="43"/>
      <c r="Y74" s="50">
        <v>76</v>
      </c>
      <c r="Z74" s="50">
        <v>16</v>
      </c>
      <c r="AA74" s="50">
        <v>0</v>
      </c>
      <c r="AB74" s="50">
        <v>0</v>
      </c>
      <c r="AC74" s="50">
        <v>0</v>
      </c>
      <c r="AD74" s="50">
        <f t="shared" si="8"/>
        <v>16</v>
      </c>
      <c r="AE74" s="43"/>
      <c r="AF74" s="43"/>
      <c r="AG74" s="43"/>
      <c r="AH74" s="43"/>
      <c r="AI74" s="39">
        <v>0</v>
      </c>
      <c r="AM74" s="29">
        <v>25.385528509503171</v>
      </c>
      <c r="AN74" s="26"/>
      <c r="AO74"/>
      <c r="AP74"/>
      <c r="AQ74"/>
      <c r="AR74"/>
    </row>
    <row r="75" spans="1:49" ht="14.25" customHeight="1" thickBot="1" x14ac:dyDescent="0.3">
      <c r="A75" s="30">
        <v>74</v>
      </c>
      <c r="B75" s="31" t="s">
        <v>13</v>
      </c>
      <c r="C75" s="31" t="s">
        <v>43</v>
      </c>
      <c r="D75" s="31" t="s">
        <v>15</v>
      </c>
      <c r="E75" s="31" t="s">
        <v>16</v>
      </c>
      <c r="F75" s="32">
        <v>16</v>
      </c>
      <c r="G75" s="33">
        <v>6</v>
      </c>
      <c r="H75" s="31"/>
      <c r="I75" s="33">
        <v>3</v>
      </c>
      <c r="J75" s="31"/>
      <c r="K75" s="50">
        <f t="shared" si="12"/>
        <v>64</v>
      </c>
      <c r="L75" s="50">
        <f t="shared" si="13"/>
        <v>0</v>
      </c>
      <c r="M75" s="50">
        <f t="shared" si="9"/>
        <v>12</v>
      </c>
      <c r="N75" s="50">
        <f t="shared" si="9"/>
        <v>0</v>
      </c>
      <c r="O75" s="50">
        <f t="shared" si="10"/>
        <v>12</v>
      </c>
      <c r="P75" s="50">
        <f t="shared" si="11"/>
        <v>12</v>
      </c>
      <c r="Q75" s="50"/>
      <c r="R75" s="50"/>
      <c r="S75" s="46">
        <v>0.5</v>
      </c>
      <c r="T75" s="43">
        <v>2</v>
      </c>
      <c r="U75" s="43">
        <v>15</v>
      </c>
      <c r="V75" s="43">
        <v>3</v>
      </c>
      <c r="W75" s="43"/>
      <c r="X75" s="43">
        <v>5</v>
      </c>
      <c r="Y75" s="50">
        <v>2</v>
      </c>
      <c r="Z75" s="50">
        <v>60</v>
      </c>
      <c r="AA75" s="50">
        <v>12</v>
      </c>
      <c r="AB75" s="50">
        <v>20</v>
      </c>
      <c r="AC75" s="50">
        <v>32</v>
      </c>
      <c r="AD75" s="50">
        <f t="shared" si="8"/>
        <v>92</v>
      </c>
      <c r="AE75" s="43"/>
      <c r="AF75" s="43"/>
      <c r="AG75" s="43"/>
      <c r="AH75" s="47">
        <v>0.5</v>
      </c>
      <c r="AI75" s="39">
        <v>3</v>
      </c>
      <c r="AM75" s="29">
        <v>38.946842283012501</v>
      </c>
      <c r="AN75" s="26"/>
      <c r="AO75"/>
      <c r="AP75"/>
      <c r="AQ75"/>
      <c r="AR75"/>
    </row>
    <row r="76" spans="1:49" ht="14.25" customHeight="1" thickBot="1" x14ac:dyDescent="0.3">
      <c r="A76" s="30">
        <v>75</v>
      </c>
      <c r="B76" s="31" t="s">
        <v>13</v>
      </c>
      <c r="C76" s="31" t="s">
        <v>43</v>
      </c>
      <c r="D76" s="31" t="s">
        <v>44</v>
      </c>
      <c r="E76" s="31" t="s">
        <v>16</v>
      </c>
      <c r="F76" s="32">
        <v>13</v>
      </c>
      <c r="G76" s="33">
        <v>6</v>
      </c>
      <c r="H76" s="31"/>
      <c r="I76" s="33">
        <v>5</v>
      </c>
      <c r="J76" s="33">
        <v>1</v>
      </c>
      <c r="K76" s="50">
        <f t="shared" si="12"/>
        <v>52</v>
      </c>
      <c r="L76" s="50">
        <f t="shared" si="13"/>
        <v>0</v>
      </c>
      <c r="M76" s="50">
        <f t="shared" si="9"/>
        <v>20</v>
      </c>
      <c r="N76" s="50">
        <f t="shared" si="9"/>
        <v>4</v>
      </c>
      <c r="O76" s="50">
        <f t="shared" si="10"/>
        <v>24</v>
      </c>
      <c r="P76" s="50">
        <f t="shared" si="11"/>
        <v>24</v>
      </c>
      <c r="Q76" s="51"/>
      <c r="R76" s="51"/>
      <c r="S76" s="46">
        <v>1</v>
      </c>
      <c r="T76" s="43">
        <v>2</v>
      </c>
      <c r="U76" s="45">
        <v>18</v>
      </c>
      <c r="V76" s="43">
        <v>2</v>
      </c>
      <c r="W76" s="43"/>
      <c r="X76" s="43">
        <v>7</v>
      </c>
      <c r="Y76" s="50">
        <v>4</v>
      </c>
      <c r="Z76" s="50">
        <v>72</v>
      </c>
      <c r="AA76" s="50">
        <v>8</v>
      </c>
      <c r="AB76" s="50">
        <v>28</v>
      </c>
      <c r="AC76" s="50">
        <v>36</v>
      </c>
      <c r="AD76" s="50">
        <f t="shared" si="8"/>
        <v>108</v>
      </c>
      <c r="AE76" s="43"/>
      <c r="AF76" s="43"/>
      <c r="AG76" s="43"/>
      <c r="AH76" s="47">
        <v>0.5</v>
      </c>
      <c r="AI76" s="39">
        <v>3</v>
      </c>
      <c r="AM76" s="29">
        <v>38.50736049298186</v>
      </c>
      <c r="AN76" s="26"/>
      <c r="AO76"/>
      <c r="AP76"/>
      <c r="AQ76"/>
      <c r="AR76"/>
    </row>
    <row r="77" spans="1:49" ht="14.25" customHeight="1" thickBot="1" x14ac:dyDescent="0.3">
      <c r="A77" s="30">
        <v>76</v>
      </c>
      <c r="B77" s="31" t="s">
        <v>13</v>
      </c>
      <c r="C77" s="31" t="s">
        <v>14</v>
      </c>
      <c r="D77" s="31" t="s">
        <v>15</v>
      </c>
      <c r="E77" s="31" t="s">
        <v>1</v>
      </c>
      <c r="F77" s="32">
        <v>11</v>
      </c>
      <c r="G77" s="33">
        <v>14</v>
      </c>
      <c r="H77" s="31"/>
      <c r="I77" s="31"/>
      <c r="J77" s="31"/>
      <c r="K77" s="50">
        <f t="shared" si="12"/>
        <v>44</v>
      </c>
      <c r="L77" s="50">
        <f t="shared" si="13"/>
        <v>0</v>
      </c>
      <c r="M77" s="50">
        <f t="shared" si="9"/>
        <v>0</v>
      </c>
      <c r="N77" s="50">
        <f t="shared" si="9"/>
        <v>0</v>
      </c>
      <c r="O77" s="50">
        <f t="shared" si="10"/>
        <v>0</v>
      </c>
      <c r="P77" s="50">
        <f t="shared" si="11"/>
        <v>0</v>
      </c>
      <c r="Q77" s="50"/>
      <c r="R77" s="50"/>
      <c r="S77" s="46">
        <v>14</v>
      </c>
      <c r="T77" s="43">
        <v>1</v>
      </c>
      <c r="U77" s="43">
        <v>10</v>
      </c>
      <c r="V77" s="47">
        <v>0.5</v>
      </c>
      <c r="W77" s="43"/>
      <c r="X77" s="43"/>
      <c r="Y77" s="50">
        <v>56</v>
      </c>
      <c r="Z77" s="50">
        <v>40</v>
      </c>
      <c r="AA77" s="50">
        <v>2</v>
      </c>
      <c r="AB77" s="50">
        <v>0</v>
      </c>
      <c r="AC77" s="50">
        <v>2</v>
      </c>
      <c r="AD77" s="50">
        <f t="shared" si="8"/>
        <v>42</v>
      </c>
      <c r="AE77" s="43"/>
      <c r="AF77" s="43"/>
      <c r="AG77" s="43"/>
      <c r="AH77" s="43"/>
      <c r="AI77" s="39">
        <v>0</v>
      </c>
      <c r="AM77" s="29">
        <v>117.52824631860776</v>
      </c>
      <c r="AN77" s="26"/>
      <c r="AO77"/>
      <c r="AP77"/>
      <c r="AQ77"/>
      <c r="AR77"/>
    </row>
    <row r="78" spans="1:49" ht="14.25" customHeight="1" thickBot="1" x14ac:dyDescent="0.3">
      <c r="A78" s="30">
        <v>77</v>
      </c>
      <c r="B78" s="31" t="s">
        <v>13</v>
      </c>
      <c r="C78" s="31" t="s">
        <v>14</v>
      </c>
      <c r="D78" s="31" t="s">
        <v>45</v>
      </c>
      <c r="E78" s="31" t="s">
        <v>16</v>
      </c>
      <c r="F78" s="32">
        <v>11</v>
      </c>
      <c r="G78" s="33">
        <v>6</v>
      </c>
      <c r="H78" s="31"/>
      <c r="I78" s="33">
        <v>7</v>
      </c>
      <c r="J78" s="33">
        <v>1</v>
      </c>
      <c r="K78" s="50">
        <f t="shared" si="12"/>
        <v>44</v>
      </c>
      <c r="L78" s="50">
        <f t="shared" si="13"/>
        <v>0</v>
      </c>
      <c r="M78" s="50">
        <f t="shared" si="9"/>
        <v>28</v>
      </c>
      <c r="N78" s="50">
        <f t="shared" si="9"/>
        <v>4</v>
      </c>
      <c r="O78" s="50">
        <f t="shared" si="10"/>
        <v>32</v>
      </c>
      <c r="P78" s="50">
        <f t="shared" si="11"/>
        <v>32</v>
      </c>
      <c r="Q78" s="51"/>
      <c r="R78" s="51"/>
      <c r="S78" s="46">
        <v>0.5</v>
      </c>
      <c r="T78" s="43">
        <v>1</v>
      </c>
      <c r="U78" s="43">
        <v>18</v>
      </c>
      <c r="V78" s="43">
        <v>2</v>
      </c>
      <c r="W78" s="43"/>
      <c r="X78" s="43">
        <v>4</v>
      </c>
      <c r="Y78" s="50">
        <v>2</v>
      </c>
      <c r="Z78" s="50">
        <v>72</v>
      </c>
      <c r="AA78" s="50">
        <v>8</v>
      </c>
      <c r="AB78" s="50">
        <v>16</v>
      </c>
      <c r="AC78" s="50">
        <v>24</v>
      </c>
      <c r="AD78" s="50">
        <f t="shared" si="8"/>
        <v>96</v>
      </c>
      <c r="AE78" s="43"/>
      <c r="AF78" s="43"/>
      <c r="AG78" s="43"/>
      <c r="AH78" s="47">
        <v>0.5</v>
      </c>
      <c r="AI78" s="39">
        <v>3</v>
      </c>
      <c r="AM78" s="29">
        <v>69.154701441317783</v>
      </c>
      <c r="AN78" s="26"/>
      <c r="AO78"/>
      <c r="AP78"/>
      <c r="AQ78"/>
      <c r="AR78"/>
    </row>
    <row r="79" spans="1:49" ht="14.25" customHeight="1" thickBot="1" x14ac:dyDescent="0.3">
      <c r="A79" s="30">
        <v>78</v>
      </c>
      <c r="B79" s="31" t="s">
        <v>13</v>
      </c>
      <c r="C79" s="31" t="s">
        <v>43</v>
      </c>
      <c r="D79" s="31" t="s">
        <v>15</v>
      </c>
      <c r="E79" s="31" t="s">
        <v>16</v>
      </c>
      <c r="F79" s="32">
        <v>16</v>
      </c>
      <c r="G79" s="33">
        <v>9</v>
      </c>
      <c r="H79" s="31"/>
      <c r="I79" s="31">
        <v>0.5</v>
      </c>
      <c r="J79" s="31"/>
      <c r="K79" s="50">
        <f t="shared" si="12"/>
        <v>64</v>
      </c>
      <c r="L79" s="50">
        <f t="shared" si="13"/>
        <v>0</v>
      </c>
      <c r="M79" s="50">
        <f t="shared" si="9"/>
        <v>2</v>
      </c>
      <c r="N79" s="50">
        <f t="shared" si="9"/>
        <v>0</v>
      </c>
      <c r="O79" s="50">
        <f t="shared" si="10"/>
        <v>2</v>
      </c>
      <c r="P79" s="50">
        <f t="shared" si="11"/>
        <v>2</v>
      </c>
      <c r="Q79" s="50"/>
      <c r="R79" s="50"/>
      <c r="S79" s="46">
        <v>0.5</v>
      </c>
      <c r="T79" s="47">
        <v>0.5</v>
      </c>
      <c r="U79" s="43">
        <v>14</v>
      </c>
      <c r="V79" s="43">
        <v>1</v>
      </c>
      <c r="W79" s="43"/>
      <c r="X79" s="43">
        <v>10</v>
      </c>
      <c r="Y79" s="50">
        <v>2</v>
      </c>
      <c r="Z79" s="50">
        <v>56</v>
      </c>
      <c r="AA79" s="50">
        <v>4</v>
      </c>
      <c r="AB79" s="50">
        <v>40</v>
      </c>
      <c r="AC79" s="50">
        <v>44</v>
      </c>
      <c r="AD79" s="50">
        <f t="shared" si="8"/>
        <v>100</v>
      </c>
      <c r="AE79" s="43"/>
      <c r="AF79" s="43"/>
      <c r="AG79" s="43"/>
      <c r="AH79" s="47">
        <v>0.5</v>
      </c>
      <c r="AI79" s="39">
        <v>3.5</v>
      </c>
      <c r="AM79" s="29">
        <v>52.510620970478456</v>
      </c>
      <c r="AN79" s="26"/>
      <c r="AO79"/>
      <c r="AP79"/>
      <c r="AQ79"/>
      <c r="AR79"/>
    </row>
    <row r="80" spans="1:49" ht="14.25" customHeight="1" thickBot="1" x14ac:dyDescent="0.3">
      <c r="A80" s="30">
        <v>79</v>
      </c>
      <c r="B80" s="31" t="s">
        <v>13</v>
      </c>
      <c r="C80" s="31" t="s">
        <v>43</v>
      </c>
      <c r="D80" s="31" t="s">
        <v>45</v>
      </c>
      <c r="E80" s="31" t="s">
        <v>16</v>
      </c>
      <c r="F80" s="32">
        <v>14</v>
      </c>
      <c r="G80" s="33">
        <v>8</v>
      </c>
      <c r="H80" s="31"/>
      <c r="I80" s="33">
        <v>3</v>
      </c>
      <c r="J80" s="31"/>
      <c r="K80" s="50">
        <f t="shared" si="12"/>
        <v>56</v>
      </c>
      <c r="L80" s="50">
        <f t="shared" si="13"/>
        <v>0</v>
      </c>
      <c r="M80" s="50">
        <f t="shared" si="9"/>
        <v>12</v>
      </c>
      <c r="N80" s="50">
        <f t="shared" si="9"/>
        <v>0</v>
      </c>
      <c r="O80" s="50">
        <f t="shared" si="10"/>
        <v>12</v>
      </c>
      <c r="P80" s="50">
        <f t="shared" si="11"/>
        <v>12</v>
      </c>
      <c r="Q80" s="50"/>
      <c r="R80" s="50"/>
      <c r="S80" s="46">
        <v>1</v>
      </c>
      <c r="T80" s="47">
        <v>0.5</v>
      </c>
      <c r="U80" s="43">
        <v>20</v>
      </c>
      <c r="V80" s="43">
        <v>2</v>
      </c>
      <c r="W80" s="43"/>
      <c r="X80" s="43">
        <v>2</v>
      </c>
      <c r="Y80" s="50">
        <v>4</v>
      </c>
      <c r="Z80" s="50">
        <v>80</v>
      </c>
      <c r="AA80" s="50">
        <v>8</v>
      </c>
      <c r="AB80" s="50">
        <v>8</v>
      </c>
      <c r="AC80" s="50">
        <v>16</v>
      </c>
      <c r="AD80" s="50">
        <f t="shared" si="8"/>
        <v>96</v>
      </c>
      <c r="AE80" s="43"/>
      <c r="AF80" s="43"/>
      <c r="AG80" s="43"/>
      <c r="AH80" s="47">
        <v>0.5</v>
      </c>
      <c r="AI80" s="39">
        <v>2.5</v>
      </c>
      <c r="AM80" s="29">
        <v>50.525346869712351</v>
      </c>
      <c r="AN80" s="26"/>
      <c r="AO80"/>
      <c r="AP80"/>
      <c r="AQ80"/>
      <c r="AR80"/>
    </row>
    <row r="81" spans="1:49" ht="14.25" customHeight="1" thickBot="1" x14ac:dyDescent="0.3">
      <c r="A81" s="30">
        <v>80</v>
      </c>
      <c r="B81" s="31" t="s">
        <v>13</v>
      </c>
      <c r="C81" s="31" t="s">
        <v>14</v>
      </c>
      <c r="D81" s="31" t="s">
        <v>45</v>
      </c>
      <c r="E81" s="31" t="s">
        <v>16</v>
      </c>
      <c r="F81" s="32">
        <v>10</v>
      </c>
      <c r="G81" s="33">
        <v>6</v>
      </c>
      <c r="H81" s="31"/>
      <c r="I81" s="33">
        <v>9</v>
      </c>
      <c r="J81" s="31"/>
      <c r="K81" s="50">
        <f t="shared" si="12"/>
        <v>40</v>
      </c>
      <c r="L81" s="50">
        <f t="shared" si="13"/>
        <v>0</v>
      </c>
      <c r="M81" s="50">
        <f t="shared" si="9"/>
        <v>36</v>
      </c>
      <c r="N81" s="50">
        <f t="shared" si="9"/>
        <v>0</v>
      </c>
      <c r="O81" s="50">
        <f t="shared" si="10"/>
        <v>36</v>
      </c>
      <c r="P81" s="50">
        <f t="shared" si="11"/>
        <v>36</v>
      </c>
      <c r="Q81" s="50"/>
      <c r="R81" s="50"/>
      <c r="S81" s="46">
        <v>2</v>
      </c>
      <c r="T81" s="43">
        <v>4</v>
      </c>
      <c r="U81" s="43">
        <v>14</v>
      </c>
      <c r="V81" s="43">
        <v>4</v>
      </c>
      <c r="W81" s="43"/>
      <c r="X81" s="43">
        <v>1</v>
      </c>
      <c r="Y81" s="50">
        <v>8</v>
      </c>
      <c r="Z81" s="50">
        <v>56</v>
      </c>
      <c r="AA81" s="50">
        <v>16</v>
      </c>
      <c r="AB81" s="50">
        <v>4</v>
      </c>
      <c r="AC81" s="50">
        <v>20</v>
      </c>
      <c r="AD81" s="50">
        <f t="shared" si="8"/>
        <v>76</v>
      </c>
      <c r="AE81" s="43"/>
      <c r="AF81" s="43"/>
      <c r="AG81" s="43"/>
      <c r="AH81" s="47">
        <v>0.5</v>
      </c>
      <c r="AI81" s="39">
        <v>4</v>
      </c>
      <c r="AM81" s="29">
        <v>47.461900033101628</v>
      </c>
      <c r="AN81" s="26"/>
      <c r="AO81"/>
      <c r="AP81"/>
      <c r="AQ81"/>
      <c r="AR81"/>
    </row>
    <row r="82" spans="1:49" ht="14.25" customHeight="1" thickBot="1" x14ac:dyDescent="0.3">
      <c r="A82" s="30">
        <v>81</v>
      </c>
      <c r="B82" s="31" t="s">
        <v>13</v>
      </c>
      <c r="C82" s="31" t="s">
        <v>14</v>
      </c>
      <c r="D82" s="31" t="s">
        <v>45</v>
      </c>
      <c r="E82" s="31" t="s">
        <v>16</v>
      </c>
      <c r="F82" s="32">
        <v>14</v>
      </c>
      <c r="G82" s="33">
        <v>6</v>
      </c>
      <c r="H82" s="31"/>
      <c r="I82" s="33">
        <v>5</v>
      </c>
      <c r="J82" s="31"/>
      <c r="K82" s="50">
        <f t="shared" si="12"/>
        <v>56</v>
      </c>
      <c r="L82" s="50">
        <f t="shared" si="13"/>
        <v>0</v>
      </c>
      <c r="M82" s="50">
        <f t="shared" si="9"/>
        <v>20</v>
      </c>
      <c r="N82" s="50">
        <f t="shared" si="9"/>
        <v>0</v>
      </c>
      <c r="O82" s="50">
        <f t="shared" si="10"/>
        <v>20</v>
      </c>
      <c r="P82" s="50">
        <f t="shared" si="11"/>
        <v>20</v>
      </c>
      <c r="Q82" s="50"/>
      <c r="R82" s="50"/>
      <c r="S82" s="46">
        <v>2</v>
      </c>
      <c r="T82" s="43">
        <v>1</v>
      </c>
      <c r="U82" s="43">
        <v>16</v>
      </c>
      <c r="V82" s="43">
        <v>1</v>
      </c>
      <c r="W82" s="43"/>
      <c r="X82" s="43">
        <v>5</v>
      </c>
      <c r="Y82" s="50">
        <v>8</v>
      </c>
      <c r="Z82" s="50">
        <v>64</v>
      </c>
      <c r="AA82" s="50">
        <v>4</v>
      </c>
      <c r="AB82" s="50">
        <v>20</v>
      </c>
      <c r="AC82" s="50">
        <v>24</v>
      </c>
      <c r="AD82" s="50">
        <f t="shared" si="8"/>
        <v>88</v>
      </c>
      <c r="AE82" s="43"/>
      <c r="AF82" s="43"/>
      <c r="AG82" s="43"/>
      <c r="AH82" s="47">
        <v>0.5</v>
      </c>
      <c r="AI82" s="39">
        <v>3.5</v>
      </c>
      <c r="AM82" s="29">
        <v>58.458047493403711</v>
      </c>
      <c r="AN82" s="26"/>
      <c r="AO82"/>
      <c r="AP82"/>
      <c r="AQ82"/>
      <c r="AR82"/>
    </row>
    <row r="83" spans="1:49" ht="14.25" customHeight="1" thickBot="1" x14ac:dyDescent="0.3">
      <c r="A83" s="30">
        <v>82</v>
      </c>
      <c r="B83" s="31" t="s">
        <v>13</v>
      </c>
      <c r="C83" s="31" t="s">
        <v>43</v>
      </c>
      <c r="D83" s="31" t="s">
        <v>45</v>
      </c>
      <c r="E83" s="31" t="s">
        <v>16</v>
      </c>
      <c r="F83" s="32">
        <v>18</v>
      </c>
      <c r="G83" s="33">
        <v>5</v>
      </c>
      <c r="H83" s="31"/>
      <c r="I83" s="33">
        <v>2</v>
      </c>
      <c r="J83" s="31"/>
      <c r="K83" s="50">
        <f t="shared" si="12"/>
        <v>72</v>
      </c>
      <c r="L83" s="50">
        <f t="shared" si="13"/>
        <v>0</v>
      </c>
      <c r="M83" s="50">
        <f t="shared" si="9"/>
        <v>8</v>
      </c>
      <c r="N83" s="50">
        <f t="shared" si="9"/>
        <v>0</v>
      </c>
      <c r="O83" s="50">
        <f t="shared" si="10"/>
        <v>8</v>
      </c>
      <c r="P83" s="50">
        <f t="shared" si="11"/>
        <v>8</v>
      </c>
      <c r="Q83" s="50"/>
      <c r="R83" s="50"/>
      <c r="S83" s="46">
        <v>0.5</v>
      </c>
      <c r="T83" s="43">
        <v>1</v>
      </c>
      <c r="U83" s="43">
        <v>17</v>
      </c>
      <c r="V83" s="47">
        <v>0.5</v>
      </c>
      <c r="W83" s="43"/>
      <c r="X83" s="43">
        <v>7</v>
      </c>
      <c r="Y83" s="50">
        <v>2</v>
      </c>
      <c r="Z83" s="50">
        <v>68</v>
      </c>
      <c r="AA83" s="50">
        <v>2</v>
      </c>
      <c r="AB83" s="50">
        <v>28</v>
      </c>
      <c r="AC83" s="50">
        <v>30</v>
      </c>
      <c r="AD83" s="50">
        <f t="shared" si="8"/>
        <v>98</v>
      </c>
      <c r="AE83" s="43"/>
      <c r="AF83" s="43"/>
      <c r="AG83" s="43"/>
      <c r="AH83" s="47">
        <v>0.5</v>
      </c>
      <c r="AI83" s="39">
        <v>4</v>
      </c>
      <c r="AM83" s="29">
        <v>32.053886010362696</v>
      </c>
      <c r="AN83" s="26"/>
      <c r="AO83"/>
      <c r="AP83"/>
      <c r="AQ83"/>
      <c r="AR83"/>
    </row>
    <row r="84" spans="1:49" ht="14.25" customHeight="1" thickBot="1" x14ac:dyDescent="0.3">
      <c r="A84" s="30">
        <v>83</v>
      </c>
      <c r="B84" s="31" t="s">
        <v>13</v>
      </c>
      <c r="C84" s="31" t="s">
        <v>43</v>
      </c>
      <c r="D84" s="31" t="s">
        <v>45</v>
      </c>
      <c r="E84" s="31" t="s">
        <v>16</v>
      </c>
      <c r="F84" s="32">
        <v>17</v>
      </c>
      <c r="G84" s="33">
        <v>5</v>
      </c>
      <c r="H84" s="31"/>
      <c r="I84" s="33">
        <v>3</v>
      </c>
      <c r="J84" s="31"/>
      <c r="K84" s="50">
        <f t="shared" si="12"/>
        <v>68</v>
      </c>
      <c r="L84" s="50">
        <f t="shared" si="13"/>
        <v>0</v>
      </c>
      <c r="M84" s="50">
        <f t="shared" si="9"/>
        <v>12</v>
      </c>
      <c r="N84" s="50">
        <f t="shared" si="9"/>
        <v>0</v>
      </c>
      <c r="O84" s="50">
        <f t="shared" si="10"/>
        <v>12</v>
      </c>
      <c r="P84" s="50">
        <f t="shared" si="11"/>
        <v>12</v>
      </c>
      <c r="Q84" s="50"/>
      <c r="R84" s="50"/>
      <c r="S84" s="46">
        <v>0.5</v>
      </c>
      <c r="T84" s="47">
        <v>0.5</v>
      </c>
      <c r="U84" s="43">
        <v>19</v>
      </c>
      <c r="V84" s="43">
        <v>2</v>
      </c>
      <c r="W84" s="43"/>
      <c r="X84" s="43">
        <v>4</v>
      </c>
      <c r="Y84" s="50">
        <v>2</v>
      </c>
      <c r="Z84" s="50">
        <v>76</v>
      </c>
      <c r="AA84" s="50">
        <v>8</v>
      </c>
      <c r="AB84" s="50">
        <v>16</v>
      </c>
      <c r="AC84" s="50">
        <v>24</v>
      </c>
      <c r="AD84" s="50">
        <f t="shared" si="8"/>
        <v>100</v>
      </c>
      <c r="AE84" s="43"/>
      <c r="AF84" s="43"/>
      <c r="AG84" s="43"/>
      <c r="AH84" s="47">
        <v>0.5</v>
      </c>
      <c r="AI84" s="39">
        <v>4</v>
      </c>
      <c r="AM84" s="29">
        <v>35.059016393442626</v>
      </c>
      <c r="AN84" s="26"/>
      <c r="AO84"/>
      <c r="AP84"/>
      <c r="AQ84"/>
      <c r="AR84"/>
    </row>
    <row r="85" spans="1:49" ht="14.25" customHeight="1" thickBot="1" x14ac:dyDescent="0.3">
      <c r="A85" s="30">
        <v>84</v>
      </c>
      <c r="B85" s="31" t="s">
        <v>13</v>
      </c>
      <c r="C85" s="31" t="s">
        <v>43</v>
      </c>
      <c r="D85" s="31" t="s">
        <v>45</v>
      </c>
      <c r="E85" s="31" t="s">
        <v>16</v>
      </c>
      <c r="F85" s="32">
        <v>18</v>
      </c>
      <c r="G85" s="33">
        <v>1</v>
      </c>
      <c r="H85" s="31"/>
      <c r="I85" s="33">
        <v>6</v>
      </c>
      <c r="J85" s="31"/>
      <c r="K85" s="50">
        <f t="shared" si="12"/>
        <v>72</v>
      </c>
      <c r="L85" s="50">
        <f t="shared" si="13"/>
        <v>0</v>
      </c>
      <c r="M85" s="50">
        <f t="shared" si="9"/>
        <v>24</v>
      </c>
      <c r="N85" s="50">
        <f t="shared" si="9"/>
        <v>0</v>
      </c>
      <c r="O85" s="50">
        <f t="shared" si="10"/>
        <v>24</v>
      </c>
      <c r="P85" s="50">
        <f t="shared" si="11"/>
        <v>24</v>
      </c>
      <c r="Q85" s="50"/>
      <c r="R85" s="50"/>
      <c r="S85" s="46">
        <v>3</v>
      </c>
      <c r="T85" s="43">
        <v>1</v>
      </c>
      <c r="U85" s="43">
        <v>19</v>
      </c>
      <c r="V85" s="43">
        <v>1</v>
      </c>
      <c r="W85" s="43"/>
      <c r="X85" s="43">
        <v>1</v>
      </c>
      <c r="Y85" s="50">
        <v>12</v>
      </c>
      <c r="Z85" s="50">
        <v>76</v>
      </c>
      <c r="AA85" s="50">
        <v>4</v>
      </c>
      <c r="AB85" s="50">
        <v>4</v>
      </c>
      <c r="AC85" s="50">
        <v>8</v>
      </c>
      <c r="AD85" s="50">
        <f t="shared" si="8"/>
        <v>84</v>
      </c>
      <c r="AE85" s="43"/>
      <c r="AF85" s="43"/>
      <c r="AG85" s="43"/>
      <c r="AH85" s="47">
        <v>0.5</v>
      </c>
      <c r="AI85" s="39">
        <v>3</v>
      </c>
      <c r="AM85" s="29">
        <v>26.600881057268722</v>
      </c>
      <c r="AN85" s="26"/>
      <c r="AO85"/>
      <c r="AP85"/>
      <c r="AQ85"/>
      <c r="AR85"/>
    </row>
    <row r="86" spans="1:49" ht="14.25" customHeight="1" thickBot="1" x14ac:dyDescent="0.3">
      <c r="A86" s="30">
        <v>85</v>
      </c>
      <c r="B86" s="31" t="s">
        <v>13</v>
      </c>
      <c r="C86" s="31" t="s">
        <v>43</v>
      </c>
      <c r="D86" s="31" t="s">
        <v>15</v>
      </c>
      <c r="E86" s="31" t="s">
        <v>16</v>
      </c>
      <c r="F86" s="32">
        <v>14</v>
      </c>
      <c r="G86" s="33">
        <v>5</v>
      </c>
      <c r="H86" s="31"/>
      <c r="I86" s="33">
        <v>6</v>
      </c>
      <c r="J86" s="31"/>
      <c r="K86" s="50">
        <f t="shared" si="12"/>
        <v>56</v>
      </c>
      <c r="L86" s="50">
        <f t="shared" si="13"/>
        <v>0</v>
      </c>
      <c r="M86" s="50">
        <f t="shared" si="9"/>
        <v>24</v>
      </c>
      <c r="N86" s="50">
        <f t="shared" si="9"/>
        <v>0</v>
      </c>
      <c r="O86" s="50">
        <f t="shared" si="10"/>
        <v>24</v>
      </c>
      <c r="P86" s="50">
        <f t="shared" si="11"/>
        <v>24</v>
      </c>
      <c r="Q86" s="50"/>
      <c r="R86" s="50"/>
      <c r="S86" s="46">
        <v>2</v>
      </c>
      <c r="T86" s="43">
        <v>1</v>
      </c>
      <c r="U86" s="43">
        <v>19</v>
      </c>
      <c r="V86" s="43">
        <v>1</v>
      </c>
      <c r="W86" s="43"/>
      <c r="X86" s="43">
        <v>2</v>
      </c>
      <c r="Y86" s="50">
        <v>8</v>
      </c>
      <c r="Z86" s="50">
        <v>76</v>
      </c>
      <c r="AA86" s="50">
        <v>4</v>
      </c>
      <c r="AB86" s="50">
        <v>8</v>
      </c>
      <c r="AC86" s="50">
        <v>12</v>
      </c>
      <c r="AD86" s="50">
        <f t="shared" si="8"/>
        <v>88</v>
      </c>
      <c r="AE86" s="43"/>
      <c r="AF86" s="43"/>
      <c r="AG86" s="43"/>
      <c r="AH86" s="47">
        <v>0.5</v>
      </c>
      <c r="AI86" s="39">
        <v>1.5</v>
      </c>
      <c r="AM86" s="29">
        <v>46.477367360644728</v>
      </c>
      <c r="AN86" s="26"/>
      <c r="AO86"/>
      <c r="AP86"/>
      <c r="AQ86"/>
      <c r="AR86"/>
    </row>
    <row r="87" spans="1:49" ht="14.25" customHeight="1" thickBot="1" x14ac:dyDescent="0.3">
      <c r="A87" s="30">
        <v>86</v>
      </c>
      <c r="B87" s="31" t="s">
        <v>13</v>
      </c>
      <c r="C87" s="31" t="s">
        <v>14</v>
      </c>
      <c r="D87" s="31" t="s">
        <v>45</v>
      </c>
      <c r="E87" s="31" t="s">
        <v>16</v>
      </c>
      <c r="F87" s="32">
        <v>18</v>
      </c>
      <c r="G87" s="33">
        <v>3</v>
      </c>
      <c r="H87" s="31"/>
      <c r="I87" s="33">
        <v>4</v>
      </c>
      <c r="J87" s="31"/>
      <c r="K87" s="50">
        <f t="shared" si="12"/>
        <v>72</v>
      </c>
      <c r="L87" s="50">
        <f t="shared" si="13"/>
        <v>0</v>
      </c>
      <c r="M87" s="50">
        <f t="shared" ref="M87:M109" si="14">I87*4</f>
        <v>16</v>
      </c>
      <c r="N87" s="50">
        <f t="shared" ref="N87:N109" si="15">J87*4</f>
        <v>0</v>
      </c>
      <c r="O87" s="50">
        <f t="shared" si="10"/>
        <v>16</v>
      </c>
      <c r="P87" s="50">
        <f t="shared" si="11"/>
        <v>16</v>
      </c>
      <c r="Q87" s="50"/>
      <c r="R87" s="50"/>
      <c r="S87" s="46">
        <v>3</v>
      </c>
      <c r="T87" s="47">
        <v>0.5</v>
      </c>
      <c r="U87" s="43">
        <v>17</v>
      </c>
      <c r="V87" s="43">
        <v>1</v>
      </c>
      <c r="W87" s="43"/>
      <c r="X87" s="43">
        <v>4</v>
      </c>
      <c r="Y87" s="50">
        <v>12</v>
      </c>
      <c r="Z87" s="50">
        <v>68</v>
      </c>
      <c r="AA87" s="50">
        <v>4</v>
      </c>
      <c r="AB87" s="50">
        <v>16</v>
      </c>
      <c r="AC87" s="50">
        <v>20</v>
      </c>
      <c r="AD87" s="50">
        <f t="shared" si="8"/>
        <v>88</v>
      </c>
      <c r="AE87" s="43"/>
      <c r="AF87" s="43"/>
      <c r="AG87" s="43"/>
      <c r="AH87" s="47">
        <v>0.5</v>
      </c>
      <c r="AI87" s="39">
        <v>3</v>
      </c>
      <c r="AM87" s="29">
        <v>40.521068650659466</v>
      </c>
      <c r="AN87" s="26"/>
      <c r="AO87"/>
      <c r="AP87"/>
      <c r="AQ87"/>
      <c r="AR87"/>
    </row>
    <row r="88" spans="1:49" ht="14.25" customHeight="1" thickBot="1" x14ac:dyDescent="0.3">
      <c r="A88" s="30">
        <v>87</v>
      </c>
      <c r="B88" s="31" t="s">
        <v>13</v>
      </c>
      <c r="C88" s="31" t="s">
        <v>43</v>
      </c>
      <c r="D88" s="31" t="s">
        <v>45</v>
      </c>
      <c r="E88" s="31" t="s">
        <v>16</v>
      </c>
      <c r="F88" s="32">
        <v>20</v>
      </c>
      <c r="G88" s="33">
        <v>1</v>
      </c>
      <c r="H88" s="31"/>
      <c r="I88" s="33">
        <v>4</v>
      </c>
      <c r="J88" s="31"/>
      <c r="K88" s="50">
        <f t="shared" si="12"/>
        <v>80</v>
      </c>
      <c r="L88" s="50">
        <f t="shared" si="13"/>
        <v>0</v>
      </c>
      <c r="M88" s="50">
        <f t="shared" si="14"/>
        <v>16</v>
      </c>
      <c r="N88" s="50">
        <f t="shared" si="15"/>
        <v>0</v>
      </c>
      <c r="O88" s="50">
        <f t="shared" si="10"/>
        <v>16</v>
      </c>
      <c r="P88" s="50">
        <f t="shared" si="11"/>
        <v>16</v>
      </c>
      <c r="Q88" s="50"/>
      <c r="R88" s="50"/>
      <c r="S88" s="46">
        <v>2</v>
      </c>
      <c r="T88" s="43">
        <v>2</v>
      </c>
      <c r="U88" s="43">
        <v>20</v>
      </c>
      <c r="V88" s="47">
        <v>0.5</v>
      </c>
      <c r="W88" s="43"/>
      <c r="X88" s="43">
        <v>1</v>
      </c>
      <c r="Y88" s="50">
        <v>8</v>
      </c>
      <c r="Z88" s="50">
        <v>80</v>
      </c>
      <c r="AA88" s="50">
        <v>2</v>
      </c>
      <c r="AB88" s="50">
        <v>4</v>
      </c>
      <c r="AC88" s="50">
        <v>6</v>
      </c>
      <c r="AD88" s="50">
        <f t="shared" si="8"/>
        <v>86</v>
      </c>
      <c r="AE88" s="43"/>
      <c r="AF88" s="43"/>
      <c r="AG88" s="43"/>
      <c r="AH88" s="47">
        <v>0.5</v>
      </c>
      <c r="AI88" s="39">
        <v>0.5</v>
      </c>
      <c r="AM88" s="29">
        <v>32.11254649983092</v>
      </c>
      <c r="AN88" s="26"/>
      <c r="AO88"/>
      <c r="AP88"/>
      <c r="AQ88"/>
      <c r="AR88"/>
    </row>
    <row r="89" spans="1:49" ht="14.25" customHeight="1" thickBot="1" x14ac:dyDescent="0.3">
      <c r="A89" s="30">
        <v>88</v>
      </c>
      <c r="B89" s="31" t="s">
        <v>13</v>
      </c>
      <c r="C89" s="31" t="s">
        <v>43</v>
      </c>
      <c r="D89" s="31" t="s">
        <v>15</v>
      </c>
      <c r="E89" s="31" t="s">
        <v>16</v>
      </c>
      <c r="F89" s="32">
        <v>18</v>
      </c>
      <c r="G89" s="31"/>
      <c r="H89" s="31"/>
      <c r="I89" s="33">
        <v>7</v>
      </c>
      <c r="J89" s="31"/>
      <c r="K89" s="50">
        <f t="shared" si="12"/>
        <v>72</v>
      </c>
      <c r="L89" s="50">
        <f t="shared" si="13"/>
        <v>0</v>
      </c>
      <c r="M89" s="50">
        <f t="shared" si="14"/>
        <v>28</v>
      </c>
      <c r="N89" s="50">
        <f t="shared" si="15"/>
        <v>0</v>
      </c>
      <c r="O89" s="50">
        <f t="shared" si="10"/>
        <v>28</v>
      </c>
      <c r="P89" s="50">
        <f t="shared" si="11"/>
        <v>28</v>
      </c>
      <c r="Q89" s="50"/>
      <c r="R89" s="50"/>
      <c r="S89" s="46">
        <v>0.5</v>
      </c>
      <c r="T89" s="43">
        <v>1</v>
      </c>
      <c r="U89" s="43">
        <v>18</v>
      </c>
      <c r="V89" s="43">
        <v>1</v>
      </c>
      <c r="W89" s="43"/>
      <c r="X89" s="43">
        <v>5</v>
      </c>
      <c r="Y89" s="50">
        <v>2</v>
      </c>
      <c r="Z89" s="50">
        <v>72</v>
      </c>
      <c r="AA89" s="50">
        <v>4</v>
      </c>
      <c r="AB89" s="50">
        <v>20</v>
      </c>
      <c r="AC89" s="50">
        <v>24</v>
      </c>
      <c r="AD89" s="50">
        <f t="shared" si="8"/>
        <v>96</v>
      </c>
      <c r="AE89" s="43"/>
      <c r="AF89" s="43"/>
      <c r="AG89" s="43"/>
      <c r="AH89" s="47">
        <v>0.5</v>
      </c>
      <c r="AI89" s="39">
        <v>4.5</v>
      </c>
      <c r="AM89" s="29">
        <v>25.187202178352621</v>
      </c>
      <c r="AN89" s="26"/>
      <c r="AO89"/>
      <c r="AP89"/>
      <c r="AQ89"/>
      <c r="AR89"/>
    </row>
    <row r="90" spans="1:49" ht="14.25" customHeight="1" thickBot="1" x14ac:dyDescent="0.3">
      <c r="A90" s="30">
        <v>89</v>
      </c>
      <c r="B90" s="31" t="s">
        <v>13</v>
      </c>
      <c r="C90" s="31" t="s">
        <v>14</v>
      </c>
      <c r="D90" s="31" t="s">
        <v>44</v>
      </c>
      <c r="E90" s="31" t="s">
        <v>16</v>
      </c>
      <c r="F90" s="32">
        <v>15</v>
      </c>
      <c r="G90" s="33">
        <v>5</v>
      </c>
      <c r="H90" s="31"/>
      <c r="I90" s="33">
        <v>5</v>
      </c>
      <c r="J90" s="31"/>
      <c r="K90" s="50">
        <f t="shared" si="12"/>
        <v>60</v>
      </c>
      <c r="L90" s="50">
        <f t="shared" si="13"/>
        <v>0</v>
      </c>
      <c r="M90" s="50">
        <f t="shared" si="14"/>
        <v>20</v>
      </c>
      <c r="N90" s="50">
        <f t="shared" si="15"/>
        <v>0</v>
      </c>
      <c r="O90" s="50">
        <f t="shared" si="10"/>
        <v>20</v>
      </c>
      <c r="P90" s="50">
        <f t="shared" si="11"/>
        <v>20</v>
      </c>
      <c r="Q90" s="50"/>
      <c r="R90" s="50"/>
      <c r="S90" s="46">
        <v>0.5</v>
      </c>
      <c r="T90" s="47">
        <v>0.5</v>
      </c>
      <c r="U90" s="43">
        <v>18</v>
      </c>
      <c r="V90" s="43">
        <v>1</v>
      </c>
      <c r="W90" s="43"/>
      <c r="X90" s="43">
        <v>6</v>
      </c>
      <c r="Y90" s="50">
        <v>2</v>
      </c>
      <c r="Z90" s="50">
        <v>72</v>
      </c>
      <c r="AA90" s="50">
        <v>4</v>
      </c>
      <c r="AB90" s="50">
        <v>24</v>
      </c>
      <c r="AC90" s="50">
        <v>28</v>
      </c>
      <c r="AD90" s="50">
        <f t="shared" si="8"/>
        <v>100</v>
      </c>
      <c r="AE90" s="43"/>
      <c r="AF90" s="43"/>
      <c r="AG90" s="43"/>
      <c r="AH90" s="47">
        <v>0.5</v>
      </c>
      <c r="AI90" s="39">
        <v>3</v>
      </c>
      <c r="AM90" s="29">
        <v>94.565970558028056</v>
      </c>
      <c r="AN90" s="26"/>
      <c r="AO90"/>
      <c r="AP90"/>
      <c r="AQ90"/>
      <c r="AR90"/>
    </row>
    <row r="91" spans="1:49" ht="14.25" customHeight="1" thickBot="1" x14ac:dyDescent="0.3">
      <c r="A91" s="30">
        <v>90</v>
      </c>
      <c r="B91" s="31" t="s">
        <v>13</v>
      </c>
      <c r="C91" s="31" t="s">
        <v>14</v>
      </c>
      <c r="D91" s="31" t="s">
        <v>44</v>
      </c>
      <c r="E91" s="31" t="s">
        <v>16</v>
      </c>
      <c r="F91" s="32">
        <v>12</v>
      </c>
      <c r="G91" s="33">
        <v>9</v>
      </c>
      <c r="H91" s="31"/>
      <c r="I91" s="33">
        <v>4</v>
      </c>
      <c r="J91" s="31"/>
      <c r="K91" s="50">
        <f t="shared" si="12"/>
        <v>48</v>
      </c>
      <c r="L91" s="50">
        <f t="shared" si="13"/>
        <v>0</v>
      </c>
      <c r="M91" s="50">
        <f t="shared" si="14"/>
        <v>16</v>
      </c>
      <c r="N91" s="50">
        <f t="shared" si="15"/>
        <v>0</v>
      </c>
      <c r="O91" s="50">
        <f t="shared" si="10"/>
        <v>16</v>
      </c>
      <c r="P91" s="50">
        <f t="shared" si="11"/>
        <v>16</v>
      </c>
      <c r="Q91" s="50"/>
      <c r="R91" s="50"/>
      <c r="S91" s="46">
        <v>1</v>
      </c>
      <c r="T91" s="43">
        <v>1</v>
      </c>
      <c r="U91" s="43">
        <v>17</v>
      </c>
      <c r="V91" s="43">
        <v>2</v>
      </c>
      <c r="W91" s="43"/>
      <c r="X91" s="43">
        <v>4</v>
      </c>
      <c r="Y91" s="50">
        <v>4</v>
      </c>
      <c r="Z91" s="50">
        <v>68</v>
      </c>
      <c r="AA91" s="50">
        <v>8</v>
      </c>
      <c r="AB91" s="50">
        <v>16</v>
      </c>
      <c r="AC91" s="50">
        <v>24</v>
      </c>
      <c r="AD91" s="50">
        <f t="shared" si="8"/>
        <v>92</v>
      </c>
      <c r="AE91" s="43"/>
      <c r="AF91" s="43"/>
      <c r="AG91" s="43"/>
      <c r="AH91" s="47">
        <v>0.5</v>
      </c>
      <c r="AI91" s="39">
        <v>4</v>
      </c>
      <c r="AM91" s="29">
        <v>62.774491180461325</v>
      </c>
      <c r="AN91" s="26"/>
      <c r="AO91"/>
      <c r="AP91"/>
      <c r="AQ91"/>
      <c r="AR91"/>
    </row>
    <row r="92" spans="1:49" ht="14.25" customHeight="1" thickBot="1" x14ac:dyDescent="0.3">
      <c r="A92" s="30">
        <v>91</v>
      </c>
      <c r="B92" s="31" t="s">
        <v>13</v>
      </c>
      <c r="C92" s="31" t="s">
        <v>43</v>
      </c>
      <c r="D92" s="31" t="s">
        <v>15</v>
      </c>
      <c r="E92" s="31" t="s">
        <v>1</v>
      </c>
      <c r="F92" s="32">
        <v>17</v>
      </c>
      <c r="G92" s="33">
        <v>8</v>
      </c>
      <c r="H92" s="31"/>
      <c r="I92" s="31"/>
      <c r="J92" s="31"/>
      <c r="K92" s="50">
        <f t="shared" si="12"/>
        <v>68</v>
      </c>
      <c r="L92" s="50">
        <f t="shared" si="13"/>
        <v>0</v>
      </c>
      <c r="M92" s="50">
        <f t="shared" si="14"/>
        <v>0</v>
      </c>
      <c r="N92" s="50">
        <f t="shared" si="15"/>
        <v>0</v>
      </c>
      <c r="O92" s="50">
        <f t="shared" si="10"/>
        <v>0</v>
      </c>
      <c r="P92" s="50">
        <f t="shared" si="11"/>
        <v>0</v>
      </c>
      <c r="Q92" s="50"/>
      <c r="R92" s="50"/>
      <c r="S92" s="46">
        <v>25</v>
      </c>
      <c r="T92" s="47">
        <v>0.5</v>
      </c>
      <c r="U92" s="43">
        <v>0</v>
      </c>
      <c r="V92" s="43">
        <v>0</v>
      </c>
      <c r="W92" s="43"/>
      <c r="X92" s="43">
        <v>0</v>
      </c>
      <c r="Y92" s="50">
        <v>100</v>
      </c>
      <c r="Z92" s="50">
        <v>0</v>
      </c>
      <c r="AA92" s="50">
        <v>0</v>
      </c>
      <c r="AB92" s="50">
        <v>0</v>
      </c>
      <c r="AC92" s="50">
        <v>0</v>
      </c>
      <c r="AD92" s="50">
        <f t="shared" si="8"/>
        <v>0</v>
      </c>
      <c r="AE92" s="43"/>
      <c r="AF92" s="43"/>
      <c r="AG92" s="43"/>
      <c r="AH92" s="43">
        <v>0</v>
      </c>
      <c r="AI92" s="39">
        <v>0</v>
      </c>
      <c r="AM92" s="29">
        <v>5.720927195559911</v>
      </c>
      <c r="AN92" s="26"/>
      <c r="AO92"/>
      <c r="AP92"/>
      <c r="AQ92"/>
      <c r="AR92"/>
    </row>
    <row r="93" spans="1:49" ht="14.25" customHeight="1" thickBot="1" x14ac:dyDescent="0.3">
      <c r="A93" s="30">
        <v>92</v>
      </c>
      <c r="B93" s="31" t="s">
        <v>13</v>
      </c>
      <c r="C93" s="31" t="s">
        <v>14</v>
      </c>
      <c r="D93" s="31" t="s">
        <v>15</v>
      </c>
      <c r="E93" s="31" t="s">
        <v>16</v>
      </c>
      <c r="F93" s="32">
        <v>9</v>
      </c>
      <c r="G93" s="33">
        <v>9</v>
      </c>
      <c r="H93" s="31"/>
      <c r="I93" s="33">
        <v>7</v>
      </c>
      <c r="J93" s="31"/>
      <c r="K93" s="50">
        <f t="shared" si="12"/>
        <v>36</v>
      </c>
      <c r="L93" s="50">
        <f t="shared" si="13"/>
        <v>0</v>
      </c>
      <c r="M93" s="50">
        <f t="shared" si="14"/>
        <v>28</v>
      </c>
      <c r="N93" s="50">
        <f t="shared" si="15"/>
        <v>0</v>
      </c>
      <c r="O93" s="50">
        <f t="shared" si="10"/>
        <v>28</v>
      </c>
      <c r="P93" s="50">
        <f t="shared" si="11"/>
        <v>28</v>
      </c>
      <c r="Q93" s="50"/>
      <c r="R93" s="50"/>
      <c r="S93" s="46">
        <v>1</v>
      </c>
      <c r="T93" s="43">
        <v>1</v>
      </c>
      <c r="U93" s="43">
        <v>18</v>
      </c>
      <c r="V93" s="43">
        <v>1</v>
      </c>
      <c r="W93" s="43"/>
      <c r="X93" s="43">
        <v>4</v>
      </c>
      <c r="Y93" s="50">
        <v>4</v>
      </c>
      <c r="Z93" s="50">
        <v>72</v>
      </c>
      <c r="AA93" s="50">
        <v>4</v>
      </c>
      <c r="AB93" s="50">
        <v>16</v>
      </c>
      <c r="AC93" s="50">
        <v>20</v>
      </c>
      <c r="AD93" s="50">
        <f t="shared" si="8"/>
        <v>92</v>
      </c>
      <c r="AE93" s="43"/>
      <c r="AF93" s="43"/>
      <c r="AG93" s="43"/>
      <c r="AH93" s="47">
        <v>0.5</v>
      </c>
      <c r="AI93" s="39">
        <v>5</v>
      </c>
      <c r="AJ93">
        <v>254.08067767841933</v>
      </c>
      <c r="AK93">
        <v>389.01569780217778</v>
      </c>
      <c r="AL93">
        <v>573.22820498574458</v>
      </c>
      <c r="AM93" s="29">
        <v>81.956826693905356</v>
      </c>
      <c r="AN93" s="26">
        <v>92</v>
      </c>
      <c r="AO93">
        <v>10.456543000000002</v>
      </c>
      <c r="AP93">
        <v>26.207366666666669</v>
      </c>
      <c r="AQ93">
        <v>57.534773999999999</v>
      </c>
      <c r="AR93">
        <v>254.08067767841933</v>
      </c>
      <c r="AS93">
        <v>389.01569780217778</v>
      </c>
      <c r="AT93">
        <v>129.62665000000001</v>
      </c>
      <c r="AU93">
        <v>573.22820498574458</v>
      </c>
      <c r="AV93">
        <v>21.946966666666665</v>
      </c>
      <c r="AW93">
        <v>88.522499999999994</v>
      </c>
    </row>
    <row r="94" spans="1:49" ht="14.25" customHeight="1" thickBot="1" x14ac:dyDescent="0.3">
      <c r="A94" s="30">
        <v>93</v>
      </c>
      <c r="B94" s="31" t="s">
        <v>13</v>
      </c>
      <c r="C94" s="31" t="s">
        <v>43</v>
      </c>
      <c r="D94" s="31" t="s">
        <v>44</v>
      </c>
      <c r="E94" s="31" t="s">
        <v>1</v>
      </c>
      <c r="F94" s="32">
        <v>18</v>
      </c>
      <c r="G94" s="33">
        <v>7</v>
      </c>
      <c r="H94" s="31"/>
      <c r="I94" s="31"/>
      <c r="J94" s="31"/>
      <c r="K94" s="50">
        <f t="shared" si="12"/>
        <v>72</v>
      </c>
      <c r="L94" s="50">
        <f t="shared" si="13"/>
        <v>0</v>
      </c>
      <c r="M94" s="50">
        <f t="shared" si="14"/>
        <v>0</v>
      </c>
      <c r="N94" s="50">
        <f t="shared" si="15"/>
        <v>0</v>
      </c>
      <c r="O94" s="50">
        <f t="shared" si="10"/>
        <v>0</v>
      </c>
      <c r="P94" s="50">
        <f t="shared" si="11"/>
        <v>0</v>
      </c>
      <c r="Q94" s="50"/>
      <c r="R94" s="50"/>
      <c r="S94" s="46">
        <v>25</v>
      </c>
      <c r="T94" s="47">
        <v>0.5</v>
      </c>
      <c r="U94" s="43">
        <v>0</v>
      </c>
      <c r="V94" s="43">
        <v>0</v>
      </c>
      <c r="W94" s="43"/>
      <c r="X94" s="43">
        <v>0</v>
      </c>
      <c r="Y94" s="50">
        <v>100</v>
      </c>
      <c r="Z94" s="50">
        <v>0</v>
      </c>
      <c r="AA94" s="50">
        <v>0</v>
      </c>
      <c r="AB94" s="50">
        <v>0</v>
      </c>
      <c r="AC94" s="50">
        <v>0</v>
      </c>
      <c r="AD94" s="50">
        <f t="shared" si="8"/>
        <v>0</v>
      </c>
      <c r="AE94" s="43"/>
      <c r="AF94" s="43"/>
      <c r="AG94" s="43"/>
      <c r="AH94" s="43">
        <v>0</v>
      </c>
      <c r="AI94" s="39">
        <v>0</v>
      </c>
      <c r="AM94" s="29">
        <v>23.625058004640373</v>
      </c>
      <c r="AN94" s="26"/>
      <c r="AO94"/>
      <c r="AP94"/>
      <c r="AQ94"/>
      <c r="AR94"/>
    </row>
    <row r="95" spans="1:49" ht="14.25" customHeight="1" thickBot="1" x14ac:dyDescent="0.3">
      <c r="A95" s="30">
        <v>94</v>
      </c>
      <c r="B95" s="31" t="s">
        <v>13</v>
      </c>
      <c r="C95" s="31" t="s">
        <v>43</v>
      </c>
      <c r="D95" s="31" t="s">
        <v>44</v>
      </c>
      <c r="E95" s="31" t="s">
        <v>16</v>
      </c>
      <c r="F95" s="32">
        <v>17</v>
      </c>
      <c r="G95" s="33">
        <v>3</v>
      </c>
      <c r="H95" s="31"/>
      <c r="I95" s="33">
        <v>5</v>
      </c>
      <c r="J95" s="31"/>
      <c r="K95" s="50">
        <f t="shared" si="12"/>
        <v>68</v>
      </c>
      <c r="L95" s="50">
        <f t="shared" si="13"/>
        <v>0</v>
      </c>
      <c r="M95" s="50">
        <f t="shared" si="14"/>
        <v>20</v>
      </c>
      <c r="N95" s="50">
        <f t="shared" si="15"/>
        <v>0</v>
      </c>
      <c r="O95" s="50">
        <f t="shared" si="10"/>
        <v>20</v>
      </c>
      <c r="P95" s="50">
        <f t="shared" si="11"/>
        <v>20</v>
      </c>
      <c r="Q95" s="50"/>
      <c r="R95" s="50"/>
      <c r="S95" s="46">
        <v>8</v>
      </c>
      <c r="T95" s="43">
        <v>1</v>
      </c>
      <c r="U95" s="43">
        <v>13</v>
      </c>
      <c r="V95" s="47">
        <v>0.5</v>
      </c>
      <c r="W95" s="43"/>
      <c r="X95" s="43">
        <v>3</v>
      </c>
      <c r="Y95" s="50">
        <v>32</v>
      </c>
      <c r="Z95" s="50">
        <v>52</v>
      </c>
      <c r="AA95" s="50">
        <v>2</v>
      </c>
      <c r="AB95" s="50">
        <v>12</v>
      </c>
      <c r="AC95" s="50">
        <v>14</v>
      </c>
      <c r="AD95" s="50">
        <f t="shared" si="8"/>
        <v>66</v>
      </c>
      <c r="AE95" s="43"/>
      <c r="AF95" s="43"/>
      <c r="AG95" s="43"/>
      <c r="AH95" s="47">
        <v>0.5</v>
      </c>
      <c r="AI95" s="39">
        <v>3</v>
      </c>
      <c r="AM95" s="29">
        <v>61.580804325785742</v>
      </c>
      <c r="AN95" s="26"/>
      <c r="AO95"/>
      <c r="AP95"/>
      <c r="AQ95"/>
      <c r="AR95"/>
    </row>
    <row r="96" spans="1:49" ht="14.25" customHeight="1" thickBot="1" x14ac:dyDescent="0.3">
      <c r="A96" s="30">
        <v>95</v>
      </c>
      <c r="B96" s="31" t="s">
        <v>13</v>
      </c>
      <c r="C96" s="31" t="s">
        <v>43</v>
      </c>
      <c r="D96" s="31" t="s">
        <v>44</v>
      </c>
      <c r="E96" s="31" t="s">
        <v>16</v>
      </c>
      <c r="F96" s="32">
        <v>16</v>
      </c>
      <c r="G96" s="33">
        <v>3</v>
      </c>
      <c r="H96" s="31"/>
      <c r="I96" s="33">
        <v>6</v>
      </c>
      <c r="J96" s="31"/>
      <c r="K96" s="50">
        <f t="shared" si="12"/>
        <v>64</v>
      </c>
      <c r="L96" s="50">
        <f t="shared" si="13"/>
        <v>0</v>
      </c>
      <c r="M96" s="50">
        <f t="shared" si="14"/>
        <v>24</v>
      </c>
      <c r="N96" s="50">
        <f t="shared" si="15"/>
        <v>0</v>
      </c>
      <c r="O96" s="50">
        <f t="shared" si="10"/>
        <v>24</v>
      </c>
      <c r="P96" s="50">
        <f t="shared" si="11"/>
        <v>24</v>
      </c>
      <c r="Q96" s="50"/>
      <c r="R96" s="50"/>
      <c r="S96" s="46">
        <v>1</v>
      </c>
      <c r="T96" s="43">
        <v>1</v>
      </c>
      <c r="U96" s="43">
        <v>17</v>
      </c>
      <c r="V96" s="43">
        <v>1</v>
      </c>
      <c r="W96" s="43"/>
      <c r="X96" s="43">
        <v>5</v>
      </c>
      <c r="Y96" s="50">
        <v>4</v>
      </c>
      <c r="Z96" s="50">
        <v>68</v>
      </c>
      <c r="AA96" s="50">
        <v>4</v>
      </c>
      <c r="AB96" s="50">
        <v>20</v>
      </c>
      <c r="AC96" s="50">
        <v>24</v>
      </c>
      <c r="AD96" s="50">
        <f t="shared" si="8"/>
        <v>92</v>
      </c>
      <c r="AE96" s="43"/>
      <c r="AF96" s="43"/>
      <c r="AG96" s="43"/>
      <c r="AH96" s="47">
        <v>0.5</v>
      </c>
      <c r="AI96" s="39">
        <v>4.5</v>
      </c>
      <c r="AM96" s="29">
        <v>54.041823056300274</v>
      </c>
      <c r="AN96" s="26"/>
      <c r="AO96"/>
      <c r="AP96"/>
      <c r="AQ96"/>
      <c r="AR96"/>
    </row>
    <row r="97" spans="1:49" ht="14.25" customHeight="1" thickBot="1" x14ac:dyDescent="0.3">
      <c r="A97" s="30">
        <v>96</v>
      </c>
      <c r="B97" s="31" t="s">
        <v>13</v>
      </c>
      <c r="C97" s="31" t="s">
        <v>14</v>
      </c>
      <c r="D97" s="31" t="s">
        <v>15</v>
      </c>
      <c r="E97" s="31" t="s">
        <v>16</v>
      </c>
      <c r="F97" s="32">
        <v>14</v>
      </c>
      <c r="G97" s="33">
        <v>4</v>
      </c>
      <c r="H97" s="31"/>
      <c r="I97" s="33">
        <v>7</v>
      </c>
      <c r="J97" s="31"/>
      <c r="K97" s="50">
        <f t="shared" si="12"/>
        <v>56</v>
      </c>
      <c r="L97" s="50">
        <f t="shared" si="13"/>
        <v>0</v>
      </c>
      <c r="M97" s="50">
        <f t="shared" si="14"/>
        <v>28</v>
      </c>
      <c r="N97" s="50">
        <f t="shared" si="15"/>
        <v>0</v>
      </c>
      <c r="O97" s="50">
        <f t="shared" si="10"/>
        <v>28</v>
      </c>
      <c r="P97" s="50">
        <f t="shared" si="11"/>
        <v>28</v>
      </c>
      <c r="Q97" s="50"/>
      <c r="R97" s="50"/>
      <c r="S97" s="46">
        <v>1</v>
      </c>
      <c r="T97" s="43">
        <v>1</v>
      </c>
      <c r="U97" s="43">
        <v>20</v>
      </c>
      <c r="V97" s="43">
        <v>1</v>
      </c>
      <c r="W97" s="43"/>
      <c r="X97" s="43">
        <v>2</v>
      </c>
      <c r="Y97" s="50">
        <v>4</v>
      </c>
      <c r="Z97" s="50">
        <v>80</v>
      </c>
      <c r="AA97" s="50">
        <v>4</v>
      </c>
      <c r="AB97" s="50">
        <v>8</v>
      </c>
      <c r="AC97" s="50">
        <v>12</v>
      </c>
      <c r="AD97" s="50">
        <f t="shared" si="8"/>
        <v>92</v>
      </c>
      <c r="AE97" s="43"/>
      <c r="AF97" s="43"/>
      <c r="AG97" s="43"/>
      <c r="AH97" s="47">
        <v>0.5</v>
      </c>
      <c r="AI97" s="39">
        <v>2.5</v>
      </c>
      <c r="AJ97">
        <v>263.70447269490921</v>
      </c>
      <c r="AK97">
        <v>508.56260672525019</v>
      </c>
      <c r="AL97">
        <v>766.33428570638671</v>
      </c>
      <c r="AM97" s="29">
        <v>112.32721332897746</v>
      </c>
      <c r="AN97" s="26">
        <v>96</v>
      </c>
      <c r="AO97">
        <v>10.357686000000001</v>
      </c>
      <c r="AP97">
        <v>29.76861666666667</v>
      </c>
      <c r="AQ97">
        <v>56.941631999999998</v>
      </c>
      <c r="AR97">
        <v>263.70447269490921</v>
      </c>
      <c r="AS97">
        <v>508.56260672525019</v>
      </c>
      <c r="AT97">
        <v>165.70725000000002</v>
      </c>
      <c r="AU97">
        <v>766.33428570638671</v>
      </c>
      <c r="AV97">
        <v>27.960399999999996</v>
      </c>
      <c r="AW97">
        <v>109.89000000000003</v>
      </c>
    </row>
    <row r="98" spans="1:49" ht="14.25" customHeight="1" thickBot="1" x14ac:dyDescent="0.3">
      <c r="A98" s="30">
        <v>97</v>
      </c>
      <c r="B98" s="31" t="s">
        <v>13</v>
      </c>
      <c r="C98" s="31" t="s">
        <v>14</v>
      </c>
      <c r="D98" s="31" t="s">
        <v>15</v>
      </c>
      <c r="E98" s="31" t="s">
        <v>16</v>
      </c>
      <c r="F98" s="32">
        <v>12</v>
      </c>
      <c r="G98" s="33">
        <v>10</v>
      </c>
      <c r="H98" s="31"/>
      <c r="I98" s="33">
        <v>3</v>
      </c>
      <c r="J98" s="31"/>
      <c r="K98" s="50">
        <f t="shared" si="12"/>
        <v>48</v>
      </c>
      <c r="L98" s="50">
        <f t="shared" si="13"/>
        <v>0</v>
      </c>
      <c r="M98" s="50">
        <f t="shared" si="14"/>
        <v>12</v>
      </c>
      <c r="N98" s="50">
        <f t="shared" si="15"/>
        <v>0</v>
      </c>
      <c r="O98" s="50">
        <f t="shared" si="10"/>
        <v>12</v>
      </c>
      <c r="P98" s="50">
        <f t="shared" si="11"/>
        <v>12</v>
      </c>
      <c r="Q98" s="50"/>
      <c r="R98" s="50"/>
      <c r="S98" s="46">
        <v>2</v>
      </c>
      <c r="T98" s="43">
        <v>2</v>
      </c>
      <c r="U98" s="43">
        <v>13</v>
      </c>
      <c r="V98" s="43">
        <v>3</v>
      </c>
      <c r="W98" s="43"/>
      <c r="X98" s="43">
        <v>5</v>
      </c>
      <c r="Y98" s="50">
        <v>8</v>
      </c>
      <c r="Z98" s="50">
        <v>52</v>
      </c>
      <c r="AA98" s="50">
        <v>12</v>
      </c>
      <c r="AB98" s="50">
        <v>20</v>
      </c>
      <c r="AC98" s="50">
        <v>32</v>
      </c>
      <c r="AD98" s="50">
        <f t="shared" si="8"/>
        <v>84</v>
      </c>
      <c r="AE98" s="43"/>
      <c r="AF98" s="43"/>
      <c r="AG98" s="43"/>
      <c r="AH98" s="47">
        <v>0.5</v>
      </c>
      <c r="AI98" s="39">
        <v>3.5</v>
      </c>
      <c r="AJ98">
        <v>417.9913797766369</v>
      </c>
      <c r="AK98">
        <v>565.8748539920083</v>
      </c>
      <c r="AL98">
        <v>666.65541225345089</v>
      </c>
      <c r="AM98" s="29">
        <v>72.75755540631296</v>
      </c>
      <c r="AN98" s="26">
        <v>97</v>
      </c>
      <c r="AO98">
        <v>15.794821000000001</v>
      </c>
      <c r="AP98">
        <v>31.701866666666671</v>
      </c>
      <c r="AQ98">
        <v>89.564442</v>
      </c>
      <c r="AR98">
        <v>417.9913797766369</v>
      </c>
      <c r="AS98">
        <v>565.8748539920083</v>
      </c>
      <c r="AT98">
        <v>143.00485</v>
      </c>
      <c r="AU98">
        <v>666.65541225345089</v>
      </c>
      <c r="AV98">
        <v>24.176666666666666</v>
      </c>
      <c r="AW98">
        <v>121.48950000000002</v>
      </c>
    </row>
    <row r="99" spans="1:49" ht="14.25" customHeight="1" thickBot="1" x14ac:dyDescent="0.3">
      <c r="A99" s="30">
        <v>98</v>
      </c>
      <c r="B99" s="31" t="s">
        <v>13</v>
      </c>
      <c r="C99" s="31" t="s">
        <v>43</v>
      </c>
      <c r="D99" s="31" t="s">
        <v>44</v>
      </c>
      <c r="E99" s="31" t="s">
        <v>16</v>
      </c>
      <c r="F99" s="32">
        <v>14</v>
      </c>
      <c r="G99" s="33">
        <v>9</v>
      </c>
      <c r="H99" s="31"/>
      <c r="I99" s="33">
        <v>2</v>
      </c>
      <c r="J99" s="31"/>
      <c r="K99" s="50">
        <f t="shared" si="12"/>
        <v>56</v>
      </c>
      <c r="L99" s="50">
        <f t="shared" si="13"/>
        <v>0</v>
      </c>
      <c r="M99" s="50">
        <f t="shared" si="14"/>
        <v>8</v>
      </c>
      <c r="N99" s="50">
        <f t="shared" si="15"/>
        <v>0</v>
      </c>
      <c r="O99" s="50">
        <f t="shared" si="10"/>
        <v>8</v>
      </c>
      <c r="P99" s="50">
        <f t="shared" si="11"/>
        <v>8</v>
      </c>
      <c r="Q99" s="50"/>
      <c r="R99" s="50"/>
      <c r="S99" s="46">
        <v>2</v>
      </c>
      <c r="T99" s="43">
        <v>2</v>
      </c>
      <c r="U99" s="43">
        <v>16</v>
      </c>
      <c r="V99" s="43">
        <v>1</v>
      </c>
      <c r="W99" s="43"/>
      <c r="X99" s="43">
        <v>4</v>
      </c>
      <c r="Y99" s="50">
        <v>8</v>
      </c>
      <c r="Z99" s="50">
        <v>64</v>
      </c>
      <c r="AA99" s="50">
        <v>4</v>
      </c>
      <c r="AB99" s="50">
        <v>16</v>
      </c>
      <c r="AC99" s="50">
        <v>20</v>
      </c>
      <c r="AD99" s="50">
        <f t="shared" si="8"/>
        <v>84</v>
      </c>
      <c r="AE99" s="43"/>
      <c r="AF99" s="43"/>
      <c r="AG99" s="43"/>
      <c r="AH99" s="47">
        <v>0.5</v>
      </c>
      <c r="AI99" s="39">
        <v>2</v>
      </c>
      <c r="AM99" s="29">
        <v>57.29658792650919</v>
      </c>
      <c r="AN99" s="26"/>
      <c r="AO99"/>
      <c r="AP99"/>
      <c r="AQ99"/>
      <c r="AR99"/>
    </row>
    <row r="100" spans="1:49" ht="14.25" customHeight="1" thickBot="1" x14ac:dyDescent="0.3">
      <c r="A100" s="30">
        <v>99</v>
      </c>
      <c r="B100" s="31" t="s">
        <v>13</v>
      </c>
      <c r="C100" s="31" t="s">
        <v>14</v>
      </c>
      <c r="D100" s="31" t="s">
        <v>44</v>
      </c>
      <c r="E100" s="31" t="s">
        <v>16</v>
      </c>
      <c r="F100" s="32">
        <v>18</v>
      </c>
      <c r="G100" s="33">
        <v>4</v>
      </c>
      <c r="H100" s="31"/>
      <c r="I100" s="33">
        <v>3</v>
      </c>
      <c r="J100" s="31"/>
      <c r="K100" s="50">
        <f t="shared" si="12"/>
        <v>72</v>
      </c>
      <c r="L100" s="50">
        <f t="shared" si="13"/>
        <v>0</v>
      </c>
      <c r="M100" s="50">
        <f t="shared" si="14"/>
        <v>12</v>
      </c>
      <c r="N100" s="50">
        <f t="shared" si="15"/>
        <v>0</v>
      </c>
      <c r="O100" s="50">
        <f t="shared" si="10"/>
        <v>12</v>
      </c>
      <c r="P100" s="50">
        <f t="shared" si="11"/>
        <v>12</v>
      </c>
      <c r="Q100" s="50"/>
      <c r="R100" s="50"/>
      <c r="S100" s="46">
        <v>1</v>
      </c>
      <c r="T100" s="43">
        <v>0</v>
      </c>
      <c r="U100" s="43">
        <v>20</v>
      </c>
      <c r="V100" s="43">
        <v>1</v>
      </c>
      <c r="W100" s="43"/>
      <c r="X100" s="43">
        <v>3</v>
      </c>
      <c r="Y100" s="50">
        <v>4</v>
      </c>
      <c r="Z100" s="50">
        <v>80</v>
      </c>
      <c r="AA100" s="50">
        <v>4</v>
      </c>
      <c r="AB100" s="50">
        <v>12</v>
      </c>
      <c r="AC100" s="50">
        <v>16</v>
      </c>
      <c r="AD100" s="50">
        <f t="shared" si="8"/>
        <v>96</v>
      </c>
      <c r="AE100" s="43"/>
      <c r="AF100" s="43"/>
      <c r="AG100" s="43"/>
      <c r="AH100" s="47">
        <v>0.5</v>
      </c>
      <c r="AI100" s="39">
        <v>3.5</v>
      </c>
      <c r="AM100" s="29">
        <v>71.918209154694296</v>
      </c>
      <c r="AN100" s="26"/>
      <c r="AO100"/>
      <c r="AP100"/>
      <c r="AQ100"/>
      <c r="AR100"/>
    </row>
    <row r="101" spans="1:49" ht="14.25" customHeight="1" thickBot="1" x14ac:dyDescent="0.3">
      <c r="A101" s="30">
        <v>100</v>
      </c>
      <c r="B101" s="31" t="s">
        <v>13</v>
      </c>
      <c r="C101" s="31" t="s">
        <v>14</v>
      </c>
      <c r="D101" s="31" t="s">
        <v>15</v>
      </c>
      <c r="E101" s="31" t="s">
        <v>16</v>
      </c>
      <c r="F101" s="32">
        <v>11</v>
      </c>
      <c r="G101" s="33">
        <v>4</v>
      </c>
      <c r="H101" s="31"/>
      <c r="I101" s="33">
        <v>10</v>
      </c>
      <c r="J101" s="31"/>
      <c r="K101" s="50">
        <f t="shared" si="12"/>
        <v>44</v>
      </c>
      <c r="L101" s="50">
        <f t="shared" si="13"/>
        <v>0</v>
      </c>
      <c r="M101" s="50">
        <f t="shared" si="14"/>
        <v>40</v>
      </c>
      <c r="N101" s="50">
        <f t="shared" si="15"/>
        <v>0</v>
      </c>
      <c r="O101" s="50">
        <f t="shared" si="10"/>
        <v>40</v>
      </c>
      <c r="P101" s="50">
        <f t="shared" si="11"/>
        <v>40</v>
      </c>
      <c r="Q101" s="50"/>
      <c r="R101" s="50"/>
      <c r="S101" s="46">
        <v>1</v>
      </c>
      <c r="T101" s="43">
        <v>2</v>
      </c>
      <c r="U101" s="43">
        <v>18</v>
      </c>
      <c r="V101" s="47">
        <v>0.5</v>
      </c>
      <c r="W101" s="43"/>
      <c r="X101" s="43">
        <v>4</v>
      </c>
      <c r="Y101" s="50">
        <v>4</v>
      </c>
      <c r="Z101" s="50">
        <v>72</v>
      </c>
      <c r="AA101" s="50">
        <v>2</v>
      </c>
      <c r="AB101" s="50">
        <v>16</v>
      </c>
      <c r="AC101" s="50">
        <v>18</v>
      </c>
      <c r="AD101" s="50">
        <f t="shared" si="8"/>
        <v>90</v>
      </c>
      <c r="AE101" s="43"/>
      <c r="AF101" s="43"/>
      <c r="AG101" s="43"/>
      <c r="AH101" s="47">
        <v>0.5</v>
      </c>
      <c r="AI101" s="39">
        <v>3</v>
      </c>
      <c r="AJ101">
        <v>1134.4406246602821</v>
      </c>
      <c r="AK101">
        <v>382.66702745680232</v>
      </c>
      <c r="AL101">
        <v>435.46403101272591</v>
      </c>
      <c r="AM101" s="29">
        <v>61.861580381471398</v>
      </c>
      <c r="AN101" s="26">
        <v>100</v>
      </c>
      <c r="AO101">
        <v>41.332879333333331</v>
      </c>
      <c r="AP101">
        <v>25.088116666666668</v>
      </c>
      <c r="AQ101">
        <v>242.79279199999999</v>
      </c>
      <c r="AR101">
        <v>1134.4406246602821</v>
      </c>
      <c r="AS101">
        <v>382.66702745680232</v>
      </c>
      <c r="AT101">
        <v>93.140649999999994</v>
      </c>
      <c r="AU101">
        <v>435.46403101272591</v>
      </c>
      <c r="AV101">
        <v>15.865966666666667</v>
      </c>
      <c r="AW101">
        <v>81.807000000000031</v>
      </c>
    </row>
    <row r="102" spans="1:49" ht="14.25" customHeight="1" thickBot="1" x14ac:dyDescent="0.3">
      <c r="A102" s="30">
        <v>101</v>
      </c>
      <c r="B102" s="31" t="s">
        <v>13</v>
      </c>
      <c r="C102" s="31" t="s">
        <v>43</v>
      </c>
      <c r="D102" s="31" t="s">
        <v>45</v>
      </c>
      <c r="E102" s="31" t="s">
        <v>1</v>
      </c>
      <c r="F102" s="32">
        <v>20</v>
      </c>
      <c r="G102" s="33">
        <v>5</v>
      </c>
      <c r="H102" s="31"/>
      <c r="I102" s="31"/>
      <c r="J102" s="31"/>
      <c r="K102" s="50">
        <f t="shared" si="12"/>
        <v>80</v>
      </c>
      <c r="L102" s="50">
        <f t="shared" si="13"/>
        <v>0</v>
      </c>
      <c r="M102" s="50">
        <f t="shared" si="14"/>
        <v>0</v>
      </c>
      <c r="N102" s="50">
        <f t="shared" si="15"/>
        <v>0</v>
      </c>
      <c r="O102" s="50">
        <f t="shared" si="10"/>
        <v>0</v>
      </c>
      <c r="P102" s="50">
        <f t="shared" si="11"/>
        <v>0</v>
      </c>
      <c r="Q102" s="50"/>
      <c r="R102" s="50"/>
      <c r="S102" s="46">
        <v>25</v>
      </c>
      <c r="T102" s="47">
        <v>0.5</v>
      </c>
      <c r="U102" s="47">
        <v>0.5</v>
      </c>
      <c r="V102" s="43">
        <v>0</v>
      </c>
      <c r="W102" s="43"/>
      <c r="X102" s="43">
        <v>0</v>
      </c>
      <c r="Y102" s="50">
        <v>100</v>
      </c>
      <c r="Z102" s="50">
        <v>2</v>
      </c>
      <c r="AA102" s="50">
        <v>0</v>
      </c>
      <c r="AB102" s="50">
        <v>0</v>
      </c>
      <c r="AC102" s="50">
        <v>0</v>
      </c>
      <c r="AD102" s="50">
        <f t="shared" si="8"/>
        <v>2</v>
      </c>
      <c r="AE102" s="43"/>
      <c r="AF102" s="43"/>
      <c r="AG102" s="43"/>
      <c r="AH102" s="43">
        <v>0</v>
      </c>
      <c r="AI102" s="39">
        <v>0</v>
      </c>
      <c r="AM102" s="29">
        <v>18.234003407155026</v>
      </c>
      <c r="AN102" s="26"/>
      <c r="AO102"/>
      <c r="AP102"/>
      <c r="AQ102"/>
      <c r="AR102"/>
    </row>
    <row r="103" spans="1:49" ht="14.25" customHeight="1" thickBot="1" x14ac:dyDescent="0.3">
      <c r="A103" s="30">
        <v>102</v>
      </c>
      <c r="B103" s="31" t="s">
        <v>13</v>
      </c>
      <c r="C103" s="31" t="s">
        <v>43</v>
      </c>
      <c r="D103" s="31" t="s">
        <v>44</v>
      </c>
      <c r="E103" s="31" t="s">
        <v>16</v>
      </c>
      <c r="F103" s="32">
        <v>19</v>
      </c>
      <c r="G103" s="33">
        <v>4</v>
      </c>
      <c r="H103" s="31"/>
      <c r="I103" s="33">
        <v>2</v>
      </c>
      <c r="J103" s="31"/>
      <c r="K103" s="50">
        <f t="shared" si="12"/>
        <v>76</v>
      </c>
      <c r="L103" s="50">
        <f t="shared" si="13"/>
        <v>0</v>
      </c>
      <c r="M103" s="50">
        <f t="shared" si="14"/>
        <v>8</v>
      </c>
      <c r="N103" s="50">
        <f t="shared" si="15"/>
        <v>0</v>
      </c>
      <c r="O103" s="50">
        <f t="shared" si="10"/>
        <v>8</v>
      </c>
      <c r="P103" s="50">
        <f t="shared" si="11"/>
        <v>8</v>
      </c>
      <c r="Q103" s="50"/>
      <c r="R103" s="50"/>
      <c r="S103" s="48">
        <v>0.5</v>
      </c>
      <c r="T103" s="47">
        <v>0.5</v>
      </c>
      <c r="U103" s="43">
        <v>20</v>
      </c>
      <c r="V103" s="43">
        <v>2</v>
      </c>
      <c r="W103" s="43"/>
      <c r="X103" s="43">
        <v>3</v>
      </c>
      <c r="Y103" s="50">
        <v>2</v>
      </c>
      <c r="Z103" s="50">
        <v>80</v>
      </c>
      <c r="AA103" s="50">
        <v>8</v>
      </c>
      <c r="AB103" s="50">
        <v>12</v>
      </c>
      <c r="AC103" s="50">
        <v>20</v>
      </c>
      <c r="AD103" s="50">
        <f t="shared" si="8"/>
        <v>100</v>
      </c>
      <c r="AE103" s="43"/>
      <c r="AF103" s="43"/>
      <c r="AG103" s="43"/>
      <c r="AH103" s="47">
        <v>0.5</v>
      </c>
      <c r="AI103" s="39">
        <v>3.5</v>
      </c>
      <c r="AM103" s="29">
        <v>68.26449864498646</v>
      </c>
      <c r="AN103" s="26"/>
      <c r="AO103"/>
      <c r="AP103"/>
      <c r="AQ103"/>
      <c r="AR103"/>
    </row>
    <row r="104" spans="1:49" ht="14.25" customHeight="1" thickBot="1" x14ac:dyDescent="0.3">
      <c r="A104" s="30">
        <v>103</v>
      </c>
      <c r="B104" s="31" t="s">
        <v>13</v>
      </c>
      <c r="C104" s="31" t="s">
        <v>43</v>
      </c>
      <c r="D104" s="31" t="s">
        <v>15</v>
      </c>
      <c r="E104" s="31" t="s">
        <v>16</v>
      </c>
      <c r="F104" s="32">
        <v>13</v>
      </c>
      <c r="G104" s="33">
        <v>8</v>
      </c>
      <c r="H104" s="31"/>
      <c r="I104" s="33">
        <v>4</v>
      </c>
      <c r="J104" s="31"/>
      <c r="K104" s="50">
        <f t="shared" si="12"/>
        <v>52</v>
      </c>
      <c r="L104" s="50">
        <f t="shared" si="13"/>
        <v>0</v>
      </c>
      <c r="M104" s="50">
        <f t="shared" si="14"/>
        <v>16</v>
      </c>
      <c r="N104" s="50">
        <f t="shared" si="15"/>
        <v>0</v>
      </c>
      <c r="O104" s="50">
        <f t="shared" si="10"/>
        <v>16</v>
      </c>
      <c r="P104" s="50">
        <f t="shared" si="11"/>
        <v>16</v>
      </c>
      <c r="Q104" s="50"/>
      <c r="R104" s="50"/>
      <c r="S104" s="46">
        <v>1</v>
      </c>
      <c r="T104" s="43">
        <v>1</v>
      </c>
      <c r="U104" s="43">
        <v>16</v>
      </c>
      <c r="V104" s="47">
        <v>0.5</v>
      </c>
      <c r="W104" s="43"/>
      <c r="X104" s="43">
        <v>7</v>
      </c>
      <c r="Y104" s="50">
        <v>4</v>
      </c>
      <c r="Z104" s="50">
        <v>64</v>
      </c>
      <c r="AA104" s="50">
        <v>2</v>
      </c>
      <c r="AB104" s="50">
        <v>28</v>
      </c>
      <c r="AC104" s="50">
        <v>30</v>
      </c>
      <c r="AD104" s="50">
        <f t="shared" si="8"/>
        <v>94</v>
      </c>
      <c r="AE104" s="43"/>
      <c r="AF104" s="43"/>
      <c r="AG104" s="43"/>
      <c r="AH104" s="47">
        <v>0.5</v>
      </c>
      <c r="AI104" s="39">
        <v>4.5</v>
      </c>
      <c r="AM104" s="29">
        <v>40.522139471902506</v>
      </c>
      <c r="AN104" s="26"/>
      <c r="AO104"/>
      <c r="AP104"/>
      <c r="AQ104"/>
      <c r="AR104"/>
    </row>
    <row r="105" spans="1:49" ht="14.25" customHeight="1" thickBot="1" x14ac:dyDescent="0.3">
      <c r="A105" s="30">
        <v>104</v>
      </c>
      <c r="B105" s="31" t="s">
        <v>13</v>
      </c>
      <c r="C105" s="31" t="s">
        <v>14</v>
      </c>
      <c r="D105" s="31" t="s">
        <v>45</v>
      </c>
      <c r="E105" s="31" t="s">
        <v>16</v>
      </c>
      <c r="F105" s="32">
        <v>11</v>
      </c>
      <c r="G105" s="33">
        <v>11</v>
      </c>
      <c r="H105" s="31"/>
      <c r="I105" s="33">
        <v>3</v>
      </c>
      <c r="J105" s="31"/>
      <c r="K105" s="50">
        <f t="shared" si="12"/>
        <v>44</v>
      </c>
      <c r="L105" s="50">
        <f t="shared" si="13"/>
        <v>0</v>
      </c>
      <c r="M105" s="50">
        <f t="shared" si="14"/>
        <v>12</v>
      </c>
      <c r="N105" s="50">
        <f t="shared" si="15"/>
        <v>0</v>
      </c>
      <c r="O105" s="50">
        <f t="shared" si="10"/>
        <v>12</v>
      </c>
      <c r="P105" s="50">
        <f t="shared" si="11"/>
        <v>12</v>
      </c>
      <c r="Q105" s="50"/>
      <c r="R105" s="50"/>
      <c r="S105" s="46">
        <v>3</v>
      </c>
      <c r="T105" s="43">
        <v>2</v>
      </c>
      <c r="U105" s="43">
        <v>15</v>
      </c>
      <c r="V105" s="43">
        <v>2</v>
      </c>
      <c r="W105" s="43"/>
      <c r="X105" s="43">
        <v>3</v>
      </c>
      <c r="Y105" s="50">
        <v>12</v>
      </c>
      <c r="Z105" s="50">
        <v>60</v>
      </c>
      <c r="AA105" s="50">
        <v>8</v>
      </c>
      <c r="AB105" s="50">
        <v>12</v>
      </c>
      <c r="AC105" s="50">
        <v>20</v>
      </c>
      <c r="AD105" s="50">
        <f t="shared" si="8"/>
        <v>80</v>
      </c>
      <c r="AE105" s="43"/>
      <c r="AF105" s="43"/>
      <c r="AG105" s="43"/>
      <c r="AH105" s="47">
        <v>0.5</v>
      </c>
      <c r="AI105" s="39">
        <v>4</v>
      </c>
      <c r="AM105" s="29">
        <v>145.81937244201913</v>
      </c>
      <c r="AN105" s="26"/>
      <c r="AO105"/>
      <c r="AP105"/>
      <c r="AQ105"/>
      <c r="AR105"/>
    </row>
    <row r="106" spans="1:49" ht="14.25" customHeight="1" thickBot="1" x14ac:dyDescent="0.3">
      <c r="A106" s="30">
        <v>105</v>
      </c>
      <c r="B106" s="31" t="s">
        <v>13</v>
      </c>
      <c r="C106" s="31" t="s">
        <v>14</v>
      </c>
      <c r="D106" s="31" t="s">
        <v>44</v>
      </c>
      <c r="E106" s="31" t="s">
        <v>1</v>
      </c>
      <c r="F106" s="32">
        <v>4</v>
      </c>
      <c r="G106" s="33">
        <v>21</v>
      </c>
      <c r="H106" s="31"/>
      <c r="I106" s="31"/>
      <c r="J106" s="31"/>
      <c r="K106" s="50">
        <f t="shared" si="12"/>
        <v>16</v>
      </c>
      <c r="L106" s="50">
        <f t="shared" si="13"/>
        <v>0</v>
      </c>
      <c r="M106" s="50">
        <f t="shared" si="14"/>
        <v>0</v>
      </c>
      <c r="N106" s="50">
        <f t="shared" si="15"/>
        <v>0</v>
      </c>
      <c r="O106" s="50">
        <f t="shared" si="10"/>
        <v>0</v>
      </c>
      <c r="P106" s="50">
        <f t="shared" si="11"/>
        <v>0</v>
      </c>
      <c r="Q106" s="50"/>
      <c r="R106" s="50"/>
      <c r="S106" s="46">
        <v>10</v>
      </c>
      <c r="T106" s="43">
        <v>3</v>
      </c>
      <c r="U106" s="43">
        <v>7</v>
      </c>
      <c r="V106" s="43">
        <v>0</v>
      </c>
      <c r="W106" s="43"/>
      <c r="X106" s="43">
        <v>0</v>
      </c>
      <c r="Y106" s="50">
        <v>40</v>
      </c>
      <c r="Z106" s="50">
        <v>28</v>
      </c>
      <c r="AA106" s="50">
        <v>0</v>
      </c>
      <c r="AB106" s="50">
        <v>0</v>
      </c>
      <c r="AC106" s="50">
        <v>0</v>
      </c>
      <c r="AD106" s="50">
        <f t="shared" si="8"/>
        <v>28</v>
      </c>
      <c r="AE106" s="43"/>
      <c r="AF106" s="43"/>
      <c r="AG106" s="43"/>
      <c r="AH106" s="43">
        <v>0</v>
      </c>
      <c r="AI106" s="39">
        <v>0</v>
      </c>
      <c r="AM106" s="29">
        <v>86.808261159227214</v>
      </c>
      <c r="AN106" s="26"/>
      <c r="AO106"/>
      <c r="AP106"/>
      <c r="AQ106"/>
      <c r="AR106"/>
    </row>
    <row r="107" spans="1:49" ht="14.25" customHeight="1" thickBot="1" x14ac:dyDescent="0.3">
      <c r="A107" s="30">
        <v>106</v>
      </c>
      <c r="B107" s="31" t="s">
        <v>13</v>
      </c>
      <c r="C107" s="31" t="s">
        <v>14</v>
      </c>
      <c r="D107" s="31" t="s">
        <v>44</v>
      </c>
      <c r="E107" s="31" t="s">
        <v>16</v>
      </c>
      <c r="F107" s="32">
        <v>15</v>
      </c>
      <c r="G107" s="33">
        <v>6</v>
      </c>
      <c r="H107" s="31"/>
      <c r="I107" s="33">
        <v>4</v>
      </c>
      <c r="J107" s="31"/>
      <c r="K107" s="50">
        <f t="shared" si="12"/>
        <v>60</v>
      </c>
      <c r="L107" s="50">
        <f t="shared" si="13"/>
        <v>0</v>
      </c>
      <c r="M107" s="50">
        <f t="shared" si="14"/>
        <v>16</v>
      </c>
      <c r="N107" s="50">
        <f t="shared" si="15"/>
        <v>0</v>
      </c>
      <c r="O107" s="50">
        <f t="shared" si="10"/>
        <v>16</v>
      </c>
      <c r="P107" s="50">
        <f t="shared" si="11"/>
        <v>16</v>
      </c>
      <c r="Q107" s="50"/>
      <c r="R107" s="50"/>
      <c r="S107" s="46">
        <v>0.5</v>
      </c>
      <c r="T107" s="43">
        <v>2</v>
      </c>
      <c r="U107" s="43">
        <v>17</v>
      </c>
      <c r="V107" s="43">
        <v>1</v>
      </c>
      <c r="W107" s="43"/>
      <c r="X107" s="43">
        <v>5</v>
      </c>
      <c r="Y107" s="50">
        <v>2</v>
      </c>
      <c r="Z107" s="50">
        <v>68</v>
      </c>
      <c r="AA107" s="50">
        <v>4</v>
      </c>
      <c r="AB107" s="50">
        <v>20</v>
      </c>
      <c r="AC107" s="50">
        <v>24</v>
      </c>
      <c r="AD107" s="50">
        <f t="shared" si="8"/>
        <v>92</v>
      </c>
      <c r="AE107" s="43"/>
      <c r="AF107" s="43"/>
      <c r="AG107" s="43"/>
      <c r="AH107" s="47">
        <v>0.5</v>
      </c>
      <c r="AI107" s="39">
        <v>5</v>
      </c>
      <c r="AM107" s="29">
        <v>85.851146867511147</v>
      </c>
      <c r="AN107" s="26"/>
      <c r="AO107"/>
      <c r="AP107"/>
      <c r="AQ107"/>
      <c r="AR107"/>
    </row>
    <row r="108" spans="1:49" ht="14.25" customHeight="1" thickBot="1" x14ac:dyDescent="0.3">
      <c r="A108" s="30">
        <v>107</v>
      </c>
      <c r="B108" s="31" t="s">
        <v>13</v>
      </c>
      <c r="C108" s="31" t="s">
        <v>14</v>
      </c>
      <c r="D108" s="31" t="s">
        <v>44</v>
      </c>
      <c r="E108" s="31" t="s">
        <v>16</v>
      </c>
      <c r="F108" s="32">
        <v>17</v>
      </c>
      <c r="G108" s="33">
        <v>5</v>
      </c>
      <c r="H108" s="31"/>
      <c r="I108" s="33">
        <v>3</v>
      </c>
      <c r="J108" s="31"/>
      <c r="K108" s="50">
        <f t="shared" si="12"/>
        <v>68</v>
      </c>
      <c r="L108" s="50">
        <f t="shared" si="13"/>
        <v>0</v>
      </c>
      <c r="M108" s="50">
        <f t="shared" si="14"/>
        <v>12</v>
      </c>
      <c r="N108" s="50">
        <f t="shared" si="15"/>
        <v>0</v>
      </c>
      <c r="O108" s="50">
        <f t="shared" si="10"/>
        <v>12</v>
      </c>
      <c r="P108" s="50">
        <f t="shared" si="11"/>
        <v>12</v>
      </c>
      <c r="Q108" s="50"/>
      <c r="R108" s="50"/>
      <c r="S108" s="46">
        <v>1</v>
      </c>
      <c r="T108" s="47">
        <v>0.5</v>
      </c>
      <c r="U108" s="43">
        <v>17</v>
      </c>
      <c r="V108" s="43">
        <v>1</v>
      </c>
      <c r="W108" s="43"/>
      <c r="X108" s="43">
        <v>6</v>
      </c>
      <c r="Y108" s="50">
        <v>4</v>
      </c>
      <c r="Z108" s="50">
        <v>68</v>
      </c>
      <c r="AA108" s="50">
        <v>4</v>
      </c>
      <c r="AB108" s="50">
        <v>24</v>
      </c>
      <c r="AC108" s="50">
        <v>28</v>
      </c>
      <c r="AD108" s="50">
        <f t="shared" si="8"/>
        <v>96</v>
      </c>
      <c r="AE108" s="43"/>
      <c r="AF108" s="43"/>
      <c r="AG108" s="43"/>
      <c r="AH108" s="47">
        <v>0.5</v>
      </c>
      <c r="AI108" s="39">
        <v>4</v>
      </c>
      <c r="AM108" s="29">
        <v>99.898737632207428</v>
      </c>
      <c r="AN108" s="26"/>
      <c r="AO108"/>
      <c r="AP108"/>
      <c r="AQ108"/>
      <c r="AR108"/>
    </row>
    <row r="109" spans="1:49" ht="14.25" customHeight="1" thickBot="1" x14ac:dyDescent="0.3">
      <c r="A109" s="30">
        <v>108</v>
      </c>
      <c r="B109" s="31" t="s">
        <v>13</v>
      </c>
      <c r="C109" s="31" t="s">
        <v>14</v>
      </c>
      <c r="D109" s="31" t="s">
        <v>15</v>
      </c>
      <c r="E109" s="31" t="s">
        <v>16</v>
      </c>
      <c r="F109" s="32">
        <v>9</v>
      </c>
      <c r="G109" s="33">
        <v>12</v>
      </c>
      <c r="H109" s="31"/>
      <c r="I109" s="33">
        <v>4</v>
      </c>
      <c r="J109" s="31"/>
      <c r="K109" s="50">
        <f t="shared" si="12"/>
        <v>36</v>
      </c>
      <c r="L109" s="50">
        <f t="shared" si="13"/>
        <v>0</v>
      </c>
      <c r="M109" s="50">
        <f t="shared" si="14"/>
        <v>16</v>
      </c>
      <c r="N109" s="50">
        <f t="shared" si="15"/>
        <v>0</v>
      </c>
      <c r="O109" s="50">
        <f t="shared" si="10"/>
        <v>16</v>
      </c>
      <c r="P109" s="50">
        <f t="shared" si="11"/>
        <v>16</v>
      </c>
      <c r="Q109" s="50"/>
      <c r="R109" s="50"/>
      <c r="S109" s="46">
        <v>1</v>
      </c>
      <c r="T109" s="43">
        <v>2</v>
      </c>
      <c r="U109" s="43">
        <v>16</v>
      </c>
      <c r="V109" s="43">
        <v>1</v>
      </c>
      <c r="W109" s="43"/>
      <c r="X109" s="43">
        <v>5</v>
      </c>
      <c r="Y109" s="50">
        <v>4</v>
      </c>
      <c r="Z109" s="50">
        <v>64</v>
      </c>
      <c r="AA109" s="50">
        <v>4</v>
      </c>
      <c r="AB109" s="50">
        <v>20</v>
      </c>
      <c r="AC109" s="50">
        <v>24</v>
      </c>
      <c r="AD109" s="50">
        <f>SUM(Z109:AB109)</f>
        <v>88</v>
      </c>
      <c r="AE109" s="43"/>
      <c r="AF109" s="43"/>
      <c r="AG109" s="43"/>
      <c r="AH109" s="47">
        <v>0.5</v>
      </c>
      <c r="AI109" s="39">
        <v>5</v>
      </c>
      <c r="AJ109">
        <v>541.83025306616378</v>
      </c>
      <c r="AK109">
        <v>531.97410802199727</v>
      </c>
      <c r="AL109">
        <v>821.29755047556762</v>
      </c>
      <c r="AM109" s="29">
        <v>107.37536372453931</v>
      </c>
      <c r="AN109" s="26">
        <v>108</v>
      </c>
      <c r="AO109">
        <v>20.144528999999995</v>
      </c>
      <c r="AP109">
        <v>30.514783333333337</v>
      </c>
      <c r="AQ109">
        <v>115.66269</v>
      </c>
      <c r="AR109">
        <v>541.83025306616378</v>
      </c>
      <c r="AS109">
        <v>531.97410802199727</v>
      </c>
      <c r="AT109">
        <v>176.24765000000002</v>
      </c>
      <c r="AU109">
        <v>821.29755047556762</v>
      </c>
      <c r="AV109">
        <v>29.717133333333333</v>
      </c>
      <c r="AW109">
        <v>114.36700000000003</v>
      </c>
    </row>
    <row r="110" spans="1:49" ht="14.25" customHeight="1" x14ac:dyDescent="0.25">
      <c r="A110" s="1"/>
      <c r="AI110" s="39"/>
      <c r="AM110" s="29"/>
      <c r="AN110" s="29"/>
      <c r="AO110" s="29"/>
      <c r="AP110" s="29"/>
      <c r="AQ110" s="29"/>
      <c r="AR110" s="29"/>
    </row>
    <row r="111" spans="1:49" ht="14.25" customHeight="1" x14ac:dyDescent="0.25">
      <c r="A111" s="1"/>
      <c r="AI111" s="39"/>
      <c r="AM111" s="29"/>
      <c r="AN111" s="29"/>
      <c r="AO111" s="29"/>
      <c r="AP111" s="29"/>
      <c r="AQ111" s="29"/>
      <c r="AR111" s="29"/>
    </row>
    <row r="112" spans="1:49" ht="14.25" customHeight="1" x14ac:dyDescent="0.25">
      <c r="A112" s="1"/>
      <c r="AI112" s="39"/>
      <c r="AM112" s="29"/>
      <c r="AN112" s="29"/>
      <c r="AO112" s="29"/>
      <c r="AP112" s="29"/>
      <c r="AQ112" s="29"/>
      <c r="AR112" s="29"/>
    </row>
    <row r="113" spans="1:44" ht="14.25" customHeight="1" x14ac:dyDescent="0.25">
      <c r="A113" s="1"/>
      <c r="AI113" s="39"/>
      <c r="AM113" s="29"/>
      <c r="AN113" s="29"/>
      <c r="AO113" s="29"/>
      <c r="AP113" s="29"/>
      <c r="AQ113" s="29"/>
      <c r="AR113" s="29"/>
    </row>
    <row r="114" spans="1:44" ht="14.25" customHeight="1" x14ac:dyDescent="0.25">
      <c r="A114" s="1"/>
      <c r="AI114" s="39"/>
      <c r="AM114" s="29"/>
      <c r="AN114" s="29"/>
      <c r="AO114" s="29"/>
      <c r="AP114" s="29"/>
      <c r="AQ114" s="29"/>
      <c r="AR114" s="29"/>
    </row>
    <row r="115" spans="1:44" ht="14.25" customHeight="1" x14ac:dyDescent="0.25">
      <c r="A115" s="1"/>
      <c r="AI115" s="39"/>
      <c r="AM115" s="29"/>
      <c r="AN115" s="29"/>
      <c r="AO115" s="29"/>
      <c r="AP115" s="29"/>
      <c r="AQ115" s="29"/>
      <c r="AR115" s="29"/>
    </row>
    <row r="116" spans="1:44" ht="14.25" customHeight="1" x14ac:dyDescent="0.25">
      <c r="A116" s="1"/>
      <c r="AI116" s="39"/>
      <c r="AM116" s="29"/>
      <c r="AN116" s="29"/>
      <c r="AO116" s="29"/>
      <c r="AP116" s="29"/>
      <c r="AQ116" s="29"/>
      <c r="AR116" s="29"/>
    </row>
    <row r="117" spans="1:44" ht="14.25" customHeight="1" x14ac:dyDescent="0.25">
      <c r="A117" s="1"/>
      <c r="AI117" s="39"/>
      <c r="AM117" s="29"/>
      <c r="AN117" s="29"/>
      <c r="AO117" s="29"/>
      <c r="AP117" s="29"/>
      <c r="AQ117" s="29"/>
      <c r="AR117" s="29"/>
    </row>
    <row r="118" spans="1:44" ht="14.25" customHeight="1" x14ac:dyDescent="0.25">
      <c r="A118" s="1"/>
      <c r="AI118" s="39"/>
      <c r="AM118" s="29"/>
      <c r="AN118" s="29"/>
      <c r="AO118" s="29"/>
      <c r="AP118" s="29"/>
      <c r="AQ118" s="29"/>
      <c r="AR118" s="29"/>
    </row>
    <row r="119" spans="1:44" ht="14.25" customHeight="1" x14ac:dyDescent="0.25">
      <c r="A119" s="1"/>
      <c r="AI119" s="39"/>
      <c r="AM119" s="29"/>
      <c r="AN119" s="29"/>
      <c r="AO119" s="29"/>
      <c r="AP119" s="29"/>
      <c r="AQ119" s="29"/>
      <c r="AR119" s="29"/>
    </row>
    <row r="120" spans="1:44" ht="14.25" customHeight="1" x14ac:dyDescent="0.25">
      <c r="A120" s="1"/>
      <c r="AI120" s="39"/>
      <c r="AM120" s="29"/>
      <c r="AN120" s="29"/>
      <c r="AO120" s="29"/>
      <c r="AP120" s="29"/>
      <c r="AQ120" s="29"/>
      <c r="AR120" s="29"/>
    </row>
    <row r="121" spans="1:44" ht="14.25" customHeight="1" x14ac:dyDescent="0.25">
      <c r="A121" s="1"/>
      <c r="AI121" s="39"/>
      <c r="AM121" s="29"/>
      <c r="AN121" s="29"/>
      <c r="AO121" s="29"/>
      <c r="AP121" s="29"/>
      <c r="AQ121" s="29"/>
      <c r="AR121" s="29"/>
    </row>
    <row r="122" spans="1:44" ht="14.25" customHeight="1" x14ac:dyDescent="0.25">
      <c r="A122" s="1"/>
      <c r="AI122" s="39"/>
      <c r="AM122" s="29"/>
      <c r="AN122" s="29"/>
      <c r="AO122" s="29"/>
      <c r="AP122" s="29"/>
      <c r="AQ122" s="29"/>
      <c r="AR122" s="29"/>
    </row>
    <row r="123" spans="1:44" ht="14.25" customHeight="1" x14ac:dyDescent="0.25">
      <c r="A123" s="1"/>
      <c r="AI123" s="39"/>
      <c r="AM123" s="29"/>
      <c r="AN123" s="29"/>
      <c r="AO123" s="29"/>
      <c r="AP123" s="29"/>
      <c r="AQ123" s="29"/>
      <c r="AR123" s="29"/>
    </row>
    <row r="124" spans="1:44" ht="14.25" customHeight="1" x14ac:dyDescent="0.25">
      <c r="A124" s="1"/>
      <c r="AI124" s="39"/>
      <c r="AM124" s="29"/>
      <c r="AN124" s="29"/>
      <c r="AO124" s="29"/>
      <c r="AP124" s="29"/>
      <c r="AQ124" s="29"/>
      <c r="AR124" s="29"/>
    </row>
    <row r="125" spans="1:44" ht="14.25" customHeight="1" x14ac:dyDescent="0.25">
      <c r="A125" s="1"/>
      <c r="AI125" s="39"/>
      <c r="AM125" s="29"/>
      <c r="AN125" s="29"/>
      <c r="AO125" s="29"/>
      <c r="AP125" s="29"/>
      <c r="AQ125" s="29"/>
      <c r="AR125" s="29"/>
    </row>
    <row r="126" spans="1:44" ht="14.25" customHeight="1" x14ac:dyDescent="0.25">
      <c r="A126" s="1"/>
      <c r="AI126" s="39"/>
      <c r="AM126" s="29"/>
      <c r="AN126" s="29"/>
      <c r="AO126" s="29"/>
      <c r="AP126" s="29"/>
      <c r="AQ126" s="29"/>
      <c r="AR126" s="29"/>
    </row>
    <row r="127" spans="1:44" ht="14.25" customHeight="1" x14ac:dyDescent="0.25">
      <c r="A127" s="1"/>
      <c r="AI127" s="39"/>
      <c r="AM127" s="29"/>
      <c r="AN127" s="29"/>
      <c r="AO127" s="29"/>
      <c r="AP127" s="29"/>
      <c r="AQ127" s="29"/>
      <c r="AR127" s="29"/>
    </row>
    <row r="128" spans="1:44" ht="14.25" customHeight="1" x14ac:dyDescent="0.25">
      <c r="A128" s="1"/>
      <c r="AI128" s="39"/>
      <c r="AM128" s="29"/>
      <c r="AN128" s="29"/>
      <c r="AO128" s="29"/>
      <c r="AP128" s="29"/>
      <c r="AQ128" s="29"/>
      <c r="AR128" s="29"/>
    </row>
    <row r="129" spans="1:44" ht="14.25" customHeight="1" x14ac:dyDescent="0.25">
      <c r="A129" s="1"/>
      <c r="AI129" s="39"/>
      <c r="AM129" s="29"/>
      <c r="AN129" s="29"/>
      <c r="AO129" s="29"/>
      <c r="AP129" s="29"/>
      <c r="AQ129" s="29"/>
      <c r="AR129" s="29"/>
    </row>
    <row r="130" spans="1:44" ht="14.25" customHeight="1" x14ac:dyDescent="0.25">
      <c r="A130" s="1"/>
      <c r="AI130" s="39"/>
      <c r="AM130" s="29"/>
      <c r="AN130" s="29"/>
      <c r="AO130" s="29"/>
      <c r="AP130" s="29"/>
      <c r="AQ130" s="29"/>
      <c r="AR130" s="29"/>
    </row>
    <row r="131" spans="1:44" ht="14.25" customHeight="1" x14ac:dyDescent="0.25">
      <c r="A131" s="1"/>
      <c r="AI131" s="39"/>
      <c r="AM131" s="29"/>
      <c r="AN131" s="29"/>
      <c r="AO131" s="29"/>
      <c r="AP131" s="29"/>
      <c r="AQ131" s="29"/>
      <c r="AR131" s="29"/>
    </row>
    <row r="132" spans="1:44" ht="14.25" customHeight="1" x14ac:dyDescent="0.25">
      <c r="A132" s="1"/>
      <c r="AI132" s="39"/>
      <c r="AM132" s="29"/>
      <c r="AN132" s="29"/>
      <c r="AO132" s="29"/>
      <c r="AP132" s="29"/>
      <c r="AQ132" s="29"/>
      <c r="AR132" s="29"/>
    </row>
    <row r="133" spans="1:44" ht="14.25" customHeight="1" x14ac:dyDescent="0.25">
      <c r="A133" s="1"/>
      <c r="AI133" s="39"/>
      <c r="AM133" s="29"/>
      <c r="AN133" s="29"/>
      <c r="AO133" s="29"/>
      <c r="AP133" s="29"/>
      <c r="AQ133" s="29"/>
      <c r="AR133" s="29"/>
    </row>
    <row r="134" spans="1:44" ht="14.25" customHeight="1" x14ac:dyDescent="0.25">
      <c r="A134" s="1"/>
      <c r="AI134" s="39"/>
      <c r="AM134" s="29"/>
      <c r="AN134" s="29"/>
      <c r="AO134" s="29"/>
      <c r="AP134" s="29"/>
      <c r="AQ134" s="29"/>
      <c r="AR134" s="29"/>
    </row>
    <row r="135" spans="1:44" ht="14.25" customHeight="1" x14ac:dyDescent="0.25">
      <c r="A135" s="1"/>
      <c r="AI135" s="39"/>
      <c r="AM135" s="29"/>
      <c r="AN135" s="29"/>
      <c r="AO135" s="29"/>
      <c r="AP135" s="29"/>
      <c r="AQ135" s="29"/>
      <c r="AR135" s="29"/>
    </row>
    <row r="136" spans="1:44" ht="14.25" customHeight="1" x14ac:dyDescent="0.25">
      <c r="A136" s="1"/>
      <c r="AI136" s="39"/>
      <c r="AM136" s="29"/>
      <c r="AN136" s="29"/>
      <c r="AO136" s="29"/>
      <c r="AP136" s="29"/>
      <c r="AQ136" s="29"/>
      <c r="AR136" s="29"/>
    </row>
    <row r="137" spans="1:44" ht="14.25" customHeight="1" x14ac:dyDescent="0.25">
      <c r="A137" s="1"/>
      <c r="AI137" s="39"/>
      <c r="AM137" s="29"/>
      <c r="AN137" s="29"/>
      <c r="AO137" s="29"/>
      <c r="AP137" s="29"/>
      <c r="AQ137" s="29"/>
      <c r="AR137" s="29"/>
    </row>
    <row r="138" spans="1:44" ht="14.25" customHeight="1" x14ac:dyDescent="0.25">
      <c r="A138" s="1"/>
      <c r="AI138" s="39"/>
      <c r="AM138" s="29"/>
      <c r="AN138" s="29"/>
      <c r="AO138" s="29"/>
      <c r="AP138" s="29"/>
      <c r="AQ138" s="29"/>
      <c r="AR138" s="29"/>
    </row>
    <row r="139" spans="1:44" ht="14.25" customHeight="1" x14ac:dyDescent="0.25">
      <c r="A139" s="1"/>
      <c r="AI139" s="39"/>
      <c r="AM139" s="29"/>
      <c r="AN139" s="29"/>
      <c r="AO139" s="29"/>
      <c r="AP139" s="29"/>
      <c r="AQ139" s="29"/>
      <c r="AR139" s="29"/>
    </row>
    <row r="140" spans="1:44" ht="14.25" customHeight="1" x14ac:dyDescent="0.25">
      <c r="A140" s="1"/>
      <c r="AI140" s="39"/>
      <c r="AM140" s="29"/>
      <c r="AN140" s="29"/>
      <c r="AO140" s="29"/>
      <c r="AP140" s="29"/>
      <c r="AQ140" s="29"/>
      <c r="AR140" s="29"/>
    </row>
    <row r="141" spans="1:44" ht="14.25" customHeight="1" x14ac:dyDescent="0.25">
      <c r="A141" s="1"/>
      <c r="AI141" s="39"/>
      <c r="AM141" s="29"/>
      <c r="AN141" s="29"/>
      <c r="AO141" s="29"/>
      <c r="AP141" s="29"/>
      <c r="AQ141" s="29"/>
      <c r="AR141" s="29"/>
    </row>
    <row r="142" spans="1:44" ht="14.25" customHeight="1" x14ac:dyDescent="0.25">
      <c r="A142" s="1"/>
      <c r="AI142" s="39"/>
      <c r="AM142" s="29"/>
      <c r="AN142" s="29"/>
      <c r="AO142" s="29"/>
      <c r="AP142" s="29"/>
      <c r="AQ142" s="29"/>
      <c r="AR142" s="29"/>
    </row>
    <row r="143" spans="1:44" ht="14.25" customHeight="1" x14ac:dyDescent="0.25">
      <c r="A143" s="1"/>
      <c r="AI143" s="39"/>
      <c r="AM143" s="29"/>
      <c r="AN143" s="29"/>
      <c r="AO143" s="29"/>
      <c r="AP143" s="29"/>
      <c r="AQ143" s="29"/>
      <c r="AR143" s="29"/>
    </row>
    <row r="144" spans="1:44" ht="14.25" customHeight="1" x14ac:dyDescent="0.25">
      <c r="A144" s="1"/>
      <c r="AI144" s="39"/>
      <c r="AM144" s="29"/>
      <c r="AN144" s="29"/>
      <c r="AO144" s="29"/>
      <c r="AP144" s="29"/>
      <c r="AQ144" s="29"/>
      <c r="AR144" s="29"/>
    </row>
    <row r="145" spans="1:44" ht="14.25" customHeight="1" x14ac:dyDescent="0.25">
      <c r="A145" s="1"/>
      <c r="AI145" s="39"/>
      <c r="AM145" s="29"/>
      <c r="AN145" s="29"/>
      <c r="AO145" s="29"/>
      <c r="AP145" s="29"/>
      <c r="AQ145" s="29"/>
      <c r="AR145" s="29"/>
    </row>
    <row r="146" spans="1:44" ht="14.25" customHeight="1" x14ac:dyDescent="0.25">
      <c r="A146" s="1"/>
      <c r="AI146" s="39"/>
      <c r="AM146" s="29"/>
      <c r="AN146" s="29"/>
      <c r="AO146" s="29"/>
      <c r="AP146" s="29"/>
      <c r="AQ146" s="29"/>
      <c r="AR146" s="29"/>
    </row>
    <row r="147" spans="1:44" ht="14.25" customHeight="1" x14ac:dyDescent="0.25">
      <c r="A147" s="1"/>
      <c r="AI147" s="39"/>
      <c r="AM147" s="29"/>
      <c r="AN147" s="29"/>
      <c r="AO147" s="29"/>
      <c r="AP147" s="29"/>
      <c r="AQ147" s="29"/>
      <c r="AR147" s="29"/>
    </row>
    <row r="148" spans="1:44" ht="14.25" customHeight="1" x14ac:dyDescent="0.25">
      <c r="A148" s="1"/>
      <c r="AI148" s="39"/>
      <c r="AM148" s="29"/>
      <c r="AN148" s="29"/>
      <c r="AO148" s="29"/>
      <c r="AP148" s="29"/>
      <c r="AQ148" s="29"/>
      <c r="AR148" s="29"/>
    </row>
    <row r="149" spans="1:44" ht="14.25" customHeight="1" x14ac:dyDescent="0.25">
      <c r="A149" s="1"/>
      <c r="AI149" s="39"/>
      <c r="AM149" s="29"/>
      <c r="AN149" s="29"/>
      <c r="AO149" s="29"/>
      <c r="AP149" s="29"/>
      <c r="AQ149" s="29"/>
      <c r="AR149" s="29"/>
    </row>
    <row r="150" spans="1:44" ht="14.25" customHeight="1" x14ac:dyDescent="0.25">
      <c r="A150" s="1"/>
      <c r="AI150" s="39"/>
      <c r="AM150" s="29"/>
      <c r="AN150" s="29"/>
      <c r="AO150" s="29"/>
      <c r="AP150" s="29"/>
      <c r="AQ150" s="29"/>
      <c r="AR150" s="29"/>
    </row>
    <row r="151" spans="1:44" ht="14.25" customHeight="1" x14ac:dyDescent="0.25">
      <c r="A151" s="1"/>
      <c r="AI151" s="39"/>
      <c r="AM151" s="29"/>
      <c r="AN151" s="29"/>
      <c r="AO151" s="29"/>
      <c r="AP151" s="29"/>
      <c r="AQ151" s="29"/>
      <c r="AR151" s="29"/>
    </row>
    <row r="152" spans="1:44" ht="14.25" customHeight="1" x14ac:dyDescent="0.25">
      <c r="A152" s="1"/>
      <c r="AI152" s="39"/>
      <c r="AM152" s="29"/>
      <c r="AN152" s="29"/>
      <c r="AO152" s="29"/>
      <c r="AP152" s="29"/>
      <c r="AQ152" s="29"/>
      <c r="AR152" s="29"/>
    </row>
    <row r="153" spans="1:44" ht="14.25" customHeight="1" x14ac:dyDescent="0.25">
      <c r="A153" s="1"/>
      <c r="AI153" s="39"/>
      <c r="AM153" s="29"/>
      <c r="AN153" s="29"/>
      <c r="AO153" s="29"/>
      <c r="AP153" s="29"/>
      <c r="AQ153" s="29"/>
      <c r="AR153" s="29"/>
    </row>
    <row r="154" spans="1:44" ht="14.25" customHeight="1" x14ac:dyDescent="0.25">
      <c r="A154" s="1"/>
      <c r="AI154" s="39"/>
      <c r="AM154" s="29"/>
      <c r="AN154" s="29"/>
      <c r="AO154" s="29"/>
      <c r="AP154" s="29"/>
      <c r="AQ154" s="29"/>
      <c r="AR154" s="29"/>
    </row>
    <row r="155" spans="1:44" ht="14.25" customHeight="1" x14ac:dyDescent="0.25">
      <c r="A155" s="1"/>
      <c r="AI155" s="39"/>
      <c r="AM155" s="29"/>
      <c r="AN155" s="29"/>
      <c r="AO155" s="29"/>
      <c r="AP155" s="29"/>
      <c r="AQ155" s="29"/>
      <c r="AR155" s="29"/>
    </row>
    <row r="156" spans="1:44" ht="14.25" customHeight="1" x14ac:dyDescent="0.25">
      <c r="A156" s="1"/>
      <c r="AI156" s="39"/>
      <c r="AM156" s="29"/>
      <c r="AN156" s="29"/>
      <c r="AO156" s="29"/>
      <c r="AP156" s="29"/>
      <c r="AQ156" s="29"/>
      <c r="AR156" s="29"/>
    </row>
    <row r="157" spans="1:44" ht="14.25" customHeight="1" x14ac:dyDescent="0.25">
      <c r="A157" s="1"/>
      <c r="AI157" s="39"/>
      <c r="AN157" s="29"/>
      <c r="AO157" s="29"/>
      <c r="AP157" s="29"/>
      <c r="AQ157" s="29"/>
      <c r="AR157" s="29"/>
    </row>
    <row r="158" spans="1:44" ht="14.25" customHeight="1" x14ac:dyDescent="0.25">
      <c r="A158" s="1"/>
      <c r="AI158" s="39"/>
      <c r="AN158" s="29"/>
      <c r="AO158" s="29"/>
      <c r="AP158" s="29"/>
      <c r="AQ158" s="29"/>
      <c r="AR158" s="29"/>
    </row>
    <row r="159" spans="1:44" ht="14.25" customHeight="1" x14ac:dyDescent="0.25">
      <c r="A159" s="1"/>
      <c r="AI159" s="39"/>
      <c r="AN159" s="29"/>
      <c r="AO159" s="29"/>
      <c r="AP159" s="29"/>
      <c r="AQ159" s="29"/>
      <c r="AR159" s="29"/>
    </row>
    <row r="160" spans="1:44" ht="14.25" customHeight="1" x14ac:dyDescent="0.25">
      <c r="A160" s="1"/>
      <c r="AI160" s="39"/>
      <c r="AN160" s="29"/>
      <c r="AO160" s="29"/>
      <c r="AP160" s="29"/>
      <c r="AQ160" s="29"/>
      <c r="AR160" s="29"/>
    </row>
    <row r="161" spans="1:44" ht="14.25" customHeight="1" x14ac:dyDescent="0.25">
      <c r="A161" s="1"/>
      <c r="AI161" s="39"/>
      <c r="AN161" s="29"/>
      <c r="AO161" s="29"/>
      <c r="AP161" s="29"/>
      <c r="AQ161" s="29"/>
      <c r="AR161" s="29"/>
    </row>
    <row r="162" spans="1:44" ht="14.25" customHeight="1" x14ac:dyDescent="0.25">
      <c r="A162" s="1"/>
      <c r="AI162" s="39"/>
      <c r="AN162" s="29"/>
      <c r="AO162" s="29"/>
      <c r="AP162" s="29"/>
      <c r="AQ162" s="29"/>
      <c r="AR162" s="29"/>
    </row>
    <row r="163" spans="1:44" ht="14.25" customHeight="1" x14ac:dyDescent="0.25">
      <c r="A163" s="1"/>
      <c r="AI163" s="39"/>
      <c r="AN163" s="29"/>
      <c r="AO163" s="29"/>
      <c r="AP163" s="29"/>
      <c r="AQ163" s="29"/>
      <c r="AR163" s="29"/>
    </row>
    <row r="164" spans="1:44" ht="14.25" customHeight="1" x14ac:dyDescent="0.25">
      <c r="A164" s="1"/>
      <c r="AI164" s="39"/>
      <c r="AN164" s="29"/>
      <c r="AO164" s="29"/>
      <c r="AP164" s="29"/>
      <c r="AQ164" s="29"/>
      <c r="AR164" s="29"/>
    </row>
    <row r="165" spans="1:44" ht="14.25" customHeight="1" x14ac:dyDescent="0.25">
      <c r="A165" s="1"/>
      <c r="AI165" s="39"/>
      <c r="AN165" s="29"/>
      <c r="AO165" s="29"/>
      <c r="AP165" s="29"/>
      <c r="AQ165" s="29"/>
      <c r="AR165" s="29"/>
    </row>
    <row r="166" spans="1:44" ht="14.25" customHeight="1" x14ac:dyDescent="0.25">
      <c r="A166" s="1"/>
      <c r="AI166" s="39"/>
      <c r="AN166" s="29"/>
      <c r="AO166" s="29"/>
      <c r="AP166" s="29"/>
      <c r="AQ166" s="29"/>
      <c r="AR166" s="29"/>
    </row>
    <row r="167" spans="1:44" ht="14.25" customHeight="1" x14ac:dyDescent="0.25">
      <c r="A167" s="1"/>
      <c r="AI167" s="39"/>
      <c r="AN167" s="29"/>
      <c r="AO167" s="29"/>
      <c r="AP167" s="29"/>
      <c r="AQ167" s="29"/>
      <c r="AR167" s="29"/>
    </row>
    <row r="168" spans="1:44" ht="14.25" customHeight="1" x14ac:dyDescent="0.25">
      <c r="A168" s="1"/>
      <c r="AI168" s="39"/>
      <c r="AN168" s="29"/>
      <c r="AO168" s="29"/>
      <c r="AP168" s="29"/>
      <c r="AQ168" s="29"/>
      <c r="AR168" s="29"/>
    </row>
    <row r="169" spans="1:44" ht="14.25" customHeight="1" x14ac:dyDescent="0.25">
      <c r="A169" s="1"/>
      <c r="AI169" s="39"/>
      <c r="AN169" s="29"/>
      <c r="AO169" s="29"/>
      <c r="AP169" s="29"/>
      <c r="AQ169" s="29"/>
      <c r="AR169" s="29"/>
    </row>
    <row r="170" spans="1:44" ht="14.25" customHeight="1" x14ac:dyDescent="0.25">
      <c r="A170" s="1"/>
      <c r="AI170" s="39"/>
      <c r="AN170" s="29"/>
      <c r="AO170" s="29"/>
      <c r="AP170" s="29"/>
      <c r="AQ170" s="29"/>
      <c r="AR170" s="29"/>
    </row>
    <row r="171" spans="1:44" ht="14.25" customHeight="1" x14ac:dyDescent="0.25">
      <c r="A171" s="1"/>
      <c r="AI171" s="39"/>
      <c r="AN171" s="29"/>
      <c r="AO171" s="29"/>
      <c r="AP171" s="29"/>
      <c r="AQ171" s="29"/>
      <c r="AR171" s="29"/>
    </row>
    <row r="172" spans="1:44" ht="14.25" customHeight="1" x14ac:dyDescent="0.25">
      <c r="A172" s="1"/>
      <c r="AI172" s="39"/>
      <c r="AN172" s="29"/>
      <c r="AO172" s="29"/>
      <c r="AP172" s="29"/>
      <c r="AQ172" s="29"/>
      <c r="AR172" s="29"/>
    </row>
    <row r="173" spans="1:44" ht="14.25" customHeight="1" x14ac:dyDescent="0.25">
      <c r="A173" s="1"/>
      <c r="AI173" s="39"/>
      <c r="AN173" s="29"/>
      <c r="AO173" s="29"/>
      <c r="AP173" s="29"/>
      <c r="AQ173" s="29"/>
      <c r="AR173" s="29"/>
    </row>
    <row r="174" spans="1:44" ht="14.25" customHeight="1" x14ac:dyDescent="0.25">
      <c r="A174" s="1"/>
      <c r="AI174" s="39"/>
      <c r="AN174" s="29"/>
      <c r="AO174" s="29"/>
      <c r="AP174" s="29"/>
      <c r="AQ174" s="29"/>
      <c r="AR174" s="29"/>
    </row>
    <row r="175" spans="1:44" ht="14.25" customHeight="1" x14ac:dyDescent="0.25">
      <c r="A175" s="1"/>
      <c r="AI175" s="39"/>
      <c r="AN175" s="29"/>
      <c r="AO175" s="29"/>
      <c r="AP175" s="29"/>
      <c r="AQ175" s="29"/>
      <c r="AR175" s="29"/>
    </row>
    <row r="176" spans="1:44" ht="14.25" customHeight="1" x14ac:dyDescent="0.25">
      <c r="A176" s="1"/>
      <c r="AI176" s="39"/>
      <c r="AN176" s="29"/>
      <c r="AO176" s="29"/>
      <c r="AP176" s="29"/>
      <c r="AQ176" s="29"/>
      <c r="AR176" s="29"/>
    </row>
    <row r="177" spans="1:44" ht="14.25" customHeight="1" x14ac:dyDescent="0.25">
      <c r="A177" s="1"/>
      <c r="AI177" s="39"/>
      <c r="AN177" s="29"/>
      <c r="AO177" s="29"/>
      <c r="AP177" s="29"/>
      <c r="AQ177" s="29"/>
      <c r="AR177" s="29"/>
    </row>
    <row r="178" spans="1:44" ht="14.25" customHeight="1" x14ac:dyDescent="0.25">
      <c r="A178" s="1"/>
      <c r="AI178" s="39"/>
      <c r="AN178" s="29"/>
      <c r="AO178" s="29"/>
      <c r="AP178" s="29"/>
      <c r="AQ178" s="29"/>
      <c r="AR178" s="29"/>
    </row>
    <row r="179" spans="1:44" ht="14.25" customHeight="1" x14ac:dyDescent="0.25">
      <c r="A179" s="1"/>
      <c r="AI179" s="39"/>
      <c r="AN179" s="29"/>
      <c r="AO179" s="29"/>
      <c r="AP179" s="29"/>
      <c r="AQ179" s="29"/>
      <c r="AR179" s="29"/>
    </row>
    <row r="180" spans="1:44" ht="14.25" customHeight="1" x14ac:dyDescent="0.25">
      <c r="A180" s="1"/>
      <c r="AI180" s="39"/>
      <c r="AN180" s="29"/>
      <c r="AO180" s="29"/>
      <c r="AP180" s="29"/>
      <c r="AQ180" s="29"/>
      <c r="AR180" s="29"/>
    </row>
    <row r="181" spans="1:44" ht="14.25" customHeight="1" x14ac:dyDescent="0.25">
      <c r="A181" s="1"/>
      <c r="AI181" s="39"/>
      <c r="AN181" s="29"/>
      <c r="AO181" s="29"/>
      <c r="AP181" s="29"/>
      <c r="AQ181" s="29"/>
      <c r="AR181" s="29"/>
    </row>
    <row r="182" spans="1:44" ht="14.25" customHeight="1" x14ac:dyDescent="0.25">
      <c r="A182" s="1"/>
      <c r="AI182" s="39"/>
      <c r="AN182" s="29"/>
      <c r="AO182" s="29"/>
      <c r="AP182" s="29"/>
      <c r="AQ182" s="29"/>
      <c r="AR182" s="29"/>
    </row>
    <row r="183" spans="1:44" ht="14.25" customHeight="1" x14ac:dyDescent="0.25">
      <c r="A183" s="1"/>
      <c r="AI183" s="39"/>
      <c r="AN183" s="29"/>
      <c r="AO183" s="29"/>
      <c r="AP183" s="29"/>
      <c r="AQ183" s="29"/>
      <c r="AR183" s="29"/>
    </row>
    <row r="184" spans="1:44" ht="14.25" customHeight="1" x14ac:dyDescent="0.25">
      <c r="A184" s="1"/>
      <c r="AI184" s="39"/>
      <c r="AN184" s="29"/>
      <c r="AO184" s="29"/>
      <c r="AP184" s="29"/>
      <c r="AQ184" s="29"/>
      <c r="AR184" s="29"/>
    </row>
    <row r="185" spans="1:44" ht="14.25" customHeight="1" x14ac:dyDescent="0.25">
      <c r="A185" s="1"/>
      <c r="AI185" s="39"/>
      <c r="AN185" s="29"/>
      <c r="AO185" s="29"/>
      <c r="AP185" s="29"/>
      <c r="AQ185" s="29"/>
      <c r="AR185" s="29"/>
    </row>
    <row r="186" spans="1:44" ht="14.25" customHeight="1" x14ac:dyDescent="0.25">
      <c r="A186" s="1"/>
      <c r="AI186" s="39"/>
      <c r="AN186" s="29"/>
      <c r="AO186" s="29"/>
      <c r="AP186" s="29"/>
      <c r="AQ186" s="29"/>
      <c r="AR186" s="29"/>
    </row>
    <row r="187" spans="1:44" ht="14.25" customHeight="1" x14ac:dyDescent="0.25">
      <c r="A187" s="1"/>
      <c r="AI187" s="39"/>
      <c r="AN187" s="29"/>
      <c r="AO187" s="29"/>
      <c r="AP187" s="29"/>
      <c r="AQ187" s="29"/>
      <c r="AR187" s="29"/>
    </row>
    <row r="188" spans="1:44" ht="14.25" customHeight="1" x14ac:dyDescent="0.25">
      <c r="A188" s="1"/>
      <c r="AI188" s="39"/>
      <c r="AN188" s="29"/>
      <c r="AO188" s="29"/>
      <c r="AP188" s="29"/>
      <c r="AQ188" s="29"/>
      <c r="AR188" s="29"/>
    </row>
    <row r="189" spans="1:44" ht="14.25" customHeight="1" x14ac:dyDescent="0.25">
      <c r="A189" s="1"/>
      <c r="AI189" s="39"/>
      <c r="AN189" s="29"/>
      <c r="AO189" s="29"/>
      <c r="AP189" s="29"/>
      <c r="AQ189" s="29"/>
      <c r="AR189" s="29"/>
    </row>
    <row r="190" spans="1:44" ht="14.25" customHeight="1" x14ac:dyDescent="0.25">
      <c r="A190" s="1"/>
      <c r="AI190" s="39"/>
      <c r="AN190" s="29"/>
      <c r="AO190" s="29"/>
      <c r="AP190" s="29"/>
      <c r="AQ190" s="29"/>
      <c r="AR190" s="29"/>
    </row>
    <row r="191" spans="1:44" ht="14.25" customHeight="1" x14ac:dyDescent="0.25">
      <c r="A191" s="1"/>
      <c r="AI191" s="39"/>
      <c r="AN191" s="29"/>
      <c r="AO191" s="29"/>
      <c r="AP191" s="29"/>
      <c r="AQ191" s="29"/>
      <c r="AR191" s="29"/>
    </row>
    <row r="192" spans="1:44" ht="14.25" customHeight="1" x14ac:dyDescent="0.25">
      <c r="A192" s="1"/>
      <c r="AI192" s="39"/>
      <c r="AN192" s="29"/>
      <c r="AO192" s="29"/>
      <c r="AP192" s="29"/>
      <c r="AQ192" s="29"/>
      <c r="AR192" s="29"/>
    </row>
    <row r="193" spans="1:44" ht="14.25" customHeight="1" x14ac:dyDescent="0.25">
      <c r="A193" s="1"/>
      <c r="AI193" s="39"/>
      <c r="AN193" s="29"/>
      <c r="AO193" s="29"/>
      <c r="AP193" s="29"/>
      <c r="AQ193" s="29"/>
      <c r="AR193" s="29"/>
    </row>
    <row r="194" spans="1:44" ht="14.25" customHeight="1" x14ac:dyDescent="0.25">
      <c r="A194" s="1"/>
      <c r="AI194" s="39"/>
      <c r="AN194" s="29"/>
      <c r="AO194" s="29"/>
      <c r="AP194" s="29"/>
      <c r="AQ194" s="29"/>
      <c r="AR194" s="29"/>
    </row>
    <row r="195" spans="1:44" ht="14.25" customHeight="1" x14ac:dyDescent="0.25">
      <c r="A195" s="1"/>
      <c r="AI195" s="39"/>
      <c r="AN195" s="29"/>
      <c r="AO195" s="29"/>
      <c r="AP195" s="29"/>
      <c r="AQ195" s="29"/>
      <c r="AR195" s="29"/>
    </row>
    <row r="196" spans="1:44" ht="14.25" customHeight="1" x14ac:dyDescent="0.25">
      <c r="A196" s="1"/>
      <c r="AI196" s="39"/>
      <c r="AN196" s="29"/>
      <c r="AO196" s="29"/>
      <c r="AP196" s="29"/>
      <c r="AQ196" s="29"/>
      <c r="AR196" s="29"/>
    </row>
    <row r="197" spans="1:44" ht="14.25" customHeight="1" x14ac:dyDescent="0.25">
      <c r="A197" s="1"/>
      <c r="AI197" s="39"/>
      <c r="AN197" s="29"/>
      <c r="AO197" s="29"/>
      <c r="AP197" s="29"/>
      <c r="AQ197" s="29"/>
      <c r="AR197" s="29"/>
    </row>
    <row r="198" spans="1:44" ht="14.25" customHeight="1" x14ac:dyDescent="0.25">
      <c r="A198" s="1"/>
      <c r="AI198" s="39"/>
      <c r="AN198" s="29"/>
      <c r="AO198" s="29"/>
      <c r="AP198" s="29"/>
      <c r="AQ198" s="29"/>
      <c r="AR198" s="29"/>
    </row>
    <row r="199" spans="1:44" ht="14.25" customHeight="1" x14ac:dyDescent="0.25">
      <c r="A199" s="1"/>
      <c r="AI199" s="39"/>
      <c r="AN199" s="29"/>
      <c r="AO199" s="29"/>
      <c r="AP199" s="29"/>
      <c r="AQ199" s="29"/>
      <c r="AR199" s="29"/>
    </row>
    <row r="200" spans="1:44" ht="14.25" customHeight="1" x14ac:dyDescent="0.25">
      <c r="A200" s="1"/>
      <c r="AI200" s="39"/>
      <c r="AN200" s="29"/>
      <c r="AO200" s="29"/>
      <c r="AP200" s="29"/>
      <c r="AQ200" s="29"/>
      <c r="AR200" s="29"/>
    </row>
    <row r="201" spans="1:44" ht="14.25" customHeight="1" x14ac:dyDescent="0.25">
      <c r="A201" s="1"/>
      <c r="AI201" s="39"/>
      <c r="AN201" s="29"/>
      <c r="AO201" s="29"/>
      <c r="AP201" s="29"/>
      <c r="AQ201" s="29"/>
      <c r="AR201" s="29"/>
    </row>
    <row r="202" spans="1:44" ht="14.25" customHeight="1" x14ac:dyDescent="0.25">
      <c r="A202" s="1"/>
      <c r="AI202" s="39"/>
      <c r="AN202" s="29"/>
      <c r="AO202" s="29"/>
      <c r="AP202" s="29"/>
      <c r="AQ202" s="29"/>
      <c r="AR202" s="29"/>
    </row>
    <row r="203" spans="1:44" ht="14.25" customHeight="1" x14ac:dyDescent="0.25">
      <c r="A203" s="1"/>
      <c r="AI203" s="39"/>
      <c r="AN203" s="29"/>
      <c r="AO203" s="29"/>
      <c r="AP203" s="29"/>
      <c r="AQ203" s="29"/>
      <c r="AR203" s="29"/>
    </row>
    <row r="204" spans="1:44" ht="14.25" customHeight="1" x14ac:dyDescent="0.25">
      <c r="A204" s="1"/>
      <c r="AI204" s="39"/>
      <c r="AN204" s="29"/>
      <c r="AO204" s="29"/>
      <c r="AP204" s="29"/>
      <c r="AQ204" s="29"/>
      <c r="AR204" s="29"/>
    </row>
    <row r="205" spans="1:44" ht="14.25" customHeight="1" x14ac:dyDescent="0.25">
      <c r="A205" s="1"/>
      <c r="AI205" s="39"/>
      <c r="AN205" s="29"/>
      <c r="AO205" s="29"/>
      <c r="AP205" s="29"/>
      <c r="AQ205" s="29"/>
      <c r="AR205" s="29"/>
    </row>
    <row r="206" spans="1:44" ht="14.25" customHeight="1" x14ac:dyDescent="0.25">
      <c r="A206" s="1"/>
      <c r="AI206" s="39"/>
      <c r="AN206" s="29"/>
      <c r="AO206" s="29"/>
      <c r="AP206" s="29"/>
      <c r="AQ206" s="29"/>
      <c r="AR206" s="29"/>
    </row>
    <row r="207" spans="1:44" ht="14.25" customHeight="1" x14ac:dyDescent="0.25">
      <c r="A207" s="1"/>
      <c r="AI207" s="39"/>
      <c r="AN207" s="29"/>
      <c r="AO207" s="29"/>
      <c r="AP207" s="29"/>
      <c r="AQ207" s="29"/>
      <c r="AR207" s="29"/>
    </row>
    <row r="208" spans="1:44" ht="14.25" customHeight="1" x14ac:dyDescent="0.25">
      <c r="A208" s="1"/>
      <c r="AI208" s="39"/>
      <c r="AN208" s="29"/>
      <c r="AO208" s="29"/>
      <c r="AP208" s="29"/>
      <c r="AQ208" s="29"/>
      <c r="AR208" s="29"/>
    </row>
    <row r="209" spans="1:44" ht="14.25" customHeight="1" x14ac:dyDescent="0.25">
      <c r="A209" s="1"/>
      <c r="AI209" s="39"/>
      <c r="AN209" s="29"/>
      <c r="AO209" s="29"/>
      <c r="AP209" s="29"/>
      <c r="AQ209" s="29"/>
      <c r="AR209" s="29"/>
    </row>
    <row r="210" spans="1:44" ht="14.25" customHeight="1" x14ac:dyDescent="0.25">
      <c r="A210" s="1"/>
      <c r="AI210" s="39"/>
      <c r="AN210" s="29"/>
      <c r="AO210" s="29"/>
      <c r="AP210" s="29"/>
      <c r="AQ210" s="29"/>
      <c r="AR210" s="29"/>
    </row>
    <row r="211" spans="1:44" ht="14.25" customHeight="1" x14ac:dyDescent="0.25">
      <c r="A211" s="1"/>
      <c r="AI211" s="39"/>
      <c r="AN211" s="29"/>
      <c r="AO211" s="29"/>
      <c r="AP211" s="29"/>
      <c r="AQ211" s="29"/>
      <c r="AR211" s="29"/>
    </row>
    <row r="212" spans="1:44" ht="14.25" customHeight="1" x14ac:dyDescent="0.25">
      <c r="A212" s="1"/>
      <c r="AI212" s="39"/>
      <c r="AN212" s="29"/>
      <c r="AO212" s="29"/>
      <c r="AP212" s="29"/>
      <c r="AQ212" s="29"/>
      <c r="AR212" s="29"/>
    </row>
    <row r="213" spans="1:44" ht="14.25" customHeight="1" x14ac:dyDescent="0.25">
      <c r="A213" s="1"/>
      <c r="AI213" s="39"/>
      <c r="AN213" s="29"/>
      <c r="AO213" s="29"/>
      <c r="AP213" s="29"/>
      <c r="AQ213" s="29"/>
      <c r="AR213" s="29"/>
    </row>
    <row r="214" spans="1:44" ht="14.25" customHeight="1" x14ac:dyDescent="0.25">
      <c r="A214" s="1"/>
      <c r="AI214" s="39"/>
      <c r="AN214" s="29"/>
      <c r="AO214" s="29"/>
      <c r="AP214" s="29"/>
      <c r="AQ214" s="29"/>
      <c r="AR214" s="29"/>
    </row>
    <row r="215" spans="1:44" ht="14.25" customHeight="1" x14ac:dyDescent="0.25">
      <c r="A215" s="1"/>
      <c r="AI215" s="39"/>
      <c r="AN215" s="29"/>
      <c r="AO215" s="29"/>
      <c r="AP215" s="29"/>
      <c r="AQ215" s="29"/>
      <c r="AR215" s="29"/>
    </row>
    <row r="216" spans="1:44" ht="14.25" customHeight="1" x14ac:dyDescent="0.25">
      <c r="A216" s="1"/>
      <c r="AI216" s="39"/>
      <c r="AN216" s="29"/>
      <c r="AO216" s="29"/>
      <c r="AP216" s="29"/>
      <c r="AQ216" s="29"/>
      <c r="AR216" s="29"/>
    </row>
    <row r="217" spans="1:44" ht="14.25" customHeight="1" x14ac:dyDescent="0.25">
      <c r="A217" s="1"/>
      <c r="AI217" s="39"/>
      <c r="AN217" s="29"/>
      <c r="AO217" s="29"/>
      <c r="AP217" s="29"/>
      <c r="AQ217" s="29"/>
      <c r="AR217" s="29"/>
    </row>
    <row r="218" spans="1:44" ht="14.25" customHeight="1" x14ac:dyDescent="0.25">
      <c r="A218" s="1"/>
      <c r="AI218" s="39"/>
      <c r="AN218" s="29"/>
      <c r="AO218" s="29"/>
      <c r="AP218" s="29"/>
      <c r="AQ218" s="29"/>
      <c r="AR218" s="29"/>
    </row>
    <row r="219" spans="1:44" ht="14.25" customHeight="1" x14ac:dyDescent="0.25">
      <c r="A219" s="1"/>
      <c r="AI219" s="39"/>
      <c r="AN219" s="29"/>
      <c r="AO219" s="29"/>
      <c r="AP219" s="29"/>
      <c r="AQ219" s="29"/>
      <c r="AR219" s="29"/>
    </row>
    <row r="220" spans="1:44" ht="14.25" customHeight="1" x14ac:dyDescent="0.25">
      <c r="A220" s="1"/>
      <c r="AI220" s="39"/>
      <c r="AN220" s="29"/>
      <c r="AO220" s="29"/>
      <c r="AP220" s="29"/>
      <c r="AQ220" s="29"/>
      <c r="AR220" s="29"/>
    </row>
    <row r="221" spans="1:44" ht="14.25" customHeight="1" x14ac:dyDescent="0.25">
      <c r="A221" s="1"/>
      <c r="AI221" s="39"/>
      <c r="AN221" s="29"/>
      <c r="AO221" s="29"/>
      <c r="AP221" s="29"/>
      <c r="AQ221" s="29"/>
      <c r="AR221" s="29"/>
    </row>
    <row r="222" spans="1:44" ht="14.25" customHeight="1" x14ac:dyDescent="0.25">
      <c r="A222" s="1"/>
      <c r="AI222" s="39"/>
      <c r="AN222" s="29"/>
      <c r="AO222" s="29"/>
      <c r="AP222" s="29"/>
      <c r="AQ222" s="29"/>
      <c r="AR222" s="29"/>
    </row>
    <row r="223" spans="1:44" ht="14.25" customHeight="1" x14ac:dyDescent="0.25">
      <c r="A223" s="1"/>
      <c r="AI223" s="39"/>
      <c r="AN223" s="29"/>
      <c r="AO223" s="29"/>
      <c r="AP223" s="29"/>
      <c r="AQ223" s="29"/>
      <c r="AR223" s="29"/>
    </row>
    <row r="224" spans="1:44" ht="14.25" customHeight="1" x14ac:dyDescent="0.25">
      <c r="A224" s="1"/>
      <c r="AI224" s="39"/>
      <c r="AN224" s="29"/>
      <c r="AO224" s="29"/>
      <c r="AP224" s="29"/>
      <c r="AQ224" s="29"/>
      <c r="AR224" s="29"/>
    </row>
    <row r="225" spans="1:44" ht="14.25" customHeight="1" x14ac:dyDescent="0.25">
      <c r="A225" s="1"/>
      <c r="AI225" s="39"/>
      <c r="AN225" s="29"/>
      <c r="AO225" s="29"/>
      <c r="AP225" s="29"/>
      <c r="AQ225" s="29"/>
      <c r="AR225" s="29"/>
    </row>
    <row r="226" spans="1:44" ht="14.25" customHeight="1" x14ac:dyDescent="0.25">
      <c r="A226" s="1"/>
      <c r="AI226" s="39"/>
      <c r="AN226" s="29"/>
      <c r="AO226" s="29"/>
      <c r="AP226" s="29"/>
      <c r="AQ226" s="29"/>
      <c r="AR226" s="29"/>
    </row>
    <row r="227" spans="1:44" ht="14.25" customHeight="1" x14ac:dyDescent="0.25">
      <c r="A227" s="1"/>
      <c r="AI227" s="39"/>
      <c r="AN227" s="29"/>
      <c r="AO227" s="29"/>
      <c r="AP227" s="29"/>
      <c r="AQ227" s="29"/>
      <c r="AR227" s="29"/>
    </row>
    <row r="228" spans="1:44" ht="14.25" customHeight="1" x14ac:dyDescent="0.25">
      <c r="A228" s="1"/>
      <c r="AI228" s="39"/>
      <c r="AN228" s="29"/>
      <c r="AO228" s="29"/>
      <c r="AP228" s="29"/>
      <c r="AQ228" s="29"/>
      <c r="AR228" s="29"/>
    </row>
    <row r="229" spans="1:44" ht="14.25" customHeight="1" x14ac:dyDescent="0.25">
      <c r="A229" s="1"/>
      <c r="AI229" s="39"/>
      <c r="AN229" s="29"/>
      <c r="AO229" s="29"/>
      <c r="AP229" s="29"/>
      <c r="AQ229" s="29"/>
      <c r="AR229" s="29"/>
    </row>
    <row r="230" spans="1:44" ht="14.25" customHeight="1" x14ac:dyDescent="0.25">
      <c r="A230" s="1"/>
      <c r="AI230" s="39"/>
      <c r="AN230" s="29"/>
      <c r="AO230" s="29"/>
      <c r="AP230" s="29"/>
      <c r="AQ230" s="29"/>
      <c r="AR230" s="29"/>
    </row>
    <row r="231" spans="1:44" ht="14.25" customHeight="1" x14ac:dyDescent="0.25">
      <c r="A231" s="1"/>
      <c r="AI231" s="39"/>
      <c r="AN231" s="29"/>
      <c r="AO231" s="29"/>
      <c r="AP231" s="29"/>
      <c r="AQ231" s="29"/>
      <c r="AR231" s="29"/>
    </row>
    <row r="232" spans="1:44" ht="14.25" customHeight="1" x14ac:dyDescent="0.25">
      <c r="A232" s="1"/>
      <c r="AI232" s="39"/>
      <c r="AN232" s="29"/>
      <c r="AO232" s="29"/>
      <c r="AP232" s="29"/>
      <c r="AQ232" s="29"/>
      <c r="AR232" s="29"/>
    </row>
    <row r="233" spans="1:44" ht="14.25" customHeight="1" x14ac:dyDescent="0.25">
      <c r="A233" s="1"/>
      <c r="AI233" s="39"/>
      <c r="AN233" s="29"/>
      <c r="AO233" s="29"/>
      <c r="AP233" s="29"/>
      <c r="AQ233" s="29"/>
      <c r="AR233" s="29"/>
    </row>
    <row r="234" spans="1:44" ht="14.25" customHeight="1" x14ac:dyDescent="0.25">
      <c r="A234" s="1"/>
      <c r="AI234" s="39"/>
      <c r="AN234" s="29"/>
      <c r="AO234" s="29"/>
      <c r="AP234" s="29"/>
      <c r="AQ234" s="29"/>
      <c r="AR234" s="29"/>
    </row>
    <row r="235" spans="1:44" ht="14.25" customHeight="1" x14ac:dyDescent="0.25">
      <c r="A235" s="1"/>
      <c r="AI235" s="39"/>
      <c r="AN235" s="29"/>
      <c r="AO235" s="29"/>
      <c r="AP235" s="29"/>
      <c r="AQ235" s="29"/>
      <c r="AR235" s="29"/>
    </row>
    <row r="236" spans="1:44" ht="14.25" customHeight="1" x14ac:dyDescent="0.25">
      <c r="A236" s="1"/>
      <c r="AI236" s="39"/>
      <c r="AN236" s="29"/>
      <c r="AO236" s="29"/>
      <c r="AP236" s="29"/>
      <c r="AQ236" s="29"/>
      <c r="AR236" s="29"/>
    </row>
    <row r="237" spans="1:44" ht="14.25" customHeight="1" x14ac:dyDescent="0.25">
      <c r="A237" s="1"/>
      <c r="AI237" s="39"/>
      <c r="AN237" s="29"/>
      <c r="AO237" s="29"/>
      <c r="AP237" s="29"/>
      <c r="AQ237" s="29"/>
      <c r="AR237" s="29"/>
    </row>
    <row r="238" spans="1:44" ht="14.25" customHeight="1" x14ac:dyDescent="0.25">
      <c r="A238" s="1"/>
      <c r="AI238" s="39"/>
      <c r="AN238" s="29"/>
      <c r="AO238" s="29"/>
      <c r="AP238" s="29"/>
      <c r="AQ238" s="29"/>
      <c r="AR238" s="29"/>
    </row>
    <row r="239" spans="1:44" ht="14.25" customHeight="1" x14ac:dyDescent="0.25">
      <c r="A239" s="1"/>
      <c r="AI239" s="39"/>
      <c r="AN239" s="29"/>
      <c r="AO239" s="29"/>
      <c r="AP239" s="29"/>
      <c r="AQ239" s="29"/>
      <c r="AR239" s="29"/>
    </row>
    <row r="240" spans="1:44" ht="14.25" customHeight="1" x14ac:dyDescent="0.25">
      <c r="A240" s="1"/>
      <c r="AI240" s="39"/>
      <c r="AN240" s="29"/>
      <c r="AO240" s="29"/>
      <c r="AP240" s="29"/>
      <c r="AQ240" s="29"/>
      <c r="AR240" s="29"/>
    </row>
    <row r="241" spans="1:44" ht="14.25" customHeight="1" x14ac:dyDescent="0.25">
      <c r="A241" s="1"/>
      <c r="AI241" s="39"/>
      <c r="AN241" s="29"/>
      <c r="AO241" s="29"/>
      <c r="AP241" s="29"/>
      <c r="AQ241" s="29"/>
      <c r="AR241" s="29"/>
    </row>
    <row r="242" spans="1:44" ht="14.25" customHeight="1" x14ac:dyDescent="0.25">
      <c r="A242" s="1"/>
      <c r="AI242" s="39"/>
      <c r="AN242" s="29"/>
      <c r="AO242" s="29"/>
      <c r="AP242" s="29"/>
      <c r="AQ242" s="29"/>
      <c r="AR242" s="29"/>
    </row>
    <row r="243" spans="1:44" ht="14.25" customHeight="1" x14ac:dyDescent="0.25">
      <c r="A243" s="1"/>
      <c r="AI243" s="39"/>
      <c r="AN243" s="29"/>
      <c r="AO243" s="29"/>
      <c r="AP243" s="29"/>
      <c r="AQ243" s="29"/>
      <c r="AR243" s="29"/>
    </row>
    <row r="244" spans="1:44" ht="14.25" customHeight="1" x14ac:dyDescent="0.25">
      <c r="A244" s="1"/>
      <c r="AI244" s="39"/>
      <c r="AN244" s="29"/>
      <c r="AO244" s="29"/>
      <c r="AP244" s="29"/>
      <c r="AQ244" s="29"/>
      <c r="AR244" s="29"/>
    </row>
    <row r="245" spans="1:44" ht="14.25" customHeight="1" x14ac:dyDescent="0.25">
      <c r="A245" s="1"/>
      <c r="AI245" s="39"/>
      <c r="AN245" s="29"/>
      <c r="AO245" s="29"/>
      <c r="AP245" s="29"/>
      <c r="AQ245" s="29"/>
      <c r="AR245" s="29"/>
    </row>
    <row r="246" spans="1:44" ht="14.25" customHeight="1" x14ac:dyDescent="0.25">
      <c r="A246" s="1"/>
      <c r="AI246" s="39"/>
      <c r="AN246" s="29"/>
      <c r="AO246" s="29"/>
      <c r="AP246" s="29"/>
      <c r="AQ246" s="29"/>
      <c r="AR246" s="29"/>
    </row>
    <row r="247" spans="1:44" ht="14.25" customHeight="1" x14ac:dyDescent="0.25">
      <c r="A247" s="1"/>
      <c r="AI247" s="39"/>
      <c r="AN247" s="29"/>
      <c r="AP247" s="29"/>
      <c r="AQ247" s="29"/>
      <c r="AR247" s="29"/>
    </row>
    <row r="248" spans="1:44" ht="14.25" customHeight="1" x14ac:dyDescent="0.25">
      <c r="A248" s="1"/>
      <c r="AI248" s="39"/>
      <c r="AN248" s="29"/>
      <c r="AP248" s="29"/>
      <c r="AQ248" s="29"/>
      <c r="AR248" s="29"/>
    </row>
    <row r="249" spans="1:44" ht="14.25" customHeight="1" x14ac:dyDescent="0.25">
      <c r="A249" s="1"/>
      <c r="AI249" s="39"/>
      <c r="AN249" s="29"/>
      <c r="AP249" s="29"/>
      <c r="AQ249" s="29"/>
      <c r="AR249" s="29"/>
    </row>
    <row r="250" spans="1:44" ht="14.25" customHeight="1" x14ac:dyDescent="0.25">
      <c r="A250" s="1"/>
      <c r="AI250" s="39"/>
    </row>
    <row r="251" spans="1:44" ht="14.25" customHeight="1" x14ac:dyDescent="0.25">
      <c r="A251" s="1"/>
      <c r="AI251" s="39"/>
    </row>
    <row r="252" spans="1:44" ht="14.25" customHeight="1" x14ac:dyDescent="0.25">
      <c r="A252" s="1"/>
      <c r="AI252" s="39"/>
    </row>
    <row r="253" spans="1:44" ht="14.25" customHeight="1" x14ac:dyDescent="0.25">
      <c r="A253" s="1"/>
      <c r="AI253" s="39"/>
    </row>
    <row r="254" spans="1:44" ht="14.25" customHeight="1" x14ac:dyDescent="0.25">
      <c r="A254" s="1"/>
      <c r="AI254" s="39"/>
    </row>
    <row r="255" spans="1:44" ht="14.25" customHeight="1" x14ac:dyDescent="0.25">
      <c r="A255" s="1"/>
      <c r="AI255" s="39"/>
    </row>
    <row r="256" spans="1:44" ht="14.25" customHeight="1" x14ac:dyDescent="0.25">
      <c r="A256" s="1"/>
      <c r="AI256" s="39"/>
    </row>
    <row r="257" spans="1:35" ht="14.25" customHeight="1" x14ac:dyDescent="0.25">
      <c r="A257" s="1"/>
      <c r="AI257" s="39"/>
    </row>
    <row r="258" spans="1:35" ht="14.25" customHeight="1" x14ac:dyDescent="0.25">
      <c r="A258" s="1"/>
      <c r="AI258" s="39"/>
    </row>
    <row r="259" spans="1:35" ht="14.25" customHeight="1" x14ac:dyDescent="0.25">
      <c r="A259" s="1"/>
      <c r="AI259" s="39"/>
    </row>
    <row r="260" spans="1:35" ht="14.25" customHeight="1" x14ac:dyDescent="0.25">
      <c r="A260" s="1"/>
      <c r="AI260" s="39"/>
    </row>
    <row r="261" spans="1:35" ht="14.25" customHeight="1" x14ac:dyDescent="0.25">
      <c r="A261" s="1"/>
      <c r="AI261" s="39"/>
    </row>
    <row r="262" spans="1:35" ht="14.25" customHeight="1" x14ac:dyDescent="0.25">
      <c r="A262" s="1"/>
      <c r="AI262" s="39"/>
    </row>
    <row r="263" spans="1:35" ht="14.25" customHeight="1" x14ac:dyDescent="0.25">
      <c r="A263" s="1"/>
      <c r="AI263" s="39"/>
    </row>
    <row r="264" spans="1:35" ht="14.25" customHeight="1" x14ac:dyDescent="0.25">
      <c r="A264" s="1"/>
      <c r="AI264" s="39"/>
    </row>
    <row r="265" spans="1:35" ht="14.25" customHeight="1" x14ac:dyDescent="0.25">
      <c r="A265" s="1"/>
      <c r="AI265" s="39"/>
    </row>
    <row r="266" spans="1:35" ht="14.25" customHeight="1" x14ac:dyDescent="0.25">
      <c r="A266" s="1"/>
      <c r="AI266" s="39"/>
    </row>
    <row r="267" spans="1:35" ht="14.25" customHeight="1" x14ac:dyDescent="0.25">
      <c r="A267" s="1"/>
      <c r="AI267" s="39"/>
    </row>
    <row r="268" spans="1:35" ht="14.25" customHeight="1" x14ac:dyDescent="0.25">
      <c r="A268" s="1"/>
      <c r="AI268" s="39"/>
    </row>
    <row r="269" spans="1:35" ht="14.25" customHeight="1" x14ac:dyDescent="0.25">
      <c r="A269" s="1"/>
      <c r="AI269" s="39"/>
    </row>
    <row r="270" spans="1:35" ht="14.25" customHeight="1" x14ac:dyDescent="0.25">
      <c r="A270" s="1"/>
      <c r="AI270" s="39"/>
    </row>
    <row r="271" spans="1:35" ht="14.25" customHeight="1" x14ac:dyDescent="0.25">
      <c r="A271" s="1"/>
      <c r="AI271" s="39"/>
    </row>
    <row r="272" spans="1:35" ht="14.25" customHeight="1" x14ac:dyDescent="0.25">
      <c r="A272" s="1"/>
      <c r="AI272" s="39"/>
    </row>
    <row r="273" spans="1:35" ht="14.25" customHeight="1" x14ac:dyDescent="0.25">
      <c r="A273" s="1"/>
      <c r="AI273" s="39"/>
    </row>
    <row r="274" spans="1:35" ht="14.25" customHeight="1" x14ac:dyDescent="0.25">
      <c r="A274" s="1"/>
      <c r="AI274" s="39"/>
    </row>
    <row r="275" spans="1:35" ht="14.25" customHeight="1" x14ac:dyDescent="0.25">
      <c r="A275" s="1"/>
      <c r="AI275" s="39"/>
    </row>
    <row r="276" spans="1:35" ht="14.25" customHeight="1" x14ac:dyDescent="0.25">
      <c r="A276" s="1"/>
      <c r="AI276" s="39"/>
    </row>
    <row r="277" spans="1:35" ht="14.25" customHeight="1" x14ac:dyDescent="0.25">
      <c r="A277" s="1"/>
      <c r="AI277" s="39"/>
    </row>
    <row r="278" spans="1:35" ht="14.25" customHeight="1" x14ac:dyDescent="0.25">
      <c r="A278" s="1"/>
      <c r="AI278" s="39"/>
    </row>
    <row r="279" spans="1:35" ht="14.25" customHeight="1" x14ac:dyDescent="0.25">
      <c r="A279" s="1"/>
      <c r="AI279" s="39"/>
    </row>
    <row r="280" spans="1:35" ht="14.25" customHeight="1" x14ac:dyDescent="0.25">
      <c r="A280" s="1"/>
      <c r="AI280" s="39"/>
    </row>
    <row r="281" spans="1:35" ht="14.25" customHeight="1" x14ac:dyDescent="0.25">
      <c r="A281" s="1"/>
      <c r="AI281" s="39"/>
    </row>
    <row r="282" spans="1:35" ht="14.25" customHeight="1" x14ac:dyDescent="0.25">
      <c r="A282" s="1"/>
      <c r="AI282" s="39"/>
    </row>
    <row r="283" spans="1:35" ht="14.25" customHeight="1" x14ac:dyDescent="0.25">
      <c r="A283" s="1"/>
      <c r="AI283" s="39"/>
    </row>
    <row r="284" spans="1:35" ht="14.25" customHeight="1" x14ac:dyDescent="0.25">
      <c r="A284" s="1"/>
      <c r="AI284" s="39"/>
    </row>
    <row r="285" spans="1:35" ht="14.25" customHeight="1" x14ac:dyDescent="0.25">
      <c r="A285" s="1"/>
      <c r="AI285" s="39"/>
    </row>
    <row r="286" spans="1:35" ht="14.25" customHeight="1" x14ac:dyDescent="0.25">
      <c r="A286" s="1"/>
      <c r="AI286" s="39"/>
    </row>
    <row r="287" spans="1:35" ht="14.25" customHeight="1" x14ac:dyDescent="0.25">
      <c r="A287" s="1"/>
      <c r="AI287" s="39"/>
    </row>
    <row r="288" spans="1:35" ht="14.25" customHeight="1" x14ac:dyDescent="0.25">
      <c r="A288" s="1"/>
      <c r="AI288" s="39"/>
    </row>
    <row r="289" spans="1:35" ht="14.25" customHeight="1" x14ac:dyDescent="0.25">
      <c r="A289" s="1"/>
      <c r="AI289" s="39"/>
    </row>
    <row r="290" spans="1:35" ht="14.25" customHeight="1" x14ac:dyDescent="0.25">
      <c r="A290" s="1"/>
      <c r="AI290" s="39"/>
    </row>
    <row r="291" spans="1:35" ht="14.25" customHeight="1" x14ac:dyDescent="0.25">
      <c r="A291" s="1"/>
      <c r="AI291" s="39"/>
    </row>
    <row r="292" spans="1:35" ht="14.25" customHeight="1" x14ac:dyDescent="0.25">
      <c r="A292" s="1"/>
      <c r="AI292" s="39"/>
    </row>
    <row r="293" spans="1:35" ht="14.25" customHeight="1" x14ac:dyDescent="0.25">
      <c r="A293" s="1"/>
      <c r="AI293" s="39"/>
    </row>
    <row r="294" spans="1:35" ht="14.25" customHeight="1" x14ac:dyDescent="0.25">
      <c r="A294" s="1"/>
      <c r="AI294" s="39"/>
    </row>
    <row r="295" spans="1:35" ht="14.25" customHeight="1" x14ac:dyDescent="0.25">
      <c r="A295" s="1"/>
      <c r="AI295" s="39"/>
    </row>
    <row r="296" spans="1:35" ht="14.25" customHeight="1" x14ac:dyDescent="0.25">
      <c r="A296" s="1"/>
      <c r="AI296" s="39"/>
    </row>
    <row r="297" spans="1:35" ht="14.25" customHeight="1" x14ac:dyDescent="0.25">
      <c r="A297" s="1"/>
      <c r="AI297" s="39"/>
    </row>
    <row r="298" spans="1:35" ht="14.25" customHeight="1" x14ac:dyDescent="0.25">
      <c r="A298" s="1"/>
      <c r="AI298" s="39"/>
    </row>
    <row r="299" spans="1:35" ht="14.25" customHeight="1" x14ac:dyDescent="0.25">
      <c r="A299" s="1"/>
      <c r="AI299" s="39"/>
    </row>
    <row r="300" spans="1:35" ht="14.25" customHeight="1" x14ac:dyDescent="0.25">
      <c r="A300" s="1"/>
      <c r="AI300" s="39"/>
    </row>
    <row r="301" spans="1:35" ht="14.25" customHeight="1" x14ac:dyDescent="0.25">
      <c r="A301" s="1"/>
      <c r="AI301" s="39"/>
    </row>
    <row r="302" spans="1:35" ht="14.25" customHeight="1" x14ac:dyDescent="0.25">
      <c r="A302" s="1"/>
      <c r="AI302" s="39"/>
    </row>
    <row r="303" spans="1:35" ht="14.25" customHeight="1" x14ac:dyDescent="0.25">
      <c r="A303" s="1"/>
      <c r="AI303" s="39"/>
    </row>
    <row r="304" spans="1:35" ht="14.25" customHeight="1" x14ac:dyDescent="0.25">
      <c r="A304" s="1"/>
      <c r="AI304" s="39"/>
    </row>
    <row r="305" spans="1:35" ht="14.25" customHeight="1" x14ac:dyDescent="0.25">
      <c r="A305" s="1"/>
      <c r="AI305" s="39"/>
    </row>
    <row r="306" spans="1:35" ht="14.25" customHeight="1" x14ac:dyDescent="0.25">
      <c r="A306" s="1"/>
      <c r="AI306" s="39"/>
    </row>
    <row r="307" spans="1:35" ht="14.25" customHeight="1" x14ac:dyDescent="0.25">
      <c r="A307" s="1"/>
      <c r="AI307" s="39"/>
    </row>
    <row r="308" spans="1:35" ht="14.25" customHeight="1" x14ac:dyDescent="0.25">
      <c r="A308" s="1"/>
      <c r="AI308" s="39"/>
    </row>
    <row r="309" spans="1:35" ht="14.25" customHeight="1" x14ac:dyDescent="0.25">
      <c r="A309" s="1"/>
      <c r="AI309" s="39"/>
    </row>
    <row r="310" spans="1:35" ht="14.25" customHeight="1" x14ac:dyDescent="0.25">
      <c r="A310" s="1"/>
      <c r="AI310" s="39"/>
    </row>
    <row r="311" spans="1:35" ht="14.25" customHeight="1" x14ac:dyDescent="0.25">
      <c r="A311" s="1"/>
      <c r="AI311" s="39"/>
    </row>
    <row r="312" spans="1:35" ht="14.25" customHeight="1" x14ac:dyDescent="0.25">
      <c r="A312" s="1"/>
      <c r="AI312" s="39"/>
    </row>
    <row r="313" spans="1:35" ht="14.25" customHeight="1" x14ac:dyDescent="0.25">
      <c r="A313" s="1"/>
      <c r="AI313" s="39"/>
    </row>
    <row r="314" spans="1:35" ht="14.25" customHeight="1" x14ac:dyDescent="0.25">
      <c r="A314" s="1"/>
      <c r="AI314" s="39"/>
    </row>
    <row r="315" spans="1:35" ht="14.25" customHeight="1" x14ac:dyDescent="0.25">
      <c r="A315" s="1"/>
      <c r="AI315" s="39"/>
    </row>
    <row r="316" spans="1:35" ht="14.25" customHeight="1" x14ac:dyDescent="0.25">
      <c r="A316" s="1"/>
      <c r="AI316" s="39"/>
    </row>
    <row r="317" spans="1:35" ht="14.25" customHeight="1" x14ac:dyDescent="0.25">
      <c r="A317" s="1"/>
      <c r="AI317" s="39"/>
    </row>
    <row r="318" spans="1:35" ht="14.25" customHeight="1" x14ac:dyDescent="0.25">
      <c r="A318" s="1"/>
      <c r="AI318" s="39"/>
    </row>
    <row r="319" spans="1:35" ht="14.25" customHeight="1" x14ac:dyDescent="0.25">
      <c r="A319" s="1"/>
      <c r="AI319" s="39"/>
    </row>
    <row r="320" spans="1:35" ht="14.25" customHeight="1" x14ac:dyDescent="0.25">
      <c r="A320" s="1"/>
      <c r="AI320" s="39"/>
    </row>
    <row r="321" spans="1:35" ht="14.25" customHeight="1" x14ac:dyDescent="0.25">
      <c r="A321" s="1"/>
      <c r="AI321" s="39"/>
    </row>
    <row r="322" spans="1:35" ht="14.25" customHeight="1" x14ac:dyDescent="0.25">
      <c r="A322" s="1"/>
      <c r="AI322" s="39"/>
    </row>
    <row r="323" spans="1:35" ht="14.25" customHeight="1" x14ac:dyDescent="0.25">
      <c r="A323" s="1"/>
      <c r="AI323" s="39"/>
    </row>
    <row r="324" spans="1:35" ht="14.25" customHeight="1" x14ac:dyDescent="0.25">
      <c r="A324" s="1"/>
      <c r="AI324" s="39"/>
    </row>
    <row r="325" spans="1:35" ht="14.25" customHeight="1" x14ac:dyDescent="0.25">
      <c r="A325" s="1"/>
      <c r="AI325" s="39"/>
    </row>
    <row r="326" spans="1:35" ht="14.25" customHeight="1" x14ac:dyDescent="0.25">
      <c r="A326" s="1"/>
      <c r="AI326" s="39"/>
    </row>
    <row r="327" spans="1:35" ht="14.25" customHeight="1" x14ac:dyDescent="0.25">
      <c r="A327" s="1"/>
      <c r="AI327" s="39"/>
    </row>
    <row r="328" spans="1:35" ht="14.25" customHeight="1" x14ac:dyDescent="0.25">
      <c r="A328" s="1"/>
      <c r="AI328" s="39"/>
    </row>
    <row r="329" spans="1:35" ht="14.25" customHeight="1" x14ac:dyDescent="0.25">
      <c r="A329" s="1"/>
      <c r="AI329" s="39"/>
    </row>
    <row r="330" spans="1:35" ht="14.25" customHeight="1" x14ac:dyDescent="0.25">
      <c r="A330" s="1"/>
      <c r="AI330" s="39"/>
    </row>
    <row r="331" spans="1:35" ht="14.25" customHeight="1" x14ac:dyDescent="0.25">
      <c r="A331" s="1"/>
      <c r="AI331" s="39"/>
    </row>
    <row r="332" spans="1:35" ht="14.25" customHeight="1" x14ac:dyDescent="0.25">
      <c r="A332" s="1"/>
      <c r="AI332" s="39"/>
    </row>
    <row r="333" spans="1:35" ht="14.25" customHeight="1" x14ac:dyDescent="0.25">
      <c r="A333" s="1"/>
      <c r="AI333" s="39"/>
    </row>
    <row r="334" spans="1:35" ht="14.25" customHeight="1" x14ac:dyDescent="0.25">
      <c r="A334" s="1"/>
      <c r="AI334" s="39"/>
    </row>
    <row r="335" spans="1:35" ht="14.25" customHeight="1" x14ac:dyDescent="0.25">
      <c r="A335" s="1"/>
      <c r="AI335" s="39"/>
    </row>
    <row r="336" spans="1:35" ht="14.25" customHeight="1" x14ac:dyDescent="0.25">
      <c r="A336" s="1"/>
      <c r="AI336" s="39"/>
    </row>
    <row r="337" spans="1:35" ht="14.25" customHeight="1" x14ac:dyDescent="0.25">
      <c r="A337" s="1"/>
      <c r="AI337" s="39"/>
    </row>
    <row r="338" spans="1:35" ht="14.25" customHeight="1" x14ac:dyDescent="0.25">
      <c r="A338" s="1"/>
      <c r="AI338" s="39"/>
    </row>
    <row r="339" spans="1:35" ht="14.25" customHeight="1" x14ac:dyDescent="0.25">
      <c r="A339" s="1"/>
      <c r="AI339" s="39"/>
    </row>
    <row r="340" spans="1:35" ht="14.25" customHeight="1" x14ac:dyDescent="0.25">
      <c r="A340" s="1"/>
      <c r="AI340" s="39"/>
    </row>
    <row r="341" spans="1:35" ht="14.25" customHeight="1" x14ac:dyDescent="0.25">
      <c r="A341" s="1"/>
      <c r="AI341" s="39"/>
    </row>
    <row r="342" spans="1:35" ht="14.25" customHeight="1" x14ac:dyDescent="0.25">
      <c r="A342" s="1"/>
      <c r="AI342" s="39"/>
    </row>
    <row r="343" spans="1:35" ht="14.25" customHeight="1" x14ac:dyDescent="0.25">
      <c r="A343" s="1"/>
      <c r="AI343" s="39"/>
    </row>
    <row r="344" spans="1:35" ht="14.25" customHeight="1" x14ac:dyDescent="0.25">
      <c r="A344" s="1"/>
      <c r="AI344" s="39"/>
    </row>
    <row r="345" spans="1:35" ht="14.25" customHeight="1" x14ac:dyDescent="0.25">
      <c r="A345" s="1"/>
      <c r="AI345" s="39"/>
    </row>
    <row r="346" spans="1:35" ht="14.25" customHeight="1" x14ac:dyDescent="0.25">
      <c r="A346" s="1"/>
      <c r="AI346" s="39"/>
    </row>
    <row r="347" spans="1:35" ht="14.25" customHeight="1" x14ac:dyDescent="0.25">
      <c r="A347" s="1"/>
      <c r="AI347" s="39"/>
    </row>
    <row r="348" spans="1:35" ht="14.25" customHeight="1" x14ac:dyDescent="0.25">
      <c r="A348" s="1"/>
      <c r="AI348" s="39"/>
    </row>
    <row r="349" spans="1:35" ht="14.25" customHeight="1" x14ac:dyDescent="0.25">
      <c r="A349" s="1"/>
      <c r="AI349" s="39"/>
    </row>
    <row r="350" spans="1:35" ht="14.25" customHeight="1" x14ac:dyDescent="0.25">
      <c r="A350" s="1"/>
      <c r="AI350" s="39"/>
    </row>
    <row r="351" spans="1:35" ht="14.25" customHeight="1" x14ac:dyDescent="0.25">
      <c r="A351" s="1"/>
      <c r="AI351" s="39"/>
    </row>
    <row r="352" spans="1:35" ht="14.25" customHeight="1" x14ac:dyDescent="0.25">
      <c r="A352" s="1"/>
      <c r="AI352" s="39"/>
    </row>
    <row r="353" spans="1:35" ht="14.25" customHeight="1" x14ac:dyDescent="0.25">
      <c r="A353" s="1"/>
      <c r="AI353" s="39"/>
    </row>
    <row r="354" spans="1:35" ht="14.25" customHeight="1" x14ac:dyDescent="0.25">
      <c r="A354" s="1"/>
      <c r="AI354" s="39"/>
    </row>
    <row r="355" spans="1:35" ht="14.25" customHeight="1" x14ac:dyDescent="0.25">
      <c r="A355" s="1"/>
      <c r="AI355" s="39"/>
    </row>
    <row r="356" spans="1:35" ht="14.25" customHeight="1" x14ac:dyDescent="0.25">
      <c r="A356" s="1"/>
      <c r="AI356" s="39"/>
    </row>
    <row r="357" spans="1:35" ht="14.25" customHeight="1" x14ac:dyDescent="0.25">
      <c r="A357" s="1"/>
      <c r="AI357" s="39"/>
    </row>
    <row r="358" spans="1:35" ht="14.25" customHeight="1" x14ac:dyDescent="0.25">
      <c r="A358" s="1"/>
      <c r="AI358" s="39"/>
    </row>
    <row r="359" spans="1:35" ht="14.25" customHeight="1" x14ac:dyDescent="0.25">
      <c r="A359" s="1"/>
      <c r="AI359" s="39"/>
    </row>
    <row r="360" spans="1:35" ht="14.25" customHeight="1" x14ac:dyDescent="0.25">
      <c r="A360" s="1"/>
      <c r="AI360" s="39"/>
    </row>
    <row r="361" spans="1:35" ht="14.25" customHeight="1" x14ac:dyDescent="0.25">
      <c r="A361" s="1"/>
      <c r="AI361" s="39"/>
    </row>
    <row r="362" spans="1:35" ht="14.25" customHeight="1" x14ac:dyDescent="0.25">
      <c r="A362" s="1"/>
      <c r="AI362" s="39"/>
    </row>
    <row r="363" spans="1:35" ht="14.25" customHeight="1" x14ac:dyDescent="0.25">
      <c r="A363" s="1"/>
      <c r="AI363" s="39"/>
    </row>
    <row r="364" spans="1:35" ht="14.25" customHeight="1" x14ac:dyDescent="0.25">
      <c r="A364" s="1"/>
      <c r="AI364" s="39"/>
    </row>
    <row r="365" spans="1:35" ht="14.25" customHeight="1" x14ac:dyDescent="0.25">
      <c r="A365" s="1"/>
      <c r="AI365" s="39"/>
    </row>
    <row r="366" spans="1:35" ht="14.25" customHeight="1" x14ac:dyDescent="0.25">
      <c r="A366" s="1"/>
      <c r="AI366" s="39"/>
    </row>
    <row r="367" spans="1:35" ht="14.25" customHeight="1" x14ac:dyDescent="0.25">
      <c r="A367" s="1"/>
      <c r="AI367" s="39"/>
    </row>
    <row r="368" spans="1:35" ht="14.25" customHeight="1" x14ac:dyDescent="0.25">
      <c r="A368" s="1"/>
      <c r="AI368" s="39"/>
    </row>
    <row r="369" spans="1:35" ht="14.25" customHeight="1" x14ac:dyDescent="0.25">
      <c r="A369" s="1"/>
      <c r="AI369" s="39"/>
    </row>
    <row r="370" spans="1:35" ht="14.25" customHeight="1" x14ac:dyDescent="0.25">
      <c r="A370" s="1"/>
      <c r="AI370" s="39"/>
    </row>
    <row r="371" spans="1:35" ht="14.25" customHeight="1" x14ac:dyDescent="0.25">
      <c r="A371" s="1"/>
      <c r="AI371" s="39"/>
    </row>
    <row r="372" spans="1:35" ht="14.25" customHeight="1" x14ac:dyDescent="0.25">
      <c r="A372" s="1"/>
      <c r="AI372" s="39"/>
    </row>
    <row r="373" spans="1:35" ht="14.25" customHeight="1" x14ac:dyDescent="0.25">
      <c r="A373" s="1"/>
      <c r="AI373" s="39"/>
    </row>
    <row r="374" spans="1:35" ht="14.25" customHeight="1" x14ac:dyDescent="0.25">
      <c r="A374" s="1"/>
      <c r="AI374" s="39"/>
    </row>
    <row r="375" spans="1:35" ht="14.25" customHeight="1" x14ac:dyDescent="0.25">
      <c r="A375" s="1"/>
      <c r="AI375" s="39"/>
    </row>
    <row r="376" spans="1:35" ht="14.25" customHeight="1" x14ac:dyDescent="0.25">
      <c r="A376" s="1"/>
      <c r="AI376" s="39"/>
    </row>
    <row r="377" spans="1:35" ht="14.25" customHeight="1" x14ac:dyDescent="0.25">
      <c r="A377" s="1"/>
      <c r="AI377" s="39"/>
    </row>
    <row r="378" spans="1:35" ht="14.25" customHeight="1" x14ac:dyDescent="0.25">
      <c r="A378" s="1"/>
      <c r="AI378" s="39"/>
    </row>
    <row r="379" spans="1:35" ht="14.25" customHeight="1" x14ac:dyDescent="0.25">
      <c r="A379" s="1"/>
      <c r="AI379" s="39"/>
    </row>
    <row r="380" spans="1:35" ht="14.25" customHeight="1" x14ac:dyDescent="0.25">
      <c r="A380" s="1"/>
      <c r="AI380" s="39"/>
    </row>
    <row r="381" spans="1:35" ht="14.25" customHeight="1" x14ac:dyDescent="0.25">
      <c r="A381" s="1"/>
      <c r="AI381" s="39"/>
    </row>
    <row r="382" spans="1:35" ht="14.25" customHeight="1" x14ac:dyDescent="0.25">
      <c r="A382" s="1"/>
      <c r="AI382" s="39"/>
    </row>
    <row r="383" spans="1:35" ht="14.25" customHeight="1" x14ac:dyDescent="0.25">
      <c r="A383" s="1"/>
      <c r="AI383" s="39"/>
    </row>
    <row r="384" spans="1:35" ht="14.25" customHeight="1" x14ac:dyDescent="0.25">
      <c r="A384" s="1"/>
      <c r="AI384" s="39"/>
    </row>
    <row r="385" spans="1:35" ht="14.25" customHeight="1" x14ac:dyDescent="0.25">
      <c r="A385" s="1"/>
      <c r="AI385" s="39"/>
    </row>
    <row r="386" spans="1:35" ht="14.25" customHeight="1" x14ac:dyDescent="0.25">
      <c r="A386" s="1"/>
      <c r="AI386" s="39"/>
    </row>
    <row r="387" spans="1:35" ht="14.25" customHeight="1" x14ac:dyDescent="0.25">
      <c r="A387" s="1"/>
      <c r="AI387" s="39"/>
    </row>
    <row r="388" spans="1:35" ht="14.25" customHeight="1" x14ac:dyDescent="0.25">
      <c r="A388" s="1"/>
      <c r="AI388" s="39"/>
    </row>
    <row r="389" spans="1:35" ht="14.25" customHeight="1" x14ac:dyDescent="0.25">
      <c r="A389" s="1"/>
      <c r="AI389" s="39"/>
    </row>
    <row r="390" spans="1:35" ht="14.25" customHeight="1" x14ac:dyDescent="0.25">
      <c r="A390" s="1"/>
      <c r="AI390" s="39"/>
    </row>
    <row r="391" spans="1:35" ht="14.25" customHeight="1" x14ac:dyDescent="0.25">
      <c r="A391" s="1"/>
      <c r="AI391" s="39"/>
    </row>
    <row r="392" spans="1:35" ht="14.25" customHeight="1" x14ac:dyDescent="0.25">
      <c r="A392" s="1"/>
      <c r="AI392" s="39"/>
    </row>
    <row r="393" spans="1:35" ht="14.25" customHeight="1" x14ac:dyDescent="0.25">
      <c r="A393" s="1"/>
      <c r="AI393" s="39"/>
    </row>
    <row r="394" spans="1:35" ht="14.25" customHeight="1" x14ac:dyDescent="0.25">
      <c r="A394" s="1"/>
      <c r="AI394" s="39"/>
    </row>
    <row r="395" spans="1:35" ht="14.25" customHeight="1" x14ac:dyDescent="0.25">
      <c r="A395" s="1"/>
      <c r="AI395" s="39"/>
    </row>
    <row r="396" spans="1:35" ht="14.25" customHeight="1" x14ac:dyDescent="0.25">
      <c r="A396" s="1"/>
      <c r="AI396" s="39"/>
    </row>
    <row r="397" spans="1:35" ht="14.25" customHeight="1" x14ac:dyDescent="0.25">
      <c r="A397" s="1"/>
      <c r="AI397" s="39"/>
    </row>
    <row r="398" spans="1:35" ht="14.25" customHeight="1" x14ac:dyDescent="0.25">
      <c r="A398" s="1"/>
      <c r="AI398" s="39"/>
    </row>
    <row r="399" spans="1:35" ht="14.25" customHeight="1" x14ac:dyDescent="0.25">
      <c r="A399" s="1"/>
      <c r="AI399" s="39"/>
    </row>
    <row r="400" spans="1:35" ht="14.25" customHeight="1" x14ac:dyDescent="0.25">
      <c r="A400" s="1"/>
      <c r="AI400" s="39"/>
    </row>
    <row r="401" spans="1:35" ht="14.25" customHeight="1" x14ac:dyDescent="0.25">
      <c r="A401" s="1"/>
      <c r="AI401" s="39"/>
    </row>
    <row r="402" spans="1:35" ht="14.25" customHeight="1" x14ac:dyDescent="0.25">
      <c r="A402" s="1"/>
      <c r="AI402" s="39"/>
    </row>
    <row r="403" spans="1:35" ht="14.25" customHeight="1" x14ac:dyDescent="0.25">
      <c r="A403" s="1"/>
      <c r="AI403" s="39"/>
    </row>
    <row r="404" spans="1:35" ht="14.25" customHeight="1" x14ac:dyDescent="0.25">
      <c r="A404" s="1"/>
      <c r="AI404" s="39"/>
    </row>
    <row r="405" spans="1:35" ht="14.25" customHeight="1" x14ac:dyDescent="0.25">
      <c r="A405" s="1"/>
      <c r="AI405" s="39"/>
    </row>
    <row r="406" spans="1:35" ht="14.25" customHeight="1" x14ac:dyDescent="0.25">
      <c r="A406" s="1"/>
      <c r="AI406" s="39"/>
    </row>
    <row r="407" spans="1:35" ht="14.25" customHeight="1" x14ac:dyDescent="0.25">
      <c r="A407" s="1"/>
      <c r="AI407" s="39"/>
    </row>
    <row r="408" spans="1:35" ht="14.25" customHeight="1" x14ac:dyDescent="0.25">
      <c r="A408" s="1"/>
      <c r="AI408" s="39"/>
    </row>
    <row r="409" spans="1:35" ht="14.25" customHeight="1" x14ac:dyDescent="0.25">
      <c r="A409" s="1"/>
      <c r="AI409" s="39"/>
    </row>
    <row r="410" spans="1:35" ht="14.25" customHeight="1" x14ac:dyDescent="0.25">
      <c r="A410" s="1"/>
      <c r="AI410" s="39"/>
    </row>
    <row r="411" spans="1:35" ht="14.25" customHeight="1" x14ac:dyDescent="0.25">
      <c r="A411" s="1"/>
      <c r="AI411" s="39"/>
    </row>
    <row r="412" spans="1:35" ht="14.25" customHeight="1" x14ac:dyDescent="0.25">
      <c r="A412" s="1"/>
      <c r="AI412" s="39"/>
    </row>
    <row r="413" spans="1:35" ht="14.25" customHeight="1" x14ac:dyDescent="0.25">
      <c r="A413" s="1"/>
      <c r="AI413" s="39"/>
    </row>
    <row r="414" spans="1:35" ht="14.25" customHeight="1" x14ac:dyDescent="0.25">
      <c r="A414" s="1"/>
      <c r="AI414" s="39"/>
    </row>
    <row r="415" spans="1:35" ht="14.25" customHeight="1" x14ac:dyDescent="0.25">
      <c r="A415" s="1"/>
      <c r="AI415" s="39"/>
    </row>
    <row r="416" spans="1:35" ht="14.25" customHeight="1" x14ac:dyDescent="0.25">
      <c r="A416" s="1"/>
      <c r="AI416" s="39"/>
    </row>
    <row r="417" spans="1:35" ht="14.25" customHeight="1" x14ac:dyDescent="0.25">
      <c r="A417" s="1"/>
      <c r="AI417" s="39"/>
    </row>
    <row r="418" spans="1:35" ht="14.25" customHeight="1" x14ac:dyDescent="0.25">
      <c r="A418" s="1"/>
      <c r="AI418" s="39"/>
    </row>
    <row r="419" spans="1:35" ht="14.25" customHeight="1" x14ac:dyDescent="0.25">
      <c r="A419" s="1"/>
      <c r="AI419" s="39"/>
    </row>
    <row r="420" spans="1:35" ht="14.25" customHeight="1" x14ac:dyDescent="0.25">
      <c r="A420" s="1"/>
      <c r="AI420" s="39"/>
    </row>
    <row r="421" spans="1:35" ht="14.25" customHeight="1" x14ac:dyDescent="0.25">
      <c r="A421" s="1"/>
      <c r="AI421" s="39"/>
    </row>
    <row r="422" spans="1:35" ht="14.25" customHeight="1" x14ac:dyDescent="0.25">
      <c r="A422" s="1"/>
      <c r="AI422" s="39"/>
    </row>
    <row r="423" spans="1:35" ht="14.25" customHeight="1" x14ac:dyDescent="0.25">
      <c r="A423" s="1"/>
      <c r="AI423" s="39"/>
    </row>
    <row r="424" spans="1:35" ht="14.25" customHeight="1" x14ac:dyDescent="0.25">
      <c r="A424" s="1"/>
      <c r="AI424" s="39"/>
    </row>
    <row r="425" spans="1:35" ht="14.25" customHeight="1" x14ac:dyDescent="0.25">
      <c r="A425" s="1"/>
      <c r="AI425" s="39"/>
    </row>
    <row r="426" spans="1:35" ht="14.25" customHeight="1" x14ac:dyDescent="0.25">
      <c r="A426" s="1"/>
      <c r="AI426" s="39"/>
    </row>
    <row r="427" spans="1:35" ht="14.25" customHeight="1" x14ac:dyDescent="0.25">
      <c r="A427" s="1"/>
      <c r="AI427" s="39"/>
    </row>
    <row r="428" spans="1:35" ht="14.25" customHeight="1" x14ac:dyDescent="0.25">
      <c r="A428" s="1"/>
      <c r="AI428" s="39"/>
    </row>
    <row r="429" spans="1:35" ht="14.25" customHeight="1" x14ac:dyDescent="0.25">
      <c r="A429" s="1"/>
      <c r="AI429" s="39"/>
    </row>
    <row r="430" spans="1:35" ht="14.25" customHeight="1" x14ac:dyDescent="0.25">
      <c r="A430" s="1"/>
      <c r="AI430" s="39"/>
    </row>
    <row r="431" spans="1:35" ht="14.25" customHeight="1" x14ac:dyDescent="0.25">
      <c r="A431" s="1"/>
      <c r="AI431" s="39"/>
    </row>
    <row r="432" spans="1:35" ht="14.25" customHeight="1" x14ac:dyDescent="0.25">
      <c r="A432" s="1"/>
      <c r="AI432" s="39"/>
    </row>
    <row r="433" spans="1:35" ht="14.25" customHeight="1" x14ac:dyDescent="0.25">
      <c r="A433" s="1"/>
      <c r="AI433" s="39"/>
    </row>
    <row r="434" spans="1:35" ht="14.25" customHeight="1" x14ac:dyDescent="0.25">
      <c r="A434" s="1"/>
      <c r="AI434" s="39"/>
    </row>
    <row r="435" spans="1:35" ht="14.25" customHeight="1" x14ac:dyDescent="0.25">
      <c r="A435" s="1"/>
      <c r="AI435" s="39"/>
    </row>
    <row r="436" spans="1:35" ht="14.25" customHeight="1" x14ac:dyDescent="0.25">
      <c r="A436" s="1"/>
      <c r="AI436" s="39"/>
    </row>
    <row r="437" spans="1:35" ht="14.25" customHeight="1" x14ac:dyDescent="0.25">
      <c r="A437" s="1"/>
      <c r="AI437" s="39"/>
    </row>
    <row r="438" spans="1:35" ht="14.25" customHeight="1" x14ac:dyDescent="0.25">
      <c r="A438" s="1"/>
      <c r="AI438" s="39"/>
    </row>
    <row r="439" spans="1:35" ht="14.25" customHeight="1" x14ac:dyDescent="0.25">
      <c r="A439" s="1"/>
      <c r="AI439" s="39"/>
    </row>
    <row r="440" spans="1:35" ht="14.25" customHeight="1" x14ac:dyDescent="0.25">
      <c r="A440" s="1"/>
      <c r="AI440" s="39"/>
    </row>
    <row r="441" spans="1:35" ht="14.25" customHeight="1" x14ac:dyDescent="0.25">
      <c r="A441" s="1"/>
      <c r="AI441" s="39"/>
    </row>
    <row r="442" spans="1:35" ht="14.25" customHeight="1" x14ac:dyDescent="0.25">
      <c r="A442" s="1"/>
      <c r="AI442" s="39"/>
    </row>
    <row r="443" spans="1:35" ht="14.25" customHeight="1" x14ac:dyDescent="0.25">
      <c r="A443" s="1"/>
      <c r="AI443" s="39"/>
    </row>
    <row r="444" spans="1:35" ht="14.25" customHeight="1" x14ac:dyDescent="0.25">
      <c r="A444" s="1"/>
      <c r="AI444" s="39"/>
    </row>
    <row r="445" spans="1:35" ht="14.25" customHeight="1" x14ac:dyDescent="0.25">
      <c r="A445" s="1"/>
      <c r="AI445" s="39"/>
    </row>
    <row r="446" spans="1:35" ht="14.25" customHeight="1" x14ac:dyDescent="0.25">
      <c r="A446" s="1"/>
      <c r="AI446" s="39"/>
    </row>
    <row r="447" spans="1:35" ht="14.25" customHeight="1" x14ac:dyDescent="0.25">
      <c r="A447" s="1"/>
      <c r="AI447" s="39"/>
    </row>
    <row r="448" spans="1:35" ht="14.25" customHeight="1" x14ac:dyDescent="0.25">
      <c r="A448" s="1"/>
      <c r="AI448" s="39"/>
    </row>
    <row r="449" spans="1:35" ht="14.25" customHeight="1" x14ac:dyDescent="0.25">
      <c r="A449" s="1"/>
      <c r="AI449" s="39"/>
    </row>
    <row r="450" spans="1:35" ht="14.25" customHeight="1" x14ac:dyDescent="0.25">
      <c r="A450" s="1"/>
      <c r="AI450" s="39"/>
    </row>
    <row r="451" spans="1:35" ht="14.25" customHeight="1" x14ac:dyDescent="0.25">
      <c r="A451" s="1"/>
      <c r="AI451" s="39"/>
    </row>
    <row r="452" spans="1:35" ht="14.25" customHeight="1" x14ac:dyDescent="0.25">
      <c r="A452" s="1"/>
      <c r="AI452" s="39"/>
    </row>
    <row r="453" spans="1:35" ht="14.25" customHeight="1" x14ac:dyDescent="0.25">
      <c r="A453" s="1"/>
      <c r="AI453" s="39"/>
    </row>
    <row r="454" spans="1:35" ht="14.25" customHeight="1" x14ac:dyDescent="0.25">
      <c r="A454" s="1"/>
      <c r="AI454" s="39"/>
    </row>
    <row r="455" spans="1:35" ht="14.25" customHeight="1" x14ac:dyDescent="0.25">
      <c r="A455" s="1"/>
      <c r="AI455" s="39"/>
    </row>
    <row r="456" spans="1:35" ht="14.25" customHeight="1" x14ac:dyDescent="0.25">
      <c r="A456" s="1"/>
      <c r="AI456" s="39"/>
    </row>
    <row r="457" spans="1:35" ht="14.25" customHeight="1" x14ac:dyDescent="0.25">
      <c r="A457" s="1"/>
      <c r="AI457" s="39"/>
    </row>
    <row r="458" spans="1:35" ht="14.25" customHeight="1" x14ac:dyDescent="0.25">
      <c r="A458" s="1"/>
      <c r="AI458" s="39"/>
    </row>
    <row r="459" spans="1:35" ht="14.25" customHeight="1" x14ac:dyDescent="0.25">
      <c r="A459" s="1"/>
      <c r="AI459" s="39"/>
    </row>
    <row r="460" spans="1:35" ht="14.25" customHeight="1" x14ac:dyDescent="0.25">
      <c r="A460" s="1"/>
      <c r="AI460" s="39"/>
    </row>
    <row r="461" spans="1:35" ht="14.25" customHeight="1" x14ac:dyDescent="0.25">
      <c r="A461" s="1"/>
      <c r="AI461" s="39"/>
    </row>
    <row r="462" spans="1:35" ht="14.25" customHeight="1" x14ac:dyDescent="0.25">
      <c r="A462" s="1"/>
      <c r="AI462" s="39"/>
    </row>
    <row r="463" spans="1:35" ht="14.25" customHeight="1" x14ac:dyDescent="0.25">
      <c r="A463" s="1"/>
      <c r="AI463" s="39"/>
    </row>
    <row r="464" spans="1:35" ht="14.25" customHeight="1" x14ac:dyDescent="0.25">
      <c r="A464" s="1"/>
      <c r="AI464" s="39"/>
    </row>
    <row r="465" spans="1:35" ht="14.25" customHeight="1" x14ac:dyDescent="0.25">
      <c r="A465" s="1"/>
      <c r="AI465" s="39"/>
    </row>
    <row r="466" spans="1:35" ht="14.25" customHeight="1" x14ac:dyDescent="0.25">
      <c r="A466" s="1"/>
      <c r="AI466" s="39"/>
    </row>
    <row r="467" spans="1:35" ht="14.25" customHeight="1" x14ac:dyDescent="0.25">
      <c r="A467" s="1"/>
      <c r="AI467" s="39"/>
    </row>
    <row r="468" spans="1:35" ht="14.25" customHeight="1" x14ac:dyDescent="0.25">
      <c r="A468" s="1"/>
      <c r="AI468" s="39"/>
    </row>
    <row r="469" spans="1:35" ht="14.25" customHeight="1" x14ac:dyDescent="0.25">
      <c r="A469" s="1"/>
      <c r="AI469" s="39"/>
    </row>
    <row r="470" spans="1:35" ht="14.25" customHeight="1" x14ac:dyDescent="0.25">
      <c r="A470" s="1"/>
      <c r="AI470" s="39"/>
    </row>
    <row r="471" spans="1:35" ht="14.25" customHeight="1" x14ac:dyDescent="0.25">
      <c r="A471" s="1"/>
      <c r="AI471" s="39"/>
    </row>
    <row r="472" spans="1:35" ht="14.25" customHeight="1" x14ac:dyDescent="0.25">
      <c r="A472" s="1"/>
      <c r="AI472" s="39"/>
    </row>
    <row r="473" spans="1:35" ht="14.25" customHeight="1" x14ac:dyDescent="0.25">
      <c r="A473" s="1"/>
      <c r="AI473" s="39"/>
    </row>
    <row r="474" spans="1:35" ht="14.25" customHeight="1" x14ac:dyDescent="0.25">
      <c r="A474" s="1"/>
      <c r="AI474" s="39"/>
    </row>
    <row r="475" spans="1:35" ht="14.25" customHeight="1" x14ac:dyDescent="0.25">
      <c r="A475" s="1"/>
      <c r="AI475" s="39"/>
    </row>
    <row r="476" spans="1:35" ht="14.25" customHeight="1" x14ac:dyDescent="0.25">
      <c r="A476" s="1"/>
      <c r="AI476" s="39"/>
    </row>
    <row r="477" spans="1:35" ht="14.25" customHeight="1" x14ac:dyDescent="0.25">
      <c r="A477" s="1"/>
      <c r="AI477" s="39"/>
    </row>
    <row r="478" spans="1:35" ht="14.25" customHeight="1" x14ac:dyDescent="0.25">
      <c r="A478" s="1"/>
      <c r="AI478" s="39"/>
    </row>
    <row r="479" spans="1:35" ht="14.25" customHeight="1" x14ac:dyDescent="0.25">
      <c r="A479" s="1"/>
      <c r="AI479" s="39"/>
    </row>
    <row r="480" spans="1:35" ht="14.25" customHeight="1" x14ac:dyDescent="0.25">
      <c r="A480" s="1"/>
      <c r="AI480" s="39"/>
    </row>
    <row r="481" spans="1:35" ht="14.25" customHeight="1" x14ac:dyDescent="0.25">
      <c r="A481" s="1"/>
      <c r="AI481" s="39"/>
    </row>
    <row r="482" spans="1:35" ht="14.25" customHeight="1" x14ac:dyDescent="0.25">
      <c r="A482" s="1"/>
      <c r="AI482" s="39"/>
    </row>
    <row r="483" spans="1:35" ht="14.25" customHeight="1" x14ac:dyDescent="0.25">
      <c r="A483" s="1"/>
      <c r="AI483" s="39"/>
    </row>
    <row r="484" spans="1:35" ht="14.25" customHeight="1" x14ac:dyDescent="0.25">
      <c r="A484" s="1"/>
      <c r="AI484" s="39"/>
    </row>
    <row r="485" spans="1:35" ht="14.25" customHeight="1" x14ac:dyDescent="0.25">
      <c r="A485" s="1"/>
      <c r="AI485" s="39"/>
    </row>
    <row r="486" spans="1:35" ht="14.25" customHeight="1" x14ac:dyDescent="0.25">
      <c r="A486" s="1"/>
      <c r="AI486" s="39"/>
    </row>
    <row r="487" spans="1:35" ht="14.25" customHeight="1" x14ac:dyDescent="0.25">
      <c r="A487" s="1"/>
      <c r="AI487" s="39"/>
    </row>
    <row r="488" spans="1:35" ht="14.25" customHeight="1" x14ac:dyDescent="0.25">
      <c r="A488" s="1"/>
      <c r="AI488" s="39"/>
    </row>
    <row r="489" spans="1:35" ht="14.25" customHeight="1" x14ac:dyDescent="0.25">
      <c r="A489" s="1"/>
      <c r="AI489" s="39"/>
    </row>
    <row r="490" spans="1:35" ht="14.25" customHeight="1" x14ac:dyDescent="0.25">
      <c r="A490" s="1"/>
      <c r="AI490" s="39"/>
    </row>
    <row r="491" spans="1:35" ht="14.25" customHeight="1" x14ac:dyDescent="0.25">
      <c r="A491" s="1"/>
      <c r="AI491" s="39"/>
    </row>
    <row r="492" spans="1:35" ht="14.25" customHeight="1" x14ac:dyDescent="0.25">
      <c r="A492" s="1"/>
      <c r="AI492" s="39"/>
    </row>
    <row r="493" spans="1:35" ht="14.25" customHeight="1" x14ac:dyDescent="0.25">
      <c r="A493" s="1"/>
      <c r="AI493" s="39"/>
    </row>
    <row r="494" spans="1:35" ht="14.25" customHeight="1" x14ac:dyDescent="0.25">
      <c r="A494" s="1"/>
      <c r="AI494" s="39"/>
    </row>
    <row r="495" spans="1:35" ht="14.25" customHeight="1" x14ac:dyDescent="0.25">
      <c r="A495" s="1"/>
      <c r="AI495" s="39"/>
    </row>
    <row r="496" spans="1:35" ht="14.25" customHeight="1" x14ac:dyDescent="0.25">
      <c r="A496" s="1"/>
      <c r="AI496" s="39"/>
    </row>
    <row r="497" spans="1:35" ht="14.25" customHeight="1" x14ac:dyDescent="0.25">
      <c r="A497" s="1"/>
      <c r="AI497" s="39"/>
    </row>
    <row r="498" spans="1:35" ht="14.25" customHeight="1" x14ac:dyDescent="0.25">
      <c r="A498" s="1"/>
      <c r="AI498" s="39"/>
    </row>
    <row r="499" spans="1:35" ht="14.25" customHeight="1" x14ac:dyDescent="0.25">
      <c r="A499" s="1"/>
      <c r="AI499" s="39"/>
    </row>
    <row r="500" spans="1:35" ht="14.25" customHeight="1" x14ac:dyDescent="0.25">
      <c r="A500" s="1"/>
      <c r="AI500" s="39"/>
    </row>
    <row r="501" spans="1:35" ht="14.25" customHeight="1" x14ac:dyDescent="0.25">
      <c r="A501" s="1"/>
      <c r="AI501" s="39"/>
    </row>
    <row r="502" spans="1:35" ht="14.25" customHeight="1" x14ac:dyDescent="0.25">
      <c r="A502" s="1"/>
      <c r="AI502" s="39"/>
    </row>
    <row r="503" spans="1:35" ht="14.25" customHeight="1" x14ac:dyDescent="0.25">
      <c r="A503" s="1"/>
      <c r="AI503" s="39"/>
    </row>
    <row r="504" spans="1:35" ht="14.25" customHeight="1" x14ac:dyDescent="0.25">
      <c r="A504" s="1"/>
      <c r="AI504" s="39"/>
    </row>
    <row r="505" spans="1:35" ht="14.25" customHeight="1" x14ac:dyDescent="0.25">
      <c r="A505" s="1"/>
      <c r="AI505" s="39"/>
    </row>
    <row r="506" spans="1:35" ht="14.25" customHeight="1" x14ac:dyDescent="0.25">
      <c r="A506" s="1"/>
      <c r="AI506" s="39"/>
    </row>
    <row r="507" spans="1:35" ht="14.25" customHeight="1" x14ac:dyDescent="0.25">
      <c r="A507" s="1"/>
      <c r="AI507" s="39"/>
    </row>
    <row r="508" spans="1:35" ht="14.25" customHeight="1" x14ac:dyDescent="0.25">
      <c r="A508" s="1"/>
      <c r="AI508" s="39"/>
    </row>
    <row r="509" spans="1:35" ht="14.25" customHeight="1" x14ac:dyDescent="0.25">
      <c r="A509" s="1"/>
      <c r="AI509" s="39"/>
    </row>
    <row r="510" spans="1:35" ht="14.25" customHeight="1" x14ac:dyDescent="0.25">
      <c r="A510" s="1"/>
      <c r="AI510" s="39"/>
    </row>
    <row r="511" spans="1:35" ht="14.25" customHeight="1" x14ac:dyDescent="0.25">
      <c r="A511" s="1"/>
      <c r="AI511" s="39"/>
    </row>
    <row r="512" spans="1:35" ht="14.25" customHeight="1" x14ac:dyDescent="0.25">
      <c r="A512" s="1"/>
      <c r="AI512" s="39"/>
    </row>
    <row r="513" spans="1:35" ht="14.25" customHeight="1" x14ac:dyDescent="0.25">
      <c r="A513" s="1"/>
      <c r="AI513" s="39"/>
    </row>
    <row r="514" spans="1:35" ht="14.25" customHeight="1" x14ac:dyDescent="0.25">
      <c r="A514" s="1"/>
      <c r="AI514" s="39"/>
    </row>
    <row r="515" spans="1:35" ht="14.25" customHeight="1" x14ac:dyDescent="0.25">
      <c r="A515" s="1"/>
      <c r="AI515" s="39"/>
    </row>
    <row r="516" spans="1:35" ht="14.25" customHeight="1" x14ac:dyDescent="0.25">
      <c r="A516" s="1"/>
      <c r="AI516" s="39"/>
    </row>
    <row r="517" spans="1:35" ht="14.25" customHeight="1" x14ac:dyDescent="0.25">
      <c r="A517" s="1"/>
      <c r="AI517" s="39"/>
    </row>
    <row r="518" spans="1:35" ht="14.25" customHeight="1" x14ac:dyDescent="0.25">
      <c r="A518" s="1"/>
      <c r="AI518" s="39"/>
    </row>
    <row r="519" spans="1:35" ht="14.25" customHeight="1" x14ac:dyDescent="0.25">
      <c r="A519" s="1"/>
      <c r="AI519" s="39"/>
    </row>
    <row r="520" spans="1:35" ht="14.25" customHeight="1" x14ac:dyDescent="0.25">
      <c r="A520" s="1"/>
      <c r="AI520" s="39"/>
    </row>
    <row r="521" spans="1:35" ht="14.25" customHeight="1" x14ac:dyDescent="0.25">
      <c r="A521" s="1"/>
      <c r="AI521" s="39"/>
    </row>
    <row r="522" spans="1:35" ht="14.25" customHeight="1" x14ac:dyDescent="0.25">
      <c r="A522" s="1"/>
      <c r="AI522" s="39"/>
    </row>
    <row r="523" spans="1:35" ht="14.25" customHeight="1" x14ac:dyDescent="0.25">
      <c r="A523" s="1"/>
      <c r="AI523" s="39"/>
    </row>
    <row r="524" spans="1:35" ht="14.25" customHeight="1" x14ac:dyDescent="0.25">
      <c r="A524" s="1"/>
      <c r="AI524" s="39"/>
    </row>
    <row r="525" spans="1:35" ht="14.25" customHeight="1" x14ac:dyDescent="0.25">
      <c r="A525" s="1"/>
      <c r="AI525" s="39"/>
    </row>
    <row r="526" spans="1:35" ht="14.25" customHeight="1" x14ac:dyDescent="0.25">
      <c r="A526" s="1"/>
      <c r="AI526" s="39"/>
    </row>
    <row r="527" spans="1:35" ht="14.25" customHeight="1" x14ac:dyDescent="0.25">
      <c r="A527" s="1"/>
      <c r="AI527" s="39"/>
    </row>
    <row r="528" spans="1:35" ht="14.25" customHeight="1" x14ac:dyDescent="0.25">
      <c r="A528" s="1"/>
      <c r="AI528" s="39"/>
    </row>
    <row r="529" spans="1:35" ht="14.25" customHeight="1" x14ac:dyDescent="0.25">
      <c r="A529" s="1"/>
      <c r="AI529" s="39"/>
    </row>
    <row r="530" spans="1:35" ht="14.25" customHeight="1" x14ac:dyDescent="0.25">
      <c r="A530" s="1"/>
      <c r="AI530" s="39"/>
    </row>
    <row r="531" spans="1:35" ht="14.25" customHeight="1" x14ac:dyDescent="0.25">
      <c r="A531" s="1"/>
      <c r="AI531" s="39"/>
    </row>
    <row r="532" spans="1:35" ht="14.25" customHeight="1" x14ac:dyDescent="0.25">
      <c r="A532" s="1"/>
      <c r="AI532" s="39"/>
    </row>
    <row r="533" spans="1:35" ht="14.25" customHeight="1" x14ac:dyDescent="0.25">
      <c r="A533" s="1"/>
      <c r="AI533" s="39"/>
    </row>
    <row r="534" spans="1:35" ht="14.25" customHeight="1" x14ac:dyDescent="0.25">
      <c r="A534" s="1"/>
      <c r="AI534" s="39"/>
    </row>
    <row r="535" spans="1:35" ht="14.25" customHeight="1" x14ac:dyDescent="0.25">
      <c r="A535" s="1"/>
      <c r="AI535" s="39"/>
    </row>
    <row r="536" spans="1:35" ht="14.25" customHeight="1" x14ac:dyDescent="0.25">
      <c r="A536" s="1"/>
      <c r="AI536" s="39"/>
    </row>
    <row r="537" spans="1:35" ht="14.25" customHeight="1" x14ac:dyDescent="0.25">
      <c r="A537" s="1"/>
      <c r="AI537" s="39"/>
    </row>
    <row r="538" spans="1:35" ht="14.25" customHeight="1" x14ac:dyDescent="0.25">
      <c r="A538" s="1"/>
      <c r="AI538" s="39"/>
    </row>
    <row r="539" spans="1:35" ht="14.25" customHeight="1" x14ac:dyDescent="0.25">
      <c r="A539" s="1"/>
      <c r="AI539" s="39"/>
    </row>
    <row r="540" spans="1:35" ht="14.25" customHeight="1" x14ac:dyDescent="0.25">
      <c r="A540" s="1"/>
      <c r="AI540" s="39"/>
    </row>
    <row r="541" spans="1:35" ht="14.25" customHeight="1" x14ac:dyDescent="0.25">
      <c r="A541" s="1"/>
      <c r="AI541" s="39"/>
    </row>
    <row r="542" spans="1:35" ht="14.25" customHeight="1" x14ac:dyDescent="0.25">
      <c r="A542" s="1"/>
      <c r="AI542" s="39"/>
    </row>
    <row r="543" spans="1:35" ht="14.25" customHeight="1" x14ac:dyDescent="0.25">
      <c r="A543" s="1"/>
      <c r="AI543" s="39"/>
    </row>
    <row r="544" spans="1:35" ht="14.25" customHeight="1" x14ac:dyDescent="0.25">
      <c r="A544" s="1"/>
      <c r="AI544" s="39"/>
    </row>
    <row r="545" spans="1:35" ht="14.25" customHeight="1" x14ac:dyDescent="0.25">
      <c r="A545" s="1"/>
      <c r="AI545" s="39"/>
    </row>
    <row r="546" spans="1:35" ht="14.25" customHeight="1" x14ac:dyDescent="0.25">
      <c r="A546" s="1"/>
      <c r="AI546" s="39"/>
    </row>
    <row r="547" spans="1:35" ht="14.25" customHeight="1" x14ac:dyDescent="0.25">
      <c r="A547" s="1"/>
      <c r="AI547" s="39"/>
    </row>
    <row r="548" spans="1:35" ht="14.25" customHeight="1" x14ac:dyDescent="0.25">
      <c r="A548" s="1"/>
      <c r="AI548" s="39"/>
    </row>
    <row r="549" spans="1:35" ht="14.25" customHeight="1" x14ac:dyDescent="0.25">
      <c r="A549" s="1"/>
      <c r="AI549" s="39"/>
    </row>
    <row r="550" spans="1:35" ht="14.25" customHeight="1" x14ac:dyDescent="0.25">
      <c r="A550" s="1"/>
      <c r="AI550" s="39"/>
    </row>
    <row r="551" spans="1:35" ht="14.25" customHeight="1" x14ac:dyDescent="0.25">
      <c r="A551" s="1"/>
      <c r="AI551" s="39"/>
    </row>
    <row r="552" spans="1:35" ht="14.25" customHeight="1" x14ac:dyDescent="0.25">
      <c r="A552" s="1"/>
      <c r="AI552" s="39"/>
    </row>
    <row r="553" spans="1:35" ht="14.25" customHeight="1" x14ac:dyDescent="0.25">
      <c r="A553" s="1"/>
      <c r="AI553" s="39"/>
    </row>
    <row r="554" spans="1:35" ht="14.25" customHeight="1" x14ac:dyDescent="0.25">
      <c r="A554" s="1"/>
      <c r="AI554" s="39"/>
    </row>
    <row r="555" spans="1:35" ht="14.25" customHeight="1" x14ac:dyDescent="0.25">
      <c r="A555" s="1"/>
      <c r="AI555" s="39"/>
    </row>
    <row r="556" spans="1:35" ht="14.25" customHeight="1" x14ac:dyDescent="0.25">
      <c r="A556" s="1"/>
      <c r="AI556" s="39"/>
    </row>
    <row r="557" spans="1:35" ht="14.25" customHeight="1" x14ac:dyDescent="0.25">
      <c r="A557" s="1"/>
      <c r="AI557" s="39"/>
    </row>
    <row r="558" spans="1:35" ht="14.25" customHeight="1" x14ac:dyDescent="0.25">
      <c r="A558" s="1"/>
      <c r="AI558" s="39"/>
    </row>
    <row r="559" spans="1:35" ht="14.25" customHeight="1" x14ac:dyDescent="0.25">
      <c r="A559" s="1"/>
      <c r="AI559" s="39"/>
    </row>
    <row r="560" spans="1:35" ht="14.25" customHeight="1" x14ac:dyDescent="0.25">
      <c r="A560" s="1"/>
      <c r="AI560" s="39"/>
    </row>
    <row r="561" spans="1:35" ht="14.25" customHeight="1" x14ac:dyDescent="0.25">
      <c r="A561" s="1"/>
      <c r="AI561" s="39"/>
    </row>
    <row r="562" spans="1:35" ht="14.25" customHeight="1" x14ac:dyDescent="0.25">
      <c r="A562" s="1"/>
      <c r="AI562" s="39"/>
    </row>
    <row r="563" spans="1:35" ht="14.25" customHeight="1" x14ac:dyDescent="0.25">
      <c r="A563" s="1"/>
      <c r="AI563" s="39"/>
    </row>
    <row r="564" spans="1:35" ht="14.25" customHeight="1" x14ac:dyDescent="0.25">
      <c r="A564" s="1"/>
      <c r="AI564" s="39"/>
    </row>
    <row r="565" spans="1:35" ht="14.25" customHeight="1" x14ac:dyDescent="0.25">
      <c r="A565" s="1"/>
      <c r="AI565" s="39"/>
    </row>
    <row r="566" spans="1:35" ht="14.25" customHeight="1" x14ac:dyDescent="0.25">
      <c r="A566" s="1"/>
      <c r="AI566" s="39"/>
    </row>
    <row r="567" spans="1:35" ht="14.25" customHeight="1" x14ac:dyDescent="0.25">
      <c r="A567" s="1"/>
      <c r="AI567" s="39"/>
    </row>
    <row r="568" spans="1:35" ht="14.25" customHeight="1" x14ac:dyDescent="0.25">
      <c r="A568" s="1"/>
      <c r="AI568" s="39"/>
    </row>
    <row r="569" spans="1:35" ht="14.25" customHeight="1" x14ac:dyDescent="0.25">
      <c r="A569" s="1"/>
      <c r="AI569" s="39"/>
    </row>
    <row r="570" spans="1:35" ht="14.25" customHeight="1" x14ac:dyDescent="0.25">
      <c r="A570" s="1"/>
      <c r="AI570" s="39"/>
    </row>
    <row r="571" spans="1:35" ht="14.25" customHeight="1" x14ac:dyDescent="0.25">
      <c r="A571" s="1"/>
      <c r="AI571" s="39"/>
    </row>
    <row r="572" spans="1:35" ht="14.25" customHeight="1" x14ac:dyDescent="0.25">
      <c r="A572" s="1"/>
      <c r="AI572" s="39"/>
    </row>
    <row r="573" spans="1:35" ht="14.25" customHeight="1" x14ac:dyDescent="0.25">
      <c r="A573" s="1"/>
      <c r="AI573" s="39"/>
    </row>
    <row r="574" spans="1:35" ht="14.25" customHeight="1" x14ac:dyDescent="0.25">
      <c r="A574" s="1"/>
      <c r="AI574" s="39"/>
    </row>
    <row r="575" spans="1:35" ht="14.25" customHeight="1" x14ac:dyDescent="0.25">
      <c r="A575" s="1"/>
      <c r="AI575" s="39"/>
    </row>
    <row r="576" spans="1:35" ht="14.25" customHeight="1" x14ac:dyDescent="0.25">
      <c r="A576" s="1"/>
      <c r="AI576" s="39"/>
    </row>
    <row r="577" spans="1:35" ht="14.25" customHeight="1" x14ac:dyDescent="0.25">
      <c r="A577" s="1"/>
      <c r="AI577" s="39"/>
    </row>
    <row r="578" spans="1:35" ht="14.25" customHeight="1" x14ac:dyDescent="0.25">
      <c r="A578" s="1"/>
      <c r="AI578" s="39"/>
    </row>
    <row r="579" spans="1:35" ht="14.25" customHeight="1" x14ac:dyDescent="0.25">
      <c r="A579" s="1"/>
      <c r="AI579" s="39"/>
    </row>
    <row r="580" spans="1:35" ht="14.25" customHeight="1" x14ac:dyDescent="0.25">
      <c r="A580" s="1"/>
      <c r="AI580" s="39"/>
    </row>
    <row r="581" spans="1:35" ht="14.25" customHeight="1" x14ac:dyDescent="0.25">
      <c r="A581" s="1"/>
      <c r="AI581" s="39"/>
    </row>
    <row r="582" spans="1:35" ht="14.25" customHeight="1" x14ac:dyDescent="0.25">
      <c r="A582" s="1"/>
      <c r="AI582" s="39"/>
    </row>
    <row r="583" spans="1:35" ht="14.25" customHeight="1" x14ac:dyDescent="0.25">
      <c r="A583" s="1"/>
      <c r="AI583" s="39"/>
    </row>
    <row r="584" spans="1:35" ht="14.25" customHeight="1" x14ac:dyDescent="0.25">
      <c r="A584" s="1"/>
      <c r="AI584" s="39"/>
    </row>
    <row r="585" spans="1:35" ht="14.25" customHeight="1" x14ac:dyDescent="0.25">
      <c r="A585" s="1"/>
      <c r="AI585" s="39"/>
    </row>
    <row r="586" spans="1:35" ht="14.25" customHeight="1" x14ac:dyDescent="0.25">
      <c r="A586" s="1"/>
      <c r="AI586" s="39"/>
    </row>
    <row r="587" spans="1:35" ht="14.25" customHeight="1" x14ac:dyDescent="0.25">
      <c r="A587" s="1"/>
      <c r="AI587" s="39"/>
    </row>
    <row r="588" spans="1:35" ht="14.25" customHeight="1" x14ac:dyDescent="0.25">
      <c r="A588" s="1"/>
      <c r="AI588" s="39"/>
    </row>
    <row r="589" spans="1:35" ht="14.25" customHeight="1" x14ac:dyDescent="0.25">
      <c r="A589" s="1"/>
      <c r="AI589" s="39"/>
    </row>
    <row r="590" spans="1:35" ht="14.25" customHeight="1" x14ac:dyDescent="0.25">
      <c r="A590" s="1"/>
      <c r="AI590" s="39"/>
    </row>
    <row r="591" spans="1:35" ht="14.25" customHeight="1" x14ac:dyDescent="0.25">
      <c r="A591" s="1"/>
      <c r="AI591" s="39"/>
    </row>
    <row r="592" spans="1:35" ht="14.25" customHeight="1" x14ac:dyDescent="0.25">
      <c r="A592" s="1"/>
      <c r="AI592" s="39"/>
    </row>
    <row r="593" spans="1:35" ht="14.25" customHeight="1" x14ac:dyDescent="0.25">
      <c r="A593" s="1"/>
      <c r="AI593" s="39"/>
    </row>
    <row r="594" spans="1:35" ht="14.25" customHeight="1" x14ac:dyDescent="0.25">
      <c r="A594" s="1"/>
      <c r="AI594" s="39"/>
    </row>
    <row r="595" spans="1:35" ht="14.25" customHeight="1" x14ac:dyDescent="0.25">
      <c r="A595" s="1"/>
      <c r="AI595" s="39"/>
    </row>
    <row r="596" spans="1:35" ht="14.25" customHeight="1" x14ac:dyDescent="0.25">
      <c r="A596" s="1"/>
      <c r="AI596" s="39"/>
    </row>
    <row r="597" spans="1:35" ht="14.25" customHeight="1" x14ac:dyDescent="0.25">
      <c r="A597" s="1"/>
      <c r="AI597" s="39"/>
    </row>
    <row r="598" spans="1:35" ht="14.25" customHeight="1" x14ac:dyDescent="0.25">
      <c r="A598" s="1"/>
      <c r="AI598" s="39"/>
    </row>
    <row r="599" spans="1:35" ht="14.25" customHeight="1" x14ac:dyDescent="0.25">
      <c r="A599" s="1"/>
      <c r="AI599" s="39"/>
    </row>
    <row r="600" spans="1:35" ht="14.25" customHeight="1" x14ac:dyDescent="0.25">
      <c r="A600" s="1"/>
      <c r="AI600" s="39"/>
    </row>
    <row r="601" spans="1:35" ht="14.25" customHeight="1" x14ac:dyDescent="0.25">
      <c r="A601" s="1"/>
      <c r="AI601" s="39"/>
    </row>
    <row r="602" spans="1:35" ht="14.25" customHeight="1" x14ac:dyDescent="0.25">
      <c r="A602" s="1"/>
      <c r="AI602" s="39"/>
    </row>
    <row r="603" spans="1:35" ht="14.25" customHeight="1" x14ac:dyDescent="0.25">
      <c r="A603" s="1"/>
      <c r="AI603" s="39"/>
    </row>
    <row r="604" spans="1:35" ht="14.25" customHeight="1" x14ac:dyDescent="0.25">
      <c r="A604" s="1"/>
      <c r="AI604" s="39"/>
    </row>
    <row r="605" spans="1:35" ht="14.25" customHeight="1" x14ac:dyDescent="0.25">
      <c r="A605" s="1"/>
      <c r="AI605" s="39"/>
    </row>
    <row r="606" spans="1:35" ht="14.25" customHeight="1" x14ac:dyDescent="0.25">
      <c r="A606" s="1"/>
      <c r="AI606" s="39"/>
    </row>
    <row r="607" spans="1:35" ht="14.25" customHeight="1" x14ac:dyDescent="0.25">
      <c r="A607" s="1"/>
      <c r="AI607" s="39"/>
    </row>
    <row r="608" spans="1:35" ht="14.25" customHeight="1" x14ac:dyDescent="0.25">
      <c r="A608" s="1"/>
      <c r="AI608" s="39"/>
    </row>
    <row r="609" spans="1:35" ht="14.25" customHeight="1" x14ac:dyDescent="0.25">
      <c r="A609" s="1"/>
      <c r="AI609" s="39"/>
    </row>
    <row r="610" spans="1:35" ht="14.25" customHeight="1" x14ac:dyDescent="0.25">
      <c r="A610" s="1"/>
      <c r="AI610" s="39"/>
    </row>
    <row r="611" spans="1:35" ht="14.25" customHeight="1" x14ac:dyDescent="0.25">
      <c r="A611" s="1"/>
      <c r="AI611" s="39"/>
    </row>
    <row r="612" spans="1:35" ht="14.25" customHeight="1" x14ac:dyDescent="0.25">
      <c r="A612" s="1"/>
      <c r="AI612" s="39"/>
    </row>
    <row r="613" spans="1:35" ht="14.25" customHeight="1" x14ac:dyDescent="0.25">
      <c r="A613" s="1"/>
      <c r="AI613" s="39"/>
    </row>
    <row r="614" spans="1:35" ht="14.25" customHeight="1" x14ac:dyDescent="0.25">
      <c r="A614" s="1"/>
      <c r="AI614" s="39"/>
    </row>
    <row r="615" spans="1:35" ht="14.25" customHeight="1" x14ac:dyDescent="0.25">
      <c r="A615" s="1"/>
      <c r="AI615" s="39"/>
    </row>
    <row r="616" spans="1:35" ht="14.25" customHeight="1" x14ac:dyDescent="0.25">
      <c r="A616" s="1"/>
      <c r="AI616" s="39"/>
    </row>
    <row r="617" spans="1:35" ht="14.25" customHeight="1" x14ac:dyDescent="0.25">
      <c r="A617" s="1"/>
      <c r="AI617" s="39"/>
    </row>
    <row r="618" spans="1:35" ht="14.25" customHeight="1" x14ac:dyDescent="0.25">
      <c r="A618" s="1"/>
      <c r="AI618" s="39"/>
    </row>
    <row r="619" spans="1:35" ht="14.25" customHeight="1" x14ac:dyDescent="0.25">
      <c r="A619" s="1"/>
      <c r="AI619" s="39"/>
    </row>
    <row r="620" spans="1:35" ht="14.25" customHeight="1" x14ac:dyDescent="0.25">
      <c r="A620" s="1"/>
      <c r="AI620" s="39"/>
    </row>
    <row r="621" spans="1:35" ht="14.25" customHeight="1" x14ac:dyDescent="0.25">
      <c r="A621" s="1"/>
      <c r="AI621" s="39"/>
    </row>
    <row r="622" spans="1:35" ht="14.25" customHeight="1" x14ac:dyDescent="0.25">
      <c r="A622" s="1"/>
      <c r="AI622" s="39"/>
    </row>
    <row r="623" spans="1:35" ht="14.25" customHeight="1" x14ac:dyDescent="0.25">
      <c r="A623" s="1"/>
      <c r="AI623" s="39"/>
    </row>
    <row r="624" spans="1:35" ht="14.25" customHeight="1" x14ac:dyDescent="0.25">
      <c r="A624" s="1"/>
      <c r="AI624" s="39"/>
    </row>
    <row r="625" spans="1:35" ht="14.25" customHeight="1" x14ac:dyDescent="0.25">
      <c r="A625" s="1"/>
      <c r="AI625" s="39"/>
    </row>
    <row r="626" spans="1:35" ht="14.25" customHeight="1" x14ac:dyDescent="0.25">
      <c r="A626" s="1"/>
      <c r="AI626" s="39"/>
    </row>
    <row r="627" spans="1:35" ht="14.25" customHeight="1" x14ac:dyDescent="0.25">
      <c r="A627" s="1"/>
      <c r="AI627" s="39"/>
    </row>
    <row r="628" spans="1:35" ht="14.25" customHeight="1" x14ac:dyDescent="0.25">
      <c r="A628" s="1"/>
      <c r="AI628" s="39"/>
    </row>
    <row r="629" spans="1:35" ht="14.25" customHeight="1" x14ac:dyDescent="0.25">
      <c r="A629" s="1"/>
      <c r="AI629" s="39"/>
    </row>
    <row r="630" spans="1:35" ht="14.25" customHeight="1" x14ac:dyDescent="0.25">
      <c r="A630" s="1"/>
      <c r="AI630" s="39"/>
    </row>
    <row r="631" spans="1:35" ht="14.25" customHeight="1" x14ac:dyDescent="0.25">
      <c r="A631" s="1"/>
      <c r="AI631" s="39"/>
    </row>
    <row r="632" spans="1:35" ht="14.25" customHeight="1" x14ac:dyDescent="0.25">
      <c r="A632" s="1"/>
      <c r="AI632" s="39"/>
    </row>
    <row r="633" spans="1:35" ht="14.25" customHeight="1" x14ac:dyDescent="0.25">
      <c r="A633" s="1"/>
      <c r="AI633" s="39"/>
    </row>
    <row r="634" spans="1:35" ht="14.25" customHeight="1" x14ac:dyDescent="0.25">
      <c r="A634" s="1"/>
      <c r="AI634" s="39"/>
    </row>
    <row r="635" spans="1:35" ht="14.25" customHeight="1" x14ac:dyDescent="0.25">
      <c r="A635" s="1"/>
      <c r="AI635" s="39"/>
    </row>
    <row r="636" spans="1:35" ht="14.25" customHeight="1" x14ac:dyDescent="0.25">
      <c r="A636" s="1"/>
      <c r="AI636" s="39"/>
    </row>
    <row r="637" spans="1:35" ht="14.25" customHeight="1" x14ac:dyDescent="0.25">
      <c r="A637" s="1"/>
      <c r="AI637" s="39"/>
    </row>
    <row r="638" spans="1:35" ht="14.25" customHeight="1" x14ac:dyDescent="0.25">
      <c r="A638" s="1"/>
      <c r="AI638" s="39"/>
    </row>
    <row r="639" spans="1:35" ht="14.25" customHeight="1" x14ac:dyDescent="0.25">
      <c r="A639" s="1"/>
      <c r="AI639" s="39"/>
    </row>
    <row r="640" spans="1:35" ht="14.25" customHeight="1" x14ac:dyDescent="0.25">
      <c r="A640" s="1"/>
      <c r="AI640" s="39"/>
    </row>
    <row r="641" spans="1:35" ht="14.25" customHeight="1" x14ac:dyDescent="0.25">
      <c r="A641" s="1"/>
      <c r="AI641" s="39"/>
    </row>
    <row r="642" spans="1:35" ht="14.25" customHeight="1" x14ac:dyDescent="0.25">
      <c r="A642" s="1"/>
      <c r="AI642" s="39"/>
    </row>
    <row r="643" spans="1:35" ht="14.25" customHeight="1" x14ac:dyDescent="0.25">
      <c r="A643" s="1"/>
      <c r="AI643" s="39"/>
    </row>
    <row r="644" spans="1:35" ht="14.25" customHeight="1" x14ac:dyDescent="0.25">
      <c r="A644" s="1"/>
      <c r="AI644" s="39"/>
    </row>
    <row r="645" spans="1:35" ht="14.25" customHeight="1" x14ac:dyDescent="0.25">
      <c r="A645" s="1"/>
      <c r="AI645" s="39"/>
    </row>
    <row r="646" spans="1:35" ht="14.25" customHeight="1" x14ac:dyDescent="0.25">
      <c r="A646" s="1"/>
      <c r="AI646" s="39"/>
    </row>
    <row r="647" spans="1:35" ht="14.25" customHeight="1" x14ac:dyDescent="0.25">
      <c r="A647" s="1"/>
      <c r="AI647" s="39"/>
    </row>
    <row r="648" spans="1:35" ht="14.25" customHeight="1" x14ac:dyDescent="0.25">
      <c r="A648" s="1"/>
      <c r="AI648" s="39"/>
    </row>
    <row r="649" spans="1:35" ht="14.25" customHeight="1" x14ac:dyDescent="0.25">
      <c r="A649" s="1"/>
      <c r="AI649" s="39"/>
    </row>
    <row r="650" spans="1:35" ht="14.25" customHeight="1" x14ac:dyDescent="0.25">
      <c r="A650" s="1"/>
      <c r="AI650" s="39"/>
    </row>
    <row r="651" spans="1:35" ht="14.25" customHeight="1" x14ac:dyDescent="0.25">
      <c r="A651" s="1"/>
      <c r="AI651" s="39"/>
    </row>
    <row r="652" spans="1:35" ht="14.25" customHeight="1" x14ac:dyDescent="0.25">
      <c r="A652" s="1"/>
      <c r="AI652" s="39"/>
    </row>
    <row r="653" spans="1:35" ht="14.25" customHeight="1" x14ac:dyDescent="0.25">
      <c r="A653" s="1"/>
      <c r="AI653" s="39"/>
    </row>
    <row r="654" spans="1:35" ht="14.25" customHeight="1" x14ac:dyDescent="0.25">
      <c r="A654" s="1"/>
      <c r="AI654" s="39"/>
    </row>
    <row r="655" spans="1:35" ht="14.25" customHeight="1" x14ac:dyDescent="0.25">
      <c r="A655" s="1"/>
      <c r="AI655" s="39"/>
    </row>
    <row r="656" spans="1:35" ht="14.25" customHeight="1" x14ac:dyDescent="0.25">
      <c r="A656" s="1"/>
      <c r="AI656" s="39"/>
    </row>
    <row r="657" spans="1:35" ht="14.25" customHeight="1" x14ac:dyDescent="0.25">
      <c r="A657" s="1"/>
      <c r="AI657" s="39"/>
    </row>
    <row r="658" spans="1:35" ht="14.25" customHeight="1" x14ac:dyDescent="0.25">
      <c r="A658" s="1"/>
      <c r="AI658" s="39"/>
    </row>
    <row r="659" spans="1:35" ht="14.25" customHeight="1" x14ac:dyDescent="0.25">
      <c r="A659" s="1"/>
      <c r="AI659" s="39"/>
    </row>
    <row r="660" spans="1:35" ht="14.25" customHeight="1" x14ac:dyDescent="0.25">
      <c r="A660" s="1"/>
      <c r="AI660" s="39"/>
    </row>
    <row r="661" spans="1:35" ht="14.25" customHeight="1" x14ac:dyDescent="0.25">
      <c r="A661" s="1"/>
      <c r="AI661" s="39"/>
    </row>
    <row r="662" spans="1:35" ht="14.25" customHeight="1" x14ac:dyDescent="0.25">
      <c r="A662" s="1"/>
      <c r="AI662" s="39"/>
    </row>
    <row r="663" spans="1:35" ht="14.25" customHeight="1" x14ac:dyDescent="0.25">
      <c r="A663" s="1"/>
      <c r="AI663" s="39"/>
    </row>
    <row r="664" spans="1:35" ht="14.25" customHeight="1" x14ac:dyDescent="0.25">
      <c r="A664" s="1"/>
      <c r="AI664" s="39"/>
    </row>
    <row r="665" spans="1:35" ht="14.25" customHeight="1" x14ac:dyDescent="0.25">
      <c r="A665" s="1"/>
      <c r="AI665" s="39"/>
    </row>
    <row r="666" spans="1:35" ht="14.25" customHeight="1" x14ac:dyDescent="0.25">
      <c r="A666" s="1"/>
      <c r="AI666" s="39"/>
    </row>
    <row r="667" spans="1:35" ht="14.25" customHeight="1" x14ac:dyDescent="0.25">
      <c r="A667" s="1"/>
      <c r="AI667" s="39"/>
    </row>
    <row r="668" spans="1:35" ht="14.25" customHeight="1" x14ac:dyDescent="0.25">
      <c r="A668" s="1"/>
      <c r="AI668" s="39"/>
    </row>
    <row r="669" spans="1:35" ht="14.25" customHeight="1" x14ac:dyDescent="0.25">
      <c r="A669" s="1"/>
      <c r="AI669" s="39"/>
    </row>
    <row r="670" spans="1:35" ht="14.25" customHeight="1" x14ac:dyDescent="0.25">
      <c r="A670" s="1"/>
      <c r="AI670" s="39"/>
    </row>
    <row r="671" spans="1:35" ht="14.25" customHeight="1" x14ac:dyDescent="0.25">
      <c r="A671" s="1"/>
      <c r="AI671" s="39"/>
    </row>
    <row r="672" spans="1:35" ht="14.25" customHeight="1" x14ac:dyDescent="0.25">
      <c r="A672" s="1"/>
      <c r="AI672" s="39"/>
    </row>
    <row r="673" spans="1:35" ht="14.25" customHeight="1" x14ac:dyDescent="0.25">
      <c r="A673" s="1"/>
      <c r="AI673" s="39"/>
    </row>
    <row r="674" spans="1:35" ht="14.25" customHeight="1" x14ac:dyDescent="0.25">
      <c r="A674" s="1"/>
      <c r="AI674" s="39"/>
    </row>
    <row r="675" spans="1:35" ht="14.25" customHeight="1" x14ac:dyDescent="0.25">
      <c r="A675" s="1"/>
      <c r="AI675" s="39"/>
    </row>
    <row r="676" spans="1:35" ht="14.25" customHeight="1" x14ac:dyDescent="0.25">
      <c r="A676" s="1"/>
      <c r="AI676" s="39"/>
    </row>
    <row r="677" spans="1:35" ht="14.25" customHeight="1" x14ac:dyDescent="0.25">
      <c r="A677" s="1"/>
      <c r="AI677" s="39"/>
    </row>
    <row r="678" spans="1:35" ht="14.25" customHeight="1" x14ac:dyDescent="0.25">
      <c r="A678" s="1"/>
      <c r="AI678" s="39"/>
    </row>
    <row r="679" spans="1:35" ht="14.25" customHeight="1" x14ac:dyDescent="0.25">
      <c r="A679" s="1"/>
      <c r="AI679" s="39"/>
    </row>
    <row r="680" spans="1:35" ht="14.25" customHeight="1" x14ac:dyDescent="0.25">
      <c r="A680" s="1"/>
      <c r="AI680" s="39"/>
    </row>
    <row r="681" spans="1:35" ht="14.25" customHeight="1" x14ac:dyDescent="0.25">
      <c r="A681" s="1"/>
      <c r="AI681" s="39"/>
    </row>
    <row r="682" spans="1:35" ht="14.25" customHeight="1" x14ac:dyDescent="0.25">
      <c r="A682" s="1"/>
      <c r="AI682" s="39"/>
    </row>
    <row r="683" spans="1:35" ht="14.25" customHeight="1" x14ac:dyDescent="0.25">
      <c r="A683" s="1"/>
      <c r="AI683" s="39"/>
    </row>
    <row r="684" spans="1:35" ht="14.25" customHeight="1" x14ac:dyDescent="0.25">
      <c r="A684" s="1"/>
      <c r="AI684" s="39"/>
    </row>
    <row r="685" spans="1:35" ht="14.25" customHeight="1" x14ac:dyDescent="0.25">
      <c r="A685" s="1"/>
      <c r="AI685" s="39"/>
    </row>
    <row r="686" spans="1:35" ht="14.25" customHeight="1" x14ac:dyDescent="0.25">
      <c r="A686" s="1"/>
      <c r="AI686" s="39"/>
    </row>
    <row r="687" spans="1:35" ht="14.25" customHeight="1" x14ac:dyDescent="0.25">
      <c r="A687" s="1"/>
      <c r="AI687" s="39"/>
    </row>
    <row r="688" spans="1:35" ht="14.25" customHeight="1" x14ac:dyDescent="0.25">
      <c r="A688" s="1"/>
      <c r="AI688" s="39"/>
    </row>
    <row r="689" spans="1:35" ht="14.25" customHeight="1" x14ac:dyDescent="0.25">
      <c r="A689" s="1"/>
      <c r="AI689" s="39"/>
    </row>
    <row r="690" spans="1:35" ht="14.25" customHeight="1" x14ac:dyDescent="0.25">
      <c r="A690" s="1"/>
      <c r="AI690" s="39"/>
    </row>
    <row r="691" spans="1:35" ht="14.25" customHeight="1" x14ac:dyDescent="0.25">
      <c r="A691" s="1"/>
      <c r="AI691" s="39"/>
    </row>
    <row r="692" spans="1:35" ht="14.25" customHeight="1" x14ac:dyDescent="0.25">
      <c r="A692" s="1"/>
      <c r="AI692" s="39"/>
    </row>
    <row r="693" spans="1:35" ht="14.25" customHeight="1" x14ac:dyDescent="0.25">
      <c r="A693" s="1"/>
      <c r="AI693" s="39"/>
    </row>
    <row r="694" spans="1:35" ht="14.25" customHeight="1" x14ac:dyDescent="0.25">
      <c r="A694" s="1"/>
      <c r="AI694" s="39"/>
    </row>
    <row r="695" spans="1:35" ht="14.25" customHeight="1" x14ac:dyDescent="0.25">
      <c r="A695" s="1"/>
      <c r="AI695" s="39"/>
    </row>
    <row r="696" spans="1:35" ht="14.25" customHeight="1" x14ac:dyDescent="0.25">
      <c r="A696" s="1"/>
      <c r="AI696" s="39"/>
    </row>
    <row r="697" spans="1:35" ht="14.25" customHeight="1" x14ac:dyDescent="0.25">
      <c r="A697" s="1"/>
      <c r="AI697" s="39"/>
    </row>
    <row r="698" spans="1:35" ht="14.25" customHeight="1" x14ac:dyDescent="0.25">
      <c r="A698" s="1"/>
      <c r="AI698" s="39"/>
    </row>
    <row r="699" spans="1:35" ht="14.25" customHeight="1" x14ac:dyDescent="0.25">
      <c r="A699" s="1"/>
      <c r="AI699" s="39"/>
    </row>
    <row r="700" spans="1:35" ht="14.25" customHeight="1" x14ac:dyDescent="0.25">
      <c r="A700" s="1"/>
      <c r="AI700" s="39"/>
    </row>
    <row r="701" spans="1:35" ht="14.25" customHeight="1" x14ac:dyDescent="0.25">
      <c r="A701" s="1"/>
      <c r="AI701" s="39"/>
    </row>
    <row r="702" spans="1:35" ht="14.25" customHeight="1" x14ac:dyDescent="0.25">
      <c r="A702" s="1"/>
      <c r="AI702" s="39"/>
    </row>
    <row r="703" spans="1:35" ht="14.25" customHeight="1" x14ac:dyDescent="0.25">
      <c r="A703" s="1"/>
      <c r="AI703" s="39"/>
    </row>
    <row r="704" spans="1:35" ht="14.25" customHeight="1" x14ac:dyDescent="0.25">
      <c r="A704" s="1"/>
      <c r="AI704" s="39"/>
    </row>
    <row r="705" spans="1:35" ht="14.25" customHeight="1" x14ac:dyDescent="0.25">
      <c r="A705" s="1"/>
      <c r="AI705" s="39"/>
    </row>
    <row r="706" spans="1:35" ht="14.25" customHeight="1" x14ac:dyDescent="0.25">
      <c r="A706" s="1"/>
      <c r="AI706" s="39"/>
    </row>
    <row r="707" spans="1:35" ht="14.25" customHeight="1" x14ac:dyDescent="0.25">
      <c r="A707" s="1"/>
      <c r="AI707" s="39"/>
    </row>
    <row r="708" spans="1:35" ht="14.25" customHeight="1" x14ac:dyDescent="0.25">
      <c r="A708" s="1"/>
      <c r="AI708" s="39"/>
    </row>
    <row r="709" spans="1:35" ht="14.25" customHeight="1" x14ac:dyDescent="0.25">
      <c r="A709" s="1"/>
      <c r="AI709" s="39"/>
    </row>
    <row r="710" spans="1:35" ht="14.25" customHeight="1" x14ac:dyDescent="0.25">
      <c r="A710" s="1"/>
      <c r="AI710" s="39"/>
    </row>
    <row r="711" spans="1:35" ht="14.25" customHeight="1" x14ac:dyDescent="0.25">
      <c r="A711" s="1"/>
      <c r="AI711" s="39"/>
    </row>
    <row r="712" spans="1:35" ht="14.25" customHeight="1" x14ac:dyDescent="0.25">
      <c r="A712" s="1"/>
      <c r="AI712" s="39"/>
    </row>
    <row r="713" spans="1:35" ht="14.25" customHeight="1" x14ac:dyDescent="0.25">
      <c r="A713" s="1"/>
      <c r="AI713" s="39"/>
    </row>
    <row r="714" spans="1:35" ht="14.25" customHeight="1" x14ac:dyDescent="0.25">
      <c r="A714" s="1"/>
      <c r="AI714" s="39"/>
    </row>
    <row r="715" spans="1:35" ht="14.25" customHeight="1" x14ac:dyDescent="0.25">
      <c r="A715" s="1"/>
      <c r="AI715" s="39"/>
    </row>
    <row r="716" spans="1:35" ht="14.25" customHeight="1" x14ac:dyDescent="0.25">
      <c r="A716" s="1"/>
      <c r="AI716" s="39"/>
    </row>
    <row r="717" spans="1:35" ht="14.25" customHeight="1" x14ac:dyDescent="0.25">
      <c r="A717" s="1"/>
      <c r="AI717" s="39"/>
    </row>
    <row r="718" spans="1:35" ht="14.25" customHeight="1" x14ac:dyDescent="0.25">
      <c r="A718" s="1"/>
      <c r="AI718" s="39"/>
    </row>
    <row r="719" spans="1:35" ht="14.25" customHeight="1" x14ac:dyDescent="0.25">
      <c r="A719" s="1"/>
      <c r="AI719" s="39"/>
    </row>
    <row r="720" spans="1:35" ht="14.25" customHeight="1" x14ac:dyDescent="0.25">
      <c r="A720" s="1"/>
      <c r="AI720" s="39"/>
    </row>
    <row r="721" spans="1:35" ht="14.25" customHeight="1" x14ac:dyDescent="0.25">
      <c r="A721" s="1"/>
      <c r="AI721" s="39"/>
    </row>
    <row r="722" spans="1:35" ht="14.25" customHeight="1" x14ac:dyDescent="0.25">
      <c r="A722" s="1"/>
      <c r="AI722" s="39"/>
    </row>
    <row r="723" spans="1:35" ht="14.25" customHeight="1" x14ac:dyDescent="0.25">
      <c r="A723" s="1"/>
      <c r="AI723" s="39"/>
    </row>
    <row r="724" spans="1:35" ht="14.25" customHeight="1" x14ac:dyDescent="0.25">
      <c r="A724" s="1"/>
      <c r="AI724" s="39"/>
    </row>
    <row r="725" spans="1:35" ht="14.25" customHeight="1" x14ac:dyDescent="0.25">
      <c r="A725" s="1"/>
      <c r="AI725" s="39"/>
    </row>
    <row r="726" spans="1:35" ht="14.25" customHeight="1" x14ac:dyDescent="0.25">
      <c r="A726" s="1"/>
      <c r="AI726" s="39"/>
    </row>
    <row r="727" spans="1:35" ht="14.25" customHeight="1" x14ac:dyDescent="0.25">
      <c r="A727" s="1"/>
      <c r="AI727" s="39"/>
    </row>
    <row r="728" spans="1:35" ht="14.25" customHeight="1" x14ac:dyDescent="0.25">
      <c r="A728" s="1"/>
      <c r="AI728" s="39"/>
    </row>
    <row r="729" spans="1:35" ht="14.25" customHeight="1" x14ac:dyDescent="0.25">
      <c r="A729" s="1"/>
      <c r="AI729" s="39"/>
    </row>
    <row r="730" spans="1:35" ht="14.25" customHeight="1" x14ac:dyDescent="0.25">
      <c r="A730" s="1"/>
      <c r="AI730" s="39"/>
    </row>
    <row r="731" spans="1:35" ht="14.25" customHeight="1" x14ac:dyDescent="0.25">
      <c r="A731" s="1"/>
      <c r="AI731" s="39"/>
    </row>
    <row r="732" spans="1:35" ht="14.25" customHeight="1" x14ac:dyDescent="0.25">
      <c r="A732" s="1"/>
      <c r="AI732" s="39"/>
    </row>
    <row r="733" spans="1:35" ht="14.25" customHeight="1" x14ac:dyDescent="0.25">
      <c r="A733" s="1"/>
      <c r="AI733" s="39"/>
    </row>
    <row r="734" spans="1:35" ht="14.25" customHeight="1" x14ac:dyDescent="0.25">
      <c r="A734" s="1"/>
      <c r="AI734" s="39"/>
    </row>
    <row r="735" spans="1:35" ht="14.25" customHeight="1" x14ac:dyDescent="0.25">
      <c r="A735" s="1"/>
      <c r="AI735" s="39"/>
    </row>
    <row r="736" spans="1:35" ht="14.25" customHeight="1" x14ac:dyDescent="0.25">
      <c r="A736" s="1"/>
      <c r="AI736" s="39"/>
    </row>
    <row r="737" spans="1:35" ht="14.25" customHeight="1" x14ac:dyDescent="0.25">
      <c r="A737" s="1"/>
      <c r="AI737" s="39"/>
    </row>
    <row r="738" spans="1:35" ht="14.25" customHeight="1" x14ac:dyDescent="0.25">
      <c r="A738" s="1"/>
      <c r="AI738" s="39"/>
    </row>
    <row r="739" spans="1:35" ht="14.25" customHeight="1" x14ac:dyDescent="0.25">
      <c r="A739" s="1"/>
      <c r="AI739" s="39"/>
    </row>
    <row r="740" spans="1:35" ht="14.25" customHeight="1" x14ac:dyDescent="0.25">
      <c r="A740" s="1"/>
      <c r="AI740" s="39"/>
    </row>
    <row r="741" spans="1:35" ht="14.25" customHeight="1" x14ac:dyDescent="0.25">
      <c r="A741" s="1"/>
      <c r="AI741" s="39"/>
    </row>
    <row r="742" spans="1:35" ht="14.25" customHeight="1" x14ac:dyDescent="0.25">
      <c r="A742" s="1"/>
      <c r="AI742" s="39"/>
    </row>
    <row r="743" spans="1:35" ht="14.25" customHeight="1" x14ac:dyDescent="0.25">
      <c r="A743" s="1"/>
      <c r="AI743" s="39"/>
    </row>
    <row r="744" spans="1:35" ht="14.25" customHeight="1" x14ac:dyDescent="0.25">
      <c r="A744" s="1"/>
      <c r="AI744" s="39"/>
    </row>
    <row r="745" spans="1:35" ht="14.25" customHeight="1" x14ac:dyDescent="0.25">
      <c r="A745" s="1"/>
      <c r="AI745" s="39"/>
    </row>
    <row r="746" spans="1:35" ht="14.25" customHeight="1" x14ac:dyDescent="0.25">
      <c r="A746" s="1"/>
      <c r="AI746" s="39"/>
    </row>
    <row r="747" spans="1:35" ht="14.25" customHeight="1" x14ac:dyDescent="0.25">
      <c r="A747" s="1"/>
      <c r="AI747" s="39"/>
    </row>
    <row r="748" spans="1:35" ht="14.25" customHeight="1" x14ac:dyDescent="0.25">
      <c r="A748" s="1"/>
      <c r="AI748" s="39"/>
    </row>
    <row r="749" spans="1:35" ht="14.25" customHeight="1" x14ac:dyDescent="0.25">
      <c r="A749" s="1"/>
      <c r="AI749" s="39"/>
    </row>
    <row r="750" spans="1:35" ht="14.25" customHeight="1" x14ac:dyDescent="0.25">
      <c r="A750" s="1"/>
      <c r="AI750" s="39"/>
    </row>
    <row r="751" spans="1:35" ht="14.25" customHeight="1" x14ac:dyDescent="0.25">
      <c r="A751" s="1"/>
      <c r="AI751" s="39"/>
    </row>
    <row r="752" spans="1:35" ht="14.25" customHeight="1" x14ac:dyDescent="0.25">
      <c r="A752" s="1"/>
      <c r="AI752" s="39"/>
    </row>
    <row r="753" spans="1:35" ht="14.25" customHeight="1" x14ac:dyDescent="0.25">
      <c r="A753" s="1"/>
      <c r="AI753" s="39"/>
    </row>
    <row r="754" spans="1:35" ht="14.25" customHeight="1" x14ac:dyDescent="0.25">
      <c r="A754" s="1"/>
      <c r="AI754" s="39"/>
    </row>
    <row r="755" spans="1:35" ht="14.25" customHeight="1" x14ac:dyDescent="0.25">
      <c r="A755" s="1"/>
      <c r="AI755" s="39"/>
    </row>
    <row r="756" spans="1:35" ht="14.25" customHeight="1" x14ac:dyDescent="0.25">
      <c r="A756" s="1"/>
      <c r="AI756" s="39"/>
    </row>
    <row r="757" spans="1:35" ht="14.25" customHeight="1" x14ac:dyDescent="0.25">
      <c r="A757" s="1"/>
      <c r="AI757" s="39"/>
    </row>
    <row r="758" spans="1:35" ht="14.25" customHeight="1" x14ac:dyDescent="0.25">
      <c r="A758" s="1"/>
      <c r="AI758" s="39"/>
    </row>
    <row r="759" spans="1:35" ht="14.25" customHeight="1" x14ac:dyDescent="0.25">
      <c r="A759" s="1"/>
      <c r="AI759" s="39"/>
    </row>
    <row r="760" spans="1:35" ht="14.25" customHeight="1" x14ac:dyDescent="0.25">
      <c r="A760" s="1"/>
      <c r="AI760" s="39"/>
    </row>
    <row r="761" spans="1:35" ht="14.25" customHeight="1" x14ac:dyDescent="0.25">
      <c r="A761" s="1"/>
      <c r="AI761" s="39"/>
    </row>
    <row r="762" spans="1:35" ht="14.25" customHeight="1" x14ac:dyDescent="0.25">
      <c r="A762" s="1"/>
      <c r="AI762" s="39"/>
    </row>
    <row r="763" spans="1:35" ht="14.25" customHeight="1" x14ac:dyDescent="0.25">
      <c r="A763" s="1"/>
      <c r="AI763" s="39"/>
    </row>
    <row r="764" spans="1:35" ht="14.25" customHeight="1" x14ac:dyDescent="0.25">
      <c r="A764" s="1"/>
      <c r="AI764" s="39"/>
    </row>
    <row r="765" spans="1:35" ht="14.25" customHeight="1" x14ac:dyDescent="0.25">
      <c r="A765" s="1"/>
      <c r="AI765" s="39"/>
    </row>
    <row r="766" spans="1:35" ht="14.25" customHeight="1" x14ac:dyDescent="0.25">
      <c r="A766" s="1"/>
      <c r="AI766" s="39"/>
    </row>
    <row r="767" spans="1:35" ht="14.25" customHeight="1" x14ac:dyDescent="0.25">
      <c r="A767" s="1"/>
      <c r="AI767" s="39"/>
    </row>
    <row r="768" spans="1:35" ht="14.25" customHeight="1" x14ac:dyDescent="0.25">
      <c r="A768" s="1"/>
      <c r="AI768" s="39"/>
    </row>
    <row r="769" spans="1:35" ht="14.25" customHeight="1" x14ac:dyDescent="0.25">
      <c r="A769" s="1"/>
      <c r="AI769" s="39"/>
    </row>
    <row r="770" spans="1:35" ht="14.25" customHeight="1" x14ac:dyDescent="0.25">
      <c r="A770" s="1"/>
      <c r="AI770" s="39"/>
    </row>
    <row r="771" spans="1:35" ht="14.25" customHeight="1" x14ac:dyDescent="0.25">
      <c r="A771" s="1"/>
      <c r="AI771" s="39"/>
    </row>
    <row r="772" spans="1:35" ht="14.25" customHeight="1" x14ac:dyDescent="0.25">
      <c r="A772" s="1"/>
      <c r="AI772" s="39"/>
    </row>
    <row r="773" spans="1:35" ht="14.25" customHeight="1" x14ac:dyDescent="0.25">
      <c r="A773" s="1"/>
      <c r="AI773" s="39"/>
    </row>
    <row r="774" spans="1:35" ht="14.25" customHeight="1" x14ac:dyDescent="0.25">
      <c r="A774" s="1"/>
      <c r="AI774" s="39"/>
    </row>
    <row r="775" spans="1:35" ht="14.25" customHeight="1" x14ac:dyDescent="0.25">
      <c r="A775" s="1"/>
      <c r="AI775" s="39"/>
    </row>
    <row r="776" spans="1:35" ht="14.25" customHeight="1" x14ac:dyDescent="0.25">
      <c r="A776" s="1"/>
      <c r="AI776" s="39"/>
    </row>
    <row r="777" spans="1:35" ht="14.25" customHeight="1" x14ac:dyDescent="0.25">
      <c r="A777" s="1"/>
      <c r="AI777" s="39"/>
    </row>
    <row r="778" spans="1:35" ht="14.25" customHeight="1" x14ac:dyDescent="0.25">
      <c r="A778" s="1"/>
      <c r="AI778" s="39"/>
    </row>
    <row r="779" spans="1:35" ht="14.25" customHeight="1" x14ac:dyDescent="0.25">
      <c r="A779" s="1"/>
      <c r="AI779" s="39"/>
    </row>
    <row r="780" spans="1:35" ht="14.25" customHeight="1" x14ac:dyDescent="0.25">
      <c r="A780" s="1"/>
      <c r="AI780" s="39"/>
    </row>
    <row r="781" spans="1:35" ht="14.25" customHeight="1" x14ac:dyDescent="0.25">
      <c r="A781" s="1"/>
      <c r="AI781" s="39"/>
    </row>
    <row r="782" spans="1:35" ht="14.25" customHeight="1" x14ac:dyDescent="0.25">
      <c r="A782" s="1"/>
      <c r="AI782" s="39"/>
    </row>
    <row r="783" spans="1:35" ht="14.25" customHeight="1" x14ac:dyDescent="0.25">
      <c r="A783" s="1"/>
      <c r="AI783" s="39"/>
    </row>
    <row r="784" spans="1:35" ht="14.25" customHeight="1" x14ac:dyDescent="0.25">
      <c r="A784" s="1"/>
      <c r="AI784" s="39"/>
    </row>
    <row r="785" spans="1:35" ht="14.25" customHeight="1" x14ac:dyDescent="0.25">
      <c r="A785" s="1"/>
      <c r="AI785" s="39"/>
    </row>
    <row r="786" spans="1:35" ht="14.25" customHeight="1" x14ac:dyDescent="0.25">
      <c r="A786" s="1"/>
      <c r="AI786" s="39"/>
    </row>
    <row r="787" spans="1:35" ht="14.25" customHeight="1" x14ac:dyDescent="0.25">
      <c r="A787" s="1"/>
      <c r="AI787" s="39"/>
    </row>
    <row r="788" spans="1:35" ht="14.25" customHeight="1" x14ac:dyDescent="0.25">
      <c r="A788" s="1"/>
      <c r="AI788" s="39"/>
    </row>
    <row r="789" spans="1:35" ht="14.25" customHeight="1" x14ac:dyDescent="0.25">
      <c r="A789" s="1"/>
      <c r="AI789" s="39"/>
    </row>
    <row r="790" spans="1:35" ht="14.25" customHeight="1" x14ac:dyDescent="0.25">
      <c r="A790" s="1"/>
      <c r="AI790" s="39"/>
    </row>
    <row r="791" spans="1:35" ht="14.25" customHeight="1" x14ac:dyDescent="0.25">
      <c r="A791" s="1"/>
      <c r="AI791" s="39"/>
    </row>
    <row r="792" spans="1:35" ht="14.25" customHeight="1" x14ac:dyDescent="0.25">
      <c r="A792" s="1"/>
      <c r="AI792" s="39"/>
    </row>
    <row r="793" spans="1:35" ht="14.25" customHeight="1" x14ac:dyDescent="0.25">
      <c r="A793" s="1"/>
      <c r="AI793" s="39"/>
    </row>
    <row r="794" spans="1:35" ht="14.25" customHeight="1" x14ac:dyDescent="0.25">
      <c r="A794" s="1"/>
      <c r="AI794" s="39"/>
    </row>
    <row r="795" spans="1:35" ht="14.25" customHeight="1" x14ac:dyDescent="0.25">
      <c r="A795" s="1"/>
      <c r="AI795" s="39"/>
    </row>
    <row r="796" spans="1:35" ht="14.25" customHeight="1" x14ac:dyDescent="0.25">
      <c r="A796" s="1"/>
      <c r="AI796" s="39"/>
    </row>
    <row r="797" spans="1:35" ht="14.25" customHeight="1" x14ac:dyDescent="0.25">
      <c r="A797" s="1"/>
      <c r="AI797" s="39"/>
    </row>
    <row r="798" spans="1:35" ht="14.25" customHeight="1" x14ac:dyDescent="0.25">
      <c r="A798" s="1"/>
      <c r="AI798" s="39"/>
    </row>
    <row r="799" spans="1:35" ht="14.25" customHeight="1" x14ac:dyDescent="0.25">
      <c r="A799" s="1"/>
      <c r="AI799" s="39"/>
    </row>
    <row r="800" spans="1:35" ht="14.25" customHeight="1" x14ac:dyDescent="0.25">
      <c r="A800" s="1"/>
      <c r="AI800" s="39"/>
    </row>
    <row r="801" spans="1:35" ht="14.25" customHeight="1" x14ac:dyDescent="0.25">
      <c r="A801" s="1"/>
      <c r="AI801" s="39"/>
    </row>
    <row r="802" spans="1:35" ht="14.25" customHeight="1" x14ac:dyDescent="0.25">
      <c r="A802" s="1"/>
      <c r="AI802" s="39"/>
    </row>
    <row r="803" spans="1:35" ht="14.25" customHeight="1" x14ac:dyDescent="0.25">
      <c r="A803" s="1"/>
      <c r="AI803" s="39"/>
    </row>
    <row r="804" spans="1:35" ht="14.25" customHeight="1" x14ac:dyDescent="0.25">
      <c r="A804" s="1"/>
      <c r="AI804" s="39"/>
    </row>
    <row r="805" spans="1:35" ht="14.25" customHeight="1" x14ac:dyDescent="0.25">
      <c r="A805" s="1"/>
      <c r="AI805" s="39"/>
    </row>
    <row r="806" spans="1:35" ht="14.25" customHeight="1" x14ac:dyDescent="0.25">
      <c r="A806" s="1"/>
      <c r="AI806" s="39"/>
    </row>
    <row r="807" spans="1:35" ht="14.25" customHeight="1" x14ac:dyDescent="0.25">
      <c r="A807" s="1"/>
      <c r="AI807" s="39"/>
    </row>
    <row r="808" spans="1:35" ht="14.25" customHeight="1" x14ac:dyDescent="0.25">
      <c r="A808" s="1"/>
      <c r="AI808" s="39"/>
    </row>
    <row r="809" spans="1:35" ht="14.25" customHeight="1" x14ac:dyDescent="0.25">
      <c r="A809" s="1"/>
      <c r="AI809" s="39"/>
    </row>
    <row r="810" spans="1:35" ht="14.25" customHeight="1" x14ac:dyDescent="0.25">
      <c r="A810" s="1"/>
      <c r="AI810" s="39"/>
    </row>
    <row r="811" spans="1:35" ht="14.25" customHeight="1" x14ac:dyDescent="0.25">
      <c r="A811" s="1"/>
      <c r="AI811" s="39"/>
    </row>
    <row r="812" spans="1:35" ht="14.25" customHeight="1" x14ac:dyDescent="0.25">
      <c r="A812" s="1"/>
      <c r="AI812" s="39"/>
    </row>
    <row r="813" spans="1:35" ht="14.25" customHeight="1" x14ac:dyDescent="0.25">
      <c r="A813" s="1"/>
      <c r="AI813" s="39"/>
    </row>
    <row r="814" spans="1:35" ht="14.25" customHeight="1" x14ac:dyDescent="0.25">
      <c r="A814" s="1"/>
      <c r="AI814" s="39"/>
    </row>
    <row r="815" spans="1:35" ht="14.25" customHeight="1" x14ac:dyDescent="0.25">
      <c r="A815" s="1"/>
      <c r="AI815" s="39"/>
    </row>
    <row r="816" spans="1:35" ht="14.25" customHeight="1" x14ac:dyDescent="0.25">
      <c r="A816" s="1"/>
      <c r="AI816" s="39"/>
    </row>
    <row r="817" spans="1:35" ht="14.25" customHeight="1" x14ac:dyDescent="0.25">
      <c r="A817" s="1"/>
      <c r="AI817" s="39"/>
    </row>
    <row r="818" spans="1:35" ht="14.25" customHeight="1" x14ac:dyDescent="0.25">
      <c r="A818" s="1"/>
      <c r="AI818" s="39"/>
    </row>
    <row r="819" spans="1:35" ht="14.25" customHeight="1" x14ac:dyDescent="0.25">
      <c r="A819" s="1"/>
      <c r="AI819" s="39"/>
    </row>
    <row r="820" spans="1:35" ht="14.25" customHeight="1" x14ac:dyDescent="0.25">
      <c r="A820" s="1"/>
      <c r="AI820" s="39"/>
    </row>
    <row r="821" spans="1:35" ht="14.25" customHeight="1" x14ac:dyDescent="0.25">
      <c r="A821" s="1"/>
      <c r="AI821" s="39"/>
    </row>
    <row r="822" spans="1:35" ht="14.25" customHeight="1" x14ac:dyDescent="0.25">
      <c r="A822" s="1"/>
      <c r="AI822" s="39"/>
    </row>
    <row r="823" spans="1:35" ht="14.25" customHeight="1" x14ac:dyDescent="0.25">
      <c r="A823" s="1"/>
      <c r="AI823" s="39"/>
    </row>
    <row r="824" spans="1:35" ht="14.25" customHeight="1" x14ac:dyDescent="0.25">
      <c r="A824" s="1"/>
      <c r="AI824" s="39"/>
    </row>
    <row r="825" spans="1:35" ht="14.25" customHeight="1" x14ac:dyDescent="0.25">
      <c r="A825" s="1"/>
      <c r="AI825" s="39"/>
    </row>
    <row r="826" spans="1:35" ht="14.25" customHeight="1" x14ac:dyDescent="0.25">
      <c r="A826" s="1"/>
      <c r="AI826" s="39"/>
    </row>
    <row r="827" spans="1:35" ht="14.25" customHeight="1" x14ac:dyDescent="0.25">
      <c r="A827" s="1"/>
      <c r="AI827" s="39"/>
    </row>
    <row r="828" spans="1:35" ht="14.25" customHeight="1" x14ac:dyDescent="0.25">
      <c r="A828" s="1"/>
      <c r="AI828" s="39"/>
    </row>
    <row r="829" spans="1:35" ht="14.25" customHeight="1" x14ac:dyDescent="0.25">
      <c r="A829" s="1"/>
      <c r="AI829" s="39"/>
    </row>
    <row r="830" spans="1:35" ht="14.25" customHeight="1" x14ac:dyDescent="0.25">
      <c r="A830" s="1"/>
      <c r="AI830" s="39"/>
    </row>
    <row r="831" spans="1:35" ht="14.25" customHeight="1" x14ac:dyDescent="0.25">
      <c r="A831" s="1"/>
      <c r="AI831" s="39"/>
    </row>
    <row r="832" spans="1:35" ht="14.25" customHeight="1" x14ac:dyDescent="0.25">
      <c r="A832" s="1"/>
      <c r="AI832" s="39"/>
    </row>
    <row r="833" spans="1:35" ht="14.25" customHeight="1" x14ac:dyDescent="0.25">
      <c r="A833" s="1"/>
      <c r="AI833" s="39"/>
    </row>
    <row r="834" spans="1:35" ht="14.25" customHeight="1" x14ac:dyDescent="0.25">
      <c r="A834" s="1"/>
      <c r="AI834" s="39"/>
    </row>
    <row r="835" spans="1:35" ht="14.25" customHeight="1" x14ac:dyDescent="0.25">
      <c r="A835" s="1"/>
      <c r="AI835" s="39"/>
    </row>
    <row r="836" spans="1:35" ht="14.25" customHeight="1" x14ac:dyDescent="0.25">
      <c r="A836" s="1"/>
      <c r="AI836" s="39"/>
    </row>
    <row r="837" spans="1:35" ht="14.25" customHeight="1" x14ac:dyDescent="0.25">
      <c r="A837" s="1"/>
      <c r="AI837" s="39"/>
    </row>
    <row r="838" spans="1:35" ht="14.25" customHeight="1" x14ac:dyDescent="0.25">
      <c r="A838" s="1"/>
      <c r="AI838" s="39"/>
    </row>
    <row r="839" spans="1:35" ht="14.25" customHeight="1" x14ac:dyDescent="0.25">
      <c r="A839" s="1"/>
      <c r="AI839" s="39"/>
    </row>
    <row r="840" spans="1:35" ht="14.25" customHeight="1" x14ac:dyDescent="0.25">
      <c r="A840" s="1"/>
      <c r="AI840" s="39"/>
    </row>
    <row r="841" spans="1:35" ht="14.25" customHeight="1" x14ac:dyDescent="0.25">
      <c r="A841" s="1"/>
      <c r="AI841" s="39"/>
    </row>
    <row r="842" spans="1:35" ht="14.25" customHeight="1" x14ac:dyDescent="0.25">
      <c r="A842" s="1"/>
      <c r="AI842" s="39"/>
    </row>
    <row r="843" spans="1:35" ht="14.25" customHeight="1" x14ac:dyDescent="0.25">
      <c r="A843" s="1"/>
      <c r="AI843" s="39"/>
    </row>
    <row r="844" spans="1:35" ht="14.25" customHeight="1" x14ac:dyDescent="0.25">
      <c r="A844" s="1"/>
      <c r="AI844" s="39"/>
    </row>
    <row r="845" spans="1:35" ht="14.25" customHeight="1" x14ac:dyDescent="0.25">
      <c r="A845" s="1"/>
      <c r="AI845" s="39"/>
    </row>
    <row r="846" spans="1:35" ht="14.25" customHeight="1" x14ac:dyDescent="0.25">
      <c r="A846" s="1"/>
      <c r="AI846" s="39"/>
    </row>
    <row r="847" spans="1:35" ht="14.25" customHeight="1" x14ac:dyDescent="0.25">
      <c r="A847" s="1"/>
      <c r="AI847" s="39"/>
    </row>
    <row r="848" spans="1:35" ht="14.25" customHeight="1" x14ac:dyDescent="0.25">
      <c r="A848" s="1"/>
      <c r="AI848" s="39"/>
    </row>
    <row r="849" spans="1:35" ht="14.25" customHeight="1" x14ac:dyDescent="0.25">
      <c r="A849" s="1"/>
      <c r="AI849" s="39"/>
    </row>
    <row r="850" spans="1:35" ht="14.25" customHeight="1" x14ac:dyDescent="0.25">
      <c r="A850" s="1"/>
      <c r="AI850" s="39"/>
    </row>
    <row r="851" spans="1:35" ht="14.25" customHeight="1" x14ac:dyDescent="0.25">
      <c r="A851" s="1"/>
      <c r="AI851" s="39"/>
    </row>
    <row r="852" spans="1:35" ht="14.25" customHeight="1" x14ac:dyDescent="0.25">
      <c r="A852" s="1"/>
      <c r="AI852" s="39"/>
    </row>
    <row r="853" spans="1:35" ht="14.25" customHeight="1" x14ac:dyDescent="0.25">
      <c r="A853" s="1"/>
      <c r="AI853" s="39"/>
    </row>
    <row r="854" spans="1:35" ht="14.25" customHeight="1" x14ac:dyDescent="0.25">
      <c r="A854" s="1"/>
      <c r="AI854" s="39"/>
    </row>
    <row r="855" spans="1:35" ht="14.25" customHeight="1" x14ac:dyDescent="0.25">
      <c r="A855" s="1"/>
      <c r="AI855" s="39"/>
    </row>
    <row r="856" spans="1:35" ht="14.25" customHeight="1" x14ac:dyDescent="0.25">
      <c r="A856" s="1"/>
      <c r="AI856" s="39"/>
    </row>
    <row r="857" spans="1:35" ht="14.25" customHeight="1" x14ac:dyDescent="0.25">
      <c r="A857" s="1"/>
      <c r="AI857" s="39"/>
    </row>
    <row r="858" spans="1:35" ht="14.25" customHeight="1" x14ac:dyDescent="0.25">
      <c r="A858" s="1"/>
      <c r="AI858" s="39"/>
    </row>
    <row r="859" spans="1:35" ht="14.25" customHeight="1" x14ac:dyDescent="0.25">
      <c r="A859" s="1"/>
      <c r="AI859" s="39"/>
    </row>
    <row r="860" spans="1:35" ht="14.25" customHeight="1" x14ac:dyDescent="0.25">
      <c r="A860" s="1"/>
      <c r="AI860" s="39"/>
    </row>
    <row r="861" spans="1:35" ht="14.25" customHeight="1" x14ac:dyDescent="0.25">
      <c r="A861" s="1"/>
      <c r="AI861" s="39"/>
    </row>
    <row r="862" spans="1:35" ht="14.25" customHeight="1" x14ac:dyDescent="0.25">
      <c r="A862" s="1"/>
      <c r="AI862" s="39"/>
    </row>
    <row r="863" spans="1:35" ht="14.25" customHeight="1" x14ac:dyDescent="0.25">
      <c r="A863" s="1"/>
      <c r="AI863" s="39"/>
    </row>
    <row r="864" spans="1:35" ht="14.25" customHeight="1" x14ac:dyDescent="0.25">
      <c r="A864" s="1"/>
      <c r="AI864" s="39"/>
    </row>
    <row r="865" spans="1:35" ht="14.25" customHeight="1" x14ac:dyDescent="0.25">
      <c r="A865" s="1"/>
      <c r="AI865" s="39"/>
    </row>
    <row r="866" spans="1:35" ht="14.25" customHeight="1" x14ac:dyDescent="0.25">
      <c r="A866" s="1"/>
      <c r="AI866" s="39"/>
    </row>
    <row r="867" spans="1:35" ht="14.25" customHeight="1" x14ac:dyDescent="0.25">
      <c r="A867" s="1"/>
      <c r="AI867" s="39"/>
    </row>
    <row r="868" spans="1:35" ht="14.25" customHeight="1" x14ac:dyDescent="0.25">
      <c r="A868" s="1"/>
      <c r="AI868" s="39"/>
    </row>
    <row r="869" spans="1:35" ht="14.25" customHeight="1" x14ac:dyDescent="0.25">
      <c r="A869" s="1"/>
      <c r="AI869" s="39"/>
    </row>
    <row r="870" spans="1:35" ht="14.25" customHeight="1" x14ac:dyDescent="0.25">
      <c r="A870" s="1"/>
      <c r="AI870" s="39"/>
    </row>
    <row r="871" spans="1:35" ht="14.25" customHeight="1" x14ac:dyDescent="0.25">
      <c r="A871" s="1"/>
      <c r="AI871" s="39"/>
    </row>
    <row r="872" spans="1:35" ht="14.25" customHeight="1" x14ac:dyDescent="0.25">
      <c r="A872" s="1"/>
      <c r="AI872" s="39"/>
    </row>
    <row r="873" spans="1:35" ht="14.25" customHeight="1" x14ac:dyDescent="0.25">
      <c r="A873" s="1"/>
      <c r="AI873" s="39"/>
    </row>
    <row r="874" spans="1:35" ht="14.25" customHeight="1" x14ac:dyDescent="0.25">
      <c r="A874" s="1"/>
      <c r="AI874" s="39"/>
    </row>
    <row r="875" spans="1:35" ht="14.25" customHeight="1" x14ac:dyDescent="0.25">
      <c r="A875" s="1"/>
      <c r="AI875" s="39"/>
    </row>
    <row r="876" spans="1:35" ht="14.25" customHeight="1" x14ac:dyDescent="0.25">
      <c r="A876" s="1"/>
      <c r="AI876" s="39"/>
    </row>
    <row r="877" spans="1:35" ht="14.25" customHeight="1" x14ac:dyDescent="0.25">
      <c r="A877" s="1"/>
      <c r="AI877" s="39"/>
    </row>
    <row r="878" spans="1:35" ht="14.25" customHeight="1" x14ac:dyDescent="0.25">
      <c r="A878" s="1"/>
      <c r="AI878" s="39"/>
    </row>
    <row r="879" spans="1:35" ht="14.25" customHeight="1" x14ac:dyDescent="0.25">
      <c r="A879" s="1"/>
      <c r="AI879" s="39"/>
    </row>
    <row r="880" spans="1:35" ht="14.25" customHeight="1" x14ac:dyDescent="0.25">
      <c r="A880" s="1"/>
      <c r="AI880" s="39"/>
    </row>
    <row r="881" spans="1:35" ht="14.25" customHeight="1" x14ac:dyDescent="0.25">
      <c r="A881" s="1"/>
      <c r="AI881" s="39"/>
    </row>
    <row r="882" spans="1:35" ht="14.25" customHeight="1" x14ac:dyDescent="0.25">
      <c r="A882" s="1"/>
      <c r="AI882" s="39"/>
    </row>
    <row r="883" spans="1:35" ht="14.25" customHeight="1" x14ac:dyDescent="0.25">
      <c r="A883" s="1"/>
      <c r="AI883" s="39"/>
    </row>
    <row r="884" spans="1:35" ht="14.25" customHeight="1" x14ac:dyDescent="0.25">
      <c r="A884" s="1"/>
      <c r="AI884" s="39"/>
    </row>
    <row r="885" spans="1:35" ht="14.25" customHeight="1" x14ac:dyDescent="0.25">
      <c r="A885" s="1"/>
      <c r="AI885" s="39"/>
    </row>
    <row r="886" spans="1:35" ht="14.25" customHeight="1" x14ac:dyDescent="0.25">
      <c r="A886" s="1"/>
      <c r="AI886" s="39"/>
    </row>
    <row r="887" spans="1:35" ht="14.25" customHeight="1" x14ac:dyDescent="0.25">
      <c r="A887" s="1"/>
      <c r="AI887" s="39"/>
    </row>
    <row r="888" spans="1:35" ht="14.25" customHeight="1" x14ac:dyDescent="0.25">
      <c r="A888" s="1"/>
      <c r="AI888" s="39"/>
    </row>
    <row r="889" spans="1:35" ht="14.25" customHeight="1" x14ac:dyDescent="0.25">
      <c r="A889" s="1"/>
      <c r="AI889" s="39"/>
    </row>
    <row r="890" spans="1:35" ht="14.25" customHeight="1" x14ac:dyDescent="0.25">
      <c r="A890" s="1"/>
      <c r="AI890" s="39"/>
    </row>
    <row r="891" spans="1:35" ht="14.25" customHeight="1" x14ac:dyDescent="0.25">
      <c r="A891" s="1"/>
      <c r="AI891" s="39"/>
    </row>
    <row r="892" spans="1:35" ht="14.25" customHeight="1" x14ac:dyDescent="0.25">
      <c r="A892" s="1"/>
      <c r="AI892" s="39"/>
    </row>
    <row r="893" spans="1:35" ht="14.25" customHeight="1" x14ac:dyDescent="0.25">
      <c r="A893" s="1"/>
      <c r="AI893" s="39"/>
    </row>
    <row r="894" spans="1:35" ht="14.25" customHeight="1" x14ac:dyDescent="0.25">
      <c r="A894" s="1"/>
      <c r="AI894" s="39"/>
    </row>
    <row r="895" spans="1:35" ht="14.25" customHeight="1" x14ac:dyDescent="0.25">
      <c r="A895" s="1"/>
      <c r="AI895" s="39"/>
    </row>
    <row r="896" spans="1:35" ht="14.25" customHeight="1" x14ac:dyDescent="0.25">
      <c r="A896" s="1"/>
      <c r="AI896" s="39"/>
    </row>
    <row r="897" spans="1:35" ht="14.25" customHeight="1" x14ac:dyDescent="0.25">
      <c r="A897" s="1"/>
      <c r="AI897" s="39"/>
    </row>
    <row r="898" spans="1:35" ht="14.25" customHeight="1" x14ac:dyDescent="0.25">
      <c r="A898" s="1"/>
      <c r="AI898" s="39"/>
    </row>
    <row r="899" spans="1:35" ht="14.25" customHeight="1" x14ac:dyDescent="0.25">
      <c r="A899" s="1"/>
      <c r="AI899" s="39"/>
    </row>
    <row r="900" spans="1:35" ht="14.25" customHeight="1" x14ac:dyDescent="0.25">
      <c r="A900" s="1"/>
      <c r="AI900" s="39"/>
    </row>
    <row r="901" spans="1:35" ht="14.25" customHeight="1" x14ac:dyDescent="0.25">
      <c r="A901" s="1"/>
      <c r="AI901" s="39"/>
    </row>
    <row r="902" spans="1:35" ht="14.25" customHeight="1" x14ac:dyDescent="0.25">
      <c r="A902" s="1"/>
      <c r="AI902" s="39"/>
    </row>
    <row r="903" spans="1:35" ht="14.25" customHeight="1" x14ac:dyDescent="0.25">
      <c r="A903" s="1"/>
      <c r="AI903" s="39"/>
    </row>
    <row r="904" spans="1:35" ht="14.25" customHeight="1" x14ac:dyDescent="0.25">
      <c r="A904" s="1"/>
      <c r="AI904" s="39"/>
    </row>
    <row r="905" spans="1:35" ht="14.25" customHeight="1" x14ac:dyDescent="0.25">
      <c r="A905" s="1"/>
      <c r="AI905" s="39"/>
    </row>
    <row r="906" spans="1:35" ht="14.25" customHeight="1" x14ac:dyDescent="0.25">
      <c r="A906" s="1"/>
      <c r="AI906" s="39"/>
    </row>
    <row r="907" spans="1:35" ht="14.25" customHeight="1" x14ac:dyDescent="0.25">
      <c r="A907" s="1"/>
      <c r="AI907" s="39"/>
    </row>
    <row r="908" spans="1:35" ht="14.25" customHeight="1" x14ac:dyDescent="0.25">
      <c r="A908" s="1"/>
      <c r="AI908" s="39"/>
    </row>
    <row r="909" spans="1:35" ht="14.25" customHeight="1" x14ac:dyDescent="0.25">
      <c r="A909" s="1"/>
      <c r="AI909" s="39"/>
    </row>
    <row r="910" spans="1:35" ht="14.25" customHeight="1" x14ac:dyDescent="0.25">
      <c r="A910" s="1"/>
      <c r="AI910" s="39"/>
    </row>
    <row r="911" spans="1:35" ht="14.25" customHeight="1" x14ac:dyDescent="0.25">
      <c r="A911" s="1"/>
      <c r="AI911" s="39"/>
    </row>
    <row r="912" spans="1:35" ht="14.25" customHeight="1" x14ac:dyDescent="0.25">
      <c r="A912" s="1"/>
      <c r="AI912" s="39"/>
    </row>
    <row r="913" spans="1:35" ht="14.25" customHeight="1" x14ac:dyDescent="0.25">
      <c r="A913" s="1"/>
      <c r="AI913" s="39"/>
    </row>
    <row r="914" spans="1:35" ht="14.25" customHeight="1" x14ac:dyDescent="0.25">
      <c r="A914" s="1"/>
      <c r="AI914" s="39"/>
    </row>
    <row r="915" spans="1:35" ht="14.25" customHeight="1" x14ac:dyDescent="0.25">
      <c r="A915" s="1"/>
      <c r="AI915" s="39"/>
    </row>
    <row r="916" spans="1:35" ht="14.25" customHeight="1" x14ac:dyDescent="0.25">
      <c r="A916" s="1"/>
      <c r="AI916" s="39"/>
    </row>
    <row r="917" spans="1:35" ht="14.25" customHeight="1" x14ac:dyDescent="0.25">
      <c r="A917" s="1"/>
      <c r="AI917" s="39"/>
    </row>
    <row r="918" spans="1:35" ht="14.25" customHeight="1" x14ac:dyDescent="0.25">
      <c r="A918" s="1"/>
      <c r="AI918" s="39"/>
    </row>
    <row r="919" spans="1:35" ht="14.25" customHeight="1" x14ac:dyDescent="0.25">
      <c r="A919" s="1"/>
      <c r="AI919" s="39"/>
    </row>
    <row r="920" spans="1:35" ht="14.25" customHeight="1" x14ac:dyDescent="0.25">
      <c r="A920" s="1"/>
      <c r="AI920" s="39"/>
    </row>
    <row r="921" spans="1:35" ht="14.25" customHeight="1" x14ac:dyDescent="0.25">
      <c r="A921" s="1"/>
      <c r="AI921" s="39"/>
    </row>
    <row r="922" spans="1:35" ht="14.25" customHeight="1" x14ac:dyDescent="0.25">
      <c r="A922" s="1"/>
      <c r="AI922" s="39"/>
    </row>
    <row r="923" spans="1:35" ht="14.25" customHeight="1" x14ac:dyDescent="0.25">
      <c r="A923" s="1"/>
      <c r="AI923" s="39"/>
    </row>
    <row r="924" spans="1:35" ht="14.25" customHeight="1" x14ac:dyDescent="0.25">
      <c r="A924" s="1"/>
      <c r="AI924" s="39"/>
    </row>
    <row r="925" spans="1:35" ht="14.25" customHeight="1" x14ac:dyDescent="0.25">
      <c r="A925" s="1"/>
      <c r="AI925" s="39"/>
    </row>
    <row r="926" spans="1:35" ht="14.25" customHeight="1" x14ac:dyDescent="0.25">
      <c r="A926" s="1"/>
      <c r="AI926" s="39"/>
    </row>
    <row r="927" spans="1:35" ht="14.25" customHeight="1" x14ac:dyDescent="0.25">
      <c r="A927" s="1"/>
      <c r="AI927" s="39"/>
    </row>
    <row r="928" spans="1:35" ht="14.25" customHeight="1" x14ac:dyDescent="0.25">
      <c r="A928" s="1"/>
      <c r="AI928" s="39"/>
    </row>
    <row r="929" spans="1:35" ht="14.25" customHeight="1" x14ac:dyDescent="0.25">
      <c r="A929" s="1"/>
      <c r="AI929" s="39"/>
    </row>
    <row r="930" spans="1:35" ht="14.25" customHeight="1" x14ac:dyDescent="0.25">
      <c r="A930" s="1"/>
      <c r="AI930" s="39"/>
    </row>
    <row r="931" spans="1:35" ht="14.25" customHeight="1" x14ac:dyDescent="0.25">
      <c r="A931" s="1"/>
      <c r="AI931" s="39"/>
    </row>
    <row r="932" spans="1:35" ht="14.25" customHeight="1" x14ac:dyDescent="0.25">
      <c r="A932" s="1"/>
      <c r="AI932" s="39"/>
    </row>
    <row r="933" spans="1:35" ht="14.25" customHeight="1" x14ac:dyDescent="0.25">
      <c r="A933" s="1"/>
      <c r="AI933" s="39"/>
    </row>
    <row r="934" spans="1:35" ht="14.25" customHeight="1" x14ac:dyDescent="0.25">
      <c r="A934" s="1"/>
      <c r="AI934" s="39"/>
    </row>
    <row r="935" spans="1:35" ht="14.25" customHeight="1" x14ac:dyDescent="0.25">
      <c r="A935" s="1"/>
      <c r="AI935" s="39"/>
    </row>
    <row r="936" spans="1:35" ht="14.25" customHeight="1" x14ac:dyDescent="0.25">
      <c r="A936" s="1"/>
      <c r="AI936" s="39"/>
    </row>
    <row r="937" spans="1:35" ht="14.25" customHeight="1" x14ac:dyDescent="0.25">
      <c r="A937" s="1"/>
      <c r="AI937" s="39"/>
    </row>
    <row r="938" spans="1:35" ht="14.25" customHeight="1" x14ac:dyDescent="0.25">
      <c r="A938" s="1"/>
      <c r="AI938" s="39"/>
    </row>
    <row r="939" spans="1:35" ht="14.25" customHeight="1" x14ac:dyDescent="0.25">
      <c r="A939" s="1"/>
      <c r="AI939" s="39"/>
    </row>
    <row r="940" spans="1:35" ht="14.25" customHeight="1" x14ac:dyDescent="0.25">
      <c r="A940" s="1"/>
      <c r="AI940" s="39"/>
    </row>
    <row r="941" spans="1:35" ht="14.25" customHeight="1" x14ac:dyDescent="0.25">
      <c r="A941" s="1"/>
      <c r="AI941" s="39"/>
    </row>
    <row r="942" spans="1:35" ht="14.25" customHeight="1" x14ac:dyDescent="0.25">
      <c r="A942" s="1"/>
      <c r="AI942" s="39"/>
    </row>
    <row r="943" spans="1:35" ht="14.25" customHeight="1" x14ac:dyDescent="0.25">
      <c r="A943" s="1"/>
      <c r="AI943" s="39"/>
    </row>
    <row r="944" spans="1:35" ht="14.25" customHeight="1" x14ac:dyDescent="0.25">
      <c r="A944" s="1"/>
      <c r="AI944" s="39"/>
    </row>
    <row r="945" spans="1:35" ht="14.25" customHeight="1" x14ac:dyDescent="0.25">
      <c r="A945" s="1"/>
      <c r="AI945" s="39"/>
    </row>
    <row r="946" spans="1:35" ht="14.25" customHeight="1" x14ac:dyDescent="0.25">
      <c r="A946" s="1"/>
      <c r="AI946" s="39"/>
    </row>
    <row r="947" spans="1:35" ht="14.25" customHeight="1" x14ac:dyDescent="0.25">
      <c r="A947" s="1"/>
      <c r="AI947" s="39"/>
    </row>
    <row r="948" spans="1:35" ht="14.25" customHeight="1" x14ac:dyDescent="0.25">
      <c r="A948" s="1"/>
      <c r="AI948" s="39"/>
    </row>
    <row r="949" spans="1:35" ht="14.25" customHeight="1" x14ac:dyDescent="0.25">
      <c r="A949" s="1"/>
      <c r="AI949" s="39"/>
    </row>
    <row r="950" spans="1:35" ht="14.25" customHeight="1" x14ac:dyDescent="0.25">
      <c r="A950" s="1"/>
      <c r="AI950" s="39"/>
    </row>
    <row r="951" spans="1:35" ht="14.25" customHeight="1" x14ac:dyDescent="0.25">
      <c r="A951" s="1"/>
      <c r="AI951" s="39"/>
    </row>
    <row r="952" spans="1:35" ht="14.25" customHeight="1" x14ac:dyDescent="0.25">
      <c r="A952" s="1"/>
      <c r="AI952" s="39"/>
    </row>
    <row r="953" spans="1:35" ht="14.25" customHeight="1" x14ac:dyDescent="0.25">
      <c r="A953" s="1"/>
      <c r="AI953" s="39"/>
    </row>
    <row r="954" spans="1:35" ht="14.25" customHeight="1" x14ac:dyDescent="0.25">
      <c r="A954" s="1"/>
      <c r="AI954" s="39"/>
    </row>
    <row r="955" spans="1:35" ht="14.25" customHeight="1" x14ac:dyDescent="0.25">
      <c r="A955" s="1"/>
      <c r="AI955" s="39"/>
    </row>
    <row r="956" spans="1:35" ht="14.25" customHeight="1" x14ac:dyDescent="0.25">
      <c r="A956" s="1"/>
      <c r="AI956" s="39"/>
    </row>
    <row r="957" spans="1:35" ht="14.25" customHeight="1" x14ac:dyDescent="0.25">
      <c r="A957" s="1"/>
      <c r="AI957" s="39"/>
    </row>
    <row r="958" spans="1:35" ht="14.25" customHeight="1" x14ac:dyDescent="0.25">
      <c r="A958" s="1"/>
      <c r="AI958" s="39"/>
    </row>
    <row r="959" spans="1:35" ht="14.25" customHeight="1" x14ac:dyDescent="0.25">
      <c r="A959" s="1"/>
      <c r="AI959" s="39"/>
    </row>
    <row r="960" spans="1:35" ht="14.25" customHeight="1" x14ac:dyDescent="0.25">
      <c r="A960" s="1"/>
      <c r="AI960" s="39"/>
    </row>
    <row r="961" spans="1:35" ht="14.25" customHeight="1" x14ac:dyDescent="0.25">
      <c r="A961" s="1"/>
      <c r="AI961" s="39"/>
    </row>
    <row r="962" spans="1:35" ht="14.25" customHeight="1" x14ac:dyDescent="0.25">
      <c r="A962" s="1"/>
      <c r="AI962" s="39"/>
    </row>
    <row r="963" spans="1:35" ht="14.25" customHeight="1" x14ac:dyDescent="0.25">
      <c r="A963" s="1"/>
      <c r="AI963" s="39"/>
    </row>
    <row r="964" spans="1:35" ht="14.25" customHeight="1" x14ac:dyDescent="0.25">
      <c r="A964" s="1"/>
      <c r="AI964" s="39"/>
    </row>
    <row r="965" spans="1:35" ht="14.25" customHeight="1" x14ac:dyDescent="0.25">
      <c r="A965" s="1"/>
      <c r="AI965" s="39"/>
    </row>
    <row r="966" spans="1:35" ht="14.25" customHeight="1" x14ac:dyDescent="0.25">
      <c r="A966" s="1"/>
      <c r="AI966" s="39"/>
    </row>
    <row r="967" spans="1:35" ht="14.25" customHeight="1" x14ac:dyDescent="0.25">
      <c r="A967" s="1"/>
      <c r="AI967" s="39"/>
    </row>
    <row r="968" spans="1:35" ht="14.25" customHeight="1" x14ac:dyDescent="0.25">
      <c r="A968" s="1"/>
      <c r="AI968" s="39"/>
    </row>
    <row r="969" spans="1:35" ht="14.25" customHeight="1" x14ac:dyDescent="0.25">
      <c r="A969" s="1"/>
      <c r="AI969" s="39"/>
    </row>
    <row r="970" spans="1:35" ht="14.25" customHeight="1" x14ac:dyDescent="0.25">
      <c r="A970" s="1"/>
      <c r="AI970" s="39"/>
    </row>
    <row r="971" spans="1:35" ht="14.25" customHeight="1" x14ac:dyDescent="0.25">
      <c r="A971" s="1"/>
      <c r="AI971" s="39"/>
    </row>
    <row r="972" spans="1:35" ht="14.25" customHeight="1" x14ac:dyDescent="0.25">
      <c r="A972" s="1"/>
      <c r="AI972" s="39"/>
    </row>
    <row r="973" spans="1:35" ht="14.25" customHeight="1" x14ac:dyDescent="0.25">
      <c r="A973" s="1"/>
      <c r="AI973" s="39"/>
    </row>
    <row r="974" spans="1:35" ht="14.25" customHeight="1" x14ac:dyDescent="0.25">
      <c r="A974" s="1"/>
      <c r="AI974" s="39"/>
    </row>
    <row r="975" spans="1:35" ht="14.25" customHeight="1" x14ac:dyDescent="0.25">
      <c r="A975" s="1"/>
      <c r="AI975" s="39"/>
    </row>
    <row r="976" spans="1:35" ht="14.25" customHeight="1" x14ac:dyDescent="0.25">
      <c r="A976" s="1"/>
      <c r="AI976" s="39"/>
    </row>
    <row r="977" spans="1:35" ht="14.25" customHeight="1" x14ac:dyDescent="0.25">
      <c r="A977" s="1"/>
      <c r="AI977" s="39"/>
    </row>
    <row r="978" spans="1:35" ht="14.25" customHeight="1" x14ac:dyDescent="0.25">
      <c r="A978" s="1"/>
      <c r="AI978" s="39"/>
    </row>
    <row r="979" spans="1:35" ht="14.25" customHeight="1" x14ac:dyDescent="0.25">
      <c r="A979" s="1"/>
      <c r="AI979" s="39"/>
    </row>
    <row r="980" spans="1:35" ht="14.25" customHeight="1" x14ac:dyDescent="0.25">
      <c r="A980" s="1"/>
      <c r="AI980" s="39"/>
    </row>
    <row r="981" spans="1:35" ht="14.25" customHeight="1" x14ac:dyDescent="0.25">
      <c r="A981" s="1"/>
      <c r="AI981" s="39"/>
    </row>
    <row r="982" spans="1:35" ht="14.25" customHeight="1" x14ac:dyDescent="0.25">
      <c r="A982" s="1"/>
      <c r="AI982" s="39"/>
    </row>
    <row r="983" spans="1:35" ht="14.25" customHeight="1" x14ac:dyDescent="0.25">
      <c r="A983" s="1"/>
      <c r="AI983" s="39"/>
    </row>
    <row r="984" spans="1:35" ht="14.25" customHeight="1" x14ac:dyDescent="0.25">
      <c r="A984" s="1"/>
      <c r="AI984" s="39"/>
    </row>
    <row r="985" spans="1:35" ht="14.25" customHeight="1" x14ac:dyDescent="0.25">
      <c r="A985" s="1"/>
      <c r="AI985" s="39"/>
    </row>
    <row r="986" spans="1:35" ht="14.25" customHeight="1" x14ac:dyDescent="0.25">
      <c r="A986" s="1"/>
      <c r="AI986" s="39"/>
    </row>
    <row r="987" spans="1:35" ht="14.25" customHeight="1" x14ac:dyDescent="0.25">
      <c r="A987" s="1"/>
      <c r="AI987" s="39"/>
    </row>
    <row r="988" spans="1:35" ht="14.25" customHeight="1" x14ac:dyDescent="0.25">
      <c r="A988" s="1"/>
      <c r="AI988" s="39"/>
    </row>
    <row r="989" spans="1:35" ht="14.25" customHeight="1" x14ac:dyDescent="0.25">
      <c r="A989" s="1"/>
      <c r="AI989" s="39"/>
    </row>
    <row r="990" spans="1:35" ht="14.25" customHeight="1" x14ac:dyDescent="0.25">
      <c r="A990" s="1"/>
      <c r="AI990" s="39"/>
    </row>
    <row r="991" spans="1:35" ht="14.25" customHeight="1" x14ac:dyDescent="0.25">
      <c r="A991" s="1"/>
      <c r="AI991" s="39"/>
    </row>
    <row r="992" spans="1:35" ht="14.25" customHeight="1" x14ac:dyDescent="0.25">
      <c r="A992" s="1"/>
      <c r="AI992" s="39"/>
    </row>
    <row r="993" spans="1:35" ht="14.25" customHeight="1" x14ac:dyDescent="0.25">
      <c r="A993" s="1"/>
      <c r="AI993" s="39"/>
    </row>
    <row r="994" spans="1:35" ht="14.25" customHeight="1" x14ac:dyDescent="0.25">
      <c r="A994" s="1"/>
      <c r="AI994" s="39"/>
    </row>
    <row r="995" spans="1:35" ht="14.25" customHeight="1" x14ac:dyDescent="0.25">
      <c r="A995" s="1"/>
      <c r="AI995" s="39"/>
    </row>
    <row r="996" spans="1:35" ht="14.25" customHeight="1" x14ac:dyDescent="0.25">
      <c r="A996" s="1"/>
      <c r="AI996" s="39"/>
    </row>
    <row r="997" spans="1:35" ht="14.25" customHeight="1" x14ac:dyDescent="0.25">
      <c r="A997" s="1"/>
      <c r="AI997" s="39"/>
    </row>
    <row r="998" spans="1:35" ht="14.25" customHeight="1" x14ac:dyDescent="0.25">
      <c r="A998" s="1"/>
    </row>
    <row r="999" spans="1:35" ht="14.25" customHeight="1" x14ac:dyDescent="0.25">
      <c r="A999" s="1"/>
    </row>
  </sheetData>
  <pageMargins left="0.7" right="0.7" top="0.75" bottom="0.75" header="0" footer="0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E0DF4-CC54-43CC-AB78-1332CCC36CED}">
  <dimension ref="A1:AY150"/>
  <sheetViews>
    <sheetView topLeftCell="B92" workbookViewId="0">
      <selection activeCell="L93" sqref="L93"/>
    </sheetView>
  </sheetViews>
  <sheetFormatPr defaultRowHeight="15" x14ac:dyDescent="0.25"/>
  <cols>
    <col min="11" max="11" width="11" bestFit="1" customWidth="1"/>
    <col min="28" max="28" width="12" bestFit="1" customWidth="1"/>
  </cols>
  <sheetData>
    <row r="1" spans="1:51" s="52" customFormat="1" ht="60" x14ac:dyDescent="0.25">
      <c r="A1" s="52" t="s">
        <v>2</v>
      </c>
      <c r="B1" s="52" t="s">
        <v>3</v>
      </c>
      <c r="C1" s="52" t="s">
        <v>69</v>
      </c>
      <c r="D1" s="52" t="s">
        <v>47</v>
      </c>
      <c r="E1" s="52" t="s">
        <v>70</v>
      </c>
      <c r="F1" s="52" t="s">
        <v>71</v>
      </c>
      <c r="G1" s="52" t="s">
        <v>72</v>
      </c>
      <c r="H1" s="52" t="s">
        <v>73</v>
      </c>
      <c r="I1" s="52" t="s">
        <v>74</v>
      </c>
      <c r="J1" s="52" t="s">
        <v>75</v>
      </c>
      <c r="K1" s="52" t="s">
        <v>76</v>
      </c>
      <c r="L1" s="52" t="s">
        <v>77</v>
      </c>
      <c r="M1" s="52" t="s">
        <v>78</v>
      </c>
      <c r="N1" s="52" t="s">
        <v>79</v>
      </c>
      <c r="O1" s="52" t="s">
        <v>80</v>
      </c>
      <c r="P1" s="52" t="s">
        <v>81</v>
      </c>
      <c r="Q1" s="52" t="s">
        <v>82</v>
      </c>
      <c r="R1" s="52" t="s">
        <v>83</v>
      </c>
      <c r="S1" s="52" t="s">
        <v>84</v>
      </c>
      <c r="T1" s="52" t="s">
        <v>85</v>
      </c>
      <c r="U1" s="52" t="s">
        <v>86</v>
      </c>
      <c r="V1" s="52" t="s">
        <v>87</v>
      </c>
      <c r="W1" s="52" t="s">
        <v>88</v>
      </c>
      <c r="X1" s="52" t="s">
        <v>89</v>
      </c>
      <c r="Y1" s="52" t="s">
        <v>90</v>
      </c>
      <c r="Z1" s="52" t="s">
        <v>91</v>
      </c>
      <c r="AA1" s="52" t="s">
        <v>92</v>
      </c>
      <c r="AB1" s="52" t="s">
        <v>93</v>
      </c>
      <c r="AC1" s="52" t="s">
        <v>94</v>
      </c>
      <c r="AD1" s="52" t="s">
        <v>95</v>
      </c>
      <c r="AE1" s="52" t="s">
        <v>96</v>
      </c>
      <c r="AF1" s="52" t="s">
        <v>97</v>
      </c>
      <c r="AG1" s="52" t="s">
        <v>98</v>
      </c>
      <c r="AH1" s="52" t="s">
        <v>99</v>
      </c>
      <c r="AI1" s="52" t="s">
        <v>100</v>
      </c>
      <c r="AJ1" s="52" t="s">
        <v>101</v>
      </c>
      <c r="AK1" s="52" t="s">
        <v>102</v>
      </c>
      <c r="AL1" s="52" t="s">
        <v>103</v>
      </c>
      <c r="AM1" s="52" t="s">
        <v>104</v>
      </c>
      <c r="AN1" s="52" t="s">
        <v>105</v>
      </c>
      <c r="AO1" s="52" t="s">
        <v>106</v>
      </c>
      <c r="AP1" s="52" t="s">
        <v>107</v>
      </c>
      <c r="AQ1" s="52" t="s">
        <v>108</v>
      </c>
      <c r="AR1" s="52" t="s">
        <v>109</v>
      </c>
      <c r="AS1" s="52" t="s">
        <v>110</v>
      </c>
      <c r="AT1" s="52" t="s">
        <v>111</v>
      </c>
      <c r="AU1" s="52" t="s">
        <v>112</v>
      </c>
      <c r="AV1" s="52" t="s">
        <v>113</v>
      </c>
      <c r="AW1" s="52" t="s">
        <v>114</v>
      </c>
      <c r="AX1" s="52" t="s">
        <v>115</v>
      </c>
      <c r="AY1" s="52" t="s">
        <v>116</v>
      </c>
    </row>
    <row r="2" spans="1:51" x14ac:dyDescent="0.25">
      <c r="A2" t="s">
        <v>13</v>
      </c>
      <c r="B2" t="s">
        <v>14</v>
      </c>
      <c r="C2" t="s">
        <v>117</v>
      </c>
      <c r="D2" t="s">
        <v>16</v>
      </c>
      <c r="E2">
        <v>10</v>
      </c>
      <c r="F2">
        <v>4.8</v>
      </c>
      <c r="G2">
        <v>5</v>
      </c>
      <c r="H2">
        <v>0</v>
      </c>
      <c r="I2">
        <v>17.600000000000001</v>
      </c>
      <c r="J2">
        <v>17.600000000000001</v>
      </c>
      <c r="K2">
        <v>22.6</v>
      </c>
      <c r="L2">
        <v>3.85</v>
      </c>
      <c r="M2">
        <v>14.18839475</v>
      </c>
      <c r="N2">
        <v>57.53</v>
      </c>
      <c r="O2">
        <v>29.548158335</v>
      </c>
      <c r="P2">
        <v>79.925884499999995</v>
      </c>
      <c r="Q2">
        <v>369.40169582499999</v>
      </c>
      <c r="R2">
        <v>498.85681662500002</v>
      </c>
      <c r="S2">
        <v>153.64660000000001</v>
      </c>
      <c r="T2">
        <v>706.87886337500004</v>
      </c>
      <c r="U2">
        <v>25.9502916675</v>
      </c>
      <c r="V2">
        <v>108.56725</v>
      </c>
      <c r="W2">
        <v>0.95219045713899997</v>
      </c>
      <c r="X2">
        <v>0.9067647005824</v>
      </c>
      <c r="Y2">
        <v>0</v>
      </c>
      <c r="Z2">
        <v>1.6</v>
      </c>
      <c r="AA2">
        <v>1.6</v>
      </c>
      <c r="AB2">
        <v>1.9333333333333</v>
      </c>
      <c r="AC2">
        <v>0.28915585954829998</v>
      </c>
      <c r="AD2">
        <v>2.3568550286349002</v>
      </c>
      <c r="AE2">
        <v>9.4902963306999997</v>
      </c>
      <c r="AF2">
        <v>1.1825929949202001</v>
      </c>
      <c r="AG2">
        <v>14.141130171808999</v>
      </c>
      <c r="AH2">
        <v>68.655786931650994</v>
      </c>
      <c r="AI2">
        <v>38.457168888822999</v>
      </c>
      <c r="AJ2">
        <v>10.592731708543001</v>
      </c>
      <c r="AK2">
        <v>54.853598869860001</v>
      </c>
      <c r="AL2">
        <v>1.7654552832554999</v>
      </c>
      <c r="AM2">
        <v>7.0955579722457003</v>
      </c>
      <c r="AN2">
        <v>52.8</v>
      </c>
      <c r="AO2">
        <v>0</v>
      </c>
      <c r="AP2">
        <v>20</v>
      </c>
      <c r="AQ2">
        <v>0</v>
      </c>
      <c r="AR2">
        <v>20</v>
      </c>
      <c r="AS2">
        <v>20</v>
      </c>
      <c r="AT2">
        <v>3.9463062898530001</v>
      </c>
      <c r="AU2">
        <v>0</v>
      </c>
      <c r="AV2">
        <v>2.9211869733608999</v>
      </c>
      <c r="AW2">
        <v>0</v>
      </c>
      <c r="AX2">
        <v>2.9211869733608999</v>
      </c>
      <c r="AY2">
        <v>2.9211869733608999</v>
      </c>
    </row>
    <row r="3" spans="1:51" x14ac:dyDescent="0.25">
      <c r="A3" t="s">
        <v>13</v>
      </c>
      <c r="B3" t="s">
        <v>14</v>
      </c>
      <c r="C3" t="s">
        <v>117</v>
      </c>
      <c r="D3" t="s">
        <v>1</v>
      </c>
      <c r="E3">
        <v>2</v>
      </c>
      <c r="F3">
        <v>8</v>
      </c>
      <c r="G3">
        <v>1</v>
      </c>
      <c r="H3">
        <v>0</v>
      </c>
      <c r="I3">
        <v>0</v>
      </c>
      <c r="J3">
        <v>0</v>
      </c>
      <c r="K3">
        <v>1</v>
      </c>
      <c r="L3">
        <v>0</v>
      </c>
      <c r="N3">
        <v>126.6</v>
      </c>
      <c r="W3">
        <v>4</v>
      </c>
      <c r="X3">
        <v>1</v>
      </c>
      <c r="Y3">
        <v>0</v>
      </c>
      <c r="Z3">
        <v>0</v>
      </c>
      <c r="AA3">
        <v>0</v>
      </c>
      <c r="AB3">
        <v>1</v>
      </c>
      <c r="AC3">
        <v>0</v>
      </c>
      <c r="AE3">
        <v>19.22</v>
      </c>
      <c r="AN3">
        <v>30</v>
      </c>
      <c r="AO3">
        <v>0</v>
      </c>
      <c r="AP3">
        <v>0</v>
      </c>
      <c r="AQ3">
        <v>0</v>
      </c>
      <c r="AR3">
        <v>0</v>
      </c>
      <c r="AS3">
        <v>0</v>
      </c>
      <c r="AT3">
        <v>14</v>
      </c>
      <c r="AU3">
        <v>0</v>
      </c>
      <c r="AV3">
        <v>0</v>
      </c>
      <c r="AW3">
        <v>0</v>
      </c>
      <c r="AX3">
        <v>0</v>
      </c>
      <c r="AY3">
        <v>0</v>
      </c>
    </row>
    <row r="4" spans="1:51" x14ac:dyDescent="0.25">
      <c r="A4" t="s">
        <v>13</v>
      </c>
      <c r="B4" t="s">
        <v>14</v>
      </c>
      <c r="C4" t="s">
        <v>118</v>
      </c>
      <c r="D4" t="s">
        <v>16</v>
      </c>
      <c r="E4">
        <v>5</v>
      </c>
      <c r="F4">
        <v>6.8</v>
      </c>
      <c r="G4">
        <v>8</v>
      </c>
      <c r="H4">
        <v>0</v>
      </c>
      <c r="I4">
        <v>13.6</v>
      </c>
      <c r="J4">
        <v>13.6</v>
      </c>
      <c r="K4">
        <v>21.6</v>
      </c>
      <c r="L4">
        <v>3.5</v>
      </c>
      <c r="N4">
        <v>24.666</v>
      </c>
      <c r="W4">
        <v>2.4979991993594002</v>
      </c>
      <c r="X4">
        <v>2.1908902300206998</v>
      </c>
      <c r="Y4">
        <v>0</v>
      </c>
      <c r="Z4">
        <v>2.7129319932501001</v>
      </c>
      <c r="AA4">
        <v>2.7129319932501001</v>
      </c>
      <c r="AB4">
        <v>0.97979589711329995</v>
      </c>
      <c r="AC4">
        <v>0.22360679775</v>
      </c>
      <c r="AE4">
        <v>6.5249019916000002</v>
      </c>
      <c r="AN4">
        <v>51.2</v>
      </c>
      <c r="AO4">
        <v>0</v>
      </c>
      <c r="AP4">
        <v>22.4</v>
      </c>
      <c r="AQ4">
        <v>0.8</v>
      </c>
      <c r="AR4">
        <v>23.2</v>
      </c>
      <c r="AS4">
        <v>23.2</v>
      </c>
      <c r="AT4">
        <v>5.8514955353311002</v>
      </c>
      <c r="AU4">
        <v>0</v>
      </c>
      <c r="AV4">
        <v>4.3081318457076003</v>
      </c>
      <c r="AW4">
        <v>0.8</v>
      </c>
      <c r="AX4">
        <v>4.6303347611161003</v>
      </c>
      <c r="AY4">
        <v>4.6303347611161003</v>
      </c>
    </row>
    <row r="5" spans="1:51" x14ac:dyDescent="0.25">
      <c r="A5" t="s">
        <v>13</v>
      </c>
      <c r="B5" t="s">
        <v>14</v>
      </c>
      <c r="C5" t="s">
        <v>118</v>
      </c>
      <c r="D5" t="s">
        <v>1</v>
      </c>
      <c r="E5">
        <v>1</v>
      </c>
      <c r="F5">
        <v>8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N5">
        <v>40.520000000000003</v>
      </c>
      <c r="AN5">
        <v>48</v>
      </c>
      <c r="AO5">
        <v>0</v>
      </c>
      <c r="AP5">
        <v>0</v>
      </c>
      <c r="AQ5">
        <v>0</v>
      </c>
      <c r="AR5">
        <v>0</v>
      </c>
      <c r="AS5">
        <v>0</v>
      </c>
    </row>
    <row r="6" spans="1:51" x14ac:dyDescent="0.25">
      <c r="A6" t="s">
        <v>13</v>
      </c>
      <c r="B6" t="s">
        <v>43</v>
      </c>
      <c r="C6" t="s">
        <v>117</v>
      </c>
      <c r="D6" t="s">
        <v>16</v>
      </c>
      <c r="E6">
        <v>10</v>
      </c>
      <c r="F6">
        <v>4.8</v>
      </c>
      <c r="G6">
        <v>5.2</v>
      </c>
      <c r="H6">
        <v>0</v>
      </c>
      <c r="I6">
        <v>20.399999999999999</v>
      </c>
      <c r="J6">
        <v>20.399999999999999</v>
      </c>
      <c r="K6">
        <v>25.6</v>
      </c>
      <c r="L6">
        <v>3.3</v>
      </c>
      <c r="M6">
        <v>41.332879329999997</v>
      </c>
      <c r="N6">
        <v>35.039000000000001</v>
      </c>
      <c r="O6">
        <v>25.088116670000002</v>
      </c>
      <c r="P6">
        <v>242.79279199999999</v>
      </c>
      <c r="Q6">
        <v>1134.440625</v>
      </c>
      <c r="R6">
        <v>382.66702750000002</v>
      </c>
      <c r="S6">
        <v>93.140649999999994</v>
      </c>
      <c r="T6">
        <v>435.46403099999998</v>
      </c>
      <c r="U6">
        <v>15.865966670000001</v>
      </c>
      <c r="V6">
        <v>81.807000000000002</v>
      </c>
      <c r="W6">
        <v>0.74236858171069997</v>
      </c>
      <c r="X6">
        <v>0.99777530313969998</v>
      </c>
      <c r="Y6">
        <v>0</v>
      </c>
      <c r="Z6">
        <v>3.0081371127143002</v>
      </c>
      <c r="AA6">
        <v>3.0081371127143002</v>
      </c>
      <c r="AB6">
        <v>3.1524241113431999</v>
      </c>
      <c r="AC6">
        <v>0.32659863237109998</v>
      </c>
      <c r="AE6">
        <v>4.3920087659</v>
      </c>
      <c r="AN6">
        <v>62.4</v>
      </c>
      <c r="AO6">
        <v>0</v>
      </c>
      <c r="AP6">
        <v>16.2</v>
      </c>
      <c r="AQ6">
        <v>0.4</v>
      </c>
      <c r="AR6">
        <v>16.600000000000001</v>
      </c>
      <c r="AS6">
        <v>16.600000000000001</v>
      </c>
      <c r="AT6">
        <v>2.6127890589687</v>
      </c>
      <c r="AU6">
        <v>0</v>
      </c>
      <c r="AV6">
        <v>2.6741561493509001</v>
      </c>
      <c r="AW6">
        <v>0.4</v>
      </c>
      <c r="AX6">
        <v>2.7656624683589</v>
      </c>
      <c r="AY6">
        <v>2.7656624683589</v>
      </c>
    </row>
    <row r="7" spans="1:51" x14ac:dyDescent="0.25">
      <c r="A7" t="s">
        <v>13</v>
      </c>
      <c r="B7" t="s">
        <v>43</v>
      </c>
      <c r="C7" t="s">
        <v>117</v>
      </c>
      <c r="D7" t="s">
        <v>1</v>
      </c>
      <c r="E7">
        <v>2</v>
      </c>
      <c r="F7">
        <v>2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N7">
        <v>86.33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E7">
        <v>0.48</v>
      </c>
      <c r="AN7">
        <v>70</v>
      </c>
      <c r="AO7">
        <v>0</v>
      </c>
      <c r="AP7">
        <v>0</v>
      </c>
      <c r="AQ7">
        <v>0</v>
      </c>
      <c r="AR7">
        <v>0</v>
      </c>
      <c r="AS7">
        <v>0</v>
      </c>
      <c r="AT7">
        <v>2</v>
      </c>
      <c r="AU7">
        <v>0</v>
      </c>
      <c r="AV7">
        <v>0</v>
      </c>
      <c r="AW7">
        <v>0</v>
      </c>
      <c r="AX7">
        <v>0</v>
      </c>
      <c r="AY7">
        <v>0</v>
      </c>
    </row>
    <row r="8" spans="1:51" x14ac:dyDescent="0.25">
      <c r="A8" t="s">
        <v>13</v>
      </c>
      <c r="B8" t="s">
        <v>43</v>
      </c>
      <c r="C8" t="s">
        <v>118</v>
      </c>
      <c r="D8" t="s">
        <v>16</v>
      </c>
      <c r="E8">
        <v>5</v>
      </c>
      <c r="F8">
        <v>4</v>
      </c>
      <c r="G8">
        <v>4.8</v>
      </c>
      <c r="H8">
        <v>0</v>
      </c>
      <c r="I8">
        <v>12</v>
      </c>
      <c r="J8">
        <v>12</v>
      </c>
      <c r="K8">
        <v>16.8</v>
      </c>
      <c r="L8">
        <v>2.8</v>
      </c>
      <c r="N8">
        <v>34.374000000000002</v>
      </c>
      <c r="W8">
        <v>1.0954451150103</v>
      </c>
      <c r="X8">
        <v>1.3564659966251</v>
      </c>
      <c r="Y8">
        <v>0</v>
      </c>
      <c r="Z8">
        <v>4.5607017003966002</v>
      </c>
      <c r="AA8">
        <v>4.5607017003966002</v>
      </c>
      <c r="AB8">
        <v>4.5869379764718996</v>
      </c>
      <c r="AC8">
        <v>0.64420493633630005</v>
      </c>
      <c r="AE8">
        <v>5.2034263712</v>
      </c>
      <c r="AN8">
        <v>69.599999999999994</v>
      </c>
      <c r="AO8">
        <v>0</v>
      </c>
      <c r="AP8">
        <v>14.4</v>
      </c>
      <c r="AQ8">
        <v>0</v>
      </c>
      <c r="AR8">
        <v>14.4</v>
      </c>
      <c r="AS8">
        <v>14.4</v>
      </c>
      <c r="AT8">
        <v>3.9191835884530999</v>
      </c>
      <c r="AU8">
        <v>0</v>
      </c>
      <c r="AV8">
        <v>2.7129319932501001</v>
      </c>
      <c r="AW8">
        <v>0</v>
      </c>
      <c r="AX8">
        <v>2.7129319932501001</v>
      </c>
      <c r="AY8">
        <v>2.7129319932501001</v>
      </c>
    </row>
    <row r="9" spans="1:51" x14ac:dyDescent="0.25">
      <c r="A9" t="s">
        <v>13</v>
      </c>
      <c r="B9" t="s">
        <v>43</v>
      </c>
      <c r="C9" t="s">
        <v>118</v>
      </c>
      <c r="D9" t="s">
        <v>1</v>
      </c>
      <c r="E9">
        <v>1</v>
      </c>
      <c r="F9">
        <v>2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N9">
        <v>99.9</v>
      </c>
      <c r="AN9">
        <v>80</v>
      </c>
      <c r="AO9">
        <v>0</v>
      </c>
      <c r="AP9">
        <v>0</v>
      </c>
      <c r="AQ9">
        <v>0</v>
      </c>
      <c r="AR9">
        <v>0</v>
      </c>
      <c r="AS9">
        <v>0</v>
      </c>
    </row>
    <row r="10" spans="1:51" x14ac:dyDescent="0.25">
      <c r="A10" t="s">
        <v>11</v>
      </c>
      <c r="B10" t="s">
        <v>14</v>
      </c>
      <c r="C10" t="s">
        <v>117</v>
      </c>
      <c r="D10" t="s">
        <v>16</v>
      </c>
      <c r="E10">
        <v>10</v>
      </c>
      <c r="F10">
        <v>27.2</v>
      </c>
      <c r="G10">
        <v>11</v>
      </c>
      <c r="H10">
        <v>2.4</v>
      </c>
      <c r="I10">
        <v>4</v>
      </c>
      <c r="J10">
        <v>6.4</v>
      </c>
      <c r="K10">
        <v>17.399999999999999</v>
      </c>
      <c r="L10">
        <v>28.4</v>
      </c>
      <c r="M10">
        <v>7.5979280832500002</v>
      </c>
      <c r="N10">
        <v>27.718</v>
      </c>
      <c r="O10">
        <v>20.5093666675</v>
      </c>
      <c r="P10">
        <v>40.383084500000002</v>
      </c>
      <c r="Q10">
        <v>297.78119412500001</v>
      </c>
      <c r="R10">
        <v>380.82002045000002</v>
      </c>
      <c r="S10">
        <v>79.610425000000006</v>
      </c>
      <c r="T10">
        <v>564.33396649999997</v>
      </c>
      <c r="U10">
        <v>13.610929165</v>
      </c>
      <c r="V10">
        <v>54.334499999999998</v>
      </c>
      <c r="W10">
        <v>9.8486321667302992</v>
      </c>
      <c r="X10">
        <v>2.1343747458108999</v>
      </c>
      <c r="Y10">
        <v>1.6</v>
      </c>
      <c r="Z10">
        <v>0.73029674334020001</v>
      </c>
      <c r="AA10">
        <v>1.4236104336041999</v>
      </c>
      <c r="AB10">
        <v>2.7495454169735001</v>
      </c>
      <c r="AC10">
        <v>7.7570040035512999</v>
      </c>
      <c r="AD10">
        <v>0.83660159773389997</v>
      </c>
      <c r="AE10">
        <v>3.5248463481000001</v>
      </c>
      <c r="AF10">
        <v>0.4881722653851</v>
      </c>
      <c r="AG10">
        <v>5.0196095866246999</v>
      </c>
      <c r="AH10">
        <v>124.66114069304</v>
      </c>
      <c r="AI10">
        <v>136.82082728245001</v>
      </c>
      <c r="AJ10">
        <v>6.3278852755581001</v>
      </c>
      <c r="AK10">
        <v>213.16835968398999</v>
      </c>
      <c r="AL10">
        <v>1.0546475470075001</v>
      </c>
      <c r="AM10">
        <v>2.9290335934684002</v>
      </c>
      <c r="AN10">
        <v>70.8</v>
      </c>
      <c r="AO10">
        <v>0</v>
      </c>
      <c r="AP10">
        <v>10</v>
      </c>
      <c r="AQ10">
        <v>2.2000000000000002</v>
      </c>
      <c r="AR10">
        <v>12.2</v>
      </c>
      <c r="AS10">
        <v>12.2</v>
      </c>
      <c r="AT10">
        <v>3.6295086903509999</v>
      </c>
      <c r="AU10">
        <v>0</v>
      </c>
      <c r="AV10">
        <v>1.9776529298922001</v>
      </c>
      <c r="AW10">
        <v>0.69602043392739998</v>
      </c>
      <c r="AX10">
        <v>1.9194906731851</v>
      </c>
      <c r="AY10">
        <v>1.9194906731851</v>
      </c>
    </row>
    <row r="11" spans="1:51" x14ac:dyDescent="0.25">
      <c r="A11" t="s">
        <v>11</v>
      </c>
      <c r="B11" t="s">
        <v>14</v>
      </c>
      <c r="C11" t="s">
        <v>117</v>
      </c>
      <c r="D11" t="s">
        <v>1</v>
      </c>
      <c r="E11">
        <v>2</v>
      </c>
      <c r="F11">
        <v>18</v>
      </c>
      <c r="G11">
        <v>0</v>
      </c>
      <c r="H11">
        <v>0</v>
      </c>
      <c r="I11">
        <v>0</v>
      </c>
      <c r="J11">
        <v>0</v>
      </c>
      <c r="K11">
        <v>0</v>
      </c>
      <c r="L11">
        <v>12.5</v>
      </c>
      <c r="N11">
        <v>97.144999999999996</v>
      </c>
      <c r="W11">
        <v>6</v>
      </c>
      <c r="X11">
        <v>0</v>
      </c>
      <c r="Y11">
        <v>0</v>
      </c>
      <c r="Z11">
        <v>0</v>
      </c>
      <c r="AA11">
        <v>0</v>
      </c>
      <c r="AB11">
        <v>0</v>
      </c>
      <c r="AC11">
        <v>12.5</v>
      </c>
      <c r="AE11">
        <v>15.185</v>
      </c>
      <c r="AN11">
        <v>76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8</v>
      </c>
      <c r="AU11">
        <v>0</v>
      </c>
      <c r="AV11">
        <v>0</v>
      </c>
      <c r="AW11">
        <v>0</v>
      </c>
      <c r="AX11">
        <v>0</v>
      </c>
      <c r="AY11">
        <v>0</v>
      </c>
    </row>
    <row r="12" spans="1:51" x14ac:dyDescent="0.25">
      <c r="A12" t="s">
        <v>11</v>
      </c>
      <c r="B12" t="s">
        <v>14</v>
      </c>
      <c r="C12" t="s">
        <v>118</v>
      </c>
      <c r="D12" t="s">
        <v>16</v>
      </c>
      <c r="E12">
        <v>5</v>
      </c>
      <c r="F12">
        <v>8.8000000000000007</v>
      </c>
      <c r="G12">
        <v>10.4</v>
      </c>
      <c r="H12">
        <v>11.6</v>
      </c>
      <c r="I12">
        <v>4.4000000000000004</v>
      </c>
      <c r="J12">
        <v>16</v>
      </c>
      <c r="K12">
        <v>26.4</v>
      </c>
      <c r="L12">
        <v>36.619999999999997</v>
      </c>
      <c r="N12">
        <v>34.036000000000001</v>
      </c>
      <c r="W12">
        <v>4.2708313008124996</v>
      </c>
      <c r="X12">
        <v>1.6</v>
      </c>
      <c r="Y12">
        <v>7.1665891468676</v>
      </c>
      <c r="Z12">
        <v>1.4696938456699</v>
      </c>
      <c r="AA12">
        <v>6.2928530890209</v>
      </c>
      <c r="AB12">
        <v>7.4135011971402998</v>
      </c>
      <c r="AC12">
        <v>5.9961987959040002</v>
      </c>
      <c r="AE12">
        <v>11.838567734</v>
      </c>
      <c r="AN12">
        <v>78.400000000000006</v>
      </c>
      <c r="AO12">
        <v>0</v>
      </c>
      <c r="AP12">
        <v>8.8000000000000007</v>
      </c>
      <c r="AQ12">
        <v>2</v>
      </c>
      <c r="AR12">
        <v>10.8</v>
      </c>
      <c r="AS12">
        <v>10.8</v>
      </c>
      <c r="AT12">
        <v>4.4899888641286996</v>
      </c>
      <c r="AU12">
        <v>0</v>
      </c>
      <c r="AV12">
        <v>1.9595917942265</v>
      </c>
      <c r="AW12">
        <v>0</v>
      </c>
      <c r="AX12">
        <v>1.9595917942265</v>
      </c>
      <c r="AY12">
        <v>1.9595917942265</v>
      </c>
    </row>
    <row r="13" spans="1:51" x14ac:dyDescent="0.25">
      <c r="A13" t="s">
        <v>11</v>
      </c>
      <c r="B13" t="s">
        <v>14</v>
      </c>
      <c r="C13" t="s">
        <v>118</v>
      </c>
      <c r="D13" t="s">
        <v>1</v>
      </c>
      <c r="E13">
        <v>1</v>
      </c>
      <c r="F13">
        <v>160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N13">
        <v>5.72</v>
      </c>
      <c r="AN13">
        <v>80</v>
      </c>
      <c r="AO13">
        <v>0</v>
      </c>
      <c r="AP13">
        <v>0</v>
      </c>
      <c r="AQ13">
        <v>0</v>
      </c>
      <c r="AR13">
        <v>0</v>
      </c>
      <c r="AS13">
        <v>0</v>
      </c>
    </row>
    <row r="14" spans="1:51" x14ac:dyDescent="0.25">
      <c r="A14" t="s">
        <v>11</v>
      </c>
      <c r="B14" t="s">
        <v>43</v>
      </c>
      <c r="C14" t="s">
        <v>117</v>
      </c>
      <c r="D14" t="s">
        <v>16</v>
      </c>
      <c r="E14">
        <v>10</v>
      </c>
      <c r="F14">
        <v>6.4</v>
      </c>
      <c r="G14">
        <v>10</v>
      </c>
      <c r="H14">
        <v>0.8</v>
      </c>
      <c r="I14">
        <v>3</v>
      </c>
      <c r="J14">
        <v>3.8</v>
      </c>
      <c r="K14">
        <v>13.8</v>
      </c>
      <c r="L14">
        <v>18.46</v>
      </c>
      <c r="M14">
        <v>6.3045489999999997</v>
      </c>
      <c r="N14">
        <v>23.675000000000001</v>
      </c>
      <c r="O14">
        <v>20.339783329999999</v>
      </c>
      <c r="P14">
        <v>32.622810000000001</v>
      </c>
      <c r="Q14">
        <v>158.4123166</v>
      </c>
      <c r="R14">
        <v>257.73294570000002</v>
      </c>
      <c r="S14">
        <v>63.54645</v>
      </c>
      <c r="T14">
        <v>306.96718989999999</v>
      </c>
      <c r="U14">
        <v>10.9336</v>
      </c>
      <c r="V14">
        <v>53.317</v>
      </c>
      <c r="W14">
        <v>2.2469732728470002</v>
      </c>
      <c r="X14">
        <v>3.3730961708463001</v>
      </c>
      <c r="Y14">
        <v>0.8</v>
      </c>
      <c r="Z14">
        <v>0.68313005106400004</v>
      </c>
      <c r="AA14">
        <v>0.96378881965340002</v>
      </c>
      <c r="AB14">
        <v>4.1036569057366004</v>
      </c>
      <c r="AC14">
        <v>3.4456800651121</v>
      </c>
      <c r="AE14">
        <v>3.8288046436999998</v>
      </c>
      <c r="AN14">
        <v>80</v>
      </c>
      <c r="AO14">
        <v>0</v>
      </c>
      <c r="AP14">
        <v>8.1999999999999993</v>
      </c>
      <c r="AQ14">
        <v>1.2</v>
      </c>
      <c r="AR14">
        <v>9.4</v>
      </c>
      <c r="AS14">
        <v>9.4</v>
      </c>
      <c r="AT14">
        <v>2.5991451586157002</v>
      </c>
      <c r="AU14">
        <v>0</v>
      </c>
      <c r="AV14">
        <v>1.3482498944104</v>
      </c>
      <c r="AW14">
        <v>0.32659863237109998</v>
      </c>
      <c r="AX14">
        <v>1.3349989596334</v>
      </c>
      <c r="AY14">
        <v>1.3349989596334</v>
      </c>
    </row>
    <row r="15" spans="1:51" x14ac:dyDescent="0.25">
      <c r="A15" t="s">
        <v>11</v>
      </c>
      <c r="B15" t="s">
        <v>43</v>
      </c>
      <c r="C15" t="s">
        <v>117</v>
      </c>
      <c r="D15" t="s">
        <v>1</v>
      </c>
      <c r="E15">
        <v>2</v>
      </c>
      <c r="F15">
        <v>2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N15">
        <v>38.835000000000001</v>
      </c>
      <c r="W15">
        <v>2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E15">
        <v>15.205</v>
      </c>
      <c r="AN15">
        <v>90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2</v>
      </c>
      <c r="AU15">
        <v>0</v>
      </c>
      <c r="AV15">
        <v>0</v>
      </c>
      <c r="AW15">
        <v>0</v>
      </c>
      <c r="AX15">
        <v>0</v>
      </c>
      <c r="AY15">
        <v>0</v>
      </c>
    </row>
    <row r="16" spans="1:51" x14ac:dyDescent="0.25">
      <c r="A16" t="s">
        <v>11</v>
      </c>
      <c r="B16" t="s">
        <v>43</v>
      </c>
      <c r="C16" t="s">
        <v>118</v>
      </c>
      <c r="D16" t="s">
        <v>16</v>
      </c>
      <c r="E16">
        <v>5</v>
      </c>
      <c r="F16">
        <v>26.4</v>
      </c>
      <c r="G16">
        <v>3.6</v>
      </c>
      <c r="H16">
        <v>6.4</v>
      </c>
      <c r="I16">
        <v>3.2</v>
      </c>
      <c r="J16">
        <v>9.6</v>
      </c>
      <c r="K16">
        <v>13.2</v>
      </c>
      <c r="L16">
        <v>28.5</v>
      </c>
      <c r="N16">
        <v>24.76</v>
      </c>
      <c r="W16">
        <v>21.525798475317998</v>
      </c>
      <c r="X16">
        <v>1.3266499161422001</v>
      </c>
      <c r="Y16">
        <v>3.2496153618544001</v>
      </c>
      <c r="Z16">
        <v>0.48989794855660002</v>
      </c>
      <c r="AA16">
        <v>3.1874754901018001</v>
      </c>
      <c r="AB16">
        <v>3.3226495451672</v>
      </c>
      <c r="AC16">
        <v>3.3052987762077</v>
      </c>
      <c r="AE16">
        <v>8.0839118005999993</v>
      </c>
      <c r="AN16">
        <v>82.4</v>
      </c>
      <c r="AO16">
        <v>0</v>
      </c>
      <c r="AP16">
        <v>8</v>
      </c>
      <c r="AQ16">
        <v>1.2</v>
      </c>
      <c r="AR16">
        <v>9.1999999999999993</v>
      </c>
      <c r="AS16">
        <v>9.1999999999999993</v>
      </c>
      <c r="AT16">
        <v>2.4</v>
      </c>
      <c r="AU16">
        <v>0</v>
      </c>
      <c r="AV16">
        <v>1.7888543819998</v>
      </c>
      <c r="AW16">
        <v>0.48989794855660002</v>
      </c>
      <c r="AX16">
        <v>1.3564659966251</v>
      </c>
      <c r="AY16">
        <v>1.3564659966251</v>
      </c>
    </row>
    <row r="17" spans="1:51" x14ac:dyDescent="0.25">
      <c r="A17" t="s">
        <v>11</v>
      </c>
      <c r="B17" t="s">
        <v>43</v>
      </c>
      <c r="C17" t="s">
        <v>118</v>
      </c>
      <c r="D17" t="s">
        <v>1</v>
      </c>
      <c r="E17">
        <v>1</v>
      </c>
      <c r="F17">
        <v>4</v>
      </c>
      <c r="G17">
        <v>0</v>
      </c>
      <c r="H17">
        <v>2</v>
      </c>
      <c r="I17">
        <v>0</v>
      </c>
      <c r="J17">
        <v>2</v>
      </c>
      <c r="K17">
        <v>2</v>
      </c>
      <c r="L17">
        <v>0</v>
      </c>
      <c r="N17">
        <v>61.58</v>
      </c>
      <c r="AN17">
        <v>96</v>
      </c>
      <c r="AO17">
        <v>0</v>
      </c>
      <c r="AP17">
        <v>0</v>
      </c>
      <c r="AQ17">
        <v>0</v>
      </c>
      <c r="AR17">
        <v>0</v>
      </c>
      <c r="AS17">
        <v>0</v>
      </c>
    </row>
    <row r="18" spans="1:51" x14ac:dyDescent="0.25">
      <c r="A18" t="s">
        <v>12</v>
      </c>
      <c r="B18" t="s">
        <v>14</v>
      </c>
      <c r="C18" t="s">
        <v>117</v>
      </c>
      <c r="D18" t="s">
        <v>16</v>
      </c>
      <c r="E18">
        <v>10</v>
      </c>
      <c r="F18">
        <v>8</v>
      </c>
      <c r="G18">
        <v>7.6</v>
      </c>
      <c r="H18">
        <v>0.4</v>
      </c>
      <c r="I18">
        <v>4.2</v>
      </c>
      <c r="J18">
        <v>4.5999999999999996</v>
      </c>
      <c r="K18">
        <v>12.2</v>
      </c>
      <c r="L18">
        <v>40.15</v>
      </c>
      <c r="M18">
        <v>13.007053601999999</v>
      </c>
      <c r="N18">
        <v>32.618000000000002</v>
      </c>
      <c r="O18">
        <v>25.454416664</v>
      </c>
      <c r="P18">
        <v>72.8378376</v>
      </c>
      <c r="Q18">
        <v>338.9497854</v>
      </c>
      <c r="R18">
        <v>395.22718592000001</v>
      </c>
      <c r="S18">
        <v>114.87009</v>
      </c>
      <c r="T18">
        <v>537.59725060000005</v>
      </c>
      <c r="U18">
        <v>19.487540001999999</v>
      </c>
      <c r="V18">
        <v>84.004800000000003</v>
      </c>
      <c r="W18">
        <v>1.7888543819998</v>
      </c>
      <c r="X18">
        <v>1.1075498483891</v>
      </c>
      <c r="Y18">
        <v>0.26666666666670003</v>
      </c>
      <c r="Z18">
        <v>1.245436112818</v>
      </c>
      <c r="AA18">
        <v>1.1175369742826999</v>
      </c>
      <c r="AB18">
        <v>1.6451950239004001</v>
      </c>
      <c r="AC18">
        <v>4.0654711357425004</v>
      </c>
      <c r="AD18">
        <v>1.8458484165625</v>
      </c>
      <c r="AE18">
        <v>5.8696473109999996</v>
      </c>
      <c r="AF18">
        <v>3.2229293539799002</v>
      </c>
      <c r="AG18">
        <v>11.075090498486</v>
      </c>
      <c r="AH18">
        <v>53.139645879174999</v>
      </c>
      <c r="AI18">
        <v>94.989527837512995</v>
      </c>
      <c r="AJ18">
        <v>19.909371067630001</v>
      </c>
      <c r="AK18">
        <v>99.497807229740999</v>
      </c>
      <c r="AL18">
        <v>3.3182285108328999</v>
      </c>
      <c r="AM18">
        <v>19.337576123055999</v>
      </c>
      <c r="AN18">
        <v>73.599999999999994</v>
      </c>
      <c r="AO18">
        <v>0</v>
      </c>
      <c r="AP18">
        <v>14.4</v>
      </c>
      <c r="AQ18">
        <v>1.2</v>
      </c>
      <c r="AR18">
        <v>15.6</v>
      </c>
      <c r="AS18">
        <v>15.6</v>
      </c>
      <c r="AT18">
        <v>3.4871191548325</v>
      </c>
      <c r="AU18">
        <v>0</v>
      </c>
      <c r="AV18">
        <v>2.6127890589687</v>
      </c>
      <c r="AW18">
        <v>0.32659863237109998</v>
      </c>
      <c r="AX18">
        <v>2.4729649321322</v>
      </c>
      <c r="AY18">
        <v>2.4729649321322</v>
      </c>
    </row>
    <row r="19" spans="1:51" x14ac:dyDescent="0.25">
      <c r="A19" t="s">
        <v>12</v>
      </c>
      <c r="B19" t="s">
        <v>14</v>
      </c>
      <c r="C19" t="s">
        <v>117</v>
      </c>
      <c r="D19" t="s">
        <v>1</v>
      </c>
      <c r="E19">
        <v>2</v>
      </c>
      <c r="F19">
        <v>34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N19">
        <v>67.31</v>
      </c>
      <c r="W19">
        <v>30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E19">
        <v>5.45</v>
      </c>
      <c r="AN19">
        <v>68</v>
      </c>
      <c r="AO19">
        <v>0</v>
      </c>
      <c r="AP19">
        <v>2</v>
      </c>
      <c r="AQ19">
        <v>0</v>
      </c>
      <c r="AR19">
        <v>2</v>
      </c>
      <c r="AS19">
        <v>2</v>
      </c>
      <c r="AT19">
        <v>8</v>
      </c>
      <c r="AU19">
        <v>0</v>
      </c>
      <c r="AV19">
        <v>2</v>
      </c>
      <c r="AW19">
        <v>0</v>
      </c>
      <c r="AX19">
        <v>2</v>
      </c>
      <c r="AY19">
        <v>2</v>
      </c>
    </row>
    <row r="20" spans="1:51" x14ac:dyDescent="0.25">
      <c r="A20" t="s">
        <v>12</v>
      </c>
      <c r="B20" t="s">
        <v>14</v>
      </c>
      <c r="C20" t="s">
        <v>118</v>
      </c>
      <c r="D20" t="s">
        <v>16</v>
      </c>
      <c r="E20">
        <v>5</v>
      </c>
      <c r="F20">
        <v>1.6</v>
      </c>
      <c r="G20">
        <v>14.4</v>
      </c>
      <c r="H20">
        <v>1.2</v>
      </c>
      <c r="I20">
        <v>2</v>
      </c>
      <c r="J20">
        <v>3.2</v>
      </c>
      <c r="K20">
        <v>17.600000000000001</v>
      </c>
      <c r="L20">
        <v>67.7</v>
      </c>
      <c r="N20">
        <v>25.763999999999999</v>
      </c>
      <c r="W20">
        <v>0.97979589711329995</v>
      </c>
      <c r="X20">
        <v>3.7094473981983</v>
      </c>
      <c r="Y20">
        <v>0.8</v>
      </c>
      <c r="Z20">
        <v>0.89442719099989998</v>
      </c>
      <c r="AA20">
        <v>0.48989794855660002</v>
      </c>
      <c r="AB20">
        <v>3.7629775444454001</v>
      </c>
      <c r="AC20">
        <v>6.3158530698552999</v>
      </c>
      <c r="AE20">
        <v>5.2088046613000003</v>
      </c>
      <c r="AN20">
        <v>65.599999999999994</v>
      </c>
      <c r="AO20">
        <v>0</v>
      </c>
      <c r="AP20">
        <v>14.4</v>
      </c>
      <c r="AQ20">
        <v>0.4</v>
      </c>
      <c r="AR20">
        <v>14.8</v>
      </c>
      <c r="AS20">
        <v>14.8</v>
      </c>
      <c r="AT20">
        <v>5.3065996645686004</v>
      </c>
      <c r="AU20">
        <v>0</v>
      </c>
      <c r="AV20">
        <v>2.0396078054370999</v>
      </c>
      <c r="AW20">
        <v>0.4</v>
      </c>
      <c r="AX20">
        <v>1.9595917942265</v>
      </c>
      <c r="AY20">
        <v>1.9595917942265</v>
      </c>
    </row>
    <row r="21" spans="1:51" x14ac:dyDescent="0.25">
      <c r="A21" t="s">
        <v>12</v>
      </c>
      <c r="B21" t="s">
        <v>14</v>
      </c>
      <c r="C21" t="s">
        <v>118</v>
      </c>
      <c r="D21" t="s">
        <v>1</v>
      </c>
      <c r="E21">
        <v>1</v>
      </c>
      <c r="F21">
        <v>44</v>
      </c>
      <c r="G21">
        <v>0</v>
      </c>
      <c r="H21">
        <v>2</v>
      </c>
      <c r="I21">
        <v>0</v>
      </c>
      <c r="J21">
        <v>2</v>
      </c>
      <c r="K21">
        <v>2</v>
      </c>
      <c r="L21">
        <v>0</v>
      </c>
      <c r="N21">
        <v>57.3</v>
      </c>
      <c r="AN21">
        <v>56</v>
      </c>
      <c r="AO21">
        <v>0</v>
      </c>
      <c r="AP21">
        <v>0</v>
      </c>
      <c r="AQ21">
        <v>0</v>
      </c>
      <c r="AR21">
        <v>0</v>
      </c>
      <c r="AS21">
        <v>0</v>
      </c>
    </row>
    <row r="22" spans="1:51" x14ac:dyDescent="0.25">
      <c r="A22" t="s">
        <v>12</v>
      </c>
      <c r="B22" t="s">
        <v>43</v>
      </c>
      <c r="C22" t="s">
        <v>117</v>
      </c>
      <c r="D22" t="s">
        <v>16</v>
      </c>
      <c r="E22">
        <v>10</v>
      </c>
      <c r="F22">
        <v>0.4</v>
      </c>
      <c r="G22">
        <v>8.6</v>
      </c>
      <c r="H22">
        <v>1.4</v>
      </c>
      <c r="I22">
        <v>1.8</v>
      </c>
      <c r="J22">
        <v>3.2</v>
      </c>
      <c r="K22">
        <v>11.8</v>
      </c>
      <c r="L22">
        <v>49.9</v>
      </c>
      <c r="N22">
        <v>34.795999999999999</v>
      </c>
      <c r="W22">
        <v>0.4</v>
      </c>
      <c r="X22">
        <v>1.2666666666666999</v>
      </c>
      <c r="Y22">
        <v>0.52068331172710003</v>
      </c>
      <c r="Z22">
        <v>0.81377037438220001</v>
      </c>
      <c r="AA22">
        <v>0.61101009266079997</v>
      </c>
      <c r="AB22">
        <v>1.5902480589168999</v>
      </c>
      <c r="AC22">
        <v>4.5029619881437002</v>
      </c>
      <c r="AE22">
        <v>5.6870264052000001</v>
      </c>
      <c r="AN22">
        <v>77.2</v>
      </c>
      <c r="AO22">
        <v>0</v>
      </c>
      <c r="AP22">
        <v>13.6</v>
      </c>
      <c r="AQ22">
        <v>1.4</v>
      </c>
      <c r="AR22">
        <v>15</v>
      </c>
      <c r="AS22">
        <v>15</v>
      </c>
      <c r="AT22">
        <v>2.6025628394590998</v>
      </c>
      <c r="AU22">
        <v>0</v>
      </c>
      <c r="AV22">
        <v>1.7074997966487999</v>
      </c>
      <c r="AW22">
        <v>0.30550504633039999</v>
      </c>
      <c r="AX22">
        <v>1.8439088914585999</v>
      </c>
      <c r="AY22">
        <v>1.8439088914585999</v>
      </c>
    </row>
    <row r="23" spans="1:51" x14ac:dyDescent="0.25">
      <c r="A23" t="s">
        <v>12</v>
      </c>
      <c r="B23" t="s">
        <v>43</v>
      </c>
      <c r="C23" t="s">
        <v>117</v>
      </c>
      <c r="D23" t="s">
        <v>1</v>
      </c>
      <c r="E23">
        <v>2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N23">
        <v>45.075000000000003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E23">
        <v>26.844999999999999</v>
      </c>
      <c r="AN23">
        <v>96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4</v>
      </c>
      <c r="AU23">
        <v>0</v>
      </c>
      <c r="AV23">
        <v>0</v>
      </c>
      <c r="AW23">
        <v>0</v>
      </c>
      <c r="AX23">
        <v>0</v>
      </c>
      <c r="AY23">
        <v>0</v>
      </c>
    </row>
    <row r="24" spans="1:51" x14ac:dyDescent="0.25">
      <c r="A24" t="s">
        <v>12</v>
      </c>
      <c r="B24" t="s">
        <v>43</v>
      </c>
      <c r="C24" t="s">
        <v>118</v>
      </c>
      <c r="D24" t="s">
        <v>16</v>
      </c>
      <c r="E24">
        <v>5</v>
      </c>
      <c r="F24">
        <v>0.8</v>
      </c>
      <c r="G24">
        <v>10.4</v>
      </c>
      <c r="H24">
        <v>1.6</v>
      </c>
      <c r="I24">
        <v>1.6</v>
      </c>
      <c r="J24">
        <v>3.2</v>
      </c>
      <c r="K24">
        <v>13.6</v>
      </c>
      <c r="L24">
        <v>49.7</v>
      </c>
      <c r="N24">
        <v>39.933999999999997</v>
      </c>
      <c r="W24">
        <v>0.8</v>
      </c>
      <c r="X24">
        <v>1.6</v>
      </c>
      <c r="Y24">
        <v>0.97979589711329995</v>
      </c>
      <c r="Z24">
        <v>0.74833147735479999</v>
      </c>
      <c r="AA24">
        <v>0.48989794855660002</v>
      </c>
      <c r="AB24">
        <v>1.4696938456699</v>
      </c>
      <c r="AC24">
        <v>4.9335585534176003</v>
      </c>
      <c r="AE24">
        <v>5.7470536798999996</v>
      </c>
      <c r="AN24">
        <v>78.400000000000006</v>
      </c>
      <c r="AO24">
        <v>0</v>
      </c>
      <c r="AP24">
        <v>10.4</v>
      </c>
      <c r="AQ24">
        <v>1.2</v>
      </c>
      <c r="AR24">
        <v>11.6</v>
      </c>
      <c r="AS24">
        <v>11.6</v>
      </c>
      <c r="AT24">
        <v>4.1182520563948</v>
      </c>
      <c r="AU24">
        <v>0</v>
      </c>
      <c r="AV24">
        <v>3.7094473981983</v>
      </c>
      <c r="AW24">
        <v>0.48989794855660002</v>
      </c>
      <c r="AX24">
        <v>3.6551333764993998</v>
      </c>
      <c r="AY24">
        <v>3.6551333764993998</v>
      </c>
    </row>
    <row r="25" spans="1:51" x14ac:dyDescent="0.25">
      <c r="A25" t="s">
        <v>12</v>
      </c>
      <c r="B25" t="s">
        <v>43</v>
      </c>
      <c r="C25" t="s">
        <v>118</v>
      </c>
      <c r="D25" t="s">
        <v>1</v>
      </c>
      <c r="E25">
        <v>1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N25">
        <v>68.260000000000005</v>
      </c>
      <c r="AB25">
        <f>AVERAGE(AB2,AB4,AB6,AB8,AB10,AB12,AB14,AB16,AB18,AB20,AB22,AB24)</f>
        <v>3.0591632380176583</v>
      </c>
      <c r="AN25">
        <v>96</v>
      </c>
      <c r="AO25">
        <v>0</v>
      </c>
      <c r="AP25">
        <v>0</v>
      </c>
      <c r="AQ25">
        <v>0</v>
      </c>
      <c r="AR25">
        <v>0</v>
      </c>
      <c r="AS25">
        <v>0</v>
      </c>
    </row>
    <row r="26" spans="1:51" x14ac:dyDescent="0.25">
      <c r="K26">
        <f>AVERAGE(K4,K6,K8,K10,K12,K14,K16,K18,K20,K22,K24)</f>
        <v>17.272727272727273</v>
      </c>
    </row>
    <row r="31" spans="1:51" s="52" customFormat="1" ht="60" x14ac:dyDescent="0.25">
      <c r="C31" s="52" t="s">
        <v>2</v>
      </c>
      <c r="D31" s="52" t="s">
        <v>70</v>
      </c>
      <c r="E31" s="52" t="s">
        <v>119</v>
      </c>
      <c r="F31" s="52" t="s">
        <v>120</v>
      </c>
      <c r="G31" s="52" t="s">
        <v>121</v>
      </c>
      <c r="H31" s="52" t="s">
        <v>123</v>
      </c>
      <c r="I31" s="52" t="s">
        <v>124</v>
      </c>
      <c r="J31" s="52" t="s">
        <v>125</v>
      </c>
      <c r="K31" s="52" t="s">
        <v>126</v>
      </c>
      <c r="L31" s="52" t="s">
        <v>128</v>
      </c>
    </row>
    <row r="32" spans="1:51" x14ac:dyDescent="0.25">
      <c r="C32" t="s">
        <v>13</v>
      </c>
      <c r="D32">
        <v>36</v>
      </c>
      <c r="E32">
        <v>59.611111111</v>
      </c>
      <c r="F32">
        <v>4.6666666667000003</v>
      </c>
      <c r="G32">
        <v>14.111111111</v>
      </c>
      <c r="H32">
        <v>78.388888889</v>
      </c>
      <c r="I32">
        <v>3.7962550004</v>
      </c>
      <c r="J32">
        <v>0.61204834340000003</v>
      </c>
      <c r="K32">
        <v>1.6289921793</v>
      </c>
      <c r="L32">
        <v>5.0970389440000003</v>
      </c>
    </row>
    <row r="33" spans="3:16" x14ac:dyDescent="0.25">
      <c r="C33" t="s">
        <v>11</v>
      </c>
      <c r="D33">
        <v>36</v>
      </c>
      <c r="E33">
        <v>34.388888889</v>
      </c>
      <c r="F33">
        <v>7.1666666667000003</v>
      </c>
      <c r="G33">
        <v>3</v>
      </c>
      <c r="H33">
        <v>44.555555556000002</v>
      </c>
      <c r="I33">
        <v>3.9783696465</v>
      </c>
      <c r="J33">
        <v>0.93052297979999998</v>
      </c>
      <c r="K33">
        <v>0.41018772320000002</v>
      </c>
      <c r="L33">
        <v>4.6212834822</v>
      </c>
    </row>
    <row r="34" spans="3:16" x14ac:dyDescent="0.25">
      <c r="C34" t="s">
        <v>12</v>
      </c>
      <c r="D34">
        <v>36</v>
      </c>
      <c r="E34">
        <v>65.444444443999998</v>
      </c>
      <c r="F34">
        <v>7.9444444444000002</v>
      </c>
      <c r="G34">
        <v>2.1666666666999999</v>
      </c>
      <c r="H34">
        <v>75.555555556000002</v>
      </c>
      <c r="I34">
        <v>5.2954674305999996</v>
      </c>
      <c r="J34">
        <v>0.97748011339999996</v>
      </c>
      <c r="K34">
        <v>0.48713610759999998</v>
      </c>
      <c r="L34">
        <v>5.8771071121</v>
      </c>
    </row>
    <row r="43" spans="3:16" x14ac:dyDescent="0.25">
      <c r="C43" t="s">
        <v>2</v>
      </c>
      <c r="D43" t="s">
        <v>3</v>
      </c>
      <c r="E43" t="s">
        <v>69</v>
      </c>
      <c r="F43" t="s">
        <v>70</v>
      </c>
      <c r="G43" t="s">
        <v>119</v>
      </c>
      <c r="H43" t="s">
        <v>120</v>
      </c>
      <c r="I43" t="s">
        <v>121</v>
      </c>
      <c r="J43" t="s">
        <v>122</v>
      </c>
      <c r="K43" t="s">
        <v>123</v>
      </c>
      <c r="L43" t="s">
        <v>124</v>
      </c>
      <c r="M43" t="s">
        <v>125</v>
      </c>
      <c r="N43" t="s">
        <v>126</v>
      </c>
      <c r="O43" t="s">
        <v>127</v>
      </c>
      <c r="P43" t="s">
        <v>128</v>
      </c>
    </row>
    <row r="44" spans="3:16" x14ac:dyDescent="0.25">
      <c r="C44" t="s">
        <v>13</v>
      </c>
      <c r="D44" t="s">
        <v>43</v>
      </c>
      <c r="E44" t="s">
        <v>118</v>
      </c>
      <c r="F44">
        <v>6</v>
      </c>
      <c r="G44">
        <v>63.666666667000001</v>
      </c>
      <c r="H44">
        <v>4</v>
      </c>
      <c r="I44">
        <v>10</v>
      </c>
      <c r="J44">
        <v>14</v>
      </c>
      <c r="K44">
        <v>77.666666667000001</v>
      </c>
      <c r="L44">
        <v>12.462387858</v>
      </c>
      <c r="M44">
        <v>1.3662601021</v>
      </c>
      <c r="N44">
        <v>4.2268979957999999</v>
      </c>
      <c r="O44">
        <v>4.6761807778</v>
      </c>
      <c r="P44">
        <v>15.365907429</v>
      </c>
    </row>
    <row r="45" spans="3:16" x14ac:dyDescent="0.25">
      <c r="C45" t="s">
        <v>13</v>
      </c>
      <c r="D45" t="s">
        <v>43</v>
      </c>
      <c r="E45" t="s">
        <v>117</v>
      </c>
      <c r="F45">
        <v>12</v>
      </c>
      <c r="G45">
        <v>55.333333332999999</v>
      </c>
      <c r="H45">
        <v>4.3333333332999997</v>
      </c>
      <c r="I45">
        <v>17</v>
      </c>
      <c r="J45">
        <v>21.333333332999999</v>
      </c>
      <c r="K45">
        <v>76.666666667000001</v>
      </c>
      <c r="L45">
        <v>7.8134822614999999</v>
      </c>
      <c r="M45">
        <v>1.0100505038000001</v>
      </c>
      <c r="N45">
        <v>3.3799766898999999</v>
      </c>
      <c r="O45">
        <v>3.8794980410000002</v>
      </c>
      <c r="P45">
        <v>10.754374257</v>
      </c>
    </row>
    <row r="46" spans="3:16" x14ac:dyDescent="0.25">
      <c r="C46" t="s">
        <v>13</v>
      </c>
      <c r="D46" t="s">
        <v>14</v>
      </c>
      <c r="E46" t="s">
        <v>118</v>
      </c>
      <c r="F46">
        <v>6</v>
      </c>
      <c r="G46">
        <v>56</v>
      </c>
      <c r="H46">
        <v>6.6666666667000003</v>
      </c>
      <c r="I46">
        <v>11.333333333000001</v>
      </c>
      <c r="J46">
        <v>18</v>
      </c>
      <c r="K46">
        <v>74</v>
      </c>
      <c r="L46">
        <v>8.3266639979000008</v>
      </c>
      <c r="M46">
        <v>2.2310934041000001</v>
      </c>
      <c r="N46">
        <v>3.1692971531</v>
      </c>
      <c r="O46">
        <v>3.6878177828999998</v>
      </c>
      <c r="P46">
        <v>11.944315245</v>
      </c>
    </row>
    <row r="47" spans="3:16" x14ac:dyDescent="0.25">
      <c r="C47" t="s">
        <v>13</v>
      </c>
      <c r="D47" t="s">
        <v>14</v>
      </c>
      <c r="E47" t="s">
        <v>117</v>
      </c>
      <c r="F47">
        <v>12</v>
      </c>
      <c r="G47">
        <v>63.666666667000001</v>
      </c>
      <c r="H47">
        <v>4.3333333332999997</v>
      </c>
      <c r="I47">
        <v>14.666666666999999</v>
      </c>
      <c r="J47">
        <v>19</v>
      </c>
      <c r="K47">
        <v>82.666666667000001</v>
      </c>
      <c r="L47">
        <v>4.5781651302000004</v>
      </c>
      <c r="M47">
        <v>0.88191710369999998</v>
      </c>
      <c r="N47">
        <v>2.3783535599999999</v>
      </c>
      <c r="O47">
        <v>2.9076701076</v>
      </c>
      <c r="P47">
        <v>6.5889408416000004</v>
      </c>
    </row>
    <row r="49" spans="3:34" x14ac:dyDescent="0.25">
      <c r="C49" t="s">
        <v>12</v>
      </c>
      <c r="D49" t="s">
        <v>43</v>
      </c>
      <c r="E49" t="s">
        <v>118</v>
      </c>
      <c r="F49">
        <v>6</v>
      </c>
      <c r="G49">
        <v>68</v>
      </c>
      <c r="H49">
        <v>8.6666666666999994</v>
      </c>
      <c r="I49">
        <v>1.3333333332999999</v>
      </c>
      <c r="J49">
        <v>10</v>
      </c>
      <c r="K49">
        <v>78</v>
      </c>
      <c r="L49">
        <v>13.779211395000001</v>
      </c>
      <c r="M49">
        <v>2.1705094128</v>
      </c>
      <c r="N49">
        <v>0.66666666669999997</v>
      </c>
      <c r="O49">
        <v>2.4221202833</v>
      </c>
      <c r="P49">
        <v>15.646085771999999</v>
      </c>
    </row>
    <row r="50" spans="3:34" x14ac:dyDescent="0.25">
      <c r="C50" t="s">
        <v>12</v>
      </c>
      <c r="D50" t="s">
        <v>43</v>
      </c>
      <c r="E50" t="s">
        <v>117</v>
      </c>
      <c r="F50">
        <v>12</v>
      </c>
      <c r="G50">
        <v>68</v>
      </c>
      <c r="H50">
        <v>7.1666666667000003</v>
      </c>
      <c r="I50">
        <v>1.5</v>
      </c>
      <c r="J50">
        <v>8.6666666666999994</v>
      </c>
      <c r="K50">
        <v>76.666666667000001</v>
      </c>
      <c r="L50">
        <v>10.174239604</v>
      </c>
      <c r="M50">
        <v>1.4240006242000001</v>
      </c>
      <c r="N50">
        <v>0.70172946530000002</v>
      </c>
      <c r="O50">
        <v>1.8963015571999999</v>
      </c>
      <c r="P50">
        <v>10.952606811000001</v>
      </c>
    </row>
    <row r="51" spans="3:34" x14ac:dyDescent="0.25">
      <c r="C51" t="s">
        <v>12</v>
      </c>
      <c r="D51" t="s">
        <v>14</v>
      </c>
      <c r="E51" t="s">
        <v>118</v>
      </c>
      <c r="F51">
        <v>6</v>
      </c>
      <c r="G51">
        <v>66</v>
      </c>
      <c r="H51">
        <v>12</v>
      </c>
      <c r="I51">
        <v>1.6666666667000001</v>
      </c>
      <c r="J51">
        <v>13.666666666999999</v>
      </c>
      <c r="K51">
        <v>79.666666667000001</v>
      </c>
      <c r="L51">
        <v>14.075984276</v>
      </c>
      <c r="M51">
        <v>3.8643671323</v>
      </c>
      <c r="N51">
        <v>0.80277297189999997</v>
      </c>
      <c r="O51">
        <v>4.5141752045999999</v>
      </c>
      <c r="P51">
        <v>16.036763319999999</v>
      </c>
    </row>
    <row r="52" spans="3:34" x14ac:dyDescent="0.25">
      <c r="C52" t="s">
        <v>12</v>
      </c>
      <c r="D52" t="s">
        <v>14</v>
      </c>
      <c r="E52" t="s">
        <v>117</v>
      </c>
      <c r="F52">
        <v>12</v>
      </c>
      <c r="G52">
        <v>61.333333332999999</v>
      </c>
      <c r="H52">
        <v>6.3333333332999997</v>
      </c>
      <c r="I52">
        <v>3.5</v>
      </c>
      <c r="J52">
        <v>9.8333333333000006</v>
      </c>
      <c r="K52">
        <v>71.166666667000001</v>
      </c>
      <c r="L52">
        <v>8.5752757118999998</v>
      </c>
      <c r="M52">
        <v>1.2512619892000001</v>
      </c>
      <c r="N52">
        <v>1.1315047637</v>
      </c>
      <c r="O52">
        <v>2.0069324298</v>
      </c>
      <c r="P52">
        <v>9.6309423476999996</v>
      </c>
    </row>
    <row r="54" spans="3:34" x14ac:dyDescent="0.25">
      <c r="C54" t="s">
        <v>11</v>
      </c>
      <c r="D54" t="s">
        <v>43</v>
      </c>
      <c r="E54" t="s">
        <v>118</v>
      </c>
      <c r="F54">
        <v>6</v>
      </c>
      <c r="G54">
        <v>21.666666667000001</v>
      </c>
      <c r="H54">
        <v>4.6666666667000003</v>
      </c>
      <c r="I54">
        <v>2.6666666666999999</v>
      </c>
      <c r="J54">
        <v>7.3333333332999997</v>
      </c>
      <c r="K54">
        <v>29</v>
      </c>
      <c r="L54">
        <v>7.2372493240000004</v>
      </c>
      <c r="M54">
        <v>1.9090428084</v>
      </c>
      <c r="N54">
        <v>0.66666666669999997</v>
      </c>
      <c r="O54">
        <v>2.1081851068000002</v>
      </c>
      <c r="P54">
        <v>7.7244201508000003</v>
      </c>
    </row>
    <row r="55" spans="3:34" x14ac:dyDescent="0.25">
      <c r="C55" t="s">
        <v>11</v>
      </c>
      <c r="D55" t="s">
        <v>43</v>
      </c>
      <c r="E55" t="s">
        <v>117</v>
      </c>
      <c r="F55">
        <v>12</v>
      </c>
      <c r="G55">
        <v>32.333333332999999</v>
      </c>
      <c r="H55">
        <v>6</v>
      </c>
      <c r="I55">
        <v>2.5</v>
      </c>
      <c r="J55">
        <v>8.5</v>
      </c>
      <c r="K55">
        <v>40.833333332999999</v>
      </c>
      <c r="L55">
        <v>6.0193291347000004</v>
      </c>
      <c r="M55">
        <v>1.6514456476999999</v>
      </c>
      <c r="N55">
        <v>0.65712874070000005</v>
      </c>
      <c r="O55">
        <v>2.0169734302000002</v>
      </c>
      <c r="P55">
        <v>7.2130283360999998</v>
      </c>
    </row>
    <row r="56" spans="3:34" x14ac:dyDescent="0.25">
      <c r="C56" t="s">
        <v>11</v>
      </c>
      <c r="D56" t="s">
        <v>14</v>
      </c>
      <c r="E56" t="s">
        <v>118</v>
      </c>
      <c r="F56">
        <v>6</v>
      </c>
      <c r="G56">
        <v>45.333333332999999</v>
      </c>
      <c r="H56">
        <v>8.6666666666999994</v>
      </c>
      <c r="I56">
        <v>3.6666666666999999</v>
      </c>
      <c r="J56">
        <v>12.333333333000001</v>
      </c>
      <c r="K56">
        <v>57.666666667000001</v>
      </c>
      <c r="L56">
        <v>10.515596882000001</v>
      </c>
      <c r="M56">
        <v>2.1705094128</v>
      </c>
      <c r="N56">
        <v>1.4063348739999999</v>
      </c>
      <c r="O56">
        <v>2.7039066387999999</v>
      </c>
      <c r="P56">
        <v>12.579524810000001</v>
      </c>
    </row>
    <row r="57" spans="3:34" x14ac:dyDescent="0.25">
      <c r="C57" t="s">
        <v>11</v>
      </c>
      <c r="D57" t="s">
        <v>14</v>
      </c>
      <c r="E57" t="s">
        <v>117</v>
      </c>
      <c r="F57">
        <v>12</v>
      </c>
      <c r="G57">
        <v>37.333333332999999</v>
      </c>
      <c r="H57">
        <v>8.8333333333000006</v>
      </c>
      <c r="I57">
        <v>3.3333333333000001</v>
      </c>
      <c r="J57">
        <v>12.166666666999999</v>
      </c>
      <c r="K57">
        <v>49.5</v>
      </c>
      <c r="L57">
        <v>7.9898926048999996</v>
      </c>
      <c r="M57">
        <v>1.6959547830999999</v>
      </c>
      <c r="N57">
        <v>0.75210143309999999</v>
      </c>
      <c r="O57">
        <v>2.0517299918999998</v>
      </c>
      <c r="P57">
        <v>8.9446953977000003</v>
      </c>
    </row>
    <row r="62" spans="3:34" x14ac:dyDescent="0.25">
      <c r="G62" t="s">
        <v>137</v>
      </c>
      <c r="H62" t="s">
        <v>12</v>
      </c>
      <c r="I62" t="s">
        <v>11</v>
      </c>
    </row>
    <row r="63" spans="3:34" x14ac:dyDescent="0.25">
      <c r="G63">
        <f>AVERAGE(K44:K47)</f>
        <v>77.750000000249997</v>
      </c>
      <c r="H63">
        <f>AVERAGE(K49:K52)</f>
        <v>76.375000000250012</v>
      </c>
      <c r="I63">
        <f>AVERAGE(K54:K57)</f>
        <v>44.25</v>
      </c>
      <c r="U63" t="s">
        <v>2</v>
      </c>
      <c r="V63" t="s">
        <v>3</v>
      </c>
      <c r="W63" t="s">
        <v>69</v>
      </c>
      <c r="X63" t="s">
        <v>70</v>
      </c>
      <c r="Y63" t="s">
        <v>119</v>
      </c>
      <c r="Z63" t="s">
        <v>120</v>
      </c>
      <c r="AA63" t="s">
        <v>121</v>
      </c>
      <c r="AB63" t="s">
        <v>122</v>
      </c>
      <c r="AC63" t="s">
        <v>123</v>
      </c>
      <c r="AD63" t="s">
        <v>124</v>
      </c>
      <c r="AE63" t="s">
        <v>125</v>
      </c>
      <c r="AF63" t="s">
        <v>126</v>
      </c>
      <c r="AG63" t="s">
        <v>127</v>
      </c>
      <c r="AH63" t="s">
        <v>128</v>
      </c>
    </row>
    <row r="64" spans="3:34" x14ac:dyDescent="0.25">
      <c r="F64" t="s">
        <v>138</v>
      </c>
      <c r="G64">
        <f>(G63-20)/20*100</f>
        <v>288.75000000124999</v>
      </c>
      <c r="H64">
        <f>(H63-20)/20*100</f>
        <v>281.8750000012501</v>
      </c>
      <c r="I64">
        <f>(I63-20)/20*100</f>
        <v>121.24999999999999</v>
      </c>
      <c r="U64" t="s">
        <v>13</v>
      </c>
      <c r="V64" t="s">
        <v>43</v>
      </c>
      <c r="W64" t="s">
        <v>118</v>
      </c>
      <c r="X64">
        <v>6</v>
      </c>
      <c r="Y64">
        <v>63.666666667000001</v>
      </c>
      <c r="Z64">
        <v>4</v>
      </c>
      <c r="AA64">
        <v>10</v>
      </c>
      <c r="AB64">
        <v>14</v>
      </c>
      <c r="AC64">
        <v>77.666666667000001</v>
      </c>
      <c r="AD64">
        <v>12.462387858</v>
      </c>
      <c r="AE64">
        <v>1.3662601021</v>
      </c>
      <c r="AF64">
        <v>4.2268979957999999</v>
      </c>
      <c r="AG64">
        <v>4.6761807778</v>
      </c>
      <c r="AH64">
        <v>15.365907429</v>
      </c>
    </row>
    <row r="65" spans="1:35" x14ac:dyDescent="0.25">
      <c r="F65" t="s">
        <v>139</v>
      </c>
      <c r="U65" t="s">
        <v>13</v>
      </c>
      <c r="V65" t="s">
        <v>43</v>
      </c>
      <c r="W65" t="s">
        <v>117</v>
      </c>
      <c r="X65">
        <v>12</v>
      </c>
      <c r="Y65">
        <v>55.333333332999999</v>
      </c>
      <c r="Z65">
        <v>4.3333333332999997</v>
      </c>
      <c r="AA65">
        <v>17</v>
      </c>
      <c r="AB65">
        <v>21.333333332999999</v>
      </c>
      <c r="AC65">
        <v>76.666666667000001</v>
      </c>
      <c r="AD65">
        <v>7.8134822614999999</v>
      </c>
      <c r="AE65">
        <v>1.0100505038000001</v>
      </c>
      <c r="AF65">
        <v>3.3799766898999999</v>
      </c>
      <c r="AG65">
        <v>3.8794980410000002</v>
      </c>
      <c r="AH65">
        <v>10.754374257</v>
      </c>
    </row>
    <row r="66" spans="1:35" x14ac:dyDescent="0.25">
      <c r="U66" t="s">
        <v>13</v>
      </c>
      <c r="V66" t="s">
        <v>14</v>
      </c>
      <c r="W66" t="s">
        <v>118</v>
      </c>
      <c r="X66">
        <v>6</v>
      </c>
      <c r="Y66">
        <v>56</v>
      </c>
      <c r="Z66">
        <v>6.6666666667000003</v>
      </c>
      <c r="AA66">
        <v>11.333333333000001</v>
      </c>
      <c r="AB66">
        <v>18</v>
      </c>
      <c r="AC66">
        <v>74</v>
      </c>
      <c r="AD66">
        <v>8.3266639979000008</v>
      </c>
      <c r="AE66">
        <v>2.2310934041000001</v>
      </c>
      <c r="AF66">
        <v>3.1692971531</v>
      </c>
      <c r="AG66">
        <v>3.6878177828999998</v>
      </c>
      <c r="AH66">
        <v>11.944315245</v>
      </c>
    </row>
    <row r="67" spans="1:35" x14ac:dyDescent="0.25">
      <c r="U67" t="s">
        <v>13</v>
      </c>
      <c r="V67" t="s">
        <v>14</v>
      </c>
      <c r="W67" t="s">
        <v>117</v>
      </c>
      <c r="X67">
        <v>12</v>
      </c>
      <c r="Y67">
        <v>63.666666667000001</v>
      </c>
      <c r="Z67">
        <v>4.3333333332999997</v>
      </c>
      <c r="AA67">
        <v>14.666666666999999</v>
      </c>
      <c r="AB67">
        <v>19</v>
      </c>
      <c r="AC67">
        <v>82.666666667000001</v>
      </c>
      <c r="AD67">
        <v>4.5781651302000004</v>
      </c>
      <c r="AE67">
        <v>0.88191710369999998</v>
      </c>
      <c r="AF67">
        <v>2.3783535599999999</v>
      </c>
      <c r="AG67">
        <v>2.9076701076</v>
      </c>
      <c r="AH67">
        <v>6.5889408416000004</v>
      </c>
    </row>
    <row r="68" spans="1:35" x14ac:dyDescent="0.25">
      <c r="B68" t="s">
        <v>2</v>
      </c>
      <c r="C68" t="s">
        <v>47</v>
      </c>
      <c r="D68" t="s">
        <v>70</v>
      </c>
      <c r="E68" t="s">
        <v>129</v>
      </c>
      <c r="F68" t="s">
        <v>130</v>
      </c>
    </row>
    <row r="69" spans="1:35" x14ac:dyDescent="0.25">
      <c r="B69" t="s">
        <v>136</v>
      </c>
      <c r="C69" t="s">
        <v>16</v>
      </c>
      <c r="E69">
        <v>288.75000000124999</v>
      </c>
      <c r="F69">
        <v>22.684999999999999</v>
      </c>
      <c r="U69" t="s">
        <v>12</v>
      </c>
      <c r="V69" t="s">
        <v>43</v>
      </c>
      <c r="W69" t="s">
        <v>118</v>
      </c>
      <c r="X69">
        <v>6</v>
      </c>
      <c r="Y69">
        <v>68</v>
      </c>
      <c r="Z69">
        <v>8.6666666666999994</v>
      </c>
      <c r="AA69">
        <v>1.3333333332999999</v>
      </c>
      <c r="AB69">
        <v>10</v>
      </c>
      <c r="AC69">
        <v>78</v>
      </c>
      <c r="AD69">
        <v>13.779211395000001</v>
      </c>
      <c r="AE69">
        <v>2.1705094128</v>
      </c>
      <c r="AF69">
        <v>0.66666666669999997</v>
      </c>
      <c r="AG69">
        <v>2.4221202833</v>
      </c>
      <c r="AH69">
        <v>15.646085771999999</v>
      </c>
    </row>
    <row r="70" spans="1:35" x14ac:dyDescent="0.25">
      <c r="B70" t="s">
        <v>12</v>
      </c>
      <c r="C70" t="s">
        <v>16</v>
      </c>
      <c r="D70">
        <v>30</v>
      </c>
      <c r="E70">
        <v>352.66666666999998</v>
      </c>
      <c r="F70">
        <v>9.4799647573999994</v>
      </c>
      <c r="U70" t="s">
        <v>12</v>
      </c>
      <c r="V70" t="s">
        <v>43</v>
      </c>
      <c r="W70" t="s">
        <v>117</v>
      </c>
      <c r="X70">
        <v>12</v>
      </c>
      <c r="Y70">
        <v>68</v>
      </c>
      <c r="Z70">
        <v>7.1666666667000003</v>
      </c>
      <c r="AA70">
        <v>1.5</v>
      </c>
      <c r="AB70">
        <v>8.6666666666999994</v>
      </c>
      <c r="AC70">
        <v>76.666666667000001</v>
      </c>
      <c r="AD70">
        <v>10.174239604</v>
      </c>
      <c r="AE70">
        <v>1.4240006242000001</v>
      </c>
      <c r="AF70">
        <v>0.70172946530000002</v>
      </c>
      <c r="AG70">
        <v>1.8963015571999999</v>
      </c>
      <c r="AH70">
        <v>10.952606811000001</v>
      </c>
    </row>
    <row r="71" spans="1:35" x14ac:dyDescent="0.25">
      <c r="B71" t="s">
        <v>11</v>
      </c>
      <c r="C71" t="s">
        <v>16</v>
      </c>
      <c r="D71">
        <v>30</v>
      </c>
      <c r="E71">
        <v>166</v>
      </c>
      <c r="F71">
        <v>19.649807697</v>
      </c>
      <c r="U71" t="s">
        <v>12</v>
      </c>
      <c r="V71" t="s">
        <v>14</v>
      </c>
      <c r="W71" t="s">
        <v>118</v>
      </c>
      <c r="X71">
        <v>6</v>
      </c>
      <c r="Y71">
        <v>66</v>
      </c>
      <c r="Z71">
        <v>12</v>
      </c>
      <c r="AA71">
        <v>1.6666666667000001</v>
      </c>
      <c r="AB71">
        <v>13.666666666999999</v>
      </c>
      <c r="AC71">
        <v>79.666666667000001</v>
      </c>
      <c r="AD71">
        <v>14.075984276</v>
      </c>
      <c r="AE71">
        <v>3.8643671323</v>
      </c>
      <c r="AF71">
        <v>0.80277297189999997</v>
      </c>
      <c r="AG71">
        <v>4.5141752045999999</v>
      </c>
      <c r="AH71">
        <v>16.036763319999999</v>
      </c>
    </row>
    <row r="72" spans="1:35" x14ac:dyDescent="0.25">
      <c r="U72" t="s">
        <v>12</v>
      </c>
      <c r="V72" t="s">
        <v>14</v>
      </c>
      <c r="W72" t="s">
        <v>117</v>
      </c>
      <c r="X72">
        <v>12</v>
      </c>
      <c r="Y72">
        <v>61.333333332999999</v>
      </c>
      <c r="Z72">
        <v>6.3333333332999997</v>
      </c>
      <c r="AA72">
        <v>3.5</v>
      </c>
      <c r="AB72">
        <v>9.8333333333000006</v>
      </c>
      <c r="AC72">
        <v>71.166666667000001</v>
      </c>
      <c r="AD72">
        <v>8.5752757118999998</v>
      </c>
      <c r="AE72">
        <v>1.2512619892000001</v>
      </c>
      <c r="AF72">
        <v>1.1315047637</v>
      </c>
      <c r="AG72">
        <v>2.0069324298</v>
      </c>
      <c r="AH72">
        <v>9.6309423476999996</v>
      </c>
    </row>
    <row r="74" spans="1:35" x14ac:dyDescent="0.25">
      <c r="U74" t="s">
        <v>11</v>
      </c>
      <c r="V74" t="s">
        <v>43</v>
      </c>
      <c r="W74" t="s">
        <v>118</v>
      </c>
      <c r="X74">
        <v>6</v>
      </c>
      <c r="Y74">
        <v>21.666666667000001</v>
      </c>
      <c r="Z74">
        <v>4.6666666667000003</v>
      </c>
      <c r="AA74">
        <v>2.6666666666999999</v>
      </c>
      <c r="AB74">
        <v>7.3333333332999997</v>
      </c>
      <c r="AC74">
        <v>29</v>
      </c>
      <c r="AD74">
        <v>7.2372493240000004</v>
      </c>
      <c r="AE74">
        <v>1.9090428084</v>
      </c>
      <c r="AF74">
        <v>0.66666666669999997</v>
      </c>
      <c r="AG74">
        <v>2.1081851068000002</v>
      </c>
      <c r="AH74">
        <v>7.7244201508000003</v>
      </c>
    </row>
    <row r="75" spans="1:35" x14ac:dyDescent="0.25">
      <c r="U75" t="s">
        <v>11</v>
      </c>
      <c r="V75" t="s">
        <v>43</v>
      </c>
      <c r="W75" t="s">
        <v>117</v>
      </c>
      <c r="X75">
        <v>12</v>
      </c>
      <c r="Y75">
        <v>32.333333332999999</v>
      </c>
      <c r="Z75">
        <v>6</v>
      </c>
      <c r="AA75">
        <v>2.5</v>
      </c>
      <c r="AB75">
        <v>8.5</v>
      </c>
      <c r="AC75">
        <v>40.833333332999999</v>
      </c>
      <c r="AD75">
        <v>6.0193291347000004</v>
      </c>
      <c r="AE75">
        <v>1.6514456476999999</v>
      </c>
      <c r="AF75">
        <v>0.65712874070000005</v>
      </c>
      <c r="AG75">
        <v>2.0169734302000002</v>
      </c>
      <c r="AH75">
        <v>7.2130283360999998</v>
      </c>
    </row>
    <row r="76" spans="1:35" x14ac:dyDescent="0.25">
      <c r="U76" t="s">
        <v>11</v>
      </c>
      <c r="V76" t="s">
        <v>14</v>
      </c>
      <c r="W76" t="s">
        <v>118</v>
      </c>
      <c r="X76">
        <v>6</v>
      </c>
      <c r="Y76">
        <v>45.333333332999999</v>
      </c>
      <c r="Z76">
        <v>8.6666666666999994</v>
      </c>
      <c r="AA76">
        <v>3.6666666666999999</v>
      </c>
      <c r="AB76">
        <v>12.333333333000001</v>
      </c>
      <c r="AC76">
        <v>57.666666667000001</v>
      </c>
      <c r="AD76">
        <v>10.515596882000001</v>
      </c>
      <c r="AE76">
        <v>2.1705094128</v>
      </c>
      <c r="AF76">
        <v>1.4063348739999999</v>
      </c>
      <c r="AG76">
        <v>2.7039066387999999</v>
      </c>
      <c r="AH76">
        <v>12.579524810000001</v>
      </c>
    </row>
    <row r="77" spans="1:35" x14ac:dyDescent="0.25">
      <c r="U77" t="s">
        <v>11</v>
      </c>
      <c r="V77" t="s">
        <v>14</v>
      </c>
      <c r="W77" t="s">
        <v>117</v>
      </c>
      <c r="X77">
        <v>12</v>
      </c>
      <c r="Y77">
        <v>37.333333332999999</v>
      </c>
      <c r="Z77">
        <v>8.8333333333000006</v>
      </c>
      <c r="AA77">
        <v>3.3333333333000001</v>
      </c>
      <c r="AB77">
        <v>12.166666666999999</v>
      </c>
      <c r="AC77">
        <v>49.5</v>
      </c>
      <c r="AD77">
        <v>7.9898926048999996</v>
      </c>
      <c r="AE77">
        <v>1.6959547830999999</v>
      </c>
      <c r="AF77">
        <v>0.75210143309999999</v>
      </c>
      <c r="AG77">
        <v>2.0517299918999998</v>
      </c>
      <c r="AH77">
        <v>8.9446953977000003</v>
      </c>
    </row>
    <row r="79" spans="1:35" x14ac:dyDescent="0.25">
      <c r="A79" t="s">
        <v>133</v>
      </c>
    </row>
    <row r="80" spans="1:35" s="52" customFormat="1" ht="75" x14ac:dyDescent="0.25">
      <c r="A80" s="52" t="s">
        <v>2</v>
      </c>
      <c r="B80" s="52" t="s">
        <v>47</v>
      </c>
      <c r="C80" s="52" t="s">
        <v>70</v>
      </c>
      <c r="D80" s="52" t="s">
        <v>105</v>
      </c>
      <c r="E80" s="52" t="s">
        <v>106</v>
      </c>
      <c r="F80" s="52" t="s">
        <v>107</v>
      </c>
      <c r="G80" s="52" t="s">
        <v>108</v>
      </c>
      <c r="H80" s="52" t="s">
        <v>109</v>
      </c>
      <c r="I80" s="52" t="s">
        <v>110</v>
      </c>
      <c r="J80" s="52" t="s">
        <v>72</v>
      </c>
      <c r="K80" s="52" t="s">
        <v>73</v>
      </c>
      <c r="L80" s="52" t="s">
        <v>74</v>
      </c>
      <c r="M80" s="52" t="s">
        <v>75</v>
      </c>
      <c r="N80" s="52" t="s">
        <v>76</v>
      </c>
      <c r="O80" s="52" t="s">
        <v>77</v>
      </c>
      <c r="P80" s="52" t="s">
        <v>82</v>
      </c>
      <c r="Q80" s="52" t="s">
        <v>83</v>
      </c>
      <c r="R80" s="52" t="s">
        <v>85</v>
      </c>
      <c r="S80" s="52" t="s">
        <v>131</v>
      </c>
      <c r="T80" s="52" t="s">
        <v>111</v>
      </c>
      <c r="U80" s="52" t="s">
        <v>112</v>
      </c>
      <c r="V80" s="52" t="s">
        <v>113</v>
      </c>
      <c r="W80" s="52" t="s">
        <v>114</v>
      </c>
      <c r="X80" s="52" t="s">
        <v>115</v>
      </c>
      <c r="Y80" s="52" t="s">
        <v>116</v>
      </c>
      <c r="Z80" s="52" t="s">
        <v>89</v>
      </c>
      <c r="AA80" s="52" t="s">
        <v>90</v>
      </c>
      <c r="AB80" s="52" t="s">
        <v>91</v>
      </c>
      <c r="AC80" s="52" t="s">
        <v>92</v>
      </c>
      <c r="AD80" s="52" t="s">
        <v>93</v>
      </c>
      <c r="AE80" s="52" t="s">
        <v>94</v>
      </c>
      <c r="AF80" s="52" t="s">
        <v>99</v>
      </c>
      <c r="AG80" s="52" t="s">
        <v>100</v>
      </c>
      <c r="AH80" s="52" t="s">
        <v>102</v>
      </c>
      <c r="AI80" s="52" t="s">
        <v>132</v>
      </c>
    </row>
    <row r="81" spans="1:35" x14ac:dyDescent="0.25">
      <c r="A81" t="s">
        <v>13</v>
      </c>
      <c r="B81" t="s">
        <v>16</v>
      </c>
      <c r="C81">
        <v>30</v>
      </c>
      <c r="D81">
        <v>58.533333333333331</v>
      </c>
      <c r="E81">
        <v>0</v>
      </c>
      <c r="F81">
        <v>18.2</v>
      </c>
      <c r="G81">
        <v>0.26666666666666666</v>
      </c>
      <c r="H81">
        <v>18.466666666666665</v>
      </c>
      <c r="I81">
        <v>18.466666666666665</v>
      </c>
      <c r="J81">
        <v>68.666666666666671</v>
      </c>
      <c r="K81">
        <v>5.5333333333333332</v>
      </c>
      <c r="L81">
        <v>16.933333333333334</v>
      </c>
      <c r="M81">
        <v>22.466666666666665</v>
      </c>
      <c r="N81">
        <v>91.13333333333334</v>
      </c>
      <c r="O81">
        <v>3.4333333333333331</v>
      </c>
      <c r="P81">
        <v>522.40948165999998</v>
      </c>
      <c r="Q81">
        <v>475.6188588</v>
      </c>
      <c r="R81">
        <v>652.59589690000007</v>
      </c>
      <c r="S81">
        <v>62.412970284339373</v>
      </c>
      <c r="T81">
        <v>2.2405527506292926</v>
      </c>
      <c r="U81">
        <v>0</v>
      </c>
      <c r="V81">
        <v>1.5766981358187284</v>
      </c>
      <c r="W81">
        <v>0.18528222234124031</v>
      </c>
      <c r="X81">
        <v>1.6207939968042295</v>
      </c>
      <c r="Y81">
        <v>1.6207939968042295</v>
      </c>
      <c r="Z81">
        <v>1.5111336486937736</v>
      </c>
      <c r="AA81">
        <v>0.619108245105077</v>
      </c>
      <c r="AB81">
        <v>1.4816372842722316</v>
      </c>
      <c r="AC81">
        <v>1.4907633879751681</v>
      </c>
      <c r="AD81">
        <v>1.5091546947613776</v>
      </c>
      <c r="AE81">
        <v>0.18682669659175313</v>
      </c>
      <c r="AF81">
        <v>161.9862734112115</v>
      </c>
      <c r="AG81">
        <v>37.780616554558023</v>
      </c>
      <c r="AH81">
        <v>68.934685280425441</v>
      </c>
      <c r="AI81">
        <v>5.173295901688042</v>
      </c>
    </row>
    <row r="82" spans="1:35" x14ac:dyDescent="0.25">
      <c r="A82" t="s">
        <v>13</v>
      </c>
      <c r="B82" t="s">
        <v>1</v>
      </c>
      <c r="C82">
        <v>6</v>
      </c>
      <c r="D82">
        <v>54.666666666666664</v>
      </c>
      <c r="E82">
        <v>0</v>
      </c>
      <c r="F82">
        <v>0</v>
      </c>
      <c r="G82">
        <v>0</v>
      </c>
      <c r="H82">
        <v>0</v>
      </c>
      <c r="I82">
        <v>0</v>
      </c>
      <c r="J82">
        <v>14.333333333333334</v>
      </c>
      <c r="K82">
        <v>0.33333333333333331</v>
      </c>
      <c r="L82">
        <v>0</v>
      </c>
      <c r="M82">
        <v>0.33333333333333331</v>
      </c>
      <c r="N82">
        <v>14.666666666666666</v>
      </c>
      <c r="O82">
        <v>0</v>
      </c>
      <c r="S82">
        <v>46.21700409911562</v>
      </c>
      <c r="T82">
        <v>9.6148034012373067</v>
      </c>
      <c r="U82">
        <v>0</v>
      </c>
      <c r="V82">
        <v>0</v>
      </c>
      <c r="W82">
        <v>0</v>
      </c>
      <c r="X82">
        <v>0</v>
      </c>
      <c r="Y82">
        <v>0</v>
      </c>
      <c r="Z82">
        <v>6.8588952787197766</v>
      </c>
      <c r="AA82">
        <v>0.33333333333333337</v>
      </c>
      <c r="AB82">
        <v>0</v>
      </c>
      <c r="AC82">
        <v>0.33333333333333337</v>
      </c>
      <c r="AD82">
        <v>7.1118055216504477</v>
      </c>
      <c r="AE82">
        <v>0</v>
      </c>
      <c r="AI82">
        <v>18.348724199508101</v>
      </c>
    </row>
    <row r="84" spans="1:35" x14ac:dyDescent="0.25">
      <c r="A84" t="s">
        <v>12</v>
      </c>
      <c r="B84" t="s">
        <v>16</v>
      </c>
      <c r="C84">
        <v>30</v>
      </c>
      <c r="D84">
        <v>74.266666666666666</v>
      </c>
      <c r="E84">
        <v>0</v>
      </c>
      <c r="F84">
        <v>13.466666666666667</v>
      </c>
      <c r="G84">
        <v>1.1333333333333333</v>
      </c>
      <c r="H84">
        <v>14.6</v>
      </c>
      <c r="I84">
        <v>14.6</v>
      </c>
      <c r="J84">
        <v>78.400000000000006</v>
      </c>
      <c r="K84">
        <v>9.5333333333333332</v>
      </c>
      <c r="L84">
        <v>2.6</v>
      </c>
      <c r="M84">
        <v>12.133333333333333</v>
      </c>
      <c r="N84">
        <v>90.533333333333331</v>
      </c>
      <c r="O84">
        <v>49.583333333333336</v>
      </c>
      <c r="P84">
        <v>338.9497854</v>
      </c>
      <c r="Q84">
        <v>395.22718592000001</v>
      </c>
      <c r="R84">
        <v>537.59725060000005</v>
      </c>
      <c r="S84">
        <v>35.669826210349513</v>
      </c>
      <c r="T84">
        <v>1.9051855029802962</v>
      </c>
      <c r="U84">
        <v>0</v>
      </c>
      <c r="V84">
        <v>1.2202631460442743</v>
      </c>
      <c r="W84">
        <v>0.18403731089310746</v>
      </c>
      <c r="X84">
        <v>1.2021054326740095</v>
      </c>
      <c r="Y84">
        <v>1.2021054326740095</v>
      </c>
      <c r="Z84">
        <v>2.4228794496603023</v>
      </c>
      <c r="AA84">
        <v>0.92814650712983782</v>
      </c>
      <c r="AB84">
        <v>0.55211193267932224</v>
      </c>
      <c r="AC84">
        <v>1.1544350594612978</v>
      </c>
      <c r="AD84">
        <v>1.8959929514717744</v>
      </c>
      <c r="AE84">
        <v>2.8625689103117722</v>
      </c>
      <c r="AF84">
        <v>53.139645879175049</v>
      </c>
      <c r="AG84">
        <v>94.98952783751318</v>
      </c>
      <c r="AH84">
        <v>99.497807229741142</v>
      </c>
      <c r="AI84">
        <v>2.4536717156942918</v>
      </c>
    </row>
    <row r="85" spans="1:35" x14ac:dyDescent="0.25">
      <c r="A85" t="s">
        <v>12</v>
      </c>
      <c r="B85" t="s">
        <v>1</v>
      </c>
      <c r="C85">
        <v>6</v>
      </c>
      <c r="D85">
        <v>80</v>
      </c>
      <c r="E85">
        <v>0</v>
      </c>
      <c r="F85">
        <v>0.66666666666666663</v>
      </c>
      <c r="G85">
        <v>0</v>
      </c>
      <c r="H85">
        <v>0.66666666666666663</v>
      </c>
      <c r="I85">
        <v>0.66666666666666663</v>
      </c>
      <c r="J85">
        <v>0.66666666666666663</v>
      </c>
      <c r="K85">
        <v>0</v>
      </c>
      <c r="L85">
        <v>0</v>
      </c>
      <c r="M85">
        <v>0</v>
      </c>
      <c r="N85">
        <v>0.66666666666666663</v>
      </c>
      <c r="O85">
        <v>0</v>
      </c>
      <c r="S85">
        <v>9.7042039198369441</v>
      </c>
      <c r="T85">
        <v>7.728734264634368</v>
      </c>
      <c r="U85">
        <v>0</v>
      </c>
      <c r="V85">
        <v>0.66666666666666674</v>
      </c>
      <c r="W85">
        <v>0</v>
      </c>
      <c r="X85">
        <v>0.66666666666666674</v>
      </c>
      <c r="Y85">
        <v>0.66666666666666674</v>
      </c>
      <c r="Z85">
        <v>0.66666666666666674</v>
      </c>
      <c r="AA85">
        <v>0</v>
      </c>
      <c r="AB85">
        <v>0</v>
      </c>
      <c r="AC85">
        <v>0</v>
      </c>
      <c r="AD85">
        <v>0.66666666666666674</v>
      </c>
      <c r="AE85">
        <v>0</v>
      </c>
      <c r="AI85">
        <v>2.3749544785674113</v>
      </c>
    </row>
    <row r="87" spans="1:35" x14ac:dyDescent="0.25">
      <c r="A87" t="s">
        <v>11</v>
      </c>
      <c r="B87" t="s">
        <v>16</v>
      </c>
      <c r="C87">
        <v>30</v>
      </c>
      <c r="D87">
        <v>77.066666666666663</v>
      </c>
      <c r="E87">
        <v>0</v>
      </c>
      <c r="F87">
        <v>8.8666666666666671</v>
      </c>
      <c r="G87">
        <v>1.6666666666666667</v>
      </c>
      <c r="H87">
        <v>10.533333333333333</v>
      </c>
      <c r="I87">
        <v>10.533333333333333</v>
      </c>
      <c r="J87">
        <v>41</v>
      </c>
      <c r="K87">
        <v>8.6</v>
      </c>
      <c r="L87">
        <v>3.6</v>
      </c>
      <c r="M87">
        <v>12.2</v>
      </c>
      <c r="N87">
        <v>53.2</v>
      </c>
      <c r="O87">
        <v>26.473333333333336</v>
      </c>
      <c r="P87">
        <v>269.90741861999999</v>
      </c>
      <c r="Q87">
        <v>356.2026055</v>
      </c>
      <c r="R87">
        <v>512.86061118000009</v>
      </c>
      <c r="S87">
        <v>31.650705098648732</v>
      </c>
      <c r="T87">
        <v>1.8388735515791492</v>
      </c>
      <c r="U87">
        <v>0</v>
      </c>
      <c r="V87">
        <v>0.88243827999903923</v>
      </c>
      <c r="W87">
        <v>0.2726343740538027</v>
      </c>
      <c r="X87">
        <v>0.86799191337582393</v>
      </c>
      <c r="Y87">
        <v>0.86799191337582393</v>
      </c>
      <c r="Z87">
        <v>3.7222536740250662</v>
      </c>
      <c r="AA87">
        <v>0.91047543472703263</v>
      </c>
      <c r="AB87">
        <v>0.41133368728910419</v>
      </c>
      <c r="AC87">
        <v>0.9935423678845352</v>
      </c>
      <c r="AD87">
        <v>3.9299615393982443</v>
      </c>
      <c r="AE87">
        <v>3.1506428219604459</v>
      </c>
      <c r="AF87">
        <v>100.50466337557333</v>
      </c>
      <c r="AG87">
        <v>108.80248336215614</v>
      </c>
      <c r="AH87">
        <v>172.95651491087975</v>
      </c>
      <c r="AI87">
        <v>2.6314582813123937</v>
      </c>
    </row>
    <row r="88" spans="1:35" x14ac:dyDescent="0.25">
      <c r="A88" t="s">
        <v>11</v>
      </c>
      <c r="B88" t="s">
        <v>1</v>
      </c>
      <c r="C88">
        <v>6</v>
      </c>
      <c r="D88">
        <v>84.666666666666671</v>
      </c>
      <c r="E88">
        <v>0</v>
      </c>
      <c r="F88">
        <v>0</v>
      </c>
      <c r="G88">
        <v>0</v>
      </c>
      <c r="H88">
        <v>0</v>
      </c>
      <c r="I88">
        <v>0</v>
      </c>
      <c r="J88">
        <v>1.3333333333333333</v>
      </c>
      <c r="K88">
        <v>0</v>
      </c>
      <c r="L88">
        <v>0</v>
      </c>
      <c r="M88">
        <v>0</v>
      </c>
      <c r="N88">
        <v>1.3333333333333333</v>
      </c>
      <c r="O88">
        <v>4.166666666666667</v>
      </c>
      <c r="S88">
        <v>9.9567549739942098</v>
      </c>
      <c r="T88">
        <v>4.0551750201988117</v>
      </c>
      <c r="U88">
        <v>0</v>
      </c>
      <c r="V88">
        <v>0</v>
      </c>
      <c r="W88">
        <v>0</v>
      </c>
      <c r="X88">
        <v>0</v>
      </c>
      <c r="Y88">
        <v>0</v>
      </c>
      <c r="Z88">
        <v>0.84327404271156803</v>
      </c>
      <c r="AA88">
        <v>0</v>
      </c>
      <c r="AB88">
        <v>0</v>
      </c>
      <c r="AC88">
        <v>0</v>
      </c>
      <c r="AD88">
        <v>0.84327404271156803</v>
      </c>
      <c r="AE88">
        <v>4.1666666666666679</v>
      </c>
      <c r="AI88">
        <v>2.2759101390794201</v>
      </c>
    </row>
    <row r="91" spans="1:35" x14ac:dyDescent="0.25">
      <c r="B91" t="s">
        <v>135</v>
      </c>
    </row>
    <row r="92" spans="1:35" s="52" customFormat="1" ht="75" x14ac:dyDescent="0.25">
      <c r="A92" s="52" t="s">
        <v>2</v>
      </c>
      <c r="B92" s="52" t="s">
        <v>3</v>
      </c>
      <c r="C92" s="52" t="s">
        <v>4</v>
      </c>
      <c r="D92" s="52" t="s">
        <v>47</v>
      </c>
      <c r="E92" s="52" t="s">
        <v>70</v>
      </c>
      <c r="F92" s="52" t="s">
        <v>71</v>
      </c>
      <c r="G92" s="52" t="s">
        <v>72</v>
      </c>
      <c r="H92" s="52" t="s">
        <v>73</v>
      </c>
      <c r="I92" s="52" t="s">
        <v>74</v>
      </c>
      <c r="J92" s="52" t="s">
        <v>75</v>
      </c>
      <c r="K92" s="52" t="s">
        <v>76</v>
      </c>
      <c r="L92" s="52" t="s">
        <v>77</v>
      </c>
      <c r="M92" s="52" t="s">
        <v>82</v>
      </c>
      <c r="N92" s="52" t="s">
        <v>83</v>
      </c>
      <c r="O92" s="52" t="s">
        <v>85</v>
      </c>
      <c r="P92" s="52" t="s">
        <v>131</v>
      </c>
      <c r="Q92" s="52" t="s">
        <v>88</v>
      </c>
      <c r="R92" s="52" t="s">
        <v>89</v>
      </c>
      <c r="S92" s="52" t="s">
        <v>90</v>
      </c>
      <c r="T92" s="52" t="s">
        <v>91</v>
      </c>
      <c r="U92" s="52" t="s">
        <v>92</v>
      </c>
      <c r="V92" s="52" t="s">
        <v>93</v>
      </c>
      <c r="W92" s="52" t="s">
        <v>94</v>
      </c>
      <c r="X92" s="52" t="s">
        <v>99</v>
      </c>
      <c r="Y92" s="52" t="s">
        <v>100</v>
      </c>
      <c r="Z92" s="52" t="s">
        <v>102</v>
      </c>
      <c r="AA92" s="52" t="s">
        <v>132</v>
      </c>
    </row>
    <row r="93" spans="1:35" x14ac:dyDescent="0.25">
      <c r="A93" t="s">
        <v>13</v>
      </c>
      <c r="B93" t="s">
        <v>14</v>
      </c>
      <c r="C93" t="s">
        <v>117</v>
      </c>
      <c r="D93" t="s">
        <v>16</v>
      </c>
      <c r="E93">
        <v>10</v>
      </c>
      <c r="F93">
        <v>4</v>
      </c>
      <c r="G93">
        <v>69.599999999999994</v>
      </c>
      <c r="H93">
        <v>5</v>
      </c>
      <c r="I93">
        <v>17.600000000000001</v>
      </c>
      <c r="J93">
        <v>22.6</v>
      </c>
      <c r="K93">
        <v>92.2</v>
      </c>
      <c r="L93">
        <v>3.85</v>
      </c>
      <c r="M93">
        <v>522.40948165999998</v>
      </c>
      <c r="N93">
        <v>475.6188588</v>
      </c>
      <c r="O93">
        <v>652.59589690000007</v>
      </c>
      <c r="P93">
        <v>85.128709492810799</v>
      </c>
      <c r="Q93">
        <v>0.5163977794943222</v>
      </c>
      <c r="R93">
        <v>2.5438378704451874</v>
      </c>
      <c r="S93">
        <v>0.9067647005823628</v>
      </c>
      <c r="T93">
        <v>1.6000000000000005</v>
      </c>
      <c r="U93">
        <v>1.9333333333333338</v>
      </c>
      <c r="V93">
        <v>1.4126413400278079</v>
      </c>
      <c r="W93">
        <v>0.28915585954829121</v>
      </c>
      <c r="X93">
        <v>161.9862734112115</v>
      </c>
      <c r="Y93">
        <v>37.780616554558023</v>
      </c>
      <c r="Z93">
        <v>68.934685280425441</v>
      </c>
      <c r="AA93">
        <v>5.6970789448913335</v>
      </c>
    </row>
    <row r="94" spans="1:35" x14ac:dyDescent="0.25">
      <c r="A94" t="s">
        <v>13</v>
      </c>
      <c r="B94" t="s">
        <v>14</v>
      </c>
      <c r="C94" t="s">
        <v>117</v>
      </c>
      <c r="D94" t="s">
        <v>1</v>
      </c>
      <c r="E94">
        <v>2</v>
      </c>
      <c r="F94">
        <v>48</v>
      </c>
      <c r="G94">
        <v>34</v>
      </c>
      <c r="H94">
        <v>1</v>
      </c>
      <c r="I94">
        <v>0</v>
      </c>
      <c r="J94">
        <v>1</v>
      </c>
      <c r="K94">
        <v>35</v>
      </c>
      <c r="L94">
        <v>0</v>
      </c>
      <c r="P94">
        <v>102.1682537389176</v>
      </c>
      <c r="Q94">
        <v>8</v>
      </c>
      <c r="R94">
        <v>5.9999999999999991</v>
      </c>
      <c r="S94">
        <v>1</v>
      </c>
      <c r="T94">
        <v>0</v>
      </c>
      <c r="U94">
        <v>1</v>
      </c>
      <c r="V94">
        <v>6.9999999999999991</v>
      </c>
      <c r="W94">
        <v>0</v>
      </c>
      <c r="AA94">
        <v>15.359992579690399</v>
      </c>
    </row>
    <row r="95" spans="1:35" x14ac:dyDescent="0.25">
      <c r="A95" t="s">
        <v>13</v>
      </c>
      <c r="B95" t="s">
        <v>14</v>
      </c>
      <c r="C95" t="s">
        <v>45</v>
      </c>
      <c r="D95" t="s">
        <v>16</v>
      </c>
      <c r="E95">
        <v>5</v>
      </c>
      <c r="F95">
        <v>8.4</v>
      </c>
      <c r="G95">
        <v>64</v>
      </c>
      <c r="H95">
        <v>8</v>
      </c>
      <c r="I95">
        <v>13.6</v>
      </c>
      <c r="J95">
        <v>21.6</v>
      </c>
      <c r="K95">
        <v>85.6</v>
      </c>
      <c r="L95">
        <v>3.5</v>
      </c>
      <c r="P95">
        <v>72.283018012100314</v>
      </c>
      <c r="Q95">
        <v>1.8330302779823358</v>
      </c>
      <c r="R95">
        <v>2.8284271247461903</v>
      </c>
      <c r="S95">
        <v>2.1908902300206643</v>
      </c>
      <c r="T95">
        <v>2.7129319932501068</v>
      </c>
      <c r="U95">
        <v>0.97979589711327209</v>
      </c>
      <c r="V95">
        <v>3.4871191548325342</v>
      </c>
      <c r="W95">
        <v>0.22360679774997896</v>
      </c>
      <c r="AA95">
        <v>19.017650909377039</v>
      </c>
    </row>
    <row r="96" spans="1:35" x14ac:dyDescent="0.25">
      <c r="A96" t="s">
        <v>13</v>
      </c>
      <c r="B96" t="s">
        <v>14</v>
      </c>
      <c r="C96" t="s">
        <v>45</v>
      </c>
      <c r="D96" t="s">
        <v>1</v>
      </c>
      <c r="E96">
        <v>1</v>
      </c>
      <c r="F96">
        <v>76</v>
      </c>
      <c r="G96">
        <v>16</v>
      </c>
      <c r="H96">
        <v>0</v>
      </c>
      <c r="I96">
        <v>0</v>
      </c>
      <c r="J96">
        <v>0</v>
      </c>
      <c r="K96">
        <v>16</v>
      </c>
      <c r="L96">
        <v>0</v>
      </c>
      <c r="P96">
        <v>25.3855285095032</v>
      </c>
    </row>
    <row r="97" spans="1:27" x14ac:dyDescent="0.25">
      <c r="A97" t="s">
        <v>13</v>
      </c>
      <c r="B97" t="s">
        <v>43</v>
      </c>
      <c r="C97" t="s">
        <v>117</v>
      </c>
      <c r="D97" t="s">
        <v>16</v>
      </c>
      <c r="E97">
        <v>10</v>
      </c>
      <c r="F97">
        <v>6.8</v>
      </c>
      <c r="G97">
        <v>66.400000000000006</v>
      </c>
      <c r="H97">
        <v>5.2</v>
      </c>
      <c r="I97">
        <v>20.399999999999999</v>
      </c>
      <c r="J97">
        <v>25.6</v>
      </c>
      <c r="K97">
        <v>92</v>
      </c>
      <c r="L97">
        <v>3.3</v>
      </c>
      <c r="P97">
        <v>48.333524671095439</v>
      </c>
      <c r="Q97">
        <v>2.8936712552280937</v>
      </c>
      <c r="R97">
        <v>2.8095076674273955</v>
      </c>
      <c r="S97">
        <v>0.99777530313971774</v>
      </c>
      <c r="T97">
        <v>3.0081371127142607</v>
      </c>
      <c r="U97">
        <v>3.1524241113431706</v>
      </c>
      <c r="V97">
        <v>3.5901098714230022</v>
      </c>
      <c r="W97">
        <v>0.32659863237109044</v>
      </c>
      <c r="AA97">
        <v>4.0660956716708601</v>
      </c>
    </row>
    <row r="98" spans="1:27" x14ac:dyDescent="0.25">
      <c r="A98" t="s">
        <v>13</v>
      </c>
      <c r="B98" t="s">
        <v>43</v>
      </c>
      <c r="C98" t="s">
        <v>117</v>
      </c>
      <c r="D98" t="s">
        <v>1</v>
      </c>
      <c r="E98">
        <v>2</v>
      </c>
      <c r="F98">
        <v>100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P98">
        <v>14.672992600100155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AA98">
        <v>8.9520654045402459</v>
      </c>
    </row>
    <row r="99" spans="1:27" x14ac:dyDescent="0.25">
      <c r="A99" t="s">
        <v>13</v>
      </c>
      <c r="B99" t="s">
        <v>43</v>
      </c>
      <c r="C99" t="s">
        <v>45</v>
      </c>
      <c r="D99" t="s">
        <v>16</v>
      </c>
      <c r="E99">
        <v>5</v>
      </c>
      <c r="F99">
        <v>5.6</v>
      </c>
      <c r="G99">
        <v>76</v>
      </c>
      <c r="H99">
        <v>4.8</v>
      </c>
      <c r="I99">
        <v>12</v>
      </c>
      <c r="J99">
        <v>16.8</v>
      </c>
      <c r="K99">
        <v>92.8</v>
      </c>
      <c r="L99">
        <v>2.8</v>
      </c>
      <c r="P99">
        <v>35.270335366123462</v>
      </c>
      <c r="Q99">
        <v>1.9390719429665315</v>
      </c>
      <c r="R99">
        <v>2.1908902300206643</v>
      </c>
      <c r="S99">
        <v>1.3564659966250534</v>
      </c>
      <c r="T99">
        <v>4.5607017003965513</v>
      </c>
      <c r="U99">
        <v>4.5869379764718854</v>
      </c>
      <c r="V99">
        <v>3.2619012860600174</v>
      </c>
      <c r="W99">
        <v>0.6442049363362562</v>
      </c>
      <c r="AA99">
        <v>4.0511519761570369</v>
      </c>
    </row>
    <row r="100" spans="1:27" x14ac:dyDescent="0.25">
      <c r="A100" t="s">
        <v>13</v>
      </c>
      <c r="B100" t="s">
        <v>43</v>
      </c>
      <c r="C100" t="s">
        <v>45</v>
      </c>
      <c r="D100" t="s">
        <v>1</v>
      </c>
      <c r="E100">
        <v>1</v>
      </c>
      <c r="F100">
        <v>100</v>
      </c>
      <c r="G100">
        <v>2</v>
      </c>
      <c r="H100">
        <v>0</v>
      </c>
      <c r="I100">
        <v>0</v>
      </c>
      <c r="J100">
        <v>0</v>
      </c>
      <c r="K100">
        <v>2</v>
      </c>
      <c r="L100">
        <v>0</v>
      </c>
      <c r="P100">
        <v>18.234003407155001</v>
      </c>
    </row>
    <row r="101" spans="1:27" x14ac:dyDescent="0.25">
      <c r="A101" t="s">
        <v>11</v>
      </c>
      <c r="B101" t="s">
        <v>14</v>
      </c>
      <c r="C101" t="s">
        <v>117</v>
      </c>
      <c r="D101" t="s">
        <v>16</v>
      </c>
      <c r="E101">
        <v>10</v>
      </c>
      <c r="F101">
        <v>20</v>
      </c>
      <c r="G101">
        <v>44</v>
      </c>
      <c r="H101">
        <v>10.6</v>
      </c>
      <c r="I101">
        <v>4</v>
      </c>
      <c r="J101">
        <v>14.6</v>
      </c>
      <c r="K101">
        <v>58.6</v>
      </c>
      <c r="L101">
        <v>28.4</v>
      </c>
      <c r="M101">
        <v>269.90741861999999</v>
      </c>
      <c r="N101">
        <v>356.2026055</v>
      </c>
      <c r="O101">
        <v>512.86061118000009</v>
      </c>
      <c r="P101">
        <v>34.393271469410152</v>
      </c>
      <c r="Q101">
        <v>5.2998951771604776</v>
      </c>
      <c r="R101">
        <v>8</v>
      </c>
      <c r="S101">
        <v>1.4621141466307537</v>
      </c>
      <c r="T101">
        <v>0.73029674334022143</v>
      </c>
      <c r="U101">
        <v>1.4922019523732928</v>
      </c>
      <c r="V101">
        <v>7.8827519165439774</v>
      </c>
      <c r="W101">
        <v>7.7570040035513115</v>
      </c>
      <c r="X101">
        <v>100.50466337557333</v>
      </c>
      <c r="Y101">
        <v>108.80248336215614</v>
      </c>
      <c r="Z101">
        <v>172.95651491087975</v>
      </c>
      <c r="AA101">
        <v>5.4330929279410807</v>
      </c>
    </row>
    <row r="102" spans="1:27" x14ac:dyDescent="0.25">
      <c r="A102" t="s">
        <v>11</v>
      </c>
      <c r="B102" t="s">
        <v>14</v>
      </c>
      <c r="C102" t="s">
        <v>117</v>
      </c>
      <c r="D102" t="s">
        <v>1</v>
      </c>
      <c r="E102">
        <v>2</v>
      </c>
      <c r="F102">
        <v>58</v>
      </c>
      <c r="G102">
        <v>4</v>
      </c>
      <c r="H102">
        <v>0</v>
      </c>
      <c r="I102">
        <v>0</v>
      </c>
      <c r="J102">
        <v>0</v>
      </c>
      <c r="K102">
        <v>4</v>
      </c>
      <c r="L102">
        <v>12.5</v>
      </c>
      <c r="P102">
        <v>10.323938929332295</v>
      </c>
      <c r="Q102">
        <v>10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12.5</v>
      </c>
      <c r="AA102">
        <v>3.0936966029995059</v>
      </c>
    </row>
    <row r="103" spans="1:27" x14ac:dyDescent="0.25">
      <c r="A103" t="s">
        <v>11</v>
      </c>
      <c r="B103" t="s">
        <v>14</v>
      </c>
      <c r="C103" t="s">
        <v>45</v>
      </c>
      <c r="D103" t="s">
        <v>16</v>
      </c>
      <c r="E103">
        <v>5</v>
      </c>
      <c r="F103">
        <v>12</v>
      </c>
      <c r="G103">
        <v>54.4</v>
      </c>
      <c r="H103">
        <v>10.4</v>
      </c>
      <c r="I103">
        <v>4.4000000000000004</v>
      </c>
      <c r="J103">
        <v>14.8</v>
      </c>
      <c r="K103">
        <v>69.2</v>
      </c>
      <c r="L103">
        <v>36.619999999999997</v>
      </c>
      <c r="P103">
        <v>35.273188234412935</v>
      </c>
      <c r="Q103">
        <v>4.5607017003965513</v>
      </c>
      <c r="R103">
        <v>6.5238025721200374</v>
      </c>
      <c r="S103">
        <v>1.6000000000000003</v>
      </c>
      <c r="T103">
        <v>1.4696938456699067</v>
      </c>
      <c r="U103">
        <v>1.3564659966250541</v>
      </c>
      <c r="V103">
        <v>6.1514225996918777</v>
      </c>
      <c r="W103">
        <v>5.9961987959039513</v>
      </c>
      <c r="AA103">
        <v>6.4482412271766361</v>
      </c>
    </row>
    <row r="104" spans="1:27" x14ac:dyDescent="0.25">
      <c r="A104" t="s">
        <v>11</v>
      </c>
      <c r="B104" t="s">
        <v>14</v>
      </c>
      <c r="C104" t="s">
        <v>45</v>
      </c>
      <c r="D104" t="s">
        <v>1</v>
      </c>
      <c r="E104">
        <v>1</v>
      </c>
      <c r="F104">
        <v>80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P104">
        <v>12.4781325094404</v>
      </c>
    </row>
    <row r="105" spans="1:27" x14ac:dyDescent="0.25">
      <c r="A105" t="s">
        <v>11</v>
      </c>
      <c r="B105" t="s">
        <v>43</v>
      </c>
      <c r="C105" t="s">
        <v>117</v>
      </c>
      <c r="D105" t="s">
        <v>16</v>
      </c>
      <c r="E105">
        <v>10</v>
      </c>
      <c r="F105">
        <v>36.799999999999997</v>
      </c>
      <c r="G105">
        <v>38.799999999999997</v>
      </c>
      <c r="H105">
        <v>7.2</v>
      </c>
      <c r="I105">
        <v>3</v>
      </c>
      <c r="J105">
        <v>10.199999999999999</v>
      </c>
      <c r="K105">
        <v>49</v>
      </c>
      <c r="L105">
        <v>18.46</v>
      </c>
      <c r="P105">
        <v>30.027394359621372</v>
      </c>
      <c r="Q105">
        <v>3.1999999999999993</v>
      </c>
      <c r="R105">
        <v>5.0261538199922038</v>
      </c>
      <c r="S105">
        <v>1.7435595774162695</v>
      </c>
      <c r="T105">
        <v>0.68313005106397329</v>
      </c>
      <c r="U105">
        <v>2.0099751242241783</v>
      </c>
      <c r="V105">
        <v>5.6430882010158623</v>
      </c>
      <c r="W105">
        <v>3.4456800651121271</v>
      </c>
      <c r="AA105">
        <v>4.4740739163526646</v>
      </c>
    </row>
    <row r="106" spans="1:27" x14ac:dyDescent="0.25">
      <c r="A106" t="s">
        <v>11</v>
      </c>
      <c r="B106" t="s">
        <v>43</v>
      </c>
      <c r="C106" t="s">
        <v>117</v>
      </c>
      <c r="D106" t="s">
        <v>1</v>
      </c>
      <c r="E106">
        <v>2</v>
      </c>
      <c r="F106">
        <v>62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P106">
        <v>12.438375197812721</v>
      </c>
      <c r="Q106">
        <v>10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AA106">
        <v>4.9877596027374791</v>
      </c>
    </row>
    <row r="107" spans="1:27" x14ac:dyDescent="0.25">
      <c r="A107" t="s">
        <v>11</v>
      </c>
      <c r="B107" t="s">
        <v>43</v>
      </c>
      <c r="C107" t="s">
        <v>45</v>
      </c>
      <c r="D107" t="s">
        <v>16</v>
      </c>
      <c r="E107">
        <v>5</v>
      </c>
      <c r="F107">
        <v>52</v>
      </c>
      <c r="G107">
        <v>26</v>
      </c>
      <c r="H107">
        <v>5.6</v>
      </c>
      <c r="I107">
        <v>3.2</v>
      </c>
      <c r="J107">
        <v>8.8000000000000007</v>
      </c>
      <c r="K107">
        <v>34.799999999999997</v>
      </c>
      <c r="L107">
        <v>28.5</v>
      </c>
      <c r="P107">
        <v>25.789710699416439</v>
      </c>
      <c r="Q107">
        <v>1.7888543819998317</v>
      </c>
      <c r="R107">
        <v>7.0992957397195395</v>
      </c>
      <c r="S107">
        <v>2.0396078054371136</v>
      </c>
      <c r="T107">
        <v>0.48989794855663549</v>
      </c>
      <c r="U107">
        <v>1.8547236990991414</v>
      </c>
      <c r="V107">
        <v>6.248199740725326</v>
      </c>
      <c r="W107">
        <v>3.3052987762076818</v>
      </c>
      <c r="AA107">
        <v>4.4475858925817588</v>
      </c>
    </row>
    <row r="108" spans="1:27" x14ac:dyDescent="0.25">
      <c r="A108" t="s">
        <v>11</v>
      </c>
      <c r="B108" t="s">
        <v>43</v>
      </c>
      <c r="C108" t="s">
        <v>45</v>
      </c>
      <c r="D108" t="s">
        <v>1</v>
      </c>
      <c r="E108">
        <v>1</v>
      </c>
      <c r="F108">
        <v>96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P108">
        <v>1.73776908023483</v>
      </c>
    </row>
    <row r="109" spans="1:27" x14ac:dyDescent="0.25">
      <c r="A109" t="s">
        <v>12</v>
      </c>
      <c r="B109" t="s">
        <v>14</v>
      </c>
      <c r="C109" t="s">
        <v>117</v>
      </c>
      <c r="D109" t="s">
        <v>16</v>
      </c>
      <c r="E109">
        <v>10</v>
      </c>
      <c r="F109">
        <v>7.2</v>
      </c>
      <c r="G109">
        <v>73.2</v>
      </c>
      <c r="H109">
        <v>7.6</v>
      </c>
      <c r="I109">
        <v>4.2</v>
      </c>
      <c r="J109">
        <v>11.8</v>
      </c>
      <c r="K109">
        <v>85</v>
      </c>
      <c r="L109">
        <v>40.15</v>
      </c>
      <c r="M109">
        <v>338.9497854</v>
      </c>
      <c r="N109">
        <v>395.22718592000001</v>
      </c>
      <c r="O109">
        <v>537.59725060000005</v>
      </c>
      <c r="P109">
        <v>37.005283573250637</v>
      </c>
      <c r="Q109">
        <v>2.1333333333333333</v>
      </c>
      <c r="R109">
        <v>3.7261836299952336</v>
      </c>
      <c r="S109">
        <v>1.1075498483890767</v>
      </c>
      <c r="T109">
        <v>1.2454361128179603</v>
      </c>
      <c r="U109">
        <v>1.8245242911205346</v>
      </c>
      <c r="V109">
        <v>2.894439112812321</v>
      </c>
      <c r="W109">
        <v>4.0654711357425173</v>
      </c>
      <c r="X109">
        <v>53.139645879175049</v>
      </c>
      <c r="Y109">
        <v>94.98952783751318</v>
      </c>
      <c r="Z109">
        <v>99.497807229741142</v>
      </c>
      <c r="AA109">
        <v>5.085778283956162</v>
      </c>
    </row>
    <row r="110" spans="1:27" x14ac:dyDescent="0.25">
      <c r="A110" t="s">
        <v>12</v>
      </c>
      <c r="B110" t="s">
        <v>14</v>
      </c>
      <c r="C110" t="s">
        <v>117</v>
      </c>
      <c r="D110" t="s">
        <v>1</v>
      </c>
      <c r="E110">
        <v>2</v>
      </c>
      <c r="F110">
        <v>56</v>
      </c>
      <c r="G110">
        <v>2</v>
      </c>
      <c r="H110">
        <v>0</v>
      </c>
      <c r="I110">
        <v>0</v>
      </c>
      <c r="J110">
        <v>0</v>
      </c>
      <c r="K110">
        <v>2</v>
      </c>
      <c r="L110">
        <v>0</v>
      </c>
      <c r="P110">
        <v>8.7956707583489244</v>
      </c>
      <c r="Q110">
        <v>23.999999999999996</v>
      </c>
      <c r="R110">
        <v>2</v>
      </c>
      <c r="S110">
        <v>0</v>
      </c>
      <c r="T110">
        <v>0</v>
      </c>
      <c r="U110">
        <v>0</v>
      </c>
      <c r="V110">
        <v>2</v>
      </c>
      <c r="W110">
        <v>0</v>
      </c>
      <c r="AA110">
        <v>3.5506158132939749</v>
      </c>
    </row>
    <row r="111" spans="1:27" x14ac:dyDescent="0.25">
      <c r="A111" t="s">
        <v>12</v>
      </c>
      <c r="B111" t="s">
        <v>14</v>
      </c>
      <c r="C111" t="s">
        <v>45</v>
      </c>
      <c r="D111" t="s">
        <v>16</v>
      </c>
      <c r="E111">
        <v>5</v>
      </c>
      <c r="F111">
        <v>2.4</v>
      </c>
      <c r="G111">
        <v>79.2</v>
      </c>
      <c r="H111">
        <v>14.4</v>
      </c>
      <c r="I111">
        <v>2</v>
      </c>
      <c r="J111">
        <v>16.399999999999999</v>
      </c>
      <c r="K111">
        <v>95.6</v>
      </c>
      <c r="L111">
        <v>67.7</v>
      </c>
      <c r="P111">
        <v>38.137530500690019</v>
      </c>
      <c r="Q111">
        <v>1.5999999999999999</v>
      </c>
      <c r="R111">
        <v>5.9866518188383058</v>
      </c>
      <c r="S111">
        <v>3.709447398198281</v>
      </c>
      <c r="T111">
        <v>0.89442719099991586</v>
      </c>
      <c r="U111">
        <v>4.3999999999999995</v>
      </c>
      <c r="V111">
        <v>2.2271057451320058</v>
      </c>
      <c r="W111">
        <v>6.315853069855252</v>
      </c>
      <c r="AA111">
        <v>5.5336032488043427</v>
      </c>
    </row>
    <row r="112" spans="1:27" x14ac:dyDescent="0.25">
      <c r="A112" t="s">
        <v>12</v>
      </c>
      <c r="B112" t="s">
        <v>14</v>
      </c>
      <c r="C112" t="s">
        <v>45</v>
      </c>
      <c r="D112" t="s">
        <v>1</v>
      </c>
      <c r="E112">
        <v>1</v>
      </c>
      <c r="F112">
        <v>56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P112">
        <v>18.686312943562001</v>
      </c>
    </row>
    <row r="113" spans="1:27" x14ac:dyDescent="0.25">
      <c r="A113" t="s">
        <v>12</v>
      </c>
      <c r="B113" t="s">
        <v>43</v>
      </c>
      <c r="C113" t="s">
        <v>117</v>
      </c>
      <c r="D113" t="s">
        <v>16</v>
      </c>
      <c r="E113">
        <v>10</v>
      </c>
      <c r="F113">
        <v>7.2</v>
      </c>
      <c r="G113">
        <v>81.599999999999994</v>
      </c>
      <c r="H113">
        <v>8.6</v>
      </c>
      <c r="I113">
        <v>1.8</v>
      </c>
      <c r="J113">
        <v>10.4</v>
      </c>
      <c r="K113">
        <v>92</v>
      </c>
      <c r="L113">
        <v>49.9</v>
      </c>
      <c r="P113">
        <v>33.995128510294265</v>
      </c>
      <c r="Q113">
        <v>4.3736585244951272</v>
      </c>
      <c r="R113">
        <v>5.3399958385335484</v>
      </c>
      <c r="S113">
        <v>1.2666666666666664</v>
      </c>
      <c r="T113">
        <v>0.81377037438224653</v>
      </c>
      <c r="U113">
        <v>1.8086213288334052</v>
      </c>
      <c r="V113">
        <v>4.3817804600413286</v>
      </c>
      <c r="W113">
        <v>4.5029619881436558</v>
      </c>
      <c r="AA113">
        <v>4.3505526368649399</v>
      </c>
    </row>
    <row r="114" spans="1:27" x14ac:dyDescent="0.25">
      <c r="A114" t="s">
        <v>12</v>
      </c>
      <c r="B114" t="s">
        <v>43</v>
      </c>
      <c r="C114" t="s">
        <v>117</v>
      </c>
      <c r="D114" t="s">
        <v>1</v>
      </c>
      <c r="E114">
        <v>2</v>
      </c>
      <c r="F114">
        <v>92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P114">
        <v>9.977216060620794</v>
      </c>
      <c r="Q114">
        <v>4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AA114">
        <v>1.0148263796975068</v>
      </c>
    </row>
    <row r="115" spans="1:27" x14ac:dyDescent="0.25">
      <c r="A115" t="s">
        <v>12</v>
      </c>
      <c r="B115" t="s">
        <v>43</v>
      </c>
      <c r="C115" t="s">
        <v>45</v>
      </c>
      <c r="D115" t="s">
        <v>16</v>
      </c>
      <c r="E115">
        <v>5</v>
      </c>
      <c r="F115">
        <v>4.8</v>
      </c>
      <c r="G115">
        <v>81.599999999999994</v>
      </c>
      <c r="H115">
        <v>10.4</v>
      </c>
      <c r="I115">
        <v>1.6</v>
      </c>
      <c r="J115">
        <v>12</v>
      </c>
      <c r="K115">
        <v>93.6</v>
      </c>
      <c r="L115">
        <v>49.7</v>
      </c>
      <c r="P115">
        <v>33.880602594317324</v>
      </c>
      <c r="Q115">
        <v>2.3323807579381199</v>
      </c>
      <c r="R115">
        <v>2.7129319932501059</v>
      </c>
      <c r="S115">
        <v>1.5999999999999996</v>
      </c>
      <c r="T115">
        <v>0.74833147735478833</v>
      </c>
      <c r="U115">
        <v>1.6733200530681509</v>
      </c>
      <c r="V115">
        <v>1.4696938456699045</v>
      </c>
      <c r="W115">
        <v>4.9335585534176047</v>
      </c>
      <c r="AA115">
        <v>5.008834839660282</v>
      </c>
    </row>
    <row r="116" spans="1:27" x14ac:dyDescent="0.25">
      <c r="A116" t="s">
        <v>12</v>
      </c>
      <c r="B116" t="s">
        <v>43</v>
      </c>
      <c r="C116" t="s">
        <v>45</v>
      </c>
      <c r="D116" t="s">
        <v>1</v>
      </c>
      <c r="E116">
        <v>1</v>
      </c>
      <c r="F116">
        <v>100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P116">
        <v>1.9931369375202299</v>
      </c>
    </row>
    <row r="120" spans="1:27" x14ac:dyDescent="0.25">
      <c r="A120" t="s">
        <v>2</v>
      </c>
      <c r="B120" t="s">
        <v>3</v>
      </c>
      <c r="C120" t="s">
        <v>70</v>
      </c>
      <c r="D120" t="s">
        <v>131</v>
      </c>
      <c r="E120" t="s">
        <v>132</v>
      </c>
    </row>
    <row r="121" spans="1:27" x14ac:dyDescent="0.25">
      <c r="A121" t="s">
        <v>136</v>
      </c>
      <c r="B121" t="s">
        <v>14</v>
      </c>
      <c r="C121">
        <v>18</v>
      </c>
      <c r="D121">
        <v>80.134678943108227</v>
      </c>
      <c r="E121">
        <v>7.0368906647505192</v>
      </c>
    </row>
    <row r="122" spans="1:27" x14ac:dyDescent="0.25">
      <c r="A122" t="s">
        <v>12</v>
      </c>
      <c r="B122" t="s">
        <v>14</v>
      </c>
      <c r="C122">
        <v>18</v>
      </c>
      <c r="D122">
        <v>33.167674594234235</v>
      </c>
      <c r="E122">
        <v>3.8914857849614739</v>
      </c>
    </row>
    <row r="123" spans="1:27" x14ac:dyDescent="0.25">
      <c r="A123" t="s">
        <v>152</v>
      </c>
      <c r="B123" t="s">
        <v>14</v>
      </c>
      <c r="C123">
        <v>18</v>
      </c>
      <c r="D123">
        <v>30.745814790792849</v>
      </c>
      <c r="E123">
        <v>4.006017655502319</v>
      </c>
    </row>
    <row r="125" spans="1:27" x14ac:dyDescent="0.25">
      <c r="A125" t="s">
        <v>13</v>
      </c>
      <c r="B125" t="s">
        <v>43</v>
      </c>
      <c r="C125">
        <v>18</v>
      </c>
      <c r="D125">
        <v>39.292606230495949</v>
      </c>
      <c r="E125">
        <v>3.8477939262323968</v>
      </c>
    </row>
    <row r="126" spans="1:27" x14ac:dyDescent="0.25">
      <c r="A126" t="s">
        <v>12</v>
      </c>
      <c r="B126" t="s">
        <v>43</v>
      </c>
      <c r="C126">
        <v>18</v>
      </c>
      <c r="D126">
        <v>29.516770396293946</v>
      </c>
      <c r="E126">
        <v>3.6264266309760944</v>
      </c>
    </row>
    <row r="127" spans="1:27" x14ac:dyDescent="0.25">
      <c r="A127" t="s">
        <v>11</v>
      </c>
      <c r="B127" t="s">
        <v>43</v>
      </c>
      <c r="C127">
        <v>18</v>
      </c>
      <c r="D127">
        <v>25.324278698286452</v>
      </c>
      <c r="E127">
        <v>3.3124980315411117</v>
      </c>
    </row>
    <row r="133" spans="1:13" s="52" customFormat="1" ht="60" x14ac:dyDescent="0.25">
      <c r="A133" s="52" t="s">
        <v>2</v>
      </c>
      <c r="B133" s="52" t="s">
        <v>3</v>
      </c>
      <c r="C133" s="52" t="s">
        <v>70</v>
      </c>
      <c r="D133" s="52" t="s">
        <v>72</v>
      </c>
      <c r="E133" s="52" t="s">
        <v>73</v>
      </c>
      <c r="F133" s="52" t="s">
        <v>74</v>
      </c>
      <c r="G133" s="52" t="s">
        <v>75</v>
      </c>
      <c r="H133" s="52" t="s">
        <v>76</v>
      </c>
      <c r="I133" s="52" t="s">
        <v>89</v>
      </c>
      <c r="J133" s="52" t="s">
        <v>90</v>
      </c>
      <c r="K133" s="52" t="s">
        <v>91</v>
      </c>
      <c r="L133" s="52" t="s">
        <v>92</v>
      </c>
      <c r="M133" s="52" t="s">
        <v>93</v>
      </c>
    </row>
    <row r="134" spans="1:13" x14ac:dyDescent="0.25">
      <c r="A134" t="s">
        <v>13</v>
      </c>
      <c r="B134" t="s">
        <v>14</v>
      </c>
      <c r="C134">
        <v>18</v>
      </c>
      <c r="D134">
        <v>61.111111111111001</v>
      </c>
      <c r="E134">
        <v>5.1111111111111001</v>
      </c>
      <c r="F134">
        <v>13.555555555555999</v>
      </c>
      <c r="G134">
        <v>18.666666666666998</v>
      </c>
      <c r="H134">
        <v>79.777777777777999</v>
      </c>
      <c r="I134">
        <v>4.0751830536606004</v>
      </c>
      <c r="J134">
        <v>0.94588509883009997</v>
      </c>
      <c r="K134">
        <v>1.8894655021475</v>
      </c>
      <c r="L134">
        <v>2.2346060172405</v>
      </c>
      <c r="M134">
        <v>5.8048636107645999</v>
      </c>
    </row>
    <row r="135" spans="1:13" x14ac:dyDescent="0.25">
      <c r="A135" t="s">
        <v>12</v>
      </c>
      <c r="B135" t="s">
        <v>14</v>
      </c>
      <c r="C135">
        <v>18</v>
      </c>
      <c r="D135">
        <v>62.888888888888999</v>
      </c>
      <c r="E135">
        <v>8.2222222222222001</v>
      </c>
      <c r="F135">
        <v>2.8888888888888999</v>
      </c>
      <c r="G135">
        <v>11.111111111111001</v>
      </c>
      <c r="H135">
        <v>74</v>
      </c>
      <c r="I135">
        <v>7.1715163203193999</v>
      </c>
      <c r="J135">
        <v>1.5997458040632999</v>
      </c>
      <c r="K135">
        <v>0.8120372544051</v>
      </c>
      <c r="L135">
        <v>1.9817614283134</v>
      </c>
      <c r="M135">
        <v>8.1344904352099991</v>
      </c>
    </row>
    <row r="136" spans="1:13" x14ac:dyDescent="0.25">
      <c r="A136" t="s">
        <v>11</v>
      </c>
      <c r="B136" t="s">
        <v>14</v>
      </c>
      <c r="C136">
        <v>18</v>
      </c>
      <c r="D136">
        <v>40</v>
      </c>
      <c r="E136">
        <v>8.7777777777777999</v>
      </c>
      <c r="F136">
        <v>3.4444444444443998</v>
      </c>
      <c r="G136">
        <v>12.222222222221999</v>
      </c>
      <c r="H136">
        <v>52.222222222222001</v>
      </c>
      <c r="I136">
        <v>6.2622429108514996</v>
      </c>
      <c r="J136">
        <v>1.3049817957700001</v>
      </c>
      <c r="K136">
        <v>0.66284306555700001</v>
      </c>
      <c r="L136">
        <v>1.5915535953176001</v>
      </c>
      <c r="M136">
        <v>7.134357428575</v>
      </c>
    </row>
    <row r="138" spans="1:13" x14ac:dyDescent="0.25">
      <c r="A138" t="s">
        <v>13</v>
      </c>
      <c r="B138" t="s">
        <v>43</v>
      </c>
      <c r="C138">
        <v>18</v>
      </c>
      <c r="D138">
        <v>58.111111111111001</v>
      </c>
      <c r="E138">
        <v>4.2222222222222001</v>
      </c>
      <c r="F138">
        <v>14.666666666667</v>
      </c>
      <c r="G138">
        <v>18.888888888888999</v>
      </c>
      <c r="H138">
        <v>77</v>
      </c>
      <c r="I138">
        <v>6.5168905176380996</v>
      </c>
      <c r="J138">
        <v>0.79028230066359995</v>
      </c>
      <c r="K138">
        <v>2.7055981663780999</v>
      </c>
      <c r="L138">
        <v>3.0560011558625999</v>
      </c>
      <c r="M138">
        <v>8.5470630968596009</v>
      </c>
    </row>
    <row r="139" spans="1:13" x14ac:dyDescent="0.25">
      <c r="A139" t="s">
        <v>12</v>
      </c>
      <c r="B139" t="s">
        <v>43</v>
      </c>
      <c r="C139">
        <v>18</v>
      </c>
      <c r="D139">
        <v>68</v>
      </c>
      <c r="E139">
        <v>7.6666666666666998</v>
      </c>
      <c r="F139">
        <v>1.4444444444444</v>
      </c>
      <c r="G139">
        <v>9.1111111111111001</v>
      </c>
      <c r="H139">
        <v>77.111111111111001</v>
      </c>
      <c r="I139">
        <v>7.9541167866841</v>
      </c>
      <c r="J139">
        <v>1.1687656188883</v>
      </c>
      <c r="K139">
        <v>0.50631452044089997</v>
      </c>
      <c r="L139">
        <v>1.4661516227775</v>
      </c>
      <c r="M139">
        <v>8.7046261041846993</v>
      </c>
    </row>
    <row r="140" spans="1:13" x14ac:dyDescent="0.25">
      <c r="A140" t="s">
        <v>11</v>
      </c>
      <c r="B140" t="s">
        <v>43</v>
      </c>
      <c r="C140">
        <v>18</v>
      </c>
      <c r="D140">
        <v>28.777777777777999</v>
      </c>
      <c r="E140">
        <v>5.5555555555555998</v>
      </c>
      <c r="F140">
        <v>2.5555555555556002</v>
      </c>
      <c r="G140">
        <v>8.1111111111111001</v>
      </c>
      <c r="H140">
        <v>36.888888888888999</v>
      </c>
      <c r="I140">
        <v>4.7172022529391997</v>
      </c>
      <c r="J140">
        <v>1.2478012615719001</v>
      </c>
      <c r="K140">
        <v>0.47980267064659998</v>
      </c>
      <c r="L140">
        <v>1.4860767511757</v>
      </c>
      <c r="M140">
        <v>5.4884840156571002</v>
      </c>
    </row>
    <row r="147" spans="1:10" x14ac:dyDescent="0.25">
      <c r="A147" t="s">
        <v>2</v>
      </c>
      <c r="B147" t="s">
        <v>70</v>
      </c>
      <c r="C147" t="s">
        <v>153</v>
      </c>
      <c r="D147" t="s">
        <v>154</v>
      </c>
      <c r="E147" t="s">
        <v>155</v>
      </c>
      <c r="F147" t="s">
        <v>156</v>
      </c>
      <c r="G147" t="s">
        <v>157</v>
      </c>
      <c r="H147" t="s">
        <v>158</v>
      </c>
      <c r="I147" t="s">
        <v>159</v>
      </c>
      <c r="J147" t="s">
        <v>160</v>
      </c>
    </row>
    <row r="148" spans="1:10" x14ac:dyDescent="0.25">
      <c r="A148" t="s">
        <v>13</v>
      </c>
      <c r="B148">
        <v>15</v>
      </c>
      <c r="C148">
        <v>522.40899999999999</v>
      </c>
      <c r="D148">
        <v>475.61900000000003</v>
      </c>
      <c r="E148">
        <v>652.596</v>
      </c>
      <c r="F148">
        <v>1650.6242373</v>
      </c>
      <c r="G148">
        <v>88.512500535000001</v>
      </c>
      <c r="H148">
        <v>22.833833179999999</v>
      </c>
      <c r="I148">
        <v>40.949540349000003</v>
      </c>
      <c r="J148">
        <v>82.894039316000004</v>
      </c>
    </row>
    <row r="149" spans="1:10" x14ac:dyDescent="0.25">
      <c r="A149" t="s">
        <v>12</v>
      </c>
      <c r="B149">
        <v>15</v>
      </c>
      <c r="C149">
        <v>338.95</v>
      </c>
      <c r="D149">
        <v>395.22699999999998</v>
      </c>
      <c r="E149">
        <v>537.59699999999998</v>
      </c>
      <c r="F149">
        <v>1271.7742218999999</v>
      </c>
      <c r="G149">
        <v>33.441081777000001</v>
      </c>
      <c r="H149">
        <v>53.593117915999997</v>
      </c>
      <c r="I149">
        <v>54.702953114000003</v>
      </c>
      <c r="J149">
        <v>132.32567331999999</v>
      </c>
    </row>
    <row r="150" spans="1:10" x14ac:dyDescent="0.25">
      <c r="A150" t="s">
        <v>11</v>
      </c>
      <c r="B150">
        <v>15</v>
      </c>
      <c r="C150">
        <v>269.90699999999998</v>
      </c>
      <c r="D150">
        <v>356.20299999999997</v>
      </c>
      <c r="E150">
        <v>512.86099999999999</v>
      </c>
      <c r="F150">
        <v>1138.9706352999999</v>
      </c>
      <c r="G150">
        <v>90.950901977000001</v>
      </c>
      <c r="H150">
        <v>102.61280247000001</v>
      </c>
      <c r="I150">
        <v>160.09419867</v>
      </c>
      <c r="J150">
        <v>352.36703931</v>
      </c>
    </row>
  </sheetData>
  <sortState xmlns:xlrd2="http://schemas.microsoft.com/office/spreadsheetml/2017/richdata2" ref="A134:M139">
    <sortCondition ref="B134:B139"/>
  </sortState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A1452-7AFF-4F10-A84F-218C119C588B}">
  <dimension ref="A1:AD119"/>
  <sheetViews>
    <sheetView workbookViewId="0">
      <selection activeCell="A28" sqref="A28"/>
    </sheetView>
  </sheetViews>
  <sheetFormatPr defaultRowHeight="15" x14ac:dyDescent="0.25"/>
  <cols>
    <col min="1" max="1" width="22.7109375" style="58" customWidth="1"/>
    <col min="2" max="4" width="9.28515625" style="58" bestFit="1" customWidth="1"/>
    <col min="5" max="5" width="9.85546875" style="58" customWidth="1"/>
    <col min="6" max="6" width="9.5703125" style="58" bestFit="1" customWidth="1"/>
    <col min="7" max="12" width="9.42578125" style="58" bestFit="1" customWidth="1"/>
    <col min="13" max="13" width="9.42578125" style="58" customWidth="1"/>
    <col min="14" max="14" width="9.5703125" style="58" bestFit="1" customWidth="1"/>
    <col min="15" max="15" width="10.5703125" style="58" bestFit="1" customWidth="1"/>
    <col min="16" max="17" width="9.5703125" style="58" bestFit="1" customWidth="1"/>
    <col min="18" max="25" width="9.42578125" style="58" bestFit="1" customWidth="1"/>
    <col min="26" max="28" width="9.5703125" style="58" bestFit="1" customWidth="1"/>
    <col min="29" max="29" width="9.42578125" style="58" bestFit="1" customWidth="1"/>
    <col min="30" max="16384" width="9.140625" style="58"/>
  </cols>
  <sheetData>
    <row r="1" spans="1:30" x14ac:dyDescent="0.25">
      <c r="A1" s="58" t="s">
        <v>134</v>
      </c>
    </row>
    <row r="2" spans="1:30" x14ac:dyDescent="0.25">
      <c r="B2" s="67" t="s">
        <v>140</v>
      </c>
      <c r="C2" s="67"/>
      <c r="D2" s="67" t="s">
        <v>161</v>
      </c>
      <c r="E2" s="67"/>
      <c r="F2" s="66" t="s">
        <v>143</v>
      </c>
      <c r="G2" s="66"/>
      <c r="H2" s="66" t="s">
        <v>144</v>
      </c>
      <c r="I2" s="66"/>
      <c r="J2" s="66" t="s">
        <v>146</v>
      </c>
      <c r="K2" s="66"/>
      <c r="L2" s="67" t="s">
        <v>147</v>
      </c>
      <c r="M2" s="67"/>
      <c r="N2" s="66" t="s">
        <v>148</v>
      </c>
      <c r="O2" s="66"/>
      <c r="P2" s="66" t="s">
        <v>149</v>
      </c>
      <c r="Q2" s="66"/>
      <c r="R2" s="66" t="s">
        <v>150</v>
      </c>
      <c r="S2" s="66"/>
      <c r="T2" s="66" t="s">
        <v>151</v>
      </c>
      <c r="U2" s="66"/>
    </row>
    <row r="3" spans="1:30" x14ac:dyDescent="0.25">
      <c r="B3" s="58" t="s">
        <v>141</v>
      </c>
      <c r="C3" s="58" t="s">
        <v>142</v>
      </c>
      <c r="D3" s="59" t="s">
        <v>141</v>
      </c>
      <c r="E3" s="59" t="s">
        <v>142</v>
      </c>
      <c r="F3" s="58" t="s">
        <v>141</v>
      </c>
      <c r="G3" s="58" t="s">
        <v>142</v>
      </c>
      <c r="H3" s="58" t="s">
        <v>141</v>
      </c>
      <c r="I3" s="58" t="s">
        <v>142</v>
      </c>
      <c r="J3" s="58" t="s">
        <v>141</v>
      </c>
      <c r="K3" s="58" t="s">
        <v>142</v>
      </c>
      <c r="L3" s="58" t="s">
        <v>141</v>
      </c>
      <c r="M3" s="58" t="s">
        <v>142</v>
      </c>
      <c r="N3" s="58" t="s">
        <v>141</v>
      </c>
      <c r="O3" s="58" t="s">
        <v>142</v>
      </c>
      <c r="P3" s="59" t="s">
        <v>141</v>
      </c>
      <c r="Q3" s="59"/>
      <c r="R3" s="59" t="s">
        <v>141</v>
      </c>
      <c r="S3" s="58" t="s">
        <v>142</v>
      </c>
      <c r="T3" s="59" t="s">
        <v>141</v>
      </c>
      <c r="U3" s="58" t="s">
        <v>142</v>
      </c>
    </row>
    <row r="4" spans="1:30" x14ac:dyDescent="0.25">
      <c r="A4" s="59" t="s">
        <v>179</v>
      </c>
      <c r="B4" s="55">
        <v>57.9</v>
      </c>
      <c r="C4" s="57" t="s">
        <v>145</v>
      </c>
      <c r="D4" s="56">
        <v>101.5586</v>
      </c>
      <c r="E4" s="57" t="s">
        <v>145</v>
      </c>
      <c r="F4" s="55">
        <v>50.4221</v>
      </c>
      <c r="G4" s="57" t="s">
        <v>145</v>
      </c>
      <c r="H4" s="55">
        <v>7.2195</v>
      </c>
      <c r="I4" s="57">
        <v>1.2999999999999999E-3</v>
      </c>
      <c r="J4" s="55">
        <v>58.6815</v>
      </c>
      <c r="K4" s="57" t="s">
        <v>145</v>
      </c>
      <c r="L4" s="55">
        <v>70.210899999999995</v>
      </c>
      <c r="M4" s="57" t="s">
        <v>145</v>
      </c>
      <c r="N4" s="55">
        <v>22.94</v>
      </c>
      <c r="O4" s="57" t="s">
        <v>145</v>
      </c>
      <c r="P4" s="56">
        <v>2.9661</v>
      </c>
      <c r="Q4" s="56">
        <v>0.05</v>
      </c>
      <c r="R4" s="56">
        <v>0.79890000000000005</v>
      </c>
      <c r="S4" s="56">
        <v>0.58069999999999999</v>
      </c>
      <c r="T4" s="56">
        <v>1.4237</v>
      </c>
      <c r="U4" s="56">
        <v>0.25219999999999998</v>
      </c>
    </row>
    <row r="5" spans="1:30" x14ac:dyDescent="0.25">
      <c r="A5" s="59" t="s">
        <v>180</v>
      </c>
      <c r="B5" s="55">
        <v>21.3</v>
      </c>
      <c r="C5" s="57" t="s">
        <v>145</v>
      </c>
      <c r="D5" s="56">
        <v>2.7326000000000001</v>
      </c>
      <c r="E5" s="56">
        <v>0.1023</v>
      </c>
      <c r="F5" s="55">
        <v>0.52680000000000005</v>
      </c>
      <c r="G5" s="55">
        <v>0.47010000000000002</v>
      </c>
      <c r="H5" s="55">
        <v>5.9119000000000002</v>
      </c>
      <c r="I5" s="57">
        <v>1.7299999999999999E-2</v>
      </c>
      <c r="J5" s="55">
        <v>0.31719999999999998</v>
      </c>
      <c r="K5" s="55">
        <v>0.57489999999999997</v>
      </c>
      <c r="L5" s="55">
        <v>3.0781000000000001</v>
      </c>
      <c r="M5" s="55">
        <v>8.3299999999999999E-2</v>
      </c>
      <c r="N5" s="55">
        <v>18.510000000000002</v>
      </c>
      <c r="O5" s="57" t="s">
        <v>145</v>
      </c>
      <c r="P5" s="55"/>
      <c r="Q5" s="55"/>
      <c r="R5" s="55"/>
      <c r="S5" s="55"/>
      <c r="T5" s="55"/>
      <c r="U5" s="55"/>
    </row>
    <row r="6" spans="1:30" x14ac:dyDescent="0.25">
      <c r="A6" s="59" t="s">
        <v>165</v>
      </c>
      <c r="B6" s="55">
        <v>0.1</v>
      </c>
      <c r="C6" s="55">
        <v>0.80379999999999996</v>
      </c>
      <c r="D6" s="56">
        <v>7.2077</v>
      </c>
      <c r="E6" s="57">
        <v>8.8999999999999999E-3</v>
      </c>
      <c r="F6" s="55">
        <v>0.15529999999999999</v>
      </c>
      <c r="G6" s="55">
        <v>0.6946</v>
      </c>
      <c r="H6" s="55">
        <v>2.5905999999999998</v>
      </c>
      <c r="I6" s="55">
        <v>0.1115</v>
      </c>
      <c r="J6" s="55">
        <v>4.43</v>
      </c>
      <c r="K6" s="57">
        <v>3.85E-2</v>
      </c>
      <c r="L6" s="55">
        <v>2.3599999999999999E-2</v>
      </c>
      <c r="M6" s="55">
        <v>0.87839999999999996</v>
      </c>
      <c r="N6" s="55">
        <v>2.57</v>
      </c>
      <c r="O6" s="55">
        <v>0.112</v>
      </c>
      <c r="P6" s="55"/>
      <c r="Q6" s="55"/>
      <c r="R6" s="55"/>
      <c r="S6" s="55"/>
      <c r="T6" s="55"/>
      <c r="U6" s="55"/>
    </row>
    <row r="7" spans="1:30" x14ac:dyDescent="0.25">
      <c r="A7" s="59" t="s">
        <v>181</v>
      </c>
      <c r="B7" s="55">
        <v>18.8</v>
      </c>
      <c r="C7" s="57" t="s">
        <v>145</v>
      </c>
      <c r="D7" s="56">
        <v>0.76959999999999995</v>
      </c>
      <c r="E7" s="56">
        <v>0.4667</v>
      </c>
      <c r="F7" s="55">
        <v>5.0709</v>
      </c>
      <c r="G7" s="57">
        <v>8.5000000000000006E-3</v>
      </c>
      <c r="H7" s="55">
        <v>0.79279999999999995</v>
      </c>
      <c r="I7" s="55">
        <v>0.45619999999999999</v>
      </c>
      <c r="J7" s="55">
        <v>0.30669999999999997</v>
      </c>
      <c r="K7" s="55">
        <v>0.73680000000000001</v>
      </c>
      <c r="L7" s="55">
        <v>7.5237999999999996</v>
      </c>
      <c r="M7" s="57">
        <v>1E-3</v>
      </c>
      <c r="N7" s="55">
        <v>8.39</v>
      </c>
      <c r="O7" s="57">
        <v>4.0000000000000002E-4</v>
      </c>
      <c r="P7" s="55"/>
      <c r="Q7" s="55"/>
      <c r="R7" s="55"/>
      <c r="S7" s="55"/>
      <c r="T7" s="55"/>
      <c r="U7" s="55"/>
    </row>
    <row r="8" spans="1:30" x14ac:dyDescent="0.25">
      <c r="A8" s="59" t="s">
        <v>182</v>
      </c>
      <c r="B8" s="55">
        <v>1</v>
      </c>
      <c r="C8" s="55">
        <v>0.37040000000000001</v>
      </c>
      <c r="D8" s="56">
        <v>2.2360000000000002</v>
      </c>
      <c r="E8" s="56">
        <v>0.1137</v>
      </c>
      <c r="F8" s="55">
        <v>0.15529999999999999</v>
      </c>
      <c r="G8" s="55">
        <v>0.85650000000000004</v>
      </c>
      <c r="H8" s="55">
        <v>2.3971</v>
      </c>
      <c r="I8" s="55">
        <v>9.7699999999999995E-2</v>
      </c>
      <c r="J8" s="55">
        <v>3.0537999999999998</v>
      </c>
      <c r="K8" s="55">
        <v>5.2900000000000003E-2</v>
      </c>
      <c r="L8" s="55">
        <v>0.86939999999999995</v>
      </c>
      <c r="M8" s="55">
        <v>0.42320000000000002</v>
      </c>
      <c r="N8" s="55">
        <v>2.0099999999999998</v>
      </c>
      <c r="O8" s="55">
        <v>0.14000000000000001</v>
      </c>
      <c r="P8" s="55"/>
      <c r="Q8" s="55"/>
      <c r="R8" s="55"/>
      <c r="S8" s="55"/>
      <c r="T8" s="55"/>
      <c r="U8" s="55"/>
    </row>
    <row r="9" spans="1:30" x14ac:dyDescent="0.25">
      <c r="A9" s="59" t="s">
        <v>183</v>
      </c>
      <c r="B9" s="55">
        <v>2.4</v>
      </c>
      <c r="C9" s="55">
        <v>0.12330000000000001</v>
      </c>
      <c r="D9" s="56">
        <v>2.4470000000000001</v>
      </c>
      <c r="E9" s="56">
        <v>0.12180000000000001</v>
      </c>
      <c r="F9" s="55">
        <v>0.52680000000000005</v>
      </c>
      <c r="G9" s="55">
        <v>0.47010000000000002</v>
      </c>
      <c r="H9" s="55">
        <v>2.8157999999999999</v>
      </c>
      <c r="I9" s="55">
        <v>9.7299999999999998E-2</v>
      </c>
      <c r="J9" s="55">
        <v>0.14849999999999999</v>
      </c>
      <c r="K9" s="55">
        <v>0.70099999999999996</v>
      </c>
      <c r="L9" s="55">
        <v>2.0950000000000002</v>
      </c>
      <c r="M9" s="55">
        <v>0.15179999999999999</v>
      </c>
      <c r="N9" s="56">
        <v>0.15</v>
      </c>
      <c r="O9" s="55">
        <v>0.9</v>
      </c>
      <c r="P9" s="55"/>
      <c r="Q9" s="55"/>
      <c r="R9" s="55"/>
      <c r="S9" s="55"/>
      <c r="T9" s="55"/>
      <c r="U9" s="55"/>
    </row>
    <row r="10" spans="1:30" x14ac:dyDescent="0.25">
      <c r="A10" s="59" t="s">
        <v>184</v>
      </c>
      <c r="B10" s="55">
        <v>4.0236000000000001</v>
      </c>
      <c r="C10" s="57">
        <v>2.1700000000000001E-2</v>
      </c>
      <c r="D10" s="56">
        <v>2.9500999999999999</v>
      </c>
      <c r="E10" s="56">
        <v>5.8200000000000002E-2</v>
      </c>
      <c r="F10" s="55">
        <v>2.9834000000000001</v>
      </c>
      <c r="G10" s="57">
        <v>5.6399999999999999E-2</v>
      </c>
      <c r="H10" s="55">
        <v>0.28620000000000001</v>
      </c>
      <c r="I10" s="55">
        <v>0.75190000000000001</v>
      </c>
      <c r="J10" s="55">
        <v>0.69689999999999996</v>
      </c>
      <c r="K10" s="55">
        <v>0.50119999999999998</v>
      </c>
      <c r="L10" s="55">
        <v>2.3378000000000001</v>
      </c>
      <c r="M10" s="55">
        <v>0.1033</v>
      </c>
      <c r="N10" s="55">
        <v>0.65</v>
      </c>
      <c r="O10" s="55">
        <v>0.52</v>
      </c>
      <c r="P10" s="55"/>
      <c r="Q10" s="55"/>
      <c r="R10" s="55"/>
      <c r="S10" s="55"/>
      <c r="T10" s="55"/>
      <c r="U10" s="55"/>
    </row>
    <row r="16" spans="1:30" s="61" customFormat="1" ht="60" x14ac:dyDescent="0.25">
      <c r="A16" s="52" t="s">
        <v>2</v>
      </c>
      <c r="B16" s="52" t="s">
        <v>3</v>
      </c>
      <c r="C16" s="52" t="s">
        <v>4</v>
      </c>
      <c r="D16" s="52" t="s">
        <v>47</v>
      </c>
      <c r="E16" s="52" t="s">
        <v>70</v>
      </c>
      <c r="F16" s="52" t="s">
        <v>71</v>
      </c>
      <c r="G16" s="52" t="s">
        <v>72</v>
      </c>
      <c r="H16" s="52" t="s">
        <v>73</v>
      </c>
      <c r="I16" s="52" t="s">
        <v>74</v>
      </c>
      <c r="J16" s="52" t="s">
        <v>75</v>
      </c>
      <c r="K16" s="52" t="s">
        <v>76</v>
      </c>
      <c r="L16" s="52" t="s">
        <v>77</v>
      </c>
      <c r="N16" s="61" t="s">
        <v>79</v>
      </c>
      <c r="O16" s="52" t="s">
        <v>82</v>
      </c>
      <c r="P16" s="52" t="s">
        <v>83</v>
      </c>
      <c r="Q16" s="52" t="s">
        <v>85</v>
      </c>
      <c r="R16" s="61" t="s">
        <v>88</v>
      </c>
      <c r="S16" s="52" t="s">
        <v>88</v>
      </c>
      <c r="T16" s="52" t="s">
        <v>89</v>
      </c>
      <c r="U16" s="52" t="s">
        <v>90</v>
      </c>
      <c r="V16" s="52" t="s">
        <v>91</v>
      </c>
      <c r="W16" s="52" t="s">
        <v>92</v>
      </c>
      <c r="X16" s="52" t="s">
        <v>93</v>
      </c>
      <c r="Y16" s="52" t="s">
        <v>94</v>
      </c>
      <c r="Z16" s="52" t="s">
        <v>185</v>
      </c>
      <c r="AA16" s="52" t="s">
        <v>99</v>
      </c>
      <c r="AB16" s="52" t="s">
        <v>100</v>
      </c>
      <c r="AC16" s="52" t="s">
        <v>102</v>
      </c>
      <c r="AD16" s="61" t="s">
        <v>104</v>
      </c>
    </row>
    <row r="17" spans="1:30" s="60" customFormat="1" x14ac:dyDescent="0.25">
      <c r="A17" t="s">
        <v>13</v>
      </c>
      <c r="B17" t="s">
        <v>14</v>
      </c>
      <c r="C17" t="s">
        <v>117</v>
      </c>
      <c r="D17" t="s">
        <v>16</v>
      </c>
      <c r="E17">
        <v>10</v>
      </c>
      <c r="F17">
        <v>4</v>
      </c>
      <c r="G17">
        <v>69.599999999999994</v>
      </c>
      <c r="H17">
        <v>5</v>
      </c>
      <c r="I17">
        <v>17.600000000000001</v>
      </c>
      <c r="J17">
        <v>22.6</v>
      </c>
      <c r="K17">
        <v>92.2</v>
      </c>
      <c r="L17">
        <v>3.85</v>
      </c>
      <c r="N17">
        <v>85.128709492810799</v>
      </c>
      <c r="O17">
        <v>522.40948165999998</v>
      </c>
      <c r="P17">
        <v>475.6188588</v>
      </c>
      <c r="Q17">
        <v>652.59589690000007</v>
      </c>
      <c r="R17" s="60">
        <v>0.95219045713899997</v>
      </c>
      <c r="S17">
        <v>0.5163977794943222</v>
      </c>
      <c r="T17">
        <v>2.5438378704451874</v>
      </c>
      <c r="U17">
        <v>0.9067647005823628</v>
      </c>
      <c r="V17">
        <v>1.6000000000000005</v>
      </c>
      <c r="W17">
        <v>1.9333333333333338</v>
      </c>
      <c r="X17">
        <v>1.4126413400278079</v>
      </c>
      <c r="Y17">
        <v>0.28915585954829121</v>
      </c>
      <c r="Z17">
        <v>5.6970789448913335</v>
      </c>
      <c r="AA17">
        <v>161.9862734112115</v>
      </c>
      <c r="AB17">
        <v>37.780616554558023</v>
      </c>
      <c r="AC17">
        <v>68.934685280425441</v>
      </c>
      <c r="AD17" s="60">
        <v>7.0955579722457003</v>
      </c>
    </row>
    <row r="18" spans="1:30" s="60" customFormat="1" x14ac:dyDescent="0.25">
      <c r="A18" t="s">
        <v>13</v>
      </c>
      <c r="B18" t="s">
        <v>14</v>
      </c>
      <c r="C18" t="s">
        <v>117</v>
      </c>
      <c r="D18" t="s">
        <v>1</v>
      </c>
      <c r="E18">
        <v>2</v>
      </c>
      <c r="F18">
        <v>48</v>
      </c>
      <c r="G18">
        <v>34</v>
      </c>
      <c r="H18">
        <v>1</v>
      </c>
      <c r="I18">
        <v>0</v>
      </c>
      <c r="J18">
        <v>1</v>
      </c>
      <c r="K18">
        <v>35</v>
      </c>
      <c r="L18">
        <v>0</v>
      </c>
      <c r="N18">
        <v>102.1682537389176</v>
      </c>
      <c r="O18"/>
      <c r="P18"/>
      <c r="Q18"/>
      <c r="R18" s="60">
        <v>4</v>
      </c>
      <c r="S18">
        <v>8</v>
      </c>
      <c r="T18">
        <v>5.9999999999999991</v>
      </c>
      <c r="U18">
        <v>1</v>
      </c>
      <c r="V18">
        <v>0</v>
      </c>
      <c r="W18">
        <v>1</v>
      </c>
      <c r="X18">
        <v>6.9999999999999991</v>
      </c>
      <c r="Y18">
        <v>0</v>
      </c>
      <c r="Z18">
        <v>15.359992579690399</v>
      </c>
      <c r="AA18"/>
      <c r="AB18"/>
      <c r="AC18"/>
    </row>
    <row r="19" spans="1:30" s="60" customFormat="1" x14ac:dyDescent="0.25">
      <c r="A19" t="s">
        <v>13</v>
      </c>
      <c r="B19" t="s">
        <v>14</v>
      </c>
      <c r="C19" t="s">
        <v>45</v>
      </c>
      <c r="D19" t="s">
        <v>16</v>
      </c>
      <c r="E19">
        <v>5</v>
      </c>
      <c r="F19">
        <v>8.4</v>
      </c>
      <c r="G19">
        <v>64</v>
      </c>
      <c r="H19">
        <v>8</v>
      </c>
      <c r="I19">
        <v>13.6</v>
      </c>
      <c r="J19">
        <v>21.6</v>
      </c>
      <c r="K19">
        <v>85.6</v>
      </c>
      <c r="L19">
        <v>3.5</v>
      </c>
      <c r="N19">
        <v>72.283018012100314</v>
      </c>
      <c r="O19"/>
      <c r="P19"/>
      <c r="Q19"/>
      <c r="R19" s="60">
        <v>2.4979991993594002</v>
      </c>
      <c r="S19">
        <v>1.8330302779823358</v>
      </c>
      <c r="T19">
        <v>2.8284271247461903</v>
      </c>
      <c r="U19">
        <v>2.1908902300206643</v>
      </c>
      <c r="V19">
        <v>2.7129319932501068</v>
      </c>
      <c r="W19">
        <v>0.97979589711327209</v>
      </c>
      <c r="X19">
        <v>3.4871191548325342</v>
      </c>
      <c r="Y19">
        <v>0.22360679774997896</v>
      </c>
      <c r="Z19">
        <v>19.017650909377039</v>
      </c>
      <c r="AA19"/>
      <c r="AB19"/>
      <c r="AC19"/>
    </row>
    <row r="20" spans="1:30" s="60" customFormat="1" x14ac:dyDescent="0.25">
      <c r="A20" t="s">
        <v>13</v>
      </c>
      <c r="B20" t="s">
        <v>14</v>
      </c>
      <c r="C20" t="s">
        <v>45</v>
      </c>
      <c r="D20" t="s">
        <v>1</v>
      </c>
      <c r="E20">
        <v>1</v>
      </c>
      <c r="F20">
        <v>76</v>
      </c>
      <c r="G20">
        <v>16</v>
      </c>
      <c r="H20">
        <v>0</v>
      </c>
      <c r="I20">
        <v>0</v>
      </c>
      <c r="J20">
        <v>0</v>
      </c>
      <c r="K20">
        <v>16</v>
      </c>
      <c r="L20">
        <v>0</v>
      </c>
      <c r="N20">
        <v>25.3855285095032</v>
      </c>
      <c r="O20"/>
      <c r="P20"/>
      <c r="Q20"/>
      <c r="S20"/>
      <c r="T20"/>
      <c r="U20"/>
      <c r="V20"/>
      <c r="W20"/>
      <c r="X20"/>
      <c r="Y20"/>
      <c r="Z20"/>
      <c r="AA20"/>
      <c r="AB20"/>
      <c r="AC20"/>
    </row>
    <row r="21" spans="1:30" s="60" customFormat="1" x14ac:dyDescent="0.25">
      <c r="A21" t="s">
        <v>13</v>
      </c>
      <c r="B21" t="s">
        <v>43</v>
      </c>
      <c r="C21" t="s">
        <v>117</v>
      </c>
      <c r="D21" t="s">
        <v>16</v>
      </c>
      <c r="E21">
        <v>10</v>
      </c>
      <c r="F21">
        <v>6.8</v>
      </c>
      <c r="G21">
        <v>66.400000000000006</v>
      </c>
      <c r="H21">
        <v>5.2</v>
      </c>
      <c r="I21">
        <v>20.399999999999999</v>
      </c>
      <c r="J21">
        <v>25.6</v>
      </c>
      <c r="K21">
        <v>92</v>
      </c>
      <c r="L21">
        <v>3.3</v>
      </c>
      <c r="N21">
        <v>48.333524671095439</v>
      </c>
      <c r="O21"/>
      <c r="P21"/>
      <c r="Q21"/>
      <c r="R21" s="60">
        <v>0.74236858171069997</v>
      </c>
      <c r="S21">
        <v>2.8936712552280937</v>
      </c>
      <c r="T21">
        <v>2.8095076674273955</v>
      </c>
      <c r="U21">
        <v>0.99777530313971774</v>
      </c>
      <c r="V21">
        <v>3.0081371127142607</v>
      </c>
      <c r="W21">
        <v>3.1524241113431706</v>
      </c>
      <c r="X21">
        <v>3.5901098714230022</v>
      </c>
      <c r="Y21">
        <v>0.32659863237109044</v>
      </c>
      <c r="Z21">
        <v>4.0660956716708601</v>
      </c>
      <c r="AA21"/>
      <c r="AB21"/>
      <c r="AC21"/>
    </row>
    <row r="22" spans="1:30" s="60" customFormat="1" x14ac:dyDescent="0.25">
      <c r="A22" t="s">
        <v>13</v>
      </c>
      <c r="B22" t="s">
        <v>43</v>
      </c>
      <c r="C22" t="s">
        <v>117</v>
      </c>
      <c r="D22" t="s">
        <v>1</v>
      </c>
      <c r="E22">
        <v>2</v>
      </c>
      <c r="F22">
        <v>100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N22">
        <v>14.672992600100155</v>
      </c>
      <c r="O22"/>
      <c r="P22"/>
      <c r="Q22"/>
      <c r="R22" s="60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8.9520654045402459</v>
      </c>
      <c r="AA22"/>
      <c r="AB22"/>
      <c r="AC22"/>
    </row>
    <row r="23" spans="1:30" s="60" customFormat="1" x14ac:dyDescent="0.25">
      <c r="A23" t="s">
        <v>13</v>
      </c>
      <c r="B23" t="s">
        <v>43</v>
      </c>
      <c r="C23" t="s">
        <v>45</v>
      </c>
      <c r="D23" t="s">
        <v>16</v>
      </c>
      <c r="E23">
        <v>5</v>
      </c>
      <c r="F23">
        <v>5.6</v>
      </c>
      <c r="G23">
        <v>76</v>
      </c>
      <c r="H23">
        <v>4.8</v>
      </c>
      <c r="I23">
        <v>12</v>
      </c>
      <c r="J23">
        <v>16.8</v>
      </c>
      <c r="K23">
        <v>92.8</v>
      </c>
      <c r="L23">
        <v>2.8</v>
      </c>
      <c r="N23">
        <v>35.270335366123462</v>
      </c>
      <c r="O23"/>
      <c r="P23"/>
      <c r="Q23"/>
      <c r="R23" s="60">
        <v>1.0954451150103</v>
      </c>
      <c r="S23">
        <v>1.9390719429665315</v>
      </c>
      <c r="T23">
        <v>2.1908902300206643</v>
      </c>
      <c r="U23">
        <v>1.3564659966250534</v>
      </c>
      <c r="V23">
        <v>4.5607017003965513</v>
      </c>
      <c r="W23">
        <v>4.5869379764718854</v>
      </c>
      <c r="X23">
        <v>3.2619012860600174</v>
      </c>
      <c r="Y23">
        <v>0.6442049363362562</v>
      </c>
      <c r="Z23">
        <v>4.0511519761570369</v>
      </c>
      <c r="AA23"/>
      <c r="AB23"/>
      <c r="AC23"/>
    </row>
    <row r="24" spans="1:30" s="60" customFormat="1" x14ac:dyDescent="0.25">
      <c r="A24" t="s">
        <v>13</v>
      </c>
      <c r="B24" t="s">
        <v>43</v>
      </c>
      <c r="C24" t="s">
        <v>45</v>
      </c>
      <c r="D24" t="s">
        <v>1</v>
      </c>
      <c r="E24">
        <v>1</v>
      </c>
      <c r="F24">
        <v>100</v>
      </c>
      <c r="G24">
        <v>2</v>
      </c>
      <c r="H24">
        <v>0</v>
      </c>
      <c r="I24">
        <v>0</v>
      </c>
      <c r="J24">
        <v>0</v>
      </c>
      <c r="K24">
        <v>2</v>
      </c>
      <c r="L24">
        <v>0</v>
      </c>
      <c r="N24">
        <v>18.234003407155001</v>
      </c>
      <c r="O24"/>
      <c r="P24"/>
      <c r="Q24"/>
      <c r="S24"/>
      <c r="T24"/>
      <c r="U24"/>
      <c r="V24"/>
      <c r="W24"/>
      <c r="X24"/>
      <c r="Y24"/>
      <c r="Z24"/>
      <c r="AA24"/>
      <c r="AB24"/>
      <c r="AC24"/>
    </row>
    <row r="25" spans="1:30" s="60" customFormat="1" x14ac:dyDescent="0.25">
      <c r="A25" t="s">
        <v>11</v>
      </c>
      <c r="B25" t="s">
        <v>14</v>
      </c>
      <c r="C25" t="s">
        <v>117</v>
      </c>
      <c r="D25" t="s">
        <v>16</v>
      </c>
      <c r="E25">
        <v>10</v>
      </c>
      <c r="F25">
        <v>20</v>
      </c>
      <c r="G25">
        <v>44</v>
      </c>
      <c r="H25">
        <v>10.6</v>
      </c>
      <c r="I25">
        <v>4</v>
      </c>
      <c r="J25">
        <v>14.6</v>
      </c>
      <c r="K25">
        <v>58.6</v>
      </c>
      <c r="L25">
        <v>28.4</v>
      </c>
      <c r="N25">
        <v>34.393271469410152</v>
      </c>
      <c r="O25">
        <v>269.90741861999999</v>
      </c>
      <c r="P25">
        <v>356.2026055</v>
      </c>
      <c r="Q25">
        <v>512.86061118000009</v>
      </c>
      <c r="R25" s="60">
        <v>1.7888543819998</v>
      </c>
      <c r="S25">
        <v>5.2998951771604776</v>
      </c>
      <c r="T25">
        <v>8</v>
      </c>
      <c r="U25">
        <v>1.4621141466307537</v>
      </c>
      <c r="V25">
        <v>0.73029674334022143</v>
      </c>
      <c r="W25">
        <v>1.4922019523732928</v>
      </c>
      <c r="X25">
        <v>7.8827519165439774</v>
      </c>
      <c r="Y25">
        <v>7.7570040035513115</v>
      </c>
      <c r="Z25">
        <v>5.4330929279410807</v>
      </c>
      <c r="AA25">
        <v>100.50466337557333</v>
      </c>
      <c r="AB25">
        <v>108.80248336215614</v>
      </c>
      <c r="AC25">
        <v>172.95651491087975</v>
      </c>
      <c r="AD25" s="60">
        <v>19.337576123055999</v>
      </c>
    </row>
    <row r="26" spans="1:30" s="60" customFormat="1" x14ac:dyDescent="0.25">
      <c r="A26" t="s">
        <v>11</v>
      </c>
      <c r="B26" t="s">
        <v>14</v>
      </c>
      <c r="C26" t="s">
        <v>117</v>
      </c>
      <c r="D26" t="s">
        <v>1</v>
      </c>
      <c r="E26">
        <v>2</v>
      </c>
      <c r="F26">
        <v>58</v>
      </c>
      <c r="G26">
        <v>4</v>
      </c>
      <c r="H26">
        <v>0</v>
      </c>
      <c r="I26">
        <v>0</v>
      </c>
      <c r="J26">
        <v>0</v>
      </c>
      <c r="K26">
        <v>4</v>
      </c>
      <c r="L26">
        <v>12.5</v>
      </c>
      <c r="N26">
        <v>10.323938929332295</v>
      </c>
      <c r="O26"/>
      <c r="P26"/>
      <c r="Q26"/>
      <c r="R26" s="60">
        <v>30</v>
      </c>
      <c r="S26">
        <v>10</v>
      </c>
      <c r="T26">
        <v>0</v>
      </c>
      <c r="U26">
        <v>0</v>
      </c>
      <c r="V26">
        <v>0</v>
      </c>
      <c r="W26">
        <v>0</v>
      </c>
      <c r="X26">
        <v>0</v>
      </c>
      <c r="Y26">
        <v>12.5</v>
      </c>
      <c r="Z26">
        <v>3.0936966029995059</v>
      </c>
      <c r="AA26"/>
      <c r="AB26"/>
      <c r="AC26"/>
    </row>
    <row r="27" spans="1:30" s="60" customFormat="1" x14ac:dyDescent="0.25">
      <c r="A27" t="s">
        <v>11</v>
      </c>
      <c r="B27" t="s">
        <v>14</v>
      </c>
      <c r="C27" t="s">
        <v>45</v>
      </c>
      <c r="D27" t="s">
        <v>16</v>
      </c>
      <c r="E27">
        <v>5</v>
      </c>
      <c r="F27">
        <v>12</v>
      </c>
      <c r="G27">
        <v>54.4</v>
      </c>
      <c r="H27">
        <v>10.4</v>
      </c>
      <c r="I27">
        <v>4.4000000000000004</v>
      </c>
      <c r="J27">
        <v>14.8</v>
      </c>
      <c r="K27">
        <v>69.2</v>
      </c>
      <c r="L27">
        <v>36.619999999999997</v>
      </c>
      <c r="N27">
        <v>35.273188234412935</v>
      </c>
      <c r="O27"/>
      <c r="P27"/>
      <c r="Q27"/>
      <c r="R27" s="60">
        <v>0.97979589711329995</v>
      </c>
      <c r="S27">
        <v>4.5607017003965513</v>
      </c>
      <c r="T27">
        <v>6.5238025721200374</v>
      </c>
      <c r="U27">
        <v>1.6000000000000003</v>
      </c>
      <c r="V27">
        <v>1.4696938456699067</v>
      </c>
      <c r="W27">
        <v>1.3564659966250541</v>
      </c>
      <c r="X27">
        <v>6.1514225996918777</v>
      </c>
      <c r="Y27">
        <v>5.9961987959039513</v>
      </c>
      <c r="Z27">
        <v>6.4482412271766361</v>
      </c>
      <c r="AA27"/>
      <c r="AB27"/>
      <c r="AC27"/>
    </row>
    <row r="28" spans="1:30" s="60" customFormat="1" x14ac:dyDescent="0.25">
      <c r="A28" t="s">
        <v>11</v>
      </c>
      <c r="B28" t="s">
        <v>14</v>
      </c>
      <c r="C28" t="s">
        <v>45</v>
      </c>
      <c r="D28" t="s">
        <v>1</v>
      </c>
      <c r="E28">
        <v>1</v>
      </c>
      <c r="F28">
        <v>80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N28">
        <v>12.4781325094404</v>
      </c>
      <c r="O28"/>
      <c r="P28"/>
      <c r="Q28"/>
      <c r="S28"/>
      <c r="T28"/>
      <c r="U28"/>
      <c r="V28"/>
      <c r="W28"/>
      <c r="X28"/>
      <c r="Y28"/>
      <c r="Z28"/>
      <c r="AA28"/>
      <c r="AB28"/>
      <c r="AC28"/>
    </row>
    <row r="29" spans="1:30" s="60" customFormat="1" x14ac:dyDescent="0.25">
      <c r="A29" t="s">
        <v>11</v>
      </c>
      <c r="B29" t="s">
        <v>43</v>
      </c>
      <c r="C29" t="s">
        <v>117</v>
      </c>
      <c r="D29" t="s">
        <v>16</v>
      </c>
      <c r="E29">
        <v>10</v>
      </c>
      <c r="F29">
        <v>36.799999999999997</v>
      </c>
      <c r="G29">
        <v>38.799999999999997</v>
      </c>
      <c r="H29">
        <v>7.2</v>
      </c>
      <c r="I29">
        <v>3</v>
      </c>
      <c r="J29">
        <v>10.199999999999999</v>
      </c>
      <c r="K29">
        <v>49</v>
      </c>
      <c r="L29">
        <v>18.46</v>
      </c>
      <c r="N29">
        <v>30.027394359621372</v>
      </c>
      <c r="O29"/>
      <c r="P29"/>
      <c r="Q29"/>
      <c r="R29" s="60">
        <v>0.4</v>
      </c>
      <c r="S29">
        <v>3.1999999999999993</v>
      </c>
      <c r="T29">
        <v>5.0261538199922038</v>
      </c>
      <c r="U29">
        <v>1.7435595774162695</v>
      </c>
      <c r="V29">
        <v>0.68313005106397329</v>
      </c>
      <c r="W29">
        <v>2.0099751242241783</v>
      </c>
      <c r="X29">
        <v>5.6430882010158623</v>
      </c>
      <c r="Y29">
        <v>3.4456800651121271</v>
      </c>
      <c r="Z29">
        <v>4.4740739163526646</v>
      </c>
      <c r="AA29"/>
      <c r="AB29"/>
      <c r="AC29"/>
    </row>
    <row r="30" spans="1:30" s="60" customFormat="1" x14ac:dyDescent="0.25">
      <c r="A30" t="s">
        <v>11</v>
      </c>
      <c r="B30" t="s">
        <v>43</v>
      </c>
      <c r="C30" t="s">
        <v>117</v>
      </c>
      <c r="D30" t="s">
        <v>1</v>
      </c>
      <c r="E30">
        <v>2</v>
      </c>
      <c r="F30">
        <v>62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N30">
        <v>12.438375197812721</v>
      </c>
      <c r="O30"/>
      <c r="P30"/>
      <c r="Q30"/>
      <c r="R30" s="60">
        <v>0</v>
      </c>
      <c r="S30">
        <v>10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4.9877596027374791</v>
      </c>
      <c r="AA30"/>
      <c r="AB30"/>
      <c r="AC30"/>
    </row>
    <row r="31" spans="1:30" s="60" customFormat="1" x14ac:dyDescent="0.25">
      <c r="A31" t="s">
        <v>11</v>
      </c>
      <c r="B31" t="s">
        <v>43</v>
      </c>
      <c r="C31" t="s">
        <v>45</v>
      </c>
      <c r="D31" t="s">
        <v>16</v>
      </c>
      <c r="E31">
        <v>5</v>
      </c>
      <c r="F31">
        <v>52</v>
      </c>
      <c r="G31">
        <v>26</v>
      </c>
      <c r="H31">
        <v>5.6</v>
      </c>
      <c r="I31">
        <v>3.2</v>
      </c>
      <c r="J31">
        <v>8.8000000000000007</v>
      </c>
      <c r="K31">
        <v>34.799999999999997</v>
      </c>
      <c r="L31">
        <v>28.5</v>
      </c>
      <c r="N31">
        <v>25.789710699416439</v>
      </c>
      <c r="O31"/>
      <c r="P31"/>
      <c r="Q31"/>
      <c r="R31" s="60">
        <v>0.8</v>
      </c>
      <c r="S31">
        <v>1.7888543819998317</v>
      </c>
      <c r="T31">
        <v>7.0992957397195395</v>
      </c>
      <c r="U31">
        <v>2.0396078054371136</v>
      </c>
      <c r="V31">
        <v>0.48989794855663549</v>
      </c>
      <c r="W31">
        <v>1.8547236990991414</v>
      </c>
      <c r="X31">
        <v>6.248199740725326</v>
      </c>
      <c r="Y31">
        <v>3.3052987762076818</v>
      </c>
      <c r="Z31">
        <v>4.4475858925817588</v>
      </c>
      <c r="AA31"/>
      <c r="AB31"/>
      <c r="AC31"/>
    </row>
    <row r="32" spans="1:30" s="60" customFormat="1" x14ac:dyDescent="0.25">
      <c r="A32" t="s">
        <v>11</v>
      </c>
      <c r="B32" t="s">
        <v>43</v>
      </c>
      <c r="C32" t="s">
        <v>45</v>
      </c>
      <c r="D32" t="s">
        <v>1</v>
      </c>
      <c r="E32">
        <v>1</v>
      </c>
      <c r="F32">
        <v>96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N32">
        <v>1.73776908023483</v>
      </c>
      <c r="O32"/>
      <c r="P32"/>
      <c r="Q32"/>
      <c r="S32"/>
      <c r="T32"/>
      <c r="U32"/>
      <c r="V32"/>
      <c r="W32"/>
      <c r="X32"/>
      <c r="Y32"/>
      <c r="Z32"/>
      <c r="AA32"/>
      <c r="AB32"/>
      <c r="AC32"/>
    </row>
    <row r="33" spans="1:30" s="60" customFormat="1" x14ac:dyDescent="0.25">
      <c r="A33" t="s">
        <v>12</v>
      </c>
      <c r="B33" t="s">
        <v>14</v>
      </c>
      <c r="C33" t="s">
        <v>117</v>
      </c>
      <c r="D33" t="s">
        <v>16</v>
      </c>
      <c r="E33">
        <v>10</v>
      </c>
      <c r="F33">
        <v>7.2</v>
      </c>
      <c r="G33">
        <v>73.2</v>
      </c>
      <c r="H33">
        <v>7.6</v>
      </c>
      <c r="I33">
        <v>4.2</v>
      </c>
      <c r="J33">
        <v>11.8</v>
      </c>
      <c r="K33">
        <v>85</v>
      </c>
      <c r="L33">
        <v>40.15</v>
      </c>
      <c r="N33">
        <v>37.005283573250637</v>
      </c>
      <c r="O33">
        <v>338.9497854</v>
      </c>
      <c r="P33">
        <v>395.22718592000001</v>
      </c>
      <c r="Q33">
        <v>537.59725060000005</v>
      </c>
      <c r="R33" s="60">
        <v>9.8486321667302992</v>
      </c>
      <c r="S33">
        <v>2.1333333333333333</v>
      </c>
      <c r="T33">
        <v>3.7261836299952336</v>
      </c>
      <c r="U33">
        <v>1.1075498483890767</v>
      </c>
      <c r="V33">
        <v>1.2454361128179603</v>
      </c>
      <c r="W33">
        <v>1.8245242911205346</v>
      </c>
      <c r="X33">
        <v>2.894439112812321</v>
      </c>
      <c r="Y33">
        <v>4.0654711357425173</v>
      </c>
      <c r="Z33">
        <v>5.085778283956162</v>
      </c>
      <c r="AA33">
        <v>53.139645879175049</v>
      </c>
      <c r="AB33">
        <v>94.98952783751318</v>
      </c>
      <c r="AC33">
        <v>99.497807229741142</v>
      </c>
      <c r="AD33" s="60">
        <v>2.9290335934684002</v>
      </c>
    </row>
    <row r="34" spans="1:30" s="60" customFormat="1" x14ac:dyDescent="0.25">
      <c r="A34" t="s">
        <v>12</v>
      </c>
      <c r="B34" t="s">
        <v>14</v>
      </c>
      <c r="C34" t="s">
        <v>117</v>
      </c>
      <c r="D34" t="s">
        <v>1</v>
      </c>
      <c r="E34">
        <v>2</v>
      </c>
      <c r="F34">
        <v>56</v>
      </c>
      <c r="G34">
        <v>2</v>
      </c>
      <c r="H34">
        <v>0</v>
      </c>
      <c r="I34">
        <v>0</v>
      </c>
      <c r="J34">
        <v>0</v>
      </c>
      <c r="K34">
        <v>2</v>
      </c>
      <c r="L34">
        <v>0</v>
      </c>
      <c r="N34">
        <v>8.7956707583489244</v>
      </c>
      <c r="O34"/>
      <c r="P34"/>
      <c r="Q34"/>
      <c r="R34" s="60">
        <v>6</v>
      </c>
      <c r="S34">
        <v>23.999999999999996</v>
      </c>
      <c r="T34">
        <v>2</v>
      </c>
      <c r="U34">
        <v>0</v>
      </c>
      <c r="V34">
        <v>0</v>
      </c>
      <c r="W34">
        <v>0</v>
      </c>
      <c r="X34">
        <v>2</v>
      </c>
      <c r="Y34">
        <v>0</v>
      </c>
      <c r="Z34">
        <v>3.5506158132939749</v>
      </c>
      <c r="AA34"/>
      <c r="AB34"/>
      <c r="AC34"/>
    </row>
    <row r="35" spans="1:30" s="60" customFormat="1" x14ac:dyDescent="0.25">
      <c r="A35" t="s">
        <v>12</v>
      </c>
      <c r="B35" t="s">
        <v>14</v>
      </c>
      <c r="C35" t="s">
        <v>45</v>
      </c>
      <c r="D35" t="s">
        <v>16</v>
      </c>
      <c r="E35">
        <v>5</v>
      </c>
      <c r="F35">
        <v>2.4</v>
      </c>
      <c r="G35">
        <v>79.2</v>
      </c>
      <c r="H35">
        <v>14.4</v>
      </c>
      <c r="I35">
        <v>2</v>
      </c>
      <c r="J35">
        <v>16.399999999999999</v>
      </c>
      <c r="K35">
        <v>95.6</v>
      </c>
      <c r="L35">
        <v>67.7</v>
      </c>
      <c r="N35">
        <v>38.137530500690019</v>
      </c>
      <c r="O35"/>
      <c r="P35"/>
      <c r="Q35"/>
      <c r="R35" s="60">
        <v>4.2708313008124996</v>
      </c>
      <c r="S35">
        <v>1.5999999999999999</v>
      </c>
      <c r="T35">
        <v>5.9866518188383058</v>
      </c>
      <c r="U35">
        <v>3.709447398198281</v>
      </c>
      <c r="V35">
        <v>0.89442719099991586</v>
      </c>
      <c r="W35">
        <v>4.3999999999999995</v>
      </c>
      <c r="X35">
        <v>2.2271057451320058</v>
      </c>
      <c r="Y35">
        <v>6.315853069855252</v>
      </c>
      <c r="Z35">
        <v>5.5336032488043427</v>
      </c>
      <c r="AA35"/>
      <c r="AB35"/>
      <c r="AC35"/>
    </row>
    <row r="36" spans="1:30" s="60" customFormat="1" x14ac:dyDescent="0.25">
      <c r="A36" t="s">
        <v>12</v>
      </c>
      <c r="B36" t="s">
        <v>14</v>
      </c>
      <c r="C36" t="s">
        <v>45</v>
      </c>
      <c r="D36" t="s">
        <v>1</v>
      </c>
      <c r="E36">
        <v>1</v>
      </c>
      <c r="F36">
        <v>56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N36">
        <v>18.686312943562001</v>
      </c>
      <c r="O36"/>
      <c r="P36"/>
      <c r="Q36"/>
      <c r="S36"/>
      <c r="T36"/>
      <c r="U36"/>
      <c r="V36"/>
      <c r="W36"/>
      <c r="X36"/>
      <c r="Y36"/>
      <c r="Z36"/>
      <c r="AA36"/>
      <c r="AB36"/>
      <c r="AC36"/>
    </row>
    <row r="37" spans="1:30" s="60" customFormat="1" x14ac:dyDescent="0.25">
      <c r="A37" t="s">
        <v>12</v>
      </c>
      <c r="B37" t="s">
        <v>43</v>
      </c>
      <c r="C37" t="s">
        <v>117</v>
      </c>
      <c r="D37" t="s">
        <v>16</v>
      </c>
      <c r="E37">
        <v>10</v>
      </c>
      <c r="F37">
        <v>7.2</v>
      </c>
      <c r="G37">
        <v>81.599999999999994</v>
      </c>
      <c r="H37">
        <v>8.6</v>
      </c>
      <c r="I37">
        <v>1.8</v>
      </c>
      <c r="J37">
        <v>10.4</v>
      </c>
      <c r="K37">
        <v>92</v>
      </c>
      <c r="L37">
        <v>49.9</v>
      </c>
      <c r="N37">
        <v>33.995128510294265</v>
      </c>
      <c r="O37"/>
      <c r="P37"/>
      <c r="Q37"/>
      <c r="R37" s="60">
        <v>2.2469732728470002</v>
      </c>
      <c r="S37">
        <v>4.3736585244951272</v>
      </c>
      <c r="T37">
        <v>5.3399958385335484</v>
      </c>
      <c r="U37">
        <v>1.2666666666666664</v>
      </c>
      <c r="V37">
        <v>0.81377037438224653</v>
      </c>
      <c r="W37">
        <v>1.8086213288334052</v>
      </c>
      <c r="X37">
        <v>4.3817804600413286</v>
      </c>
      <c r="Y37">
        <v>4.5029619881436558</v>
      </c>
      <c r="Z37">
        <v>4.3505526368649399</v>
      </c>
      <c r="AA37"/>
      <c r="AB37"/>
      <c r="AC37"/>
    </row>
    <row r="38" spans="1:30" s="60" customFormat="1" x14ac:dyDescent="0.25">
      <c r="A38" t="s">
        <v>12</v>
      </c>
      <c r="B38" t="s">
        <v>43</v>
      </c>
      <c r="C38" t="s">
        <v>117</v>
      </c>
      <c r="D38" t="s">
        <v>1</v>
      </c>
      <c r="E38">
        <v>2</v>
      </c>
      <c r="F38">
        <v>92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N38">
        <v>9.977216060620794</v>
      </c>
      <c r="O38"/>
      <c r="P38"/>
      <c r="Q38"/>
      <c r="R38" s="60">
        <v>2</v>
      </c>
      <c r="S38">
        <v>4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1.0148263796975068</v>
      </c>
      <c r="AA38"/>
      <c r="AB38"/>
      <c r="AC38"/>
    </row>
    <row r="39" spans="1:30" s="60" customFormat="1" x14ac:dyDescent="0.25">
      <c r="A39" t="s">
        <v>12</v>
      </c>
      <c r="B39" t="s">
        <v>43</v>
      </c>
      <c r="C39" t="s">
        <v>45</v>
      </c>
      <c r="D39" t="s">
        <v>16</v>
      </c>
      <c r="E39">
        <v>5</v>
      </c>
      <c r="F39">
        <v>4.8</v>
      </c>
      <c r="G39">
        <v>81.599999999999994</v>
      </c>
      <c r="H39">
        <v>10.4</v>
      </c>
      <c r="I39">
        <v>1.6</v>
      </c>
      <c r="J39">
        <v>12</v>
      </c>
      <c r="K39">
        <v>93.6</v>
      </c>
      <c r="L39">
        <v>49.7</v>
      </c>
      <c r="N39">
        <v>33.880602594317324</v>
      </c>
      <c r="O39"/>
      <c r="P39"/>
      <c r="Q39"/>
      <c r="R39" s="60">
        <v>21.525798475317998</v>
      </c>
      <c r="S39">
        <v>2.3323807579381199</v>
      </c>
      <c r="T39">
        <v>2.7129319932501059</v>
      </c>
      <c r="U39">
        <v>1.5999999999999996</v>
      </c>
      <c r="V39">
        <v>0.74833147735478833</v>
      </c>
      <c r="W39">
        <v>1.6733200530681509</v>
      </c>
      <c r="X39">
        <v>1.4696938456699045</v>
      </c>
      <c r="Y39">
        <v>4.9335585534176047</v>
      </c>
      <c r="Z39">
        <v>5.008834839660282</v>
      </c>
      <c r="AA39"/>
      <c r="AB39"/>
      <c r="AC39"/>
    </row>
    <row r="40" spans="1:30" s="60" customFormat="1" x14ac:dyDescent="0.25">
      <c r="A40" t="s">
        <v>12</v>
      </c>
      <c r="B40" t="s">
        <v>43</v>
      </c>
      <c r="C40" t="s">
        <v>45</v>
      </c>
      <c r="D40" t="s">
        <v>1</v>
      </c>
      <c r="E40">
        <v>1</v>
      </c>
      <c r="F40">
        <v>100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N40">
        <v>1.9931369375202299</v>
      </c>
      <c r="O40"/>
      <c r="P40"/>
      <c r="Q40"/>
      <c r="S40"/>
      <c r="T40"/>
      <c r="U40"/>
      <c r="V40"/>
      <c r="W40"/>
      <c r="X40"/>
      <c r="Y40"/>
    </row>
    <row r="43" spans="1:30" s="64" customFormat="1" ht="60" x14ac:dyDescent="0.25">
      <c r="A43" s="64" t="s">
        <v>2</v>
      </c>
      <c r="B43" s="65" t="s">
        <v>162</v>
      </c>
      <c r="C43" s="65" t="s">
        <v>163</v>
      </c>
      <c r="D43" s="65" t="s">
        <v>164</v>
      </c>
      <c r="E43" s="65" t="s">
        <v>171</v>
      </c>
      <c r="F43" s="65" t="s">
        <v>172</v>
      </c>
      <c r="G43" s="65" t="s">
        <v>143</v>
      </c>
      <c r="H43" s="65" t="s">
        <v>144</v>
      </c>
      <c r="I43" s="65" t="s">
        <v>146</v>
      </c>
      <c r="J43" s="65" t="s">
        <v>173</v>
      </c>
      <c r="K43" s="65" t="s">
        <v>174</v>
      </c>
      <c r="L43" s="65" t="s">
        <v>161</v>
      </c>
      <c r="M43" s="65" t="s">
        <v>175</v>
      </c>
      <c r="N43" s="65" t="s">
        <v>176</v>
      </c>
      <c r="O43" s="65" t="s">
        <v>177</v>
      </c>
      <c r="P43" s="65" t="s">
        <v>178</v>
      </c>
      <c r="T43" t="s">
        <v>153</v>
      </c>
      <c r="U43" t="s">
        <v>154</v>
      </c>
      <c r="V43" t="s">
        <v>155</v>
      </c>
      <c r="W43" t="s">
        <v>156</v>
      </c>
      <c r="X43" t="s">
        <v>157</v>
      </c>
      <c r="Y43" t="s">
        <v>158</v>
      </c>
      <c r="Z43" t="s">
        <v>159</v>
      </c>
      <c r="AA43" t="s">
        <v>160</v>
      </c>
    </row>
    <row r="44" spans="1:30" s="62" customFormat="1" x14ac:dyDescent="0.25">
      <c r="A44" s="62" t="s">
        <v>13</v>
      </c>
      <c r="B44" s="62" t="s">
        <v>169</v>
      </c>
      <c r="C44" s="62" t="s">
        <v>165</v>
      </c>
      <c r="D44" s="63" t="s">
        <v>167</v>
      </c>
      <c r="E44" s="62">
        <v>10</v>
      </c>
      <c r="F44" s="62" t="str">
        <f t="shared" ref="F44:L44" si="0">CONCATENATE(F71, " (", R71, ")")</f>
        <v>4.0 (1.0)</v>
      </c>
      <c r="G44" s="62" t="str">
        <f t="shared" si="0"/>
        <v>69.6 (0.5)</v>
      </c>
      <c r="H44" s="62" t="str">
        <f t="shared" si="0"/>
        <v>5.0 (2.5)</v>
      </c>
      <c r="I44" s="62" t="str">
        <f t="shared" si="0"/>
        <v>17.6 (0.9)</v>
      </c>
      <c r="J44" s="62" t="str">
        <f t="shared" si="0"/>
        <v>22.6 (1.6)</v>
      </c>
      <c r="K44" s="62" t="str">
        <f t="shared" si="0"/>
        <v>92.2 (1.4)</v>
      </c>
      <c r="L44" s="62" t="str">
        <f t="shared" si="0"/>
        <v>3.9 (0.3)</v>
      </c>
      <c r="M44" s="62" t="str">
        <f t="shared" ref="M44:M67" si="1">CONCATENATE(N71, " (", Y71, ")")</f>
        <v>85.1 (5.7)</v>
      </c>
      <c r="N44" s="62" t="str">
        <f>CONCATENATE(T44, " (", X44, ")")</f>
        <v>522.4 (88.5)</v>
      </c>
      <c r="O44" s="62" t="str">
        <f>CONCATENATE(U44, " (", Y44, ")")</f>
        <v>475.6 (22.8)</v>
      </c>
      <c r="P44" s="62" t="str">
        <f>CONCATENATE(V44, " (", Z44, ")")</f>
        <v>652.6 (40.9)</v>
      </c>
      <c r="T44" t="str">
        <f>TEXT(summary!C148,"#,#0.0")</f>
        <v>522.4</v>
      </c>
      <c r="U44" t="str">
        <f>TEXT(summary!D148,"#,#0.0")</f>
        <v>475.6</v>
      </c>
      <c r="V44" t="str">
        <f>TEXT(summary!E148,"#,#0.0")</f>
        <v>652.6</v>
      </c>
      <c r="W44" t="str">
        <f>TEXT(summary!F148,"#,#0.0")</f>
        <v>1,650.6</v>
      </c>
      <c r="X44" t="str">
        <f>TEXT(summary!G148,"#,#0.0")</f>
        <v>88.5</v>
      </c>
      <c r="Y44" t="str">
        <f>TEXT(summary!H148,"#,#0.0")</f>
        <v>22.8</v>
      </c>
      <c r="Z44" t="str">
        <f>TEXT(summary!I148,"#,#0.0")</f>
        <v>40.9</v>
      </c>
      <c r="AA44" t="str">
        <f>TEXT(summary!J148,"#,#0.0")</f>
        <v>82.9</v>
      </c>
    </row>
    <row r="45" spans="1:30" s="62" customFormat="1" x14ac:dyDescent="0.25">
      <c r="A45" s="62" t="s">
        <v>13</v>
      </c>
      <c r="B45" s="62" t="s">
        <v>169</v>
      </c>
      <c r="C45" s="62" t="s">
        <v>165</v>
      </c>
      <c r="D45" s="62" t="s">
        <v>168</v>
      </c>
      <c r="E45" s="62">
        <v>2</v>
      </c>
      <c r="F45" s="62" t="str">
        <f t="shared" ref="F45:F59" si="2">CONCATENATE(F72, " (", R72, ")")</f>
        <v>48.0 (4.0)</v>
      </c>
      <c r="G45" s="62" t="str">
        <f t="shared" ref="G45:G51" si="3">CONCATENATE(G72, " (", S72, ")")</f>
        <v>34.0 (8.0)</v>
      </c>
      <c r="H45" s="62" t="str">
        <f t="shared" ref="H45:H51" si="4">CONCATENATE(H72, " (", T72, ")")</f>
        <v>1.0 (6.0)</v>
      </c>
      <c r="I45" s="62" t="str">
        <f t="shared" ref="I45:I51" si="5">CONCATENATE(I72, " (", U72, ")")</f>
        <v>0.0 (1.0)</v>
      </c>
      <c r="J45" s="62" t="str">
        <f t="shared" ref="J45:J51" si="6">CONCATENATE(J72, " (", V72, ")")</f>
        <v>1.0 (0.0)</v>
      </c>
      <c r="K45" s="62" t="str">
        <f t="shared" ref="K45:K51" si="7">CONCATENATE(K72, " (", W72, ")")</f>
        <v>35.0 (7.0)</v>
      </c>
      <c r="L45" s="62" t="str">
        <f t="shared" ref="L45:L51" si="8">CONCATENATE(L72, " (", X72, ")")</f>
        <v>0.0 (0.0)</v>
      </c>
      <c r="M45" s="62" t="str">
        <f t="shared" si="1"/>
        <v>102.2 (15.4)</v>
      </c>
      <c r="T45" t="str">
        <f>TEXT(summary!C149,"#,#0.0")</f>
        <v>339.0</v>
      </c>
      <c r="U45" t="str">
        <f>TEXT(summary!D149,"#,#0.0")</f>
        <v>395.2</v>
      </c>
      <c r="V45" t="str">
        <f>TEXT(summary!E149,"#,#0.0")</f>
        <v>537.6</v>
      </c>
      <c r="W45" t="str">
        <f>TEXT(summary!F149,"#,#0.0")</f>
        <v>1,271.8</v>
      </c>
      <c r="X45" t="str">
        <f>TEXT(summary!G149,"#,#0.0")</f>
        <v>33.4</v>
      </c>
      <c r="Y45" t="str">
        <f>TEXT(summary!H149,"#,#0.0")</f>
        <v>53.6</v>
      </c>
      <c r="Z45" t="str">
        <f>TEXT(summary!I149,"#,#0.0")</f>
        <v>54.7</v>
      </c>
      <c r="AA45" t="str">
        <f>TEXT(summary!J149,"#,#0.0")</f>
        <v>132.3</v>
      </c>
    </row>
    <row r="46" spans="1:30" s="62" customFormat="1" x14ac:dyDescent="0.25">
      <c r="A46" s="62" t="s">
        <v>13</v>
      </c>
      <c r="B46" s="62" t="s">
        <v>169</v>
      </c>
      <c r="C46" s="62" t="s">
        <v>166</v>
      </c>
      <c r="D46" s="62" t="s">
        <v>167</v>
      </c>
      <c r="E46" s="62">
        <v>5</v>
      </c>
      <c r="F46" s="62" t="str">
        <f t="shared" si="2"/>
        <v>8.4 (2.5)</v>
      </c>
      <c r="G46" s="62" t="str">
        <f t="shared" si="3"/>
        <v>64.0 (1.8)</v>
      </c>
      <c r="H46" s="62" t="str">
        <f t="shared" si="4"/>
        <v>8.0 (2.8)</v>
      </c>
      <c r="I46" s="62" t="str">
        <f t="shared" si="5"/>
        <v>13.6 (2.2)</v>
      </c>
      <c r="J46" s="62" t="str">
        <f t="shared" si="6"/>
        <v>21.6 (2.7)</v>
      </c>
      <c r="K46" s="62" t="str">
        <f t="shared" si="7"/>
        <v>85.6 (3.5)</v>
      </c>
      <c r="L46" s="62" t="str">
        <f t="shared" si="8"/>
        <v>3.5 (0.2)</v>
      </c>
      <c r="M46" s="62" t="str">
        <f t="shared" si="1"/>
        <v>72.3 (19.0)</v>
      </c>
      <c r="T46" t="str">
        <f>TEXT(summary!C150,"#,#0.0")</f>
        <v>269.9</v>
      </c>
      <c r="U46" t="str">
        <f>TEXT(summary!D150,"#,#0.0")</f>
        <v>356.2</v>
      </c>
      <c r="V46" t="str">
        <f>TEXT(summary!E150,"#,#0.0")</f>
        <v>512.9</v>
      </c>
      <c r="W46" t="str">
        <f>TEXT(summary!F150,"#,#0.0")</f>
        <v>1,139.0</v>
      </c>
      <c r="X46" t="str">
        <f>TEXT(summary!G150,"#,#0.0")</f>
        <v>91.0</v>
      </c>
      <c r="Y46" t="str">
        <f>TEXT(summary!H150,"#,#0.0")</f>
        <v>102.6</v>
      </c>
      <c r="Z46" t="str">
        <f>TEXT(summary!I150,"#,#0.0")</f>
        <v>160.1</v>
      </c>
      <c r="AA46" t="str">
        <f>TEXT(summary!J150,"#,#0.0")</f>
        <v>352.4</v>
      </c>
    </row>
    <row r="47" spans="1:30" s="62" customFormat="1" x14ac:dyDescent="0.25">
      <c r="A47" s="62" t="s">
        <v>13</v>
      </c>
      <c r="B47" s="62" t="s">
        <v>169</v>
      </c>
      <c r="C47" s="62" t="s">
        <v>166</v>
      </c>
      <c r="D47" s="62" t="s">
        <v>168</v>
      </c>
      <c r="E47" s="62">
        <v>1</v>
      </c>
      <c r="F47" s="62" t="str">
        <f t="shared" si="2"/>
        <v>76.0 (0.0)</v>
      </c>
      <c r="G47" s="62" t="str">
        <f t="shared" si="3"/>
        <v>16.0 (0.0)</v>
      </c>
      <c r="H47" s="62" t="str">
        <f t="shared" si="4"/>
        <v>0.0 (0.0)</v>
      </c>
      <c r="I47" s="62" t="str">
        <f t="shared" si="5"/>
        <v>0.0 (0.0)</v>
      </c>
      <c r="J47" s="62" t="str">
        <f t="shared" si="6"/>
        <v>0.0 (0.0)</v>
      </c>
      <c r="K47" s="62" t="str">
        <f t="shared" si="7"/>
        <v>16.0 (0.0)</v>
      </c>
      <c r="L47" s="62" t="str">
        <f t="shared" si="8"/>
        <v>0.0 (0.0)</v>
      </c>
      <c r="M47" s="62" t="str">
        <f t="shared" si="1"/>
        <v>25.4 (0.0)</v>
      </c>
    </row>
    <row r="48" spans="1:30" s="62" customFormat="1" x14ac:dyDescent="0.25">
      <c r="A48" s="62" t="s">
        <v>13</v>
      </c>
      <c r="B48" s="62" t="s">
        <v>170</v>
      </c>
      <c r="C48" s="62" t="s">
        <v>165</v>
      </c>
      <c r="D48" s="62" t="s">
        <v>167</v>
      </c>
      <c r="E48" s="62">
        <v>10</v>
      </c>
      <c r="F48" s="62" t="str">
        <f t="shared" si="2"/>
        <v>6.8 (0.7)</v>
      </c>
      <c r="G48" s="62" t="str">
        <f t="shared" si="3"/>
        <v>66.4 (2.9)</v>
      </c>
      <c r="H48" s="62" t="str">
        <f t="shared" si="4"/>
        <v>5.2 (2.8)</v>
      </c>
      <c r="I48" s="62" t="str">
        <f t="shared" si="5"/>
        <v>20.4 (1.0)</v>
      </c>
      <c r="J48" s="62" t="str">
        <f t="shared" si="6"/>
        <v>25.6 (3.0)</v>
      </c>
      <c r="K48" s="62" t="str">
        <f t="shared" si="7"/>
        <v>92.0 (3.6)</v>
      </c>
      <c r="L48" s="62" t="str">
        <f t="shared" si="8"/>
        <v>3.3 (0.3)</v>
      </c>
      <c r="M48" s="62" t="str">
        <f t="shared" si="1"/>
        <v>48.3 (4.1)</v>
      </c>
    </row>
    <row r="49" spans="1:16" s="62" customFormat="1" x14ac:dyDescent="0.25">
      <c r="A49" s="62" t="s">
        <v>13</v>
      </c>
      <c r="B49" s="62" t="s">
        <v>170</v>
      </c>
      <c r="C49" s="62" t="s">
        <v>165</v>
      </c>
      <c r="D49" s="62" t="s">
        <v>168</v>
      </c>
      <c r="E49" s="62">
        <v>2</v>
      </c>
      <c r="F49" s="62" t="str">
        <f t="shared" si="2"/>
        <v>100.0 (0.0)</v>
      </c>
      <c r="G49" s="62" t="str">
        <f t="shared" si="3"/>
        <v>0.0 (0.0)</v>
      </c>
      <c r="H49" s="62" t="str">
        <f t="shared" si="4"/>
        <v>0.0 (0.0)</v>
      </c>
      <c r="I49" s="62" t="str">
        <f t="shared" si="5"/>
        <v>0.0 (0.0)</v>
      </c>
      <c r="J49" s="62" t="str">
        <f t="shared" si="6"/>
        <v>0.0 (0.0)</v>
      </c>
      <c r="K49" s="62" t="str">
        <f t="shared" si="7"/>
        <v>0.0 (0.0)</v>
      </c>
      <c r="L49" s="62" t="str">
        <f t="shared" si="8"/>
        <v>0.0 (0.0)</v>
      </c>
      <c r="M49" s="62" t="str">
        <f t="shared" si="1"/>
        <v>14.7 (9.0)</v>
      </c>
    </row>
    <row r="50" spans="1:16" s="62" customFormat="1" x14ac:dyDescent="0.25">
      <c r="A50" s="62" t="s">
        <v>13</v>
      </c>
      <c r="B50" s="62" t="s">
        <v>170</v>
      </c>
      <c r="C50" s="62" t="s">
        <v>166</v>
      </c>
      <c r="D50" s="62" t="s">
        <v>167</v>
      </c>
      <c r="E50" s="62">
        <v>5</v>
      </c>
      <c r="F50" s="62" t="str">
        <f t="shared" si="2"/>
        <v>5.6 (1.1)</v>
      </c>
      <c r="G50" s="62" t="str">
        <f t="shared" si="3"/>
        <v>76.0 (1.9)</v>
      </c>
      <c r="H50" s="62" t="str">
        <f t="shared" si="4"/>
        <v>4.8 (2.2)</v>
      </c>
      <c r="I50" s="62" t="str">
        <f t="shared" si="5"/>
        <v>12.0 (1.4)</v>
      </c>
      <c r="J50" s="62" t="str">
        <f t="shared" si="6"/>
        <v>16.8 (4.6)</v>
      </c>
      <c r="K50" s="62" t="str">
        <f t="shared" si="7"/>
        <v>92.8 (3.3)</v>
      </c>
      <c r="L50" s="62" t="str">
        <f t="shared" si="8"/>
        <v>2.8 (0.6)</v>
      </c>
      <c r="M50" s="62" t="str">
        <f t="shared" si="1"/>
        <v>35.3 (4.1)</v>
      </c>
    </row>
    <row r="51" spans="1:16" s="62" customFormat="1" x14ac:dyDescent="0.25">
      <c r="A51" s="62" t="s">
        <v>13</v>
      </c>
      <c r="B51" s="62" t="s">
        <v>170</v>
      </c>
      <c r="C51" s="62" t="s">
        <v>166</v>
      </c>
      <c r="D51" s="62" t="s">
        <v>168</v>
      </c>
      <c r="E51" s="62">
        <v>1</v>
      </c>
      <c r="F51" s="62" t="str">
        <f t="shared" si="2"/>
        <v>100.0 (0.0)</v>
      </c>
      <c r="G51" s="62" t="str">
        <f t="shared" si="3"/>
        <v>2.0 (0.0)</v>
      </c>
      <c r="H51" s="62" t="str">
        <f t="shared" si="4"/>
        <v>0.0 (0.0)</v>
      </c>
      <c r="I51" s="62" t="str">
        <f t="shared" si="5"/>
        <v>0.0 (0.0)</v>
      </c>
      <c r="J51" s="62" t="str">
        <f t="shared" si="6"/>
        <v>0.0 (0.0)</v>
      </c>
      <c r="K51" s="62" t="str">
        <f t="shared" si="7"/>
        <v>2.0 (0.0)</v>
      </c>
      <c r="L51" s="62" t="str">
        <f t="shared" si="8"/>
        <v>0.0 (0.0)</v>
      </c>
      <c r="M51" s="62" t="str">
        <f t="shared" si="1"/>
        <v>18.2 (0.0)</v>
      </c>
    </row>
    <row r="52" spans="1:16" s="62" customFormat="1" x14ac:dyDescent="0.25">
      <c r="A52" s="62" t="s">
        <v>12</v>
      </c>
      <c r="B52" s="62" t="s">
        <v>169</v>
      </c>
      <c r="C52" s="62" t="s">
        <v>165</v>
      </c>
      <c r="D52" s="62" t="s">
        <v>167</v>
      </c>
      <c r="E52" s="62">
        <v>10</v>
      </c>
      <c r="F52" s="62" t="str">
        <f t="shared" si="2"/>
        <v>20.0 (1.8)</v>
      </c>
      <c r="G52" s="62" t="str">
        <f t="shared" ref="G52:L59" si="9">CONCATENATE(G79, " (", S79, ")")</f>
        <v>44.0 (5.3)</v>
      </c>
      <c r="H52" s="62" t="str">
        <f t="shared" si="9"/>
        <v>10.6 (8.0)</v>
      </c>
      <c r="I52" s="62" t="str">
        <f t="shared" si="9"/>
        <v>4.0 (1.5)</v>
      </c>
      <c r="J52" s="62" t="str">
        <f t="shared" si="9"/>
        <v>14.6 (0.7)</v>
      </c>
      <c r="K52" s="62" t="str">
        <f t="shared" si="9"/>
        <v>58.6 (7.9)</v>
      </c>
      <c r="L52" s="62" t="str">
        <f t="shared" si="9"/>
        <v>28.4 (7.8)</v>
      </c>
      <c r="M52" s="62" t="str">
        <f t="shared" si="1"/>
        <v>34.4 (5.4)</v>
      </c>
      <c r="N52" s="62" t="str">
        <f>CONCATENATE(O79, " (", Z79, ")")</f>
        <v>269.9 (100.5)</v>
      </c>
      <c r="O52" s="62" t="str">
        <f>CONCATENATE(P79, " (", AA79, ")")</f>
        <v>356.2 (108.8)</v>
      </c>
      <c r="P52" s="62" t="str">
        <f>CONCATENATE(Q79, " (", AB79, ")")</f>
        <v>512.9 (173.0)</v>
      </c>
    </row>
    <row r="53" spans="1:16" s="62" customFormat="1" x14ac:dyDescent="0.25">
      <c r="A53" s="62" t="s">
        <v>12</v>
      </c>
      <c r="B53" s="62" t="s">
        <v>169</v>
      </c>
      <c r="C53" s="62" t="s">
        <v>165</v>
      </c>
      <c r="D53" s="62" t="s">
        <v>168</v>
      </c>
      <c r="E53" s="62">
        <v>2</v>
      </c>
      <c r="F53" s="62" t="str">
        <f t="shared" si="2"/>
        <v>58.0 (30.0)</v>
      </c>
      <c r="G53" s="62" t="str">
        <f t="shared" si="9"/>
        <v>4.0 (10.0)</v>
      </c>
      <c r="H53" s="62" t="str">
        <f t="shared" si="9"/>
        <v>0.0 (0.0)</v>
      </c>
      <c r="I53" s="62" t="str">
        <f t="shared" si="9"/>
        <v>0.0 (0.0)</v>
      </c>
      <c r="J53" s="62" t="str">
        <f t="shared" si="9"/>
        <v>0.0 (0.0)</v>
      </c>
      <c r="K53" s="62" t="str">
        <f t="shared" si="9"/>
        <v>4.0 (0.0)</v>
      </c>
      <c r="L53" s="62" t="str">
        <f t="shared" si="9"/>
        <v>12.5 (12.5)</v>
      </c>
      <c r="M53" s="62" t="str">
        <f t="shared" si="1"/>
        <v>10.3 (3.1)</v>
      </c>
    </row>
    <row r="54" spans="1:16" s="62" customFormat="1" x14ac:dyDescent="0.25">
      <c r="A54" s="62" t="s">
        <v>12</v>
      </c>
      <c r="B54" s="62" t="s">
        <v>169</v>
      </c>
      <c r="C54" s="62" t="s">
        <v>166</v>
      </c>
      <c r="D54" s="62" t="s">
        <v>167</v>
      </c>
      <c r="E54" s="62">
        <v>5</v>
      </c>
      <c r="F54" s="62" t="str">
        <f t="shared" si="2"/>
        <v>12.0 (1.0)</v>
      </c>
      <c r="G54" s="62" t="str">
        <f t="shared" si="9"/>
        <v>54.4 (4.6)</v>
      </c>
      <c r="H54" s="62" t="str">
        <f t="shared" si="9"/>
        <v>10.4 (6.5)</v>
      </c>
      <c r="I54" s="62" t="str">
        <f t="shared" si="9"/>
        <v>4.4 (1.6)</v>
      </c>
      <c r="J54" s="62" t="str">
        <f t="shared" si="9"/>
        <v>14.8 (1.5)</v>
      </c>
      <c r="K54" s="62" t="str">
        <f t="shared" si="9"/>
        <v>69.2 (6.2)</v>
      </c>
      <c r="L54" s="62" t="str">
        <f t="shared" si="9"/>
        <v>36.6 (6.0)</v>
      </c>
      <c r="M54" s="62" t="str">
        <f t="shared" si="1"/>
        <v>35.3 (6.4)</v>
      </c>
    </row>
    <row r="55" spans="1:16" s="62" customFormat="1" x14ac:dyDescent="0.25">
      <c r="A55" s="62" t="s">
        <v>12</v>
      </c>
      <c r="B55" s="62" t="s">
        <v>169</v>
      </c>
      <c r="C55" s="62" t="s">
        <v>166</v>
      </c>
      <c r="D55" s="62" t="s">
        <v>168</v>
      </c>
      <c r="E55" s="62">
        <v>1</v>
      </c>
      <c r="F55" s="62" t="str">
        <f t="shared" si="2"/>
        <v>80.0 (0.0)</v>
      </c>
      <c r="G55" s="62" t="str">
        <f t="shared" si="9"/>
        <v>0.0 (0.0)</v>
      </c>
      <c r="H55" s="62" t="str">
        <f t="shared" si="9"/>
        <v>0.0 (0.0)</v>
      </c>
      <c r="I55" s="62" t="str">
        <f t="shared" si="9"/>
        <v>0.0 (0.0)</v>
      </c>
      <c r="J55" s="62" t="str">
        <f t="shared" si="9"/>
        <v>0.0 (0.0)</v>
      </c>
      <c r="K55" s="62" t="str">
        <f t="shared" si="9"/>
        <v>0.0 (0.0)</v>
      </c>
      <c r="L55" s="62" t="str">
        <f t="shared" si="9"/>
        <v>0.0 (0.0)</v>
      </c>
      <c r="M55" s="62" t="str">
        <f t="shared" si="1"/>
        <v>12.5 (0.0)</v>
      </c>
    </row>
    <row r="56" spans="1:16" s="62" customFormat="1" x14ac:dyDescent="0.25">
      <c r="A56" s="62" t="s">
        <v>12</v>
      </c>
      <c r="B56" s="62" t="s">
        <v>170</v>
      </c>
      <c r="C56" s="62" t="s">
        <v>165</v>
      </c>
      <c r="D56" s="62" t="s">
        <v>167</v>
      </c>
      <c r="E56" s="62">
        <v>10</v>
      </c>
      <c r="F56" s="62" t="str">
        <f t="shared" si="2"/>
        <v>36.8 (0.4)</v>
      </c>
      <c r="G56" s="62" t="str">
        <f t="shared" si="9"/>
        <v>38.8 (3.2)</v>
      </c>
      <c r="H56" s="62" t="str">
        <f t="shared" si="9"/>
        <v>7.2 (5.0)</v>
      </c>
      <c r="I56" s="62" t="str">
        <f t="shared" si="9"/>
        <v>3.0 (1.7)</v>
      </c>
      <c r="J56" s="62" t="str">
        <f t="shared" si="9"/>
        <v>10.2 (0.7)</v>
      </c>
      <c r="K56" s="62" t="str">
        <f t="shared" si="9"/>
        <v>49.0 (5.6)</v>
      </c>
      <c r="L56" s="62" t="str">
        <f t="shared" si="9"/>
        <v>18.5 (3.4)</v>
      </c>
      <c r="M56" s="62" t="str">
        <f t="shared" si="1"/>
        <v>30.0 (4.5)</v>
      </c>
    </row>
    <row r="57" spans="1:16" s="62" customFormat="1" x14ac:dyDescent="0.25">
      <c r="A57" s="62" t="s">
        <v>12</v>
      </c>
      <c r="B57" s="62" t="s">
        <v>170</v>
      </c>
      <c r="C57" s="62" t="s">
        <v>165</v>
      </c>
      <c r="D57" s="62" t="s">
        <v>168</v>
      </c>
      <c r="E57" s="62">
        <v>2</v>
      </c>
      <c r="F57" s="62" t="str">
        <f t="shared" si="2"/>
        <v>62.0 (0.0)</v>
      </c>
      <c r="G57" s="62" t="str">
        <f t="shared" si="9"/>
        <v>0.0 (10.0)</v>
      </c>
      <c r="H57" s="62" t="str">
        <f t="shared" si="9"/>
        <v>0.0 (0.0)</v>
      </c>
      <c r="I57" s="62" t="str">
        <f t="shared" si="9"/>
        <v>0.0 (0.0)</v>
      </c>
      <c r="J57" s="62" t="str">
        <f t="shared" si="9"/>
        <v>0.0 (0.0)</v>
      </c>
      <c r="K57" s="62" t="str">
        <f t="shared" si="9"/>
        <v>0.0 (0.0)</v>
      </c>
      <c r="L57" s="62" t="str">
        <f t="shared" si="9"/>
        <v>0.0 (0.0)</v>
      </c>
      <c r="M57" s="62" t="str">
        <f t="shared" si="1"/>
        <v>12.4 (5.0)</v>
      </c>
    </row>
    <row r="58" spans="1:16" s="62" customFormat="1" x14ac:dyDescent="0.25">
      <c r="A58" s="62" t="s">
        <v>12</v>
      </c>
      <c r="B58" s="62" t="s">
        <v>170</v>
      </c>
      <c r="C58" s="62" t="s">
        <v>166</v>
      </c>
      <c r="D58" s="62" t="s">
        <v>167</v>
      </c>
      <c r="E58" s="62">
        <v>5</v>
      </c>
      <c r="F58" s="62" t="str">
        <f t="shared" si="2"/>
        <v>52.0 (0.8)</v>
      </c>
      <c r="G58" s="62" t="str">
        <f t="shared" si="9"/>
        <v>26.0 (1.8)</v>
      </c>
      <c r="H58" s="62" t="str">
        <f t="shared" si="9"/>
        <v>5.6 (7.1)</v>
      </c>
      <c r="I58" s="62" t="str">
        <f t="shared" si="9"/>
        <v>3.2 (2.0)</v>
      </c>
      <c r="J58" s="62" t="str">
        <f t="shared" si="9"/>
        <v>8.8 (0.5)</v>
      </c>
      <c r="K58" s="62" t="str">
        <f t="shared" si="9"/>
        <v>34.8 (6.2)</v>
      </c>
      <c r="L58" s="62" t="str">
        <f t="shared" si="9"/>
        <v>28.5 (3.3)</v>
      </c>
      <c r="M58" s="62" t="str">
        <f t="shared" si="1"/>
        <v>25.8 (4.4)</v>
      </c>
    </row>
    <row r="59" spans="1:16" s="62" customFormat="1" x14ac:dyDescent="0.25">
      <c r="A59" s="62" t="s">
        <v>12</v>
      </c>
      <c r="B59" s="62" t="s">
        <v>170</v>
      </c>
      <c r="C59" s="62" t="s">
        <v>166</v>
      </c>
      <c r="D59" s="62" t="s">
        <v>168</v>
      </c>
      <c r="E59" s="62">
        <v>1</v>
      </c>
      <c r="F59" s="62" t="str">
        <f t="shared" si="2"/>
        <v>96.0 (0.0)</v>
      </c>
      <c r="G59" s="62" t="str">
        <f t="shared" si="9"/>
        <v>0.0 (0.0)</v>
      </c>
      <c r="H59" s="62" t="str">
        <f t="shared" si="9"/>
        <v>0.0 (0.0)</v>
      </c>
      <c r="I59" s="62" t="str">
        <f t="shared" si="9"/>
        <v>0.0 (0.0)</v>
      </c>
      <c r="J59" s="62" t="str">
        <f t="shared" si="9"/>
        <v>0.0 (0.0)</v>
      </c>
      <c r="K59" s="62" t="str">
        <f t="shared" si="9"/>
        <v>0.0 (0.0)</v>
      </c>
      <c r="L59" s="62" t="str">
        <f t="shared" si="9"/>
        <v>0.0 (0.0)</v>
      </c>
      <c r="M59" s="62" t="str">
        <f t="shared" si="1"/>
        <v>1.7 (0.0)</v>
      </c>
    </row>
    <row r="60" spans="1:16" s="62" customFormat="1" x14ac:dyDescent="0.25">
      <c r="A60" s="62" t="s">
        <v>11</v>
      </c>
      <c r="B60" s="62" t="s">
        <v>169</v>
      </c>
      <c r="C60" s="62" t="s">
        <v>165</v>
      </c>
      <c r="D60" s="62" t="s">
        <v>167</v>
      </c>
      <c r="E60" s="62">
        <v>10</v>
      </c>
      <c r="F60" s="62" t="str">
        <f t="shared" ref="F60:F67" si="10">CONCATENATE(F87, " (", R87, ")")</f>
        <v>7.2 (9.8)</v>
      </c>
      <c r="G60" s="62" t="str">
        <f t="shared" ref="G60:G67" si="11">CONCATENATE(G87, " (", S87, ")")</f>
        <v>73.2 (2.1)</v>
      </c>
      <c r="H60" s="62" t="str">
        <f t="shared" ref="H60:H67" si="12">CONCATENATE(H87, " (", T87, ")")</f>
        <v>7.6 (3.7)</v>
      </c>
      <c r="I60" s="62" t="str">
        <f t="shared" ref="I60:I67" si="13">CONCATENATE(I87, " (", U87, ")")</f>
        <v>4.2 (1.1)</v>
      </c>
      <c r="J60" s="62" t="str">
        <f t="shared" ref="J60:J67" si="14">CONCATENATE(J87, " (", V87, ")")</f>
        <v>11.8 (1.2)</v>
      </c>
      <c r="K60" s="62" t="str">
        <f t="shared" ref="K60:K67" si="15">CONCATENATE(K87, " (", W87, ")")</f>
        <v>85.0 (2.9)</v>
      </c>
      <c r="L60" s="62" t="str">
        <f t="shared" ref="L60:L67" si="16">CONCATENATE(L87, " (", X87, ")")</f>
        <v>40.2 (4.1)</v>
      </c>
      <c r="M60" s="62" t="str">
        <f t="shared" si="1"/>
        <v>37.0 (5.1)</v>
      </c>
      <c r="N60" s="62" t="str">
        <f>CONCATENATE(T46, " (", X46, ")")</f>
        <v>269.9 (91.0)</v>
      </c>
      <c r="O60" s="62" t="str">
        <f>CONCATENATE(U46, " (", Y46, ")")</f>
        <v>356.2 (102.6)</v>
      </c>
      <c r="P60" s="62" t="str">
        <f>CONCATENATE(V46, " (", Z46, ")")</f>
        <v>512.9 (160.1)</v>
      </c>
    </row>
    <row r="61" spans="1:16" s="62" customFormat="1" x14ac:dyDescent="0.25">
      <c r="A61" s="62" t="s">
        <v>11</v>
      </c>
      <c r="B61" s="62" t="s">
        <v>169</v>
      </c>
      <c r="C61" s="62" t="s">
        <v>165</v>
      </c>
      <c r="D61" s="62" t="s">
        <v>168</v>
      </c>
      <c r="E61" s="62">
        <v>2</v>
      </c>
      <c r="F61" s="62" t="str">
        <f t="shared" si="10"/>
        <v>56.0 (6.0)</v>
      </c>
      <c r="G61" s="62" t="str">
        <f t="shared" si="11"/>
        <v>2.0 (24.0)</v>
      </c>
      <c r="H61" s="62" t="str">
        <f t="shared" si="12"/>
        <v>0.0 (2.0)</v>
      </c>
      <c r="I61" s="62" t="str">
        <f t="shared" si="13"/>
        <v>0.0 (0.0)</v>
      </c>
      <c r="J61" s="62" t="str">
        <f t="shared" si="14"/>
        <v>0.0 (0.0)</v>
      </c>
      <c r="K61" s="62" t="str">
        <f t="shared" si="15"/>
        <v>2.0 (2.0)</v>
      </c>
      <c r="L61" s="62" t="str">
        <f t="shared" si="16"/>
        <v>0.0 (0.0)</v>
      </c>
      <c r="M61" s="62" t="str">
        <f t="shared" si="1"/>
        <v>8.8 (3.6)</v>
      </c>
    </row>
    <row r="62" spans="1:16" s="62" customFormat="1" x14ac:dyDescent="0.25">
      <c r="A62" s="62" t="s">
        <v>11</v>
      </c>
      <c r="B62" s="62" t="s">
        <v>169</v>
      </c>
      <c r="C62" s="62" t="s">
        <v>166</v>
      </c>
      <c r="D62" s="62" t="s">
        <v>167</v>
      </c>
      <c r="E62" s="62">
        <v>5</v>
      </c>
      <c r="F62" s="62" t="str">
        <f t="shared" si="10"/>
        <v>2.4 (4.3)</v>
      </c>
      <c r="G62" s="62" t="str">
        <f t="shared" si="11"/>
        <v>79.2 (1.6)</v>
      </c>
      <c r="H62" s="62" t="str">
        <f t="shared" si="12"/>
        <v>14.4 (6.0)</v>
      </c>
      <c r="I62" s="62" t="str">
        <f t="shared" si="13"/>
        <v>2.0 (3.7)</v>
      </c>
      <c r="J62" s="62" t="str">
        <f t="shared" si="14"/>
        <v>16.4 (0.9)</v>
      </c>
      <c r="K62" s="62" t="str">
        <f t="shared" si="15"/>
        <v>95.6 (2.2)</v>
      </c>
      <c r="L62" s="62" t="str">
        <f t="shared" si="16"/>
        <v>67.7 (6.3)</v>
      </c>
      <c r="M62" s="62" t="str">
        <f t="shared" si="1"/>
        <v>38.1 (5.5)</v>
      </c>
    </row>
    <row r="63" spans="1:16" s="62" customFormat="1" x14ac:dyDescent="0.25">
      <c r="A63" s="62" t="s">
        <v>11</v>
      </c>
      <c r="B63" s="62" t="s">
        <v>169</v>
      </c>
      <c r="C63" s="62" t="s">
        <v>166</v>
      </c>
      <c r="D63" s="62" t="s">
        <v>168</v>
      </c>
      <c r="E63" s="62">
        <v>1</v>
      </c>
      <c r="F63" s="62" t="str">
        <f t="shared" si="10"/>
        <v>56.0 (0.0)</v>
      </c>
      <c r="G63" s="62" t="str">
        <f t="shared" si="11"/>
        <v>0.0 (0.0)</v>
      </c>
      <c r="H63" s="62" t="str">
        <f t="shared" si="12"/>
        <v>0.0 (0.0)</v>
      </c>
      <c r="I63" s="62" t="str">
        <f t="shared" si="13"/>
        <v>0.0 (0.0)</v>
      </c>
      <c r="J63" s="62" t="str">
        <f t="shared" si="14"/>
        <v>0.0 (0.0)</v>
      </c>
      <c r="K63" s="62" t="str">
        <f t="shared" si="15"/>
        <v>0.0 (0.0)</v>
      </c>
      <c r="L63" s="62" t="str">
        <f t="shared" si="16"/>
        <v>0.0 (0.0)</v>
      </c>
      <c r="M63" s="62" t="str">
        <f t="shared" si="1"/>
        <v>18.7 (0.0)</v>
      </c>
    </row>
    <row r="64" spans="1:16" s="62" customFormat="1" x14ac:dyDescent="0.25">
      <c r="A64" s="62" t="s">
        <v>11</v>
      </c>
      <c r="B64" s="62" t="s">
        <v>170</v>
      </c>
      <c r="C64" s="62" t="s">
        <v>165</v>
      </c>
      <c r="D64" s="62" t="s">
        <v>167</v>
      </c>
      <c r="E64" s="62">
        <v>10</v>
      </c>
      <c r="F64" s="62" t="str">
        <f t="shared" si="10"/>
        <v>7.2 (2.2)</v>
      </c>
      <c r="G64" s="62" t="str">
        <f t="shared" si="11"/>
        <v>81.6 (4.4)</v>
      </c>
      <c r="H64" s="62" t="str">
        <f t="shared" si="12"/>
        <v>8.6 (5.3)</v>
      </c>
      <c r="I64" s="62" t="str">
        <f t="shared" si="13"/>
        <v>1.8 (1.3)</v>
      </c>
      <c r="J64" s="62" t="str">
        <f t="shared" si="14"/>
        <v>10.4 (0.8)</v>
      </c>
      <c r="K64" s="62" t="str">
        <f t="shared" si="15"/>
        <v>92.0 (4.4)</v>
      </c>
      <c r="L64" s="62" t="str">
        <f t="shared" si="16"/>
        <v>49.9 (4.5)</v>
      </c>
      <c r="M64" s="62" t="str">
        <f t="shared" si="1"/>
        <v>34.0 (4.4)</v>
      </c>
    </row>
    <row r="65" spans="1:29" s="62" customFormat="1" x14ac:dyDescent="0.25">
      <c r="A65" s="62" t="s">
        <v>11</v>
      </c>
      <c r="B65" s="62" t="s">
        <v>170</v>
      </c>
      <c r="C65" s="62" t="s">
        <v>165</v>
      </c>
      <c r="D65" s="62" t="s">
        <v>168</v>
      </c>
      <c r="E65" s="62">
        <v>2</v>
      </c>
      <c r="F65" s="62" t="str">
        <f t="shared" si="10"/>
        <v>92.0 (2.0)</v>
      </c>
      <c r="G65" s="62" t="str">
        <f t="shared" si="11"/>
        <v>0.0 (4.0)</v>
      </c>
      <c r="H65" s="62" t="str">
        <f t="shared" si="12"/>
        <v>0.0 (0.0)</v>
      </c>
      <c r="I65" s="62" t="str">
        <f t="shared" si="13"/>
        <v>0.0 (0.0)</v>
      </c>
      <c r="J65" s="62" t="str">
        <f t="shared" si="14"/>
        <v>0.0 (0.0)</v>
      </c>
      <c r="K65" s="62" t="str">
        <f t="shared" si="15"/>
        <v>0.0 (0.0)</v>
      </c>
      <c r="L65" s="62" t="str">
        <f t="shared" si="16"/>
        <v>0.0 (0.0)</v>
      </c>
      <c r="M65" s="62" t="str">
        <f t="shared" si="1"/>
        <v>10.0 (1.0)</v>
      </c>
    </row>
    <row r="66" spans="1:29" s="62" customFormat="1" x14ac:dyDescent="0.25">
      <c r="A66" s="62" t="s">
        <v>11</v>
      </c>
      <c r="B66" s="62" t="s">
        <v>170</v>
      </c>
      <c r="C66" s="62" t="s">
        <v>166</v>
      </c>
      <c r="D66" s="62" t="s">
        <v>167</v>
      </c>
      <c r="E66" s="62">
        <v>5</v>
      </c>
      <c r="F66" s="62" t="str">
        <f t="shared" si="10"/>
        <v>4.8 (21.5)</v>
      </c>
      <c r="G66" s="62" t="str">
        <f t="shared" si="11"/>
        <v>81.6 (2.3)</v>
      </c>
      <c r="H66" s="62" t="str">
        <f t="shared" si="12"/>
        <v>10.4 (2.7)</v>
      </c>
      <c r="I66" s="62" t="str">
        <f t="shared" si="13"/>
        <v>1.6 (1.6)</v>
      </c>
      <c r="J66" s="62" t="str">
        <f t="shared" si="14"/>
        <v>12.0 (0.7)</v>
      </c>
      <c r="K66" s="62" t="str">
        <f t="shared" si="15"/>
        <v>93.6 (1.5)</v>
      </c>
      <c r="L66" s="62" t="str">
        <f t="shared" si="16"/>
        <v>49.7 (4.9)</v>
      </c>
      <c r="M66" s="62" t="str">
        <f t="shared" si="1"/>
        <v>33.9 (5.0)</v>
      </c>
    </row>
    <row r="67" spans="1:29" s="62" customFormat="1" x14ac:dyDescent="0.25">
      <c r="A67" s="62" t="s">
        <v>11</v>
      </c>
      <c r="B67" s="62" t="s">
        <v>170</v>
      </c>
      <c r="C67" s="62" t="s">
        <v>166</v>
      </c>
      <c r="D67" s="62" t="s">
        <v>168</v>
      </c>
      <c r="E67" s="62">
        <v>1</v>
      </c>
      <c r="F67" s="62" t="str">
        <f t="shared" si="10"/>
        <v>100.0 (0.0)</v>
      </c>
      <c r="G67" s="62" t="str">
        <f t="shared" si="11"/>
        <v>0.0 (0.0)</v>
      </c>
      <c r="H67" s="62" t="str">
        <f t="shared" si="12"/>
        <v>0.0 (0.0)</v>
      </c>
      <c r="I67" s="62" t="str">
        <f t="shared" si="13"/>
        <v>0.0 (0.0)</v>
      </c>
      <c r="J67" s="62" t="str">
        <f t="shared" si="14"/>
        <v>0.0 (0.0)</v>
      </c>
      <c r="K67" s="62" t="str">
        <f t="shared" si="15"/>
        <v>0.0 (0.0)</v>
      </c>
      <c r="L67" s="62" t="str">
        <f t="shared" si="16"/>
        <v>0.0 (0.0)</v>
      </c>
      <c r="M67" s="62" t="str">
        <f t="shared" si="1"/>
        <v>2.0 (0.0)</v>
      </c>
    </row>
    <row r="70" spans="1:29" s="60" customFormat="1" x14ac:dyDescent="0.25">
      <c r="A70" s="60" t="s">
        <v>2</v>
      </c>
      <c r="B70" s="60" t="s">
        <v>162</v>
      </c>
      <c r="C70" s="60" t="s">
        <v>163</v>
      </c>
      <c r="D70" s="60" t="s">
        <v>164</v>
      </c>
      <c r="E70" s="60" t="s">
        <v>171</v>
      </c>
      <c r="F70" s="60" t="s">
        <v>71</v>
      </c>
      <c r="G70" s="60" t="s">
        <v>72</v>
      </c>
      <c r="H70" s="60" t="s">
        <v>73</v>
      </c>
      <c r="I70" s="60" t="s">
        <v>74</v>
      </c>
      <c r="J70" s="60" t="s">
        <v>75</v>
      </c>
      <c r="K70" s="60" t="s">
        <v>76</v>
      </c>
      <c r="L70" s="60" t="s">
        <v>77</v>
      </c>
      <c r="N70" s="60" t="s">
        <v>79</v>
      </c>
      <c r="O70" s="60" t="s">
        <v>82</v>
      </c>
      <c r="P70" s="60" t="s">
        <v>83</v>
      </c>
      <c r="Q70" s="60" t="s">
        <v>85</v>
      </c>
      <c r="R70" s="60" t="s">
        <v>88</v>
      </c>
      <c r="S70" s="60" t="s">
        <v>89</v>
      </c>
      <c r="T70" s="60" t="s">
        <v>90</v>
      </c>
      <c r="U70" s="60" t="s">
        <v>91</v>
      </c>
      <c r="V70" s="60" t="s">
        <v>92</v>
      </c>
      <c r="W70" s="60" t="s">
        <v>93</v>
      </c>
      <c r="X70" s="60" t="s">
        <v>94</v>
      </c>
      <c r="Y70" s="60" t="s">
        <v>96</v>
      </c>
      <c r="Z70" s="60" t="s">
        <v>99</v>
      </c>
      <c r="AA70" s="60" t="s">
        <v>100</v>
      </c>
      <c r="AB70" s="60" t="s">
        <v>102</v>
      </c>
      <c r="AC70" s="60" t="s">
        <v>104</v>
      </c>
    </row>
    <row r="71" spans="1:29" s="60" customFormat="1" x14ac:dyDescent="0.25">
      <c r="A71" s="60" t="s">
        <v>13</v>
      </c>
      <c r="B71" s="60" t="s">
        <v>169</v>
      </c>
      <c r="C71" s="60" t="s">
        <v>165</v>
      </c>
      <c r="D71" s="60" t="s">
        <v>167</v>
      </c>
      <c r="E71" s="60">
        <v>10</v>
      </c>
      <c r="F71" s="60" t="str">
        <f t="shared" ref="F71" si="17">TEXT(F17,"#,#0.0")</f>
        <v>4.0</v>
      </c>
      <c r="G71" s="60" t="str">
        <f t="shared" ref="G71:V83" si="18">TEXT(G17,"#,#0.0")</f>
        <v>69.6</v>
      </c>
      <c r="H71" s="60" t="str">
        <f t="shared" si="18"/>
        <v>5.0</v>
      </c>
      <c r="I71" s="60" t="str">
        <f t="shared" si="18"/>
        <v>17.6</v>
      </c>
      <c r="J71" s="60" t="str">
        <f t="shared" si="18"/>
        <v>22.6</v>
      </c>
      <c r="K71" s="60" t="str">
        <f t="shared" si="18"/>
        <v>92.2</v>
      </c>
      <c r="L71" s="60" t="str">
        <f>TEXT(L17,"#,#0.0")</f>
        <v>3.9</v>
      </c>
      <c r="N71" s="60" t="str">
        <f>TEXT(N17,"#,#0.0")</f>
        <v>85.1</v>
      </c>
      <c r="O71" s="60" t="str">
        <f t="shared" si="18"/>
        <v>522.4</v>
      </c>
      <c r="P71" s="60" t="str">
        <f t="shared" si="18"/>
        <v>475.6</v>
      </c>
      <c r="Q71" s="60" t="str">
        <f t="shared" si="18"/>
        <v>652.6</v>
      </c>
      <c r="R71" s="60" t="str">
        <f t="shared" si="18"/>
        <v>1.0</v>
      </c>
      <c r="S71" s="60" t="str">
        <f t="shared" si="18"/>
        <v>0.5</v>
      </c>
      <c r="T71" s="60" t="str">
        <f t="shared" si="18"/>
        <v>2.5</v>
      </c>
      <c r="U71" s="60" t="str">
        <f t="shared" si="18"/>
        <v>0.9</v>
      </c>
      <c r="V71" s="60" t="str">
        <f t="shared" si="18"/>
        <v>1.6</v>
      </c>
      <c r="W71" s="60" t="str">
        <f t="shared" ref="W71:AC71" si="19">TEXT(X17,"#,#0.0")</f>
        <v>1.4</v>
      </c>
      <c r="X71" s="60" t="str">
        <f t="shared" si="19"/>
        <v>0.3</v>
      </c>
      <c r="Y71" s="60" t="str">
        <f t="shared" si="19"/>
        <v>5.7</v>
      </c>
      <c r="Z71" s="60" t="str">
        <f t="shared" si="19"/>
        <v>162.0</v>
      </c>
      <c r="AA71" s="60" t="str">
        <f t="shared" si="19"/>
        <v>37.8</v>
      </c>
      <c r="AB71" s="60" t="str">
        <f t="shared" si="19"/>
        <v>68.9</v>
      </c>
      <c r="AC71" s="60" t="str">
        <f t="shared" si="19"/>
        <v>7.1</v>
      </c>
    </row>
    <row r="72" spans="1:29" s="60" customFormat="1" x14ac:dyDescent="0.25">
      <c r="A72" s="60" t="s">
        <v>13</v>
      </c>
      <c r="B72" s="60" t="s">
        <v>169</v>
      </c>
      <c r="C72" s="60" t="s">
        <v>165</v>
      </c>
      <c r="D72" s="60" t="s">
        <v>168</v>
      </c>
      <c r="E72" s="60">
        <v>2</v>
      </c>
      <c r="F72" s="60" t="str">
        <f t="shared" ref="F72:F95" si="20">TEXT(F18,"#,#0.0")</f>
        <v>48.0</v>
      </c>
      <c r="G72" s="60" t="str">
        <f t="shared" ref="G72:L72" si="21">TEXT(G18,"#,#0.0")</f>
        <v>34.0</v>
      </c>
      <c r="H72" s="60" t="str">
        <f t="shared" si="21"/>
        <v>1.0</v>
      </c>
      <c r="I72" s="60" t="str">
        <f t="shared" si="21"/>
        <v>0.0</v>
      </c>
      <c r="J72" s="60" t="str">
        <f t="shared" si="21"/>
        <v>1.0</v>
      </c>
      <c r="K72" s="60" t="str">
        <f t="shared" si="21"/>
        <v>35.0</v>
      </c>
      <c r="L72" s="60" t="str">
        <f t="shared" si="21"/>
        <v>0.0</v>
      </c>
      <c r="N72" s="60" t="str">
        <f t="shared" ref="N72:V72" si="22">TEXT(N18,"#,#0.0")</f>
        <v>102.2</v>
      </c>
      <c r="O72" s="60" t="str">
        <f t="shared" si="22"/>
        <v>0.0</v>
      </c>
      <c r="P72" s="60" t="str">
        <f t="shared" si="22"/>
        <v>0.0</v>
      </c>
      <c r="Q72" s="60" t="str">
        <f t="shared" si="22"/>
        <v>0.0</v>
      </c>
      <c r="R72" s="60" t="str">
        <f t="shared" si="22"/>
        <v>4.0</v>
      </c>
      <c r="S72" s="60" t="str">
        <f t="shared" si="22"/>
        <v>8.0</v>
      </c>
      <c r="T72" s="60" t="str">
        <f t="shared" si="22"/>
        <v>6.0</v>
      </c>
      <c r="U72" s="60" t="str">
        <f t="shared" si="22"/>
        <v>1.0</v>
      </c>
      <c r="V72" s="60" t="str">
        <f t="shared" si="22"/>
        <v>0.0</v>
      </c>
      <c r="W72" s="60" t="str">
        <f t="shared" ref="W72:W95" si="23">TEXT(X18,"#,#0.0")</f>
        <v>7.0</v>
      </c>
      <c r="X72" s="60" t="str">
        <f t="shared" ref="X72:X95" si="24">TEXT(Y18,"#,#0.0")</f>
        <v>0.0</v>
      </c>
      <c r="Y72" s="60" t="str">
        <f t="shared" ref="Y72:Y95" si="25">TEXT(Z18,"#,#0.0")</f>
        <v>15.4</v>
      </c>
      <c r="Z72" s="60" t="str">
        <f t="shared" ref="Z72:AC93" si="26">TEXT(AA18,"#,#0.0")</f>
        <v>0.0</v>
      </c>
      <c r="AA72" s="60" t="str">
        <f t="shared" si="26"/>
        <v>0.0</v>
      </c>
      <c r="AB72" s="60" t="str">
        <f t="shared" si="26"/>
        <v>0.0</v>
      </c>
      <c r="AC72" s="60" t="str">
        <f t="shared" si="26"/>
        <v>0.0</v>
      </c>
    </row>
    <row r="73" spans="1:29" s="60" customFormat="1" x14ac:dyDescent="0.25">
      <c r="A73" s="60" t="s">
        <v>13</v>
      </c>
      <c r="B73" s="60" t="s">
        <v>169</v>
      </c>
      <c r="C73" s="60" t="s">
        <v>166</v>
      </c>
      <c r="D73" s="60" t="s">
        <v>167</v>
      </c>
      <c r="E73" s="60">
        <v>5</v>
      </c>
      <c r="F73" s="60" t="str">
        <f t="shared" si="20"/>
        <v>8.4</v>
      </c>
      <c r="G73" s="60" t="str">
        <f t="shared" si="18"/>
        <v>64.0</v>
      </c>
      <c r="H73" s="60" t="str">
        <f t="shared" si="18"/>
        <v>8.0</v>
      </c>
      <c r="I73" s="60" t="str">
        <f t="shared" si="18"/>
        <v>13.6</v>
      </c>
      <c r="J73" s="60" t="str">
        <f t="shared" si="18"/>
        <v>21.6</v>
      </c>
      <c r="K73" s="60" t="str">
        <f t="shared" si="18"/>
        <v>85.6</v>
      </c>
      <c r="L73" s="60" t="str">
        <f t="shared" si="18"/>
        <v>3.5</v>
      </c>
      <c r="N73" s="60" t="str">
        <f t="shared" si="18"/>
        <v>72.3</v>
      </c>
      <c r="O73" s="60" t="str">
        <f t="shared" si="18"/>
        <v>0.0</v>
      </c>
      <c r="P73" s="60" t="str">
        <f t="shared" si="18"/>
        <v>0.0</v>
      </c>
      <c r="Q73" s="60" t="str">
        <f t="shared" si="18"/>
        <v>0.0</v>
      </c>
      <c r="R73" s="60" t="str">
        <f t="shared" si="18"/>
        <v>2.5</v>
      </c>
      <c r="S73" s="60" t="str">
        <f t="shared" si="18"/>
        <v>1.8</v>
      </c>
      <c r="T73" s="60" t="str">
        <f t="shared" si="18"/>
        <v>2.8</v>
      </c>
      <c r="U73" s="60" t="str">
        <f t="shared" si="18"/>
        <v>2.2</v>
      </c>
      <c r="V73" s="60" t="str">
        <f t="shared" si="18"/>
        <v>2.7</v>
      </c>
      <c r="W73" s="60" t="str">
        <f t="shared" si="23"/>
        <v>3.5</v>
      </c>
      <c r="X73" s="60" t="str">
        <f t="shared" si="24"/>
        <v>0.2</v>
      </c>
      <c r="Y73" s="60" t="str">
        <f t="shared" si="25"/>
        <v>19.0</v>
      </c>
      <c r="Z73" s="60" t="str">
        <f t="shared" si="26"/>
        <v>0.0</v>
      </c>
      <c r="AA73" s="60" t="str">
        <f t="shared" si="26"/>
        <v>0.0</v>
      </c>
      <c r="AB73" s="60" t="str">
        <f t="shared" si="26"/>
        <v>0.0</v>
      </c>
      <c r="AC73" s="60" t="str">
        <f t="shared" si="26"/>
        <v>0.0</v>
      </c>
    </row>
    <row r="74" spans="1:29" s="60" customFormat="1" x14ac:dyDescent="0.25">
      <c r="A74" s="60" t="s">
        <v>13</v>
      </c>
      <c r="B74" s="60" t="s">
        <v>169</v>
      </c>
      <c r="C74" s="60" t="s">
        <v>166</v>
      </c>
      <c r="D74" s="60" t="s">
        <v>168</v>
      </c>
      <c r="E74" s="60">
        <v>1</v>
      </c>
      <c r="F74" s="60" t="str">
        <f t="shared" si="20"/>
        <v>76.0</v>
      </c>
      <c r="G74" s="60" t="str">
        <f t="shared" si="18"/>
        <v>16.0</v>
      </c>
      <c r="H74" s="60" t="str">
        <f t="shared" si="18"/>
        <v>0.0</v>
      </c>
      <c r="I74" s="60" t="str">
        <f t="shared" si="18"/>
        <v>0.0</v>
      </c>
      <c r="J74" s="60" t="str">
        <f t="shared" si="18"/>
        <v>0.0</v>
      </c>
      <c r="K74" s="60" t="str">
        <f t="shared" si="18"/>
        <v>16.0</v>
      </c>
      <c r="L74" s="60" t="str">
        <f t="shared" si="18"/>
        <v>0.0</v>
      </c>
      <c r="N74" s="60" t="str">
        <f t="shared" si="18"/>
        <v>25.4</v>
      </c>
      <c r="O74" s="60" t="str">
        <f t="shared" si="18"/>
        <v>0.0</v>
      </c>
      <c r="P74" s="60" t="str">
        <f t="shared" si="18"/>
        <v>0.0</v>
      </c>
      <c r="Q74" s="60" t="str">
        <f t="shared" si="18"/>
        <v>0.0</v>
      </c>
      <c r="R74" s="60" t="str">
        <f t="shared" si="18"/>
        <v>0.0</v>
      </c>
      <c r="S74" s="60" t="str">
        <f t="shared" si="18"/>
        <v>0.0</v>
      </c>
      <c r="T74" s="60" t="str">
        <f t="shared" si="18"/>
        <v>0.0</v>
      </c>
      <c r="U74" s="60" t="str">
        <f t="shared" si="18"/>
        <v>0.0</v>
      </c>
      <c r="V74" s="60" t="str">
        <f t="shared" si="18"/>
        <v>0.0</v>
      </c>
      <c r="W74" s="60" t="str">
        <f t="shared" si="23"/>
        <v>0.0</v>
      </c>
      <c r="X74" s="60" t="str">
        <f t="shared" si="24"/>
        <v>0.0</v>
      </c>
      <c r="Y74" s="60" t="str">
        <f t="shared" si="25"/>
        <v>0.0</v>
      </c>
      <c r="Z74" s="60" t="str">
        <f t="shared" si="26"/>
        <v>0.0</v>
      </c>
      <c r="AA74" s="60" t="str">
        <f t="shared" si="26"/>
        <v>0.0</v>
      </c>
      <c r="AB74" s="60" t="str">
        <f t="shared" si="26"/>
        <v>0.0</v>
      </c>
      <c r="AC74" s="60" t="str">
        <f t="shared" si="26"/>
        <v>0.0</v>
      </c>
    </row>
    <row r="75" spans="1:29" s="60" customFormat="1" x14ac:dyDescent="0.25">
      <c r="A75" s="60" t="s">
        <v>13</v>
      </c>
      <c r="B75" s="60" t="s">
        <v>170</v>
      </c>
      <c r="C75" s="60" t="s">
        <v>165</v>
      </c>
      <c r="D75" s="60" t="s">
        <v>167</v>
      </c>
      <c r="E75" s="60">
        <v>10</v>
      </c>
      <c r="F75" s="60" t="str">
        <f t="shared" si="20"/>
        <v>6.8</v>
      </c>
      <c r="G75" s="60" t="str">
        <f t="shared" si="18"/>
        <v>66.4</v>
      </c>
      <c r="H75" s="60" t="str">
        <f t="shared" si="18"/>
        <v>5.2</v>
      </c>
      <c r="I75" s="60" t="str">
        <f t="shared" si="18"/>
        <v>20.4</v>
      </c>
      <c r="J75" s="60" t="str">
        <f t="shared" si="18"/>
        <v>25.6</v>
      </c>
      <c r="K75" s="60" t="str">
        <f t="shared" si="18"/>
        <v>92.0</v>
      </c>
      <c r="L75" s="60" t="str">
        <f t="shared" si="18"/>
        <v>3.3</v>
      </c>
      <c r="N75" s="60" t="str">
        <f t="shared" si="18"/>
        <v>48.3</v>
      </c>
      <c r="O75" s="60" t="str">
        <f t="shared" si="18"/>
        <v>0.0</v>
      </c>
      <c r="P75" s="60" t="str">
        <f t="shared" si="18"/>
        <v>0.0</v>
      </c>
      <c r="Q75" s="60" t="str">
        <f t="shared" si="18"/>
        <v>0.0</v>
      </c>
      <c r="R75" s="60" t="str">
        <f t="shared" si="18"/>
        <v>0.7</v>
      </c>
      <c r="S75" s="60" t="str">
        <f t="shared" si="18"/>
        <v>2.9</v>
      </c>
      <c r="T75" s="60" t="str">
        <f t="shared" si="18"/>
        <v>2.8</v>
      </c>
      <c r="U75" s="60" t="str">
        <f t="shared" si="18"/>
        <v>1.0</v>
      </c>
      <c r="V75" s="60" t="str">
        <f t="shared" si="18"/>
        <v>3.0</v>
      </c>
      <c r="W75" s="60" t="str">
        <f t="shared" si="23"/>
        <v>3.6</v>
      </c>
      <c r="X75" s="60" t="str">
        <f t="shared" si="24"/>
        <v>0.3</v>
      </c>
      <c r="Y75" s="60" t="str">
        <f t="shared" si="25"/>
        <v>4.1</v>
      </c>
      <c r="Z75" s="60" t="str">
        <f t="shared" si="26"/>
        <v>0.0</v>
      </c>
      <c r="AA75" s="60" t="str">
        <f t="shared" si="26"/>
        <v>0.0</v>
      </c>
      <c r="AB75" s="60" t="str">
        <f t="shared" si="26"/>
        <v>0.0</v>
      </c>
      <c r="AC75" s="60" t="str">
        <f t="shared" si="26"/>
        <v>0.0</v>
      </c>
    </row>
    <row r="76" spans="1:29" s="60" customFormat="1" x14ac:dyDescent="0.25">
      <c r="A76" s="60" t="s">
        <v>13</v>
      </c>
      <c r="B76" s="60" t="s">
        <v>170</v>
      </c>
      <c r="C76" s="60" t="s">
        <v>165</v>
      </c>
      <c r="D76" s="60" t="s">
        <v>168</v>
      </c>
      <c r="E76" s="60">
        <v>2</v>
      </c>
      <c r="F76" s="60" t="str">
        <f t="shared" si="20"/>
        <v>100.0</v>
      </c>
      <c r="G76" s="60" t="str">
        <f t="shared" si="18"/>
        <v>0.0</v>
      </c>
      <c r="H76" s="60" t="str">
        <f t="shared" si="18"/>
        <v>0.0</v>
      </c>
      <c r="I76" s="60" t="str">
        <f t="shared" si="18"/>
        <v>0.0</v>
      </c>
      <c r="J76" s="60" t="str">
        <f t="shared" si="18"/>
        <v>0.0</v>
      </c>
      <c r="K76" s="60" t="str">
        <f t="shared" si="18"/>
        <v>0.0</v>
      </c>
      <c r="L76" s="60" t="str">
        <f t="shared" si="18"/>
        <v>0.0</v>
      </c>
      <c r="N76" s="60" t="str">
        <f t="shared" si="18"/>
        <v>14.7</v>
      </c>
      <c r="O76" s="60" t="str">
        <f t="shared" si="18"/>
        <v>0.0</v>
      </c>
      <c r="P76" s="60" t="str">
        <f t="shared" si="18"/>
        <v>0.0</v>
      </c>
      <c r="Q76" s="60" t="str">
        <f t="shared" si="18"/>
        <v>0.0</v>
      </c>
      <c r="R76" s="60" t="str">
        <f t="shared" si="18"/>
        <v>0.0</v>
      </c>
      <c r="S76" s="60" t="str">
        <f t="shared" si="18"/>
        <v>0.0</v>
      </c>
      <c r="T76" s="60" t="str">
        <f t="shared" si="18"/>
        <v>0.0</v>
      </c>
      <c r="U76" s="60" t="str">
        <f t="shared" si="18"/>
        <v>0.0</v>
      </c>
      <c r="V76" s="60" t="str">
        <f t="shared" si="18"/>
        <v>0.0</v>
      </c>
      <c r="W76" s="60" t="str">
        <f t="shared" si="23"/>
        <v>0.0</v>
      </c>
      <c r="X76" s="60" t="str">
        <f t="shared" si="24"/>
        <v>0.0</v>
      </c>
      <c r="Y76" s="60" t="str">
        <f t="shared" si="25"/>
        <v>9.0</v>
      </c>
      <c r="Z76" s="60" t="str">
        <f t="shared" si="26"/>
        <v>0.0</v>
      </c>
      <c r="AA76" s="60" t="str">
        <f t="shared" si="26"/>
        <v>0.0</v>
      </c>
      <c r="AB76" s="60" t="str">
        <f t="shared" si="26"/>
        <v>0.0</v>
      </c>
      <c r="AC76" s="60" t="str">
        <f t="shared" si="26"/>
        <v>0.0</v>
      </c>
    </row>
    <row r="77" spans="1:29" s="60" customFormat="1" x14ac:dyDescent="0.25">
      <c r="A77" s="60" t="s">
        <v>13</v>
      </c>
      <c r="B77" s="60" t="s">
        <v>170</v>
      </c>
      <c r="C77" s="60" t="s">
        <v>166</v>
      </c>
      <c r="D77" s="60" t="s">
        <v>167</v>
      </c>
      <c r="E77" s="60">
        <v>5</v>
      </c>
      <c r="F77" s="60" t="str">
        <f t="shared" si="20"/>
        <v>5.6</v>
      </c>
      <c r="G77" s="60" t="str">
        <f t="shared" si="18"/>
        <v>76.0</v>
      </c>
      <c r="H77" s="60" t="str">
        <f t="shared" si="18"/>
        <v>4.8</v>
      </c>
      <c r="I77" s="60" t="str">
        <f t="shared" si="18"/>
        <v>12.0</v>
      </c>
      <c r="J77" s="60" t="str">
        <f t="shared" si="18"/>
        <v>16.8</v>
      </c>
      <c r="K77" s="60" t="str">
        <f t="shared" si="18"/>
        <v>92.8</v>
      </c>
      <c r="L77" s="60" t="str">
        <f t="shared" si="18"/>
        <v>2.8</v>
      </c>
      <c r="N77" s="60" t="str">
        <f t="shared" si="18"/>
        <v>35.3</v>
      </c>
      <c r="O77" s="60" t="str">
        <f t="shared" si="18"/>
        <v>0.0</v>
      </c>
      <c r="P77" s="60" t="str">
        <f t="shared" si="18"/>
        <v>0.0</v>
      </c>
      <c r="Q77" s="60" t="str">
        <f t="shared" si="18"/>
        <v>0.0</v>
      </c>
      <c r="R77" s="60" t="str">
        <f t="shared" si="18"/>
        <v>1.1</v>
      </c>
      <c r="S77" s="60" t="str">
        <f t="shared" si="18"/>
        <v>1.9</v>
      </c>
      <c r="T77" s="60" t="str">
        <f t="shared" si="18"/>
        <v>2.2</v>
      </c>
      <c r="U77" s="60" t="str">
        <f t="shared" si="18"/>
        <v>1.4</v>
      </c>
      <c r="V77" s="60" t="str">
        <f t="shared" si="18"/>
        <v>4.6</v>
      </c>
      <c r="W77" s="60" t="str">
        <f t="shared" si="23"/>
        <v>3.3</v>
      </c>
      <c r="X77" s="60" t="str">
        <f t="shared" si="24"/>
        <v>0.6</v>
      </c>
      <c r="Y77" s="60" t="str">
        <f t="shared" si="25"/>
        <v>4.1</v>
      </c>
      <c r="Z77" s="60" t="str">
        <f t="shared" si="26"/>
        <v>0.0</v>
      </c>
      <c r="AA77" s="60" t="str">
        <f t="shared" si="26"/>
        <v>0.0</v>
      </c>
      <c r="AB77" s="60" t="str">
        <f t="shared" si="26"/>
        <v>0.0</v>
      </c>
      <c r="AC77" s="60" t="str">
        <f t="shared" si="26"/>
        <v>0.0</v>
      </c>
    </row>
    <row r="78" spans="1:29" s="60" customFormat="1" x14ac:dyDescent="0.25">
      <c r="A78" s="60" t="s">
        <v>13</v>
      </c>
      <c r="B78" s="60" t="s">
        <v>170</v>
      </c>
      <c r="C78" s="60" t="s">
        <v>166</v>
      </c>
      <c r="D78" s="60" t="s">
        <v>168</v>
      </c>
      <c r="E78" s="60">
        <v>1</v>
      </c>
      <c r="F78" s="60" t="str">
        <f t="shared" si="20"/>
        <v>100.0</v>
      </c>
      <c r="G78" s="60" t="str">
        <f t="shared" si="18"/>
        <v>2.0</v>
      </c>
      <c r="H78" s="60" t="str">
        <f t="shared" si="18"/>
        <v>0.0</v>
      </c>
      <c r="I78" s="60" t="str">
        <f t="shared" si="18"/>
        <v>0.0</v>
      </c>
      <c r="J78" s="60" t="str">
        <f t="shared" si="18"/>
        <v>0.0</v>
      </c>
      <c r="K78" s="60" t="str">
        <f t="shared" si="18"/>
        <v>2.0</v>
      </c>
      <c r="L78" s="60" t="str">
        <f t="shared" si="18"/>
        <v>0.0</v>
      </c>
      <c r="N78" s="60" t="str">
        <f t="shared" si="18"/>
        <v>18.2</v>
      </c>
      <c r="O78" s="60" t="str">
        <f t="shared" si="18"/>
        <v>0.0</v>
      </c>
      <c r="P78" s="60" t="str">
        <f t="shared" si="18"/>
        <v>0.0</v>
      </c>
      <c r="Q78" s="60" t="str">
        <f t="shared" si="18"/>
        <v>0.0</v>
      </c>
      <c r="R78" s="60" t="str">
        <f t="shared" si="18"/>
        <v>0.0</v>
      </c>
      <c r="S78" s="60" t="str">
        <f t="shared" si="18"/>
        <v>0.0</v>
      </c>
      <c r="T78" s="60" t="str">
        <f t="shared" si="18"/>
        <v>0.0</v>
      </c>
      <c r="U78" s="60" t="str">
        <f t="shared" si="18"/>
        <v>0.0</v>
      </c>
      <c r="V78" s="60" t="str">
        <f t="shared" si="18"/>
        <v>0.0</v>
      </c>
      <c r="W78" s="60" t="str">
        <f t="shared" si="23"/>
        <v>0.0</v>
      </c>
      <c r="X78" s="60" t="str">
        <f t="shared" si="24"/>
        <v>0.0</v>
      </c>
      <c r="Y78" s="60" t="str">
        <f t="shared" si="25"/>
        <v>0.0</v>
      </c>
      <c r="Z78" s="60" t="str">
        <f t="shared" si="26"/>
        <v>0.0</v>
      </c>
      <c r="AA78" s="60" t="str">
        <f t="shared" si="26"/>
        <v>0.0</v>
      </c>
      <c r="AB78" s="60" t="str">
        <f t="shared" si="26"/>
        <v>0.0</v>
      </c>
      <c r="AC78" s="60" t="str">
        <f t="shared" si="26"/>
        <v>0.0</v>
      </c>
    </row>
    <row r="79" spans="1:29" s="60" customFormat="1" x14ac:dyDescent="0.25">
      <c r="A79" s="60" t="s">
        <v>12</v>
      </c>
      <c r="B79" s="60" t="s">
        <v>169</v>
      </c>
      <c r="C79" s="60" t="s">
        <v>165</v>
      </c>
      <c r="D79" s="60" t="s">
        <v>167</v>
      </c>
      <c r="E79" s="60">
        <v>10</v>
      </c>
      <c r="F79" s="60" t="str">
        <f t="shared" si="20"/>
        <v>20.0</v>
      </c>
      <c r="G79" s="60" t="str">
        <f t="shared" si="18"/>
        <v>44.0</v>
      </c>
      <c r="H79" s="60" t="str">
        <f t="shared" si="18"/>
        <v>10.6</v>
      </c>
      <c r="I79" s="60" t="str">
        <f t="shared" si="18"/>
        <v>4.0</v>
      </c>
      <c r="J79" s="60" t="str">
        <f t="shared" si="18"/>
        <v>14.6</v>
      </c>
      <c r="K79" s="60" t="str">
        <f t="shared" si="18"/>
        <v>58.6</v>
      </c>
      <c r="L79" s="60" t="str">
        <f t="shared" si="18"/>
        <v>28.4</v>
      </c>
      <c r="N79" s="60" t="str">
        <f t="shared" si="18"/>
        <v>34.4</v>
      </c>
      <c r="O79" s="60" t="str">
        <f t="shared" si="18"/>
        <v>269.9</v>
      </c>
      <c r="P79" s="60" t="str">
        <f t="shared" si="18"/>
        <v>356.2</v>
      </c>
      <c r="Q79" s="60" t="str">
        <f t="shared" si="18"/>
        <v>512.9</v>
      </c>
      <c r="R79" s="60" t="str">
        <f t="shared" si="18"/>
        <v>1.8</v>
      </c>
      <c r="S79" s="60" t="str">
        <f t="shared" si="18"/>
        <v>5.3</v>
      </c>
      <c r="T79" s="60" t="str">
        <f t="shared" si="18"/>
        <v>8.0</v>
      </c>
      <c r="U79" s="60" t="str">
        <f t="shared" si="18"/>
        <v>1.5</v>
      </c>
      <c r="V79" s="60" t="str">
        <f t="shared" si="18"/>
        <v>0.7</v>
      </c>
      <c r="W79" s="60" t="str">
        <f t="shared" si="23"/>
        <v>7.9</v>
      </c>
      <c r="X79" s="60" t="str">
        <f t="shared" si="24"/>
        <v>7.8</v>
      </c>
      <c r="Y79" s="60" t="str">
        <f t="shared" si="25"/>
        <v>5.4</v>
      </c>
      <c r="Z79" s="60" t="str">
        <f t="shared" si="26"/>
        <v>100.5</v>
      </c>
      <c r="AA79" s="60" t="str">
        <f t="shared" si="26"/>
        <v>108.8</v>
      </c>
      <c r="AB79" s="60" t="str">
        <f t="shared" si="26"/>
        <v>173.0</v>
      </c>
      <c r="AC79" s="60" t="str">
        <f t="shared" si="26"/>
        <v>19.3</v>
      </c>
    </row>
    <row r="80" spans="1:29" s="60" customFormat="1" x14ac:dyDescent="0.25">
      <c r="A80" s="60" t="s">
        <v>12</v>
      </c>
      <c r="B80" s="60" t="s">
        <v>169</v>
      </c>
      <c r="C80" s="60" t="s">
        <v>165</v>
      </c>
      <c r="D80" s="60" t="s">
        <v>168</v>
      </c>
      <c r="E80" s="60">
        <v>2</v>
      </c>
      <c r="F80" s="60" t="str">
        <f t="shared" si="20"/>
        <v>58.0</v>
      </c>
      <c r="G80" s="60" t="str">
        <f t="shared" si="18"/>
        <v>4.0</v>
      </c>
      <c r="H80" s="60" t="str">
        <f t="shared" si="18"/>
        <v>0.0</v>
      </c>
      <c r="I80" s="60" t="str">
        <f t="shared" si="18"/>
        <v>0.0</v>
      </c>
      <c r="J80" s="60" t="str">
        <f t="shared" si="18"/>
        <v>0.0</v>
      </c>
      <c r="K80" s="60" t="str">
        <f t="shared" si="18"/>
        <v>4.0</v>
      </c>
      <c r="L80" s="60" t="str">
        <f t="shared" si="18"/>
        <v>12.5</v>
      </c>
      <c r="N80" s="60" t="str">
        <f t="shared" si="18"/>
        <v>10.3</v>
      </c>
      <c r="O80" s="60" t="str">
        <f t="shared" si="18"/>
        <v>0.0</v>
      </c>
      <c r="P80" s="60" t="str">
        <f t="shared" si="18"/>
        <v>0.0</v>
      </c>
      <c r="Q80" s="60" t="str">
        <f t="shared" si="18"/>
        <v>0.0</v>
      </c>
      <c r="R80" s="60" t="str">
        <f t="shared" si="18"/>
        <v>30.0</v>
      </c>
      <c r="S80" s="60" t="str">
        <f t="shared" si="18"/>
        <v>10.0</v>
      </c>
      <c r="T80" s="60" t="str">
        <f t="shared" si="18"/>
        <v>0.0</v>
      </c>
      <c r="U80" s="60" t="str">
        <f t="shared" si="18"/>
        <v>0.0</v>
      </c>
      <c r="V80" s="60" t="str">
        <f t="shared" si="18"/>
        <v>0.0</v>
      </c>
      <c r="W80" s="60" t="str">
        <f t="shared" si="23"/>
        <v>0.0</v>
      </c>
      <c r="X80" s="60" t="str">
        <f t="shared" si="24"/>
        <v>12.5</v>
      </c>
      <c r="Y80" s="60" t="str">
        <f t="shared" si="25"/>
        <v>3.1</v>
      </c>
      <c r="Z80" s="60" t="str">
        <f t="shared" si="26"/>
        <v>0.0</v>
      </c>
      <c r="AA80" s="60" t="str">
        <f t="shared" si="26"/>
        <v>0.0</v>
      </c>
      <c r="AB80" s="60" t="str">
        <f t="shared" si="26"/>
        <v>0.0</v>
      </c>
      <c r="AC80" s="60" t="str">
        <f t="shared" si="26"/>
        <v>0.0</v>
      </c>
    </row>
    <row r="81" spans="1:29" s="60" customFormat="1" x14ac:dyDescent="0.25">
      <c r="A81" s="60" t="s">
        <v>12</v>
      </c>
      <c r="B81" s="60" t="s">
        <v>169</v>
      </c>
      <c r="C81" s="60" t="s">
        <v>166</v>
      </c>
      <c r="D81" s="60" t="s">
        <v>167</v>
      </c>
      <c r="E81" s="60">
        <v>5</v>
      </c>
      <c r="F81" s="60" t="str">
        <f t="shared" si="20"/>
        <v>12.0</v>
      </c>
      <c r="G81" s="60" t="str">
        <f t="shared" si="18"/>
        <v>54.4</v>
      </c>
      <c r="H81" s="60" t="str">
        <f t="shared" si="18"/>
        <v>10.4</v>
      </c>
      <c r="I81" s="60" t="str">
        <f t="shared" si="18"/>
        <v>4.4</v>
      </c>
      <c r="J81" s="60" t="str">
        <f t="shared" si="18"/>
        <v>14.8</v>
      </c>
      <c r="K81" s="60" t="str">
        <f t="shared" si="18"/>
        <v>69.2</v>
      </c>
      <c r="L81" s="60" t="str">
        <f t="shared" si="18"/>
        <v>36.6</v>
      </c>
      <c r="N81" s="60" t="str">
        <f t="shared" si="18"/>
        <v>35.3</v>
      </c>
      <c r="O81" s="60" t="str">
        <f t="shared" si="18"/>
        <v>0.0</v>
      </c>
      <c r="P81" s="60" t="str">
        <f t="shared" si="18"/>
        <v>0.0</v>
      </c>
      <c r="Q81" s="60" t="str">
        <f t="shared" si="18"/>
        <v>0.0</v>
      </c>
      <c r="R81" s="60" t="str">
        <f t="shared" si="18"/>
        <v>1.0</v>
      </c>
      <c r="S81" s="60" t="str">
        <f t="shared" si="18"/>
        <v>4.6</v>
      </c>
      <c r="T81" s="60" t="str">
        <f t="shared" si="18"/>
        <v>6.5</v>
      </c>
      <c r="U81" s="60" t="str">
        <f t="shared" si="18"/>
        <v>1.6</v>
      </c>
      <c r="V81" s="60" t="str">
        <f t="shared" si="18"/>
        <v>1.5</v>
      </c>
      <c r="W81" s="60" t="str">
        <f t="shared" si="23"/>
        <v>6.2</v>
      </c>
      <c r="X81" s="60" t="str">
        <f t="shared" si="24"/>
        <v>6.0</v>
      </c>
      <c r="Y81" s="60" t="str">
        <f t="shared" si="25"/>
        <v>6.4</v>
      </c>
      <c r="Z81" s="60" t="str">
        <f t="shared" si="26"/>
        <v>0.0</v>
      </c>
      <c r="AA81" s="60" t="str">
        <f t="shared" si="26"/>
        <v>0.0</v>
      </c>
      <c r="AB81" s="60" t="str">
        <f t="shared" si="26"/>
        <v>0.0</v>
      </c>
      <c r="AC81" s="60" t="str">
        <f t="shared" si="26"/>
        <v>0.0</v>
      </c>
    </row>
    <row r="82" spans="1:29" s="60" customFormat="1" x14ac:dyDescent="0.25">
      <c r="A82" s="60" t="s">
        <v>12</v>
      </c>
      <c r="B82" s="60" t="s">
        <v>169</v>
      </c>
      <c r="C82" s="60" t="s">
        <v>166</v>
      </c>
      <c r="D82" s="60" t="s">
        <v>168</v>
      </c>
      <c r="E82" s="60">
        <v>1</v>
      </c>
      <c r="F82" s="60" t="str">
        <f t="shared" si="20"/>
        <v>80.0</v>
      </c>
      <c r="G82" s="60" t="str">
        <f t="shared" si="18"/>
        <v>0.0</v>
      </c>
      <c r="H82" s="60" t="str">
        <f t="shared" si="18"/>
        <v>0.0</v>
      </c>
      <c r="I82" s="60" t="str">
        <f t="shared" si="18"/>
        <v>0.0</v>
      </c>
      <c r="J82" s="60" t="str">
        <f t="shared" si="18"/>
        <v>0.0</v>
      </c>
      <c r="K82" s="60" t="str">
        <f t="shared" si="18"/>
        <v>0.0</v>
      </c>
      <c r="L82" s="60" t="str">
        <f t="shared" si="18"/>
        <v>0.0</v>
      </c>
      <c r="N82" s="60" t="str">
        <f t="shared" si="18"/>
        <v>12.5</v>
      </c>
      <c r="O82" s="60" t="str">
        <f t="shared" si="18"/>
        <v>0.0</v>
      </c>
      <c r="P82" s="60" t="str">
        <f t="shared" si="18"/>
        <v>0.0</v>
      </c>
      <c r="Q82" s="60" t="str">
        <f t="shared" si="18"/>
        <v>0.0</v>
      </c>
      <c r="R82" s="60" t="str">
        <f t="shared" si="18"/>
        <v>0.0</v>
      </c>
      <c r="S82" s="60" t="str">
        <f t="shared" si="18"/>
        <v>0.0</v>
      </c>
      <c r="T82" s="60" t="str">
        <f t="shared" si="18"/>
        <v>0.0</v>
      </c>
      <c r="U82" s="60" t="str">
        <f t="shared" si="18"/>
        <v>0.0</v>
      </c>
      <c r="V82" s="60" t="str">
        <f t="shared" si="18"/>
        <v>0.0</v>
      </c>
      <c r="W82" s="60" t="str">
        <f t="shared" si="23"/>
        <v>0.0</v>
      </c>
      <c r="X82" s="60" t="str">
        <f t="shared" si="24"/>
        <v>0.0</v>
      </c>
      <c r="Y82" s="60" t="str">
        <f t="shared" si="25"/>
        <v>0.0</v>
      </c>
      <c r="Z82" s="60" t="str">
        <f t="shared" si="26"/>
        <v>0.0</v>
      </c>
      <c r="AA82" s="60" t="str">
        <f t="shared" si="26"/>
        <v>0.0</v>
      </c>
      <c r="AB82" s="60" t="str">
        <f t="shared" si="26"/>
        <v>0.0</v>
      </c>
      <c r="AC82" s="60" t="str">
        <f t="shared" si="26"/>
        <v>0.0</v>
      </c>
    </row>
    <row r="83" spans="1:29" s="60" customFormat="1" x14ac:dyDescent="0.25">
      <c r="A83" s="60" t="s">
        <v>12</v>
      </c>
      <c r="B83" s="60" t="s">
        <v>170</v>
      </c>
      <c r="C83" s="60" t="s">
        <v>165</v>
      </c>
      <c r="D83" s="60" t="s">
        <v>167</v>
      </c>
      <c r="E83" s="60">
        <v>10</v>
      </c>
      <c r="F83" s="60" t="str">
        <f t="shared" si="20"/>
        <v>36.8</v>
      </c>
      <c r="G83" s="60" t="str">
        <f t="shared" si="18"/>
        <v>38.8</v>
      </c>
      <c r="H83" s="60" t="str">
        <f t="shared" si="18"/>
        <v>7.2</v>
      </c>
      <c r="I83" s="60" t="str">
        <f t="shared" si="18"/>
        <v>3.0</v>
      </c>
      <c r="J83" s="60" t="str">
        <f t="shared" si="18"/>
        <v>10.2</v>
      </c>
      <c r="K83" s="60" t="str">
        <f t="shared" si="18"/>
        <v>49.0</v>
      </c>
      <c r="L83" s="60" t="str">
        <f t="shared" si="18"/>
        <v>18.5</v>
      </c>
      <c r="N83" s="60" t="str">
        <f t="shared" ref="G83:Z94" si="27">TEXT(N29,"#,#0.0")</f>
        <v>30.0</v>
      </c>
      <c r="O83" s="60" t="str">
        <f t="shared" si="27"/>
        <v>0.0</v>
      </c>
      <c r="P83" s="60" t="str">
        <f t="shared" si="27"/>
        <v>0.0</v>
      </c>
      <c r="Q83" s="60" t="str">
        <f t="shared" si="27"/>
        <v>0.0</v>
      </c>
      <c r="R83" s="60" t="str">
        <f t="shared" si="27"/>
        <v>0.4</v>
      </c>
      <c r="S83" s="60" t="str">
        <f t="shared" si="27"/>
        <v>3.2</v>
      </c>
      <c r="T83" s="60" t="str">
        <f t="shared" si="27"/>
        <v>5.0</v>
      </c>
      <c r="U83" s="60" t="str">
        <f t="shared" si="27"/>
        <v>1.7</v>
      </c>
      <c r="V83" s="60" t="str">
        <f t="shared" si="27"/>
        <v>0.7</v>
      </c>
      <c r="W83" s="60" t="str">
        <f t="shared" si="23"/>
        <v>5.6</v>
      </c>
      <c r="X83" s="60" t="str">
        <f t="shared" si="24"/>
        <v>3.4</v>
      </c>
      <c r="Y83" s="60" t="str">
        <f t="shared" si="25"/>
        <v>4.5</v>
      </c>
      <c r="Z83" s="60" t="str">
        <f t="shared" si="26"/>
        <v>0.0</v>
      </c>
      <c r="AA83" s="60" t="str">
        <f t="shared" si="26"/>
        <v>0.0</v>
      </c>
      <c r="AB83" s="60" t="str">
        <f t="shared" si="26"/>
        <v>0.0</v>
      </c>
      <c r="AC83" s="60" t="str">
        <f t="shared" si="26"/>
        <v>0.0</v>
      </c>
    </row>
    <row r="84" spans="1:29" s="60" customFormat="1" x14ac:dyDescent="0.25">
      <c r="A84" s="60" t="s">
        <v>12</v>
      </c>
      <c r="B84" s="60" t="s">
        <v>170</v>
      </c>
      <c r="C84" s="60" t="s">
        <v>165</v>
      </c>
      <c r="D84" s="60" t="s">
        <v>168</v>
      </c>
      <c r="E84" s="60">
        <v>2</v>
      </c>
      <c r="F84" s="60" t="str">
        <f t="shared" si="20"/>
        <v>62.0</v>
      </c>
      <c r="G84" s="60" t="str">
        <f t="shared" si="27"/>
        <v>0.0</v>
      </c>
      <c r="H84" s="60" t="str">
        <f t="shared" si="27"/>
        <v>0.0</v>
      </c>
      <c r="I84" s="60" t="str">
        <f t="shared" si="27"/>
        <v>0.0</v>
      </c>
      <c r="J84" s="60" t="str">
        <f t="shared" si="27"/>
        <v>0.0</v>
      </c>
      <c r="K84" s="60" t="str">
        <f t="shared" si="27"/>
        <v>0.0</v>
      </c>
      <c r="L84" s="60" t="str">
        <f t="shared" si="27"/>
        <v>0.0</v>
      </c>
      <c r="N84" s="60" t="str">
        <f t="shared" si="27"/>
        <v>12.4</v>
      </c>
      <c r="O84" s="60" t="str">
        <f t="shared" si="27"/>
        <v>0.0</v>
      </c>
      <c r="P84" s="60" t="str">
        <f t="shared" si="27"/>
        <v>0.0</v>
      </c>
      <c r="Q84" s="60" t="str">
        <f t="shared" si="27"/>
        <v>0.0</v>
      </c>
      <c r="R84" s="60" t="str">
        <f t="shared" si="27"/>
        <v>0.0</v>
      </c>
      <c r="S84" s="60" t="str">
        <f t="shared" si="27"/>
        <v>10.0</v>
      </c>
      <c r="T84" s="60" t="str">
        <f t="shared" si="27"/>
        <v>0.0</v>
      </c>
      <c r="U84" s="60" t="str">
        <f t="shared" si="27"/>
        <v>0.0</v>
      </c>
      <c r="V84" s="60" t="str">
        <f t="shared" si="27"/>
        <v>0.0</v>
      </c>
      <c r="W84" s="60" t="str">
        <f t="shared" si="23"/>
        <v>0.0</v>
      </c>
      <c r="X84" s="60" t="str">
        <f t="shared" si="24"/>
        <v>0.0</v>
      </c>
      <c r="Y84" s="60" t="str">
        <f t="shared" si="25"/>
        <v>5.0</v>
      </c>
      <c r="Z84" s="60" t="str">
        <f t="shared" si="26"/>
        <v>0.0</v>
      </c>
      <c r="AA84" s="60" t="str">
        <f t="shared" si="26"/>
        <v>0.0</v>
      </c>
      <c r="AB84" s="60" t="str">
        <f t="shared" si="26"/>
        <v>0.0</v>
      </c>
      <c r="AC84" s="60" t="str">
        <f t="shared" si="26"/>
        <v>0.0</v>
      </c>
    </row>
    <row r="85" spans="1:29" s="60" customFormat="1" x14ac:dyDescent="0.25">
      <c r="A85" s="60" t="s">
        <v>12</v>
      </c>
      <c r="B85" s="60" t="s">
        <v>170</v>
      </c>
      <c r="C85" s="60" t="s">
        <v>166</v>
      </c>
      <c r="D85" s="60" t="s">
        <v>167</v>
      </c>
      <c r="E85" s="60">
        <v>5</v>
      </c>
      <c r="F85" s="60" t="str">
        <f t="shared" si="20"/>
        <v>52.0</v>
      </c>
      <c r="G85" s="60" t="str">
        <f t="shared" si="27"/>
        <v>26.0</v>
      </c>
      <c r="H85" s="60" t="str">
        <f t="shared" si="27"/>
        <v>5.6</v>
      </c>
      <c r="I85" s="60" t="str">
        <f t="shared" si="27"/>
        <v>3.2</v>
      </c>
      <c r="J85" s="60" t="str">
        <f t="shared" si="27"/>
        <v>8.8</v>
      </c>
      <c r="K85" s="60" t="str">
        <f t="shared" si="27"/>
        <v>34.8</v>
      </c>
      <c r="L85" s="60" t="str">
        <f t="shared" si="27"/>
        <v>28.5</v>
      </c>
      <c r="N85" s="60" t="str">
        <f t="shared" si="27"/>
        <v>25.8</v>
      </c>
      <c r="O85" s="60" t="str">
        <f t="shared" si="27"/>
        <v>0.0</v>
      </c>
      <c r="P85" s="60" t="str">
        <f t="shared" si="27"/>
        <v>0.0</v>
      </c>
      <c r="Q85" s="60" t="str">
        <f t="shared" si="27"/>
        <v>0.0</v>
      </c>
      <c r="R85" s="60" t="str">
        <f t="shared" si="27"/>
        <v>0.8</v>
      </c>
      <c r="S85" s="60" t="str">
        <f t="shared" si="27"/>
        <v>1.8</v>
      </c>
      <c r="T85" s="60" t="str">
        <f t="shared" si="27"/>
        <v>7.1</v>
      </c>
      <c r="U85" s="60" t="str">
        <f t="shared" si="27"/>
        <v>2.0</v>
      </c>
      <c r="V85" s="60" t="str">
        <f t="shared" si="27"/>
        <v>0.5</v>
      </c>
      <c r="W85" s="60" t="str">
        <f t="shared" si="23"/>
        <v>6.2</v>
      </c>
      <c r="X85" s="60" t="str">
        <f t="shared" si="24"/>
        <v>3.3</v>
      </c>
      <c r="Y85" s="60" t="str">
        <f t="shared" si="25"/>
        <v>4.4</v>
      </c>
      <c r="Z85" s="60" t="str">
        <f t="shared" si="26"/>
        <v>0.0</v>
      </c>
      <c r="AA85" s="60" t="str">
        <f t="shared" si="26"/>
        <v>0.0</v>
      </c>
      <c r="AB85" s="60" t="str">
        <f t="shared" si="26"/>
        <v>0.0</v>
      </c>
      <c r="AC85" s="60" t="str">
        <f t="shared" si="26"/>
        <v>0.0</v>
      </c>
    </row>
    <row r="86" spans="1:29" s="60" customFormat="1" x14ac:dyDescent="0.25">
      <c r="A86" s="60" t="s">
        <v>12</v>
      </c>
      <c r="B86" s="60" t="s">
        <v>170</v>
      </c>
      <c r="C86" s="60" t="s">
        <v>166</v>
      </c>
      <c r="D86" s="60" t="s">
        <v>168</v>
      </c>
      <c r="E86" s="60">
        <v>1</v>
      </c>
      <c r="F86" s="60" t="str">
        <f t="shared" si="20"/>
        <v>96.0</v>
      </c>
      <c r="G86" s="60" t="str">
        <f t="shared" si="27"/>
        <v>0.0</v>
      </c>
      <c r="H86" s="60" t="str">
        <f t="shared" si="27"/>
        <v>0.0</v>
      </c>
      <c r="I86" s="60" t="str">
        <f t="shared" si="27"/>
        <v>0.0</v>
      </c>
      <c r="J86" s="60" t="str">
        <f t="shared" si="27"/>
        <v>0.0</v>
      </c>
      <c r="K86" s="60" t="str">
        <f t="shared" si="27"/>
        <v>0.0</v>
      </c>
      <c r="L86" s="60" t="str">
        <f t="shared" si="27"/>
        <v>0.0</v>
      </c>
      <c r="N86" s="60" t="str">
        <f t="shared" si="27"/>
        <v>1.7</v>
      </c>
      <c r="O86" s="60" t="str">
        <f t="shared" si="27"/>
        <v>0.0</v>
      </c>
      <c r="P86" s="60" t="str">
        <f t="shared" si="27"/>
        <v>0.0</v>
      </c>
      <c r="Q86" s="60" t="str">
        <f t="shared" si="27"/>
        <v>0.0</v>
      </c>
      <c r="R86" s="60" t="str">
        <f t="shared" si="27"/>
        <v>0.0</v>
      </c>
      <c r="S86" s="60" t="str">
        <f t="shared" si="27"/>
        <v>0.0</v>
      </c>
      <c r="T86" s="60" t="str">
        <f t="shared" si="27"/>
        <v>0.0</v>
      </c>
      <c r="U86" s="60" t="str">
        <f t="shared" si="27"/>
        <v>0.0</v>
      </c>
      <c r="V86" s="60" t="str">
        <f t="shared" si="27"/>
        <v>0.0</v>
      </c>
      <c r="W86" s="60" t="str">
        <f t="shared" si="23"/>
        <v>0.0</v>
      </c>
      <c r="X86" s="60" t="str">
        <f t="shared" si="24"/>
        <v>0.0</v>
      </c>
      <c r="Y86" s="60" t="str">
        <f t="shared" si="25"/>
        <v>0.0</v>
      </c>
      <c r="Z86" s="60" t="str">
        <f t="shared" si="26"/>
        <v>0.0</v>
      </c>
      <c r="AA86" s="60" t="str">
        <f t="shared" si="26"/>
        <v>0.0</v>
      </c>
      <c r="AB86" s="60" t="str">
        <f t="shared" si="26"/>
        <v>0.0</v>
      </c>
      <c r="AC86" s="60" t="str">
        <f t="shared" si="26"/>
        <v>0.0</v>
      </c>
    </row>
    <row r="87" spans="1:29" s="60" customFormat="1" x14ac:dyDescent="0.25">
      <c r="A87" s="60" t="s">
        <v>11</v>
      </c>
      <c r="B87" s="60" t="s">
        <v>169</v>
      </c>
      <c r="C87" s="60" t="s">
        <v>165</v>
      </c>
      <c r="D87" s="60" t="s">
        <v>167</v>
      </c>
      <c r="E87" s="60">
        <v>10</v>
      </c>
      <c r="F87" s="60" t="str">
        <f t="shared" si="20"/>
        <v>7.2</v>
      </c>
      <c r="G87" s="60" t="str">
        <f t="shared" si="27"/>
        <v>73.2</v>
      </c>
      <c r="H87" s="60" t="str">
        <f t="shared" si="27"/>
        <v>7.6</v>
      </c>
      <c r="I87" s="60" t="str">
        <f t="shared" si="27"/>
        <v>4.2</v>
      </c>
      <c r="J87" s="60" t="str">
        <f t="shared" si="27"/>
        <v>11.8</v>
      </c>
      <c r="K87" s="60" t="str">
        <f t="shared" si="27"/>
        <v>85.0</v>
      </c>
      <c r="L87" s="60" t="str">
        <f t="shared" si="27"/>
        <v>40.2</v>
      </c>
      <c r="N87" s="60" t="str">
        <f t="shared" si="27"/>
        <v>37.0</v>
      </c>
      <c r="O87" s="60" t="str">
        <f t="shared" si="27"/>
        <v>338.9</v>
      </c>
      <c r="P87" s="60" t="str">
        <f t="shared" si="27"/>
        <v>395.2</v>
      </c>
      <c r="Q87" s="60" t="str">
        <f t="shared" si="27"/>
        <v>537.6</v>
      </c>
      <c r="R87" s="60" t="str">
        <f t="shared" si="27"/>
        <v>9.8</v>
      </c>
      <c r="S87" s="60" t="str">
        <f t="shared" si="27"/>
        <v>2.1</v>
      </c>
      <c r="T87" s="60" t="str">
        <f t="shared" si="27"/>
        <v>3.7</v>
      </c>
      <c r="U87" s="60" t="str">
        <f t="shared" si="27"/>
        <v>1.1</v>
      </c>
      <c r="V87" s="60" t="str">
        <f t="shared" si="27"/>
        <v>1.2</v>
      </c>
      <c r="W87" s="60" t="str">
        <f t="shared" si="23"/>
        <v>2.9</v>
      </c>
      <c r="X87" s="60" t="str">
        <f t="shared" si="24"/>
        <v>4.1</v>
      </c>
      <c r="Y87" s="60" t="str">
        <f t="shared" si="25"/>
        <v>5.1</v>
      </c>
      <c r="Z87" s="60" t="str">
        <f t="shared" si="26"/>
        <v>53.1</v>
      </c>
      <c r="AA87" s="60" t="str">
        <f t="shared" si="26"/>
        <v>95.0</v>
      </c>
      <c r="AB87" s="60" t="str">
        <f t="shared" si="26"/>
        <v>99.5</v>
      </c>
      <c r="AC87" s="60" t="str">
        <f t="shared" si="26"/>
        <v>2.9</v>
      </c>
    </row>
    <row r="88" spans="1:29" s="60" customFormat="1" x14ac:dyDescent="0.25">
      <c r="A88" s="60" t="s">
        <v>11</v>
      </c>
      <c r="B88" s="60" t="s">
        <v>169</v>
      </c>
      <c r="C88" s="60" t="s">
        <v>165</v>
      </c>
      <c r="D88" s="60" t="s">
        <v>168</v>
      </c>
      <c r="E88" s="60">
        <v>2</v>
      </c>
      <c r="F88" s="60" t="str">
        <f t="shared" si="20"/>
        <v>56.0</v>
      </c>
      <c r="G88" s="60" t="str">
        <f t="shared" si="27"/>
        <v>2.0</v>
      </c>
      <c r="H88" s="60" t="str">
        <f t="shared" si="27"/>
        <v>0.0</v>
      </c>
      <c r="I88" s="60" t="str">
        <f t="shared" si="27"/>
        <v>0.0</v>
      </c>
      <c r="J88" s="60" t="str">
        <f t="shared" si="27"/>
        <v>0.0</v>
      </c>
      <c r="K88" s="60" t="str">
        <f t="shared" si="27"/>
        <v>2.0</v>
      </c>
      <c r="L88" s="60" t="str">
        <f t="shared" si="27"/>
        <v>0.0</v>
      </c>
      <c r="N88" s="60" t="str">
        <f t="shared" si="27"/>
        <v>8.8</v>
      </c>
      <c r="O88" s="60" t="str">
        <f t="shared" si="27"/>
        <v>0.0</v>
      </c>
      <c r="P88" s="60" t="str">
        <f t="shared" si="27"/>
        <v>0.0</v>
      </c>
      <c r="Q88" s="60" t="str">
        <f t="shared" si="27"/>
        <v>0.0</v>
      </c>
      <c r="R88" s="60" t="str">
        <f t="shared" si="27"/>
        <v>6.0</v>
      </c>
      <c r="S88" s="60" t="str">
        <f t="shared" si="27"/>
        <v>24.0</v>
      </c>
      <c r="T88" s="60" t="str">
        <f t="shared" si="27"/>
        <v>2.0</v>
      </c>
      <c r="U88" s="60" t="str">
        <f t="shared" si="27"/>
        <v>0.0</v>
      </c>
      <c r="V88" s="60" t="str">
        <f t="shared" si="27"/>
        <v>0.0</v>
      </c>
      <c r="W88" s="60" t="str">
        <f t="shared" si="23"/>
        <v>2.0</v>
      </c>
      <c r="X88" s="60" t="str">
        <f t="shared" si="24"/>
        <v>0.0</v>
      </c>
      <c r="Y88" s="60" t="str">
        <f t="shared" si="25"/>
        <v>3.6</v>
      </c>
      <c r="Z88" s="60" t="str">
        <f t="shared" si="26"/>
        <v>0.0</v>
      </c>
      <c r="AA88" s="60" t="str">
        <f t="shared" si="26"/>
        <v>0.0</v>
      </c>
      <c r="AB88" s="60" t="str">
        <f t="shared" si="26"/>
        <v>0.0</v>
      </c>
      <c r="AC88" s="60" t="str">
        <f t="shared" si="26"/>
        <v>0.0</v>
      </c>
    </row>
    <row r="89" spans="1:29" s="60" customFormat="1" x14ac:dyDescent="0.25">
      <c r="A89" s="60" t="s">
        <v>11</v>
      </c>
      <c r="B89" s="60" t="s">
        <v>169</v>
      </c>
      <c r="C89" s="60" t="s">
        <v>166</v>
      </c>
      <c r="D89" s="60" t="s">
        <v>167</v>
      </c>
      <c r="E89" s="60">
        <v>5</v>
      </c>
      <c r="F89" s="60" t="str">
        <f t="shared" si="20"/>
        <v>2.4</v>
      </c>
      <c r="G89" s="60" t="str">
        <f t="shared" si="27"/>
        <v>79.2</v>
      </c>
      <c r="H89" s="60" t="str">
        <f t="shared" si="27"/>
        <v>14.4</v>
      </c>
      <c r="I89" s="60" t="str">
        <f t="shared" si="27"/>
        <v>2.0</v>
      </c>
      <c r="J89" s="60" t="str">
        <f t="shared" si="27"/>
        <v>16.4</v>
      </c>
      <c r="K89" s="60" t="str">
        <f t="shared" si="27"/>
        <v>95.6</v>
      </c>
      <c r="L89" s="60" t="str">
        <f t="shared" si="27"/>
        <v>67.7</v>
      </c>
      <c r="N89" s="60" t="str">
        <f t="shared" si="27"/>
        <v>38.1</v>
      </c>
      <c r="O89" s="60" t="str">
        <f t="shared" si="27"/>
        <v>0.0</v>
      </c>
      <c r="P89" s="60" t="str">
        <f t="shared" si="27"/>
        <v>0.0</v>
      </c>
      <c r="Q89" s="60" t="str">
        <f t="shared" si="27"/>
        <v>0.0</v>
      </c>
      <c r="R89" s="60" t="str">
        <f t="shared" si="27"/>
        <v>4.3</v>
      </c>
      <c r="S89" s="60" t="str">
        <f t="shared" si="27"/>
        <v>1.6</v>
      </c>
      <c r="T89" s="60" t="str">
        <f t="shared" si="27"/>
        <v>6.0</v>
      </c>
      <c r="U89" s="60" t="str">
        <f t="shared" si="27"/>
        <v>3.7</v>
      </c>
      <c r="V89" s="60" t="str">
        <f t="shared" si="27"/>
        <v>0.9</v>
      </c>
      <c r="W89" s="60" t="str">
        <f t="shared" si="23"/>
        <v>2.2</v>
      </c>
      <c r="X89" s="60" t="str">
        <f t="shared" si="24"/>
        <v>6.3</v>
      </c>
      <c r="Y89" s="60" t="str">
        <f t="shared" si="25"/>
        <v>5.5</v>
      </c>
      <c r="Z89" s="60" t="str">
        <f t="shared" si="26"/>
        <v>0.0</v>
      </c>
      <c r="AA89" s="60" t="str">
        <f t="shared" si="26"/>
        <v>0.0</v>
      </c>
      <c r="AB89" s="60" t="str">
        <f t="shared" si="26"/>
        <v>0.0</v>
      </c>
      <c r="AC89" s="60" t="str">
        <f t="shared" si="26"/>
        <v>0.0</v>
      </c>
    </row>
    <row r="90" spans="1:29" s="60" customFormat="1" x14ac:dyDescent="0.25">
      <c r="A90" s="60" t="s">
        <v>11</v>
      </c>
      <c r="B90" s="60" t="s">
        <v>169</v>
      </c>
      <c r="C90" s="60" t="s">
        <v>166</v>
      </c>
      <c r="D90" s="60" t="s">
        <v>168</v>
      </c>
      <c r="E90" s="60">
        <v>1</v>
      </c>
      <c r="F90" s="60" t="str">
        <f t="shared" si="20"/>
        <v>56.0</v>
      </c>
      <c r="G90" s="60" t="str">
        <f t="shared" si="27"/>
        <v>0.0</v>
      </c>
      <c r="H90" s="60" t="str">
        <f t="shared" si="27"/>
        <v>0.0</v>
      </c>
      <c r="I90" s="60" t="str">
        <f t="shared" si="27"/>
        <v>0.0</v>
      </c>
      <c r="J90" s="60" t="str">
        <f t="shared" si="27"/>
        <v>0.0</v>
      </c>
      <c r="K90" s="60" t="str">
        <f t="shared" si="27"/>
        <v>0.0</v>
      </c>
      <c r="L90" s="60" t="str">
        <f t="shared" si="27"/>
        <v>0.0</v>
      </c>
      <c r="N90" s="60" t="str">
        <f t="shared" si="27"/>
        <v>18.7</v>
      </c>
      <c r="O90" s="60" t="str">
        <f t="shared" si="27"/>
        <v>0.0</v>
      </c>
      <c r="P90" s="60" t="str">
        <f t="shared" si="27"/>
        <v>0.0</v>
      </c>
      <c r="Q90" s="60" t="str">
        <f t="shared" si="27"/>
        <v>0.0</v>
      </c>
      <c r="R90" s="60" t="str">
        <f t="shared" si="27"/>
        <v>0.0</v>
      </c>
      <c r="S90" s="60" t="str">
        <f t="shared" si="27"/>
        <v>0.0</v>
      </c>
      <c r="T90" s="60" t="str">
        <f t="shared" si="27"/>
        <v>0.0</v>
      </c>
      <c r="U90" s="60" t="str">
        <f t="shared" si="27"/>
        <v>0.0</v>
      </c>
      <c r="V90" s="60" t="str">
        <f t="shared" si="27"/>
        <v>0.0</v>
      </c>
      <c r="W90" s="60" t="str">
        <f t="shared" si="23"/>
        <v>0.0</v>
      </c>
      <c r="X90" s="60" t="str">
        <f t="shared" si="24"/>
        <v>0.0</v>
      </c>
      <c r="Y90" s="60" t="str">
        <f t="shared" si="25"/>
        <v>0.0</v>
      </c>
      <c r="Z90" s="60" t="str">
        <f t="shared" si="26"/>
        <v>0.0</v>
      </c>
      <c r="AA90" s="60" t="str">
        <f t="shared" si="26"/>
        <v>0.0</v>
      </c>
      <c r="AB90" s="60" t="str">
        <f t="shared" si="26"/>
        <v>0.0</v>
      </c>
      <c r="AC90" s="60" t="str">
        <f t="shared" si="26"/>
        <v>0.0</v>
      </c>
    </row>
    <row r="91" spans="1:29" s="60" customFormat="1" x14ac:dyDescent="0.25">
      <c r="A91" s="60" t="s">
        <v>11</v>
      </c>
      <c r="B91" s="60" t="s">
        <v>170</v>
      </c>
      <c r="C91" s="60" t="s">
        <v>165</v>
      </c>
      <c r="D91" s="60" t="s">
        <v>167</v>
      </c>
      <c r="E91" s="60">
        <v>10</v>
      </c>
      <c r="F91" s="60" t="str">
        <f t="shared" si="20"/>
        <v>7.2</v>
      </c>
      <c r="G91" s="60" t="str">
        <f t="shared" si="27"/>
        <v>81.6</v>
      </c>
      <c r="H91" s="60" t="str">
        <f t="shared" si="27"/>
        <v>8.6</v>
      </c>
      <c r="I91" s="60" t="str">
        <f t="shared" si="27"/>
        <v>1.8</v>
      </c>
      <c r="J91" s="60" t="str">
        <f t="shared" si="27"/>
        <v>10.4</v>
      </c>
      <c r="K91" s="60" t="str">
        <f t="shared" si="27"/>
        <v>92.0</v>
      </c>
      <c r="L91" s="60" t="str">
        <f t="shared" si="27"/>
        <v>49.9</v>
      </c>
      <c r="N91" s="60" t="str">
        <f t="shared" si="27"/>
        <v>34.0</v>
      </c>
      <c r="O91" s="60" t="str">
        <f t="shared" si="27"/>
        <v>0.0</v>
      </c>
      <c r="P91" s="60" t="str">
        <f t="shared" si="27"/>
        <v>0.0</v>
      </c>
      <c r="Q91" s="60" t="str">
        <f t="shared" si="27"/>
        <v>0.0</v>
      </c>
      <c r="R91" s="60" t="str">
        <f t="shared" si="27"/>
        <v>2.2</v>
      </c>
      <c r="S91" s="60" t="str">
        <f t="shared" si="27"/>
        <v>4.4</v>
      </c>
      <c r="T91" s="60" t="str">
        <f t="shared" si="27"/>
        <v>5.3</v>
      </c>
      <c r="U91" s="60" t="str">
        <f t="shared" si="27"/>
        <v>1.3</v>
      </c>
      <c r="V91" s="60" t="str">
        <f t="shared" si="27"/>
        <v>0.8</v>
      </c>
      <c r="W91" s="60" t="str">
        <f t="shared" si="23"/>
        <v>4.4</v>
      </c>
      <c r="X91" s="60" t="str">
        <f t="shared" si="24"/>
        <v>4.5</v>
      </c>
      <c r="Y91" s="60" t="str">
        <f t="shared" si="25"/>
        <v>4.4</v>
      </c>
      <c r="Z91" s="60" t="str">
        <f t="shared" si="26"/>
        <v>0.0</v>
      </c>
      <c r="AA91" s="60" t="str">
        <f t="shared" si="26"/>
        <v>0.0</v>
      </c>
      <c r="AB91" s="60" t="str">
        <f t="shared" si="26"/>
        <v>0.0</v>
      </c>
      <c r="AC91" s="60" t="str">
        <f t="shared" si="26"/>
        <v>0.0</v>
      </c>
    </row>
    <row r="92" spans="1:29" s="60" customFormat="1" x14ac:dyDescent="0.25">
      <c r="A92" s="60" t="s">
        <v>11</v>
      </c>
      <c r="B92" s="60" t="s">
        <v>170</v>
      </c>
      <c r="C92" s="60" t="s">
        <v>165</v>
      </c>
      <c r="D92" s="60" t="s">
        <v>168</v>
      </c>
      <c r="E92" s="60">
        <v>2</v>
      </c>
      <c r="F92" s="60" t="str">
        <f t="shared" si="20"/>
        <v>92.0</v>
      </c>
      <c r="G92" s="60" t="str">
        <f t="shared" si="27"/>
        <v>0.0</v>
      </c>
      <c r="H92" s="60" t="str">
        <f t="shared" si="27"/>
        <v>0.0</v>
      </c>
      <c r="I92" s="60" t="str">
        <f t="shared" si="27"/>
        <v>0.0</v>
      </c>
      <c r="J92" s="60" t="str">
        <f t="shared" si="27"/>
        <v>0.0</v>
      </c>
      <c r="K92" s="60" t="str">
        <f t="shared" si="27"/>
        <v>0.0</v>
      </c>
      <c r="L92" s="60" t="str">
        <f t="shared" si="27"/>
        <v>0.0</v>
      </c>
      <c r="N92" s="60" t="str">
        <f t="shared" si="27"/>
        <v>10.0</v>
      </c>
      <c r="O92" s="60" t="str">
        <f t="shared" si="27"/>
        <v>0.0</v>
      </c>
      <c r="P92" s="60" t="str">
        <f t="shared" si="27"/>
        <v>0.0</v>
      </c>
      <c r="Q92" s="60" t="str">
        <f t="shared" si="27"/>
        <v>0.0</v>
      </c>
      <c r="R92" s="60" t="str">
        <f t="shared" si="27"/>
        <v>2.0</v>
      </c>
      <c r="S92" s="60" t="str">
        <f t="shared" si="27"/>
        <v>4.0</v>
      </c>
      <c r="T92" s="60" t="str">
        <f t="shared" si="27"/>
        <v>0.0</v>
      </c>
      <c r="U92" s="60" t="str">
        <f t="shared" si="27"/>
        <v>0.0</v>
      </c>
      <c r="V92" s="60" t="str">
        <f t="shared" si="27"/>
        <v>0.0</v>
      </c>
      <c r="W92" s="60" t="str">
        <f t="shared" si="23"/>
        <v>0.0</v>
      </c>
      <c r="X92" s="60" t="str">
        <f t="shared" si="24"/>
        <v>0.0</v>
      </c>
      <c r="Y92" s="60" t="str">
        <f t="shared" si="25"/>
        <v>1.0</v>
      </c>
      <c r="Z92" s="60" t="str">
        <f t="shared" si="26"/>
        <v>0.0</v>
      </c>
      <c r="AA92" s="60" t="str">
        <f t="shared" si="26"/>
        <v>0.0</v>
      </c>
      <c r="AB92" s="60" t="str">
        <f t="shared" si="26"/>
        <v>0.0</v>
      </c>
      <c r="AC92" s="60" t="str">
        <f t="shared" si="26"/>
        <v>0.0</v>
      </c>
    </row>
    <row r="93" spans="1:29" s="60" customFormat="1" x14ac:dyDescent="0.25">
      <c r="A93" s="60" t="s">
        <v>11</v>
      </c>
      <c r="B93" s="60" t="s">
        <v>170</v>
      </c>
      <c r="C93" s="60" t="s">
        <v>166</v>
      </c>
      <c r="D93" s="60" t="s">
        <v>167</v>
      </c>
      <c r="E93" s="60">
        <v>5</v>
      </c>
      <c r="F93" s="60" t="str">
        <f t="shared" si="20"/>
        <v>4.8</v>
      </c>
      <c r="G93" s="60" t="str">
        <f t="shared" si="27"/>
        <v>81.6</v>
      </c>
      <c r="H93" s="60" t="str">
        <f t="shared" si="27"/>
        <v>10.4</v>
      </c>
      <c r="I93" s="60" t="str">
        <f t="shared" si="27"/>
        <v>1.6</v>
      </c>
      <c r="J93" s="60" t="str">
        <f t="shared" si="27"/>
        <v>12.0</v>
      </c>
      <c r="K93" s="60" t="str">
        <f t="shared" si="27"/>
        <v>93.6</v>
      </c>
      <c r="L93" s="60" t="str">
        <f t="shared" si="27"/>
        <v>49.7</v>
      </c>
      <c r="N93" s="60" t="str">
        <f t="shared" si="27"/>
        <v>33.9</v>
      </c>
      <c r="O93" s="60" t="str">
        <f t="shared" si="27"/>
        <v>0.0</v>
      </c>
      <c r="P93" s="60" t="str">
        <f t="shared" si="27"/>
        <v>0.0</v>
      </c>
      <c r="Q93" s="60" t="str">
        <f t="shared" si="27"/>
        <v>0.0</v>
      </c>
      <c r="R93" s="60" t="str">
        <f t="shared" si="27"/>
        <v>21.5</v>
      </c>
      <c r="S93" s="60" t="str">
        <f t="shared" si="27"/>
        <v>2.3</v>
      </c>
      <c r="T93" s="60" t="str">
        <f t="shared" si="27"/>
        <v>2.7</v>
      </c>
      <c r="U93" s="60" t="str">
        <f t="shared" si="27"/>
        <v>1.6</v>
      </c>
      <c r="V93" s="60" t="str">
        <f t="shared" si="27"/>
        <v>0.7</v>
      </c>
      <c r="W93" s="60" t="str">
        <f t="shared" si="23"/>
        <v>1.5</v>
      </c>
      <c r="X93" s="60" t="str">
        <f t="shared" si="24"/>
        <v>4.9</v>
      </c>
      <c r="Y93" s="60" t="str">
        <f t="shared" si="25"/>
        <v>5.0</v>
      </c>
      <c r="Z93" s="60" t="str">
        <f t="shared" si="26"/>
        <v>0.0</v>
      </c>
      <c r="AA93" s="60" t="str">
        <f t="shared" si="26"/>
        <v>0.0</v>
      </c>
      <c r="AB93" s="60" t="str">
        <f t="shared" si="26"/>
        <v>0.0</v>
      </c>
      <c r="AC93" s="60" t="str">
        <f t="shared" si="26"/>
        <v>0.0</v>
      </c>
    </row>
    <row r="94" spans="1:29" s="60" customFormat="1" x14ac:dyDescent="0.25">
      <c r="A94" s="60" t="s">
        <v>11</v>
      </c>
      <c r="B94" s="60" t="s">
        <v>170</v>
      </c>
      <c r="C94" s="60" t="s">
        <v>166</v>
      </c>
      <c r="D94" s="60" t="s">
        <v>168</v>
      </c>
      <c r="E94" s="60">
        <v>1</v>
      </c>
      <c r="F94" s="60" t="str">
        <f t="shared" si="20"/>
        <v>100.0</v>
      </c>
      <c r="G94" s="60" t="str">
        <f t="shared" si="27"/>
        <v>0.0</v>
      </c>
      <c r="H94" s="60" t="str">
        <f t="shared" si="27"/>
        <v>0.0</v>
      </c>
      <c r="I94" s="60" t="str">
        <f t="shared" si="27"/>
        <v>0.0</v>
      </c>
      <c r="J94" s="60" t="str">
        <f t="shared" si="27"/>
        <v>0.0</v>
      </c>
      <c r="K94" s="60" t="str">
        <f t="shared" si="27"/>
        <v>0.0</v>
      </c>
      <c r="L94" s="60" t="str">
        <f t="shared" si="27"/>
        <v>0.0</v>
      </c>
      <c r="N94" s="60" t="str">
        <f t="shared" si="27"/>
        <v>2.0</v>
      </c>
      <c r="O94" s="60" t="str">
        <f t="shared" si="27"/>
        <v>0.0</v>
      </c>
      <c r="P94" s="60" t="str">
        <f t="shared" si="27"/>
        <v>0.0</v>
      </c>
      <c r="Q94" s="60" t="str">
        <f t="shared" si="27"/>
        <v>0.0</v>
      </c>
      <c r="R94" s="60" t="str">
        <f t="shared" si="27"/>
        <v>0.0</v>
      </c>
      <c r="S94" s="60" t="str">
        <f t="shared" si="27"/>
        <v>0.0</v>
      </c>
      <c r="T94" s="60" t="str">
        <f t="shared" si="27"/>
        <v>0.0</v>
      </c>
      <c r="U94" s="60" t="str">
        <f t="shared" si="27"/>
        <v>0.0</v>
      </c>
      <c r="V94" s="60" t="str">
        <f t="shared" si="27"/>
        <v>0.0</v>
      </c>
      <c r="W94" s="60" t="str">
        <f t="shared" si="23"/>
        <v>0.0</v>
      </c>
      <c r="X94" s="60" t="str">
        <f t="shared" si="24"/>
        <v>0.0</v>
      </c>
      <c r="Y94" s="60" t="str">
        <f t="shared" si="25"/>
        <v>0.0</v>
      </c>
      <c r="Z94" s="60" t="str">
        <f t="shared" si="27"/>
        <v>0.0</v>
      </c>
      <c r="AA94" s="60" t="str">
        <f t="shared" ref="G94:AC95" si="28">TEXT(AA40,"#,#0.0")</f>
        <v>0.0</v>
      </c>
      <c r="AB94" s="60" t="str">
        <f t="shared" si="28"/>
        <v>0.0</v>
      </c>
      <c r="AC94" s="60" t="str">
        <f t="shared" si="28"/>
        <v>0.0</v>
      </c>
    </row>
    <row r="95" spans="1:29" x14ac:dyDescent="0.25">
      <c r="F95" s="60" t="str">
        <f t="shared" si="20"/>
        <v>0.0</v>
      </c>
      <c r="G95" s="60" t="str">
        <f t="shared" si="28"/>
        <v>0.0</v>
      </c>
      <c r="H95" s="60" t="str">
        <f t="shared" si="28"/>
        <v>0.0</v>
      </c>
      <c r="I95" s="60" t="str">
        <f t="shared" si="28"/>
        <v>0.0</v>
      </c>
      <c r="J95" s="60" t="str">
        <f t="shared" si="28"/>
        <v>0.0</v>
      </c>
      <c r="K95" s="60" t="str">
        <f t="shared" si="28"/>
        <v>0.0</v>
      </c>
      <c r="L95" s="60" t="str">
        <f t="shared" si="28"/>
        <v>0.0</v>
      </c>
      <c r="M95" s="60"/>
      <c r="N95" s="60" t="str">
        <f t="shared" si="28"/>
        <v>0.0</v>
      </c>
      <c r="O95" s="60" t="str">
        <f t="shared" si="28"/>
        <v>0.0</v>
      </c>
      <c r="P95" s="60" t="str">
        <f t="shared" si="28"/>
        <v>0.0</v>
      </c>
      <c r="Q95" s="60" t="str">
        <f t="shared" si="28"/>
        <v>0.0</v>
      </c>
      <c r="R95" s="60" t="str">
        <f t="shared" si="28"/>
        <v>0.0</v>
      </c>
      <c r="S95" s="60" t="str">
        <f t="shared" si="28"/>
        <v>0.0</v>
      </c>
      <c r="T95" s="60" t="str">
        <f t="shared" si="28"/>
        <v>0.0</v>
      </c>
      <c r="U95" s="60" t="str">
        <f t="shared" si="28"/>
        <v>0.0</v>
      </c>
      <c r="V95" s="60" t="str">
        <f t="shared" si="28"/>
        <v>0.0</v>
      </c>
      <c r="W95" s="60" t="str">
        <f t="shared" si="23"/>
        <v>0.0</v>
      </c>
      <c r="X95" s="60" t="str">
        <f t="shared" si="24"/>
        <v>0.0</v>
      </c>
      <c r="Y95" s="60" t="str">
        <f t="shared" si="25"/>
        <v>0.0</v>
      </c>
      <c r="Z95" s="60" t="str">
        <f t="shared" si="28"/>
        <v>0.0</v>
      </c>
      <c r="AA95" s="60" t="str">
        <f t="shared" si="28"/>
        <v>0.0</v>
      </c>
      <c r="AB95" s="60" t="str">
        <f t="shared" si="28"/>
        <v>0.0</v>
      </c>
      <c r="AC95" s="60" t="str">
        <f t="shared" si="28"/>
        <v>0.0</v>
      </c>
    </row>
    <row r="116" spans="5:5" x14ac:dyDescent="0.25">
      <c r="E116" s="58">
        <f>(64+48)/2</f>
        <v>56</v>
      </c>
    </row>
    <row r="117" spans="5:5" x14ac:dyDescent="0.25">
      <c r="E117" s="58">
        <f>(67+50)/2</f>
        <v>58.5</v>
      </c>
    </row>
    <row r="118" spans="5:5" x14ac:dyDescent="0.25">
      <c r="E118" s="58">
        <f>(74+55)/2</f>
        <v>64.5</v>
      </c>
    </row>
    <row r="119" spans="5:5" x14ac:dyDescent="0.25">
      <c r="E119" s="58">
        <f>AVERAGE(E116:E118)</f>
        <v>59.666666666666664</v>
      </c>
    </row>
  </sheetData>
  <mergeCells count="10">
    <mergeCell ref="N2:O2"/>
    <mergeCell ref="P2:Q2"/>
    <mergeCell ref="R2:S2"/>
    <mergeCell ref="T2:U2"/>
    <mergeCell ref="B2:C2"/>
    <mergeCell ref="D2:E2"/>
    <mergeCell ref="F2:G2"/>
    <mergeCell ref="H2:I2"/>
    <mergeCell ref="J2:K2"/>
    <mergeCell ref="L2:M2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A17B7-7547-42C6-B706-11DDA16FE5ED}">
  <dimension ref="A3:J20"/>
  <sheetViews>
    <sheetView workbookViewId="0">
      <selection activeCell="A3" sqref="A3:J18"/>
    </sheetView>
  </sheetViews>
  <sheetFormatPr defaultRowHeight="15" x14ac:dyDescent="0.25"/>
  <cols>
    <col min="1" max="1" width="13.140625" bestFit="1" customWidth="1"/>
    <col min="2" max="2" width="17.85546875" bestFit="1" customWidth="1"/>
    <col min="3" max="3" width="18" bestFit="1" customWidth="1"/>
    <col min="4" max="4" width="15.28515625" bestFit="1" customWidth="1"/>
    <col min="5" max="5" width="17.42578125" bestFit="1" customWidth="1"/>
    <col min="6" max="6" width="17.5703125" bestFit="1" customWidth="1"/>
    <col min="7" max="7" width="14.7109375" bestFit="1" customWidth="1"/>
    <col min="8" max="8" width="16.7109375" bestFit="1" customWidth="1"/>
    <col min="9" max="9" width="17.28515625" bestFit="1" customWidth="1"/>
    <col min="10" max="10" width="15.42578125" bestFit="1" customWidth="1"/>
  </cols>
  <sheetData>
    <row r="3" spans="1:10" x14ac:dyDescent="0.25">
      <c r="A3" s="25" t="s">
        <v>32</v>
      </c>
      <c r="B3" t="s">
        <v>34</v>
      </c>
      <c r="C3" t="s">
        <v>35</v>
      </c>
      <c r="D3" t="s">
        <v>36</v>
      </c>
      <c r="E3" t="s">
        <v>37</v>
      </c>
      <c r="F3" t="s">
        <v>38</v>
      </c>
      <c r="G3" t="s">
        <v>39</v>
      </c>
      <c r="H3" t="s">
        <v>40</v>
      </c>
      <c r="I3" t="s">
        <v>41</v>
      </c>
      <c r="J3" t="s">
        <v>42</v>
      </c>
    </row>
    <row r="4" spans="1:10" x14ac:dyDescent="0.25">
      <c r="A4" s="26">
        <v>4</v>
      </c>
      <c r="B4">
        <v>6.3045489999999988</v>
      </c>
      <c r="C4">
        <v>20.339783333333337</v>
      </c>
      <c r="D4">
        <v>32.622809999999994</v>
      </c>
      <c r="E4">
        <v>158.4123165685221</v>
      </c>
      <c r="F4">
        <v>257.73294566852263</v>
      </c>
      <c r="G4">
        <v>63.546449999999993</v>
      </c>
      <c r="H4">
        <v>306.96718990598515</v>
      </c>
      <c r="I4">
        <v>10.933599999999998</v>
      </c>
      <c r="J4">
        <v>53.317000000000029</v>
      </c>
    </row>
    <row r="5" spans="1:10" x14ac:dyDescent="0.25">
      <c r="A5" s="26">
        <v>18</v>
      </c>
      <c r="B5">
        <v>8.4794030000000014</v>
      </c>
      <c r="C5">
        <v>20.7807</v>
      </c>
      <c r="D5">
        <v>45.671934</v>
      </c>
      <c r="E5">
        <v>667.75748832366787</v>
      </c>
      <c r="F5">
        <v>789.70866806054391</v>
      </c>
      <c r="G5">
        <v>83.208349999999982</v>
      </c>
      <c r="H5">
        <v>1201.277157171786</v>
      </c>
      <c r="I5">
        <v>14.210583333333332</v>
      </c>
      <c r="J5">
        <v>55.962500000000027</v>
      </c>
    </row>
    <row r="6" spans="1:10" x14ac:dyDescent="0.25">
      <c r="A6" s="26">
        <v>30</v>
      </c>
      <c r="B6">
        <v>8.710069333333335</v>
      </c>
      <c r="C6">
        <v>21.526866666666667</v>
      </c>
      <c r="D6">
        <v>47.055932000000006</v>
      </c>
      <c r="E6">
        <v>202.56229107383024</v>
      </c>
      <c r="F6">
        <v>259.41469815894902</v>
      </c>
      <c r="G6">
        <v>91.924449999999979</v>
      </c>
      <c r="H6">
        <v>387.40488214469724</v>
      </c>
      <c r="I6">
        <v>15.663266666666665</v>
      </c>
      <c r="J6">
        <v>60.43950000000001</v>
      </c>
    </row>
    <row r="7" spans="1:10" x14ac:dyDescent="0.25">
      <c r="A7" s="26">
        <v>32</v>
      </c>
      <c r="B7">
        <v>5.1182650000000001</v>
      </c>
      <c r="C7">
        <v>20.543283333333335</v>
      </c>
      <c r="D7">
        <v>25.505105999999998</v>
      </c>
      <c r="E7">
        <v>123.0535343953693</v>
      </c>
      <c r="F7">
        <v>263.41042657206685</v>
      </c>
      <c r="G7">
        <v>61.924849999999992</v>
      </c>
      <c r="H7">
        <v>299.0992459674448</v>
      </c>
      <c r="I7">
        <v>10.663333333333334</v>
      </c>
      <c r="J7">
        <v>54.538000000000018</v>
      </c>
    </row>
    <row r="8" spans="1:10" x14ac:dyDescent="0.25">
      <c r="A8" s="26">
        <v>33</v>
      </c>
      <c r="B8">
        <v>8.0839750000000006</v>
      </c>
      <c r="C8">
        <v>19.186616666666669</v>
      </c>
      <c r="D8">
        <v>43.299366000000013</v>
      </c>
      <c r="E8">
        <v>197.7514627330003</v>
      </c>
      <c r="F8">
        <v>210.74628888129772</v>
      </c>
      <c r="G8">
        <v>81.384049999999988</v>
      </c>
      <c r="H8">
        <v>369.55458094547924</v>
      </c>
      <c r="I8">
        <v>13.906533333333334</v>
      </c>
      <c r="J8">
        <v>46.398000000000003</v>
      </c>
    </row>
    <row r="9" spans="1:10" x14ac:dyDescent="0.25">
      <c r="A9" s="26">
        <v>43</v>
      </c>
      <c r="B9">
        <v>12.697301666666666</v>
      </c>
      <c r="C9">
        <v>22.680033333333338</v>
      </c>
      <c r="D9">
        <v>70.979326000000015</v>
      </c>
      <c r="E9">
        <v>335.94294832713427</v>
      </c>
      <c r="F9">
        <v>319.23439224365296</v>
      </c>
      <c r="G9">
        <v>91.924449999999993</v>
      </c>
      <c r="H9">
        <v>434.76720692972214</v>
      </c>
      <c r="I9">
        <v>15.663266666666667</v>
      </c>
      <c r="J9">
        <v>67.358500000000035</v>
      </c>
    </row>
    <row r="10" spans="1:10" x14ac:dyDescent="0.25">
      <c r="A10" s="26">
        <v>50</v>
      </c>
      <c r="B10">
        <v>14.279013666666666</v>
      </c>
      <c r="C10">
        <v>28.106700000000004</v>
      </c>
      <c r="D10">
        <v>80.469598000000005</v>
      </c>
      <c r="E10">
        <v>369.93843316255243</v>
      </c>
      <c r="F10">
        <v>458.97212688996211</v>
      </c>
      <c r="G10">
        <v>130.23474999999999</v>
      </c>
      <c r="H10">
        <v>600.25769188341144</v>
      </c>
      <c r="I10">
        <v>22.048316666666665</v>
      </c>
      <c r="J10">
        <v>99.918500000000009</v>
      </c>
    </row>
    <row r="11" spans="1:10" x14ac:dyDescent="0.25">
      <c r="A11" s="26">
        <v>51</v>
      </c>
      <c r="B11">
        <v>6.5022629999999992</v>
      </c>
      <c r="C11">
        <v>19.322283333333335</v>
      </c>
      <c r="D11">
        <v>33.809093999999995</v>
      </c>
      <c r="E11">
        <v>161.49789282120696</v>
      </c>
      <c r="F11">
        <v>225.90834770944082</v>
      </c>
      <c r="G11">
        <v>70.032849999999982</v>
      </c>
      <c r="H11">
        <v>334.19665672492897</v>
      </c>
      <c r="I11">
        <v>12.014666666666665</v>
      </c>
      <c r="J11">
        <v>47.212000000000018</v>
      </c>
    </row>
    <row r="12" spans="1:10" x14ac:dyDescent="0.25">
      <c r="A12" s="26">
        <v>64</v>
      </c>
      <c r="B12">
        <v>17.870817999999996</v>
      </c>
      <c r="C12">
        <v>36.823283333333336</v>
      </c>
      <c r="D12">
        <v>102.02042399999999</v>
      </c>
      <c r="E12">
        <v>493.83242469102197</v>
      </c>
      <c r="F12">
        <v>736.47987598145198</v>
      </c>
      <c r="G12">
        <v>184.55835000000002</v>
      </c>
      <c r="H12">
        <v>896.51195698691765</v>
      </c>
      <c r="I12">
        <v>31.102249999999998</v>
      </c>
      <c r="J12">
        <v>152.21799999999999</v>
      </c>
    </row>
    <row r="13" spans="1:10" x14ac:dyDescent="0.25">
      <c r="A13" s="26">
        <v>71</v>
      </c>
      <c r="B13">
        <v>13.685871666666666</v>
      </c>
      <c r="C13">
        <v>20.339783333333333</v>
      </c>
      <c r="D13">
        <v>76.910746000000003</v>
      </c>
      <c r="E13">
        <v>333.53722801830452</v>
      </c>
      <c r="F13">
        <v>235.5411867736907</v>
      </c>
      <c r="G13">
        <v>97.60005000000001</v>
      </c>
      <c r="H13">
        <v>422.252740483634</v>
      </c>
      <c r="I13">
        <v>16.609200000000001</v>
      </c>
      <c r="J13">
        <v>53.317</v>
      </c>
    </row>
    <row r="14" spans="1:10" x14ac:dyDescent="0.25">
      <c r="A14" s="26">
        <v>92</v>
      </c>
      <c r="B14">
        <v>10.456543000000002</v>
      </c>
      <c r="C14">
        <v>26.207366666666669</v>
      </c>
      <c r="D14">
        <v>57.534773999999999</v>
      </c>
      <c r="E14">
        <v>254.08067767841933</v>
      </c>
      <c r="F14">
        <v>389.01569780217778</v>
      </c>
      <c r="G14">
        <v>129.62665000000001</v>
      </c>
      <c r="H14">
        <v>573.22820498574458</v>
      </c>
      <c r="I14">
        <v>21.946966666666665</v>
      </c>
      <c r="J14">
        <v>88.522499999999994</v>
      </c>
    </row>
    <row r="15" spans="1:10" x14ac:dyDescent="0.25">
      <c r="A15" s="26">
        <v>96</v>
      </c>
      <c r="B15">
        <v>10.357686000000001</v>
      </c>
      <c r="C15">
        <v>29.76861666666667</v>
      </c>
      <c r="D15">
        <v>56.941631999999998</v>
      </c>
      <c r="E15">
        <v>263.70447269490921</v>
      </c>
      <c r="F15">
        <v>508.56260672525019</v>
      </c>
      <c r="G15">
        <v>165.70725000000002</v>
      </c>
      <c r="H15">
        <v>766.33428570638671</v>
      </c>
      <c r="I15">
        <v>27.960399999999996</v>
      </c>
      <c r="J15">
        <v>109.89000000000003</v>
      </c>
    </row>
    <row r="16" spans="1:10" x14ac:dyDescent="0.25">
      <c r="A16" s="26">
        <v>97</v>
      </c>
      <c r="B16">
        <v>15.794821000000001</v>
      </c>
      <c r="C16">
        <v>31.701866666666671</v>
      </c>
      <c r="D16">
        <v>89.564442</v>
      </c>
      <c r="E16">
        <v>417.9913797766369</v>
      </c>
      <c r="F16">
        <v>565.8748539920083</v>
      </c>
      <c r="G16">
        <v>143.00485</v>
      </c>
      <c r="H16">
        <v>666.65541225345089</v>
      </c>
      <c r="I16">
        <v>24.176666666666666</v>
      </c>
      <c r="J16">
        <v>121.48950000000002</v>
      </c>
    </row>
    <row r="17" spans="1:10" x14ac:dyDescent="0.25">
      <c r="A17" s="26">
        <v>100</v>
      </c>
      <c r="B17">
        <v>41.332879333333331</v>
      </c>
      <c r="C17">
        <v>25.088116666666668</v>
      </c>
      <c r="D17">
        <v>242.79279199999999</v>
      </c>
      <c r="E17">
        <v>1134.4406246602821</v>
      </c>
      <c r="F17">
        <v>382.66702745680232</v>
      </c>
      <c r="G17">
        <v>93.140649999999994</v>
      </c>
      <c r="H17">
        <v>435.46403101272591</v>
      </c>
      <c r="I17">
        <v>15.865966666666667</v>
      </c>
      <c r="J17">
        <v>81.807000000000031</v>
      </c>
    </row>
    <row r="18" spans="1:10" x14ac:dyDescent="0.25">
      <c r="A18" s="26">
        <v>108</v>
      </c>
      <c r="B18">
        <v>20.144528999999995</v>
      </c>
      <c r="C18">
        <v>30.514783333333337</v>
      </c>
      <c r="D18">
        <v>115.66269</v>
      </c>
      <c r="E18">
        <v>541.83025306616378</v>
      </c>
      <c r="F18">
        <v>531.97410802199727</v>
      </c>
      <c r="G18">
        <v>176.24765000000002</v>
      </c>
      <c r="H18">
        <v>821.29755047556762</v>
      </c>
      <c r="I18">
        <v>29.717133333333333</v>
      </c>
      <c r="J18">
        <v>114.36700000000003</v>
      </c>
    </row>
    <row r="19" spans="1:10" x14ac:dyDescent="0.25">
      <c r="A19" s="26" t="s">
        <v>31</v>
      </c>
      <c r="B19">
        <v>0.86741400000000002</v>
      </c>
      <c r="C19">
        <v>11.453616666666667</v>
      </c>
      <c r="D19">
        <v>5.2044839999999999</v>
      </c>
      <c r="E19" t="e">
        <v>#DIV/0!</v>
      </c>
      <c r="F19" t="e">
        <v>#DIV/0!</v>
      </c>
      <c r="G19">
        <v>2.0551500000000003</v>
      </c>
      <c r="H19" t="e">
        <v>#DIV/0!</v>
      </c>
      <c r="I19">
        <v>0.34252500000000002</v>
      </c>
      <c r="J19">
        <v>68.721699999999998</v>
      </c>
    </row>
    <row r="20" spans="1:10" x14ac:dyDescent="0.25">
      <c r="A20" s="26" t="s">
        <v>33</v>
      </c>
      <c r="B20">
        <v>12.542837604166666</v>
      </c>
      <c r="C20">
        <v>24.023981250000009</v>
      </c>
      <c r="D20">
        <v>70.377821874999995</v>
      </c>
      <c r="E20">
        <v>377.08889519940141</v>
      </c>
      <c r="F20">
        <v>409.0162167291877</v>
      </c>
      <c r="G20">
        <v>106.30440957446807</v>
      </c>
      <c r="H20">
        <v>567.68458623852553</v>
      </c>
      <c r="I20">
        <v>18.045351063829781</v>
      </c>
      <c r="J20">
        <v>79.717293750000053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0BF2E-8208-40E4-B5D5-889D9049C213}">
  <dimension ref="A1:AC932"/>
  <sheetViews>
    <sheetView topLeftCell="B25" workbookViewId="0">
      <selection activeCell="AC48" sqref="AC48"/>
    </sheetView>
  </sheetViews>
  <sheetFormatPr defaultColWidth="9.140625" defaultRowHeight="15" x14ac:dyDescent="0.25"/>
  <cols>
    <col min="1" max="1" width="4.7109375" customWidth="1"/>
    <col min="2" max="2" width="8.7109375" customWidth="1"/>
    <col min="3" max="5" width="6.140625" customWidth="1"/>
    <col min="6" max="6" width="9.7109375" style="2" bestFit="1" customWidth="1"/>
    <col min="7" max="7" width="14.7109375" style="2" customWidth="1"/>
    <col min="8" max="16" width="9.140625" style="2"/>
    <col min="17" max="17" width="11.42578125" style="8" customWidth="1"/>
    <col min="18" max="19" width="9.140625" style="8"/>
    <col min="20" max="22" width="9.140625" style="17"/>
    <col min="23" max="25" width="9.140625" style="19"/>
    <col min="26" max="26" width="9.140625" style="2"/>
    <col min="27" max="27" width="10.28515625" style="2" customWidth="1"/>
    <col min="28" max="16384" width="9.140625" style="2"/>
  </cols>
  <sheetData>
    <row r="1" spans="1:29" s="3" customFormat="1" ht="30.75" thickBot="1" x14ac:dyDescent="0.3">
      <c r="A1" s="34" t="s">
        <v>46</v>
      </c>
      <c r="B1" s="35" t="s">
        <v>2</v>
      </c>
      <c r="C1" s="35" t="s">
        <v>3</v>
      </c>
      <c r="D1" s="35" t="s">
        <v>4</v>
      </c>
      <c r="E1" s="36" t="s">
        <v>47</v>
      </c>
      <c r="F1" s="3" t="s">
        <v>17</v>
      </c>
      <c r="G1" s="3" t="s">
        <v>10</v>
      </c>
      <c r="H1" s="3" t="s">
        <v>2</v>
      </c>
      <c r="I1" s="3" t="s">
        <v>3</v>
      </c>
      <c r="J1" s="3" t="s">
        <v>4</v>
      </c>
      <c r="K1" s="3" t="s">
        <v>0</v>
      </c>
      <c r="L1" s="3" t="s">
        <v>5</v>
      </c>
      <c r="M1" s="3" t="s">
        <v>6</v>
      </c>
      <c r="N1" s="3" t="s">
        <v>7</v>
      </c>
      <c r="O1" s="3" t="s">
        <v>8</v>
      </c>
      <c r="P1" s="3" t="s">
        <v>9</v>
      </c>
      <c r="Q1" s="5" t="s">
        <v>18</v>
      </c>
      <c r="R1" s="5" t="s">
        <v>19</v>
      </c>
      <c r="S1" s="5" t="s">
        <v>20</v>
      </c>
      <c r="T1" s="6" t="s">
        <v>21</v>
      </c>
      <c r="U1" s="6" t="s">
        <v>22</v>
      </c>
      <c r="V1" s="6" t="s">
        <v>23</v>
      </c>
      <c r="W1" s="7" t="s">
        <v>24</v>
      </c>
      <c r="X1" s="7" t="s">
        <v>25</v>
      </c>
      <c r="Y1" s="7" t="s">
        <v>26</v>
      </c>
      <c r="AA1" s="20" t="s">
        <v>28</v>
      </c>
      <c r="AB1" s="20" t="s">
        <v>29</v>
      </c>
      <c r="AC1" s="20" t="s">
        <v>30</v>
      </c>
    </row>
    <row r="2" spans="1:29" ht="30.75" thickBot="1" x14ac:dyDescent="0.3">
      <c r="A2" s="30">
        <v>4</v>
      </c>
      <c r="B2" s="31" t="s">
        <v>11</v>
      </c>
      <c r="C2" s="31" t="s">
        <v>14</v>
      </c>
      <c r="D2" s="31" t="s">
        <v>15</v>
      </c>
      <c r="E2" s="31" t="s">
        <v>16</v>
      </c>
      <c r="F2" s="4">
        <v>43661</v>
      </c>
      <c r="G2" s="2">
        <v>4</v>
      </c>
      <c r="H2" s="2" t="s">
        <v>11</v>
      </c>
      <c r="I2" s="2" t="s">
        <v>14</v>
      </c>
      <c r="J2" s="2" t="s">
        <v>15</v>
      </c>
      <c r="K2" s="2" t="s">
        <v>16</v>
      </c>
      <c r="L2" s="2">
        <v>1</v>
      </c>
      <c r="M2" s="2">
        <v>200.8</v>
      </c>
      <c r="N2" s="2">
        <v>7.0000000000000007E-2</v>
      </c>
      <c r="O2" s="2">
        <v>0.105</v>
      </c>
      <c r="P2" s="2">
        <v>9.7000000000000003E-2</v>
      </c>
      <c r="Q2" s="8">
        <f>(AA$4*N2)+AA$5</f>
        <v>7.58969</v>
      </c>
      <c r="R2" s="9">
        <f t="shared" ref="R2:R41" si="0">(((Q2/1000)*6)*1000)-AVERAGE(R$47:R$49)</f>
        <v>40.333655999999998</v>
      </c>
      <c r="S2" s="9">
        <f>R2/(M2/1000)</f>
        <v>200.86482071713147</v>
      </c>
      <c r="T2" s="10">
        <f>(AA$13*(O2+0.1))+AA$14</f>
        <v>20.475450000000002</v>
      </c>
      <c r="U2" s="10">
        <f t="shared" ref="U2:U41" si="1">(((T2/1000)*6)*1000)-AVERAGE(U$47:U$49)</f>
        <v>54.131000000000014</v>
      </c>
      <c r="V2" s="10">
        <f>U2/(M2/1000)</f>
        <v>269.57669322709171</v>
      </c>
      <c r="W2" s="11">
        <f>(AA$22*P2)+AA$23</f>
        <v>9.6160499999999995</v>
      </c>
      <c r="X2" s="11">
        <f t="shared" ref="X2:X41" si="2">(((W2/1000)*6)*1000)-AVERAGE(X$47:X$49)</f>
        <v>55.641149999999996</v>
      </c>
      <c r="Y2" s="11">
        <f>X2/(M2/1000)</f>
        <v>277.09736055776892</v>
      </c>
      <c r="AA2" s="21">
        <v>43661</v>
      </c>
      <c r="AB2" s="8">
        <v>0</v>
      </c>
      <c r="AC2" s="8">
        <v>-1E-3</v>
      </c>
    </row>
    <row r="3" spans="1:29" ht="15.75" thickBot="1" x14ac:dyDescent="0.3">
      <c r="A3" s="30"/>
      <c r="B3" s="31"/>
      <c r="C3" s="31"/>
      <c r="D3" s="31"/>
      <c r="E3" s="31"/>
      <c r="F3" s="4">
        <v>43661</v>
      </c>
      <c r="G3" s="2">
        <v>4</v>
      </c>
      <c r="H3" s="2" t="s">
        <v>11</v>
      </c>
      <c r="I3" s="2" t="s">
        <v>14</v>
      </c>
      <c r="J3" s="2" t="s">
        <v>15</v>
      </c>
      <c r="K3" s="2" t="s">
        <v>16</v>
      </c>
      <c r="L3" s="2">
        <v>2</v>
      </c>
      <c r="M3" s="2">
        <v>212.2</v>
      </c>
      <c r="N3" s="2">
        <v>0.05</v>
      </c>
      <c r="O3" s="2">
        <v>0.11700000000000001</v>
      </c>
      <c r="P3" s="2">
        <v>0.115</v>
      </c>
      <c r="Q3" s="8">
        <f t="shared" ref="Q3:Q49" si="3">(AA$4*N3)+AA$5</f>
        <v>5.6125499999999997</v>
      </c>
      <c r="R3" s="9">
        <f t="shared" si="0"/>
        <v>28.470815999999999</v>
      </c>
      <c r="S3" s="9">
        <f t="shared" ref="S3:S46" si="4">R3/(M3/1000)</f>
        <v>134.16972667295005</v>
      </c>
      <c r="T3" s="10">
        <f t="shared" ref="T3:T49" si="5">(AA$13*(O3+0.1))+AA$14</f>
        <v>21.696450000000006</v>
      </c>
      <c r="U3" s="10">
        <f t="shared" si="1"/>
        <v>61.45700000000005</v>
      </c>
      <c r="V3" s="10">
        <f t="shared" ref="V3:V46" si="6">U3/(M3/1000)</f>
        <v>289.61828463713499</v>
      </c>
      <c r="W3" s="11">
        <f t="shared" ref="W3:W40" si="7">(AA$22*P3)+AA$23</f>
        <v>11.44035</v>
      </c>
      <c r="X3" s="11">
        <f t="shared" si="2"/>
        <v>66.586950000000002</v>
      </c>
      <c r="Y3" s="11">
        <f t="shared" ref="Y3:Y45" si="8">X3/(M3/1000)</f>
        <v>313.79335532516495</v>
      </c>
      <c r="AA3" s="8"/>
      <c r="AB3" s="8">
        <v>5</v>
      </c>
      <c r="AC3" s="8">
        <v>4.2000000000000003E-2</v>
      </c>
    </row>
    <row r="4" spans="1:29" ht="15.75" thickBot="1" x14ac:dyDescent="0.3">
      <c r="A4" s="30"/>
      <c r="B4" s="31"/>
      <c r="C4" s="31"/>
      <c r="D4" s="31"/>
      <c r="E4" s="31"/>
      <c r="F4" s="4">
        <v>43661</v>
      </c>
      <c r="G4" s="2">
        <v>4</v>
      </c>
      <c r="H4" s="2" t="s">
        <v>11</v>
      </c>
      <c r="I4" s="2" t="s">
        <v>14</v>
      </c>
      <c r="J4" s="2" t="s">
        <v>15</v>
      </c>
      <c r="K4" s="2" t="s">
        <v>16</v>
      </c>
      <c r="L4" s="2">
        <v>3</v>
      </c>
      <c r="M4" s="2">
        <v>207.3</v>
      </c>
      <c r="N4" s="2">
        <v>5.0999999999999997E-2</v>
      </c>
      <c r="O4" s="2">
        <v>8.8999999999999996E-2</v>
      </c>
      <c r="P4" s="2">
        <v>0.11799999999999999</v>
      </c>
      <c r="Q4" s="8">
        <f t="shared" si="3"/>
        <v>5.7114069999999995</v>
      </c>
      <c r="R4" s="9">
        <f t="shared" si="0"/>
        <v>29.063957999999992</v>
      </c>
      <c r="S4" s="9">
        <f t="shared" si="4"/>
        <v>140.20240231548476</v>
      </c>
      <c r="T4" s="10">
        <f t="shared" si="5"/>
        <v>18.847450000000002</v>
      </c>
      <c r="U4" s="10">
        <f t="shared" si="1"/>
        <v>44.363000000000014</v>
      </c>
      <c r="V4" s="10">
        <f t="shared" si="6"/>
        <v>214.00385914134111</v>
      </c>
      <c r="W4" s="11">
        <f t="shared" si="7"/>
        <v>11.744399999999999</v>
      </c>
      <c r="X4" s="11">
        <f t="shared" si="2"/>
        <v>68.411249999999981</v>
      </c>
      <c r="Y4" s="11">
        <f t="shared" si="8"/>
        <v>330.01085383502158</v>
      </c>
      <c r="AA4" s="8">
        <v>98.856999999999999</v>
      </c>
      <c r="AB4" s="8">
        <v>10</v>
      </c>
      <c r="AC4" s="8">
        <v>8.8999999999999996E-2</v>
      </c>
    </row>
    <row r="5" spans="1:29" ht="30.75" thickBot="1" x14ac:dyDescent="0.3">
      <c r="A5" s="30">
        <v>18</v>
      </c>
      <c r="B5" s="31" t="s">
        <v>11</v>
      </c>
      <c r="C5" s="31" t="s">
        <v>14</v>
      </c>
      <c r="D5" s="31" t="s">
        <v>15</v>
      </c>
      <c r="E5" s="31" t="s">
        <v>16</v>
      </c>
      <c r="F5" s="4">
        <v>43661</v>
      </c>
      <c r="G5" s="2">
        <v>18</v>
      </c>
      <c r="H5" s="2" t="s">
        <v>11</v>
      </c>
      <c r="I5" s="2" t="s">
        <v>14</v>
      </c>
      <c r="J5" s="2" t="s">
        <v>15</v>
      </c>
      <c r="K5" s="2" t="s">
        <v>16</v>
      </c>
      <c r="L5" s="2">
        <v>1</v>
      </c>
      <c r="M5" s="2">
        <v>29.4</v>
      </c>
      <c r="N5" s="2">
        <v>7.8E-2</v>
      </c>
      <c r="O5" s="2">
        <v>0.10199999999999999</v>
      </c>
      <c r="P5" s="2">
        <v>0.13800000000000001</v>
      </c>
      <c r="Q5" s="8">
        <f t="shared" si="3"/>
        <v>8.3805460000000007</v>
      </c>
      <c r="R5" s="9">
        <f t="shared" si="0"/>
        <v>45.078792</v>
      </c>
      <c r="S5" s="9">
        <f t="shared" si="4"/>
        <v>1533.2922448979593</v>
      </c>
      <c r="T5" s="10">
        <f t="shared" si="5"/>
        <v>20.170200000000001</v>
      </c>
      <c r="U5" s="10">
        <f t="shared" si="1"/>
        <v>52.299500000000023</v>
      </c>
      <c r="V5" s="10">
        <f t="shared" si="6"/>
        <v>1778.8945578231301</v>
      </c>
      <c r="W5" s="11">
        <f t="shared" si="7"/>
        <v>13.7714</v>
      </c>
      <c r="X5" s="11">
        <f t="shared" si="2"/>
        <v>80.573249999999987</v>
      </c>
      <c r="Y5" s="11">
        <f t="shared" si="8"/>
        <v>2740.5867346938771</v>
      </c>
      <c r="AA5" s="8">
        <v>0.66969999999999996</v>
      </c>
      <c r="AB5" s="8">
        <v>15</v>
      </c>
      <c r="AC5" s="8">
        <v>0.14099999999999999</v>
      </c>
    </row>
    <row r="6" spans="1:29" ht="15.75" thickBot="1" x14ac:dyDescent="0.3">
      <c r="A6" s="30"/>
      <c r="B6" s="31"/>
      <c r="C6" s="31"/>
      <c r="D6" s="31"/>
      <c r="E6" s="31"/>
      <c r="F6" s="4">
        <v>43661</v>
      </c>
      <c r="G6" s="2">
        <v>18</v>
      </c>
      <c r="H6" s="2" t="s">
        <v>11</v>
      </c>
      <c r="I6" s="2" t="s">
        <v>14</v>
      </c>
      <c r="J6" s="2" t="s">
        <v>15</v>
      </c>
      <c r="K6" s="2" t="s">
        <v>16</v>
      </c>
      <c r="L6" s="2">
        <v>2</v>
      </c>
      <c r="M6" s="2">
        <v>196.5</v>
      </c>
      <c r="N6" s="2">
        <v>7.6999999999999999E-2</v>
      </c>
      <c r="O6" s="2">
        <v>0.13200000000000001</v>
      </c>
      <c r="P6" s="2">
        <v>0.17499999999999999</v>
      </c>
      <c r="Q6" s="8">
        <f t="shared" si="3"/>
        <v>8.2816890000000001</v>
      </c>
      <c r="R6" s="9">
        <f t="shared" si="0"/>
        <v>44.48565</v>
      </c>
      <c r="S6" s="9">
        <f t="shared" si="4"/>
        <v>226.39007633587786</v>
      </c>
      <c r="T6" s="10">
        <f t="shared" si="5"/>
        <v>23.222700000000003</v>
      </c>
      <c r="U6" s="10">
        <f t="shared" si="1"/>
        <v>70.614500000000021</v>
      </c>
      <c r="V6" s="10">
        <f t="shared" si="6"/>
        <v>359.36132315521638</v>
      </c>
      <c r="W6" s="11">
        <f t="shared" si="7"/>
        <v>17.521349999999998</v>
      </c>
      <c r="X6" s="11">
        <f t="shared" si="2"/>
        <v>103.07294999999999</v>
      </c>
      <c r="Y6" s="11">
        <f t="shared" si="8"/>
        <v>524.54427480916024</v>
      </c>
      <c r="AA6" s="8"/>
      <c r="AB6" s="8">
        <v>20</v>
      </c>
      <c r="AC6" s="8">
        <v>0.192</v>
      </c>
    </row>
    <row r="7" spans="1:29" ht="15.75" thickBot="1" x14ac:dyDescent="0.3">
      <c r="A7" s="30"/>
      <c r="B7" s="31"/>
      <c r="C7" s="31"/>
      <c r="D7" s="31"/>
      <c r="E7" s="31"/>
      <c r="F7" s="4">
        <v>43661</v>
      </c>
      <c r="G7" s="2">
        <v>18</v>
      </c>
      <c r="H7" s="2" t="s">
        <v>11</v>
      </c>
      <c r="I7" s="2" t="s">
        <v>14</v>
      </c>
      <c r="J7" s="2" t="s">
        <v>15</v>
      </c>
      <c r="K7" s="2" t="s">
        <v>16</v>
      </c>
      <c r="L7" s="2">
        <v>3</v>
      </c>
      <c r="M7" s="2">
        <v>194.8</v>
      </c>
      <c r="N7" s="2">
        <v>8.2000000000000003E-2</v>
      </c>
      <c r="O7" s="2">
        <v>0.09</v>
      </c>
      <c r="P7" s="2">
        <v>0.114</v>
      </c>
      <c r="Q7" s="8">
        <f t="shared" si="3"/>
        <v>8.7759740000000015</v>
      </c>
      <c r="R7" s="9">
        <f t="shared" si="0"/>
        <v>47.451360000000015</v>
      </c>
      <c r="S7" s="9">
        <f t="shared" si="4"/>
        <v>243.59014373716641</v>
      </c>
      <c r="T7" s="10">
        <f t="shared" si="5"/>
        <v>18.949200000000001</v>
      </c>
      <c r="U7" s="10">
        <f t="shared" si="1"/>
        <v>44.97350000000003</v>
      </c>
      <c r="V7" s="10">
        <f t="shared" si="6"/>
        <v>230.87012320328557</v>
      </c>
      <c r="W7" s="11">
        <f t="shared" si="7"/>
        <v>11.339</v>
      </c>
      <c r="X7" s="11">
        <f t="shared" si="2"/>
        <v>65.978849999999994</v>
      </c>
      <c r="Y7" s="11">
        <f t="shared" si="8"/>
        <v>338.70046201232032</v>
      </c>
      <c r="AA7" s="8"/>
      <c r="AB7" s="8">
        <v>30</v>
      </c>
      <c r="AC7" s="8">
        <v>0.31</v>
      </c>
    </row>
    <row r="8" spans="1:29" ht="30.75" thickBot="1" x14ac:dyDescent="0.3">
      <c r="A8" s="30">
        <v>30</v>
      </c>
      <c r="B8" s="31" t="s">
        <v>11</v>
      </c>
      <c r="C8" s="31" t="s">
        <v>14</v>
      </c>
      <c r="D8" s="31" t="s">
        <v>15</v>
      </c>
      <c r="E8" s="31" t="s">
        <v>16</v>
      </c>
      <c r="F8" s="4">
        <v>43661</v>
      </c>
      <c r="G8" s="2">
        <v>30</v>
      </c>
      <c r="H8" s="2" t="s">
        <v>11</v>
      </c>
      <c r="I8" s="2" t="s">
        <v>14</v>
      </c>
      <c r="J8" s="2" t="s">
        <v>15</v>
      </c>
      <c r="K8" s="2" t="s">
        <v>16</v>
      </c>
      <c r="L8" s="2">
        <v>1</v>
      </c>
      <c r="M8" s="2">
        <v>204</v>
      </c>
      <c r="N8" s="2">
        <v>6.6000000000000003E-2</v>
      </c>
      <c r="O8" s="2">
        <v>0.08</v>
      </c>
      <c r="P8" s="2">
        <v>0.11799999999999999</v>
      </c>
      <c r="Q8" s="8">
        <f t="shared" si="3"/>
        <v>7.1942620000000002</v>
      </c>
      <c r="R8" s="9">
        <f t="shared" si="0"/>
        <v>37.961087999999997</v>
      </c>
      <c r="S8" s="9">
        <f t="shared" si="4"/>
        <v>186.08376470588234</v>
      </c>
      <c r="T8" s="10">
        <f t="shared" si="5"/>
        <v>17.931699999999999</v>
      </c>
      <c r="U8" s="10">
        <f t="shared" si="1"/>
        <v>38.868499999999997</v>
      </c>
      <c r="V8" s="10">
        <f t="shared" si="6"/>
        <v>190.53186274509804</v>
      </c>
      <c r="W8" s="11">
        <f t="shared" si="7"/>
        <v>11.744399999999999</v>
      </c>
      <c r="X8" s="11">
        <f t="shared" si="2"/>
        <v>68.411249999999981</v>
      </c>
      <c r="Y8" s="11">
        <f t="shared" si="8"/>
        <v>335.34926470588226</v>
      </c>
      <c r="AA8" s="8"/>
      <c r="AB8" s="8">
        <v>45</v>
      </c>
      <c r="AC8" s="8">
        <v>0.442</v>
      </c>
    </row>
    <row r="9" spans="1:29" ht="15.75" thickBot="1" x14ac:dyDescent="0.3">
      <c r="A9" s="30"/>
      <c r="B9" s="31"/>
      <c r="C9" s="31"/>
      <c r="D9" s="31"/>
      <c r="E9" s="31"/>
      <c r="F9" s="4">
        <v>43661</v>
      </c>
      <c r="G9" s="2">
        <v>30</v>
      </c>
      <c r="H9" s="2" t="s">
        <v>11</v>
      </c>
      <c r="I9" s="2" t="s">
        <v>14</v>
      </c>
      <c r="J9" s="2" t="s">
        <v>15</v>
      </c>
      <c r="K9" s="2" t="s">
        <v>16</v>
      </c>
      <c r="L9" s="2">
        <v>2</v>
      </c>
      <c r="M9" s="2">
        <v>277</v>
      </c>
      <c r="N9" s="2">
        <v>8.8999999999999996E-2</v>
      </c>
      <c r="O9" s="2">
        <v>0.123</v>
      </c>
      <c r="P9" s="2">
        <v>0.21099999999999999</v>
      </c>
      <c r="Q9" s="8">
        <f t="shared" si="3"/>
        <v>9.4679730000000006</v>
      </c>
      <c r="R9" s="9">
        <f t="shared" si="0"/>
        <v>51.603354000000003</v>
      </c>
      <c r="S9" s="9">
        <f t="shared" si="4"/>
        <v>186.29369675090251</v>
      </c>
      <c r="T9" s="10">
        <f t="shared" si="5"/>
        <v>22.306950000000001</v>
      </c>
      <c r="U9" s="10">
        <f t="shared" si="1"/>
        <v>65.12</v>
      </c>
      <c r="V9" s="10">
        <f t="shared" si="6"/>
        <v>235.09025270758121</v>
      </c>
      <c r="W9" s="11">
        <f t="shared" si="7"/>
        <v>21.169949999999996</v>
      </c>
      <c r="X9" s="11">
        <f t="shared" si="2"/>
        <v>124.96454999999999</v>
      </c>
      <c r="Y9" s="11">
        <f t="shared" si="8"/>
        <v>451.13555956678692</v>
      </c>
      <c r="AA9" s="8"/>
      <c r="AB9" s="8">
        <v>60</v>
      </c>
      <c r="AC9" s="8">
        <v>0.60399999999999998</v>
      </c>
    </row>
    <row r="10" spans="1:29" ht="15.75" thickBot="1" x14ac:dyDescent="0.3">
      <c r="A10" s="30"/>
      <c r="B10" s="31"/>
      <c r="C10" s="31"/>
      <c r="D10" s="31"/>
      <c r="E10" s="31"/>
      <c r="F10" s="4">
        <v>43661</v>
      </c>
      <c r="G10" s="2">
        <v>30</v>
      </c>
      <c r="H10" s="2" t="s">
        <v>11</v>
      </c>
      <c r="I10" s="2" t="s">
        <v>14</v>
      </c>
      <c r="J10" s="2" t="s">
        <v>15</v>
      </c>
      <c r="K10" s="2" t="s">
        <v>16</v>
      </c>
      <c r="L10" s="2">
        <v>3</v>
      </c>
      <c r="M10" s="2">
        <v>219.3</v>
      </c>
      <c r="N10" s="2">
        <v>8.8999999999999996E-2</v>
      </c>
      <c r="O10" s="2">
        <v>0.14299999999999999</v>
      </c>
      <c r="P10" s="2">
        <v>0.14099999999999999</v>
      </c>
      <c r="Q10" s="8">
        <f t="shared" si="3"/>
        <v>9.4679730000000006</v>
      </c>
      <c r="R10" s="9">
        <f t="shared" si="0"/>
        <v>51.603354000000003</v>
      </c>
      <c r="S10" s="9">
        <f t="shared" si="4"/>
        <v>235.30941176470589</v>
      </c>
      <c r="T10" s="10">
        <f t="shared" si="5"/>
        <v>24.341950000000001</v>
      </c>
      <c r="U10" s="10">
        <f t="shared" si="1"/>
        <v>77.330000000000013</v>
      </c>
      <c r="V10" s="10">
        <f t="shared" si="6"/>
        <v>352.62197902416784</v>
      </c>
      <c r="W10" s="11">
        <f t="shared" si="7"/>
        <v>14.075449999999998</v>
      </c>
      <c r="X10" s="11">
        <f t="shared" si="2"/>
        <v>82.397549999999995</v>
      </c>
      <c r="Y10" s="11">
        <f t="shared" si="8"/>
        <v>375.72982216142265</v>
      </c>
      <c r="AA10" s="8"/>
      <c r="AB10" s="8">
        <v>100</v>
      </c>
      <c r="AC10" s="8">
        <v>1.0029999999999999</v>
      </c>
    </row>
    <row r="11" spans="1:29" ht="30.75" thickBot="1" x14ac:dyDescent="0.3">
      <c r="A11" s="30">
        <v>32</v>
      </c>
      <c r="B11" s="31" t="s">
        <v>11</v>
      </c>
      <c r="C11" s="31" t="s">
        <v>14</v>
      </c>
      <c r="D11" s="31" t="s">
        <v>15</v>
      </c>
      <c r="E11" s="31" t="s">
        <v>16</v>
      </c>
      <c r="F11" s="4">
        <v>43661</v>
      </c>
      <c r="G11" s="2">
        <v>32</v>
      </c>
      <c r="H11" s="2" t="s">
        <v>11</v>
      </c>
      <c r="I11" s="2" t="s">
        <v>14</v>
      </c>
      <c r="J11" s="2" t="s">
        <v>15</v>
      </c>
      <c r="K11" s="2" t="s">
        <v>16</v>
      </c>
      <c r="L11" s="2">
        <v>1</v>
      </c>
      <c r="M11" s="2">
        <v>206.5</v>
      </c>
      <c r="N11" s="2">
        <v>3.9E-2</v>
      </c>
      <c r="O11" s="2">
        <v>0.129</v>
      </c>
      <c r="P11" s="2">
        <v>8.4000000000000005E-2</v>
      </c>
      <c r="Q11" s="8">
        <f t="shared" si="3"/>
        <v>4.5251229999999998</v>
      </c>
      <c r="R11" s="9">
        <f t="shared" si="0"/>
        <v>21.946254</v>
      </c>
      <c r="S11" s="9">
        <f t="shared" si="4"/>
        <v>106.27725907990315</v>
      </c>
      <c r="T11" s="10">
        <f t="shared" si="5"/>
        <v>22.917450000000002</v>
      </c>
      <c r="U11" s="10">
        <f t="shared" si="1"/>
        <v>68.783000000000015</v>
      </c>
      <c r="V11" s="10">
        <f t="shared" si="6"/>
        <v>333.08958837772406</v>
      </c>
      <c r="W11" s="11">
        <f t="shared" si="7"/>
        <v>8.2985000000000007</v>
      </c>
      <c r="X11" s="11">
        <f t="shared" si="2"/>
        <v>47.735850000000006</v>
      </c>
      <c r="Y11" s="11">
        <f t="shared" si="8"/>
        <v>231.1663438256659</v>
      </c>
      <c r="AA11" s="22">
        <v>43662</v>
      </c>
      <c r="AB11" s="14">
        <v>0</v>
      </c>
      <c r="AC11" s="14">
        <v>2E-3</v>
      </c>
    </row>
    <row r="12" spans="1:29" ht="15.75" thickBot="1" x14ac:dyDescent="0.3">
      <c r="A12" s="30"/>
      <c r="B12" s="31"/>
      <c r="C12" s="31"/>
      <c r="D12" s="31"/>
      <c r="E12" s="31"/>
      <c r="F12" s="4">
        <v>43661</v>
      </c>
      <c r="G12" s="2">
        <v>32</v>
      </c>
      <c r="H12" s="2" t="s">
        <v>11</v>
      </c>
      <c r="I12" s="2" t="s">
        <v>14</v>
      </c>
      <c r="J12" s="2" t="s">
        <v>15</v>
      </c>
      <c r="K12" s="2" t="s">
        <v>16</v>
      </c>
      <c r="L12" s="2">
        <v>2</v>
      </c>
      <c r="M12" s="2">
        <v>202.9</v>
      </c>
      <c r="N12" s="2">
        <v>4.2999999999999997E-2</v>
      </c>
      <c r="O12" s="2">
        <v>8.7999999999999995E-2</v>
      </c>
      <c r="P12" s="2">
        <v>0.11600000000000001</v>
      </c>
      <c r="Q12" s="8">
        <f t="shared" si="3"/>
        <v>4.9205509999999997</v>
      </c>
      <c r="R12" s="9">
        <f t="shared" si="0"/>
        <v>24.318821999999997</v>
      </c>
      <c r="S12" s="9">
        <f t="shared" si="4"/>
        <v>119.85619517003448</v>
      </c>
      <c r="T12" s="10">
        <f t="shared" si="5"/>
        <v>18.745700000000003</v>
      </c>
      <c r="U12" s="10">
        <f t="shared" si="1"/>
        <v>43.752500000000026</v>
      </c>
      <c r="V12" s="10">
        <f t="shared" si="6"/>
        <v>215.63578117299176</v>
      </c>
      <c r="W12" s="11">
        <f t="shared" si="7"/>
        <v>11.541700000000001</v>
      </c>
      <c r="X12" s="11">
        <f t="shared" si="2"/>
        <v>67.195049999999995</v>
      </c>
      <c r="Y12" s="11">
        <f t="shared" si="8"/>
        <v>331.17323804829965</v>
      </c>
      <c r="AA12" s="14"/>
      <c r="AB12" s="14">
        <v>5</v>
      </c>
      <c r="AC12" s="14">
        <v>0.05</v>
      </c>
    </row>
    <row r="13" spans="1:29" ht="15.75" thickBot="1" x14ac:dyDescent="0.3">
      <c r="A13" s="30"/>
      <c r="B13" s="31"/>
      <c r="C13" s="31"/>
      <c r="D13" s="31"/>
      <c r="E13" s="31"/>
      <c r="F13" s="4">
        <v>43661</v>
      </c>
      <c r="G13" s="2">
        <v>32</v>
      </c>
      <c r="H13" s="2" t="s">
        <v>11</v>
      </c>
      <c r="I13" s="2" t="s">
        <v>14</v>
      </c>
      <c r="J13" s="2" t="s">
        <v>15</v>
      </c>
      <c r="K13" s="2" t="s">
        <v>16</v>
      </c>
      <c r="L13" s="2">
        <v>3</v>
      </c>
      <c r="M13" s="2">
        <v>211.5</v>
      </c>
      <c r="N13" s="2">
        <v>5.2999999999999999E-2</v>
      </c>
      <c r="O13" s="2">
        <v>0.1</v>
      </c>
      <c r="P13" s="2">
        <v>0.122</v>
      </c>
      <c r="Q13" s="8">
        <f t="shared" si="3"/>
        <v>5.9091209999999998</v>
      </c>
      <c r="R13" s="9">
        <f t="shared" si="0"/>
        <v>30.250242</v>
      </c>
      <c r="S13" s="9">
        <f t="shared" si="4"/>
        <v>143.02714893617022</v>
      </c>
      <c r="T13" s="10">
        <f t="shared" si="5"/>
        <v>19.966700000000003</v>
      </c>
      <c r="U13" s="10">
        <f t="shared" si="1"/>
        <v>51.07850000000002</v>
      </c>
      <c r="V13" s="10">
        <f t="shared" si="6"/>
        <v>241.50591016548472</v>
      </c>
      <c r="W13" s="11">
        <f t="shared" si="7"/>
        <v>12.149799999999999</v>
      </c>
      <c r="X13" s="11">
        <f t="shared" si="2"/>
        <v>70.843649999999982</v>
      </c>
      <c r="Y13" s="11">
        <f t="shared" si="8"/>
        <v>334.95815602836871</v>
      </c>
      <c r="AA13" s="14">
        <v>101.75</v>
      </c>
      <c r="AB13" s="14">
        <v>10</v>
      </c>
      <c r="AC13" s="14">
        <v>9.8000000000000004E-2</v>
      </c>
    </row>
    <row r="14" spans="1:29" ht="30.75" thickBot="1" x14ac:dyDescent="0.3">
      <c r="A14" s="30">
        <v>33</v>
      </c>
      <c r="B14" s="31" t="s">
        <v>11</v>
      </c>
      <c r="C14" s="31" t="s">
        <v>14</v>
      </c>
      <c r="D14" s="31" t="s">
        <v>15</v>
      </c>
      <c r="E14" s="31" t="s">
        <v>16</v>
      </c>
      <c r="F14" s="4">
        <v>43661</v>
      </c>
      <c r="G14" s="2">
        <v>33</v>
      </c>
      <c r="H14" s="2" t="s">
        <v>11</v>
      </c>
      <c r="I14" s="2" t="s">
        <v>14</v>
      </c>
      <c r="J14" s="2" t="s">
        <v>15</v>
      </c>
      <c r="K14" s="2" t="s">
        <v>16</v>
      </c>
      <c r="L14" s="2">
        <v>1</v>
      </c>
      <c r="M14" s="2">
        <v>231.1</v>
      </c>
      <c r="N14" s="2">
        <v>6.8000000000000005E-2</v>
      </c>
      <c r="O14" s="2">
        <v>9.2999999999999999E-2</v>
      </c>
      <c r="P14" s="2">
        <v>0.13800000000000001</v>
      </c>
      <c r="Q14" s="8">
        <f t="shared" si="3"/>
        <v>7.3919760000000005</v>
      </c>
      <c r="R14" s="9">
        <f t="shared" si="0"/>
        <v>39.147372000000004</v>
      </c>
      <c r="S14" s="9">
        <f t="shared" si="4"/>
        <v>169.39581133708353</v>
      </c>
      <c r="T14" s="10">
        <f t="shared" si="5"/>
        <v>19.254450000000002</v>
      </c>
      <c r="U14" s="10">
        <f t="shared" si="1"/>
        <v>46.805000000000007</v>
      </c>
      <c r="V14" s="10">
        <f t="shared" si="6"/>
        <v>202.53137170056254</v>
      </c>
      <c r="W14" s="11">
        <f t="shared" si="7"/>
        <v>13.7714</v>
      </c>
      <c r="X14" s="11">
        <f t="shared" si="2"/>
        <v>80.573249999999987</v>
      </c>
      <c r="Y14" s="11">
        <f t="shared" si="8"/>
        <v>348.65101687581131</v>
      </c>
      <c r="AA14" s="14">
        <v>-0.38329999999999997</v>
      </c>
      <c r="AB14" s="14">
        <v>15</v>
      </c>
      <c r="AC14" s="14">
        <v>0.14499999999999999</v>
      </c>
    </row>
    <row r="15" spans="1:29" ht="15.75" thickBot="1" x14ac:dyDescent="0.3">
      <c r="A15" s="30"/>
      <c r="B15" s="31"/>
      <c r="C15" s="31"/>
      <c r="D15" s="31"/>
      <c r="E15" s="31"/>
      <c r="F15" s="4">
        <v>43661</v>
      </c>
      <c r="G15" s="2">
        <v>33</v>
      </c>
      <c r="H15" s="2" t="s">
        <v>11</v>
      </c>
      <c r="I15" s="2" t="s">
        <v>14</v>
      </c>
      <c r="J15" s="2" t="s">
        <v>15</v>
      </c>
      <c r="K15" s="2" t="s">
        <v>16</v>
      </c>
      <c r="L15" s="2">
        <v>2</v>
      </c>
      <c r="M15" s="2">
        <v>227.9</v>
      </c>
      <c r="N15" s="2">
        <v>7.4999999999999997E-2</v>
      </c>
      <c r="O15" s="2">
        <v>9.4E-2</v>
      </c>
      <c r="P15" s="2">
        <v>0.14599999999999999</v>
      </c>
      <c r="Q15" s="8">
        <f t="shared" si="3"/>
        <v>8.0839750000000006</v>
      </c>
      <c r="R15" s="9">
        <f t="shared" si="0"/>
        <v>43.299365999999999</v>
      </c>
      <c r="S15" s="9">
        <f t="shared" si="4"/>
        <v>189.99283018867922</v>
      </c>
      <c r="T15" s="10">
        <f t="shared" si="5"/>
        <v>19.356200000000001</v>
      </c>
      <c r="U15" s="10">
        <f t="shared" si="1"/>
        <v>47.415499999999994</v>
      </c>
      <c r="V15" s="10">
        <f t="shared" si="6"/>
        <v>208.05397103992976</v>
      </c>
      <c r="W15" s="11">
        <f t="shared" si="7"/>
        <v>14.582199999999998</v>
      </c>
      <c r="X15" s="11">
        <f t="shared" si="2"/>
        <v>85.43804999999999</v>
      </c>
      <c r="Y15" s="11">
        <f t="shared" si="8"/>
        <v>374.89271610355411</v>
      </c>
      <c r="AA15" s="14"/>
      <c r="AB15" s="14">
        <v>20</v>
      </c>
      <c r="AC15" s="14">
        <v>0.191</v>
      </c>
    </row>
    <row r="16" spans="1:29" ht="15.75" thickBot="1" x14ac:dyDescent="0.3">
      <c r="A16" s="30"/>
      <c r="B16" s="31"/>
      <c r="C16" s="31"/>
      <c r="D16" s="31"/>
      <c r="E16" s="31"/>
      <c r="F16" s="4">
        <v>43661</v>
      </c>
      <c r="G16" s="2">
        <v>33</v>
      </c>
      <c r="H16" s="2" t="s">
        <v>11</v>
      </c>
      <c r="I16" s="2" t="s">
        <v>14</v>
      </c>
      <c r="J16" s="2" t="s">
        <v>15</v>
      </c>
      <c r="K16" s="2" t="s">
        <v>16</v>
      </c>
      <c r="L16" s="2">
        <v>3</v>
      </c>
      <c r="M16" s="2">
        <v>202.9</v>
      </c>
      <c r="N16" s="2">
        <v>8.2000000000000003E-2</v>
      </c>
      <c r="O16" s="2">
        <v>0.09</v>
      </c>
      <c r="P16" s="2">
        <v>0.13400000000000001</v>
      </c>
      <c r="Q16" s="8">
        <f t="shared" si="3"/>
        <v>8.7759740000000015</v>
      </c>
      <c r="R16" s="9">
        <f t="shared" si="0"/>
        <v>47.451360000000015</v>
      </c>
      <c r="S16" s="9">
        <f t="shared" si="4"/>
        <v>233.86574667323814</v>
      </c>
      <c r="T16" s="10">
        <f t="shared" si="5"/>
        <v>18.949200000000001</v>
      </c>
      <c r="U16" s="10">
        <f t="shared" si="1"/>
        <v>44.97350000000003</v>
      </c>
      <c r="V16" s="10">
        <f t="shared" si="6"/>
        <v>221.65352390340084</v>
      </c>
      <c r="W16" s="11">
        <f t="shared" si="7"/>
        <v>13.366</v>
      </c>
      <c r="X16" s="11">
        <f t="shared" si="2"/>
        <v>78.140849999999986</v>
      </c>
      <c r="Y16" s="11">
        <f t="shared" si="8"/>
        <v>385.12000985707238</v>
      </c>
      <c r="AA16" s="14"/>
      <c r="AB16" s="14">
        <v>30</v>
      </c>
      <c r="AC16" s="14">
        <v>0.29599999999999999</v>
      </c>
    </row>
    <row r="17" spans="1:29" ht="30.75" thickBot="1" x14ac:dyDescent="0.3">
      <c r="A17" s="30">
        <v>43</v>
      </c>
      <c r="B17" s="31" t="s">
        <v>12</v>
      </c>
      <c r="C17" s="31" t="s">
        <v>14</v>
      </c>
      <c r="D17" s="31" t="s">
        <v>15</v>
      </c>
      <c r="E17" s="31" t="s">
        <v>16</v>
      </c>
      <c r="F17" s="4">
        <v>43661</v>
      </c>
      <c r="G17" s="2">
        <v>43</v>
      </c>
      <c r="H17" s="2" t="s">
        <v>12</v>
      </c>
      <c r="I17" s="2" t="s">
        <v>14</v>
      </c>
      <c r="J17" s="2" t="s">
        <v>15</v>
      </c>
      <c r="K17" s="2" t="s">
        <v>16</v>
      </c>
      <c r="L17" s="2">
        <v>1</v>
      </c>
      <c r="M17" s="2">
        <v>212.2</v>
      </c>
      <c r="N17" s="2">
        <v>0.125</v>
      </c>
      <c r="O17" s="2">
        <v>0.14000000000000001</v>
      </c>
      <c r="P17" s="2">
        <v>0.15</v>
      </c>
      <c r="Q17" s="8">
        <f>(AA$4*N17)+AA$5</f>
        <v>13.026825000000001</v>
      </c>
      <c r="R17" s="9">
        <f t="shared" si="0"/>
        <v>72.95646600000002</v>
      </c>
      <c r="S17" s="9">
        <f>R17/(M17/1000)</f>
        <v>343.80992459943457</v>
      </c>
      <c r="T17" s="10">
        <f>(AA$13*(O17+0.1))+AA$14</f>
        <v>24.036700000000003</v>
      </c>
      <c r="U17" s="10">
        <f t="shared" si="1"/>
        <v>75.498500000000035</v>
      </c>
      <c r="V17" s="10">
        <f>U17/(M17/1000)</f>
        <v>355.7893496701227</v>
      </c>
      <c r="W17" s="11">
        <f>(AA$22*P17)+AA$23</f>
        <v>14.987599999999999</v>
      </c>
      <c r="X17" s="11">
        <f t="shared" si="2"/>
        <v>87.870449999999991</v>
      </c>
      <c r="Y17" s="11">
        <f>X17/(M17/1000)</f>
        <v>414.09260131950987</v>
      </c>
      <c r="AA17" s="14"/>
      <c r="AB17" s="14">
        <v>45</v>
      </c>
      <c r="AC17" s="14">
        <v>0.45300000000000001</v>
      </c>
    </row>
    <row r="18" spans="1:29" ht="15.75" thickBot="1" x14ac:dyDescent="0.3">
      <c r="A18" s="30"/>
      <c r="B18" s="31"/>
      <c r="C18" s="31"/>
      <c r="D18" s="31"/>
      <c r="E18" s="31"/>
      <c r="F18" s="4">
        <v>43661</v>
      </c>
      <c r="G18" s="2">
        <v>43</v>
      </c>
      <c r="H18" s="2" t="s">
        <v>12</v>
      </c>
      <c r="I18" s="2" t="s">
        <v>14</v>
      </c>
      <c r="J18" s="2" t="s">
        <v>15</v>
      </c>
      <c r="K18" s="2" t="s">
        <v>16</v>
      </c>
      <c r="L18" s="2">
        <v>2</v>
      </c>
      <c r="M18" s="2">
        <v>206.2</v>
      </c>
      <c r="N18" s="2">
        <v>0.122</v>
      </c>
      <c r="O18" s="2">
        <v>0.13300000000000001</v>
      </c>
      <c r="P18" s="2">
        <v>0.154</v>
      </c>
      <c r="Q18" s="8">
        <f t="shared" si="3"/>
        <v>12.730254</v>
      </c>
      <c r="R18" s="9">
        <f t="shared" si="0"/>
        <v>71.177040000000019</v>
      </c>
      <c r="S18" s="9">
        <f t="shared" si="4"/>
        <v>345.18448108632407</v>
      </c>
      <c r="T18" s="10">
        <f t="shared" si="5"/>
        <v>23.324450000000002</v>
      </c>
      <c r="U18" s="10">
        <f t="shared" si="1"/>
        <v>71.225000000000023</v>
      </c>
      <c r="V18" s="10">
        <f t="shared" si="6"/>
        <v>345.41707080504375</v>
      </c>
      <c r="W18" s="11">
        <f t="shared" si="7"/>
        <v>15.392999999999999</v>
      </c>
      <c r="X18" s="11">
        <f t="shared" si="2"/>
        <v>90.302849999999992</v>
      </c>
      <c r="Y18" s="11">
        <f t="shared" si="8"/>
        <v>437.93816682832198</v>
      </c>
      <c r="AA18" s="14"/>
      <c r="AB18" s="14">
        <v>60</v>
      </c>
      <c r="AC18" s="14">
        <v>0.59699999999999998</v>
      </c>
    </row>
    <row r="19" spans="1:29" ht="15.75" thickBot="1" x14ac:dyDescent="0.3">
      <c r="A19" s="30"/>
      <c r="B19" s="31"/>
      <c r="C19" s="31"/>
      <c r="D19" s="31"/>
      <c r="E19" s="31"/>
      <c r="F19" s="4">
        <v>43661</v>
      </c>
      <c r="G19" s="2">
        <v>43</v>
      </c>
      <c r="H19" s="2" t="s">
        <v>12</v>
      </c>
      <c r="I19" s="2" t="s">
        <v>14</v>
      </c>
      <c r="J19" s="2" t="s">
        <v>15</v>
      </c>
      <c r="K19" s="2" t="s">
        <v>16</v>
      </c>
      <c r="L19" s="2">
        <v>3</v>
      </c>
      <c r="M19" s="2">
        <v>215.8</v>
      </c>
      <c r="N19" s="2">
        <v>0.11799999999999999</v>
      </c>
      <c r="O19" s="2">
        <v>0.107</v>
      </c>
      <c r="P19" s="2">
        <v>0.16600000000000001</v>
      </c>
      <c r="Q19" s="8">
        <f t="shared" si="3"/>
        <v>12.334826</v>
      </c>
      <c r="R19" s="9">
        <f t="shared" si="0"/>
        <v>68.804472000000004</v>
      </c>
      <c r="S19" s="9">
        <f t="shared" si="4"/>
        <v>318.83443929564413</v>
      </c>
      <c r="T19" s="10">
        <f t="shared" si="5"/>
        <v>20.678950000000004</v>
      </c>
      <c r="U19" s="10">
        <f t="shared" si="1"/>
        <v>55.352000000000032</v>
      </c>
      <c r="V19" s="10">
        <f t="shared" si="6"/>
        <v>256.49675625579255</v>
      </c>
      <c r="W19" s="11">
        <f t="shared" si="7"/>
        <v>16.609200000000001</v>
      </c>
      <c r="X19" s="11">
        <f t="shared" si="2"/>
        <v>97.600049999999996</v>
      </c>
      <c r="Y19" s="11">
        <f t="shared" si="8"/>
        <v>452.2708526413345</v>
      </c>
      <c r="AA19" s="14"/>
      <c r="AB19" s="14">
        <v>100</v>
      </c>
      <c r="AC19" s="14">
        <v>0.98499999999999999</v>
      </c>
    </row>
    <row r="20" spans="1:29" ht="30.75" thickBot="1" x14ac:dyDescent="0.3">
      <c r="A20" s="30">
        <v>50</v>
      </c>
      <c r="B20" s="31" t="s">
        <v>12</v>
      </c>
      <c r="C20" s="31" t="s">
        <v>14</v>
      </c>
      <c r="D20" s="31" t="s">
        <v>15</v>
      </c>
      <c r="E20" s="31" t="s">
        <v>16</v>
      </c>
      <c r="F20" s="4">
        <v>43661</v>
      </c>
      <c r="G20" s="2">
        <v>50</v>
      </c>
      <c r="H20" s="2" t="s">
        <v>12</v>
      </c>
      <c r="I20" s="2" t="s">
        <v>14</v>
      </c>
      <c r="J20" s="2" t="s">
        <v>15</v>
      </c>
      <c r="K20" s="2" t="s">
        <v>16</v>
      </c>
      <c r="L20" s="2">
        <v>1</v>
      </c>
      <c r="M20" s="2">
        <v>209</v>
      </c>
      <c r="N20" s="2">
        <v>0.11700000000000001</v>
      </c>
      <c r="O20" s="2">
        <v>0.14899999999999999</v>
      </c>
      <c r="P20" s="2">
        <v>0.22</v>
      </c>
      <c r="Q20" s="8">
        <f t="shared" si="3"/>
        <v>12.235969000000001</v>
      </c>
      <c r="R20" s="9">
        <f t="shared" si="0"/>
        <v>68.211330000000018</v>
      </c>
      <c r="S20" s="9">
        <f t="shared" si="4"/>
        <v>326.37000000000012</v>
      </c>
      <c r="T20" s="10">
        <f t="shared" si="5"/>
        <v>24.952450000000002</v>
      </c>
      <c r="U20" s="10">
        <f t="shared" si="1"/>
        <v>80.992999999999995</v>
      </c>
      <c r="V20" s="10">
        <f t="shared" si="6"/>
        <v>387.5263157894737</v>
      </c>
      <c r="W20" s="11">
        <f t="shared" si="7"/>
        <v>22.082100000000001</v>
      </c>
      <c r="X20" s="11">
        <f t="shared" si="2"/>
        <v>130.43745000000001</v>
      </c>
      <c r="Y20" s="11">
        <f t="shared" si="8"/>
        <v>624.10263157894747</v>
      </c>
      <c r="AA20" s="23">
        <v>43663</v>
      </c>
      <c r="AB20" s="24">
        <v>0</v>
      </c>
      <c r="AC20" s="24">
        <v>3.0000000000000001E-3</v>
      </c>
    </row>
    <row r="21" spans="1:29" ht="15.75" thickBot="1" x14ac:dyDescent="0.3">
      <c r="A21" s="30"/>
      <c r="B21" s="31"/>
      <c r="C21" s="31"/>
      <c r="D21" s="31"/>
      <c r="E21" s="31"/>
      <c r="F21" s="4">
        <v>43661</v>
      </c>
      <c r="G21" s="2">
        <v>50</v>
      </c>
      <c r="H21" s="2" t="s">
        <v>12</v>
      </c>
      <c r="I21" s="2" t="s">
        <v>14</v>
      </c>
      <c r="J21" s="2" t="s">
        <v>15</v>
      </c>
      <c r="K21" s="2" t="s">
        <v>16</v>
      </c>
      <c r="L21" s="2">
        <v>2</v>
      </c>
      <c r="M21" s="2">
        <v>216.6</v>
      </c>
      <c r="N21" s="2">
        <v>0.152</v>
      </c>
      <c r="O21" s="2">
        <v>0.19900000000000001</v>
      </c>
      <c r="P21" s="2">
        <v>0.22</v>
      </c>
      <c r="Q21" s="8">
        <f t="shared" si="3"/>
        <v>15.695964</v>
      </c>
      <c r="R21" s="9">
        <f t="shared" si="0"/>
        <v>88.971299999999999</v>
      </c>
      <c r="S21" s="9">
        <f t="shared" si="4"/>
        <v>410.76315789473688</v>
      </c>
      <c r="T21" s="10">
        <f t="shared" si="5"/>
        <v>30.039950000000005</v>
      </c>
      <c r="U21" s="10">
        <f t="shared" si="1"/>
        <v>111.51800000000003</v>
      </c>
      <c r="V21" s="10">
        <f t="shared" si="6"/>
        <v>514.85687903970472</v>
      </c>
      <c r="W21" s="11">
        <f t="shared" si="7"/>
        <v>22.082100000000001</v>
      </c>
      <c r="X21" s="11">
        <f t="shared" si="2"/>
        <v>130.43745000000001</v>
      </c>
      <c r="Y21" s="11">
        <f t="shared" si="8"/>
        <v>602.20429362880895</v>
      </c>
      <c r="AA21" s="24"/>
      <c r="AB21" s="24">
        <v>5</v>
      </c>
      <c r="AC21" s="24">
        <v>5.2999999999999999E-2</v>
      </c>
    </row>
    <row r="22" spans="1:29" ht="15.75" thickBot="1" x14ac:dyDescent="0.3">
      <c r="A22" s="30"/>
      <c r="B22" s="31"/>
      <c r="C22" s="31"/>
      <c r="D22" s="31"/>
      <c r="E22" s="31"/>
      <c r="F22" s="4">
        <v>43661</v>
      </c>
      <c r="G22" s="2">
        <v>50</v>
      </c>
      <c r="H22" s="2" t="s">
        <v>12</v>
      </c>
      <c r="I22" s="2" t="s">
        <v>14</v>
      </c>
      <c r="J22" s="2" t="s">
        <v>15</v>
      </c>
      <c r="K22" s="2" t="s">
        <v>16</v>
      </c>
      <c r="L22" s="2">
        <v>3</v>
      </c>
      <c r="M22" s="2">
        <v>226</v>
      </c>
      <c r="N22" s="2">
        <v>0.14399999999999999</v>
      </c>
      <c r="O22" s="2">
        <v>0.192</v>
      </c>
      <c r="P22" s="2">
        <v>0.219</v>
      </c>
      <c r="Q22" s="8">
        <f t="shared" si="3"/>
        <v>14.905108</v>
      </c>
      <c r="R22" s="9">
        <f t="shared" si="0"/>
        <v>84.226164000000011</v>
      </c>
      <c r="S22" s="9">
        <f t="shared" si="4"/>
        <v>372.6821415929204</v>
      </c>
      <c r="T22" s="10">
        <f t="shared" si="5"/>
        <v>29.327700000000004</v>
      </c>
      <c r="U22" s="10">
        <f t="shared" si="1"/>
        <v>107.24450000000002</v>
      </c>
      <c r="V22" s="10">
        <f t="shared" si="6"/>
        <v>474.53318584070803</v>
      </c>
      <c r="W22" s="11">
        <f t="shared" si="7"/>
        <v>21.98075</v>
      </c>
      <c r="X22" s="11">
        <f t="shared" si="2"/>
        <v>129.82935000000001</v>
      </c>
      <c r="Y22" s="11">
        <f t="shared" si="8"/>
        <v>574.4661504424779</v>
      </c>
      <c r="AA22" s="24">
        <v>101.35</v>
      </c>
      <c r="AB22" s="24">
        <v>10</v>
      </c>
      <c r="AC22" s="24">
        <v>9.9000000000000005E-2</v>
      </c>
    </row>
    <row r="23" spans="1:29" ht="15.75" thickBot="1" x14ac:dyDescent="0.3">
      <c r="A23" s="30"/>
      <c r="B23" s="31"/>
      <c r="C23" s="31"/>
      <c r="D23" s="31"/>
      <c r="E23" s="31"/>
      <c r="F23" s="4">
        <v>43661</v>
      </c>
      <c r="G23" s="2">
        <v>51</v>
      </c>
      <c r="H23" s="2" t="s">
        <v>12</v>
      </c>
      <c r="I23" s="2" t="s">
        <v>14</v>
      </c>
      <c r="J23" s="2" t="s">
        <v>15</v>
      </c>
      <c r="K23" s="2" t="s">
        <v>16</v>
      </c>
      <c r="L23" s="2">
        <v>1</v>
      </c>
      <c r="M23" s="2">
        <v>201</v>
      </c>
      <c r="N23" s="2">
        <v>5.3999999999999999E-2</v>
      </c>
      <c r="O23" s="2">
        <v>9.2999999999999999E-2</v>
      </c>
      <c r="P23" s="2">
        <v>0.105</v>
      </c>
      <c r="Q23" s="8">
        <f t="shared" si="3"/>
        <v>6.0079779999999996</v>
      </c>
      <c r="R23" s="9">
        <f t="shared" si="0"/>
        <v>30.843383999999993</v>
      </c>
      <c r="S23" s="9">
        <f t="shared" si="4"/>
        <v>153.44967164179101</v>
      </c>
      <c r="T23" s="10">
        <f t="shared" si="5"/>
        <v>19.254450000000002</v>
      </c>
      <c r="U23" s="10">
        <f t="shared" si="1"/>
        <v>46.805000000000007</v>
      </c>
      <c r="V23" s="10">
        <f t="shared" si="6"/>
        <v>232.86069651741295</v>
      </c>
      <c r="W23" s="11">
        <f t="shared" si="7"/>
        <v>10.426849999999998</v>
      </c>
      <c r="X23" s="11">
        <f t="shared" si="2"/>
        <v>60.505949999999984</v>
      </c>
      <c r="Y23" s="11">
        <f t="shared" si="8"/>
        <v>301.02462686567156</v>
      </c>
      <c r="AA23" s="24">
        <v>-0.21490000000000001</v>
      </c>
      <c r="AB23" s="24">
        <v>15</v>
      </c>
      <c r="AC23" s="24">
        <v>0.14899999999999999</v>
      </c>
    </row>
    <row r="24" spans="1:29" ht="15.75" thickBot="1" x14ac:dyDescent="0.3">
      <c r="A24" s="30"/>
      <c r="B24" s="31"/>
      <c r="C24" s="31"/>
      <c r="D24" s="31"/>
      <c r="E24" s="31"/>
      <c r="F24" s="4">
        <v>43661</v>
      </c>
      <c r="G24" s="2">
        <v>51</v>
      </c>
      <c r="H24" s="2" t="s">
        <v>12</v>
      </c>
      <c r="I24" s="2" t="s">
        <v>14</v>
      </c>
      <c r="J24" s="2" t="s">
        <v>15</v>
      </c>
      <c r="K24" s="2" t="s">
        <v>16</v>
      </c>
      <c r="L24" s="2">
        <v>2</v>
      </c>
      <c r="M24" s="2">
        <v>213.6</v>
      </c>
      <c r="N24" s="2">
        <v>6.4000000000000001E-2</v>
      </c>
      <c r="O24" s="2">
        <v>8.7999999999999995E-2</v>
      </c>
      <c r="P24" s="2">
        <v>0.13700000000000001</v>
      </c>
      <c r="Q24" s="8">
        <f t="shared" si="3"/>
        <v>6.9965479999999998</v>
      </c>
      <c r="R24" s="9">
        <f t="shared" si="0"/>
        <v>36.774804000000003</v>
      </c>
      <c r="S24" s="9">
        <f t="shared" si="4"/>
        <v>172.16668539325846</v>
      </c>
      <c r="T24" s="10">
        <f t="shared" si="5"/>
        <v>18.745700000000003</v>
      </c>
      <c r="U24" s="10">
        <f t="shared" si="1"/>
        <v>43.752500000000026</v>
      </c>
      <c r="V24" s="10">
        <f t="shared" si="6"/>
        <v>204.83380149812749</v>
      </c>
      <c r="W24" s="11">
        <f t="shared" si="7"/>
        <v>13.67005</v>
      </c>
      <c r="X24" s="11">
        <f t="shared" si="2"/>
        <v>79.965149999999994</v>
      </c>
      <c r="Y24" s="11">
        <f t="shared" si="8"/>
        <v>374.3686797752809</v>
      </c>
      <c r="AA24" s="24"/>
      <c r="AB24" s="24">
        <v>20</v>
      </c>
      <c r="AC24" s="24">
        <v>0.187</v>
      </c>
    </row>
    <row r="25" spans="1:29" ht="15.75" thickBot="1" x14ac:dyDescent="0.3">
      <c r="A25" s="30"/>
      <c r="B25" s="31"/>
      <c r="C25" s="31"/>
      <c r="D25" s="31"/>
      <c r="E25" s="31"/>
      <c r="F25" s="4">
        <v>43661</v>
      </c>
      <c r="G25" s="2">
        <v>51</v>
      </c>
      <c r="H25" s="2" t="s">
        <v>12</v>
      </c>
      <c r="I25" s="2" t="s">
        <v>14</v>
      </c>
      <c r="J25" s="2" t="s">
        <v>15</v>
      </c>
      <c r="K25" s="2" t="s">
        <v>16</v>
      </c>
      <c r="L25" s="2">
        <v>3</v>
      </c>
      <c r="M25" s="2">
        <v>212.8</v>
      </c>
      <c r="N25" s="2">
        <v>5.8999999999999997E-2</v>
      </c>
      <c r="O25" s="2">
        <v>0.1</v>
      </c>
      <c r="P25" s="2">
        <v>0.12</v>
      </c>
      <c r="Q25" s="8">
        <f t="shared" si="3"/>
        <v>6.5022629999999992</v>
      </c>
      <c r="R25" s="9">
        <f t="shared" si="0"/>
        <v>33.809093999999995</v>
      </c>
      <c r="S25" s="9">
        <f t="shared" si="4"/>
        <v>158.87732142857138</v>
      </c>
      <c r="T25" s="10">
        <f t="shared" si="5"/>
        <v>19.966700000000003</v>
      </c>
      <c r="U25" s="10">
        <f t="shared" si="1"/>
        <v>51.07850000000002</v>
      </c>
      <c r="V25" s="10">
        <f t="shared" si="6"/>
        <v>240.03054511278202</v>
      </c>
      <c r="W25" s="11">
        <f t="shared" si="7"/>
        <v>11.947099999999999</v>
      </c>
      <c r="X25" s="11">
        <f t="shared" si="2"/>
        <v>69.627449999999982</v>
      </c>
      <c r="Y25" s="11">
        <f t="shared" si="8"/>
        <v>327.19666353383445</v>
      </c>
      <c r="AA25" s="24"/>
      <c r="AB25" s="24">
        <v>30</v>
      </c>
      <c r="AC25" s="24">
        <v>0.3</v>
      </c>
    </row>
    <row r="26" spans="1:29" ht="30.75" thickBot="1" x14ac:dyDescent="0.3">
      <c r="A26" s="30">
        <v>64</v>
      </c>
      <c r="B26" s="31" t="s">
        <v>12</v>
      </c>
      <c r="C26" s="31" t="s">
        <v>14</v>
      </c>
      <c r="D26" s="31" t="s">
        <v>15</v>
      </c>
      <c r="E26" s="31" t="s">
        <v>16</v>
      </c>
      <c r="F26" s="4">
        <v>43661</v>
      </c>
      <c r="G26" s="2">
        <v>64</v>
      </c>
      <c r="H26" s="2" t="s">
        <v>12</v>
      </c>
      <c r="I26" s="2" t="s">
        <v>14</v>
      </c>
      <c r="J26" s="2" t="s">
        <v>15</v>
      </c>
      <c r="K26" s="2" t="s">
        <v>16</v>
      </c>
      <c r="L26" s="2">
        <v>1</v>
      </c>
      <c r="M26" s="2">
        <v>204.2</v>
      </c>
      <c r="N26" s="2">
        <v>0.106</v>
      </c>
      <c r="O26" s="2">
        <v>0.29299999999999998</v>
      </c>
      <c r="P26" s="2">
        <v>0.28599999999999998</v>
      </c>
      <c r="Q26" s="8">
        <f t="shared" si="3"/>
        <v>11.148542000000001</v>
      </c>
      <c r="R26" s="9">
        <f t="shared" si="0"/>
        <v>61.686768000000008</v>
      </c>
      <c r="S26" s="9">
        <f t="shared" si="4"/>
        <v>302.08995102840356</v>
      </c>
      <c r="T26" s="10">
        <f t="shared" si="5"/>
        <v>39.60445</v>
      </c>
      <c r="U26" s="10">
        <f t="shared" si="1"/>
        <v>168.905</v>
      </c>
      <c r="V26" s="10">
        <f t="shared" si="6"/>
        <v>827.15475024485806</v>
      </c>
      <c r="W26" s="11">
        <f t="shared" si="7"/>
        <v>28.771199999999997</v>
      </c>
      <c r="X26" s="11">
        <f t="shared" si="2"/>
        <v>170.57204999999999</v>
      </c>
      <c r="Y26" s="11">
        <f t="shared" si="8"/>
        <v>835.31856023506361</v>
      </c>
      <c r="AA26" s="24"/>
      <c r="AB26" s="24">
        <v>45</v>
      </c>
      <c r="AC26" s="24">
        <v>0.45300000000000001</v>
      </c>
    </row>
    <row r="27" spans="1:29" ht="15.75" thickBot="1" x14ac:dyDescent="0.3">
      <c r="A27" s="30"/>
      <c r="B27" s="31"/>
      <c r="C27" s="31"/>
      <c r="D27" s="31"/>
      <c r="E27" s="31"/>
      <c r="F27" s="4">
        <v>43661</v>
      </c>
      <c r="G27" s="2">
        <v>64</v>
      </c>
      <c r="H27" s="2" t="s">
        <v>12</v>
      </c>
      <c r="I27" s="2" t="s">
        <v>14</v>
      </c>
      <c r="J27" s="2" t="s">
        <v>15</v>
      </c>
      <c r="K27" s="2" t="s">
        <v>16</v>
      </c>
      <c r="L27" s="2">
        <v>2</v>
      </c>
      <c r="M27" s="2">
        <v>198.5</v>
      </c>
      <c r="N27" s="2">
        <v>0.20799999999999999</v>
      </c>
      <c r="O27" s="2">
        <v>0.22700000000000001</v>
      </c>
      <c r="P27" s="2">
        <v>0.34100000000000003</v>
      </c>
      <c r="Q27" s="8">
        <f t="shared" si="3"/>
        <v>21.231955999999997</v>
      </c>
      <c r="R27" s="9">
        <f t="shared" si="0"/>
        <v>122.18725199999999</v>
      </c>
      <c r="S27" s="9">
        <f t="shared" si="4"/>
        <v>615.55290680100745</v>
      </c>
      <c r="T27" s="10">
        <f t="shared" si="5"/>
        <v>32.888950000000001</v>
      </c>
      <c r="U27" s="10">
        <f t="shared" si="1"/>
        <v>128.61199999999999</v>
      </c>
      <c r="V27" s="10">
        <f t="shared" si="6"/>
        <v>647.91939546599485</v>
      </c>
      <c r="W27" s="11">
        <f t="shared" si="7"/>
        <v>34.34545</v>
      </c>
      <c r="X27" s="11">
        <f t="shared" si="2"/>
        <v>204.01755</v>
      </c>
      <c r="Y27" s="11">
        <f t="shared" si="8"/>
        <v>1027.7962216624685</v>
      </c>
      <c r="AA27" s="24"/>
      <c r="AB27" s="24">
        <v>60</v>
      </c>
      <c r="AC27" s="24">
        <v>0.60799999999999998</v>
      </c>
    </row>
    <row r="28" spans="1:29" ht="15.75" thickBot="1" x14ac:dyDescent="0.3">
      <c r="A28" s="30"/>
      <c r="B28" s="31"/>
      <c r="C28" s="31"/>
      <c r="D28" s="31"/>
      <c r="E28" s="31"/>
      <c r="F28" s="4">
        <v>43661</v>
      </c>
      <c r="G28" s="2">
        <v>64</v>
      </c>
      <c r="H28" s="2" t="s">
        <v>12</v>
      </c>
      <c r="I28" s="2" t="s">
        <v>14</v>
      </c>
      <c r="J28" s="2" t="s">
        <v>15</v>
      </c>
      <c r="K28" s="2" t="s">
        <v>16</v>
      </c>
      <c r="L28" s="2">
        <v>3</v>
      </c>
      <c r="M28" s="2">
        <v>216.7</v>
      </c>
      <c r="N28" s="2">
        <v>0.20799999999999999</v>
      </c>
      <c r="O28" s="2">
        <v>0.27700000000000002</v>
      </c>
      <c r="P28" s="2">
        <v>0.3</v>
      </c>
      <c r="Q28" s="8">
        <f t="shared" si="3"/>
        <v>21.231955999999997</v>
      </c>
      <c r="R28" s="9">
        <f t="shared" si="0"/>
        <v>122.18725199999999</v>
      </c>
      <c r="S28" s="9">
        <f t="shared" si="4"/>
        <v>563.85441624365478</v>
      </c>
      <c r="T28" s="10">
        <f t="shared" si="5"/>
        <v>37.97645</v>
      </c>
      <c r="U28" s="10">
        <f t="shared" si="1"/>
        <v>159.13700000000003</v>
      </c>
      <c r="V28" s="10">
        <f t="shared" si="6"/>
        <v>734.3654822335028</v>
      </c>
      <c r="W28" s="11">
        <f t="shared" si="7"/>
        <v>30.190099999999997</v>
      </c>
      <c r="X28" s="11">
        <f t="shared" si="2"/>
        <v>179.08544999999998</v>
      </c>
      <c r="Y28" s="11">
        <f t="shared" si="8"/>
        <v>826.42108906322107</v>
      </c>
      <c r="AA28" s="24"/>
      <c r="AB28" s="24">
        <v>100</v>
      </c>
      <c r="AC28" s="24">
        <v>0.97899999999999998</v>
      </c>
    </row>
    <row r="29" spans="1:29" ht="30.75" thickBot="1" x14ac:dyDescent="0.3">
      <c r="A29" s="30">
        <v>71</v>
      </c>
      <c r="B29" s="31" t="s">
        <v>12</v>
      </c>
      <c r="C29" s="31" t="s">
        <v>14</v>
      </c>
      <c r="D29" s="31" t="s">
        <v>15</v>
      </c>
      <c r="E29" s="31" t="s">
        <v>16</v>
      </c>
      <c r="F29" s="4">
        <v>43661</v>
      </c>
      <c r="G29" s="2">
        <v>71</v>
      </c>
      <c r="H29" s="2" t="s">
        <v>12</v>
      </c>
      <c r="I29" s="2" t="s">
        <v>14</v>
      </c>
      <c r="J29" s="2" t="s">
        <v>15</v>
      </c>
      <c r="K29" s="2" t="s">
        <v>16</v>
      </c>
      <c r="L29" s="2">
        <v>1</v>
      </c>
      <c r="M29" s="2">
        <v>250.6</v>
      </c>
      <c r="N29" s="2">
        <v>0.126</v>
      </c>
      <c r="O29" s="2">
        <v>5.5E-2</v>
      </c>
      <c r="P29" s="2">
        <v>0.159</v>
      </c>
      <c r="Q29" s="8">
        <f t="shared" si="3"/>
        <v>13.125682000000001</v>
      </c>
      <c r="R29" s="9">
        <f t="shared" si="0"/>
        <v>73.549608000000021</v>
      </c>
      <c r="S29" s="9">
        <f t="shared" si="4"/>
        <v>293.4940462889067</v>
      </c>
      <c r="T29" s="10">
        <f t="shared" si="5"/>
        <v>15.38795</v>
      </c>
      <c r="U29" s="10">
        <f t="shared" si="1"/>
        <v>23.605999999999995</v>
      </c>
      <c r="V29" s="10">
        <f t="shared" si="6"/>
        <v>94.197924980047873</v>
      </c>
      <c r="W29" s="11">
        <f t="shared" si="7"/>
        <v>15.899750000000001</v>
      </c>
      <c r="X29" s="11">
        <f t="shared" si="2"/>
        <v>93.343350000000001</v>
      </c>
      <c r="Y29" s="11">
        <f t="shared" si="8"/>
        <v>372.47944932162812</v>
      </c>
    </row>
    <row r="30" spans="1:29" ht="15.75" thickBot="1" x14ac:dyDescent="0.3">
      <c r="A30" s="30"/>
      <c r="B30" s="31"/>
      <c r="C30" s="31"/>
      <c r="D30" s="31"/>
      <c r="E30" s="31"/>
      <c r="F30" s="4">
        <v>43661</v>
      </c>
      <c r="G30" s="2">
        <v>71</v>
      </c>
      <c r="H30" s="2" t="s">
        <v>12</v>
      </c>
      <c r="I30" s="2" t="s">
        <v>14</v>
      </c>
      <c r="J30" s="2" t="s">
        <v>15</v>
      </c>
      <c r="K30" s="2" t="s">
        <v>16</v>
      </c>
      <c r="L30" s="2">
        <v>2</v>
      </c>
      <c r="M30" s="2">
        <v>232.1</v>
      </c>
      <c r="N30" s="2">
        <v>0.127</v>
      </c>
      <c r="O30" s="2">
        <v>0.126</v>
      </c>
      <c r="P30" s="2">
        <v>0.17399999999999999</v>
      </c>
      <c r="Q30" s="8">
        <f t="shared" si="3"/>
        <v>13.224539</v>
      </c>
      <c r="R30" s="9">
        <f t="shared" si="0"/>
        <v>74.142750000000007</v>
      </c>
      <c r="S30" s="9">
        <f t="shared" si="4"/>
        <v>319.44312796208533</v>
      </c>
      <c r="T30" s="10">
        <f t="shared" si="5"/>
        <v>22.612200000000001</v>
      </c>
      <c r="U30" s="10">
        <f t="shared" si="1"/>
        <v>66.95150000000001</v>
      </c>
      <c r="V30" s="10">
        <f t="shared" si="6"/>
        <v>288.4597156398105</v>
      </c>
      <c r="W30" s="11">
        <f t="shared" si="7"/>
        <v>17.419999999999998</v>
      </c>
      <c r="X30" s="11">
        <f t="shared" si="2"/>
        <v>102.46484999999998</v>
      </c>
      <c r="Y30" s="11">
        <f t="shared" si="8"/>
        <v>441.46854803963799</v>
      </c>
    </row>
    <row r="31" spans="1:29" ht="15.75" thickBot="1" x14ac:dyDescent="0.3">
      <c r="A31" s="30"/>
      <c r="B31" s="31"/>
      <c r="C31" s="31"/>
      <c r="D31" s="31"/>
      <c r="E31" s="31"/>
      <c r="F31" s="4">
        <v>43661</v>
      </c>
      <c r="G31" s="2">
        <v>71</v>
      </c>
      <c r="H31" s="2" t="s">
        <v>12</v>
      </c>
      <c r="I31" s="2" t="s">
        <v>14</v>
      </c>
      <c r="J31" s="2" t="s">
        <v>15</v>
      </c>
      <c r="K31" s="2" t="s">
        <v>16</v>
      </c>
      <c r="L31" s="2">
        <v>3</v>
      </c>
      <c r="M31" s="2">
        <v>214.2</v>
      </c>
      <c r="N31" s="2">
        <v>0.14199999999999999</v>
      </c>
      <c r="O31" s="2">
        <v>0.13</v>
      </c>
      <c r="P31" s="2">
        <v>0.16500000000000001</v>
      </c>
      <c r="Q31" s="8">
        <f t="shared" si="3"/>
        <v>14.707393999999999</v>
      </c>
      <c r="R31" s="9">
        <f t="shared" si="0"/>
        <v>83.039879999999997</v>
      </c>
      <c r="S31" s="9">
        <f t="shared" si="4"/>
        <v>387.67450980392152</v>
      </c>
      <c r="T31" s="10">
        <f t="shared" si="5"/>
        <v>23.019200000000001</v>
      </c>
      <c r="U31" s="10">
        <f t="shared" si="1"/>
        <v>69.393499999999989</v>
      </c>
      <c r="V31" s="10">
        <f t="shared" si="6"/>
        <v>323.96591970121375</v>
      </c>
      <c r="W31" s="11">
        <f t="shared" si="7"/>
        <v>16.507850000000001</v>
      </c>
      <c r="X31" s="11">
        <f t="shared" si="2"/>
        <v>96.991950000000003</v>
      </c>
      <c r="Y31" s="11">
        <f t="shared" si="8"/>
        <v>452.81022408963588</v>
      </c>
    </row>
    <row r="32" spans="1:29" ht="30.75" thickBot="1" x14ac:dyDescent="0.3">
      <c r="A32" s="30">
        <v>92</v>
      </c>
      <c r="B32" s="31" t="s">
        <v>13</v>
      </c>
      <c r="C32" s="31" t="s">
        <v>14</v>
      </c>
      <c r="D32" s="31" t="s">
        <v>15</v>
      </c>
      <c r="E32" s="31" t="s">
        <v>16</v>
      </c>
      <c r="F32" s="4">
        <v>43661</v>
      </c>
      <c r="G32" s="2">
        <v>92</v>
      </c>
      <c r="H32" s="2" t="s">
        <v>13</v>
      </c>
      <c r="I32" s="2" t="s">
        <v>14</v>
      </c>
      <c r="J32" s="2" t="s">
        <v>15</v>
      </c>
      <c r="K32" s="2" t="s">
        <v>16</v>
      </c>
      <c r="L32" s="2">
        <v>1</v>
      </c>
      <c r="M32" s="2">
        <v>259.2</v>
      </c>
      <c r="N32" s="2">
        <v>9.7000000000000003E-2</v>
      </c>
      <c r="O32" s="2">
        <v>0.17599999999999999</v>
      </c>
      <c r="P32" s="2">
        <v>0.20699999999999999</v>
      </c>
      <c r="Q32" s="8">
        <f t="shared" si="3"/>
        <v>10.258829</v>
      </c>
      <c r="R32" s="9">
        <f t="shared" si="0"/>
        <v>56.348490000000005</v>
      </c>
      <c r="S32" s="9">
        <f t="shared" si="4"/>
        <v>217.39386574074078</v>
      </c>
      <c r="T32" s="10">
        <f t="shared" si="5"/>
        <v>27.699700000000004</v>
      </c>
      <c r="U32" s="10">
        <f t="shared" si="1"/>
        <v>97.476500000000016</v>
      </c>
      <c r="V32" s="10">
        <f t="shared" si="6"/>
        <v>376.06674382716056</v>
      </c>
      <c r="W32" s="11">
        <f t="shared" si="7"/>
        <v>20.764549999999996</v>
      </c>
      <c r="X32" s="11">
        <f t="shared" si="2"/>
        <v>122.53214999999999</v>
      </c>
      <c r="Y32" s="11">
        <f t="shared" si="8"/>
        <v>472.73206018518516</v>
      </c>
    </row>
    <row r="33" spans="1:25" ht="15.75" thickBot="1" x14ac:dyDescent="0.3">
      <c r="A33" s="30"/>
      <c r="B33" s="31"/>
      <c r="C33" s="31"/>
      <c r="D33" s="31"/>
      <c r="E33" s="31"/>
      <c r="F33" s="4">
        <v>43661</v>
      </c>
      <c r="G33" s="2">
        <v>92</v>
      </c>
      <c r="H33" s="2" t="s">
        <v>13</v>
      </c>
      <c r="I33" s="2" t="s">
        <v>14</v>
      </c>
      <c r="J33" s="2" t="s">
        <v>15</v>
      </c>
      <c r="K33" s="2" t="s">
        <v>16</v>
      </c>
      <c r="L33" s="2">
        <v>2</v>
      </c>
      <c r="M33" s="2">
        <v>225.2</v>
      </c>
      <c r="N33" s="2">
        <v>0.111</v>
      </c>
      <c r="O33" s="2">
        <v>0.16</v>
      </c>
      <c r="P33" s="2">
        <v>0.253</v>
      </c>
      <c r="Q33" s="8">
        <f t="shared" si="3"/>
        <v>11.642827</v>
      </c>
      <c r="R33" s="9">
        <f t="shared" si="0"/>
        <v>64.652478000000002</v>
      </c>
      <c r="S33" s="9">
        <f t="shared" si="4"/>
        <v>287.08915630550626</v>
      </c>
      <c r="T33" s="10">
        <f t="shared" si="5"/>
        <v>26.071700000000003</v>
      </c>
      <c r="U33" s="10">
        <f t="shared" si="1"/>
        <v>87.708500000000015</v>
      </c>
      <c r="V33" s="10">
        <f t="shared" si="6"/>
        <v>389.46936056838376</v>
      </c>
      <c r="W33" s="11">
        <f t="shared" si="7"/>
        <v>25.426649999999999</v>
      </c>
      <c r="X33" s="11">
        <f t="shared" si="2"/>
        <v>150.50475</v>
      </c>
      <c r="Y33" s="11">
        <f t="shared" si="8"/>
        <v>668.31594138543517</v>
      </c>
    </row>
    <row r="34" spans="1:25" ht="15.75" thickBot="1" x14ac:dyDescent="0.3">
      <c r="A34" s="30"/>
      <c r="B34" s="31"/>
      <c r="C34" s="31"/>
      <c r="D34" s="31"/>
      <c r="E34" s="31"/>
      <c r="F34" s="4">
        <v>43661</v>
      </c>
      <c r="G34" s="2">
        <v>92</v>
      </c>
      <c r="H34" s="2" t="s">
        <v>13</v>
      </c>
      <c r="I34" s="2" t="s">
        <v>14</v>
      </c>
      <c r="J34" s="2" t="s">
        <v>15</v>
      </c>
      <c r="K34" s="2" t="s">
        <v>16</v>
      </c>
      <c r="L34" s="2">
        <v>3</v>
      </c>
      <c r="M34" s="2">
        <v>200.2</v>
      </c>
      <c r="N34" s="2">
        <v>8.8999999999999996E-2</v>
      </c>
      <c r="O34" s="2">
        <v>0.14799999999999999</v>
      </c>
      <c r="P34" s="2">
        <v>0.19600000000000001</v>
      </c>
      <c r="Q34" s="8">
        <f t="shared" si="3"/>
        <v>9.4679730000000006</v>
      </c>
      <c r="R34" s="9">
        <f t="shared" si="0"/>
        <v>51.603354000000003</v>
      </c>
      <c r="S34" s="9">
        <f t="shared" si="4"/>
        <v>257.75901098901102</v>
      </c>
      <c r="T34" s="10">
        <f t="shared" si="5"/>
        <v>24.8507</v>
      </c>
      <c r="U34" s="10">
        <f t="shared" si="1"/>
        <v>80.382499999999993</v>
      </c>
      <c r="V34" s="10">
        <f t="shared" si="6"/>
        <v>401.51098901098902</v>
      </c>
      <c r="W34" s="11">
        <f t="shared" si="7"/>
        <v>19.649699999999999</v>
      </c>
      <c r="X34" s="11">
        <f t="shared" si="2"/>
        <v>115.84304999999999</v>
      </c>
      <c r="Y34" s="11">
        <f t="shared" si="8"/>
        <v>578.63661338661336</v>
      </c>
    </row>
    <row r="35" spans="1:25" ht="30.75" thickBot="1" x14ac:dyDescent="0.3">
      <c r="A35" s="30">
        <v>96</v>
      </c>
      <c r="B35" s="31" t="s">
        <v>13</v>
      </c>
      <c r="C35" s="31" t="s">
        <v>14</v>
      </c>
      <c r="D35" s="31" t="s">
        <v>15</v>
      </c>
      <c r="E35" s="31" t="s">
        <v>16</v>
      </c>
      <c r="F35" s="4">
        <v>43661</v>
      </c>
      <c r="G35" s="2">
        <v>96</v>
      </c>
      <c r="H35" s="2" t="s">
        <v>13</v>
      </c>
      <c r="I35" s="2" t="s">
        <v>14</v>
      </c>
      <c r="J35" s="2" t="s">
        <v>15</v>
      </c>
      <c r="K35" s="2" t="s">
        <v>16</v>
      </c>
      <c r="L35" s="2">
        <v>1</v>
      </c>
      <c r="M35" s="2">
        <v>219.9</v>
      </c>
      <c r="N35" s="2">
        <v>7.9000000000000001E-2</v>
      </c>
      <c r="O35" s="2">
        <v>0.17599999999999999</v>
      </c>
      <c r="P35" s="2">
        <v>0.27400000000000002</v>
      </c>
      <c r="Q35" s="8">
        <f t="shared" si="3"/>
        <v>8.4794029999999996</v>
      </c>
      <c r="R35" s="9">
        <f t="shared" si="0"/>
        <v>45.671934</v>
      </c>
      <c r="S35" s="9">
        <f t="shared" si="4"/>
        <v>207.69410641200545</v>
      </c>
      <c r="T35" s="10">
        <f t="shared" si="5"/>
        <v>27.699700000000004</v>
      </c>
      <c r="U35" s="10">
        <f t="shared" si="1"/>
        <v>97.476500000000016</v>
      </c>
      <c r="V35" s="10">
        <f t="shared" si="6"/>
        <v>443.2764893133243</v>
      </c>
      <c r="W35" s="11">
        <f t="shared" si="7"/>
        <v>27.555</v>
      </c>
      <c r="X35" s="11">
        <f t="shared" si="2"/>
        <v>163.27485000000001</v>
      </c>
      <c r="Y35" s="11">
        <f t="shared" si="8"/>
        <v>742.4959072305594</v>
      </c>
    </row>
    <row r="36" spans="1:25" ht="15.75" thickBot="1" x14ac:dyDescent="0.3">
      <c r="A36" s="30"/>
      <c r="B36" s="31"/>
      <c r="C36" s="31"/>
      <c r="D36" s="31"/>
      <c r="E36" s="31"/>
      <c r="F36" s="4">
        <v>43661</v>
      </c>
      <c r="G36" s="2">
        <v>96</v>
      </c>
      <c r="H36" s="2" t="s">
        <v>13</v>
      </c>
      <c r="I36" s="2" t="s">
        <v>14</v>
      </c>
      <c r="J36" s="2" t="s">
        <v>15</v>
      </c>
      <c r="K36" s="2" t="s">
        <v>16</v>
      </c>
      <c r="L36" s="2">
        <v>2</v>
      </c>
      <c r="M36" s="2">
        <v>214.9</v>
      </c>
      <c r="N36" s="2">
        <v>0.112</v>
      </c>
      <c r="O36" s="2">
        <v>0.214</v>
      </c>
      <c r="P36" s="2">
        <v>0.27</v>
      </c>
      <c r="Q36" s="8">
        <f t="shared" si="3"/>
        <v>11.741684000000001</v>
      </c>
      <c r="R36" s="9">
        <f t="shared" si="0"/>
        <v>65.245620000000002</v>
      </c>
      <c r="S36" s="9">
        <f t="shared" si="4"/>
        <v>303.6092135877152</v>
      </c>
      <c r="T36" s="10">
        <f t="shared" si="5"/>
        <v>31.566200000000002</v>
      </c>
      <c r="U36" s="10">
        <f t="shared" si="1"/>
        <v>120.67550000000003</v>
      </c>
      <c r="V36" s="10">
        <f t="shared" si="6"/>
        <v>561.5425779432295</v>
      </c>
      <c r="W36" s="11">
        <f t="shared" si="7"/>
        <v>27.1496</v>
      </c>
      <c r="X36" s="11">
        <f t="shared" si="2"/>
        <v>160.84245000000001</v>
      </c>
      <c r="Y36" s="11">
        <f t="shared" si="8"/>
        <v>748.45253606328527</v>
      </c>
    </row>
    <row r="37" spans="1:25" ht="15.75" thickBot="1" x14ac:dyDescent="0.3">
      <c r="A37" s="30"/>
      <c r="B37" s="31"/>
      <c r="C37" s="31"/>
      <c r="D37" s="31"/>
      <c r="E37" s="31"/>
      <c r="F37" s="4">
        <v>43661</v>
      </c>
      <c r="G37" s="2">
        <v>96</v>
      </c>
      <c r="H37" s="2" t="s">
        <v>13</v>
      </c>
      <c r="I37" s="2" t="s">
        <v>14</v>
      </c>
      <c r="J37" s="2" t="s">
        <v>15</v>
      </c>
      <c r="K37" s="2" t="s">
        <v>16</v>
      </c>
      <c r="L37" s="2">
        <v>3</v>
      </c>
      <c r="M37" s="2">
        <v>214.1</v>
      </c>
      <c r="N37" s="2">
        <v>0.10299999999999999</v>
      </c>
      <c r="O37" s="2">
        <v>0.19900000000000001</v>
      </c>
      <c r="P37" s="2">
        <v>0.28999999999999998</v>
      </c>
      <c r="Q37" s="8">
        <f t="shared" si="3"/>
        <v>10.851971000000001</v>
      </c>
      <c r="R37" s="9">
        <f t="shared" si="0"/>
        <v>59.907341999999993</v>
      </c>
      <c r="S37" s="9">
        <f t="shared" si="4"/>
        <v>279.81009808500698</v>
      </c>
      <c r="T37" s="10">
        <f t="shared" si="5"/>
        <v>30.039950000000005</v>
      </c>
      <c r="U37" s="10">
        <f t="shared" si="1"/>
        <v>111.51800000000003</v>
      </c>
      <c r="V37" s="10">
        <f t="shared" si="6"/>
        <v>520.86875291919682</v>
      </c>
      <c r="W37" s="11">
        <f t="shared" si="7"/>
        <v>29.176599999999997</v>
      </c>
      <c r="X37" s="11">
        <f t="shared" si="2"/>
        <v>173.00444999999999</v>
      </c>
      <c r="Y37" s="11">
        <f t="shared" si="8"/>
        <v>808.05441382531524</v>
      </c>
    </row>
    <row r="38" spans="1:25" ht="30.75" thickBot="1" x14ac:dyDescent="0.3">
      <c r="A38" s="30">
        <v>97</v>
      </c>
      <c r="B38" s="31" t="s">
        <v>13</v>
      </c>
      <c r="C38" s="31" t="s">
        <v>14</v>
      </c>
      <c r="D38" s="31" t="s">
        <v>15</v>
      </c>
      <c r="E38" s="31" t="s">
        <v>16</v>
      </c>
      <c r="F38" s="4">
        <v>43661</v>
      </c>
      <c r="G38" s="2">
        <v>97</v>
      </c>
      <c r="H38" s="2" t="s">
        <v>13</v>
      </c>
      <c r="I38" s="2" t="s">
        <v>14</v>
      </c>
      <c r="J38" s="2" t="s">
        <v>15</v>
      </c>
      <c r="K38" s="2" t="s">
        <v>16</v>
      </c>
      <c r="L38" s="2">
        <v>1</v>
      </c>
      <c r="M38" s="2">
        <v>237.3</v>
      </c>
      <c r="N38" s="2">
        <v>0.16400000000000001</v>
      </c>
      <c r="O38" s="2">
        <v>0.23599999999999999</v>
      </c>
      <c r="P38" s="2">
        <v>0.26300000000000001</v>
      </c>
      <c r="Q38" s="8">
        <f t="shared" si="3"/>
        <v>16.882248000000001</v>
      </c>
      <c r="R38" s="9">
        <f t="shared" si="0"/>
        <v>96.089003999999989</v>
      </c>
      <c r="S38" s="9">
        <f t="shared" si="4"/>
        <v>404.9262705436156</v>
      </c>
      <c r="T38" s="10">
        <f t="shared" si="5"/>
        <v>33.804699999999997</v>
      </c>
      <c r="U38" s="10">
        <f t="shared" si="1"/>
        <v>134.10650000000001</v>
      </c>
      <c r="V38" s="10">
        <f t="shared" si="6"/>
        <v>565.1348504003372</v>
      </c>
      <c r="W38" s="11">
        <f t="shared" si="7"/>
        <v>26.440149999999999</v>
      </c>
      <c r="X38" s="11">
        <f t="shared" si="2"/>
        <v>156.58574999999999</v>
      </c>
      <c r="Y38" s="11">
        <f t="shared" si="8"/>
        <v>659.86409608091014</v>
      </c>
    </row>
    <row r="39" spans="1:25" ht="15.75" thickBot="1" x14ac:dyDescent="0.3">
      <c r="A39" s="30"/>
      <c r="B39" s="31"/>
      <c r="C39" s="31"/>
      <c r="D39" s="31"/>
      <c r="E39" s="31"/>
      <c r="F39" s="4">
        <v>43661</v>
      </c>
      <c r="G39" s="2">
        <v>97</v>
      </c>
      <c r="H39" s="2" t="s">
        <v>13</v>
      </c>
      <c r="I39" s="2" t="s">
        <v>14</v>
      </c>
      <c r="J39" s="2" t="s">
        <v>15</v>
      </c>
      <c r="K39" s="2" t="s">
        <v>16</v>
      </c>
      <c r="L39" s="2">
        <v>2</v>
      </c>
      <c r="M39" s="2">
        <v>201.6</v>
      </c>
      <c r="N39" s="2">
        <v>0.14699999999999999</v>
      </c>
      <c r="O39" s="2">
        <v>0.191</v>
      </c>
      <c r="P39" s="2">
        <v>0.22900000000000001</v>
      </c>
      <c r="Q39" s="8">
        <f t="shared" si="3"/>
        <v>15.201679</v>
      </c>
      <c r="R39" s="9">
        <f t="shared" si="0"/>
        <v>86.005590000000012</v>
      </c>
      <c r="S39" s="9">
        <f t="shared" si="4"/>
        <v>426.61502976190479</v>
      </c>
      <c r="T39" s="10">
        <f t="shared" si="5"/>
        <v>29.225950000000005</v>
      </c>
      <c r="U39" s="10">
        <f t="shared" si="1"/>
        <v>106.63400000000004</v>
      </c>
      <c r="V39" s="10">
        <f t="shared" si="6"/>
        <v>528.93849206349228</v>
      </c>
      <c r="W39" s="11">
        <f t="shared" si="7"/>
        <v>22.994250000000001</v>
      </c>
      <c r="X39" s="11">
        <f t="shared" si="2"/>
        <v>135.91035000000002</v>
      </c>
      <c r="Y39" s="11">
        <f t="shared" si="8"/>
        <v>674.15848214285722</v>
      </c>
    </row>
    <row r="40" spans="1:25" ht="15.75" thickBot="1" x14ac:dyDescent="0.3">
      <c r="A40" s="30"/>
      <c r="B40" s="31"/>
      <c r="C40" s="31"/>
      <c r="D40" s="31"/>
      <c r="E40" s="31"/>
      <c r="F40" s="4">
        <v>43661</v>
      </c>
      <c r="G40" s="2">
        <v>97</v>
      </c>
      <c r="H40" s="2" t="s">
        <v>13</v>
      </c>
      <c r="I40" s="2" t="s">
        <v>14</v>
      </c>
      <c r="J40" s="2" t="s">
        <v>15</v>
      </c>
      <c r="K40" s="2" t="s">
        <v>16</v>
      </c>
      <c r="L40" s="2">
        <v>3</v>
      </c>
      <c r="M40" s="2">
        <v>205</v>
      </c>
      <c r="N40" s="2">
        <v>0.14799999999999999</v>
      </c>
      <c r="O40" s="2">
        <v>0.219</v>
      </c>
      <c r="P40" s="2">
        <v>0.23</v>
      </c>
      <c r="Q40" s="8">
        <f t="shared" si="3"/>
        <v>15.300535999999999</v>
      </c>
      <c r="R40" s="9">
        <f t="shared" si="0"/>
        <v>86.598731999999998</v>
      </c>
      <c r="S40" s="9">
        <f t="shared" si="4"/>
        <v>422.43283902439026</v>
      </c>
      <c r="T40" s="10">
        <f t="shared" si="5"/>
        <v>32.074950000000001</v>
      </c>
      <c r="U40" s="10">
        <f t="shared" si="1"/>
        <v>123.72800000000001</v>
      </c>
      <c r="V40" s="10">
        <f t="shared" si="6"/>
        <v>603.55121951219519</v>
      </c>
      <c r="W40" s="11">
        <f t="shared" si="7"/>
        <v>23.095600000000001</v>
      </c>
      <c r="X40" s="11">
        <f t="shared" si="2"/>
        <v>136.51845000000003</v>
      </c>
      <c r="Y40" s="11">
        <f t="shared" si="8"/>
        <v>665.94365853658553</v>
      </c>
    </row>
    <row r="41" spans="1:25" ht="30.75" thickBot="1" x14ac:dyDescent="0.3">
      <c r="A41" s="30">
        <v>100</v>
      </c>
      <c r="B41" s="31" t="s">
        <v>13</v>
      </c>
      <c r="C41" s="31" t="s">
        <v>14</v>
      </c>
      <c r="D41" s="31" t="s">
        <v>15</v>
      </c>
      <c r="E41" s="31" t="s">
        <v>16</v>
      </c>
      <c r="F41" s="4">
        <v>43661</v>
      </c>
      <c r="G41" s="2">
        <v>100</v>
      </c>
      <c r="H41" s="2" t="s">
        <v>13</v>
      </c>
      <c r="I41" s="2" t="s">
        <v>14</v>
      </c>
      <c r="J41" s="2" t="s">
        <v>15</v>
      </c>
      <c r="K41" s="2" t="s">
        <v>16</v>
      </c>
      <c r="L41" s="2">
        <v>1</v>
      </c>
      <c r="M41" s="2">
        <v>209.9</v>
      </c>
      <c r="N41" s="2">
        <v>0.39</v>
      </c>
      <c r="O41" s="2">
        <v>0.15</v>
      </c>
      <c r="P41" s="2">
        <v>0.16</v>
      </c>
      <c r="Q41" s="8">
        <f>(AA$4*N41)+AA$5</f>
        <v>39.223930000000003</v>
      </c>
      <c r="R41" s="9">
        <f t="shared" si="0"/>
        <v>230.13909600000002</v>
      </c>
      <c r="S41" s="9">
        <f>R41/(M41/1000)</f>
        <v>1096.4225631252978</v>
      </c>
      <c r="T41" s="10">
        <f>(AA$13*(O41+0.1))+AA$14</f>
        <v>25.054200000000002</v>
      </c>
      <c r="U41" s="10">
        <f t="shared" si="1"/>
        <v>81.603500000000025</v>
      </c>
      <c r="V41" s="10">
        <f>U41/(M41/1000)</f>
        <v>388.77322534540269</v>
      </c>
      <c r="W41" s="11">
        <f>(AA$22*P41)+AA$23</f>
        <v>16.001100000000001</v>
      </c>
      <c r="X41" s="11">
        <f t="shared" si="2"/>
        <v>93.951449999999994</v>
      </c>
      <c r="Y41" s="11">
        <f>X41/(M41/1000)</f>
        <v>447.60100047641731</v>
      </c>
    </row>
    <row r="42" spans="1:25" x14ac:dyDescent="0.25">
      <c r="F42" s="4">
        <v>43661</v>
      </c>
      <c r="G42" s="2">
        <v>100</v>
      </c>
      <c r="H42" s="2" t="s">
        <v>13</v>
      </c>
      <c r="I42" s="2" t="s">
        <v>14</v>
      </c>
      <c r="J42" s="2" t="s">
        <v>15</v>
      </c>
      <c r="K42" s="2" t="s">
        <v>16</v>
      </c>
      <c r="L42" s="2">
        <v>2</v>
      </c>
      <c r="M42" s="2">
        <v>219.1</v>
      </c>
      <c r="N42" s="2">
        <v>0.41799999999999998</v>
      </c>
      <c r="O42" s="2">
        <v>0.14000000000000001</v>
      </c>
      <c r="P42" s="2">
        <v>0.156</v>
      </c>
      <c r="Q42" s="8">
        <f t="shared" ref="Q42:Q48" si="9">(AA$4*N42)+AA$5</f>
        <v>41.991925999999999</v>
      </c>
      <c r="R42" s="9">
        <f>(((Q42/1000)*6)*1000)-AVERAGE(R$47:R$49)</f>
        <v>246.74707199999995</v>
      </c>
      <c r="S42" s="9">
        <f t="shared" si="4"/>
        <v>1126.1847193062526</v>
      </c>
      <c r="T42" s="10">
        <f t="shared" ref="T42:T48" si="10">(AA$13*(O42+0.1))+AA$14</f>
        <v>24.036700000000003</v>
      </c>
      <c r="U42" s="10">
        <f>(((T42/1000)*6)*1000)-AVERAGE(U$47:U$49)</f>
        <v>75.498500000000035</v>
      </c>
      <c r="V42" s="10">
        <f t="shared" si="6"/>
        <v>344.5846645367414</v>
      </c>
      <c r="W42" s="11">
        <f t="shared" ref="W42:W48" si="11">(AA$22*P42)+AA$23</f>
        <v>15.595699999999999</v>
      </c>
      <c r="X42" s="11">
        <f>(((W42/1000)*6)*1000)-AVERAGE(X$47:X$49)</f>
        <v>91.519049999999993</v>
      </c>
      <c r="Y42" s="11">
        <f t="shared" si="8"/>
        <v>417.70447284345045</v>
      </c>
    </row>
    <row r="43" spans="1:25" ht="15.75" thickBot="1" x14ac:dyDescent="0.3">
      <c r="A43" s="1"/>
      <c r="F43" s="4">
        <v>43661</v>
      </c>
      <c r="G43" s="2">
        <v>100</v>
      </c>
      <c r="H43" s="2" t="s">
        <v>13</v>
      </c>
      <c r="I43" s="2" t="s">
        <v>14</v>
      </c>
      <c r="J43" s="2" t="s">
        <v>15</v>
      </c>
      <c r="K43" s="2" t="s">
        <v>16</v>
      </c>
      <c r="L43" s="2">
        <v>3</v>
      </c>
      <c r="M43" s="2">
        <v>213</v>
      </c>
      <c r="N43" s="2">
        <v>0.42599999999999999</v>
      </c>
      <c r="O43" s="2">
        <v>0.161</v>
      </c>
      <c r="P43" s="2">
        <v>0.16</v>
      </c>
      <c r="Q43" s="8">
        <f t="shared" si="9"/>
        <v>42.782781999999997</v>
      </c>
      <c r="R43" s="9">
        <f>(((Q43/1000)*6)*1000)-AVERAGE(R$47:R$49)</f>
        <v>251.49220799999998</v>
      </c>
      <c r="S43" s="9">
        <f t="shared" si="4"/>
        <v>1180.7145915492956</v>
      </c>
      <c r="T43" s="10">
        <f t="shared" si="10"/>
        <v>26.173450000000003</v>
      </c>
      <c r="U43" s="10">
        <f>(((T43/1000)*6)*1000)-AVERAGE(U$47:U$49)</f>
        <v>88.319000000000017</v>
      </c>
      <c r="V43" s="10">
        <f t="shared" si="6"/>
        <v>414.64319248826303</v>
      </c>
      <c r="W43" s="11">
        <f t="shared" si="11"/>
        <v>16.001100000000001</v>
      </c>
      <c r="X43" s="11">
        <f>(((W43/1000)*6)*1000)-AVERAGE(X$47:X$49)</f>
        <v>93.951449999999994</v>
      </c>
      <c r="Y43" s="11">
        <f t="shared" si="8"/>
        <v>441.08661971830986</v>
      </c>
    </row>
    <row r="44" spans="1:25" ht="30.75" thickBot="1" x14ac:dyDescent="0.3">
      <c r="A44" s="30">
        <v>108</v>
      </c>
      <c r="B44" s="31" t="s">
        <v>13</v>
      </c>
      <c r="C44" s="31" t="s">
        <v>14</v>
      </c>
      <c r="D44" s="31" t="s">
        <v>15</v>
      </c>
      <c r="E44" s="31" t="s">
        <v>16</v>
      </c>
      <c r="F44" s="4">
        <v>43661</v>
      </c>
      <c r="G44" s="2">
        <v>108</v>
      </c>
      <c r="H44" s="2" t="s">
        <v>13</v>
      </c>
      <c r="I44" s="2" t="s">
        <v>14</v>
      </c>
      <c r="J44" s="2" t="s">
        <v>15</v>
      </c>
      <c r="K44" s="2" t="s">
        <v>16</v>
      </c>
      <c r="L44" s="2">
        <v>1</v>
      </c>
      <c r="M44" s="2">
        <v>227</v>
      </c>
      <c r="N44" s="2">
        <v>0.16200000000000001</v>
      </c>
      <c r="O44" s="2">
        <v>0.19800000000000001</v>
      </c>
      <c r="P44" s="2">
        <v>0.25700000000000001</v>
      </c>
      <c r="Q44" s="8">
        <f t="shared" si="9"/>
        <v>16.684533999999999</v>
      </c>
      <c r="R44" s="9">
        <f>(((Q44/1000)*6)*1000)-AVERAGE(R$47:R$49)</f>
        <v>94.902720000000016</v>
      </c>
      <c r="S44" s="9">
        <f t="shared" si="4"/>
        <v>418.07365638766527</v>
      </c>
      <c r="T44" s="10">
        <f t="shared" si="10"/>
        <v>29.938200000000005</v>
      </c>
      <c r="U44" s="10">
        <f>(((T44/1000)*6)*1000)-AVERAGE(U$47:U$49)</f>
        <v>110.90750000000006</v>
      </c>
      <c r="V44" s="10">
        <f t="shared" si="6"/>
        <v>488.57929515418527</v>
      </c>
      <c r="W44" s="11">
        <f t="shared" si="11"/>
        <v>25.832049999999999</v>
      </c>
      <c r="X44" s="11">
        <f>(((W44/1000)*6)*1000)-AVERAGE(X$47:X$49)</f>
        <v>152.93715</v>
      </c>
      <c r="Y44" s="11">
        <f t="shared" si="8"/>
        <v>673.73193832599122</v>
      </c>
    </row>
    <row r="45" spans="1:25" x14ac:dyDescent="0.25">
      <c r="A45" s="1"/>
      <c r="F45" s="4">
        <v>43661</v>
      </c>
      <c r="G45" s="2">
        <v>108</v>
      </c>
      <c r="H45" s="2" t="s">
        <v>13</v>
      </c>
      <c r="I45" s="2" t="s">
        <v>14</v>
      </c>
      <c r="J45" s="2" t="s">
        <v>15</v>
      </c>
      <c r="K45" s="2" t="s">
        <v>16</v>
      </c>
      <c r="L45" s="2">
        <v>2</v>
      </c>
      <c r="M45" s="2">
        <v>202.3</v>
      </c>
      <c r="N45" s="2">
        <v>0.254</v>
      </c>
      <c r="O45" s="2">
        <v>0.221</v>
      </c>
      <c r="P45" s="2">
        <v>0.32900000000000001</v>
      </c>
      <c r="Q45" s="8">
        <f t="shared" si="9"/>
        <v>25.779377999999998</v>
      </c>
      <c r="R45" s="9">
        <f>(((Q45/1000)*6)*1000)-AVERAGE(R$47:R$49)</f>
        <v>149.47178399999999</v>
      </c>
      <c r="S45" s="9">
        <f t="shared" si="4"/>
        <v>738.86200692041507</v>
      </c>
      <c r="T45" s="10">
        <f t="shared" si="10"/>
        <v>32.278449999999999</v>
      </c>
      <c r="U45" s="10">
        <f>(((T45/1000)*6)*1000)-AVERAGE(U$47:U$49)</f>
        <v>124.94900000000001</v>
      </c>
      <c r="V45" s="10">
        <f t="shared" si="6"/>
        <v>617.64211566979736</v>
      </c>
      <c r="W45" s="11">
        <f t="shared" si="11"/>
        <v>33.129249999999999</v>
      </c>
      <c r="X45" s="11">
        <f>(((W45/1000)*6)*1000)-AVERAGE(X$47:X$49)</f>
        <v>196.72035</v>
      </c>
      <c r="Y45" s="11">
        <f t="shared" si="8"/>
        <v>972.41893227879382</v>
      </c>
    </row>
    <row r="46" spans="1:25" x14ac:dyDescent="0.25">
      <c r="A46" s="1"/>
      <c r="F46" s="4">
        <v>43661</v>
      </c>
      <c r="G46" s="2">
        <v>108</v>
      </c>
      <c r="H46" s="2" t="s">
        <v>13</v>
      </c>
      <c r="I46" s="2" t="s">
        <v>14</v>
      </c>
      <c r="J46" s="2" t="s">
        <v>15</v>
      </c>
      <c r="K46" s="2" t="s">
        <v>16</v>
      </c>
      <c r="L46" s="2">
        <v>3</v>
      </c>
      <c r="M46" s="2">
        <v>219</v>
      </c>
      <c r="N46" s="2">
        <v>0.17499999999999999</v>
      </c>
      <c r="O46" s="2">
        <v>0.192</v>
      </c>
      <c r="P46" s="2">
        <v>0.3</v>
      </c>
      <c r="Q46" s="8">
        <f t="shared" si="9"/>
        <v>17.969674999999999</v>
      </c>
      <c r="R46" s="9">
        <f>(((Q46/1000)*6)*1000)-AVERAGE(R$47:R$49)</f>
        <v>102.61356599999999</v>
      </c>
      <c r="S46" s="9">
        <f t="shared" si="4"/>
        <v>468.55509589041094</v>
      </c>
      <c r="T46" s="10">
        <f t="shared" si="10"/>
        <v>29.327700000000004</v>
      </c>
      <c r="U46" s="10">
        <f>(((T46/1000)*6)*1000)-AVERAGE(U$47:U$49)</f>
        <v>107.24450000000002</v>
      </c>
      <c r="V46" s="10">
        <f t="shared" si="6"/>
        <v>489.70091324200922</v>
      </c>
      <c r="W46" s="11">
        <f t="shared" si="11"/>
        <v>30.190099999999997</v>
      </c>
      <c r="X46" s="11">
        <f>(((W46/1000)*6)*1000)-AVERAGE(X$47:X$49)</f>
        <v>179.08544999999998</v>
      </c>
      <c r="Y46" s="11">
        <f>X46/(M46/1000)</f>
        <v>817.7417808219177</v>
      </c>
    </row>
    <row r="47" spans="1:25" x14ac:dyDescent="0.25">
      <c r="A47" s="1"/>
      <c r="F47" s="4">
        <v>43661</v>
      </c>
      <c r="G47" s="2" t="s">
        <v>31</v>
      </c>
      <c r="H47" s="2" t="s">
        <v>31</v>
      </c>
      <c r="I47" s="2" t="s">
        <v>31</v>
      </c>
      <c r="J47" s="2" t="s">
        <v>31</v>
      </c>
      <c r="K47" s="2" t="s">
        <v>31</v>
      </c>
      <c r="L47" s="2">
        <v>1</v>
      </c>
      <c r="M47" s="2" t="s">
        <v>27</v>
      </c>
      <c r="N47" s="8">
        <v>-1E-3</v>
      </c>
      <c r="O47" s="9">
        <v>6.0000000000000001E-3</v>
      </c>
      <c r="P47" s="9">
        <v>6.0000000000000001E-3</v>
      </c>
      <c r="Q47" s="8">
        <f t="shared" si="9"/>
        <v>0.57084299999999999</v>
      </c>
      <c r="R47" s="9">
        <f>(((Q47/1000)*6)*1000)</f>
        <v>3.4250579999999999</v>
      </c>
      <c r="S47" s="9" t="s">
        <v>27</v>
      </c>
      <c r="T47" s="10">
        <f t="shared" si="10"/>
        <v>10.402200000000001</v>
      </c>
      <c r="U47" s="10">
        <f>(((T47/1000)*6)*1000)</f>
        <v>62.413200000000003</v>
      </c>
      <c r="V47" s="10" t="s">
        <v>27</v>
      </c>
      <c r="W47" s="11">
        <f t="shared" si="11"/>
        <v>0.39319999999999999</v>
      </c>
      <c r="X47" s="11">
        <f>(((W47/1000)*6)*1000)</f>
        <v>2.3592</v>
      </c>
      <c r="Y47" s="11" t="s">
        <v>27</v>
      </c>
    </row>
    <row r="48" spans="1:25" x14ac:dyDescent="0.25">
      <c r="A48" s="1"/>
      <c r="F48" s="4">
        <v>43661</v>
      </c>
      <c r="G48" s="2" t="s">
        <v>31</v>
      </c>
      <c r="H48" s="2" t="s">
        <v>31</v>
      </c>
      <c r="I48" s="2" t="s">
        <v>31</v>
      </c>
      <c r="J48" s="2" t="s">
        <v>31</v>
      </c>
      <c r="K48" s="2" t="s">
        <v>31</v>
      </c>
      <c r="L48" s="2">
        <v>2</v>
      </c>
      <c r="M48" s="2" t="s">
        <v>27</v>
      </c>
      <c r="N48" s="8">
        <v>5.0000000000000001E-3</v>
      </c>
      <c r="O48" s="9">
        <v>1.7999999999999999E-2</v>
      </c>
      <c r="P48" s="9">
        <v>5.0000000000000001E-3</v>
      </c>
      <c r="Q48" s="8">
        <f t="shared" si="9"/>
        <v>1.163985</v>
      </c>
      <c r="R48" s="9">
        <f>(((Q48/1000)*6)*1000)</f>
        <v>6.9839099999999998</v>
      </c>
      <c r="S48" s="9" t="s">
        <v>27</v>
      </c>
      <c r="T48" s="10">
        <f t="shared" si="10"/>
        <v>11.623200000000001</v>
      </c>
      <c r="U48" s="10">
        <f>(((T48/1000)*6)*1000)</f>
        <v>69.739199999999997</v>
      </c>
      <c r="V48" s="10" t="s">
        <v>27</v>
      </c>
      <c r="W48" s="11">
        <f t="shared" si="11"/>
        <v>0.29185000000000005</v>
      </c>
      <c r="X48" s="11">
        <f>(((W48/1000)*6)*1000)</f>
        <v>1.7511000000000005</v>
      </c>
      <c r="Y48" s="11" t="s">
        <v>27</v>
      </c>
    </row>
    <row r="49" spans="1:25" x14ac:dyDescent="0.25">
      <c r="A49" s="1"/>
      <c r="F49" s="4">
        <v>43661</v>
      </c>
      <c r="G49" s="2" t="s">
        <v>31</v>
      </c>
      <c r="H49" s="2" t="s">
        <v>31</v>
      </c>
      <c r="I49" s="2" t="s">
        <v>31</v>
      </c>
      <c r="J49" s="2" t="s">
        <v>31</v>
      </c>
      <c r="K49" s="2" t="s">
        <v>31</v>
      </c>
      <c r="L49" s="2">
        <v>3</v>
      </c>
      <c r="M49" s="2" t="s">
        <v>27</v>
      </c>
      <c r="N49" s="8">
        <v>2E-3</v>
      </c>
      <c r="O49" s="9">
        <v>2.5000000000000001E-2</v>
      </c>
      <c r="P49" s="9" t="s">
        <v>27</v>
      </c>
      <c r="Q49" s="8">
        <f t="shared" si="3"/>
        <v>0.86741399999999991</v>
      </c>
      <c r="R49" s="9">
        <f>(((Q49/1000)*6)*1000)</f>
        <v>5.2044839999999999</v>
      </c>
      <c r="S49" s="9" t="s">
        <v>27</v>
      </c>
      <c r="T49" s="10">
        <f t="shared" si="5"/>
        <v>12.33545</v>
      </c>
      <c r="U49" s="10">
        <f>(((T49/1000)*6)*1000)</f>
        <v>74.012699999999995</v>
      </c>
      <c r="V49" s="10" t="s">
        <v>27</v>
      </c>
      <c r="W49" s="11" t="s">
        <v>27</v>
      </c>
      <c r="X49" s="11" t="s">
        <v>27</v>
      </c>
      <c r="Y49" s="11" t="s">
        <v>27</v>
      </c>
    </row>
    <row r="50" spans="1:25" x14ac:dyDescent="0.25">
      <c r="A50" s="1"/>
      <c r="R50" s="9"/>
      <c r="S50" s="9"/>
      <c r="T50" s="10"/>
      <c r="U50" s="10"/>
      <c r="V50" s="10"/>
      <c r="W50" s="11"/>
      <c r="X50" s="11"/>
      <c r="Y50" s="11"/>
    </row>
    <row r="51" spans="1:25" x14ac:dyDescent="0.25">
      <c r="A51" s="1"/>
      <c r="R51" s="9"/>
      <c r="S51" s="9"/>
      <c r="T51" s="10"/>
      <c r="U51" s="10"/>
      <c r="V51" s="10"/>
      <c r="W51" s="11"/>
      <c r="X51" s="11"/>
      <c r="Y51" s="11"/>
    </row>
    <row r="52" spans="1:25" x14ac:dyDescent="0.25">
      <c r="A52" s="1"/>
      <c r="R52" s="9"/>
      <c r="S52" s="9"/>
      <c r="T52" s="10"/>
      <c r="U52" s="10"/>
      <c r="V52" s="10"/>
      <c r="W52" s="11"/>
      <c r="X52" s="11"/>
      <c r="Y52" s="11"/>
    </row>
    <row r="53" spans="1:25" x14ac:dyDescent="0.25">
      <c r="A53" s="1"/>
      <c r="R53" s="9"/>
      <c r="S53" s="9"/>
      <c r="T53" s="10"/>
      <c r="U53" s="10"/>
      <c r="V53" s="10"/>
      <c r="W53" s="11"/>
      <c r="X53" s="11"/>
      <c r="Y53" s="11"/>
    </row>
    <row r="54" spans="1:25" x14ac:dyDescent="0.25">
      <c r="A54" s="1"/>
      <c r="R54" s="9"/>
      <c r="S54" s="9"/>
      <c r="T54" s="10"/>
      <c r="U54" s="10"/>
      <c r="V54" s="10"/>
      <c r="W54" s="11"/>
      <c r="X54" s="11"/>
      <c r="Y54" s="11"/>
    </row>
    <row r="55" spans="1:25" x14ac:dyDescent="0.25">
      <c r="A55" s="1"/>
      <c r="R55" s="9"/>
      <c r="S55" s="9"/>
      <c r="T55" s="10"/>
      <c r="U55" s="10"/>
      <c r="V55" s="10"/>
      <c r="W55" s="11"/>
      <c r="X55" s="11"/>
      <c r="Y55" s="11"/>
    </row>
    <row r="56" spans="1:25" x14ac:dyDescent="0.25">
      <c r="A56" s="1"/>
      <c r="R56" s="9"/>
      <c r="S56" s="9"/>
      <c r="T56" s="10"/>
      <c r="U56" s="10"/>
      <c r="V56" s="10"/>
      <c r="W56" s="11"/>
      <c r="X56" s="11"/>
      <c r="Y56" s="11"/>
    </row>
    <row r="57" spans="1:25" x14ac:dyDescent="0.25">
      <c r="A57" s="1"/>
      <c r="R57" s="9"/>
      <c r="S57" s="9"/>
      <c r="T57" s="10"/>
      <c r="U57" s="10"/>
      <c r="V57" s="10"/>
      <c r="W57" s="11"/>
      <c r="X57" s="11"/>
      <c r="Y57" s="11"/>
    </row>
    <row r="58" spans="1:25" x14ac:dyDescent="0.25">
      <c r="A58" s="1"/>
      <c r="R58" s="9"/>
      <c r="S58" s="9"/>
      <c r="T58" s="10"/>
      <c r="U58" s="10"/>
      <c r="V58" s="10"/>
      <c r="W58" s="11"/>
      <c r="X58" s="11"/>
      <c r="Y58" s="11"/>
    </row>
    <row r="59" spans="1:25" x14ac:dyDescent="0.25">
      <c r="A59" s="1"/>
      <c r="R59" s="9"/>
      <c r="S59" s="9"/>
      <c r="T59" s="10"/>
      <c r="U59" s="10"/>
      <c r="V59" s="10"/>
      <c r="W59" s="11"/>
      <c r="X59" s="11"/>
      <c r="Y59" s="11"/>
    </row>
    <row r="60" spans="1:25" x14ac:dyDescent="0.25">
      <c r="A60" s="1"/>
      <c r="R60" s="9"/>
      <c r="S60" s="9"/>
      <c r="T60" s="10"/>
      <c r="U60" s="10"/>
      <c r="V60" s="10"/>
      <c r="W60" s="11"/>
      <c r="X60" s="11"/>
      <c r="Y60" s="11"/>
    </row>
    <row r="61" spans="1:25" x14ac:dyDescent="0.25">
      <c r="A61" s="1"/>
      <c r="R61" s="9"/>
      <c r="S61" s="9"/>
      <c r="T61" s="10"/>
      <c r="U61" s="10"/>
      <c r="V61" s="10"/>
      <c r="W61" s="11"/>
      <c r="X61" s="11"/>
      <c r="Y61" s="11"/>
    </row>
    <row r="62" spans="1:25" x14ac:dyDescent="0.25">
      <c r="A62" s="1"/>
      <c r="R62" s="9"/>
      <c r="S62" s="9"/>
      <c r="T62" s="10"/>
      <c r="U62" s="10"/>
      <c r="V62" s="10"/>
      <c r="W62" s="11"/>
      <c r="X62" s="11"/>
      <c r="Y62" s="11"/>
    </row>
    <row r="63" spans="1:25" x14ac:dyDescent="0.25">
      <c r="A63" s="1"/>
      <c r="R63" s="9"/>
      <c r="S63" s="9"/>
      <c r="T63" s="10"/>
      <c r="U63" s="10"/>
      <c r="V63" s="10"/>
      <c r="W63" s="11"/>
      <c r="X63" s="11"/>
      <c r="Y63" s="11"/>
    </row>
    <row r="64" spans="1:25" x14ac:dyDescent="0.25">
      <c r="A64" s="1"/>
      <c r="R64" s="9"/>
      <c r="S64" s="9"/>
      <c r="T64" s="10"/>
      <c r="U64" s="10"/>
      <c r="V64" s="10"/>
      <c r="W64" s="11"/>
      <c r="X64" s="11"/>
      <c r="Y64" s="11"/>
    </row>
    <row r="65" spans="1:25" x14ac:dyDescent="0.25">
      <c r="A65" s="1"/>
      <c r="R65" s="9"/>
      <c r="S65" s="9"/>
      <c r="T65" s="10"/>
      <c r="U65" s="10"/>
      <c r="V65" s="10"/>
      <c r="W65" s="11"/>
      <c r="X65" s="11"/>
      <c r="Y65" s="11"/>
    </row>
    <row r="66" spans="1:25" x14ac:dyDescent="0.25">
      <c r="A66" s="1"/>
      <c r="R66" s="9"/>
      <c r="S66" s="9"/>
      <c r="T66" s="10"/>
      <c r="U66" s="10"/>
      <c r="V66" s="10"/>
      <c r="W66" s="11"/>
      <c r="X66" s="11"/>
      <c r="Y66" s="11"/>
    </row>
    <row r="67" spans="1:25" x14ac:dyDescent="0.25">
      <c r="A67" s="1"/>
      <c r="R67" s="9"/>
      <c r="S67" s="9"/>
      <c r="T67" s="10"/>
      <c r="U67" s="10"/>
      <c r="V67" s="10"/>
      <c r="W67" s="11"/>
      <c r="X67" s="11"/>
      <c r="Y67" s="11"/>
    </row>
    <row r="68" spans="1:25" x14ac:dyDescent="0.25">
      <c r="A68" s="1"/>
      <c r="R68" s="9"/>
      <c r="S68" s="9"/>
      <c r="T68" s="10"/>
      <c r="U68" s="10"/>
      <c r="V68" s="10"/>
      <c r="W68" s="11"/>
      <c r="X68" s="11"/>
      <c r="Y68" s="11"/>
    </row>
    <row r="69" spans="1:25" x14ac:dyDescent="0.25">
      <c r="A69" s="1"/>
      <c r="R69" s="9"/>
      <c r="S69" s="9"/>
      <c r="T69" s="10"/>
      <c r="U69" s="10"/>
      <c r="V69" s="10"/>
      <c r="W69" s="11"/>
      <c r="X69" s="11"/>
      <c r="Y69" s="11"/>
    </row>
    <row r="70" spans="1:25" x14ac:dyDescent="0.25">
      <c r="A70" s="1"/>
      <c r="R70" s="9"/>
      <c r="S70" s="9"/>
      <c r="T70" s="10"/>
      <c r="U70" s="10"/>
      <c r="V70" s="10"/>
      <c r="W70" s="11"/>
      <c r="X70" s="11"/>
      <c r="Y70" s="11"/>
    </row>
    <row r="71" spans="1:25" x14ac:dyDescent="0.25">
      <c r="A71" s="1"/>
      <c r="R71" s="9"/>
      <c r="S71" s="9"/>
      <c r="T71" s="10"/>
      <c r="U71" s="10"/>
      <c r="V71" s="10"/>
      <c r="W71" s="11"/>
      <c r="X71" s="11"/>
      <c r="Y71" s="11"/>
    </row>
    <row r="72" spans="1:25" x14ac:dyDescent="0.25">
      <c r="A72" s="1"/>
      <c r="R72" s="9"/>
      <c r="S72" s="9"/>
      <c r="T72" s="10"/>
      <c r="U72" s="10"/>
      <c r="V72" s="10"/>
      <c r="W72" s="11"/>
      <c r="X72" s="11"/>
      <c r="Y72" s="11"/>
    </row>
    <row r="73" spans="1:25" x14ac:dyDescent="0.25">
      <c r="A73" s="1"/>
      <c r="R73" s="9"/>
      <c r="S73" s="9"/>
      <c r="T73" s="10"/>
      <c r="U73" s="10"/>
      <c r="V73" s="10"/>
      <c r="W73" s="11"/>
      <c r="X73" s="11"/>
      <c r="Y73" s="11"/>
    </row>
    <row r="74" spans="1:25" x14ac:dyDescent="0.25">
      <c r="A74" s="1"/>
      <c r="R74" s="9"/>
      <c r="S74" s="9"/>
      <c r="T74" s="10"/>
      <c r="U74" s="10"/>
      <c r="V74" s="10"/>
      <c r="W74" s="11"/>
      <c r="X74" s="11"/>
      <c r="Y74" s="11"/>
    </row>
    <row r="75" spans="1:25" x14ac:dyDescent="0.25">
      <c r="A75" s="1"/>
      <c r="R75" s="9"/>
      <c r="S75" s="9"/>
      <c r="T75" s="10"/>
      <c r="U75" s="10"/>
      <c r="V75" s="10"/>
      <c r="W75" s="11"/>
      <c r="X75" s="11"/>
      <c r="Y75" s="11"/>
    </row>
    <row r="76" spans="1:25" x14ac:dyDescent="0.25">
      <c r="A76" s="1"/>
      <c r="R76" s="9"/>
      <c r="S76" s="9"/>
      <c r="T76" s="10"/>
      <c r="U76" s="10"/>
      <c r="V76" s="10"/>
      <c r="W76" s="11"/>
      <c r="X76" s="11"/>
      <c r="Y76" s="11"/>
    </row>
    <row r="77" spans="1:25" x14ac:dyDescent="0.25">
      <c r="A77" s="1"/>
      <c r="R77" s="9"/>
      <c r="S77" s="9"/>
      <c r="T77" s="10"/>
      <c r="U77" s="10"/>
      <c r="V77" s="10"/>
      <c r="W77" s="11"/>
      <c r="X77" s="11"/>
      <c r="Y77" s="11"/>
    </row>
    <row r="78" spans="1:25" x14ac:dyDescent="0.25">
      <c r="A78" s="1"/>
      <c r="R78" s="9"/>
      <c r="S78" s="9"/>
      <c r="T78" s="10"/>
      <c r="U78" s="10"/>
      <c r="V78" s="10"/>
      <c r="W78" s="11"/>
      <c r="X78" s="11"/>
      <c r="Y78" s="11"/>
    </row>
    <row r="79" spans="1:25" x14ac:dyDescent="0.25">
      <c r="A79" s="1"/>
      <c r="R79" s="9"/>
      <c r="S79" s="9"/>
      <c r="T79" s="10"/>
      <c r="U79" s="10"/>
      <c r="V79" s="10"/>
      <c r="W79" s="11"/>
      <c r="X79" s="11"/>
      <c r="Y79" s="11"/>
    </row>
    <row r="80" spans="1:25" x14ac:dyDescent="0.25">
      <c r="A80" s="1"/>
      <c r="R80" s="9"/>
      <c r="S80" s="9"/>
      <c r="T80" s="10"/>
      <c r="U80" s="10"/>
      <c r="V80" s="10"/>
      <c r="W80" s="11"/>
      <c r="X80" s="11"/>
      <c r="Y80" s="11"/>
    </row>
    <row r="81" spans="1:25" x14ac:dyDescent="0.25">
      <c r="A81" s="1"/>
      <c r="R81" s="9"/>
      <c r="S81" s="9"/>
      <c r="T81" s="10"/>
      <c r="U81" s="10"/>
      <c r="V81" s="10"/>
      <c r="W81" s="11"/>
      <c r="X81" s="11"/>
      <c r="Y81" s="11"/>
    </row>
    <row r="82" spans="1:25" x14ac:dyDescent="0.25">
      <c r="A82" s="1"/>
      <c r="R82" s="9"/>
      <c r="S82" s="9"/>
      <c r="T82" s="10"/>
      <c r="U82" s="10"/>
      <c r="V82" s="10"/>
      <c r="W82" s="11"/>
      <c r="X82" s="11"/>
      <c r="Y82" s="11"/>
    </row>
    <row r="83" spans="1:25" x14ac:dyDescent="0.25">
      <c r="A83" s="1"/>
      <c r="R83" s="9"/>
      <c r="S83" s="9"/>
      <c r="T83" s="10"/>
      <c r="U83" s="10"/>
      <c r="V83" s="10"/>
      <c r="W83" s="11"/>
      <c r="X83" s="11"/>
      <c r="Y83" s="11"/>
    </row>
    <row r="84" spans="1:25" x14ac:dyDescent="0.25">
      <c r="A84" s="1"/>
      <c r="R84" s="9"/>
      <c r="S84" s="9"/>
      <c r="T84" s="10"/>
      <c r="U84" s="10"/>
      <c r="V84" s="10"/>
      <c r="W84" s="11"/>
      <c r="X84" s="11"/>
      <c r="Y84" s="11"/>
    </row>
    <row r="85" spans="1:25" x14ac:dyDescent="0.25">
      <c r="A85" s="1"/>
      <c r="R85" s="9"/>
      <c r="S85" s="9"/>
      <c r="T85" s="10"/>
      <c r="U85" s="10"/>
      <c r="V85" s="10"/>
      <c r="W85" s="11"/>
      <c r="X85" s="11"/>
      <c r="Y85" s="11"/>
    </row>
    <row r="86" spans="1:25" x14ac:dyDescent="0.25">
      <c r="A86" s="1"/>
      <c r="R86" s="9"/>
      <c r="S86" s="9"/>
      <c r="T86" s="10"/>
      <c r="U86" s="10"/>
      <c r="V86" s="10"/>
      <c r="W86" s="11"/>
      <c r="X86" s="11"/>
      <c r="Y86" s="11"/>
    </row>
    <row r="87" spans="1:25" x14ac:dyDescent="0.25">
      <c r="A87" s="1"/>
      <c r="R87" s="9"/>
      <c r="S87" s="9"/>
      <c r="T87" s="10"/>
      <c r="U87" s="10"/>
      <c r="V87" s="10"/>
      <c r="W87" s="11"/>
      <c r="X87" s="11"/>
      <c r="Y87" s="11"/>
    </row>
    <row r="88" spans="1:25" x14ac:dyDescent="0.25">
      <c r="A88" s="1"/>
      <c r="R88" s="9"/>
      <c r="S88" s="9"/>
      <c r="T88" s="10"/>
      <c r="U88" s="10"/>
      <c r="V88" s="10"/>
      <c r="W88" s="11"/>
      <c r="X88" s="11"/>
      <c r="Y88" s="11"/>
    </row>
    <row r="89" spans="1:25" x14ac:dyDescent="0.25">
      <c r="A89" s="1"/>
      <c r="R89" s="9"/>
      <c r="S89" s="9"/>
      <c r="T89" s="10"/>
      <c r="U89" s="10"/>
      <c r="V89" s="10"/>
      <c r="W89" s="11"/>
      <c r="X89" s="11"/>
      <c r="Y89" s="11"/>
    </row>
    <row r="90" spans="1:25" x14ac:dyDescent="0.25">
      <c r="A90" s="1"/>
      <c r="R90" s="9"/>
      <c r="S90" s="9"/>
      <c r="T90" s="10"/>
      <c r="U90" s="10"/>
      <c r="V90" s="10"/>
      <c r="W90" s="11"/>
      <c r="X90" s="11"/>
      <c r="Y90" s="11"/>
    </row>
    <row r="91" spans="1:25" x14ac:dyDescent="0.25">
      <c r="A91" s="1"/>
      <c r="R91" s="9"/>
      <c r="S91" s="9"/>
      <c r="T91" s="10"/>
      <c r="U91" s="10"/>
      <c r="V91" s="10"/>
      <c r="W91" s="11"/>
      <c r="X91" s="11"/>
      <c r="Y91" s="11"/>
    </row>
    <row r="92" spans="1:25" x14ac:dyDescent="0.25">
      <c r="A92" s="1"/>
      <c r="R92" s="9"/>
      <c r="S92" s="9"/>
      <c r="T92" s="10"/>
      <c r="U92" s="10"/>
      <c r="V92" s="10"/>
      <c r="W92" s="11"/>
      <c r="X92" s="11"/>
      <c r="Y92" s="11"/>
    </row>
    <row r="93" spans="1:25" x14ac:dyDescent="0.25">
      <c r="A93" s="1"/>
      <c r="R93" s="9"/>
      <c r="S93" s="9"/>
      <c r="T93" s="10"/>
      <c r="U93" s="10"/>
      <c r="V93" s="10"/>
      <c r="W93" s="11"/>
      <c r="X93" s="11"/>
      <c r="Y93" s="11"/>
    </row>
    <row r="94" spans="1:25" x14ac:dyDescent="0.25">
      <c r="A94" s="1"/>
      <c r="R94" s="9"/>
      <c r="S94" s="9"/>
      <c r="T94" s="10"/>
      <c r="U94" s="10"/>
      <c r="V94" s="10"/>
      <c r="W94" s="11"/>
      <c r="X94" s="11"/>
      <c r="Y94" s="11"/>
    </row>
    <row r="95" spans="1:25" x14ac:dyDescent="0.25">
      <c r="A95" s="1"/>
      <c r="R95" s="9"/>
      <c r="S95" s="9"/>
      <c r="T95" s="10"/>
      <c r="U95" s="10"/>
      <c r="V95" s="10"/>
      <c r="W95" s="11"/>
      <c r="X95" s="11"/>
      <c r="Y95" s="11"/>
    </row>
    <row r="96" spans="1:25" x14ac:dyDescent="0.25">
      <c r="A96" s="1"/>
      <c r="R96" s="9"/>
      <c r="S96" s="9"/>
      <c r="T96" s="10"/>
      <c r="U96" s="10"/>
      <c r="V96" s="10"/>
      <c r="W96" s="11"/>
      <c r="X96" s="11"/>
      <c r="Y96" s="11"/>
    </row>
    <row r="97" spans="1:25" x14ac:dyDescent="0.25">
      <c r="A97" s="1"/>
      <c r="R97" s="9"/>
      <c r="S97" s="9"/>
      <c r="T97" s="10"/>
      <c r="U97" s="10"/>
      <c r="V97" s="10"/>
      <c r="W97" s="11"/>
      <c r="X97" s="11"/>
      <c r="Y97" s="11"/>
    </row>
    <row r="98" spans="1:25" x14ac:dyDescent="0.25">
      <c r="A98" s="1"/>
      <c r="R98" s="9"/>
      <c r="S98" s="9"/>
      <c r="T98" s="10"/>
      <c r="U98" s="10"/>
      <c r="V98" s="10"/>
      <c r="W98" s="11"/>
      <c r="X98" s="11"/>
      <c r="Y98" s="11"/>
    </row>
    <row r="99" spans="1:25" x14ac:dyDescent="0.25">
      <c r="A99" s="1"/>
      <c r="R99" s="9"/>
      <c r="S99" s="9"/>
      <c r="T99" s="10"/>
      <c r="U99" s="10"/>
      <c r="V99" s="10"/>
      <c r="W99" s="11"/>
      <c r="X99" s="11"/>
      <c r="Y99" s="11"/>
    </row>
    <row r="100" spans="1:25" x14ac:dyDescent="0.25">
      <c r="A100" s="1"/>
      <c r="R100" s="9"/>
      <c r="S100" s="9"/>
      <c r="T100" s="10"/>
      <c r="U100" s="10"/>
      <c r="V100" s="10"/>
      <c r="W100" s="11"/>
      <c r="X100" s="11"/>
      <c r="Y100" s="11"/>
    </row>
    <row r="101" spans="1:25" x14ac:dyDescent="0.25">
      <c r="A101" s="1"/>
      <c r="R101" s="9"/>
      <c r="S101" s="9"/>
      <c r="T101" s="10"/>
      <c r="U101" s="10"/>
      <c r="V101" s="10"/>
      <c r="W101" s="11"/>
      <c r="X101" s="11"/>
      <c r="Y101" s="11"/>
    </row>
    <row r="102" spans="1:25" x14ac:dyDescent="0.25">
      <c r="A102" s="1"/>
      <c r="R102" s="9"/>
      <c r="S102" s="9"/>
      <c r="T102" s="10"/>
      <c r="U102" s="10"/>
      <c r="V102" s="10"/>
      <c r="W102" s="11"/>
      <c r="X102" s="11"/>
      <c r="Y102" s="11"/>
    </row>
    <row r="103" spans="1:25" x14ac:dyDescent="0.25">
      <c r="A103" s="1"/>
      <c r="R103" s="9"/>
      <c r="S103" s="9"/>
      <c r="T103" s="10"/>
      <c r="U103" s="10"/>
      <c r="V103" s="10"/>
      <c r="W103" s="11"/>
      <c r="X103" s="11"/>
      <c r="Y103" s="11"/>
    </row>
    <row r="104" spans="1:25" x14ac:dyDescent="0.25">
      <c r="A104" s="1"/>
      <c r="R104" s="9"/>
      <c r="S104" s="9"/>
      <c r="T104" s="10"/>
      <c r="U104" s="10"/>
      <c r="V104" s="10"/>
      <c r="W104" s="11"/>
      <c r="X104" s="11"/>
      <c r="Y104" s="11"/>
    </row>
    <row r="105" spans="1:25" x14ac:dyDescent="0.25">
      <c r="A105" s="1"/>
      <c r="R105" s="9"/>
      <c r="S105" s="9"/>
      <c r="T105" s="10"/>
      <c r="U105" s="10"/>
      <c r="V105" s="10"/>
      <c r="W105" s="11"/>
      <c r="X105" s="11"/>
      <c r="Y105" s="11"/>
    </row>
    <row r="106" spans="1:25" x14ac:dyDescent="0.25">
      <c r="A106" s="1"/>
      <c r="R106" s="9"/>
      <c r="S106" s="9"/>
      <c r="T106" s="10"/>
      <c r="U106" s="10"/>
      <c r="V106" s="10"/>
      <c r="W106" s="11"/>
      <c r="X106" s="11"/>
      <c r="Y106" s="11"/>
    </row>
    <row r="107" spans="1:25" x14ac:dyDescent="0.25">
      <c r="A107" s="1"/>
      <c r="R107" s="9"/>
      <c r="S107" s="9"/>
      <c r="T107" s="10"/>
      <c r="U107" s="10"/>
      <c r="V107" s="10"/>
      <c r="W107" s="11"/>
      <c r="X107" s="11"/>
      <c r="Y107" s="11"/>
    </row>
    <row r="108" spans="1:25" x14ac:dyDescent="0.25">
      <c r="A108" s="1"/>
      <c r="R108" s="9"/>
      <c r="S108" s="9"/>
      <c r="T108" s="10"/>
      <c r="U108" s="10"/>
      <c r="V108" s="10"/>
      <c r="W108" s="11"/>
      <c r="X108" s="11"/>
      <c r="Y108" s="11"/>
    </row>
    <row r="109" spans="1:25" x14ac:dyDescent="0.25">
      <c r="A109" s="1"/>
      <c r="R109" s="9"/>
      <c r="S109" s="9"/>
      <c r="T109" s="10"/>
      <c r="U109" s="10"/>
      <c r="V109" s="10"/>
      <c r="W109" s="11"/>
      <c r="X109" s="11"/>
      <c r="Y109" s="11"/>
    </row>
    <row r="110" spans="1:25" x14ac:dyDescent="0.25">
      <c r="A110" s="1"/>
      <c r="R110" s="9"/>
      <c r="S110" s="9"/>
      <c r="T110" s="10"/>
      <c r="U110" s="10"/>
      <c r="V110" s="10"/>
      <c r="W110" s="11"/>
      <c r="X110" s="11"/>
      <c r="Y110" s="11"/>
    </row>
    <row r="111" spans="1:25" x14ac:dyDescent="0.25">
      <c r="A111" s="1"/>
      <c r="R111" s="9"/>
      <c r="S111" s="9"/>
      <c r="T111" s="10"/>
      <c r="U111" s="10"/>
      <c r="V111" s="10"/>
      <c r="W111" s="11"/>
      <c r="X111" s="11"/>
      <c r="Y111" s="11"/>
    </row>
    <row r="112" spans="1:25" x14ac:dyDescent="0.25">
      <c r="A112" s="1"/>
      <c r="R112" s="12"/>
      <c r="S112" s="13"/>
      <c r="T112" s="13"/>
      <c r="U112" s="13"/>
      <c r="V112" s="13"/>
      <c r="W112" s="13"/>
      <c r="X112" s="13"/>
      <c r="Y112" s="11"/>
    </row>
    <row r="113" spans="1:25" x14ac:dyDescent="0.25">
      <c r="A113" s="1"/>
      <c r="S113" s="9"/>
      <c r="T113" s="10"/>
      <c r="U113" s="10"/>
      <c r="V113" s="10"/>
      <c r="W113" s="11"/>
      <c r="X113" s="11"/>
      <c r="Y113" s="11"/>
    </row>
    <row r="114" spans="1:25" x14ac:dyDescent="0.25">
      <c r="A114" s="1"/>
      <c r="S114" s="9"/>
      <c r="T114" s="10"/>
      <c r="U114" s="10"/>
      <c r="V114" s="10"/>
      <c r="W114" s="11"/>
      <c r="X114" s="11"/>
      <c r="Y114" s="11"/>
    </row>
    <row r="115" spans="1:25" x14ac:dyDescent="0.25">
      <c r="A115" s="1"/>
      <c r="S115" s="9"/>
      <c r="T115" s="10"/>
      <c r="U115" s="10"/>
      <c r="V115" s="10"/>
      <c r="W115" s="11"/>
      <c r="X115" s="11"/>
      <c r="Y115" s="11"/>
    </row>
    <row r="116" spans="1:25" x14ac:dyDescent="0.25">
      <c r="A116" s="1"/>
      <c r="S116" s="9"/>
      <c r="T116" s="10"/>
      <c r="U116" s="10"/>
      <c r="V116" s="10"/>
      <c r="W116" s="11"/>
      <c r="X116" s="11"/>
      <c r="Y116" s="11"/>
    </row>
    <row r="117" spans="1:25" x14ac:dyDescent="0.25">
      <c r="A117" s="1"/>
      <c r="S117" s="9"/>
      <c r="T117" s="10"/>
      <c r="U117" s="10"/>
      <c r="V117" s="10"/>
      <c r="W117" s="11"/>
      <c r="X117" s="11"/>
      <c r="Y117" s="11"/>
    </row>
    <row r="118" spans="1:25" x14ac:dyDescent="0.25">
      <c r="A118" s="1"/>
      <c r="S118" s="9"/>
      <c r="T118" s="10"/>
      <c r="U118" s="10"/>
      <c r="V118" s="10"/>
      <c r="W118" s="11"/>
      <c r="X118" s="11"/>
      <c r="Y118" s="11"/>
    </row>
    <row r="119" spans="1:25" x14ac:dyDescent="0.25">
      <c r="A119" s="1"/>
      <c r="S119" s="9"/>
      <c r="T119" s="10"/>
      <c r="U119" s="10"/>
      <c r="V119" s="10"/>
      <c r="W119" s="11"/>
      <c r="X119" s="11"/>
      <c r="Y119" s="11"/>
    </row>
    <row r="120" spans="1:25" x14ac:dyDescent="0.25">
      <c r="A120" s="1"/>
      <c r="S120" s="9"/>
      <c r="T120" s="10"/>
      <c r="U120" s="10"/>
      <c r="V120" s="10"/>
      <c r="W120" s="11"/>
      <c r="X120" s="11"/>
      <c r="Y120" s="11"/>
    </row>
    <row r="121" spans="1:25" x14ac:dyDescent="0.25">
      <c r="A121" s="1"/>
      <c r="S121" s="9"/>
      <c r="T121" s="10"/>
      <c r="U121" s="10"/>
      <c r="V121" s="10"/>
      <c r="W121" s="11"/>
      <c r="X121" s="11"/>
      <c r="Y121" s="11"/>
    </row>
    <row r="122" spans="1:25" x14ac:dyDescent="0.25">
      <c r="A122" s="1"/>
      <c r="S122" s="9"/>
      <c r="T122" s="10"/>
      <c r="U122" s="10"/>
      <c r="V122" s="10"/>
      <c r="W122" s="11"/>
      <c r="X122" s="11"/>
      <c r="Y122" s="11"/>
    </row>
    <row r="123" spans="1:25" x14ac:dyDescent="0.25">
      <c r="A123" s="1"/>
      <c r="S123" s="9"/>
      <c r="T123" s="10"/>
      <c r="U123" s="10"/>
      <c r="V123" s="10"/>
      <c r="W123" s="11"/>
      <c r="X123" s="11"/>
      <c r="Y123" s="11"/>
    </row>
    <row r="124" spans="1:25" x14ac:dyDescent="0.25">
      <c r="A124" s="1"/>
      <c r="S124" s="9"/>
      <c r="T124" s="10"/>
      <c r="U124" s="10"/>
      <c r="V124" s="10"/>
      <c r="W124" s="11"/>
      <c r="X124" s="11"/>
      <c r="Y124" s="11"/>
    </row>
    <row r="125" spans="1:25" x14ac:dyDescent="0.25">
      <c r="A125" s="1"/>
      <c r="S125" s="9"/>
      <c r="T125" s="10"/>
      <c r="U125" s="10"/>
      <c r="V125" s="10"/>
      <c r="W125" s="11"/>
      <c r="X125" s="11"/>
      <c r="Y125" s="11"/>
    </row>
    <row r="126" spans="1:25" x14ac:dyDescent="0.25">
      <c r="A126" s="1"/>
      <c r="S126" s="9"/>
      <c r="T126" s="10"/>
      <c r="U126" s="10"/>
      <c r="V126" s="10"/>
      <c r="W126" s="11"/>
      <c r="X126" s="11"/>
      <c r="Y126" s="11"/>
    </row>
    <row r="127" spans="1:25" x14ac:dyDescent="0.25">
      <c r="A127" s="1"/>
      <c r="S127" s="9"/>
      <c r="T127" s="10"/>
      <c r="U127" s="10"/>
      <c r="V127" s="10"/>
      <c r="W127" s="11"/>
      <c r="X127" s="11"/>
      <c r="Y127" s="11"/>
    </row>
    <row r="128" spans="1:25" x14ac:dyDescent="0.25">
      <c r="A128" s="1"/>
      <c r="S128" s="9"/>
      <c r="T128" s="10"/>
      <c r="U128" s="10"/>
      <c r="V128" s="10"/>
      <c r="W128" s="11"/>
      <c r="X128" s="11"/>
      <c r="Y128" s="11"/>
    </row>
    <row r="129" spans="1:25" x14ac:dyDescent="0.25">
      <c r="A129" s="1"/>
      <c r="S129" s="9"/>
      <c r="T129" s="10"/>
      <c r="U129" s="10"/>
      <c r="V129" s="10"/>
      <c r="W129" s="11"/>
      <c r="X129" s="11"/>
      <c r="Y129" s="11"/>
    </row>
    <row r="130" spans="1:25" x14ac:dyDescent="0.25">
      <c r="A130" s="1"/>
      <c r="S130" s="9"/>
      <c r="T130" s="10"/>
      <c r="U130" s="10"/>
      <c r="V130" s="10"/>
      <c r="W130" s="11"/>
      <c r="X130" s="11"/>
      <c r="Y130" s="11"/>
    </row>
    <row r="131" spans="1:25" x14ac:dyDescent="0.25">
      <c r="A131" s="1"/>
      <c r="S131" s="9"/>
      <c r="T131" s="10"/>
      <c r="U131" s="10"/>
      <c r="V131" s="10"/>
      <c r="W131" s="11"/>
      <c r="X131" s="11"/>
      <c r="Y131" s="11"/>
    </row>
    <row r="132" spans="1:25" x14ac:dyDescent="0.25">
      <c r="A132" s="1"/>
      <c r="S132" s="9"/>
      <c r="T132" s="10"/>
      <c r="U132" s="10"/>
      <c r="V132" s="10"/>
      <c r="W132" s="11"/>
      <c r="X132" s="11"/>
      <c r="Y132" s="11"/>
    </row>
    <row r="133" spans="1:25" x14ac:dyDescent="0.25">
      <c r="A133" s="1"/>
      <c r="S133" s="9"/>
      <c r="T133" s="10"/>
      <c r="U133" s="10"/>
      <c r="V133" s="10"/>
      <c r="W133" s="11"/>
      <c r="X133" s="11"/>
      <c r="Y133" s="11"/>
    </row>
    <row r="134" spans="1:25" x14ac:dyDescent="0.25">
      <c r="A134" s="1"/>
      <c r="S134" s="9"/>
      <c r="T134" s="10"/>
      <c r="U134" s="10"/>
      <c r="V134" s="10"/>
      <c r="W134" s="11"/>
      <c r="X134" s="11"/>
      <c r="Y134" s="11"/>
    </row>
    <row r="135" spans="1:25" x14ac:dyDescent="0.25">
      <c r="A135" s="1"/>
      <c r="S135" s="9"/>
      <c r="T135" s="10"/>
      <c r="U135" s="10"/>
      <c r="V135" s="10"/>
      <c r="W135" s="11"/>
      <c r="X135" s="11"/>
      <c r="Y135" s="11"/>
    </row>
    <row r="136" spans="1:25" x14ac:dyDescent="0.25">
      <c r="A136" s="1"/>
      <c r="S136" s="9"/>
      <c r="T136" s="10"/>
      <c r="U136" s="10"/>
      <c r="V136" s="10"/>
      <c r="W136" s="11"/>
      <c r="X136" s="11"/>
      <c r="Y136" s="11"/>
    </row>
    <row r="137" spans="1:25" x14ac:dyDescent="0.25">
      <c r="A137" s="1"/>
      <c r="S137" s="9"/>
      <c r="T137" s="10"/>
      <c r="U137" s="10"/>
      <c r="V137" s="10"/>
      <c r="W137" s="11"/>
      <c r="X137" s="11"/>
      <c r="Y137" s="11"/>
    </row>
    <row r="138" spans="1:25" x14ac:dyDescent="0.25">
      <c r="A138" s="1"/>
      <c r="S138" s="9"/>
      <c r="T138" s="10"/>
      <c r="U138" s="10"/>
      <c r="V138" s="10"/>
      <c r="W138" s="11"/>
      <c r="X138" s="11"/>
      <c r="Y138" s="11"/>
    </row>
    <row r="139" spans="1:25" x14ac:dyDescent="0.25">
      <c r="A139" s="1"/>
      <c r="S139" s="9"/>
      <c r="T139" s="10"/>
      <c r="U139" s="10"/>
      <c r="V139" s="10"/>
      <c r="W139" s="11"/>
      <c r="X139" s="11"/>
      <c r="Y139" s="11"/>
    </row>
    <row r="140" spans="1:25" x14ac:dyDescent="0.25">
      <c r="A140" s="1"/>
      <c r="S140" s="9"/>
      <c r="T140" s="10"/>
      <c r="U140" s="10"/>
      <c r="V140" s="10"/>
      <c r="W140" s="11"/>
      <c r="X140" s="11"/>
      <c r="Y140" s="11"/>
    </row>
    <row r="141" spans="1:25" x14ac:dyDescent="0.25">
      <c r="A141" s="1"/>
      <c r="S141" s="9"/>
      <c r="T141" s="10"/>
      <c r="U141" s="10"/>
      <c r="V141" s="10"/>
      <c r="W141" s="11"/>
      <c r="X141" s="11"/>
      <c r="Y141" s="11"/>
    </row>
    <row r="142" spans="1:25" x14ac:dyDescent="0.25">
      <c r="A142" s="1"/>
      <c r="S142" s="9"/>
      <c r="T142" s="10"/>
      <c r="U142" s="10"/>
      <c r="V142" s="10"/>
      <c r="W142" s="11"/>
      <c r="X142" s="11"/>
      <c r="Y142" s="11"/>
    </row>
    <row r="143" spans="1:25" x14ac:dyDescent="0.25">
      <c r="A143" s="1"/>
      <c r="S143" s="9"/>
      <c r="T143" s="10"/>
      <c r="U143" s="10"/>
      <c r="V143" s="10"/>
      <c r="W143" s="11"/>
      <c r="X143" s="11"/>
      <c r="Y143" s="11"/>
    </row>
    <row r="144" spans="1:25" x14ac:dyDescent="0.25">
      <c r="A144" s="1"/>
      <c r="S144" s="9"/>
      <c r="T144" s="10"/>
      <c r="U144" s="10"/>
      <c r="V144" s="10"/>
      <c r="W144" s="11"/>
      <c r="X144" s="11"/>
      <c r="Y144" s="11"/>
    </row>
    <row r="145" spans="1:25" x14ac:dyDescent="0.25">
      <c r="A145" s="1"/>
      <c r="S145" s="9"/>
      <c r="T145" s="10"/>
      <c r="U145" s="10"/>
      <c r="V145" s="10"/>
      <c r="W145" s="11"/>
      <c r="X145" s="11"/>
      <c r="Y145" s="11"/>
    </row>
    <row r="146" spans="1:25" x14ac:dyDescent="0.25">
      <c r="A146" s="1"/>
      <c r="S146" s="9"/>
      <c r="T146" s="10"/>
      <c r="U146" s="10"/>
      <c r="V146" s="10"/>
      <c r="W146" s="11"/>
      <c r="X146" s="11"/>
      <c r="Y146" s="11"/>
    </row>
    <row r="147" spans="1:25" x14ac:dyDescent="0.25">
      <c r="A147" s="1"/>
      <c r="S147" s="9"/>
      <c r="T147" s="10"/>
      <c r="U147" s="10"/>
      <c r="V147" s="10"/>
      <c r="W147" s="11"/>
      <c r="X147" s="11"/>
      <c r="Y147" s="11"/>
    </row>
    <row r="148" spans="1:25" x14ac:dyDescent="0.25">
      <c r="A148" s="1"/>
      <c r="S148" s="9"/>
      <c r="T148" s="10"/>
      <c r="U148" s="10"/>
      <c r="V148" s="10"/>
      <c r="W148" s="11"/>
      <c r="X148" s="11"/>
      <c r="Y148" s="11"/>
    </row>
    <row r="149" spans="1:25" x14ac:dyDescent="0.25">
      <c r="A149" s="1"/>
      <c r="S149" s="9"/>
      <c r="T149" s="10"/>
      <c r="U149" s="10"/>
      <c r="V149" s="10"/>
      <c r="W149" s="11"/>
      <c r="X149" s="11"/>
      <c r="Y149" s="11"/>
    </row>
    <row r="150" spans="1:25" x14ac:dyDescent="0.25">
      <c r="A150" s="1"/>
      <c r="S150" s="9"/>
      <c r="T150" s="10"/>
      <c r="U150" s="10"/>
      <c r="V150" s="10"/>
      <c r="W150" s="11"/>
      <c r="X150" s="11"/>
      <c r="Y150" s="11"/>
    </row>
    <row r="151" spans="1:25" x14ac:dyDescent="0.25">
      <c r="A151" s="1"/>
      <c r="S151" s="9"/>
      <c r="T151" s="10"/>
      <c r="U151" s="10"/>
      <c r="V151" s="10"/>
      <c r="W151" s="11"/>
      <c r="X151" s="11"/>
      <c r="Y151" s="11"/>
    </row>
    <row r="152" spans="1:25" x14ac:dyDescent="0.25">
      <c r="A152" s="1"/>
      <c r="S152" s="9"/>
      <c r="T152" s="10"/>
      <c r="U152" s="10"/>
      <c r="V152" s="10"/>
      <c r="W152" s="11"/>
      <c r="X152" s="11"/>
      <c r="Y152" s="11"/>
    </row>
    <row r="153" spans="1:25" x14ac:dyDescent="0.25">
      <c r="A153" s="1"/>
      <c r="S153" s="9"/>
      <c r="T153" s="10"/>
      <c r="U153" s="10"/>
      <c r="V153" s="10"/>
      <c r="W153" s="11"/>
      <c r="X153" s="11"/>
      <c r="Y153" s="11"/>
    </row>
    <row r="154" spans="1:25" x14ac:dyDescent="0.25">
      <c r="A154" s="1"/>
      <c r="S154" s="9"/>
      <c r="T154" s="10"/>
      <c r="U154" s="10"/>
      <c r="V154" s="14"/>
      <c r="W154" s="11"/>
      <c r="X154" s="11"/>
      <c r="Y154" s="11"/>
    </row>
    <row r="155" spans="1:25" x14ac:dyDescent="0.25">
      <c r="A155" s="1"/>
      <c r="S155" s="9"/>
      <c r="T155" s="10"/>
      <c r="U155" s="10"/>
      <c r="V155" s="14"/>
      <c r="W155" s="11"/>
      <c r="X155" s="11"/>
      <c r="Y155" s="11"/>
    </row>
    <row r="156" spans="1:25" x14ac:dyDescent="0.25">
      <c r="A156" s="1"/>
      <c r="S156" s="9"/>
      <c r="T156" s="10"/>
      <c r="U156" s="10"/>
      <c r="V156" s="15"/>
      <c r="W156" s="11"/>
      <c r="X156" s="11"/>
      <c r="Y156" s="11"/>
    </row>
    <row r="157" spans="1:25" x14ac:dyDescent="0.25">
      <c r="A157" s="1"/>
      <c r="Q157" s="16"/>
      <c r="R157" s="16"/>
      <c r="S157" s="16"/>
      <c r="W157" s="18"/>
      <c r="X157" s="18"/>
      <c r="Y157" s="18"/>
    </row>
    <row r="158" spans="1:25" x14ac:dyDescent="0.25">
      <c r="A158" s="1"/>
      <c r="Q158" s="16"/>
      <c r="R158" s="16"/>
      <c r="S158" s="16"/>
      <c r="W158" s="18"/>
      <c r="X158" s="18"/>
      <c r="Y158" s="18"/>
    </row>
    <row r="159" spans="1:25" x14ac:dyDescent="0.25">
      <c r="A159" s="1"/>
      <c r="Q159" s="16"/>
      <c r="R159" s="16"/>
      <c r="S159" s="16"/>
      <c r="W159" s="18"/>
      <c r="X159" s="18"/>
      <c r="Y159" s="18"/>
    </row>
    <row r="160" spans="1:25" x14ac:dyDescent="0.25">
      <c r="A160" s="1"/>
      <c r="Q160" s="16"/>
      <c r="R160" s="16"/>
      <c r="S160" s="16"/>
      <c r="W160" s="18"/>
      <c r="X160" s="18"/>
      <c r="Y160" s="18"/>
    </row>
    <row r="161" spans="1:25" x14ac:dyDescent="0.25">
      <c r="A161" s="1"/>
      <c r="Q161" s="16"/>
      <c r="R161" s="16"/>
      <c r="S161" s="16"/>
      <c r="W161" s="18"/>
      <c r="X161" s="18"/>
      <c r="Y161" s="18"/>
    </row>
    <row r="162" spans="1:25" x14ac:dyDescent="0.25">
      <c r="A162" s="1"/>
      <c r="Q162" s="16"/>
      <c r="R162" s="16"/>
      <c r="S162" s="16"/>
      <c r="W162" s="18"/>
      <c r="X162" s="18"/>
      <c r="Y162" s="18"/>
    </row>
    <row r="163" spans="1:25" x14ac:dyDescent="0.25">
      <c r="A163" s="1"/>
      <c r="Q163" s="16"/>
      <c r="R163" s="16"/>
      <c r="S163" s="16"/>
      <c r="W163" s="18"/>
      <c r="X163" s="18"/>
      <c r="Y163" s="18"/>
    </row>
    <row r="164" spans="1:25" x14ac:dyDescent="0.25">
      <c r="A164" s="1"/>
      <c r="Q164" s="16"/>
      <c r="R164" s="16"/>
      <c r="S164" s="16"/>
      <c r="W164" s="18"/>
      <c r="X164" s="18"/>
      <c r="Y164" s="18"/>
    </row>
    <row r="165" spans="1:25" x14ac:dyDescent="0.25">
      <c r="A165" s="1"/>
      <c r="Q165" s="16"/>
      <c r="R165" s="16"/>
      <c r="S165" s="16"/>
      <c r="W165" s="18"/>
      <c r="X165" s="18"/>
      <c r="Y165" s="18"/>
    </row>
    <row r="166" spans="1:25" x14ac:dyDescent="0.25">
      <c r="A166" s="1"/>
      <c r="Q166" s="16"/>
      <c r="R166" s="16"/>
      <c r="S166" s="16"/>
      <c r="W166" s="18"/>
      <c r="X166" s="18"/>
      <c r="Y166" s="18"/>
    </row>
    <row r="167" spans="1:25" x14ac:dyDescent="0.25">
      <c r="A167" s="1"/>
      <c r="Q167" s="16"/>
      <c r="R167" s="16"/>
      <c r="S167" s="16"/>
      <c r="W167" s="18"/>
      <c r="X167" s="18"/>
      <c r="Y167" s="18"/>
    </row>
    <row r="168" spans="1:25" x14ac:dyDescent="0.25">
      <c r="A168" s="1"/>
      <c r="Q168" s="16"/>
      <c r="R168" s="16"/>
      <c r="S168" s="16"/>
      <c r="W168" s="18"/>
      <c r="X168" s="18"/>
      <c r="Y168" s="18"/>
    </row>
    <row r="169" spans="1:25" x14ac:dyDescent="0.25">
      <c r="A169" s="1"/>
      <c r="Q169" s="16"/>
      <c r="R169" s="16"/>
      <c r="S169" s="16"/>
      <c r="W169" s="18"/>
      <c r="X169" s="18"/>
      <c r="Y169" s="18"/>
    </row>
    <row r="170" spans="1:25" x14ac:dyDescent="0.25">
      <c r="A170" s="1"/>
      <c r="Q170" s="16"/>
      <c r="R170" s="16"/>
      <c r="S170" s="16"/>
      <c r="W170" s="18"/>
      <c r="X170" s="18"/>
      <c r="Y170" s="18"/>
    </row>
    <row r="171" spans="1:25" x14ac:dyDescent="0.25">
      <c r="A171" s="1"/>
      <c r="Q171" s="16"/>
      <c r="R171" s="16"/>
      <c r="S171" s="16"/>
      <c r="W171" s="18"/>
      <c r="X171" s="18"/>
      <c r="Y171" s="18"/>
    </row>
    <row r="172" spans="1:25" x14ac:dyDescent="0.25">
      <c r="A172" s="1"/>
      <c r="Q172" s="16"/>
      <c r="R172" s="16"/>
      <c r="S172" s="16"/>
      <c r="W172" s="18"/>
      <c r="X172" s="18"/>
      <c r="Y172" s="18"/>
    </row>
    <row r="173" spans="1:25" x14ac:dyDescent="0.25">
      <c r="A173" s="1"/>
      <c r="Q173" s="16"/>
      <c r="R173" s="16"/>
      <c r="S173" s="16"/>
      <c r="W173" s="18"/>
      <c r="X173" s="18"/>
      <c r="Y173" s="18"/>
    </row>
    <row r="174" spans="1:25" x14ac:dyDescent="0.25">
      <c r="A174" s="1"/>
      <c r="Q174" s="16"/>
      <c r="R174" s="16"/>
      <c r="S174" s="16"/>
      <c r="W174" s="18"/>
      <c r="X174" s="18"/>
      <c r="Y174" s="18"/>
    </row>
    <row r="175" spans="1:25" x14ac:dyDescent="0.25">
      <c r="A175" s="1"/>
      <c r="Q175" s="16"/>
      <c r="R175" s="16"/>
      <c r="S175" s="16"/>
      <c r="W175" s="18"/>
      <c r="X175" s="18"/>
      <c r="Y175" s="18"/>
    </row>
    <row r="176" spans="1:25" x14ac:dyDescent="0.25">
      <c r="A176" s="1"/>
      <c r="Q176" s="16"/>
      <c r="R176" s="16"/>
      <c r="S176" s="16"/>
      <c r="W176" s="18"/>
      <c r="X176" s="18"/>
      <c r="Y176" s="18"/>
    </row>
    <row r="177" spans="1:25" x14ac:dyDescent="0.25">
      <c r="A177" s="1"/>
      <c r="Q177" s="16"/>
      <c r="R177" s="16"/>
      <c r="S177" s="16"/>
      <c r="W177" s="18"/>
      <c r="X177" s="18"/>
      <c r="Y177" s="18"/>
    </row>
    <row r="178" spans="1:25" x14ac:dyDescent="0.25">
      <c r="A178" s="1"/>
      <c r="Q178" s="16"/>
      <c r="R178" s="16"/>
      <c r="S178" s="16"/>
      <c r="W178" s="18"/>
      <c r="X178" s="18"/>
      <c r="Y178" s="18"/>
    </row>
    <row r="179" spans="1:25" x14ac:dyDescent="0.25">
      <c r="A179" s="1"/>
      <c r="Q179" s="16"/>
      <c r="R179" s="16"/>
      <c r="S179" s="16"/>
      <c r="W179" s="18"/>
      <c r="X179" s="18"/>
      <c r="Y179" s="18"/>
    </row>
    <row r="180" spans="1:25" x14ac:dyDescent="0.25">
      <c r="A180" s="1"/>
      <c r="Q180" s="16"/>
      <c r="R180" s="16"/>
      <c r="S180" s="16"/>
      <c r="W180" s="18"/>
      <c r="X180" s="18"/>
      <c r="Y180" s="18"/>
    </row>
    <row r="181" spans="1:25" x14ac:dyDescent="0.25">
      <c r="A181" s="1"/>
      <c r="Q181" s="16"/>
      <c r="R181" s="16"/>
      <c r="S181" s="16"/>
      <c r="W181" s="18"/>
      <c r="X181" s="18"/>
      <c r="Y181" s="18"/>
    </row>
    <row r="182" spans="1:25" x14ac:dyDescent="0.25">
      <c r="A182" s="1"/>
      <c r="Q182" s="16"/>
      <c r="R182" s="16"/>
      <c r="S182" s="16"/>
      <c r="W182" s="18"/>
      <c r="X182" s="18"/>
      <c r="Y182" s="18"/>
    </row>
    <row r="183" spans="1:25" x14ac:dyDescent="0.25">
      <c r="A183" s="1"/>
      <c r="Q183" s="16"/>
      <c r="R183" s="16"/>
      <c r="S183" s="16"/>
      <c r="W183" s="18"/>
      <c r="X183" s="18"/>
      <c r="Y183" s="18"/>
    </row>
    <row r="184" spans="1:25" x14ac:dyDescent="0.25">
      <c r="A184" s="1"/>
      <c r="Q184" s="16"/>
      <c r="R184" s="16"/>
      <c r="S184" s="16"/>
      <c r="W184" s="18"/>
      <c r="X184" s="18"/>
      <c r="Y184" s="18"/>
    </row>
    <row r="185" spans="1:25" x14ac:dyDescent="0.25">
      <c r="A185" s="1"/>
      <c r="Q185" s="16"/>
      <c r="R185" s="16"/>
      <c r="S185" s="16"/>
      <c r="W185" s="18"/>
      <c r="X185" s="18"/>
      <c r="Y185" s="18"/>
    </row>
    <row r="186" spans="1:25" x14ac:dyDescent="0.25">
      <c r="A186" s="1"/>
      <c r="Q186" s="16"/>
      <c r="R186" s="16"/>
      <c r="S186" s="16"/>
      <c r="W186" s="18"/>
      <c r="X186" s="18"/>
      <c r="Y186" s="18"/>
    </row>
    <row r="187" spans="1:25" x14ac:dyDescent="0.25">
      <c r="A187" s="1"/>
      <c r="Q187" s="16"/>
      <c r="R187" s="16"/>
      <c r="S187" s="16"/>
      <c r="W187" s="18"/>
      <c r="X187" s="18"/>
      <c r="Y187" s="18"/>
    </row>
    <row r="188" spans="1:25" x14ac:dyDescent="0.25">
      <c r="A188" s="1"/>
      <c r="Q188" s="16"/>
      <c r="R188" s="16"/>
      <c r="S188" s="16"/>
      <c r="W188" s="18"/>
      <c r="X188" s="18"/>
      <c r="Y188" s="18"/>
    </row>
    <row r="189" spans="1:25" x14ac:dyDescent="0.25">
      <c r="A189" s="1"/>
      <c r="Q189" s="16"/>
      <c r="R189" s="16"/>
      <c r="S189" s="16"/>
      <c r="W189" s="18"/>
      <c r="X189" s="18"/>
      <c r="Y189" s="18"/>
    </row>
    <row r="190" spans="1:25" x14ac:dyDescent="0.25">
      <c r="A190" s="1"/>
      <c r="Q190" s="16"/>
      <c r="R190" s="16"/>
      <c r="S190" s="16"/>
      <c r="W190" s="18"/>
      <c r="X190" s="18"/>
      <c r="Y190" s="18"/>
    </row>
    <row r="191" spans="1:25" x14ac:dyDescent="0.25">
      <c r="A191" s="1"/>
      <c r="Q191" s="16"/>
      <c r="R191" s="16"/>
      <c r="S191" s="16"/>
      <c r="W191" s="18"/>
      <c r="X191" s="18"/>
      <c r="Y191" s="18"/>
    </row>
    <row r="192" spans="1:25" x14ac:dyDescent="0.25">
      <c r="A192" s="1"/>
      <c r="Q192" s="16"/>
      <c r="R192" s="16"/>
      <c r="S192" s="16"/>
      <c r="W192" s="18"/>
      <c r="X192" s="18"/>
      <c r="Y192" s="18"/>
    </row>
    <row r="193" spans="1:25" x14ac:dyDescent="0.25">
      <c r="A193" s="1"/>
      <c r="Q193" s="16"/>
      <c r="R193" s="16"/>
      <c r="S193" s="16"/>
      <c r="W193" s="18"/>
      <c r="X193" s="18"/>
      <c r="Y193" s="18"/>
    </row>
    <row r="194" spans="1:25" x14ac:dyDescent="0.25">
      <c r="A194" s="1"/>
      <c r="Q194" s="16"/>
      <c r="R194" s="16"/>
      <c r="S194" s="16"/>
      <c r="W194" s="18"/>
      <c r="X194" s="18"/>
      <c r="Y194" s="18"/>
    </row>
    <row r="195" spans="1:25" x14ac:dyDescent="0.25">
      <c r="A195" s="1"/>
      <c r="Q195" s="16"/>
      <c r="R195" s="16"/>
      <c r="S195" s="16"/>
      <c r="W195" s="18"/>
      <c r="X195" s="18"/>
      <c r="Y195" s="18"/>
    </row>
    <row r="196" spans="1:25" x14ac:dyDescent="0.25">
      <c r="A196" s="1"/>
      <c r="Q196" s="16"/>
      <c r="R196" s="16"/>
      <c r="S196" s="16"/>
      <c r="W196" s="18"/>
      <c r="X196" s="18"/>
      <c r="Y196" s="18"/>
    </row>
    <row r="197" spans="1:25" x14ac:dyDescent="0.25">
      <c r="A197" s="1"/>
      <c r="Q197" s="16"/>
      <c r="R197" s="16"/>
      <c r="S197" s="16"/>
      <c r="W197" s="18"/>
      <c r="X197" s="18"/>
      <c r="Y197" s="18"/>
    </row>
    <row r="198" spans="1:25" x14ac:dyDescent="0.25">
      <c r="A198" s="1"/>
      <c r="Q198" s="16"/>
      <c r="R198" s="16"/>
      <c r="S198" s="16"/>
      <c r="W198" s="18"/>
      <c r="X198" s="18"/>
      <c r="Y198" s="18"/>
    </row>
    <row r="199" spans="1:25" x14ac:dyDescent="0.25">
      <c r="A199" s="1"/>
      <c r="Q199" s="16"/>
      <c r="R199" s="16"/>
      <c r="S199" s="16"/>
      <c r="W199" s="18"/>
      <c r="X199" s="18"/>
      <c r="Y199" s="18"/>
    </row>
    <row r="200" spans="1:25" x14ac:dyDescent="0.25">
      <c r="A200" s="1"/>
      <c r="Q200" s="16"/>
      <c r="R200" s="16"/>
      <c r="S200" s="16"/>
      <c r="W200" s="18"/>
      <c r="X200" s="18"/>
      <c r="Y200" s="18"/>
    </row>
    <row r="201" spans="1:25" x14ac:dyDescent="0.25">
      <c r="A201" s="1"/>
      <c r="Q201" s="16"/>
      <c r="R201" s="16"/>
      <c r="S201" s="16"/>
      <c r="W201" s="18"/>
      <c r="X201" s="18"/>
      <c r="Y201" s="18"/>
    </row>
    <row r="202" spans="1:25" x14ac:dyDescent="0.25">
      <c r="A202" s="1"/>
      <c r="Q202" s="16"/>
      <c r="R202" s="16"/>
      <c r="S202" s="16"/>
      <c r="W202" s="18"/>
      <c r="X202" s="18"/>
      <c r="Y202" s="18"/>
    </row>
    <row r="203" spans="1:25" x14ac:dyDescent="0.25">
      <c r="A203" s="1"/>
      <c r="Q203" s="16"/>
      <c r="R203" s="16"/>
      <c r="S203" s="16"/>
      <c r="W203" s="18"/>
      <c r="X203" s="18"/>
      <c r="Y203" s="18"/>
    </row>
    <row r="204" spans="1:25" x14ac:dyDescent="0.25">
      <c r="A204" s="1"/>
      <c r="Q204" s="16"/>
      <c r="R204" s="16"/>
      <c r="S204" s="16"/>
      <c r="W204" s="18"/>
      <c r="X204" s="18"/>
      <c r="Y204" s="18"/>
    </row>
    <row r="205" spans="1:25" x14ac:dyDescent="0.25">
      <c r="A205" s="1"/>
      <c r="Q205" s="16"/>
      <c r="R205" s="16"/>
      <c r="S205" s="16"/>
      <c r="W205" s="18"/>
      <c r="X205" s="18"/>
      <c r="Y205" s="18"/>
    </row>
    <row r="206" spans="1:25" x14ac:dyDescent="0.25">
      <c r="A206" s="1"/>
      <c r="Q206" s="16"/>
      <c r="R206" s="16"/>
      <c r="S206" s="16"/>
      <c r="W206" s="18"/>
      <c r="X206" s="18"/>
      <c r="Y206" s="18"/>
    </row>
    <row r="207" spans="1:25" x14ac:dyDescent="0.25">
      <c r="A207" s="1"/>
      <c r="Q207" s="16"/>
      <c r="R207" s="16"/>
      <c r="S207" s="16"/>
      <c r="W207" s="18"/>
      <c r="X207" s="18"/>
      <c r="Y207" s="18"/>
    </row>
    <row r="208" spans="1:25" x14ac:dyDescent="0.25">
      <c r="A208" s="1"/>
      <c r="Q208" s="16"/>
      <c r="R208" s="16"/>
      <c r="S208" s="16"/>
      <c r="W208" s="18"/>
      <c r="X208" s="18"/>
      <c r="Y208" s="18"/>
    </row>
    <row r="209" spans="1:25" x14ac:dyDescent="0.25">
      <c r="A209" s="1"/>
      <c r="Q209" s="16"/>
      <c r="R209" s="16"/>
      <c r="S209" s="16"/>
      <c r="W209" s="18"/>
      <c r="X209" s="18"/>
      <c r="Y209" s="18"/>
    </row>
    <row r="210" spans="1:25" x14ac:dyDescent="0.25">
      <c r="A210" s="1"/>
      <c r="Q210" s="16"/>
      <c r="R210" s="16"/>
      <c r="S210" s="16"/>
      <c r="W210" s="18"/>
      <c r="X210" s="18"/>
      <c r="Y210" s="18"/>
    </row>
    <row r="211" spans="1:25" x14ac:dyDescent="0.25">
      <c r="A211" s="1"/>
      <c r="Q211" s="16"/>
      <c r="R211" s="16"/>
      <c r="S211" s="16"/>
      <c r="W211" s="18"/>
      <c r="X211" s="18"/>
      <c r="Y211" s="18"/>
    </row>
    <row r="212" spans="1:25" x14ac:dyDescent="0.25">
      <c r="A212" s="1"/>
      <c r="Q212" s="16"/>
      <c r="R212" s="16"/>
      <c r="S212" s="16"/>
      <c r="W212" s="18"/>
      <c r="X212" s="18"/>
      <c r="Y212" s="18"/>
    </row>
    <row r="213" spans="1:25" x14ac:dyDescent="0.25">
      <c r="A213" s="1"/>
      <c r="Q213" s="16"/>
      <c r="R213" s="16"/>
      <c r="S213" s="16"/>
      <c r="W213" s="18"/>
      <c r="X213" s="18"/>
      <c r="Y213" s="18"/>
    </row>
    <row r="214" spans="1:25" x14ac:dyDescent="0.25">
      <c r="A214" s="1"/>
      <c r="Q214" s="16"/>
      <c r="R214" s="16"/>
      <c r="S214" s="16"/>
      <c r="W214" s="18"/>
      <c r="X214" s="18"/>
      <c r="Y214" s="18"/>
    </row>
    <row r="215" spans="1:25" x14ac:dyDescent="0.25">
      <c r="A215" s="1"/>
      <c r="Q215" s="16"/>
      <c r="R215" s="16"/>
      <c r="S215" s="16"/>
      <c r="W215" s="18"/>
      <c r="X215" s="18"/>
      <c r="Y215" s="18"/>
    </row>
    <row r="216" spans="1:25" x14ac:dyDescent="0.25">
      <c r="A216" s="1"/>
    </row>
    <row r="217" spans="1:25" x14ac:dyDescent="0.25">
      <c r="A217" s="1"/>
    </row>
    <row r="218" spans="1:25" x14ac:dyDescent="0.25">
      <c r="A218" s="1"/>
    </row>
    <row r="219" spans="1:25" x14ac:dyDescent="0.25">
      <c r="A219" s="1"/>
    </row>
    <row r="220" spans="1:25" x14ac:dyDescent="0.25">
      <c r="A220" s="1"/>
    </row>
    <row r="221" spans="1:25" x14ac:dyDescent="0.25">
      <c r="A221" s="1"/>
    </row>
    <row r="222" spans="1:25" x14ac:dyDescent="0.25">
      <c r="A222" s="1"/>
    </row>
    <row r="223" spans="1:25" x14ac:dyDescent="0.25">
      <c r="A223" s="1"/>
    </row>
    <row r="224" spans="1:25" x14ac:dyDescent="0.25">
      <c r="A224" s="1"/>
    </row>
    <row r="225" spans="1:1" x14ac:dyDescent="0.25">
      <c r="A225" s="1"/>
    </row>
    <row r="226" spans="1:1" x14ac:dyDescent="0.25">
      <c r="A226" s="1"/>
    </row>
    <row r="227" spans="1:1" x14ac:dyDescent="0.25">
      <c r="A227" s="1"/>
    </row>
    <row r="228" spans="1:1" x14ac:dyDescent="0.25">
      <c r="A228" s="1"/>
    </row>
    <row r="229" spans="1:1" x14ac:dyDescent="0.25">
      <c r="A229" s="1"/>
    </row>
    <row r="230" spans="1:1" x14ac:dyDescent="0.25">
      <c r="A230" s="1"/>
    </row>
    <row r="231" spans="1:1" x14ac:dyDescent="0.25">
      <c r="A231" s="1"/>
    </row>
    <row r="232" spans="1:1" x14ac:dyDescent="0.25">
      <c r="A232" s="1"/>
    </row>
    <row r="233" spans="1:1" x14ac:dyDescent="0.25">
      <c r="A233" s="1"/>
    </row>
    <row r="234" spans="1:1" x14ac:dyDescent="0.25">
      <c r="A234" s="1"/>
    </row>
    <row r="235" spans="1:1" x14ac:dyDescent="0.25">
      <c r="A235" s="1"/>
    </row>
    <row r="236" spans="1:1" x14ac:dyDescent="0.25">
      <c r="A236" s="1"/>
    </row>
    <row r="237" spans="1:1" x14ac:dyDescent="0.25">
      <c r="A237" s="1"/>
    </row>
    <row r="238" spans="1:1" x14ac:dyDescent="0.25">
      <c r="A238" s="1"/>
    </row>
    <row r="239" spans="1:1" x14ac:dyDescent="0.25">
      <c r="A239" s="1"/>
    </row>
    <row r="240" spans="1:1" x14ac:dyDescent="0.25">
      <c r="A240" s="1"/>
    </row>
    <row r="241" spans="1:1" x14ac:dyDescent="0.25">
      <c r="A241" s="1"/>
    </row>
    <row r="242" spans="1:1" x14ac:dyDescent="0.25">
      <c r="A242" s="1"/>
    </row>
    <row r="243" spans="1:1" x14ac:dyDescent="0.25">
      <c r="A243" s="1"/>
    </row>
    <row r="244" spans="1:1" x14ac:dyDescent="0.25">
      <c r="A244" s="1"/>
    </row>
    <row r="245" spans="1:1" x14ac:dyDescent="0.25">
      <c r="A245" s="1"/>
    </row>
    <row r="246" spans="1:1" x14ac:dyDescent="0.25">
      <c r="A246" s="1"/>
    </row>
    <row r="247" spans="1:1" x14ac:dyDescent="0.25">
      <c r="A247" s="1"/>
    </row>
    <row r="248" spans="1:1" x14ac:dyDescent="0.25">
      <c r="A248" s="1"/>
    </row>
    <row r="249" spans="1:1" x14ac:dyDescent="0.25">
      <c r="A249" s="1"/>
    </row>
    <row r="250" spans="1:1" x14ac:dyDescent="0.25">
      <c r="A250" s="1"/>
    </row>
    <row r="251" spans="1:1" x14ac:dyDescent="0.25">
      <c r="A251" s="1"/>
    </row>
    <row r="252" spans="1:1" x14ac:dyDescent="0.25">
      <c r="A252" s="1"/>
    </row>
    <row r="253" spans="1:1" x14ac:dyDescent="0.25">
      <c r="A253" s="1"/>
    </row>
    <row r="254" spans="1:1" x14ac:dyDescent="0.25">
      <c r="A254" s="1"/>
    </row>
    <row r="255" spans="1:1" x14ac:dyDescent="0.25">
      <c r="A255" s="1"/>
    </row>
    <row r="256" spans="1:1" x14ac:dyDescent="0.25">
      <c r="A256" s="1"/>
    </row>
    <row r="257" spans="1:1" x14ac:dyDescent="0.25">
      <c r="A257" s="1"/>
    </row>
    <row r="258" spans="1:1" x14ac:dyDescent="0.25">
      <c r="A258" s="1"/>
    </row>
    <row r="259" spans="1:1" x14ac:dyDescent="0.25">
      <c r="A259" s="1"/>
    </row>
    <row r="260" spans="1:1" x14ac:dyDescent="0.25">
      <c r="A260" s="1"/>
    </row>
    <row r="261" spans="1:1" x14ac:dyDescent="0.25">
      <c r="A261" s="1"/>
    </row>
    <row r="262" spans="1:1" x14ac:dyDescent="0.25">
      <c r="A262" s="1"/>
    </row>
    <row r="263" spans="1:1" x14ac:dyDescent="0.25">
      <c r="A263" s="1"/>
    </row>
    <row r="264" spans="1:1" x14ac:dyDescent="0.25">
      <c r="A264" s="1"/>
    </row>
    <row r="265" spans="1:1" x14ac:dyDescent="0.25">
      <c r="A265" s="1"/>
    </row>
    <row r="266" spans="1:1" x14ac:dyDescent="0.25">
      <c r="A266" s="1"/>
    </row>
    <row r="267" spans="1:1" x14ac:dyDescent="0.25">
      <c r="A267" s="1"/>
    </row>
    <row r="268" spans="1:1" x14ac:dyDescent="0.25">
      <c r="A268" s="1"/>
    </row>
    <row r="269" spans="1:1" x14ac:dyDescent="0.25">
      <c r="A269" s="1"/>
    </row>
    <row r="270" spans="1:1" x14ac:dyDescent="0.25">
      <c r="A270" s="1"/>
    </row>
    <row r="271" spans="1:1" x14ac:dyDescent="0.25">
      <c r="A271" s="1"/>
    </row>
    <row r="272" spans="1:1" x14ac:dyDescent="0.25">
      <c r="A272" s="1"/>
    </row>
    <row r="273" spans="1:1" x14ac:dyDescent="0.25">
      <c r="A273" s="1"/>
    </row>
    <row r="274" spans="1:1" x14ac:dyDescent="0.25">
      <c r="A274" s="1"/>
    </row>
    <row r="275" spans="1:1" x14ac:dyDescent="0.25">
      <c r="A275" s="1"/>
    </row>
    <row r="276" spans="1:1" x14ac:dyDescent="0.25">
      <c r="A276" s="1"/>
    </row>
    <row r="277" spans="1:1" x14ac:dyDescent="0.25">
      <c r="A277" s="1"/>
    </row>
    <row r="278" spans="1:1" x14ac:dyDescent="0.25">
      <c r="A278" s="1"/>
    </row>
    <row r="279" spans="1:1" x14ac:dyDescent="0.25">
      <c r="A279" s="1"/>
    </row>
    <row r="280" spans="1:1" x14ac:dyDescent="0.25">
      <c r="A280" s="1"/>
    </row>
    <row r="281" spans="1:1" x14ac:dyDescent="0.25">
      <c r="A281" s="1"/>
    </row>
    <row r="282" spans="1:1" x14ac:dyDescent="0.25">
      <c r="A282" s="1"/>
    </row>
    <row r="283" spans="1:1" x14ac:dyDescent="0.25">
      <c r="A283" s="1"/>
    </row>
    <row r="284" spans="1:1" x14ac:dyDescent="0.25">
      <c r="A284" s="1"/>
    </row>
    <row r="285" spans="1:1" x14ac:dyDescent="0.25">
      <c r="A285" s="1"/>
    </row>
    <row r="286" spans="1:1" x14ac:dyDescent="0.25">
      <c r="A286" s="1"/>
    </row>
    <row r="287" spans="1:1" x14ac:dyDescent="0.25">
      <c r="A287" s="1"/>
    </row>
    <row r="288" spans="1:1" x14ac:dyDescent="0.25">
      <c r="A288" s="1"/>
    </row>
    <row r="289" spans="1:1" x14ac:dyDescent="0.25">
      <c r="A289" s="1"/>
    </row>
    <row r="290" spans="1:1" x14ac:dyDescent="0.25">
      <c r="A290" s="1"/>
    </row>
    <row r="291" spans="1:1" x14ac:dyDescent="0.25">
      <c r="A291" s="1"/>
    </row>
    <row r="292" spans="1:1" x14ac:dyDescent="0.25">
      <c r="A292" s="1"/>
    </row>
    <row r="293" spans="1:1" x14ac:dyDescent="0.25">
      <c r="A293" s="1"/>
    </row>
    <row r="294" spans="1:1" x14ac:dyDescent="0.25">
      <c r="A294" s="1"/>
    </row>
    <row r="295" spans="1:1" x14ac:dyDescent="0.25">
      <c r="A295" s="1"/>
    </row>
    <row r="296" spans="1:1" x14ac:dyDescent="0.25">
      <c r="A296" s="1"/>
    </row>
    <row r="297" spans="1:1" x14ac:dyDescent="0.25">
      <c r="A297" s="1"/>
    </row>
    <row r="298" spans="1:1" x14ac:dyDescent="0.25">
      <c r="A298" s="1"/>
    </row>
    <row r="299" spans="1:1" x14ac:dyDescent="0.25">
      <c r="A299" s="1"/>
    </row>
    <row r="300" spans="1:1" x14ac:dyDescent="0.25">
      <c r="A300" s="1"/>
    </row>
    <row r="301" spans="1:1" x14ac:dyDescent="0.25">
      <c r="A301" s="1"/>
    </row>
    <row r="302" spans="1:1" x14ac:dyDescent="0.25">
      <c r="A302" s="1"/>
    </row>
    <row r="303" spans="1:1" x14ac:dyDescent="0.25">
      <c r="A303" s="1"/>
    </row>
    <row r="304" spans="1:1" x14ac:dyDescent="0.25">
      <c r="A304" s="1"/>
    </row>
    <row r="305" spans="1:1" x14ac:dyDescent="0.25">
      <c r="A305" s="1"/>
    </row>
    <row r="306" spans="1:1" x14ac:dyDescent="0.25">
      <c r="A306" s="1"/>
    </row>
    <row r="307" spans="1:1" x14ac:dyDescent="0.25">
      <c r="A307" s="1"/>
    </row>
    <row r="308" spans="1:1" x14ac:dyDescent="0.25">
      <c r="A308" s="1"/>
    </row>
    <row r="309" spans="1:1" x14ac:dyDescent="0.25">
      <c r="A309" s="1"/>
    </row>
    <row r="310" spans="1:1" x14ac:dyDescent="0.25">
      <c r="A310" s="1"/>
    </row>
    <row r="311" spans="1:1" x14ac:dyDescent="0.25">
      <c r="A311" s="1"/>
    </row>
    <row r="312" spans="1:1" x14ac:dyDescent="0.25">
      <c r="A312" s="1"/>
    </row>
    <row r="313" spans="1:1" x14ac:dyDescent="0.25">
      <c r="A313" s="1"/>
    </row>
    <row r="314" spans="1:1" x14ac:dyDescent="0.25">
      <c r="A314" s="1"/>
    </row>
    <row r="315" spans="1:1" x14ac:dyDescent="0.25">
      <c r="A315" s="1"/>
    </row>
    <row r="316" spans="1:1" x14ac:dyDescent="0.25">
      <c r="A316" s="1"/>
    </row>
    <row r="317" spans="1:1" x14ac:dyDescent="0.25">
      <c r="A317" s="1"/>
    </row>
    <row r="318" spans="1:1" x14ac:dyDescent="0.25">
      <c r="A318" s="1"/>
    </row>
    <row r="319" spans="1:1" x14ac:dyDescent="0.25">
      <c r="A319" s="1"/>
    </row>
    <row r="320" spans="1:1" x14ac:dyDescent="0.25">
      <c r="A320" s="1"/>
    </row>
    <row r="321" spans="1:1" x14ac:dyDescent="0.25">
      <c r="A321" s="1"/>
    </row>
    <row r="322" spans="1:1" x14ac:dyDescent="0.25">
      <c r="A322" s="1"/>
    </row>
    <row r="323" spans="1:1" x14ac:dyDescent="0.25">
      <c r="A323" s="1"/>
    </row>
    <row r="324" spans="1:1" x14ac:dyDescent="0.25">
      <c r="A324" s="1"/>
    </row>
    <row r="325" spans="1:1" x14ac:dyDescent="0.25">
      <c r="A325" s="1"/>
    </row>
    <row r="326" spans="1:1" x14ac:dyDescent="0.25">
      <c r="A326" s="1"/>
    </row>
    <row r="327" spans="1:1" x14ac:dyDescent="0.25">
      <c r="A327" s="1"/>
    </row>
    <row r="328" spans="1:1" x14ac:dyDescent="0.25">
      <c r="A328" s="1"/>
    </row>
    <row r="329" spans="1:1" x14ac:dyDescent="0.25">
      <c r="A329" s="1"/>
    </row>
    <row r="330" spans="1:1" x14ac:dyDescent="0.25">
      <c r="A330" s="1"/>
    </row>
    <row r="331" spans="1:1" x14ac:dyDescent="0.25">
      <c r="A331" s="1"/>
    </row>
    <row r="332" spans="1:1" x14ac:dyDescent="0.25">
      <c r="A332" s="1"/>
    </row>
    <row r="333" spans="1:1" x14ac:dyDescent="0.25">
      <c r="A333" s="1"/>
    </row>
    <row r="334" spans="1:1" x14ac:dyDescent="0.25">
      <c r="A334" s="1"/>
    </row>
    <row r="335" spans="1:1" x14ac:dyDescent="0.25">
      <c r="A335" s="1"/>
    </row>
    <row r="336" spans="1:1" x14ac:dyDescent="0.25">
      <c r="A336" s="1"/>
    </row>
    <row r="337" spans="1:1" x14ac:dyDescent="0.25">
      <c r="A337" s="1"/>
    </row>
    <row r="338" spans="1:1" x14ac:dyDescent="0.25">
      <c r="A338" s="1"/>
    </row>
    <row r="339" spans="1:1" x14ac:dyDescent="0.25">
      <c r="A339" s="1"/>
    </row>
    <row r="340" spans="1:1" x14ac:dyDescent="0.25">
      <c r="A340" s="1"/>
    </row>
    <row r="341" spans="1:1" x14ac:dyDescent="0.25">
      <c r="A341" s="1"/>
    </row>
    <row r="342" spans="1:1" x14ac:dyDescent="0.25">
      <c r="A342" s="1"/>
    </row>
    <row r="343" spans="1:1" x14ac:dyDescent="0.25">
      <c r="A343" s="1"/>
    </row>
    <row r="344" spans="1:1" x14ac:dyDescent="0.25">
      <c r="A344" s="1"/>
    </row>
    <row r="345" spans="1:1" x14ac:dyDescent="0.25">
      <c r="A345" s="1"/>
    </row>
    <row r="346" spans="1:1" x14ac:dyDescent="0.25">
      <c r="A346" s="1"/>
    </row>
    <row r="347" spans="1:1" x14ac:dyDescent="0.25">
      <c r="A347" s="1"/>
    </row>
    <row r="348" spans="1:1" x14ac:dyDescent="0.25">
      <c r="A348" s="1"/>
    </row>
    <row r="349" spans="1:1" x14ac:dyDescent="0.25">
      <c r="A349" s="1"/>
    </row>
    <row r="350" spans="1:1" x14ac:dyDescent="0.25">
      <c r="A350" s="1"/>
    </row>
    <row r="351" spans="1:1" x14ac:dyDescent="0.25">
      <c r="A351" s="1"/>
    </row>
    <row r="352" spans="1:1" x14ac:dyDescent="0.25">
      <c r="A352" s="1"/>
    </row>
    <row r="353" spans="1:1" x14ac:dyDescent="0.25">
      <c r="A353" s="1"/>
    </row>
    <row r="354" spans="1:1" x14ac:dyDescent="0.25">
      <c r="A354" s="1"/>
    </row>
    <row r="355" spans="1:1" x14ac:dyDescent="0.25">
      <c r="A355" s="1"/>
    </row>
    <row r="356" spans="1:1" x14ac:dyDescent="0.25">
      <c r="A356" s="1"/>
    </row>
    <row r="357" spans="1:1" x14ac:dyDescent="0.25">
      <c r="A357" s="1"/>
    </row>
    <row r="358" spans="1:1" x14ac:dyDescent="0.25">
      <c r="A358" s="1"/>
    </row>
    <row r="359" spans="1:1" x14ac:dyDescent="0.25">
      <c r="A359" s="1"/>
    </row>
    <row r="360" spans="1:1" x14ac:dyDescent="0.25">
      <c r="A360" s="1"/>
    </row>
    <row r="361" spans="1:1" x14ac:dyDescent="0.25">
      <c r="A361" s="1"/>
    </row>
    <row r="362" spans="1:1" x14ac:dyDescent="0.25">
      <c r="A362" s="1"/>
    </row>
    <row r="363" spans="1:1" x14ac:dyDescent="0.25">
      <c r="A363" s="1"/>
    </row>
    <row r="364" spans="1:1" x14ac:dyDescent="0.25">
      <c r="A364" s="1"/>
    </row>
    <row r="365" spans="1:1" x14ac:dyDescent="0.25">
      <c r="A365" s="1"/>
    </row>
    <row r="366" spans="1:1" x14ac:dyDescent="0.25">
      <c r="A366" s="1"/>
    </row>
    <row r="367" spans="1:1" x14ac:dyDescent="0.25">
      <c r="A367" s="1"/>
    </row>
    <row r="368" spans="1:1" x14ac:dyDescent="0.25">
      <c r="A368" s="1"/>
    </row>
    <row r="369" spans="1:1" x14ac:dyDescent="0.25">
      <c r="A369" s="1"/>
    </row>
    <row r="370" spans="1:1" x14ac:dyDescent="0.25">
      <c r="A370" s="1"/>
    </row>
    <row r="371" spans="1:1" x14ac:dyDescent="0.25">
      <c r="A371" s="1"/>
    </row>
    <row r="372" spans="1:1" x14ac:dyDescent="0.25">
      <c r="A372" s="1"/>
    </row>
    <row r="373" spans="1:1" x14ac:dyDescent="0.25">
      <c r="A373" s="1"/>
    </row>
    <row r="374" spans="1:1" x14ac:dyDescent="0.25">
      <c r="A374" s="1"/>
    </row>
    <row r="375" spans="1:1" x14ac:dyDescent="0.25">
      <c r="A375" s="1"/>
    </row>
    <row r="376" spans="1:1" x14ac:dyDescent="0.25">
      <c r="A376" s="1"/>
    </row>
    <row r="377" spans="1:1" x14ac:dyDescent="0.25">
      <c r="A377" s="1"/>
    </row>
    <row r="378" spans="1:1" x14ac:dyDescent="0.25">
      <c r="A378" s="1"/>
    </row>
    <row r="379" spans="1:1" x14ac:dyDescent="0.25">
      <c r="A379" s="1"/>
    </row>
    <row r="380" spans="1:1" x14ac:dyDescent="0.25">
      <c r="A380" s="1"/>
    </row>
    <row r="381" spans="1:1" x14ac:dyDescent="0.25">
      <c r="A381" s="1"/>
    </row>
    <row r="382" spans="1:1" x14ac:dyDescent="0.25">
      <c r="A382" s="1"/>
    </row>
    <row r="383" spans="1:1" x14ac:dyDescent="0.25">
      <c r="A383" s="1"/>
    </row>
    <row r="384" spans="1:1" x14ac:dyDescent="0.25">
      <c r="A384" s="1"/>
    </row>
    <row r="385" spans="1:1" x14ac:dyDescent="0.25">
      <c r="A385" s="1"/>
    </row>
    <row r="386" spans="1:1" x14ac:dyDescent="0.25">
      <c r="A386" s="1"/>
    </row>
    <row r="387" spans="1:1" x14ac:dyDescent="0.25">
      <c r="A387" s="1"/>
    </row>
    <row r="388" spans="1:1" x14ac:dyDescent="0.25">
      <c r="A388" s="1"/>
    </row>
    <row r="389" spans="1:1" x14ac:dyDescent="0.25">
      <c r="A389" s="1"/>
    </row>
    <row r="390" spans="1:1" x14ac:dyDescent="0.25">
      <c r="A390" s="1"/>
    </row>
    <row r="391" spans="1:1" x14ac:dyDescent="0.25">
      <c r="A391" s="1"/>
    </row>
    <row r="392" spans="1:1" x14ac:dyDescent="0.25">
      <c r="A392" s="1"/>
    </row>
    <row r="393" spans="1:1" x14ac:dyDescent="0.25">
      <c r="A393" s="1"/>
    </row>
    <row r="394" spans="1:1" x14ac:dyDescent="0.25">
      <c r="A394" s="1"/>
    </row>
    <row r="395" spans="1:1" x14ac:dyDescent="0.25">
      <c r="A395" s="1"/>
    </row>
    <row r="396" spans="1:1" x14ac:dyDescent="0.25">
      <c r="A396" s="1"/>
    </row>
    <row r="397" spans="1:1" x14ac:dyDescent="0.25">
      <c r="A397" s="1"/>
    </row>
    <row r="398" spans="1:1" x14ac:dyDescent="0.25">
      <c r="A398" s="1"/>
    </row>
    <row r="399" spans="1:1" x14ac:dyDescent="0.25">
      <c r="A399" s="1"/>
    </row>
    <row r="400" spans="1:1" x14ac:dyDescent="0.25">
      <c r="A400" s="1"/>
    </row>
    <row r="401" spans="1:1" x14ac:dyDescent="0.25">
      <c r="A401" s="1"/>
    </row>
    <row r="402" spans="1:1" x14ac:dyDescent="0.25">
      <c r="A402" s="1"/>
    </row>
    <row r="403" spans="1:1" x14ac:dyDescent="0.25">
      <c r="A403" s="1"/>
    </row>
    <row r="404" spans="1:1" x14ac:dyDescent="0.25">
      <c r="A404" s="1"/>
    </row>
    <row r="405" spans="1:1" x14ac:dyDescent="0.25">
      <c r="A405" s="1"/>
    </row>
    <row r="406" spans="1:1" x14ac:dyDescent="0.25">
      <c r="A406" s="1"/>
    </row>
    <row r="407" spans="1:1" x14ac:dyDescent="0.25">
      <c r="A407" s="1"/>
    </row>
    <row r="408" spans="1:1" x14ac:dyDescent="0.25">
      <c r="A408" s="1"/>
    </row>
    <row r="409" spans="1:1" x14ac:dyDescent="0.25">
      <c r="A409" s="1"/>
    </row>
    <row r="410" spans="1:1" x14ac:dyDescent="0.25">
      <c r="A410" s="1"/>
    </row>
    <row r="411" spans="1:1" x14ac:dyDescent="0.25">
      <c r="A411" s="1"/>
    </row>
    <row r="412" spans="1:1" x14ac:dyDescent="0.25">
      <c r="A412" s="1"/>
    </row>
    <row r="413" spans="1:1" x14ac:dyDescent="0.25">
      <c r="A413" s="1"/>
    </row>
    <row r="414" spans="1:1" x14ac:dyDescent="0.25">
      <c r="A414" s="1"/>
    </row>
    <row r="415" spans="1:1" x14ac:dyDescent="0.25">
      <c r="A415" s="1"/>
    </row>
    <row r="416" spans="1:1" x14ac:dyDescent="0.25">
      <c r="A416" s="1"/>
    </row>
    <row r="417" spans="1:1" x14ac:dyDescent="0.25">
      <c r="A417" s="1"/>
    </row>
    <row r="418" spans="1:1" x14ac:dyDescent="0.25">
      <c r="A418" s="1"/>
    </row>
    <row r="419" spans="1:1" x14ac:dyDescent="0.25">
      <c r="A419" s="1"/>
    </row>
    <row r="420" spans="1:1" x14ac:dyDescent="0.25">
      <c r="A420" s="1"/>
    </row>
    <row r="421" spans="1:1" x14ac:dyDescent="0.25">
      <c r="A421" s="1"/>
    </row>
    <row r="422" spans="1:1" x14ac:dyDescent="0.25">
      <c r="A422" s="1"/>
    </row>
    <row r="423" spans="1:1" x14ac:dyDescent="0.25">
      <c r="A423" s="1"/>
    </row>
    <row r="424" spans="1:1" x14ac:dyDescent="0.25">
      <c r="A424" s="1"/>
    </row>
    <row r="425" spans="1:1" x14ac:dyDescent="0.25">
      <c r="A425" s="1"/>
    </row>
    <row r="426" spans="1:1" x14ac:dyDescent="0.25">
      <c r="A426" s="1"/>
    </row>
    <row r="427" spans="1:1" x14ac:dyDescent="0.25">
      <c r="A427" s="1"/>
    </row>
    <row r="428" spans="1:1" x14ac:dyDescent="0.25">
      <c r="A428" s="1"/>
    </row>
    <row r="429" spans="1:1" x14ac:dyDescent="0.25">
      <c r="A429" s="1"/>
    </row>
    <row r="430" spans="1:1" x14ac:dyDescent="0.25">
      <c r="A430" s="1"/>
    </row>
    <row r="431" spans="1:1" x14ac:dyDescent="0.25">
      <c r="A431" s="1"/>
    </row>
    <row r="432" spans="1:1" x14ac:dyDescent="0.25">
      <c r="A432" s="1"/>
    </row>
    <row r="433" spans="1:1" x14ac:dyDescent="0.25">
      <c r="A433" s="1"/>
    </row>
    <row r="434" spans="1:1" x14ac:dyDescent="0.25">
      <c r="A434" s="1"/>
    </row>
    <row r="435" spans="1:1" x14ac:dyDescent="0.25">
      <c r="A435" s="1"/>
    </row>
    <row r="436" spans="1:1" x14ac:dyDescent="0.25">
      <c r="A436" s="1"/>
    </row>
    <row r="437" spans="1:1" x14ac:dyDescent="0.25">
      <c r="A437" s="1"/>
    </row>
    <row r="438" spans="1:1" x14ac:dyDescent="0.25">
      <c r="A438" s="1"/>
    </row>
    <row r="439" spans="1:1" x14ac:dyDescent="0.25">
      <c r="A439" s="1"/>
    </row>
    <row r="440" spans="1:1" x14ac:dyDescent="0.25">
      <c r="A440" s="1"/>
    </row>
    <row r="441" spans="1:1" x14ac:dyDescent="0.25">
      <c r="A441" s="1"/>
    </row>
    <row r="442" spans="1:1" x14ac:dyDescent="0.25">
      <c r="A442" s="1"/>
    </row>
    <row r="443" spans="1:1" x14ac:dyDescent="0.25">
      <c r="A443" s="1"/>
    </row>
    <row r="444" spans="1:1" x14ac:dyDescent="0.25">
      <c r="A444" s="1"/>
    </row>
    <row r="445" spans="1:1" x14ac:dyDescent="0.25">
      <c r="A445" s="1"/>
    </row>
    <row r="446" spans="1:1" x14ac:dyDescent="0.25">
      <c r="A446" s="1"/>
    </row>
    <row r="447" spans="1:1" x14ac:dyDescent="0.25">
      <c r="A447" s="1"/>
    </row>
    <row r="448" spans="1:1" x14ac:dyDescent="0.25">
      <c r="A448" s="1"/>
    </row>
    <row r="449" spans="1:1" x14ac:dyDescent="0.25">
      <c r="A449" s="1"/>
    </row>
    <row r="450" spans="1:1" x14ac:dyDescent="0.25">
      <c r="A450" s="1"/>
    </row>
    <row r="451" spans="1:1" x14ac:dyDescent="0.25">
      <c r="A451" s="1"/>
    </row>
    <row r="452" spans="1:1" x14ac:dyDescent="0.25">
      <c r="A452" s="1"/>
    </row>
    <row r="453" spans="1:1" x14ac:dyDescent="0.25">
      <c r="A453" s="1"/>
    </row>
    <row r="454" spans="1:1" x14ac:dyDescent="0.25">
      <c r="A454" s="1"/>
    </row>
    <row r="455" spans="1:1" x14ac:dyDescent="0.25">
      <c r="A455" s="1"/>
    </row>
    <row r="456" spans="1:1" x14ac:dyDescent="0.25">
      <c r="A456" s="1"/>
    </row>
    <row r="457" spans="1:1" x14ac:dyDescent="0.25">
      <c r="A457" s="1"/>
    </row>
    <row r="458" spans="1:1" x14ac:dyDescent="0.25">
      <c r="A458" s="1"/>
    </row>
    <row r="459" spans="1:1" x14ac:dyDescent="0.25">
      <c r="A459" s="1"/>
    </row>
    <row r="460" spans="1:1" x14ac:dyDescent="0.25">
      <c r="A460" s="1"/>
    </row>
    <row r="461" spans="1:1" x14ac:dyDescent="0.25">
      <c r="A461" s="1"/>
    </row>
    <row r="462" spans="1:1" x14ac:dyDescent="0.25">
      <c r="A462" s="1"/>
    </row>
    <row r="463" spans="1:1" x14ac:dyDescent="0.25">
      <c r="A463" s="1"/>
    </row>
    <row r="464" spans="1:1" x14ac:dyDescent="0.25">
      <c r="A464" s="1"/>
    </row>
    <row r="465" spans="1:1" x14ac:dyDescent="0.25">
      <c r="A465" s="1"/>
    </row>
    <row r="466" spans="1:1" x14ac:dyDescent="0.25">
      <c r="A466" s="1"/>
    </row>
    <row r="467" spans="1:1" x14ac:dyDescent="0.25">
      <c r="A467" s="1"/>
    </row>
    <row r="468" spans="1:1" x14ac:dyDescent="0.25">
      <c r="A468" s="1"/>
    </row>
    <row r="469" spans="1:1" x14ac:dyDescent="0.25">
      <c r="A469" s="1"/>
    </row>
    <row r="470" spans="1:1" x14ac:dyDescent="0.25">
      <c r="A470" s="1"/>
    </row>
    <row r="471" spans="1:1" x14ac:dyDescent="0.25">
      <c r="A471" s="1"/>
    </row>
    <row r="472" spans="1:1" x14ac:dyDescent="0.25">
      <c r="A472" s="1"/>
    </row>
    <row r="473" spans="1:1" x14ac:dyDescent="0.25">
      <c r="A473" s="1"/>
    </row>
    <row r="474" spans="1:1" x14ac:dyDescent="0.25">
      <c r="A474" s="1"/>
    </row>
    <row r="475" spans="1:1" x14ac:dyDescent="0.25">
      <c r="A475" s="1"/>
    </row>
    <row r="476" spans="1:1" x14ac:dyDescent="0.25">
      <c r="A476" s="1"/>
    </row>
    <row r="477" spans="1:1" x14ac:dyDescent="0.25">
      <c r="A477" s="1"/>
    </row>
    <row r="478" spans="1:1" x14ac:dyDescent="0.25">
      <c r="A478" s="1"/>
    </row>
    <row r="479" spans="1:1" x14ac:dyDescent="0.25">
      <c r="A479" s="1"/>
    </row>
    <row r="480" spans="1:1" x14ac:dyDescent="0.25">
      <c r="A480" s="1"/>
    </row>
    <row r="481" spans="1:1" x14ac:dyDescent="0.25">
      <c r="A481" s="1"/>
    </row>
    <row r="482" spans="1:1" x14ac:dyDescent="0.25">
      <c r="A482" s="1"/>
    </row>
    <row r="483" spans="1:1" x14ac:dyDescent="0.25">
      <c r="A483" s="1"/>
    </row>
    <row r="484" spans="1:1" x14ac:dyDescent="0.25">
      <c r="A484" s="1"/>
    </row>
    <row r="485" spans="1:1" x14ac:dyDescent="0.25">
      <c r="A485" s="1"/>
    </row>
    <row r="486" spans="1:1" x14ac:dyDescent="0.25">
      <c r="A486" s="1"/>
    </row>
    <row r="487" spans="1:1" x14ac:dyDescent="0.25">
      <c r="A487" s="1"/>
    </row>
    <row r="488" spans="1:1" x14ac:dyDescent="0.25">
      <c r="A488" s="1"/>
    </row>
    <row r="489" spans="1:1" x14ac:dyDescent="0.25">
      <c r="A489" s="1"/>
    </row>
    <row r="490" spans="1:1" x14ac:dyDescent="0.25">
      <c r="A490" s="1"/>
    </row>
    <row r="491" spans="1:1" x14ac:dyDescent="0.25">
      <c r="A491" s="1"/>
    </row>
    <row r="492" spans="1:1" x14ac:dyDescent="0.25">
      <c r="A492" s="1"/>
    </row>
    <row r="493" spans="1:1" x14ac:dyDescent="0.25">
      <c r="A493" s="1"/>
    </row>
    <row r="494" spans="1:1" x14ac:dyDescent="0.25">
      <c r="A494" s="1"/>
    </row>
    <row r="495" spans="1:1" x14ac:dyDescent="0.25">
      <c r="A495" s="1"/>
    </row>
    <row r="496" spans="1:1" x14ac:dyDescent="0.25">
      <c r="A496" s="1"/>
    </row>
    <row r="497" spans="1:1" x14ac:dyDescent="0.25">
      <c r="A497" s="1"/>
    </row>
    <row r="498" spans="1:1" x14ac:dyDescent="0.25">
      <c r="A498" s="1"/>
    </row>
    <row r="499" spans="1:1" x14ac:dyDescent="0.25">
      <c r="A499" s="1"/>
    </row>
    <row r="500" spans="1:1" x14ac:dyDescent="0.25">
      <c r="A500" s="1"/>
    </row>
    <row r="501" spans="1:1" x14ac:dyDescent="0.25">
      <c r="A501" s="1"/>
    </row>
    <row r="502" spans="1:1" x14ac:dyDescent="0.25">
      <c r="A502" s="1"/>
    </row>
    <row r="503" spans="1:1" x14ac:dyDescent="0.25">
      <c r="A503" s="1"/>
    </row>
    <row r="504" spans="1:1" x14ac:dyDescent="0.25">
      <c r="A504" s="1"/>
    </row>
    <row r="505" spans="1:1" x14ac:dyDescent="0.25">
      <c r="A505" s="1"/>
    </row>
    <row r="506" spans="1:1" x14ac:dyDescent="0.25">
      <c r="A506" s="1"/>
    </row>
    <row r="507" spans="1:1" x14ac:dyDescent="0.25">
      <c r="A507" s="1"/>
    </row>
    <row r="508" spans="1:1" x14ac:dyDescent="0.25">
      <c r="A508" s="1"/>
    </row>
    <row r="509" spans="1:1" x14ac:dyDescent="0.25">
      <c r="A509" s="1"/>
    </row>
    <row r="510" spans="1:1" x14ac:dyDescent="0.25">
      <c r="A510" s="1"/>
    </row>
    <row r="511" spans="1:1" x14ac:dyDescent="0.25">
      <c r="A511" s="1"/>
    </row>
    <row r="512" spans="1:1" x14ac:dyDescent="0.25">
      <c r="A512" s="1"/>
    </row>
    <row r="513" spans="1:1" x14ac:dyDescent="0.25">
      <c r="A513" s="1"/>
    </row>
    <row r="514" spans="1:1" x14ac:dyDescent="0.25">
      <c r="A514" s="1"/>
    </row>
    <row r="515" spans="1:1" x14ac:dyDescent="0.25">
      <c r="A515" s="1"/>
    </row>
    <row r="516" spans="1:1" x14ac:dyDescent="0.25">
      <c r="A516" s="1"/>
    </row>
    <row r="517" spans="1:1" x14ac:dyDescent="0.25">
      <c r="A517" s="1"/>
    </row>
    <row r="518" spans="1:1" x14ac:dyDescent="0.25">
      <c r="A518" s="1"/>
    </row>
    <row r="519" spans="1:1" x14ac:dyDescent="0.25">
      <c r="A519" s="1"/>
    </row>
    <row r="520" spans="1:1" x14ac:dyDescent="0.25">
      <c r="A520" s="1"/>
    </row>
    <row r="521" spans="1:1" x14ac:dyDescent="0.25">
      <c r="A521" s="1"/>
    </row>
    <row r="522" spans="1:1" x14ac:dyDescent="0.25">
      <c r="A522" s="1"/>
    </row>
    <row r="523" spans="1:1" x14ac:dyDescent="0.25">
      <c r="A523" s="1"/>
    </row>
    <row r="524" spans="1:1" x14ac:dyDescent="0.25">
      <c r="A524" s="1"/>
    </row>
    <row r="525" spans="1:1" x14ac:dyDescent="0.25">
      <c r="A525" s="1"/>
    </row>
    <row r="526" spans="1:1" x14ac:dyDescent="0.25">
      <c r="A526" s="1"/>
    </row>
    <row r="527" spans="1:1" x14ac:dyDescent="0.25">
      <c r="A527" s="1"/>
    </row>
    <row r="528" spans="1:1" x14ac:dyDescent="0.25">
      <c r="A528" s="1"/>
    </row>
    <row r="529" spans="1:1" x14ac:dyDescent="0.25">
      <c r="A529" s="1"/>
    </row>
    <row r="530" spans="1:1" x14ac:dyDescent="0.25">
      <c r="A530" s="1"/>
    </row>
    <row r="531" spans="1:1" x14ac:dyDescent="0.25">
      <c r="A531" s="1"/>
    </row>
    <row r="532" spans="1:1" x14ac:dyDescent="0.25">
      <c r="A532" s="1"/>
    </row>
    <row r="533" spans="1:1" x14ac:dyDescent="0.25">
      <c r="A533" s="1"/>
    </row>
    <row r="534" spans="1:1" x14ac:dyDescent="0.25">
      <c r="A534" s="1"/>
    </row>
    <row r="535" spans="1:1" x14ac:dyDescent="0.25">
      <c r="A535" s="1"/>
    </row>
    <row r="536" spans="1:1" x14ac:dyDescent="0.25">
      <c r="A536" s="1"/>
    </row>
    <row r="537" spans="1:1" x14ac:dyDescent="0.25">
      <c r="A537" s="1"/>
    </row>
    <row r="538" spans="1:1" x14ac:dyDescent="0.25">
      <c r="A538" s="1"/>
    </row>
    <row r="539" spans="1:1" x14ac:dyDescent="0.25">
      <c r="A539" s="1"/>
    </row>
    <row r="540" spans="1:1" x14ac:dyDescent="0.25">
      <c r="A540" s="1"/>
    </row>
    <row r="541" spans="1:1" x14ac:dyDescent="0.25">
      <c r="A541" s="1"/>
    </row>
    <row r="542" spans="1:1" x14ac:dyDescent="0.25">
      <c r="A542" s="1"/>
    </row>
    <row r="543" spans="1:1" x14ac:dyDescent="0.25">
      <c r="A543" s="1"/>
    </row>
    <row r="544" spans="1:1" x14ac:dyDescent="0.25">
      <c r="A544" s="1"/>
    </row>
    <row r="545" spans="1:1" x14ac:dyDescent="0.25">
      <c r="A545" s="1"/>
    </row>
    <row r="546" spans="1:1" x14ac:dyDescent="0.25">
      <c r="A546" s="1"/>
    </row>
    <row r="547" spans="1:1" x14ac:dyDescent="0.25">
      <c r="A547" s="1"/>
    </row>
    <row r="548" spans="1:1" x14ac:dyDescent="0.25">
      <c r="A548" s="1"/>
    </row>
    <row r="549" spans="1:1" x14ac:dyDescent="0.25">
      <c r="A549" s="1"/>
    </row>
    <row r="550" spans="1:1" x14ac:dyDescent="0.25">
      <c r="A550" s="1"/>
    </row>
    <row r="551" spans="1:1" x14ac:dyDescent="0.25">
      <c r="A551" s="1"/>
    </row>
    <row r="552" spans="1:1" x14ac:dyDescent="0.25">
      <c r="A552" s="1"/>
    </row>
    <row r="553" spans="1:1" x14ac:dyDescent="0.25">
      <c r="A553" s="1"/>
    </row>
    <row r="554" spans="1:1" x14ac:dyDescent="0.25">
      <c r="A554" s="1"/>
    </row>
    <row r="555" spans="1:1" x14ac:dyDescent="0.25">
      <c r="A555" s="1"/>
    </row>
    <row r="556" spans="1:1" x14ac:dyDescent="0.25">
      <c r="A556" s="1"/>
    </row>
    <row r="557" spans="1:1" x14ac:dyDescent="0.25">
      <c r="A557" s="1"/>
    </row>
    <row r="558" spans="1:1" x14ac:dyDescent="0.25">
      <c r="A558" s="1"/>
    </row>
    <row r="559" spans="1:1" x14ac:dyDescent="0.25">
      <c r="A559" s="1"/>
    </row>
    <row r="560" spans="1:1" x14ac:dyDescent="0.25">
      <c r="A560" s="1"/>
    </row>
    <row r="561" spans="1:1" x14ac:dyDescent="0.25">
      <c r="A561" s="1"/>
    </row>
    <row r="562" spans="1:1" x14ac:dyDescent="0.25">
      <c r="A562" s="1"/>
    </row>
    <row r="563" spans="1:1" x14ac:dyDescent="0.25">
      <c r="A563" s="1"/>
    </row>
    <row r="564" spans="1:1" x14ac:dyDescent="0.25">
      <c r="A564" s="1"/>
    </row>
    <row r="565" spans="1:1" x14ac:dyDescent="0.25">
      <c r="A565" s="1"/>
    </row>
    <row r="566" spans="1:1" x14ac:dyDescent="0.25">
      <c r="A566" s="1"/>
    </row>
    <row r="567" spans="1:1" x14ac:dyDescent="0.25">
      <c r="A567" s="1"/>
    </row>
    <row r="568" spans="1:1" x14ac:dyDescent="0.25">
      <c r="A568" s="1"/>
    </row>
    <row r="569" spans="1:1" x14ac:dyDescent="0.25">
      <c r="A569" s="1"/>
    </row>
    <row r="570" spans="1:1" x14ac:dyDescent="0.25">
      <c r="A570" s="1"/>
    </row>
    <row r="571" spans="1:1" x14ac:dyDescent="0.25">
      <c r="A571" s="1"/>
    </row>
    <row r="572" spans="1:1" x14ac:dyDescent="0.25">
      <c r="A572" s="1"/>
    </row>
    <row r="573" spans="1:1" x14ac:dyDescent="0.25">
      <c r="A573" s="1"/>
    </row>
    <row r="574" spans="1:1" x14ac:dyDescent="0.25">
      <c r="A574" s="1"/>
    </row>
    <row r="575" spans="1:1" x14ac:dyDescent="0.25">
      <c r="A575" s="1"/>
    </row>
    <row r="576" spans="1:1" x14ac:dyDescent="0.25">
      <c r="A576" s="1"/>
    </row>
    <row r="577" spans="1:1" x14ac:dyDescent="0.25">
      <c r="A577" s="1"/>
    </row>
    <row r="578" spans="1:1" x14ac:dyDescent="0.25">
      <c r="A578" s="1"/>
    </row>
    <row r="579" spans="1:1" x14ac:dyDescent="0.25">
      <c r="A579" s="1"/>
    </row>
    <row r="580" spans="1:1" x14ac:dyDescent="0.25">
      <c r="A580" s="1"/>
    </row>
    <row r="581" spans="1:1" x14ac:dyDescent="0.25">
      <c r="A581" s="1"/>
    </row>
    <row r="582" spans="1:1" x14ac:dyDescent="0.25">
      <c r="A582" s="1"/>
    </row>
    <row r="583" spans="1:1" x14ac:dyDescent="0.25">
      <c r="A583" s="1"/>
    </row>
    <row r="584" spans="1:1" x14ac:dyDescent="0.25">
      <c r="A584" s="1"/>
    </row>
    <row r="585" spans="1:1" x14ac:dyDescent="0.25">
      <c r="A585" s="1"/>
    </row>
    <row r="586" spans="1:1" x14ac:dyDescent="0.25">
      <c r="A586" s="1"/>
    </row>
    <row r="587" spans="1:1" x14ac:dyDescent="0.25">
      <c r="A587" s="1"/>
    </row>
    <row r="588" spans="1:1" x14ac:dyDescent="0.25">
      <c r="A588" s="1"/>
    </row>
    <row r="589" spans="1:1" x14ac:dyDescent="0.25">
      <c r="A589" s="1"/>
    </row>
    <row r="590" spans="1:1" x14ac:dyDescent="0.25">
      <c r="A590" s="1"/>
    </row>
    <row r="591" spans="1:1" x14ac:dyDescent="0.25">
      <c r="A591" s="1"/>
    </row>
    <row r="592" spans="1:1" x14ac:dyDescent="0.25">
      <c r="A592" s="1"/>
    </row>
    <row r="593" spans="1:1" x14ac:dyDescent="0.25">
      <c r="A593" s="1"/>
    </row>
    <row r="594" spans="1:1" x14ac:dyDescent="0.25">
      <c r="A594" s="1"/>
    </row>
    <row r="595" spans="1:1" x14ac:dyDescent="0.25">
      <c r="A595" s="1"/>
    </row>
    <row r="596" spans="1:1" x14ac:dyDescent="0.25">
      <c r="A596" s="1"/>
    </row>
    <row r="597" spans="1:1" x14ac:dyDescent="0.25">
      <c r="A597" s="1"/>
    </row>
    <row r="598" spans="1:1" x14ac:dyDescent="0.25">
      <c r="A598" s="1"/>
    </row>
    <row r="599" spans="1:1" x14ac:dyDescent="0.25">
      <c r="A599" s="1"/>
    </row>
    <row r="600" spans="1:1" x14ac:dyDescent="0.25">
      <c r="A600" s="1"/>
    </row>
    <row r="601" spans="1:1" x14ac:dyDescent="0.25">
      <c r="A601" s="1"/>
    </row>
    <row r="602" spans="1:1" x14ac:dyDescent="0.25">
      <c r="A602" s="1"/>
    </row>
    <row r="603" spans="1:1" x14ac:dyDescent="0.25">
      <c r="A603" s="1"/>
    </row>
    <row r="604" spans="1:1" x14ac:dyDescent="0.25">
      <c r="A604" s="1"/>
    </row>
    <row r="605" spans="1:1" x14ac:dyDescent="0.25">
      <c r="A605" s="1"/>
    </row>
    <row r="606" spans="1:1" x14ac:dyDescent="0.25">
      <c r="A606" s="1"/>
    </row>
    <row r="607" spans="1:1" x14ac:dyDescent="0.25">
      <c r="A607" s="1"/>
    </row>
    <row r="608" spans="1:1" x14ac:dyDescent="0.25">
      <c r="A608" s="1"/>
    </row>
    <row r="609" spans="1:1" x14ac:dyDescent="0.25">
      <c r="A609" s="1"/>
    </row>
    <row r="610" spans="1:1" x14ac:dyDescent="0.25">
      <c r="A610" s="1"/>
    </row>
    <row r="611" spans="1:1" x14ac:dyDescent="0.25">
      <c r="A611" s="1"/>
    </row>
    <row r="612" spans="1:1" x14ac:dyDescent="0.25">
      <c r="A612" s="1"/>
    </row>
    <row r="613" spans="1:1" x14ac:dyDescent="0.25">
      <c r="A613" s="1"/>
    </row>
    <row r="614" spans="1:1" x14ac:dyDescent="0.25">
      <c r="A614" s="1"/>
    </row>
    <row r="615" spans="1:1" x14ac:dyDescent="0.25">
      <c r="A615" s="1"/>
    </row>
    <row r="616" spans="1:1" x14ac:dyDescent="0.25">
      <c r="A616" s="1"/>
    </row>
    <row r="617" spans="1:1" x14ac:dyDescent="0.25">
      <c r="A617" s="1"/>
    </row>
    <row r="618" spans="1:1" x14ac:dyDescent="0.25">
      <c r="A618" s="1"/>
    </row>
    <row r="619" spans="1:1" x14ac:dyDescent="0.25">
      <c r="A619" s="1"/>
    </row>
    <row r="620" spans="1:1" x14ac:dyDescent="0.25">
      <c r="A620" s="1"/>
    </row>
    <row r="621" spans="1:1" x14ac:dyDescent="0.25">
      <c r="A621" s="1"/>
    </row>
    <row r="622" spans="1:1" x14ac:dyDescent="0.25">
      <c r="A622" s="1"/>
    </row>
    <row r="623" spans="1:1" x14ac:dyDescent="0.25">
      <c r="A623" s="1"/>
    </row>
    <row r="624" spans="1:1" x14ac:dyDescent="0.25">
      <c r="A624" s="1"/>
    </row>
    <row r="625" spans="1:1" x14ac:dyDescent="0.25">
      <c r="A625" s="1"/>
    </row>
    <row r="626" spans="1:1" x14ac:dyDescent="0.25">
      <c r="A626" s="1"/>
    </row>
    <row r="627" spans="1:1" x14ac:dyDescent="0.25">
      <c r="A627" s="1"/>
    </row>
    <row r="628" spans="1:1" x14ac:dyDescent="0.25">
      <c r="A628" s="1"/>
    </row>
    <row r="629" spans="1:1" x14ac:dyDescent="0.25">
      <c r="A629" s="1"/>
    </row>
    <row r="630" spans="1:1" x14ac:dyDescent="0.25">
      <c r="A630" s="1"/>
    </row>
    <row r="631" spans="1:1" x14ac:dyDescent="0.25">
      <c r="A631" s="1"/>
    </row>
    <row r="632" spans="1:1" x14ac:dyDescent="0.25">
      <c r="A632" s="1"/>
    </row>
    <row r="633" spans="1:1" x14ac:dyDescent="0.25">
      <c r="A633" s="1"/>
    </row>
    <row r="634" spans="1:1" x14ac:dyDescent="0.25">
      <c r="A634" s="1"/>
    </row>
    <row r="635" spans="1:1" x14ac:dyDescent="0.25">
      <c r="A635" s="1"/>
    </row>
    <row r="636" spans="1:1" x14ac:dyDescent="0.25">
      <c r="A636" s="1"/>
    </row>
    <row r="637" spans="1:1" x14ac:dyDescent="0.25">
      <c r="A637" s="1"/>
    </row>
    <row r="638" spans="1:1" x14ac:dyDescent="0.25">
      <c r="A638" s="1"/>
    </row>
    <row r="639" spans="1:1" x14ac:dyDescent="0.25">
      <c r="A639" s="1"/>
    </row>
    <row r="640" spans="1:1" x14ac:dyDescent="0.25">
      <c r="A640" s="1"/>
    </row>
    <row r="641" spans="1:1" x14ac:dyDescent="0.25">
      <c r="A641" s="1"/>
    </row>
    <row r="642" spans="1:1" x14ac:dyDescent="0.25">
      <c r="A642" s="1"/>
    </row>
    <row r="643" spans="1:1" x14ac:dyDescent="0.25">
      <c r="A643" s="1"/>
    </row>
    <row r="644" spans="1:1" x14ac:dyDescent="0.25">
      <c r="A644" s="1"/>
    </row>
    <row r="645" spans="1:1" x14ac:dyDescent="0.25">
      <c r="A645" s="1"/>
    </row>
    <row r="646" spans="1:1" x14ac:dyDescent="0.25">
      <c r="A646" s="1"/>
    </row>
    <row r="647" spans="1:1" x14ac:dyDescent="0.25">
      <c r="A647" s="1"/>
    </row>
    <row r="648" spans="1:1" x14ac:dyDescent="0.25">
      <c r="A648" s="1"/>
    </row>
    <row r="649" spans="1:1" x14ac:dyDescent="0.25">
      <c r="A649" s="1"/>
    </row>
    <row r="650" spans="1:1" x14ac:dyDescent="0.25">
      <c r="A650" s="1"/>
    </row>
    <row r="651" spans="1:1" x14ac:dyDescent="0.25">
      <c r="A651" s="1"/>
    </row>
    <row r="652" spans="1:1" x14ac:dyDescent="0.25">
      <c r="A652" s="1"/>
    </row>
    <row r="653" spans="1:1" x14ac:dyDescent="0.25">
      <c r="A653" s="1"/>
    </row>
    <row r="654" spans="1:1" x14ac:dyDescent="0.25">
      <c r="A654" s="1"/>
    </row>
    <row r="655" spans="1:1" x14ac:dyDescent="0.25">
      <c r="A655" s="1"/>
    </row>
    <row r="656" spans="1:1" x14ac:dyDescent="0.25">
      <c r="A656" s="1"/>
    </row>
    <row r="657" spans="1:1" x14ac:dyDescent="0.25">
      <c r="A657" s="1"/>
    </row>
    <row r="658" spans="1:1" x14ac:dyDescent="0.25">
      <c r="A658" s="1"/>
    </row>
    <row r="659" spans="1:1" x14ac:dyDescent="0.25">
      <c r="A659" s="1"/>
    </row>
    <row r="660" spans="1:1" x14ac:dyDescent="0.25">
      <c r="A660" s="1"/>
    </row>
    <row r="661" spans="1:1" x14ac:dyDescent="0.25">
      <c r="A661" s="1"/>
    </row>
    <row r="662" spans="1:1" x14ac:dyDescent="0.25">
      <c r="A662" s="1"/>
    </row>
    <row r="663" spans="1:1" x14ac:dyDescent="0.25">
      <c r="A663" s="1"/>
    </row>
    <row r="664" spans="1:1" x14ac:dyDescent="0.25">
      <c r="A664" s="1"/>
    </row>
    <row r="665" spans="1:1" x14ac:dyDescent="0.25">
      <c r="A665" s="1"/>
    </row>
    <row r="666" spans="1:1" x14ac:dyDescent="0.25">
      <c r="A666" s="1"/>
    </row>
    <row r="667" spans="1:1" x14ac:dyDescent="0.25">
      <c r="A667" s="1"/>
    </row>
    <row r="668" spans="1:1" x14ac:dyDescent="0.25">
      <c r="A668" s="1"/>
    </row>
    <row r="669" spans="1:1" x14ac:dyDescent="0.25">
      <c r="A669" s="1"/>
    </row>
    <row r="670" spans="1:1" x14ac:dyDescent="0.25">
      <c r="A670" s="1"/>
    </row>
    <row r="671" spans="1:1" x14ac:dyDescent="0.25">
      <c r="A671" s="1"/>
    </row>
    <row r="672" spans="1:1" x14ac:dyDescent="0.25">
      <c r="A672" s="1"/>
    </row>
    <row r="673" spans="1:1" x14ac:dyDescent="0.25">
      <c r="A673" s="1"/>
    </row>
    <row r="674" spans="1:1" x14ac:dyDescent="0.25">
      <c r="A674" s="1"/>
    </row>
    <row r="675" spans="1:1" x14ac:dyDescent="0.25">
      <c r="A675" s="1"/>
    </row>
    <row r="676" spans="1:1" x14ac:dyDescent="0.25">
      <c r="A676" s="1"/>
    </row>
    <row r="677" spans="1:1" x14ac:dyDescent="0.25">
      <c r="A677" s="1"/>
    </row>
    <row r="678" spans="1:1" x14ac:dyDescent="0.25">
      <c r="A678" s="1"/>
    </row>
    <row r="679" spans="1:1" x14ac:dyDescent="0.25">
      <c r="A679" s="1"/>
    </row>
    <row r="680" spans="1:1" x14ac:dyDescent="0.25">
      <c r="A680" s="1"/>
    </row>
    <row r="681" spans="1:1" x14ac:dyDescent="0.25">
      <c r="A681" s="1"/>
    </row>
    <row r="682" spans="1:1" x14ac:dyDescent="0.25">
      <c r="A682" s="1"/>
    </row>
    <row r="683" spans="1:1" x14ac:dyDescent="0.25">
      <c r="A683" s="1"/>
    </row>
    <row r="684" spans="1:1" x14ac:dyDescent="0.25">
      <c r="A684" s="1"/>
    </row>
    <row r="685" spans="1:1" x14ac:dyDescent="0.25">
      <c r="A685" s="1"/>
    </row>
    <row r="686" spans="1:1" x14ac:dyDescent="0.25">
      <c r="A686" s="1"/>
    </row>
    <row r="687" spans="1:1" x14ac:dyDescent="0.25">
      <c r="A687" s="1"/>
    </row>
    <row r="688" spans="1:1" x14ac:dyDescent="0.25">
      <c r="A688" s="1"/>
    </row>
    <row r="689" spans="1:1" x14ac:dyDescent="0.25">
      <c r="A689" s="1"/>
    </row>
    <row r="690" spans="1:1" x14ac:dyDescent="0.25">
      <c r="A690" s="1"/>
    </row>
    <row r="691" spans="1:1" x14ac:dyDescent="0.25">
      <c r="A691" s="1"/>
    </row>
    <row r="692" spans="1:1" x14ac:dyDescent="0.25">
      <c r="A692" s="1"/>
    </row>
    <row r="693" spans="1:1" x14ac:dyDescent="0.25">
      <c r="A693" s="1"/>
    </row>
    <row r="694" spans="1:1" x14ac:dyDescent="0.25">
      <c r="A694" s="1"/>
    </row>
    <row r="695" spans="1:1" x14ac:dyDescent="0.25">
      <c r="A695" s="1"/>
    </row>
    <row r="696" spans="1:1" x14ac:dyDescent="0.25">
      <c r="A696" s="1"/>
    </row>
    <row r="697" spans="1:1" x14ac:dyDescent="0.25">
      <c r="A697" s="1"/>
    </row>
    <row r="698" spans="1:1" x14ac:dyDescent="0.25">
      <c r="A698" s="1"/>
    </row>
    <row r="699" spans="1:1" x14ac:dyDescent="0.25">
      <c r="A699" s="1"/>
    </row>
    <row r="700" spans="1:1" x14ac:dyDescent="0.25">
      <c r="A700" s="1"/>
    </row>
    <row r="701" spans="1:1" x14ac:dyDescent="0.25">
      <c r="A701" s="1"/>
    </row>
    <row r="702" spans="1:1" x14ac:dyDescent="0.25">
      <c r="A702" s="1"/>
    </row>
    <row r="703" spans="1:1" x14ac:dyDescent="0.25">
      <c r="A703" s="1"/>
    </row>
    <row r="704" spans="1:1" x14ac:dyDescent="0.25">
      <c r="A704" s="1"/>
    </row>
    <row r="705" spans="1:1" x14ac:dyDescent="0.25">
      <c r="A705" s="1"/>
    </row>
    <row r="706" spans="1:1" x14ac:dyDescent="0.25">
      <c r="A706" s="1"/>
    </row>
    <row r="707" spans="1:1" x14ac:dyDescent="0.25">
      <c r="A707" s="1"/>
    </row>
    <row r="708" spans="1:1" x14ac:dyDescent="0.25">
      <c r="A708" s="1"/>
    </row>
    <row r="709" spans="1:1" x14ac:dyDescent="0.25">
      <c r="A709" s="1"/>
    </row>
    <row r="710" spans="1:1" x14ac:dyDescent="0.25">
      <c r="A710" s="1"/>
    </row>
    <row r="711" spans="1:1" x14ac:dyDescent="0.25">
      <c r="A711" s="1"/>
    </row>
    <row r="712" spans="1:1" x14ac:dyDescent="0.25">
      <c r="A712" s="1"/>
    </row>
    <row r="713" spans="1:1" x14ac:dyDescent="0.25">
      <c r="A713" s="1"/>
    </row>
    <row r="714" spans="1:1" x14ac:dyDescent="0.25">
      <c r="A714" s="1"/>
    </row>
    <row r="715" spans="1:1" x14ac:dyDescent="0.25">
      <c r="A715" s="1"/>
    </row>
    <row r="716" spans="1:1" x14ac:dyDescent="0.25">
      <c r="A716" s="1"/>
    </row>
    <row r="717" spans="1:1" x14ac:dyDescent="0.25">
      <c r="A717" s="1"/>
    </row>
    <row r="718" spans="1:1" x14ac:dyDescent="0.25">
      <c r="A718" s="1"/>
    </row>
    <row r="719" spans="1:1" x14ac:dyDescent="0.25">
      <c r="A719" s="1"/>
    </row>
    <row r="720" spans="1:1" x14ac:dyDescent="0.25">
      <c r="A720" s="1"/>
    </row>
    <row r="721" spans="1:1" x14ac:dyDescent="0.25">
      <c r="A721" s="1"/>
    </row>
    <row r="722" spans="1:1" x14ac:dyDescent="0.25">
      <c r="A722" s="1"/>
    </row>
    <row r="723" spans="1:1" x14ac:dyDescent="0.25">
      <c r="A723" s="1"/>
    </row>
    <row r="724" spans="1:1" x14ac:dyDescent="0.25">
      <c r="A724" s="1"/>
    </row>
    <row r="725" spans="1:1" x14ac:dyDescent="0.25">
      <c r="A725" s="1"/>
    </row>
    <row r="726" spans="1:1" x14ac:dyDescent="0.25">
      <c r="A726" s="1"/>
    </row>
    <row r="727" spans="1:1" x14ac:dyDescent="0.25">
      <c r="A727" s="1"/>
    </row>
    <row r="728" spans="1:1" x14ac:dyDescent="0.25">
      <c r="A728" s="1"/>
    </row>
    <row r="729" spans="1:1" x14ac:dyDescent="0.25">
      <c r="A729" s="1"/>
    </row>
    <row r="730" spans="1:1" x14ac:dyDescent="0.25">
      <c r="A730" s="1"/>
    </row>
    <row r="731" spans="1:1" x14ac:dyDescent="0.25">
      <c r="A731" s="1"/>
    </row>
    <row r="732" spans="1:1" x14ac:dyDescent="0.25">
      <c r="A732" s="1"/>
    </row>
    <row r="733" spans="1:1" x14ac:dyDescent="0.25">
      <c r="A733" s="1"/>
    </row>
    <row r="734" spans="1:1" x14ac:dyDescent="0.25">
      <c r="A734" s="1"/>
    </row>
    <row r="735" spans="1:1" x14ac:dyDescent="0.25">
      <c r="A735" s="1"/>
    </row>
    <row r="736" spans="1:1" x14ac:dyDescent="0.25">
      <c r="A736" s="1"/>
    </row>
    <row r="737" spans="1:1" x14ac:dyDescent="0.25">
      <c r="A737" s="1"/>
    </row>
    <row r="738" spans="1:1" x14ac:dyDescent="0.25">
      <c r="A738" s="1"/>
    </row>
    <row r="739" spans="1:1" x14ac:dyDescent="0.25">
      <c r="A739" s="1"/>
    </row>
    <row r="740" spans="1:1" x14ac:dyDescent="0.25">
      <c r="A740" s="1"/>
    </row>
    <row r="741" spans="1:1" x14ac:dyDescent="0.25">
      <c r="A741" s="1"/>
    </row>
    <row r="742" spans="1:1" x14ac:dyDescent="0.25">
      <c r="A742" s="1"/>
    </row>
    <row r="743" spans="1:1" x14ac:dyDescent="0.25">
      <c r="A743" s="1"/>
    </row>
    <row r="744" spans="1:1" x14ac:dyDescent="0.25">
      <c r="A744" s="1"/>
    </row>
    <row r="745" spans="1:1" x14ac:dyDescent="0.25">
      <c r="A745" s="1"/>
    </row>
    <row r="746" spans="1:1" x14ac:dyDescent="0.25">
      <c r="A746" s="1"/>
    </row>
    <row r="747" spans="1:1" x14ac:dyDescent="0.25">
      <c r="A747" s="1"/>
    </row>
    <row r="748" spans="1:1" x14ac:dyDescent="0.25">
      <c r="A748" s="1"/>
    </row>
    <row r="749" spans="1:1" x14ac:dyDescent="0.25">
      <c r="A749" s="1"/>
    </row>
    <row r="750" spans="1:1" x14ac:dyDescent="0.25">
      <c r="A750" s="1"/>
    </row>
    <row r="751" spans="1:1" x14ac:dyDescent="0.25">
      <c r="A751" s="1"/>
    </row>
    <row r="752" spans="1:1" x14ac:dyDescent="0.25">
      <c r="A752" s="1"/>
    </row>
    <row r="753" spans="1:1" x14ac:dyDescent="0.25">
      <c r="A753" s="1"/>
    </row>
    <row r="754" spans="1:1" x14ac:dyDescent="0.25">
      <c r="A754" s="1"/>
    </row>
    <row r="755" spans="1:1" x14ac:dyDescent="0.25">
      <c r="A755" s="1"/>
    </row>
    <row r="756" spans="1:1" x14ac:dyDescent="0.25">
      <c r="A756" s="1"/>
    </row>
    <row r="757" spans="1:1" x14ac:dyDescent="0.25">
      <c r="A757" s="1"/>
    </row>
    <row r="758" spans="1:1" x14ac:dyDescent="0.25">
      <c r="A758" s="1"/>
    </row>
    <row r="759" spans="1:1" x14ac:dyDescent="0.25">
      <c r="A759" s="1"/>
    </row>
    <row r="760" spans="1:1" x14ac:dyDescent="0.25">
      <c r="A760" s="1"/>
    </row>
    <row r="761" spans="1:1" x14ac:dyDescent="0.25">
      <c r="A761" s="1"/>
    </row>
    <row r="762" spans="1:1" x14ac:dyDescent="0.25">
      <c r="A762" s="1"/>
    </row>
    <row r="763" spans="1:1" x14ac:dyDescent="0.25">
      <c r="A763" s="1"/>
    </row>
    <row r="764" spans="1:1" x14ac:dyDescent="0.25">
      <c r="A764" s="1"/>
    </row>
    <row r="765" spans="1:1" x14ac:dyDescent="0.25">
      <c r="A765" s="1"/>
    </row>
    <row r="766" spans="1:1" x14ac:dyDescent="0.25">
      <c r="A766" s="1"/>
    </row>
    <row r="767" spans="1:1" x14ac:dyDescent="0.25">
      <c r="A767" s="1"/>
    </row>
    <row r="768" spans="1:1" x14ac:dyDescent="0.25">
      <c r="A768" s="1"/>
    </row>
    <row r="769" spans="1:1" x14ac:dyDescent="0.25">
      <c r="A769" s="1"/>
    </row>
    <row r="770" spans="1:1" x14ac:dyDescent="0.25">
      <c r="A770" s="1"/>
    </row>
    <row r="771" spans="1:1" x14ac:dyDescent="0.25">
      <c r="A771" s="1"/>
    </row>
    <row r="772" spans="1:1" x14ac:dyDescent="0.25">
      <c r="A772" s="1"/>
    </row>
    <row r="773" spans="1:1" x14ac:dyDescent="0.25">
      <c r="A773" s="1"/>
    </row>
    <row r="774" spans="1:1" x14ac:dyDescent="0.25">
      <c r="A774" s="1"/>
    </row>
    <row r="775" spans="1:1" x14ac:dyDescent="0.25">
      <c r="A775" s="1"/>
    </row>
    <row r="776" spans="1:1" x14ac:dyDescent="0.25">
      <c r="A776" s="1"/>
    </row>
    <row r="777" spans="1:1" x14ac:dyDescent="0.25">
      <c r="A777" s="1"/>
    </row>
    <row r="778" spans="1:1" x14ac:dyDescent="0.25">
      <c r="A778" s="1"/>
    </row>
    <row r="779" spans="1:1" x14ac:dyDescent="0.25">
      <c r="A779" s="1"/>
    </row>
    <row r="780" spans="1:1" x14ac:dyDescent="0.25">
      <c r="A780" s="1"/>
    </row>
    <row r="781" spans="1:1" x14ac:dyDescent="0.25">
      <c r="A781" s="1"/>
    </row>
    <row r="782" spans="1:1" x14ac:dyDescent="0.25">
      <c r="A782" s="1"/>
    </row>
    <row r="783" spans="1:1" x14ac:dyDescent="0.25">
      <c r="A783" s="1"/>
    </row>
    <row r="784" spans="1:1" x14ac:dyDescent="0.25">
      <c r="A784" s="1"/>
    </row>
    <row r="785" spans="1:1" x14ac:dyDescent="0.25">
      <c r="A785" s="1"/>
    </row>
    <row r="786" spans="1:1" x14ac:dyDescent="0.25">
      <c r="A786" s="1"/>
    </row>
    <row r="787" spans="1:1" x14ac:dyDescent="0.25">
      <c r="A787" s="1"/>
    </row>
    <row r="788" spans="1:1" x14ac:dyDescent="0.25">
      <c r="A788" s="1"/>
    </row>
    <row r="789" spans="1:1" x14ac:dyDescent="0.25">
      <c r="A789" s="1"/>
    </row>
    <row r="790" spans="1:1" x14ac:dyDescent="0.25">
      <c r="A790" s="1"/>
    </row>
    <row r="791" spans="1:1" x14ac:dyDescent="0.25">
      <c r="A791" s="1"/>
    </row>
    <row r="792" spans="1:1" x14ac:dyDescent="0.25">
      <c r="A792" s="1"/>
    </row>
    <row r="793" spans="1:1" x14ac:dyDescent="0.25">
      <c r="A793" s="1"/>
    </row>
    <row r="794" spans="1:1" x14ac:dyDescent="0.25">
      <c r="A794" s="1"/>
    </row>
    <row r="795" spans="1:1" x14ac:dyDescent="0.25">
      <c r="A795" s="1"/>
    </row>
    <row r="796" spans="1:1" x14ac:dyDescent="0.25">
      <c r="A796" s="1"/>
    </row>
    <row r="797" spans="1:1" x14ac:dyDescent="0.25">
      <c r="A797" s="1"/>
    </row>
    <row r="798" spans="1:1" x14ac:dyDescent="0.25">
      <c r="A798" s="1"/>
    </row>
    <row r="799" spans="1:1" x14ac:dyDescent="0.25">
      <c r="A799" s="1"/>
    </row>
    <row r="800" spans="1:1" x14ac:dyDescent="0.25">
      <c r="A800" s="1"/>
    </row>
    <row r="801" spans="1:1" x14ac:dyDescent="0.25">
      <c r="A801" s="1"/>
    </row>
    <row r="802" spans="1:1" x14ac:dyDescent="0.25">
      <c r="A802" s="1"/>
    </row>
    <row r="803" spans="1:1" x14ac:dyDescent="0.25">
      <c r="A803" s="1"/>
    </row>
    <row r="804" spans="1:1" x14ac:dyDescent="0.25">
      <c r="A804" s="1"/>
    </row>
    <row r="805" spans="1:1" x14ac:dyDescent="0.25">
      <c r="A805" s="1"/>
    </row>
    <row r="806" spans="1:1" x14ac:dyDescent="0.25">
      <c r="A806" s="1"/>
    </row>
    <row r="807" spans="1:1" x14ac:dyDescent="0.25">
      <c r="A807" s="1"/>
    </row>
    <row r="808" spans="1:1" x14ac:dyDescent="0.25">
      <c r="A808" s="1"/>
    </row>
    <row r="809" spans="1:1" x14ac:dyDescent="0.25">
      <c r="A809" s="1"/>
    </row>
    <row r="810" spans="1:1" x14ac:dyDescent="0.25">
      <c r="A810" s="1"/>
    </row>
    <row r="811" spans="1:1" x14ac:dyDescent="0.25">
      <c r="A811" s="1"/>
    </row>
    <row r="812" spans="1:1" x14ac:dyDescent="0.25">
      <c r="A812" s="1"/>
    </row>
    <row r="813" spans="1:1" x14ac:dyDescent="0.25">
      <c r="A813" s="1"/>
    </row>
    <row r="814" spans="1:1" x14ac:dyDescent="0.25">
      <c r="A814" s="1"/>
    </row>
    <row r="815" spans="1:1" x14ac:dyDescent="0.25">
      <c r="A815" s="1"/>
    </row>
    <row r="816" spans="1:1" x14ac:dyDescent="0.25">
      <c r="A816" s="1"/>
    </row>
    <row r="817" spans="1:1" x14ac:dyDescent="0.25">
      <c r="A817" s="1"/>
    </row>
    <row r="818" spans="1:1" x14ac:dyDescent="0.25">
      <c r="A818" s="1"/>
    </row>
    <row r="819" spans="1:1" x14ac:dyDescent="0.25">
      <c r="A819" s="1"/>
    </row>
    <row r="820" spans="1:1" x14ac:dyDescent="0.25">
      <c r="A820" s="1"/>
    </row>
    <row r="821" spans="1:1" x14ac:dyDescent="0.25">
      <c r="A821" s="1"/>
    </row>
    <row r="822" spans="1:1" x14ac:dyDescent="0.25">
      <c r="A822" s="1"/>
    </row>
    <row r="823" spans="1:1" x14ac:dyDescent="0.25">
      <c r="A823" s="1"/>
    </row>
    <row r="824" spans="1:1" x14ac:dyDescent="0.25">
      <c r="A824" s="1"/>
    </row>
    <row r="825" spans="1:1" x14ac:dyDescent="0.25">
      <c r="A825" s="1"/>
    </row>
    <row r="826" spans="1:1" x14ac:dyDescent="0.25">
      <c r="A826" s="1"/>
    </row>
    <row r="827" spans="1:1" x14ac:dyDescent="0.25">
      <c r="A827" s="1"/>
    </row>
    <row r="828" spans="1:1" x14ac:dyDescent="0.25">
      <c r="A828" s="1"/>
    </row>
    <row r="829" spans="1:1" x14ac:dyDescent="0.25">
      <c r="A829" s="1"/>
    </row>
    <row r="830" spans="1:1" x14ac:dyDescent="0.25">
      <c r="A830" s="1"/>
    </row>
    <row r="831" spans="1:1" x14ac:dyDescent="0.25">
      <c r="A831" s="1"/>
    </row>
    <row r="832" spans="1:1" x14ac:dyDescent="0.25">
      <c r="A832" s="1"/>
    </row>
    <row r="833" spans="1:1" x14ac:dyDescent="0.25">
      <c r="A833" s="1"/>
    </row>
    <row r="834" spans="1:1" x14ac:dyDescent="0.25">
      <c r="A834" s="1"/>
    </row>
    <row r="835" spans="1:1" x14ac:dyDescent="0.25">
      <c r="A835" s="1"/>
    </row>
    <row r="836" spans="1:1" x14ac:dyDescent="0.25">
      <c r="A836" s="1"/>
    </row>
    <row r="837" spans="1:1" x14ac:dyDescent="0.25">
      <c r="A837" s="1"/>
    </row>
    <row r="838" spans="1:1" x14ac:dyDescent="0.25">
      <c r="A838" s="1"/>
    </row>
    <row r="839" spans="1:1" x14ac:dyDescent="0.25">
      <c r="A839" s="1"/>
    </row>
    <row r="840" spans="1:1" x14ac:dyDescent="0.25">
      <c r="A840" s="1"/>
    </row>
    <row r="841" spans="1:1" x14ac:dyDescent="0.25">
      <c r="A841" s="1"/>
    </row>
    <row r="842" spans="1:1" x14ac:dyDescent="0.25">
      <c r="A842" s="1"/>
    </row>
    <row r="843" spans="1:1" x14ac:dyDescent="0.25">
      <c r="A843" s="1"/>
    </row>
    <row r="844" spans="1:1" x14ac:dyDescent="0.25">
      <c r="A844" s="1"/>
    </row>
    <row r="845" spans="1:1" x14ac:dyDescent="0.25">
      <c r="A845" s="1"/>
    </row>
    <row r="846" spans="1:1" x14ac:dyDescent="0.25">
      <c r="A846" s="1"/>
    </row>
    <row r="847" spans="1:1" x14ac:dyDescent="0.25">
      <c r="A847" s="1"/>
    </row>
    <row r="848" spans="1:1" x14ac:dyDescent="0.25">
      <c r="A848" s="1"/>
    </row>
    <row r="849" spans="1:1" x14ac:dyDescent="0.25">
      <c r="A849" s="1"/>
    </row>
    <row r="850" spans="1:1" x14ac:dyDescent="0.25">
      <c r="A850" s="1"/>
    </row>
    <row r="851" spans="1:1" x14ac:dyDescent="0.25">
      <c r="A851" s="1"/>
    </row>
    <row r="852" spans="1:1" x14ac:dyDescent="0.25">
      <c r="A852" s="1"/>
    </row>
    <row r="853" spans="1:1" x14ac:dyDescent="0.25">
      <c r="A853" s="1"/>
    </row>
    <row r="854" spans="1:1" x14ac:dyDescent="0.25">
      <c r="A854" s="1"/>
    </row>
    <row r="855" spans="1:1" x14ac:dyDescent="0.25">
      <c r="A855" s="1"/>
    </row>
    <row r="856" spans="1:1" x14ac:dyDescent="0.25">
      <c r="A856" s="1"/>
    </row>
    <row r="857" spans="1:1" x14ac:dyDescent="0.25">
      <c r="A857" s="1"/>
    </row>
    <row r="858" spans="1:1" x14ac:dyDescent="0.25">
      <c r="A858" s="1"/>
    </row>
    <row r="859" spans="1:1" x14ac:dyDescent="0.25">
      <c r="A859" s="1"/>
    </row>
    <row r="860" spans="1:1" x14ac:dyDescent="0.25">
      <c r="A860" s="1"/>
    </row>
    <row r="861" spans="1:1" x14ac:dyDescent="0.25">
      <c r="A861" s="1"/>
    </row>
    <row r="862" spans="1:1" x14ac:dyDescent="0.25">
      <c r="A862" s="1"/>
    </row>
    <row r="863" spans="1:1" x14ac:dyDescent="0.25">
      <c r="A863" s="1"/>
    </row>
    <row r="864" spans="1:1" x14ac:dyDescent="0.25">
      <c r="A864" s="1"/>
    </row>
    <row r="865" spans="1:1" x14ac:dyDescent="0.25">
      <c r="A865" s="1"/>
    </row>
    <row r="866" spans="1:1" x14ac:dyDescent="0.25">
      <c r="A866" s="1"/>
    </row>
    <row r="867" spans="1:1" x14ac:dyDescent="0.25">
      <c r="A867" s="1"/>
    </row>
    <row r="868" spans="1:1" x14ac:dyDescent="0.25">
      <c r="A868" s="1"/>
    </row>
    <row r="869" spans="1:1" x14ac:dyDescent="0.25">
      <c r="A869" s="1"/>
    </row>
    <row r="870" spans="1:1" x14ac:dyDescent="0.25">
      <c r="A870" s="1"/>
    </row>
    <row r="871" spans="1:1" x14ac:dyDescent="0.25">
      <c r="A871" s="1"/>
    </row>
    <row r="872" spans="1:1" x14ac:dyDescent="0.25">
      <c r="A872" s="1"/>
    </row>
    <row r="873" spans="1:1" x14ac:dyDescent="0.25">
      <c r="A873" s="1"/>
    </row>
    <row r="874" spans="1:1" x14ac:dyDescent="0.25">
      <c r="A874" s="1"/>
    </row>
    <row r="875" spans="1:1" x14ac:dyDescent="0.25">
      <c r="A875" s="1"/>
    </row>
    <row r="876" spans="1:1" x14ac:dyDescent="0.25">
      <c r="A876" s="1"/>
    </row>
    <row r="877" spans="1:1" x14ac:dyDescent="0.25">
      <c r="A877" s="1"/>
    </row>
    <row r="878" spans="1:1" x14ac:dyDescent="0.25">
      <c r="A878" s="1"/>
    </row>
    <row r="879" spans="1:1" x14ac:dyDescent="0.25">
      <c r="A879" s="1"/>
    </row>
    <row r="880" spans="1:1" x14ac:dyDescent="0.25">
      <c r="A880" s="1"/>
    </row>
    <row r="881" spans="1:1" x14ac:dyDescent="0.25">
      <c r="A881" s="1"/>
    </row>
    <row r="882" spans="1:1" x14ac:dyDescent="0.25">
      <c r="A882" s="1"/>
    </row>
    <row r="883" spans="1:1" x14ac:dyDescent="0.25">
      <c r="A883" s="1"/>
    </row>
    <row r="884" spans="1:1" x14ac:dyDescent="0.25">
      <c r="A884" s="1"/>
    </row>
    <row r="885" spans="1:1" x14ac:dyDescent="0.25">
      <c r="A885" s="1"/>
    </row>
    <row r="886" spans="1:1" x14ac:dyDescent="0.25">
      <c r="A886" s="1"/>
    </row>
    <row r="887" spans="1:1" x14ac:dyDescent="0.25">
      <c r="A887" s="1"/>
    </row>
    <row r="888" spans="1:1" x14ac:dyDescent="0.25">
      <c r="A888" s="1"/>
    </row>
    <row r="889" spans="1:1" x14ac:dyDescent="0.25">
      <c r="A889" s="1"/>
    </row>
    <row r="890" spans="1:1" x14ac:dyDescent="0.25">
      <c r="A890" s="1"/>
    </row>
    <row r="891" spans="1:1" x14ac:dyDescent="0.25">
      <c r="A891" s="1"/>
    </row>
    <row r="892" spans="1:1" x14ac:dyDescent="0.25">
      <c r="A892" s="1"/>
    </row>
    <row r="893" spans="1:1" x14ac:dyDescent="0.25">
      <c r="A893" s="1"/>
    </row>
    <row r="894" spans="1:1" x14ac:dyDescent="0.25">
      <c r="A894" s="1"/>
    </row>
    <row r="895" spans="1:1" x14ac:dyDescent="0.25">
      <c r="A895" s="1"/>
    </row>
    <row r="896" spans="1:1" x14ac:dyDescent="0.25">
      <c r="A896" s="1"/>
    </row>
    <row r="897" spans="1:1" x14ac:dyDescent="0.25">
      <c r="A897" s="1"/>
    </row>
    <row r="898" spans="1:1" x14ac:dyDescent="0.25">
      <c r="A898" s="1"/>
    </row>
    <row r="899" spans="1:1" x14ac:dyDescent="0.25">
      <c r="A899" s="1"/>
    </row>
    <row r="900" spans="1:1" x14ac:dyDescent="0.25">
      <c r="A900" s="1"/>
    </row>
    <row r="901" spans="1:1" x14ac:dyDescent="0.25">
      <c r="A901" s="1"/>
    </row>
    <row r="902" spans="1:1" x14ac:dyDescent="0.25">
      <c r="A902" s="1"/>
    </row>
    <row r="903" spans="1:1" x14ac:dyDescent="0.25">
      <c r="A903" s="1"/>
    </row>
    <row r="904" spans="1:1" x14ac:dyDescent="0.25">
      <c r="A904" s="1"/>
    </row>
    <row r="905" spans="1:1" x14ac:dyDescent="0.25">
      <c r="A905" s="1"/>
    </row>
    <row r="906" spans="1:1" x14ac:dyDescent="0.25">
      <c r="A906" s="1"/>
    </row>
    <row r="907" spans="1:1" x14ac:dyDescent="0.25">
      <c r="A907" s="1"/>
    </row>
    <row r="908" spans="1:1" x14ac:dyDescent="0.25">
      <c r="A908" s="1"/>
    </row>
    <row r="909" spans="1:1" x14ac:dyDescent="0.25">
      <c r="A909" s="1"/>
    </row>
    <row r="910" spans="1:1" x14ac:dyDescent="0.25">
      <c r="A910" s="1"/>
    </row>
    <row r="911" spans="1:1" x14ac:dyDescent="0.25">
      <c r="A911" s="1"/>
    </row>
    <row r="912" spans="1:1" x14ac:dyDescent="0.25">
      <c r="A912" s="1"/>
    </row>
    <row r="913" spans="1:1" x14ac:dyDescent="0.25">
      <c r="A913" s="1"/>
    </row>
    <row r="914" spans="1:1" x14ac:dyDescent="0.25">
      <c r="A914" s="1"/>
    </row>
    <row r="915" spans="1:1" x14ac:dyDescent="0.25">
      <c r="A915" s="1"/>
    </row>
    <row r="916" spans="1:1" x14ac:dyDescent="0.25">
      <c r="A916" s="1"/>
    </row>
    <row r="917" spans="1:1" x14ac:dyDescent="0.25">
      <c r="A917" s="1"/>
    </row>
    <row r="918" spans="1:1" x14ac:dyDescent="0.25">
      <c r="A918" s="1"/>
    </row>
    <row r="919" spans="1:1" x14ac:dyDescent="0.25">
      <c r="A919" s="1"/>
    </row>
    <row r="920" spans="1:1" x14ac:dyDescent="0.25">
      <c r="A920" s="1"/>
    </row>
    <row r="921" spans="1:1" x14ac:dyDescent="0.25">
      <c r="A921" s="1"/>
    </row>
    <row r="922" spans="1:1" x14ac:dyDescent="0.25">
      <c r="A922" s="1"/>
    </row>
    <row r="923" spans="1:1" x14ac:dyDescent="0.25">
      <c r="A923" s="1"/>
    </row>
    <row r="924" spans="1:1" x14ac:dyDescent="0.25">
      <c r="A924" s="1"/>
    </row>
    <row r="925" spans="1:1" x14ac:dyDescent="0.25">
      <c r="A925" s="1"/>
    </row>
    <row r="926" spans="1:1" x14ac:dyDescent="0.25">
      <c r="A926" s="1"/>
    </row>
    <row r="927" spans="1:1" x14ac:dyDescent="0.25">
      <c r="A927" s="1"/>
    </row>
    <row r="928" spans="1:1" x14ac:dyDescent="0.25">
      <c r="A928" s="1"/>
    </row>
    <row r="929" spans="1:1" x14ac:dyDescent="0.25">
      <c r="A929" s="1"/>
    </row>
    <row r="930" spans="1:1" x14ac:dyDescent="0.25">
      <c r="A930" s="1"/>
    </row>
    <row r="931" spans="1:1" x14ac:dyDescent="0.25">
      <c r="A931" s="1"/>
    </row>
    <row r="932" spans="1:1" x14ac:dyDescent="0.25">
      <c r="A93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summary</vt:lpstr>
      <vt:lpstr>stats table</vt:lpstr>
      <vt:lpstr>Sheet1</vt:lpstr>
      <vt:lpstr>EPS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Anita Joy Antoninka</dc:creator>
  <cp:lastModifiedBy>Anita Joy Antoninka</cp:lastModifiedBy>
  <dcterms:created xsi:type="dcterms:W3CDTF">2019-08-07T20:57:44Z</dcterms:created>
  <dcterms:modified xsi:type="dcterms:W3CDTF">2023-02-14T15:13:30Z</dcterms:modified>
</cp:coreProperties>
</file>