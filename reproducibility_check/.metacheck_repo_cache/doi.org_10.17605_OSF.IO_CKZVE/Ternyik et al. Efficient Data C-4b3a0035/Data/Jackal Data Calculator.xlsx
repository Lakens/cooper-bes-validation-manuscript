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e\Google Drive\University\4th Year\MammalWeb\Data\X. South Africa Updated\Jackal\"/>
    </mc:Choice>
  </mc:AlternateContent>
  <xr:revisionPtr revIDLastSave="0" documentId="13_ncr:1_{5A624937-927B-4C31-A4A8-989FFF4156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unka1" sheetId="1" r:id="rId1"/>
  </sheets>
  <definedNames>
    <definedName name="_xlnm._FilterDatabase" localSheetId="0" hidden="1">Munka1!$A$1:$X$1300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V0orcfhdXmnIpYLXchjkteOYpjQ=="/>
    </ext>
  </extLst>
</workbook>
</file>

<file path=xl/calcChain.xml><?xml version="1.0" encoding="utf-8"?>
<calcChain xmlns="http://schemas.openxmlformats.org/spreadsheetml/2006/main">
  <c r="P1300" i="1" l="1"/>
  <c r="L1300" i="1"/>
  <c r="K1300" i="1"/>
  <c r="M1300" i="1" s="1"/>
  <c r="N1300" i="1" s="1"/>
  <c r="Q1300" i="1" s="1"/>
  <c r="R1300" i="1" s="1"/>
  <c r="S1300" i="1" s="1"/>
  <c r="T1300" i="1" s="1"/>
  <c r="E1300" i="1"/>
  <c r="D1300" i="1"/>
  <c r="F1300" i="1" s="1"/>
  <c r="P1299" i="1"/>
  <c r="L1299" i="1"/>
  <c r="K1299" i="1"/>
  <c r="E1299" i="1"/>
  <c r="D1299" i="1"/>
  <c r="P1298" i="1"/>
  <c r="L1298" i="1"/>
  <c r="K1298" i="1"/>
  <c r="E1298" i="1"/>
  <c r="D1298" i="1"/>
  <c r="P1297" i="1"/>
  <c r="L1297" i="1"/>
  <c r="K1297" i="1"/>
  <c r="E1297" i="1"/>
  <c r="D1297" i="1"/>
  <c r="F1297" i="1" s="1"/>
  <c r="P1296" i="1"/>
  <c r="L1296" i="1"/>
  <c r="K1296" i="1"/>
  <c r="M1296" i="1" s="1"/>
  <c r="N1296" i="1" s="1"/>
  <c r="Q1296" i="1" s="1"/>
  <c r="E1296" i="1"/>
  <c r="D1296" i="1"/>
  <c r="P1295" i="1"/>
  <c r="L1295" i="1"/>
  <c r="K1295" i="1"/>
  <c r="E1295" i="1"/>
  <c r="D1295" i="1"/>
  <c r="P1294" i="1"/>
  <c r="L1294" i="1"/>
  <c r="K1294" i="1"/>
  <c r="E1294" i="1"/>
  <c r="D1294" i="1"/>
  <c r="F1294" i="1" s="1"/>
  <c r="P1293" i="1"/>
  <c r="L1293" i="1"/>
  <c r="K1293" i="1"/>
  <c r="E1293" i="1"/>
  <c r="D1293" i="1"/>
  <c r="P1292" i="1"/>
  <c r="L1292" i="1"/>
  <c r="K1292" i="1"/>
  <c r="E1292" i="1"/>
  <c r="D1292" i="1"/>
  <c r="P1291" i="1"/>
  <c r="L1291" i="1"/>
  <c r="K1291" i="1"/>
  <c r="E1291" i="1"/>
  <c r="D1291" i="1"/>
  <c r="P1290" i="1"/>
  <c r="L1290" i="1"/>
  <c r="K1290" i="1"/>
  <c r="M1290" i="1" s="1"/>
  <c r="N1290" i="1" s="1"/>
  <c r="Q1290" i="1" s="1"/>
  <c r="R1290" i="1" s="1"/>
  <c r="S1290" i="1" s="1"/>
  <c r="T1290" i="1" s="1"/>
  <c r="E1290" i="1"/>
  <c r="D1290" i="1"/>
  <c r="P1289" i="1"/>
  <c r="L1289" i="1"/>
  <c r="K1289" i="1"/>
  <c r="M1289" i="1" s="1"/>
  <c r="N1289" i="1" s="1"/>
  <c r="Q1289" i="1" s="1"/>
  <c r="E1289" i="1"/>
  <c r="D1289" i="1"/>
  <c r="P1288" i="1"/>
  <c r="L1288" i="1"/>
  <c r="K1288" i="1"/>
  <c r="E1288" i="1"/>
  <c r="D1288" i="1"/>
  <c r="P1287" i="1"/>
  <c r="L1287" i="1"/>
  <c r="K1287" i="1"/>
  <c r="E1287" i="1"/>
  <c r="D1287" i="1"/>
  <c r="P1286" i="1"/>
  <c r="L1286" i="1"/>
  <c r="M1286" i="1" s="1"/>
  <c r="N1286" i="1" s="1"/>
  <c r="Q1286" i="1" s="1"/>
  <c r="R1286" i="1" s="1"/>
  <c r="S1286" i="1" s="1"/>
  <c r="T1286" i="1" s="1"/>
  <c r="K1286" i="1"/>
  <c r="E1286" i="1"/>
  <c r="D1286" i="1"/>
  <c r="P1285" i="1"/>
  <c r="L1285" i="1"/>
  <c r="K1285" i="1"/>
  <c r="M1285" i="1" s="1"/>
  <c r="N1285" i="1" s="1"/>
  <c r="Q1285" i="1" s="1"/>
  <c r="E1285" i="1"/>
  <c r="D1285" i="1"/>
  <c r="P1284" i="1"/>
  <c r="L1284" i="1"/>
  <c r="K1284" i="1"/>
  <c r="E1284" i="1"/>
  <c r="D1284" i="1"/>
  <c r="P1283" i="1"/>
  <c r="L1283" i="1"/>
  <c r="K1283" i="1"/>
  <c r="E1283" i="1"/>
  <c r="D1283" i="1"/>
  <c r="P1282" i="1"/>
  <c r="L1282" i="1"/>
  <c r="K1282" i="1"/>
  <c r="E1282" i="1"/>
  <c r="D1282" i="1"/>
  <c r="P1281" i="1"/>
  <c r="L1281" i="1"/>
  <c r="K1281" i="1"/>
  <c r="E1281" i="1"/>
  <c r="D1281" i="1"/>
  <c r="P1280" i="1"/>
  <c r="L1280" i="1"/>
  <c r="K1280" i="1"/>
  <c r="E1280" i="1"/>
  <c r="D1280" i="1"/>
  <c r="P1279" i="1"/>
  <c r="L1279" i="1"/>
  <c r="K1279" i="1"/>
  <c r="E1279" i="1"/>
  <c r="D1279" i="1"/>
  <c r="P1278" i="1"/>
  <c r="L1278" i="1"/>
  <c r="K1278" i="1"/>
  <c r="E1278" i="1"/>
  <c r="D1278" i="1"/>
  <c r="F1278" i="1" s="1"/>
  <c r="P1277" i="1"/>
  <c r="L1277" i="1"/>
  <c r="K1277" i="1"/>
  <c r="M1277" i="1" s="1"/>
  <c r="N1277" i="1" s="1"/>
  <c r="Q1277" i="1" s="1"/>
  <c r="E1277" i="1"/>
  <c r="D1277" i="1"/>
  <c r="P1276" i="1"/>
  <c r="L1276" i="1"/>
  <c r="K1276" i="1"/>
  <c r="M1276" i="1" s="1"/>
  <c r="N1276" i="1" s="1"/>
  <c r="Q1276" i="1" s="1"/>
  <c r="E1276" i="1"/>
  <c r="D1276" i="1"/>
  <c r="P1275" i="1"/>
  <c r="L1275" i="1"/>
  <c r="K1275" i="1"/>
  <c r="E1275" i="1"/>
  <c r="D1275" i="1"/>
  <c r="P1274" i="1"/>
  <c r="L1274" i="1"/>
  <c r="K1274" i="1"/>
  <c r="E1274" i="1"/>
  <c r="D1274" i="1"/>
  <c r="P1273" i="1"/>
  <c r="L1273" i="1"/>
  <c r="K1273" i="1"/>
  <c r="E1273" i="1"/>
  <c r="D1273" i="1"/>
  <c r="P1272" i="1"/>
  <c r="L1272" i="1"/>
  <c r="K1272" i="1"/>
  <c r="E1272" i="1"/>
  <c r="D1272" i="1"/>
  <c r="P1271" i="1"/>
  <c r="L1271" i="1"/>
  <c r="K1271" i="1"/>
  <c r="E1271" i="1"/>
  <c r="D1271" i="1"/>
  <c r="P1270" i="1"/>
  <c r="L1270" i="1"/>
  <c r="K1270" i="1"/>
  <c r="M1270" i="1" s="1"/>
  <c r="N1270" i="1" s="1"/>
  <c r="Q1270" i="1" s="1"/>
  <c r="E1270" i="1"/>
  <c r="D1270" i="1"/>
  <c r="P1269" i="1"/>
  <c r="L1269" i="1"/>
  <c r="M1269" i="1" s="1"/>
  <c r="N1269" i="1" s="1"/>
  <c r="Q1269" i="1" s="1"/>
  <c r="R1269" i="1" s="1"/>
  <c r="S1269" i="1" s="1"/>
  <c r="T1269" i="1" s="1"/>
  <c r="K1269" i="1"/>
  <c r="E1269" i="1"/>
  <c r="D1269" i="1"/>
  <c r="P1268" i="1"/>
  <c r="L1268" i="1"/>
  <c r="K1268" i="1"/>
  <c r="E1268" i="1"/>
  <c r="D1268" i="1"/>
  <c r="F1268" i="1" s="1"/>
  <c r="P1267" i="1"/>
  <c r="L1267" i="1"/>
  <c r="K1267" i="1"/>
  <c r="E1267" i="1"/>
  <c r="D1267" i="1"/>
  <c r="P1266" i="1"/>
  <c r="L1266" i="1"/>
  <c r="K1266" i="1"/>
  <c r="E1266" i="1"/>
  <c r="D1266" i="1"/>
  <c r="P1265" i="1"/>
  <c r="L1265" i="1"/>
  <c r="K1265" i="1"/>
  <c r="E1265" i="1"/>
  <c r="D1265" i="1"/>
  <c r="P1264" i="1"/>
  <c r="L1264" i="1"/>
  <c r="K1264" i="1"/>
  <c r="E1264" i="1"/>
  <c r="D1264" i="1"/>
  <c r="P1263" i="1"/>
  <c r="L1263" i="1"/>
  <c r="K1263" i="1"/>
  <c r="E1263" i="1"/>
  <c r="D1263" i="1"/>
  <c r="P1262" i="1"/>
  <c r="L1262" i="1"/>
  <c r="K1262" i="1"/>
  <c r="E1262" i="1"/>
  <c r="D1262" i="1"/>
  <c r="P1261" i="1"/>
  <c r="M1261" i="1"/>
  <c r="N1261" i="1" s="1"/>
  <c r="Q1261" i="1" s="1"/>
  <c r="R1261" i="1" s="1"/>
  <c r="S1261" i="1" s="1"/>
  <c r="T1261" i="1" s="1"/>
  <c r="L1261" i="1"/>
  <c r="K1261" i="1"/>
  <c r="E1261" i="1"/>
  <c r="D1261" i="1"/>
  <c r="F1261" i="1" s="1"/>
  <c r="P1260" i="1"/>
  <c r="L1260" i="1"/>
  <c r="K1260" i="1"/>
  <c r="M1260" i="1" s="1"/>
  <c r="N1260" i="1" s="1"/>
  <c r="Q1260" i="1" s="1"/>
  <c r="E1260" i="1"/>
  <c r="D1260" i="1"/>
  <c r="P1259" i="1"/>
  <c r="L1259" i="1"/>
  <c r="K1259" i="1"/>
  <c r="M1259" i="1" s="1"/>
  <c r="N1259" i="1" s="1"/>
  <c r="Q1259" i="1" s="1"/>
  <c r="R1259" i="1" s="1"/>
  <c r="S1259" i="1" s="1"/>
  <c r="T1259" i="1" s="1"/>
  <c r="E1259" i="1"/>
  <c r="D1259" i="1"/>
  <c r="P1258" i="1"/>
  <c r="L1258" i="1"/>
  <c r="K1258" i="1"/>
  <c r="E1258" i="1"/>
  <c r="D1258" i="1"/>
  <c r="F1258" i="1" s="1"/>
  <c r="P1257" i="1"/>
  <c r="L1257" i="1"/>
  <c r="K1257" i="1"/>
  <c r="E1257" i="1"/>
  <c r="D1257" i="1"/>
  <c r="P1256" i="1"/>
  <c r="L1256" i="1"/>
  <c r="K1256" i="1"/>
  <c r="M1256" i="1" s="1"/>
  <c r="N1256" i="1" s="1"/>
  <c r="Q1256" i="1" s="1"/>
  <c r="R1256" i="1" s="1"/>
  <c r="S1256" i="1" s="1"/>
  <c r="T1256" i="1" s="1"/>
  <c r="E1256" i="1"/>
  <c r="D1256" i="1"/>
  <c r="P1255" i="1"/>
  <c r="L1255" i="1"/>
  <c r="M1255" i="1" s="1"/>
  <c r="N1255" i="1" s="1"/>
  <c r="Q1255" i="1" s="1"/>
  <c r="R1255" i="1" s="1"/>
  <c r="S1255" i="1" s="1"/>
  <c r="T1255" i="1" s="1"/>
  <c r="K1255" i="1"/>
  <c r="E1255" i="1"/>
  <c r="D1255" i="1"/>
  <c r="F1255" i="1" s="1"/>
  <c r="P1254" i="1"/>
  <c r="L1254" i="1"/>
  <c r="K1254" i="1"/>
  <c r="E1254" i="1"/>
  <c r="D1254" i="1"/>
  <c r="P1253" i="1"/>
  <c r="L1253" i="1"/>
  <c r="K1253" i="1"/>
  <c r="E1253" i="1"/>
  <c r="D1253" i="1"/>
  <c r="P1252" i="1"/>
  <c r="L1252" i="1"/>
  <c r="M1252" i="1" s="1"/>
  <c r="N1252" i="1" s="1"/>
  <c r="Q1252" i="1" s="1"/>
  <c r="K1252" i="1"/>
  <c r="E1252" i="1"/>
  <c r="D1252" i="1"/>
  <c r="P1251" i="1"/>
  <c r="L1251" i="1"/>
  <c r="K1251" i="1"/>
  <c r="E1251" i="1"/>
  <c r="D1251" i="1"/>
  <c r="P1250" i="1"/>
  <c r="L1250" i="1"/>
  <c r="K1250" i="1"/>
  <c r="E1250" i="1"/>
  <c r="D1250" i="1"/>
  <c r="P1249" i="1"/>
  <c r="L1249" i="1"/>
  <c r="K1249" i="1"/>
  <c r="E1249" i="1"/>
  <c r="D1249" i="1"/>
  <c r="P1248" i="1"/>
  <c r="L1248" i="1"/>
  <c r="K1248" i="1"/>
  <c r="E1248" i="1"/>
  <c r="D1248" i="1"/>
  <c r="P1247" i="1"/>
  <c r="L1247" i="1"/>
  <c r="K1247" i="1"/>
  <c r="E1247" i="1"/>
  <c r="D1247" i="1"/>
  <c r="P1246" i="1"/>
  <c r="L1246" i="1"/>
  <c r="K1246" i="1"/>
  <c r="E1246" i="1"/>
  <c r="D1246" i="1"/>
  <c r="P1245" i="1"/>
  <c r="L1245" i="1"/>
  <c r="K1245" i="1"/>
  <c r="M1245" i="1" s="1"/>
  <c r="N1245" i="1" s="1"/>
  <c r="Q1245" i="1" s="1"/>
  <c r="R1245" i="1" s="1"/>
  <c r="S1245" i="1" s="1"/>
  <c r="T1245" i="1" s="1"/>
  <c r="E1245" i="1"/>
  <c r="D1245" i="1"/>
  <c r="P1244" i="1"/>
  <c r="L1244" i="1"/>
  <c r="K1244" i="1"/>
  <c r="E1244" i="1"/>
  <c r="D1244" i="1"/>
  <c r="P1243" i="1"/>
  <c r="L1243" i="1"/>
  <c r="M1243" i="1" s="1"/>
  <c r="N1243" i="1" s="1"/>
  <c r="Q1243" i="1" s="1"/>
  <c r="K1243" i="1"/>
  <c r="E1243" i="1"/>
  <c r="D1243" i="1"/>
  <c r="P1242" i="1"/>
  <c r="L1242" i="1"/>
  <c r="K1242" i="1"/>
  <c r="E1242" i="1"/>
  <c r="D1242" i="1"/>
  <c r="P1241" i="1"/>
  <c r="L1241" i="1"/>
  <c r="K1241" i="1"/>
  <c r="E1241" i="1"/>
  <c r="D1241" i="1"/>
  <c r="P1240" i="1"/>
  <c r="L1240" i="1"/>
  <c r="K1240" i="1"/>
  <c r="E1240" i="1"/>
  <c r="D1240" i="1"/>
  <c r="P1239" i="1"/>
  <c r="L1239" i="1"/>
  <c r="K1239" i="1"/>
  <c r="M1239" i="1" s="1"/>
  <c r="N1239" i="1" s="1"/>
  <c r="Q1239" i="1" s="1"/>
  <c r="E1239" i="1"/>
  <c r="D1239" i="1"/>
  <c r="P1238" i="1"/>
  <c r="L1238" i="1"/>
  <c r="K1238" i="1"/>
  <c r="E1238" i="1"/>
  <c r="D1238" i="1"/>
  <c r="P1237" i="1"/>
  <c r="L1237" i="1"/>
  <c r="K1237" i="1"/>
  <c r="E1237" i="1"/>
  <c r="D1237" i="1"/>
  <c r="P1236" i="1"/>
  <c r="L1236" i="1"/>
  <c r="K1236" i="1"/>
  <c r="E1236" i="1"/>
  <c r="D1236" i="1"/>
  <c r="F1236" i="1" s="1"/>
  <c r="P1235" i="1"/>
  <c r="L1235" i="1"/>
  <c r="K1235" i="1"/>
  <c r="E1235" i="1"/>
  <c r="D1235" i="1"/>
  <c r="P1234" i="1"/>
  <c r="L1234" i="1"/>
  <c r="K1234" i="1"/>
  <c r="E1234" i="1"/>
  <c r="D1234" i="1"/>
  <c r="P1233" i="1"/>
  <c r="M1233" i="1"/>
  <c r="N1233" i="1" s="1"/>
  <c r="Q1233" i="1" s="1"/>
  <c r="L1233" i="1"/>
  <c r="K1233" i="1"/>
  <c r="E1233" i="1"/>
  <c r="D1233" i="1"/>
  <c r="F1233" i="1" s="1"/>
  <c r="P1232" i="1"/>
  <c r="L1232" i="1"/>
  <c r="K1232" i="1"/>
  <c r="E1232" i="1"/>
  <c r="D1232" i="1"/>
  <c r="P1231" i="1"/>
  <c r="L1231" i="1"/>
  <c r="K1231" i="1"/>
  <c r="E1231" i="1"/>
  <c r="D1231" i="1"/>
  <c r="P1230" i="1"/>
  <c r="L1230" i="1"/>
  <c r="K1230" i="1"/>
  <c r="E1230" i="1"/>
  <c r="D1230" i="1"/>
  <c r="P1229" i="1"/>
  <c r="L1229" i="1"/>
  <c r="K1229" i="1"/>
  <c r="E1229" i="1"/>
  <c r="D1229" i="1"/>
  <c r="P1228" i="1"/>
  <c r="L1228" i="1"/>
  <c r="K1228" i="1"/>
  <c r="E1228" i="1"/>
  <c r="D1228" i="1"/>
  <c r="F1228" i="1" s="1"/>
  <c r="P1227" i="1"/>
  <c r="L1227" i="1"/>
  <c r="K1227" i="1"/>
  <c r="E1227" i="1"/>
  <c r="D1227" i="1"/>
  <c r="P1226" i="1"/>
  <c r="L1226" i="1"/>
  <c r="K1226" i="1"/>
  <c r="E1226" i="1"/>
  <c r="D1226" i="1"/>
  <c r="P1225" i="1"/>
  <c r="L1225" i="1"/>
  <c r="K1225" i="1"/>
  <c r="E1225" i="1"/>
  <c r="D1225" i="1"/>
  <c r="P1224" i="1"/>
  <c r="L1224" i="1"/>
  <c r="K1224" i="1"/>
  <c r="E1224" i="1"/>
  <c r="D1224" i="1"/>
  <c r="P1223" i="1"/>
  <c r="L1223" i="1"/>
  <c r="K1223" i="1"/>
  <c r="E1223" i="1"/>
  <c r="D1223" i="1"/>
  <c r="P1222" i="1"/>
  <c r="L1222" i="1"/>
  <c r="K1222" i="1"/>
  <c r="E1222" i="1"/>
  <c r="D1222" i="1"/>
  <c r="P1221" i="1"/>
  <c r="L1221" i="1"/>
  <c r="K1221" i="1"/>
  <c r="E1221" i="1"/>
  <c r="D1221" i="1"/>
  <c r="P1220" i="1"/>
  <c r="L1220" i="1"/>
  <c r="K1220" i="1"/>
  <c r="E1220" i="1"/>
  <c r="D1220" i="1"/>
  <c r="P1219" i="1"/>
  <c r="L1219" i="1"/>
  <c r="K1219" i="1"/>
  <c r="E1219" i="1"/>
  <c r="D1219" i="1"/>
  <c r="P1218" i="1"/>
  <c r="L1218" i="1"/>
  <c r="M1218" i="1" s="1"/>
  <c r="N1218" i="1" s="1"/>
  <c r="Q1218" i="1" s="1"/>
  <c r="R1218" i="1" s="1"/>
  <c r="S1218" i="1" s="1"/>
  <c r="T1218" i="1" s="1"/>
  <c r="K1218" i="1"/>
  <c r="E1218" i="1"/>
  <c r="D1218" i="1"/>
  <c r="F1218" i="1" s="1"/>
  <c r="P1217" i="1"/>
  <c r="L1217" i="1"/>
  <c r="K1217" i="1"/>
  <c r="E1217" i="1"/>
  <c r="D1217" i="1"/>
  <c r="P1216" i="1"/>
  <c r="L1216" i="1"/>
  <c r="K1216" i="1"/>
  <c r="E1216" i="1"/>
  <c r="D1216" i="1"/>
  <c r="F1216" i="1" s="1"/>
  <c r="P1215" i="1"/>
  <c r="L1215" i="1"/>
  <c r="K1215" i="1"/>
  <c r="E1215" i="1"/>
  <c r="D1215" i="1"/>
  <c r="P1214" i="1"/>
  <c r="L1214" i="1"/>
  <c r="K1214" i="1"/>
  <c r="E1214" i="1"/>
  <c r="D1214" i="1"/>
  <c r="P1213" i="1"/>
  <c r="L1213" i="1"/>
  <c r="K1213" i="1"/>
  <c r="E1213" i="1"/>
  <c r="D1213" i="1"/>
  <c r="P1212" i="1"/>
  <c r="L1212" i="1"/>
  <c r="K1212" i="1"/>
  <c r="E1212" i="1"/>
  <c r="D1212" i="1"/>
  <c r="P1211" i="1"/>
  <c r="L1211" i="1"/>
  <c r="K1211" i="1"/>
  <c r="E1211" i="1"/>
  <c r="D1211" i="1"/>
  <c r="P1210" i="1"/>
  <c r="L1210" i="1"/>
  <c r="K1210" i="1"/>
  <c r="E1210" i="1"/>
  <c r="D1210" i="1"/>
  <c r="P1209" i="1"/>
  <c r="L1209" i="1"/>
  <c r="K1209" i="1"/>
  <c r="M1209" i="1" s="1"/>
  <c r="N1209" i="1" s="1"/>
  <c r="Q1209" i="1" s="1"/>
  <c r="E1209" i="1"/>
  <c r="D1209" i="1"/>
  <c r="P1208" i="1"/>
  <c r="L1208" i="1"/>
  <c r="M1208" i="1" s="1"/>
  <c r="N1208" i="1" s="1"/>
  <c r="Q1208" i="1" s="1"/>
  <c r="R1208" i="1" s="1"/>
  <c r="S1208" i="1" s="1"/>
  <c r="T1208" i="1" s="1"/>
  <c r="K1208" i="1"/>
  <c r="E1208" i="1"/>
  <c r="D1208" i="1"/>
  <c r="P1207" i="1"/>
  <c r="L1207" i="1"/>
  <c r="K1207" i="1"/>
  <c r="E1207" i="1"/>
  <c r="D1207" i="1"/>
  <c r="F1207" i="1" s="1"/>
  <c r="P1206" i="1"/>
  <c r="L1206" i="1"/>
  <c r="K1206" i="1"/>
  <c r="E1206" i="1"/>
  <c r="D1206" i="1"/>
  <c r="P1205" i="1"/>
  <c r="L1205" i="1"/>
  <c r="K1205" i="1"/>
  <c r="E1205" i="1"/>
  <c r="D1205" i="1"/>
  <c r="P1204" i="1"/>
  <c r="L1204" i="1"/>
  <c r="K1204" i="1"/>
  <c r="E1204" i="1"/>
  <c r="D1204" i="1"/>
  <c r="P1203" i="1"/>
  <c r="L1203" i="1"/>
  <c r="K1203" i="1"/>
  <c r="E1203" i="1"/>
  <c r="D1203" i="1"/>
  <c r="P1202" i="1"/>
  <c r="L1202" i="1"/>
  <c r="K1202" i="1"/>
  <c r="E1202" i="1"/>
  <c r="D1202" i="1"/>
  <c r="P1201" i="1"/>
  <c r="L1201" i="1"/>
  <c r="K1201" i="1"/>
  <c r="M1201" i="1" s="1"/>
  <c r="N1201" i="1" s="1"/>
  <c r="Q1201" i="1" s="1"/>
  <c r="E1201" i="1"/>
  <c r="D1201" i="1"/>
  <c r="P1200" i="1"/>
  <c r="L1200" i="1"/>
  <c r="K1200" i="1"/>
  <c r="E1200" i="1"/>
  <c r="D1200" i="1"/>
  <c r="P1199" i="1"/>
  <c r="L1199" i="1"/>
  <c r="K1199" i="1"/>
  <c r="E1199" i="1"/>
  <c r="D1199" i="1"/>
  <c r="F1199" i="1" s="1"/>
  <c r="P1198" i="1"/>
  <c r="L1198" i="1"/>
  <c r="K1198" i="1"/>
  <c r="M1198" i="1" s="1"/>
  <c r="N1198" i="1" s="1"/>
  <c r="Q1198" i="1" s="1"/>
  <c r="R1198" i="1" s="1"/>
  <c r="S1198" i="1" s="1"/>
  <c r="T1198" i="1" s="1"/>
  <c r="E1198" i="1"/>
  <c r="D1198" i="1"/>
  <c r="F1198" i="1" s="1"/>
  <c r="P1197" i="1"/>
  <c r="L1197" i="1"/>
  <c r="K1197" i="1"/>
  <c r="E1197" i="1"/>
  <c r="D1197" i="1"/>
  <c r="P1196" i="1"/>
  <c r="L1196" i="1"/>
  <c r="K1196" i="1"/>
  <c r="E1196" i="1"/>
  <c r="D1196" i="1"/>
  <c r="P1195" i="1"/>
  <c r="L1195" i="1"/>
  <c r="M1195" i="1" s="1"/>
  <c r="N1195" i="1" s="1"/>
  <c r="Q1195" i="1" s="1"/>
  <c r="R1195" i="1" s="1"/>
  <c r="S1195" i="1" s="1"/>
  <c r="T1195" i="1" s="1"/>
  <c r="K1195" i="1"/>
  <c r="E1195" i="1"/>
  <c r="D1195" i="1"/>
  <c r="P1194" i="1"/>
  <c r="L1194" i="1"/>
  <c r="K1194" i="1"/>
  <c r="M1194" i="1" s="1"/>
  <c r="N1194" i="1" s="1"/>
  <c r="Q1194" i="1" s="1"/>
  <c r="E1194" i="1"/>
  <c r="D1194" i="1"/>
  <c r="P1193" i="1"/>
  <c r="L1193" i="1"/>
  <c r="K1193" i="1"/>
  <c r="E1193" i="1"/>
  <c r="D1193" i="1"/>
  <c r="P1192" i="1"/>
  <c r="L1192" i="1"/>
  <c r="K1192" i="1"/>
  <c r="E1192" i="1"/>
  <c r="D1192" i="1"/>
  <c r="P1191" i="1"/>
  <c r="L1191" i="1"/>
  <c r="K1191" i="1"/>
  <c r="E1191" i="1"/>
  <c r="F1191" i="1" s="1"/>
  <c r="D1191" i="1"/>
  <c r="P1190" i="1"/>
  <c r="L1190" i="1"/>
  <c r="K1190" i="1"/>
  <c r="E1190" i="1"/>
  <c r="D1190" i="1"/>
  <c r="P1189" i="1"/>
  <c r="L1189" i="1"/>
  <c r="M1189" i="1" s="1"/>
  <c r="N1189" i="1" s="1"/>
  <c r="Q1189" i="1" s="1"/>
  <c r="K1189" i="1"/>
  <c r="E1189" i="1"/>
  <c r="D1189" i="1"/>
  <c r="P1188" i="1"/>
  <c r="L1188" i="1"/>
  <c r="K1188" i="1"/>
  <c r="E1188" i="1"/>
  <c r="D1188" i="1"/>
  <c r="P1187" i="1"/>
  <c r="L1187" i="1"/>
  <c r="K1187" i="1"/>
  <c r="E1187" i="1"/>
  <c r="D1187" i="1"/>
  <c r="F1187" i="1" s="1"/>
  <c r="P1186" i="1"/>
  <c r="L1186" i="1"/>
  <c r="K1186" i="1"/>
  <c r="E1186" i="1"/>
  <c r="D1186" i="1"/>
  <c r="P1185" i="1"/>
  <c r="L1185" i="1"/>
  <c r="K1185" i="1"/>
  <c r="E1185" i="1"/>
  <c r="D1185" i="1"/>
  <c r="P1184" i="1"/>
  <c r="L1184" i="1"/>
  <c r="K1184" i="1"/>
  <c r="M1184" i="1" s="1"/>
  <c r="N1184" i="1" s="1"/>
  <c r="Q1184" i="1" s="1"/>
  <c r="E1184" i="1"/>
  <c r="D1184" i="1"/>
  <c r="P1183" i="1"/>
  <c r="L1183" i="1"/>
  <c r="M1183" i="1" s="1"/>
  <c r="N1183" i="1" s="1"/>
  <c r="Q1183" i="1" s="1"/>
  <c r="R1183" i="1" s="1"/>
  <c r="S1183" i="1" s="1"/>
  <c r="T1183" i="1" s="1"/>
  <c r="K1183" i="1"/>
  <c r="E1183" i="1"/>
  <c r="D1183" i="1"/>
  <c r="P1182" i="1"/>
  <c r="L1182" i="1"/>
  <c r="K1182" i="1"/>
  <c r="E1182" i="1"/>
  <c r="D1182" i="1"/>
  <c r="F1182" i="1" s="1"/>
  <c r="P1181" i="1"/>
  <c r="L1181" i="1"/>
  <c r="K1181" i="1"/>
  <c r="E1181" i="1"/>
  <c r="D1181" i="1"/>
  <c r="P1180" i="1"/>
  <c r="L1180" i="1"/>
  <c r="K1180" i="1"/>
  <c r="E1180" i="1"/>
  <c r="D1180" i="1"/>
  <c r="P1179" i="1"/>
  <c r="L1179" i="1"/>
  <c r="K1179" i="1"/>
  <c r="E1179" i="1"/>
  <c r="D1179" i="1"/>
  <c r="F1179" i="1" s="1"/>
  <c r="P1178" i="1"/>
  <c r="L1178" i="1"/>
  <c r="K1178" i="1"/>
  <c r="E1178" i="1"/>
  <c r="D1178" i="1"/>
  <c r="F1178" i="1" s="1"/>
  <c r="P1177" i="1"/>
  <c r="L1177" i="1"/>
  <c r="K1177" i="1"/>
  <c r="E1177" i="1"/>
  <c r="D1177" i="1"/>
  <c r="P1176" i="1"/>
  <c r="L1176" i="1"/>
  <c r="K1176" i="1"/>
  <c r="E1176" i="1"/>
  <c r="D1176" i="1"/>
  <c r="P1175" i="1"/>
  <c r="L1175" i="1"/>
  <c r="K1175" i="1"/>
  <c r="E1175" i="1"/>
  <c r="D1175" i="1"/>
  <c r="P1174" i="1"/>
  <c r="L1174" i="1"/>
  <c r="K1174" i="1"/>
  <c r="M1174" i="1" s="1"/>
  <c r="N1174" i="1" s="1"/>
  <c r="Q1174" i="1" s="1"/>
  <c r="E1174" i="1"/>
  <c r="D1174" i="1"/>
  <c r="P1173" i="1"/>
  <c r="L1173" i="1"/>
  <c r="K1173" i="1"/>
  <c r="E1173" i="1"/>
  <c r="F1173" i="1" s="1"/>
  <c r="D1173" i="1"/>
  <c r="P1172" i="1"/>
  <c r="L1172" i="1"/>
  <c r="K1172" i="1"/>
  <c r="E1172" i="1"/>
  <c r="D1172" i="1"/>
  <c r="P1171" i="1"/>
  <c r="L1171" i="1"/>
  <c r="K1171" i="1"/>
  <c r="E1171" i="1"/>
  <c r="D1171" i="1"/>
  <c r="P1170" i="1"/>
  <c r="L1170" i="1"/>
  <c r="K1170" i="1"/>
  <c r="M1170" i="1" s="1"/>
  <c r="N1170" i="1" s="1"/>
  <c r="Q1170" i="1" s="1"/>
  <c r="E1170" i="1"/>
  <c r="D1170" i="1"/>
  <c r="P1169" i="1"/>
  <c r="L1169" i="1"/>
  <c r="K1169" i="1"/>
  <c r="E1169" i="1"/>
  <c r="D1169" i="1"/>
  <c r="P1168" i="1"/>
  <c r="L1168" i="1"/>
  <c r="K1168" i="1"/>
  <c r="E1168" i="1"/>
  <c r="D1168" i="1"/>
  <c r="P1167" i="1"/>
  <c r="L1167" i="1"/>
  <c r="K1167" i="1"/>
  <c r="E1167" i="1"/>
  <c r="D1167" i="1"/>
  <c r="P1166" i="1"/>
  <c r="L1166" i="1"/>
  <c r="K1166" i="1"/>
  <c r="E1166" i="1"/>
  <c r="D1166" i="1"/>
  <c r="P1165" i="1"/>
  <c r="L1165" i="1"/>
  <c r="K1165" i="1"/>
  <c r="E1165" i="1"/>
  <c r="D1165" i="1"/>
  <c r="P1164" i="1"/>
  <c r="L1164" i="1"/>
  <c r="K1164" i="1"/>
  <c r="E1164" i="1"/>
  <c r="D1164" i="1"/>
  <c r="L1163" i="1"/>
  <c r="K1163" i="1"/>
  <c r="M1163" i="1" s="1"/>
  <c r="N1163" i="1" s="1"/>
  <c r="Q1163" i="1" s="1"/>
  <c r="R1163" i="1" s="1"/>
  <c r="S1163" i="1" s="1"/>
  <c r="T1163" i="1" s="1"/>
  <c r="E1163" i="1"/>
  <c r="F1163" i="1" s="1"/>
  <c r="D1163" i="1"/>
  <c r="P1162" i="1"/>
  <c r="L1162" i="1"/>
  <c r="K1162" i="1"/>
  <c r="E1162" i="1"/>
  <c r="D1162" i="1"/>
  <c r="P1161" i="1"/>
  <c r="L1161" i="1"/>
  <c r="K1161" i="1"/>
  <c r="E1161" i="1"/>
  <c r="D1161" i="1"/>
  <c r="P1160" i="1"/>
  <c r="L1160" i="1"/>
  <c r="K1160" i="1"/>
  <c r="E1160" i="1"/>
  <c r="D1160" i="1"/>
  <c r="P1159" i="1"/>
  <c r="L1159" i="1"/>
  <c r="K1159" i="1"/>
  <c r="E1159" i="1"/>
  <c r="D1159" i="1"/>
  <c r="P1158" i="1"/>
  <c r="L1158" i="1"/>
  <c r="K1158" i="1"/>
  <c r="E1158" i="1"/>
  <c r="D1158" i="1"/>
  <c r="F1158" i="1" s="1"/>
  <c r="P1157" i="1"/>
  <c r="L1157" i="1"/>
  <c r="K1157" i="1"/>
  <c r="E1157" i="1"/>
  <c r="D1157" i="1"/>
  <c r="F1157" i="1" s="1"/>
  <c r="P1156" i="1"/>
  <c r="L1156" i="1"/>
  <c r="K1156" i="1"/>
  <c r="E1156" i="1"/>
  <c r="F1156" i="1" s="1"/>
  <c r="D1156" i="1"/>
  <c r="P1155" i="1"/>
  <c r="L1155" i="1"/>
  <c r="K1155" i="1"/>
  <c r="E1155" i="1"/>
  <c r="D1155" i="1"/>
  <c r="F1155" i="1" s="1"/>
  <c r="P1154" i="1"/>
  <c r="L1154" i="1"/>
  <c r="K1154" i="1"/>
  <c r="E1154" i="1"/>
  <c r="D1154" i="1"/>
  <c r="P1153" i="1"/>
  <c r="L1153" i="1"/>
  <c r="K1153" i="1"/>
  <c r="M1153" i="1" s="1"/>
  <c r="N1153" i="1" s="1"/>
  <c r="Q1153" i="1" s="1"/>
  <c r="E1153" i="1"/>
  <c r="D1153" i="1"/>
  <c r="P1152" i="1"/>
  <c r="L1152" i="1"/>
  <c r="K1152" i="1"/>
  <c r="E1152" i="1"/>
  <c r="D1152" i="1"/>
  <c r="P1151" i="1"/>
  <c r="L1151" i="1"/>
  <c r="K1151" i="1"/>
  <c r="E1151" i="1"/>
  <c r="D1151" i="1"/>
  <c r="F1151" i="1" s="1"/>
  <c r="P1150" i="1"/>
  <c r="L1150" i="1"/>
  <c r="K1150" i="1"/>
  <c r="E1150" i="1"/>
  <c r="D1150" i="1"/>
  <c r="P1149" i="1"/>
  <c r="L1149" i="1"/>
  <c r="K1149" i="1"/>
  <c r="E1149" i="1"/>
  <c r="D1149" i="1"/>
  <c r="P1148" i="1"/>
  <c r="L1148" i="1"/>
  <c r="K1148" i="1"/>
  <c r="E1148" i="1"/>
  <c r="D1148" i="1"/>
  <c r="P1147" i="1"/>
  <c r="L1147" i="1"/>
  <c r="K1147" i="1"/>
  <c r="E1147" i="1"/>
  <c r="D1147" i="1"/>
  <c r="F1147" i="1" s="1"/>
  <c r="P1146" i="1"/>
  <c r="L1146" i="1"/>
  <c r="K1146" i="1"/>
  <c r="E1146" i="1"/>
  <c r="D1146" i="1"/>
  <c r="P1145" i="1"/>
  <c r="L1145" i="1"/>
  <c r="K1145" i="1"/>
  <c r="E1145" i="1"/>
  <c r="D1145" i="1"/>
  <c r="F1145" i="1" s="1"/>
  <c r="P1144" i="1"/>
  <c r="L1144" i="1"/>
  <c r="K1144" i="1"/>
  <c r="E1144" i="1"/>
  <c r="D1144" i="1"/>
  <c r="P1143" i="1"/>
  <c r="L1143" i="1"/>
  <c r="K1143" i="1"/>
  <c r="E1143" i="1"/>
  <c r="D1143" i="1"/>
  <c r="P1142" i="1"/>
  <c r="L1142" i="1"/>
  <c r="K1142" i="1"/>
  <c r="E1142" i="1"/>
  <c r="D1142" i="1"/>
  <c r="P1141" i="1"/>
  <c r="L1141" i="1"/>
  <c r="K1141" i="1"/>
  <c r="E1141" i="1"/>
  <c r="D1141" i="1"/>
  <c r="F1141" i="1" s="1"/>
  <c r="P1140" i="1"/>
  <c r="L1140" i="1"/>
  <c r="K1140" i="1"/>
  <c r="E1140" i="1"/>
  <c r="D1140" i="1"/>
  <c r="P1139" i="1"/>
  <c r="L1139" i="1"/>
  <c r="K1139" i="1"/>
  <c r="M1139" i="1" s="1"/>
  <c r="N1139" i="1" s="1"/>
  <c r="Q1139" i="1" s="1"/>
  <c r="E1139" i="1"/>
  <c r="D1139" i="1"/>
  <c r="P1138" i="1"/>
  <c r="L1138" i="1"/>
  <c r="K1138" i="1"/>
  <c r="E1138" i="1"/>
  <c r="D1138" i="1"/>
  <c r="P1137" i="1"/>
  <c r="L1137" i="1"/>
  <c r="K1137" i="1"/>
  <c r="E1137" i="1"/>
  <c r="D1137" i="1"/>
  <c r="F1137" i="1" s="1"/>
  <c r="P1136" i="1"/>
  <c r="L1136" i="1"/>
  <c r="K1136" i="1"/>
  <c r="E1136" i="1"/>
  <c r="D1136" i="1"/>
  <c r="P1135" i="1"/>
  <c r="L1135" i="1"/>
  <c r="K1135" i="1"/>
  <c r="E1135" i="1"/>
  <c r="D1135" i="1"/>
  <c r="F1135" i="1" s="1"/>
  <c r="P1134" i="1"/>
  <c r="L1134" i="1"/>
  <c r="K1134" i="1"/>
  <c r="E1134" i="1"/>
  <c r="D1134" i="1"/>
  <c r="F1134" i="1" s="1"/>
  <c r="P1133" i="1"/>
  <c r="L1133" i="1"/>
  <c r="K1133" i="1"/>
  <c r="E1133" i="1"/>
  <c r="D1133" i="1"/>
  <c r="F1133" i="1" s="1"/>
  <c r="P1132" i="1"/>
  <c r="L1132" i="1"/>
  <c r="K1132" i="1"/>
  <c r="E1132" i="1"/>
  <c r="D1132" i="1"/>
  <c r="F1132" i="1" s="1"/>
  <c r="P1131" i="1"/>
  <c r="L1131" i="1"/>
  <c r="K1131" i="1"/>
  <c r="E1131" i="1"/>
  <c r="D1131" i="1"/>
  <c r="P1130" i="1"/>
  <c r="L1130" i="1"/>
  <c r="K1130" i="1"/>
  <c r="E1130" i="1"/>
  <c r="D1130" i="1"/>
  <c r="F1130" i="1" s="1"/>
  <c r="P1129" i="1"/>
  <c r="L1129" i="1"/>
  <c r="K1129" i="1"/>
  <c r="E1129" i="1"/>
  <c r="D1129" i="1"/>
  <c r="P1128" i="1"/>
  <c r="L1128" i="1"/>
  <c r="K1128" i="1"/>
  <c r="E1128" i="1"/>
  <c r="D1128" i="1"/>
  <c r="F1128" i="1" s="1"/>
  <c r="P1127" i="1"/>
  <c r="L1127" i="1"/>
  <c r="K1127" i="1"/>
  <c r="E1127" i="1"/>
  <c r="D1127" i="1"/>
  <c r="P1126" i="1"/>
  <c r="L1126" i="1"/>
  <c r="K1126" i="1"/>
  <c r="E1126" i="1"/>
  <c r="D1126" i="1"/>
  <c r="F1126" i="1" s="1"/>
  <c r="P1125" i="1"/>
  <c r="L1125" i="1"/>
  <c r="K1125" i="1"/>
  <c r="E1125" i="1"/>
  <c r="D1125" i="1"/>
  <c r="P1124" i="1"/>
  <c r="L1124" i="1"/>
  <c r="K1124" i="1"/>
  <c r="M1124" i="1" s="1"/>
  <c r="N1124" i="1" s="1"/>
  <c r="Q1124" i="1" s="1"/>
  <c r="E1124" i="1"/>
  <c r="D1124" i="1"/>
  <c r="P1123" i="1"/>
  <c r="L1123" i="1"/>
  <c r="K1123" i="1"/>
  <c r="E1123" i="1"/>
  <c r="D1123" i="1"/>
  <c r="F1123" i="1" s="1"/>
  <c r="P1122" i="1"/>
  <c r="L1122" i="1"/>
  <c r="K1122" i="1"/>
  <c r="E1122" i="1"/>
  <c r="D1122" i="1"/>
  <c r="P1121" i="1"/>
  <c r="L1121" i="1"/>
  <c r="K1121" i="1"/>
  <c r="M1121" i="1" s="1"/>
  <c r="N1121" i="1" s="1"/>
  <c r="Q1121" i="1" s="1"/>
  <c r="E1121" i="1"/>
  <c r="D1121" i="1"/>
  <c r="P1120" i="1"/>
  <c r="L1120" i="1"/>
  <c r="K1120" i="1"/>
  <c r="E1120" i="1"/>
  <c r="D1120" i="1"/>
  <c r="P1119" i="1"/>
  <c r="L1119" i="1"/>
  <c r="K1119" i="1"/>
  <c r="E1119" i="1"/>
  <c r="D1119" i="1"/>
  <c r="P1118" i="1"/>
  <c r="L1118" i="1"/>
  <c r="K1118" i="1"/>
  <c r="E1118" i="1"/>
  <c r="D1118" i="1"/>
  <c r="P1117" i="1"/>
  <c r="L1117" i="1"/>
  <c r="M1117" i="1" s="1"/>
  <c r="N1117" i="1" s="1"/>
  <c r="Q1117" i="1" s="1"/>
  <c r="R1117" i="1" s="1"/>
  <c r="S1117" i="1" s="1"/>
  <c r="T1117" i="1" s="1"/>
  <c r="K1117" i="1"/>
  <c r="E1117" i="1"/>
  <c r="D1117" i="1"/>
  <c r="P1116" i="1"/>
  <c r="L1116" i="1"/>
  <c r="K1116" i="1"/>
  <c r="E1116" i="1"/>
  <c r="D1116" i="1"/>
  <c r="F1116" i="1" s="1"/>
  <c r="P1115" i="1"/>
  <c r="L1115" i="1"/>
  <c r="M1115" i="1" s="1"/>
  <c r="N1115" i="1" s="1"/>
  <c r="Q1115" i="1" s="1"/>
  <c r="R1115" i="1" s="1"/>
  <c r="S1115" i="1" s="1"/>
  <c r="T1115" i="1" s="1"/>
  <c r="K1115" i="1"/>
  <c r="E1115" i="1"/>
  <c r="D1115" i="1"/>
  <c r="F1115" i="1" s="1"/>
  <c r="P1114" i="1"/>
  <c r="L1114" i="1"/>
  <c r="K1114" i="1"/>
  <c r="E1114" i="1"/>
  <c r="D1114" i="1"/>
  <c r="P1113" i="1"/>
  <c r="L1113" i="1"/>
  <c r="K1113" i="1"/>
  <c r="M1113" i="1" s="1"/>
  <c r="N1113" i="1" s="1"/>
  <c r="Q1113" i="1" s="1"/>
  <c r="R1113" i="1" s="1"/>
  <c r="S1113" i="1" s="1"/>
  <c r="T1113" i="1" s="1"/>
  <c r="E1113" i="1"/>
  <c r="D1113" i="1"/>
  <c r="P1112" i="1"/>
  <c r="L1112" i="1"/>
  <c r="K1112" i="1"/>
  <c r="E1112" i="1"/>
  <c r="D1112" i="1"/>
  <c r="P1111" i="1"/>
  <c r="L1111" i="1"/>
  <c r="K1111" i="1"/>
  <c r="E1111" i="1"/>
  <c r="D1111" i="1"/>
  <c r="P1110" i="1"/>
  <c r="L1110" i="1"/>
  <c r="K1110" i="1"/>
  <c r="E1110" i="1"/>
  <c r="D1110" i="1"/>
  <c r="P1109" i="1"/>
  <c r="L1109" i="1"/>
  <c r="K1109" i="1"/>
  <c r="E1109" i="1"/>
  <c r="D1109" i="1"/>
  <c r="P1108" i="1"/>
  <c r="L1108" i="1"/>
  <c r="K1108" i="1"/>
  <c r="E1108" i="1"/>
  <c r="D1108" i="1"/>
  <c r="P1107" i="1"/>
  <c r="L1107" i="1"/>
  <c r="K1107" i="1"/>
  <c r="E1107" i="1"/>
  <c r="D1107" i="1"/>
  <c r="F1107" i="1" s="1"/>
  <c r="P1106" i="1"/>
  <c r="L1106" i="1"/>
  <c r="K1106" i="1"/>
  <c r="M1106" i="1" s="1"/>
  <c r="N1106" i="1" s="1"/>
  <c r="Q1106" i="1" s="1"/>
  <c r="R1106" i="1" s="1"/>
  <c r="S1106" i="1" s="1"/>
  <c r="T1106" i="1" s="1"/>
  <c r="E1106" i="1"/>
  <c r="D1106" i="1"/>
  <c r="P1105" i="1"/>
  <c r="L1105" i="1"/>
  <c r="K1105" i="1"/>
  <c r="M1105" i="1" s="1"/>
  <c r="N1105" i="1" s="1"/>
  <c r="Q1105" i="1" s="1"/>
  <c r="R1105" i="1" s="1"/>
  <c r="S1105" i="1" s="1"/>
  <c r="T1105" i="1" s="1"/>
  <c r="E1105" i="1"/>
  <c r="D1105" i="1"/>
  <c r="P1104" i="1"/>
  <c r="L1104" i="1"/>
  <c r="K1104" i="1"/>
  <c r="E1104" i="1"/>
  <c r="D1104" i="1"/>
  <c r="P1103" i="1"/>
  <c r="L1103" i="1"/>
  <c r="K1103" i="1"/>
  <c r="E1103" i="1"/>
  <c r="D1103" i="1"/>
  <c r="P1102" i="1"/>
  <c r="L1102" i="1"/>
  <c r="K1102" i="1"/>
  <c r="E1102" i="1"/>
  <c r="D1102" i="1"/>
  <c r="P1101" i="1"/>
  <c r="L1101" i="1"/>
  <c r="K1101" i="1"/>
  <c r="E1101" i="1"/>
  <c r="D1101" i="1"/>
  <c r="P1100" i="1"/>
  <c r="L1100" i="1"/>
  <c r="K1100" i="1"/>
  <c r="E1100" i="1"/>
  <c r="D1100" i="1"/>
  <c r="P1099" i="1"/>
  <c r="L1099" i="1"/>
  <c r="K1099" i="1"/>
  <c r="E1099" i="1"/>
  <c r="D1099" i="1"/>
  <c r="P1098" i="1"/>
  <c r="L1098" i="1"/>
  <c r="K1098" i="1"/>
  <c r="M1098" i="1" s="1"/>
  <c r="N1098" i="1" s="1"/>
  <c r="Q1098" i="1" s="1"/>
  <c r="R1098" i="1" s="1"/>
  <c r="S1098" i="1" s="1"/>
  <c r="T1098" i="1" s="1"/>
  <c r="E1098" i="1"/>
  <c r="D1098" i="1"/>
  <c r="F1098" i="1" s="1"/>
  <c r="P1097" i="1"/>
  <c r="L1097" i="1"/>
  <c r="K1097" i="1"/>
  <c r="M1097" i="1" s="1"/>
  <c r="N1097" i="1" s="1"/>
  <c r="Q1097" i="1" s="1"/>
  <c r="R1097" i="1" s="1"/>
  <c r="S1097" i="1" s="1"/>
  <c r="T1097" i="1" s="1"/>
  <c r="E1097" i="1"/>
  <c r="D1097" i="1"/>
  <c r="P1096" i="1"/>
  <c r="L1096" i="1"/>
  <c r="K1096" i="1"/>
  <c r="E1096" i="1"/>
  <c r="D1096" i="1"/>
  <c r="P1095" i="1"/>
  <c r="L1095" i="1"/>
  <c r="K1095" i="1"/>
  <c r="E1095" i="1"/>
  <c r="D1095" i="1"/>
  <c r="P1094" i="1"/>
  <c r="L1094" i="1"/>
  <c r="K1094" i="1"/>
  <c r="E1094" i="1"/>
  <c r="D1094" i="1"/>
  <c r="P1093" i="1"/>
  <c r="L1093" i="1"/>
  <c r="K1093" i="1"/>
  <c r="E1093" i="1"/>
  <c r="D1093" i="1"/>
  <c r="P1092" i="1"/>
  <c r="L1092" i="1"/>
  <c r="K1092" i="1"/>
  <c r="E1092" i="1"/>
  <c r="D1092" i="1"/>
  <c r="P1091" i="1"/>
  <c r="L1091" i="1"/>
  <c r="K1091" i="1"/>
  <c r="E1091" i="1"/>
  <c r="D1091" i="1"/>
  <c r="F1091" i="1" s="1"/>
  <c r="P1090" i="1"/>
  <c r="L1090" i="1"/>
  <c r="K1090" i="1"/>
  <c r="E1090" i="1"/>
  <c r="D1090" i="1"/>
  <c r="P1089" i="1"/>
  <c r="L1089" i="1"/>
  <c r="K1089" i="1"/>
  <c r="E1089" i="1"/>
  <c r="D1089" i="1"/>
  <c r="P1088" i="1"/>
  <c r="L1088" i="1"/>
  <c r="K1088" i="1"/>
  <c r="E1088" i="1"/>
  <c r="D1088" i="1"/>
  <c r="P1087" i="1"/>
  <c r="L1087" i="1"/>
  <c r="K1087" i="1"/>
  <c r="E1087" i="1"/>
  <c r="D1087" i="1"/>
  <c r="P1086" i="1"/>
  <c r="L1086" i="1"/>
  <c r="K1086" i="1"/>
  <c r="E1086" i="1"/>
  <c r="D1086" i="1"/>
  <c r="P1085" i="1"/>
  <c r="L1085" i="1"/>
  <c r="K1085" i="1"/>
  <c r="E1085" i="1"/>
  <c r="D1085" i="1"/>
  <c r="P1084" i="1"/>
  <c r="L1084" i="1"/>
  <c r="K1084" i="1"/>
  <c r="M1084" i="1" s="1"/>
  <c r="N1084" i="1" s="1"/>
  <c r="Q1084" i="1" s="1"/>
  <c r="R1084" i="1" s="1"/>
  <c r="S1084" i="1" s="1"/>
  <c r="T1084" i="1" s="1"/>
  <c r="E1084" i="1"/>
  <c r="D1084" i="1"/>
  <c r="P1083" i="1"/>
  <c r="L1083" i="1"/>
  <c r="M1083" i="1" s="1"/>
  <c r="N1083" i="1" s="1"/>
  <c r="Q1083" i="1" s="1"/>
  <c r="R1083" i="1" s="1"/>
  <c r="S1083" i="1" s="1"/>
  <c r="T1083" i="1" s="1"/>
  <c r="K1083" i="1"/>
  <c r="E1083" i="1"/>
  <c r="D1083" i="1"/>
  <c r="P1082" i="1"/>
  <c r="L1082" i="1"/>
  <c r="K1082" i="1"/>
  <c r="M1082" i="1" s="1"/>
  <c r="N1082" i="1" s="1"/>
  <c r="Q1082" i="1" s="1"/>
  <c r="E1082" i="1"/>
  <c r="D1082" i="1"/>
  <c r="P1081" i="1"/>
  <c r="L1081" i="1"/>
  <c r="K1081" i="1"/>
  <c r="M1081" i="1" s="1"/>
  <c r="N1081" i="1" s="1"/>
  <c r="Q1081" i="1" s="1"/>
  <c r="R1081" i="1" s="1"/>
  <c r="S1081" i="1" s="1"/>
  <c r="T1081" i="1" s="1"/>
  <c r="E1081" i="1"/>
  <c r="D1081" i="1"/>
  <c r="P1080" i="1"/>
  <c r="L1080" i="1"/>
  <c r="K1080" i="1"/>
  <c r="E1080" i="1"/>
  <c r="D1080" i="1"/>
  <c r="P1079" i="1"/>
  <c r="L1079" i="1"/>
  <c r="K1079" i="1"/>
  <c r="E1079" i="1"/>
  <c r="D1079" i="1"/>
  <c r="P1078" i="1"/>
  <c r="L1078" i="1"/>
  <c r="K1078" i="1"/>
  <c r="E1078" i="1"/>
  <c r="D1078" i="1"/>
  <c r="P1077" i="1"/>
  <c r="L1077" i="1"/>
  <c r="K1077" i="1"/>
  <c r="E1077" i="1"/>
  <c r="D1077" i="1"/>
  <c r="P1076" i="1"/>
  <c r="L1076" i="1"/>
  <c r="K1076" i="1"/>
  <c r="E1076" i="1"/>
  <c r="D1076" i="1"/>
  <c r="P1075" i="1"/>
  <c r="L1075" i="1"/>
  <c r="K1075" i="1"/>
  <c r="E1075" i="1"/>
  <c r="D1075" i="1"/>
  <c r="P1074" i="1"/>
  <c r="L1074" i="1"/>
  <c r="K1074" i="1"/>
  <c r="E1074" i="1"/>
  <c r="D1074" i="1"/>
  <c r="P1073" i="1"/>
  <c r="L1073" i="1"/>
  <c r="K1073" i="1"/>
  <c r="E1073" i="1"/>
  <c r="D1073" i="1"/>
  <c r="P1072" i="1"/>
  <c r="L1072" i="1"/>
  <c r="K1072" i="1"/>
  <c r="E1072" i="1"/>
  <c r="D1072" i="1"/>
  <c r="P1071" i="1"/>
  <c r="L1071" i="1"/>
  <c r="K1071" i="1"/>
  <c r="E1071" i="1"/>
  <c r="D1071" i="1"/>
  <c r="P1070" i="1"/>
  <c r="L1070" i="1"/>
  <c r="K1070" i="1"/>
  <c r="E1070" i="1"/>
  <c r="D1070" i="1"/>
  <c r="P1069" i="1"/>
  <c r="L1069" i="1"/>
  <c r="K1069" i="1"/>
  <c r="E1069" i="1"/>
  <c r="D1069" i="1"/>
  <c r="P1068" i="1"/>
  <c r="L1068" i="1"/>
  <c r="K1068" i="1"/>
  <c r="M1068" i="1" s="1"/>
  <c r="N1068" i="1" s="1"/>
  <c r="Q1068" i="1" s="1"/>
  <c r="R1068" i="1" s="1"/>
  <c r="S1068" i="1" s="1"/>
  <c r="T1068" i="1" s="1"/>
  <c r="E1068" i="1"/>
  <c r="D1068" i="1"/>
  <c r="P1067" i="1"/>
  <c r="L1067" i="1"/>
  <c r="M1067" i="1" s="1"/>
  <c r="N1067" i="1" s="1"/>
  <c r="Q1067" i="1" s="1"/>
  <c r="K1067" i="1"/>
  <c r="E1067" i="1"/>
  <c r="D1067" i="1"/>
  <c r="P1066" i="1"/>
  <c r="L1066" i="1"/>
  <c r="K1066" i="1"/>
  <c r="M1066" i="1" s="1"/>
  <c r="N1066" i="1" s="1"/>
  <c r="Q1066" i="1" s="1"/>
  <c r="E1066" i="1"/>
  <c r="D1066" i="1"/>
  <c r="P1065" i="1"/>
  <c r="L1065" i="1"/>
  <c r="K1065" i="1"/>
  <c r="E1065" i="1"/>
  <c r="D1065" i="1"/>
  <c r="P1064" i="1"/>
  <c r="L1064" i="1"/>
  <c r="K1064" i="1"/>
  <c r="E1064" i="1"/>
  <c r="D1064" i="1"/>
  <c r="P1063" i="1"/>
  <c r="L1063" i="1"/>
  <c r="K1063" i="1"/>
  <c r="E1063" i="1"/>
  <c r="F1063" i="1" s="1"/>
  <c r="D1063" i="1"/>
  <c r="P1062" i="1"/>
  <c r="L1062" i="1"/>
  <c r="K1062" i="1"/>
  <c r="M1062" i="1" s="1"/>
  <c r="N1062" i="1" s="1"/>
  <c r="Q1062" i="1" s="1"/>
  <c r="R1062" i="1" s="1"/>
  <c r="S1062" i="1" s="1"/>
  <c r="T1062" i="1" s="1"/>
  <c r="E1062" i="1"/>
  <c r="D1062" i="1"/>
  <c r="F1062" i="1" s="1"/>
  <c r="P1061" i="1"/>
  <c r="L1061" i="1"/>
  <c r="K1061" i="1"/>
  <c r="E1061" i="1"/>
  <c r="D1061" i="1"/>
  <c r="F1061" i="1" s="1"/>
  <c r="P1060" i="1"/>
  <c r="L1060" i="1"/>
  <c r="K1060" i="1"/>
  <c r="E1060" i="1"/>
  <c r="D1060" i="1"/>
  <c r="F1060" i="1" s="1"/>
  <c r="P1059" i="1"/>
  <c r="L1059" i="1"/>
  <c r="K1059" i="1"/>
  <c r="E1059" i="1"/>
  <c r="D1059" i="1"/>
  <c r="F1059" i="1" s="1"/>
  <c r="P1058" i="1"/>
  <c r="L1058" i="1"/>
  <c r="K1058" i="1"/>
  <c r="M1058" i="1" s="1"/>
  <c r="N1058" i="1" s="1"/>
  <c r="Q1058" i="1" s="1"/>
  <c r="E1058" i="1"/>
  <c r="D1058" i="1"/>
  <c r="F1058" i="1" s="1"/>
  <c r="P1057" i="1"/>
  <c r="L1057" i="1"/>
  <c r="K1057" i="1"/>
  <c r="E1057" i="1"/>
  <c r="D1057" i="1"/>
  <c r="P1056" i="1"/>
  <c r="L1056" i="1"/>
  <c r="K1056" i="1"/>
  <c r="M1056" i="1" s="1"/>
  <c r="N1056" i="1" s="1"/>
  <c r="Q1056" i="1" s="1"/>
  <c r="E1056" i="1"/>
  <c r="D1056" i="1"/>
  <c r="F1056" i="1" s="1"/>
  <c r="P1055" i="1"/>
  <c r="L1055" i="1"/>
  <c r="K1055" i="1"/>
  <c r="F1055" i="1"/>
  <c r="E1055" i="1"/>
  <c r="D1055" i="1"/>
  <c r="P1054" i="1"/>
  <c r="L1054" i="1"/>
  <c r="K1054" i="1"/>
  <c r="E1054" i="1"/>
  <c r="D1054" i="1"/>
  <c r="P1053" i="1"/>
  <c r="L1053" i="1"/>
  <c r="K1053" i="1"/>
  <c r="E1053" i="1"/>
  <c r="D1053" i="1"/>
  <c r="P1052" i="1"/>
  <c r="M1052" i="1"/>
  <c r="N1052" i="1" s="1"/>
  <c r="Q1052" i="1" s="1"/>
  <c r="R1052" i="1" s="1"/>
  <c r="S1052" i="1" s="1"/>
  <c r="T1052" i="1" s="1"/>
  <c r="L1052" i="1"/>
  <c r="K1052" i="1"/>
  <c r="E1052" i="1"/>
  <c r="D1052" i="1"/>
  <c r="F1052" i="1" s="1"/>
  <c r="P1051" i="1"/>
  <c r="L1051" i="1"/>
  <c r="K1051" i="1"/>
  <c r="E1051" i="1"/>
  <c r="D1051" i="1"/>
  <c r="P1050" i="1"/>
  <c r="L1050" i="1"/>
  <c r="K1050" i="1"/>
  <c r="M1050" i="1" s="1"/>
  <c r="N1050" i="1" s="1"/>
  <c r="Q1050" i="1" s="1"/>
  <c r="E1050" i="1"/>
  <c r="D1050" i="1"/>
  <c r="P1049" i="1"/>
  <c r="L1049" i="1"/>
  <c r="M1049" i="1" s="1"/>
  <c r="N1049" i="1" s="1"/>
  <c r="Q1049" i="1" s="1"/>
  <c r="R1049" i="1" s="1"/>
  <c r="S1049" i="1" s="1"/>
  <c r="T1049" i="1" s="1"/>
  <c r="K1049" i="1"/>
  <c r="E1049" i="1"/>
  <c r="D1049" i="1"/>
  <c r="P1048" i="1"/>
  <c r="L1048" i="1"/>
  <c r="K1048" i="1"/>
  <c r="E1048" i="1"/>
  <c r="D1048" i="1"/>
  <c r="F1048" i="1" s="1"/>
  <c r="P1047" i="1"/>
  <c r="L1047" i="1"/>
  <c r="K1047" i="1"/>
  <c r="E1047" i="1"/>
  <c r="F1047" i="1" s="1"/>
  <c r="D1047" i="1"/>
  <c r="P1046" i="1"/>
  <c r="L1046" i="1"/>
  <c r="K1046" i="1"/>
  <c r="E1046" i="1"/>
  <c r="D1046" i="1"/>
  <c r="P1045" i="1"/>
  <c r="L1045" i="1"/>
  <c r="K1045" i="1"/>
  <c r="E1045" i="1"/>
  <c r="D1045" i="1"/>
  <c r="F1045" i="1" s="1"/>
  <c r="P1044" i="1"/>
  <c r="L1044" i="1"/>
  <c r="K1044" i="1"/>
  <c r="E1044" i="1"/>
  <c r="D1044" i="1"/>
  <c r="P1043" i="1"/>
  <c r="L1043" i="1"/>
  <c r="K1043" i="1"/>
  <c r="E1043" i="1"/>
  <c r="D1043" i="1"/>
  <c r="P1042" i="1"/>
  <c r="L1042" i="1"/>
  <c r="K1042" i="1"/>
  <c r="M1042" i="1" s="1"/>
  <c r="N1042" i="1" s="1"/>
  <c r="Q1042" i="1" s="1"/>
  <c r="R1042" i="1" s="1"/>
  <c r="S1042" i="1" s="1"/>
  <c r="T1042" i="1" s="1"/>
  <c r="E1042" i="1"/>
  <c r="D1042" i="1"/>
  <c r="P1041" i="1"/>
  <c r="L1041" i="1"/>
  <c r="K1041" i="1"/>
  <c r="E1041" i="1"/>
  <c r="D1041" i="1"/>
  <c r="P1040" i="1"/>
  <c r="L1040" i="1"/>
  <c r="K1040" i="1"/>
  <c r="E1040" i="1"/>
  <c r="D1040" i="1"/>
  <c r="P1039" i="1"/>
  <c r="L1039" i="1"/>
  <c r="K1039" i="1"/>
  <c r="E1039" i="1"/>
  <c r="D1039" i="1"/>
  <c r="F1039" i="1" s="1"/>
  <c r="P1038" i="1"/>
  <c r="L1038" i="1"/>
  <c r="K1038" i="1"/>
  <c r="E1038" i="1"/>
  <c r="D1038" i="1"/>
  <c r="P1037" i="1"/>
  <c r="L1037" i="1"/>
  <c r="K1037" i="1"/>
  <c r="M1037" i="1" s="1"/>
  <c r="N1037" i="1" s="1"/>
  <c r="Q1037" i="1" s="1"/>
  <c r="R1037" i="1" s="1"/>
  <c r="S1037" i="1" s="1"/>
  <c r="T1037" i="1" s="1"/>
  <c r="E1037" i="1"/>
  <c r="D1037" i="1"/>
  <c r="P1036" i="1"/>
  <c r="L1036" i="1"/>
  <c r="K1036" i="1"/>
  <c r="E1036" i="1"/>
  <c r="D1036" i="1"/>
  <c r="P1035" i="1"/>
  <c r="L1035" i="1"/>
  <c r="K1035" i="1"/>
  <c r="M1035" i="1" s="1"/>
  <c r="N1035" i="1" s="1"/>
  <c r="Q1035" i="1" s="1"/>
  <c r="E1035" i="1"/>
  <c r="D1035" i="1"/>
  <c r="F1035" i="1" s="1"/>
  <c r="P1034" i="1"/>
  <c r="L1034" i="1"/>
  <c r="K1034" i="1"/>
  <c r="E1034" i="1"/>
  <c r="D1034" i="1"/>
  <c r="F1034" i="1" s="1"/>
  <c r="P1033" i="1"/>
  <c r="L1033" i="1"/>
  <c r="K1033" i="1"/>
  <c r="E1033" i="1"/>
  <c r="D1033" i="1"/>
  <c r="P1032" i="1"/>
  <c r="L1032" i="1"/>
  <c r="K1032" i="1"/>
  <c r="E1032" i="1"/>
  <c r="D1032" i="1"/>
  <c r="P1031" i="1"/>
  <c r="L1031" i="1"/>
  <c r="K1031" i="1"/>
  <c r="E1031" i="1"/>
  <c r="D1031" i="1"/>
  <c r="P1030" i="1"/>
  <c r="L1030" i="1"/>
  <c r="K1030" i="1"/>
  <c r="E1030" i="1"/>
  <c r="D1030" i="1"/>
  <c r="P1029" i="1"/>
  <c r="L1029" i="1"/>
  <c r="K1029" i="1"/>
  <c r="E1029" i="1"/>
  <c r="D1029" i="1"/>
  <c r="F1029" i="1" s="1"/>
  <c r="P1028" i="1"/>
  <c r="L1028" i="1"/>
  <c r="K1028" i="1"/>
  <c r="E1028" i="1"/>
  <c r="D1028" i="1"/>
  <c r="P1027" i="1"/>
  <c r="L1027" i="1"/>
  <c r="K1027" i="1"/>
  <c r="E1027" i="1"/>
  <c r="D1027" i="1"/>
  <c r="P1026" i="1"/>
  <c r="L1026" i="1"/>
  <c r="K1026" i="1"/>
  <c r="E1026" i="1"/>
  <c r="D1026" i="1"/>
  <c r="F1026" i="1" s="1"/>
  <c r="P1025" i="1"/>
  <c r="L1025" i="1"/>
  <c r="K1025" i="1"/>
  <c r="M1025" i="1" s="1"/>
  <c r="N1025" i="1" s="1"/>
  <c r="Q1025" i="1" s="1"/>
  <c r="E1025" i="1"/>
  <c r="D1025" i="1"/>
  <c r="F1025" i="1" s="1"/>
  <c r="P1024" i="1"/>
  <c r="L1024" i="1"/>
  <c r="K1024" i="1"/>
  <c r="E1024" i="1"/>
  <c r="D1024" i="1"/>
  <c r="F1024" i="1" s="1"/>
  <c r="P1023" i="1"/>
  <c r="L1023" i="1"/>
  <c r="K1023" i="1"/>
  <c r="E1023" i="1"/>
  <c r="D1023" i="1"/>
  <c r="F1023" i="1" s="1"/>
  <c r="P1022" i="1"/>
  <c r="L1022" i="1"/>
  <c r="K1022" i="1"/>
  <c r="E1022" i="1"/>
  <c r="D1022" i="1"/>
  <c r="P1021" i="1"/>
  <c r="L1021" i="1"/>
  <c r="K1021" i="1"/>
  <c r="M1021" i="1" s="1"/>
  <c r="N1021" i="1" s="1"/>
  <c r="Q1021" i="1" s="1"/>
  <c r="R1021" i="1" s="1"/>
  <c r="S1021" i="1" s="1"/>
  <c r="T1021" i="1" s="1"/>
  <c r="E1021" i="1"/>
  <c r="D1021" i="1"/>
  <c r="P1020" i="1"/>
  <c r="L1020" i="1"/>
  <c r="K1020" i="1"/>
  <c r="E1020" i="1"/>
  <c r="D1020" i="1"/>
  <c r="P1019" i="1"/>
  <c r="L1019" i="1"/>
  <c r="K1019" i="1"/>
  <c r="E1019" i="1"/>
  <c r="D1019" i="1"/>
  <c r="P1018" i="1"/>
  <c r="L1018" i="1"/>
  <c r="K1018" i="1"/>
  <c r="E1018" i="1"/>
  <c r="D1018" i="1"/>
  <c r="P1017" i="1"/>
  <c r="L1017" i="1"/>
  <c r="K1017" i="1"/>
  <c r="E1017" i="1"/>
  <c r="D1017" i="1"/>
  <c r="P1016" i="1"/>
  <c r="L1016" i="1"/>
  <c r="K1016" i="1"/>
  <c r="E1016" i="1"/>
  <c r="D1016" i="1"/>
  <c r="F1016" i="1" s="1"/>
  <c r="P1015" i="1"/>
  <c r="L1015" i="1"/>
  <c r="K1015" i="1"/>
  <c r="E1015" i="1"/>
  <c r="D1015" i="1"/>
  <c r="F1015" i="1" s="1"/>
  <c r="P1014" i="1"/>
  <c r="L1014" i="1"/>
  <c r="K1014" i="1"/>
  <c r="E1014" i="1"/>
  <c r="D1014" i="1"/>
  <c r="F1014" i="1" s="1"/>
  <c r="P1013" i="1"/>
  <c r="L1013" i="1"/>
  <c r="K1013" i="1"/>
  <c r="E1013" i="1"/>
  <c r="D1013" i="1"/>
  <c r="P1012" i="1"/>
  <c r="L1012" i="1"/>
  <c r="K1012" i="1"/>
  <c r="E1012" i="1"/>
  <c r="D1012" i="1"/>
  <c r="F1012" i="1" s="1"/>
  <c r="P1011" i="1"/>
  <c r="L1011" i="1"/>
  <c r="K1011" i="1"/>
  <c r="E1011" i="1"/>
  <c r="D1011" i="1"/>
  <c r="P1010" i="1"/>
  <c r="L1010" i="1"/>
  <c r="K1010" i="1"/>
  <c r="E1010" i="1"/>
  <c r="D1010" i="1"/>
  <c r="P1009" i="1"/>
  <c r="L1009" i="1"/>
  <c r="K1009" i="1"/>
  <c r="E1009" i="1"/>
  <c r="D1009" i="1"/>
  <c r="P1008" i="1"/>
  <c r="L1008" i="1"/>
  <c r="K1008" i="1"/>
  <c r="E1008" i="1"/>
  <c r="D1008" i="1"/>
  <c r="P1007" i="1"/>
  <c r="L1007" i="1"/>
  <c r="K1007" i="1"/>
  <c r="E1007" i="1"/>
  <c r="D1007" i="1"/>
  <c r="F1007" i="1" s="1"/>
  <c r="P1006" i="1"/>
  <c r="L1006" i="1"/>
  <c r="K1006" i="1"/>
  <c r="E1006" i="1"/>
  <c r="D1006" i="1"/>
  <c r="P1005" i="1"/>
  <c r="L1005" i="1"/>
  <c r="K1005" i="1"/>
  <c r="M1005" i="1" s="1"/>
  <c r="N1005" i="1" s="1"/>
  <c r="Q1005" i="1" s="1"/>
  <c r="R1005" i="1" s="1"/>
  <c r="S1005" i="1" s="1"/>
  <c r="T1005" i="1" s="1"/>
  <c r="E1005" i="1"/>
  <c r="D1005" i="1"/>
  <c r="P1004" i="1"/>
  <c r="L1004" i="1"/>
  <c r="K1004" i="1"/>
  <c r="E1004" i="1"/>
  <c r="D1004" i="1"/>
  <c r="F1004" i="1" s="1"/>
  <c r="P1003" i="1"/>
  <c r="L1003" i="1"/>
  <c r="K1003" i="1"/>
  <c r="E1003" i="1"/>
  <c r="D1003" i="1"/>
  <c r="P1002" i="1"/>
  <c r="L1002" i="1"/>
  <c r="K1002" i="1"/>
  <c r="M1002" i="1" s="1"/>
  <c r="N1002" i="1" s="1"/>
  <c r="Q1002" i="1" s="1"/>
  <c r="R1002" i="1" s="1"/>
  <c r="S1002" i="1" s="1"/>
  <c r="T1002" i="1" s="1"/>
  <c r="E1002" i="1"/>
  <c r="D1002" i="1"/>
  <c r="P1001" i="1"/>
  <c r="L1001" i="1"/>
  <c r="K1001" i="1"/>
  <c r="E1001" i="1"/>
  <c r="D1001" i="1"/>
  <c r="P1000" i="1"/>
  <c r="L1000" i="1"/>
  <c r="K1000" i="1"/>
  <c r="E1000" i="1"/>
  <c r="D1000" i="1"/>
  <c r="P999" i="1"/>
  <c r="L999" i="1"/>
  <c r="K999" i="1"/>
  <c r="E999" i="1"/>
  <c r="D999" i="1"/>
  <c r="F999" i="1" s="1"/>
  <c r="P998" i="1"/>
  <c r="L998" i="1"/>
  <c r="K998" i="1"/>
  <c r="E998" i="1"/>
  <c r="D998" i="1"/>
  <c r="P997" i="1"/>
  <c r="L997" i="1"/>
  <c r="K997" i="1"/>
  <c r="E997" i="1"/>
  <c r="D997" i="1"/>
  <c r="P996" i="1"/>
  <c r="L996" i="1"/>
  <c r="K996" i="1"/>
  <c r="E996" i="1"/>
  <c r="D996" i="1"/>
  <c r="P995" i="1"/>
  <c r="L995" i="1"/>
  <c r="K995" i="1"/>
  <c r="E995" i="1"/>
  <c r="D995" i="1"/>
  <c r="F995" i="1" s="1"/>
  <c r="P994" i="1"/>
  <c r="L994" i="1"/>
  <c r="K994" i="1"/>
  <c r="E994" i="1"/>
  <c r="D994" i="1"/>
  <c r="P993" i="1"/>
  <c r="L993" i="1"/>
  <c r="K993" i="1"/>
  <c r="E993" i="1"/>
  <c r="D993" i="1"/>
  <c r="P992" i="1"/>
  <c r="L992" i="1"/>
  <c r="K992" i="1"/>
  <c r="E992" i="1"/>
  <c r="D992" i="1"/>
  <c r="P991" i="1"/>
  <c r="L991" i="1"/>
  <c r="K991" i="1"/>
  <c r="E991" i="1"/>
  <c r="D991" i="1"/>
  <c r="F991" i="1" s="1"/>
  <c r="P990" i="1"/>
  <c r="L990" i="1"/>
  <c r="K990" i="1"/>
  <c r="E990" i="1"/>
  <c r="D990" i="1"/>
  <c r="P989" i="1"/>
  <c r="L989" i="1"/>
  <c r="K989" i="1"/>
  <c r="E989" i="1"/>
  <c r="D989" i="1"/>
  <c r="P988" i="1"/>
  <c r="L988" i="1"/>
  <c r="K988" i="1"/>
  <c r="M988" i="1" s="1"/>
  <c r="N988" i="1" s="1"/>
  <c r="Q988" i="1" s="1"/>
  <c r="R988" i="1" s="1"/>
  <c r="S988" i="1" s="1"/>
  <c r="T988" i="1" s="1"/>
  <c r="E988" i="1"/>
  <c r="D988" i="1"/>
  <c r="P987" i="1"/>
  <c r="L987" i="1"/>
  <c r="K987" i="1"/>
  <c r="M987" i="1" s="1"/>
  <c r="N987" i="1" s="1"/>
  <c r="Q987" i="1" s="1"/>
  <c r="E987" i="1"/>
  <c r="D987" i="1"/>
  <c r="F987" i="1" s="1"/>
  <c r="P986" i="1"/>
  <c r="L986" i="1"/>
  <c r="K986" i="1"/>
  <c r="M986" i="1" s="1"/>
  <c r="N986" i="1" s="1"/>
  <c r="Q986" i="1" s="1"/>
  <c r="R986" i="1" s="1"/>
  <c r="S986" i="1" s="1"/>
  <c r="T986" i="1" s="1"/>
  <c r="E986" i="1"/>
  <c r="D986" i="1"/>
  <c r="P985" i="1"/>
  <c r="L985" i="1"/>
  <c r="K985" i="1"/>
  <c r="E985" i="1"/>
  <c r="D985" i="1"/>
  <c r="P984" i="1"/>
  <c r="L984" i="1"/>
  <c r="K984" i="1"/>
  <c r="E984" i="1"/>
  <c r="D984" i="1"/>
  <c r="P983" i="1"/>
  <c r="L983" i="1"/>
  <c r="K983" i="1"/>
  <c r="M983" i="1" s="1"/>
  <c r="N983" i="1" s="1"/>
  <c r="Q983" i="1" s="1"/>
  <c r="E983" i="1"/>
  <c r="D983" i="1"/>
  <c r="P982" i="1"/>
  <c r="L982" i="1"/>
  <c r="K982" i="1"/>
  <c r="E982" i="1"/>
  <c r="D982" i="1"/>
  <c r="P981" i="1"/>
  <c r="L981" i="1"/>
  <c r="K981" i="1"/>
  <c r="E981" i="1"/>
  <c r="D981" i="1"/>
  <c r="P980" i="1"/>
  <c r="L980" i="1"/>
  <c r="K980" i="1"/>
  <c r="E980" i="1"/>
  <c r="D980" i="1"/>
  <c r="P979" i="1"/>
  <c r="L979" i="1"/>
  <c r="K979" i="1"/>
  <c r="E979" i="1"/>
  <c r="D979" i="1"/>
  <c r="P978" i="1"/>
  <c r="L978" i="1"/>
  <c r="K978" i="1"/>
  <c r="E978" i="1"/>
  <c r="D978" i="1"/>
  <c r="P977" i="1"/>
  <c r="L977" i="1"/>
  <c r="K977" i="1"/>
  <c r="E977" i="1"/>
  <c r="D977" i="1"/>
  <c r="P976" i="1"/>
  <c r="L976" i="1"/>
  <c r="K976" i="1"/>
  <c r="E976" i="1"/>
  <c r="D976" i="1"/>
  <c r="P975" i="1"/>
  <c r="L975" i="1"/>
  <c r="K975" i="1"/>
  <c r="E975" i="1"/>
  <c r="D975" i="1"/>
  <c r="P974" i="1"/>
  <c r="L974" i="1"/>
  <c r="K974" i="1"/>
  <c r="E974" i="1"/>
  <c r="D974" i="1"/>
  <c r="P973" i="1"/>
  <c r="L973" i="1"/>
  <c r="K973" i="1"/>
  <c r="E973" i="1"/>
  <c r="D973" i="1"/>
  <c r="F973" i="1" s="1"/>
  <c r="P972" i="1"/>
  <c r="L972" i="1"/>
  <c r="K972" i="1"/>
  <c r="M972" i="1" s="1"/>
  <c r="N972" i="1" s="1"/>
  <c r="Q972" i="1" s="1"/>
  <c r="E972" i="1"/>
  <c r="D972" i="1"/>
  <c r="P971" i="1"/>
  <c r="L971" i="1"/>
  <c r="K971" i="1"/>
  <c r="E971" i="1"/>
  <c r="D971" i="1"/>
  <c r="P970" i="1"/>
  <c r="L970" i="1"/>
  <c r="M970" i="1" s="1"/>
  <c r="N970" i="1" s="1"/>
  <c r="Q970" i="1" s="1"/>
  <c r="R970" i="1" s="1"/>
  <c r="S970" i="1" s="1"/>
  <c r="T970" i="1" s="1"/>
  <c r="K970" i="1"/>
  <c r="E970" i="1"/>
  <c r="D970" i="1"/>
  <c r="P969" i="1"/>
  <c r="L969" i="1"/>
  <c r="K969" i="1"/>
  <c r="E969" i="1"/>
  <c r="D969" i="1"/>
  <c r="P968" i="1"/>
  <c r="L968" i="1"/>
  <c r="K968" i="1"/>
  <c r="E968" i="1"/>
  <c r="D968" i="1"/>
  <c r="F968" i="1" s="1"/>
  <c r="P967" i="1"/>
  <c r="L967" i="1"/>
  <c r="K967" i="1"/>
  <c r="E967" i="1"/>
  <c r="D967" i="1"/>
  <c r="P966" i="1"/>
  <c r="L966" i="1"/>
  <c r="K966" i="1"/>
  <c r="M966" i="1" s="1"/>
  <c r="N966" i="1" s="1"/>
  <c r="Q966" i="1" s="1"/>
  <c r="E966" i="1"/>
  <c r="D966" i="1"/>
  <c r="P965" i="1"/>
  <c r="L965" i="1"/>
  <c r="K965" i="1"/>
  <c r="E965" i="1"/>
  <c r="D965" i="1"/>
  <c r="P964" i="1"/>
  <c r="L964" i="1"/>
  <c r="K964" i="1"/>
  <c r="E964" i="1"/>
  <c r="D964" i="1"/>
  <c r="P963" i="1"/>
  <c r="L963" i="1"/>
  <c r="K963" i="1"/>
  <c r="E963" i="1"/>
  <c r="D963" i="1"/>
  <c r="P962" i="1"/>
  <c r="L962" i="1"/>
  <c r="K962" i="1"/>
  <c r="E962" i="1"/>
  <c r="D962" i="1"/>
  <c r="P961" i="1"/>
  <c r="L961" i="1"/>
  <c r="K961" i="1"/>
  <c r="E961" i="1"/>
  <c r="D961" i="1"/>
  <c r="P960" i="1"/>
  <c r="M960" i="1"/>
  <c r="N960" i="1" s="1"/>
  <c r="Q960" i="1" s="1"/>
  <c r="R960" i="1" s="1"/>
  <c r="S960" i="1" s="1"/>
  <c r="T960" i="1" s="1"/>
  <c r="L960" i="1"/>
  <c r="K960" i="1"/>
  <c r="E960" i="1"/>
  <c r="D960" i="1"/>
  <c r="P959" i="1"/>
  <c r="L959" i="1"/>
  <c r="K959" i="1"/>
  <c r="E959" i="1"/>
  <c r="D959" i="1"/>
  <c r="P958" i="1"/>
  <c r="L958" i="1"/>
  <c r="K958" i="1"/>
  <c r="E958" i="1"/>
  <c r="D958" i="1"/>
  <c r="P957" i="1"/>
  <c r="L957" i="1"/>
  <c r="K957" i="1"/>
  <c r="E957" i="1"/>
  <c r="D957" i="1"/>
  <c r="F957" i="1" s="1"/>
  <c r="P956" i="1"/>
  <c r="L956" i="1"/>
  <c r="K956" i="1"/>
  <c r="M956" i="1" s="1"/>
  <c r="N956" i="1" s="1"/>
  <c r="Q956" i="1" s="1"/>
  <c r="R956" i="1" s="1"/>
  <c r="S956" i="1" s="1"/>
  <c r="T956" i="1" s="1"/>
  <c r="E956" i="1"/>
  <c r="D956" i="1"/>
  <c r="F956" i="1" s="1"/>
  <c r="P955" i="1"/>
  <c r="L955" i="1"/>
  <c r="K955" i="1"/>
  <c r="M955" i="1" s="1"/>
  <c r="N955" i="1" s="1"/>
  <c r="Q955" i="1" s="1"/>
  <c r="R955" i="1" s="1"/>
  <c r="S955" i="1" s="1"/>
  <c r="T955" i="1" s="1"/>
  <c r="E955" i="1"/>
  <c r="D955" i="1"/>
  <c r="P954" i="1"/>
  <c r="L954" i="1"/>
  <c r="K954" i="1"/>
  <c r="E954" i="1"/>
  <c r="D954" i="1"/>
  <c r="P953" i="1"/>
  <c r="L953" i="1"/>
  <c r="K953" i="1"/>
  <c r="E953" i="1"/>
  <c r="D953" i="1"/>
  <c r="P952" i="1"/>
  <c r="L952" i="1"/>
  <c r="K952" i="1"/>
  <c r="E952" i="1"/>
  <c r="D952" i="1"/>
  <c r="P951" i="1"/>
  <c r="L951" i="1"/>
  <c r="K951" i="1"/>
  <c r="E951" i="1"/>
  <c r="D951" i="1"/>
  <c r="P950" i="1"/>
  <c r="L950" i="1"/>
  <c r="K950" i="1"/>
  <c r="M950" i="1" s="1"/>
  <c r="N950" i="1" s="1"/>
  <c r="Q950" i="1" s="1"/>
  <c r="R950" i="1" s="1"/>
  <c r="S950" i="1" s="1"/>
  <c r="T950" i="1" s="1"/>
  <c r="E950" i="1"/>
  <c r="D950" i="1"/>
  <c r="P949" i="1"/>
  <c r="L949" i="1"/>
  <c r="K949" i="1"/>
  <c r="E949" i="1"/>
  <c r="D949" i="1"/>
  <c r="P948" i="1"/>
  <c r="L948" i="1"/>
  <c r="K948" i="1"/>
  <c r="E948" i="1"/>
  <c r="D948" i="1"/>
  <c r="P947" i="1"/>
  <c r="L947" i="1"/>
  <c r="K947" i="1"/>
  <c r="E947" i="1"/>
  <c r="D947" i="1"/>
  <c r="P946" i="1"/>
  <c r="L946" i="1"/>
  <c r="M946" i="1" s="1"/>
  <c r="N946" i="1" s="1"/>
  <c r="Q946" i="1" s="1"/>
  <c r="K946" i="1"/>
  <c r="E946" i="1"/>
  <c r="D946" i="1"/>
  <c r="F946" i="1" s="1"/>
  <c r="P945" i="1"/>
  <c r="L945" i="1"/>
  <c r="K945" i="1"/>
  <c r="M945" i="1" s="1"/>
  <c r="N945" i="1" s="1"/>
  <c r="Q945" i="1" s="1"/>
  <c r="R945" i="1" s="1"/>
  <c r="S945" i="1" s="1"/>
  <c r="T945" i="1" s="1"/>
  <c r="E945" i="1"/>
  <c r="D945" i="1"/>
  <c r="P944" i="1"/>
  <c r="L944" i="1"/>
  <c r="K944" i="1"/>
  <c r="E944" i="1"/>
  <c r="D944" i="1"/>
  <c r="P943" i="1"/>
  <c r="L943" i="1"/>
  <c r="K943" i="1"/>
  <c r="E943" i="1"/>
  <c r="D943" i="1"/>
  <c r="P942" i="1"/>
  <c r="L942" i="1"/>
  <c r="K942" i="1"/>
  <c r="E942" i="1"/>
  <c r="D942" i="1"/>
  <c r="P941" i="1"/>
  <c r="L941" i="1"/>
  <c r="M941" i="1" s="1"/>
  <c r="N941" i="1" s="1"/>
  <c r="Q941" i="1" s="1"/>
  <c r="K941" i="1"/>
  <c r="E941" i="1"/>
  <c r="D941" i="1"/>
  <c r="P940" i="1"/>
  <c r="L940" i="1"/>
  <c r="K940" i="1"/>
  <c r="E940" i="1"/>
  <c r="D940" i="1"/>
  <c r="P939" i="1"/>
  <c r="L939" i="1"/>
  <c r="K939" i="1"/>
  <c r="M939" i="1" s="1"/>
  <c r="N939" i="1" s="1"/>
  <c r="Q939" i="1" s="1"/>
  <c r="R939" i="1" s="1"/>
  <c r="S939" i="1" s="1"/>
  <c r="T939" i="1" s="1"/>
  <c r="E939" i="1"/>
  <c r="D939" i="1"/>
  <c r="F939" i="1" s="1"/>
  <c r="P938" i="1"/>
  <c r="L938" i="1"/>
  <c r="K938" i="1"/>
  <c r="E938" i="1"/>
  <c r="D938" i="1"/>
  <c r="P937" i="1"/>
  <c r="L937" i="1"/>
  <c r="K937" i="1"/>
  <c r="E937" i="1"/>
  <c r="D937" i="1"/>
  <c r="P936" i="1"/>
  <c r="L936" i="1"/>
  <c r="K936" i="1"/>
  <c r="E936" i="1"/>
  <c r="D936" i="1"/>
  <c r="P935" i="1"/>
  <c r="L935" i="1"/>
  <c r="K935" i="1"/>
  <c r="E935" i="1"/>
  <c r="D935" i="1"/>
  <c r="P934" i="1"/>
  <c r="L934" i="1"/>
  <c r="K934" i="1"/>
  <c r="E934" i="1"/>
  <c r="D934" i="1"/>
  <c r="P933" i="1"/>
  <c r="L933" i="1"/>
  <c r="M933" i="1" s="1"/>
  <c r="N933" i="1" s="1"/>
  <c r="Q933" i="1" s="1"/>
  <c r="K933" i="1"/>
  <c r="E933" i="1"/>
  <c r="D933" i="1"/>
  <c r="F933" i="1" s="1"/>
  <c r="P932" i="1"/>
  <c r="L932" i="1"/>
  <c r="M932" i="1" s="1"/>
  <c r="N932" i="1" s="1"/>
  <c r="Q932" i="1" s="1"/>
  <c r="K932" i="1"/>
  <c r="E932" i="1"/>
  <c r="D932" i="1"/>
  <c r="P931" i="1"/>
  <c r="L931" i="1"/>
  <c r="K931" i="1"/>
  <c r="M931" i="1" s="1"/>
  <c r="N931" i="1" s="1"/>
  <c r="Q931" i="1" s="1"/>
  <c r="R931" i="1" s="1"/>
  <c r="S931" i="1" s="1"/>
  <c r="T931" i="1" s="1"/>
  <c r="E931" i="1"/>
  <c r="D931" i="1"/>
  <c r="P930" i="1"/>
  <c r="L930" i="1"/>
  <c r="M930" i="1" s="1"/>
  <c r="N930" i="1" s="1"/>
  <c r="Q930" i="1" s="1"/>
  <c r="K930" i="1"/>
  <c r="E930" i="1"/>
  <c r="D930" i="1"/>
  <c r="P929" i="1"/>
  <c r="L929" i="1"/>
  <c r="K929" i="1"/>
  <c r="E929" i="1"/>
  <c r="D929" i="1"/>
  <c r="P928" i="1"/>
  <c r="L928" i="1"/>
  <c r="K928" i="1"/>
  <c r="M928" i="1" s="1"/>
  <c r="N928" i="1" s="1"/>
  <c r="Q928" i="1" s="1"/>
  <c r="R928" i="1" s="1"/>
  <c r="S928" i="1" s="1"/>
  <c r="T928" i="1" s="1"/>
  <c r="E928" i="1"/>
  <c r="D928" i="1"/>
  <c r="P927" i="1"/>
  <c r="L927" i="1"/>
  <c r="K927" i="1"/>
  <c r="E927" i="1"/>
  <c r="D927" i="1"/>
  <c r="P926" i="1"/>
  <c r="L926" i="1"/>
  <c r="K926" i="1"/>
  <c r="E926" i="1"/>
  <c r="D926" i="1"/>
  <c r="P925" i="1"/>
  <c r="L925" i="1"/>
  <c r="K925" i="1"/>
  <c r="E925" i="1"/>
  <c r="D925" i="1"/>
  <c r="P924" i="1"/>
  <c r="L924" i="1"/>
  <c r="M924" i="1" s="1"/>
  <c r="N924" i="1" s="1"/>
  <c r="Q924" i="1" s="1"/>
  <c r="R924" i="1" s="1"/>
  <c r="S924" i="1" s="1"/>
  <c r="T924" i="1" s="1"/>
  <c r="K924" i="1"/>
  <c r="E924" i="1"/>
  <c r="D924" i="1"/>
  <c r="P923" i="1"/>
  <c r="L923" i="1"/>
  <c r="K923" i="1"/>
  <c r="E923" i="1"/>
  <c r="D923" i="1"/>
  <c r="F923" i="1" s="1"/>
  <c r="P922" i="1"/>
  <c r="L922" i="1"/>
  <c r="K922" i="1"/>
  <c r="E922" i="1"/>
  <c r="D922" i="1"/>
  <c r="F922" i="1" s="1"/>
  <c r="P921" i="1"/>
  <c r="L921" i="1"/>
  <c r="K921" i="1"/>
  <c r="E921" i="1"/>
  <c r="D921" i="1"/>
  <c r="P920" i="1"/>
  <c r="L920" i="1"/>
  <c r="K920" i="1"/>
  <c r="M920" i="1" s="1"/>
  <c r="N920" i="1" s="1"/>
  <c r="Q920" i="1" s="1"/>
  <c r="R920" i="1" s="1"/>
  <c r="S920" i="1" s="1"/>
  <c r="T920" i="1" s="1"/>
  <c r="E920" i="1"/>
  <c r="D920" i="1"/>
  <c r="P919" i="1"/>
  <c r="L919" i="1"/>
  <c r="K919" i="1"/>
  <c r="M919" i="1" s="1"/>
  <c r="N919" i="1" s="1"/>
  <c r="Q919" i="1" s="1"/>
  <c r="E919" i="1"/>
  <c r="D919" i="1"/>
  <c r="P918" i="1"/>
  <c r="L918" i="1"/>
  <c r="M918" i="1" s="1"/>
  <c r="N918" i="1" s="1"/>
  <c r="Q918" i="1" s="1"/>
  <c r="K918" i="1"/>
  <c r="E918" i="1"/>
  <c r="D918" i="1"/>
  <c r="P917" i="1"/>
  <c r="L917" i="1"/>
  <c r="K917" i="1"/>
  <c r="E917" i="1"/>
  <c r="D917" i="1"/>
  <c r="P916" i="1"/>
  <c r="L916" i="1"/>
  <c r="K916" i="1"/>
  <c r="E916" i="1"/>
  <c r="D916" i="1"/>
  <c r="P915" i="1"/>
  <c r="L915" i="1"/>
  <c r="K915" i="1"/>
  <c r="E915" i="1"/>
  <c r="D915" i="1"/>
  <c r="F915" i="1" s="1"/>
  <c r="P914" i="1"/>
  <c r="L914" i="1"/>
  <c r="M914" i="1" s="1"/>
  <c r="N914" i="1" s="1"/>
  <c r="Q914" i="1" s="1"/>
  <c r="R914" i="1" s="1"/>
  <c r="S914" i="1" s="1"/>
  <c r="T914" i="1" s="1"/>
  <c r="K914" i="1"/>
  <c r="E914" i="1"/>
  <c r="D914" i="1"/>
  <c r="F914" i="1" s="1"/>
  <c r="P913" i="1"/>
  <c r="L913" i="1"/>
  <c r="K913" i="1"/>
  <c r="M913" i="1" s="1"/>
  <c r="N913" i="1" s="1"/>
  <c r="Q913" i="1" s="1"/>
  <c r="R913" i="1" s="1"/>
  <c r="S913" i="1" s="1"/>
  <c r="T913" i="1" s="1"/>
  <c r="E913" i="1"/>
  <c r="D913" i="1"/>
  <c r="P912" i="1"/>
  <c r="L912" i="1"/>
  <c r="K912" i="1"/>
  <c r="E912" i="1"/>
  <c r="D912" i="1"/>
  <c r="P911" i="1"/>
  <c r="L911" i="1"/>
  <c r="K911" i="1"/>
  <c r="E911" i="1"/>
  <c r="D911" i="1"/>
  <c r="P910" i="1"/>
  <c r="L910" i="1"/>
  <c r="K910" i="1"/>
  <c r="E910" i="1"/>
  <c r="D910" i="1"/>
  <c r="P909" i="1"/>
  <c r="L909" i="1"/>
  <c r="M909" i="1" s="1"/>
  <c r="N909" i="1" s="1"/>
  <c r="Q909" i="1" s="1"/>
  <c r="K909" i="1"/>
  <c r="E909" i="1"/>
  <c r="D909" i="1"/>
  <c r="F909" i="1" s="1"/>
  <c r="P908" i="1"/>
  <c r="L908" i="1"/>
  <c r="M908" i="1" s="1"/>
  <c r="N908" i="1" s="1"/>
  <c r="Q908" i="1" s="1"/>
  <c r="R908" i="1" s="1"/>
  <c r="S908" i="1" s="1"/>
  <c r="T908" i="1" s="1"/>
  <c r="K908" i="1"/>
  <c r="E908" i="1"/>
  <c r="D908" i="1"/>
  <c r="P907" i="1"/>
  <c r="L907" i="1"/>
  <c r="K907" i="1"/>
  <c r="M907" i="1" s="1"/>
  <c r="N907" i="1" s="1"/>
  <c r="Q907" i="1" s="1"/>
  <c r="R907" i="1" s="1"/>
  <c r="S907" i="1" s="1"/>
  <c r="T907" i="1" s="1"/>
  <c r="E907" i="1"/>
  <c r="D907" i="1"/>
  <c r="F907" i="1" s="1"/>
  <c r="P906" i="1"/>
  <c r="L906" i="1"/>
  <c r="K906" i="1"/>
  <c r="E906" i="1"/>
  <c r="D906" i="1"/>
  <c r="P905" i="1"/>
  <c r="L905" i="1"/>
  <c r="K905" i="1"/>
  <c r="E905" i="1"/>
  <c r="D905" i="1"/>
  <c r="P904" i="1"/>
  <c r="L904" i="1"/>
  <c r="K904" i="1"/>
  <c r="E904" i="1"/>
  <c r="D904" i="1"/>
  <c r="P903" i="1"/>
  <c r="L903" i="1"/>
  <c r="K903" i="1"/>
  <c r="E903" i="1"/>
  <c r="D903" i="1"/>
  <c r="P902" i="1"/>
  <c r="L902" i="1"/>
  <c r="K902" i="1"/>
  <c r="E902" i="1"/>
  <c r="D902" i="1"/>
  <c r="P901" i="1"/>
  <c r="L901" i="1"/>
  <c r="K901" i="1"/>
  <c r="E901" i="1"/>
  <c r="D901" i="1"/>
  <c r="P900" i="1"/>
  <c r="L900" i="1"/>
  <c r="K900" i="1"/>
  <c r="E900" i="1"/>
  <c r="D900" i="1"/>
  <c r="P899" i="1"/>
  <c r="L899" i="1"/>
  <c r="K899" i="1"/>
  <c r="M899" i="1" s="1"/>
  <c r="N899" i="1" s="1"/>
  <c r="Q899" i="1" s="1"/>
  <c r="R899" i="1" s="1"/>
  <c r="S899" i="1" s="1"/>
  <c r="T899" i="1" s="1"/>
  <c r="E899" i="1"/>
  <c r="D899" i="1"/>
  <c r="F899" i="1" s="1"/>
  <c r="P898" i="1"/>
  <c r="L898" i="1"/>
  <c r="K898" i="1"/>
  <c r="E898" i="1"/>
  <c r="D898" i="1"/>
  <c r="P897" i="1"/>
  <c r="L897" i="1"/>
  <c r="K897" i="1"/>
  <c r="M897" i="1" s="1"/>
  <c r="N897" i="1" s="1"/>
  <c r="Q897" i="1" s="1"/>
  <c r="E897" i="1"/>
  <c r="D897" i="1"/>
  <c r="P896" i="1"/>
  <c r="L896" i="1"/>
  <c r="K896" i="1"/>
  <c r="E896" i="1"/>
  <c r="D896" i="1"/>
  <c r="P895" i="1"/>
  <c r="L895" i="1"/>
  <c r="K895" i="1"/>
  <c r="E895" i="1"/>
  <c r="D895" i="1"/>
  <c r="P894" i="1"/>
  <c r="L894" i="1"/>
  <c r="M894" i="1" s="1"/>
  <c r="N894" i="1" s="1"/>
  <c r="Q894" i="1" s="1"/>
  <c r="R894" i="1" s="1"/>
  <c r="S894" i="1" s="1"/>
  <c r="T894" i="1" s="1"/>
  <c r="K894" i="1"/>
  <c r="E894" i="1"/>
  <c r="D894" i="1"/>
  <c r="P893" i="1"/>
  <c r="L893" i="1"/>
  <c r="K893" i="1"/>
  <c r="E893" i="1"/>
  <c r="D893" i="1"/>
  <c r="P892" i="1"/>
  <c r="L892" i="1"/>
  <c r="M892" i="1" s="1"/>
  <c r="N892" i="1" s="1"/>
  <c r="Q892" i="1" s="1"/>
  <c r="K892" i="1"/>
  <c r="E892" i="1"/>
  <c r="D892" i="1"/>
  <c r="P891" i="1"/>
  <c r="L891" i="1"/>
  <c r="K891" i="1"/>
  <c r="E891" i="1"/>
  <c r="D891" i="1"/>
  <c r="P890" i="1"/>
  <c r="L890" i="1"/>
  <c r="K890" i="1"/>
  <c r="E890" i="1"/>
  <c r="D890" i="1"/>
  <c r="P889" i="1"/>
  <c r="L889" i="1"/>
  <c r="K889" i="1"/>
  <c r="E889" i="1"/>
  <c r="D889" i="1"/>
  <c r="P888" i="1"/>
  <c r="L888" i="1"/>
  <c r="K888" i="1"/>
  <c r="E888" i="1"/>
  <c r="D888" i="1"/>
  <c r="P887" i="1"/>
  <c r="L887" i="1"/>
  <c r="K887" i="1"/>
  <c r="E887" i="1"/>
  <c r="D887" i="1"/>
  <c r="P886" i="1"/>
  <c r="L886" i="1"/>
  <c r="K886" i="1"/>
  <c r="E886" i="1"/>
  <c r="D886" i="1"/>
  <c r="P885" i="1"/>
  <c r="L885" i="1"/>
  <c r="K885" i="1"/>
  <c r="E885" i="1"/>
  <c r="D885" i="1"/>
  <c r="F885" i="1" s="1"/>
  <c r="P884" i="1"/>
  <c r="L884" i="1"/>
  <c r="K884" i="1"/>
  <c r="E884" i="1"/>
  <c r="D884" i="1"/>
  <c r="P883" i="1"/>
  <c r="L883" i="1"/>
  <c r="K883" i="1"/>
  <c r="E883" i="1"/>
  <c r="D883" i="1"/>
  <c r="P882" i="1"/>
  <c r="L882" i="1"/>
  <c r="K882" i="1"/>
  <c r="E882" i="1"/>
  <c r="D882" i="1"/>
  <c r="P881" i="1"/>
  <c r="L881" i="1"/>
  <c r="K881" i="1"/>
  <c r="E881" i="1"/>
  <c r="D881" i="1"/>
  <c r="P880" i="1"/>
  <c r="L880" i="1"/>
  <c r="K880" i="1"/>
  <c r="E880" i="1"/>
  <c r="D880" i="1"/>
  <c r="P879" i="1"/>
  <c r="L879" i="1"/>
  <c r="K879" i="1"/>
  <c r="E879" i="1"/>
  <c r="D879" i="1"/>
  <c r="P878" i="1"/>
  <c r="L878" i="1"/>
  <c r="K878" i="1"/>
  <c r="E878" i="1"/>
  <c r="D878" i="1"/>
  <c r="P877" i="1"/>
  <c r="L877" i="1"/>
  <c r="K877" i="1"/>
  <c r="E877" i="1"/>
  <c r="D877" i="1"/>
  <c r="P876" i="1"/>
  <c r="L876" i="1"/>
  <c r="M876" i="1" s="1"/>
  <c r="N876" i="1" s="1"/>
  <c r="Q876" i="1" s="1"/>
  <c r="R876" i="1" s="1"/>
  <c r="S876" i="1" s="1"/>
  <c r="T876" i="1" s="1"/>
  <c r="K876" i="1"/>
  <c r="E876" i="1"/>
  <c r="D876" i="1"/>
  <c r="P875" i="1"/>
  <c r="L875" i="1"/>
  <c r="K875" i="1"/>
  <c r="E875" i="1"/>
  <c r="D875" i="1"/>
  <c r="P874" i="1"/>
  <c r="L874" i="1"/>
  <c r="K874" i="1"/>
  <c r="E874" i="1"/>
  <c r="D874" i="1"/>
  <c r="P873" i="1"/>
  <c r="L873" i="1"/>
  <c r="K873" i="1"/>
  <c r="E873" i="1"/>
  <c r="D873" i="1"/>
  <c r="P872" i="1"/>
  <c r="L872" i="1"/>
  <c r="K872" i="1"/>
  <c r="E872" i="1"/>
  <c r="D872" i="1"/>
  <c r="P871" i="1"/>
  <c r="L871" i="1"/>
  <c r="K871" i="1"/>
  <c r="M871" i="1" s="1"/>
  <c r="N871" i="1" s="1"/>
  <c r="Q871" i="1" s="1"/>
  <c r="E871" i="1"/>
  <c r="D871" i="1"/>
  <c r="P870" i="1"/>
  <c r="L870" i="1"/>
  <c r="K870" i="1"/>
  <c r="E870" i="1"/>
  <c r="F870" i="1" s="1"/>
  <c r="D870" i="1"/>
  <c r="P869" i="1"/>
  <c r="L869" i="1"/>
  <c r="K869" i="1"/>
  <c r="E869" i="1"/>
  <c r="D869" i="1"/>
  <c r="P868" i="1"/>
  <c r="L868" i="1"/>
  <c r="M868" i="1" s="1"/>
  <c r="N868" i="1" s="1"/>
  <c r="Q868" i="1" s="1"/>
  <c r="R868" i="1" s="1"/>
  <c r="S868" i="1" s="1"/>
  <c r="T868" i="1" s="1"/>
  <c r="K868" i="1"/>
  <c r="E868" i="1"/>
  <c r="D868" i="1"/>
  <c r="P867" i="1"/>
  <c r="L867" i="1"/>
  <c r="K867" i="1"/>
  <c r="E867" i="1"/>
  <c r="D867" i="1"/>
  <c r="P866" i="1"/>
  <c r="L866" i="1"/>
  <c r="K866" i="1"/>
  <c r="E866" i="1"/>
  <c r="D866" i="1"/>
  <c r="F866" i="1" s="1"/>
  <c r="P865" i="1"/>
  <c r="L865" i="1"/>
  <c r="K865" i="1"/>
  <c r="E865" i="1"/>
  <c r="D865" i="1"/>
  <c r="P864" i="1"/>
  <c r="L864" i="1"/>
  <c r="K864" i="1"/>
  <c r="E864" i="1"/>
  <c r="D864" i="1"/>
  <c r="P863" i="1"/>
  <c r="L863" i="1"/>
  <c r="K863" i="1"/>
  <c r="E863" i="1"/>
  <c r="D863" i="1"/>
  <c r="P862" i="1"/>
  <c r="L862" i="1"/>
  <c r="K862" i="1"/>
  <c r="E862" i="1"/>
  <c r="D862" i="1"/>
  <c r="P861" i="1"/>
  <c r="L861" i="1"/>
  <c r="K861" i="1"/>
  <c r="E861" i="1"/>
  <c r="D861" i="1"/>
  <c r="P860" i="1"/>
  <c r="L860" i="1"/>
  <c r="K860" i="1"/>
  <c r="E860" i="1"/>
  <c r="D860" i="1"/>
  <c r="P859" i="1"/>
  <c r="L859" i="1"/>
  <c r="K859" i="1"/>
  <c r="M859" i="1" s="1"/>
  <c r="N859" i="1" s="1"/>
  <c r="Q859" i="1" s="1"/>
  <c r="E859" i="1"/>
  <c r="D859" i="1"/>
  <c r="P858" i="1"/>
  <c r="L858" i="1"/>
  <c r="K858" i="1"/>
  <c r="E858" i="1"/>
  <c r="D858" i="1"/>
  <c r="P857" i="1"/>
  <c r="L857" i="1"/>
  <c r="K857" i="1"/>
  <c r="E857" i="1"/>
  <c r="D857" i="1"/>
  <c r="F857" i="1" s="1"/>
  <c r="P856" i="1"/>
  <c r="L856" i="1"/>
  <c r="K856" i="1"/>
  <c r="E856" i="1"/>
  <c r="D856" i="1"/>
  <c r="P855" i="1"/>
  <c r="L855" i="1"/>
  <c r="K855" i="1"/>
  <c r="M855" i="1" s="1"/>
  <c r="N855" i="1" s="1"/>
  <c r="Q855" i="1" s="1"/>
  <c r="E855" i="1"/>
  <c r="D855" i="1"/>
  <c r="P854" i="1"/>
  <c r="L854" i="1"/>
  <c r="K854" i="1"/>
  <c r="E854" i="1"/>
  <c r="D854" i="1"/>
  <c r="P853" i="1"/>
  <c r="L853" i="1"/>
  <c r="K853" i="1"/>
  <c r="E853" i="1"/>
  <c r="D853" i="1"/>
  <c r="F853" i="1" s="1"/>
  <c r="P852" i="1"/>
  <c r="L852" i="1"/>
  <c r="K852" i="1"/>
  <c r="E852" i="1"/>
  <c r="D852" i="1"/>
  <c r="P851" i="1"/>
  <c r="L851" i="1"/>
  <c r="K851" i="1"/>
  <c r="E851" i="1"/>
  <c r="D851" i="1"/>
  <c r="P850" i="1"/>
  <c r="L850" i="1"/>
  <c r="K850" i="1"/>
  <c r="E850" i="1"/>
  <c r="D850" i="1"/>
  <c r="P849" i="1"/>
  <c r="L849" i="1"/>
  <c r="K849" i="1"/>
  <c r="E849" i="1"/>
  <c r="D849" i="1"/>
  <c r="P848" i="1"/>
  <c r="L848" i="1"/>
  <c r="K848" i="1"/>
  <c r="E848" i="1"/>
  <c r="D848" i="1"/>
  <c r="P847" i="1"/>
  <c r="L847" i="1"/>
  <c r="K847" i="1"/>
  <c r="M847" i="1" s="1"/>
  <c r="N847" i="1" s="1"/>
  <c r="Q847" i="1" s="1"/>
  <c r="E847" i="1"/>
  <c r="D847" i="1"/>
  <c r="P846" i="1"/>
  <c r="L846" i="1"/>
  <c r="K846" i="1"/>
  <c r="E846" i="1"/>
  <c r="D846" i="1"/>
  <c r="P845" i="1"/>
  <c r="L845" i="1"/>
  <c r="K845" i="1"/>
  <c r="E845" i="1"/>
  <c r="D845" i="1"/>
  <c r="P844" i="1"/>
  <c r="L844" i="1"/>
  <c r="K844" i="1"/>
  <c r="F844" i="1"/>
  <c r="E844" i="1"/>
  <c r="D844" i="1"/>
  <c r="P843" i="1"/>
  <c r="L843" i="1"/>
  <c r="K843" i="1"/>
  <c r="E843" i="1"/>
  <c r="D843" i="1"/>
  <c r="P842" i="1"/>
  <c r="L842" i="1"/>
  <c r="K842" i="1"/>
  <c r="E842" i="1"/>
  <c r="D842" i="1"/>
  <c r="P841" i="1"/>
  <c r="L841" i="1"/>
  <c r="K841" i="1"/>
  <c r="E841" i="1"/>
  <c r="D841" i="1"/>
  <c r="P840" i="1"/>
  <c r="L840" i="1"/>
  <c r="K840" i="1"/>
  <c r="E840" i="1"/>
  <c r="D840" i="1"/>
  <c r="P839" i="1"/>
  <c r="L839" i="1"/>
  <c r="K839" i="1"/>
  <c r="E839" i="1"/>
  <c r="D839" i="1"/>
  <c r="P838" i="1"/>
  <c r="L838" i="1"/>
  <c r="K838" i="1"/>
  <c r="E838" i="1"/>
  <c r="D838" i="1"/>
  <c r="P837" i="1"/>
  <c r="L837" i="1"/>
  <c r="K837" i="1"/>
  <c r="E837" i="1"/>
  <c r="D837" i="1"/>
  <c r="P836" i="1"/>
  <c r="L836" i="1"/>
  <c r="K836" i="1"/>
  <c r="E836" i="1"/>
  <c r="D836" i="1"/>
  <c r="P835" i="1"/>
  <c r="L835" i="1"/>
  <c r="K835" i="1"/>
  <c r="E835" i="1"/>
  <c r="D835" i="1"/>
  <c r="P834" i="1"/>
  <c r="L834" i="1"/>
  <c r="K834" i="1"/>
  <c r="E834" i="1"/>
  <c r="D834" i="1"/>
  <c r="P833" i="1"/>
  <c r="L833" i="1"/>
  <c r="K833" i="1"/>
  <c r="E833" i="1"/>
  <c r="D833" i="1"/>
  <c r="P832" i="1"/>
  <c r="L832" i="1"/>
  <c r="K832" i="1"/>
  <c r="M832" i="1" s="1"/>
  <c r="N832" i="1" s="1"/>
  <c r="Q832" i="1" s="1"/>
  <c r="E832" i="1"/>
  <c r="D832" i="1"/>
  <c r="P831" i="1"/>
  <c r="L831" i="1"/>
  <c r="K831" i="1"/>
  <c r="E831" i="1"/>
  <c r="D831" i="1"/>
  <c r="P830" i="1"/>
  <c r="L830" i="1"/>
  <c r="K830" i="1"/>
  <c r="M830" i="1" s="1"/>
  <c r="N830" i="1" s="1"/>
  <c r="Q830" i="1" s="1"/>
  <c r="E830" i="1"/>
  <c r="D830" i="1"/>
  <c r="P829" i="1"/>
  <c r="L829" i="1"/>
  <c r="K829" i="1"/>
  <c r="E829" i="1"/>
  <c r="D829" i="1"/>
  <c r="P828" i="1"/>
  <c r="L828" i="1"/>
  <c r="K828" i="1"/>
  <c r="E828" i="1"/>
  <c r="D828" i="1"/>
  <c r="P827" i="1"/>
  <c r="L827" i="1"/>
  <c r="K827" i="1"/>
  <c r="E827" i="1"/>
  <c r="D827" i="1"/>
  <c r="P826" i="1"/>
  <c r="L826" i="1"/>
  <c r="K826" i="1"/>
  <c r="E826" i="1"/>
  <c r="D826" i="1"/>
  <c r="P825" i="1"/>
  <c r="L825" i="1"/>
  <c r="K825" i="1"/>
  <c r="E825" i="1"/>
  <c r="D825" i="1"/>
  <c r="P824" i="1"/>
  <c r="L824" i="1"/>
  <c r="K824" i="1"/>
  <c r="E824" i="1"/>
  <c r="D824" i="1"/>
  <c r="P823" i="1"/>
  <c r="L823" i="1"/>
  <c r="K823" i="1"/>
  <c r="E823" i="1"/>
  <c r="D823" i="1"/>
  <c r="P822" i="1"/>
  <c r="L822" i="1"/>
  <c r="K822" i="1"/>
  <c r="E822" i="1"/>
  <c r="D822" i="1"/>
  <c r="P821" i="1"/>
  <c r="L821" i="1"/>
  <c r="K821" i="1"/>
  <c r="E821" i="1"/>
  <c r="D821" i="1"/>
  <c r="P820" i="1"/>
  <c r="L820" i="1"/>
  <c r="K820" i="1"/>
  <c r="M820" i="1" s="1"/>
  <c r="N820" i="1" s="1"/>
  <c r="Q820" i="1" s="1"/>
  <c r="E820" i="1"/>
  <c r="D820" i="1"/>
  <c r="P819" i="1"/>
  <c r="L819" i="1"/>
  <c r="K819" i="1"/>
  <c r="E819" i="1"/>
  <c r="D819" i="1"/>
  <c r="P818" i="1"/>
  <c r="L818" i="1"/>
  <c r="K818" i="1"/>
  <c r="E818" i="1"/>
  <c r="D818" i="1"/>
  <c r="P817" i="1"/>
  <c r="L817" i="1"/>
  <c r="K817" i="1"/>
  <c r="E817" i="1"/>
  <c r="D817" i="1"/>
  <c r="P816" i="1"/>
  <c r="L816" i="1"/>
  <c r="K816" i="1"/>
  <c r="E816" i="1"/>
  <c r="D816" i="1"/>
  <c r="P815" i="1"/>
  <c r="L815" i="1"/>
  <c r="K815" i="1"/>
  <c r="E815" i="1"/>
  <c r="D815" i="1"/>
  <c r="P814" i="1"/>
  <c r="L814" i="1"/>
  <c r="K814" i="1"/>
  <c r="E814" i="1"/>
  <c r="D814" i="1"/>
  <c r="P813" i="1"/>
  <c r="L813" i="1"/>
  <c r="K813" i="1"/>
  <c r="E813" i="1"/>
  <c r="D813" i="1"/>
  <c r="F813" i="1" s="1"/>
  <c r="P812" i="1"/>
  <c r="L812" i="1"/>
  <c r="K812" i="1"/>
  <c r="E812" i="1"/>
  <c r="D812" i="1"/>
  <c r="P811" i="1"/>
  <c r="L811" i="1"/>
  <c r="K811" i="1"/>
  <c r="M811" i="1" s="1"/>
  <c r="N811" i="1" s="1"/>
  <c r="Q811" i="1" s="1"/>
  <c r="R811" i="1" s="1"/>
  <c r="S811" i="1" s="1"/>
  <c r="T811" i="1" s="1"/>
  <c r="E811" i="1"/>
  <c r="D811" i="1"/>
  <c r="P810" i="1"/>
  <c r="L810" i="1"/>
  <c r="K810" i="1"/>
  <c r="E810" i="1"/>
  <c r="D810" i="1"/>
  <c r="P809" i="1"/>
  <c r="R809" i="1" s="1"/>
  <c r="S809" i="1" s="1"/>
  <c r="T809" i="1" s="1"/>
  <c r="L809" i="1"/>
  <c r="K809" i="1"/>
  <c r="M809" i="1" s="1"/>
  <c r="N809" i="1" s="1"/>
  <c r="Q809" i="1" s="1"/>
  <c r="E809" i="1"/>
  <c r="D809" i="1"/>
  <c r="P808" i="1"/>
  <c r="L808" i="1"/>
  <c r="K808" i="1"/>
  <c r="E808" i="1"/>
  <c r="D808" i="1"/>
  <c r="Q807" i="1"/>
  <c r="R807" i="1" s="1"/>
  <c r="S807" i="1" s="1"/>
  <c r="T807" i="1" s="1"/>
  <c r="P807" i="1"/>
  <c r="L807" i="1"/>
  <c r="K807" i="1"/>
  <c r="M807" i="1" s="1"/>
  <c r="N807" i="1" s="1"/>
  <c r="E807" i="1"/>
  <c r="D807" i="1"/>
  <c r="P806" i="1"/>
  <c r="L806" i="1"/>
  <c r="K806" i="1"/>
  <c r="E806" i="1"/>
  <c r="D806" i="1"/>
  <c r="P805" i="1"/>
  <c r="L805" i="1"/>
  <c r="K805" i="1"/>
  <c r="E805" i="1"/>
  <c r="D805" i="1"/>
  <c r="P804" i="1"/>
  <c r="L804" i="1"/>
  <c r="K804" i="1"/>
  <c r="E804" i="1"/>
  <c r="D804" i="1"/>
  <c r="P803" i="1"/>
  <c r="L803" i="1"/>
  <c r="K803" i="1"/>
  <c r="E803" i="1"/>
  <c r="D803" i="1"/>
  <c r="P802" i="1"/>
  <c r="L802" i="1"/>
  <c r="K802" i="1"/>
  <c r="M802" i="1" s="1"/>
  <c r="N802" i="1" s="1"/>
  <c r="Q802" i="1" s="1"/>
  <c r="R802" i="1" s="1"/>
  <c r="S802" i="1" s="1"/>
  <c r="T802" i="1" s="1"/>
  <c r="E802" i="1"/>
  <c r="D802" i="1"/>
  <c r="P801" i="1"/>
  <c r="L801" i="1"/>
  <c r="K801" i="1"/>
  <c r="E801" i="1"/>
  <c r="D801" i="1"/>
  <c r="P800" i="1"/>
  <c r="L800" i="1"/>
  <c r="K800" i="1"/>
  <c r="E800" i="1"/>
  <c r="D800" i="1"/>
  <c r="P799" i="1"/>
  <c r="L799" i="1"/>
  <c r="K799" i="1"/>
  <c r="E799" i="1"/>
  <c r="D799" i="1"/>
  <c r="P798" i="1"/>
  <c r="L798" i="1"/>
  <c r="K798" i="1"/>
  <c r="E798" i="1"/>
  <c r="D798" i="1"/>
  <c r="P797" i="1"/>
  <c r="L797" i="1"/>
  <c r="K797" i="1"/>
  <c r="E797" i="1"/>
  <c r="D797" i="1"/>
  <c r="P796" i="1"/>
  <c r="L796" i="1"/>
  <c r="K796" i="1"/>
  <c r="E796" i="1"/>
  <c r="D796" i="1"/>
  <c r="F796" i="1" s="1"/>
  <c r="P795" i="1"/>
  <c r="L795" i="1"/>
  <c r="K795" i="1"/>
  <c r="M795" i="1" s="1"/>
  <c r="N795" i="1" s="1"/>
  <c r="Q795" i="1" s="1"/>
  <c r="E795" i="1"/>
  <c r="D795" i="1"/>
  <c r="P794" i="1"/>
  <c r="L794" i="1"/>
  <c r="K794" i="1"/>
  <c r="E794" i="1"/>
  <c r="D794" i="1"/>
  <c r="P793" i="1"/>
  <c r="L793" i="1"/>
  <c r="K793" i="1"/>
  <c r="E793" i="1"/>
  <c r="D793" i="1"/>
  <c r="P792" i="1"/>
  <c r="L792" i="1"/>
  <c r="K792" i="1"/>
  <c r="E792" i="1"/>
  <c r="D792" i="1"/>
  <c r="P791" i="1"/>
  <c r="L791" i="1"/>
  <c r="K791" i="1"/>
  <c r="E791" i="1"/>
  <c r="D791" i="1"/>
  <c r="P790" i="1"/>
  <c r="L790" i="1"/>
  <c r="K790" i="1"/>
  <c r="E790" i="1"/>
  <c r="D790" i="1"/>
  <c r="P789" i="1"/>
  <c r="L789" i="1"/>
  <c r="K789" i="1"/>
  <c r="E789" i="1"/>
  <c r="D789" i="1"/>
  <c r="F789" i="1" s="1"/>
  <c r="P788" i="1"/>
  <c r="L788" i="1"/>
  <c r="K788" i="1"/>
  <c r="E788" i="1"/>
  <c r="D788" i="1"/>
  <c r="P787" i="1"/>
  <c r="L787" i="1"/>
  <c r="K787" i="1"/>
  <c r="M787" i="1" s="1"/>
  <c r="N787" i="1" s="1"/>
  <c r="Q787" i="1" s="1"/>
  <c r="E787" i="1"/>
  <c r="D787" i="1"/>
  <c r="P786" i="1"/>
  <c r="L786" i="1"/>
  <c r="K786" i="1"/>
  <c r="E786" i="1"/>
  <c r="D786" i="1"/>
  <c r="P785" i="1"/>
  <c r="L785" i="1"/>
  <c r="K785" i="1"/>
  <c r="E785" i="1"/>
  <c r="D785" i="1"/>
  <c r="P784" i="1"/>
  <c r="L784" i="1"/>
  <c r="K784" i="1"/>
  <c r="E784" i="1"/>
  <c r="D784" i="1"/>
  <c r="P783" i="1"/>
  <c r="L783" i="1"/>
  <c r="K783" i="1"/>
  <c r="E783" i="1"/>
  <c r="D783" i="1"/>
  <c r="P782" i="1"/>
  <c r="L782" i="1"/>
  <c r="K782" i="1"/>
  <c r="E782" i="1"/>
  <c r="D782" i="1"/>
  <c r="P781" i="1"/>
  <c r="L781" i="1"/>
  <c r="K781" i="1"/>
  <c r="M781" i="1" s="1"/>
  <c r="N781" i="1" s="1"/>
  <c r="Q781" i="1" s="1"/>
  <c r="R781" i="1" s="1"/>
  <c r="S781" i="1" s="1"/>
  <c r="T781" i="1" s="1"/>
  <c r="E781" i="1"/>
  <c r="D781" i="1"/>
  <c r="P780" i="1"/>
  <c r="L780" i="1"/>
  <c r="M780" i="1" s="1"/>
  <c r="N780" i="1" s="1"/>
  <c r="Q780" i="1" s="1"/>
  <c r="K780" i="1"/>
  <c r="E780" i="1"/>
  <c r="D780" i="1"/>
  <c r="P779" i="1"/>
  <c r="L779" i="1"/>
  <c r="K779" i="1"/>
  <c r="M779" i="1" s="1"/>
  <c r="N779" i="1" s="1"/>
  <c r="Q779" i="1" s="1"/>
  <c r="E779" i="1"/>
  <c r="D779" i="1"/>
  <c r="P778" i="1"/>
  <c r="L778" i="1"/>
  <c r="K778" i="1"/>
  <c r="E778" i="1"/>
  <c r="D778" i="1"/>
  <c r="P777" i="1"/>
  <c r="L777" i="1"/>
  <c r="K777" i="1"/>
  <c r="E777" i="1"/>
  <c r="D777" i="1"/>
  <c r="P776" i="1"/>
  <c r="L776" i="1"/>
  <c r="K776" i="1"/>
  <c r="E776" i="1"/>
  <c r="D776" i="1"/>
  <c r="P775" i="1"/>
  <c r="L775" i="1"/>
  <c r="K775" i="1"/>
  <c r="M775" i="1" s="1"/>
  <c r="N775" i="1" s="1"/>
  <c r="Q775" i="1" s="1"/>
  <c r="E775" i="1"/>
  <c r="D775" i="1"/>
  <c r="P774" i="1"/>
  <c r="L774" i="1"/>
  <c r="K774" i="1"/>
  <c r="E774" i="1"/>
  <c r="D774" i="1"/>
  <c r="P773" i="1"/>
  <c r="L773" i="1"/>
  <c r="K773" i="1"/>
  <c r="E773" i="1"/>
  <c r="D773" i="1"/>
  <c r="F773" i="1" s="1"/>
  <c r="P772" i="1"/>
  <c r="L772" i="1"/>
  <c r="K772" i="1"/>
  <c r="M772" i="1" s="1"/>
  <c r="N772" i="1" s="1"/>
  <c r="Q772" i="1" s="1"/>
  <c r="E772" i="1"/>
  <c r="D772" i="1"/>
  <c r="P771" i="1"/>
  <c r="L771" i="1"/>
  <c r="K771" i="1"/>
  <c r="E771" i="1"/>
  <c r="D771" i="1"/>
  <c r="P770" i="1"/>
  <c r="L770" i="1"/>
  <c r="M770" i="1" s="1"/>
  <c r="N770" i="1" s="1"/>
  <c r="Q770" i="1" s="1"/>
  <c r="R770" i="1" s="1"/>
  <c r="S770" i="1" s="1"/>
  <c r="T770" i="1" s="1"/>
  <c r="K770" i="1"/>
  <c r="E770" i="1"/>
  <c r="D770" i="1"/>
  <c r="P769" i="1"/>
  <c r="L769" i="1"/>
  <c r="K769" i="1"/>
  <c r="E769" i="1"/>
  <c r="D769" i="1"/>
  <c r="P768" i="1"/>
  <c r="L768" i="1"/>
  <c r="K768" i="1"/>
  <c r="E768" i="1"/>
  <c r="F768" i="1" s="1"/>
  <c r="D768" i="1"/>
  <c r="P767" i="1"/>
  <c r="L767" i="1"/>
  <c r="M767" i="1" s="1"/>
  <c r="N767" i="1" s="1"/>
  <c r="Q767" i="1" s="1"/>
  <c r="K767" i="1"/>
  <c r="E767" i="1"/>
  <c r="D767" i="1"/>
  <c r="P766" i="1"/>
  <c r="L766" i="1"/>
  <c r="K766" i="1"/>
  <c r="E766" i="1"/>
  <c r="D766" i="1"/>
  <c r="P765" i="1"/>
  <c r="L765" i="1"/>
  <c r="K765" i="1"/>
  <c r="E765" i="1"/>
  <c r="D765" i="1"/>
  <c r="F765" i="1" s="1"/>
  <c r="P764" i="1"/>
  <c r="L764" i="1"/>
  <c r="K764" i="1"/>
  <c r="E764" i="1"/>
  <c r="D764" i="1"/>
  <c r="P763" i="1"/>
  <c r="L763" i="1"/>
  <c r="K763" i="1"/>
  <c r="E763" i="1"/>
  <c r="D763" i="1"/>
  <c r="F763" i="1" s="1"/>
  <c r="P762" i="1"/>
  <c r="L762" i="1"/>
  <c r="K762" i="1"/>
  <c r="E762" i="1"/>
  <c r="D762" i="1"/>
  <c r="P761" i="1"/>
  <c r="L761" i="1"/>
  <c r="K761" i="1"/>
  <c r="M761" i="1" s="1"/>
  <c r="N761" i="1" s="1"/>
  <c r="Q761" i="1" s="1"/>
  <c r="R761" i="1" s="1"/>
  <c r="S761" i="1" s="1"/>
  <c r="T761" i="1" s="1"/>
  <c r="E761" i="1"/>
  <c r="D761" i="1"/>
  <c r="P760" i="1"/>
  <c r="L760" i="1"/>
  <c r="K760" i="1"/>
  <c r="E760" i="1"/>
  <c r="D760" i="1"/>
  <c r="P759" i="1"/>
  <c r="L759" i="1"/>
  <c r="K759" i="1"/>
  <c r="E759" i="1"/>
  <c r="D759" i="1"/>
  <c r="P758" i="1"/>
  <c r="L758" i="1"/>
  <c r="K758" i="1"/>
  <c r="E758" i="1"/>
  <c r="D758" i="1"/>
  <c r="P757" i="1"/>
  <c r="L757" i="1"/>
  <c r="K757" i="1"/>
  <c r="E757" i="1"/>
  <c r="D757" i="1"/>
  <c r="F757" i="1" s="1"/>
  <c r="P756" i="1"/>
  <c r="L756" i="1"/>
  <c r="K756" i="1"/>
  <c r="E756" i="1"/>
  <c r="D756" i="1"/>
  <c r="P755" i="1"/>
  <c r="L755" i="1"/>
  <c r="K755" i="1"/>
  <c r="E755" i="1"/>
  <c r="D755" i="1"/>
  <c r="F755" i="1" s="1"/>
  <c r="P754" i="1"/>
  <c r="L754" i="1"/>
  <c r="K754" i="1"/>
  <c r="E754" i="1"/>
  <c r="D754" i="1"/>
  <c r="P753" i="1"/>
  <c r="L753" i="1"/>
  <c r="K753" i="1"/>
  <c r="E753" i="1"/>
  <c r="D753" i="1"/>
  <c r="P752" i="1"/>
  <c r="L752" i="1"/>
  <c r="K752" i="1"/>
  <c r="E752" i="1"/>
  <c r="D752" i="1"/>
  <c r="P751" i="1"/>
  <c r="L751" i="1"/>
  <c r="K751" i="1"/>
  <c r="E751" i="1"/>
  <c r="D751" i="1"/>
  <c r="P750" i="1"/>
  <c r="L750" i="1"/>
  <c r="K750" i="1"/>
  <c r="E750" i="1"/>
  <c r="D750" i="1"/>
  <c r="P749" i="1"/>
  <c r="L749" i="1"/>
  <c r="M749" i="1" s="1"/>
  <c r="N749" i="1" s="1"/>
  <c r="Q749" i="1" s="1"/>
  <c r="K749" i="1"/>
  <c r="E749" i="1"/>
  <c r="D749" i="1"/>
  <c r="P748" i="1"/>
  <c r="L748" i="1"/>
  <c r="K748" i="1"/>
  <c r="E748" i="1"/>
  <c r="D748" i="1"/>
  <c r="P747" i="1"/>
  <c r="L747" i="1"/>
  <c r="K747" i="1"/>
  <c r="E747" i="1"/>
  <c r="D747" i="1"/>
  <c r="P746" i="1"/>
  <c r="L746" i="1"/>
  <c r="K746" i="1"/>
  <c r="E746" i="1"/>
  <c r="D746" i="1"/>
  <c r="P745" i="1"/>
  <c r="L745" i="1"/>
  <c r="K745" i="1"/>
  <c r="E745" i="1"/>
  <c r="D745" i="1"/>
  <c r="P744" i="1"/>
  <c r="L744" i="1"/>
  <c r="K744" i="1"/>
  <c r="E744" i="1"/>
  <c r="D744" i="1"/>
  <c r="P743" i="1"/>
  <c r="L743" i="1"/>
  <c r="K743" i="1"/>
  <c r="E743" i="1"/>
  <c r="D743" i="1"/>
  <c r="P742" i="1"/>
  <c r="L742" i="1"/>
  <c r="K742" i="1"/>
  <c r="E742" i="1"/>
  <c r="D742" i="1"/>
  <c r="P741" i="1"/>
  <c r="L741" i="1"/>
  <c r="K741" i="1"/>
  <c r="E741" i="1"/>
  <c r="D741" i="1"/>
  <c r="F741" i="1" s="1"/>
  <c r="P740" i="1"/>
  <c r="L740" i="1"/>
  <c r="K740" i="1"/>
  <c r="E740" i="1"/>
  <c r="D740" i="1"/>
  <c r="P739" i="1"/>
  <c r="L739" i="1"/>
  <c r="K739" i="1"/>
  <c r="E739" i="1"/>
  <c r="D739" i="1"/>
  <c r="F739" i="1" s="1"/>
  <c r="P738" i="1"/>
  <c r="L738" i="1"/>
  <c r="K738" i="1"/>
  <c r="E738" i="1"/>
  <c r="D738" i="1"/>
  <c r="P737" i="1"/>
  <c r="L737" i="1"/>
  <c r="K737" i="1"/>
  <c r="M737" i="1" s="1"/>
  <c r="N737" i="1" s="1"/>
  <c r="Q737" i="1" s="1"/>
  <c r="R737" i="1" s="1"/>
  <c r="S737" i="1" s="1"/>
  <c r="T737" i="1" s="1"/>
  <c r="E737" i="1"/>
  <c r="D737" i="1"/>
  <c r="P736" i="1"/>
  <c r="L736" i="1"/>
  <c r="K736" i="1"/>
  <c r="E736" i="1"/>
  <c r="D736" i="1"/>
  <c r="P735" i="1"/>
  <c r="L735" i="1"/>
  <c r="K735" i="1"/>
  <c r="E735" i="1"/>
  <c r="D735" i="1"/>
  <c r="P734" i="1"/>
  <c r="L734" i="1"/>
  <c r="K734" i="1"/>
  <c r="E734" i="1"/>
  <c r="D734" i="1"/>
  <c r="P733" i="1"/>
  <c r="L733" i="1"/>
  <c r="K733" i="1"/>
  <c r="E733" i="1"/>
  <c r="D733" i="1"/>
  <c r="P732" i="1"/>
  <c r="L732" i="1"/>
  <c r="K732" i="1"/>
  <c r="E732" i="1"/>
  <c r="F732" i="1" s="1"/>
  <c r="D732" i="1"/>
  <c r="P731" i="1"/>
  <c r="L731" i="1"/>
  <c r="K731" i="1"/>
  <c r="E731" i="1"/>
  <c r="D731" i="1"/>
  <c r="P730" i="1"/>
  <c r="L730" i="1"/>
  <c r="K730" i="1"/>
  <c r="E730" i="1"/>
  <c r="D730" i="1"/>
  <c r="P729" i="1"/>
  <c r="L729" i="1"/>
  <c r="K729" i="1"/>
  <c r="E729" i="1"/>
  <c r="D729" i="1"/>
  <c r="P728" i="1"/>
  <c r="L728" i="1"/>
  <c r="K728" i="1"/>
  <c r="E728" i="1"/>
  <c r="D728" i="1"/>
  <c r="P727" i="1"/>
  <c r="L727" i="1"/>
  <c r="K727" i="1"/>
  <c r="E727" i="1"/>
  <c r="D727" i="1"/>
  <c r="P726" i="1"/>
  <c r="L726" i="1"/>
  <c r="M726" i="1" s="1"/>
  <c r="N726" i="1" s="1"/>
  <c r="Q726" i="1" s="1"/>
  <c r="R726" i="1" s="1"/>
  <c r="S726" i="1" s="1"/>
  <c r="T726" i="1" s="1"/>
  <c r="K726" i="1"/>
  <c r="E726" i="1"/>
  <c r="D726" i="1"/>
  <c r="P725" i="1"/>
  <c r="L725" i="1"/>
  <c r="K725" i="1"/>
  <c r="E725" i="1"/>
  <c r="D725" i="1"/>
  <c r="P724" i="1"/>
  <c r="L724" i="1"/>
  <c r="K724" i="1"/>
  <c r="E724" i="1"/>
  <c r="D724" i="1"/>
  <c r="P723" i="1"/>
  <c r="L723" i="1"/>
  <c r="K723" i="1"/>
  <c r="E723" i="1"/>
  <c r="D723" i="1"/>
  <c r="F723" i="1" s="1"/>
  <c r="P722" i="1"/>
  <c r="L722" i="1"/>
  <c r="K722" i="1"/>
  <c r="E722" i="1"/>
  <c r="D722" i="1"/>
  <c r="P721" i="1"/>
  <c r="L721" i="1"/>
  <c r="K721" i="1"/>
  <c r="E721" i="1"/>
  <c r="D721" i="1"/>
  <c r="F721" i="1" s="1"/>
  <c r="P720" i="1"/>
  <c r="L720" i="1"/>
  <c r="K720" i="1"/>
  <c r="E720" i="1"/>
  <c r="D720" i="1"/>
  <c r="P719" i="1"/>
  <c r="L719" i="1"/>
  <c r="K719" i="1"/>
  <c r="E719" i="1"/>
  <c r="D719" i="1"/>
  <c r="P718" i="1"/>
  <c r="L718" i="1"/>
  <c r="K718" i="1"/>
  <c r="E718" i="1"/>
  <c r="D718" i="1"/>
  <c r="P717" i="1"/>
  <c r="L717" i="1"/>
  <c r="K717" i="1"/>
  <c r="E717" i="1"/>
  <c r="D717" i="1"/>
  <c r="P716" i="1"/>
  <c r="L716" i="1"/>
  <c r="K716" i="1"/>
  <c r="E716" i="1"/>
  <c r="D716" i="1"/>
  <c r="P715" i="1"/>
  <c r="L715" i="1"/>
  <c r="K715" i="1"/>
  <c r="E715" i="1"/>
  <c r="D715" i="1"/>
  <c r="P714" i="1"/>
  <c r="L714" i="1"/>
  <c r="K714" i="1"/>
  <c r="E714" i="1"/>
  <c r="D714" i="1"/>
  <c r="P713" i="1"/>
  <c r="L713" i="1"/>
  <c r="K713" i="1"/>
  <c r="E713" i="1"/>
  <c r="D713" i="1"/>
  <c r="F713" i="1" s="1"/>
  <c r="P712" i="1"/>
  <c r="L712" i="1"/>
  <c r="M712" i="1" s="1"/>
  <c r="N712" i="1" s="1"/>
  <c r="Q712" i="1" s="1"/>
  <c r="K712" i="1"/>
  <c r="E712" i="1"/>
  <c r="D712" i="1"/>
  <c r="P711" i="1"/>
  <c r="L711" i="1"/>
  <c r="K711" i="1"/>
  <c r="E711" i="1"/>
  <c r="D711" i="1"/>
  <c r="P710" i="1"/>
  <c r="L710" i="1"/>
  <c r="K710" i="1"/>
  <c r="E710" i="1"/>
  <c r="D710" i="1"/>
  <c r="P709" i="1"/>
  <c r="L709" i="1"/>
  <c r="K709" i="1"/>
  <c r="E709" i="1"/>
  <c r="D709" i="1"/>
  <c r="P708" i="1"/>
  <c r="M708" i="1"/>
  <c r="N708" i="1" s="1"/>
  <c r="Q708" i="1" s="1"/>
  <c r="R708" i="1" s="1"/>
  <c r="S708" i="1" s="1"/>
  <c r="T708" i="1" s="1"/>
  <c r="L708" i="1"/>
  <c r="K708" i="1"/>
  <c r="E708" i="1"/>
  <c r="D708" i="1"/>
  <c r="P707" i="1"/>
  <c r="L707" i="1"/>
  <c r="K707" i="1"/>
  <c r="E707" i="1"/>
  <c r="D707" i="1"/>
  <c r="P706" i="1"/>
  <c r="L706" i="1"/>
  <c r="K706" i="1"/>
  <c r="E706" i="1"/>
  <c r="D706" i="1"/>
  <c r="P705" i="1"/>
  <c r="L705" i="1"/>
  <c r="K705" i="1"/>
  <c r="E705" i="1"/>
  <c r="D705" i="1"/>
  <c r="P704" i="1"/>
  <c r="L704" i="1"/>
  <c r="K704" i="1"/>
  <c r="E704" i="1"/>
  <c r="D704" i="1"/>
  <c r="P703" i="1"/>
  <c r="L703" i="1"/>
  <c r="K703" i="1"/>
  <c r="E703" i="1"/>
  <c r="D703" i="1"/>
  <c r="P702" i="1"/>
  <c r="L702" i="1"/>
  <c r="K702" i="1"/>
  <c r="E702" i="1"/>
  <c r="D702" i="1"/>
  <c r="P701" i="1"/>
  <c r="L701" i="1"/>
  <c r="K701" i="1"/>
  <c r="E701" i="1"/>
  <c r="D701" i="1"/>
  <c r="P700" i="1"/>
  <c r="L700" i="1"/>
  <c r="K700" i="1"/>
  <c r="E700" i="1"/>
  <c r="D700" i="1"/>
  <c r="P699" i="1"/>
  <c r="L699" i="1"/>
  <c r="K699" i="1"/>
  <c r="E699" i="1"/>
  <c r="D699" i="1"/>
  <c r="P698" i="1"/>
  <c r="L698" i="1"/>
  <c r="M698" i="1" s="1"/>
  <c r="N698" i="1" s="1"/>
  <c r="Q698" i="1" s="1"/>
  <c r="K698" i="1"/>
  <c r="E698" i="1"/>
  <c r="D698" i="1"/>
  <c r="P697" i="1"/>
  <c r="L697" i="1"/>
  <c r="K697" i="1"/>
  <c r="E697" i="1"/>
  <c r="D697" i="1"/>
  <c r="P696" i="1"/>
  <c r="L696" i="1"/>
  <c r="K696" i="1"/>
  <c r="E696" i="1"/>
  <c r="D696" i="1"/>
  <c r="P695" i="1"/>
  <c r="L695" i="1"/>
  <c r="K695" i="1"/>
  <c r="E695" i="1"/>
  <c r="D695" i="1"/>
  <c r="P694" i="1"/>
  <c r="L694" i="1"/>
  <c r="K694" i="1"/>
  <c r="M694" i="1" s="1"/>
  <c r="N694" i="1" s="1"/>
  <c r="Q694" i="1" s="1"/>
  <c r="R694" i="1" s="1"/>
  <c r="S694" i="1" s="1"/>
  <c r="T694" i="1" s="1"/>
  <c r="E694" i="1"/>
  <c r="D694" i="1"/>
  <c r="F694" i="1" s="1"/>
  <c r="P693" i="1"/>
  <c r="L693" i="1"/>
  <c r="M693" i="1" s="1"/>
  <c r="N693" i="1" s="1"/>
  <c r="Q693" i="1" s="1"/>
  <c r="K693" i="1"/>
  <c r="E693" i="1"/>
  <c r="D693" i="1"/>
  <c r="P692" i="1"/>
  <c r="L692" i="1"/>
  <c r="K692" i="1"/>
  <c r="E692" i="1"/>
  <c r="D692" i="1"/>
  <c r="P691" i="1"/>
  <c r="L691" i="1"/>
  <c r="K691" i="1"/>
  <c r="M691" i="1" s="1"/>
  <c r="N691" i="1" s="1"/>
  <c r="Q691" i="1" s="1"/>
  <c r="R691" i="1" s="1"/>
  <c r="S691" i="1" s="1"/>
  <c r="T691" i="1" s="1"/>
  <c r="E691" i="1"/>
  <c r="D691" i="1"/>
  <c r="P690" i="1"/>
  <c r="L690" i="1"/>
  <c r="K690" i="1"/>
  <c r="E690" i="1"/>
  <c r="D690" i="1"/>
  <c r="P689" i="1"/>
  <c r="L689" i="1"/>
  <c r="K689" i="1"/>
  <c r="E689" i="1"/>
  <c r="D689" i="1"/>
  <c r="P688" i="1"/>
  <c r="L688" i="1"/>
  <c r="M688" i="1" s="1"/>
  <c r="N688" i="1" s="1"/>
  <c r="Q688" i="1" s="1"/>
  <c r="R688" i="1" s="1"/>
  <c r="S688" i="1" s="1"/>
  <c r="T688" i="1" s="1"/>
  <c r="K688" i="1"/>
  <c r="E688" i="1"/>
  <c r="D688" i="1"/>
  <c r="P687" i="1"/>
  <c r="L687" i="1"/>
  <c r="K687" i="1"/>
  <c r="E687" i="1"/>
  <c r="D687" i="1"/>
  <c r="P686" i="1"/>
  <c r="L686" i="1"/>
  <c r="K686" i="1"/>
  <c r="E686" i="1"/>
  <c r="D686" i="1"/>
  <c r="P685" i="1"/>
  <c r="L685" i="1"/>
  <c r="K685" i="1"/>
  <c r="E685" i="1"/>
  <c r="D685" i="1"/>
  <c r="F685" i="1" s="1"/>
  <c r="P684" i="1"/>
  <c r="L684" i="1"/>
  <c r="K684" i="1"/>
  <c r="E684" i="1"/>
  <c r="D684" i="1"/>
  <c r="P683" i="1"/>
  <c r="L683" i="1"/>
  <c r="K683" i="1"/>
  <c r="M683" i="1" s="1"/>
  <c r="N683" i="1" s="1"/>
  <c r="Q683" i="1" s="1"/>
  <c r="R683" i="1" s="1"/>
  <c r="S683" i="1" s="1"/>
  <c r="T683" i="1" s="1"/>
  <c r="E683" i="1"/>
  <c r="D683" i="1"/>
  <c r="F683" i="1" s="1"/>
  <c r="P682" i="1"/>
  <c r="L682" i="1"/>
  <c r="K682" i="1"/>
  <c r="E682" i="1"/>
  <c r="D682" i="1"/>
  <c r="P681" i="1"/>
  <c r="L681" i="1"/>
  <c r="K681" i="1"/>
  <c r="E681" i="1"/>
  <c r="D681" i="1"/>
  <c r="P680" i="1"/>
  <c r="L680" i="1"/>
  <c r="M680" i="1" s="1"/>
  <c r="N680" i="1" s="1"/>
  <c r="Q680" i="1" s="1"/>
  <c r="R680" i="1" s="1"/>
  <c r="S680" i="1" s="1"/>
  <c r="T680" i="1" s="1"/>
  <c r="K680" i="1"/>
  <c r="E680" i="1"/>
  <c r="D680" i="1"/>
  <c r="P679" i="1"/>
  <c r="L679" i="1"/>
  <c r="K679" i="1"/>
  <c r="E679" i="1"/>
  <c r="D679" i="1"/>
  <c r="F679" i="1" s="1"/>
  <c r="P678" i="1"/>
  <c r="L678" i="1"/>
  <c r="K678" i="1"/>
  <c r="E678" i="1"/>
  <c r="D678" i="1"/>
  <c r="P677" i="1"/>
  <c r="L677" i="1"/>
  <c r="K677" i="1"/>
  <c r="M677" i="1" s="1"/>
  <c r="N677" i="1" s="1"/>
  <c r="Q677" i="1" s="1"/>
  <c r="R677" i="1" s="1"/>
  <c r="S677" i="1" s="1"/>
  <c r="T677" i="1" s="1"/>
  <c r="E677" i="1"/>
  <c r="D677" i="1"/>
  <c r="F677" i="1" s="1"/>
  <c r="P676" i="1"/>
  <c r="L676" i="1"/>
  <c r="K676" i="1"/>
  <c r="E676" i="1"/>
  <c r="D676" i="1"/>
  <c r="P675" i="1"/>
  <c r="L675" i="1"/>
  <c r="K675" i="1"/>
  <c r="E675" i="1"/>
  <c r="D675" i="1"/>
  <c r="P674" i="1"/>
  <c r="L674" i="1"/>
  <c r="K674" i="1"/>
  <c r="E674" i="1"/>
  <c r="D674" i="1"/>
  <c r="P673" i="1"/>
  <c r="L673" i="1"/>
  <c r="K673" i="1"/>
  <c r="E673" i="1"/>
  <c r="D673" i="1"/>
  <c r="P672" i="1"/>
  <c r="L672" i="1"/>
  <c r="K672" i="1"/>
  <c r="E672" i="1"/>
  <c r="D672" i="1"/>
  <c r="P671" i="1"/>
  <c r="L671" i="1"/>
  <c r="K671" i="1"/>
  <c r="E671" i="1"/>
  <c r="D671" i="1"/>
  <c r="P670" i="1"/>
  <c r="L670" i="1"/>
  <c r="K670" i="1"/>
  <c r="E670" i="1"/>
  <c r="F670" i="1" s="1"/>
  <c r="D670" i="1"/>
  <c r="P669" i="1"/>
  <c r="L669" i="1"/>
  <c r="K669" i="1"/>
  <c r="E669" i="1"/>
  <c r="D669" i="1"/>
  <c r="P668" i="1"/>
  <c r="L668" i="1"/>
  <c r="K668" i="1"/>
  <c r="E668" i="1"/>
  <c r="D668" i="1"/>
  <c r="P667" i="1"/>
  <c r="L667" i="1"/>
  <c r="K667" i="1"/>
  <c r="M667" i="1" s="1"/>
  <c r="N667" i="1" s="1"/>
  <c r="Q667" i="1" s="1"/>
  <c r="R667" i="1" s="1"/>
  <c r="S667" i="1" s="1"/>
  <c r="T667" i="1" s="1"/>
  <c r="E667" i="1"/>
  <c r="D667" i="1"/>
  <c r="P666" i="1"/>
  <c r="L666" i="1"/>
  <c r="K666" i="1"/>
  <c r="E666" i="1"/>
  <c r="D666" i="1"/>
  <c r="P665" i="1"/>
  <c r="L665" i="1"/>
  <c r="K665" i="1"/>
  <c r="E665" i="1"/>
  <c r="D665" i="1"/>
  <c r="P664" i="1"/>
  <c r="L664" i="1"/>
  <c r="K664" i="1"/>
  <c r="E664" i="1"/>
  <c r="D664" i="1"/>
  <c r="P663" i="1"/>
  <c r="L663" i="1"/>
  <c r="K663" i="1"/>
  <c r="E663" i="1"/>
  <c r="D663" i="1"/>
  <c r="P662" i="1"/>
  <c r="L662" i="1"/>
  <c r="K662" i="1"/>
  <c r="E662" i="1"/>
  <c r="D662" i="1"/>
  <c r="P661" i="1"/>
  <c r="L661" i="1"/>
  <c r="K661" i="1"/>
  <c r="E661" i="1"/>
  <c r="F661" i="1" s="1"/>
  <c r="D661" i="1"/>
  <c r="P660" i="1"/>
  <c r="L660" i="1"/>
  <c r="K660" i="1"/>
  <c r="E660" i="1"/>
  <c r="D660" i="1"/>
  <c r="P659" i="1"/>
  <c r="L659" i="1"/>
  <c r="K659" i="1"/>
  <c r="E659" i="1"/>
  <c r="D659" i="1"/>
  <c r="P658" i="1"/>
  <c r="L658" i="1"/>
  <c r="K658" i="1"/>
  <c r="M658" i="1" s="1"/>
  <c r="N658" i="1" s="1"/>
  <c r="Q658" i="1" s="1"/>
  <c r="E658" i="1"/>
  <c r="D658" i="1"/>
  <c r="P657" i="1"/>
  <c r="L657" i="1"/>
  <c r="K657" i="1"/>
  <c r="E657" i="1"/>
  <c r="F657" i="1" s="1"/>
  <c r="D657" i="1"/>
  <c r="P656" i="1"/>
  <c r="L656" i="1"/>
  <c r="K656" i="1"/>
  <c r="E656" i="1"/>
  <c r="D656" i="1"/>
  <c r="P655" i="1"/>
  <c r="L655" i="1"/>
  <c r="M655" i="1" s="1"/>
  <c r="N655" i="1" s="1"/>
  <c r="Q655" i="1" s="1"/>
  <c r="K655" i="1"/>
  <c r="E655" i="1"/>
  <c r="D655" i="1"/>
  <c r="P654" i="1"/>
  <c r="L654" i="1"/>
  <c r="K654" i="1"/>
  <c r="M654" i="1" s="1"/>
  <c r="N654" i="1" s="1"/>
  <c r="Q654" i="1" s="1"/>
  <c r="E654" i="1"/>
  <c r="D654" i="1"/>
  <c r="P653" i="1"/>
  <c r="L653" i="1"/>
  <c r="K653" i="1"/>
  <c r="E653" i="1"/>
  <c r="D653" i="1"/>
  <c r="P652" i="1"/>
  <c r="L652" i="1"/>
  <c r="K652" i="1"/>
  <c r="E652" i="1"/>
  <c r="D652" i="1"/>
  <c r="P651" i="1"/>
  <c r="L651" i="1"/>
  <c r="K651" i="1"/>
  <c r="E651" i="1"/>
  <c r="D651" i="1"/>
  <c r="P650" i="1"/>
  <c r="L650" i="1"/>
  <c r="M650" i="1" s="1"/>
  <c r="N650" i="1" s="1"/>
  <c r="Q650" i="1" s="1"/>
  <c r="K650" i="1"/>
  <c r="E650" i="1"/>
  <c r="D650" i="1"/>
  <c r="P649" i="1"/>
  <c r="L649" i="1"/>
  <c r="M649" i="1" s="1"/>
  <c r="N649" i="1" s="1"/>
  <c r="Q649" i="1" s="1"/>
  <c r="K649" i="1"/>
  <c r="E649" i="1"/>
  <c r="D649" i="1"/>
  <c r="P648" i="1"/>
  <c r="L648" i="1"/>
  <c r="M648" i="1" s="1"/>
  <c r="N648" i="1" s="1"/>
  <c r="Q648" i="1" s="1"/>
  <c r="R648" i="1" s="1"/>
  <c r="S648" i="1" s="1"/>
  <c r="T648" i="1" s="1"/>
  <c r="K648" i="1"/>
  <c r="E648" i="1"/>
  <c r="D648" i="1"/>
  <c r="P647" i="1"/>
  <c r="L647" i="1"/>
  <c r="K647" i="1"/>
  <c r="E647" i="1"/>
  <c r="F647" i="1" s="1"/>
  <c r="D647" i="1"/>
  <c r="P646" i="1"/>
  <c r="L646" i="1"/>
  <c r="K646" i="1"/>
  <c r="E646" i="1"/>
  <c r="D646" i="1"/>
  <c r="P645" i="1"/>
  <c r="L645" i="1"/>
  <c r="K645" i="1"/>
  <c r="E645" i="1"/>
  <c r="D645" i="1"/>
  <c r="P644" i="1"/>
  <c r="L644" i="1"/>
  <c r="K644" i="1"/>
  <c r="M644" i="1" s="1"/>
  <c r="N644" i="1" s="1"/>
  <c r="Q644" i="1" s="1"/>
  <c r="E644" i="1"/>
  <c r="D644" i="1"/>
  <c r="F644" i="1" s="1"/>
  <c r="P643" i="1"/>
  <c r="L643" i="1"/>
  <c r="K643" i="1"/>
  <c r="E643" i="1"/>
  <c r="D643" i="1"/>
  <c r="P642" i="1"/>
  <c r="L642" i="1"/>
  <c r="K642" i="1"/>
  <c r="M642" i="1" s="1"/>
  <c r="N642" i="1" s="1"/>
  <c r="Q642" i="1" s="1"/>
  <c r="E642" i="1"/>
  <c r="D642" i="1"/>
  <c r="P641" i="1"/>
  <c r="L641" i="1"/>
  <c r="K641" i="1"/>
  <c r="E641" i="1"/>
  <c r="D641" i="1"/>
  <c r="P640" i="1"/>
  <c r="L640" i="1"/>
  <c r="K640" i="1"/>
  <c r="M640" i="1" s="1"/>
  <c r="N640" i="1" s="1"/>
  <c r="Q640" i="1" s="1"/>
  <c r="E640" i="1"/>
  <c r="D640" i="1"/>
  <c r="P639" i="1"/>
  <c r="L639" i="1"/>
  <c r="K639" i="1"/>
  <c r="E639" i="1"/>
  <c r="D639" i="1"/>
  <c r="P638" i="1"/>
  <c r="L638" i="1"/>
  <c r="K638" i="1"/>
  <c r="E638" i="1"/>
  <c r="D638" i="1"/>
  <c r="P637" i="1"/>
  <c r="L637" i="1"/>
  <c r="K637" i="1"/>
  <c r="E637" i="1"/>
  <c r="D637" i="1"/>
  <c r="P636" i="1"/>
  <c r="L636" i="1"/>
  <c r="K636" i="1"/>
  <c r="E636" i="1"/>
  <c r="D636" i="1"/>
  <c r="P635" i="1"/>
  <c r="L635" i="1"/>
  <c r="K635" i="1"/>
  <c r="E635" i="1"/>
  <c r="D635" i="1"/>
  <c r="P634" i="1"/>
  <c r="L634" i="1"/>
  <c r="K634" i="1"/>
  <c r="E634" i="1"/>
  <c r="D634" i="1"/>
  <c r="F634" i="1" s="1"/>
  <c r="P633" i="1"/>
  <c r="L633" i="1"/>
  <c r="K633" i="1"/>
  <c r="E633" i="1"/>
  <c r="D633" i="1"/>
  <c r="P632" i="1"/>
  <c r="L632" i="1"/>
  <c r="K632" i="1"/>
  <c r="E632" i="1"/>
  <c r="D632" i="1"/>
  <c r="P631" i="1"/>
  <c r="L631" i="1"/>
  <c r="M631" i="1" s="1"/>
  <c r="N631" i="1" s="1"/>
  <c r="Q631" i="1" s="1"/>
  <c r="K631" i="1"/>
  <c r="F631" i="1"/>
  <c r="E631" i="1"/>
  <c r="D631" i="1"/>
  <c r="P630" i="1"/>
  <c r="L630" i="1"/>
  <c r="K630" i="1"/>
  <c r="E630" i="1"/>
  <c r="D630" i="1"/>
  <c r="P629" i="1"/>
  <c r="L629" i="1"/>
  <c r="K629" i="1"/>
  <c r="E629" i="1"/>
  <c r="D629" i="1"/>
  <c r="P628" i="1"/>
  <c r="L628" i="1"/>
  <c r="K628" i="1"/>
  <c r="E628" i="1"/>
  <c r="D628" i="1"/>
  <c r="P627" i="1"/>
  <c r="L627" i="1"/>
  <c r="K627" i="1"/>
  <c r="E627" i="1"/>
  <c r="D627" i="1"/>
  <c r="P626" i="1"/>
  <c r="L626" i="1"/>
  <c r="K626" i="1"/>
  <c r="E626" i="1"/>
  <c r="D626" i="1"/>
  <c r="P625" i="1"/>
  <c r="L625" i="1"/>
  <c r="K625" i="1"/>
  <c r="E625" i="1"/>
  <c r="D625" i="1"/>
  <c r="F625" i="1" s="1"/>
  <c r="P624" i="1"/>
  <c r="L624" i="1"/>
  <c r="K624" i="1"/>
  <c r="E624" i="1"/>
  <c r="D624" i="1"/>
  <c r="P623" i="1"/>
  <c r="L623" i="1"/>
  <c r="K623" i="1"/>
  <c r="M623" i="1" s="1"/>
  <c r="N623" i="1" s="1"/>
  <c r="Q623" i="1" s="1"/>
  <c r="R623" i="1" s="1"/>
  <c r="S623" i="1" s="1"/>
  <c r="T623" i="1" s="1"/>
  <c r="E623" i="1"/>
  <c r="D623" i="1"/>
  <c r="P622" i="1"/>
  <c r="L622" i="1"/>
  <c r="K622" i="1"/>
  <c r="E622" i="1"/>
  <c r="D622" i="1"/>
  <c r="P621" i="1"/>
  <c r="L621" i="1"/>
  <c r="M621" i="1" s="1"/>
  <c r="N621" i="1" s="1"/>
  <c r="Q621" i="1" s="1"/>
  <c r="E621" i="1"/>
  <c r="D621" i="1"/>
  <c r="P620" i="1"/>
  <c r="L620" i="1"/>
  <c r="K620" i="1"/>
  <c r="E620" i="1"/>
  <c r="D620" i="1"/>
  <c r="P619" i="1"/>
  <c r="L619" i="1"/>
  <c r="K619" i="1"/>
  <c r="E619" i="1"/>
  <c r="D619" i="1"/>
  <c r="P618" i="1"/>
  <c r="L618" i="1"/>
  <c r="K618" i="1"/>
  <c r="E618" i="1"/>
  <c r="F618" i="1" s="1"/>
  <c r="D618" i="1"/>
  <c r="P617" i="1"/>
  <c r="L617" i="1"/>
  <c r="K617" i="1"/>
  <c r="M617" i="1" s="1"/>
  <c r="N617" i="1" s="1"/>
  <c r="Q617" i="1" s="1"/>
  <c r="R617" i="1" s="1"/>
  <c r="S617" i="1" s="1"/>
  <c r="T617" i="1" s="1"/>
  <c r="E617" i="1"/>
  <c r="D617" i="1"/>
  <c r="P616" i="1"/>
  <c r="L616" i="1"/>
  <c r="K616" i="1"/>
  <c r="E616" i="1"/>
  <c r="D616" i="1"/>
  <c r="P615" i="1"/>
  <c r="L615" i="1"/>
  <c r="K615" i="1"/>
  <c r="E615" i="1"/>
  <c r="D615" i="1"/>
  <c r="P614" i="1"/>
  <c r="L614" i="1"/>
  <c r="K614" i="1"/>
  <c r="E614" i="1"/>
  <c r="D614" i="1"/>
  <c r="P613" i="1"/>
  <c r="L613" i="1"/>
  <c r="K613" i="1"/>
  <c r="E613" i="1"/>
  <c r="D613" i="1"/>
  <c r="P612" i="1"/>
  <c r="L612" i="1"/>
  <c r="K612" i="1"/>
  <c r="E612" i="1"/>
  <c r="F612" i="1" s="1"/>
  <c r="D612" i="1"/>
  <c r="P611" i="1"/>
  <c r="L611" i="1"/>
  <c r="K611" i="1"/>
  <c r="E611" i="1"/>
  <c r="D611" i="1"/>
  <c r="P610" i="1"/>
  <c r="L610" i="1"/>
  <c r="K610" i="1"/>
  <c r="E610" i="1"/>
  <c r="D610" i="1"/>
  <c r="P609" i="1"/>
  <c r="L609" i="1"/>
  <c r="K609" i="1"/>
  <c r="E609" i="1"/>
  <c r="D609" i="1"/>
  <c r="P608" i="1"/>
  <c r="L608" i="1"/>
  <c r="K608" i="1"/>
  <c r="E608" i="1"/>
  <c r="D608" i="1"/>
  <c r="P607" i="1"/>
  <c r="L607" i="1"/>
  <c r="K607" i="1"/>
  <c r="E607" i="1"/>
  <c r="D607" i="1"/>
  <c r="P606" i="1"/>
  <c r="L606" i="1"/>
  <c r="K606" i="1"/>
  <c r="E606" i="1"/>
  <c r="D606" i="1"/>
  <c r="P605" i="1"/>
  <c r="L605" i="1"/>
  <c r="K605" i="1"/>
  <c r="E605" i="1"/>
  <c r="D605" i="1"/>
  <c r="P604" i="1"/>
  <c r="L604" i="1"/>
  <c r="K604" i="1"/>
  <c r="E604" i="1"/>
  <c r="D604" i="1"/>
  <c r="P603" i="1"/>
  <c r="L603" i="1"/>
  <c r="K603" i="1"/>
  <c r="E603" i="1"/>
  <c r="D603" i="1"/>
  <c r="P602" i="1"/>
  <c r="L602" i="1"/>
  <c r="K602" i="1"/>
  <c r="E602" i="1"/>
  <c r="D602" i="1"/>
  <c r="P601" i="1"/>
  <c r="L601" i="1"/>
  <c r="K601" i="1"/>
  <c r="M601" i="1" s="1"/>
  <c r="N601" i="1" s="1"/>
  <c r="Q601" i="1" s="1"/>
  <c r="R601" i="1" s="1"/>
  <c r="S601" i="1" s="1"/>
  <c r="T601" i="1" s="1"/>
  <c r="E601" i="1"/>
  <c r="D601" i="1"/>
  <c r="P600" i="1"/>
  <c r="L600" i="1"/>
  <c r="K600" i="1"/>
  <c r="E600" i="1"/>
  <c r="D600" i="1"/>
  <c r="P599" i="1"/>
  <c r="L599" i="1"/>
  <c r="K599" i="1"/>
  <c r="E599" i="1"/>
  <c r="D599" i="1"/>
  <c r="P598" i="1"/>
  <c r="L598" i="1"/>
  <c r="M598" i="1" s="1"/>
  <c r="N598" i="1" s="1"/>
  <c r="Q598" i="1" s="1"/>
  <c r="K598" i="1"/>
  <c r="E598" i="1"/>
  <c r="D598" i="1"/>
  <c r="P597" i="1"/>
  <c r="L597" i="1"/>
  <c r="K597" i="1"/>
  <c r="E597" i="1"/>
  <c r="D597" i="1"/>
  <c r="P596" i="1"/>
  <c r="L596" i="1"/>
  <c r="M596" i="1" s="1"/>
  <c r="N596" i="1" s="1"/>
  <c r="Q596" i="1" s="1"/>
  <c r="R596" i="1" s="1"/>
  <c r="S596" i="1" s="1"/>
  <c r="T596" i="1" s="1"/>
  <c r="K596" i="1"/>
  <c r="E596" i="1"/>
  <c r="D596" i="1"/>
  <c r="P595" i="1"/>
  <c r="L595" i="1"/>
  <c r="K595" i="1"/>
  <c r="E595" i="1"/>
  <c r="D595" i="1"/>
  <c r="P594" i="1"/>
  <c r="L594" i="1"/>
  <c r="M594" i="1" s="1"/>
  <c r="N594" i="1" s="1"/>
  <c r="Q594" i="1" s="1"/>
  <c r="R594" i="1" s="1"/>
  <c r="S594" i="1" s="1"/>
  <c r="T594" i="1" s="1"/>
  <c r="K594" i="1"/>
  <c r="E594" i="1"/>
  <c r="D594" i="1"/>
  <c r="P593" i="1"/>
  <c r="L593" i="1"/>
  <c r="K593" i="1"/>
  <c r="M593" i="1" s="1"/>
  <c r="N593" i="1" s="1"/>
  <c r="Q593" i="1" s="1"/>
  <c r="R593" i="1" s="1"/>
  <c r="S593" i="1" s="1"/>
  <c r="T593" i="1" s="1"/>
  <c r="E593" i="1"/>
  <c r="D593" i="1"/>
  <c r="P592" i="1"/>
  <c r="L592" i="1"/>
  <c r="K592" i="1"/>
  <c r="E592" i="1"/>
  <c r="D592" i="1"/>
  <c r="P591" i="1"/>
  <c r="L591" i="1"/>
  <c r="M591" i="1" s="1"/>
  <c r="N591" i="1" s="1"/>
  <c r="Q591" i="1" s="1"/>
  <c r="K591" i="1"/>
  <c r="E591" i="1"/>
  <c r="D591" i="1"/>
  <c r="P590" i="1"/>
  <c r="L590" i="1"/>
  <c r="K590" i="1"/>
  <c r="E590" i="1"/>
  <c r="D590" i="1"/>
  <c r="P589" i="1"/>
  <c r="L589" i="1"/>
  <c r="K589" i="1"/>
  <c r="E589" i="1"/>
  <c r="D589" i="1"/>
  <c r="P588" i="1"/>
  <c r="L588" i="1"/>
  <c r="K588" i="1"/>
  <c r="M588" i="1" s="1"/>
  <c r="N588" i="1" s="1"/>
  <c r="Q588" i="1" s="1"/>
  <c r="E588" i="1"/>
  <c r="D588" i="1"/>
  <c r="P587" i="1"/>
  <c r="L587" i="1"/>
  <c r="K587" i="1"/>
  <c r="E587" i="1"/>
  <c r="D587" i="1"/>
  <c r="P586" i="1"/>
  <c r="L586" i="1"/>
  <c r="K586" i="1"/>
  <c r="E586" i="1"/>
  <c r="D586" i="1"/>
  <c r="P585" i="1"/>
  <c r="L585" i="1"/>
  <c r="K585" i="1"/>
  <c r="E585" i="1"/>
  <c r="D585" i="1"/>
  <c r="P584" i="1"/>
  <c r="L584" i="1"/>
  <c r="K584" i="1"/>
  <c r="E584" i="1"/>
  <c r="D584" i="1"/>
  <c r="P583" i="1"/>
  <c r="L583" i="1"/>
  <c r="K583" i="1"/>
  <c r="E583" i="1"/>
  <c r="D583" i="1"/>
  <c r="P582" i="1"/>
  <c r="L582" i="1"/>
  <c r="K582" i="1"/>
  <c r="E582" i="1"/>
  <c r="D582" i="1"/>
  <c r="P581" i="1"/>
  <c r="L581" i="1"/>
  <c r="K581" i="1"/>
  <c r="E581" i="1"/>
  <c r="D581" i="1"/>
  <c r="P580" i="1"/>
  <c r="L580" i="1"/>
  <c r="K580" i="1"/>
  <c r="E580" i="1"/>
  <c r="D580" i="1"/>
  <c r="P579" i="1"/>
  <c r="L579" i="1"/>
  <c r="M579" i="1" s="1"/>
  <c r="N579" i="1" s="1"/>
  <c r="Q579" i="1" s="1"/>
  <c r="K579" i="1"/>
  <c r="E579" i="1"/>
  <c r="D579" i="1"/>
  <c r="P578" i="1"/>
  <c r="L578" i="1"/>
  <c r="K578" i="1"/>
  <c r="E578" i="1"/>
  <c r="D578" i="1"/>
  <c r="P577" i="1"/>
  <c r="L577" i="1"/>
  <c r="K577" i="1"/>
  <c r="E577" i="1"/>
  <c r="D577" i="1"/>
  <c r="P576" i="1"/>
  <c r="L576" i="1"/>
  <c r="K576" i="1"/>
  <c r="E576" i="1"/>
  <c r="D576" i="1"/>
  <c r="P575" i="1"/>
  <c r="L575" i="1"/>
  <c r="M575" i="1" s="1"/>
  <c r="N575" i="1" s="1"/>
  <c r="Q575" i="1" s="1"/>
  <c r="K575" i="1"/>
  <c r="E575" i="1"/>
  <c r="D575" i="1"/>
  <c r="P574" i="1"/>
  <c r="L574" i="1"/>
  <c r="K574" i="1"/>
  <c r="E574" i="1"/>
  <c r="D574" i="1"/>
  <c r="P573" i="1"/>
  <c r="L573" i="1"/>
  <c r="K573" i="1"/>
  <c r="E573" i="1"/>
  <c r="D573" i="1"/>
  <c r="P572" i="1"/>
  <c r="L572" i="1"/>
  <c r="K572" i="1"/>
  <c r="E572" i="1"/>
  <c r="D572" i="1"/>
  <c r="P571" i="1"/>
  <c r="L571" i="1"/>
  <c r="K571" i="1"/>
  <c r="E571" i="1"/>
  <c r="D571" i="1"/>
  <c r="P570" i="1"/>
  <c r="L570" i="1"/>
  <c r="K570" i="1"/>
  <c r="E570" i="1"/>
  <c r="D570" i="1"/>
  <c r="P569" i="1"/>
  <c r="L569" i="1"/>
  <c r="K569" i="1"/>
  <c r="E569" i="1"/>
  <c r="D569" i="1"/>
  <c r="P568" i="1"/>
  <c r="L568" i="1"/>
  <c r="K568" i="1"/>
  <c r="E568" i="1"/>
  <c r="D568" i="1"/>
  <c r="P567" i="1"/>
  <c r="L567" i="1"/>
  <c r="K567" i="1"/>
  <c r="E567" i="1"/>
  <c r="D567" i="1"/>
  <c r="P566" i="1"/>
  <c r="L566" i="1"/>
  <c r="K566" i="1"/>
  <c r="E566" i="1"/>
  <c r="D566" i="1"/>
  <c r="P565" i="1"/>
  <c r="L565" i="1"/>
  <c r="K565" i="1"/>
  <c r="E565" i="1"/>
  <c r="D565" i="1"/>
  <c r="P564" i="1"/>
  <c r="L564" i="1"/>
  <c r="K564" i="1"/>
  <c r="M564" i="1" s="1"/>
  <c r="N564" i="1" s="1"/>
  <c r="Q564" i="1" s="1"/>
  <c r="E564" i="1"/>
  <c r="D564" i="1"/>
  <c r="P563" i="1"/>
  <c r="L563" i="1"/>
  <c r="K563" i="1"/>
  <c r="E563" i="1"/>
  <c r="D563" i="1"/>
  <c r="P562" i="1"/>
  <c r="L562" i="1"/>
  <c r="K562" i="1"/>
  <c r="E562" i="1"/>
  <c r="F562" i="1" s="1"/>
  <c r="D562" i="1"/>
  <c r="P561" i="1"/>
  <c r="L561" i="1"/>
  <c r="K561" i="1"/>
  <c r="E561" i="1"/>
  <c r="D561" i="1"/>
  <c r="P560" i="1"/>
  <c r="L560" i="1"/>
  <c r="K560" i="1"/>
  <c r="E560" i="1"/>
  <c r="D560" i="1"/>
  <c r="P559" i="1"/>
  <c r="L559" i="1"/>
  <c r="K559" i="1"/>
  <c r="E559" i="1"/>
  <c r="D559" i="1"/>
  <c r="P558" i="1"/>
  <c r="L558" i="1"/>
  <c r="K558" i="1"/>
  <c r="E558" i="1"/>
  <c r="D558" i="1"/>
  <c r="F558" i="1" s="1"/>
  <c r="P557" i="1"/>
  <c r="L557" i="1"/>
  <c r="K557" i="1"/>
  <c r="E557" i="1"/>
  <c r="D557" i="1"/>
  <c r="P556" i="1"/>
  <c r="L556" i="1"/>
  <c r="K556" i="1"/>
  <c r="E556" i="1"/>
  <c r="D556" i="1"/>
  <c r="F556" i="1" s="1"/>
  <c r="P555" i="1"/>
  <c r="L555" i="1"/>
  <c r="K555" i="1"/>
  <c r="E555" i="1"/>
  <c r="D555" i="1"/>
  <c r="P554" i="1"/>
  <c r="L554" i="1"/>
  <c r="K554" i="1"/>
  <c r="M554" i="1" s="1"/>
  <c r="N554" i="1" s="1"/>
  <c r="Q554" i="1" s="1"/>
  <c r="R554" i="1" s="1"/>
  <c r="S554" i="1" s="1"/>
  <c r="T554" i="1" s="1"/>
  <c r="E554" i="1"/>
  <c r="D554" i="1"/>
  <c r="P553" i="1"/>
  <c r="L553" i="1"/>
  <c r="K553" i="1"/>
  <c r="E553" i="1"/>
  <c r="D553" i="1"/>
  <c r="P552" i="1"/>
  <c r="L552" i="1"/>
  <c r="K552" i="1"/>
  <c r="E552" i="1"/>
  <c r="D552" i="1"/>
  <c r="P551" i="1"/>
  <c r="L551" i="1"/>
  <c r="K551" i="1"/>
  <c r="E551" i="1"/>
  <c r="D551" i="1"/>
  <c r="P550" i="1"/>
  <c r="L550" i="1"/>
  <c r="K550" i="1"/>
  <c r="E550" i="1"/>
  <c r="D550" i="1"/>
  <c r="P549" i="1"/>
  <c r="L549" i="1"/>
  <c r="K549" i="1"/>
  <c r="E549" i="1"/>
  <c r="D549" i="1"/>
  <c r="P548" i="1"/>
  <c r="L548" i="1"/>
  <c r="K548" i="1"/>
  <c r="M548" i="1" s="1"/>
  <c r="N548" i="1" s="1"/>
  <c r="Q548" i="1" s="1"/>
  <c r="E548" i="1"/>
  <c r="D548" i="1"/>
  <c r="P547" i="1"/>
  <c r="L547" i="1"/>
  <c r="K547" i="1"/>
  <c r="E547" i="1"/>
  <c r="D547" i="1"/>
  <c r="P546" i="1"/>
  <c r="L546" i="1"/>
  <c r="K546" i="1"/>
  <c r="E546" i="1"/>
  <c r="D546" i="1"/>
  <c r="P545" i="1"/>
  <c r="L545" i="1"/>
  <c r="K545" i="1"/>
  <c r="E545" i="1"/>
  <c r="D545" i="1"/>
  <c r="P544" i="1"/>
  <c r="L544" i="1"/>
  <c r="K544" i="1"/>
  <c r="E544" i="1"/>
  <c r="D544" i="1"/>
  <c r="P543" i="1"/>
  <c r="L543" i="1"/>
  <c r="M543" i="1" s="1"/>
  <c r="N543" i="1" s="1"/>
  <c r="Q543" i="1" s="1"/>
  <c r="K543" i="1"/>
  <c r="E543" i="1"/>
  <c r="D543" i="1"/>
  <c r="P542" i="1"/>
  <c r="L542" i="1"/>
  <c r="K542" i="1"/>
  <c r="E542" i="1"/>
  <c r="D542" i="1"/>
  <c r="F542" i="1" s="1"/>
  <c r="P541" i="1"/>
  <c r="L541" i="1"/>
  <c r="K541" i="1"/>
  <c r="E541" i="1"/>
  <c r="D541" i="1"/>
  <c r="P540" i="1"/>
  <c r="L540" i="1"/>
  <c r="K540" i="1"/>
  <c r="E540" i="1"/>
  <c r="D540" i="1"/>
  <c r="P539" i="1"/>
  <c r="L539" i="1"/>
  <c r="K539" i="1"/>
  <c r="E539" i="1"/>
  <c r="D539" i="1"/>
  <c r="P538" i="1"/>
  <c r="L538" i="1"/>
  <c r="K538" i="1"/>
  <c r="E538" i="1"/>
  <c r="D538" i="1"/>
  <c r="P537" i="1"/>
  <c r="L537" i="1"/>
  <c r="K537" i="1"/>
  <c r="E537" i="1"/>
  <c r="D537" i="1"/>
  <c r="P536" i="1"/>
  <c r="L536" i="1"/>
  <c r="K536" i="1"/>
  <c r="E536" i="1"/>
  <c r="D536" i="1"/>
  <c r="F536" i="1" s="1"/>
  <c r="P535" i="1"/>
  <c r="L535" i="1"/>
  <c r="K535" i="1"/>
  <c r="E535" i="1"/>
  <c r="D535" i="1"/>
  <c r="P534" i="1"/>
  <c r="L534" i="1"/>
  <c r="K534" i="1"/>
  <c r="M534" i="1" s="1"/>
  <c r="N534" i="1" s="1"/>
  <c r="Q534" i="1" s="1"/>
  <c r="R534" i="1" s="1"/>
  <c r="S534" i="1" s="1"/>
  <c r="T534" i="1" s="1"/>
  <c r="E534" i="1"/>
  <c r="D534" i="1"/>
  <c r="P533" i="1"/>
  <c r="L533" i="1"/>
  <c r="K533" i="1"/>
  <c r="E533" i="1"/>
  <c r="D533" i="1"/>
  <c r="P532" i="1"/>
  <c r="L532" i="1"/>
  <c r="M532" i="1" s="1"/>
  <c r="N532" i="1" s="1"/>
  <c r="Q532" i="1" s="1"/>
  <c r="K532" i="1"/>
  <c r="E532" i="1"/>
  <c r="D532" i="1"/>
  <c r="P531" i="1"/>
  <c r="L531" i="1"/>
  <c r="K531" i="1"/>
  <c r="E531" i="1"/>
  <c r="D531" i="1"/>
  <c r="P530" i="1"/>
  <c r="L530" i="1"/>
  <c r="K530" i="1"/>
  <c r="E530" i="1"/>
  <c r="D530" i="1"/>
  <c r="P529" i="1"/>
  <c r="L529" i="1"/>
  <c r="M529" i="1" s="1"/>
  <c r="N529" i="1" s="1"/>
  <c r="Q529" i="1" s="1"/>
  <c r="R529" i="1" s="1"/>
  <c r="S529" i="1" s="1"/>
  <c r="T529" i="1" s="1"/>
  <c r="K529" i="1"/>
  <c r="E529" i="1"/>
  <c r="D529" i="1"/>
  <c r="P528" i="1"/>
  <c r="L528" i="1"/>
  <c r="K528" i="1"/>
  <c r="E528" i="1"/>
  <c r="D528" i="1"/>
  <c r="P527" i="1"/>
  <c r="L527" i="1"/>
  <c r="M527" i="1" s="1"/>
  <c r="N527" i="1" s="1"/>
  <c r="Q527" i="1" s="1"/>
  <c r="K527" i="1"/>
  <c r="E527" i="1"/>
  <c r="D527" i="1"/>
  <c r="P526" i="1"/>
  <c r="L526" i="1"/>
  <c r="K526" i="1"/>
  <c r="E526" i="1"/>
  <c r="D526" i="1"/>
  <c r="P525" i="1"/>
  <c r="L525" i="1"/>
  <c r="K525" i="1"/>
  <c r="E525" i="1"/>
  <c r="D525" i="1"/>
  <c r="P524" i="1"/>
  <c r="L524" i="1"/>
  <c r="K524" i="1"/>
  <c r="M524" i="1" s="1"/>
  <c r="N524" i="1" s="1"/>
  <c r="Q524" i="1" s="1"/>
  <c r="E524" i="1"/>
  <c r="D524" i="1"/>
  <c r="P523" i="1"/>
  <c r="L523" i="1"/>
  <c r="K523" i="1"/>
  <c r="E523" i="1"/>
  <c r="D523" i="1"/>
  <c r="P522" i="1"/>
  <c r="L522" i="1"/>
  <c r="K522" i="1"/>
  <c r="E522" i="1"/>
  <c r="D522" i="1"/>
  <c r="P521" i="1"/>
  <c r="L521" i="1"/>
  <c r="K521" i="1"/>
  <c r="E521" i="1"/>
  <c r="D521" i="1"/>
  <c r="P520" i="1"/>
  <c r="L520" i="1"/>
  <c r="K520" i="1"/>
  <c r="E520" i="1"/>
  <c r="D520" i="1"/>
  <c r="P519" i="1"/>
  <c r="L519" i="1"/>
  <c r="K519" i="1"/>
  <c r="E519" i="1"/>
  <c r="D519" i="1"/>
  <c r="P518" i="1"/>
  <c r="L518" i="1"/>
  <c r="K518" i="1"/>
  <c r="E518" i="1"/>
  <c r="D518" i="1"/>
  <c r="P517" i="1"/>
  <c r="L517" i="1"/>
  <c r="K517" i="1"/>
  <c r="E517" i="1"/>
  <c r="D517" i="1"/>
  <c r="P516" i="1"/>
  <c r="L516" i="1"/>
  <c r="K516" i="1"/>
  <c r="E516" i="1"/>
  <c r="F516" i="1" s="1"/>
  <c r="D516" i="1"/>
  <c r="P515" i="1"/>
  <c r="L515" i="1"/>
  <c r="K515" i="1"/>
  <c r="E515" i="1"/>
  <c r="D515" i="1"/>
  <c r="P514" i="1"/>
  <c r="L514" i="1"/>
  <c r="K514" i="1"/>
  <c r="E514" i="1"/>
  <c r="D514" i="1"/>
  <c r="P513" i="1"/>
  <c r="L513" i="1"/>
  <c r="K513" i="1"/>
  <c r="E513" i="1"/>
  <c r="D513" i="1"/>
  <c r="P512" i="1"/>
  <c r="L512" i="1"/>
  <c r="K512" i="1"/>
  <c r="E512" i="1"/>
  <c r="D512" i="1"/>
  <c r="P511" i="1"/>
  <c r="L511" i="1"/>
  <c r="K511" i="1"/>
  <c r="E511" i="1"/>
  <c r="D511" i="1"/>
  <c r="P510" i="1"/>
  <c r="L510" i="1"/>
  <c r="K510" i="1"/>
  <c r="E510" i="1"/>
  <c r="D510" i="1"/>
  <c r="P509" i="1"/>
  <c r="L509" i="1"/>
  <c r="K509" i="1"/>
  <c r="E509" i="1"/>
  <c r="D509" i="1"/>
  <c r="P508" i="1"/>
  <c r="L508" i="1"/>
  <c r="K508" i="1"/>
  <c r="M508" i="1" s="1"/>
  <c r="N508" i="1" s="1"/>
  <c r="Q508" i="1" s="1"/>
  <c r="E508" i="1"/>
  <c r="D508" i="1"/>
  <c r="P507" i="1"/>
  <c r="L507" i="1"/>
  <c r="K507" i="1"/>
  <c r="E507" i="1"/>
  <c r="D507" i="1"/>
  <c r="P506" i="1"/>
  <c r="L506" i="1"/>
  <c r="K506" i="1"/>
  <c r="E506" i="1"/>
  <c r="D506" i="1"/>
  <c r="F506" i="1" s="1"/>
  <c r="P505" i="1"/>
  <c r="L505" i="1"/>
  <c r="K505" i="1"/>
  <c r="E505" i="1"/>
  <c r="D505" i="1"/>
  <c r="P504" i="1"/>
  <c r="L504" i="1"/>
  <c r="K504" i="1"/>
  <c r="E504" i="1"/>
  <c r="D504" i="1"/>
  <c r="P503" i="1"/>
  <c r="L503" i="1"/>
  <c r="K503" i="1"/>
  <c r="E503" i="1"/>
  <c r="D503" i="1"/>
  <c r="P502" i="1"/>
  <c r="L502" i="1"/>
  <c r="K502" i="1"/>
  <c r="M502" i="1" s="1"/>
  <c r="N502" i="1" s="1"/>
  <c r="Q502" i="1" s="1"/>
  <c r="E502" i="1"/>
  <c r="D502" i="1"/>
  <c r="P501" i="1"/>
  <c r="L501" i="1"/>
  <c r="K501" i="1"/>
  <c r="E501" i="1"/>
  <c r="D501" i="1"/>
  <c r="P500" i="1"/>
  <c r="L500" i="1"/>
  <c r="K500" i="1"/>
  <c r="E500" i="1"/>
  <c r="D500" i="1"/>
  <c r="P499" i="1"/>
  <c r="L499" i="1"/>
  <c r="K499" i="1"/>
  <c r="E499" i="1"/>
  <c r="D499" i="1"/>
  <c r="P498" i="1"/>
  <c r="L498" i="1"/>
  <c r="K498" i="1"/>
  <c r="E498" i="1"/>
  <c r="D498" i="1"/>
  <c r="P497" i="1"/>
  <c r="L497" i="1"/>
  <c r="K497" i="1"/>
  <c r="E497" i="1"/>
  <c r="D497" i="1"/>
  <c r="P496" i="1"/>
  <c r="L496" i="1"/>
  <c r="K496" i="1"/>
  <c r="E496" i="1"/>
  <c r="D496" i="1"/>
  <c r="P495" i="1"/>
  <c r="L495" i="1"/>
  <c r="M495" i="1" s="1"/>
  <c r="N495" i="1" s="1"/>
  <c r="Q495" i="1" s="1"/>
  <c r="K495" i="1"/>
  <c r="E495" i="1"/>
  <c r="D495" i="1"/>
  <c r="P494" i="1"/>
  <c r="L494" i="1"/>
  <c r="K494" i="1"/>
  <c r="E494" i="1"/>
  <c r="D494" i="1"/>
  <c r="P493" i="1"/>
  <c r="L493" i="1"/>
  <c r="K493" i="1"/>
  <c r="E493" i="1"/>
  <c r="D493" i="1"/>
  <c r="P492" i="1"/>
  <c r="L492" i="1"/>
  <c r="K492" i="1"/>
  <c r="E492" i="1"/>
  <c r="D492" i="1"/>
  <c r="P491" i="1"/>
  <c r="L491" i="1"/>
  <c r="K491" i="1"/>
  <c r="E491" i="1"/>
  <c r="D491" i="1"/>
  <c r="P490" i="1"/>
  <c r="L490" i="1"/>
  <c r="K490" i="1"/>
  <c r="E490" i="1"/>
  <c r="D490" i="1"/>
  <c r="P489" i="1"/>
  <c r="L489" i="1"/>
  <c r="K489" i="1"/>
  <c r="E489" i="1"/>
  <c r="D489" i="1"/>
  <c r="P488" i="1"/>
  <c r="L488" i="1"/>
  <c r="K488" i="1"/>
  <c r="E488" i="1"/>
  <c r="D488" i="1"/>
  <c r="P487" i="1"/>
  <c r="L487" i="1"/>
  <c r="K487" i="1"/>
  <c r="E487" i="1"/>
  <c r="D487" i="1"/>
  <c r="P486" i="1"/>
  <c r="L486" i="1"/>
  <c r="K486" i="1"/>
  <c r="E486" i="1"/>
  <c r="D486" i="1"/>
  <c r="F486" i="1" s="1"/>
  <c r="P485" i="1"/>
  <c r="L485" i="1"/>
  <c r="K485" i="1"/>
  <c r="E485" i="1"/>
  <c r="D485" i="1"/>
  <c r="P484" i="1"/>
  <c r="L484" i="1"/>
  <c r="K484" i="1"/>
  <c r="M484" i="1" s="1"/>
  <c r="N484" i="1" s="1"/>
  <c r="Q484" i="1" s="1"/>
  <c r="E484" i="1"/>
  <c r="D484" i="1"/>
  <c r="P483" i="1"/>
  <c r="L483" i="1"/>
  <c r="K483" i="1"/>
  <c r="E483" i="1"/>
  <c r="D483" i="1"/>
  <c r="P482" i="1"/>
  <c r="L482" i="1"/>
  <c r="K482" i="1"/>
  <c r="E482" i="1"/>
  <c r="D482" i="1"/>
  <c r="F482" i="1" s="1"/>
  <c r="P481" i="1"/>
  <c r="L481" i="1"/>
  <c r="K481" i="1"/>
  <c r="E481" i="1"/>
  <c r="D481" i="1"/>
  <c r="P480" i="1"/>
  <c r="L480" i="1"/>
  <c r="K480" i="1"/>
  <c r="E480" i="1"/>
  <c r="D480" i="1"/>
  <c r="P479" i="1"/>
  <c r="L479" i="1"/>
  <c r="K479" i="1"/>
  <c r="E479" i="1"/>
  <c r="F479" i="1" s="1"/>
  <c r="D479" i="1"/>
  <c r="P478" i="1"/>
  <c r="L478" i="1"/>
  <c r="K478" i="1"/>
  <c r="M478" i="1" s="1"/>
  <c r="N478" i="1" s="1"/>
  <c r="Q478" i="1" s="1"/>
  <c r="E478" i="1"/>
  <c r="D478" i="1"/>
  <c r="F478" i="1" s="1"/>
  <c r="P477" i="1"/>
  <c r="L477" i="1"/>
  <c r="K477" i="1"/>
  <c r="E477" i="1"/>
  <c r="F477" i="1" s="1"/>
  <c r="D477" i="1"/>
  <c r="P476" i="1"/>
  <c r="L476" i="1"/>
  <c r="K476" i="1"/>
  <c r="M476" i="1" s="1"/>
  <c r="N476" i="1" s="1"/>
  <c r="Q476" i="1" s="1"/>
  <c r="E476" i="1"/>
  <c r="D476" i="1"/>
  <c r="P475" i="1"/>
  <c r="L475" i="1"/>
  <c r="K475" i="1"/>
  <c r="E475" i="1"/>
  <c r="D475" i="1"/>
  <c r="P474" i="1"/>
  <c r="L474" i="1"/>
  <c r="K474" i="1"/>
  <c r="E474" i="1"/>
  <c r="D474" i="1"/>
  <c r="P473" i="1"/>
  <c r="L473" i="1"/>
  <c r="K473" i="1"/>
  <c r="E473" i="1"/>
  <c r="D473" i="1"/>
  <c r="P472" i="1"/>
  <c r="L472" i="1"/>
  <c r="K472" i="1"/>
  <c r="M472" i="1" s="1"/>
  <c r="N472" i="1" s="1"/>
  <c r="Q472" i="1" s="1"/>
  <c r="R472" i="1" s="1"/>
  <c r="S472" i="1" s="1"/>
  <c r="T472" i="1" s="1"/>
  <c r="E472" i="1"/>
  <c r="D472" i="1"/>
  <c r="P471" i="1"/>
  <c r="L471" i="1"/>
  <c r="K471" i="1"/>
  <c r="E471" i="1"/>
  <c r="D471" i="1"/>
  <c r="P470" i="1"/>
  <c r="L470" i="1"/>
  <c r="K470" i="1"/>
  <c r="E470" i="1"/>
  <c r="D470" i="1"/>
  <c r="P469" i="1"/>
  <c r="L469" i="1"/>
  <c r="K469" i="1"/>
  <c r="E469" i="1"/>
  <c r="D469" i="1"/>
  <c r="P468" i="1"/>
  <c r="L468" i="1"/>
  <c r="K468" i="1"/>
  <c r="E468" i="1"/>
  <c r="D468" i="1"/>
  <c r="P467" i="1"/>
  <c r="L467" i="1"/>
  <c r="K467" i="1"/>
  <c r="E467" i="1"/>
  <c r="D467" i="1"/>
  <c r="P466" i="1"/>
  <c r="L466" i="1"/>
  <c r="K466" i="1"/>
  <c r="E466" i="1"/>
  <c r="D466" i="1"/>
  <c r="P465" i="1"/>
  <c r="L465" i="1"/>
  <c r="K465" i="1"/>
  <c r="E465" i="1"/>
  <c r="D465" i="1"/>
  <c r="P464" i="1"/>
  <c r="L464" i="1"/>
  <c r="K464" i="1"/>
  <c r="E464" i="1"/>
  <c r="D464" i="1"/>
  <c r="P463" i="1"/>
  <c r="L463" i="1"/>
  <c r="K463" i="1"/>
  <c r="E463" i="1"/>
  <c r="D463" i="1"/>
  <c r="P462" i="1"/>
  <c r="L462" i="1"/>
  <c r="K462" i="1"/>
  <c r="E462" i="1"/>
  <c r="D462" i="1"/>
  <c r="P461" i="1"/>
  <c r="L461" i="1"/>
  <c r="K461" i="1"/>
  <c r="E461" i="1"/>
  <c r="D461" i="1"/>
  <c r="P460" i="1"/>
  <c r="L460" i="1"/>
  <c r="M460" i="1" s="1"/>
  <c r="N460" i="1" s="1"/>
  <c r="Q460" i="1" s="1"/>
  <c r="R460" i="1" s="1"/>
  <c r="S460" i="1" s="1"/>
  <c r="T460" i="1" s="1"/>
  <c r="K460" i="1"/>
  <c r="E460" i="1"/>
  <c r="D460" i="1"/>
  <c r="P459" i="1"/>
  <c r="L459" i="1"/>
  <c r="K459" i="1"/>
  <c r="E459" i="1"/>
  <c r="D459" i="1"/>
  <c r="P458" i="1"/>
  <c r="L458" i="1"/>
  <c r="K458" i="1"/>
  <c r="E458" i="1"/>
  <c r="D458" i="1"/>
  <c r="P457" i="1"/>
  <c r="L457" i="1"/>
  <c r="K457" i="1"/>
  <c r="M457" i="1" s="1"/>
  <c r="N457" i="1" s="1"/>
  <c r="Q457" i="1" s="1"/>
  <c r="E457" i="1"/>
  <c r="D457" i="1"/>
  <c r="P456" i="1"/>
  <c r="L456" i="1"/>
  <c r="K456" i="1"/>
  <c r="E456" i="1"/>
  <c r="D456" i="1"/>
  <c r="P455" i="1"/>
  <c r="L455" i="1"/>
  <c r="K455" i="1"/>
  <c r="E455" i="1"/>
  <c r="D455" i="1"/>
  <c r="P454" i="1"/>
  <c r="L454" i="1"/>
  <c r="K454" i="1"/>
  <c r="E454" i="1"/>
  <c r="D454" i="1"/>
  <c r="P453" i="1"/>
  <c r="L453" i="1"/>
  <c r="K453" i="1"/>
  <c r="E453" i="1"/>
  <c r="D453" i="1"/>
  <c r="P452" i="1"/>
  <c r="L452" i="1"/>
  <c r="K452" i="1"/>
  <c r="E452" i="1"/>
  <c r="D452" i="1"/>
  <c r="P451" i="1"/>
  <c r="L451" i="1"/>
  <c r="K451" i="1"/>
  <c r="M451" i="1" s="1"/>
  <c r="N451" i="1" s="1"/>
  <c r="Q451" i="1" s="1"/>
  <c r="E451" i="1"/>
  <c r="D451" i="1"/>
  <c r="P450" i="1"/>
  <c r="L450" i="1"/>
  <c r="M450" i="1" s="1"/>
  <c r="N450" i="1" s="1"/>
  <c r="Q450" i="1" s="1"/>
  <c r="K450" i="1"/>
  <c r="E450" i="1"/>
  <c r="D450" i="1"/>
  <c r="P449" i="1"/>
  <c r="L449" i="1"/>
  <c r="K449" i="1"/>
  <c r="E449" i="1"/>
  <c r="D449" i="1"/>
  <c r="P448" i="1"/>
  <c r="L448" i="1"/>
  <c r="K448" i="1"/>
  <c r="E448" i="1"/>
  <c r="D448" i="1"/>
  <c r="P447" i="1"/>
  <c r="L447" i="1"/>
  <c r="K447" i="1"/>
  <c r="E447" i="1"/>
  <c r="D447" i="1"/>
  <c r="P446" i="1"/>
  <c r="L446" i="1"/>
  <c r="K446" i="1"/>
  <c r="E446" i="1"/>
  <c r="D446" i="1"/>
  <c r="P445" i="1"/>
  <c r="L445" i="1"/>
  <c r="K445" i="1"/>
  <c r="E445" i="1"/>
  <c r="D445" i="1"/>
  <c r="P444" i="1"/>
  <c r="L444" i="1"/>
  <c r="K444" i="1"/>
  <c r="E444" i="1"/>
  <c r="D444" i="1"/>
  <c r="P443" i="1"/>
  <c r="L443" i="1"/>
  <c r="M443" i="1" s="1"/>
  <c r="N443" i="1" s="1"/>
  <c r="Q443" i="1" s="1"/>
  <c r="K443" i="1"/>
  <c r="E443" i="1"/>
  <c r="D443" i="1"/>
  <c r="P442" i="1"/>
  <c r="L442" i="1"/>
  <c r="K442" i="1"/>
  <c r="E442" i="1"/>
  <c r="D442" i="1"/>
  <c r="P441" i="1"/>
  <c r="M441" i="1"/>
  <c r="N441" i="1" s="1"/>
  <c r="Q441" i="1" s="1"/>
  <c r="R441" i="1" s="1"/>
  <c r="S441" i="1" s="1"/>
  <c r="T441" i="1" s="1"/>
  <c r="L441" i="1"/>
  <c r="K441" i="1"/>
  <c r="E441" i="1"/>
  <c r="D441" i="1"/>
  <c r="P440" i="1"/>
  <c r="L440" i="1"/>
  <c r="K440" i="1"/>
  <c r="E440" i="1"/>
  <c r="D440" i="1"/>
  <c r="P439" i="1"/>
  <c r="L439" i="1"/>
  <c r="K439" i="1"/>
  <c r="E439" i="1"/>
  <c r="D439" i="1"/>
  <c r="P438" i="1"/>
  <c r="L438" i="1"/>
  <c r="K438" i="1"/>
  <c r="E438" i="1"/>
  <c r="D438" i="1"/>
  <c r="P437" i="1"/>
  <c r="L437" i="1"/>
  <c r="K437" i="1"/>
  <c r="E437" i="1"/>
  <c r="D437" i="1"/>
  <c r="P436" i="1"/>
  <c r="L436" i="1"/>
  <c r="K436" i="1"/>
  <c r="E436" i="1"/>
  <c r="D436" i="1"/>
  <c r="P435" i="1"/>
  <c r="L435" i="1"/>
  <c r="K435" i="1"/>
  <c r="E435" i="1"/>
  <c r="D435" i="1"/>
  <c r="P434" i="1"/>
  <c r="L434" i="1"/>
  <c r="K434" i="1"/>
  <c r="E434" i="1"/>
  <c r="D434" i="1"/>
  <c r="P433" i="1"/>
  <c r="L433" i="1"/>
  <c r="K433" i="1"/>
  <c r="E433" i="1"/>
  <c r="D433" i="1"/>
  <c r="P432" i="1"/>
  <c r="L432" i="1"/>
  <c r="K432" i="1"/>
  <c r="E432" i="1"/>
  <c r="D432" i="1"/>
  <c r="P431" i="1"/>
  <c r="L431" i="1"/>
  <c r="K431" i="1"/>
  <c r="M431" i="1" s="1"/>
  <c r="N431" i="1" s="1"/>
  <c r="Q431" i="1" s="1"/>
  <c r="R431" i="1" s="1"/>
  <c r="S431" i="1" s="1"/>
  <c r="T431" i="1" s="1"/>
  <c r="E431" i="1"/>
  <c r="D431" i="1"/>
  <c r="P430" i="1"/>
  <c r="L430" i="1"/>
  <c r="K430" i="1"/>
  <c r="E430" i="1"/>
  <c r="D430" i="1"/>
  <c r="P429" i="1"/>
  <c r="L429" i="1"/>
  <c r="K429" i="1"/>
  <c r="M429" i="1" s="1"/>
  <c r="N429" i="1" s="1"/>
  <c r="Q429" i="1" s="1"/>
  <c r="R429" i="1" s="1"/>
  <c r="S429" i="1" s="1"/>
  <c r="T429" i="1" s="1"/>
  <c r="E429" i="1"/>
  <c r="D429" i="1"/>
  <c r="P428" i="1"/>
  <c r="L428" i="1"/>
  <c r="K428" i="1"/>
  <c r="E428" i="1"/>
  <c r="D428" i="1"/>
  <c r="P427" i="1"/>
  <c r="L427" i="1"/>
  <c r="K427" i="1"/>
  <c r="E427" i="1"/>
  <c r="D427" i="1"/>
  <c r="P426" i="1"/>
  <c r="L426" i="1"/>
  <c r="K426" i="1"/>
  <c r="E426" i="1"/>
  <c r="D426" i="1"/>
  <c r="P425" i="1"/>
  <c r="L425" i="1"/>
  <c r="K425" i="1"/>
  <c r="E425" i="1"/>
  <c r="D425" i="1"/>
  <c r="F425" i="1" s="1"/>
  <c r="P424" i="1"/>
  <c r="L424" i="1"/>
  <c r="K424" i="1"/>
  <c r="E424" i="1"/>
  <c r="D424" i="1"/>
  <c r="P423" i="1"/>
  <c r="L423" i="1"/>
  <c r="K423" i="1"/>
  <c r="E423" i="1"/>
  <c r="D423" i="1"/>
  <c r="P422" i="1"/>
  <c r="L422" i="1"/>
  <c r="K422" i="1"/>
  <c r="E422" i="1"/>
  <c r="D422" i="1"/>
  <c r="P421" i="1"/>
  <c r="L421" i="1"/>
  <c r="K421" i="1"/>
  <c r="E421" i="1"/>
  <c r="D421" i="1"/>
  <c r="P420" i="1"/>
  <c r="L420" i="1"/>
  <c r="K420" i="1"/>
  <c r="E420" i="1"/>
  <c r="D420" i="1"/>
  <c r="P419" i="1"/>
  <c r="L419" i="1"/>
  <c r="K419" i="1"/>
  <c r="E419" i="1"/>
  <c r="D419" i="1"/>
  <c r="P418" i="1"/>
  <c r="L418" i="1"/>
  <c r="K418" i="1"/>
  <c r="E418" i="1"/>
  <c r="D418" i="1"/>
  <c r="P417" i="1"/>
  <c r="L417" i="1"/>
  <c r="K417" i="1"/>
  <c r="E417" i="1"/>
  <c r="D417" i="1"/>
  <c r="P416" i="1"/>
  <c r="L416" i="1"/>
  <c r="K416" i="1"/>
  <c r="E416" i="1"/>
  <c r="D416" i="1"/>
  <c r="P415" i="1"/>
  <c r="L415" i="1"/>
  <c r="K415" i="1"/>
  <c r="M415" i="1" s="1"/>
  <c r="N415" i="1" s="1"/>
  <c r="Q415" i="1" s="1"/>
  <c r="R415" i="1" s="1"/>
  <c r="S415" i="1" s="1"/>
  <c r="T415" i="1" s="1"/>
  <c r="E415" i="1"/>
  <c r="D415" i="1"/>
  <c r="P414" i="1"/>
  <c r="L414" i="1"/>
  <c r="K414" i="1"/>
  <c r="E414" i="1"/>
  <c r="D414" i="1"/>
  <c r="P413" i="1"/>
  <c r="L413" i="1"/>
  <c r="K413" i="1"/>
  <c r="M413" i="1" s="1"/>
  <c r="N413" i="1" s="1"/>
  <c r="Q413" i="1" s="1"/>
  <c r="R413" i="1" s="1"/>
  <c r="S413" i="1" s="1"/>
  <c r="T413" i="1" s="1"/>
  <c r="E413" i="1"/>
  <c r="D413" i="1"/>
  <c r="P412" i="1"/>
  <c r="L412" i="1"/>
  <c r="K412" i="1"/>
  <c r="E412" i="1"/>
  <c r="D412" i="1"/>
  <c r="P411" i="1"/>
  <c r="L411" i="1"/>
  <c r="K411" i="1"/>
  <c r="E411" i="1"/>
  <c r="D411" i="1"/>
  <c r="P410" i="1"/>
  <c r="L410" i="1"/>
  <c r="K410" i="1"/>
  <c r="E410" i="1"/>
  <c r="D410" i="1"/>
  <c r="P409" i="1"/>
  <c r="L409" i="1"/>
  <c r="K409" i="1"/>
  <c r="E409" i="1"/>
  <c r="D409" i="1"/>
  <c r="F409" i="1" s="1"/>
  <c r="P408" i="1"/>
  <c r="L408" i="1"/>
  <c r="K408" i="1"/>
  <c r="E408" i="1"/>
  <c r="D408" i="1"/>
  <c r="P407" i="1"/>
  <c r="L407" i="1"/>
  <c r="K407" i="1"/>
  <c r="E407" i="1"/>
  <c r="D407" i="1"/>
  <c r="P406" i="1"/>
  <c r="L406" i="1"/>
  <c r="K406" i="1"/>
  <c r="E406" i="1"/>
  <c r="D406" i="1"/>
  <c r="P405" i="1"/>
  <c r="L405" i="1"/>
  <c r="K405" i="1"/>
  <c r="M405" i="1" s="1"/>
  <c r="N405" i="1" s="1"/>
  <c r="Q405" i="1" s="1"/>
  <c r="R405" i="1" s="1"/>
  <c r="S405" i="1" s="1"/>
  <c r="T405" i="1" s="1"/>
  <c r="E405" i="1"/>
  <c r="D405" i="1"/>
  <c r="P404" i="1"/>
  <c r="L404" i="1"/>
  <c r="K404" i="1"/>
  <c r="E404" i="1"/>
  <c r="D404" i="1"/>
  <c r="P403" i="1"/>
  <c r="L403" i="1"/>
  <c r="K403" i="1"/>
  <c r="E403" i="1"/>
  <c r="D403" i="1"/>
  <c r="P402" i="1"/>
  <c r="L402" i="1"/>
  <c r="K402" i="1"/>
  <c r="E402" i="1"/>
  <c r="D402" i="1"/>
  <c r="P401" i="1"/>
  <c r="L401" i="1"/>
  <c r="K401" i="1"/>
  <c r="E401" i="1"/>
  <c r="D401" i="1"/>
  <c r="P400" i="1"/>
  <c r="L400" i="1"/>
  <c r="K400" i="1"/>
  <c r="E400" i="1"/>
  <c r="D400" i="1"/>
  <c r="P399" i="1"/>
  <c r="L399" i="1"/>
  <c r="K399" i="1"/>
  <c r="E399" i="1"/>
  <c r="D399" i="1"/>
  <c r="F399" i="1" s="1"/>
  <c r="P398" i="1"/>
  <c r="L398" i="1"/>
  <c r="K398" i="1"/>
  <c r="E398" i="1"/>
  <c r="D398" i="1"/>
  <c r="P397" i="1"/>
  <c r="L397" i="1"/>
  <c r="K397" i="1"/>
  <c r="M397" i="1" s="1"/>
  <c r="N397" i="1" s="1"/>
  <c r="Q397" i="1" s="1"/>
  <c r="R397" i="1" s="1"/>
  <c r="S397" i="1" s="1"/>
  <c r="T397" i="1" s="1"/>
  <c r="E397" i="1"/>
  <c r="D397" i="1"/>
  <c r="P396" i="1"/>
  <c r="L396" i="1"/>
  <c r="K396" i="1"/>
  <c r="E396" i="1"/>
  <c r="D396" i="1"/>
  <c r="P395" i="1"/>
  <c r="L395" i="1"/>
  <c r="K395" i="1"/>
  <c r="E395" i="1"/>
  <c r="D395" i="1"/>
  <c r="P394" i="1"/>
  <c r="L394" i="1"/>
  <c r="K394" i="1"/>
  <c r="E394" i="1"/>
  <c r="D394" i="1"/>
  <c r="P393" i="1"/>
  <c r="L393" i="1"/>
  <c r="K393" i="1"/>
  <c r="E393" i="1"/>
  <c r="D393" i="1"/>
  <c r="P392" i="1"/>
  <c r="L392" i="1"/>
  <c r="K392" i="1"/>
  <c r="E392" i="1"/>
  <c r="D392" i="1"/>
  <c r="P391" i="1"/>
  <c r="L391" i="1"/>
  <c r="K391" i="1"/>
  <c r="E391" i="1"/>
  <c r="D391" i="1"/>
  <c r="P390" i="1"/>
  <c r="L390" i="1"/>
  <c r="K390" i="1"/>
  <c r="E390" i="1"/>
  <c r="D390" i="1"/>
  <c r="P389" i="1"/>
  <c r="L389" i="1"/>
  <c r="K389" i="1"/>
  <c r="M389" i="1" s="1"/>
  <c r="N389" i="1" s="1"/>
  <c r="Q389" i="1" s="1"/>
  <c r="R389" i="1" s="1"/>
  <c r="S389" i="1" s="1"/>
  <c r="T389" i="1" s="1"/>
  <c r="E389" i="1"/>
  <c r="D389" i="1"/>
  <c r="P388" i="1"/>
  <c r="L388" i="1"/>
  <c r="K388" i="1"/>
  <c r="E388" i="1"/>
  <c r="D388" i="1"/>
  <c r="P387" i="1"/>
  <c r="L387" i="1"/>
  <c r="K387" i="1"/>
  <c r="E387" i="1"/>
  <c r="D387" i="1"/>
  <c r="P386" i="1"/>
  <c r="L386" i="1"/>
  <c r="K386" i="1"/>
  <c r="E386" i="1"/>
  <c r="D386" i="1"/>
  <c r="P385" i="1"/>
  <c r="L385" i="1"/>
  <c r="K385" i="1"/>
  <c r="E385" i="1"/>
  <c r="D385" i="1"/>
  <c r="P384" i="1"/>
  <c r="L384" i="1"/>
  <c r="K384" i="1"/>
  <c r="E384" i="1"/>
  <c r="D384" i="1"/>
  <c r="P383" i="1"/>
  <c r="L383" i="1"/>
  <c r="K383" i="1"/>
  <c r="E383" i="1"/>
  <c r="D383" i="1"/>
  <c r="P382" i="1"/>
  <c r="L382" i="1"/>
  <c r="K382" i="1"/>
  <c r="E382" i="1"/>
  <c r="D382" i="1"/>
  <c r="P381" i="1"/>
  <c r="L381" i="1"/>
  <c r="K381" i="1"/>
  <c r="E381" i="1"/>
  <c r="D381" i="1"/>
  <c r="P380" i="1"/>
  <c r="L380" i="1"/>
  <c r="K380" i="1"/>
  <c r="E380" i="1"/>
  <c r="D380" i="1"/>
  <c r="P379" i="1"/>
  <c r="L379" i="1"/>
  <c r="K379" i="1"/>
  <c r="E379" i="1"/>
  <c r="D379" i="1"/>
  <c r="F379" i="1" s="1"/>
  <c r="P378" i="1"/>
  <c r="L378" i="1"/>
  <c r="K378" i="1"/>
  <c r="E378" i="1"/>
  <c r="D378" i="1"/>
  <c r="P377" i="1"/>
  <c r="L377" i="1"/>
  <c r="K377" i="1"/>
  <c r="E377" i="1"/>
  <c r="D377" i="1"/>
  <c r="F377" i="1" s="1"/>
  <c r="P376" i="1"/>
  <c r="L376" i="1"/>
  <c r="K376" i="1"/>
  <c r="E376" i="1"/>
  <c r="D376" i="1"/>
  <c r="P375" i="1"/>
  <c r="L375" i="1"/>
  <c r="K375" i="1"/>
  <c r="M375" i="1" s="1"/>
  <c r="N375" i="1" s="1"/>
  <c r="Q375" i="1" s="1"/>
  <c r="E375" i="1"/>
  <c r="D375" i="1"/>
  <c r="P374" i="1"/>
  <c r="L374" i="1"/>
  <c r="K374" i="1"/>
  <c r="E374" i="1"/>
  <c r="D374" i="1"/>
  <c r="P373" i="1"/>
  <c r="L373" i="1"/>
  <c r="K373" i="1"/>
  <c r="M373" i="1" s="1"/>
  <c r="N373" i="1" s="1"/>
  <c r="Q373" i="1" s="1"/>
  <c r="R373" i="1" s="1"/>
  <c r="S373" i="1" s="1"/>
  <c r="T373" i="1" s="1"/>
  <c r="E373" i="1"/>
  <c r="D373" i="1"/>
  <c r="P372" i="1"/>
  <c r="L372" i="1"/>
  <c r="K372" i="1"/>
  <c r="E372" i="1"/>
  <c r="D372" i="1"/>
  <c r="P371" i="1"/>
  <c r="L371" i="1"/>
  <c r="K371" i="1"/>
  <c r="E371" i="1"/>
  <c r="D371" i="1"/>
  <c r="P370" i="1"/>
  <c r="L370" i="1"/>
  <c r="K370" i="1"/>
  <c r="E370" i="1"/>
  <c r="D370" i="1"/>
  <c r="P369" i="1"/>
  <c r="L369" i="1"/>
  <c r="K369" i="1"/>
  <c r="E369" i="1"/>
  <c r="D369" i="1"/>
  <c r="P368" i="1"/>
  <c r="L368" i="1"/>
  <c r="M368" i="1" s="1"/>
  <c r="N368" i="1" s="1"/>
  <c r="Q368" i="1" s="1"/>
  <c r="K368" i="1"/>
  <c r="E368" i="1"/>
  <c r="D368" i="1"/>
  <c r="P367" i="1"/>
  <c r="L367" i="1"/>
  <c r="K367" i="1"/>
  <c r="E367" i="1"/>
  <c r="D367" i="1"/>
  <c r="P366" i="1"/>
  <c r="L366" i="1"/>
  <c r="K366" i="1"/>
  <c r="E366" i="1"/>
  <c r="D366" i="1"/>
  <c r="P365" i="1"/>
  <c r="L365" i="1"/>
  <c r="K365" i="1"/>
  <c r="E365" i="1"/>
  <c r="D365" i="1"/>
  <c r="P364" i="1"/>
  <c r="L364" i="1"/>
  <c r="K364" i="1"/>
  <c r="E364" i="1"/>
  <c r="D364" i="1"/>
  <c r="P363" i="1"/>
  <c r="L363" i="1"/>
  <c r="K363" i="1"/>
  <c r="E363" i="1"/>
  <c r="D363" i="1"/>
  <c r="P362" i="1"/>
  <c r="L362" i="1"/>
  <c r="K362" i="1"/>
  <c r="E362" i="1"/>
  <c r="D362" i="1"/>
  <c r="P361" i="1"/>
  <c r="L361" i="1"/>
  <c r="K361" i="1"/>
  <c r="E361" i="1"/>
  <c r="D361" i="1"/>
  <c r="P360" i="1"/>
  <c r="L360" i="1"/>
  <c r="K360" i="1"/>
  <c r="E360" i="1"/>
  <c r="D360" i="1"/>
  <c r="P359" i="1"/>
  <c r="L359" i="1"/>
  <c r="K359" i="1"/>
  <c r="E359" i="1"/>
  <c r="D359" i="1"/>
  <c r="P358" i="1"/>
  <c r="L358" i="1"/>
  <c r="K358" i="1"/>
  <c r="E358" i="1"/>
  <c r="D358" i="1"/>
  <c r="P357" i="1"/>
  <c r="L357" i="1"/>
  <c r="K357" i="1"/>
  <c r="M357" i="1" s="1"/>
  <c r="N357" i="1" s="1"/>
  <c r="Q357" i="1" s="1"/>
  <c r="R357" i="1" s="1"/>
  <c r="S357" i="1" s="1"/>
  <c r="T357" i="1" s="1"/>
  <c r="E357" i="1"/>
  <c r="D357" i="1"/>
  <c r="P356" i="1"/>
  <c r="L356" i="1"/>
  <c r="K356" i="1"/>
  <c r="E356" i="1"/>
  <c r="D356" i="1"/>
  <c r="P355" i="1"/>
  <c r="L355" i="1"/>
  <c r="K355" i="1"/>
  <c r="E355" i="1"/>
  <c r="D355" i="1"/>
  <c r="P354" i="1"/>
  <c r="L354" i="1"/>
  <c r="K354" i="1"/>
  <c r="E354" i="1"/>
  <c r="D354" i="1"/>
  <c r="P353" i="1"/>
  <c r="L353" i="1"/>
  <c r="K353" i="1"/>
  <c r="E353" i="1"/>
  <c r="D353" i="1"/>
  <c r="P352" i="1"/>
  <c r="L352" i="1"/>
  <c r="K352" i="1"/>
  <c r="E352" i="1"/>
  <c r="D352" i="1"/>
  <c r="P351" i="1"/>
  <c r="L351" i="1"/>
  <c r="K351" i="1"/>
  <c r="E351" i="1"/>
  <c r="D351" i="1"/>
  <c r="F351" i="1" s="1"/>
  <c r="P350" i="1"/>
  <c r="L350" i="1"/>
  <c r="K350" i="1"/>
  <c r="E350" i="1"/>
  <c r="D350" i="1"/>
  <c r="F350" i="1" s="1"/>
  <c r="P349" i="1"/>
  <c r="L349" i="1"/>
  <c r="K349" i="1"/>
  <c r="E349" i="1"/>
  <c r="D349" i="1"/>
  <c r="P348" i="1"/>
  <c r="L348" i="1"/>
  <c r="K348" i="1"/>
  <c r="E348" i="1"/>
  <c r="D348" i="1"/>
  <c r="P347" i="1"/>
  <c r="L347" i="1"/>
  <c r="K347" i="1"/>
  <c r="E347" i="1"/>
  <c r="D347" i="1"/>
  <c r="P346" i="1"/>
  <c r="L346" i="1"/>
  <c r="K346" i="1"/>
  <c r="E346" i="1"/>
  <c r="D346" i="1"/>
  <c r="P345" i="1"/>
  <c r="L345" i="1"/>
  <c r="K345" i="1"/>
  <c r="E345" i="1"/>
  <c r="D345" i="1"/>
  <c r="P344" i="1"/>
  <c r="L344" i="1"/>
  <c r="K344" i="1"/>
  <c r="E344" i="1"/>
  <c r="D344" i="1"/>
  <c r="P343" i="1"/>
  <c r="L343" i="1"/>
  <c r="M343" i="1" s="1"/>
  <c r="N343" i="1" s="1"/>
  <c r="Q343" i="1" s="1"/>
  <c r="R343" i="1" s="1"/>
  <c r="S343" i="1" s="1"/>
  <c r="T343" i="1" s="1"/>
  <c r="K343" i="1"/>
  <c r="E343" i="1"/>
  <c r="D343" i="1"/>
  <c r="F343" i="1" s="1"/>
  <c r="P342" i="1"/>
  <c r="L342" i="1"/>
  <c r="K342" i="1"/>
  <c r="E342" i="1"/>
  <c r="D342" i="1"/>
  <c r="F342" i="1" s="1"/>
  <c r="P341" i="1"/>
  <c r="L341" i="1"/>
  <c r="K341" i="1"/>
  <c r="M341" i="1" s="1"/>
  <c r="N341" i="1" s="1"/>
  <c r="Q341" i="1" s="1"/>
  <c r="R341" i="1" s="1"/>
  <c r="S341" i="1" s="1"/>
  <c r="T341" i="1" s="1"/>
  <c r="E341" i="1"/>
  <c r="D341" i="1"/>
  <c r="P340" i="1"/>
  <c r="L340" i="1"/>
  <c r="K340" i="1"/>
  <c r="E340" i="1"/>
  <c r="D340" i="1"/>
  <c r="P339" i="1"/>
  <c r="L339" i="1"/>
  <c r="K339" i="1"/>
  <c r="E339" i="1"/>
  <c r="D339" i="1"/>
  <c r="P338" i="1"/>
  <c r="L338" i="1"/>
  <c r="K338" i="1"/>
  <c r="E338" i="1"/>
  <c r="D338" i="1"/>
  <c r="P337" i="1"/>
  <c r="L337" i="1"/>
  <c r="K337" i="1"/>
  <c r="E337" i="1"/>
  <c r="D337" i="1"/>
  <c r="P336" i="1"/>
  <c r="L336" i="1"/>
  <c r="K336" i="1"/>
  <c r="E336" i="1"/>
  <c r="D336" i="1"/>
  <c r="P335" i="1"/>
  <c r="L335" i="1"/>
  <c r="M335" i="1" s="1"/>
  <c r="N335" i="1" s="1"/>
  <c r="Q335" i="1" s="1"/>
  <c r="R335" i="1" s="1"/>
  <c r="S335" i="1" s="1"/>
  <c r="T335" i="1" s="1"/>
  <c r="K335" i="1"/>
  <c r="E335" i="1"/>
  <c r="D335" i="1"/>
  <c r="P334" i="1"/>
  <c r="L334" i="1"/>
  <c r="K334" i="1"/>
  <c r="E334" i="1"/>
  <c r="D334" i="1"/>
  <c r="P333" i="1"/>
  <c r="L333" i="1"/>
  <c r="K333" i="1"/>
  <c r="E333" i="1"/>
  <c r="D333" i="1"/>
  <c r="P332" i="1"/>
  <c r="L332" i="1"/>
  <c r="K332" i="1"/>
  <c r="E332" i="1"/>
  <c r="D332" i="1"/>
  <c r="P331" i="1"/>
  <c r="L331" i="1"/>
  <c r="K331" i="1"/>
  <c r="E331" i="1"/>
  <c r="D331" i="1"/>
  <c r="P330" i="1"/>
  <c r="L330" i="1"/>
  <c r="K330" i="1"/>
  <c r="E330" i="1"/>
  <c r="D330" i="1"/>
  <c r="P329" i="1"/>
  <c r="L329" i="1"/>
  <c r="K329" i="1"/>
  <c r="E329" i="1"/>
  <c r="D329" i="1"/>
  <c r="P328" i="1"/>
  <c r="L328" i="1"/>
  <c r="K328" i="1"/>
  <c r="E328" i="1"/>
  <c r="D328" i="1"/>
  <c r="P327" i="1"/>
  <c r="L327" i="1"/>
  <c r="K327" i="1"/>
  <c r="E327" i="1"/>
  <c r="D327" i="1"/>
  <c r="P326" i="1"/>
  <c r="L326" i="1"/>
  <c r="K326" i="1"/>
  <c r="E326" i="1"/>
  <c r="D326" i="1"/>
  <c r="P325" i="1"/>
  <c r="L325" i="1"/>
  <c r="K325" i="1"/>
  <c r="E325" i="1"/>
  <c r="D325" i="1"/>
  <c r="P324" i="1"/>
  <c r="L324" i="1"/>
  <c r="K324" i="1"/>
  <c r="E324" i="1"/>
  <c r="D324" i="1"/>
  <c r="P323" i="1"/>
  <c r="L323" i="1"/>
  <c r="K323" i="1"/>
  <c r="E323" i="1"/>
  <c r="D323" i="1"/>
  <c r="P322" i="1"/>
  <c r="L322" i="1"/>
  <c r="K322" i="1"/>
  <c r="E322" i="1"/>
  <c r="D322" i="1"/>
  <c r="P321" i="1"/>
  <c r="L321" i="1"/>
  <c r="K321" i="1"/>
  <c r="E321" i="1"/>
  <c r="D321" i="1"/>
  <c r="P320" i="1"/>
  <c r="L320" i="1"/>
  <c r="K320" i="1"/>
  <c r="E320" i="1"/>
  <c r="D320" i="1"/>
  <c r="P319" i="1"/>
  <c r="L319" i="1"/>
  <c r="K319" i="1"/>
  <c r="E319" i="1"/>
  <c r="D319" i="1"/>
  <c r="P318" i="1"/>
  <c r="L318" i="1"/>
  <c r="M318" i="1" s="1"/>
  <c r="N318" i="1" s="1"/>
  <c r="Q318" i="1" s="1"/>
  <c r="K318" i="1"/>
  <c r="E318" i="1"/>
  <c r="D318" i="1"/>
  <c r="P317" i="1"/>
  <c r="L317" i="1"/>
  <c r="K317" i="1"/>
  <c r="E317" i="1"/>
  <c r="D317" i="1"/>
  <c r="P316" i="1"/>
  <c r="L316" i="1"/>
  <c r="K316" i="1"/>
  <c r="E316" i="1"/>
  <c r="D316" i="1"/>
  <c r="P315" i="1"/>
  <c r="L315" i="1"/>
  <c r="K315" i="1"/>
  <c r="E315" i="1"/>
  <c r="D315" i="1"/>
  <c r="P314" i="1"/>
  <c r="L314" i="1"/>
  <c r="K314" i="1"/>
  <c r="E314" i="1"/>
  <c r="D314" i="1"/>
  <c r="P313" i="1"/>
  <c r="L313" i="1"/>
  <c r="K313" i="1"/>
  <c r="E313" i="1"/>
  <c r="D313" i="1"/>
  <c r="P312" i="1"/>
  <c r="L312" i="1"/>
  <c r="K312" i="1"/>
  <c r="E312" i="1"/>
  <c r="D312" i="1"/>
  <c r="P311" i="1"/>
  <c r="L311" i="1"/>
  <c r="K311" i="1"/>
  <c r="E311" i="1"/>
  <c r="D311" i="1"/>
  <c r="F311" i="1" s="1"/>
  <c r="P310" i="1"/>
  <c r="L310" i="1"/>
  <c r="K310" i="1"/>
  <c r="E310" i="1"/>
  <c r="D310" i="1"/>
  <c r="F310" i="1" s="1"/>
  <c r="P309" i="1"/>
  <c r="L309" i="1"/>
  <c r="K309" i="1"/>
  <c r="E309" i="1"/>
  <c r="D309" i="1"/>
  <c r="P308" i="1"/>
  <c r="L308" i="1"/>
  <c r="K308" i="1"/>
  <c r="E308" i="1"/>
  <c r="D308" i="1"/>
  <c r="P307" i="1"/>
  <c r="L307" i="1"/>
  <c r="M307" i="1" s="1"/>
  <c r="N307" i="1" s="1"/>
  <c r="Q307" i="1" s="1"/>
  <c r="R307" i="1" s="1"/>
  <c r="S307" i="1" s="1"/>
  <c r="T307" i="1" s="1"/>
  <c r="K307" i="1"/>
  <c r="E307" i="1"/>
  <c r="D307" i="1"/>
  <c r="P306" i="1"/>
  <c r="L306" i="1"/>
  <c r="K306" i="1"/>
  <c r="E306" i="1"/>
  <c r="D306" i="1"/>
  <c r="P305" i="1"/>
  <c r="L305" i="1"/>
  <c r="K305" i="1"/>
  <c r="E305" i="1"/>
  <c r="D305" i="1"/>
  <c r="P304" i="1"/>
  <c r="L304" i="1"/>
  <c r="K304" i="1"/>
  <c r="E304" i="1"/>
  <c r="D304" i="1"/>
  <c r="P303" i="1"/>
  <c r="L303" i="1"/>
  <c r="K303" i="1"/>
  <c r="E303" i="1"/>
  <c r="D303" i="1"/>
  <c r="P302" i="1"/>
  <c r="L302" i="1"/>
  <c r="M302" i="1" s="1"/>
  <c r="N302" i="1" s="1"/>
  <c r="Q302" i="1" s="1"/>
  <c r="K302" i="1"/>
  <c r="E302" i="1"/>
  <c r="D302" i="1"/>
  <c r="P301" i="1"/>
  <c r="L301" i="1"/>
  <c r="K301" i="1"/>
  <c r="E301" i="1"/>
  <c r="D301" i="1"/>
  <c r="P300" i="1"/>
  <c r="L300" i="1"/>
  <c r="K300" i="1"/>
  <c r="E300" i="1"/>
  <c r="D300" i="1"/>
  <c r="P299" i="1"/>
  <c r="L299" i="1"/>
  <c r="M299" i="1" s="1"/>
  <c r="N299" i="1" s="1"/>
  <c r="Q299" i="1" s="1"/>
  <c r="K299" i="1"/>
  <c r="E299" i="1"/>
  <c r="D299" i="1"/>
  <c r="P298" i="1"/>
  <c r="L298" i="1"/>
  <c r="M298" i="1" s="1"/>
  <c r="N298" i="1" s="1"/>
  <c r="Q298" i="1" s="1"/>
  <c r="K298" i="1"/>
  <c r="E298" i="1"/>
  <c r="D298" i="1"/>
  <c r="P297" i="1"/>
  <c r="L297" i="1"/>
  <c r="K297" i="1"/>
  <c r="E297" i="1"/>
  <c r="D297" i="1"/>
  <c r="P296" i="1"/>
  <c r="L296" i="1"/>
  <c r="K296" i="1"/>
  <c r="E296" i="1"/>
  <c r="D296" i="1"/>
  <c r="P295" i="1"/>
  <c r="L295" i="1"/>
  <c r="K295" i="1"/>
  <c r="E295" i="1"/>
  <c r="D295" i="1"/>
  <c r="P294" i="1"/>
  <c r="L294" i="1"/>
  <c r="K294" i="1"/>
  <c r="E294" i="1"/>
  <c r="D294" i="1"/>
  <c r="P293" i="1"/>
  <c r="L293" i="1"/>
  <c r="K293" i="1"/>
  <c r="E293" i="1"/>
  <c r="D293" i="1"/>
  <c r="P292" i="1"/>
  <c r="L292" i="1"/>
  <c r="K292" i="1"/>
  <c r="E292" i="1"/>
  <c r="D292" i="1"/>
  <c r="P291" i="1"/>
  <c r="L291" i="1"/>
  <c r="K291" i="1"/>
  <c r="E291" i="1"/>
  <c r="D291" i="1"/>
  <c r="P290" i="1"/>
  <c r="L290" i="1"/>
  <c r="K290" i="1"/>
  <c r="E290" i="1"/>
  <c r="D290" i="1"/>
  <c r="P289" i="1"/>
  <c r="L289" i="1"/>
  <c r="K289" i="1"/>
  <c r="E289" i="1"/>
  <c r="D289" i="1"/>
  <c r="P288" i="1"/>
  <c r="L288" i="1"/>
  <c r="K288" i="1"/>
  <c r="E288" i="1"/>
  <c r="D288" i="1"/>
  <c r="P287" i="1"/>
  <c r="L287" i="1"/>
  <c r="K287" i="1"/>
  <c r="E287" i="1"/>
  <c r="D287" i="1"/>
  <c r="P286" i="1"/>
  <c r="L286" i="1"/>
  <c r="M286" i="1" s="1"/>
  <c r="N286" i="1" s="1"/>
  <c r="Q286" i="1" s="1"/>
  <c r="K286" i="1"/>
  <c r="E286" i="1"/>
  <c r="D286" i="1"/>
  <c r="F286" i="1" s="1"/>
  <c r="P285" i="1"/>
  <c r="L285" i="1"/>
  <c r="K285" i="1"/>
  <c r="E285" i="1"/>
  <c r="D285" i="1"/>
  <c r="P284" i="1"/>
  <c r="L284" i="1"/>
  <c r="K284" i="1"/>
  <c r="E284" i="1"/>
  <c r="D284" i="1"/>
  <c r="P283" i="1"/>
  <c r="L283" i="1"/>
  <c r="K283" i="1"/>
  <c r="E283" i="1"/>
  <c r="D283" i="1"/>
  <c r="P282" i="1"/>
  <c r="L282" i="1"/>
  <c r="M282" i="1" s="1"/>
  <c r="N282" i="1" s="1"/>
  <c r="Q282" i="1" s="1"/>
  <c r="K282" i="1"/>
  <c r="E282" i="1"/>
  <c r="D282" i="1"/>
  <c r="P281" i="1"/>
  <c r="L281" i="1"/>
  <c r="K281" i="1"/>
  <c r="E281" i="1"/>
  <c r="D281" i="1"/>
  <c r="P280" i="1"/>
  <c r="L280" i="1"/>
  <c r="K280" i="1"/>
  <c r="E280" i="1"/>
  <c r="D280" i="1"/>
  <c r="P279" i="1"/>
  <c r="L279" i="1"/>
  <c r="K279" i="1"/>
  <c r="E279" i="1"/>
  <c r="D279" i="1"/>
  <c r="P278" i="1"/>
  <c r="L278" i="1"/>
  <c r="K278" i="1"/>
  <c r="E278" i="1"/>
  <c r="D278" i="1"/>
  <c r="P277" i="1"/>
  <c r="L277" i="1"/>
  <c r="K277" i="1"/>
  <c r="E277" i="1"/>
  <c r="D277" i="1"/>
  <c r="P276" i="1"/>
  <c r="L276" i="1"/>
  <c r="K276" i="1"/>
  <c r="E276" i="1"/>
  <c r="D276" i="1"/>
  <c r="P275" i="1"/>
  <c r="L275" i="1"/>
  <c r="K275" i="1"/>
  <c r="E275" i="1"/>
  <c r="D275" i="1"/>
  <c r="P274" i="1"/>
  <c r="L274" i="1"/>
  <c r="K274" i="1"/>
  <c r="E274" i="1"/>
  <c r="D274" i="1"/>
  <c r="P273" i="1"/>
  <c r="L273" i="1"/>
  <c r="K273" i="1"/>
  <c r="E273" i="1"/>
  <c r="D273" i="1"/>
  <c r="P272" i="1"/>
  <c r="L272" i="1"/>
  <c r="K272" i="1"/>
  <c r="E272" i="1"/>
  <c r="D272" i="1"/>
  <c r="P271" i="1"/>
  <c r="L271" i="1"/>
  <c r="K271" i="1"/>
  <c r="E271" i="1"/>
  <c r="D271" i="1"/>
  <c r="P270" i="1"/>
  <c r="L270" i="1"/>
  <c r="K270" i="1"/>
  <c r="E270" i="1"/>
  <c r="D270" i="1"/>
  <c r="F270" i="1" s="1"/>
  <c r="P269" i="1"/>
  <c r="L269" i="1"/>
  <c r="K269" i="1"/>
  <c r="E269" i="1"/>
  <c r="D269" i="1"/>
  <c r="P268" i="1"/>
  <c r="L268" i="1"/>
  <c r="K268" i="1"/>
  <c r="E268" i="1"/>
  <c r="D268" i="1"/>
  <c r="P267" i="1"/>
  <c r="L267" i="1"/>
  <c r="K267" i="1"/>
  <c r="E267" i="1"/>
  <c r="D267" i="1"/>
  <c r="F267" i="1" s="1"/>
  <c r="P266" i="1"/>
  <c r="L266" i="1"/>
  <c r="K266" i="1"/>
  <c r="E266" i="1"/>
  <c r="D266" i="1"/>
  <c r="P265" i="1"/>
  <c r="L265" i="1"/>
  <c r="K265" i="1"/>
  <c r="E265" i="1"/>
  <c r="D265" i="1"/>
  <c r="P264" i="1"/>
  <c r="L264" i="1"/>
  <c r="K264" i="1"/>
  <c r="E264" i="1"/>
  <c r="D264" i="1"/>
  <c r="P263" i="1"/>
  <c r="L263" i="1"/>
  <c r="M263" i="1" s="1"/>
  <c r="N263" i="1" s="1"/>
  <c r="Q263" i="1" s="1"/>
  <c r="K263" i="1"/>
  <c r="E263" i="1"/>
  <c r="D263" i="1"/>
  <c r="P262" i="1"/>
  <c r="L262" i="1"/>
  <c r="K262" i="1"/>
  <c r="E262" i="1"/>
  <c r="D262" i="1"/>
  <c r="P261" i="1"/>
  <c r="L261" i="1"/>
  <c r="K261" i="1"/>
  <c r="E261" i="1"/>
  <c r="D261" i="1"/>
  <c r="P260" i="1"/>
  <c r="M260" i="1"/>
  <c r="N260" i="1" s="1"/>
  <c r="Q260" i="1" s="1"/>
  <c r="L260" i="1"/>
  <c r="K260" i="1"/>
  <c r="E260" i="1"/>
  <c r="D260" i="1"/>
  <c r="P259" i="1"/>
  <c r="L259" i="1"/>
  <c r="K259" i="1"/>
  <c r="M259" i="1" s="1"/>
  <c r="N259" i="1" s="1"/>
  <c r="Q259" i="1" s="1"/>
  <c r="R259" i="1" s="1"/>
  <c r="S259" i="1" s="1"/>
  <c r="T259" i="1" s="1"/>
  <c r="E259" i="1"/>
  <c r="D259" i="1"/>
  <c r="P258" i="1"/>
  <c r="L258" i="1"/>
  <c r="K258" i="1"/>
  <c r="E258" i="1"/>
  <c r="D258" i="1"/>
  <c r="P257" i="1"/>
  <c r="L257" i="1"/>
  <c r="K257" i="1"/>
  <c r="M257" i="1" s="1"/>
  <c r="N257" i="1" s="1"/>
  <c r="Q257" i="1" s="1"/>
  <c r="R257" i="1" s="1"/>
  <c r="S257" i="1" s="1"/>
  <c r="T257" i="1" s="1"/>
  <c r="E257" i="1"/>
  <c r="D257" i="1"/>
  <c r="P256" i="1"/>
  <c r="L256" i="1"/>
  <c r="K256" i="1"/>
  <c r="E256" i="1"/>
  <c r="D256" i="1"/>
  <c r="P255" i="1"/>
  <c r="L255" i="1"/>
  <c r="K255" i="1"/>
  <c r="E255" i="1"/>
  <c r="D255" i="1"/>
  <c r="P254" i="1"/>
  <c r="L254" i="1"/>
  <c r="K254" i="1"/>
  <c r="E254" i="1"/>
  <c r="D254" i="1"/>
  <c r="P253" i="1"/>
  <c r="L253" i="1"/>
  <c r="K253" i="1"/>
  <c r="E253" i="1"/>
  <c r="D253" i="1"/>
  <c r="P252" i="1"/>
  <c r="L252" i="1"/>
  <c r="K252" i="1"/>
  <c r="E252" i="1"/>
  <c r="F252" i="1" s="1"/>
  <c r="D252" i="1"/>
  <c r="P251" i="1"/>
  <c r="L251" i="1"/>
  <c r="K251" i="1"/>
  <c r="E251" i="1"/>
  <c r="D251" i="1"/>
  <c r="F251" i="1" s="1"/>
  <c r="P250" i="1"/>
  <c r="L250" i="1"/>
  <c r="K250" i="1"/>
  <c r="M250" i="1" s="1"/>
  <c r="N250" i="1" s="1"/>
  <c r="Q250" i="1" s="1"/>
  <c r="R250" i="1" s="1"/>
  <c r="S250" i="1" s="1"/>
  <c r="T250" i="1" s="1"/>
  <c r="E250" i="1"/>
  <c r="D250" i="1"/>
  <c r="P249" i="1"/>
  <c r="L249" i="1"/>
  <c r="K249" i="1"/>
  <c r="E249" i="1"/>
  <c r="D249" i="1"/>
  <c r="P248" i="1"/>
  <c r="L248" i="1"/>
  <c r="M248" i="1" s="1"/>
  <c r="N248" i="1" s="1"/>
  <c r="Q248" i="1" s="1"/>
  <c r="R248" i="1" s="1"/>
  <c r="S248" i="1" s="1"/>
  <c r="T248" i="1" s="1"/>
  <c r="K248" i="1"/>
  <c r="E248" i="1"/>
  <c r="D248" i="1"/>
  <c r="P247" i="1"/>
  <c r="L247" i="1"/>
  <c r="K247" i="1"/>
  <c r="E247" i="1"/>
  <c r="D247" i="1"/>
  <c r="P246" i="1"/>
  <c r="L246" i="1"/>
  <c r="K246" i="1"/>
  <c r="E246" i="1"/>
  <c r="D246" i="1"/>
  <c r="P245" i="1"/>
  <c r="L245" i="1"/>
  <c r="K245" i="1"/>
  <c r="E245" i="1"/>
  <c r="D245" i="1"/>
  <c r="P244" i="1"/>
  <c r="L244" i="1"/>
  <c r="K244" i="1"/>
  <c r="E244" i="1"/>
  <c r="D244" i="1"/>
  <c r="P243" i="1"/>
  <c r="L243" i="1"/>
  <c r="K243" i="1"/>
  <c r="E243" i="1"/>
  <c r="D243" i="1"/>
  <c r="P242" i="1"/>
  <c r="L242" i="1"/>
  <c r="K242" i="1"/>
  <c r="E242" i="1"/>
  <c r="D242" i="1"/>
  <c r="P241" i="1"/>
  <c r="L241" i="1"/>
  <c r="K241" i="1"/>
  <c r="E241" i="1"/>
  <c r="D241" i="1"/>
  <c r="P240" i="1"/>
  <c r="L240" i="1"/>
  <c r="K240" i="1"/>
  <c r="E240" i="1"/>
  <c r="D240" i="1"/>
  <c r="P239" i="1"/>
  <c r="L239" i="1"/>
  <c r="K239" i="1"/>
  <c r="E239" i="1"/>
  <c r="D239" i="1"/>
  <c r="P238" i="1"/>
  <c r="L238" i="1"/>
  <c r="K238" i="1"/>
  <c r="E238" i="1"/>
  <c r="D238" i="1"/>
  <c r="P237" i="1"/>
  <c r="L237" i="1"/>
  <c r="K237" i="1"/>
  <c r="E237" i="1"/>
  <c r="D237" i="1"/>
  <c r="P236" i="1"/>
  <c r="L236" i="1"/>
  <c r="K236" i="1"/>
  <c r="E236" i="1"/>
  <c r="D236" i="1"/>
  <c r="P235" i="1"/>
  <c r="L235" i="1"/>
  <c r="K235" i="1"/>
  <c r="E235" i="1"/>
  <c r="D235" i="1"/>
  <c r="P234" i="1"/>
  <c r="L234" i="1"/>
  <c r="K234" i="1"/>
  <c r="E234" i="1"/>
  <c r="D234" i="1"/>
  <c r="P233" i="1"/>
  <c r="L233" i="1"/>
  <c r="K233" i="1"/>
  <c r="E233" i="1"/>
  <c r="D233" i="1"/>
  <c r="P232" i="1"/>
  <c r="L232" i="1"/>
  <c r="K232" i="1"/>
  <c r="E232" i="1"/>
  <c r="D232" i="1"/>
  <c r="P231" i="1"/>
  <c r="L231" i="1"/>
  <c r="K231" i="1"/>
  <c r="E231" i="1"/>
  <c r="D231" i="1"/>
  <c r="F231" i="1" s="1"/>
  <c r="P230" i="1"/>
  <c r="L230" i="1"/>
  <c r="K230" i="1"/>
  <c r="E230" i="1"/>
  <c r="D230" i="1"/>
  <c r="P229" i="1"/>
  <c r="L229" i="1"/>
  <c r="K229" i="1"/>
  <c r="M229" i="1" s="1"/>
  <c r="N229" i="1" s="1"/>
  <c r="Q229" i="1" s="1"/>
  <c r="R229" i="1" s="1"/>
  <c r="S229" i="1" s="1"/>
  <c r="T229" i="1" s="1"/>
  <c r="E229" i="1"/>
  <c r="D229" i="1"/>
  <c r="P228" i="1"/>
  <c r="L228" i="1"/>
  <c r="K228" i="1"/>
  <c r="E228" i="1"/>
  <c r="D228" i="1"/>
  <c r="F228" i="1" s="1"/>
  <c r="P227" i="1"/>
  <c r="L227" i="1"/>
  <c r="K227" i="1"/>
  <c r="E227" i="1"/>
  <c r="D227" i="1"/>
  <c r="P226" i="1"/>
  <c r="L226" i="1"/>
  <c r="K226" i="1"/>
  <c r="M226" i="1" s="1"/>
  <c r="N226" i="1" s="1"/>
  <c r="Q226" i="1" s="1"/>
  <c r="E226" i="1"/>
  <c r="D226" i="1"/>
  <c r="P225" i="1"/>
  <c r="L225" i="1"/>
  <c r="M225" i="1" s="1"/>
  <c r="N225" i="1" s="1"/>
  <c r="Q225" i="1" s="1"/>
  <c r="K225" i="1"/>
  <c r="E225" i="1"/>
  <c r="D225" i="1"/>
  <c r="P224" i="1"/>
  <c r="L224" i="1"/>
  <c r="K224" i="1"/>
  <c r="E224" i="1"/>
  <c r="D224" i="1"/>
  <c r="P223" i="1"/>
  <c r="L223" i="1"/>
  <c r="K223" i="1"/>
  <c r="E223" i="1"/>
  <c r="D223" i="1"/>
  <c r="P222" i="1"/>
  <c r="L222" i="1"/>
  <c r="K222" i="1"/>
  <c r="E222" i="1"/>
  <c r="D222" i="1"/>
  <c r="P221" i="1"/>
  <c r="L221" i="1"/>
  <c r="M221" i="1" s="1"/>
  <c r="N221" i="1" s="1"/>
  <c r="Q221" i="1" s="1"/>
  <c r="R221" i="1" s="1"/>
  <c r="S221" i="1" s="1"/>
  <c r="T221" i="1" s="1"/>
  <c r="K221" i="1"/>
  <c r="E221" i="1"/>
  <c r="D221" i="1"/>
  <c r="P220" i="1"/>
  <c r="L220" i="1"/>
  <c r="K220" i="1"/>
  <c r="E220" i="1"/>
  <c r="D220" i="1"/>
  <c r="P219" i="1"/>
  <c r="L219" i="1"/>
  <c r="K219" i="1"/>
  <c r="E219" i="1"/>
  <c r="D219" i="1"/>
  <c r="P218" i="1"/>
  <c r="L218" i="1"/>
  <c r="K218" i="1"/>
  <c r="E218" i="1"/>
  <c r="D218" i="1"/>
  <c r="P217" i="1"/>
  <c r="L217" i="1"/>
  <c r="K217" i="1"/>
  <c r="E217" i="1"/>
  <c r="D217" i="1"/>
  <c r="P216" i="1"/>
  <c r="L216" i="1"/>
  <c r="K216" i="1"/>
  <c r="E216" i="1"/>
  <c r="D216" i="1"/>
  <c r="P215" i="1"/>
  <c r="L215" i="1"/>
  <c r="K215" i="1"/>
  <c r="E215" i="1"/>
  <c r="D215" i="1"/>
  <c r="P214" i="1"/>
  <c r="L214" i="1"/>
  <c r="K214" i="1"/>
  <c r="E214" i="1"/>
  <c r="D214" i="1"/>
  <c r="F214" i="1" s="1"/>
  <c r="P213" i="1"/>
  <c r="L213" i="1"/>
  <c r="K213" i="1"/>
  <c r="E213" i="1"/>
  <c r="D213" i="1"/>
  <c r="P212" i="1"/>
  <c r="L212" i="1"/>
  <c r="K212" i="1"/>
  <c r="M212" i="1" s="1"/>
  <c r="N212" i="1" s="1"/>
  <c r="Q212" i="1" s="1"/>
  <c r="E212" i="1"/>
  <c r="D212" i="1"/>
  <c r="P211" i="1"/>
  <c r="L211" i="1"/>
  <c r="K211" i="1"/>
  <c r="M211" i="1" s="1"/>
  <c r="N211" i="1" s="1"/>
  <c r="Q211" i="1" s="1"/>
  <c r="E211" i="1"/>
  <c r="D211" i="1"/>
  <c r="P210" i="1"/>
  <c r="L210" i="1"/>
  <c r="K210" i="1"/>
  <c r="E210" i="1"/>
  <c r="D210" i="1"/>
  <c r="P209" i="1"/>
  <c r="L209" i="1"/>
  <c r="K209" i="1"/>
  <c r="E209" i="1"/>
  <c r="D209" i="1"/>
  <c r="P208" i="1"/>
  <c r="L208" i="1"/>
  <c r="K208" i="1"/>
  <c r="M208" i="1" s="1"/>
  <c r="N208" i="1" s="1"/>
  <c r="Q208" i="1" s="1"/>
  <c r="E208" i="1"/>
  <c r="D208" i="1"/>
  <c r="P207" i="1"/>
  <c r="L207" i="1"/>
  <c r="M207" i="1" s="1"/>
  <c r="N207" i="1" s="1"/>
  <c r="Q207" i="1" s="1"/>
  <c r="R207" i="1" s="1"/>
  <c r="S207" i="1" s="1"/>
  <c r="T207" i="1" s="1"/>
  <c r="K207" i="1"/>
  <c r="E207" i="1"/>
  <c r="D207" i="1"/>
  <c r="P206" i="1"/>
  <c r="L206" i="1"/>
  <c r="K206" i="1"/>
  <c r="E206" i="1"/>
  <c r="F206" i="1" s="1"/>
  <c r="D206" i="1"/>
  <c r="P205" i="1"/>
  <c r="L205" i="1"/>
  <c r="K205" i="1"/>
  <c r="M205" i="1" s="1"/>
  <c r="N205" i="1" s="1"/>
  <c r="Q205" i="1" s="1"/>
  <c r="E205" i="1"/>
  <c r="D205" i="1"/>
  <c r="P204" i="1"/>
  <c r="L204" i="1"/>
  <c r="K204" i="1"/>
  <c r="E204" i="1"/>
  <c r="D204" i="1"/>
  <c r="P203" i="1"/>
  <c r="L203" i="1"/>
  <c r="K203" i="1"/>
  <c r="M203" i="1" s="1"/>
  <c r="N203" i="1" s="1"/>
  <c r="Q203" i="1" s="1"/>
  <c r="E203" i="1"/>
  <c r="D203" i="1"/>
  <c r="P202" i="1"/>
  <c r="L202" i="1"/>
  <c r="K202" i="1"/>
  <c r="E202" i="1"/>
  <c r="D202" i="1"/>
  <c r="P201" i="1"/>
  <c r="L201" i="1"/>
  <c r="K201" i="1"/>
  <c r="M201" i="1" s="1"/>
  <c r="N201" i="1" s="1"/>
  <c r="Q201" i="1" s="1"/>
  <c r="E201" i="1"/>
  <c r="D201" i="1"/>
  <c r="P200" i="1"/>
  <c r="L200" i="1"/>
  <c r="K200" i="1"/>
  <c r="E200" i="1"/>
  <c r="D200" i="1"/>
  <c r="F200" i="1" s="1"/>
  <c r="P199" i="1"/>
  <c r="L199" i="1"/>
  <c r="K199" i="1"/>
  <c r="M199" i="1" s="1"/>
  <c r="N199" i="1" s="1"/>
  <c r="Q199" i="1" s="1"/>
  <c r="R199" i="1" s="1"/>
  <c r="S199" i="1" s="1"/>
  <c r="T199" i="1" s="1"/>
  <c r="E199" i="1"/>
  <c r="D199" i="1"/>
  <c r="P198" i="1"/>
  <c r="L198" i="1"/>
  <c r="K198" i="1"/>
  <c r="E198" i="1"/>
  <c r="D198" i="1"/>
  <c r="P197" i="1"/>
  <c r="L197" i="1"/>
  <c r="K197" i="1"/>
  <c r="E197" i="1"/>
  <c r="D197" i="1"/>
  <c r="P196" i="1"/>
  <c r="L196" i="1"/>
  <c r="K196" i="1"/>
  <c r="E196" i="1"/>
  <c r="D196" i="1"/>
  <c r="P195" i="1"/>
  <c r="L195" i="1"/>
  <c r="K195" i="1"/>
  <c r="E195" i="1"/>
  <c r="D195" i="1"/>
  <c r="P194" i="1"/>
  <c r="L194" i="1"/>
  <c r="K194" i="1"/>
  <c r="E194" i="1"/>
  <c r="D194" i="1"/>
  <c r="P193" i="1"/>
  <c r="L193" i="1"/>
  <c r="K193" i="1"/>
  <c r="E193" i="1"/>
  <c r="D193" i="1"/>
  <c r="P192" i="1"/>
  <c r="L192" i="1"/>
  <c r="K192" i="1"/>
  <c r="M192" i="1" s="1"/>
  <c r="N192" i="1" s="1"/>
  <c r="Q192" i="1" s="1"/>
  <c r="E192" i="1"/>
  <c r="D192" i="1"/>
  <c r="P191" i="1"/>
  <c r="L191" i="1"/>
  <c r="K191" i="1"/>
  <c r="E191" i="1"/>
  <c r="D191" i="1"/>
  <c r="P190" i="1"/>
  <c r="L190" i="1"/>
  <c r="K190" i="1"/>
  <c r="E190" i="1"/>
  <c r="D190" i="1"/>
  <c r="P189" i="1"/>
  <c r="L189" i="1"/>
  <c r="K189" i="1"/>
  <c r="E189" i="1"/>
  <c r="D189" i="1"/>
  <c r="P188" i="1"/>
  <c r="L188" i="1"/>
  <c r="K188" i="1"/>
  <c r="E188" i="1"/>
  <c r="D188" i="1"/>
  <c r="P187" i="1"/>
  <c r="L187" i="1"/>
  <c r="K187" i="1"/>
  <c r="E187" i="1"/>
  <c r="D187" i="1"/>
  <c r="P186" i="1"/>
  <c r="L186" i="1"/>
  <c r="K186" i="1"/>
  <c r="M186" i="1" s="1"/>
  <c r="N186" i="1" s="1"/>
  <c r="Q186" i="1" s="1"/>
  <c r="E186" i="1"/>
  <c r="D186" i="1"/>
  <c r="P185" i="1"/>
  <c r="L185" i="1"/>
  <c r="K185" i="1"/>
  <c r="E185" i="1"/>
  <c r="D185" i="1"/>
  <c r="F185" i="1" s="1"/>
  <c r="P184" i="1"/>
  <c r="L184" i="1"/>
  <c r="K184" i="1"/>
  <c r="M184" i="1" s="1"/>
  <c r="N184" i="1" s="1"/>
  <c r="Q184" i="1" s="1"/>
  <c r="E184" i="1"/>
  <c r="D184" i="1"/>
  <c r="P183" i="1"/>
  <c r="L183" i="1"/>
  <c r="K183" i="1"/>
  <c r="E183" i="1"/>
  <c r="D183" i="1"/>
  <c r="P182" i="1"/>
  <c r="L182" i="1"/>
  <c r="K182" i="1"/>
  <c r="M182" i="1" s="1"/>
  <c r="N182" i="1" s="1"/>
  <c r="Q182" i="1" s="1"/>
  <c r="E182" i="1"/>
  <c r="D182" i="1"/>
  <c r="P181" i="1"/>
  <c r="L181" i="1"/>
  <c r="K181" i="1"/>
  <c r="E181" i="1"/>
  <c r="D181" i="1"/>
  <c r="P180" i="1"/>
  <c r="L180" i="1"/>
  <c r="K180" i="1"/>
  <c r="E180" i="1"/>
  <c r="D180" i="1"/>
  <c r="P179" i="1"/>
  <c r="L179" i="1"/>
  <c r="K179" i="1"/>
  <c r="E179" i="1"/>
  <c r="F179" i="1" s="1"/>
  <c r="D179" i="1"/>
  <c r="P178" i="1"/>
  <c r="L178" i="1"/>
  <c r="M178" i="1" s="1"/>
  <c r="N178" i="1" s="1"/>
  <c r="Q178" i="1" s="1"/>
  <c r="R178" i="1" s="1"/>
  <c r="S178" i="1" s="1"/>
  <c r="T178" i="1" s="1"/>
  <c r="K178" i="1"/>
  <c r="E178" i="1"/>
  <c r="D178" i="1"/>
  <c r="P177" i="1"/>
  <c r="L177" i="1"/>
  <c r="K177" i="1"/>
  <c r="M177" i="1" s="1"/>
  <c r="N177" i="1" s="1"/>
  <c r="Q177" i="1" s="1"/>
  <c r="E177" i="1"/>
  <c r="D177" i="1"/>
  <c r="P176" i="1"/>
  <c r="L176" i="1"/>
  <c r="K176" i="1"/>
  <c r="E176" i="1"/>
  <c r="D176" i="1"/>
  <c r="P175" i="1"/>
  <c r="L175" i="1"/>
  <c r="K175" i="1"/>
  <c r="E175" i="1"/>
  <c r="D175" i="1"/>
  <c r="P174" i="1"/>
  <c r="L174" i="1"/>
  <c r="K174" i="1"/>
  <c r="E174" i="1"/>
  <c r="D174" i="1"/>
  <c r="P173" i="1"/>
  <c r="L173" i="1"/>
  <c r="K173" i="1"/>
  <c r="E173" i="1"/>
  <c r="D173" i="1"/>
  <c r="P172" i="1"/>
  <c r="L172" i="1"/>
  <c r="K172" i="1"/>
  <c r="E172" i="1"/>
  <c r="D172" i="1"/>
  <c r="P171" i="1"/>
  <c r="L171" i="1"/>
  <c r="K171" i="1"/>
  <c r="E171" i="1"/>
  <c r="D171" i="1"/>
  <c r="F171" i="1" s="1"/>
  <c r="P170" i="1"/>
  <c r="L170" i="1"/>
  <c r="K170" i="1"/>
  <c r="E170" i="1"/>
  <c r="D170" i="1"/>
  <c r="F170" i="1" s="1"/>
  <c r="P169" i="1"/>
  <c r="L169" i="1"/>
  <c r="K169" i="1"/>
  <c r="M169" i="1" s="1"/>
  <c r="N169" i="1" s="1"/>
  <c r="Q169" i="1" s="1"/>
  <c r="R169" i="1" s="1"/>
  <c r="S169" i="1" s="1"/>
  <c r="T169" i="1" s="1"/>
  <c r="E169" i="1"/>
  <c r="D169" i="1"/>
  <c r="P168" i="1"/>
  <c r="L168" i="1"/>
  <c r="K168" i="1"/>
  <c r="M168" i="1" s="1"/>
  <c r="N168" i="1" s="1"/>
  <c r="Q168" i="1" s="1"/>
  <c r="E168" i="1"/>
  <c r="D168" i="1"/>
  <c r="P167" i="1"/>
  <c r="L167" i="1"/>
  <c r="K167" i="1"/>
  <c r="E167" i="1"/>
  <c r="D167" i="1"/>
  <c r="P166" i="1"/>
  <c r="L166" i="1"/>
  <c r="K166" i="1"/>
  <c r="E166" i="1"/>
  <c r="D166" i="1"/>
  <c r="P165" i="1"/>
  <c r="L165" i="1"/>
  <c r="K165" i="1"/>
  <c r="E165" i="1"/>
  <c r="D165" i="1"/>
  <c r="F165" i="1" s="1"/>
  <c r="P164" i="1"/>
  <c r="L164" i="1"/>
  <c r="K164" i="1"/>
  <c r="E164" i="1"/>
  <c r="D164" i="1"/>
  <c r="P163" i="1"/>
  <c r="L163" i="1"/>
  <c r="K163" i="1"/>
  <c r="M163" i="1" s="1"/>
  <c r="N163" i="1" s="1"/>
  <c r="Q163" i="1" s="1"/>
  <c r="R163" i="1" s="1"/>
  <c r="S163" i="1" s="1"/>
  <c r="T163" i="1" s="1"/>
  <c r="E163" i="1"/>
  <c r="D163" i="1"/>
  <c r="F163" i="1" s="1"/>
  <c r="P162" i="1"/>
  <c r="L162" i="1"/>
  <c r="K162" i="1"/>
  <c r="E162" i="1"/>
  <c r="D162" i="1"/>
  <c r="P161" i="1"/>
  <c r="L161" i="1"/>
  <c r="K161" i="1"/>
  <c r="E161" i="1"/>
  <c r="D161" i="1"/>
  <c r="P160" i="1"/>
  <c r="L160" i="1"/>
  <c r="K160" i="1"/>
  <c r="E160" i="1"/>
  <c r="D160" i="1"/>
  <c r="P159" i="1"/>
  <c r="L159" i="1"/>
  <c r="K159" i="1"/>
  <c r="E159" i="1"/>
  <c r="D159" i="1"/>
  <c r="P158" i="1"/>
  <c r="L158" i="1"/>
  <c r="K158" i="1"/>
  <c r="M158" i="1" s="1"/>
  <c r="N158" i="1" s="1"/>
  <c r="Q158" i="1" s="1"/>
  <c r="E158" i="1"/>
  <c r="D158" i="1"/>
  <c r="P157" i="1"/>
  <c r="L157" i="1"/>
  <c r="K157" i="1"/>
  <c r="E157" i="1"/>
  <c r="D157" i="1"/>
  <c r="P156" i="1"/>
  <c r="L156" i="1"/>
  <c r="M156" i="1" s="1"/>
  <c r="N156" i="1" s="1"/>
  <c r="Q156" i="1" s="1"/>
  <c r="R156" i="1" s="1"/>
  <c r="S156" i="1" s="1"/>
  <c r="T156" i="1" s="1"/>
  <c r="K156" i="1"/>
  <c r="E156" i="1"/>
  <c r="D156" i="1"/>
  <c r="P155" i="1"/>
  <c r="L155" i="1"/>
  <c r="K155" i="1"/>
  <c r="E155" i="1"/>
  <c r="D155" i="1"/>
  <c r="P154" i="1"/>
  <c r="L154" i="1"/>
  <c r="K154" i="1"/>
  <c r="E154" i="1"/>
  <c r="D154" i="1"/>
  <c r="P153" i="1"/>
  <c r="L153" i="1"/>
  <c r="K153" i="1"/>
  <c r="E153" i="1"/>
  <c r="D153" i="1"/>
  <c r="P152" i="1"/>
  <c r="L152" i="1"/>
  <c r="K152" i="1"/>
  <c r="E152" i="1"/>
  <c r="D152" i="1"/>
  <c r="F152" i="1" s="1"/>
  <c r="P151" i="1"/>
  <c r="L151" i="1"/>
  <c r="K151" i="1"/>
  <c r="M151" i="1" s="1"/>
  <c r="N151" i="1" s="1"/>
  <c r="Q151" i="1" s="1"/>
  <c r="E151" i="1"/>
  <c r="D151" i="1"/>
  <c r="P150" i="1"/>
  <c r="L150" i="1"/>
  <c r="K150" i="1"/>
  <c r="E150" i="1"/>
  <c r="D150" i="1"/>
  <c r="P149" i="1"/>
  <c r="L149" i="1"/>
  <c r="K149" i="1"/>
  <c r="E149" i="1"/>
  <c r="D149" i="1"/>
  <c r="P148" i="1"/>
  <c r="L148" i="1"/>
  <c r="K148" i="1"/>
  <c r="E148" i="1"/>
  <c r="D148" i="1"/>
  <c r="P147" i="1"/>
  <c r="L147" i="1"/>
  <c r="K147" i="1"/>
  <c r="E147" i="1"/>
  <c r="D147" i="1"/>
  <c r="P146" i="1"/>
  <c r="L146" i="1"/>
  <c r="K146" i="1"/>
  <c r="M146" i="1" s="1"/>
  <c r="N146" i="1" s="1"/>
  <c r="Q146" i="1" s="1"/>
  <c r="E146" i="1"/>
  <c r="D146" i="1"/>
  <c r="P145" i="1"/>
  <c r="L145" i="1"/>
  <c r="K145" i="1"/>
  <c r="E145" i="1"/>
  <c r="D145" i="1"/>
  <c r="P144" i="1"/>
  <c r="L144" i="1"/>
  <c r="K144" i="1"/>
  <c r="M144" i="1" s="1"/>
  <c r="N144" i="1" s="1"/>
  <c r="Q144" i="1" s="1"/>
  <c r="R144" i="1" s="1"/>
  <c r="S144" i="1" s="1"/>
  <c r="T144" i="1" s="1"/>
  <c r="E144" i="1"/>
  <c r="D144" i="1"/>
  <c r="P143" i="1"/>
  <c r="L143" i="1"/>
  <c r="K143" i="1"/>
  <c r="E143" i="1"/>
  <c r="D143" i="1"/>
  <c r="P142" i="1"/>
  <c r="L142" i="1"/>
  <c r="K142" i="1"/>
  <c r="E142" i="1"/>
  <c r="D142" i="1"/>
  <c r="P141" i="1"/>
  <c r="L141" i="1"/>
  <c r="K141" i="1"/>
  <c r="E141" i="1"/>
  <c r="D141" i="1"/>
  <c r="P140" i="1"/>
  <c r="L140" i="1"/>
  <c r="K140" i="1"/>
  <c r="E140" i="1"/>
  <c r="D140" i="1"/>
  <c r="P139" i="1"/>
  <c r="L139" i="1"/>
  <c r="K139" i="1"/>
  <c r="E139" i="1"/>
  <c r="D139" i="1"/>
  <c r="P138" i="1"/>
  <c r="L138" i="1"/>
  <c r="K138" i="1"/>
  <c r="E138" i="1"/>
  <c r="D138" i="1"/>
  <c r="P137" i="1"/>
  <c r="M137" i="1"/>
  <c r="N137" i="1" s="1"/>
  <c r="Q137" i="1" s="1"/>
  <c r="R137" i="1" s="1"/>
  <c r="S137" i="1" s="1"/>
  <c r="T137" i="1" s="1"/>
  <c r="L137" i="1"/>
  <c r="K137" i="1"/>
  <c r="E137" i="1"/>
  <c r="D137" i="1"/>
  <c r="P136" i="1"/>
  <c r="L136" i="1"/>
  <c r="K136" i="1"/>
  <c r="E136" i="1"/>
  <c r="D136" i="1"/>
  <c r="P135" i="1"/>
  <c r="L135" i="1"/>
  <c r="M135" i="1" s="1"/>
  <c r="N135" i="1" s="1"/>
  <c r="Q135" i="1" s="1"/>
  <c r="R135" i="1" s="1"/>
  <c r="S135" i="1" s="1"/>
  <c r="T135" i="1" s="1"/>
  <c r="K135" i="1"/>
  <c r="E135" i="1"/>
  <c r="D135" i="1"/>
  <c r="P134" i="1"/>
  <c r="L134" i="1"/>
  <c r="K134" i="1"/>
  <c r="M134" i="1" s="1"/>
  <c r="N134" i="1" s="1"/>
  <c r="Q134" i="1" s="1"/>
  <c r="E134" i="1"/>
  <c r="D134" i="1"/>
  <c r="F134" i="1" s="1"/>
  <c r="P133" i="1"/>
  <c r="L133" i="1"/>
  <c r="K133" i="1"/>
  <c r="E133" i="1"/>
  <c r="D133" i="1"/>
  <c r="P132" i="1"/>
  <c r="L132" i="1"/>
  <c r="K132" i="1"/>
  <c r="E132" i="1"/>
  <c r="D132" i="1"/>
  <c r="P131" i="1"/>
  <c r="L131" i="1"/>
  <c r="K131" i="1"/>
  <c r="F131" i="1"/>
  <c r="E131" i="1"/>
  <c r="D131" i="1"/>
  <c r="P130" i="1"/>
  <c r="L130" i="1"/>
  <c r="K130" i="1"/>
  <c r="E130" i="1"/>
  <c r="D130" i="1"/>
  <c r="P129" i="1"/>
  <c r="L129" i="1"/>
  <c r="K129" i="1"/>
  <c r="E129" i="1"/>
  <c r="D129" i="1"/>
  <c r="F129" i="1" s="1"/>
  <c r="P128" i="1"/>
  <c r="L128" i="1"/>
  <c r="M128" i="1" s="1"/>
  <c r="N128" i="1" s="1"/>
  <c r="Q128" i="1" s="1"/>
  <c r="R128" i="1" s="1"/>
  <c r="S128" i="1" s="1"/>
  <c r="T128" i="1" s="1"/>
  <c r="K128" i="1"/>
  <c r="E128" i="1"/>
  <c r="D128" i="1"/>
  <c r="P127" i="1"/>
  <c r="L127" i="1"/>
  <c r="K127" i="1"/>
  <c r="E127" i="1"/>
  <c r="D127" i="1"/>
  <c r="P126" i="1"/>
  <c r="L126" i="1"/>
  <c r="K126" i="1"/>
  <c r="E126" i="1"/>
  <c r="D126" i="1"/>
  <c r="P125" i="1"/>
  <c r="L125" i="1"/>
  <c r="K125" i="1"/>
  <c r="E125" i="1"/>
  <c r="D125" i="1"/>
  <c r="P124" i="1"/>
  <c r="L124" i="1"/>
  <c r="K124" i="1"/>
  <c r="E124" i="1"/>
  <c r="D124" i="1"/>
  <c r="P123" i="1"/>
  <c r="L123" i="1"/>
  <c r="K123" i="1"/>
  <c r="E123" i="1"/>
  <c r="D123" i="1"/>
  <c r="P122" i="1"/>
  <c r="L122" i="1"/>
  <c r="K122" i="1"/>
  <c r="M122" i="1" s="1"/>
  <c r="N122" i="1" s="1"/>
  <c r="Q122" i="1" s="1"/>
  <c r="R122" i="1" s="1"/>
  <c r="S122" i="1" s="1"/>
  <c r="T122" i="1" s="1"/>
  <c r="E122" i="1"/>
  <c r="D122" i="1"/>
  <c r="P121" i="1"/>
  <c r="L121" i="1"/>
  <c r="K121" i="1"/>
  <c r="E121" i="1"/>
  <c r="D121" i="1"/>
  <c r="P120" i="1"/>
  <c r="L120" i="1"/>
  <c r="K120" i="1"/>
  <c r="E120" i="1"/>
  <c r="D120" i="1"/>
  <c r="P119" i="1"/>
  <c r="L119" i="1"/>
  <c r="K119" i="1"/>
  <c r="E119" i="1"/>
  <c r="D119" i="1"/>
  <c r="P118" i="1"/>
  <c r="L118" i="1"/>
  <c r="K118" i="1"/>
  <c r="E118" i="1"/>
  <c r="D118" i="1"/>
  <c r="P117" i="1"/>
  <c r="L117" i="1"/>
  <c r="K117" i="1"/>
  <c r="E117" i="1"/>
  <c r="D117" i="1"/>
  <c r="P116" i="1"/>
  <c r="L116" i="1"/>
  <c r="K116" i="1"/>
  <c r="E116" i="1"/>
  <c r="D116" i="1"/>
  <c r="P115" i="1"/>
  <c r="L115" i="1"/>
  <c r="K115" i="1"/>
  <c r="E115" i="1"/>
  <c r="D115" i="1"/>
  <c r="P114" i="1"/>
  <c r="L114" i="1"/>
  <c r="K114" i="1"/>
  <c r="M114" i="1" s="1"/>
  <c r="N114" i="1" s="1"/>
  <c r="Q114" i="1" s="1"/>
  <c r="R114" i="1" s="1"/>
  <c r="S114" i="1" s="1"/>
  <c r="T114" i="1" s="1"/>
  <c r="E114" i="1"/>
  <c r="D114" i="1"/>
  <c r="P113" i="1"/>
  <c r="L113" i="1"/>
  <c r="K113" i="1"/>
  <c r="E113" i="1"/>
  <c r="D113" i="1"/>
  <c r="P112" i="1"/>
  <c r="L112" i="1"/>
  <c r="K112" i="1"/>
  <c r="E112" i="1"/>
  <c r="D112" i="1"/>
  <c r="P111" i="1"/>
  <c r="L111" i="1"/>
  <c r="K111" i="1"/>
  <c r="E111" i="1"/>
  <c r="D111" i="1"/>
  <c r="P110" i="1"/>
  <c r="L110" i="1"/>
  <c r="K110" i="1"/>
  <c r="E110" i="1"/>
  <c r="D110" i="1"/>
  <c r="P109" i="1"/>
  <c r="L109" i="1"/>
  <c r="K109" i="1"/>
  <c r="E109" i="1"/>
  <c r="D109" i="1"/>
  <c r="P108" i="1"/>
  <c r="L108" i="1"/>
  <c r="K108" i="1"/>
  <c r="E108" i="1"/>
  <c r="D108" i="1"/>
  <c r="F108" i="1" s="1"/>
  <c r="P107" i="1"/>
  <c r="L107" i="1"/>
  <c r="K107" i="1"/>
  <c r="E107" i="1"/>
  <c r="D107" i="1"/>
  <c r="F107" i="1" s="1"/>
  <c r="P106" i="1"/>
  <c r="L106" i="1"/>
  <c r="K106" i="1"/>
  <c r="M106" i="1" s="1"/>
  <c r="N106" i="1" s="1"/>
  <c r="Q106" i="1" s="1"/>
  <c r="R106" i="1" s="1"/>
  <c r="S106" i="1" s="1"/>
  <c r="T106" i="1" s="1"/>
  <c r="E106" i="1"/>
  <c r="D106" i="1"/>
  <c r="P105" i="1"/>
  <c r="L105" i="1"/>
  <c r="K105" i="1"/>
  <c r="E105" i="1"/>
  <c r="D105" i="1"/>
  <c r="P104" i="1"/>
  <c r="L104" i="1"/>
  <c r="K104" i="1"/>
  <c r="E104" i="1"/>
  <c r="D104" i="1"/>
  <c r="P103" i="1"/>
  <c r="L103" i="1"/>
  <c r="M103" i="1" s="1"/>
  <c r="N103" i="1" s="1"/>
  <c r="Q103" i="1" s="1"/>
  <c r="R103" i="1" s="1"/>
  <c r="S103" i="1" s="1"/>
  <c r="T103" i="1" s="1"/>
  <c r="K103" i="1"/>
  <c r="E103" i="1"/>
  <c r="D103" i="1"/>
  <c r="P102" i="1"/>
  <c r="L102" i="1"/>
  <c r="K102" i="1"/>
  <c r="E102" i="1"/>
  <c r="D102" i="1"/>
  <c r="F102" i="1" s="1"/>
  <c r="P101" i="1"/>
  <c r="L101" i="1"/>
  <c r="K101" i="1"/>
  <c r="E101" i="1"/>
  <c r="D101" i="1"/>
  <c r="P100" i="1"/>
  <c r="L100" i="1"/>
  <c r="K100" i="1"/>
  <c r="E100" i="1"/>
  <c r="D100" i="1"/>
  <c r="P99" i="1"/>
  <c r="L99" i="1"/>
  <c r="M99" i="1" s="1"/>
  <c r="N99" i="1" s="1"/>
  <c r="Q99" i="1" s="1"/>
  <c r="K99" i="1"/>
  <c r="E99" i="1"/>
  <c r="D99" i="1"/>
  <c r="P98" i="1"/>
  <c r="L98" i="1"/>
  <c r="K98" i="1"/>
  <c r="E98" i="1"/>
  <c r="D98" i="1"/>
  <c r="P97" i="1"/>
  <c r="L97" i="1"/>
  <c r="K97" i="1"/>
  <c r="E97" i="1"/>
  <c r="D97" i="1"/>
  <c r="P96" i="1"/>
  <c r="M96" i="1"/>
  <c r="N96" i="1" s="1"/>
  <c r="Q96" i="1" s="1"/>
  <c r="L96" i="1"/>
  <c r="K96" i="1"/>
  <c r="E96" i="1"/>
  <c r="D96" i="1"/>
  <c r="P95" i="1"/>
  <c r="L95" i="1"/>
  <c r="K95" i="1"/>
  <c r="F95" i="1"/>
  <c r="E95" i="1"/>
  <c r="D95" i="1"/>
  <c r="P94" i="1"/>
  <c r="L94" i="1"/>
  <c r="K94" i="1"/>
  <c r="M94" i="1" s="1"/>
  <c r="N94" i="1" s="1"/>
  <c r="Q94" i="1" s="1"/>
  <c r="E94" i="1"/>
  <c r="D94" i="1"/>
  <c r="P93" i="1"/>
  <c r="L93" i="1"/>
  <c r="K93" i="1"/>
  <c r="E93" i="1"/>
  <c r="D93" i="1"/>
  <c r="P92" i="1"/>
  <c r="L92" i="1"/>
  <c r="K92" i="1"/>
  <c r="E92" i="1"/>
  <c r="D92" i="1"/>
  <c r="P91" i="1"/>
  <c r="L91" i="1"/>
  <c r="K91" i="1"/>
  <c r="E91" i="1"/>
  <c r="D91" i="1"/>
  <c r="P90" i="1"/>
  <c r="L90" i="1"/>
  <c r="M90" i="1" s="1"/>
  <c r="N90" i="1" s="1"/>
  <c r="Q90" i="1" s="1"/>
  <c r="K90" i="1"/>
  <c r="E90" i="1"/>
  <c r="D90" i="1"/>
  <c r="P89" i="1"/>
  <c r="L89" i="1"/>
  <c r="K89" i="1"/>
  <c r="E89" i="1"/>
  <c r="D89" i="1"/>
  <c r="P88" i="1"/>
  <c r="L88" i="1"/>
  <c r="K88" i="1"/>
  <c r="E88" i="1"/>
  <c r="D88" i="1"/>
  <c r="P87" i="1"/>
  <c r="L87" i="1"/>
  <c r="K87" i="1"/>
  <c r="E87" i="1"/>
  <c r="F87" i="1" s="1"/>
  <c r="D87" i="1"/>
  <c r="P86" i="1"/>
  <c r="L86" i="1"/>
  <c r="K86" i="1"/>
  <c r="E86" i="1"/>
  <c r="D86" i="1"/>
  <c r="P85" i="1"/>
  <c r="L85" i="1"/>
  <c r="K85" i="1"/>
  <c r="E85" i="1"/>
  <c r="D85" i="1"/>
  <c r="F85" i="1" s="1"/>
  <c r="P84" i="1"/>
  <c r="L84" i="1"/>
  <c r="K84" i="1"/>
  <c r="E84" i="1"/>
  <c r="D84" i="1"/>
  <c r="P83" i="1"/>
  <c r="L83" i="1"/>
  <c r="K83" i="1"/>
  <c r="E83" i="1"/>
  <c r="D83" i="1"/>
  <c r="P82" i="1"/>
  <c r="L82" i="1"/>
  <c r="K82" i="1"/>
  <c r="E82" i="1"/>
  <c r="D82" i="1"/>
  <c r="F82" i="1" s="1"/>
  <c r="P81" i="1"/>
  <c r="L81" i="1"/>
  <c r="K81" i="1"/>
  <c r="E81" i="1"/>
  <c r="D81" i="1"/>
  <c r="P80" i="1"/>
  <c r="L80" i="1"/>
  <c r="K80" i="1"/>
  <c r="E80" i="1"/>
  <c r="D80" i="1"/>
  <c r="P79" i="1"/>
  <c r="L79" i="1"/>
  <c r="K79" i="1"/>
  <c r="E79" i="1"/>
  <c r="D79" i="1"/>
  <c r="P78" i="1"/>
  <c r="L78" i="1"/>
  <c r="K78" i="1"/>
  <c r="E78" i="1"/>
  <c r="D78" i="1"/>
  <c r="P77" i="1"/>
  <c r="L77" i="1"/>
  <c r="K77" i="1"/>
  <c r="E77" i="1"/>
  <c r="D77" i="1"/>
  <c r="F77" i="1" s="1"/>
  <c r="P76" i="1"/>
  <c r="L76" i="1"/>
  <c r="K76" i="1"/>
  <c r="E76" i="1"/>
  <c r="D76" i="1"/>
  <c r="P75" i="1"/>
  <c r="L75" i="1"/>
  <c r="K75" i="1"/>
  <c r="E75" i="1"/>
  <c r="D75" i="1"/>
  <c r="F75" i="1" s="1"/>
  <c r="P74" i="1"/>
  <c r="L74" i="1"/>
  <c r="K74" i="1"/>
  <c r="E74" i="1"/>
  <c r="D74" i="1"/>
  <c r="P73" i="1"/>
  <c r="L73" i="1"/>
  <c r="K73" i="1"/>
  <c r="F73" i="1"/>
  <c r="E73" i="1"/>
  <c r="D73" i="1"/>
  <c r="P72" i="1"/>
  <c r="L72" i="1"/>
  <c r="K72" i="1"/>
  <c r="E72" i="1"/>
  <c r="D72" i="1"/>
  <c r="F72" i="1" s="1"/>
  <c r="P71" i="1"/>
  <c r="L71" i="1"/>
  <c r="K71" i="1"/>
  <c r="E71" i="1"/>
  <c r="D71" i="1"/>
  <c r="P70" i="1"/>
  <c r="L70" i="1"/>
  <c r="K70" i="1"/>
  <c r="E70" i="1"/>
  <c r="D70" i="1"/>
  <c r="P69" i="1"/>
  <c r="L69" i="1"/>
  <c r="K69" i="1"/>
  <c r="E69" i="1"/>
  <c r="D69" i="1"/>
  <c r="P68" i="1"/>
  <c r="L68" i="1"/>
  <c r="M68" i="1" s="1"/>
  <c r="N68" i="1" s="1"/>
  <c r="Q68" i="1" s="1"/>
  <c r="R68" i="1" s="1"/>
  <c r="S68" i="1" s="1"/>
  <c r="T68" i="1" s="1"/>
  <c r="K68" i="1"/>
  <c r="E68" i="1"/>
  <c r="D68" i="1"/>
  <c r="F68" i="1" s="1"/>
  <c r="P67" i="1"/>
  <c r="L67" i="1"/>
  <c r="K67" i="1"/>
  <c r="E67" i="1"/>
  <c r="D67" i="1"/>
  <c r="F67" i="1" s="1"/>
  <c r="P66" i="1"/>
  <c r="L66" i="1"/>
  <c r="K66" i="1"/>
  <c r="E66" i="1"/>
  <c r="D66" i="1"/>
  <c r="F66" i="1" s="1"/>
  <c r="P65" i="1"/>
  <c r="L65" i="1"/>
  <c r="K65" i="1"/>
  <c r="M65" i="1" s="1"/>
  <c r="N65" i="1" s="1"/>
  <c r="Q65" i="1" s="1"/>
  <c r="E65" i="1"/>
  <c r="D65" i="1"/>
  <c r="P64" i="1"/>
  <c r="L64" i="1"/>
  <c r="K64" i="1"/>
  <c r="E64" i="1"/>
  <c r="D64" i="1"/>
  <c r="F64" i="1" s="1"/>
  <c r="P63" i="1"/>
  <c r="L63" i="1"/>
  <c r="K63" i="1"/>
  <c r="E63" i="1"/>
  <c r="D63" i="1"/>
  <c r="P62" i="1"/>
  <c r="L62" i="1"/>
  <c r="K62" i="1"/>
  <c r="E62" i="1"/>
  <c r="D62" i="1"/>
  <c r="P61" i="1"/>
  <c r="L61" i="1"/>
  <c r="K61" i="1"/>
  <c r="E61" i="1"/>
  <c r="D61" i="1"/>
  <c r="P60" i="1"/>
  <c r="L60" i="1"/>
  <c r="K60" i="1"/>
  <c r="E60" i="1"/>
  <c r="D60" i="1"/>
  <c r="F60" i="1" s="1"/>
  <c r="P59" i="1"/>
  <c r="L59" i="1"/>
  <c r="K59" i="1"/>
  <c r="E59" i="1"/>
  <c r="D59" i="1"/>
  <c r="F59" i="1" s="1"/>
  <c r="P58" i="1"/>
  <c r="L58" i="1"/>
  <c r="K58" i="1"/>
  <c r="E58" i="1"/>
  <c r="D58" i="1"/>
  <c r="P57" i="1"/>
  <c r="L57" i="1"/>
  <c r="K57" i="1"/>
  <c r="M57" i="1" s="1"/>
  <c r="N57" i="1" s="1"/>
  <c r="Q57" i="1" s="1"/>
  <c r="E57" i="1"/>
  <c r="D57" i="1"/>
  <c r="P56" i="1"/>
  <c r="L56" i="1"/>
  <c r="K56" i="1"/>
  <c r="E56" i="1"/>
  <c r="D56" i="1"/>
  <c r="F56" i="1" s="1"/>
  <c r="P55" i="1"/>
  <c r="L55" i="1"/>
  <c r="K55" i="1"/>
  <c r="E55" i="1"/>
  <c r="D55" i="1"/>
  <c r="P54" i="1"/>
  <c r="L54" i="1"/>
  <c r="K54" i="1"/>
  <c r="E54" i="1"/>
  <c r="D54" i="1"/>
  <c r="P53" i="1"/>
  <c r="L53" i="1"/>
  <c r="K53" i="1"/>
  <c r="E53" i="1"/>
  <c r="D53" i="1"/>
  <c r="P52" i="1"/>
  <c r="L52" i="1"/>
  <c r="K52" i="1"/>
  <c r="E52" i="1"/>
  <c r="D52" i="1"/>
  <c r="P51" i="1"/>
  <c r="L51" i="1"/>
  <c r="K51" i="1"/>
  <c r="E51" i="1"/>
  <c r="D51" i="1"/>
  <c r="P50" i="1"/>
  <c r="L50" i="1"/>
  <c r="K50" i="1"/>
  <c r="E50" i="1"/>
  <c r="D50" i="1"/>
  <c r="P49" i="1"/>
  <c r="L49" i="1"/>
  <c r="K49" i="1"/>
  <c r="E49" i="1"/>
  <c r="D49" i="1"/>
  <c r="P48" i="1"/>
  <c r="L48" i="1"/>
  <c r="K48" i="1"/>
  <c r="E48" i="1"/>
  <c r="D48" i="1"/>
  <c r="P47" i="1"/>
  <c r="L47" i="1"/>
  <c r="K47" i="1"/>
  <c r="E47" i="1"/>
  <c r="D47" i="1"/>
  <c r="P46" i="1"/>
  <c r="L46" i="1"/>
  <c r="K46" i="1"/>
  <c r="E46" i="1"/>
  <c r="D46" i="1"/>
  <c r="P45" i="1"/>
  <c r="L45" i="1"/>
  <c r="K45" i="1"/>
  <c r="E45" i="1"/>
  <c r="D45" i="1"/>
  <c r="P44" i="1"/>
  <c r="L44" i="1"/>
  <c r="M44" i="1" s="1"/>
  <c r="N44" i="1" s="1"/>
  <c r="Q44" i="1" s="1"/>
  <c r="R44" i="1" s="1"/>
  <c r="S44" i="1" s="1"/>
  <c r="T44" i="1" s="1"/>
  <c r="K44" i="1"/>
  <c r="E44" i="1"/>
  <c r="D44" i="1"/>
  <c r="P43" i="1"/>
  <c r="L43" i="1"/>
  <c r="K43" i="1"/>
  <c r="E43" i="1"/>
  <c r="D43" i="1"/>
  <c r="F43" i="1" s="1"/>
  <c r="P42" i="1"/>
  <c r="L42" i="1"/>
  <c r="K42" i="1"/>
  <c r="E42" i="1"/>
  <c r="D42" i="1"/>
  <c r="F42" i="1" s="1"/>
  <c r="P41" i="1"/>
  <c r="L41" i="1"/>
  <c r="K41" i="1"/>
  <c r="M41" i="1" s="1"/>
  <c r="N41" i="1" s="1"/>
  <c r="Q41" i="1" s="1"/>
  <c r="R41" i="1" s="1"/>
  <c r="S41" i="1" s="1"/>
  <c r="T41" i="1" s="1"/>
  <c r="E41" i="1"/>
  <c r="D41" i="1"/>
  <c r="P40" i="1"/>
  <c r="L40" i="1"/>
  <c r="M40" i="1" s="1"/>
  <c r="N40" i="1" s="1"/>
  <c r="Q40" i="1" s="1"/>
  <c r="R40" i="1" s="1"/>
  <c r="S40" i="1" s="1"/>
  <c r="T40" i="1" s="1"/>
  <c r="K40" i="1"/>
  <c r="E40" i="1"/>
  <c r="D40" i="1"/>
  <c r="F40" i="1" s="1"/>
  <c r="P39" i="1"/>
  <c r="L39" i="1"/>
  <c r="K39" i="1"/>
  <c r="E39" i="1"/>
  <c r="D39" i="1"/>
  <c r="F39" i="1" s="1"/>
  <c r="P38" i="1"/>
  <c r="L38" i="1"/>
  <c r="K38" i="1"/>
  <c r="E38" i="1"/>
  <c r="D38" i="1"/>
  <c r="P37" i="1"/>
  <c r="L37" i="1"/>
  <c r="K37" i="1"/>
  <c r="M37" i="1" s="1"/>
  <c r="N37" i="1" s="1"/>
  <c r="Q37" i="1" s="1"/>
  <c r="E37" i="1"/>
  <c r="D37" i="1"/>
  <c r="F37" i="1" s="1"/>
  <c r="P36" i="1"/>
  <c r="L36" i="1"/>
  <c r="K36" i="1"/>
  <c r="E36" i="1"/>
  <c r="D36" i="1"/>
  <c r="F36" i="1" s="1"/>
  <c r="P35" i="1"/>
  <c r="L35" i="1"/>
  <c r="K35" i="1"/>
  <c r="M35" i="1" s="1"/>
  <c r="N35" i="1" s="1"/>
  <c r="Q35" i="1" s="1"/>
  <c r="R35" i="1" s="1"/>
  <c r="S35" i="1" s="1"/>
  <c r="T35" i="1" s="1"/>
  <c r="E35" i="1"/>
  <c r="D35" i="1"/>
  <c r="P34" i="1"/>
  <c r="L34" i="1"/>
  <c r="K34" i="1"/>
  <c r="E34" i="1"/>
  <c r="D34" i="1"/>
  <c r="F34" i="1" s="1"/>
  <c r="P33" i="1"/>
  <c r="L33" i="1"/>
  <c r="K33" i="1"/>
  <c r="M33" i="1" s="1"/>
  <c r="N33" i="1" s="1"/>
  <c r="Q33" i="1" s="1"/>
  <c r="E33" i="1"/>
  <c r="D33" i="1"/>
  <c r="P32" i="1"/>
  <c r="L32" i="1"/>
  <c r="K32" i="1"/>
  <c r="E32" i="1"/>
  <c r="D32" i="1"/>
  <c r="P31" i="1"/>
  <c r="L31" i="1"/>
  <c r="K31" i="1"/>
  <c r="E31" i="1"/>
  <c r="D31" i="1"/>
  <c r="P30" i="1"/>
  <c r="L30" i="1"/>
  <c r="K30" i="1"/>
  <c r="E30" i="1"/>
  <c r="D30" i="1"/>
  <c r="P29" i="1"/>
  <c r="L29" i="1"/>
  <c r="K29" i="1"/>
  <c r="E29" i="1"/>
  <c r="D29" i="1"/>
  <c r="P28" i="1"/>
  <c r="L28" i="1"/>
  <c r="K28" i="1"/>
  <c r="E28" i="1"/>
  <c r="D28" i="1"/>
  <c r="F28" i="1" s="1"/>
  <c r="P27" i="1"/>
  <c r="L27" i="1"/>
  <c r="K27" i="1"/>
  <c r="M27" i="1" s="1"/>
  <c r="N27" i="1" s="1"/>
  <c r="Q27" i="1" s="1"/>
  <c r="E27" i="1"/>
  <c r="D27" i="1"/>
  <c r="P26" i="1"/>
  <c r="L26" i="1"/>
  <c r="K26" i="1"/>
  <c r="M26" i="1" s="1"/>
  <c r="N26" i="1" s="1"/>
  <c r="Q26" i="1" s="1"/>
  <c r="R26" i="1" s="1"/>
  <c r="S26" i="1" s="1"/>
  <c r="T26" i="1" s="1"/>
  <c r="E26" i="1"/>
  <c r="D26" i="1"/>
  <c r="F26" i="1" s="1"/>
  <c r="P25" i="1"/>
  <c r="L25" i="1"/>
  <c r="K25" i="1"/>
  <c r="E25" i="1"/>
  <c r="D25" i="1"/>
  <c r="P24" i="1"/>
  <c r="L24" i="1"/>
  <c r="K24" i="1"/>
  <c r="E24" i="1"/>
  <c r="D24" i="1"/>
  <c r="P23" i="1"/>
  <c r="L23" i="1"/>
  <c r="K23" i="1"/>
  <c r="E23" i="1"/>
  <c r="D23" i="1"/>
  <c r="P22" i="1"/>
  <c r="L22" i="1"/>
  <c r="K22" i="1"/>
  <c r="E22" i="1"/>
  <c r="D22" i="1"/>
  <c r="P21" i="1"/>
  <c r="L21" i="1"/>
  <c r="K21" i="1"/>
  <c r="E21" i="1"/>
  <c r="D21" i="1"/>
  <c r="P20" i="1"/>
  <c r="L20" i="1"/>
  <c r="K20" i="1"/>
  <c r="E20" i="1"/>
  <c r="D20" i="1"/>
  <c r="P19" i="1"/>
  <c r="L19" i="1"/>
  <c r="K19" i="1"/>
  <c r="E19" i="1"/>
  <c r="D19" i="1"/>
  <c r="P18" i="1"/>
  <c r="L18" i="1"/>
  <c r="K18" i="1"/>
  <c r="E18" i="1"/>
  <c r="D18" i="1"/>
  <c r="P17" i="1"/>
  <c r="L17" i="1"/>
  <c r="K17" i="1"/>
  <c r="E17" i="1"/>
  <c r="D17" i="1"/>
  <c r="P16" i="1"/>
  <c r="L16" i="1"/>
  <c r="K16" i="1"/>
  <c r="E16" i="1"/>
  <c r="D16" i="1"/>
  <c r="F16" i="1" s="1"/>
  <c r="P15" i="1"/>
  <c r="L15" i="1"/>
  <c r="K15" i="1"/>
  <c r="E15" i="1"/>
  <c r="D15" i="1"/>
  <c r="P14" i="1"/>
  <c r="L14" i="1"/>
  <c r="K14" i="1"/>
  <c r="M14" i="1" s="1"/>
  <c r="N14" i="1" s="1"/>
  <c r="Q14" i="1" s="1"/>
  <c r="R14" i="1" s="1"/>
  <c r="S14" i="1" s="1"/>
  <c r="T14" i="1" s="1"/>
  <c r="E14" i="1"/>
  <c r="D14" i="1"/>
  <c r="P13" i="1"/>
  <c r="L13" i="1"/>
  <c r="K13" i="1"/>
  <c r="E13" i="1"/>
  <c r="D13" i="1"/>
  <c r="F13" i="1" s="1"/>
  <c r="P12" i="1"/>
  <c r="L12" i="1"/>
  <c r="K12" i="1"/>
  <c r="E12" i="1"/>
  <c r="D12" i="1"/>
  <c r="P11" i="1"/>
  <c r="L11" i="1"/>
  <c r="K11" i="1"/>
  <c r="E11" i="1"/>
  <c r="D11" i="1"/>
  <c r="P10" i="1"/>
  <c r="L10" i="1"/>
  <c r="K10" i="1"/>
  <c r="E10" i="1"/>
  <c r="D10" i="1"/>
  <c r="P9" i="1"/>
  <c r="L9" i="1"/>
  <c r="K9" i="1"/>
  <c r="E9" i="1"/>
  <c r="D9" i="1"/>
  <c r="P8" i="1"/>
  <c r="L8" i="1"/>
  <c r="K8" i="1"/>
  <c r="E8" i="1"/>
  <c r="D8" i="1"/>
  <c r="Q7" i="1"/>
  <c r="P7" i="1"/>
  <c r="L7" i="1"/>
  <c r="K7" i="1"/>
  <c r="M7" i="1" s="1"/>
  <c r="N7" i="1" s="1"/>
  <c r="E7" i="1"/>
  <c r="D7" i="1"/>
  <c r="P6" i="1"/>
  <c r="L6" i="1"/>
  <c r="K6" i="1"/>
  <c r="E6" i="1"/>
  <c r="D6" i="1"/>
  <c r="P5" i="1"/>
  <c r="L5" i="1"/>
  <c r="K5" i="1"/>
  <c r="E5" i="1"/>
  <c r="D5" i="1"/>
  <c r="F5" i="1" s="1"/>
  <c r="P4" i="1"/>
  <c r="L4" i="1"/>
  <c r="K4" i="1"/>
  <c r="M4" i="1" s="1"/>
  <c r="N4" i="1" s="1"/>
  <c r="Q4" i="1" s="1"/>
  <c r="E4" i="1"/>
  <c r="D4" i="1"/>
  <c r="P3" i="1"/>
  <c r="L3" i="1"/>
  <c r="K3" i="1"/>
  <c r="E3" i="1"/>
  <c r="D3" i="1"/>
  <c r="P2" i="1"/>
  <c r="L2" i="1"/>
  <c r="K2" i="1"/>
  <c r="E2" i="1"/>
  <c r="D2" i="1"/>
  <c r="F35" i="1" l="1"/>
  <c r="F84" i="1"/>
  <c r="R99" i="1"/>
  <c r="S99" i="1" s="1"/>
  <c r="T99" i="1" s="1"/>
  <c r="M104" i="1"/>
  <c r="N104" i="1" s="1"/>
  <c r="Q104" i="1" s="1"/>
  <c r="F106" i="1"/>
  <c r="M120" i="1"/>
  <c r="N120" i="1" s="1"/>
  <c r="Q120" i="1" s="1"/>
  <c r="R134" i="1"/>
  <c r="S134" i="1" s="1"/>
  <c r="T134" i="1" s="1"/>
  <c r="R502" i="1"/>
  <c r="S502" i="1" s="1"/>
  <c r="T502" i="1" s="1"/>
  <c r="R654" i="1"/>
  <c r="S654" i="1" s="1"/>
  <c r="T654" i="1" s="1"/>
  <c r="F89" i="1"/>
  <c r="R90" i="1"/>
  <c r="S90" i="1" s="1"/>
  <c r="T90" i="1" s="1"/>
  <c r="R96" i="1"/>
  <c r="S96" i="1" s="1"/>
  <c r="T96" i="1" s="1"/>
  <c r="F103" i="1"/>
  <c r="M117" i="1"/>
  <c r="N117" i="1" s="1"/>
  <c r="Q117" i="1" s="1"/>
  <c r="R117" i="1" s="1"/>
  <c r="S117" i="1" s="1"/>
  <c r="T117" i="1" s="1"/>
  <c r="F119" i="1"/>
  <c r="F224" i="1"/>
  <c r="M233" i="1"/>
  <c r="N233" i="1" s="1"/>
  <c r="Q233" i="1" s="1"/>
  <c r="M241" i="1"/>
  <c r="N241" i="1" s="1"/>
  <c r="Q241" i="1" s="1"/>
  <c r="R241" i="1" s="1"/>
  <c r="S241" i="1" s="1"/>
  <c r="T241" i="1" s="1"/>
  <c r="M249" i="1"/>
  <c r="N249" i="1" s="1"/>
  <c r="Q249" i="1" s="1"/>
  <c r="R249" i="1" s="1"/>
  <c r="S249" i="1" s="1"/>
  <c r="T249" i="1" s="1"/>
  <c r="F254" i="1"/>
  <c r="M261" i="1"/>
  <c r="N261" i="1" s="1"/>
  <c r="Q261" i="1" s="1"/>
  <c r="R261" i="1" s="1"/>
  <c r="S261" i="1" s="1"/>
  <c r="T261" i="1" s="1"/>
  <c r="M269" i="1"/>
  <c r="N269" i="1" s="1"/>
  <c r="Q269" i="1" s="1"/>
  <c r="R269" i="1" s="1"/>
  <c r="S269" i="1" s="1"/>
  <c r="T269" i="1" s="1"/>
  <c r="M280" i="1"/>
  <c r="N280" i="1" s="1"/>
  <c r="Q280" i="1" s="1"/>
  <c r="M296" i="1"/>
  <c r="N296" i="1" s="1"/>
  <c r="Q296" i="1" s="1"/>
  <c r="M336" i="1"/>
  <c r="N336" i="1" s="1"/>
  <c r="Q336" i="1" s="1"/>
  <c r="R336" i="1" s="1"/>
  <c r="S336" i="1" s="1"/>
  <c r="T336" i="1" s="1"/>
  <c r="M84" i="1"/>
  <c r="N84" i="1" s="1"/>
  <c r="Q84" i="1" s="1"/>
  <c r="R84" i="1" s="1"/>
  <c r="S84" i="1" s="1"/>
  <c r="T84" i="1" s="1"/>
  <c r="M92" i="1"/>
  <c r="N92" i="1" s="1"/>
  <c r="Q92" i="1" s="1"/>
  <c r="R92" i="1" s="1"/>
  <c r="S92" i="1" s="1"/>
  <c r="T92" i="1" s="1"/>
  <c r="M98" i="1"/>
  <c r="N98" i="1" s="1"/>
  <c r="Q98" i="1" s="1"/>
  <c r="R98" i="1" s="1"/>
  <c r="S98" i="1" s="1"/>
  <c r="T98" i="1" s="1"/>
  <c r="F113" i="1"/>
  <c r="M119" i="1"/>
  <c r="N119" i="1" s="1"/>
  <c r="Q119" i="1" s="1"/>
  <c r="F121" i="1"/>
  <c r="M130" i="1"/>
  <c r="N130" i="1" s="1"/>
  <c r="Q130" i="1" s="1"/>
  <c r="R130" i="1" s="1"/>
  <c r="S130" i="1" s="1"/>
  <c r="T130" i="1" s="1"/>
  <c r="F135" i="1"/>
  <c r="M147" i="1"/>
  <c r="N147" i="1" s="1"/>
  <c r="Q147" i="1" s="1"/>
  <c r="R147" i="1" s="1"/>
  <c r="S147" i="1" s="1"/>
  <c r="T147" i="1" s="1"/>
  <c r="F193" i="1"/>
  <c r="R298" i="1"/>
  <c r="S298" i="1" s="1"/>
  <c r="T298" i="1" s="1"/>
  <c r="F305" i="1"/>
  <c r="M359" i="1"/>
  <c r="N359" i="1" s="1"/>
  <c r="Q359" i="1" s="1"/>
  <c r="R359" i="1" s="1"/>
  <c r="S359" i="1" s="1"/>
  <c r="T359" i="1" s="1"/>
  <c r="M445" i="1"/>
  <c r="N445" i="1" s="1"/>
  <c r="Q445" i="1" s="1"/>
  <c r="R445" i="1" s="1"/>
  <c r="S445" i="1" s="1"/>
  <c r="T445" i="1" s="1"/>
  <c r="R621" i="1"/>
  <c r="S621" i="1" s="1"/>
  <c r="T621" i="1" s="1"/>
  <c r="M22" i="1"/>
  <c r="N22" i="1" s="1"/>
  <c r="Q22" i="1" s="1"/>
  <c r="M6" i="1"/>
  <c r="N6" i="1" s="1"/>
  <c r="Q6" i="1" s="1"/>
  <c r="M16" i="1"/>
  <c r="N16" i="1" s="1"/>
  <c r="Q16" i="1" s="1"/>
  <c r="M100" i="1"/>
  <c r="N100" i="1" s="1"/>
  <c r="Q100" i="1" s="1"/>
  <c r="R100" i="1" s="1"/>
  <c r="S100" i="1" s="1"/>
  <c r="T100" i="1" s="1"/>
  <c r="M316" i="1"/>
  <c r="N316" i="1" s="1"/>
  <c r="Q316" i="1" s="1"/>
  <c r="R316" i="1" s="1"/>
  <c r="S316" i="1" s="1"/>
  <c r="T316" i="1" s="1"/>
  <c r="M18" i="1"/>
  <c r="N18" i="1" s="1"/>
  <c r="Q18" i="1" s="1"/>
  <c r="R18" i="1" s="1"/>
  <c r="S18" i="1" s="1"/>
  <c r="T18" i="1" s="1"/>
  <c r="F99" i="1"/>
  <c r="M105" i="1"/>
  <c r="N105" i="1" s="1"/>
  <c r="Q105" i="1" s="1"/>
  <c r="R105" i="1" s="1"/>
  <c r="S105" i="1" s="1"/>
  <c r="T105" i="1" s="1"/>
  <c r="R146" i="1"/>
  <c r="S146" i="1" s="1"/>
  <c r="T146" i="1" s="1"/>
  <c r="M149" i="1"/>
  <c r="N149" i="1" s="1"/>
  <c r="Q149" i="1" s="1"/>
  <c r="R149" i="1" s="1"/>
  <c r="S149" i="1" s="1"/>
  <c r="T149" i="1" s="1"/>
  <c r="F151" i="1"/>
  <c r="M157" i="1"/>
  <c r="N157" i="1" s="1"/>
  <c r="Q157" i="1" s="1"/>
  <c r="M187" i="1"/>
  <c r="N187" i="1" s="1"/>
  <c r="Q187" i="1" s="1"/>
  <c r="R187" i="1" s="1"/>
  <c r="S187" i="1" s="1"/>
  <c r="T187" i="1" s="1"/>
  <c r="M195" i="1"/>
  <c r="N195" i="1" s="1"/>
  <c r="Q195" i="1" s="1"/>
  <c r="R195" i="1" s="1"/>
  <c r="S195" i="1" s="1"/>
  <c r="T195" i="1" s="1"/>
  <c r="R212" i="1"/>
  <c r="S212" i="1" s="1"/>
  <c r="T212" i="1" s="1"/>
  <c r="R484" i="1"/>
  <c r="S484" i="1" s="1"/>
  <c r="T484" i="1" s="1"/>
  <c r="R564" i="1"/>
  <c r="S564" i="1" s="1"/>
  <c r="T564" i="1" s="1"/>
  <c r="F11" i="1"/>
  <c r="F38" i="1"/>
  <c r="F41" i="1"/>
  <c r="F49" i="1"/>
  <c r="M55" i="1"/>
  <c r="N55" i="1" s="1"/>
  <c r="Q55" i="1" s="1"/>
  <c r="M63" i="1"/>
  <c r="N63" i="1" s="1"/>
  <c r="Q63" i="1" s="1"/>
  <c r="F65" i="1"/>
  <c r="M88" i="1"/>
  <c r="N88" i="1" s="1"/>
  <c r="Q88" i="1" s="1"/>
  <c r="R88" i="1" s="1"/>
  <c r="S88" i="1" s="1"/>
  <c r="T88" i="1" s="1"/>
  <c r="M93" i="1"/>
  <c r="N93" i="1" s="1"/>
  <c r="Q93" i="1" s="1"/>
  <c r="M102" i="1"/>
  <c r="N102" i="1" s="1"/>
  <c r="Q102" i="1" s="1"/>
  <c r="R102" i="1" s="1"/>
  <c r="S102" i="1" s="1"/>
  <c r="T102" i="1" s="1"/>
  <c r="M107" i="1"/>
  <c r="N107" i="1" s="1"/>
  <c r="Q107" i="1" s="1"/>
  <c r="M115" i="1"/>
  <c r="N115" i="1" s="1"/>
  <c r="Q115" i="1" s="1"/>
  <c r="R115" i="1" s="1"/>
  <c r="S115" i="1" s="1"/>
  <c r="T115" i="1" s="1"/>
  <c r="F117" i="1"/>
  <c r="F145" i="1"/>
  <c r="R151" i="1"/>
  <c r="S151" i="1" s="1"/>
  <c r="T151" i="1" s="1"/>
  <c r="M154" i="1"/>
  <c r="N154" i="1" s="1"/>
  <c r="Q154" i="1" s="1"/>
  <c r="R154" i="1" s="1"/>
  <c r="S154" i="1" s="1"/>
  <c r="T154" i="1" s="1"/>
  <c r="M165" i="1"/>
  <c r="N165" i="1" s="1"/>
  <c r="Q165" i="1" s="1"/>
  <c r="R165" i="1" s="1"/>
  <c r="S165" i="1" s="1"/>
  <c r="T165" i="1" s="1"/>
  <c r="F167" i="1"/>
  <c r="R184" i="1"/>
  <c r="S184" i="1" s="1"/>
  <c r="T184" i="1" s="1"/>
  <c r="M236" i="1"/>
  <c r="N236" i="1" s="1"/>
  <c r="Q236" i="1" s="1"/>
  <c r="M264" i="1"/>
  <c r="N264" i="1" s="1"/>
  <c r="Q264" i="1" s="1"/>
  <c r="R286" i="1"/>
  <c r="S286" i="1" s="1"/>
  <c r="T286" i="1" s="1"/>
  <c r="R318" i="1"/>
  <c r="S318" i="1" s="1"/>
  <c r="T318" i="1" s="1"/>
  <c r="F325" i="1"/>
  <c r="F333" i="1"/>
  <c r="R457" i="1"/>
  <c r="S457" i="1" s="1"/>
  <c r="T457" i="1" s="1"/>
  <c r="R532" i="1"/>
  <c r="S532" i="1" s="1"/>
  <c r="T532" i="1" s="1"/>
  <c r="F382" i="1"/>
  <c r="M383" i="1"/>
  <c r="N383" i="1" s="1"/>
  <c r="Q383" i="1" s="1"/>
  <c r="R383" i="1" s="1"/>
  <c r="S383" i="1" s="1"/>
  <c r="T383" i="1" s="1"/>
  <c r="F390" i="1"/>
  <c r="F398" i="1"/>
  <c r="M399" i="1"/>
  <c r="N399" i="1" s="1"/>
  <c r="Q399" i="1" s="1"/>
  <c r="M421" i="1"/>
  <c r="N421" i="1" s="1"/>
  <c r="Q421" i="1" s="1"/>
  <c r="M426" i="1"/>
  <c r="N426" i="1" s="1"/>
  <c r="Q426" i="1" s="1"/>
  <c r="M456" i="1"/>
  <c r="N456" i="1" s="1"/>
  <c r="Q456" i="1" s="1"/>
  <c r="R456" i="1" s="1"/>
  <c r="S456" i="1" s="1"/>
  <c r="T456" i="1" s="1"/>
  <c r="M464" i="1"/>
  <c r="N464" i="1" s="1"/>
  <c r="Q464" i="1" s="1"/>
  <c r="R464" i="1" s="1"/>
  <c r="S464" i="1" s="1"/>
  <c r="T464" i="1" s="1"/>
  <c r="M483" i="1"/>
  <c r="N483" i="1" s="1"/>
  <c r="Q483" i="1" s="1"/>
  <c r="M491" i="1"/>
  <c r="N491" i="1" s="1"/>
  <c r="Q491" i="1" s="1"/>
  <c r="R491" i="1" s="1"/>
  <c r="S491" i="1" s="1"/>
  <c r="T491" i="1" s="1"/>
  <c r="M499" i="1"/>
  <c r="N499" i="1" s="1"/>
  <c r="Q499" i="1" s="1"/>
  <c r="R499" i="1" s="1"/>
  <c r="S499" i="1" s="1"/>
  <c r="T499" i="1" s="1"/>
  <c r="F525" i="1"/>
  <c r="F528" i="1"/>
  <c r="F555" i="1"/>
  <c r="M561" i="1"/>
  <c r="N561" i="1" s="1"/>
  <c r="Q561" i="1" s="1"/>
  <c r="M569" i="1"/>
  <c r="N569" i="1" s="1"/>
  <c r="Q569" i="1" s="1"/>
  <c r="F571" i="1"/>
  <c r="M572" i="1"/>
  <c r="N572" i="1" s="1"/>
  <c r="Q572" i="1" s="1"/>
  <c r="M577" i="1"/>
  <c r="N577" i="1" s="1"/>
  <c r="Q577" i="1" s="1"/>
  <c r="M607" i="1"/>
  <c r="N607" i="1" s="1"/>
  <c r="Q607" i="1" s="1"/>
  <c r="R607" i="1" s="1"/>
  <c r="S607" i="1" s="1"/>
  <c r="T607" i="1" s="1"/>
  <c r="M612" i="1"/>
  <c r="N612" i="1" s="1"/>
  <c r="Q612" i="1" s="1"/>
  <c r="R612" i="1" s="1"/>
  <c r="S612" i="1" s="1"/>
  <c r="T612" i="1" s="1"/>
  <c r="M620" i="1"/>
  <c r="N620" i="1" s="1"/>
  <c r="Q620" i="1" s="1"/>
  <c r="R620" i="1" s="1"/>
  <c r="S620" i="1" s="1"/>
  <c r="T620" i="1" s="1"/>
  <c r="F622" i="1"/>
  <c r="F636" i="1"/>
  <c r="F701" i="1"/>
  <c r="M707" i="1"/>
  <c r="N707" i="1" s="1"/>
  <c r="Q707" i="1" s="1"/>
  <c r="M721" i="1"/>
  <c r="N721" i="1" s="1"/>
  <c r="Q721" i="1" s="1"/>
  <c r="R721" i="1" s="1"/>
  <c r="S721" i="1" s="1"/>
  <c r="T721" i="1" s="1"/>
  <c r="F760" i="1"/>
  <c r="F780" i="1"/>
  <c r="F788" i="1"/>
  <c r="M794" i="1"/>
  <c r="N794" i="1" s="1"/>
  <c r="Q794" i="1" s="1"/>
  <c r="M808" i="1"/>
  <c r="N808" i="1" s="1"/>
  <c r="Q808" i="1" s="1"/>
  <c r="M816" i="1"/>
  <c r="N816" i="1" s="1"/>
  <c r="Q816" i="1" s="1"/>
  <c r="R816" i="1" s="1"/>
  <c r="S816" i="1" s="1"/>
  <c r="T816" i="1" s="1"/>
  <c r="M827" i="1"/>
  <c r="N827" i="1" s="1"/>
  <c r="Q827" i="1" s="1"/>
  <c r="R827" i="1" s="1"/>
  <c r="S827" i="1" s="1"/>
  <c r="T827" i="1" s="1"/>
  <c r="M843" i="1"/>
  <c r="N843" i="1" s="1"/>
  <c r="Q843" i="1" s="1"/>
  <c r="M854" i="1"/>
  <c r="N854" i="1" s="1"/>
  <c r="Q854" i="1" s="1"/>
  <c r="R854" i="1" s="1"/>
  <c r="S854" i="1" s="1"/>
  <c r="T854" i="1" s="1"/>
  <c r="M862" i="1"/>
  <c r="N862" i="1" s="1"/>
  <c r="Q862" i="1" s="1"/>
  <c r="R862" i="1" s="1"/>
  <c r="S862" i="1" s="1"/>
  <c r="T862" i="1" s="1"/>
  <c r="F864" i="1"/>
  <c r="M878" i="1"/>
  <c r="N878" i="1" s="1"/>
  <c r="Q878" i="1" s="1"/>
  <c r="R878" i="1" s="1"/>
  <c r="S878" i="1" s="1"/>
  <c r="T878" i="1" s="1"/>
  <c r="F880" i="1"/>
  <c r="M886" i="1"/>
  <c r="N886" i="1" s="1"/>
  <c r="Q886" i="1" s="1"/>
  <c r="R886" i="1" s="1"/>
  <c r="S886" i="1" s="1"/>
  <c r="T886" i="1" s="1"/>
  <c r="F888" i="1"/>
  <c r="F904" i="1"/>
  <c r="F912" i="1"/>
  <c r="F920" i="1"/>
  <c r="F936" i="1"/>
  <c r="F944" i="1"/>
  <c r="F955" i="1"/>
  <c r="M973" i="1"/>
  <c r="N973" i="1" s="1"/>
  <c r="Q973" i="1" s="1"/>
  <c r="F983" i="1"/>
  <c r="M1008" i="1"/>
  <c r="N1008" i="1" s="1"/>
  <c r="Q1008" i="1" s="1"/>
  <c r="F1018" i="1"/>
  <c r="M1060" i="1"/>
  <c r="N1060" i="1" s="1"/>
  <c r="Q1060" i="1" s="1"/>
  <c r="R1060" i="1" s="1"/>
  <c r="S1060" i="1" s="1"/>
  <c r="T1060" i="1" s="1"/>
  <c r="M1063" i="1"/>
  <c r="N1063" i="1" s="1"/>
  <c r="Q1063" i="1" s="1"/>
  <c r="R1063" i="1" s="1"/>
  <c r="S1063" i="1" s="1"/>
  <c r="T1063" i="1" s="1"/>
  <c r="F1065" i="1"/>
  <c r="M1071" i="1"/>
  <c r="N1071" i="1" s="1"/>
  <c r="Q1071" i="1" s="1"/>
  <c r="R1071" i="1" s="1"/>
  <c r="S1071" i="1" s="1"/>
  <c r="T1071" i="1" s="1"/>
  <c r="M1074" i="1"/>
  <c r="N1074" i="1" s="1"/>
  <c r="Q1074" i="1" s="1"/>
  <c r="R1074" i="1" s="1"/>
  <c r="S1074" i="1" s="1"/>
  <c r="T1074" i="1" s="1"/>
  <c r="F1081" i="1"/>
  <c r="M1087" i="1"/>
  <c r="N1087" i="1" s="1"/>
  <c r="Q1087" i="1" s="1"/>
  <c r="M1103" i="1"/>
  <c r="N1103" i="1" s="1"/>
  <c r="Q1103" i="1" s="1"/>
  <c r="F1140" i="1"/>
  <c r="F1159" i="1"/>
  <c r="M1162" i="1"/>
  <c r="N1162" i="1" s="1"/>
  <c r="Q1162" i="1" s="1"/>
  <c r="M1186" i="1"/>
  <c r="N1186" i="1" s="1"/>
  <c r="Q1186" i="1" s="1"/>
  <c r="F1193" i="1"/>
  <c r="M1216" i="1"/>
  <c r="N1216" i="1" s="1"/>
  <c r="Q1216" i="1" s="1"/>
  <c r="R1216" i="1" s="1"/>
  <c r="S1216" i="1" s="1"/>
  <c r="T1216" i="1" s="1"/>
  <c r="M1288" i="1"/>
  <c r="N1288" i="1" s="1"/>
  <c r="Q1288" i="1" s="1"/>
  <c r="R1288" i="1" s="1"/>
  <c r="S1288" i="1" s="1"/>
  <c r="T1288" i="1" s="1"/>
  <c r="R1296" i="1"/>
  <c r="S1296" i="1" s="1"/>
  <c r="T1296" i="1" s="1"/>
  <c r="F996" i="1"/>
  <c r="M1043" i="1"/>
  <c r="N1043" i="1" s="1"/>
  <c r="Q1043" i="1" s="1"/>
  <c r="R1043" i="1" s="1"/>
  <c r="S1043" i="1" s="1"/>
  <c r="T1043" i="1" s="1"/>
  <c r="M1054" i="1"/>
  <c r="N1054" i="1" s="1"/>
  <c r="Q1054" i="1" s="1"/>
  <c r="R1054" i="1" s="1"/>
  <c r="S1054" i="1" s="1"/>
  <c r="T1054" i="1" s="1"/>
  <c r="F1209" i="1"/>
  <c r="M1224" i="1"/>
  <c r="N1224" i="1" s="1"/>
  <c r="Q1224" i="1" s="1"/>
  <c r="F1259" i="1"/>
  <c r="F1295" i="1"/>
  <c r="M131" i="1"/>
  <c r="N131" i="1" s="1"/>
  <c r="Q131" i="1" s="1"/>
  <c r="R131" i="1" s="1"/>
  <c r="S131" i="1" s="1"/>
  <c r="T131" i="1" s="1"/>
  <c r="F133" i="1"/>
  <c r="F147" i="1"/>
  <c r="F161" i="1"/>
  <c r="M164" i="1"/>
  <c r="N164" i="1" s="1"/>
  <c r="Q164" i="1" s="1"/>
  <c r="M167" i="1"/>
  <c r="N167" i="1" s="1"/>
  <c r="Q167" i="1" s="1"/>
  <c r="F169" i="1"/>
  <c r="M175" i="1"/>
  <c r="N175" i="1" s="1"/>
  <c r="Q175" i="1" s="1"/>
  <c r="F177" i="1"/>
  <c r="M181" i="1"/>
  <c r="N181" i="1" s="1"/>
  <c r="Q181" i="1" s="1"/>
  <c r="F183" i="1"/>
  <c r="M197" i="1"/>
  <c r="N197" i="1" s="1"/>
  <c r="Q197" i="1" s="1"/>
  <c r="R197" i="1" s="1"/>
  <c r="S197" i="1" s="1"/>
  <c r="T197" i="1" s="1"/>
  <c r="F208" i="1"/>
  <c r="F219" i="1"/>
  <c r="M239" i="1"/>
  <c r="N239" i="1" s="1"/>
  <c r="Q239" i="1" s="1"/>
  <c r="F241" i="1"/>
  <c r="M253" i="1"/>
  <c r="N253" i="1" s="1"/>
  <c r="Q253" i="1" s="1"/>
  <c r="M262" i="1"/>
  <c r="N262" i="1" s="1"/>
  <c r="Q262" i="1" s="1"/>
  <c r="F272" i="1"/>
  <c r="M273" i="1"/>
  <c r="N273" i="1" s="1"/>
  <c r="Q273" i="1" s="1"/>
  <c r="R273" i="1" s="1"/>
  <c r="S273" i="1" s="1"/>
  <c r="T273" i="1" s="1"/>
  <c r="F280" i="1"/>
  <c r="M281" i="1"/>
  <c r="N281" i="1" s="1"/>
  <c r="Q281" i="1" s="1"/>
  <c r="R281" i="1" s="1"/>
  <c r="S281" i="1" s="1"/>
  <c r="T281" i="1" s="1"/>
  <c r="F296" i="1"/>
  <c r="M297" i="1"/>
  <c r="N297" i="1" s="1"/>
  <c r="Q297" i="1" s="1"/>
  <c r="R297" i="1" s="1"/>
  <c r="S297" i="1" s="1"/>
  <c r="T297" i="1" s="1"/>
  <c r="M313" i="1"/>
  <c r="N313" i="1" s="1"/>
  <c r="Q313" i="1" s="1"/>
  <c r="M337" i="1"/>
  <c r="N337" i="1" s="1"/>
  <c r="Q337" i="1" s="1"/>
  <c r="R337" i="1" s="1"/>
  <c r="S337" i="1" s="1"/>
  <c r="T337" i="1" s="1"/>
  <c r="M345" i="1"/>
  <c r="N345" i="1" s="1"/>
  <c r="Q345" i="1" s="1"/>
  <c r="R345" i="1" s="1"/>
  <c r="S345" i="1" s="1"/>
  <c r="T345" i="1" s="1"/>
  <c r="F352" i="1"/>
  <c r="F360" i="1"/>
  <c r="M369" i="1"/>
  <c r="N369" i="1" s="1"/>
  <c r="Q369" i="1" s="1"/>
  <c r="F408" i="1"/>
  <c r="M409" i="1"/>
  <c r="N409" i="1" s="1"/>
  <c r="Q409" i="1" s="1"/>
  <c r="R409" i="1" s="1"/>
  <c r="S409" i="1" s="1"/>
  <c r="T409" i="1" s="1"/>
  <c r="M420" i="1"/>
  <c r="N420" i="1" s="1"/>
  <c r="Q420" i="1" s="1"/>
  <c r="R420" i="1" s="1"/>
  <c r="S420" i="1" s="1"/>
  <c r="T420" i="1" s="1"/>
  <c r="M428" i="1"/>
  <c r="N428" i="1" s="1"/>
  <c r="Q428" i="1" s="1"/>
  <c r="R428" i="1" s="1"/>
  <c r="S428" i="1" s="1"/>
  <c r="T428" i="1" s="1"/>
  <c r="F430" i="1"/>
  <c r="F438" i="1"/>
  <c r="M477" i="1"/>
  <c r="N477" i="1" s="1"/>
  <c r="Q477" i="1" s="1"/>
  <c r="F498" i="1"/>
  <c r="F514" i="1"/>
  <c r="M517" i="1"/>
  <c r="N517" i="1" s="1"/>
  <c r="Q517" i="1" s="1"/>
  <c r="R517" i="1" s="1"/>
  <c r="S517" i="1" s="1"/>
  <c r="T517" i="1" s="1"/>
  <c r="F541" i="1"/>
  <c r="M547" i="1"/>
  <c r="N547" i="1" s="1"/>
  <c r="Q547" i="1" s="1"/>
  <c r="R547" i="1" s="1"/>
  <c r="S547" i="1" s="1"/>
  <c r="T547" i="1" s="1"/>
  <c r="M550" i="1"/>
  <c r="N550" i="1" s="1"/>
  <c r="Q550" i="1" s="1"/>
  <c r="F557" i="1"/>
  <c r="F576" i="1"/>
  <c r="F592" i="1"/>
  <c r="F624" i="1"/>
  <c r="M633" i="1"/>
  <c r="N633" i="1" s="1"/>
  <c r="Q633" i="1" s="1"/>
  <c r="R633" i="1" s="1"/>
  <c r="S633" i="1" s="1"/>
  <c r="T633" i="1" s="1"/>
  <c r="M641" i="1"/>
  <c r="N641" i="1" s="1"/>
  <c r="Q641" i="1" s="1"/>
  <c r="M647" i="1"/>
  <c r="N647" i="1" s="1"/>
  <c r="Q647" i="1" s="1"/>
  <c r="M661" i="1"/>
  <c r="N661" i="1" s="1"/>
  <c r="Q661" i="1" s="1"/>
  <c r="R661" i="1" s="1"/>
  <c r="S661" i="1" s="1"/>
  <c r="T661" i="1" s="1"/>
  <c r="F663" i="1"/>
  <c r="M666" i="1"/>
  <c r="N666" i="1" s="1"/>
  <c r="Q666" i="1" s="1"/>
  <c r="R666" i="1" s="1"/>
  <c r="S666" i="1" s="1"/>
  <c r="T666" i="1" s="1"/>
  <c r="F676" i="1"/>
  <c r="M682" i="1"/>
  <c r="N682" i="1" s="1"/>
  <c r="Q682" i="1" s="1"/>
  <c r="R682" i="1" s="1"/>
  <c r="S682" i="1" s="1"/>
  <c r="T682" i="1" s="1"/>
  <c r="F684" i="1"/>
  <c r="F725" i="1"/>
  <c r="F730" i="1"/>
  <c r="F801" i="1"/>
  <c r="F869" i="1"/>
  <c r="M958" i="1"/>
  <c r="N958" i="1" s="1"/>
  <c r="Q958" i="1" s="1"/>
  <c r="R958" i="1" s="1"/>
  <c r="S958" i="1" s="1"/>
  <c r="T958" i="1" s="1"/>
  <c r="F993" i="1"/>
  <c r="M1007" i="1"/>
  <c r="N1007" i="1" s="1"/>
  <c r="Q1007" i="1" s="1"/>
  <c r="F1009" i="1"/>
  <c r="M1034" i="1"/>
  <c r="N1034" i="1" s="1"/>
  <c r="Q1034" i="1" s="1"/>
  <c r="F1036" i="1"/>
  <c r="F1053" i="1"/>
  <c r="M1076" i="1"/>
  <c r="N1076" i="1" s="1"/>
  <c r="Q1076" i="1" s="1"/>
  <c r="M1092" i="1"/>
  <c r="N1092" i="1" s="1"/>
  <c r="Q1092" i="1" s="1"/>
  <c r="R1092" i="1" s="1"/>
  <c r="S1092" i="1" s="1"/>
  <c r="T1092" i="1" s="1"/>
  <c r="M1148" i="1"/>
  <c r="N1148" i="1" s="1"/>
  <c r="Q1148" i="1" s="1"/>
  <c r="R1148" i="1" s="1"/>
  <c r="S1148" i="1" s="1"/>
  <c r="T1148" i="1" s="1"/>
  <c r="F1150" i="1"/>
  <c r="M1172" i="1"/>
  <c r="N1172" i="1" s="1"/>
  <c r="Q1172" i="1" s="1"/>
  <c r="R1172" i="1" s="1"/>
  <c r="S1172" i="1" s="1"/>
  <c r="T1172" i="1" s="1"/>
  <c r="M1196" i="1"/>
  <c r="N1196" i="1" s="1"/>
  <c r="Q1196" i="1" s="1"/>
  <c r="R1196" i="1" s="1"/>
  <c r="S1196" i="1" s="1"/>
  <c r="T1196" i="1" s="1"/>
  <c r="F341" i="1"/>
  <c r="F357" i="1"/>
  <c r="F365" i="1"/>
  <c r="F389" i="1"/>
  <c r="F397" i="1"/>
  <c r="M425" i="1"/>
  <c r="N425" i="1" s="1"/>
  <c r="Q425" i="1" s="1"/>
  <c r="R425" i="1" s="1"/>
  <c r="S425" i="1" s="1"/>
  <c r="T425" i="1" s="1"/>
  <c r="F435" i="1"/>
  <c r="F457" i="1"/>
  <c r="M463" i="1"/>
  <c r="N463" i="1" s="1"/>
  <c r="Q463" i="1" s="1"/>
  <c r="R463" i="1" s="1"/>
  <c r="S463" i="1" s="1"/>
  <c r="T463" i="1" s="1"/>
  <c r="F465" i="1"/>
  <c r="F546" i="1"/>
  <c r="R579" i="1"/>
  <c r="S579" i="1" s="1"/>
  <c r="T579" i="1" s="1"/>
  <c r="M584" i="1"/>
  <c r="N584" i="1" s="1"/>
  <c r="Q584" i="1" s="1"/>
  <c r="R584" i="1" s="1"/>
  <c r="S584" i="1" s="1"/>
  <c r="T584" i="1" s="1"/>
  <c r="F586" i="1"/>
  <c r="F605" i="1"/>
  <c r="F632" i="1"/>
  <c r="M646" i="1"/>
  <c r="N646" i="1" s="1"/>
  <c r="Q646" i="1" s="1"/>
  <c r="R646" i="1" s="1"/>
  <c r="S646" i="1" s="1"/>
  <c r="T646" i="1" s="1"/>
  <c r="F651" i="1"/>
  <c r="R655" i="1"/>
  <c r="S655" i="1" s="1"/>
  <c r="T655" i="1" s="1"/>
  <c r="M660" i="1"/>
  <c r="N660" i="1" s="1"/>
  <c r="Q660" i="1" s="1"/>
  <c r="F692" i="1"/>
  <c r="R693" i="1"/>
  <c r="S693" i="1" s="1"/>
  <c r="T693" i="1" s="1"/>
  <c r="F708" i="1"/>
  <c r="M709" i="1"/>
  <c r="N709" i="1" s="1"/>
  <c r="Q709" i="1" s="1"/>
  <c r="R709" i="1" s="1"/>
  <c r="S709" i="1" s="1"/>
  <c r="T709" i="1" s="1"/>
  <c r="F711" i="1"/>
  <c r="R712" i="1"/>
  <c r="S712" i="1" s="1"/>
  <c r="T712" i="1" s="1"/>
  <c r="F719" i="1"/>
  <c r="M725" i="1"/>
  <c r="N725" i="1" s="1"/>
  <c r="Q725" i="1" s="1"/>
  <c r="R725" i="1" s="1"/>
  <c r="S725" i="1" s="1"/>
  <c r="T725" i="1" s="1"/>
  <c r="F727" i="1"/>
  <c r="F735" i="1"/>
  <c r="F779" i="1"/>
  <c r="R780" i="1"/>
  <c r="S780" i="1" s="1"/>
  <c r="T780" i="1" s="1"/>
  <c r="F787" i="1"/>
  <c r="F795" i="1"/>
  <c r="M796" i="1"/>
  <c r="N796" i="1" s="1"/>
  <c r="Q796" i="1" s="1"/>
  <c r="F817" i="1"/>
  <c r="M821" i="1"/>
  <c r="N821" i="1" s="1"/>
  <c r="Q821" i="1" s="1"/>
  <c r="R821" i="1" s="1"/>
  <c r="S821" i="1" s="1"/>
  <c r="T821" i="1" s="1"/>
  <c r="M842" i="1"/>
  <c r="N842" i="1" s="1"/>
  <c r="Q842" i="1" s="1"/>
  <c r="F863" i="1"/>
  <c r="M864" i="1"/>
  <c r="N864" i="1" s="1"/>
  <c r="Q864" i="1" s="1"/>
  <c r="R864" i="1" s="1"/>
  <c r="S864" i="1" s="1"/>
  <c r="T864" i="1" s="1"/>
  <c r="M869" i="1"/>
  <c r="N869" i="1" s="1"/>
  <c r="Q869" i="1" s="1"/>
  <c r="R869" i="1" s="1"/>
  <c r="S869" i="1" s="1"/>
  <c r="T869" i="1" s="1"/>
  <c r="F895" i="1"/>
  <c r="M912" i="1"/>
  <c r="N912" i="1" s="1"/>
  <c r="Q912" i="1" s="1"/>
  <c r="R912" i="1" s="1"/>
  <c r="S912" i="1" s="1"/>
  <c r="T912" i="1" s="1"/>
  <c r="M925" i="1"/>
  <c r="N925" i="1" s="1"/>
  <c r="Q925" i="1" s="1"/>
  <c r="R925" i="1" s="1"/>
  <c r="S925" i="1" s="1"/>
  <c r="T925" i="1" s="1"/>
  <c r="F943" i="1"/>
  <c r="M944" i="1"/>
  <c r="N944" i="1" s="1"/>
  <c r="Q944" i="1" s="1"/>
  <c r="R944" i="1" s="1"/>
  <c r="S944" i="1" s="1"/>
  <c r="T944" i="1" s="1"/>
  <c r="F971" i="1"/>
  <c r="M980" i="1"/>
  <c r="N980" i="1" s="1"/>
  <c r="Q980" i="1" s="1"/>
  <c r="F982" i="1"/>
  <c r="R1050" i="1"/>
  <c r="S1050" i="1" s="1"/>
  <c r="T1050" i="1" s="1"/>
  <c r="M1065" i="1"/>
  <c r="N1065" i="1" s="1"/>
  <c r="Q1065" i="1" s="1"/>
  <c r="R1065" i="1" s="1"/>
  <c r="S1065" i="1" s="1"/>
  <c r="T1065" i="1" s="1"/>
  <c r="F1067" i="1"/>
  <c r="M1089" i="1"/>
  <c r="N1089" i="1" s="1"/>
  <c r="Q1089" i="1" s="1"/>
  <c r="R1089" i="1" s="1"/>
  <c r="S1089" i="1" s="1"/>
  <c r="T1089" i="1" s="1"/>
  <c r="R1153" i="1"/>
  <c r="S1153" i="1" s="1"/>
  <c r="T1153" i="1" s="1"/>
  <c r="M1237" i="1"/>
  <c r="N1237" i="1" s="1"/>
  <c r="Q1237" i="1" s="1"/>
  <c r="R1237" i="1" s="1"/>
  <c r="S1237" i="1" s="1"/>
  <c r="T1237" i="1" s="1"/>
  <c r="F1253" i="1"/>
  <c r="F1267" i="1"/>
  <c r="M422" i="1"/>
  <c r="N422" i="1" s="1"/>
  <c r="Q422" i="1" s="1"/>
  <c r="F424" i="1"/>
  <c r="M468" i="1"/>
  <c r="N468" i="1" s="1"/>
  <c r="Q468" i="1" s="1"/>
  <c r="R468" i="1" s="1"/>
  <c r="S468" i="1" s="1"/>
  <c r="T468" i="1" s="1"/>
  <c r="F470" i="1"/>
  <c r="F594" i="1"/>
  <c r="M616" i="1"/>
  <c r="N616" i="1" s="1"/>
  <c r="Q616" i="1" s="1"/>
  <c r="M624" i="1"/>
  <c r="N624" i="1" s="1"/>
  <c r="Q624" i="1" s="1"/>
  <c r="R624" i="1" s="1"/>
  <c r="S624" i="1" s="1"/>
  <c r="T624" i="1" s="1"/>
  <c r="M635" i="1"/>
  <c r="N635" i="1" s="1"/>
  <c r="Q635" i="1" s="1"/>
  <c r="R635" i="1" s="1"/>
  <c r="S635" i="1" s="1"/>
  <c r="T635" i="1" s="1"/>
  <c r="F648" i="1"/>
  <c r="M676" i="1"/>
  <c r="N676" i="1" s="1"/>
  <c r="Q676" i="1" s="1"/>
  <c r="R676" i="1" s="1"/>
  <c r="S676" i="1" s="1"/>
  <c r="T676" i="1" s="1"/>
  <c r="F678" i="1"/>
  <c r="M684" i="1"/>
  <c r="N684" i="1" s="1"/>
  <c r="Q684" i="1" s="1"/>
  <c r="R684" i="1" s="1"/>
  <c r="S684" i="1" s="1"/>
  <c r="T684" i="1" s="1"/>
  <c r="F686" i="1"/>
  <c r="R698" i="1"/>
  <c r="S698" i="1" s="1"/>
  <c r="T698" i="1" s="1"/>
  <c r="R749" i="1"/>
  <c r="S749" i="1" s="1"/>
  <c r="T749" i="1" s="1"/>
  <c r="M765" i="1"/>
  <c r="N765" i="1" s="1"/>
  <c r="Q765" i="1" s="1"/>
  <c r="R765" i="1" s="1"/>
  <c r="S765" i="1" s="1"/>
  <c r="T765" i="1" s="1"/>
  <c r="F770" i="1"/>
  <c r="M771" i="1"/>
  <c r="N771" i="1" s="1"/>
  <c r="Q771" i="1" s="1"/>
  <c r="M774" i="1"/>
  <c r="N774" i="1" s="1"/>
  <c r="Q774" i="1" s="1"/>
  <c r="F776" i="1"/>
  <c r="M782" i="1"/>
  <c r="N782" i="1" s="1"/>
  <c r="Q782" i="1" s="1"/>
  <c r="F784" i="1"/>
  <c r="F792" i="1"/>
  <c r="F803" i="1"/>
  <c r="F841" i="1"/>
  <c r="M858" i="1"/>
  <c r="N858" i="1" s="1"/>
  <c r="Q858" i="1" s="1"/>
  <c r="R858" i="1" s="1"/>
  <c r="S858" i="1" s="1"/>
  <c r="T858" i="1" s="1"/>
  <c r="F860" i="1"/>
  <c r="M866" i="1"/>
  <c r="N866" i="1" s="1"/>
  <c r="Q866" i="1" s="1"/>
  <c r="F876" i="1"/>
  <c r="F884" i="1"/>
  <c r="M890" i="1"/>
  <c r="N890" i="1" s="1"/>
  <c r="Q890" i="1" s="1"/>
  <c r="R890" i="1" s="1"/>
  <c r="S890" i="1" s="1"/>
  <c r="T890" i="1" s="1"/>
  <c r="F892" i="1"/>
  <c r="M898" i="1"/>
  <c r="N898" i="1" s="1"/>
  <c r="Q898" i="1" s="1"/>
  <c r="R909" i="1"/>
  <c r="S909" i="1" s="1"/>
  <c r="T909" i="1" s="1"/>
  <c r="F924" i="1"/>
  <c r="F932" i="1"/>
  <c r="R933" i="1"/>
  <c r="S933" i="1" s="1"/>
  <c r="T933" i="1" s="1"/>
  <c r="F940" i="1"/>
  <c r="R941" i="1"/>
  <c r="S941" i="1" s="1"/>
  <c r="T941" i="1" s="1"/>
  <c r="M968" i="1"/>
  <c r="N968" i="1" s="1"/>
  <c r="Q968" i="1" s="1"/>
  <c r="R968" i="1" s="1"/>
  <c r="S968" i="1" s="1"/>
  <c r="T968" i="1" s="1"/>
  <c r="F970" i="1"/>
  <c r="M971" i="1"/>
  <c r="N971" i="1" s="1"/>
  <c r="Q971" i="1" s="1"/>
  <c r="R971" i="1" s="1"/>
  <c r="S971" i="1" s="1"/>
  <c r="T971" i="1" s="1"/>
  <c r="M974" i="1"/>
  <c r="N974" i="1" s="1"/>
  <c r="Q974" i="1" s="1"/>
  <c r="R974" i="1" s="1"/>
  <c r="S974" i="1" s="1"/>
  <c r="T974" i="1" s="1"/>
  <c r="M998" i="1"/>
  <c r="N998" i="1" s="1"/>
  <c r="Q998" i="1" s="1"/>
  <c r="M1001" i="1"/>
  <c r="N1001" i="1" s="1"/>
  <c r="Q1001" i="1" s="1"/>
  <c r="F1003" i="1"/>
  <c r="M1020" i="1"/>
  <c r="N1020" i="1" s="1"/>
  <c r="Q1020" i="1" s="1"/>
  <c r="R1020" i="1" s="1"/>
  <c r="S1020" i="1" s="1"/>
  <c r="T1020" i="1" s="1"/>
  <c r="M1047" i="1"/>
  <c r="N1047" i="1" s="1"/>
  <c r="Q1047" i="1" s="1"/>
  <c r="F1049" i="1"/>
  <c r="F1069" i="1"/>
  <c r="M1099" i="1"/>
  <c r="N1099" i="1" s="1"/>
  <c r="Q1099" i="1" s="1"/>
  <c r="M1123" i="1"/>
  <c r="N1123" i="1" s="1"/>
  <c r="Q1123" i="1" s="1"/>
  <c r="R1123" i="1" s="1"/>
  <c r="S1123" i="1" s="1"/>
  <c r="T1123" i="1" s="1"/>
  <c r="M1134" i="1"/>
  <c r="N1134" i="1" s="1"/>
  <c r="Q1134" i="1" s="1"/>
  <c r="R1134" i="1" s="1"/>
  <c r="S1134" i="1" s="1"/>
  <c r="T1134" i="1" s="1"/>
  <c r="F1139" i="1"/>
  <c r="M1142" i="1"/>
  <c r="N1142" i="1" s="1"/>
  <c r="Q1142" i="1" s="1"/>
  <c r="F1144" i="1"/>
  <c r="F1152" i="1"/>
  <c r="F1165" i="1"/>
  <c r="M1217" i="1"/>
  <c r="N1217" i="1" s="1"/>
  <c r="Q1217" i="1" s="1"/>
  <c r="R1217" i="1" s="1"/>
  <c r="S1217" i="1" s="1"/>
  <c r="T1217" i="1" s="1"/>
  <c r="M1231" i="1"/>
  <c r="N1231" i="1" s="1"/>
  <c r="Q1231" i="1" s="1"/>
  <c r="R779" i="1"/>
  <c r="S779" i="1" s="1"/>
  <c r="T779" i="1" s="1"/>
  <c r="R855" i="1"/>
  <c r="S855" i="1" s="1"/>
  <c r="T855" i="1" s="1"/>
  <c r="R919" i="1"/>
  <c r="S919" i="1" s="1"/>
  <c r="T919" i="1" s="1"/>
  <c r="R1058" i="1"/>
  <c r="S1058" i="1" s="1"/>
  <c r="T1058" i="1" s="1"/>
  <c r="R1139" i="1"/>
  <c r="S1139" i="1" s="1"/>
  <c r="T1139" i="1" s="1"/>
  <c r="F1291" i="1"/>
  <c r="F115" i="1"/>
  <c r="M116" i="1"/>
  <c r="N116" i="1" s="1"/>
  <c r="Q116" i="1" s="1"/>
  <c r="R116" i="1" s="1"/>
  <c r="S116" i="1" s="1"/>
  <c r="T116" i="1" s="1"/>
  <c r="M121" i="1"/>
  <c r="N121" i="1" s="1"/>
  <c r="Q121" i="1" s="1"/>
  <c r="R121" i="1" s="1"/>
  <c r="S121" i="1" s="1"/>
  <c r="T121" i="1" s="1"/>
  <c r="F157" i="1"/>
  <c r="M160" i="1"/>
  <c r="N160" i="1" s="1"/>
  <c r="Q160" i="1" s="1"/>
  <c r="R160" i="1" s="1"/>
  <c r="S160" i="1" s="1"/>
  <c r="T160" i="1" s="1"/>
  <c r="M166" i="1"/>
  <c r="N166" i="1" s="1"/>
  <c r="Q166" i="1" s="1"/>
  <c r="R166" i="1" s="1"/>
  <c r="S166" i="1" s="1"/>
  <c r="T166" i="1" s="1"/>
  <c r="M185" i="1"/>
  <c r="N185" i="1" s="1"/>
  <c r="Q185" i="1" s="1"/>
  <c r="R185" i="1" s="1"/>
  <c r="S185" i="1" s="1"/>
  <c r="T185" i="1" s="1"/>
  <c r="M213" i="1"/>
  <c r="N213" i="1" s="1"/>
  <c r="Q213" i="1" s="1"/>
  <c r="R213" i="1" s="1"/>
  <c r="S213" i="1" s="1"/>
  <c r="T213" i="1" s="1"/>
  <c r="F215" i="1"/>
  <c r="M224" i="1"/>
  <c r="N224" i="1" s="1"/>
  <c r="Q224" i="1" s="1"/>
  <c r="R224" i="1" s="1"/>
  <c r="S224" i="1" s="1"/>
  <c r="T224" i="1" s="1"/>
  <c r="M227" i="1"/>
  <c r="N227" i="1" s="1"/>
  <c r="Q227" i="1" s="1"/>
  <c r="R227" i="1" s="1"/>
  <c r="S227" i="1" s="1"/>
  <c r="T227" i="1" s="1"/>
  <c r="M235" i="1"/>
  <c r="N235" i="1" s="1"/>
  <c r="Q235" i="1" s="1"/>
  <c r="F237" i="1"/>
  <c r="M285" i="1"/>
  <c r="N285" i="1" s="1"/>
  <c r="Q285" i="1" s="1"/>
  <c r="M301" i="1"/>
  <c r="N301" i="1" s="1"/>
  <c r="Q301" i="1" s="1"/>
  <c r="R301" i="1" s="1"/>
  <c r="S301" i="1" s="1"/>
  <c r="T301" i="1" s="1"/>
  <c r="M309" i="1"/>
  <c r="N309" i="1" s="1"/>
  <c r="Q309" i="1" s="1"/>
  <c r="R309" i="1" s="1"/>
  <c r="S309" i="1" s="1"/>
  <c r="T309" i="1" s="1"/>
  <c r="M381" i="1"/>
  <c r="N381" i="1" s="1"/>
  <c r="Q381" i="1" s="1"/>
  <c r="R381" i="1" s="1"/>
  <c r="S381" i="1" s="1"/>
  <c r="T381" i="1" s="1"/>
  <c r="M394" i="1"/>
  <c r="N394" i="1" s="1"/>
  <c r="Q394" i="1" s="1"/>
  <c r="M424" i="1"/>
  <c r="N424" i="1" s="1"/>
  <c r="Q424" i="1" s="1"/>
  <c r="R424" i="1" s="1"/>
  <c r="S424" i="1" s="1"/>
  <c r="T424" i="1" s="1"/>
  <c r="F451" i="1"/>
  <c r="F456" i="1"/>
  <c r="M462" i="1"/>
  <c r="N462" i="1" s="1"/>
  <c r="Q462" i="1" s="1"/>
  <c r="F464" i="1"/>
  <c r="M481" i="1"/>
  <c r="N481" i="1" s="1"/>
  <c r="Q481" i="1" s="1"/>
  <c r="R481" i="1" s="1"/>
  <c r="S481" i="1" s="1"/>
  <c r="T481" i="1" s="1"/>
  <c r="F491" i="1"/>
  <c r="M492" i="1"/>
  <c r="N492" i="1" s="1"/>
  <c r="Q492" i="1" s="1"/>
  <c r="R492" i="1" s="1"/>
  <c r="S492" i="1" s="1"/>
  <c r="T492" i="1" s="1"/>
  <c r="M500" i="1"/>
  <c r="N500" i="1" s="1"/>
  <c r="Q500" i="1" s="1"/>
  <c r="R500" i="1" s="1"/>
  <c r="S500" i="1" s="1"/>
  <c r="T500" i="1" s="1"/>
  <c r="M505" i="1"/>
  <c r="N505" i="1" s="1"/>
  <c r="Q505" i="1" s="1"/>
  <c r="R505" i="1" s="1"/>
  <c r="S505" i="1" s="1"/>
  <c r="T505" i="1" s="1"/>
  <c r="F507" i="1"/>
  <c r="M516" i="1"/>
  <c r="N516" i="1" s="1"/>
  <c r="Q516" i="1" s="1"/>
  <c r="M521" i="1"/>
  <c r="N521" i="1" s="1"/>
  <c r="Q521" i="1" s="1"/>
  <c r="R521" i="1" s="1"/>
  <c r="S521" i="1" s="1"/>
  <c r="T521" i="1" s="1"/>
  <c r="M546" i="1"/>
  <c r="N546" i="1" s="1"/>
  <c r="Q546" i="1" s="1"/>
  <c r="F569" i="1"/>
  <c r="F596" i="1"/>
  <c r="F672" i="1"/>
  <c r="M686" i="1"/>
  <c r="N686" i="1" s="1"/>
  <c r="Q686" i="1" s="1"/>
  <c r="M689" i="1"/>
  <c r="N689" i="1" s="1"/>
  <c r="Q689" i="1" s="1"/>
  <c r="F710" i="1"/>
  <c r="F718" i="1"/>
  <c r="M727" i="1"/>
  <c r="N727" i="1" s="1"/>
  <c r="Q727" i="1" s="1"/>
  <c r="R727" i="1" s="1"/>
  <c r="S727" i="1" s="1"/>
  <c r="T727" i="1" s="1"/>
  <c r="F729" i="1"/>
  <c r="F734" i="1"/>
  <c r="M743" i="1"/>
  <c r="N743" i="1" s="1"/>
  <c r="Q743" i="1" s="1"/>
  <c r="R743" i="1" s="1"/>
  <c r="S743" i="1" s="1"/>
  <c r="T743" i="1" s="1"/>
  <c r="F745" i="1"/>
  <c r="M751" i="1"/>
  <c r="N751" i="1" s="1"/>
  <c r="Q751" i="1" s="1"/>
  <c r="R751" i="1" s="1"/>
  <c r="S751" i="1" s="1"/>
  <c r="T751" i="1" s="1"/>
  <c r="M759" i="1"/>
  <c r="N759" i="1" s="1"/>
  <c r="Q759" i="1" s="1"/>
  <c r="R759" i="1" s="1"/>
  <c r="S759" i="1" s="1"/>
  <c r="T759" i="1" s="1"/>
  <c r="M776" i="1"/>
  <c r="N776" i="1" s="1"/>
  <c r="Q776" i="1" s="1"/>
  <c r="M806" i="1"/>
  <c r="N806" i="1" s="1"/>
  <c r="Q806" i="1" s="1"/>
  <c r="R806" i="1" s="1"/>
  <c r="S806" i="1" s="1"/>
  <c r="T806" i="1" s="1"/>
  <c r="F808" i="1"/>
  <c r="M825" i="1"/>
  <c r="N825" i="1" s="1"/>
  <c r="Q825" i="1" s="1"/>
  <c r="R825" i="1" s="1"/>
  <c r="S825" i="1" s="1"/>
  <c r="T825" i="1" s="1"/>
  <c r="M828" i="1"/>
  <c r="N828" i="1" s="1"/>
  <c r="Q828" i="1" s="1"/>
  <c r="R828" i="1" s="1"/>
  <c r="S828" i="1" s="1"/>
  <c r="T828" i="1" s="1"/>
  <c r="F835" i="1"/>
  <c r="M841" i="1"/>
  <c r="N841" i="1" s="1"/>
  <c r="Q841" i="1" s="1"/>
  <c r="R841" i="1" s="1"/>
  <c r="S841" i="1" s="1"/>
  <c r="T841" i="1" s="1"/>
  <c r="M860" i="1"/>
  <c r="N860" i="1" s="1"/>
  <c r="Q860" i="1" s="1"/>
  <c r="M879" i="1"/>
  <c r="N879" i="1" s="1"/>
  <c r="Q879" i="1" s="1"/>
  <c r="R879" i="1" s="1"/>
  <c r="S879" i="1" s="1"/>
  <c r="T879" i="1" s="1"/>
  <c r="F902" i="1"/>
  <c r="F910" i="1"/>
  <c r="F918" i="1"/>
  <c r="F942" i="1"/>
  <c r="F950" i="1"/>
  <c r="M962" i="1"/>
  <c r="N962" i="1" s="1"/>
  <c r="Q962" i="1" s="1"/>
  <c r="R962" i="1" s="1"/>
  <c r="S962" i="1" s="1"/>
  <c r="T962" i="1" s="1"/>
  <c r="F978" i="1"/>
  <c r="F986" i="1"/>
  <c r="M1003" i="1"/>
  <c r="N1003" i="1" s="1"/>
  <c r="Q1003" i="1" s="1"/>
  <c r="F1013" i="1"/>
  <c r="M1030" i="1"/>
  <c r="N1030" i="1" s="1"/>
  <c r="Q1030" i="1" s="1"/>
  <c r="F1054" i="1"/>
  <c r="F1057" i="1"/>
  <c r="F1071" i="1"/>
  <c r="F1138" i="1"/>
  <c r="F1154" i="1"/>
  <c r="M1173" i="1"/>
  <c r="N1173" i="1" s="1"/>
  <c r="Q1173" i="1" s="1"/>
  <c r="R1173" i="1" s="1"/>
  <c r="S1173" i="1" s="1"/>
  <c r="T1173" i="1" s="1"/>
  <c r="F1175" i="1"/>
  <c r="M1181" i="1"/>
  <c r="N1181" i="1" s="1"/>
  <c r="Q1181" i="1" s="1"/>
  <c r="R1181" i="1" s="1"/>
  <c r="S1181" i="1" s="1"/>
  <c r="T1181" i="1" s="1"/>
  <c r="M1192" i="1"/>
  <c r="N1192" i="1" s="1"/>
  <c r="Q1192" i="1" s="1"/>
  <c r="R1192" i="1" s="1"/>
  <c r="S1192" i="1" s="1"/>
  <c r="T1192" i="1" s="1"/>
  <c r="M1222" i="1"/>
  <c r="N1222" i="1" s="1"/>
  <c r="Q1222" i="1" s="1"/>
  <c r="R1222" i="1" s="1"/>
  <c r="S1222" i="1" s="1"/>
  <c r="T1222" i="1" s="1"/>
  <c r="R4" i="1"/>
  <c r="S4" i="1" s="1"/>
  <c r="T4" i="1" s="1"/>
  <c r="F3" i="1"/>
  <c r="F9" i="1"/>
  <c r="M10" i="1"/>
  <c r="N10" i="1" s="1"/>
  <c r="Q10" i="1" s="1"/>
  <c r="R10" i="1" s="1"/>
  <c r="S10" i="1" s="1"/>
  <c r="T10" i="1" s="1"/>
  <c r="M21" i="1"/>
  <c r="N21" i="1" s="1"/>
  <c r="Q21" i="1" s="1"/>
  <c r="R21" i="1" s="1"/>
  <c r="S21" i="1" s="1"/>
  <c r="T21" i="1" s="1"/>
  <c r="M29" i="1"/>
  <c r="N29" i="1" s="1"/>
  <c r="Q29" i="1" s="1"/>
  <c r="F31" i="1"/>
  <c r="F45" i="1"/>
  <c r="M46" i="1"/>
  <c r="N46" i="1" s="1"/>
  <c r="Q46" i="1" s="1"/>
  <c r="R46" i="1" s="1"/>
  <c r="S46" i="1" s="1"/>
  <c r="T46" i="1" s="1"/>
  <c r="M51" i="1"/>
  <c r="N51" i="1" s="1"/>
  <c r="Q51" i="1" s="1"/>
  <c r="M59" i="1"/>
  <c r="N59" i="1" s="1"/>
  <c r="Q59" i="1" s="1"/>
  <c r="F69" i="1"/>
  <c r="F81" i="1"/>
  <c r="F86" i="1"/>
  <c r="F92" i="1"/>
  <c r="M111" i="1"/>
  <c r="N111" i="1" s="1"/>
  <c r="Q111" i="1" s="1"/>
  <c r="R111" i="1" s="1"/>
  <c r="S111" i="1" s="1"/>
  <c r="T111" i="1" s="1"/>
  <c r="M132" i="1"/>
  <c r="N132" i="1" s="1"/>
  <c r="Q132" i="1" s="1"/>
  <c r="R132" i="1" s="1"/>
  <c r="S132" i="1" s="1"/>
  <c r="T132" i="1" s="1"/>
  <c r="F138" i="1"/>
  <c r="M148" i="1"/>
  <c r="N148" i="1" s="1"/>
  <c r="Q148" i="1" s="1"/>
  <c r="R148" i="1" s="1"/>
  <c r="S148" i="1" s="1"/>
  <c r="T148" i="1" s="1"/>
  <c r="F150" i="1"/>
  <c r="F156" i="1"/>
  <c r="F173" i="1"/>
  <c r="R285" i="1"/>
  <c r="S285" i="1" s="1"/>
  <c r="T285" i="1" s="1"/>
  <c r="M466" i="1"/>
  <c r="N466" i="1" s="1"/>
  <c r="Q466" i="1" s="1"/>
  <c r="R466" i="1" s="1"/>
  <c r="S466" i="1" s="1"/>
  <c r="T466" i="1" s="1"/>
  <c r="R644" i="1"/>
  <c r="S644" i="1" s="1"/>
  <c r="T644" i="1" s="1"/>
  <c r="R119" i="1"/>
  <c r="S119" i="1" s="1"/>
  <c r="T119" i="1" s="1"/>
  <c r="R205" i="1"/>
  <c r="S205" i="1" s="1"/>
  <c r="T205" i="1" s="1"/>
  <c r="R226" i="1"/>
  <c r="S226" i="1" s="1"/>
  <c r="T226" i="1" s="1"/>
  <c r="R641" i="1"/>
  <c r="S641" i="1" s="1"/>
  <c r="T641" i="1" s="1"/>
  <c r="M3" i="1"/>
  <c r="N3" i="1" s="1"/>
  <c r="Q3" i="1" s="1"/>
  <c r="M12" i="1"/>
  <c r="N12" i="1" s="1"/>
  <c r="Q12" i="1" s="1"/>
  <c r="F17" i="1"/>
  <c r="M23" i="1"/>
  <c r="N23" i="1" s="1"/>
  <c r="Q23" i="1" s="1"/>
  <c r="F25" i="1"/>
  <c r="M31" i="1"/>
  <c r="N31" i="1" s="1"/>
  <c r="Q31" i="1" s="1"/>
  <c r="M61" i="1"/>
  <c r="N61" i="1" s="1"/>
  <c r="Q61" i="1" s="1"/>
  <c r="F63" i="1"/>
  <c r="F71" i="1"/>
  <c r="F74" i="1"/>
  <c r="F83" i="1"/>
  <c r="M86" i="1"/>
  <c r="N86" i="1" s="1"/>
  <c r="Q86" i="1" s="1"/>
  <c r="R86" i="1" s="1"/>
  <c r="S86" i="1" s="1"/>
  <c r="T86" i="1" s="1"/>
  <c r="F94" i="1"/>
  <c r="F101" i="1"/>
  <c r="F118" i="1"/>
  <c r="M125" i="1"/>
  <c r="N125" i="1" s="1"/>
  <c r="Q125" i="1" s="1"/>
  <c r="R125" i="1" s="1"/>
  <c r="S125" i="1" s="1"/>
  <c r="T125" i="1" s="1"/>
  <c r="F140" i="1"/>
  <c r="M141" i="1"/>
  <c r="N141" i="1" s="1"/>
  <c r="Q141" i="1" s="1"/>
  <c r="M150" i="1"/>
  <c r="N150" i="1" s="1"/>
  <c r="Q150" i="1" s="1"/>
  <c r="R150" i="1" s="1"/>
  <c r="S150" i="1" s="1"/>
  <c r="T150" i="1" s="1"/>
  <c r="M162" i="1"/>
  <c r="N162" i="1" s="1"/>
  <c r="Q162" i="1" s="1"/>
  <c r="R162" i="1" s="1"/>
  <c r="S162" i="1" s="1"/>
  <c r="T162" i="1" s="1"/>
  <c r="R260" i="1"/>
  <c r="S260" i="1" s="1"/>
  <c r="T260" i="1" s="1"/>
  <c r="M36" i="1"/>
  <c r="N36" i="1" s="1"/>
  <c r="Q36" i="1" s="1"/>
  <c r="R36" i="1" s="1"/>
  <c r="S36" i="1" s="1"/>
  <c r="T36" i="1" s="1"/>
  <c r="M42" i="1"/>
  <c r="N42" i="1" s="1"/>
  <c r="Q42" i="1" s="1"/>
  <c r="R42" i="1" s="1"/>
  <c r="S42" i="1" s="1"/>
  <c r="T42" i="1" s="1"/>
  <c r="M50" i="1"/>
  <c r="N50" i="1" s="1"/>
  <c r="Q50" i="1" s="1"/>
  <c r="R50" i="1" s="1"/>
  <c r="S50" i="1" s="1"/>
  <c r="T50" i="1" s="1"/>
  <c r="R63" i="1"/>
  <c r="S63" i="1" s="1"/>
  <c r="T63" i="1" s="1"/>
  <c r="F91" i="1"/>
  <c r="R94" i="1"/>
  <c r="S94" i="1" s="1"/>
  <c r="T94" i="1" s="1"/>
  <c r="F97" i="1"/>
  <c r="M101" i="1"/>
  <c r="N101" i="1" s="1"/>
  <c r="Q101" i="1" s="1"/>
  <c r="R101" i="1" s="1"/>
  <c r="S101" i="1" s="1"/>
  <c r="T101" i="1" s="1"/>
  <c r="M127" i="1"/>
  <c r="N127" i="1" s="1"/>
  <c r="Q127" i="1" s="1"/>
  <c r="R127" i="1" s="1"/>
  <c r="S127" i="1" s="1"/>
  <c r="T127" i="1" s="1"/>
  <c r="F149" i="1"/>
  <c r="M153" i="1"/>
  <c r="N153" i="1" s="1"/>
  <c r="Q153" i="1" s="1"/>
  <c r="R153" i="1" s="1"/>
  <c r="S153" i="1" s="1"/>
  <c r="T153" i="1" s="1"/>
  <c r="R164" i="1"/>
  <c r="S164" i="1" s="1"/>
  <c r="T164" i="1" s="1"/>
  <c r="R167" i="1"/>
  <c r="S167" i="1" s="1"/>
  <c r="T167" i="1" s="1"/>
  <c r="R175" i="1"/>
  <c r="S175" i="1" s="1"/>
  <c r="T175" i="1" s="1"/>
  <c r="R181" i="1"/>
  <c r="S181" i="1" s="1"/>
  <c r="T181" i="1" s="1"/>
  <c r="F4" i="1"/>
  <c r="M8" i="1"/>
  <c r="N8" i="1" s="1"/>
  <c r="Q8" i="1" s="1"/>
  <c r="R8" i="1" s="1"/>
  <c r="S8" i="1" s="1"/>
  <c r="T8" i="1" s="1"/>
  <c r="F10" i="1"/>
  <c r="F32" i="1"/>
  <c r="F46" i="1"/>
  <c r="F62" i="1"/>
  <c r="F70" i="1"/>
  <c r="F79" i="1"/>
  <c r="M80" i="1"/>
  <c r="N80" i="1" s="1"/>
  <c r="Q80" i="1" s="1"/>
  <c r="R80" i="1" s="1"/>
  <c r="S80" i="1" s="1"/>
  <c r="T80" i="1" s="1"/>
  <c r="M85" i="1"/>
  <c r="N85" i="1" s="1"/>
  <c r="Q85" i="1" s="1"/>
  <c r="F93" i="1"/>
  <c r="M109" i="1"/>
  <c r="N109" i="1" s="1"/>
  <c r="Q109" i="1" s="1"/>
  <c r="R109" i="1" s="1"/>
  <c r="S109" i="1" s="1"/>
  <c r="T109" i="1" s="1"/>
  <c r="F111" i="1"/>
  <c r="M112" i="1"/>
  <c r="N112" i="1" s="1"/>
  <c r="Q112" i="1" s="1"/>
  <c r="M118" i="1"/>
  <c r="N118" i="1" s="1"/>
  <c r="Q118" i="1" s="1"/>
  <c r="R118" i="1" s="1"/>
  <c r="S118" i="1" s="1"/>
  <c r="T118" i="1" s="1"/>
  <c r="F123" i="1"/>
  <c r="M124" i="1"/>
  <c r="N124" i="1" s="1"/>
  <c r="Q124" i="1" s="1"/>
  <c r="R124" i="1" s="1"/>
  <c r="S124" i="1" s="1"/>
  <c r="T124" i="1" s="1"/>
  <c r="F139" i="1"/>
  <c r="M140" i="1"/>
  <c r="N140" i="1" s="1"/>
  <c r="Q140" i="1" s="1"/>
  <c r="R140" i="1" s="1"/>
  <c r="S140" i="1" s="1"/>
  <c r="T140" i="1" s="1"/>
  <c r="M230" i="1"/>
  <c r="N230" i="1" s="1"/>
  <c r="Q230" i="1" s="1"/>
  <c r="R230" i="1" s="1"/>
  <c r="S230" i="1" s="1"/>
  <c r="T230" i="1" s="1"/>
  <c r="M486" i="1"/>
  <c r="N486" i="1" s="1"/>
  <c r="Q486" i="1" s="1"/>
  <c r="R486" i="1" s="1"/>
  <c r="S486" i="1" s="1"/>
  <c r="T486" i="1" s="1"/>
  <c r="R235" i="1"/>
  <c r="S235" i="1" s="1"/>
  <c r="T235" i="1" s="1"/>
  <c r="F15" i="1"/>
  <c r="M82" i="1"/>
  <c r="N82" i="1" s="1"/>
  <c r="Q82" i="1" s="1"/>
  <c r="R82" i="1" s="1"/>
  <c r="S82" i="1" s="1"/>
  <c r="T82" i="1" s="1"/>
  <c r="M133" i="1"/>
  <c r="N133" i="1" s="1"/>
  <c r="Q133" i="1" s="1"/>
  <c r="R133" i="1" s="1"/>
  <c r="S133" i="1" s="1"/>
  <c r="T133" i="1" s="1"/>
  <c r="M139" i="1"/>
  <c r="N139" i="1" s="1"/>
  <c r="Q139" i="1" s="1"/>
  <c r="R139" i="1" s="1"/>
  <c r="S139" i="1" s="1"/>
  <c r="T139" i="1" s="1"/>
  <c r="F168" i="1"/>
  <c r="M174" i="1"/>
  <c r="N174" i="1" s="1"/>
  <c r="Q174" i="1" s="1"/>
  <c r="R174" i="1" s="1"/>
  <c r="S174" i="1" s="1"/>
  <c r="T174" i="1" s="1"/>
  <c r="R203" i="1"/>
  <c r="S203" i="1" s="1"/>
  <c r="T203" i="1" s="1"/>
  <c r="F217" i="1"/>
  <c r="F174" i="1"/>
  <c r="F186" i="1"/>
  <c r="M196" i="1"/>
  <c r="N196" i="1" s="1"/>
  <c r="Q196" i="1" s="1"/>
  <c r="R196" i="1" s="1"/>
  <c r="S196" i="1" s="1"/>
  <c r="T196" i="1" s="1"/>
  <c r="F198" i="1"/>
  <c r="F201" i="1"/>
  <c r="F207" i="1"/>
  <c r="M209" i="1"/>
  <c r="N209" i="1" s="1"/>
  <c r="Q209" i="1" s="1"/>
  <c r="R209" i="1" s="1"/>
  <c r="S209" i="1" s="1"/>
  <c r="T209" i="1" s="1"/>
  <c r="F226" i="1"/>
  <c r="M232" i="1"/>
  <c r="N232" i="1" s="1"/>
  <c r="Q232" i="1" s="1"/>
  <c r="R232" i="1" s="1"/>
  <c r="S232" i="1" s="1"/>
  <c r="T232" i="1" s="1"/>
  <c r="M246" i="1"/>
  <c r="N246" i="1" s="1"/>
  <c r="Q246" i="1" s="1"/>
  <c r="M252" i="1"/>
  <c r="N252" i="1" s="1"/>
  <c r="Q252" i="1" s="1"/>
  <c r="R252" i="1" s="1"/>
  <c r="S252" i="1" s="1"/>
  <c r="T252" i="1" s="1"/>
  <c r="F264" i="1"/>
  <c r="F320" i="1"/>
  <c r="M329" i="1"/>
  <c r="N329" i="1" s="1"/>
  <c r="Q329" i="1" s="1"/>
  <c r="R329" i="1" s="1"/>
  <c r="S329" i="1" s="1"/>
  <c r="T329" i="1" s="1"/>
  <c r="F331" i="1"/>
  <c r="M332" i="1"/>
  <c r="N332" i="1" s="1"/>
  <c r="Q332" i="1" s="1"/>
  <c r="R332" i="1" s="1"/>
  <c r="S332" i="1" s="1"/>
  <c r="T332" i="1" s="1"/>
  <c r="F339" i="1"/>
  <c r="M340" i="1"/>
  <c r="N340" i="1" s="1"/>
  <c r="Q340" i="1" s="1"/>
  <c r="R340" i="1" s="1"/>
  <c r="S340" i="1" s="1"/>
  <c r="T340" i="1" s="1"/>
  <c r="F347" i="1"/>
  <c r="M348" i="1"/>
  <c r="N348" i="1" s="1"/>
  <c r="Q348" i="1" s="1"/>
  <c r="R348" i="1" s="1"/>
  <c r="S348" i="1" s="1"/>
  <c r="T348" i="1" s="1"/>
  <c r="F358" i="1"/>
  <c r="M367" i="1"/>
  <c r="N367" i="1" s="1"/>
  <c r="Q367" i="1" s="1"/>
  <c r="R367" i="1" s="1"/>
  <c r="S367" i="1" s="1"/>
  <c r="T367" i="1" s="1"/>
  <c r="M370" i="1"/>
  <c r="N370" i="1" s="1"/>
  <c r="Q370" i="1" s="1"/>
  <c r="M400" i="1"/>
  <c r="N400" i="1" s="1"/>
  <c r="Q400" i="1" s="1"/>
  <c r="R400" i="1" s="1"/>
  <c r="S400" i="1" s="1"/>
  <c r="T400" i="1" s="1"/>
  <c r="M403" i="1"/>
  <c r="N403" i="1" s="1"/>
  <c r="Q403" i="1" s="1"/>
  <c r="R403" i="1" s="1"/>
  <c r="S403" i="1" s="1"/>
  <c r="T403" i="1" s="1"/>
  <c r="F413" i="1"/>
  <c r="F419" i="1"/>
  <c r="F422" i="1"/>
  <c r="M440" i="1"/>
  <c r="N440" i="1" s="1"/>
  <c r="Q440" i="1" s="1"/>
  <c r="R440" i="1" s="1"/>
  <c r="S440" i="1" s="1"/>
  <c r="T440" i="1" s="1"/>
  <c r="M452" i="1"/>
  <c r="N452" i="1" s="1"/>
  <c r="Q452" i="1" s="1"/>
  <c r="R452" i="1" s="1"/>
  <c r="S452" i="1" s="1"/>
  <c r="T452" i="1" s="1"/>
  <c r="F462" i="1"/>
  <c r="F468" i="1"/>
  <c r="M480" i="1"/>
  <c r="N480" i="1" s="1"/>
  <c r="Q480" i="1" s="1"/>
  <c r="R480" i="1" s="1"/>
  <c r="S480" i="1" s="1"/>
  <c r="T480" i="1" s="1"/>
  <c r="F485" i="1"/>
  <c r="F488" i="1"/>
  <c r="M494" i="1"/>
  <c r="N494" i="1" s="1"/>
  <c r="Q494" i="1" s="1"/>
  <c r="R494" i="1" s="1"/>
  <c r="S494" i="1" s="1"/>
  <c r="T494" i="1" s="1"/>
  <c r="M497" i="1"/>
  <c r="N497" i="1" s="1"/>
  <c r="Q497" i="1" s="1"/>
  <c r="R497" i="1" s="1"/>
  <c r="S497" i="1" s="1"/>
  <c r="T497" i="1" s="1"/>
  <c r="M514" i="1"/>
  <c r="N514" i="1" s="1"/>
  <c r="Q514" i="1" s="1"/>
  <c r="R514" i="1" s="1"/>
  <c r="S514" i="1" s="1"/>
  <c r="T514" i="1" s="1"/>
  <c r="F522" i="1"/>
  <c r="M531" i="1"/>
  <c r="N531" i="1" s="1"/>
  <c r="Q531" i="1" s="1"/>
  <c r="F539" i="1"/>
  <c r="M540" i="1"/>
  <c r="N540" i="1" s="1"/>
  <c r="Q540" i="1" s="1"/>
  <c r="R540" i="1" s="1"/>
  <c r="S540" i="1" s="1"/>
  <c r="T540" i="1" s="1"/>
  <c r="M545" i="1"/>
  <c r="N545" i="1" s="1"/>
  <c r="Q545" i="1" s="1"/>
  <c r="R545" i="1" s="1"/>
  <c r="S545" i="1" s="1"/>
  <c r="T545" i="1" s="1"/>
  <c r="M551" i="1"/>
  <c r="N551" i="1" s="1"/>
  <c r="Q551" i="1" s="1"/>
  <c r="F561" i="1"/>
  <c r="M562" i="1"/>
  <c r="N562" i="1" s="1"/>
  <c r="Q562" i="1" s="1"/>
  <c r="R562" i="1" s="1"/>
  <c r="S562" i="1" s="1"/>
  <c r="T562" i="1" s="1"/>
  <c r="F564" i="1"/>
  <c r="F578" i="1"/>
  <c r="M581" i="1"/>
  <c r="N581" i="1" s="1"/>
  <c r="Q581" i="1" s="1"/>
  <c r="R581" i="1" s="1"/>
  <c r="S581" i="1" s="1"/>
  <c r="T581" i="1" s="1"/>
  <c r="F603" i="1"/>
  <c r="M604" i="1"/>
  <c r="N604" i="1" s="1"/>
  <c r="Q604" i="1" s="1"/>
  <c r="F614" i="1"/>
  <c r="M627" i="1"/>
  <c r="N627" i="1" s="1"/>
  <c r="Q627" i="1" s="1"/>
  <c r="R627" i="1" s="1"/>
  <c r="S627" i="1" s="1"/>
  <c r="T627" i="1" s="1"/>
  <c r="M637" i="1"/>
  <c r="N637" i="1" s="1"/>
  <c r="Q637" i="1" s="1"/>
  <c r="R637" i="1" s="1"/>
  <c r="S637" i="1" s="1"/>
  <c r="T637" i="1" s="1"/>
  <c r="F642" i="1"/>
  <c r="F645" i="1"/>
  <c r="M652" i="1"/>
  <c r="N652" i="1" s="1"/>
  <c r="Q652" i="1" s="1"/>
  <c r="R652" i="1" s="1"/>
  <c r="S652" i="1" s="1"/>
  <c r="T652" i="1" s="1"/>
  <c r="F654" i="1"/>
  <c r="F660" i="1"/>
  <c r="F669" i="1"/>
  <c r="M670" i="1"/>
  <c r="N670" i="1" s="1"/>
  <c r="Q670" i="1" s="1"/>
  <c r="R670" i="1" s="1"/>
  <c r="S670" i="1" s="1"/>
  <c r="T670" i="1" s="1"/>
  <c r="M673" i="1"/>
  <c r="N673" i="1" s="1"/>
  <c r="Q673" i="1" s="1"/>
  <c r="R673" i="1" s="1"/>
  <c r="S673" i="1" s="1"/>
  <c r="T673" i="1" s="1"/>
  <c r="M685" i="1"/>
  <c r="N685" i="1" s="1"/>
  <c r="Q685" i="1" s="1"/>
  <c r="R685" i="1" s="1"/>
  <c r="S685" i="1" s="1"/>
  <c r="T685" i="1" s="1"/>
  <c r="F687" i="1"/>
  <c r="M690" i="1"/>
  <c r="N690" i="1" s="1"/>
  <c r="Q690" i="1" s="1"/>
  <c r="R690" i="1" s="1"/>
  <c r="S690" i="1" s="1"/>
  <c r="T690" i="1" s="1"/>
  <c r="F696" i="1"/>
  <c r="M699" i="1"/>
  <c r="N699" i="1" s="1"/>
  <c r="Q699" i="1" s="1"/>
  <c r="R699" i="1" s="1"/>
  <c r="S699" i="1" s="1"/>
  <c r="T699" i="1" s="1"/>
  <c r="F737" i="1"/>
  <c r="F761" i="1"/>
  <c r="R186" i="1"/>
  <c r="S186" i="1" s="1"/>
  <c r="T186" i="1" s="1"/>
  <c r="R192" i="1"/>
  <c r="S192" i="1" s="1"/>
  <c r="T192" i="1" s="1"/>
  <c r="R211" i="1"/>
  <c r="S211" i="1" s="1"/>
  <c r="T211" i="1" s="1"/>
  <c r="M214" i="1"/>
  <c r="N214" i="1" s="1"/>
  <c r="Q214" i="1" s="1"/>
  <c r="R214" i="1" s="1"/>
  <c r="S214" i="1" s="1"/>
  <c r="T214" i="1" s="1"/>
  <c r="M237" i="1"/>
  <c r="N237" i="1" s="1"/>
  <c r="Q237" i="1" s="1"/>
  <c r="R237" i="1" s="1"/>
  <c r="S237" i="1" s="1"/>
  <c r="T237" i="1" s="1"/>
  <c r="M243" i="1"/>
  <c r="N243" i="1" s="1"/>
  <c r="Q243" i="1" s="1"/>
  <c r="R264" i="1"/>
  <c r="S264" i="1" s="1"/>
  <c r="T264" i="1" s="1"/>
  <c r="M267" i="1"/>
  <c r="N267" i="1" s="1"/>
  <c r="Q267" i="1" s="1"/>
  <c r="R267" i="1" s="1"/>
  <c r="S267" i="1" s="1"/>
  <c r="T267" i="1" s="1"/>
  <c r="M270" i="1"/>
  <c r="N270" i="1" s="1"/>
  <c r="Q270" i="1" s="1"/>
  <c r="R270" i="1" s="1"/>
  <c r="S270" i="1" s="1"/>
  <c r="T270" i="1" s="1"/>
  <c r="M278" i="1"/>
  <c r="N278" i="1" s="1"/>
  <c r="Q278" i="1" s="1"/>
  <c r="R278" i="1" s="1"/>
  <c r="S278" i="1" s="1"/>
  <c r="T278" i="1" s="1"/>
  <c r="M350" i="1"/>
  <c r="N350" i="1" s="1"/>
  <c r="Q350" i="1" s="1"/>
  <c r="R350" i="1" s="1"/>
  <c r="S350" i="1" s="1"/>
  <c r="T350" i="1" s="1"/>
  <c r="R375" i="1"/>
  <c r="S375" i="1" s="1"/>
  <c r="T375" i="1" s="1"/>
  <c r="R394" i="1"/>
  <c r="S394" i="1" s="1"/>
  <c r="T394" i="1" s="1"/>
  <c r="M437" i="1"/>
  <c r="N437" i="1" s="1"/>
  <c r="Q437" i="1" s="1"/>
  <c r="F448" i="1"/>
  <c r="R451" i="1"/>
  <c r="S451" i="1" s="1"/>
  <c r="T451" i="1" s="1"/>
  <c r="M488" i="1"/>
  <c r="N488" i="1" s="1"/>
  <c r="Q488" i="1" s="1"/>
  <c r="R488" i="1" s="1"/>
  <c r="S488" i="1" s="1"/>
  <c r="T488" i="1" s="1"/>
  <c r="F490" i="1"/>
  <c r="F518" i="1"/>
  <c r="R561" i="1"/>
  <c r="S561" i="1" s="1"/>
  <c r="T561" i="1" s="1"/>
  <c r="M578" i="1"/>
  <c r="N578" i="1" s="1"/>
  <c r="Q578" i="1" s="1"/>
  <c r="R578" i="1" s="1"/>
  <c r="S578" i="1" s="1"/>
  <c r="T578" i="1" s="1"/>
  <c r="F635" i="1"/>
  <c r="R642" i="1"/>
  <c r="S642" i="1" s="1"/>
  <c r="T642" i="1" s="1"/>
  <c r="R660" i="1"/>
  <c r="S660" i="1" s="1"/>
  <c r="T660" i="1" s="1"/>
  <c r="M675" i="1"/>
  <c r="N675" i="1" s="1"/>
  <c r="Q675" i="1" s="1"/>
  <c r="R675" i="1" s="1"/>
  <c r="S675" i="1" s="1"/>
  <c r="T675" i="1" s="1"/>
  <c r="F680" i="1"/>
  <c r="M710" i="1"/>
  <c r="N710" i="1" s="1"/>
  <c r="Q710" i="1" s="1"/>
  <c r="F720" i="1"/>
  <c r="M740" i="1"/>
  <c r="N740" i="1" s="1"/>
  <c r="Q740" i="1" s="1"/>
  <c r="R740" i="1" s="1"/>
  <c r="S740" i="1" s="1"/>
  <c r="T740" i="1" s="1"/>
  <c r="F758" i="1"/>
  <c r="F188" i="1"/>
  <c r="F191" i="1"/>
  <c r="M216" i="1"/>
  <c r="N216" i="1" s="1"/>
  <c r="Q216" i="1" s="1"/>
  <c r="R216" i="1" s="1"/>
  <c r="S216" i="1" s="1"/>
  <c r="T216" i="1" s="1"/>
  <c r="F218" i="1"/>
  <c r="F233" i="1"/>
  <c r="M234" i="1"/>
  <c r="N234" i="1" s="1"/>
  <c r="Q234" i="1" s="1"/>
  <c r="R234" i="1" s="1"/>
  <c r="S234" i="1" s="1"/>
  <c r="T234" i="1" s="1"/>
  <c r="F242" i="1"/>
  <c r="F247" i="1"/>
  <c r="F250" i="1"/>
  <c r="F266" i="1"/>
  <c r="M283" i="1"/>
  <c r="N283" i="1" s="1"/>
  <c r="Q283" i="1" s="1"/>
  <c r="F288" i="1"/>
  <c r="M289" i="1"/>
  <c r="N289" i="1" s="1"/>
  <c r="Q289" i="1" s="1"/>
  <c r="R289" i="1" s="1"/>
  <c r="S289" i="1" s="1"/>
  <c r="T289" i="1" s="1"/>
  <c r="M311" i="1"/>
  <c r="N311" i="1" s="1"/>
  <c r="Q311" i="1" s="1"/>
  <c r="R311" i="1" s="1"/>
  <c r="S311" i="1" s="1"/>
  <c r="T311" i="1" s="1"/>
  <c r="F313" i="1"/>
  <c r="M317" i="1"/>
  <c r="N317" i="1" s="1"/>
  <c r="Q317" i="1" s="1"/>
  <c r="R317" i="1" s="1"/>
  <c r="S317" i="1" s="1"/>
  <c r="T317" i="1" s="1"/>
  <c r="M320" i="1"/>
  <c r="N320" i="1" s="1"/>
  <c r="Q320" i="1" s="1"/>
  <c r="R320" i="1" s="1"/>
  <c r="S320" i="1" s="1"/>
  <c r="T320" i="1" s="1"/>
  <c r="M325" i="1"/>
  <c r="N325" i="1" s="1"/>
  <c r="Q325" i="1" s="1"/>
  <c r="R325" i="1" s="1"/>
  <c r="S325" i="1" s="1"/>
  <c r="T325" i="1" s="1"/>
  <c r="M328" i="1"/>
  <c r="N328" i="1" s="1"/>
  <c r="Q328" i="1" s="1"/>
  <c r="R328" i="1" s="1"/>
  <c r="S328" i="1" s="1"/>
  <c r="T328" i="1" s="1"/>
  <c r="M347" i="1"/>
  <c r="N347" i="1" s="1"/>
  <c r="Q347" i="1" s="1"/>
  <c r="M355" i="1"/>
  <c r="N355" i="1" s="1"/>
  <c r="Q355" i="1" s="1"/>
  <c r="R355" i="1" s="1"/>
  <c r="S355" i="1" s="1"/>
  <c r="T355" i="1" s="1"/>
  <c r="R369" i="1"/>
  <c r="S369" i="1" s="1"/>
  <c r="T369" i="1" s="1"/>
  <c r="F371" i="1"/>
  <c r="F374" i="1"/>
  <c r="F385" i="1"/>
  <c r="M391" i="1"/>
  <c r="N391" i="1" s="1"/>
  <c r="Q391" i="1" s="1"/>
  <c r="R391" i="1" s="1"/>
  <c r="S391" i="1" s="1"/>
  <c r="T391" i="1" s="1"/>
  <c r="F393" i="1"/>
  <c r="F401" i="1"/>
  <c r="M436" i="1"/>
  <c r="N436" i="1" s="1"/>
  <c r="Q436" i="1" s="1"/>
  <c r="R436" i="1" s="1"/>
  <c r="S436" i="1" s="1"/>
  <c r="T436" i="1" s="1"/>
  <c r="M448" i="1"/>
  <c r="N448" i="1" s="1"/>
  <c r="Q448" i="1" s="1"/>
  <c r="R448" i="1" s="1"/>
  <c r="S448" i="1" s="1"/>
  <c r="T448" i="1" s="1"/>
  <c r="F450" i="1"/>
  <c r="F472" i="1"/>
  <c r="F481" i="1"/>
  <c r="M510" i="1"/>
  <c r="N510" i="1" s="1"/>
  <c r="Q510" i="1" s="1"/>
  <c r="R510" i="1" s="1"/>
  <c r="S510" i="1" s="1"/>
  <c r="T510" i="1" s="1"/>
  <c r="R516" i="1"/>
  <c r="S516" i="1" s="1"/>
  <c r="T516" i="1" s="1"/>
  <c r="M533" i="1"/>
  <c r="N533" i="1" s="1"/>
  <c r="Q533" i="1" s="1"/>
  <c r="M536" i="1"/>
  <c r="N536" i="1" s="1"/>
  <c r="Q536" i="1" s="1"/>
  <c r="F538" i="1"/>
  <c r="F552" i="1"/>
  <c r="M553" i="1"/>
  <c r="N553" i="1" s="1"/>
  <c r="Q553" i="1" s="1"/>
  <c r="R553" i="1" s="1"/>
  <c r="S553" i="1" s="1"/>
  <c r="T553" i="1" s="1"/>
  <c r="R575" i="1"/>
  <c r="S575" i="1" s="1"/>
  <c r="T575" i="1" s="1"/>
  <c r="M580" i="1"/>
  <c r="N580" i="1" s="1"/>
  <c r="Q580" i="1" s="1"/>
  <c r="F582" i="1"/>
  <c r="F602" i="1"/>
  <c r="F610" i="1"/>
  <c r="M611" i="1"/>
  <c r="N611" i="1" s="1"/>
  <c r="Q611" i="1" s="1"/>
  <c r="R611" i="1" s="1"/>
  <c r="S611" i="1" s="1"/>
  <c r="T611" i="1" s="1"/>
  <c r="M614" i="1"/>
  <c r="N614" i="1" s="1"/>
  <c r="Q614" i="1" s="1"/>
  <c r="F628" i="1"/>
  <c r="M629" i="1"/>
  <c r="N629" i="1" s="1"/>
  <c r="Q629" i="1" s="1"/>
  <c r="R629" i="1" s="1"/>
  <c r="S629" i="1" s="1"/>
  <c r="T629" i="1" s="1"/>
  <c r="M636" i="1"/>
  <c r="N636" i="1" s="1"/>
  <c r="Q636" i="1" s="1"/>
  <c r="R636" i="1" s="1"/>
  <c r="S636" i="1" s="1"/>
  <c r="T636" i="1" s="1"/>
  <c r="M639" i="1"/>
  <c r="N639" i="1" s="1"/>
  <c r="Q639" i="1" s="1"/>
  <c r="F641" i="1"/>
  <c r="M645" i="1"/>
  <c r="N645" i="1" s="1"/>
  <c r="Q645" i="1" s="1"/>
  <c r="R645" i="1" s="1"/>
  <c r="S645" i="1" s="1"/>
  <c r="T645" i="1" s="1"/>
  <c r="M651" i="1"/>
  <c r="N651" i="1" s="1"/>
  <c r="Q651" i="1" s="1"/>
  <c r="R651" i="1" s="1"/>
  <c r="S651" i="1" s="1"/>
  <c r="T651" i="1" s="1"/>
  <c r="F653" i="1"/>
  <c r="M657" i="1"/>
  <c r="N657" i="1" s="1"/>
  <c r="Q657" i="1" s="1"/>
  <c r="R657" i="1" s="1"/>
  <c r="S657" i="1" s="1"/>
  <c r="T657" i="1" s="1"/>
  <c r="F659" i="1"/>
  <c r="F662" i="1"/>
  <c r="M663" i="1"/>
  <c r="N663" i="1" s="1"/>
  <c r="Q663" i="1" s="1"/>
  <c r="F668" i="1"/>
  <c r="M672" i="1"/>
  <c r="N672" i="1" s="1"/>
  <c r="Q672" i="1" s="1"/>
  <c r="R672" i="1" s="1"/>
  <c r="S672" i="1" s="1"/>
  <c r="T672" i="1" s="1"/>
  <c r="F691" i="1"/>
  <c r="M706" i="1"/>
  <c r="N706" i="1" s="1"/>
  <c r="Q706" i="1" s="1"/>
  <c r="R706" i="1" s="1"/>
  <c r="S706" i="1" s="1"/>
  <c r="T706" i="1" s="1"/>
  <c r="R236" i="1"/>
  <c r="S236" i="1" s="1"/>
  <c r="T236" i="1" s="1"/>
  <c r="R239" i="1"/>
  <c r="S239" i="1" s="1"/>
  <c r="T239" i="1" s="1"/>
  <c r="R577" i="1"/>
  <c r="S577" i="1" s="1"/>
  <c r="T577" i="1" s="1"/>
  <c r="R588" i="1"/>
  <c r="S588" i="1" s="1"/>
  <c r="T588" i="1" s="1"/>
  <c r="R686" i="1"/>
  <c r="S686" i="1" s="1"/>
  <c r="T686" i="1" s="1"/>
  <c r="M173" i="1"/>
  <c r="N173" i="1" s="1"/>
  <c r="Q173" i="1" s="1"/>
  <c r="F175" i="1"/>
  <c r="M176" i="1"/>
  <c r="N176" i="1" s="1"/>
  <c r="Q176" i="1" s="1"/>
  <c r="R176" i="1" s="1"/>
  <c r="S176" i="1" s="1"/>
  <c r="T176" i="1" s="1"/>
  <c r="M188" i="1"/>
  <c r="N188" i="1" s="1"/>
  <c r="Q188" i="1" s="1"/>
  <c r="R188" i="1" s="1"/>
  <c r="S188" i="1" s="1"/>
  <c r="T188" i="1" s="1"/>
  <c r="M191" i="1"/>
  <c r="N191" i="1" s="1"/>
  <c r="Q191" i="1" s="1"/>
  <c r="M194" i="1"/>
  <c r="N194" i="1" s="1"/>
  <c r="Q194" i="1" s="1"/>
  <c r="R194" i="1" s="1"/>
  <c r="S194" i="1" s="1"/>
  <c r="T194" i="1" s="1"/>
  <c r="F196" i="1"/>
  <c r="M200" i="1"/>
  <c r="N200" i="1" s="1"/>
  <c r="Q200" i="1" s="1"/>
  <c r="R200" i="1" s="1"/>
  <c r="S200" i="1" s="1"/>
  <c r="T200" i="1" s="1"/>
  <c r="F202" i="1"/>
  <c r="M206" i="1"/>
  <c r="N206" i="1" s="1"/>
  <c r="Q206" i="1" s="1"/>
  <c r="R206" i="1" s="1"/>
  <c r="S206" i="1" s="1"/>
  <c r="T206" i="1" s="1"/>
  <c r="F212" i="1"/>
  <c r="M218" i="1"/>
  <c r="N218" i="1" s="1"/>
  <c r="Q218" i="1" s="1"/>
  <c r="R218" i="1" s="1"/>
  <c r="S218" i="1" s="1"/>
  <c r="T218" i="1" s="1"/>
  <c r="M242" i="1"/>
  <c r="N242" i="1" s="1"/>
  <c r="Q242" i="1" s="1"/>
  <c r="M247" i="1"/>
  <c r="N247" i="1" s="1"/>
  <c r="Q247" i="1" s="1"/>
  <c r="R247" i="1" s="1"/>
  <c r="S247" i="1" s="1"/>
  <c r="T247" i="1" s="1"/>
  <c r="M256" i="1"/>
  <c r="N256" i="1" s="1"/>
  <c r="Q256" i="1" s="1"/>
  <c r="R256" i="1" s="1"/>
  <c r="S256" i="1" s="1"/>
  <c r="T256" i="1" s="1"/>
  <c r="M294" i="1"/>
  <c r="N294" i="1" s="1"/>
  <c r="Q294" i="1" s="1"/>
  <c r="R294" i="1" s="1"/>
  <c r="S294" i="1" s="1"/>
  <c r="T294" i="1" s="1"/>
  <c r="M305" i="1"/>
  <c r="N305" i="1" s="1"/>
  <c r="Q305" i="1" s="1"/>
  <c r="R305" i="1" s="1"/>
  <c r="S305" i="1" s="1"/>
  <c r="T305" i="1" s="1"/>
  <c r="M327" i="1"/>
  <c r="N327" i="1" s="1"/>
  <c r="Q327" i="1" s="1"/>
  <c r="R327" i="1" s="1"/>
  <c r="S327" i="1" s="1"/>
  <c r="T327" i="1" s="1"/>
  <c r="M330" i="1"/>
  <c r="N330" i="1" s="1"/>
  <c r="Q330" i="1" s="1"/>
  <c r="M333" i="1"/>
  <c r="N333" i="1" s="1"/>
  <c r="Q333" i="1" s="1"/>
  <c r="R333" i="1" s="1"/>
  <c r="S333" i="1" s="1"/>
  <c r="T333" i="1" s="1"/>
  <c r="M360" i="1"/>
  <c r="N360" i="1" s="1"/>
  <c r="Q360" i="1" s="1"/>
  <c r="R360" i="1" s="1"/>
  <c r="S360" i="1" s="1"/>
  <c r="T360" i="1" s="1"/>
  <c r="F373" i="1"/>
  <c r="F376" i="1"/>
  <c r="F387" i="1"/>
  <c r="F395" i="1"/>
  <c r="F403" i="1"/>
  <c r="F406" i="1"/>
  <c r="M427" i="1"/>
  <c r="N427" i="1" s="1"/>
  <c r="Q427" i="1" s="1"/>
  <c r="M444" i="1"/>
  <c r="N444" i="1" s="1"/>
  <c r="Q444" i="1" s="1"/>
  <c r="M447" i="1"/>
  <c r="N447" i="1" s="1"/>
  <c r="Q447" i="1" s="1"/>
  <c r="F452" i="1"/>
  <c r="F480" i="1"/>
  <c r="F500" i="1"/>
  <c r="M518" i="1"/>
  <c r="N518" i="1" s="1"/>
  <c r="Q518" i="1" s="1"/>
  <c r="R518" i="1" s="1"/>
  <c r="S518" i="1" s="1"/>
  <c r="T518" i="1" s="1"/>
  <c r="M538" i="1"/>
  <c r="N538" i="1" s="1"/>
  <c r="Q538" i="1" s="1"/>
  <c r="R538" i="1" s="1"/>
  <c r="S538" i="1" s="1"/>
  <c r="T538" i="1" s="1"/>
  <c r="F554" i="1"/>
  <c r="M560" i="1"/>
  <c r="N560" i="1" s="1"/>
  <c r="Q560" i="1" s="1"/>
  <c r="M563" i="1"/>
  <c r="N563" i="1" s="1"/>
  <c r="Q563" i="1" s="1"/>
  <c r="R563" i="1" s="1"/>
  <c r="S563" i="1" s="1"/>
  <c r="T563" i="1" s="1"/>
  <c r="M566" i="1"/>
  <c r="N566" i="1" s="1"/>
  <c r="Q566" i="1" s="1"/>
  <c r="R566" i="1" s="1"/>
  <c r="S566" i="1" s="1"/>
  <c r="T566" i="1" s="1"/>
  <c r="M585" i="1"/>
  <c r="N585" i="1" s="1"/>
  <c r="Q585" i="1" s="1"/>
  <c r="R585" i="1" s="1"/>
  <c r="S585" i="1" s="1"/>
  <c r="T585" i="1" s="1"/>
  <c r="F601" i="1"/>
  <c r="M613" i="1"/>
  <c r="N613" i="1" s="1"/>
  <c r="Q613" i="1" s="1"/>
  <c r="F630" i="1"/>
  <c r="F643" i="1"/>
  <c r="F646" i="1"/>
  <c r="M656" i="1"/>
  <c r="N656" i="1" s="1"/>
  <c r="Q656" i="1" s="1"/>
  <c r="R656" i="1" s="1"/>
  <c r="S656" i="1" s="1"/>
  <c r="T656" i="1" s="1"/>
  <c r="F667" i="1"/>
  <c r="M668" i="1"/>
  <c r="N668" i="1" s="1"/>
  <c r="Q668" i="1" s="1"/>
  <c r="R668" i="1" s="1"/>
  <c r="S668" i="1" s="1"/>
  <c r="T668" i="1" s="1"/>
  <c r="M674" i="1"/>
  <c r="N674" i="1" s="1"/>
  <c r="Q674" i="1" s="1"/>
  <c r="R674" i="1" s="1"/>
  <c r="S674" i="1" s="1"/>
  <c r="T674" i="1" s="1"/>
  <c r="F688" i="1"/>
  <c r="M695" i="1"/>
  <c r="N695" i="1" s="1"/>
  <c r="Q695" i="1" s="1"/>
  <c r="R695" i="1" s="1"/>
  <c r="S695" i="1" s="1"/>
  <c r="T695" i="1" s="1"/>
  <c r="M700" i="1"/>
  <c r="N700" i="1" s="1"/>
  <c r="Q700" i="1" s="1"/>
  <c r="M717" i="1"/>
  <c r="N717" i="1" s="1"/>
  <c r="Q717" i="1" s="1"/>
  <c r="R717" i="1" s="1"/>
  <c r="S717" i="1" s="1"/>
  <c r="T717" i="1" s="1"/>
  <c r="M244" i="1"/>
  <c r="N244" i="1" s="1"/>
  <c r="Q244" i="1" s="1"/>
  <c r="R253" i="1"/>
  <c r="S253" i="1" s="1"/>
  <c r="T253" i="1" s="1"/>
  <c r="F262" i="1"/>
  <c r="R282" i="1"/>
  <c r="S282" i="1" s="1"/>
  <c r="T282" i="1" s="1"/>
  <c r="F284" i="1"/>
  <c r="R302" i="1"/>
  <c r="S302" i="1" s="1"/>
  <c r="T302" i="1" s="1"/>
  <c r="F309" i="1"/>
  <c r="F315" i="1"/>
  <c r="F337" i="1"/>
  <c r="M351" i="1"/>
  <c r="N351" i="1" s="1"/>
  <c r="Q351" i="1" s="1"/>
  <c r="R351" i="1" s="1"/>
  <c r="S351" i="1" s="1"/>
  <c r="T351" i="1" s="1"/>
  <c r="F353" i="1"/>
  <c r="M365" i="1"/>
  <c r="N365" i="1" s="1"/>
  <c r="Q365" i="1" s="1"/>
  <c r="R365" i="1" s="1"/>
  <c r="S365" i="1" s="1"/>
  <c r="T365" i="1" s="1"/>
  <c r="R368" i="1"/>
  <c r="S368" i="1" s="1"/>
  <c r="T368" i="1" s="1"/>
  <c r="F381" i="1"/>
  <c r="M438" i="1"/>
  <c r="N438" i="1" s="1"/>
  <c r="Q438" i="1" s="1"/>
  <c r="F440" i="1"/>
  <c r="F446" i="1"/>
  <c r="F449" i="1"/>
  <c r="R450" i="1"/>
  <c r="S450" i="1" s="1"/>
  <c r="T450" i="1" s="1"/>
  <c r="M455" i="1"/>
  <c r="N455" i="1" s="1"/>
  <c r="Q455" i="1" s="1"/>
  <c r="R455" i="1" s="1"/>
  <c r="S455" i="1" s="1"/>
  <c r="T455" i="1" s="1"/>
  <c r="F460" i="1"/>
  <c r="F494" i="1"/>
  <c r="R495" i="1"/>
  <c r="S495" i="1" s="1"/>
  <c r="T495" i="1" s="1"/>
  <c r="M509" i="1"/>
  <c r="N509" i="1" s="1"/>
  <c r="Q509" i="1" s="1"/>
  <c r="R509" i="1" s="1"/>
  <c r="S509" i="1" s="1"/>
  <c r="T509" i="1" s="1"/>
  <c r="M520" i="1"/>
  <c r="N520" i="1" s="1"/>
  <c r="Q520" i="1" s="1"/>
  <c r="R520" i="1" s="1"/>
  <c r="S520" i="1" s="1"/>
  <c r="T520" i="1" s="1"/>
  <c r="M535" i="1"/>
  <c r="N535" i="1" s="1"/>
  <c r="Q535" i="1" s="1"/>
  <c r="R535" i="1" s="1"/>
  <c r="S535" i="1" s="1"/>
  <c r="T535" i="1" s="1"/>
  <c r="F537" i="1"/>
  <c r="M549" i="1"/>
  <c r="N549" i="1" s="1"/>
  <c r="Q549" i="1" s="1"/>
  <c r="M568" i="1"/>
  <c r="N568" i="1" s="1"/>
  <c r="Q568" i="1" s="1"/>
  <c r="M571" i="1"/>
  <c r="N571" i="1" s="1"/>
  <c r="Q571" i="1" s="1"/>
  <c r="R571" i="1" s="1"/>
  <c r="S571" i="1" s="1"/>
  <c r="T571" i="1" s="1"/>
  <c r="F573" i="1"/>
  <c r="M590" i="1"/>
  <c r="N590" i="1" s="1"/>
  <c r="Q590" i="1" s="1"/>
  <c r="R590" i="1" s="1"/>
  <c r="S590" i="1" s="1"/>
  <c r="T590" i="1" s="1"/>
  <c r="F598" i="1"/>
  <c r="F609" i="1"/>
  <c r="F621" i="1"/>
  <c r="M622" i="1"/>
  <c r="N622" i="1" s="1"/>
  <c r="Q622" i="1" s="1"/>
  <c r="R622" i="1" s="1"/>
  <c r="S622" i="1" s="1"/>
  <c r="T622" i="1" s="1"/>
  <c r="F627" i="1"/>
  <c r="M634" i="1"/>
  <c r="N634" i="1" s="1"/>
  <c r="Q634" i="1" s="1"/>
  <c r="R647" i="1"/>
  <c r="S647" i="1" s="1"/>
  <c r="T647" i="1" s="1"/>
  <c r="R650" i="1"/>
  <c r="S650" i="1" s="1"/>
  <c r="T650" i="1" s="1"/>
  <c r="F652" i="1"/>
  <c r="F655" i="1"/>
  <c r="F693" i="1"/>
  <c r="F699" i="1"/>
  <c r="F707" i="1"/>
  <c r="M741" i="1"/>
  <c r="N741" i="1" s="1"/>
  <c r="Q741" i="1" s="1"/>
  <c r="R741" i="1" s="1"/>
  <c r="S741" i="1" s="1"/>
  <c r="T741" i="1" s="1"/>
  <c r="F751" i="1"/>
  <c r="F762" i="1"/>
  <c r="M763" i="1"/>
  <c r="N763" i="1" s="1"/>
  <c r="Q763" i="1" s="1"/>
  <c r="R763" i="1" s="1"/>
  <c r="S763" i="1" s="1"/>
  <c r="T763" i="1" s="1"/>
  <c r="R794" i="1"/>
  <c r="S794" i="1" s="1"/>
  <c r="T794" i="1" s="1"/>
  <c r="M803" i="1"/>
  <c r="N803" i="1" s="1"/>
  <c r="Q803" i="1" s="1"/>
  <c r="R803" i="1" s="1"/>
  <c r="S803" i="1" s="1"/>
  <c r="T803" i="1" s="1"/>
  <c r="R842" i="1"/>
  <c r="S842" i="1" s="1"/>
  <c r="T842" i="1" s="1"/>
  <c r="R859" i="1"/>
  <c r="S859" i="1" s="1"/>
  <c r="T859" i="1" s="1"/>
  <c r="R871" i="1"/>
  <c r="S871" i="1" s="1"/>
  <c r="T871" i="1" s="1"/>
  <c r="M874" i="1"/>
  <c r="N874" i="1" s="1"/>
  <c r="Q874" i="1" s="1"/>
  <c r="F879" i="1"/>
  <c r="M883" i="1"/>
  <c r="N883" i="1" s="1"/>
  <c r="Q883" i="1" s="1"/>
  <c r="R883" i="1" s="1"/>
  <c r="S883" i="1" s="1"/>
  <c r="T883" i="1" s="1"/>
  <c r="R897" i="1"/>
  <c r="S897" i="1" s="1"/>
  <c r="T897" i="1" s="1"/>
  <c r="M906" i="1"/>
  <c r="N906" i="1" s="1"/>
  <c r="Q906" i="1" s="1"/>
  <c r="R906" i="1" s="1"/>
  <c r="S906" i="1" s="1"/>
  <c r="T906" i="1" s="1"/>
  <c r="F926" i="1"/>
  <c r="M938" i="1"/>
  <c r="N938" i="1" s="1"/>
  <c r="Q938" i="1" s="1"/>
  <c r="R938" i="1" s="1"/>
  <c r="S938" i="1" s="1"/>
  <c r="T938" i="1" s="1"/>
  <c r="F980" i="1"/>
  <c r="M1006" i="1"/>
  <c r="N1006" i="1" s="1"/>
  <c r="Q1006" i="1" s="1"/>
  <c r="F1019" i="1"/>
  <c r="R1025" i="1"/>
  <c r="S1025" i="1" s="1"/>
  <c r="T1025" i="1" s="1"/>
  <c r="R1082" i="1"/>
  <c r="S1082" i="1" s="1"/>
  <c r="T1082" i="1" s="1"/>
  <c r="M1109" i="1"/>
  <c r="N1109" i="1" s="1"/>
  <c r="Q1109" i="1" s="1"/>
  <c r="F1160" i="1"/>
  <c r="F1171" i="1"/>
  <c r="M1229" i="1"/>
  <c r="N1229" i="1" s="1"/>
  <c r="Q1229" i="1" s="1"/>
  <c r="R1229" i="1" s="1"/>
  <c r="S1229" i="1" s="1"/>
  <c r="T1229" i="1" s="1"/>
  <c r="M1235" i="1"/>
  <c r="N1235" i="1" s="1"/>
  <c r="Q1235" i="1" s="1"/>
  <c r="R1235" i="1" s="1"/>
  <c r="S1235" i="1" s="1"/>
  <c r="T1235" i="1" s="1"/>
  <c r="M1241" i="1"/>
  <c r="N1241" i="1" s="1"/>
  <c r="Q1241" i="1" s="1"/>
  <c r="R1241" i="1" s="1"/>
  <c r="S1241" i="1" s="1"/>
  <c r="T1241" i="1" s="1"/>
  <c r="M1284" i="1"/>
  <c r="N1284" i="1" s="1"/>
  <c r="Q1284" i="1" s="1"/>
  <c r="R1284" i="1" s="1"/>
  <c r="S1284" i="1" s="1"/>
  <c r="T1284" i="1" s="1"/>
  <c r="M1287" i="1"/>
  <c r="N1287" i="1" s="1"/>
  <c r="Q1287" i="1" s="1"/>
  <c r="R1287" i="1" s="1"/>
  <c r="S1287" i="1" s="1"/>
  <c r="T1287" i="1" s="1"/>
  <c r="F702" i="1"/>
  <c r="M703" i="1"/>
  <c r="N703" i="1" s="1"/>
  <c r="Q703" i="1" s="1"/>
  <c r="R703" i="1" s="1"/>
  <c r="S703" i="1" s="1"/>
  <c r="T703" i="1" s="1"/>
  <c r="F714" i="1"/>
  <c r="M715" i="1"/>
  <c r="N715" i="1" s="1"/>
  <c r="Q715" i="1" s="1"/>
  <c r="R715" i="1" s="1"/>
  <c r="S715" i="1" s="1"/>
  <c r="T715" i="1" s="1"/>
  <c r="F731" i="1"/>
  <c r="M738" i="1"/>
  <c r="N738" i="1" s="1"/>
  <c r="Q738" i="1" s="1"/>
  <c r="R738" i="1" s="1"/>
  <c r="S738" i="1" s="1"/>
  <c r="T738" i="1" s="1"/>
  <c r="F748" i="1"/>
  <c r="F753" i="1"/>
  <c r="F759" i="1"/>
  <c r="M766" i="1"/>
  <c r="N766" i="1" s="1"/>
  <c r="Q766" i="1" s="1"/>
  <c r="R766" i="1" s="1"/>
  <c r="S766" i="1" s="1"/>
  <c r="T766" i="1" s="1"/>
  <c r="M769" i="1"/>
  <c r="N769" i="1" s="1"/>
  <c r="Q769" i="1" s="1"/>
  <c r="R769" i="1" s="1"/>
  <c r="S769" i="1" s="1"/>
  <c r="T769" i="1" s="1"/>
  <c r="F774" i="1"/>
  <c r="F785" i="1"/>
  <c r="F799" i="1"/>
  <c r="M812" i="1"/>
  <c r="N812" i="1" s="1"/>
  <c r="Q812" i="1" s="1"/>
  <c r="M817" i="1"/>
  <c r="N817" i="1" s="1"/>
  <c r="Q817" i="1" s="1"/>
  <c r="R817" i="1" s="1"/>
  <c r="S817" i="1" s="1"/>
  <c r="T817" i="1" s="1"/>
  <c r="F830" i="1"/>
  <c r="F838" i="1"/>
  <c r="M839" i="1"/>
  <c r="N839" i="1" s="1"/>
  <c r="Q839" i="1" s="1"/>
  <c r="R839" i="1" s="1"/>
  <c r="S839" i="1" s="1"/>
  <c r="T839" i="1" s="1"/>
  <c r="M845" i="1"/>
  <c r="N845" i="1" s="1"/>
  <c r="Q845" i="1" s="1"/>
  <c r="M848" i="1"/>
  <c r="N848" i="1" s="1"/>
  <c r="Q848" i="1" s="1"/>
  <c r="R848" i="1" s="1"/>
  <c r="S848" i="1" s="1"/>
  <c r="T848" i="1" s="1"/>
  <c r="M856" i="1"/>
  <c r="N856" i="1" s="1"/>
  <c r="Q856" i="1" s="1"/>
  <c r="R856" i="1" s="1"/>
  <c r="S856" i="1" s="1"/>
  <c r="T856" i="1" s="1"/>
  <c r="F861" i="1"/>
  <c r="R874" i="1"/>
  <c r="S874" i="1" s="1"/>
  <c r="T874" i="1" s="1"/>
  <c r="M888" i="1"/>
  <c r="N888" i="1" s="1"/>
  <c r="Q888" i="1" s="1"/>
  <c r="R888" i="1" s="1"/>
  <c r="S888" i="1" s="1"/>
  <c r="T888" i="1" s="1"/>
  <c r="M891" i="1"/>
  <c r="N891" i="1" s="1"/>
  <c r="Q891" i="1" s="1"/>
  <c r="R891" i="1" s="1"/>
  <c r="S891" i="1" s="1"/>
  <c r="T891" i="1" s="1"/>
  <c r="M911" i="1"/>
  <c r="N911" i="1" s="1"/>
  <c r="Q911" i="1" s="1"/>
  <c r="R911" i="1" s="1"/>
  <c r="S911" i="1" s="1"/>
  <c r="T911" i="1" s="1"/>
  <c r="F916" i="1"/>
  <c r="M917" i="1"/>
  <c r="N917" i="1" s="1"/>
  <c r="Q917" i="1" s="1"/>
  <c r="R917" i="1" s="1"/>
  <c r="S917" i="1" s="1"/>
  <c r="T917" i="1" s="1"/>
  <c r="F919" i="1"/>
  <c r="M923" i="1"/>
  <c r="N923" i="1" s="1"/>
  <c r="Q923" i="1" s="1"/>
  <c r="R923" i="1" s="1"/>
  <c r="S923" i="1" s="1"/>
  <c r="T923" i="1" s="1"/>
  <c r="F928" i="1"/>
  <c r="F931" i="1"/>
  <c r="M935" i="1"/>
  <c r="N935" i="1" s="1"/>
  <c r="Q935" i="1" s="1"/>
  <c r="R935" i="1" s="1"/>
  <c r="S935" i="1" s="1"/>
  <c r="T935" i="1" s="1"/>
  <c r="M940" i="1"/>
  <c r="N940" i="1" s="1"/>
  <c r="Q940" i="1" s="1"/>
  <c r="M943" i="1"/>
  <c r="N943" i="1" s="1"/>
  <c r="Q943" i="1" s="1"/>
  <c r="R943" i="1" s="1"/>
  <c r="S943" i="1" s="1"/>
  <c r="T943" i="1" s="1"/>
  <c r="F948" i="1"/>
  <c r="F951" i="1"/>
  <c r="M952" i="1"/>
  <c r="N952" i="1" s="1"/>
  <c r="Q952" i="1" s="1"/>
  <c r="F962" i="1"/>
  <c r="M963" i="1"/>
  <c r="N963" i="1" s="1"/>
  <c r="Q963" i="1" s="1"/>
  <c r="F974" i="1"/>
  <c r="F977" i="1"/>
  <c r="M1019" i="1"/>
  <c r="N1019" i="1" s="1"/>
  <c r="Q1019" i="1" s="1"/>
  <c r="F1027" i="1"/>
  <c r="F1030" i="1"/>
  <c r="M1031" i="1"/>
  <c r="N1031" i="1" s="1"/>
  <c r="Q1031" i="1" s="1"/>
  <c r="R1031" i="1" s="1"/>
  <c r="S1031" i="1" s="1"/>
  <c r="T1031" i="1" s="1"/>
  <c r="M1048" i="1"/>
  <c r="N1048" i="1" s="1"/>
  <c r="Q1048" i="1" s="1"/>
  <c r="R1048" i="1" s="1"/>
  <c r="S1048" i="1" s="1"/>
  <c r="T1048" i="1" s="1"/>
  <c r="F1050" i="1"/>
  <c r="M1051" i="1"/>
  <c r="N1051" i="1" s="1"/>
  <c r="Q1051" i="1" s="1"/>
  <c r="M1055" i="1"/>
  <c r="N1055" i="1" s="1"/>
  <c r="Q1055" i="1" s="1"/>
  <c r="M1061" i="1"/>
  <c r="N1061" i="1" s="1"/>
  <c r="Q1061" i="1" s="1"/>
  <c r="M1064" i="1"/>
  <c r="N1064" i="1" s="1"/>
  <c r="Q1064" i="1" s="1"/>
  <c r="R1064" i="1" s="1"/>
  <c r="S1064" i="1" s="1"/>
  <c r="T1064" i="1" s="1"/>
  <c r="F1066" i="1"/>
  <c r="M1070" i="1"/>
  <c r="N1070" i="1" s="1"/>
  <c r="Q1070" i="1" s="1"/>
  <c r="R1070" i="1" s="1"/>
  <c r="S1070" i="1" s="1"/>
  <c r="T1070" i="1" s="1"/>
  <c r="M1073" i="1"/>
  <c r="N1073" i="1" s="1"/>
  <c r="Q1073" i="1" s="1"/>
  <c r="R1073" i="1" s="1"/>
  <c r="S1073" i="1" s="1"/>
  <c r="T1073" i="1" s="1"/>
  <c r="F1084" i="1"/>
  <c r="M1100" i="1"/>
  <c r="N1100" i="1" s="1"/>
  <c r="Q1100" i="1" s="1"/>
  <c r="R1100" i="1" s="1"/>
  <c r="S1100" i="1" s="1"/>
  <c r="T1100" i="1" s="1"/>
  <c r="F1113" i="1"/>
  <c r="M1114" i="1"/>
  <c r="N1114" i="1" s="1"/>
  <c r="Q1114" i="1" s="1"/>
  <c r="R1114" i="1" s="1"/>
  <c r="S1114" i="1" s="1"/>
  <c r="T1114" i="1" s="1"/>
  <c r="M1137" i="1"/>
  <c r="N1137" i="1" s="1"/>
  <c r="Q1137" i="1" s="1"/>
  <c r="R1137" i="1" s="1"/>
  <c r="S1137" i="1" s="1"/>
  <c r="T1137" i="1" s="1"/>
  <c r="F1142" i="1"/>
  <c r="F1148" i="1"/>
  <c r="M1160" i="1"/>
  <c r="N1160" i="1" s="1"/>
  <c r="Q1160" i="1" s="1"/>
  <c r="R1160" i="1" s="1"/>
  <c r="S1160" i="1" s="1"/>
  <c r="T1160" i="1" s="1"/>
  <c r="F1162" i="1"/>
  <c r="M1165" i="1"/>
  <c r="N1165" i="1" s="1"/>
  <c r="Q1165" i="1" s="1"/>
  <c r="R1165" i="1" s="1"/>
  <c r="S1165" i="1" s="1"/>
  <c r="T1165" i="1" s="1"/>
  <c r="M1171" i="1"/>
  <c r="N1171" i="1" s="1"/>
  <c r="Q1171" i="1" s="1"/>
  <c r="R1171" i="1" s="1"/>
  <c r="S1171" i="1" s="1"/>
  <c r="T1171" i="1" s="1"/>
  <c r="R1186" i="1"/>
  <c r="S1186" i="1" s="1"/>
  <c r="T1186" i="1" s="1"/>
  <c r="M1188" i="1"/>
  <c r="N1188" i="1" s="1"/>
  <c r="Q1188" i="1" s="1"/>
  <c r="F1201" i="1"/>
  <c r="M1202" i="1"/>
  <c r="N1202" i="1" s="1"/>
  <c r="Q1202" i="1" s="1"/>
  <c r="R1202" i="1" s="1"/>
  <c r="S1202" i="1" s="1"/>
  <c r="T1202" i="1" s="1"/>
  <c r="M1223" i="1"/>
  <c r="N1223" i="1" s="1"/>
  <c r="Q1223" i="1" s="1"/>
  <c r="R1223" i="1" s="1"/>
  <c r="S1223" i="1" s="1"/>
  <c r="T1223" i="1" s="1"/>
  <c r="F1225" i="1"/>
  <c r="F1245" i="1"/>
  <c r="M1258" i="1"/>
  <c r="N1258" i="1" s="1"/>
  <c r="Q1258" i="1" s="1"/>
  <c r="R1258" i="1" s="1"/>
  <c r="S1258" i="1" s="1"/>
  <c r="T1258" i="1" s="1"/>
  <c r="F1275" i="1"/>
  <c r="M1240" i="1"/>
  <c r="N1240" i="1" s="1"/>
  <c r="Q1240" i="1" s="1"/>
  <c r="R1240" i="1" s="1"/>
  <c r="S1240" i="1" s="1"/>
  <c r="T1240" i="1" s="1"/>
  <c r="F1242" i="1"/>
  <c r="R1243" i="1"/>
  <c r="S1243" i="1" s="1"/>
  <c r="T1243" i="1" s="1"/>
  <c r="M1246" i="1"/>
  <c r="N1246" i="1" s="1"/>
  <c r="Q1246" i="1" s="1"/>
  <c r="M1249" i="1"/>
  <c r="N1249" i="1" s="1"/>
  <c r="Q1249" i="1" s="1"/>
  <c r="F1257" i="1"/>
  <c r="F1260" i="1"/>
  <c r="F1263" i="1"/>
  <c r="M1275" i="1"/>
  <c r="N1275" i="1" s="1"/>
  <c r="Q1275" i="1" s="1"/>
  <c r="R1275" i="1" s="1"/>
  <c r="S1275" i="1" s="1"/>
  <c r="T1275" i="1" s="1"/>
  <c r="F1277" i="1"/>
  <c r="M1295" i="1"/>
  <c r="N1295" i="1" s="1"/>
  <c r="Q1295" i="1" s="1"/>
  <c r="R1295" i="1" s="1"/>
  <c r="S1295" i="1" s="1"/>
  <c r="T1295" i="1" s="1"/>
  <c r="M777" i="1"/>
  <c r="N777" i="1" s="1"/>
  <c r="Q777" i="1" s="1"/>
  <c r="R777" i="1" s="1"/>
  <c r="S777" i="1" s="1"/>
  <c r="T777" i="1" s="1"/>
  <c r="M788" i="1"/>
  <c r="N788" i="1" s="1"/>
  <c r="Q788" i="1" s="1"/>
  <c r="R788" i="1" s="1"/>
  <c r="S788" i="1" s="1"/>
  <c r="T788" i="1" s="1"/>
  <c r="F804" i="1"/>
  <c r="M853" i="1"/>
  <c r="N853" i="1" s="1"/>
  <c r="Q853" i="1" s="1"/>
  <c r="R853" i="1" s="1"/>
  <c r="S853" i="1" s="1"/>
  <c r="T853" i="1" s="1"/>
  <c r="F855" i="1"/>
  <c r="M861" i="1"/>
  <c r="N861" i="1" s="1"/>
  <c r="Q861" i="1" s="1"/>
  <c r="R861" i="1" s="1"/>
  <c r="S861" i="1" s="1"/>
  <c r="T861" i="1" s="1"/>
  <c r="F878" i="1"/>
  <c r="M902" i="1"/>
  <c r="N902" i="1" s="1"/>
  <c r="Q902" i="1" s="1"/>
  <c r="M937" i="1"/>
  <c r="N937" i="1" s="1"/>
  <c r="Q937" i="1" s="1"/>
  <c r="R937" i="1" s="1"/>
  <c r="S937" i="1" s="1"/>
  <c r="T937" i="1" s="1"/>
  <c r="M954" i="1"/>
  <c r="N954" i="1" s="1"/>
  <c r="Q954" i="1" s="1"/>
  <c r="R954" i="1" s="1"/>
  <c r="S954" i="1" s="1"/>
  <c r="T954" i="1" s="1"/>
  <c r="F979" i="1"/>
  <c r="M1036" i="1"/>
  <c r="N1036" i="1" s="1"/>
  <c r="Q1036" i="1" s="1"/>
  <c r="M1057" i="1"/>
  <c r="N1057" i="1" s="1"/>
  <c r="Q1057" i="1" s="1"/>
  <c r="R1057" i="1" s="1"/>
  <c r="S1057" i="1" s="1"/>
  <c r="T1057" i="1" s="1"/>
  <c r="M1108" i="1"/>
  <c r="N1108" i="1" s="1"/>
  <c r="Q1108" i="1" s="1"/>
  <c r="R1108" i="1" s="1"/>
  <c r="S1108" i="1" s="1"/>
  <c r="T1108" i="1" s="1"/>
  <c r="F1153" i="1"/>
  <c r="M1234" i="1"/>
  <c r="N1234" i="1" s="1"/>
  <c r="Q1234" i="1" s="1"/>
  <c r="M1298" i="1"/>
  <c r="N1298" i="1" s="1"/>
  <c r="Q1298" i="1" s="1"/>
  <c r="R1298" i="1" s="1"/>
  <c r="S1298" i="1" s="1"/>
  <c r="T1298" i="1" s="1"/>
  <c r="M731" i="1"/>
  <c r="N731" i="1" s="1"/>
  <c r="Q731" i="1" s="1"/>
  <c r="R731" i="1" s="1"/>
  <c r="S731" i="1" s="1"/>
  <c r="T731" i="1" s="1"/>
  <c r="F733" i="1"/>
  <c r="M745" i="1"/>
  <c r="N745" i="1" s="1"/>
  <c r="Q745" i="1" s="1"/>
  <c r="R745" i="1" s="1"/>
  <c r="S745" i="1" s="1"/>
  <c r="T745" i="1" s="1"/>
  <c r="M753" i="1"/>
  <c r="N753" i="1" s="1"/>
  <c r="Q753" i="1" s="1"/>
  <c r="R753" i="1" s="1"/>
  <c r="S753" i="1" s="1"/>
  <c r="T753" i="1" s="1"/>
  <c r="F840" i="1"/>
  <c r="M850" i="1"/>
  <c r="N850" i="1" s="1"/>
  <c r="Q850" i="1" s="1"/>
  <c r="R850" i="1" s="1"/>
  <c r="S850" i="1" s="1"/>
  <c r="T850" i="1" s="1"/>
  <c r="M896" i="1"/>
  <c r="N896" i="1" s="1"/>
  <c r="Q896" i="1" s="1"/>
  <c r="R896" i="1" s="1"/>
  <c r="S896" i="1" s="1"/>
  <c r="T896" i="1" s="1"/>
  <c r="F898" i="1"/>
  <c r="M934" i="1"/>
  <c r="N934" i="1" s="1"/>
  <c r="Q934" i="1" s="1"/>
  <c r="R934" i="1" s="1"/>
  <c r="S934" i="1" s="1"/>
  <c r="T934" i="1" s="1"/>
  <c r="F976" i="1"/>
  <c r="M996" i="1"/>
  <c r="N996" i="1" s="1"/>
  <c r="Q996" i="1" s="1"/>
  <c r="R996" i="1" s="1"/>
  <c r="S996" i="1" s="1"/>
  <c r="T996" i="1" s="1"/>
  <c r="M1010" i="1"/>
  <c r="N1010" i="1" s="1"/>
  <c r="Q1010" i="1" s="1"/>
  <c r="M1090" i="1"/>
  <c r="N1090" i="1" s="1"/>
  <c r="Q1090" i="1" s="1"/>
  <c r="R1090" i="1" s="1"/>
  <c r="S1090" i="1" s="1"/>
  <c r="T1090" i="1" s="1"/>
  <c r="M1116" i="1"/>
  <c r="N1116" i="1" s="1"/>
  <c r="Q1116" i="1" s="1"/>
  <c r="R1116" i="1" s="1"/>
  <c r="S1116" i="1" s="1"/>
  <c r="T1116" i="1" s="1"/>
  <c r="M1167" i="1"/>
  <c r="N1167" i="1" s="1"/>
  <c r="Q1167" i="1" s="1"/>
  <c r="R1167" i="1" s="1"/>
  <c r="S1167" i="1" s="1"/>
  <c r="T1167" i="1" s="1"/>
  <c r="M1178" i="1"/>
  <c r="N1178" i="1" s="1"/>
  <c r="Q1178" i="1" s="1"/>
  <c r="R1178" i="1" s="1"/>
  <c r="S1178" i="1" s="1"/>
  <c r="T1178" i="1" s="1"/>
  <c r="F1180" i="1"/>
  <c r="M1187" i="1"/>
  <c r="N1187" i="1" s="1"/>
  <c r="Q1187" i="1" s="1"/>
  <c r="R1187" i="1" s="1"/>
  <c r="S1187" i="1" s="1"/>
  <c r="T1187" i="1" s="1"/>
  <c r="M1190" i="1"/>
  <c r="N1190" i="1" s="1"/>
  <c r="Q1190" i="1" s="1"/>
  <c r="M1206" i="1"/>
  <c r="N1206" i="1" s="1"/>
  <c r="Q1206" i="1" s="1"/>
  <c r="M1210" i="1"/>
  <c r="N1210" i="1" s="1"/>
  <c r="Q1210" i="1" s="1"/>
  <c r="R1210" i="1" s="1"/>
  <c r="S1210" i="1" s="1"/>
  <c r="T1210" i="1" s="1"/>
  <c r="M1215" i="1"/>
  <c r="N1215" i="1" s="1"/>
  <c r="Q1215" i="1" s="1"/>
  <c r="R1215" i="1" s="1"/>
  <c r="S1215" i="1" s="1"/>
  <c r="T1215" i="1" s="1"/>
  <c r="M1225" i="1"/>
  <c r="N1225" i="1" s="1"/>
  <c r="Q1225" i="1" s="1"/>
  <c r="R1225" i="1" s="1"/>
  <c r="S1225" i="1" s="1"/>
  <c r="T1225" i="1" s="1"/>
  <c r="M1230" i="1"/>
  <c r="N1230" i="1" s="1"/>
  <c r="Q1230" i="1" s="1"/>
  <c r="M1236" i="1"/>
  <c r="N1236" i="1" s="1"/>
  <c r="Q1236" i="1" s="1"/>
  <c r="R1236" i="1" s="1"/>
  <c r="S1236" i="1" s="1"/>
  <c r="T1236" i="1" s="1"/>
  <c r="R1260" i="1"/>
  <c r="S1260" i="1" s="1"/>
  <c r="T1260" i="1" s="1"/>
  <c r="R1277" i="1"/>
  <c r="S1277" i="1" s="1"/>
  <c r="T1277" i="1" s="1"/>
  <c r="M1292" i="1"/>
  <c r="N1292" i="1" s="1"/>
  <c r="Q1292" i="1" s="1"/>
  <c r="R1292" i="1" s="1"/>
  <c r="S1292" i="1" s="1"/>
  <c r="T1292" i="1" s="1"/>
  <c r="R707" i="1"/>
  <c r="S707" i="1" s="1"/>
  <c r="T707" i="1" s="1"/>
  <c r="M722" i="1"/>
  <c r="N722" i="1" s="1"/>
  <c r="Q722" i="1" s="1"/>
  <c r="R722" i="1" s="1"/>
  <c r="S722" i="1" s="1"/>
  <c r="T722" i="1" s="1"/>
  <c r="M728" i="1"/>
  <c r="N728" i="1" s="1"/>
  <c r="Q728" i="1" s="1"/>
  <c r="R728" i="1" s="1"/>
  <c r="S728" i="1" s="1"/>
  <c r="T728" i="1" s="1"/>
  <c r="F744" i="1"/>
  <c r="M758" i="1"/>
  <c r="N758" i="1" s="1"/>
  <c r="Q758" i="1" s="1"/>
  <c r="R758" i="1" s="1"/>
  <c r="S758" i="1" s="1"/>
  <c r="T758" i="1" s="1"/>
  <c r="R787" i="1"/>
  <c r="S787" i="1" s="1"/>
  <c r="T787" i="1" s="1"/>
  <c r="M790" i="1"/>
  <c r="N790" i="1" s="1"/>
  <c r="Q790" i="1" s="1"/>
  <c r="R790" i="1" s="1"/>
  <c r="S790" i="1" s="1"/>
  <c r="T790" i="1" s="1"/>
  <c r="R795" i="1"/>
  <c r="S795" i="1" s="1"/>
  <c r="T795" i="1" s="1"/>
  <c r="M804" i="1"/>
  <c r="N804" i="1" s="1"/>
  <c r="Q804" i="1" s="1"/>
  <c r="R832" i="1"/>
  <c r="S832" i="1" s="1"/>
  <c r="T832" i="1" s="1"/>
  <c r="M835" i="1"/>
  <c r="N835" i="1" s="1"/>
  <c r="Q835" i="1" s="1"/>
  <c r="R835" i="1" s="1"/>
  <c r="S835" i="1" s="1"/>
  <c r="T835" i="1" s="1"/>
  <c r="R843" i="1"/>
  <c r="S843" i="1" s="1"/>
  <c r="T843" i="1" s="1"/>
  <c r="F846" i="1"/>
  <c r="R860" i="1"/>
  <c r="S860" i="1" s="1"/>
  <c r="T860" i="1" s="1"/>
  <c r="M863" i="1"/>
  <c r="N863" i="1" s="1"/>
  <c r="Q863" i="1" s="1"/>
  <c r="R863" i="1" s="1"/>
  <c r="S863" i="1" s="1"/>
  <c r="T863" i="1" s="1"/>
  <c r="F868" i="1"/>
  <c r="M875" i="1"/>
  <c r="N875" i="1" s="1"/>
  <c r="Q875" i="1" s="1"/>
  <c r="R875" i="1" s="1"/>
  <c r="S875" i="1" s="1"/>
  <c r="T875" i="1" s="1"/>
  <c r="M881" i="1"/>
  <c r="N881" i="1" s="1"/>
  <c r="Q881" i="1" s="1"/>
  <c r="R881" i="1" s="1"/>
  <c r="S881" i="1" s="1"/>
  <c r="T881" i="1" s="1"/>
  <c r="M887" i="1"/>
  <c r="N887" i="1" s="1"/>
  <c r="Q887" i="1" s="1"/>
  <c r="R887" i="1" s="1"/>
  <c r="S887" i="1" s="1"/>
  <c r="T887" i="1" s="1"/>
  <c r="M893" i="1"/>
  <c r="N893" i="1" s="1"/>
  <c r="Q893" i="1" s="1"/>
  <c r="R893" i="1" s="1"/>
  <c r="S893" i="1" s="1"/>
  <c r="T893" i="1" s="1"/>
  <c r="M922" i="1"/>
  <c r="N922" i="1" s="1"/>
  <c r="Q922" i="1" s="1"/>
  <c r="F930" i="1"/>
  <c r="M990" i="1"/>
  <c r="N990" i="1" s="1"/>
  <c r="Q990" i="1" s="1"/>
  <c r="R990" i="1" s="1"/>
  <c r="S990" i="1" s="1"/>
  <c r="T990" i="1" s="1"/>
  <c r="R998" i="1"/>
  <c r="S998" i="1" s="1"/>
  <c r="T998" i="1" s="1"/>
  <c r="M1004" i="1"/>
  <c r="N1004" i="1" s="1"/>
  <c r="Q1004" i="1" s="1"/>
  <c r="M1018" i="1"/>
  <c r="N1018" i="1" s="1"/>
  <c r="Q1018" i="1" s="1"/>
  <c r="F1020" i="1"/>
  <c r="R1035" i="1"/>
  <c r="S1035" i="1" s="1"/>
  <c r="T1035" i="1" s="1"/>
  <c r="M1044" i="1"/>
  <c r="N1044" i="1" s="1"/>
  <c r="Q1044" i="1" s="1"/>
  <c r="R1044" i="1" s="1"/>
  <c r="S1044" i="1" s="1"/>
  <c r="T1044" i="1" s="1"/>
  <c r="M1053" i="1"/>
  <c r="N1053" i="1" s="1"/>
  <c r="Q1053" i="1" s="1"/>
  <c r="R1053" i="1" s="1"/>
  <c r="S1053" i="1" s="1"/>
  <c r="T1053" i="1" s="1"/>
  <c r="R1056" i="1"/>
  <c r="S1056" i="1" s="1"/>
  <c r="T1056" i="1" s="1"/>
  <c r="M1069" i="1"/>
  <c r="N1069" i="1" s="1"/>
  <c r="Q1069" i="1" s="1"/>
  <c r="R1069" i="1" s="1"/>
  <c r="S1069" i="1" s="1"/>
  <c r="T1069" i="1" s="1"/>
  <c r="F1161" i="1"/>
  <c r="F1235" i="1"/>
  <c r="M1242" i="1"/>
  <c r="N1242" i="1" s="1"/>
  <c r="Q1242" i="1" s="1"/>
  <c r="M1248" i="1"/>
  <c r="N1248" i="1" s="1"/>
  <c r="Q1248" i="1" s="1"/>
  <c r="F1250" i="1"/>
  <c r="M1274" i="1"/>
  <c r="N1274" i="1" s="1"/>
  <c r="Q1274" i="1" s="1"/>
  <c r="R1274" i="1" s="1"/>
  <c r="S1274" i="1" s="1"/>
  <c r="T1274" i="1" s="1"/>
  <c r="F1276" i="1"/>
  <c r="M1282" i="1"/>
  <c r="N1282" i="1" s="1"/>
  <c r="Q1282" i="1" s="1"/>
  <c r="R1282" i="1" s="1"/>
  <c r="S1282" i="1" s="1"/>
  <c r="T1282" i="1" s="1"/>
  <c r="F1299" i="1"/>
  <c r="M692" i="1"/>
  <c r="N692" i="1" s="1"/>
  <c r="Q692" i="1" s="1"/>
  <c r="R692" i="1" s="1"/>
  <c r="S692" i="1" s="1"/>
  <c r="T692" i="1" s="1"/>
  <c r="F695" i="1"/>
  <c r="F709" i="1"/>
  <c r="M713" i="1"/>
  <c r="N713" i="1" s="1"/>
  <c r="Q713" i="1" s="1"/>
  <c r="R713" i="1" s="1"/>
  <c r="S713" i="1" s="1"/>
  <c r="T713" i="1" s="1"/>
  <c r="F715" i="1"/>
  <c r="M716" i="1"/>
  <c r="N716" i="1" s="1"/>
  <c r="Q716" i="1" s="1"/>
  <c r="R716" i="1" s="1"/>
  <c r="S716" i="1" s="1"/>
  <c r="T716" i="1" s="1"/>
  <c r="M733" i="1"/>
  <c r="N733" i="1" s="1"/>
  <c r="Q733" i="1" s="1"/>
  <c r="R733" i="1" s="1"/>
  <c r="S733" i="1" s="1"/>
  <c r="T733" i="1" s="1"/>
  <c r="F746" i="1"/>
  <c r="M747" i="1"/>
  <c r="N747" i="1" s="1"/>
  <c r="Q747" i="1" s="1"/>
  <c r="R747" i="1" s="1"/>
  <c r="S747" i="1" s="1"/>
  <c r="T747" i="1" s="1"/>
  <c r="F749" i="1"/>
  <c r="F754" i="1"/>
  <c r="M755" i="1"/>
  <c r="N755" i="1" s="1"/>
  <c r="Q755" i="1" s="1"/>
  <c r="R755" i="1" s="1"/>
  <c r="S755" i="1" s="1"/>
  <c r="T755" i="1" s="1"/>
  <c r="F769" i="1"/>
  <c r="M773" i="1"/>
  <c r="N773" i="1" s="1"/>
  <c r="Q773" i="1" s="1"/>
  <c r="F786" i="1"/>
  <c r="M792" i="1"/>
  <c r="N792" i="1" s="1"/>
  <c r="Q792" i="1" s="1"/>
  <c r="F794" i="1"/>
  <c r="M798" i="1"/>
  <c r="N798" i="1" s="1"/>
  <c r="Q798" i="1" s="1"/>
  <c r="R798" i="1" s="1"/>
  <c r="S798" i="1" s="1"/>
  <c r="T798" i="1" s="1"/>
  <c r="F800" i="1"/>
  <c r="M818" i="1"/>
  <c r="N818" i="1" s="1"/>
  <c r="Q818" i="1" s="1"/>
  <c r="M837" i="1"/>
  <c r="N837" i="1" s="1"/>
  <c r="Q837" i="1" s="1"/>
  <c r="R837" i="1" s="1"/>
  <c r="S837" i="1" s="1"/>
  <c r="T837" i="1" s="1"/>
  <c r="M849" i="1"/>
  <c r="N849" i="1" s="1"/>
  <c r="Q849" i="1" s="1"/>
  <c r="R849" i="1" s="1"/>
  <c r="S849" i="1" s="1"/>
  <c r="T849" i="1" s="1"/>
  <c r="F874" i="1"/>
  <c r="F886" i="1"/>
  <c r="F897" i="1"/>
  <c r="F900" i="1"/>
  <c r="M901" i="1"/>
  <c r="N901" i="1" s="1"/>
  <c r="Q901" i="1" s="1"/>
  <c r="R901" i="1" s="1"/>
  <c r="S901" i="1" s="1"/>
  <c r="T901" i="1" s="1"/>
  <c r="M904" i="1"/>
  <c r="N904" i="1" s="1"/>
  <c r="Q904" i="1" s="1"/>
  <c r="R904" i="1" s="1"/>
  <c r="S904" i="1" s="1"/>
  <c r="T904" i="1" s="1"/>
  <c r="F906" i="1"/>
  <c r="M915" i="1"/>
  <c r="N915" i="1" s="1"/>
  <c r="Q915" i="1" s="1"/>
  <c r="R915" i="1" s="1"/>
  <c r="S915" i="1" s="1"/>
  <c r="T915" i="1" s="1"/>
  <c r="M936" i="1"/>
  <c r="N936" i="1" s="1"/>
  <c r="Q936" i="1" s="1"/>
  <c r="F960" i="1"/>
  <c r="M964" i="1"/>
  <c r="N964" i="1" s="1"/>
  <c r="Q964" i="1" s="1"/>
  <c r="F975" i="1"/>
  <c r="M984" i="1"/>
  <c r="N984" i="1" s="1"/>
  <c r="Q984" i="1" s="1"/>
  <c r="R984" i="1" s="1"/>
  <c r="S984" i="1" s="1"/>
  <c r="T984" i="1" s="1"/>
  <c r="F994" i="1"/>
  <c r="F997" i="1"/>
  <c r="F1006" i="1"/>
  <c r="M1017" i="1"/>
  <c r="N1017" i="1" s="1"/>
  <c r="Q1017" i="1" s="1"/>
  <c r="R1017" i="1" s="1"/>
  <c r="S1017" i="1" s="1"/>
  <c r="T1017" i="1" s="1"/>
  <c r="M1029" i="1"/>
  <c r="N1029" i="1" s="1"/>
  <c r="Q1029" i="1" s="1"/>
  <c r="R1029" i="1" s="1"/>
  <c r="S1029" i="1" s="1"/>
  <c r="T1029" i="1" s="1"/>
  <c r="F1031" i="1"/>
  <c r="F1037" i="1"/>
  <c r="F1042" i="1"/>
  <c r="M1046" i="1"/>
  <c r="N1046" i="1" s="1"/>
  <c r="Q1046" i="1" s="1"/>
  <c r="R1046" i="1" s="1"/>
  <c r="S1046" i="1" s="1"/>
  <c r="T1046" i="1" s="1"/>
  <c r="F1051" i="1"/>
  <c r="F1082" i="1"/>
  <c r="M1095" i="1"/>
  <c r="N1095" i="1" s="1"/>
  <c r="Q1095" i="1" s="1"/>
  <c r="M1101" i="1"/>
  <c r="N1101" i="1" s="1"/>
  <c r="Q1101" i="1" s="1"/>
  <c r="R1101" i="1" s="1"/>
  <c r="S1101" i="1" s="1"/>
  <c r="T1101" i="1" s="1"/>
  <c r="M1118" i="1"/>
  <c r="N1118" i="1" s="1"/>
  <c r="Q1118" i="1" s="1"/>
  <c r="R1118" i="1" s="1"/>
  <c r="S1118" i="1" s="1"/>
  <c r="T1118" i="1" s="1"/>
  <c r="F1120" i="1"/>
  <c r="M1155" i="1"/>
  <c r="N1155" i="1" s="1"/>
  <c r="Q1155" i="1" s="1"/>
  <c r="M1161" i="1"/>
  <c r="N1161" i="1" s="1"/>
  <c r="Q1161" i="1" s="1"/>
  <c r="R1161" i="1" s="1"/>
  <c r="S1161" i="1" s="1"/>
  <c r="T1161" i="1" s="1"/>
  <c r="M1166" i="1"/>
  <c r="N1166" i="1" s="1"/>
  <c r="Q1166" i="1" s="1"/>
  <c r="R1166" i="1" s="1"/>
  <c r="S1166" i="1" s="1"/>
  <c r="T1166" i="1" s="1"/>
  <c r="M1169" i="1"/>
  <c r="N1169" i="1" s="1"/>
  <c r="Q1169" i="1" s="1"/>
  <c r="R1169" i="1" s="1"/>
  <c r="S1169" i="1" s="1"/>
  <c r="T1169" i="1" s="1"/>
  <c r="F1174" i="1"/>
  <c r="M1193" i="1"/>
  <c r="N1193" i="1" s="1"/>
  <c r="Q1193" i="1" s="1"/>
  <c r="F1226" i="1"/>
  <c r="M1227" i="1"/>
  <c r="N1227" i="1" s="1"/>
  <c r="Q1227" i="1" s="1"/>
  <c r="R1227" i="1" s="1"/>
  <c r="S1227" i="1" s="1"/>
  <c r="T1227" i="1" s="1"/>
  <c r="R1233" i="1"/>
  <c r="S1233" i="1" s="1"/>
  <c r="T1233" i="1" s="1"/>
  <c r="M1244" i="1"/>
  <c r="N1244" i="1" s="1"/>
  <c r="Q1244" i="1" s="1"/>
  <c r="F1273" i="1"/>
  <c r="F1281" i="1"/>
  <c r="F1287" i="1"/>
  <c r="F1293" i="1"/>
  <c r="M1294" i="1"/>
  <c r="N1294" i="1" s="1"/>
  <c r="Q1294" i="1" s="1"/>
  <c r="R1294" i="1" s="1"/>
  <c r="S1294" i="1" s="1"/>
  <c r="T1294" i="1" s="1"/>
  <c r="R27" i="1"/>
  <c r="S27" i="1" s="1"/>
  <c r="T27" i="1" s="1"/>
  <c r="R59" i="1"/>
  <c r="S59" i="1" s="1"/>
  <c r="T59" i="1" s="1"/>
  <c r="R85" i="1"/>
  <c r="S85" i="1" s="1"/>
  <c r="T85" i="1" s="1"/>
  <c r="R93" i="1"/>
  <c r="S93" i="1" s="1"/>
  <c r="T93" i="1" s="1"/>
  <c r="R107" i="1"/>
  <c r="S107" i="1" s="1"/>
  <c r="T107" i="1" s="1"/>
  <c r="R168" i="1"/>
  <c r="S168" i="1" s="1"/>
  <c r="T168" i="1" s="1"/>
  <c r="R173" i="1"/>
  <c r="S173" i="1" s="1"/>
  <c r="T173" i="1" s="1"/>
  <c r="R191" i="1"/>
  <c r="S191" i="1" s="1"/>
  <c r="T191" i="1" s="1"/>
  <c r="R246" i="1"/>
  <c r="S246" i="1" s="1"/>
  <c r="T246" i="1" s="1"/>
  <c r="R444" i="1"/>
  <c r="S444" i="1" s="1"/>
  <c r="T444" i="1" s="1"/>
  <c r="R33" i="1"/>
  <c r="S33" i="1" s="1"/>
  <c r="T33" i="1" s="1"/>
  <c r="R65" i="1"/>
  <c r="S65" i="1" s="1"/>
  <c r="T65" i="1" s="1"/>
  <c r="M2" i="1"/>
  <c r="N2" i="1" s="1"/>
  <c r="Q2" i="1" s="1"/>
  <c r="R2" i="1" s="1"/>
  <c r="S2" i="1" s="1"/>
  <c r="T2" i="1" s="1"/>
  <c r="F7" i="1"/>
  <c r="M11" i="1"/>
  <c r="N11" i="1" s="1"/>
  <c r="Q11" i="1" s="1"/>
  <c r="R11" i="1" s="1"/>
  <c r="S11" i="1" s="1"/>
  <c r="T11" i="1" s="1"/>
  <c r="F20" i="1"/>
  <c r="M24" i="1"/>
  <c r="N24" i="1" s="1"/>
  <c r="Q24" i="1" s="1"/>
  <c r="R24" i="1" s="1"/>
  <c r="S24" i="1" s="1"/>
  <c r="T24" i="1" s="1"/>
  <c r="F29" i="1"/>
  <c r="M30" i="1"/>
  <c r="N30" i="1" s="1"/>
  <c r="Q30" i="1" s="1"/>
  <c r="R30" i="1" s="1"/>
  <c r="S30" i="1" s="1"/>
  <c r="T30" i="1" s="1"/>
  <c r="M47" i="1"/>
  <c r="N47" i="1" s="1"/>
  <c r="Q47" i="1" s="1"/>
  <c r="R47" i="1" s="1"/>
  <c r="S47" i="1" s="1"/>
  <c r="T47" i="1" s="1"/>
  <c r="F52" i="1"/>
  <c r="M53" i="1"/>
  <c r="N53" i="1" s="1"/>
  <c r="Q53" i="1" s="1"/>
  <c r="R53" i="1" s="1"/>
  <c r="S53" i="1" s="1"/>
  <c r="T53" i="1" s="1"/>
  <c r="F55" i="1"/>
  <c r="M56" i="1"/>
  <c r="N56" i="1" s="1"/>
  <c r="Q56" i="1" s="1"/>
  <c r="R56" i="1" s="1"/>
  <c r="S56" i="1" s="1"/>
  <c r="T56" i="1" s="1"/>
  <c r="F58" i="1"/>
  <c r="F61" i="1"/>
  <c r="M62" i="1"/>
  <c r="N62" i="1" s="1"/>
  <c r="Q62" i="1" s="1"/>
  <c r="R62" i="1" s="1"/>
  <c r="S62" i="1" s="1"/>
  <c r="T62" i="1" s="1"/>
  <c r="M74" i="1"/>
  <c r="N74" i="1" s="1"/>
  <c r="Q74" i="1" s="1"/>
  <c r="R74" i="1" s="1"/>
  <c r="S74" i="1" s="1"/>
  <c r="T74" i="1" s="1"/>
  <c r="F76" i="1"/>
  <c r="F88" i="1"/>
  <c r="F96" i="1"/>
  <c r="F105" i="1"/>
  <c r="F109" i="1"/>
  <c r="F120" i="1"/>
  <c r="M136" i="1"/>
  <c r="N136" i="1" s="1"/>
  <c r="Q136" i="1" s="1"/>
  <c r="R136" i="1" s="1"/>
  <c r="S136" i="1" s="1"/>
  <c r="T136" i="1" s="1"/>
  <c r="M142" i="1"/>
  <c r="N142" i="1" s="1"/>
  <c r="Q142" i="1" s="1"/>
  <c r="R142" i="1" s="1"/>
  <c r="S142" i="1" s="1"/>
  <c r="T142" i="1" s="1"/>
  <c r="M172" i="1"/>
  <c r="N172" i="1" s="1"/>
  <c r="Q172" i="1" s="1"/>
  <c r="R172" i="1" s="1"/>
  <c r="S172" i="1" s="1"/>
  <c r="T172" i="1" s="1"/>
  <c r="F178" i="1"/>
  <c r="F190" i="1"/>
  <c r="M204" i="1"/>
  <c r="N204" i="1" s="1"/>
  <c r="Q204" i="1" s="1"/>
  <c r="F216" i="1"/>
  <c r="M223" i="1"/>
  <c r="N223" i="1" s="1"/>
  <c r="Q223" i="1" s="1"/>
  <c r="R223" i="1" s="1"/>
  <c r="S223" i="1" s="1"/>
  <c r="T223" i="1" s="1"/>
  <c r="M255" i="1"/>
  <c r="N255" i="1" s="1"/>
  <c r="Q255" i="1" s="1"/>
  <c r="R255" i="1" s="1"/>
  <c r="S255" i="1" s="1"/>
  <c r="T255" i="1" s="1"/>
  <c r="M458" i="1"/>
  <c r="N458" i="1" s="1"/>
  <c r="Q458" i="1" s="1"/>
  <c r="R458" i="1" s="1"/>
  <c r="S458" i="1" s="1"/>
  <c r="T458" i="1" s="1"/>
  <c r="F474" i="1"/>
  <c r="R23" i="1"/>
  <c r="S23" i="1" s="1"/>
  <c r="T23" i="1" s="1"/>
  <c r="R29" i="1"/>
  <c r="S29" i="1" s="1"/>
  <c r="T29" i="1" s="1"/>
  <c r="M38" i="1"/>
  <c r="N38" i="1" s="1"/>
  <c r="Q38" i="1" s="1"/>
  <c r="R38" i="1" s="1"/>
  <c r="S38" i="1" s="1"/>
  <c r="T38" i="1" s="1"/>
  <c r="R55" i="1"/>
  <c r="S55" i="1" s="1"/>
  <c r="T55" i="1" s="1"/>
  <c r="R61" i="1"/>
  <c r="S61" i="1" s="1"/>
  <c r="T61" i="1" s="1"/>
  <c r="M64" i="1"/>
  <c r="N64" i="1" s="1"/>
  <c r="Q64" i="1" s="1"/>
  <c r="R64" i="1" s="1"/>
  <c r="S64" i="1" s="1"/>
  <c r="T64" i="1" s="1"/>
  <c r="M70" i="1"/>
  <c r="N70" i="1" s="1"/>
  <c r="Q70" i="1" s="1"/>
  <c r="R70" i="1" s="1"/>
  <c r="S70" i="1" s="1"/>
  <c r="T70" i="1" s="1"/>
  <c r="R120" i="1"/>
  <c r="S120" i="1" s="1"/>
  <c r="T120" i="1" s="1"/>
  <c r="F141" i="1"/>
  <c r="M190" i="1"/>
  <c r="N190" i="1" s="1"/>
  <c r="Q190" i="1" s="1"/>
  <c r="R190" i="1" s="1"/>
  <c r="S190" i="1" s="1"/>
  <c r="T190" i="1" s="1"/>
  <c r="F197" i="1"/>
  <c r="R262" i="1"/>
  <c r="S262" i="1" s="1"/>
  <c r="T262" i="1" s="1"/>
  <c r="M32" i="1"/>
  <c r="N32" i="1" s="1"/>
  <c r="Q32" i="1" s="1"/>
  <c r="R32" i="1" s="1"/>
  <c r="S32" i="1" s="1"/>
  <c r="T32" i="1" s="1"/>
  <c r="F6" i="1"/>
  <c r="F12" i="1"/>
  <c r="M13" i="1"/>
  <c r="N13" i="1" s="1"/>
  <c r="Q13" i="1" s="1"/>
  <c r="R13" i="1" s="1"/>
  <c r="S13" i="1" s="1"/>
  <c r="T13" i="1" s="1"/>
  <c r="F19" i="1"/>
  <c r="M20" i="1"/>
  <c r="N20" i="1" s="1"/>
  <c r="Q20" i="1" s="1"/>
  <c r="R20" i="1" s="1"/>
  <c r="S20" i="1" s="1"/>
  <c r="T20" i="1" s="1"/>
  <c r="F22" i="1"/>
  <c r="M43" i="1"/>
  <c r="N43" i="1" s="1"/>
  <c r="Q43" i="1" s="1"/>
  <c r="R43" i="1" s="1"/>
  <c r="S43" i="1" s="1"/>
  <c r="T43" i="1" s="1"/>
  <c r="F48" i="1"/>
  <c r="M49" i="1"/>
  <c r="N49" i="1" s="1"/>
  <c r="Q49" i="1" s="1"/>
  <c r="R49" i="1" s="1"/>
  <c r="S49" i="1" s="1"/>
  <c r="T49" i="1" s="1"/>
  <c r="F51" i="1"/>
  <c r="M52" i="1"/>
  <c r="N52" i="1" s="1"/>
  <c r="Q52" i="1" s="1"/>
  <c r="R52" i="1" s="1"/>
  <c r="S52" i="1" s="1"/>
  <c r="T52" i="1" s="1"/>
  <c r="F54" i="1"/>
  <c r="F57" i="1"/>
  <c r="M58" i="1"/>
  <c r="N58" i="1" s="1"/>
  <c r="Q58" i="1" s="1"/>
  <c r="R58" i="1" s="1"/>
  <c r="S58" i="1" s="1"/>
  <c r="T58" i="1" s="1"/>
  <c r="M76" i="1"/>
  <c r="N76" i="1" s="1"/>
  <c r="Q76" i="1" s="1"/>
  <c r="R76" i="1" s="1"/>
  <c r="S76" i="1" s="1"/>
  <c r="T76" i="1" s="1"/>
  <c r="F78" i="1"/>
  <c r="M89" i="1"/>
  <c r="N89" i="1" s="1"/>
  <c r="Q89" i="1" s="1"/>
  <c r="R89" i="1" s="1"/>
  <c r="S89" i="1" s="1"/>
  <c r="T89" i="1" s="1"/>
  <c r="M97" i="1"/>
  <c r="N97" i="1" s="1"/>
  <c r="Q97" i="1" s="1"/>
  <c r="R97" i="1" s="1"/>
  <c r="S97" i="1" s="1"/>
  <c r="T97" i="1" s="1"/>
  <c r="F104" i="1"/>
  <c r="F122" i="1"/>
  <c r="M123" i="1"/>
  <c r="N123" i="1" s="1"/>
  <c r="Q123" i="1" s="1"/>
  <c r="R123" i="1" s="1"/>
  <c r="S123" i="1" s="1"/>
  <c r="T123" i="1" s="1"/>
  <c r="M126" i="1"/>
  <c r="N126" i="1" s="1"/>
  <c r="Q126" i="1" s="1"/>
  <c r="R126" i="1" s="1"/>
  <c r="S126" i="1" s="1"/>
  <c r="T126" i="1" s="1"/>
  <c r="F137" i="1"/>
  <c r="M138" i="1"/>
  <c r="N138" i="1" s="1"/>
  <c r="Q138" i="1" s="1"/>
  <c r="R138" i="1" s="1"/>
  <c r="S138" i="1" s="1"/>
  <c r="T138" i="1" s="1"/>
  <c r="M152" i="1"/>
  <c r="N152" i="1" s="1"/>
  <c r="Q152" i="1" s="1"/>
  <c r="R152" i="1" s="1"/>
  <c r="S152" i="1" s="1"/>
  <c r="T152" i="1" s="1"/>
  <c r="M159" i="1"/>
  <c r="N159" i="1" s="1"/>
  <c r="Q159" i="1" s="1"/>
  <c r="R159" i="1" s="1"/>
  <c r="S159" i="1" s="1"/>
  <c r="T159" i="1" s="1"/>
  <c r="M171" i="1"/>
  <c r="N171" i="1" s="1"/>
  <c r="Q171" i="1" s="1"/>
  <c r="R171" i="1" s="1"/>
  <c r="S171" i="1" s="1"/>
  <c r="T171" i="1" s="1"/>
  <c r="M179" i="1"/>
  <c r="N179" i="1" s="1"/>
  <c r="Q179" i="1" s="1"/>
  <c r="R179" i="1" s="1"/>
  <c r="S179" i="1" s="1"/>
  <c r="T179" i="1" s="1"/>
  <c r="F189" i="1"/>
  <c r="M193" i="1"/>
  <c r="N193" i="1" s="1"/>
  <c r="Q193" i="1" s="1"/>
  <c r="R193" i="1" s="1"/>
  <c r="S193" i="1" s="1"/>
  <c r="T193" i="1" s="1"/>
  <c r="M198" i="1"/>
  <c r="N198" i="1" s="1"/>
  <c r="Q198" i="1" s="1"/>
  <c r="R198" i="1" s="1"/>
  <c r="S198" i="1" s="1"/>
  <c r="T198" i="1" s="1"/>
  <c r="M202" i="1"/>
  <c r="N202" i="1" s="1"/>
  <c r="Q202" i="1" s="1"/>
  <c r="R202" i="1" s="1"/>
  <c r="S202" i="1" s="1"/>
  <c r="T202" i="1" s="1"/>
  <c r="F205" i="1"/>
  <c r="F221" i="1"/>
  <c r="R3" i="1"/>
  <c r="S3" i="1" s="1"/>
  <c r="T3" i="1" s="1"/>
  <c r="R31" i="1"/>
  <c r="S31" i="1" s="1"/>
  <c r="T31" i="1" s="1"/>
  <c r="R37" i="1"/>
  <c r="S37" i="1" s="1"/>
  <c r="T37" i="1" s="1"/>
  <c r="F2" i="1"/>
  <c r="R7" i="1"/>
  <c r="S7" i="1" s="1"/>
  <c r="T7" i="1" s="1"/>
  <c r="F18" i="1"/>
  <c r="M19" i="1"/>
  <c r="N19" i="1" s="1"/>
  <c r="Q19" i="1" s="1"/>
  <c r="R19" i="1" s="1"/>
  <c r="S19" i="1" s="1"/>
  <c r="T19" i="1" s="1"/>
  <c r="F21" i="1"/>
  <c r="F24" i="1"/>
  <c r="F27" i="1"/>
  <c r="M28" i="1"/>
  <c r="N28" i="1" s="1"/>
  <c r="Q28" i="1" s="1"/>
  <c r="R28" i="1" s="1"/>
  <c r="S28" i="1" s="1"/>
  <c r="T28" i="1" s="1"/>
  <c r="F30" i="1"/>
  <c r="F33" i="1"/>
  <c r="M34" i="1"/>
  <c r="N34" i="1" s="1"/>
  <c r="Q34" i="1" s="1"/>
  <c r="R34" i="1" s="1"/>
  <c r="S34" i="1" s="1"/>
  <c r="T34" i="1" s="1"/>
  <c r="R51" i="1"/>
  <c r="S51" i="1" s="1"/>
  <c r="T51" i="1" s="1"/>
  <c r="R57" i="1"/>
  <c r="S57" i="1" s="1"/>
  <c r="T57" i="1" s="1"/>
  <c r="M60" i="1"/>
  <c r="N60" i="1" s="1"/>
  <c r="Q60" i="1" s="1"/>
  <c r="R60" i="1" s="1"/>
  <c r="S60" i="1" s="1"/>
  <c r="T60" i="1" s="1"/>
  <c r="M66" i="1"/>
  <c r="N66" i="1" s="1"/>
  <c r="Q66" i="1" s="1"/>
  <c r="R66" i="1" s="1"/>
  <c r="S66" i="1" s="1"/>
  <c r="T66" i="1" s="1"/>
  <c r="M72" i="1"/>
  <c r="N72" i="1" s="1"/>
  <c r="Q72" i="1" s="1"/>
  <c r="R72" i="1" s="1"/>
  <c r="S72" i="1" s="1"/>
  <c r="T72" i="1" s="1"/>
  <c r="R104" i="1"/>
  <c r="S104" i="1" s="1"/>
  <c r="T104" i="1" s="1"/>
  <c r="M108" i="1"/>
  <c r="N108" i="1" s="1"/>
  <c r="Q108" i="1" s="1"/>
  <c r="R108" i="1" s="1"/>
  <c r="S108" i="1" s="1"/>
  <c r="T108" i="1" s="1"/>
  <c r="F125" i="1"/>
  <c r="F155" i="1"/>
  <c r="R158" i="1"/>
  <c r="S158" i="1" s="1"/>
  <c r="T158" i="1" s="1"/>
  <c r="M170" i="1"/>
  <c r="N170" i="1" s="1"/>
  <c r="Q170" i="1" s="1"/>
  <c r="R170" i="1" s="1"/>
  <c r="S170" i="1" s="1"/>
  <c r="T170" i="1" s="1"/>
  <c r="F234" i="1"/>
  <c r="R244" i="1"/>
  <c r="S244" i="1" s="1"/>
  <c r="T244" i="1" s="1"/>
  <c r="R6" i="1"/>
  <c r="S6" i="1" s="1"/>
  <c r="T6" i="1" s="1"/>
  <c r="F8" i="1"/>
  <c r="R12" i="1"/>
  <c r="S12" i="1" s="1"/>
  <c r="T12" i="1" s="1"/>
  <c r="F14" i="1"/>
  <c r="R16" i="1"/>
  <c r="S16" i="1" s="1"/>
  <c r="T16" i="1" s="1"/>
  <c r="R22" i="1"/>
  <c r="S22" i="1" s="1"/>
  <c r="T22" i="1" s="1"/>
  <c r="M39" i="1"/>
  <c r="N39" i="1" s="1"/>
  <c r="Q39" i="1" s="1"/>
  <c r="R39" i="1" s="1"/>
  <c r="S39" i="1" s="1"/>
  <c r="T39" i="1" s="1"/>
  <c r="F44" i="1"/>
  <c r="M45" i="1"/>
  <c r="N45" i="1" s="1"/>
  <c r="Q45" i="1" s="1"/>
  <c r="R45" i="1" s="1"/>
  <c r="S45" i="1" s="1"/>
  <c r="T45" i="1" s="1"/>
  <c r="F47" i="1"/>
  <c r="M48" i="1"/>
  <c r="N48" i="1" s="1"/>
  <c r="Q48" i="1" s="1"/>
  <c r="R48" i="1" s="1"/>
  <c r="S48" i="1" s="1"/>
  <c r="T48" i="1" s="1"/>
  <c r="F50" i="1"/>
  <c r="F53" i="1"/>
  <c r="M54" i="1"/>
  <c r="N54" i="1" s="1"/>
  <c r="Q54" i="1" s="1"/>
  <c r="R54" i="1" s="1"/>
  <c r="S54" i="1" s="1"/>
  <c r="T54" i="1" s="1"/>
  <c r="M78" i="1"/>
  <c r="N78" i="1" s="1"/>
  <c r="Q78" i="1" s="1"/>
  <c r="R78" i="1" s="1"/>
  <c r="S78" i="1" s="1"/>
  <c r="T78" i="1" s="1"/>
  <c r="F80" i="1"/>
  <c r="F90" i="1"/>
  <c r="F124" i="1"/>
  <c r="F136" i="1"/>
  <c r="M143" i="1"/>
  <c r="N143" i="1" s="1"/>
  <c r="Q143" i="1" s="1"/>
  <c r="R143" i="1" s="1"/>
  <c r="S143" i="1" s="1"/>
  <c r="T143" i="1" s="1"/>
  <c r="F153" i="1"/>
  <c r="F154" i="1"/>
  <c r="M155" i="1"/>
  <c r="N155" i="1" s="1"/>
  <c r="Q155" i="1" s="1"/>
  <c r="R155" i="1" s="1"/>
  <c r="S155" i="1" s="1"/>
  <c r="T155" i="1" s="1"/>
  <c r="F166" i="1"/>
  <c r="M189" i="1"/>
  <c r="N189" i="1" s="1"/>
  <c r="Q189" i="1" s="1"/>
  <c r="R189" i="1" s="1"/>
  <c r="S189" i="1" s="1"/>
  <c r="T189" i="1" s="1"/>
  <c r="R201" i="1"/>
  <c r="S201" i="1" s="1"/>
  <c r="T201" i="1" s="1"/>
  <c r="F220" i="1"/>
  <c r="M319" i="1"/>
  <c r="N319" i="1" s="1"/>
  <c r="Q319" i="1" s="1"/>
  <c r="R319" i="1" s="1"/>
  <c r="S319" i="1" s="1"/>
  <c r="T319" i="1" s="1"/>
  <c r="M349" i="1"/>
  <c r="N349" i="1" s="1"/>
  <c r="Q349" i="1" s="1"/>
  <c r="R349" i="1" s="1"/>
  <c r="S349" i="1" s="1"/>
  <c r="T349" i="1" s="1"/>
  <c r="R399" i="1"/>
  <c r="S399" i="1" s="1"/>
  <c r="T399" i="1" s="1"/>
  <c r="M407" i="1"/>
  <c r="N407" i="1" s="1"/>
  <c r="Q407" i="1" s="1"/>
  <c r="R407" i="1" s="1"/>
  <c r="S407" i="1" s="1"/>
  <c r="T407" i="1" s="1"/>
  <c r="R422" i="1"/>
  <c r="S422" i="1" s="1"/>
  <c r="T422" i="1" s="1"/>
  <c r="R438" i="1"/>
  <c r="S438" i="1" s="1"/>
  <c r="T438" i="1" s="1"/>
  <c r="R462" i="1"/>
  <c r="S462" i="1" s="1"/>
  <c r="T462" i="1" s="1"/>
  <c r="R568" i="1"/>
  <c r="S568" i="1" s="1"/>
  <c r="T568" i="1" s="1"/>
  <c r="M240" i="1"/>
  <c r="N240" i="1" s="1"/>
  <c r="Q240" i="1" s="1"/>
  <c r="R240" i="1" s="1"/>
  <c r="S240" i="1" s="1"/>
  <c r="T240" i="1" s="1"/>
  <c r="M245" i="1"/>
  <c r="N245" i="1" s="1"/>
  <c r="Q245" i="1" s="1"/>
  <c r="R245" i="1" s="1"/>
  <c r="S245" i="1" s="1"/>
  <c r="T245" i="1" s="1"/>
  <c r="F248" i="1"/>
  <c r="F249" i="1"/>
  <c r="M276" i="1"/>
  <c r="N276" i="1" s="1"/>
  <c r="Q276" i="1" s="1"/>
  <c r="R276" i="1" s="1"/>
  <c r="S276" i="1" s="1"/>
  <c r="T276" i="1" s="1"/>
  <c r="F278" i="1"/>
  <c r="M279" i="1"/>
  <c r="N279" i="1" s="1"/>
  <c r="Q279" i="1" s="1"/>
  <c r="R279" i="1" s="1"/>
  <c r="S279" i="1" s="1"/>
  <c r="T279" i="1" s="1"/>
  <c r="R283" i="1"/>
  <c r="S283" i="1" s="1"/>
  <c r="T283" i="1" s="1"/>
  <c r="M292" i="1"/>
  <c r="N292" i="1" s="1"/>
  <c r="Q292" i="1" s="1"/>
  <c r="R292" i="1" s="1"/>
  <c r="S292" i="1" s="1"/>
  <c r="T292" i="1" s="1"/>
  <c r="F294" i="1"/>
  <c r="M295" i="1"/>
  <c r="N295" i="1" s="1"/>
  <c r="Q295" i="1" s="1"/>
  <c r="R295" i="1" s="1"/>
  <c r="S295" i="1" s="1"/>
  <c r="T295" i="1" s="1"/>
  <c r="R299" i="1"/>
  <c r="S299" i="1" s="1"/>
  <c r="T299" i="1" s="1"/>
  <c r="F307" i="1"/>
  <c r="M308" i="1"/>
  <c r="N308" i="1" s="1"/>
  <c r="Q308" i="1" s="1"/>
  <c r="R308" i="1" s="1"/>
  <c r="S308" i="1" s="1"/>
  <c r="T308" i="1" s="1"/>
  <c r="M312" i="1"/>
  <c r="N312" i="1" s="1"/>
  <c r="Q312" i="1" s="1"/>
  <c r="R312" i="1" s="1"/>
  <c r="S312" i="1" s="1"/>
  <c r="T312" i="1" s="1"/>
  <c r="R313" i="1"/>
  <c r="S313" i="1" s="1"/>
  <c r="T313" i="1" s="1"/>
  <c r="F318" i="1"/>
  <c r="M323" i="1"/>
  <c r="N323" i="1" s="1"/>
  <c r="Q323" i="1" s="1"/>
  <c r="R323" i="1" s="1"/>
  <c r="S323" i="1" s="1"/>
  <c r="T323" i="1" s="1"/>
  <c r="M326" i="1"/>
  <c r="N326" i="1" s="1"/>
  <c r="Q326" i="1" s="1"/>
  <c r="R326" i="1" s="1"/>
  <c r="S326" i="1" s="1"/>
  <c r="T326" i="1" s="1"/>
  <c r="F328" i="1"/>
  <c r="R330" i="1"/>
  <c r="S330" i="1" s="1"/>
  <c r="T330" i="1" s="1"/>
  <c r="F335" i="1"/>
  <c r="F345" i="1"/>
  <c r="M346" i="1"/>
  <c r="N346" i="1" s="1"/>
  <c r="Q346" i="1" s="1"/>
  <c r="R346" i="1" s="1"/>
  <c r="S346" i="1" s="1"/>
  <c r="T346" i="1" s="1"/>
  <c r="M353" i="1"/>
  <c r="N353" i="1" s="1"/>
  <c r="Q353" i="1" s="1"/>
  <c r="R353" i="1" s="1"/>
  <c r="S353" i="1" s="1"/>
  <c r="T353" i="1" s="1"/>
  <c r="F355" i="1"/>
  <c r="M356" i="1"/>
  <c r="N356" i="1" s="1"/>
  <c r="Q356" i="1" s="1"/>
  <c r="R356" i="1" s="1"/>
  <c r="S356" i="1" s="1"/>
  <c r="T356" i="1" s="1"/>
  <c r="M363" i="1"/>
  <c r="N363" i="1" s="1"/>
  <c r="Q363" i="1" s="1"/>
  <c r="R363" i="1" s="1"/>
  <c r="S363" i="1" s="1"/>
  <c r="T363" i="1" s="1"/>
  <c r="M366" i="1"/>
  <c r="N366" i="1" s="1"/>
  <c r="Q366" i="1" s="1"/>
  <c r="R366" i="1" s="1"/>
  <c r="S366" i="1" s="1"/>
  <c r="T366" i="1" s="1"/>
  <c r="F368" i="1"/>
  <c r="R370" i="1"/>
  <c r="S370" i="1" s="1"/>
  <c r="T370" i="1" s="1"/>
  <c r="M378" i="1"/>
  <c r="N378" i="1" s="1"/>
  <c r="Q378" i="1" s="1"/>
  <c r="R378" i="1" s="1"/>
  <c r="S378" i="1" s="1"/>
  <c r="T378" i="1" s="1"/>
  <c r="F383" i="1"/>
  <c r="M384" i="1"/>
  <c r="N384" i="1" s="1"/>
  <c r="Q384" i="1" s="1"/>
  <c r="R384" i="1" s="1"/>
  <c r="S384" i="1" s="1"/>
  <c r="T384" i="1" s="1"/>
  <c r="M387" i="1"/>
  <c r="N387" i="1" s="1"/>
  <c r="Q387" i="1" s="1"/>
  <c r="R387" i="1" s="1"/>
  <c r="S387" i="1" s="1"/>
  <c r="T387" i="1" s="1"/>
  <c r="F392" i="1"/>
  <c r="M393" i="1"/>
  <c r="N393" i="1" s="1"/>
  <c r="Q393" i="1" s="1"/>
  <c r="R393" i="1" s="1"/>
  <c r="S393" i="1" s="1"/>
  <c r="T393" i="1" s="1"/>
  <c r="M410" i="1"/>
  <c r="N410" i="1" s="1"/>
  <c r="Q410" i="1" s="1"/>
  <c r="R410" i="1" s="1"/>
  <c r="S410" i="1" s="1"/>
  <c r="T410" i="1" s="1"/>
  <c r="F412" i="1"/>
  <c r="F415" i="1"/>
  <c r="M416" i="1"/>
  <c r="N416" i="1" s="1"/>
  <c r="Q416" i="1" s="1"/>
  <c r="R416" i="1" s="1"/>
  <c r="S416" i="1" s="1"/>
  <c r="T416" i="1" s="1"/>
  <c r="M419" i="1"/>
  <c r="N419" i="1" s="1"/>
  <c r="Q419" i="1" s="1"/>
  <c r="R419" i="1" s="1"/>
  <c r="S419" i="1" s="1"/>
  <c r="T419" i="1" s="1"/>
  <c r="F421" i="1"/>
  <c r="F427" i="1"/>
  <c r="F431" i="1"/>
  <c r="M432" i="1"/>
  <c r="N432" i="1" s="1"/>
  <c r="Q432" i="1" s="1"/>
  <c r="R432" i="1" s="1"/>
  <c r="S432" i="1" s="1"/>
  <c r="T432" i="1" s="1"/>
  <c r="M435" i="1"/>
  <c r="N435" i="1" s="1"/>
  <c r="Q435" i="1" s="1"/>
  <c r="R435" i="1" s="1"/>
  <c r="S435" i="1" s="1"/>
  <c r="T435" i="1" s="1"/>
  <c r="F437" i="1"/>
  <c r="F443" i="1"/>
  <c r="F447" i="1"/>
  <c r="M454" i="1"/>
  <c r="N454" i="1" s="1"/>
  <c r="Q454" i="1" s="1"/>
  <c r="R454" i="1" s="1"/>
  <c r="S454" i="1" s="1"/>
  <c r="T454" i="1" s="1"/>
  <c r="M461" i="1"/>
  <c r="N461" i="1" s="1"/>
  <c r="Q461" i="1" s="1"/>
  <c r="R461" i="1" s="1"/>
  <c r="S461" i="1" s="1"/>
  <c r="T461" i="1" s="1"/>
  <c r="M475" i="1"/>
  <c r="N475" i="1" s="1"/>
  <c r="Q475" i="1" s="1"/>
  <c r="R475" i="1" s="1"/>
  <c r="S475" i="1" s="1"/>
  <c r="T475" i="1" s="1"/>
  <c r="M482" i="1"/>
  <c r="N482" i="1" s="1"/>
  <c r="Q482" i="1" s="1"/>
  <c r="R482" i="1" s="1"/>
  <c r="S482" i="1" s="1"/>
  <c r="T482" i="1" s="1"/>
  <c r="F484" i="1"/>
  <c r="M485" i="1"/>
  <c r="N485" i="1" s="1"/>
  <c r="Q485" i="1" s="1"/>
  <c r="R485" i="1" s="1"/>
  <c r="S485" i="1" s="1"/>
  <c r="T485" i="1" s="1"/>
  <c r="M507" i="1"/>
  <c r="N507" i="1" s="1"/>
  <c r="Q507" i="1" s="1"/>
  <c r="R507" i="1" s="1"/>
  <c r="S507" i="1" s="1"/>
  <c r="T507" i="1" s="1"/>
  <c r="M513" i="1"/>
  <c r="N513" i="1" s="1"/>
  <c r="Q513" i="1" s="1"/>
  <c r="R513" i="1" s="1"/>
  <c r="S513" i="1" s="1"/>
  <c r="T513" i="1" s="1"/>
  <c r="F534" i="1"/>
  <c r="M541" i="1"/>
  <c r="N541" i="1" s="1"/>
  <c r="Q541" i="1" s="1"/>
  <c r="R550" i="1"/>
  <c r="S550" i="1" s="1"/>
  <c r="T550" i="1" s="1"/>
  <c r="F570" i="1"/>
  <c r="M603" i="1"/>
  <c r="N603" i="1" s="1"/>
  <c r="Q603" i="1" s="1"/>
  <c r="R603" i="1" s="1"/>
  <c r="S603" i="1" s="1"/>
  <c r="T603" i="1" s="1"/>
  <c r="F617" i="1"/>
  <c r="M632" i="1"/>
  <c r="N632" i="1" s="1"/>
  <c r="Q632" i="1" s="1"/>
  <c r="R632" i="1" s="1"/>
  <c r="S632" i="1" s="1"/>
  <c r="T632" i="1" s="1"/>
  <c r="R649" i="1"/>
  <c r="S649" i="1" s="1"/>
  <c r="T649" i="1" s="1"/>
  <c r="R658" i="1"/>
  <c r="S658" i="1" s="1"/>
  <c r="T658" i="1" s="1"/>
  <c r="F210" i="1"/>
  <c r="F222" i="1"/>
  <c r="M228" i="1"/>
  <c r="N228" i="1" s="1"/>
  <c r="Q228" i="1" s="1"/>
  <c r="R228" i="1" s="1"/>
  <c r="S228" i="1" s="1"/>
  <c r="T228" i="1" s="1"/>
  <c r="F230" i="1"/>
  <c r="F238" i="1"/>
  <c r="F246" i="1"/>
  <c r="M251" i="1"/>
  <c r="N251" i="1" s="1"/>
  <c r="Q251" i="1" s="1"/>
  <c r="R251" i="1" s="1"/>
  <c r="S251" i="1" s="1"/>
  <c r="T251" i="1" s="1"/>
  <c r="M254" i="1"/>
  <c r="N254" i="1" s="1"/>
  <c r="Q254" i="1" s="1"/>
  <c r="R254" i="1" s="1"/>
  <c r="S254" i="1" s="1"/>
  <c r="T254" i="1" s="1"/>
  <c r="F258" i="1"/>
  <c r="M266" i="1"/>
  <c r="N266" i="1" s="1"/>
  <c r="Q266" i="1" s="1"/>
  <c r="R266" i="1" s="1"/>
  <c r="S266" i="1" s="1"/>
  <c r="T266" i="1" s="1"/>
  <c r="F268" i="1"/>
  <c r="M272" i="1"/>
  <c r="N272" i="1" s="1"/>
  <c r="Q272" i="1" s="1"/>
  <c r="R272" i="1" s="1"/>
  <c r="S272" i="1" s="1"/>
  <c r="T272" i="1" s="1"/>
  <c r="F274" i="1"/>
  <c r="M275" i="1"/>
  <c r="N275" i="1" s="1"/>
  <c r="Q275" i="1" s="1"/>
  <c r="R275" i="1" s="1"/>
  <c r="S275" i="1" s="1"/>
  <c r="T275" i="1" s="1"/>
  <c r="M288" i="1"/>
  <c r="N288" i="1" s="1"/>
  <c r="Q288" i="1" s="1"/>
  <c r="R288" i="1" s="1"/>
  <c r="S288" i="1" s="1"/>
  <c r="T288" i="1" s="1"/>
  <c r="F290" i="1"/>
  <c r="M291" i="1"/>
  <c r="N291" i="1" s="1"/>
  <c r="Q291" i="1" s="1"/>
  <c r="R291" i="1" s="1"/>
  <c r="S291" i="1" s="1"/>
  <c r="T291" i="1" s="1"/>
  <c r="M304" i="1"/>
  <c r="N304" i="1" s="1"/>
  <c r="Q304" i="1" s="1"/>
  <c r="R304" i="1" s="1"/>
  <c r="S304" i="1" s="1"/>
  <c r="T304" i="1" s="1"/>
  <c r="M315" i="1"/>
  <c r="N315" i="1" s="1"/>
  <c r="Q315" i="1" s="1"/>
  <c r="R315" i="1" s="1"/>
  <c r="S315" i="1" s="1"/>
  <c r="T315" i="1" s="1"/>
  <c r="F317" i="1"/>
  <c r="F321" i="1"/>
  <c r="M322" i="1"/>
  <c r="N322" i="1" s="1"/>
  <c r="Q322" i="1" s="1"/>
  <c r="R322" i="1" s="1"/>
  <c r="S322" i="1" s="1"/>
  <c r="T322" i="1" s="1"/>
  <c r="F327" i="1"/>
  <c r="F334" i="1"/>
  <c r="M339" i="1"/>
  <c r="N339" i="1" s="1"/>
  <c r="Q339" i="1" s="1"/>
  <c r="R339" i="1" s="1"/>
  <c r="S339" i="1" s="1"/>
  <c r="T339" i="1" s="1"/>
  <c r="M342" i="1"/>
  <c r="N342" i="1" s="1"/>
  <c r="Q342" i="1" s="1"/>
  <c r="R342" i="1" s="1"/>
  <c r="S342" i="1" s="1"/>
  <c r="T342" i="1" s="1"/>
  <c r="F344" i="1"/>
  <c r="M352" i="1"/>
  <c r="N352" i="1" s="1"/>
  <c r="Q352" i="1" s="1"/>
  <c r="R352" i="1" s="1"/>
  <c r="S352" i="1" s="1"/>
  <c r="T352" i="1" s="1"/>
  <c r="F361" i="1"/>
  <c r="M362" i="1"/>
  <c r="N362" i="1" s="1"/>
  <c r="Q362" i="1" s="1"/>
  <c r="R362" i="1" s="1"/>
  <c r="S362" i="1" s="1"/>
  <c r="T362" i="1" s="1"/>
  <c r="F367" i="1"/>
  <c r="M386" i="1"/>
  <c r="N386" i="1" s="1"/>
  <c r="Q386" i="1" s="1"/>
  <c r="R386" i="1" s="1"/>
  <c r="S386" i="1" s="1"/>
  <c r="T386" i="1" s="1"/>
  <c r="F391" i="1"/>
  <c r="M392" i="1"/>
  <c r="N392" i="1" s="1"/>
  <c r="Q392" i="1" s="1"/>
  <c r="R392" i="1" s="1"/>
  <c r="S392" i="1" s="1"/>
  <c r="T392" i="1" s="1"/>
  <c r="M395" i="1"/>
  <c r="N395" i="1" s="1"/>
  <c r="Q395" i="1" s="1"/>
  <c r="R395" i="1" s="1"/>
  <c r="S395" i="1" s="1"/>
  <c r="T395" i="1" s="1"/>
  <c r="F400" i="1"/>
  <c r="M401" i="1"/>
  <c r="N401" i="1" s="1"/>
  <c r="Q401" i="1" s="1"/>
  <c r="R401" i="1" s="1"/>
  <c r="S401" i="1" s="1"/>
  <c r="T401" i="1" s="1"/>
  <c r="M418" i="1"/>
  <c r="N418" i="1" s="1"/>
  <c r="Q418" i="1" s="1"/>
  <c r="R418" i="1" s="1"/>
  <c r="S418" i="1" s="1"/>
  <c r="T418" i="1" s="1"/>
  <c r="F420" i="1"/>
  <c r="F423" i="1"/>
  <c r="M434" i="1"/>
  <c r="N434" i="1" s="1"/>
  <c r="Q434" i="1" s="1"/>
  <c r="R434" i="1" s="1"/>
  <c r="S434" i="1" s="1"/>
  <c r="T434" i="1" s="1"/>
  <c r="F436" i="1"/>
  <c r="F439" i="1"/>
  <c r="F453" i="1"/>
  <c r="R477" i="1"/>
  <c r="S477" i="1" s="1"/>
  <c r="T477" i="1" s="1"/>
  <c r="R531" i="1"/>
  <c r="S531" i="1" s="1"/>
  <c r="T531" i="1" s="1"/>
  <c r="R663" i="1"/>
  <c r="S663" i="1" s="1"/>
  <c r="T663" i="1" s="1"/>
  <c r="F405" i="1"/>
  <c r="F411" i="1"/>
  <c r="F414" i="1"/>
  <c r="F417" i="1"/>
  <c r="R421" i="1"/>
  <c r="S421" i="1" s="1"/>
  <c r="T421" i="1" s="1"/>
  <c r="F426" i="1"/>
  <c r="R427" i="1"/>
  <c r="S427" i="1" s="1"/>
  <c r="T427" i="1" s="1"/>
  <c r="F429" i="1"/>
  <c r="M430" i="1"/>
  <c r="N430" i="1" s="1"/>
  <c r="Q430" i="1" s="1"/>
  <c r="R430" i="1" s="1"/>
  <c r="S430" i="1" s="1"/>
  <c r="T430" i="1" s="1"/>
  <c r="F433" i="1"/>
  <c r="R437" i="1"/>
  <c r="S437" i="1" s="1"/>
  <c r="T437" i="1" s="1"/>
  <c r="F442" i="1"/>
  <c r="R443" i="1"/>
  <c r="S443" i="1" s="1"/>
  <c r="T443" i="1" s="1"/>
  <c r="F445" i="1"/>
  <c r="M446" i="1"/>
  <c r="N446" i="1" s="1"/>
  <c r="Q446" i="1" s="1"/>
  <c r="R446" i="1" s="1"/>
  <c r="S446" i="1" s="1"/>
  <c r="T446" i="1" s="1"/>
  <c r="M453" i="1"/>
  <c r="N453" i="1" s="1"/>
  <c r="Q453" i="1" s="1"/>
  <c r="R453" i="1" s="1"/>
  <c r="S453" i="1" s="1"/>
  <c r="T453" i="1" s="1"/>
  <c r="F455" i="1"/>
  <c r="F466" i="1"/>
  <c r="M470" i="1"/>
  <c r="N470" i="1" s="1"/>
  <c r="Q470" i="1" s="1"/>
  <c r="R470" i="1" s="1"/>
  <c r="S470" i="1" s="1"/>
  <c r="T470" i="1" s="1"/>
  <c r="F473" i="1"/>
  <c r="M474" i="1"/>
  <c r="N474" i="1" s="1"/>
  <c r="Q474" i="1" s="1"/>
  <c r="R474" i="1" s="1"/>
  <c r="S474" i="1" s="1"/>
  <c r="T474" i="1" s="1"/>
  <c r="F476" i="1"/>
  <c r="F487" i="1"/>
  <c r="M506" i="1"/>
  <c r="N506" i="1" s="1"/>
  <c r="Q506" i="1" s="1"/>
  <c r="R506" i="1" s="1"/>
  <c r="S506" i="1" s="1"/>
  <c r="T506" i="1" s="1"/>
  <c r="M522" i="1"/>
  <c r="N522" i="1" s="1"/>
  <c r="Q522" i="1" s="1"/>
  <c r="R522" i="1" s="1"/>
  <c r="S522" i="1" s="1"/>
  <c r="T522" i="1" s="1"/>
  <c r="F524" i="1"/>
  <c r="F530" i="1"/>
  <c r="M537" i="1"/>
  <c r="N537" i="1" s="1"/>
  <c r="Q537" i="1" s="1"/>
  <c r="R537" i="1" s="1"/>
  <c r="S537" i="1" s="1"/>
  <c r="T537" i="1" s="1"/>
  <c r="R543" i="1"/>
  <c r="S543" i="1" s="1"/>
  <c r="T543" i="1" s="1"/>
  <c r="R546" i="1"/>
  <c r="S546" i="1" s="1"/>
  <c r="T546" i="1" s="1"/>
  <c r="F548" i="1"/>
  <c r="R560" i="1"/>
  <c r="S560" i="1" s="1"/>
  <c r="T560" i="1" s="1"/>
  <c r="F580" i="1"/>
  <c r="M595" i="1"/>
  <c r="N595" i="1" s="1"/>
  <c r="Q595" i="1" s="1"/>
  <c r="R595" i="1" s="1"/>
  <c r="S595" i="1" s="1"/>
  <c r="T595" i="1" s="1"/>
  <c r="R631" i="1"/>
  <c r="S631" i="1" s="1"/>
  <c r="T631" i="1" s="1"/>
  <c r="M238" i="1"/>
  <c r="N238" i="1" s="1"/>
  <c r="Q238" i="1" s="1"/>
  <c r="R238" i="1" s="1"/>
  <c r="S238" i="1" s="1"/>
  <c r="T238" i="1" s="1"/>
  <c r="M265" i="1"/>
  <c r="N265" i="1" s="1"/>
  <c r="Q265" i="1" s="1"/>
  <c r="R265" i="1" s="1"/>
  <c r="S265" i="1" s="1"/>
  <c r="T265" i="1" s="1"/>
  <c r="M268" i="1"/>
  <c r="N268" i="1" s="1"/>
  <c r="Q268" i="1" s="1"/>
  <c r="R268" i="1" s="1"/>
  <c r="S268" i="1" s="1"/>
  <c r="T268" i="1" s="1"/>
  <c r="M271" i="1"/>
  <c r="N271" i="1" s="1"/>
  <c r="Q271" i="1" s="1"/>
  <c r="R271" i="1" s="1"/>
  <c r="S271" i="1" s="1"/>
  <c r="T271" i="1" s="1"/>
  <c r="M284" i="1"/>
  <c r="N284" i="1" s="1"/>
  <c r="Q284" i="1" s="1"/>
  <c r="R284" i="1" s="1"/>
  <c r="S284" i="1" s="1"/>
  <c r="T284" i="1" s="1"/>
  <c r="M287" i="1"/>
  <c r="N287" i="1" s="1"/>
  <c r="Q287" i="1" s="1"/>
  <c r="R287" i="1" s="1"/>
  <c r="S287" i="1" s="1"/>
  <c r="T287" i="1" s="1"/>
  <c r="M300" i="1"/>
  <c r="N300" i="1" s="1"/>
  <c r="Q300" i="1" s="1"/>
  <c r="R300" i="1" s="1"/>
  <c r="S300" i="1" s="1"/>
  <c r="T300" i="1" s="1"/>
  <c r="M303" i="1"/>
  <c r="N303" i="1" s="1"/>
  <c r="Q303" i="1" s="1"/>
  <c r="R303" i="1" s="1"/>
  <c r="S303" i="1" s="1"/>
  <c r="T303" i="1" s="1"/>
  <c r="M310" i="1"/>
  <c r="N310" i="1" s="1"/>
  <c r="Q310" i="1" s="1"/>
  <c r="R310" i="1" s="1"/>
  <c r="S310" i="1" s="1"/>
  <c r="T310" i="1" s="1"/>
  <c r="M314" i="1"/>
  <c r="N314" i="1" s="1"/>
  <c r="Q314" i="1" s="1"/>
  <c r="R314" i="1" s="1"/>
  <c r="S314" i="1" s="1"/>
  <c r="T314" i="1" s="1"/>
  <c r="M331" i="1"/>
  <c r="N331" i="1" s="1"/>
  <c r="Q331" i="1" s="1"/>
  <c r="R331" i="1" s="1"/>
  <c r="S331" i="1" s="1"/>
  <c r="T331" i="1" s="1"/>
  <c r="M338" i="1"/>
  <c r="N338" i="1" s="1"/>
  <c r="Q338" i="1" s="1"/>
  <c r="R338" i="1" s="1"/>
  <c r="S338" i="1" s="1"/>
  <c r="T338" i="1" s="1"/>
  <c r="M358" i="1"/>
  <c r="N358" i="1" s="1"/>
  <c r="Q358" i="1" s="1"/>
  <c r="R358" i="1" s="1"/>
  <c r="S358" i="1" s="1"/>
  <c r="T358" i="1" s="1"/>
  <c r="M371" i="1"/>
  <c r="N371" i="1" s="1"/>
  <c r="Q371" i="1" s="1"/>
  <c r="R371" i="1" s="1"/>
  <c r="S371" i="1" s="1"/>
  <c r="T371" i="1" s="1"/>
  <c r="M377" i="1"/>
  <c r="N377" i="1" s="1"/>
  <c r="Q377" i="1" s="1"/>
  <c r="R377" i="1" s="1"/>
  <c r="S377" i="1" s="1"/>
  <c r="T377" i="1" s="1"/>
  <c r="M210" i="1"/>
  <c r="N210" i="1" s="1"/>
  <c r="Q210" i="1" s="1"/>
  <c r="R210" i="1" s="1"/>
  <c r="S210" i="1" s="1"/>
  <c r="T210" i="1" s="1"/>
  <c r="F213" i="1"/>
  <c r="F229" i="1"/>
  <c r="F232" i="1"/>
  <c r="M258" i="1"/>
  <c r="N258" i="1" s="1"/>
  <c r="Q258" i="1" s="1"/>
  <c r="R258" i="1" s="1"/>
  <c r="S258" i="1" s="1"/>
  <c r="T258" i="1" s="1"/>
  <c r="M274" i="1"/>
  <c r="N274" i="1" s="1"/>
  <c r="Q274" i="1" s="1"/>
  <c r="R274" i="1" s="1"/>
  <c r="S274" i="1" s="1"/>
  <c r="T274" i="1" s="1"/>
  <c r="F276" i="1"/>
  <c r="M277" i="1"/>
  <c r="N277" i="1" s="1"/>
  <c r="Q277" i="1" s="1"/>
  <c r="R277" i="1" s="1"/>
  <c r="S277" i="1" s="1"/>
  <c r="T277" i="1" s="1"/>
  <c r="M290" i="1"/>
  <c r="N290" i="1" s="1"/>
  <c r="Q290" i="1" s="1"/>
  <c r="R290" i="1" s="1"/>
  <c r="S290" i="1" s="1"/>
  <c r="T290" i="1" s="1"/>
  <c r="F292" i="1"/>
  <c r="M293" i="1"/>
  <c r="N293" i="1" s="1"/>
  <c r="Q293" i="1" s="1"/>
  <c r="R293" i="1" s="1"/>
  <c r="S293" i="1" s="1"/>
  <c r="T293" i="1" s="1"/>
  <c r="M306" i="1"/>
  <c r="N306" i="1" s="1"/>
  <c r="Q306" i="1" s="1"/>
  <c r="R306" i="1" s="1"/>
  <c r="S306" i="1" s="1"/>
  <c r="T306" i="1" s="1"/>
  <c r="F312" i="1"/>
  <c r="M321" i="1"/>
  <c r="N321" i="1" s="1"/>
  <c r="Q321" i="1" s="1"/>
  <c r="R321" i="1" s="1"/>
  <c r="S321" i="1" s="1"/>
  <c r="T321" i="1" s="1"/>
  <c r="F323" i="1"/>
  <c r="M324" i="1"/>
  <c r="N324" i="1" s="1"/>
  <c r="Q324" i="1" s="1"/>
  <c r="R324" i="1" s="1"/>
  <c r="S324" i="1" s="1"/>
  <c r="T324" i="1" s="1"/>
  <c r="F326" i="1"/>
  <c r="M334" i="1"/>
  <c r="N334" i="1" s="1"/>
  <c r="Q334" i="1" s="1"/>
  <c r="R334" i="1" s="1"/>
  <c r="S334" i="1" s="1"/>
  <c r="T334" i="1" s="1"/>
  <c r="M344" i="1"/>
  <c r="N344" i="1" s="1"/>
  <c r="Q344" i="1" s="1"/>
  <c r="R344" i="1" s="1"/>
  <c r="S344" i="1" s="1"/>
  <c r="T344" i="1" s="1"/>
  <c r="M354" i="1"/>
  <c r="N354" i="1" s="1"/>
  <c r="Q354" i="1" s="1"/>
  <c r="R354" i="1" s="1"/>
  <c r="S354" i="1" s="1"/>
  <c r="T354" i="1" s="1"/>
  <c r="M361" i="1"/>
  <c r="N361" i="1" s="1"/>
  <c r="Q361" i="1" s="1"/>
  <c r="R361" i="1" s="1"/>
  <c r="S361" i="1" s="1"/>
  <c r="T361" i="1" s="1"/>
  <c r="F363" i="1"/>
  <c r="M364" i="1"/>
  <c r="N364" i="1" s="1"/>
  <c r="Q364" i="1" s="1"/>
  <c r="R364" i="1" s="1"/>
  <c r="S364" i="1" s="1"/>
  <c r="T364" i="1" s="1"/>
  <c r="F366" i="1"/>
  <c r="M423" i="1"/>
  <c r="N423" i="1" s="1"/>
  <c r="Q423" i="1" s="1"/>
  <c r="R423" i="1" s="1"/>
  <c r="S423" i="1" s="1"/>
  <c r="T423" i="1" s="1"/>
  <c r="R426" i="1"/>
  <c r="S426" i="1" s="1"/>
  <c r="T426" i="1" s="1"/>
  <c r="M439" i="1"/>
  <c r="N439" i="1" s="1"/>
  <c r="Q439" i="1" s="1"/>
  <c r="R439" i="1" s="1"/>
  <c r="S439" i="1" s="1"/>
  <c r="T439" i="1" s="1"/>
  <c r="F441" i="1"/>
  <c r="M442" i="1"/>
  <c r="N442" i="1" s="1"/>
  <c r="Q442" i="1" s="1"/>
  <c r="R442" i="1" s="1"/>
  <c r="S442" i="1" s="1"/>
  <c r="T442" i="1" s="1"/>
  <c r="F459" i="1"/>
  <c r="R476" i="1"/>
  <c r="S476" i="1" s="1"/>
  <c r="T476" i="1" s="1"/>
  <c r="R483" i="1"/>
  <c r="S483" i="1" s="1"/>
  <c r="T483" i="1" s="1"/>
  <c r="R548" i="1"/>
  <c r="S548" i="1" s="1"/>
  <c r="T548" i="1" s="1"/>
  <c r="R580" i="1"/>
  <c r="S580" i="1" s="1"/>
  <c r="T580" i="1" s="1"/>
  <c r="R616" i="1"/>
  <c r="S616" i="1" s="1"/>
  <c r="T616" i="1" s="1"/>
  <c r="R634" i="1"/>
  <c r="S634" i="1" s="1"/>
  <c r="T634" i="1" s="1"/>
  <c r="R689" i="1"/>
  <c r="S689" i="1" s="1"/>
  <c r="T689" i="1" s="1"/>
  <c r="R233" i="1"/>
  <c r="S233" i="1" s="1"/>
  <c r="T233" i="1" s="1"/>
  <c r="F236" i="1"/>
  <c r="F240" i="1"/>
  <c r="R242" i="1"/>
  <c r="S242" i="1" s="1"/>
  <c r="T242" i="1" s="1"/>
  <c r="F253" i="1"/>
  <c r="F255" i="1"/>
  <c r="R263" i="1"/>
  <c r="S263" i="1" s="1"/>
  <c r="T263" i="1" s="1"/>
  <c r="R280" i="1"/>
  <c r="S280" i="1" s="1"/>
  <c r="T280" i="1" s="1"/>
  <c r="F282" i="1"/>
  <c r="R296" i="1"/>
  <c r="S296" i="1" s="1"/>
  <c r="T296" i="1" s="1"/>
  <c r="F298" i="1"/>
  <c r="F319" i="1"/>
  <c r="F329" i="1"/>
  <c r="F336" i="1"/>
  <c r="R347" i="1"/>
  <c r="S347" i="1" s="1"/>
  <c r="T347" i="1" s="1"/>
  <c r="F349" i="1"/>
  <c r="F359" i="1"/>
  <c r="F369" i="1"/>
  <c r="F375" i="1"/>
  <c r="M376" i="1"/>
  <c r="N376" i="1" s="1"/>
  <c r="Q376" i="1" s="1"/>
  <c r="R376" i="1" s="1"/>
  <c r="S376" i="1" s="1"/>
  <c r="T376" i="1" s="1"/>
  <c r="M379" i="1"/>
  <c r="N379" i="1" s="1"/>
  <c r="Q379" i="1" s="1"/>
  <c r="R379" i="1" s="1"/>
  <c r="S379" i="1" s="1"/>
  <c r="T379" i="1" s="1"/>
  <c r="F384" i="1"/>
  <c r="M385" i="1"/>
  <c r="N385" i="1" s="1"/>
  <c r="Q385" i="1" s="1"/>
  <c r="R385" i="1" s="1"/>
  <c r="S385" i="1" s="1"/>
  <c r="T385" i="1" s="1"/>
  <c r="M402" i="1"/>
  <c r="N402" i="1" s="1"/>
  <c r="Q402" i="1" s="1"/>
  <c r="R402" i="1" s="1"/>
  <c r="S402" i="1" s="1"/>
  <c r="T402" i="1" s="1"/>
  <c r="F407" i="1"/>
  <c r="M408" i="1"/>
  <c r="N408" i="1" s="1"/>
  <c r="Q408" i="1" s="1"/>
  <c r="R408" i="1" s="1"/>
  <c r="S408" i="1" s="1"/>
  <c r="T408" i="1" s="1"/>
  <c r="M411" i="1"/>
  <c r="N411" i="1" s="1"/>
  <c r="Q411" i="1" s="1"/>
  <c r="R411" i="1" s="1"/>
  <c r="S411" i="1" s="1"/>
  <c r="T411" i="1" s="1"/>
  <c r="F416" i="1"/>
  <c r="M417" i="1"/>
  <c r="N417" i="1" s="1"/>
  <c r="Q417" i="1" s="1"/>
  <c r="R417" i="1" s="1"/>
  <c r="S417" i="1" s="1"/>
  <c r="T417" i="1" s="1"/>
  <c r="M433" i="1"/>
  <c r="N433" i="1" s="1"/>
  <c r="Q433" i="1" s="1"/>
  <c r="R433" i="1" s="1"/>
  <c r="S433" i="1" s="1"/>
  <c r="T433" i="1" s="1"/>
  <c r="M449" i="1"/>
  <c r="N449" i="1" s="1"/>
  <c r="Q449" i="1" s="1"/>
  <c r="R449" i="1" s="1"/>
  <c r="S449" i="1" s="1"/>
  <c r="T449" i="1" s="1"/>
  <c r="F454" i="1"/>
  <c r="F458" i="1"/>
  <c r="M459" i="1"/>
  <c r="N459" i="1" s="1"/>
  <c r="Q459" i="1" s="1"/>
  <c r="R459" i="1" s="1"/>
  <c r="S459" i="1" s="1"/>
  <c r="T459" i="1" s="1"/>
  <c r="F461" i="1"/>
  <c r="M465" i="1"/>
  <c r="N465" i="1" s="1"/>
  <c r="Q465" i="1" s="1"/>
  <c r="R465" i="1" s="1"/>
  <c r="S465" i="1" s="1"/>
  <c r="T465" i="1" s="1"/>
  <c r="M469" i="1"/>
  <c r="N469" i="1" s="1"/>
  <c r="Q469" i="1" s="1"/>
  <c r="R469" i="1" s="1"/>
  <c r="S469" i="1" s="1"/>
  <c r="T469" i="1" s="1"/>
  <c r="F475" i="1"/>
  <c r="M479" i="1"/>
  <c r="N479" i="1" s="1"/>
  <c r="Q479" i="1" s="1"/>
  <c r="R479" i="1" s="1"/>
  <c r="S479" i="1" s="1"/>
  <c r="T479" i="1" s="1"/>
  <c r="M489" i="1"/>
  <c r="N489" i="1" s="1"/>
  <c r="Q489" i="1" s="1"/>
  <c r="R489" i="1" s="1"/>
  <c r="S489" i="1" s="1"/>
  <c r="T489" i="1" s="1"/>
  <c r="F497" i="1"/>
  <c r="M498" i="1"/>
  <c r="N498" i="1" s="1"/>
  <c r="Q498" i="1" s="1"/>
  <c r="R498" i="1" s="1"/>
  <c r="S498" i="1" s="1"/>
  <c r="T498" i="1" s="1"/>
  <c r="F523" i="1"/>
  <c r="F526" i="1"/>
  <c r="R527" i="1"/>
  <c r="S527" i="1" s="1"/>
  <c r="T527" i="1" s="1"/>
  <c r="M530" i="1"/>
  <c r="N530" i="1" s="1"/>
  <c r="Q530" i="1" s="1"/>
  <c r="R536" i="1"/>
  <c r="S536" i="1" s="1"/>
  <c r="T536" i="1" s="1"/>
  <c r="M539" i="1"/>
  <c r="N539" i="1" s="1"/>
  <c r="Q539" i="1" s="1"/>
  <c r="R539" i="1" s="1"/>
  <c r="S539" i="1" s="1"/>
  <c r="T539" i="1" s="1"/>
  <c r="M556" i="1"/>
  <c r="N556" i="1" s="1"/>
  <c r="Q556" i="1" s="1"/>
  <c r="R556" i="1" s="1"/>
  <c r="S556" i="1" s="1"/>
  <c r="T556" i="1" s="1"/>
  <c r="R569" i="1"/>
  <c r="S569" i="1" s="1"/>
  <c r="T569" i="1" s="1"/>
  <c r="M609" i="1"/>
  <c r="N609" i="1" s="1"/>
  <c r="Q609" i="1" s="1"/>
  <c r="R609" i="1" s="1"/>
  <c r="S609" i="1" s="1"/>
  <c r="T609" i="1" s="1"/>
  <c r="R613" i="1"/>
  <c r="S613" i="1" s="1"/>
  <c r="T613" i="1" s="1"/>
  <c r="R640" i="1"/>
  <c r="S640" i="1" s="1"/>
  <c r="T640" i="1" s="1"/>
  <c r="M665" i="1"/>
  <c r="N665" i="1" s="1"/>
  <c r="Q665" i="1" s="1"/>
  <c r="R665" i="1" s="1"/>
  <c r="S665" i="1" s="1"/>
  <c r="T665" i="1" s="1"/>
  <c r="M671" i="1"/>
  <c r="N671" i="1" s="1"/>
  <c r="Q671" i="1" s="1"/>
  <c r="R671" i="1" s="1"/>
  <c r="S671" i="1" s="1"/>
  <c r="T671" i="1" s="1"/>
  <c r="M681" i="1"/>
  <c r="N681" i="1" s="1"/>
  <c r="Q681" i="1" s="1"/>
  <c r="R681" i="1" s="1"/>
  <c r="S681" i="1" s="1"/>
  <c r="T681" i="1" s="1"/>
  <c r="M702" i="1"/>
  <c r="N702" i="1" s="1"/>
  <c r="Q702" i="1" s="1"/>
  <c r="R702" i="1" s="1"/>
  <c r="S702" i="1" s="1"/>
  <c r="T702" i="1" s="1"/>
  <c r="F716" i="1"/>
  <c r="M720" i="1"/>
  <c r="N720" i="1" s="1"/>
  <c r="Q720" i="1" s="1"/>
  <c r="R720" i="1" s="1"/>
  <c r="S720" i="1" s="1"/>
  <c r="T720" i="1" s="1"/>
  <c r="F847" i="1"/>
  <c r="M865" i="1"/>
  <c r="N865" i="1" s="1"/>
  <c r="Q865" i="1" s="1"/>
  <c r="R865" i="1" s="1"/>
  <c r="S865" i="1" s="1"/>
  <c r="T865" i="1" s="1"/>
  <c r="M926" i="1"/>
  <c r="N926" i="1" s="1"/>
  <c r="Q926" i="1" s="1"/>
  <c r="R926" i="1" s="1"/>
  <c r="S926" i="1" s="1"/>
  <c r="T926" i="1" s="1"/>
  <c r="F502" i="1"/>
  <c r="M503" i="1"/>
  <c r="N503" i="1" s="1"/>
  <c r="Q503" i="1" s="1"/>
  <c r="R503" i="1" s="1"/>
  <c r="S503" i="1" s="1"/>
  <c r="T503" i="1" s="1"/>
  <c r="F505" i="1"/>
  <c r="F509" i="1"/>
  <c r="F512" i="1"/>
  <c r="F520" i="1"/>
  <c r="F529" i="1"/>
  <c r="F544" i="1"/>
  <c r="M552" i="1"/>
  <c r="N552" i="1" s="1"/>
  <c r="Q552" i="1" s="1"/>
  <c r="R552" i="1" s="1"/>
  <c r="S552" i="1" s="1"/>
  <c r="T552" i="1" s="1"/>
  <c r="M559" i="1"/>
  <c r="N559" i="1" s="1"/>
  <c r="Q559" i="1" s="1"/>
  <c r="R559" i="1" s="1"/>
  <c r="S559" i="1" s="1"/>
  <c r="T559" i="1" s="1"/>
  <c r="M565" i="1"/>
  <c r="N565" i="1" s="1"/>
  <c r="Q565" i="1" s="1"/>
  <c r="R565" i="1" s="1"/>
  <c r="S565" i="1" s="1"/>
  <c r="T565" i="1" s="1"/>
  <c r="F568" i="1"/>
  <c r="F587" i="1"/>
  <c r="F590" i="1"/>
  <c r="F608" i="1"/>
  <c r="M610" i="1"/>
  <c r="N610" i="1" s="1"/>
  <c r="Q610" i="1" s="1"/>
  <c r="F616" i="1"/>
  <c r="M618" i="1"/>
  <c r="N618" i="1" s="1"/>
  <c r="Q618" i="1" s="1"/>
  <c r="F620" i="1"/>
  <c r="F626" i="1"/>
  <c r="F629" i="1"/>
  <c r="F664" i="1"/>
  <c r="M687" i="1"/>
  <c r="N687" i="1" s="1"/>
  <c r="Q687" i="1" s="1"/>
  <c r="R687" i="1" s="1"/>
  <c r="S687" i="1" s="1"/>
  <c r="T687" i="1" s="1"/>
  <c r="M697" i="1"/>
  <c r="N697" i="1" s="1"/>
  <c r="Q697" i="1" s="1"/>
  <c r="R697" i="1" s="1"/>
  <c r="S697" i="1" s="1"/>
  <c r="T697" i="1" s="1"/>
  <c r="F700" i="1"/>
  <c r="M701" i="1"/>
  <c r="N701" i="1" s="1"/>
  <c r="Q701" i="1" s="1"/>
  <c r="R701" i="1" s="1"/>
  <c r="S701" i="1" s="1"/>
  <c r="T701" i="1" s="1"/>
  <c r="R710" i="1"/>
  <c r="S710" i="1" s="1"/>
  <c r="T710" i="1" s="1"/>
  <c r="F722" i="1"/>
  <c r="M724" i="1"/>
  <c r="N724" i="1" s="1"/>
  <c r="Q724" i="1" s="1"/>
  <c r="R724" i="1" s="1"/>
  <c r="S724" i="1" s="1"/>
  <c r="T724" i="1" s="1"/>
  <c r="F740" i="1"/>
  <c r="M757" i="1"/>
  <c r="N757" i="1" s="1"/>
  <c r="Q757" i="1" s="1"/>
  <c r="R757" i="1" s="1"/>
  <c r="S757" i="1" s="1"/>
  <c r="T757" i="1" s="1"/>
  <c r="R796" i="1"/>
  <c r="S796" i="1" s="1"/>
  <c r="T796" i="1" s="1"/>
  <c r="M819" i="1"/>
  <c r="N819" i="1" s="1"/>
  <c r="Q819" i="1" s="1"/>
  <c r="R819" i="1" s="1"/>
  <c r="S819" i="1" s="1"/>
  <c r="T819" i="1" s="1"/>
  <c r="R830" i="1"/>
  <c r="S830" i="1" s="1"/>
  <c r="T830" i="1" s="1"/>
  <c r="F843" i="1"/>
  <c r="R845" i="1"/>
  <c r="S845" i="1" s="1"/>
  <c r="T845" i="1" s="1"/>
  <c r="F858" i="1"/>
  <c r="F901" i="1"/>
  <c r="R902" i="1"/>
  <c r="S902" i="1" s="1"/>
  <c r="T902" i="1" s="1"/>
  <c r="R940" i="1"/>
  <c r="S940" i="1" s="1"/>
  <c r="T940" i="1" s="1"/>
  <c r="M544" i="1"/>
  <c r="N544" i="1" s="1"/>
  <c r="Q544" i="1" s="1"/>
  <c r="R544" i="1" s="1"/>
  <c r="S544" i="1" s="1"/>
  <c r="T544" i="1" s="1"/>
  <c r="M555" i="1"/>
  <c r="N555" i="1" s="1"/>
  <c r="Q555" i="1" s="1"/>
  <c r="R555" i="1" s="1"/>
  <c r="S555" i="1" s="1"/>
  <c r="T555" i="1" s="1"/>
  <c r="M558" i="1"/>
  <c r="N558" i="1" s="1"/>
  <c r="Q558" i="1" s="1"/>
  <c r="R558" i="1" s="1"/>
  <c r="S558" i="1" s="1"/>
  <c r="T558" i="1" s="1"/>
  <c r="M570" i="1"/>
  <c r="N570" i="1" s="1"/>
  <c r="Q570" i="1" s="1"/>
  <c r="R570" i="1" s="1"/>
  <c r="S570" i="1" s="1"/>
  <c r="T570" i="1" s="1"/>
  <c r="M583" i="1"/>
  <c r="N583" i="1" s="1"/>
  <c r="Q583" i="1" s="1"/>
  <c r="R583" i="1" s="1"/>
  <c r="S583" i="1" s="1"/>
  <c r="T583" i="1" s="1"/>
  <c r="R598" i="1"/>
  <c r="S598" i="1" s="1"/>
  <c r="T598" i="1" s="1"/>
  <c r="F600" i="1"/>
  <c r="M602" i="1"/>
  <c r="N602" i="1" s="1"/>
  <c r="Q602" i="1" s="1"/>
  <c r="F604" i="1"/>
  <c r="M605" i="1"/>
  <c r="N605" i="1" s="1"/>
  <c r="Q605" i="1" s="1"/>
  <c r="R605" i="1" s="1"/>
  <c r="S605" i="1" s="1"/>
  <c r="T605" i="1" s="1"/>
  <c r="R614" i="1"/>
  <c r="S614" i="1" s="1"/>
  <c r="T614" i="1" s="1"/>
  <c r="F639" i="1"/>
  <c r="F649" i="1"/>
  <c r="R946" i="1"/>
  <c r="S946" i="1" s="1"/>
  <c r="T946" i="1" s="1"/>
  <c r="R551" i="1"/>
  <c r="S551" i="1" s="1"/>
  <c r="T551" i="1" s="1"/>
  <c r="M659" i="1"/>
  <c r="N659" i="1" s="1"/>
  <c r="Q659" i="1" s="1"/>
  <c r="R659" i="1" s="1"/>
  <c r="S659" i="1" s="1"/>
  <c r="T659" i="1" s="1"/>
  <c r="M664" i="1"/>
  <c r="N664" i="1" s="1"/>
  <c r="Q664" i="1" s="1"/>
  <c r="R664" i="1" s="1"/>
  <c r="S664" i="1" s="1"/>
  <c r="T664" i="1" s="1"/>
  <c r="R700" i="1"/>
  <c r="S700" i="1" s="1"/>
  <c r="T700" i="1" s="1"/>
  <c r="M736" i="1"/>
  <c r="N736" i="1" s="1"/>
  <c r="Q736" i="1" s="1"/>
  <c r="R736" i="1" s="1"/>
  <c r="S736" i="1" s="1"/>
  <c r="T736" i="1" s="1"/>
  <c r="R771" i="1"/>
  <c r="S771" i="1" s="1"/>
  <c r="T771" i="1" s="1"/>
  <c r="R772" i="1"/>
  <c r="S772" i="1" s="1"/>
  <c r="T772" i="1" s="1"/>
  <c r="R774" i="1"/>
  <c r="S774" i="1" s="1"/>
  <c r="T774" i="1" s="1"/>
  <c r="M813" i="1"/>
  <c r="N813" i="1" s="1"/>
  <c r="Q813" i="1" s="1"/>
  <c r="R813" i="1" s="1"/>
  <c r="S813" i="1" s="1"/>
  <c r="T813" i="1" s="1"/>
  <c r="F967" i="1"/>
  <c r="F483" i="1"/>
  <c r="M487" i="1"/>
  <c r="N487" i="1" s="1"/>
  <c r="Q487" i="1" s="1"/>
  <c r="F493" i="1"/>
  <c r="F504" i="1"/>
  <c r="M526" i="1"/>
  <c r="N526" i="1" s="1"/>
  <c r="Q526" i="1" s="1"/>
  <c r="R526" i="1" s="1"/>
  <c r="S526" i="1" s="1"/>
  <c r="T526" i="1" s="1"/>
  <c r="F532" i="1"/>
  <c r="F550" i="1"/>
  <c r="F553" i="1"/>
  <c r="F560" i="1"/>
  <c r="F566" i="1"/>
  <c r="M567" i="1"/>
  <c r="N567" i="1" s="1"/>
  <c r="Q567" i="1" s="1"/>
  <c r="R567" i="1" s="1"/>
  <c r="S567" i="1" s="1"/>
  <c r="T567" i="1" s="1"/>
  <c r="F585" i="1"/>
  <c r="F589" i="1"/>
  <c r="M597" i="1"/>
  <c r="N597" i="1" s="1"/>
  <c r="Q597" i="1" s="1"/>
  <c r="R597" i="1" s="1"/>
  <c r="S597" i="1" s="1"/>
  <c r="T597" i="1" s="1"/>
  <c r="M600" i="1"/>
  <c r="N600" i="1" s="1"/>
  <c r="Q600" i="1" s="1"/>
  <c r="R600" i="1" s="1"/>
  <c r="S600" i="1" s="1"/>
  <c r="T600" i="1" s="1"/>
  <c r="F619" i="1"/>
  <c r="F623" i="1"/>
  <c r="M625" i="1"/>
  <c r="N625" i="1" s="1"/>
  <c r="Q625" i="1" s="1"/>
  <c r="R625" i="1" s="1"/>
  <c r="S625" i="1" s="1"/>
  <c r="T625" i="1" s="1"/>
  <c r="F638" i="1"/>
  <c r="M669" i="1"/>
  <c r="N669" i="1" s="1"/>
  <c r="Q669" i="1" s="1"/>
  <c r="R669" i="1" s="1"/>
  <c r="S669" i="1" s="1"/>
  <c r="T669" i="1" s="1"/>
  <c r="F675" i="1"/>
  <c r="M679" i="1"/>
  <c r="N679" i="1" s="1"/>
  <c r="Q679" i="1" s="1"/>
  <c r="R679" i="1" s="1"/>
  <c r="S679" i="1" s="1"/>
  <c r="T679" i="1" s="1"/>
  <c r="M696" i="1"/>
  <c r="N696" i="1" s="1"/>
  <c r="Q696" i="1" s="1"/>
  <c r="R696" i="1" s="1"/>
  <c r="S696" i="1" s="1"/>
  <c r="T696" i="1" s="1"/>
  <c r="F717" i="1"/>
  <c r="M729" i="1"/>
  <c r="N729" i="1" s="1"/>
  <c r="Q729" i="1" s="1"/>
  <c r="R729" i="1" s="1"/>
  <c r="S729" i="1" s="1"/>
  <c r="T729" i="1" s="1"/>
  <c r="F805" i="1"/>
  <c r="R866" i="1"/>
  <c r="S866" i="1" s="1"/>
  <c r="T866" i="1" s="1"/>
  <c r="R782" i="1"/>
  <c r="S782" i="1" s="1"/>
  <c r="T782" i="1" s="1"/>
  <c r="M829" i="1"/>
  <c r="N829" i="1" s="1"/>
  <c r="Q829" i="1" s="1"/>
  <c r="R829" i="1" s="1"/>
  <c r="S829" i="1" s="1"/>
  <c r="T829" i="1" s="1"/>
  <c r="F881" i="1"/>
  <c r="M882" i="1"/>
  <c r="N882" i="1" s="1"/>
  <c r="Q882" i="1" s="1"/>
  <c r="R882" i="1" s="1"/>
  <c r="S882" i="1" s="1"/>
  <c r="T882" i="1" s="1"/>
  <c r="F894" i="1"/>
  <c r="F908" i="1"/>
  <c r="F911" i="1"/>
  <c r="F489" i="1"/>
  <c r="M490" i="1"/>
  <c r="N490" i="1" s="1"/>
  <c r="Q490" i="1" s="1"/>
  <c r="R490" i="1" s="1"/>
  <c r="S490" i="1" s="1"/>
  <c r="T490" i="1" s="1"/>
  <c r="F492" i="1"/>
  <c r="F496" i="1"/>
  <c r="M501" i="1"/>
  <c r="N501" i="1" s="1"/>
  <c r="Q501" i="1" s="1"/>
  <c r="R501" i="1" s="1"/>
  <c r="S501" i="1" s="1"/>
  <c r="T501" i="1" s="1"/>
  <c r="M504" i="1"/>
  <c r="N504" i="1" s="1"/>
  <c r="Q504" i="1" s="1"/>
  <c r="R504" i="1" s="1"/>
  <c r="S504" i="1" s="1"/>
  <c r="T504" i="1" s="1"/>
  <c r="M511" i="1"/>
  <c r="N511" i="1" s="1"/>
  <c r="Q511" i="1" s="1"/>
  <c r="R511" i="1" s="1"/>
  <c r="S511" i="1" s="1"/>
  <c r="T511" i="1" s="1"/>
  <c r="M515" i="1"/>
  <c r="N515" i="1" s="1"/>
  <c r="Q515" i="1" s="1"/>
  <c r="R515" i="1" s="1"/>
  <c r="S515" i="1" s="1"/>
  <c r="T515" i="1" s="1"/>
  <c r="M519" i="1"/>
  <c r="N519" i="1" s="1"/>
  <c r="Q519" i="1" s="1"/>
  <c r="R519" i="1" s="1"/>
  <c r="S519" i="1" s="1"/>
  <c r="T519" i="1" s="1"/>
  <c r="F521" i="1"/>
  <c r="M582" i="1"/>
  <c r="N582" i="1" s="1"/>
  <c r="Q582" i="1" s="1"/>
  <c r="R582" i="1" s="1"/>
  <c r="S582" i="1" s="1"/>
  <c r="T582" i="1" s="1"/>
  <c r="F584" i="1"/>
  <c r="M586" i="1"/>
  <c r="N586" i="1" s="1"/>
  <c r="Q586" i="1" s="1"/>
  <c r="R586" i="1" s="1"/>
  <c r="S586" i="1" s="1"/>
  <c r="T586" i="1" s="1"/>
  <c r="M589" i="1"/>
  <c r="N589" i="1" s="1"/>
  <c r="Q589" i="1" s="1"/>
  <c r="R589" i="1" s="1"/>
  <c r="S589" i="1" s="1"/>
  <c r="T589" i="1" s="1"/>
  <c r="M592" i="1"/>
  <c r="N592" i="1" s="1"/>
  <c r="Q592" i="1" s="1"/>
  <c r="R592" i="1" s="1"/>
  <c r="S592" i="1" s="1"/>
  <c r="T592" i="1" s="1"/>
  <c r="M599" i="1"/>
  <c r="N599" i="1" s="1"/>
  <c r="Q599" i="1" s="1"/>
  <c r="R599" i="1" s="1"/>
  <c r="S599" i="1" s="1"/>
  <c r="T599" i="1" s="1"/>
  <c r="M615" i="1"/>
  <c r="N615" i="1" s="1"/>
  <c r="Q615" i="1" s="1"/>
  <c r="R615" i="1" s="1"/>
  <c r="S615" i="1" s="1"/>
  <c r="T615" i="1" s="1"/>
  <c r="M628" i="1"/>
  <c r="N628" i="1" s="1"/>
  <c r="Q628" i="1" s="1"/>
  <c r="R628" i="1" s="1"/>
  <c r="S628" i="1" s="1"/>
  <c r="T628" i="1" s="1"/>
  <c r="F637" i="1"/>
  <c r="M638" i="1"/>
  <c r="N638" i="1" s="1"/>
  <c r="Q638" i="1" s="1"/>
  <c r="R638" i="1" s="1"/>
  <c r="S638" i="1" s="1"/>
  <c r="T638" i="1" s="1"/>
  <c r="M643" i="1"/>
  <c r="N643" i="1" s="1"/>
  <c r="Q643" i="1" s="1"/>
  <c r="R643" i="1" s="1"/>
  <c r="S643" i="1" s="1"/>
  <c r="T643" i="1" s="1"/>
  <c r="M653" i="1"/>
  <c r="N653" i="1" s="1"/>
  <c r="Q653" i="1" s="1"/>
  <c r="R653" i="1" s="1"/>
  <c r="S653" i="1" s="1"/>
  <c r="T653" i="1" s="1"/>
  <c r="F656" i="1"/>
  <c r="M662" i="1"/>
  <c r="N662" i="1" s="1"/>
  <c r="Q662" i="1" s="1"/>
  <c r="R662" i="1" s="1"/>
  <c r="S662" i="1" s="1"/>
  <c r="T662" i="1" s="1"/>
  <c r="F671" i="1"/>
  <c r="M678" i="1"/>
  <c r="N678" i="1" s="1"/>
  <c r="Q678" i="1" s="1"/>
  <c r="R678" i="1" s="1"/>
  <c r="S678" i="1" s="1"/>
  <c r="T678" i="1" s="1"/>
  <c r="M711" i="1"/>
  <c r="N711" i="1" s="1"/>
  <c r="Q711" i="1" s="1"/>
  <c r="R711" i="1" s="1"/>
  <c r="S711" i="1" s="1"/>
  <c r="T711" i="1" s="1"/>
  <c r="F728" i="1"/>
  <c r="R773" i="1"/>
  <c r="S773" i="1" s="1"/>
  <c r="T773" i="1" s="1"/>
  <c r="M793" i="1"/>
  <c r="N793" i="1" s="1"/>
  <c r="Q793" i="1" s="1"/>
  <c r="R793" i="1" s="1"/>
  <c r="S793" i="1" s="1"/>
  <c r="T793" i="1" s="1"/>
  <c r="R812" i="1"/>
  <c r="S812" i="1" s="1"/>
  <c r="T812" i="1" s="1"/>
  <c r="R892" i="1"/>
  <c r="S892" i="1" s="1"/>
  <c r="T892" i="1" s="1"/>
  <c r="F1028" i="1"/>
  <c r="F704" i="1"/>
  <c r="M705" i="1"/>
  <c r="N705" i="1" s="1"/>
  <c r="Q705" i="1" s="1"/>
  <c r="R705" i="1" s="1"/>
  <c r="S705" i="1" s="1"/>
  <c r="T705" i="1" s="1"/>
  <c r="M714" i="1"/>
  <c r="N714" i="1" s="1"/>
  <c r="Q714" i="1" s="1"/>
  <c r="R714" i="1" s="1"/>
  <c r="S714" i="1" s="1"/>
  <c r="T714" i="1" s="1"/>
  <c r="M719" i="1"/>
  <c r="N719" i="1" s="1"/>
  <c r="Q719" i="1" s="1"/>
  <c r="R719" i="1" s="1"/>
  <c r="S719" i="1" s="1"/>
  <c r="T719" i="1" s="1"/>
  <c r="M723" i="1"/>
  <c r="N723" i="1" s="1"/>
  <c r="Q723" i="1" s="1"/>
  <c r="R723" i="1" s="1"/>
  <c r="S723" i="1" s="1"/>
  <c r="T723" i="1" s="1"/>
  <c r="F726" i="1"/>
  <c r="M732" i="1"/>
  <c r="N732" i="1" s="1"/>
  <c r="Q732" i="1" s="1"/>
  <c r="R732" i="1" s="1"/>
  <c r="S732" i="1" s="1"/>
  <c r="T732" i="1" s="1"/>
  <c r="F738" i="1"/>
  <c r="F743" i="1"/>
  <c r="M744" i="1"/>
  <c r="N744" i="1" s="1"/>
  <c r="Q744" i="1" s="1"/>
  <c r="R744" i="1" s="1"/>
  <c r="S744" i="1" s="1"/>
  <c r="T744" i="1" s="1"/>
  <c r="F747" i="1"/>
  <c r="M748" i="1"/>
  <c r="N748" i="1" s="1"/>
  <c r="Q748" i="1" s="1"/>
  <c r="R748" i="1" s="1"/>
  <c r="S748" i="1" s="1"/>
  <c r="T748" i="1" s="1"/>
  <c r="M752" i="1"/>
  <c r="N752" i="1" s="1"/>
  <c r="Q752" i="1" s="1"/>
  <c r="R752" i="1" s="1"/>
  <c r="S752" i="1" s="1"/>
  <c r="T752" i="1" s="1"/>
  <c r="M756" i="1"/>
  <c r="N756" i="1" s="1"/>
  <c r="Q756" i="1" s="1"/>
  <c r="R756" i="1" s="1"/>
  <c r="S756" i="1" s="1"/>
  <c r="T756" i="1" s="1"/>
  <c r="F764" i="1"/>
  <c r="R775" i="1"/>
  <c r="S775" i="1" s="1"/>
  <c r="T775" i="1" s="1"/>
  <c r="M785" i="1"/>
  <c r="N785" i="1" s="1"/>
  <c r="Q785" i="1" s="1"/>
  <c r="R785" i="1" s="1"/>
  <c r="S785" i="1" s="1"/>
  <c r="T785" i="1" s="1"/>
  <c r="M789" i="1"/>
  <c r="N789" i="1" s="1"/>
  <c r="Q789" i="1" s="1"/>
  <c r="M801" i="1"/>
  <c r="N801" i="1" s="1"/>
  <c r="Q801" i="1" s="1"/>
  <c r="R801" i="1" s="1"/>
  <c r="S801" i="1" s="1"/>
  <c r="T801" i="1" s="1"/>
  <c r="M805" i="1"/>
  <c r="N805" i="1" s="1"/>
  <c r="Q805" i="1" s="1"/>
  <c r="R805" i="1" s="1"/>
  <c r="S805" i="1" s="1"/>
  <c r="T805" i="1" s="1"/>
  <c r="M815" i="1"/>
  <c r="N815" i="1" s="1"/>
  <c r="Q815" i="1" s="1"/>
  <c r="R815" i="1" s="1"/>
  <c r="S815" i="1" s="1"/>
  <c r="T815" i="1" s="1"/>
  <c r="F821" i="1"/>
  <c r="M822" i="1"/>
  <c r="N822" i="1" s="1"/>
  <c r="Q822" i="1" s="1"/>
  <c r="R822" i="1" s="1"/>
  <c r="S822" i="1" s="1"/>
  <c r="T822" i="1" s="1"/>
  <c r="M834" i="1"/>
  <c r="N834" i="1" s="1"/>
  <c r="Q834" i="1" s="1"/>
  <c r="R834" i="1" s="1"/>
  <c r="S834" i="1" s="1"/>
  <c r="T834" i="1" s="1"/>
  <c r="F836" i="1"/>
  <c r="F839" i="1"/>
  <c r="M840" i="1"/>
  <c r="N840" i="1" s="1"/>
  <c r="Q840" i="1" s="1"/>
  <c r="R840" i="1" s="1"/>
  <c r="S840" i="1" s="1"/>
  <c r="T840" i="1" s="1"/>
  <c r="M844" i="1"/>
  <c r="N844" i="1" s="1"/>
  <c r="Q844" i="1" s="1"/>
  <c r="R844" i="1" s="1"/>
  <c r="S844" i="1" s="1"/>
  <c r="T844" i="1" s="1"/>
  <c r="F850" i="1"/>
  <c r="F851" i="1"/>
  <c r="M852" i="1"/>
  <c r="N852" i="1" s="1"/>
  <c r="Q852" i="1" s="1"/>
  <c r="R852" i="1" s="1"/>
  <c r="S852" i="1" s="1"/>
  <c r="T852" i="1" s="1"/>
  <c r="F867" i="1"/>
  <c r="F872" i="1"/>
  <c r="M873" i="1"/>
  <c r="N873" i="1" s="1"/>
  <c r="Q873" i="1" s="1"/>
  <c r="R873" i="1" s="1"/>
  <c r="S873" i="1" s="1"/>
  <c r="T873" i="1" s="1"/>
  <c r="F875" i="1"/>
  <c r="F877" i="1"/>
  <c r="F896" i="1"/>
  <c r="F903" i="1"/>
  <c r="M921" i="1"/>
  <c r="N921" i="1" s="1"/>
  <c r="Q921" i="1" s="1"/>
  <c r="R921" i="1" s="1"/>
  <c r="S921" i="1" s="1"/>
  <c r="T921" i="1" s="1"/>
  <c r="M929" i="1"/>
  <c r="N929" i="1" s="1"/>
  <c r="Q929" i="1" s="1"/>
  <c r="R929" i="1" s="1"/>
  <c r="S929" i="1" s="1"/>
  <c r="T929" i="1" s="1"/>
  <c r="F935" i="1"/>
  <c r="M948" i="1"/>
  <c r="N948" i="1" s="1"/>
  <c r="Q948" i="1" s="1"/>
  <c r="R948" i="1" s="1"/>
  <c r="S948" i="1" s="1"/>
  <c r="T948" i="1" s="1"/>
  <c r="M961" i="1"/>
  <c r="N961" i="1" s="1"/>
  <c r="Q961" i="1" s="1"/>
  <c r="R961" i="1" s="1"/>
  <c r="S961" i="1" s="1"/>
  <c r="T961" i="1" s="1"/>
  <c r="M1014" i="1"/>
  <c r="N1014" i="1" s="1"/>
  <c r="Q1014" i="1" s="1"/>
  <c r="R1014" i="1" s="1"/>
  <c r="S1014" i="1" s="1"/>
  <c r="T1014" i="1" s="1"/>
  <c r="R1018" i="1"/>
  <c r="S1018" i="1" s="1"/>
  <c r="T1018" i="1" s="1"/>
  <c r="R792" i="1"/>
  <c r="S792" i="1" s="1"/>
  <c r="T792" i="1" s="1"/>
  <c r="R818" i="1"/>
  <c r="S818" i="1" s="1"/>
  <c r="T818" i="1" s="1"/>
  <c r="R987" i="1"/>
  <c r="S987" i="1" s="1"/>
  <c r="T987" i="1" s="1"/>
  <c r="R1001" i="1"/>
  <c r="S1001" i="1" s="1"/>
  <c r="T1001" i="1" s="1"/>
  <c r="R1007" i="1"/>
  <c r="S1007" i="1" s="1"/>
  <c r="T1007" i="1" s="1"/>
  <c r="R1034" i="1"/>
  <c r="S1034" i="1" s="1"/>
  <c r="T1034" i="1" s="1"/>
  <c r="F703" i="1"/>
  <c r="M704" i="1"/>
  <c r="N704" i="1" s="1"/>
  <c r="Q704" i="1" s="1"/>
  <c r="R704" i="1" s="1"/>
  <c r="S704" i="1" s="1"/>
  <c r="T704" i="1" s="1"/>
  <c r="F712" i="1"/>
  <c r="M718" i="1"/>
  <c r="N718" i="1" s="1"/>
  <c r="Q718" i="1" s="1"/>
  <c r="R718" i="1" s="1"/>
  <c r="S718" i="1" s="1"/>
  <c r="T718" i="1" s="1"/>
  <c r="M730" i="1"/>
  <c r="N730" i="1" s="1"/>
  <c r="Q730" i="1" s="1"/>
  <c r="R730" i="1" s="1"/>
  <c r="S730" i="1" s="1"/>
  <c r="T730" i="1" s="1"/>
  <c r="M735" i="1"/>
  <c r="N735" i="1" s="1"/>
  <c r="Q735" i="1" s="1"/>
  <c r="R735" i="1" s="1"/>
  <c r="S735" i="1" s="1"/>
  <c r="T735" i="1" s="1"/>
  <c r="M739" i="1"/>
  <c r="N739" i="1" s="1"/>
  <c r="Q739" i="1" s="1"/>
  <c r="R739" i="1" s="1"/>
  <c r="S739" i="1" s="1"/>
  <c r="T739" i="1" s="1"/>
  <c r="F742" i="1"/>
  <c r="F750" i="1"/>
  <c r="M764" i="1"/>
  <c r="N764" i="1" s="1"/>
  <c r="Q764" i="1" s="1"/>
  <c r="R764" i="1" s="1"/>
  <c r="S764" i="1" s="1"/>
  <c r="T764" i="1" s="1"/>
  <c r="F772" i="1"/>
  <c r="M797" i="1"/>
  <c r="N797" i="1" s="1"/>
  <c r="Q797" i="1" s="1"/>
  <c r="R797" i="1" s="1"/>
  <c r="S797" i="1" s="1"/>
  <c r="T797" i="1" s="1"/>
  <c r="M824" i="1"/>
  <c r="N824" i="1" s="1"/>
  <c r="Q824" i="1" s="1"/>
  <c r="M831" i="1"/>
  <c r="N831" i="1" s="1"/>
  <c r="Q831" i="1" s="1"/>
  <c r="R831" i="1" s="1"/>
  <c r="S831" i="1" s="1"/>
  <c r="T831" i="1" s="1"/>
  <c r="M836" i="1"/>
  <c r="N836" i="1" s="1"/>
  <c r="Q836" i="1" s="1"/>
  <c r="R836" i="1" s="1"/>
  <c r="S836" i="1" s="1"/>
  <c r="T836" i="1" s="1"/>
  <c r="F842" i="1"/>
  <c r="F845" i="1"/>
  <c r="M846" i="1"/>
  <c r="N846" i="1" s="1"/>
  <c r="Q846" i="1" s="1"/>
  <c r="R846" i="1" s="1"/>
  <c r="S846" i="1" s="1"/>
  <c r="T846" i="1" s="1"/>
  <c r="F849" i="1"/>
  <c r="M851" i="1"/>
  <c r="N851" i="1" s="1"/>
  <c r="Q851" i="1" s="1"/>
  <c r="R851" i="1" s="1"/>
  <c r="S851" i="1" s="1"/>
  <c r="T851" i="1" s="1"/>
  <c r="F854" i="1"/>
  <c r="F862" i="1"/>
  <c r="M867" i="1"/>
  <c r="N867" i="1" s="1"/>
  <c r="Q867" i="1" s="1"/>
  <c r="R867" i="1" s="1"/>
  <c r="S867" i="1" s="1"/>
  <c r="T867" i="1" s="1"/>
  <c r="F871" i="1"/>
  <c r="M872" i="1"/>
  <c r="N872" i="1" s="1"/>
  <c r="Q872" i="1" s="1"/>
  <c r="R872" i="1" s="1"/>
  <c r="S872" i="1" s="1"/>
  <c r="T872" i="1" s="1"/>
  <c r="M877" i="1"/>
  <c r="N877" i="1" s="1"/>
  <c r="Q877" i="1" s="1"/>
  <c r="R877" i="1" s="1"/>
  <c r="S877" i="1" s="1"/>
  <c r="T877" i="1" s="1"/>
  <c r="M885" i="1"/>
  <c r="N885" i="1" s="1"/>
  <c r="Q885" i="1" s="1"/>
  <c r="R885" i="1" s="1"/>
  <c r="S885" i="1" s="1"/>
  <c r="T885" i="1" s="1"/>
  <c r="F887" i="1"/>
  <c r="M889" i="1"/>
  <c r="N889" i="1" s="1"/>
  <c r="Q889" i="1" s="1"/>
  <c r="R889" i="1" s="1"/>
  <c r="S889" i="1" s="1"/>
  <c r="T889" i="1" s="1"/>
  <c r="M903" i="1"/>
  <c r="N903" i="1" s="1"/>
  <c r="Q903" i="1" s="1"/>
  <c r="R903" i="1" s="1"/>
  <c r="S903" i="1" s="1"/>
  <c r="T903" i="1" s="1"/>
  <c r="M916" i="1"/>
  <c r="N916" i="1" s="1"/>
  <c r="Q916" i="1" s="1"/>
  <c r="R916" i="1" s="1"/>
  <c r="S916" i="1" s="1"/>
  <c r="T916" i="1" s="1"/>
  <c r="F927" i="1"/>
  <c r="M942" i="1"/>
  <c r="N942" i="1" s="1"/>
  <c r="Q942" i="1" s="1"/>
  <c r="R942" i="1" s="1"/>
  <c r="S942" i="1" s="1"/>
  <c r="T942" i="1" s="1"/>
  <c r="F952" i="1"/>
  <c r="F1000" i="1"/>
  <c r="F1022" i="1"/>
  <c r="M1024" i="1"/>
  <c r="N1024" i="1" s="1"/>
  <c r="Q1024" i="1" s="1"/>
  <c r="R1024" i="1" s="1"/>
  <c r="S1024" i="1" s="1"/>
  <c r="T1024" i="1" s="1"/>
  <c r="R1234" i="1"/>
  <c r="S1234" i="1" s="1"/>
  <c r="T1234" i="1" s="1"/>
  <c r="R963" i="1"/>
  <c r="S963" i="1" s="1"/>
  <c r="T963" i="1" s="1"/>
  <c r="R966" i="1"/>
  <c r="S966" i="1" s="1"/>
  <c r="T966" i="1" s="1"/>
  <c r="R983" i="1"/>
  <c r="S983" i="1" s="1"/>
  <c r="T983" i="1" s="1"/>
  <c r="M734" i="1"/>
  <c r="N734" i="1" s="1"/>
  <c r="Q734" i="1" s="1"/>
  <c r="R734" i="1" s="1"/>
  <c r="S734" i="1" s="1"/>
  <c r="T734" i="1" s="1"/>
  <c r="M746" i="1"/>
  <c r="N746" i="1" s="1"/>
  <c r="Q746" i="1" s="1"/>
  <c r="R746" i="1" s="1"/>
  <c r="S746" i="1" s="1"/>
  <c r="T746" i="1" s="1"/>
  <c r="M750" i="1"/>
  <c r="N750" i="1" s="1"/>
  <c r="Q750" i="1" s="1"/>
  <c r="R750" i="1" s="1"/>
  <c r="S750" i="1" s="1"/>
  <c r="T750" i="1" s="1"/>
  <c r="M754" i="1"/>
  <c r="N754" i="1" s="1"/>
  <c r="Q754" i="1" s="1"/>
  <c r="R754" i="1" s="1"/>
  <c r="S754" i="1" s="1"/>
  <c r="T754" i="1" s="1"/>
  <c r="M760" i="1"/>
  <c r="N760" i="1" s="1"/>
  <c r="Q760" i="1" s="1"/>
  <c r="R760" i="1" s="1"/>
  <c r="S760" i="1" s="1"/>
  <c r="T760" i="1" s="1"/>
  <c r="M762" i="1"/>
  <c r="N762" i="1" s="1"/>
  <c r="Q762" i="1" s="1"/>
  <c r="R762" i="1" s="1"/>
  <c r="S762" i="1" s="1"/>
  <c r="T762" i="1" s="1"/>
  <c r="F766" i="1"/>
  <c r="F778" i="1"/>
  <c r="M791" i="1"/>
  <c r="N791" i="1" s="1"/>
  <c r="Q791" i="1" s="1"/>
  <c r="R791" i="1" s="1"/>
  <c r="S791" i="1" s="1"/>
  <c r="T791" i="1" s="1"/>
  <c r="F816" i="1"/>
  <c r="F829" i="1"/>
  <c r="M833" i="1"/>
  <c r="N833" i="1" s="1"/>
  <c r="Q833" i="1" s="1"/>
  <c r="R833" i="1" s="1"/>
  <c r="S833" i="1" s="1"/>
  <c r="T833" i="1" s="1"/>
  <c r="F848" i="1"/>
  <c r="F856" i="1"/>
  <c r="M857" i="1"/>
  <c r="N857" i="1" s="1"/>
  <c r="Q857" i="1" s="1"/>
  <c r="R857" i="1" s="1"/>
  <c r="S857" i="1" s="1"/>
  <c r="T857" i="1" s="1"/>
  <c r="F865" i="1"/>
  <c r="M880" i="1"/>
  <c r="N880" i="1" s="1"/>
  <c r="Q880" i="1" s="1"/>
  <c r="R880" i="1" s="1"/>
  <c r="S880" i="1" s="1"/>
  <c r="T880" i="1" s="1"/>
  <c r="F882" i="1"/>
  <c r="M884" i="1"/>
  <c r="N884" i="1" s="1"/>
  <c r="Q884" i="1" s="1"/>
  <c r="R884" i="1" s="1"/>
  <c r="S884" i="1" s="1"/>
  <c r="T884" i="1" s="1"/>
  <c r="F891" i="1"/>
  <c r="M900" i="1"/>
  <c r="N900" i="1" s="1"/>
  <c r="Q900" i="1" s="1"/>
  <c r="R900" i="1" s="1"/>
  <c r="S900" i="1" s="1"/>
  <c r="T900" i="1" s="1"/>
  <c r="M910" i="1"/>
  <c r="N910" i="1" s="1"/>
  <c r="Q910" i="1" s="1"/>
  <c r="R910" i="1" s="1"/>
  <c r="S910" i="1" s="1"/>
  <c r="T910" i="1" s="1"/>
  <c r="F917" i="1"/>
  <c r="M927" i="1"/>
  <c r="N927" i="1" s="1"/>
  <c r="Q927" i="1" s="1"/>
  <c r="R927" i="1" s="1"/>
  <c r="S927" i="1" s="1"/>
  <c r="T927" i="1" s="1"/>
  <c r="F934" i="1"/>
  <c r="F938" i="1"/>
  <c r="M949" i="1"/>
  <c r="N949" i="1" s="1"/>
  <c r="Q949" i="1" s="1"/>
  <c r="R949" i="1" s="1"/>
  <c r="S949" i="1" s="1"/>
  <c r="T949" i="1" s="1"/>
  <c r="R973" i="1"/>
  <c r="S973" i="1" s="1"/>
  <c r="T973" i="1" s="1"/>
  <c r="F992" i="1"/>
  <c r="M1000" i="1"/>
  <c r="N1000" i="1" s="1"/>
  <c r="Q1000" i="1" s="1"/>
  <c r="R1000" i="1" s="1"/>
  <c r="S1000" i="1" s="1"/>
  <c r="T1000" i="1" s="1"/>
  <c r="F1002" i="1"/>
  <c r="R1003" i="1"/>
  <c r="S1003" i="1" s="1"/>
  <c r="T1003" i="1" s="1"/>
  <c r="F1008" i="1"/>
  <c r="F1011" i="1"/>
  <c r="F1038" i="1"/>
  <c r="F724" i="1"/>
  <c r="F736" i="1"/>
  <c r="M742" i="1"/>
  <c r="N742" i="1" s="1"/>
  <c r="Q742" i="1" s="1"/>
  <c r="R742" i="1" s="1"/>
  <c r="S742" i="1" s="1"/>
  <c r="T742" i="1" s="1"/>
  <c r="F756" i="1"/>
  <c r="F771" i="1"/>
  <c r="M778" i="1"/>
  <c r="N778" i="1" s="1"/>
  <c r="Q778" i="1" s="1"/>
  <c r="R778" i="1" s="1"/>
  <c r="S778" i="1" s="1"/>
  <c r="T778" i="1" s="1"/>
  <c r="M783" i="1"/>
  <c r="N783" i="1" s="1"/>
  <c r="Q783" i="1" s="1"/>
  <c r="R783" i="1" s="1"/>
  <c r="S783" i="1" s="1"/>
  <c r="T783" i="1" s="1"/>
  <c r="M786" i="1"/>
  <c r="N786" i="1" s="1"/>
  <c r="Q786" i="1" s="1"/>
  <c r="R786" i="1" s="1"/>
  <c r="S786" i="1" s="1"/>
  <c r="T786" i="1" s="1"/>
  <c r="M799" i="1"/>
  <c r="N799" i="1" s="1"/>
  <c r="Q799" i="1" s="1"/>
  <c r="R799" i="1" s="1"/>
  <c r="S799" i="1" s="1"/>
  <c r="T799" i="1" s="1"/>
  <c r="F802" i="1"/>
  <c r="F809" i="1"/>
  <c r="M823" i="1"/>
  <c r="N823" i="1" s="1"/>
  <c r="Q823" i="1" s="1"/>
  <c r="R823" i="1" s="1"/>
  <c r="S823" i="1" s="1"/>
  <c r="T823" i="1" s="1"/>
  <c r="F825" i="1"/>
  <c r="M838" i="1"/>
  <c r="N838" i="1" s="1"/>
  <c r="Q838" i="1" s="1"/>
  <c r="R838" i="1" s="1"/>
  <c r="S838" i="1" s="1"/>
  <c r="T838" i="1" s="1"/>
  <c r="F852" i="1"/>
  <c r="M870" i="1"/>
  <c r="N870" i="1" s="1"/>
  <c r="Q870" i="1" s="1"/>
  <c r="R870" i="1" s="1"/>
  <c r="S870" i="1" s="1"/>
  <c r="T870" i="1" s="1"/>
  <c r="F873" i="1"/>
  <c r="F890" i="1"/>
  <c r="M895" i="1"/>
  <c r="N895" i="1" s="1"/>
  <c r="Q895" i="1" s="1"/>
  <c r="R895" i="1" s="1"/>
  <c r="S895" i="1" s="1"/>
  <c r="T895" i="1" s="1"/>
  <c r="M905" i="1"/>
  <c r="N905" i="1" s="1"/>
  <c r="Q905" i="1" s="1"/>
  <c r="R905" i="1" s="1"/>
  <c r="S905" i="1" s="1"/>
  <c r="T905" i="1" s="1"/>
  <c r="F913" i="1"/>
  <c r="R918" i="1"/>
  <c r="S918" i="1" s="1"/>
  <c r="T918" i="1" s="1"/>
  <c r="F929" i="1"/>
  <c r="R930" i="1"/>
  <c r="S930" i="1" s="1"/>
  <c r="T930" i="1" s="1"/>
  <c r="M982" i="1"/>
  <c r="N982" i="1" s="1"/>
  <c r="Q982" i="1" s="1"/>
  <c r="R982" i="1" s="1"/>
  <c r="S982" i="1" s="1"/>
  <c r="T982" i="1" s="1"/>
  <c r="M989" i="1"/>
  <c r="N989" i="1" s="1"/>
  <c r="Q989" i="1" s="1"/>
  <c r="R989" i="1" s="1"/>
  <c r="S989" i="1" s="1"/>
  <c r="T989" i="1" s="1"/>
  <c r="F998" i="1"/>
  <c r="R1006" i="1"/>
  <c r="S1006" i="1" s="1"/>
  <c r="T1006" i="1" s="1"/>
  <c r="R1019" i="1"/>
  <c r="S1019" i="1" s="1"/>
  <c r="T1019" i="1" s="1"/>
  <c r="F1021" i="1"/>
  <c r="R1036" i="1"/>
  <c r="S1036" i="1" s="1"/>
  <c r="T1036" i="1" s="1"/>
  <c r="R1066" i="1"/>
  <c r="S1066" i="1" s="1"/>
  <c r="T1066" i="1" s="1"/>
  <c r="F1124" i="1"/>
  <c r="M1271" i="1"/>
  <c r="N1271" i="1" s="1"/>
  <c r="Q1271" i="1" s="1"/>
  <c r="R1271" i="1" s="1"/>
  <c r="S1271" i="1" s="1"/>
  <c r="T1271" i="1" s="1"/>
  <c r="F1017" i="1"/>
  <c r="M1032" i="1"/>
  <c r="N1032" i="1" s="1"/>
  <c r="Q1032" i="1" s="1"/>
  <c r="R1032" i="1" s="1"/>
  <c r="S1032" i="1" s="1"/>
  <c r="T1032" i="1" s="1"/>
  <c r="F1043" i="1"/>
  <c r="M1059" i="1"/>
  <c r="N1059" i="1" s="1"/>
  <c r="Q1059" i="1" s="1"/>
  <c r="F1121" i="1"/>
  <c r="R1224" i="1"/>
  <c r="S1224" i="1" s="1"/>
  <c r="T1224" i="1" s="1"/>
  <c r="M1232" i="1"/>
  <c r="N1232" i="1" s="1"/>
  <c r="Q1232" i="1" s="1"/>
  <c r="R1232" i="1" s="1"/>
  <c r="S1232" i="1" s="1"/>
  <c r="T1232" i="1" s="1"/>
  <c r="M1253" i="1"/>
  <c r="N1253" i="1" s="1"/>
  <c r="Q1253" i="1" s="1"/>
  <c r="R1253" i="1" s="1"/>
  <c r="S1253" i="1" s="1"/>
  <c r="T1253" i="1" s="1"/>
  <c r="M1039" i="1"/>
  <c r="N1039" i="1" s="1"/>
  <c r="Q1039" i="1" s="1"/>
  <c r="R1039" i="1" s="1"/>
  <c r="S1039" i="1" s="1"/>
  <c r="T1039" i="1" s="1"/>
  <c r="F1041" i="1"/>
  <c r="F1046" i="1"/>
  <c r="M1072" i="1"/>
  <c r="N1072" i="1" s="1"/>
  <c r="Q1072" i="1" s="1"/>
  <c r="R1072" i="1" s="1"/>
  <c r="S1072" i="1" s="1"/>
  <c r="T1072" i="1" s="1"/>
  <c r="M1078" i="1"/>
  <c r="N1078" i="1" s="1"/>
  <c r="Q1078" i="1" s="1"/>
  <c r="R1078" i="1" s="1"/>
  <c r="S1078" i="1" s="1"/>
  <c r="T1078" i="1" s="1"/>
  <c r="R1095" i="1"/>
  <c r="S1095" i="1" s="1"/>
  <c r="T1095" i="1" s="1"/>
  <c r="R1099" i="1"/>
  <c r="S1099" i="1" s="1"/>
  <c r="T1099" i="1" s="1"/>
  <c r="F1101" i="1"/>
  <c r="F1108" i="1"/>
  <c r="R1109" i="1"/>
  <c r="S1109" i="1" s="1"/>
  <c r="T1109" i="1" s="1"/>
  <c r="M1122" i="1"/>
  <c r="N1122" i="1" s="1"/>
  <c r="Q1122" i="1" s="1"/>
  <c r="R1122" i="1" s="1"/>
  <c r="S1122" i="1" s="1"/>
  <c r="T1122" i="1" s="1"/>
  <c r="M1146" i="1"/>
  <c r="N1146" i="1" s="1"/>
  <c r="Q1146" i="1" s="1"/>
  <c r="R1146" i="1" s="1"/>
  <c r="S1146" i="1" s="1"/>
  <c r="T1146" i="1" s="1"/>
  <c r="M1151" i="1"/>
  <c r="N1151" i="1" s="1"/>
  <c r="Q1151" i="1" s="1"/>
  <c r="R1151" i="1" s="1"/>
  <c r="S1151" i="1" s="1"/>
  <c r="T1151" i="1" s="1"/>
  <c r="M1157" i="1"/>
  <c r="N1157" i="1" s="1"/>
  <c r="Q1157" i="1" s="1"/>
  <c r="R1157" i="1" s="1"/>
  <c r="S1157" i="1" s="1"/>
  <c r="T1157" i="1" s="1"/>
  <c r="R1170" i="1"/>
  <c r="S1170" i="1" s="1"/>
  <c r="T1170" i="1" s="1"/>
  <c r="F1172" i="1"/>
  <c r="M1177" i="1"/>
  <c r="N1177" i="1" s="1"/>
  <c r="Q1177" i="1" s="1"/>
  <c r="R1177" i="1" s="1"/>
  <c r="S1177" i="1" s="1"/>
  <c r="T1177" i="1" s="1"/>
  <c r="F1183" i="1"/>
  <c r="F1190" i="1"/>
  <c r="M1191" i="1"/>
  <c r="N1191" i="1" s="1"/>
  <c r="Q1191" i="1" s="1"/>
  <c r="R1191" i="1" s="1"/>
  <c r="S1191" i="1" s="1"/>
  <c r="T1191" i="1" s="1"/>
  <c r="F1194" i="1"/>
  <c r="M1199" i="1"/>
  <c r="N1199" i="1" s="1"/>
  <c r="Q1199" i="1" s="1"/>
  <c r="R1199" i="1" s="1"/>
  <c r="S1199" i="1" s="1"/>
  <c r="T1199" i="1" s="1"/>
  <c r="M1205" i="1"/>
  <c r="N1205" i="1" s="1"/>
  <c r="Q1205" i="1" s="1"/>
  <c r="R1205" i="1" s="1"/>
  <c r="S1205" i="1" s="1"/>
  <c r="T1205" i="1" s="1"/>
  <c r="F1208" i="1"/>
  <c r="F1212" i="1"/>
  <c r="M1213" i="1"/>
  <c r="N1213" i="1" s="1"/>
  <c r="Q1213" i="1" s="1"/>
  <c r="R1213" i="1" s="1"/>
  <c r="S1213" i="1" s="1"/>
  <c r="T1213" i="1" s="1"/>
  <c r="F1219" i="1"/>
  <c r="M1220" i="1"/>
  <c r="N1220" i="1" s="1"/>
  <c r="Q1220" i="1" s="1"/>
  <c r="R1220" i="1" s="1"/>
  <c r="S1220" i="1" s="1"/>
  <c r="T1220" i="1" s="1"/>
  <c r="F1231" i="1"/>
  <c r="F1246" i="1"/>
  <c r="M1247" i="1"/>
  <c r="N1247" i="1" s="1"/>
  <c r="Q1247" i="1" s="1"/>
  <c r="R1247" i="1" s="1"/>
  <c r="S1247" i="1" s="1"/>
  <c r="T1247" i="1" s="1"/>
  <c r="F1249" i="1"/>
  <c r="M1250" i="1"/>
  <c r="N1250" i="1" s="1"/>
  <c r="Q1250" i="1" s="1"/>
  <c r="R1250" i="1" s="1"/>
  <c r="S1250" i="1" s="1"/>
  <c r="T1250" i="1" s="1"/>
  <c r="F1252" i="1"/>
  <c r="M1264" i="1"/>
  <c r="N1264" i="1" s="1"/>
  <c r="Q1264" i="1" s="1"/>
  <c r="R1264" i="1" s="1"/>
  <c r="S1264" i="1" s="1"/>
  <c r="T1264" i="1" s="1"/>
  <c r="M1267" i="1"/>
  <c r="N1267" i="1" s="1"/>
  <c r="Q1267" i="1" s="1"/>
  <c r="R1267" i="1" s="1"/>
  <c r="S1267" i="1" s="1"/>
  <c r="T1267" i="1" s="1"/>
  <c r="M1268" i="1"/>
  <c r="N1268" i="1" s="1"/>
  <c r="Q1268" i="1" s="1"/>
  <c r="R1268" i="1" s="1"/>
  <c r="S1268" i="1" s="1"/>
  <c r="T1268" i="1" s="1"/>
  <c r="M1279" i="1"/>
  <c r="N1279" i="1" s="1"/>
  <c r="Q1279" i="1" s="1"/>
  <c r="R1279" i="1" s="1"/>
  <c r="S1279" i="1" s="1"/>
  <c r="T1279" i="1" s="1"/>
  <c r="M1283" i="1"/>
  <c r="N1283" i="1" s="1"/>
  <c r="Q1283" i="1" s="1"/>
  <c r="R1283" i="1" s="1"/>
  <c r="S1283" i="1" s="1"/>
  <c r="T1283" i="1" s="1"/>
  <c r="M1291" i="1"/>
  <c r="N1291" i="1" s="1"/>
  <c r="Q1291" i="1" s="1"/>
  <c r="R1291" i="1" s="1"/>
  <c r="S1291" i="1" s="1"/>
  <c r="T1291" i="1" s="1"/>
  <c r="F966" i="1"/>
  <c r="M976" i="1"/>
  <c r="N976" i="1" s="1"/>
  <c r="Q976" i="1" s="1"/>
  <c r="R976" i="1" s="1"/>
  <c r="S976" i="1" s="1"/>
  <c r="T976" i="1" s="1"/>
  <c r="F981" i="1"/>
  <c r="F985" i="1"/>
  <c r="F990" i="1"/>
  <c r="M1023" i="1"/>
  <c r="N1023" i="1" s="1"/>
  <c r="Q1023" i="1" s="1"/>
  <c r="R1023" i="1" s="1"/>
  <c r="S1023" i="1" s="1"/>
  <c r="T1023" i="1" s="1"/>
  <c r="M1028" i="1"/>
  <c r="N1028" i="1" s="1"/>
  <c r="Q1028" i="1" s="1"/>
  <c r="R1028" i="1" s="1"/>
  <c r="S1028" i="1" s="1"/>
  <c r="T1028" i="1" s="1"/>
  <c r="F1033" i="1"/>
  <c r="M1038" i="1"/>
  <c r="N1038" i="1" s="1"/>
  <c r="Q1038" i="1" s="1"/>
  <c r="R1038" i="1" s="1"/>
  <c r="S1038" i="1" s="1"/>
  <c r="T1038" i="1" s="1"/>
  <c r="M1041" i="1"/>
  <c r="N1041" i="1" s="1"/>
  <c r="Q1041" i="1" s="1"/>
  <c r="R1041" i="1" s="1"/>
  <c r="S1041" i="1" s="1"/>
  <c r="T1041" i="1" s="1"/>
  <c r="M1075" i="1"/>
  <c r="N1075" i="1" s="1"/>
  <c r="Q1075" i="1" s="1"/>
  <c r="R1075" i="1" s="1"/>
  <c r="S1075" i="1" s="1"/>
  <c r="T1075" i="1" s="1"/>
  <c r="M1080" i="1"/>
  <c r="N1080" i="1" s="1"/>
  <c r="Q1080" i="1" s="1"/>
  <c r="R1080" i="1" s="1"/>
  <c r="S1080" i="1" s="1"/>
  <c r="T1080" i="1" s="1"/>
  <c r="F1083" i="1"/>
  <c r="M1085" i="1"/>
  <c r="N1085" i="1" s="1"/>
  <c r="Q1085" i="1" s="1"/>
  <c r="R1085" i="1" s="1"/>
  <c r="S1085" i="1" s="1"/>
  <c r="T1085" i="1" s="1"/>
  <c r="M1088" i="1"/>
  <c r="N1088" i="1" s="1"/>
  <c r="Q1088" i="1" s="1"/>
  <c r="R1088" i="1" s="1"/>
  <c r="S1088" i="1" s="1"/>
  <c r="T1088" i="1" s="1"/>
  <c r="M1094" i="1"/>
  <c r="N1094" i="1" s="1"/>
  <c r="Q1094" i="1" s="1"/>
  <c r="R1094" i="1" s="1"/>
  <c r="S1094" i="1" s="1"/>
  <c r="T1094" i="1" s="1"/>
  <c r="F1100" i="1"/>
  <c r="M1111" i="1"/>
  <c r="N1111" i="1" s="1"/>
  <c r="Q1111" i="1" s="1"/>
  <c r="R1111" i="1" s="1"/>
  <c r="S1111" i="1" s="1"/>
  <c r="T1111" i="1" s="1"/>
  <c r="F1127" i="1"/>
  <c r="M1128" i="1"/>
  <c r="N1128" i="1" s="1"/>
  <c r="Q1128" i="1" s="1"/>
  <c r="R1128" i="1" s="1"/>
  <c r="S1128" i="1" s="1"/>
  <c r="T1128" i="1" s="1"/>
  <c r="F1131" i="1"/>
  <c r="M1132" i="1"/>
  <c r="N1132" i="1" s="1"/>
  <c r="Q1132" i="1" s="1"/>
  <c r="R1132" i="1" s="1"/>
  <c r="S1132" i="1" s="1"/>
  <c r="T1132" i="1" s="1"/>
  <c r="F1149" i="1"/>
  <c r="M1150" i="1"/>
  <c r="N1150" i="1" s="1"/>
  <c r="Q1150" i="1" s="1"/>
  <c r="R1150" i="1" s="1"/>
  <c r="S1150" i="1" s="1"/>
  <c r="T1150" i="1" s="1"/>
  <c r="M1156" i="1"/>
  <c r="N1156" i="1" s="1"/>
  <c r="Q1156" i="1" s="1"/>
  <c r="R1156" i="1" s="1"/>
  <c r="S1156" i="1" s="1"/>
  <c r="T1156" i="1" s="1"/>
  <c r="M1176" i="1"/>
  <c r="N1176" i="1" s="1"/>
  <c r="Q1176" i="1" s="1"/>
  <c r="R1176" i="1" s="1"/>
  <c r="S1176" i="1" s="1"/>
  <c r="T1176" i="1" s="1"/>
  <c r="M1180" i="1"/>
  <c r="N1180" i="1" s="1"/>
  <c r="Q1180" i="1" s="1"/>
  <c r="R1180" i="1" s="1"/>
  <c r="S1180" i="1" s="1"/>
  <c r="T1180" i="1" s="1"/>
  <c r="F1189" i="1"/>
  <c r="F1197" i="1"/>
  <c r="M1226" i="1"/>
  <c r="N1226" i="1" s="1"/>
  <c r="Q1226" i="1" s="1"/>
  <c r="R1226" i="1" s="1"/>
  <c r="S1226" i="1" s="1"/>
  <c r="T1226" i="1" s="1"/>
  <c r="R1249" i="1"/>
  <c r="S1249" i="1" s="1"/>
  <c r="T1249" i="1" s="1"/>
  <c r="R1121" i="1"/>
  <c r="S1121" i="1" s="1"/>
  <c r="T1121" i="1" s="1"/>
  <c r="R1124" i="1"/>
  <c r="S1124" i="1" s="1"/>
  <c r="T1124" i="1" s="1"/>
  <c r="R1142" i="1"/>
  <c r="S1142" i="1" s="1"/>
  <c r="T1142" i="1" s="1"/>
  <c r="R1155" i="1"/>
  <c r="S1155" i="1" s="1"/>
  <c r="T1155" i="1" s="1"/>
  <c r="R1162" i="1"/>
  <c r="S1162" i="1" s="1"/>
  <c r="T1162" i="1" s="1"/>
  <c r="F1185" i="1"/>
  <c r="R1190" i="1"/>
  <c r="S1190" i="1" s="1"/>
  <c r="T1190" i="1" s="1"/>
  <c r="F1192" i="1"/>
  <c r="F1203" i="1"/>
  <c r="M1204" i="1"/>
  <c r="N1204" i="1" s="1"/>
  <c r="Q1204" i="1" s="1"/>
  <c r="R1204" i="1" s="1"/>
  <c r="S1204" i="1" s="1"/>
  <c r="T1204" i="1" s="1"/>
  <c r="F1206" i="1"/>
  <c r="F1211" i="1"/>
  <c r="F1217" i="1"/>
  <c r="M1219" i="1"/>
  <c r="N1219" i="1" s="1"/>
  <c r="Q1219" i="1" s="1"/>
  <c r="R1219" i="1" s="1"/>
  <c r="S1219" i="1" s="1"/>
  <c r="T1219" i="1" s="1"/>
  <c r="F1244" i="1"/>
  <c r="F1251" i="1"/>
  <c r="M1263" i="1"/>
  <c r="N1263" i="1" s="1"/>
  <c r="Q1263" i="1" s="1"/>
  <c r="R1263" i="1" s="1"/>
  <c r="S1263" i="1" s="1"/>
  <c r="T1263" i="1" s="1"/>
  <c r="F1265" i="1"/>
  <c r="M1266" i="1"/>
  <c r="N1266" i="1" s="1"/>
  <c r="Q1266" i="1" s="1"/>
  <c r="R1266" i="1" s="1"/>
  <c r="S1266" i="1" s="1"/>
  <c r="T1266" i="1" s="1"/>
  <c r="F1269" i="1"/>
  <c r="M1281" i="1"/>
  <c r="N1281" i="1" s="1"/>
  <c r="Q1281" i="1" s="1"/>
  <c r="R1281" i="1" s="1"/>
  <c r="S1281" i="1" s="1"/>
  <c r="T1281" i="1" s="1"/>
  <c r="F1285" i="1"/>
  <c r="F1289" i="1"/>
  <c r="F1296" i="1"/>
  <c r="F954" i="1"/>
  <c r="F958" i="1"/>
  <c r="M959" i="1"/>
  <c r="N959" i="1" s="1"/>
  <c r="Q959" i="1" s="1"/>
  <c r="R959" i="1" s="1"/>
  <c r="S959" i="1" s="1"/>
  <c r="T959" i="1" s="1"/>
  <c r="F969" i="1"/>
  <c r="F972" i="1"/>
  <c r="M978" i="1"/>
  <c r="N978" i="1" s="1"/>
  <c r="Q978" i="1" s="1"/>
  <c r="R978" i="1" s="1"/>
  <c r="S978" i="1" s="1"/>
  <c r="T978" i="1" s="1"/>
  <c r="F984" i="1"/>
  <c r="M985" i="1"/>
  <c r="N985" i="1" s="1"/>
  <c r="Q985" i="1" s="1"/>
  <c r="R985" i="1" s="1"/>
  <c r="S985" i="1" s="1"/>
  <c r="T985" i="1" s="1"/>
  <c r="M992" i="1"/>
  <c r="N992" i="1" s="1"/>
  <c r="Q992" i="1" s="1"/>
  <c r="R992" i="1" s="1"/>
  <c r="S992" i="1" s="1"/>
  <c r="T992" i="1" s="1"/>
  <c r="M999" i="1"/>
  <c r="N999" i="1" s="1"/>
  <c r="Q999" i="1" s="1"/>
  <c r="R999" i="1" s="1"/>
  <c r="S999" i="1" s="1"/>
  <c r="T999" i="1" s="1"/>
  <c r="F1010" i="1"/>
  <c r="M1012" i="1"/>
  <c r="N1012" i="1" s="1"/>
  <c r="Q1012" i="1" s="1"/>
  <c r="R1012" i="1" s="1"/>
  <c r="S1012" i="1" s="1"/>
  <c r="T1012" i="1" s="1"/>
  <c r="M1022" i="1"/>
  <c r="N1022" i="1" s="1"/>
  <c r="Q1022" i="1" s="1"/>
  <c r="M1027" i="1"/>
  <c r="N1027" i="1" s="1"/>
  <c r="Q1027" i="1" s="1"/>
  <c r="R1027" i="1" s="1"/>
  <c r="S1027" i="1" s="1"/>
  <c r="T1027" i="1" s="1"/>
  <c r="M1033" i="1"/>
  <c r="N1033" i="1" s="1"/>
  <c r="Q1033" i="1" s="1"/>
  <c r="R1033" i="1" s="1"/>
  <c r="S1033" i="1" s="1"/>
  <c r="T1033" i="1" s="1"/>
  <c r="M1040" i="1"/>
  <c r="N1040" i="1" s="1"/>
  <c r="Q1040" i="1" s="1"/>
  <c r="R1040" i="1" s="1"/>
  <c r="S1040" i="1" s="1"/>
  <c r="T1040" i="1" s="1"/>
  <c r="F1044" i="1"/>
  <c r="F1076" i="1"/>
  <c r="M1077" i="1"/>
  <c r="N1077" i="1" s="1"/>
  <c r="Q1077" i="1" s="1"/>
  <c r="R1077" i="1" s="1"/>
  <c r="S1077" i="1" s="1"/>
  <c r="T1077" i="1" s="1"/>
  <c r="M1091" i="1"/>
  <c r="N1091" i="1" s="1"/>
  <c r="Q1091" i="1" s="1"/>
  <c r="R1091" i="1" s="1"/>
  <c r="S1091" i="1" s="1"/>
  <c r="T1091" i="1" s="1"/>
  <c r="M1096" i="1"/>
  <c r="N1096" i="1" s="1"/>
  <c r="Q1096" i="1" s="1"/>
  <c r="R1096" i="1" s="1"/>
  <c r="S1096" i="1" s="1"/>
  <c r="T1096" i="1" s="1"/>
  <c r="F1099" i="1"/>
  <c r="M1104" i="1"/>
  <c r="N1104" i="1" s="1"/>
  <c r="Q1104" i="1" s="1"/>
  <c r="R1104" i="1" s="1"/>
  <c r="S1104" i="1" s="1"/>
  <c r="T1104" i="1" s="1"/>
  <c r="M1110" i="1"/>
  <c r="N1110" i="1" s="1"/>
  <c r="Q1110" i="1" s="1"/>
  <c r="R1110" i="1" s="1"/>
  <c r="S1110" i="1" s="1"/>
  <c r="T1110" i="1" s="1"/>
  <c r="M1127" i="1"/>
  <c r="N1127" i="1" s="1"/>
  <c r="Q1127" i="1" s="1"/>
  <c r="R1127" i="1" s="1"/>
  <c r="S1127" i="1" s="1"/>
  <c r="T1127" i="1" s="1"/>
  <c r="M1149" i="1"/>
  <c r="N1149" i="1" s="1"/>
  <c r="Q1149" i="1" s="1"/>
  <c r="R1149" i="1" s="1"/>
  <c r="S1149" i="1" s="1"/>
  <c r="T1149" i="1" s="1"/>
  <c r="M1154" i="1"/>
  <c r="N1154" i="1" s="1"/>
  <c r="Q1154" i="1" s="1"/>
  <c r="R1154" i="1" s="1"/>
  <c r="S1154" i="1" s="1"/>
  <c r="T1154" i="1" s="1"/>
  <c r="F1164" i="1"/>
  <c r="M1168" i="1"/>
  <c r="N1168" i="1" s="1"/>
  <c r="Q1168" i="1" s="1"/>
  <c r="M1179" i="1"/>
  <c r="N1179" i="1" s="1"/>
  <c r="Q1179" i="1" s="1"/>
  <c r="R1179" i="1" s="1"/>
  <c r="S1179" i="1" s="1"/>
  <c r="T1179" i="1" s="1"/>
  <c r="M1197" i="1"/>
  <c r="N1197" i="1" s="1"/>
  <c r="Q1197" i="1" s="1"/>
  <c r="R1197" i="1" s="1"/>
  <c r="S1197" i="1" s="1"/>
  <c r="T1197" i="1" s="1"/>
  <c r="R1201" i="1"/>
  <c r="S1201" i="1" s="1"/>
  <c r="T1201" i="1" s="1"/>
  <c r="M1207" i="1"/>
  <c r="N1207" i="1" s="1"/>
  <c r="Q1207" i="1" s="1"/>
  <c r="R1207" i="1" s="1"/>
  <c r="S1207" i="1" s="1"/>
  <c r="T1207" i="1" s="1"/>
  <c r="M1214" i="1"/>
  <c r="N1214" i="1" s="1"/>
  <c r="Q1214" i="1" s="1"/>
  <c r="R1214" i="1" s="1"/>
  <c r="S1214" i="1" s="1"/>
  <c r="T1214" i="1" s="1"/>
  <c r="F1227" i="1"/>
  <c r="R1231" i="1"/>
  <c r="S1231" i="1" s="1"/>
  <c r="T1231" i="1" s="1"/>
  <c r="F1234" i="1"/>
  <c r="M1238" i="1"/>
  <c r="N1238" i="1" s="1"/>
  <c r="Q1238" i="1" s="1"/>
  <c r="R1238" i="1" s="1"/>
  <c r="S1238" i="1" s="1"/>
  <c r="T1238" i="1" s="1"/>
  <c r="F1241" i="1"/>
  <c r="R1242" i="1"/>
  <c r="S1242" i="1" s="1"/>
  <c r="T1242" i="1" s="1"/>
  <c r="R1246" i="1"/>
  <c r="S1246" i="1" s="1"/>
  <c r="T1246" i="1" s="1"/>
  <c r="M1251" i="1"/>
  <c r="N1251" i="1" s="1"/>
  <c r="Q1251" i="1" s="1"/>
  <c r="R1251" i="1" s="1"/>
  <c r="S1251" i="1" s="1"/>
  <c r="T1251" i="1" s="1"/>
  <c r="R1252" i="1"/>
  <c r="S1252" i="1" s="1"/>
  <c r="T1252" i="1" s="1"/>
  <c r="F1262" i="1"/>
  <c r="M1273" i="1"/>
  <c r="N1273" i="1" s="1"/>
  <c r="Q1273" i="1" s="1"/>
  <c r="R1273" i="1" s="1"/>
  <c r="S1273" i="1" s="1"/>
  <c r="T1273" i="1" s="1"/>
  <c r="F1280" i="1"/>
  <c r="F1292" i="1"/>
  <c r="M1293" i="1"/>
  <c r="N1293" i="1" s="1"/>
  <c r="Q1293" i="1" s="1"/>
  <c r="R1293" i="1" s="1"/>
  <c r="S1293" i="1" s="1"/>
  <c r="T1293" i="1" s="1"/>
  <c r="M1297" i="1"/>
  <c r="N1297" i="1" s="1"/>
  <c r="Q1297" i="1" s="1"/>
  <c r="R1297" i="1" s="1"/>
  <c r="S1297" i="1" s="1"/>
  <c r="T1297" i="1" s="1"/>
  <c r="R1193" i="1"/>
  <c r="S1193" i="1" s="1"/>
  <c r="T1193" i="1" s="1"/>
  <c r="R1206" i="1"/>
  <c r="S1206" i="1" s="1"/>
  <c r="T1206" i="1" s="1"/>
  <c r="R1230" i="1"/>
  <c r="S1230" i="1" s="1"/>
  <c r="T1230" i="1" s="1"/>
  <c r="R1244" i="1"/>
  <c r="S1244" i="1" s="1"/>
  <c r="T1244" i="1" s="1"/>
  <c r="R1248" i="1"/>
  <c r="S1248" i="1" s="1"/>
  <c r="T1248" i="1" s="1"/>
  <c r="R1285" i="1"/>
  <c r="S1285" i="1" s="1"/>
  <c r="T1285" i="1" s="1"/>
  <c r="R1289" i="1"/>
  <c r="S1289" i="1" s="1"/>
  <c r="T1289" i="1" s="1"/>
  <c r="F961" i="1"/>
  <c r="F964" i="1"/>
  <c r="M969" i="1"/>
  <c r="N969" i="1" s="1"/>
  <c r="Q969" i="1" s="1"/>
  <c r="R969" i="1" s="1"/>
  <c r="S969" i="1" s="1"/>
  <c r="T969" i="1" s="1"/>
  <c r="F988" i="1"/>
  <c r="F989" i="1"/>
  <c r="M994" i="1"/>
  <c r="N994" i="1" s="1"/>
  <c r="Q994" i="1" s="1"/>
  <c r="R994" i="1" s="1"/>
  <c r="S994" i="1" s="1"/>
  <c r="T994" i="1" s="1"/>
  <c r="F1001" i="1"/>
  <c r="F1005" i="1"/>
  <c r="M1016" i="1"/>
  <c r="N1016" i="1" s="1"/>
  <c r="Q1016" i="1" s="1"/>
  <c r="R1016" i="1" s="1"/>
  <c r="S1016" i="1" s="1"/>
  <c r="T1016" i="1" s="1"/>
  <c r="M1026" i="1"/>
  <c r="N1026" i="1" s="1"/>
  <c r="Q1026" i="1" s="1"/>
  <c r="R1026" i="1" s="1"/>
  <c r="S1026" i="1" s="1"/>
  <c r="T1026" i="1" s="1"/>
  <c r="M1045" i="1"/>
  <c r="N1045" i="1" s="1"/>
  <c r="Q1045" i="1" s="1"/>
  <c r="R1045" i="1" s="1"/>
  <c r="S1045" i="1" s="1"/>
  <c r="T1045" i="1" s="1"/>
  <c r="M1079" i="1"/>
  <c r="N1079" i="1" s="1"/>
  <c r="Q1079" i="1" s="1"/>
  <c r="R1079" i="1" s="1"/>
  <c r="S1079" i="1" s="1"/>
  <c r="T1079" i="1" s="1"/>
  <c r="M1086" i="1"/>
  <c r="N1086" i="1" s="1"/>
  <c r="Q1086" i="1" s="1"/>
  <c r="R1086" i="1" s="1"/>
  <c r="S1086" i="1" s="1"/>
  <c r="T1086" i="1" s="1"/>
  <c r="F1092" i="1"/>
  <c r="M1093" i="1"/>
  <c r="N1093" i="1" s="1"/>
  <c r="Q1093" i="1" s="1"/>
  <c r="R1093" i="1" s="1"/>
  <c r="S1093" i="1" s="1"/>
  <c r="T1093" i="1" s="1"/>
  <c r="M1107" i="1"/>
  <c r="N1107" i="1" s="1"/>
  <c r="Q1107" i="1" s="1"/>
  <c r="R1107" i="1" s="1"/>
  <c r="S1107" i="1" s="1"/>
  <c r="T1107" i="1" s="1"/>
  <c r="M1112" i="1"/>
  <c r="N1112" i="1" s="1"/>
  <c r="Q1112" i="1" s="1"/>
  <c r="R1112" i="1" s="1"/>
  <c r="S1112" i="1" s="1"/>
  <c r="T1112" i="1" s="1"/>
  <c r="M1120" i="1"/>
  <c r="N1120" i="1" s="1"/>
  <c r="Q1120" i="1" s="1"/>
  <c r="R1120" i="1" s="1"/>
  <c r="S1120" i="1" s="1"/>
  <c r="T1120" i="1" s="1"/>
  <c r="F1122" i="1"/>
  <c r="F1125" i="1"/>
  <c r="M1126" i="1"/>
  <c r="N1126" i="1" s="1"/>
  <c r="Q1126" i="1" s="1"/>
  <c r="R1126" i="1" s="1"/>
  <c r="S1126" i="1" s="1"/>
  <c r="T1126" i="1" s="1"/>
  <c r="F1129" i="1"/>
  <c r="M1130" i="1"/>
  <c r="N1130" i="1" s="1"/>
  <c r="Q1130" i="1" s="1"/>
  <c r="R1130" i="1" s="1"/>
  <c r="S1130" i="1" s="1"/>
  <c r="T1130" i="1" s="1"/>
  <c r="F1136" i="1"/>
  <c r="F1143" i="1"/>
  <c r="F1146" i="1"/>
  <c r="M1147" i="1"/>
  <c r="N1147" i="1" s="1"/>
  <c r="Q1147" i="1" s="1"/>
  <c r="R1147" i="1" s="1"/>
  <c r="S1147" i="1" s="1"/>
  <c r="T1147" i="1" s="1"/>
  <c r="M1159" i="1"/>
  <c r="N1159" i="1" s="1"/>
  <c r="Q1159" i="1" s="1"/>
  <c r="R1159" i="1" s="1"/>
  <c r="S1159" i="1" s="1"/>
  <c r="T1159" i="1" s="1"/>
  <c r="M1164" i="1"/>
  <c r="N1164" i="1" s="1"/>
  <c r="Q1164" i="1" s="1"/>
  <c r="R1164" i="1" s="1"/>
  <c r="S1164" i="1" s="1"/>
  <c r="T1164" i="1" s="1"/>
  <c r="M1175" i="1"/>
  <c r="N1175" i="1" s="1"/>
  <c r="Q1175" i="1" s="1"/>
  <c r="R1175" i="1" s="1"/>
  <c r="S1175" i="1" s="1"/>
  <c r="T1175" i="1" s="1"/>
  <c r="F1177" i="1"/>
  <c r="F1181" i="1"/>
  <c r="F1195" i="1"/>
  <c r="M1200" i="1"/>
  <c r="N1200" i="1" s="1"/>
  <c r="Q1200" i="1" s="1"/>
  <c r="R1200" i="1" s="1"/>
  <c r="S1200" i="1" s="1"/>
  <c r="T1200" i="1" s="1"/>
  <c r="F1202" i="1"/>
  <c r="M1203" i="1"/>
  <c r="N1203" i="1" s="1"/>
  <c r="Q1203" i="1" s="1"/>
  <c r="R1203" i="1" s="1"/>
  <c r="S1203" i="1" s="1"/>
  <c r="T1203" i="1" s="1"/>
  <c r="F1205" i="1"/>
  <c r="F1210" i="1"/>
  <c r="M1211" i="1"/>
  <c r="N1211" i="1" s="1"/>
  <c r="Q1211" i="1" s="1"/>
  <c r="R1211" i="1" s="1"/>
  <c r="S1211" i="1" s="1"/>
  <c r="T1211" i="1" s="1"/>
  <c r="F1220" i="1"/>
  <c r="M1221" i="1"/>
  <c r="N1221" i="1" s="1"/>
  <c r="Q1221" i="1" s="1"/>
  <c r="R1221" i="1" s="1"/>
  <c r="S1221" i="1" s="1"/>
  <c r="T1221" i="1" s="1"/>
  <c r="F1243" i="1"/>
  <c r="M1262" i="1"/>
  <c r="N1262" i="1" s="1"/>
  <c r="Q1262" i="1" s="1"/>
  <c r="R1262" i="1" s="1"/>
  <c r="S1262" i="1" s="1"/>
  <c r="T1262" i="1" s="1"/>
  <c r="F1264" i="1"/>
  <c r="F1271" i="1"/>
  <c r="M1272" i="1"/>
  <c r="N1272" i="1" s="1"/>
  <c r="Q1272" i="1" s="1"/>
  <c r="R1272" i="1" s="1"/>
  <c r="S1272" i="1" s="1"/>
  <c r="T1272" i="1" s="1"/>
  <c r="M1280" i="1"/>
  <c r="N1280" i="1" s="1"/>
  <c r="Q1280" i="1" s="1"/>
  <c r="R1280" i="1" s="1"/>
  <c r="S1280" i="1" s="1"/>
  <c r="T1280" i="1" s="1"/>
  <c r="F1282" i="1"/>
  <c r="F1283" i="1"/>
  <c r="R1061" i="1"/>
  <c r="S1061" i="1" s="1"/>
  <c r="T1061" i="1" s="1"/>
  <c r="F1064" i="1"/>
  <c r="F1070" i="1"/>
  <c r="F1075" i="1"/>
  <c r="R1076" i="1"/>
  <c r="S1076" i="1" s="1"/>
  <c r="T1076" i="1" s="1"/>
  <c r="F1085" i="1"/>
  <c r="F1097" i="1"/>
  <c r="M1102" i="1"/>
  <c r="N1102" i="1" s="1"/>
  <c r="Q1102" i="1" s="1"/>
  <c r="R1102" i="1" s="1"/>
  <c r="S1102" i="1" s="1"/>
  <c r="T1102" i="1" s="1"/>
  <c r="F1114" i="1"/>
  <c r="M1158" i="1"/>
  <c r="N1158" i="1" s="1"/>
  <c r="Q1158" i="1" s="1"/>
  <c r="R1158" i="1" s="1"/>
  <c r="S1158" i="1" s="1"/>
  <c r="T1158" i="1" s="1"/>
  <c r="F1166" i="1"/>
  <c r="F1169" i="1"/>
  <c r="R1188" i="1"/>
  <c r="S1188" i="1" s="1"/>
  <c r="T1188" i="1" s="1"/>
  <c r="R1276" i="1"/>
  <c r="S1276" i="1" s="1"/>
  <c r="T1276" i="1" s="1"/>
  <c r="M1299" i="1"/>
  <c r="N1299" i="1" s="1"/>
  <c r="Q1299" i="1" s="1"/>
  <c r="R1299" i="1" s="1"/>
  <c r="S1299" i="1" s="1"/>
  <c r="T1299" i="1" s="1"/>
  <c r="M67" i="1"/>
  <c r="N67" i="1" s="1"/>
  <c r="Q67" i="1" s="1"/>
  <c r="R67" i="1" s="1"/>
  <c r="S67" i="1" s="1"/>
  <c r="T67" i="1" s="1"/>
  <c r="M71" i="1"/>
  <c r="N71" i="1" s="1"/>
  <c r="Q71" i="1" s="1"/>
  <c r="R71" i="1" s="1"/>
  <c r="S71" i="1" s="1"/>
  <c r="T71" i="1" s="1"/>
  <c r="M75" i="1"/>
  <c r="N75" i="1" s="1"/>
  <c r="Q75" i="1" s="1"/>
  <c r="R75" i="1" s="1"/>
  <c r="S75" i="1" s="1"/>
  <c r="T75" i="1" s="1"/>
  <c r="M79" i="1"/>
  <c r="N79" i="1" s="1"/>
  <c r="Q79" i="1" s="1"/>
  <c r="R79" i="1" s="1"/>
  <c r="S79" i="1" s="1"/>
  <c r="T79" i="1" s="1"/>
  <c r="M83" i="1"/>
  <c r="N83" i="1" s="1"/>
  <c r="Q83" i="1" s="1"/>
  <c r="R83" i="1" s="1"/>
  <c r="S83" i="1" s="1"/>
  <c r="T83" i="1" s="1"/>
  <c r="M91" i="1"/>
  <c r="N91" i="1" s="1"/>
  <c r="Q91" i="1" s="1"/>
  <c r="R91" i="1" s="1"/>
  <c r="S91" i="1" s="1"/>
  <c r="T91" i="1" s="1"/>
  <c r="M129" i="1"/>
  <c r="N129" i="1" s="1"/>
  <c r="Q129" i="1" s="1"/>
  <c r="R129" i="1" s="1"/>
  <c r="S129" i="1" s="1"/>
  <c r="T129" i="1" s="1"/>
  <c r="F143" i="1"/>
  <c r="F159" i="1"/>
  <c r="F187" i="1"/>
  <c r="M9" i="1"/>
  <c r="N9" i="1" s="1"/>
  <c r="Q9" i="1" s="1"/>
  <c r="R9" i="1" s="1"/>
  <c r="S9" i="1" s="1"/>
  <c r="T9" i="1" s="1"/>
  <c r="M113" i="1"/>
  <c r="N113" i="1" s="1"/>
  <c r="Q113" i="1" s="1"/>
  <c r="R113" i="1" s="1"/>
  <c r="S113" i="1" s="1"/>
  <c r="T113" i="1" s="1"/>
  <c r="F127" i="1"/>
  <c r="R141" i="1"/>
  <c r="S141" i="1" s="1"/>
  <c r="T141" i="1" s="1"/>
  <c r="R157" i="1"/>
  <c r="S157" i="1" s="1"/>
  <c r="T157" i="1" s="1"/>
  <c r="M15" i="1"/>
  <c r="N15" i="1" s="1"/>
  <c r="Q15" i="1" s="1"/>
  <c r="R15" i="1" s="1"/>
  <c r="S15" i="1" s="1"/>
  <c r="T15" i="1" s="1"/>
  <c r="M17" i="1"/>
  <c r="N17" i="1" s="1"/>
  <c r="Q17" i="1" s="1"/>
  <c r="R17" i="1" s="1"/>
  <c r="S17" i="1" s="1"/>
  <c r="T17" i="1" s="1"/>
  <c r="F23" i="1"/>
  <c r="M25" i="1"/>
  <c r="N25" i="1" s="1"/>
  <c r="Q25" i="1" s="1"/>
  <c r="R25" i="1" s="1"/>
  <c r="S25" i="1" s="1"/>
  <c r="T25" i="1" s="1"/>
  <c r="M69" i="1"/>
  <c r="N69" i="1" s="1"/>
  <c r="Q69" i="1" s="1"/>
  <c r="R69" i="1" s="1"/>
  <c r="S69" i="1" s="1"/>
  <c r="T69" i="1" s="1"/>
  <c r="M73" i="1"/>
  <c r="N73" i="1" s="1"/>
  <c r="Q73" i="1" s="1"/>
  <c r="R73" i="1" s="1"/>
  <c r="S73" i="1" s="1"/>
  <c r="T73" i="1" s="1"/>
  <c r="M77" i="1"/>
  <c r="N77" i="1" s="1"/>
  <c r="Q77" i="1" s="1"/>
  <c r="R77" i="1" s="1"/>
  <c r="S77" i="1" s="1"/>
  <c r="T77" i="1" s="1"/>
  <c r="M81" i="1"/>
  <c r="N81" i="1" s="1"/>
  <c r="Q81" i="1" s="1"/>
  <c r="R81" i="1" s="1"/>
  <c r="S81" i="1" s="1"/>
  <c r="T81" i="1" s="1"/>
  <c r="M87" i="1"/>
  <c r="N87" i="1" s="1"/>
  <c r="Q87" i="1" s="1"/>
  <c r="R87" i="1" s="1"/>
  <c r="S87" i="1" s="1"/>
  <c r="T87" i="1" s="1"/>
  <c r="M95" i="1"/>
  <c r="N95" i="1" s="1"/>
  <c r="Q95" i="1" s="1"/>
  <c r="R95" i="1" s="1"/>
  <c r="S95" i="1" s="1"/>
  <c r="T95" i="1" s="1"/>
  <c r="R112" i="1"/>
  <c r="S112" i="1" s="1"/>
  <c r="T112" i="1" s="1"/>
  <c r="M5" i="1"/>
  <c r="N5" i="1" s="1"/>
  <c r="Q5" i="1" s="1"/>
  <c r="R5" i="1" s="1"/>
  <c r="S5" i="1" s="1"/>
  <c r="T5" i="1" s="1"/>
  <c r="M110" i="1"/>
  <c r="N110" i="1" s="1"/>
  <c r="Q110" i="1" s="1"/>
  <c r="R110" i="1" s="1"/>
  <c r="S110" i="1" s="1"/>
  <c r="T110" i="1" s="1"/>
  <c r="M145" i="1"/>
  <c r="N145" i="1" s="1"/>
  <c r="Q145" i="1" s="1"/>
  <c r="R145" i="1" s="1"/>
  <c r="S145" i="1" s="1"/>
  <c r="T145" i="1" s="1"/>
  <c r="M161" i="1"/>
  <c r="N161" i="1" s="1"/>
  <c r="Q161" i="1" s="1"/>
  <c r="R161" i="1" s="1"/>
  <c r="S161" i="1" s="1"/>
  <c r="T161" i="1" s="1"/>
  <c r="F98" i="1"/>
  <c r="F114" i="1"/>
  <c r="F130" i="1"/>
  <c r="F146" i="1"/>
  <c r="F162" i="1"/>
  <c r="F172" i="1"/>
  <c r="F181" i="1"/>
  <c r="F184" i="1"/>
  <c r="R225" i="1"/>
  <c r="S225" i="1" s="1"/>
  <c r="T225" i="1" s="1"/>
  <c r="F112" i="1"/>
  <c r="F128" i="1"/>
  <c r="F144" i="1"/>
  <c r="F160" i="1"/>
  <c r="M180" i="1"/>
  <c r="N180" i="1" s="1"/>
  <c r="Q180" i="1" s="1"/>
  <c r="R180" i="1" s="1"/>
  <c r="S180" i="1" s="1"/>
  <c r="T180" i="1" s="1"/>
  <c r="M183" i="1"/>
  <c r="N183" i="1" s="1"/>
  <c r="Q183" i="1" s="1"/>
  <c r="R183" i="1" s="1"/>
  <c r="S183" i="1" s="1"/>
  <c r="T183" i="1" s="1"/>
  <c r="F194" i="1"/>
  <c r="R243" i="1"/>
  <c r="S243" i="1" s="1"/>
  <c r="T243" i="1" s="1"/>
  <c r="F100" i="1"/>
  <c r="F116" i="1"/>
  <c r="F132" i="1"/>
  <c r="F148" i="1"/>
  <c r="F164" i="1"/>
  <c r="R177" i="1"/>
  <c r="S177" i="1" s="1"/>
  <c r="T177" i="1" s="1"/>
  <c r="R208" i="1"/>
  <c r="S208" i="1" s="1"/>
  <c r="T208" i="1" s="1"/>
  <c r="F110" i="1"/>
  <c r="F126" i="1"/>
  <c r="F142" i="1"/>
  <c r="F158" i="1"/>
  <c r="F176" i="1"/>
  <c r="R182" i="1"/>
  <c r="S182" i="1" s="1"/>
  <c r="T182" i="1" s="1"/>
  <c r="R204" i="1"/>
  <c r="S204" i="1" s="1"/>
  <c r="T204" i="1" s="1"/>
  <c r="M215" i="1"/>
  <c r="N215" i="1" s="1"/>
  <c r="Q215" i="1" s="1"/>
  <c r="R215" i="1" s="1"/>
  <c r="S215" i="1" s="1"/>
  <c r="T215" i="1" s="1"/>
  <c r="F244" i="1"/>
  <c r="F256" i="1"/>
  <c r="F182" i="1"/>
  <c r="F199" i="1"/>
  <c r="F203" i="1"/>
  <c r="M217" i="1"/>
  <c r="N217" i="1" s="1"/>
  <c r="Q217" i="1" s="1"/>
  <c r="R217" i="1" s="1"/>
  <c r="S217" i="1" s="1"/>
  <c r="T217" i="1" s="1"/>
  <c r="M219" i="1"/>
  <c r="N219" i="1" s="1"/>
  <c r="Q219" i="1" s="1"/>
  <c r="R219" i="1" s="1"/>
  <c r="S219" i="1" s="1"/>
  <c r="T219" i="1" s="1"/>
  <c r="M220" i="1"/>
  <c r="N220" i="1" s="1"/>
  <c r="Q220" i="1" s="1"/>
  <c r="R220" i="1" s="1"/>
  <c r="S220" i="1" s="1"/>
  <c r="T220" i="1" s="1"/>
  <c r="M222" i="1"/>
  <c r="N222" i="1" s="1"/>
  <c r="Q222" i="1" s="1"/>
  <c r="R222" i="1" s="1"/>
  <c r="S222" i="1" s="1"/>
  <c r="T222" i="1" s="1"/>
  <c r="F269" i="1"/>
  <c r="F273" i="1"/>
  <c r="F277" i="1"/>
  <c r="F281" i="1"/>
  <c r="F285" i="1"/>
  <c r="F289" i="1"/>
  <c r="F293" i="1"/>
  <c r="F297" i="1"/>
  <c r="F192" i="1"/>
  <c r="F204" i="1"/>
  <c r="M231" i="1"/>
  <c r="N231" i="1" s="1"/>
  <c r="Q231" i="1" s="1"/>
  <c r="R231" i="1" s="1"/>
  <c r="S231" i="1" s="1"/>
  <c r="T231" i="1" s="1"/>
  <c r="F180" i="1"/>
  <c r="F263" i="1"/>
  <c r="F265" i="1"/>
  <c r="F260" i="1"/>
  <c r="F271" i="1"/>
  <c r="F275" i="1"/>
  <c r="F279" i="1"/>
  <c r="F283" i="1"/>
  <c r="F287" i="1"/>
  <c r="F291" i="1"/>
  <c r="F295" i="1"/>
  <c r="F299" i="1"/>
  <c r="R591" i="1"/>
  <c r="S591" i="1" s="1"/>
  <c r="T591" i="1" s="1"/>
  <c r="F593" i="1"/>
  <c r="F223" i="1"/>
  <c r="F245" i="1"/>
  <c r="F261" i="1"/>
  <c r="F308" i="1"/>
  <c r="F316" i="1"/>
  <c r="F324" i="1"/>
  <c r="F332" i="1"/>
  <c r="F340" i="1"/>
  <c r="F348" i="1"/>
  <c r="F356" i="1"/>
  <c r="F364" i="1"/>
  <c r="F372" i="1"/>
  <c r="M374" i="1"/>
  <c r="N374" i="1" s="1"/>
  <c r="Q374" i="1" s="1"/>
  <c r="R374" i="1" s="1"/>
  <c r="S374" i="1" s="1"/>
  <c r="T374" i="1" s="1"/>
  <c r="F380" i="1"/>
  <c r="M382" i="1"/>
  <c r="N382" i="1" s="1"/>
  <c r="Q382" i="1" s="1"/>
  <c r="R382" i="1" s="1"/>
  <c r="S382" i="1" s="1"/>
  <c r="T382" i="1" s="1"/>
  <c r="F388" i="1"/>
  <c r="M390" i="1"/>
  <c r="N390" i="1" s="1"/>
  <c r="Q390" i="1" s="1"/>
  <c r="R390" i="1" s="1"/>
  <c r="S390" i="1" s="1"/>
  <c r="T390" i="1" s="1"/>
  <c r="F396" i="1"/>
  <c r="M398" i="1"/>
  <c r="N398" i="1" s="1"/>
  <c r="Q398" i="1" s="1"/>
  <c r="R398" i="1" s="1"/>
  <c r="S398" i="1" s="1"/>
  <c r="T398" i="1" s="1"/>
  <c r="F404" i="1"/>
  <c r="M406" i="1"/>
  <c r="N406" i="1" s="1"/>
  <c r="Q406" i="1" s="1"/>
  <c r="R406" i="1" s="1"/>
  <c r="S406" i="1" s="1"/>
  <c r="T406" i="1" s="1"/>
  <c r="M414" i="1"/>
  <c r="N414" i="1" s="1"/>
  <c r="Q414" i="1" s="1"/>
  <c r="R414" i="1" s="1"/>
  <c r="S414" i="1" s="1"/>
  <c r="T414" i="1" s="1"/>
  <c r="M473" i="1"/>
  <c r="N473" i="1" s="1"/>
  <c r="Q473" i="1" s="1"/>
  <c r="R473" i="1" s="1"/>
  <c r="S473" i="1" s="1"/>
  <c r="T473" i="1" s="1"/>
  <c r="R487" i="1"/>
  <c r="S487" i="1" s="1"/>
  <c r="T487" i="1" s="1"/>
  <c r="M493" i="1"/>
  <c r="N493" i="1" s="1"/>
  <c r="Q493" i="1" s="1"/>
  <c r="R493" i="1" s="1"/>
  <c r="S493" i="1" s="1"/>
  <c r="T493" i="1" s="1"/>
  <c r="F195" i="1"/>
  <c r="F211" i="1"/>
  <c r="F227" i="1"/>
  <c r="F257" i="1"/>
  <c r="F306" i="1"/>
  <c r="F314" i="1"/>
  <c r="F322" i="1"/>
  <c r="F330" i="1"/>
  <c r="F338" i="1"/>
  <c r="F346" i="1"/>
  <c r="F354" i="1"/>
  <c r="F362" i="1"/>
  <c r="F370" i="1"/>
  <c r="M372" i="1"/>
  <c r="N372" i="1" s="1"/>
  <c r="Q372" i="1" s="1"/>
  <c r="R372" i="1" s="1"/>
  <c r="S372" i="1" s="1"/>
  <c r="T372" i="1" s="1"/>
  <c r="F378" i="1"/>
  <c r="M380" i="1"/>
  <c r="N380" i="1" s="1"/>
  <c r="Q380" i="1" s="1"/>
  <c r="R380" i="1" s="1"/>
  <c r="S380" i="1" s="1"/>
  <c r="T380" i="1" s="1"/>
  <c r="F386" i="1"/>
  <c r="M388" i="1"/>
  <c r="N388" i="1" s="1"/>
  <c r="Q388" i="1" s="1"/>
  <c r="R388" i="1" s="1"/>
  <c r="S388" i="1" s="1"/>
  <c r="T388" i="1" s="1"/>
  <c r="F394" i="1"/>
  <c r="M396" i="1"/>
  <c r="N396" i="1" s="1"/>
  <c r="Q396" i="1" s="1"/>
  <c r="R396" i="1" s="1"/>
  <c r="S396" i="1" s="1"/>
  <c r="T396" i="1" s="1"/>
  <c r="F402" i="1"/>
  <c r="M404" i="1"/>
  <c r="N404" i="1" s="1"/>
  <c r="Q404" i="1" s="1"/>
  <c r="R404" i="1" s="1"/>
  <c r="S404" i="1" s="1"/>
  <c r="T404" i="1" s="1"/>
  <c r="F410" i="1"/>
  <c r="M412" i="1"/>
  <c r="N412" i="1" s="1"/>
  <c r="Q412" i="1" s="1"/>
  <c r="R412" i="1" s="1"/>
  <c r="S412" i="1" s="1"/>
  <c r="T412" i="1" s="1"/>
  <c r="F418" i="1"/>
  <c r="F434" i="1"/>
  <c r="R478" i="1"/>
  <c r="S478" i="1" s="1"/>
  <c r="T478" i="1" s="1"/>
  <c r="R524" i="1"/>
  <c r="S524" i="1" s="1"/>
  <c r="T524" i="1" s="1"/>
  <c r="R530" i="1"/>
  <c r="S530" i="1" s="1"/>
  <c r="T530" i="1" s="1"/>
  <c r="M573" i="1"/>
  <c r="N573" i="1" s="1"/>
  <c r="Q573" i="1" s="1"/>
  <c r="R573" i="1" s="1"/>
  <c r="S573" i="1" s="1"/>
  <c r="T573" i="1" s="1"/>
  <c r="F300" i="1"/>
  <c r="F301" i="1"/>
  <c r="F302" i="1"/>
  <c r="F303" i="1"/>
  <c r="F304" i="1"/>
  <c r="F428" i="1"/>
  <c r="F444" i="1"/>
  <c r="R447" i="1"/>
  <c r="S447" i="1" s="1"/>
  <c r="T447" i="1" s="1"/>
  <c r="F588" i="1"/>
  <c r="F209" i="1"/>
  <c r="F225" i="1"/>
  <c r="F235" i="1"/>
  <c r="F239" i="1"/>
  <c r="F243" i="1"/>
  <c r="F259" i="1"/>
  <c r="F432" i="1"/>
  <c r="F469" i="1"/>
  <c r="M528" i="1"/>
  <c r="N528" i="1" s="1"/>
  <c r="Q528" i="1" s="1"/>
  <c r="R528" i="1" s="1"/>
  <c r="S528" i="1" s="1"/>
  <c r="T528" i="1" s="1"/>
  <c r="R533" i="1"/>
  <c r="S533" i="1" s="1"/>
  <c r="T533" i="1" s="1"/>
  <c r="R549" i="1"/>
  <c r="S549" i="1" s="1"/>
  <c r="T549" i="1" s="1"/>
  <c r="F471" i="1"/>
  <c r="F495" i="1"/>
  <c r="F508" i="1"/>
  <c r="F513" i="1"/>
  <c r="M542" i="1"/>
  <c r="N542" i="1" s="1"/>
  <c r="Q542" i="1" s="1"/>
  <c r="R542" i="1" s="1"/>
  <c r="S542" i="1" s="1"/>
  <c r="T542" i="1" s="1"/>
  <c r="R572" i="1"/>
  <c r="S572" i="1" s="1"/>
  <c r="T572" i="1" s="1"/>
  <c r="F574" i="1"/>
  <c r="M576" i="1"/>
  <c r="N576" i="1" s="1"/>
  <c r="Q576" i="1" s="1"/>
  <c r="R576" i="1" s="1"/>
  <c r="S576" i="1" s="1"/>
  <c r="T576" i="1" s="1"/>
  <c r="M587" i="1"/>
  <c r="N587" i="1" s="1"/>
  <c r="Q587" i="1" s="1"/>
  <c r="R587" i="1" s="1"/>
  <c r="S587" i="1" s="1"/>
  <c r="T587" i="1" s="1"/>
  <c r="M626" i="1"/>
  <c r="N626" i="1" s="1"/>
  <c r="Q626" i="1" s="1"/>
  <c r="R626" i="1" s="1"/>
  <c r="S626" i="1" s="1"/>
  <c r="T626" i="1" s="1"/>
  <c r="F467" i="1"/>
  <c r="M471" i="1"/>
  <c r="N471" i="1" s="1"/>
  <c r="Q471" i="1" s="1"/>
  <c r="R471" i="1" s="1"/>
  <c r="S471" i="1" s="1"/>
  <c r="T471" i="1" s="1"/>
  <c r="M496" i="1"/>
  <c r="N496" i="1" s="1"/>
  <c r="Q496" i="1" s="1"/>
  <c r="R496" i="1" s="1"/>
  <c r="S496" i="1" s="1"/>
  <c r="T496" i="1" s="1"/>
  <c r="M525" i="1"/>
  <c r="N525" i="1" s="1"/>
  <c r="Q525" i="1" s="1"/>
  <c r="R525" i="1" s="1"/>
  <c r="S525" i="1" s="1"/>
  <c r="T525" i="1" s="1"/>
  <c r="F540" i="1"/>
  <c r="F545" i="1"/>
  <c r="M574" i="1"/>
  <c r="N574" i="1" s="1"/>
  <c r="Q574" i="1" s="1"/>
  <c r="R574" i="1" s="1"/>
  <c r="S574" i="1" s="1"/>
  <c r="T574" i="1" s="1"/>
  <c r="R604" i="1"/>
  <c r="S604" i="1" s="1"/>
  <c r="T604" i="1" s="1"/>
  <c r="F606" i="1"/>
  <c r="M608" i="1"/>
  <c r="N608" i="1" s="1"/>
  <c r="Q608" i="1" s="1"/>
  <c r="R608" i="1" s="1"/>
  <c r="S608" i="1" s="1"/>
  <c r="T608" i="1" s="1"/>
  <c r="M619" i="1"/>
  <c r="N619" i="1" s="1"/>
  <c r="Q619" i="1" s="1"/>
  <c r="R619" i="1" s="1"/>
  <c r="S619" i="1" s="1"/>
  <c r="T619" i="1" s="1"/>
  <c r="R639" i="1"/>
  <c r="S639" i="1" s="1"/>
  <c r="T639" i="1" s="1"/>
  <c r="R541" i="1"/>
  <c r="S541" i="1" s="1"/>
  <c r="T541" i="1" s="1"/>
  <c r="R602" i="1"/>
  <c r="S602" i="1" s="1"/>
  <c r="T602" i="1" s="1"/>
  <c r="F463" i="1"/>
  <c r="M467" i="1"/>
  <c r="N467" i="1" s="1"/>
  <c r="Q467" i="1" s="1"/>
  <c r="R467" i="1" s="1"/>
  <c r="S467" i="1" s="1"/>
  <c r="T467" i="1" s="1"/>
  <c r="R508" i="1"/>
  <c r="S508" i="1" s="1"/>
  <c r="T508" i="1" s="1"/>
  <c r="F510" i="1"/>
  <c r="M512" i="1"/>
  <c r="N512" i="1" s="1"/>
  <c r="Q512" i="1" s="1"/>
  <c r="R512" i="1" s="1"/>
  <c r="S512" i="1" s="1"/>
  <c r="T512" i="1" s="1"/>
  <c r="M523" i="1"/>
  <c r="N523" i="1" s="1"/>
  <c r="Q523" i="1" s="1"/>
  <c r="R523" i="1" s="1"/>
  <c r="S523" i="1" s="1"/>
  <c r="T523" i="1" s="1"/>
  <c r="M557" i="1"/>
  <c r="N557" i="1" s="1"/>
  <c r="Q557" i="1" s="1"/>
  <c r="R557" i="1" s="1"/>
  <c r="S557" i="1" s="1"/>
  <c r="T557" i="1" s="1"/>
  <c r="F572" i="1"/>
  <c r="F577" i="1"/>
  <c r="M606" i="1"/>
  <c r="N606" i="1" s="1"/>
  <c r="Q606" i="1" s="1"/>
  <c r="R606" i="1" s="1"/>
  <c r="S606" i="1" s="1"/>
  <c r="T606" i="1" s="1"/>
  <c r="R610" i="1"/>
  <c r="S610" i="1" s="1"/>
  <c r="T610" i="1" s="1"/>
  <c r="R618" i="1"/>
  <c r="S618" i="1" s="1"/>
  <c r="T618" i="1" s="1"/>
  <c r="F501" i="1"/>
  <c r="F517" i="1"/>
  <c r="F533" i="1"/>
  <c r="F549" i="1"/>
  <c r="F565" i="1"/>
  <c r="F581" i="1"/>
  <c r="F597" i="1"/>
  <c r="F613" i="1"/>
  <c r="F633" i="1"/>
  <c r="R776" i="1"/>
  <c r="S776" i="1" s="1"/>
  <c r="T776" i="1" s="1"/>
  <c r="R789" i="1"/>
  <c r="S789" i="1" s="1"/>
  <c r="T789" i="1" s="1"/>
  <c r="F511" i="1"/>
  <c r="F527" i="1"/>
  <c r="F543" i="1"/>
  <c r="F559" i="1"/>
  <c r="F575" i="1"/>
  <c r="F591" i="1"/>
  <c r="F607" i="1"/>
  <c r="F673" i="1"/>
  <c r="F674" i="1"/>
  <c r="F705" i="1"/>
  <c r="F706" i="1"/>
  <c r="F752" i="1"/>
  <c r="R767" i="1"/>
  <c r="S767" i="1" s="1"/>
  <c r="T767" i="1" s="1"/>
  <c r="F499" i="1"/>
  <c r="F515" i="1"/>
  <c r="F531" i="1"/>
  <c r="F547" i="1"/>
  <c r="F563" i="1"/>
  <c r="F579" i="1"/>
  <c r="F595" i="1"/>
  <c r="F611" i="1"/>
  <c r="M630" i="1"/>
  <c r="N630" i="1" s="1"/>
  <c r="Q630" i="1" s="1"/>
  <c r="R630" i="1" s="1"/>
  <c r="S630" i="1" s="1"/>
  <c r="T630" i="1" s="1"/>
  <c r="F640" i="1"/>
  <c r="F650" i="1"/>
  <c r="F697" i="1"/>
  <c r="F698" i="1"/>
  <c r="F503" i="1"/>
  <c r="F519" i="1"/>
  <c r="F535" i="1"/>
  <c r="F551" i="1"/>
  <c r="F567" i="1"/>
  <c r="F583" i="1"/>
  <c r="F599" i="1"/>
  <c r="F615" i="1"/>
  <c r="F658" i="1"/>
  <c r="F665" i="1"/>
  <c r="F666" i="1"/>
  <c r="F681" i="1"/>
  <c r="F682" i="1"/>
  <c r="F689" i="1"/>
  <c r="F690" i="1"/>
  <c r="M768" i="1"/>
  <c r="N768" i="1" s="1"/>
  <c r="Q768" i="1" s="1"/>
  <c r="R768" i="1" s="1"/>
  <c r="S768" i="1" s="1"/>
  <c r="T768" i="1" s="1"/>
  <c r="F782" i="1"/>
  <c r="M784" i="1"/>
  <c r="N784" i="1" s="1"/>
  <c r="Q784" i="1" s="1"/>
  <c r="R784" i="1" s="1"/>
  <c r="S784" i="1" s="1"/>
  <c r="T784" i="1" s="1"/>
  <c r="F790" i="1"/>
  <c r="R804" i="1"/>
  <c r="S804" i="1" s="1"/>
  <c r="T804" i="1" s="1"/>
  <c r="M810" i="1"/>
  <c r="N810" i="1" s="1"/>
  <c r="Q810" i="1" s="1"/>
  <c r="R810" i="1" s="1"/>
  <c r="S810" i="1" s="1"/>
  <c r="T810" i="1" s="1"/>
  <c r="F824" i="1"/>
  <c r="M826" i="1"/>
  <c r="N826" i="1" s="1"/>
  <c r="Q826" i="1" s="1"/>
  <c r="R826" i="1" s="1"/>
  <c r="S826" i="1" s="1"/>
  <c r="T826" i="1" s="1"/>
  <c r="F798" i="1"/>
  <c r="M800" i="1"/>
  <c r="N800" i="1" s="1"/>
  <c r="Q800" i="1" s="1"/>
  <c r="R800" i="1" s="1"/>
  <c r="S800" i="1" s="1"/>
  <c r="T800" i="1" s="1"/>
  <c r="F806" i="1"/>
  <c r="M814" i="1"/>
  <c r="N814" i="1" s="1"/>
  <c r="Q814" i="1" s="1"/>
  <c r="R814" i="1" s="1"/>
  <c r="S814" i="1" s="1"/>
  <c r="T814" i="1" s="1"/>
  <c r="R824" i="1"/>
  <c r="S824" i="1" s="1"/>
  <c r="T824" i="1" s="1"/>
  <c r="R847" i="1"/>
  <c r="S847" i="1" s="1"/>
  <c r="T847" i="1" s="1"/>
  <c r="F775" i="1"/>
  <c r="R808" i="1"/>
  <c r="S808" i="1" s="1"/>
  <c r="T808" i="1" s="1"/>
  <c r="R820" i="1"/>
  <c r="S820" i="1" s="1"/>
  <c r="T820" i="1" s="1"/>
  <c r="F837" i="1"/>
  <c r="F810" i="1"/>
  <c r="F818" i="1"/>
  <c r="F826" i="1"/>
  <c r="F767" i="1"/>
  <c r="F783" i="1"/>
  <c r="F811" i="1"/>
  <c r="F819" i="1"/>
  <c r="F827" i="1"/>
  <c r="F859" i="1"/>
  <c r="F777" i="1"/>
  <c r="F793" i="1"/>
  <c r="F812" i="1"/>
  <c r="F820" i="1"/>
  <c r="F828" i="1"/>
  <c r="R898" i="1"/>
  <c r="S898" i="1" s="1"/>
  <c r="T898" i="1" s="1"/>
  <c r="F781" i="1"/>
  <c r="F797" i="1"/>
  <c r="F814" i="1"/>
  <c r="F822" i="1"/>
  <c r="F831" i="1"/>
  <c r="F832" i="1"/>
  <c r="F791" i="1"/>
  <c r="F807" i="1"/>
  <c r="F815" i="1"/>
  <c r="F823" i="1"/>
  <c r="F833" i="1"/>
  <c r="F834" i="1"/>
  <c r="F883" i="1"/>
  <c r="F893" i="1"/>
  <c r="R922" i="1"/>
  <c r="S922" i="1" s="1"/>
  <c r="T922" i="1" s="1"/>
  <c r="F921" i="1"/>
  <c r="R932" i="1"/>
  <c r="S932" i="1" s="1"/>
  <c r="T932" i="1" s="1"/>
  <c r="R936" i="1"/>
  <c r="S936" i="1" s="1"/>
  <c r="T936" i="1" s="1"/>
  <c r="R952" i="1"/>
  <c r="S952" i="1" s="1"/>
  <c r="T952" i="1" s="1"/>
  <c r="F889" i="1"/>
  <c r="F905" i="1"/>
  <c r="F925" i="1"/>
  <c r="M947" i="1"/>
  <c r="N947" i="1" s="1"/>
  <c r="Q947" i="1" s="1"/>
  <c r="R947" i="1" s="1"/>
  <c r="S947" i="1" s="1"/>
  <c r="T947" i="1" s="1"/>
  <c r="F959" i="1"/>
  <c r="R1010" i="1"/>
  <c r="S1010" i="1" s="1"/>
  <c r="T1010" i="1" s="1"/>
  <c r="R964" i="1"/>
  <c r="S964" i="1" s="1"/>
  <c r="T964" i="1" s="1"/>
  <c r="R972" i="1"/>
  <c r="S972" i="1" s="1"/>
  <c r="T972" i="1" s="1"/>
  <c r="R1004" i="1"/>
  <c r="S1004" i="1" s="1"/>
  <c r="T1004" i="1" s="1"/>
  <c r="R1047" i="1"/>
  <c r="S1047" i="1" s="1"/>
  <c r="T1047" i="1" s="1"/>
  <c r="F953" i="1"/>
  <c r="M957" i="1"/>
  <c r="N957" i="1" s="1"/>
  <c r="Q957" i="1" s="1"/>
  <c r="R957" i="1" s="1"/>
  <c r="S957" i="1" s="1"/>
  <c r="T957" i="1" s="1"/>
  <c r="F965" i="1"/>
  <c r="M967" i="1"/>
  <c r="N967" i="1" s="1"/>
  <c r="Q967" i="1" s="1"/>
  <c r="R967" i="1" s="1"/>
  <c r="S967" i="1" s="1"/>
  <c r="T967" i="1" s="1"/>
  <c r="R980" i="1"/>
  <c r="S980" i="1" s="1"/>
  <c r="T980" i="1" s="1"/>
  <c r="F945" i="1"/>
  <c r="F949" i="1"/>
  <c r="M953" i="1"/>
  <c r="N953" i="1" s="1"/>
  <c r="Q953" i="1" s="1"/>
  <c r="R953" i="1" s="1"/>
  <c r="S953" i="1" s="1"/>
  <c r="T953" i="1" s="1"/>
  <c r="F963" i="1"/>
  <c r="M965" i="1"/>
  <c r="N965" i="1" s="1"/>
  <c r="Q965" i="1" s="1"/>
  <c r="R965" i="1" s="1"/>
  <c r="S965" i="1" s="1"/>
  <c r="T965" i="1" s="1"/>
  <c r="F937" i="1"/>
  <c r="F941" i="1"/>
  <c r="F947" i="1"/>
  <c r="M951" i="1"/>
  <c r="N951" i="1" s="1"/>
  <c r="Q951" i="1" s="1"/>
  <c r="R951" i="1" s="1"/>
  <c r="S951" i="1" s="1"/>
  <c r="T951" i="1" s="1"/>
  <c r="R1067" i="1"/>
  <c r="S1067" i="1" s="1"/>
  <c r="T1067" i="1" s="1"/>
  <c r="M977" i="1"/>
  <c r="N977" i="1" s="1"/>
  <c r="Q977" i="1" s="1"/>
  <c r="R977" i="1" s="1"/>
  <c r="S977" i="1" s="1"/>
  <c r="T977" i="1" s="1"/>
  <c r="M993" i="1"/>
  <c r="N993" i="1" s="1"/>
  <c r="Q993" i="1" s="1"/>
  <c r="R993" i="1" s="1"/>
  <c r="S993" i="1" s="1"/>
  <c r="T993" i="1" s="1"/>
  <c r="M1013" i="1"/>
  <c r="N1013" i="1" s="1"/>
  <c r="Q1013" i="1" s="1"/>
  <c r="R1013" i="1" s="1"/>
  <c r="S1013" i="1" s="1"/>
  <c r="T1013" i="1" s="1"/>
  <c r="R1059" i="1"/>
  <c r="S1059" i="1" s="1"/>
  <c r="T1059" i="1" s="1"/>
  <c r="R1087" i="1"/>
  <c r="S1087" i="1" s="1"/>
  <c r="T1087" i="1" s="1"/>
  <c r="M981" i="1"/>
  <c r="N981" i="1" s="1"/>
  <c r="Q981" i="1" s="1"/>
  <c r="R981" i="1" s="1"/>
  <c r="S981" i="1" s="1"/>
  <c r="T981" i="1" s="1"/>
  <c r="M997" i="1"/>
  <c r="N997" i="1" s="1"/>
  <c r="Q997" i="1" s="1"/>
  <c r="R997" i="1" s="1"/>
  <c r="S997" i="1" s="1"/>
  <c r="T997" i="1" s="1"/>
  <c r="M1009" i="1"/>
  <c r="N1009" i="1" s="1"/>
  <c r="Q1009" i="1" s="1"/>
  <c r="R1009" i="1" s="1"/>
  <c r="S1009" i="1" s="1"/>
  <c r="T1009" i="1" s="1"/>
  <c r="R1051" i="1"/>
  <c r="S1051" i="1" s="1"/>
  <c r="T1051" i="1" s="1"/>
  <c r="M975" i="1"/>
  <c r="N975" i="1" s="1"/>
  <c r="Q975" i="1" s="1"/>
  <c r="R975" i="1" s="1"/>
  <c r="S975" i="1" s="1"/>
  <c r="T975" i="1" s="1"/>
  <c r="M991" i="1"/>
  <c r="N991" i="1" s="1"/>
  <c r="Q991" i="1" s="1"/>
  <c r="R991" i="1" s="1"/>
  <c r="S991" i="1" s="1"/>
  <c r="T991" i="1" s="1"/>
  <c r="M1015" i="1"/>
  <c r="N1015" i="1" s="1"/>
  <c r="Q1015" i="1" s="1"/>
  <c r="R1015" i="1" s="1"/>
  <c r="S1015" i="1" s="1"/>
  <c r="T1015" i="1" s="1"/>
  <c r="R1022" i="1"/>
  <c r="S1022" i="1" s="1"/>
  <c r="T1022" i="1" s="1"/>
  <c r="R1030" i="1"/>
  <c r="S1030" i="1" s="1"/>
  <c r="T1030" i="1" s="1"/>
  <c r="M979" i="1"/>
  <c r="N979" i="1" s="1"/>
  <c r="Q979" i="1" s="1"/>
  <c r="R979" i="1" s="1"/>
  <c r="S979" i="1" s="1"/>
  <c r="T979" i="1" s="1"/>
  <c r="M995" i="1"/>
  <c r="N995" i="1" s="1"/>
  <c r="Q995" i="1" s="1"/>
  <c r="R995" i="1" s="1"/>
  <c r="S995" i="1" s="1"/>
  <c r="T995" i="1" s="1"/>
  <c r="R1008" i="1"/>
  <c r="S1008" i="1" s="1"/>
  <c r="T1008" i="1" s="1"/>
  <c r="M1011" i="1"/>
  <c r="N1011" i="1" s="1"/>
  <c r="Q1011" i="1" s="1"/>
  <c r="R1011" i="1" s="1"/>
  <c r="S1011" i="1" s="1"/>
  <c r="T1011" i="1" s="1"/>
  <c r="R1055" i="1"/>
  <c r="S1055" i="1" s="1"/>
  <c r="T1055" i="1" s="1"/>
  <c r="R1103" i="1"/>
  <c r="S1103" i="1" s="1"/>
  <c r="T1103" i="1" s="1"/>
  <c r="F1086" i="1"/>
  <c r="F1102" i="1"/>
  <c r="F1117" i="1"/>
  <c r="F1118" i="1"/>
  <c r="M1131" i="1"/>
  <c r="N1131" i="1" s="1"/>
  <c r="Q1131" i="1" s="1"/>
  <c r="R1131" i="1" s="1"/>
  <c r="S1131" i="1" s="1"/>
  <c r="T1131" i="1" s="1"/>
  <c r="R1174" i="1"/>
  <c r="S1174" i="1" s="1"/>
  <c r="T1174" i="1" s="1"/>
  <c r="F1040" i="1"/>
  <c r="F1072" i="1"/>
  <c r="F1087" i="1"/>
  <c r="F1088" i="1"/>
  <c r="F1103" i="1"/>
  <c r="F1104" i="1"/>
  <c r="F1119" i="1"/>
  <c r="M1135" i="1"/>
  <c r="N1135" i="1" s="1"/>
  <c r="Q1135" i="1" s="1"/>
  <c r="R1135" i="1" s="1"/>
  <c r="S1135" i="1" s="1"/>
  <c r="T1135" i="1" s="1"/>
  <c r="M1136" i="1"/>
  <c r="N1136" i="1" s="1"/>
  <c r="Q1136" i="1" s="1"/>
  <c r="R1136" i="1" s="1"/>
  <c r="S1136" i="1" s="1"/>
  <c r="T1136" i="1" s="1"/>
  <c r="M1144" i="1"/>
  <c r="N1144" i="1" s="1"/>
  <c r="Q1144" i="1" s="1"/>
  <c r="R1144" i="1" s="1"/>
  <c r="S1144" i="1" s="1"/>
  <c r="T1144" i="1" s="1"/>
  <c r="F1167" i="1"/>
  <c r="R1168" i="1"/>
  <c r="S1168" i="1" s="1"/>
  <c r="T1168" i="1" s="1"/>
  <c r="R1184" i="1"/>
  <c r="S1184" i="1" s="1"/>
  <c r="T1184" i="1" s="1"/>
  <c r="M1228" i="1"/>
  <c r="N1228" i="1" s="1"/>
  <c r="Q1228" i="1" s="1"/>
  <c r="R1228" i="1" s="1"/>
  <c r="S1228" i="1" s="1"/>
  <c r="T1228" i="1" s="1"/>
  <c r="F1068" i="1"/>
  <c r="F1073" i="1"/>
  <c r="F1074" i="1"/>
  <c r="F1089" i="1"/>
  <c r="F1090" i="1"/>
  <c r="F1105" i="1"/>
  <c r="F1106" i="1"/>
  <c r="M1141" i="1"/>
  <c r="N1141" i="1" s="1"/>
  <c r="Q1141" i="1" s="1"/>
  <c r="R1141" i="1" s="1"/>
  <c r="S1141" i="1" s="1"/>
  <c r="T1141" i="1" s="1"/>
  <c r="F1170" i="1"/>
  <c r="F1077" i="1"/>
  <c r="F1078" i="1"/>
  <c r="F1093" i="1"/>
  <c r="F1094" i="1"/>
  <c r="F1109" i="1"/>
  <c r="F1110" i="1"/>
  <c r="F1032" i="1"/>
  <c r="F1079" i="1"/>
  <c r="F1080" i="1"/>
  <c r="F1095" i="1"/>
  <c r="F1096" i="1"/>
  <c r="F1111" i="1"/>
  <c r="F1112" i="1"/>
  <c r="M1185" i="1"/>
  <c r="N1185" i="1" s="1"/>
  <c r="Q1185" i="1" s="1"/>
  <c r="R1185" i="1" s="1"/>
  <c r="S1185" i="1" s="1"/>
  <c r="T1185" i="1" s="1"/>
  <c r="R1194" i="1"/>
  <c r="S1194" i="1" s="1"/>
  <c r="T1194" i="1" s="1"/>
  <c r="M1119" i="1"/>
  <c r="N1119" i="1" s="1"/>
  <c r="Q1119" i="1" s="1"/>
  <c r="R1119" i="1" s="1"/>
  <c r="S1119" i="1" s="1"/>
  <c r="T1119" i="1" s="1"/>
  <c r="M1125" i="1"/>
  <c r="N1125" i="1" s="1"/>
  <c r="Q1125" i="1" s="1"/>
  <c r="R1125" i="1" s="1"/>
  <c r="S1125" i="1" s="1"/>
  <c r="T1125" i="1" s="1"/>
  <c r="M1129" i="1"/>
  <c r="N1129" i="1" s="1"/>
  <c r="Q1129" i="1" s="1"/>
  <c r="R1129" i="1" s="1"/>
  <c r="S1129" i="1" s="1"/>
  <c r="T1129" i="1" s="1"/>
  <c r="M1133" i="1"/>
  <c r="N1133" i="1" s="1"/>
  <c r="Q1133" i="1" s="1"/>
  <c r="R1133" i="1" s="1"/>
  <c r="S1133" i="1" s="1"/>
  <c r="T1133" i="1" s="1"/>
  <c r="M1138" i="1"/>
  <c r="N1138" i="1" s="1"/>
  <c r="Q1138" i="1" s="1"/>
  <c r="R1138" i="1" s="1"/>
  <c r="S1138" i="1" s="1"/>
  <c r="T1138" i="1" s="1"/>
  <c r="M1143" i="1"/>
  <c r="N1143" i="1" s="1"/>
  <c r="Q1143" i="1" s="1"/>
  <c r="R1143" i="1" s="1"/>
  <c r="S1143" i="1" s="1"/>
  <c r="T1143" i="1" s="1"/>
  <c r="F1186" i="1"/>
  <c r="R1189" i="1"/>
  <c r="S1189" i="1" s="1"/>
  <c r="T1189" i="1" s="1"/>
  <c r="M1140" i="1"/>
  <c r="N1140" i="1" s="1"/>
  <c r="Q1140" i="1" s="1"/>
  <c r="R1140" i="1" s="1"/>
  <c r="S1140" i="1" s="1"/>
  <c r="T1140" i="1" s="1"/>
  <c r="M1145" i="1"/>
  <c r="N1145" i="1" s="1"/>
  <c r="Q1145" i="1" s="1"/>
  <c r="R1145" i="1" s="1"/>
  <c r="S1145" i="1" s="1"/>
  <c r="T1145" i="1" s="1"/>
  <c r="M1182" i="1"/>
  <c r="N1182" i="1" s="1"/>
  <c r="Q1182" i="1" s="1"/>
  <c r="R1182" i="1" s="1"/>
  <c r="S1182" i="1" s="1"/>
  <c r="T1182" i="1" s="1"/>
  <c r="M1152" i="1"/>
  <c r="N1152" i="1" s="1"/>
  <c r="Q1152" i="1" s="1"/>
  <c r="R1152" i="1" s="1"/>
  <c r="S1152" i="1" s="1"/>
  <c r="T1152" i="1" s="1"/>
  <c r="F1168" i="1"/>
  <c r="F1184" i="1"/>
  <c r="F1188" i="1"/>
  <c r="F1215" i="1"/>
  <c r="F1232" i="1"/>
  <c r="F1200" i="1"/>
  <c r="M1212" i="1"/>
  <c r="N1212" i="1" s="1"/>
  <c r="Q1212" i="1" s="1"/>
  <c r="R1212" i="1" s="1"/>
  <c r="S1212" i="1" s="1"/>
  <c r="T1212" i="1" s="1"/>
  <c r="F1176" i="1"/>
  <c r="R1209" i="1"/>
  <c r="S1209" i="1" s="1"/>
  <c r="T1209" i="1" s="1"/>
  <c r="R1239" i="1"/>
  <c r="S1239" i="1" s="1"/>
  <c r="T1239" i="1" s="1"/>
  <c r="F1286" i="1"/>
  <c r="F1196" i="1"/>
  <c r="F1221" i="1"/>
  <c r="F1222" i="1"/>
  <c r="F1237" i="1"/>
  <c r="F1238" i="1"/>
  <c r="M1254" i="1"/>
  <c r="N1254" i="1" s="1"/>
  <c r="Q1254" i="1" s="1"/>
  <c r="R1254" i="1" s="1"/>
  <c r="S1254" i="1" s="1"/>
  <c r="T1254" i="1" s="1"/>
  <c r="F1266" i="1"/>
  <c r="F1279" i="1"/>
  <c r="F1290" i="1"/>
  <c r="F1223" i="1"/>
  <c r="F1224" i="1"/>
  <c r="F1239" i="1"/>
  <c r="F1240" i="1"/>
  <c r="M1257" i="1"/>
  <c r="N1257" i="1" s="1"/>
  <c r="Q1257" i="1" s="1"/>
  <c r="R1257" i="1" s="1"/>
  <c r="S1257" i="1" s="1"/>
  <c r="T1257" i="1" s="1"/>
  <c r="R1270" i="1"/>
  <c r="S1270" i="1" s="1"/>
  <c r="T1270" i="1" s="1"/>
  <c r="F1204" i="1"/>
  <c r="F1213" i="1"/>
  <c r="F1214" i="1"/>
  <c r="F1229" i="1"/>
  <c r="F1230" i="1"/>
  <c r="F1247" i="1"/>
  <c r="F1248" i="1"/>
  <c r="M1265" i="1"/>
  <c r="N1265" i="1" s="1"/>
  <c r="Q1265" i="1" s="1"/>
  <c r="R1265" i="1" s="1"/>
  <c r="S1265" i="1" s="1"/>
  <c r="T1265" i="1" s="1"/>
  <c r="M1278" i="1"/>
  <c r="N1278" i="1" s="1"/>
  <c r="Q1278" i="1" s="1"/>
  <c r="R1278" i="1" s="1"/>
  <c r="S1278" i="1" s="1"/>
  <c r="T1278" i="1" s="1"/>
  <c r="F1298" i="1"/>
  <c r="F1274" i="1"/>
  <c r="F1284" i="1"/>
  <c r="F1288" i="1"/>
  <c r="F1256" i="1"/>
  <c r="F1272" i="1"/>
  <c r="F1254" i="1"/>
  <c r="F1270" i="1"/>
</calcChain>
</file>

<file path=xl/sharedStrings.xml><?xml version="1.0" encoding="utf-8"?>
<sst xmlns="http://schemas.openxmlformats.org/spreadsheetml/2006/main" count="6522" uniqueCount="2510">
  <si>
    <t>Date(rad)</t>
  </si>
  <si>
    <t>Time(rad)</t>
  </si>
  <si>
    <t>ExifImageHeight</t>
  </si>
  <si>
    <t>ExifImageWidth</t>
  </si>
  <si>
    <t>Xobj(px)</t>
  </si>
  <si>
    <t>Yobj(px)</t>
  </si>
  <si>
    <t>XSensor(mm)</t>
  </si>
  <si>
    <t>YSensor(mm)</t>
  </si>
  <si>
    <t>LengthSensor(mm)</t>
  </si>
  <si>
    <t>DistanceFromEdgeTo Obj(px)</t>
  </si>
  <si>
    <t>DistanceFromMidToObj(px)</t>
  </si>
  <si>
    <t>DistanceFromMidToSide(m)</t>
  </si>
  <si>
    <t>DistanceFromMidToObj(m)</t>
  </si>
  <si>
    <t>Deg</t>
  </si>
  <si>
    <t>HAPP13</t>
  </si>
  <si>
    <t>IMG_0762_grid.JPG</t>
  </si>
  <si>
    <t>2019:07:02 23:05:24</t>
  </si>
  <si>
    <t>HAPP15</t>
  </si>
  <si>
    <t>IMG_1202_grid_compass.JPG</t>
  </si>
  <si>
    <t>2019:07:02 17:51:38</t>
  </si>
  <si>
    <t>HAPP18</t>
  </si>
  <si>
    <t>IMG_2459_grid_compass.JPG</t>
  </si>
  <si>
    <t>2019:08:06 22:08:51</t>
  </si>
  <si>
    <t>IMG_0291_grid_compass.JPG</t>
  </si>
  <si>
    <t>2019:07:25 23:53:27</t>
  </si>
  <si>
    <t>IMG_1073_grid_compass.JPG</t>
  </si>
  <si>
    <t>2019:07:01 08:23:40</t>
  </si>
  <si>
    <t>HAPP17</t>
  </si>
  <si>
    <t>IMG_0238_grid_compass.JPG</t>
  </si>
  <si>
    <t>2019:07:23 17:31:40</t>
  </si>
  <si>
    <t>MOPP14</t>
  </si>
  <si>
    <t>IMG_1022_grid_compass.JPG</t>
  </si>
  <si>
    <t>2019:08:18 03:19:46</t>
  </si>
  <si>
    <t>IMG_0576_grid_compass.JPG</t>
  </si>
  <si>
    <t>2019:06:26 06:14:34</t>
  </si>
  <si>
    <t>IMG_0574_grid_compass.JPG</t>
  </si>
  <si>
    <t>2019:08:13 04:20:33</t>
  </si>
  <si>
    <t>SHPP11</t>
  </si>
  <si>
    <t>IMG_0318_grid_compass_1.JPG</t>
  </si>
  <si>
    <t>2019:08:20 03:43:00</t>
  </si>
  <si>
    <t>HAPP20</t>
  </si>
  <si>
    <t>IMG_1496_grid_compass.JPG</t>
  </si>
  <si>
    <t>2019:08:09 09:47:53</t>
  </si>
  <si>
    <t>IMG_1781_grid_compass.JPG</t>
  </si>
  <si>
    <t>2019:06:03 18:38:58</t>
  </si>
  <si>
    <t>IMG_3585_grid_compass.JPG</t>
  </si>
  <si>
    <t>2019:06:05 23:49:16</t>
  </si>
  <si>
    <t>IMG_1793_grid_compass.JPG</t>
  </si>
  <si>
    <t>2019:06:03 21:05:28</t>
  </si>
  <si>
    <t>IMG_1769_grid_compass (2).JPG</t>
  </si>
  <si>
    <t>2019:06:18 02:18:46</t>
  </si>
  <si>
    <t>IMG_0570_grid_compass.JPG</t>
  </si>
  <si>
    <t>2019:06:26 05:58:15</t>
  </si>
  <si>
    <t>IMG_1391_grid_compass (2).JPG</t>
  </si>
  <si>
    <t>2019:06:02 08:30:04</t>
  </si>
  <si>
    <t>IMG_0096_grid_compass.JPG</t>
  </si>
  <si>
    <t>2019:06:27 00:02:31</t>
  </si>
  <si>
    <t>IMG_1826_grid_compass.JPG</t>
  </si>
  <si>
    <t>2019:07:26 02:43:56</t>
  </si>
  <si>
    <t>IMG_1187_grid_compass.JPG</t>
  </si>
  <si>
    <t>2019:07:18 19:56:52</t>
  </si>
  <si>
    <t>IMG_0488_grid_compass (2).JPG</t>
  </si>
  <si>
    <t>2019:08:22 22:22:32</t>
  </si>
  <si>
    <t>IMG_0899_grid_compass.JPG</t>
  </si>
  <si>
    <t>2019:06:26 01:28:40</t>
  </si>
  <si>
    <t>GIPP22</t>
  </si>
  <si>
    <t>IMG_0269_grid_compass.JPG</t>
  </si>
  <si>
    <t>2019:07:27 22:01:20</t>
  </si>
  <si>
    <t>IMG_3566_grid.JPG</t>
  </si>
  <si>
    <t>2019:06:05 21:46:56</t>
  </si>
  <si>
    <t>IMG_3583_grid_compass.JPG</t>
  </si>
  <si>
    <t>2019:06:05 23:49:15</t>
  </si>
  <si>
    <t>IMG_1370_grid_compass.JPG</t>
  </si>
  <si>
    <t>2019:06:27 05:16:08</t>
  </si>
  <si>
    <t>IMG_0844_grid_compass.JPG</t>
  </si>
  <si>
    <t>2019:06:29 18:59:21</t>
  </si>
  <si>
    <t>IMG_1316_grid_compass (2).JPG</t>
  </si>
  <si>
    <t>2019:07:22 04:46:27</t>
  </si>
  <si>
    <t>IMG_0169_grid_compass (2).JPG</t>
  </si>
  <si>
    <t>2019:06:24 17:20:53</t>
  </si>
  <si>
    <t>IMG_1109_grid_compass.JPG</t>
  </si>
  <si>
    <t>2019:07:17 20:50:34</t>
  </si>
  <si>
    <t>DEPP2</t>
  </si>
  <si>
    <t>IMG_0189_grid_compass.JPG</t>
  </si>
  <si>
    <t>2019:07:26 06:09:10</t>
  </si>
  <si>
    <t>IMG_1391_grid_compass.JPG</t>
  </si>
  <si>
    <t>2019:07:21 04:28:54</t>
  </si>
  <si>
    <t>IMG_1314_grid_compass.JPG</t>
  </si>
  <si>
    <t>2019:07:03 23:39:44</t>
  </si>
  <si>
    <t>IMG_0074_grid_compass (2).JPG</t>
  </si>
  <si>
    <t>2019:06:13 06:38:15</t>
  </si>
  <si>
    <t>IMG_0187_grid.JPG</t>
  </si>
  <si>
    <t>2019:08:07 18:02:33</t>
  </si>
  <si>
    <t>IMG_0810_grid_compass_1.JPG</t>
  </si>
  <si>
    <t>2019:08:17 03:24:55</t>
  </si>
  <si>
    <t>IMG_1746_grid_compass.JPG</t>
  </si>
  <si>
    <t>2019:08:29 04:06:28</t>
  </si>
  <si>
    <t>IMG_0328_grid_compass.JPG</t>
  </si>
  <si>
    <t>2019:06:25 05:34:18</t>
  </si>
  <si>
    <t>IMG_1420_grid_compass.JPG</t>
  </si>
  <si>
    <t>2019:07:06 18:42:03</t>
  </si>
  <si>
    <t>IMG_0272_grid_compass.JPG</t>
  </si>
  <si>
    <t>2019:08:10 08:30:43</t>
  </si>
  <si>
    <t>IMG_1218_grid_compass.JPG</t>
  </si>
  <si>
    <t>2019:08:28 06:52:53</t>
  </si>
  <si>
    <t>IMG_2382_grid_compass.JPG</t>
  </si>
  <si>
    <t>2019:06:07 06:05:17</t>
  </si>
  <si>
    <t>IMG_0336_grid_compass.JPG</t>
  </si>
  <si>
    <t>2019:06:27 21:57:50</t>
  </si>
  <si>
    <t>IMG_2272_grid_compass.JPG</t>
  </si>
  <si>
    <t>2019:06:03 05:34:20</t>
  </si>
  <si>
    <t>IMG_3588_grid_compass.JPG</t>
  </si>
  <si>
    <t>2019:06:05 23:49:17</t>
  </si>
  <si>
    <t>IMG_0610_grid_compass.JPG</t>
  </si>
  <si>
    <t>2019:07:01 02:25:58</t>
  </si>
  <si>
    <t>IMG_1080_grid_compass.JPG</t>
  </si>
  <si>
    <t>2019:06:22 03:51:16</t>
  </si>
  <si>
    <t>IMG_4284_grid_compass.JPG</t>
  </si>
  <si>
    <t>2019:07:03 00:18:21</t>
  </si>
  <si>
    <t>IMG_3437_grid.JPG</t>
  </si>
  <si>
    <t>2019:07:28 18:55:13</t>
  </si>
  <si>
    <t>IMG_4272_grid_compass.JPG</t>
  </si>
  <si>
    <t>2019:08:14 02:30:56</t>
  </si>
  <si>
    <t>IMG_2267_grid_compass.JPG</t>
  </si>
  <si>
    <t>2019:06:03 05:31:27</t>
  </si>
  <si>
    <t>IMG_1775_grid_compass.JPG</t>
  </si>
  <si>
    <t>2019:06:03 18:33:28</t>
  </si>
  <si>
    <t>IMG_0792_grid_compass.JPG</t>
  </si>
  <si>
    <t>2019:07:15 17:41:20</t>
  </si>
  <si>
    <t>IMG_0623_grid_compass.JPG</t>
  </si>
  <si>
    <t>2019:06:12 21:07:18</t>
  </si>
  <si>
    <t>IMG_0480_grid_compass.JPG</t>
  </si>
  <si>
    <t>2019:06:15 20:41:21</t>
  </si>
  <si>
    <t>IMG_0920_grid_compass.JPG</t>
  </si>
  <si>
    <t>2019:08:13 18:52:51</t>
  </si>
  <si>
    <t>IMG_1041_grid_compass.JPG</t>
  </si>
  <si>
    <t>2019:08:09 02:01:17</t>
  </si>
  <si>
    <t>IMG_4208_grid_compass.JPG</t>
  </si>
  <si>
    <t>2019:08:13 21:07:14</t>
  </si>
  <si>
    <t>IMG_3570_grid.JPG</t>
  </si>
  <si>
    <t>2019:06:05 21:46:57</t>
  </si>
  <si>
    <t>IMG_1372_grid_compass.JPG</t>
  </si>
  <si>
    <t>2019:06:27 05:16:09</t>
  </si>
  <si>
    <t>IMG_0631_grid_compass (2).JPG</t>
  </si>
  <si>
    <t>2019:08:11 21:51:39</t>
  </si>
  <si>
    <t>IMG_0648_grid_compass.JPG</t>
  </si>
  <si>
    <t>2019:06:26 07:09:02</t>
  </si>
  <si>
    <t>IMG_1334_grid_compass_1.JPG</t>
  </si>
  <si>
    <t>2019:06:27 00:42:40</t>
  </si>
  <si>
    <t>IMG_0303_grid.JPG</t>
  </si>
  <si>
    <t>2019:07:08 18:39:39</t>
  </si>
  <si>
    <t>IMG_0502_grid_compass_1.JPG</t>
  </si>
  <si>
    <t>2019:07:14 21:10:31</t>
  </si>
  <si>
    <t>IMG_0486_grid_compass.JPG</t>
  </si>
  <si>
    <t>2019:06:13 05:31:32</t>
  </si>
  <si>
    <t>IMG_0197_grid_compass (2).JPG</t>
  </si>
  <si>
    <t>2019:07:12 04:31:46</t>
  </si>
  <si>
    <t>IMG_0711_grid_compass.JPG</t>
  </si>
  <si>
    <t>2019:06:27 00:30:06</t>
  </si>
  <si>
    <t>IMG_0293_grid_compass.JPG</t>
  </si>
  <si>
    <t>2019:08:11 19:13:47</t>
  </si>
  <si>
    <t>IMG_1772_grid_compass (2).JPG</t>
  </si>
  <si>
    <t>2019:06:03 18:33:27</t>
  </si>
  <si>
    <t>IMG_1339_grid_compass (2).JPG</t>
  </si>
  <si>
    <t>2019:07:21 04:12:04</t>
  </si>
  <si>
    <t>IMG_1610_grid_compass.JPG</t>
  </si>
  <si>
    <t>2019:07:05 18:32:59</t>
  </si>
  <si>
    <t>IMG_1288_grid_compass (2).JPG</t>
  </si>
  <si>
    <t>2019:08:28 07:27:30</t>
  </si>
  <si>
    <t>IMG_0353_grid.JPG</t>
  </si>
  <si>
    <t>2019:07:08 22:37:52</t>
  </si>
  <si>
    <t>IMG_2903_grid_compass.JPG</t>
  </si>
  <si>
    <t>2019:06:29 23:41:16</t>
  </si>
  <si>
    <t>IMG_0759_grid.JPG</t>
  </si>
  <si>
    <t>2019:07:02 23:05:23</t>
  </si>
  <si>
    <t>IMG_0330_grid_compass (2).JPG</t>
  </si>
  <si>
    <t>2019:07:12 18:54:10</t>
  </si>
  <si>
    <t>DEPP7</t>
  </si>
  <si>
    <t>IMG_0319_grid_compass.JPG</t>
  </si>
  <si>
    <t>2019:07:03 18:05:41</t>
  </si>
  <si>
    <t>IMG_0308_grid.JPG</t>
  </si>
  <si>
    <t>2019:07:08 18:39:57</t>
  </si>
  <si>
    <t>IMG_0158_grid_compass.JPG</t>
  </si>
  <si>
    <t>2019:07:22 18:47:58</t>
  </si>
  <si>
    <t>IMG_0334_grid_compass.JPG</t>
  </si>
  <si>
    <t>2019:06:25 05:38:41</t>
  </si>
  <si>
    <t>IMG_3396_grid_compass.JPG</t>
  </si>
  <si>
    <t>2019:08:12 17:55:28</t>
  </si>
  <si>
    <t>IMG_0804_grid_compass.JPG</t>
  </si>
  <si>
    <t>2019:08:17 02:56:55</t>
  </si>
  <si>
    <t>IMG_0366_grid_compass.JPG</t>
  </si>
  <si>
    <t>2019:06:12 05:41:38</t>
  </si>
  <si>
    <t>IMG_0416_grid_compass (2).JPG</t>
  </si>
  <si>
    <t>2019:06:14 20:28:13</t>
  </si>
  <si>
    <t>IMG_0315_grid_compass (2).JPG</t>
  </si>
  <si>
    <t>2019:08:12 02:43:27</t>
  </si>
  <si>
    <t>HAPP12</t>
  </si>
  <si>
    <t>IMG_0344_grid_compass.JPG</t>
  </si>
  <si>
    <t>2019:07:16 04:29:36</t>
  </si>
  <si>
    <t>IMG_0637_grid_compass (2).JPG</t>
  </si>
  <si>
    <t>2019:08:12 04:09:43</t>
  </si>
  <si>
    <t>IMG_0467_grid_compass.JPG</t>
  </si>
  <si>
    <t>2019:06:30 00:08:56</t>
  </si>
  <si>
    <t>IMG_1617_grid_compass.JPG</t>
  </si>
  <si>
    <t>2019:07:25 17:08:46</t>
  </si>
  <si>
    <t>IMG_0650_grid_compass (2).JPG</t>
  </si>
  <si>
    <t>2019:08:14 06:07:29</t>
  </si>
  <si>
    <t>IMG_2922_grid_compass.JPG</t>
  </si>
  <si>
    <t>2019:06:30 00:42:55</t>
  </si>
  <si>
    <t>IMG_1146_grid_compass.JPG</t>
  </si>
  <si>
    <t>2019:08:09 06:48:20</t>
  </si>
  <si>
    <t>IMG_1283_grid_compass.JPG</t>
  </si>
  <si>
    <t>2019:08:28 07:25:13</t>
  </si>
  <si>
    <t>IMG_2416_grid_compass.JPG</t>
  </si>
  <si>
    <t>2019:06:22 16:29:51</t>
  </si>
  <si>
    <t>IMG_0171_grid_compass (2).JPG</t>
  </si>
  <si>
    <t>2019:06:24 17:20:54</t>
  </si>
  <si>
    <t>IMG_0638_grid_compass.JPG</t>
  </si>
  <si>
    <t>2019:07:01 03:58:56</t>
  </si>
  <si>
    <t>IMG_0989_grid_compass.JPG</t>
  </si>
  <si>
    <t>2019:08:08 22:40:22</t>
  </si>
  <si>
    <t>IMG_0266_grid_compass (3).JPG</t>
  </si>
  <si>
    <t>2019:08:10 08:30:25</t>
  </si>
  <si>
    <t>IMG_0958_grid_compass.JPG</t>
  </si>
  <si>
    <t>2019:06:26 05:16:15</t>
  </si>
  <si>
    <t>IMG_2026_grid_compass.JPG</t>
  </si>
  <si>
    <t>2019:07:08 03:04:51</t>
  </si>
  <si>
    <t>IMG_0174_grid_compass (2).JPG</t>
  </si>
  <si>
    <t>2019:06:24 17:20:55</t>
  </si>
  <si>
    <t>IMG_0567_grid_compass.JPG</t>
  </si>
  <si>
    <t>2019:06:26 05:58:14</t>
  </si>
  <si>
    <t>IMG_0430_grid_compass.JPG</t>
  </si>
  <si>
    <t>2019:07:12 02:25:10</t>
  </si>
  <si>
    <t>IMG_3368_grid_compass.JPG</t>
  </si>
  <si>
    <t>2019:07:01 06:43:23</t>
  </si>
  <si>
    <t>IMG_1680_grid_compass.JPG</t>
  </si>
  <si>
    <t>2019:08:04 01:10:44</t>
  </si>
  <si>
    <t>IMG_0788_grid_compass.JPG</t>
  </si>
  <si>
    <t>2019:08:14 01:53:25</t>
  </si>
  <si>
    <t>IMG_4434_grid_compass.JPG</t>
  </si>
  <si>
    <t>2019:06:08 06:58:16</t>
  </si>
  <si>
    <t>IMG_0729_grid_compass.JPG</t>
  </si>
  <si>
    <t>2019:07:28 21:48:08</t>
  </si>
  <si>
    <t>IMG_1196_grid_compass_1.JPG</t>
  </si>
  <si>
    <t>2019:07:02 17:51:26</t>
  </si>
  <si>
    <t>IMG_2894_grid_compass.JPG</t>
  </si>
  <si>
    <t>2019:06:29 23:39:29</t>
  </si>
  <si>
    <t>DEPP1</t>
  </si>
  <si>
    <t>IMG_0144_grid_compass.JPG</t>
  </si>
  <si>
    <t>2019:06:14 06:44:36</t>
  </si>
  <si>
    <t>IMG_0150_grid_compass (2).JPG</t>
  </si>
  <si>
    <t>2019:06:14 06:44:56</t>
  </si>
  <si>
    <t>IMG_1197_grid_compass.JPG</t>
  </si>
  <si>
    <t>2019:07:18 22:08:07</t>
  </si>
  <si>
    <t>IMG_1319_grid_compass.JPG</t>
  </si>
  <si>
    <t>2019:07:03 23:39:58</t>
  </si>
  <si>
    <t>IMG_1296_grid_compass.JPG</t>
  </si>
  <si>
    <t>2019:08:21 00:16:34</t>
  </si>
  <si>
    <t>IMG_1344_grid_compass (2).JPG</t>
  </si>
  <si>
    <t>2019:06:16 01:56:33</t>
  </si>
  <si>
    <t>IMG_1859_grid.JPG</t>
  </si>
  <si>
    <t>2019:08:29 06:43:41</t>
  </si>
  <si>
    <t>IMG_0966_grid_compass.JPG</t>
  </si>
  <si>
    <t>2019:06:21 00:03:41</t>
  </si>
  <si>
    <t>IMG_1456_grid_compass.JPG</t>
  </si>
  <si>
    <t>2019:07:07 21:49:22</t>
  </si>
  <si>
    <t>IMG_0563_grid_compass.JPG</t>
  </si>
  <si>
    <t>2019:08:08 10:03:48</t>
  </si>
  <si>
    <t>IMG_1380_grid_compass.JPG</t>
  </si>
  <si>
    <t>2019:06:27 06:54:52</t>
  </si>
  <si>
    <t>IMG_0578_grid_compass_1.JPG</t>
  </si>
  <si>
    <t>2019:08:13 06:41:39</t>
  </si>
  <si>
    <t>IMG_0162_grid_compass_2.JPG</t>
  </si>
  <si>
    <t>2019:07:22 04:46:12</t>
  </si>
  <si>
    <t>IMG_1243_grid_compass.JPG</t>
  </si>
  <si>
    <t>2019:08:16 20:10:36</t>
  </si>
  <si>
    <t>IMG_2897_grid_compass.JPG</t>
  </si>
  <si>
    <t>2019:06:29 23:39:30</t>
  </si>
  <si>
    <t>IMG_1340_grid_compass.JPG</t>
  </si>
  <si>
    <t>2019:07:05 17:50:43</t>
  </si>
  <si>
    <t>IMG_1039_grid_compass.JPG</t>
  </si>
  <si>
    <t>2019:08:09 02:01:16</t>
  </si>
  <si>
    <t>IMG_1032_grid_compass.JPG</t>
  </si>
  <si>
    <t>2019:07:31 07:28:48</t>
  </si>
  <si>
    <t>IMG_2187_grid_compass.JPG</t>
  </si>
  <si>
    <t>2019:06:22 00:14:32</t>
  </si>
  <si>
    <t>GIPP21</t>
  </si>
  <si>
    <t>IMG_0498_grid_compass.JPG</t>
  </si>
  <si>
    <t>2019:06:23 02:14:13</t>
  </si>
  <si>
    <t>IMG_0795_grid_compass.JPG</t>
  </si>
  <si>
    <t>2019:07:15 17:59:03</t>
  </si>
  <si>
    <t>IMG_0060_grid.JPG</t>
  </si>
  <si>
    <t>2019:08:06 05:26:27</t>
  </si>
  <si>
    <t>IMG_2274_grid_compass (2).JPG</t>
  </si>
  <si>
    <t>2019:06:03 05:34:21</t>
  </si>
  <si>
    <t>IMG_0321_grid_compass.JPG</t>
  </si>
  <si>
    <t>2019:07:03 18:05:42</t>
  </si>
  <si>
    <t>IMG_0060_grid_compass.JPG</t>
  </si>
  <si>
    <t>2019:08:08 00:36:22</t>
  </si>
  <si>
    <t>IMG_1063_grid_compass.JPG</t>
  </si>
  <si>
    <t>2019:07:01 08:08:57</t>
  </si>
  <si>
    <t>IMG_1624_grid_compass.JPG</t>
  </si>
  <si>
    <t>2019:07:22 05:53:44</t>
  </si>
  <si>
    <t>IMG_0082_grid_compass.JPG</t>
  </si>
  <si>
    <t>2019:08:20 01:16:21</t>
  </si>
  <si>
    <t>IMG_0317_grid_compass.JPG</t>
  </si>
  <si>
    <t>2019:06:25 05:29:22</t>
  </si>
  <si>
    <t>IMG_0182_grid_compass.JPG</t>
  </si>
  <si>
    <t>2019:07:23 07:21:00</t>
  </si>
  <si>
    <t>IMG_1084_grid_compass.JPG</t>
  </si>
  <si>
    <t>2019:06:22 07:26:22</t>
  </si>
  <si>
    <t>IMG_1173_grid_compass.JPG</t>
  </si>
  <si>
    <t>2019:07:02 07:43:18</t>
  </si>
  <si>
    <t>IMG_0813_grid_compass (2).JPG</t>
  </si>
  <si>
    <t>2019:07:16 18:27:11</t>
  </si>
  <si>
    <t>IMG_2593_grid_compass.JPG</t>
  </si>
  <si>
    <t>2019:06:04 06:58:34</t>
  </si>
  <si>
    <t>IMG_0242_grid_compass.JPG</t>
  </si>
  <si>
    <t>2019:07:27 06:17:49</t>
  </si>
  <si>
    <t>IMG_0346_grid_compass.JPG</t>
  </si>
  <si>
    <t>2019:07:16 04:29:37</t>
  </si>
  <si>
    <t>IMG_1168_grid_compass.JPG</t>
  </si>
  <si>
    <t>2019:07:03 20:58:42</t>
  </si>
  <si>
    <t>IMG_2595_grid_compass.JPG</t>
  </si>
  <si>
    <t>2019:06:04 06:58:35</t>
  </si>
  <si>
    <t>IMG_0908_grid_compass (2).JPG</t>
  </si>
  <si>
    <t>2019:06:14 00:06:26</t>
  </si>
  <si>
    <t>IMG_0693_grid_compass.JPG</t>
  </si>
  <si>
    <t>2019:07:01 18:30:03</t>
  </si>
  <si>
    <t>IMG_0162_grid_compass_1 (2).JPG</t>
  </si>
  <si>
    <t>2019:07:12 19:45:23</t>
  </si>
  <si>
    <t>IMG_1855_grid.JPG</t>
  </si>
  <si>
    <t>2019:08:29 06:43:39</t>
  </si>
  <si>
    <t>IMG_0147_grid_compass (2).JPG</t>
  </si>
  <si>
    <t>2019:06:14 06:44:55</t>
  </si>
  <si>
    <t>IMG_3434_grid.JPG</t>
  </si>
  <si>
    <t>2019:07:28 18:55:12</t>
  </si>
  <si>
    <t>IMG_1857_grid.JPG</t>
  </si>
  <si>
    <t>2019:08:29 06:43:40</t>
  </si>
  <si>
    <t>IMG_3464_grid_compass.JPG</t>
  </si>
  <si>
    <t>2019:06:05 18:02:29</t>
  </si>
  <si>
    <t>IMG_0119_grid_compass.JPG</t>
  </si>
  <si>
    <t>2019:06:11 20:13:44</t>
  </si>
  <si>
    <t>IMG_0440_grid_compass.JPG</t>
  </si>
  <si>
    <t>2019:07:12 06:24:59</t>
  </si>
  <si>
    <t>IMG_1374_grid_compass.JPG</t>
  </si>
  <si>
    <t>2019:06:27 05:16:10</t>
  </si>
  <si>
    <t>IMG_1324_grid_compass.JPG</t>
  </si>
  <si>
    <t>2019:07:04 01:31:38</t>
  </si>
  <si>
    <t>IMG_0187_grid_compass.JPG</t>
  </si>
  <si>
    <t>2019:07:26 06:09:09</t>
  </si>
  <si>
    <t>IMG_2431_grid_compass.JPG</t>
  </si>
  <si>
    <t>2019:06:28 17:20:29</t>
  </si>
  <si>
    <t>IMG_1392_grid_compass.JPG</t>
  </si>
  <si>
    <t>2019:06:02 08:30:05</t>
  </si>
  <si>
    <t>IMG_1615_grid_compass.JPG</t>
  </si>
  <si>
    <t>2019:07:25 17:08:45</t>
  </si>
  <si>
    <t>DEPP6</t>
  </si>
  <si>
    <t>IMG_0722_grid_compass (2).JPG</t>
  </si>
  <si>
    <t>2019:08:08 08:09:18</t>
  </si>
  <si>
    <t>IMG_0518_grid_compass.JPG</t>
  </si>
  <si>
    <t>2019:06:11 21:35:15</t>
  </si>
  <si>
    <t>IMG_0115_grid_compass.JPG</t>
  </si>
  <si>
    <t>2019:08:26 18:56:07</t>
  </si>
  <si>
    <t>IMG_0850_grid_compass.JPG</t>
  </si>
  <si>
    <t>2019:06:29 23:21:01</t>
  </si>
  <si>
    <t>IMG_1097_grid_compass.JPG</t>
  </si>
  <si>
    <t>2019:06:13 18:17:42</t>
  </si>
  <si>
    <t>IMG_0350_grid.JPG</t>
  </si>
  <si>
    <t>2019:07:08 22:37:51</t>
  </si>
  <si>
    <t>IMG_0624_grid_compass_1.JPG</t>
  </si>
  <si>
    <t>2019:07:01 02:48:03</t>
  </si>
  <si>
    <t>IMG_0816_grid_compass (2).JPG</t>
  </si>
  <si>
    <t>2019:07:16 18:27:12</t>
  </si>
  <si>
    <t>IMG_0826_grid_compass.JPG</t>
  </si>
  <si>
    <t>2019:08:08 18:36:08</t>
  </si>
  <si>
    <t>IMG_1509_grid_compass.JPG</t>
  </si>
  <si>
    <t>2019:08:09 09:51:03</t>
  </si>
  <si>
    <t>IMG_0486_grid_compass (2).JPG</t>
  </si>
  <si>
    <t>2019:06:01 03:32:18</t>
  </si>
  <si>
    <t>IMG_0306_grid.JPG</t>
  </si>
  <si>
    <t>2019:07:08 18:39:40</t>
  </si>
  <si>
    <t>IMG_2328_grid_compass.JPG</t>
  </si>
  <si>
    <t>2019:07:27 02:06:00</t>
  </si>
  <si>
    <t>IMG_0625_grid_compass.JPG</t>
  </si>
  <si>
    <t>2019:08:24 08:05:54</t>
  </si>
  <si>
    <t>IMG_1415_grid_compass.JPG</t>
  </si>
  <si>
    <t>2019:07:06 18:41:55</t>
  </si>
  <si>
    <t>IMG_2270_grid.JPG</t>
  </si>
  <si>
    <t>2019:06:03 05:34:19</t>
  </si>
  <si>
    <t>IMG_0757_grid.JPG</t>
  </si>
  <si>
    <t>2019:07:02 23:05:22</t>
  </si>
  <si>
    <t>IMG_0431_grid_compass.JPG</t>
  </si>
  <si>
    <t>2019:08:22 06:53:48</t>
  </si>
  <si>
    <t>IMG_0652_grid_compass.JPG</t>
  </si>
  <si>
    <t>2019:08:14 06:07:30</t>
  </si>
  <si>
    <t>IMG_2797_grid_compass.JPG</t>
  </si>
  <si>
    <t>2019:06:05 02:16:05</t>
  </si>
  <si>
    <t>2019:06:14 02:25:34</t>
  </si>
  <si>
    <t>IMG_0534_grid_compass.JPG</t>
  </si>
  <si>
    <t>2019:06:29 22:26:53</t>
  </si>
  <si>
    <t>IMG_0185_grid.JPG</t>
  </si>
  <si>
    <t>2019:08:07 18:02:12</t>
  </si>
  <si>
    <t>IMG_1507_grid_compass.JPG</t>
  </si>
  <si>
    <t>2019:08:09 09:51:02</t>
  </si>
  <si>
    <t>IMG_1674_grid_compass.JPG</t>
  </si>
  <si>
    <t>2019:08:04 00:18:14</t>
  </si>
  <si>
    <t>IMG_0326_grid_compass_1.JPG</t>
  </si>
  <si>
    <t>2019:06:25 05:34:17</t>
  </si>
  <si>
    <t>IMG_0722_grid_compass.JPG</t>
  </si>
  <si>
    <t>2019:07:28 21:33:23</t>
  </si>
  <si>
    <t>IMG_0305_grid_compass.JPG</t>
  </si>
  <si>
    <t>2019:08:08 08:06:25</t>
  </si>
  <si>
    <t>IMG_2802_grid_compass.JPG</t>
  </si>
  <si>
    <t>2019:06:05 02:16:07</t>
  </si>
  <si>
    <t>IMG_2799_grid_compass.JPG</t>
  </si>
  <si>
    <t>2019:06:05 02:16:06</t>
  </si>
  <si>
    <t>IMG_0131_grid_compass.JPG</t>
  </si>
  <si>
    <t>2019:08:06 19:23:42</t>
  </si>
  <si>
    <t>IMG_1014_grid_compass.JPG</t>
  </si>
  <si>
    <t>2019:08:16 22:16:42</t>
  </si>
  <si>
    <t>IMG_0330_grid_compass.JPG</t>
  </si>
  <si>
    <t>2019:06:25 05:34:19</t>
  </si>
  <si>
    <t>IMG_4286_grid_compass.JPG</t>
  </si>
  <si>
    <t>2019:07:03 00:19:08</t>
  </si>
  <si>
    <t>IMG_0896_grid_compass.JPG</t>
  </si>
  <si>
    <t>2019:06:26 01:28:39</t>
  </si>
  <si>
    <t>IMG_0056_grid_compass (3).JPG</t>
  </si>
  <si>
    <t>2019:08:08 00:36:21</t>
  </si>
  <si>
    <t>IMG_0854_grid_compass.JPG</t>
  </si>
  <si>
    <t>2019:06:30 00:07:38</t>
  </si>
  <si>
    <t>IMG_1295_grid_compass.JPG</t>
  </si>
  <si>
    <t>2019:07:04 20:00:05</t>
  </si>
  <si>
    <t>IMG_0791_grid_compass.JPG</t>
  </si>
  <si>
    <t>2019:08:17 04:12:58</t>
  </si>
  <si>
    <t>SHPP9</t>
  </si>
  <si>
    <t>IMG_0212_grid_compass.JPG</t>
  </si>
  <si>
    <t>2019:07:15 01:12:07</t>
  </si>
  <si>
    <t>IMG_1352_grid_compass.JPG</t>
  </si>
  <si>
    <t>2019:07:05 17:52:02</t>
  </si>
  <si>
    <t>IMG_0790_grid_compass.JPG</t>
  </si>
  <si>
    <t>2019:07:15 17:41:19</t>
  </si>
  <si>
    <t>IMG_2900_grid_compass.JPG</t>
  </si>
  <si>
    <t>2019:06:29 23:41:15</t>
  </si>
  <si>
    <t>IMG_0480_grid_compass_1.JPG</t>
  </si>
  <si>
    <t>2019:06:12 19:46:14</t>
  </si>
  <si>
    <t>IMG_0686_grid_compass.JPG</t>
  </si>
  <si>
    <t>2019:07:01 18:28:55</t>
  </si>
  <si>
    <t>IMG_0311_grid.JPG</t>
  </si>
  <si>
    <t>2019:07:08 18:39:58</t>
  </si>
  <si>
    <t>HAPP23</t>
  </si>
  <si>
    <t>IMG_0724_grid_compass_1.JPG</t>
  </si>
  <si>
    <t>2019:08:17 07:39:33</t>
  </si>
  <si>
    <t>IMG_1192_grid_compass.JPG</t>
  </si>
  <si>
    <t>2019:07:18 19:57:02</t>
  </si>
  <si>
    <t>IMG_1862_grid.JPG</t>
  </si>
  <si>
    <t>2019:08:29 06:43:49</t>
  </si>
  <si>
    <t>IMG_0132_grid_compass (2).JPG</t>
  </si>
  <si>
    <t>2019:06:12 08:19:31</t>
  </si>
  <si>
    <t>LAPP5</t>
  </si>
  <si>
    <t>IMG_0050_grid_compass_1.JPG</t>
  </si>
  <si>
    <t>2019:08:17 01:04:41</t>
  </si>
  <si>
    <t>IMG_0338_grid_compass.JPG</t>
  </si>
  <si>
    <t>2019:08:09 00:00:13</t>
  </si>
  <si>
    <t>IMG_0911_grid_compass.JPG</t>
  </si>
  <si>
    <t>2019:06:14 00:06:27</t>
  </si>
  <si>
    <t>IMG_0952_grid_compass.JPG</t>
  </si>
  <si>
    <t>2019:06:26 05:15:46</t>
  </si>
  <si>
    <t>IMG_0352_grid_compass.JPG</t>
  </si>
  <si>
    <t>2019:07:14 03:48:44</t>
  </si>
  <si>
    <t>IMG_0131_grid_compass_1.JPG</t>
  </si>
  <si>
    <t>2019:08:11 23:43:46</t>
  </si>
  <si>
    <t>IMG_1743_grid_compass.JPG</t>
  </si>
  <si>
    <t>2019:08:29 04:06:27</t>
  </si>
  <si>
    <t>IMG_3355_grid_compass.JPG</t>
  </si>
  <si>
    <t>2019:07:01 06:42:37</t>
  </si>
  <si>
    <t>IMG_1049_grid_compass.JPG</t>
  </si>
  <si>
    <t>2019:06:21 17:17:00</t>
  </si>
  <si>
    <t>IMG_0174_grid_compass.JPG</t>
  </si>
  <si>
    <t>2019:07:23 07:09:35</t>
  </si>
  <si>
    <t>IMG_0587_grid_compass.JPG</t>
  </si>
  <si>
    <t>2019:07:01 00:30:12</t>
  </si>
  <si>
    <t>IMG_1377_grid_compass.JPG</t>
  </si>
  <si>
    <t>2019:06:27 06:54:51</t>
  </si>
  <si>
    <t>IMG_1217_grid_compass.JPG</t>
  </si>
  <si>
    <t>2019:07:03 04:20:43</t>
  </si>
  <si>
    <t>IMG_0800_grid_compass.JPG</t>
  </si>
  <si>
    <t>2019:08:17 02:56:54</t>
  </si>
  <si>
    <t>IMG_1149_grid_compass.JPG</t>
  </si>
  <si>
    <t>2019:08:09 07:39:28</t>
  </si>
  <si>
    <t>IMG_1044_grid_compass.JPG</t>
  </si>
  <si>
    <t>2019:08:09 02:01:18</t>
  </si>
  <si>
    <t>IMG_1340_grid_compass (2).JPG</t>
  </si>
  <si>
    <t>2019:06:16 01:56:32</t>
  </si>
  <si>
    <t>IMG_0143_grid_compass.JPG</t>
  </si>
  <si>
    <t>2019:07:22 17:17:23</t>
  </si>
  <si>
    <t>IMG_1853_grid_compass.JPG</t>
  </si>
  <si>
    <t>2019:08:29 06:42:11</t>
  </si>
  <si>
    <t>IMG_0173_grid_compass (2).JPG</t>
  </si>
  <si>
    <t>2019:08:26 18:32:19</t>
  </si>
  <si>
    <t>IMG_1073_grid_compass (2).JPG</t>
  </si>
  <si>
    <t>2019:06:22 01:11:17</t>
  </si>
  <si>
    <t>IMG_0824_grid_compass.JPG</t>
  </si>
  <si>
    <t>2019:08:08 18:36:07</t>
  </si>
  <si>
    <t>IMG_1298_grid_compass_1.JPG</t>
  </si>
  <si>
    <t>2019:07:03 17:12:30</t>
  </si>
  <si>
    <t>IMG_3723_grid_compass.JPG</t>
  </si>
  <si>
    <t>2019:07:02 06:31:06</t>
  </si>
  <si>
    <t>IMG_1140_grid_compass.JPG</t>
  </si>
  <si>
    <t>2019:06:23 04:31:22</t>
  </si>
  <si>
    <t>IMG_0236_grid_compass.JPG</t>
  </si>
  <si>
    <t>2019:07:23 17:31:39</t>
  </si>
  <si>
    <t>IMG_1281_grid_compass.JPG</t>
  </si>
  <si>
    <t>2019:08:28 07:25:12</t>
  </si>
  <si>
    <t>IMG_0743_grid_compass (2).JPG</t>
  </si>
  <si>
    <t>2019:07:02 01:37:50</t>
  </si>
  <si>
    <t>IMG_1152_grid_compass (2).JPG</t>
  </si>
  <si>
    <t>2019:08:09 07:39:29</t>
  </si>
  <si>
    <t>IMG_0924_grid_compass.JPG</t>
  </si>
  <si>
    <t>2019:08:13 18:52:52</t>
  </si>
  <si>
    <t>IMG_2360_grid_compass.JPG</t>
  </si>
  <si>
    <t>2019:06:06 17:51:10</t>
  </si>
  <si>
    <t>IMG_0811_grid_compass.JPG</t>
  </si>
  <si>
    <t>2019:06:29 06:16:49</t>
  </si>
  <si>
    <t>IMG_2364_grid_compass.JPG</t>
  </si>
  <si>
    <t>2019:06:06 17:51:11</t>
  </si>
  <si>
    <t>IMG_0356_grid_compass.JPG</t>
  </si>
  <si>
    <t>2019:06:28 23:31:39</t>
  </si>
  <si>
    <t>IMG_0301_grid.JPG</t>
  </si>
  <si>
    <t>2019:07:08 18:39:38</t>
  </si>
  <si>
    <t>IMG_1444_grid_compass.JPG</t>
  </si>
  <si>
    <t>2019:07:07 20:11:35</t>
  </si>
  <si>
    <t>IMG_0170_grid_compass_1.JPG</t>
  </si>
  <si>
    <t>2019:08:26 18:32:18</t>
  </si>
  <si>
    <t>IMG_2918_grid_compass.JPG</t>
  </si>
  <si>
    <t>2019:06:30 00:42:54</t>
  </si>
  <si>
    <t>IMG_0830_grid_compass.JPG</t>
  </si>
  <si>
    <t>2019:06:29 17:39:11</t>
  </si>
  <si>
    <t>IMG_0807_grid_compass.JPG</t>
  </si>
  <si>
    <t>2019:08:17 03:24:54</t>
  </si>
  <si>
    <t>IMG_0158_grid_compass_1.JPG</t>
  </si>
  <si>
    <t>2019:07:12 19:45:22</t>
  </si>
  <si>
    <t>IMG_3444_grid_compass.JPG</t>
  </si>
  <si>
    <t>2019:08:12 23:45:48</t>
  </si>
  <si>
    <t>IMG_0030_grid_compass.JPG</t>
  </si>
  <si>
    <t>2019:07:08 17:19:19</t>
  </si>
  <si>
    <t>IMG_0191_grid_compass.JPG</t>
  </si>
  <si>
    <t>2019:07:23 07:43:27</t>
  </si>
  <si>
    <t>IMG_0053_grid_compass.JPG</t>
  </si>
  <si>
    <t>2019:07:08 19:24:45</t>
  </si>
  <si>
    <t>IMG_0198_grid_compass.JPG</t>
  </si>
  <si>
    <t>2019:07:23 07:43:39</t>
  </si>
  <si>
    <t>IMG_0724_grid_compass (2).JPG</t>
  </si>
  <si>
    <t>2019:08:08 08:09:19</t>
  </si>
  <si>
    <t>IMG_0996_grid_compass.JPG</t>
  </si>
  <si>
    <t>2019:08:08 22:45:03</t>
  </si>
  <si>
    <t>IMG_2274_grid_compass.JPG</t>
  </si>
  <si>
    <t>2019:08:29 22:55:59</t>
  </si>
  <si>
    <t>IMG_0192_grid_compass.JPG</t>
  </si>
  <si>
    <t>2019:07:26 06:09:11</t>
  </si>
  <si>
    <t>IMG_4211_grid_compass.JPG</t>
  </si>
  <si>
    <t>2019:08:13 21:07:15</t>
  </si>
  <si>
    <t>IMG_0669_grid_compass.JPG</t>
  </si>
  <si>
    <t>2019:06:17 19:52:58</t>
  </si>
  <si>
    <t>IMG_0653_grid_compass.JPG</t>
  </si>
  <si>
    <t>2019:07:17 01:28:00</t>
  </si>
  <si>
    <t>IMG_1226_grid_compass (2).JPG</t>
  </si>
  <si>
    <t>2019:08:19 00:06:41</t>
  </si>
  <si>
    <t>IMG_0332_grid_compass_1.JPG</t>
  </si>
  <si>
    <t>2019:06:25 05:38:40</t>
  </si>
  <si>
    <t>IMG_0498_grid_compass (2).JPG</t>
  </si>
  <si>
    <t>2019:07:14 22:23:37</t>
  </si>
  <si>
    <t>IMG_2376_grid_compass.JPG</t>
  </si>
  <si>
    <t>2019:06:07 05:59:35</t>
  </si>
  <si>
    <t>IMG_0724_grid_compass.JPG</t>
  </si>
  <si>
    <t>2019:07:28 21:33:24</t>
  </si>
  <si>
    <t>IMG_0274_grid_compass (2).JPG</t>
  </si>
  <si>
    <t>2019:08:10 08:30:44</t>
  </si>
  <si>
    <t>IMG_3394_grid_compass.JPG</t>
  </si>
  <si>
    <t>2019:08:12 17:55:27</t>
  </si>
  <si>
    <t>IMG_0696_grid_compass (2).JPG</t>
  </si>
  <si>
    <t>2019:06:18 00:15:45</t>
  </si>
  <si>
    <t>IMG_1461_grid_compass.JPG</t>
  </si>
  <si>
    <t>2019:07:05 03:31:36</t>
  </si>
  <si>
    <t>IMG_0492_grid_compass.JPG</t>
  </si>
  <si>
    <t>2019:06:13 06:14:05</t>
  </si>
  <si>
    <t>IMG_2456_grid_compass.JPG</t>
  </si>
  <si>
    <t>2019:08:06 22:08:50</t>
  </si>
  <si>
    <t>IMG_0038_grid_compass.JPG</t>
  </si>
  <si>
    <t>2019:06:25 10:19:40</t>
  </si>
  <si>
    <t>IMG_1338_grid_compass (2).JPG</t>
  </si>
  <si>
    <t>2019:07:21 04:11:47</t>
  </si>
  <si>
    <t>IMG_0494_grid_compass.JPG</t>
  </si>
  <si>
    <t>2019:06:23 02:14:12</t>
  </si>
  <si>
    <t>IMG_4427_grid_compass.JPG</t>
  </si>
  <si>
    <t>2019:06:08 06:38:09</t>
  </si>
  <si>
    <t>IMG_0557_grid_compass.JPG</t>
  </si>
  <si>
    <t>2019:06:30 06:30:13</t>
  </si>
  <si>
    <t>IMG_0509_grid_compass.JPG</t>
  </si>
  <si>
    <t>2019:07:12 19:13:34</t>
  </si>
  <si>
    <t>IMG_0810_grid_compass (2).JPG</t>
  </si>
  <si>
    <t>2019:08:08 18:32:54</t>
  </si>
  <si>
    <t>IMG_0071_grid_compass.JPG</t>
  </si>
  <si>
    <t>2019:07:23 21:53:10</t>
  </si>
  <si>
    <t>IMG_0008_grid_compass.JPG</t>
  </si>
  <si>
    <t>2019:08:28 10:52:53</t>
  </si>
  <si>
    <t>IMG_0272_grid_compass_1.JPG</t>
  </si>
  <si>
    <t>2019:07:28 05:12:48</t>
  </si>
  <si>
    <t>IMG_0130_grid_compass (2).JPG</t>
  </si>
  <si>
    <t>2019:06:12 08:19:30</t>
  </si>
  <si>
    <t>IMG_4268_grid_compass (2).JPG</t>
  </si>
  <si>
    <t>2019:08:14 02:30:55</t>
  </si>
  <si>
    <t>IMG_4288_grid_compass.JPG</t>
  </si>
  <si>
    <t>2019:07:03 00:19:09</t>
  </si>
  <si>
    <t>IMG_0168_grid_compass.JPG</t>
  </si>
  <si>
    <t>2019:07:12 00:39:33</t>
  </si>
  <si>
    <t>IMG_2180_grid_compass.JPG</t>
  </si>
  <si>
    <t>2019:06:22 00:14:14</t>
  </si>
  <si>
    <t>IMG_1290_grid_compass (2).JPG</t>
  </si>
  <si>
    <t>2019:08:28 07:27:31</t>
  </si>
  <si>
    <t>head</t>
  </si>
  <si>
    <t>IMG_1770_grid_compass.JPG</t>
  </si>
  <si>
    <t>2019:06:03 18:27:59</t>
  </si>
  <si>
    <t>IMG_0059_grid_compass (3).JPG</t>
  </si>
  <si>
    <t>2019:07:08 19:24:53</t>
  </si>
  <si>
    <t>IMG_4290_grid_compass.JPG</t>
  </si>
  <si>
    <t>2019:07:03 00:19:10</t>
  </si>
  <si>
    <t>IMG_0126_grid_compass.JPG</t>
  </si>
  <si>
    <t>2019:07:22 17:15:20</t>
  </si>
  <si>
    <t>IMG_0825_grid_compass.JPG</t>
  </si>
  <si>
    <t>2019:07:03 06:33:58</t>
  </si>
  <si>
    <t>IMG_1328_grid_compass (2).JPG</t>
  </si>
  <si>
    <t>2019:07:21 04:06:41</t>
  </si>
  <si>
    <t>IMG_0811_grid_compass (3).JPG</t>
  </si>
  <si>
    <t>2019:07:16 18:27:10</t>
  </si>
  <si>
    <t>IMG_0956_grid_compass.JPG</t>
  </si>
  <si>
    <t>2019:06:26 05:16:14</t>
  </si>
  <si>
    <t>IMG_0056_grid_compass (4).JPG</t>
  </si>
  <si>
    <t>2019:07:08 19:24:52</t>
  </si>
  <si>
    <t>IMG_3582_grid_compass.JPG</t>
  </si>
  <si>
    <t>2019:06:05 23:08:47</t>
  </si>
  <si>
    <t>IMG_4281_grid_compass.JPG</t>
  </si>
  <si>
    <t>2019:07:03 00:18:20</t>
  </si>
  <si>
    <t>IMG_0314_grid_compass.JPG</t>
  </si>
  <si>
    <t>2019:06:25 05:29:21</t>
  </si>
  <si>
    <t>IMG_0313_grid_compass (2).JPG</t>
  </si>
  <si>
    <t>2019:08:12 02:43:26</t>
  </si>
  <si>
    <t>IMG_0435_grid_compass.JPG</t>
  </si>
  <si>
    <t>2019:07:12 02:25:21</t>
  </si>
  <si>
    <t>IMG_0788_grid_compass_1.JPG</t>
  </si>
  <si>
    <t>2019:08:17 04:12:57</t>
  </si>
  <si>
    <t>IMG_1056_grid_compass.JPG</t>
  </si>
  <si>
    <t>2019:06:21 17:33:37</t>
  </si>
  <si>
    <t>IMG_0595_grid_compass.JPG</t>
  </si>
  <si>
    <t>2019:08:12 20:21:19</t>
  </si>
  <si>
    <t>IMG_4308_grid_compass.JPG</t>
  </si>
  <si>
    <t>2019:08:14 03:28:00</t>
  </si>
  <si>
    <t>IMG_0365_grid_compass.JPG</t>
  </si>
  <si>
    <t>2019:06:29 02:52:58</t>
  </si>
  <si>
    <t>IMG_0008_grid_compass (3).JPG</t>
  </si>
  <si>
    <t>2019:07:12 22:19:55</t>
  </si>
  <si>
    <t>IMG_0490_grid_compass (2).JPG</t>
  </si>
  <si>
    <t>2019:07:14 22:23:28</t>
  </si>
  <si>
    <t>IMG_0420_grid_compass.JPG</t>
  </si>
  <si>
    <t>2019:07:29 16:44:02</t>
  </si>
  <si>
    <t>IMG_4062_grid_compass.JPG</t>
  </si>
  <si>
    <t>2019:06:07 06:43:34</t>
  </si>
  <si>
    <t>IMG_1331_grid_compass.JPG</t>
  </si>
  <si>
    <t>2019:06:27 00:42:29</t>
  </si>
  <si>
    <t>IMG_0242_grid_compass (2).JPG</t>
  </si>
  <si>
    <t>2019:07:12 23:50:21</t>
  </si>
  <si>
    <t>IMG_0978_grid_compass.JPG</t>
  </si>
  <si>
    <t>2019:06:21 05:39:00</t>
  </si>
  <si>
    <t>IMG_0688_grid_compass.JPG</t>
  </si>
  <si>
    <t>2019:07:15 00:55:40</t>
  </si>
  <si>
    <t>IMG_1498_grid_compass.JPG</t>
  </si>
  <si>
    <t>2019:08:09 09:47:54</t>
  </si>
  <si>
    <t>IMG_1878_grid_compass.JPG</t>
  </si>
  <si>
    <t>2019:07:26 05:20:42</t>
  </si>
  <si>
    <t>IMG_1030_grid_compass.JPG</t>
  </si>
  <si>
    <t>2019:07:31 07:28:47</t>
  </si>
  <si>
    <t>IMG_1860_grid_compass.JPG</t>
  </si>
  <si>
    <t>2019:07:26 04:13:55</t>
  </si>
  <si>
    <t>IMG_1069_grid_compass.JPG</t>
  </si>
  <si>
    <t>2019:08:01 06:13:32</t>
  </si>
  <si>
    <t>IMG_1511_grid_compass.JPG</t>
  </si>
  <si>
    <t>2019:06:02 23:14:49</t>
  </si>
  <si>
    <t>IMG_0240_grid_compass.JPG</t>
  </si>
  <si>
    <t>2019:07:23 17:31:41</t>
  </si>
  <si>
    <t>IMG_1712_grid_compass.JPG</t>
  </si>
  <si>
    <t>2019:08:10 00:10:47</t>
  </si>
  <si>
    <t>IMG_0147_grid_compass.JPG</t>
  </si>
  <si>
    <t>2019:07:22 18:47:17</t>
  </si>
  <si>
    <t>IMG_0504_grid_compass (2).JPG</t>
  </si>
  <si>
    <t>2019:08:22 23:05:01</t>
  </si>
  <si>
    <t>IMG_0276_grid_compass_1.JPG</t>
  </si>
  <si>
    <t>2019:08:10 08:30:45</t>
  </si>
  <si>
    <t>IMG_0158_grid_compass (2).JPG</t>
  </si>
  <si>
    <t>2019:07:10 07:48:50</t>
  </si>
  <si>
    <t>IMG_1164_grid_compass.JPG</t>
  </si>
  <si>
    <t>2019:08:28 00:53:31</t>
  </si>
  <si>
    <t>IMG_0483_grid_compass (3).JPG</t>
  </si>
  <si>
    <t>2019:06:01 03:32:17</t>
  </si>
  <si>
    <t>IMG_2271_grid_compass.JPG</t>
  </si>
  <si>
    <t>2019:08:29 22:55:58</t>
  </si>
  <si>
    <t>IMG_3578_grid.JPG</t>
  </si>
  <si>
    <t>2019:06:05 23:08:46</t>
  </si>
  <si>
    <t>IMG_0392_grid_compass.JPG</t>
  </si>
  <si>
    <t>2019:08:21 17:53:43</t>
  </si>
  <si>
    <t>IMG_1229_grid_compass.JPG</t>
  </si>
  <si>
    <t>2019:07:03 05:19:22</t>
  </si>
  <si>
    <t>IMG_1359_grid_compass.JPG</t>
  </si>
  <si>
    <t>2019:07:05 17:52:25</t>
  </si>
  <si>
    <t>IMG_0084_grid_compass.JPG</t>
  </si>
  <si>
    <t>2019:08:20 01:16:22</t>
  </si>
  <si>
    <t>IMG_2325_grid_compass.JPG</t>
  </si>
  <si>
    <t>2019:07:27 02:05:59</t>
  </si>
  <si>
    <t>IMG_1244_grid_compass (2).JPG</t>
  </si>
  <si>
    <t>2019:08:19 02:23:12</t>
  </si>
  <si>
    <t>IMG_1708_grid_compass.JPG</t>
  </si>
  <si>
    <t>2019:08:10 00:10:39</t>
  </si>
  <si>
    <t>IMG_1011_grid_compass.JPG</t>
  </si>
  <si>
    <t>2019:08:16 22:16:41</t>
  </si>
  <si>
    <t>IMG_1864_grid.JPG</t>
  </si>
  <si>
    <t>2019:08:29 06:43:50</t>
  </si>
  <si>
    <t>IMG_3371_grid_compass.JPG</t>
  </si>
  <si>
    <t>2019:07:01 06:43:24</t>
  </si>
  <si>
    <t>IMG_1612_grid_compass.JPG</t>
  </si>
  <si>
    <t>2019:07:05 18:33:00</t>
  </si>
  <si>
    <t>IMG_0124_grid_compass (2).JPG</t>
  </si>
  <si>
    <t>2019:06:11 20:13:59</t>
  </si>
  <si>
    <t>IMG_0672_grid_compass.JPG</t>
  </si>
  <si>
    <t>2019:06:17 19:52:59</t>
  </si>
  <si>
    <t>IMG_3528_grid_compass.JPG</t>
  </si>
  <si>
    <t>2019:08:13 06:59:17</t>
  </si>
  <si>
    <t>IMG_2598_grid_compass.JPG</t>
  </si>
  <si>
    <t>2019:06:04 06:58:36</t>
  </si>
  <si>
    <t>IMG_0740_grid_compass.JPG</t>
  </si>
  <si>
    <t>2019:07:28 21:51:08</t>
  </si>
  <si>
    <t>IMG_0732_grid_compass.JPG</t>
  </si>
  <si>
    <t>2019:07:28 21:48:09</t>
  </si>
  <si>
    <t>IMG_1839_grid_compass.JPG</t>
  </si>
  <si>
    <t>2019:06:20 07:07:23</t>
  </si>
  <si>
    <t>IMG_2379_grid_compass.JPG</t>
  </si>
  <si>
    <t>2019:06:07 06:05:16</t>
  </si>
  <si>
    <t>IMG_1138_grid_compass.JPG</t>
  </si>
  <si>
    <t>2019:07:18 06:43:33</t>
  </si>
  <si>
    <t>IMG_0289_grid_compass.JPG</t>
  </si>
  <si>
    <t>2019:07:25 23:53:26</t>
  </si>
  <si>
    <t>IMG_1317_grid_compass.JPG</t>
  </si>
  <si>
    <t>2019:07:05 08:47:33</t>
  </si>
  <si>
    <t>IMG_1071_grid_compass.JPG</t>
  </si>
  <si>
    <t>2019:08:01 06:13:33</t>
  </si>
  <si>
    <t>IMG_0074_grid_compass.JPG</t>
  </si>
  <si>
    <t>2019:06:25 23:16:30</t>
  </si>
  <si>
    <t>IMG_0544_grid_compass.JPG</t>
  </si>
  <si>
    <t>2019:06:30 06:29:33</t>
  </si>
  <si>
    <t>IMG_0182_grid_compass (2).JPG</t>
  </si>
  <si>
    <t>2019:07:10 17:55:47</t>
  </si>
  <si>
    <t>IMG_0757_grid_compass.JPG</t>
  </si>
  <si>
    <t>2019:07:29 08:42:27</t>
  </si>
  <si>
    <t>IMG_0950_grid_compass.JPG</t>
  </si>
  <si>
    <t>2019:06:26 05:15:45</t>
  </si>
  <si>
    <t>IMG_3441_grid_compass.JPG</t>
  </si>
  <si>
    <t>2019:08:12 23:45:47</t>
  </si>
  <si>
    <t>IMG_1339_grid_compass.JPG</t>
  </si>
  <si>
    <t>2019:07:04 06:49:56</t>
  </si>
  <si>
    <t>IMG_1202_grid_compass (2).JPG</t>
  </si>
  <si>
    <t>2019:07:18 22:08:51</t>
  </si>
  <si>
    <t>IMG_3392_grid_compass.JPG</t>
  </si>
  <si>
    <t>2019:08:12 17:55:26</t>
  </si>
  <si>
    <t>IMG_0176_grid_compass (2).JPG</t>
  </si>
  <si>
    <t>2019:06:27 01:05:17</t>
  </si>
  <si>
    <t>IMG_1727_grid_compass.JPG</t>
  </si>
  <si>
    <t>2019:08:10 00:13:00</t>
  </si>
  <si>
    <t>IMG_0020_grid_compass.JPG</t>
  </si>
  <si>
    <t>2019:07:13 07:45:12</t>
  </si>
  <si>
    <t>IMG_1209_grid_compass.JPG</t>
  </si>
  <si>
    <t>2019:07:19 04:37:47</t>
  </si>
  <si>
    <t>IMG_0522_grid_compass.JPG</t>
  </si>
  <si>
    <t>2019:06:11 21:35:16</t>
  </si>
  <si>
    <t>IMG_1212_grid_compass.JPG</t>
  </si>
  <si>
    <t>2019:07:19 04:37:48</t>
  </si>
  <si>
    <t>IMG_0702_grid_compass (2).JPG</t>
  </si>
  <si>
    <t>2019:08:12 23:27:49</t>
  </si>
  <si>
    <t>IMG_0185_grid_compass.JPG</t>
  </si>
  <si>
    <t>2019:07:10 17:55:48</t>
  </si>
  <si>
    <t>IMG_1620_grid_compass.JPG</t>
  </si>
  <si>
    <t>2019:07:25 17:08:47</t>
  </si>
  <si>
    <t>IMG_0145_grid_compass (2).JPG</t>
  </si>
  <si>
    <t>2019:06:14 06:44:54</t>
  </si>
  <si>
    <t>IMG_0401_grid_compass.JPG</t>
  </si>
  <si>
    <t>2019:07:26 00:52:27</t>
  </si>
  <si>
    <t>IMG_0215_grid_compass.JPG</t>
  </si>
  <si>
    <t>2019:07:15 01:12:08</t>
  </si>
  <si>
    <t>IMG_0292_grid_compass_1.JPG</t>
  </si>
  <si>
    <t>2019:07:23 01:48:06</t>
  </si>
  <si>
    <t>IMG_1741_grid_compass.JPG</t>
  </si>
  <si>
    <t>2019:08:29 04:06:26</t>
  </si>
  <si>
    <t>IMG_2792_grid_compass.JPG</t>
  </si>
  <si>
    <t>2019:06:05 02:11:02</t>
  </si>
  <si>
    <t>IMG_0501_grid_compass (2).JPG</t>
  </si>
  <si>
    <t>2019:08:22 23:05:00</t>
  </si>
  <si>
    <t>IMG_1322_grid_compass.JPG</t>
  </si>
  <si>
    <t>2019:07:04 01:31:37</t>
  </si>
  <si>
    <t>IMG_1766_grid_compass.JPG</t>
  </si>
  <si>
    <t>2019:08:05 07:08:06</t>
  </si>
  <si>
    <t>IMG_1330_grid_compass.JPG</t>
  </si>
  <si>
    <t>2019:07:21 04:06:42</t>
  </si>
  <si>
    <t>IMG_0986_grid_compass.JPG</t>
  </si>
  <si>
    <t>2019:08:08 22:40:21</t>
  </si>
  <si>
    <t>IMG_1328_grid_compass.JPG</t>
  </si>
  <si>
    <t>2019:07:04 03:33:27</t>
  </si>
  <si>
    <t>IMG_0314_grid_compass (2).JPG</t>
  </si>
  <si>
    <t>2019:08:20 03:42:59</t>
  </si>
  <si>
    <t>IMG_0122_grid_compass (3).JPG</t>
  </si>
  <si>
    <t>2019:08:26 19:28:19</t>
  </si>
  <si>
    <t>IMG_0607_grid_compass.JPG</t>
  </si>
  <si>
    <t>2019:08:14 05:25:04</t>
  </si>
  <si>
    <t>IMG_0542_grid_compass_1.JPG</t>
  </si>
  <si>
    <t>2019:06:30 06:29:32</t>
  </si>
  <si>
    <t>IMG_0716_grid_compass.JPG</t>
  </si>
  <si>
    <t>2019:06:27 00:50:20</t>
  </si>
  <si>
    <t>IMG_2844_grid_compass.JPG</t>
  </si>
  <si>
    <t>2019:08:12 06:04:44</t>
  </si>
  <si>
    <t>IMG_0727_grid_compass.JPG</t>
  </si>
  <si>
    <t>2019:07:28 21:48:07</t>
  </si>
  <si>
    <t>IMG_0848_grid_compass.JPG</t>
  </si>
  <si>
    <t>2019:06:29 23:21:00</t>
  </si>
  <si>
    <t>IMG_0522_grid_compass (2).JPG</t>
  </si>
  <si>
    <t>2019:08:10 07:55:13</t>
  </si>
  <si>
    <t>IMG_1260_grid_compass.JPG</t>
  </si>
  <si>
    <t>2019:06:26 17:02:34</t>
  </si>
  <si>
    <t>IMG_1053_grid_compass.JPG</t>
  </si>
  <si>
    <t>2019:06:21 17:33:36</t>
  </si>
  <si>
    <t>IMG_0168_grid_compass_1.JPG</t>
  </si>
  <si>
    <t>2019:07:10 07:48:59</t>
  </si>
  <si>
    <t>IMG_1341_grid_compass (2).JPG</t>
  </si>
  <si>
    <t>2019:07:21 04:12:05</t>
  </si>
  <si>
    <t>IMG_0182_grid.JPG</t>
  </si>
  <si>
    <t>2019:08:07 18:02:11</t>
  </si>
  <si>
    <t>IMG_1722_grid_compass.JPG</t>
  </si>
  <si>
    <t>2019:08:10 00:12:28</t>
  </si>
  <si>
    <t>IMG_2433_grid_compass.JPG</t>
  </si>
  <si>
    <t>2019:06:28 17:20:30</t>
  </si>
  <si>
    <t>IMG_0042_grid_compass.JPG</t>
  </si>
  <si>
    <t>2019:06:11 09:31:03</t>
  </si>
  <si>
    <t>IMG_1459_grid_compass.JPG</t>
  </si>
  <si>
    <t>2019:07:05 03:31:35</t>
  </si>
  <si>
    <t>IMG_0059_grid.JPG</t>
  </si>
  <si>
    <t>IMG_0519_grid_compass.JPG</t>
  </si>
  <si>
    <t>2019:08:10 07:55:12</t>
  </si>
  <si>
    <t>IMG_1190_grid_compass (2).JPG</t>
  </si>
  <si>
    <t>2019:07:20 21:12:24</t>
  </si>
  <si>
    <t>IMG_1136_grid_compass.JPG</t>
  </si>
  <si>
    <t>2019:07:18 06:43:32</t>
  </si>
  <si>
    <t>IMG_0407_grid_compass.JPG</t>
  </si>
  <si>
    <t>2019:08:29 01:34:48</t>
  </si>
  <si>
    <t>IMG_3582_grid.JPG</t>
  </si>
  <si>
    <t>IMG_0572_grid_compass.JPG</t>
  </si>
  <si>
    <t>2019:08:13 04:20:32</t>
  </si>
  <si>
    <t>IMG_0788_grid_compass (2).JPG</t>
  </si>
  <si>
    <t>2019:07:15 17:41:18</t>
  </si>
  <si>
    <t>IMG_3526_grid_compass.JPG</t>
  </si>
  <si>
    <t>2019:06:05 20:48:49</t>
  </si>
  <si>
    <t>IMG_3439_grid_compass.JPG</t>
  </si>
  <si>
    <t>2019:08:12 23:45:46</t>
  </si>
  <si>
    <t>IMG_0609_grid_compass.JPG</t>
  </si>
  <si>
    <t>2019:08:14 05:25:05</t>
  </si>
  <si>
    <t>IMG_0759_grid_compass.JPG</t>
  </si>
  <si>
    <t>2019:07:29 08:42:28</t>
  </si>
  <si>
    <t>IMG_0627_grid_compass.JPG</t>
  </si>
  <si>
    <t>2019:08:24 08:05:55</t>
  </si>
  <si>
    <t>IMG_1332_grid_compass_1.JPG</t>
  </si>
  <si>
    <t>2019:07:05 17:49:55</t>
  </si>
  <si>
    <t>IMG_0578_grid_compass.JPG</t>
  </si>
  <si>
    <t>2019:08:23 18:44:55</t>
  </si>
  <si>
    <t>IMG_2586_grid_compass.JPG</t>
  </si>
  <si>
    <t>2019:06:03 23:45:01</t>
  </si>
  <si>
    <t>IMG_2373_grid_compass.JPG</t>
  </si>
  <si>
    <t>2019:06:07 05:59:34</t>
  </si>
  <si>
    <t>HAPP16</t>
  </si>
  <si>
    <t>IMG_0934_grid_compass.JPG</t>
  </si>
  <si>
    <t>2019:08:25 17:21:18</t>
  </si>
  <si>
    <t>IMG_0693_grid_compass (2).JPG</t>
  </si>
  <si>
    <t>2019:06:18 00:15:44</t>
  </si>
  <si>
    <t>IMG_0038_grid_compass (2).JPG</t>
  </si>
  <si>
    <t>2019:06:11 09:31:01</t>
  </si>
  <si>
    <t>IMG_0490_grid_compass.JPG</t>
  </si>
  <si>
    <t>2019:08:22 22:22:33</t>
  </si>
  <si>
    <t>IMG_0041_grid_compass (2).JPG</t>
  </si>
  <si>
    <t>2019:06:11 09:31:02</t>
  </si>
  <si>
    <t>IMG_1293_grid_compass.JPG</t>
  </si>
  <si>
    <t>2019:08:21 00:16:33</t>
  </si>
  <si>
    <t>IMG_0324_grid_compass_1.JPG</t>
  </si>
  <si>
    <t>2019:07:03 18:05:43</t>
  </si>
  <si>
    <t>IMG_0560_grid_compass.JPG</t>
  </si>
  <si>
    <t>2019:08:08 10:03:47</t>
  </si>
  <si>
    <t>IMG_0335_grid_compass.JPG</t>
  </si>
  <si>
    <t>2019:07:26 23:32:06</t>
  </si>
  <si>
    <t>IMG_2794_grid_compass.JPG</t>
  </si>
  <si>
    <t>2019:06:05 02:11:03</t>
  </si>
  <si>
    <t>IMG_0364_grid_compass.JPG</t>
  </si>
  <si>
    <t>2019:06:12 05:41:37</t>
  </si>
  <si>
    <t>IMG_1854_grid_compass.JPG</t>
  </si>
  <si>
    <t>2019:08:29 06:42:12</t>
  </si>
  <si>
    <t>IMG_0799_grid_compass.JPG</t>
  </si>
  <si>
    <t>2019:08:08 18:28:32</t>
  </si>
  <si>
    <t>IMG_1858_grid_compass.JPG</t>
  </si>
  <si>
    <t>2019:07:26 04:13:54</t>
  </si>
  <si>
    <t>IMG_0358_grid_compass (2).JPG</t>
  </si>
  <si>
    <t>2019:06:12 01:25:43</t>
  </si>
  <si>
    <t>IMG_1338_grid_compass.JPG</t>
  </si>
  <si>
    <t>2019:06:27 00:42:41</t>
  </si>
  <si>
    <t>IMG_1214_grid_compass (2).JPG</t>
  </si>
  <si>
    <t>2019:07:21 00:20:24</t>
  </si>
  <si>
    <t>IMG_0426_grid_compass.JPG</t>
  </si>
  <si>
    <t>2019:07:11 07:45:12</t>
  </si>
  <si>
    <t>IMG_1166_grid_compass (2).JPG</t>
  </si>
  <si>
    <t>2019:07:03 20:58:41</t>
  </si>
  <si>
    <t>IMG_0194_grid_compass.JPG</t>
  </si>
  <si>
    <t>2019:07:26 06:09:34</t>
  </si>
  <si>
    <t>IMG_3416_grid_compass.JPG</t>
  </si>
  <si>
    <t>2019:08:12 23:43:43</t>
  </si>
  <si>
    <t>IMG_0828_grid_compass.JPG</t>
  </si>
  <si>
    <t>2019:07:03 06:33:59</t>
  </si>
  <si>
    <t>IMG_1842_grid_compass.JPG</t>
  </si>
  <si>
    <t>2019:06:20 07:07:24</t>
  </si>
  <si>
    <t>IMG_1865_grid_compass.JPG</t>
  </si>
  <si>
    <t>2019:07:26 04:16:33</t>
  </si>
  <si>
    <t>IMG_1375_grid_compass.JPG</t>
  </si>
  <si>
    <t>2019:06:27 06:54:50</t>
  </si>
  <si>
    <t>IMG_4430_grid_compass.JPG</t>
  </si>
  <si>
    <t>2019:06:08 06:58:15</t>
  </si>
  <si>
    <t>IMG_0540_grid_compass.JPG</t>
  </si>
  <si>
    <t>2019:06:29 22:27:55</t>
  </si>
  <si>
    <t>IMG_0116_grid_compass.JPG</t>
  </si>
  <si>
    <t>2019:06:11 20:13:43</t>
  </si>
  <si>
    <t>IMG_0477_grid_compass.JPG</t>
  </si>
  <si>
    <t>2019:06:12 19:46:13</t>
  </si>
  <si>
    <t>IMG_0358_grid_compass.JPG</t>
  </si>
  <si>
    <t>2019:06:28 23:31:40</t>
  </si>
  <si>
    <t>IMG_2323_grid_compass.JPG</t>
  </si>
  <si>
    <t>2019:07:27 02:05:58</t>
  </si>
  <si>
    <t>IMG_0418_grid_compass.JPG</t>
  </si>
  <si>
    <t>2019:07:29 16:44:01</t>
  </si>
  <si>
    <t>IMG_2185_grid_compass.JPG</t>
  </si>
  <si>
    <t>2019:06:22 00:14:31</t>
  </si>
  <si>
    <t>IMG_1226_grid_compass.JPG</t>
  </si>
  <si>
    <t>2019:07:03 05:19:21</t>
  </si>
  <si>
    <t>IMG_0195_grid_compass.JPG</t>
  </si>
  <si>
    <t>2019:07:23 07:43:38</t>
  </si>
  <si>
    <t>IMG_0691_grid_compass.JPG</t>
  </si>
  <si>
    <t>2019:07:01 18:30:02</t>
  </si>
  <si>
    <t>IMG_2305_grid_compass.JPG</t>
  </si>
  <si>
    <t>2019:08:29 23:18:07</t>
  </si>
  <si>
    <t>IMG_2269_grid_compass.JPG</t>
  </si>
  <si>
    <t>2019:08:29 22:55:57</t>
  </si>
  <si>
    <t>IMG_0676_grid_compass (2).JPG</t>
  </si>
  <si>
    <t>2019:06:17 19:53:13</t>
  </si>
  <si>
    <t>IMG_0311_grid_compass.JPG</t>
  </si>
  <si>
    <t>2019:06:25 04:59:28</t>
  </si>
  <si>
    <t>IMG_0808_grid_compass (2).JPG</t>
  </si>
  <si>
    <t>2019:08:08 18:32:53</t>
  </si>
  <si>
    <t>IMG_0141_grid_compass.JPG</t>
  </si>
  <si>
    <t>2019:06:14 06:44:35</t>
  </si>
  <si>
    <t>IMG_0320_grid_compass_1.JPG</t>
  </si>
  <si>
    <t>2019:06:27 18:09:50</t>
  </si>
  <si>
    <t>IMG_0860_grid_compass.JPG</t>
  </si>
  <si>
    <t>2019:07:30 06:37:56</t>
  </si>
  <si>
    <t>IMG_2034_grid_compass.JPG</t>
  </si>
  <si>
    <t>2019:07:08 03:05:20</t>
  </si>
  <si>
    <t>IMG_0811_grid_compass (2).JPG</t>
  </si>
  <si>
    <t>2019:08:08 18:33:19</t>
  </si>
  <si>
    <t>IMG_1866_grid.JPG</t>
  </si>
  <si>
    <t>2019:08:29 06:43:51</t>
  </si>
  <si>
    <t>IMG_0278_grid_compass.JPG</t>
  </si>
  <si>
    <t>2019:06:20 17:17:43</t>
  </si>
  <si>
    <t>IMG_2182_grid_compass.JPG</t>
  </si>
  <si>
    <t>2019:06:22 00:14:15</t>
  </si>
  <si>
    <t>IMG_1622_grid_compass.JPG</t>
  </si>
  <si>
    <t>2019:07:22 05:53:43</t>
  </si>
  <si>
    <t>IMG_1512_grid_compass.JPG</t>
  </si>
  <si>
    <t>2019:08:09 09:51:04</t>
  </si>
  <si>
    <t>IMG_1200_grid_compass (2).JPG</t>
  </si>
  <si>
    <t>2019:07:18 22:08:08</t>
  </si>
  <si>
    <t>IMG_2414_grid_compass.JPG</t>
  </si>
  <si>
    <t>2019:06:22 16:29:50</t>
  </si>
  <si>
    <t>IMG_0189_grid.JPG</t>
  </si>
  <si>
    <t>2019:08:07 18:02:34</t>
  </si>
  <si>
    <t>IMG_0633_grid_compass (2).JPG</t>
  </si>
  <si>
    <t>2019:08:11 21:51:40</t>
  </si>
  <si>
    <t>IMG_0024_grid_compass.JPG</t>
  </si>
  <si>
    <t>2019:06:25 06:05:46</t>
  </si>
  <si>
    <t>IMG_1362_grid_compass.JPG</t>
  </si>
  <si>
    <t>2019:07:05 17:52:26</t>
  </si>
  <si>
    <t>IMG_4393_grid_compass.JPG</t>
  </si>
  <si>
    <t>2019:06:07 20:00:55</t>
  </si>
  <si>
    <t>IMG_0612_grid_compass (2).JPG</t>
  </si>
  <si>
    <t>2019:08:14 05:25:06</t>
  </si>
  <si>
    <t>IMG_1152_grid_compass.JPG</t>
  </si>
  <si>
    <t>2019:08:28 00:50:33</t>
  </si>
  <si>
    <t>IMG_0573_grid_compass.JPG</t>
  </si>
  <si>
    <t>2019:06:26 06:14:33</t>
  </si>
  <si>
    <t>IMG_0068_grid_compass.JPG</t>
  </si>
  <si>
    <t>2019:07:23 21:53:09</t>
  </si>
  <si>
    <t>IMG_1144_grid_compass.JPG</t>
  </si>
  <si>
    <t>2019:08:09 06:48:19</t>
  </si>
  <si>
    <t>IMG_2261_grid_compass.JPG</t>
  </si>
  <si>
    <t>2019:06:03 05:26:42</t>
  </si>
  <si>
    <t>IMG_0145_grid_compass.JPG</t>
  </si>
  <si>
    <t>2019:07:22 18:47:16</t>
  </si>
  <si>
    <t>IMG_4296_grid_compass.JPG</t>
  </si>
  <si>
    <t>2019:08:14 03:25:31</t>
  </si>
  <si>
    <t>IMG_1850_grid_compass.JPG</t>
  </si>
  <si>
    <t>2019:08:29 06:42:10</t>
  </si>
  <si>
    <t>IMG_0159_grid_compass.JPG</t>
  </si>
  <si>
    <t>2019:07:22 04:46:11</t>
  </si>
  <si>
    <t>IMG_2796_grid_compass.JPG</t>
  </si>
  <si>
    <t>2019:06:29 17:31:09</t>
  </si>
  <si>
    <t>IMG_4305_grid_compass.JPG</t>
  </si>
  <si>
    <t>2019:08:14 03:27:59</t>
  </si>
  <si>
    <t>IMG_2753_grid.JPG</t>
  </si>
  <si>
    <t>2019:08:11 20:10:16</t>
  </si>
  <si>
    <t>IMG_0621_grid_compass.JPG</t>
  </si>
  <si>
    <t>2019:07:01 02:48:02</t>
  </si>
  <si>
    <t>IMG_0150_grid_compass (3).JPG</t>
  </si>
  <si>
    <t>2019:07:10 05:22:21</t>
  </si>
  <si>
    <t>IMG_0438_grid_compass.JPG</t>
  </si>
  <si>
    <t>2019:07:12 02:25:22</t>
  </si>
  <si>
    <t>IMG_0639_grid_compass (2).JPG</t>
  </si>
  <si>
    <t>2019:08:12 04:09:44</t>
  </si>
  <si>
    <t>IMG_0702_grid_compass (3).JPG</t>
  </si>
  <si>
    <t>2019:07:15 07:03:12</t>
  </si>
  <si>
    <t>IMG_2009_grid_compass.JPG</t>
  </si>
  <si>
    <t>2019:07:03 17:07:43</t>
  </si>
  <si>
    <t>IMG_0699_grid_compass.JPG</t>
  </si>
  <si>
    <t>2019:08:12 23:27:48</t>
  </si>
  <si>
    <t>IMG_1843_grid_compass.JPG</t>
  </si>
  <si>
    <t>2019:08:29 06:39:52</t>
  </si>
  <si>
    <t>IMG_3452_grid.JPG</t>
  </si>
  <si>
    <t>2019:07:28 21:39:24</t>
  </si>
  <si>
    <t>IMG_0152_grid_compass.JPG</t>
  </si>
  <si>
    <t>2019:07:22 18:47:27</t>
  </si>
  <si>
    <t>IMG_0323_grid_compass_1.JPG</t>
  </si>
  <si>
    <t>2019:06:27 18:09:51</t>
  </si>
  <si>
    <t>IMG_1286_grid_compass (2).JPG</t>
  </si>
  <si>
    <t>2019:08:28 07:27:29</t>
  </si>
  <si>
    <t>IMG_1258_grid_compass.JPG</t>
  </si>
  <si>
    <t>2019:06:26 17:02:33</t>
  </si>
  <si>
    <t>IMG_1788_grid_compass.JPG</t>
  </si>
  <si>
    <t>2019:06:03 19:08:18</t>
  </si>
  <si>
    <t>IMG_1026_grid_compass.JPG</t>
  </si>
  <si>
    <t>2019:08:18 03:19:47</t>
  </si>
  <si>
    <t>IMG_0124_grid_compass.JPG</t>
  </si>
  <si>
    <t>2019:07:22 17:15:19</t>
  </si>
  <si>
    <t>IMG_0932_grid_compass.JPG</t>
  </si>
  <si>
    <t>2019:08:25 17:21:17</t>
  </si>
  <si>
    <t>IMG_0380_grid_compass.JPG</t>
  </si>
  <si>
    <t>2019:07:14 05:30:35</t>
  </si>
  <si>
    <t>IMG_1856_grid_compass.JPG</t>
  </si>
  <si>
    <t>2019:07:26 04:13:53</t>
  </si>
  <si>
    <t>IMG_0618_grid_compass (2).JPG</t>
  </si>
  <si>
    <t>2019:08:24 06:02:24</t>
  </si>
  <si>
    <t>IMG_1418_grid_compass.JPG</t>
  </si>
  <si>
    <t>2019:07:06 18:42:02</t>
  </si>
  <si>
    <t>IMG_1147_grid_compass.JPG</t>
  </si>
  <si>
    <t>2019:08:09 07:39:27</t>
  </si>
  <si>
    <t>IMG_2837_grid_compass.JPG</t>
  </si>
  <si>
    <t>2019:08:12 06:02:55</t>
  </si>
  <si>
    <t>IMG_0464_grid_compass.JPG</t>
  </si>
  <si>
    <t>2019:06:30 00:08:55</t>
  </si>
  <si>
    <t>IMG_0941_grid_compass.JPG</t>
  </si>
  <si>
    <t>2019:06:20 21:01:37</t>
  </si>
  <si>
    <t>IMG_1166_grid_compass.JPG</t>
  </si>
  <si>
    <t>2019:08:03 17:36:08</t>
  </si>
  <si>
    <t>IMG_1137_grid_compass.JPG</t>
  </si>
  <si>
    <t>2019:06:23 04:31:21</t>
  </si>
  <si>
    <t>IMG_1412_grid_compass.JPG</t>
  </si>
  <si>
    <t>2019:07:06 18:41:54</t>
  </si>
  <si>
    <t>IMG_0274_grid_compass.JPG</t>
  </si>
  <si>
    <t>2019:07:28 05:12:49</t>
  </si>
  <si>
    <t>IMG_2024_grid_compass.JPG</t>
  </si>
  <si>
    <t>2019:07:08 03:04:50</t>
  </si>
  <si>
    <t>IMG_0164_grid_compass (2).JPG</t>
  </si>
  <si>
    <t>2019:07:12 00:39:32</t>
  </si>
  <si>
    <t>IMG_0056_grid.JPG</t>
  </si>
  <si>
    <t>2019:08:06 05:26:26</t>
  </si>
  <si>
    <t>IMG_2190_grid_compass.JPG</t>
  </si>
  <si>
    <t>2019:06:22 00:14:33</t>
  </si>
  <si>
    <t>IMG_0626_grid_compass (2).JPG</t>
  </si>
  <si>
    <t>2019:08:11 21:51:20</t>
  </si>
  <si>
    <t>IMG_0176_grid_compass (3).JPG</t>
  </si>
  <si>
    <t>2019:08:26 18:32:41</t>
  </si>
  <si>
    <t>IMG_0323_grid_compass.JPG</t>
  </si>
  <si>
    <t>2019:06:25 05:29:44</t>
  </si>
  <si>
    <t>IMG_4279_grid_compass.JPG</t>
  </si>
  <si>
    <t>2019:07:03 00:18:19</t>
  </si>
  <si>
    <t>IMG_1320_grid_compass (2).JPG</t>
  </si>
  <si>
    <t>2019:07:22 04:46:28</t>
  </si>
  <si>
    <t>IMG_0620_grid_compass.JPG</t>
  </si>
  <si>
    <t>2019:06:12 21:07:17</t>
  </si>
  <si>
    <t>IMG_0290_grid_compass (2).JPG</t>
  </si>
  <si>
    <t>2019:08:11 19:13:46</t>
  </si>
  <si>
    <t>IMG_1116_grid_compass.JPG</t>
  </si>
  <si>
    <t>2019:08:09 06:22:41</t>
  </si>
  <si>
    <t>IMG_1279_grid_compass.JPG</t>
  </si>
  <si>
    <t>2019:08:28 07:25:11</t>
  </si>
  <si>
    <t>IMG_0414_grid_compass.JPG</t>
  </si>
  <si>
    <t>2019:06:14 20:27:50</t>
  </si>
  <si>
    <t>IMG_0644_grid_compass (2).JPG</t>
  </si>
  <si>
    <t>2019:06:16 00:34:10</t>
  </si>
  <si>
    <t>IMG_2945_grid_compass.JPG</t>
  </si>
  <si>
    <t>2019:06:09 18:31:49</t>
  </si>
  <si>
    <t>IMG_0014_grid_compass_2.JPG</t>
  </si>
  <si>
    <t>2019:06:12 04:34:21</t>
  </si>
  <si>
    <t>IMG_1500_grid_compass.JPG</t>
  </si>
  <si>
    <t>2019:08:09 09:47:55</t>
  </si>
  <si>
    <t>IMG_1188_grid_compass.JPG</t>
  </si>
  <si>
    <t>2019:07:04 06:35:12</t>
  </si>
  <si>
    <t>IMG_0876_grid_compass.JPG</t>
  </si>
  <si>
    <t>2019:08:08 18:38:22</t>
  </si>
  <si>
    <t>IMG_0320_grid_compass.JPG</t>
  </si>
  <si>
    <t>2019:06:25 05:29:43</t>
  </si>
  <si>
    <t>IMG_0684_grid_compass.JPG</t>
  </si>
  <si>
    <t>2019:07:01 18:27:58</t>
  </si>
  <si>
    <t>IMG_1337_grid_compass.JPG</t>
  </si>
  <si>
    <t>2019:07:05 17:50:04</t>
  </si>
  <si>
    <t>IMG_0695_grid_compass.JPG</t>
  </si>
  <si>
    <t>2019:07:15 07:02:42</t>
  </si>
  <si>
    <t>IMG_2307_grid_compass.JPG</t>
  </si>
  <si>
    <t>2019:08:29 23:18:08</t>
  </si>
  <si>
    <t>IMG_0059_grid_compass (2).JPG</t>
  </si>
  <si>
    <t>2019:08:20 07:23:44</t>
  </si>
  <si>
    <t>IMG_0623_grid_compass (2).JPG</t>
  </si>
  <si>
    <t>2019:08:24 06:02:38</t>
  </si>
  <si>
    <t>IMG_1974_grid_compass.JPG</t>
  </si>
  <si>
    <t>2019:06:28 01:42:42</t>
  </si>
  <si>
    <t>IMG_0642_grid_compass.JPG</t>
  </si>
  <si>
    <t>2019:06:16 00:33:46</t>
  </si>
  <si>
    <t>IMG_0171_grid_compass.JPG</t>
  </si>
  <si>
    <t>2019:07:23 07:09:34</t>
  </si>
  <si>
    <t>IMG_0294_grid_compass.JPG</t>
  </si>
  <si>
    <t>2019:07:25 23:53:28</t>
  </si>
  <si>
    <t>IMG_0266_grid_compass.JPG</t>
  </si>
  <si>
    <t>2019:07:27 22:01:19</t>
  </si>
  <si>
    <t>IMG_1670_grid_compass.JPG</t>
  </si>
  <si>
    <t>2019:08:04 00:18:13</t>
  </si>
  <si>
    <t>IMG_0740_grid_compass (2).JPG</t>
  </si>
  <si>
    <t>2019:07:02 01:37:49</t>
  </si>
  <si>
    <t>IMG_0616_grid_compass.JPG</t>
  </si>
  <si>
    <t>2019:07:01 02:47:44</t>
  </si>
  <si>
    <t>IMG_0813_grid.JPG</t>
  </si>
  <si>
    <t>2019:08:08 18:33:20</t>
  </si>
  <si>
    <t>IMG_2786_grid_compass.JPG</t>
  </si>
  <si>
    <t>2019:06:29 17:30:08</t>
  </si>
  <si>
    <t>IMG_0704_grid_compass.JPG</t>
  </si>
  <si>
    <t>2019:07:15 07:03:46</t>
  </si>
  <si>
    <t>IMG_0483_grid_compass.JPG</t>
  </si>
  <si>
    <t>2019:06:13 05:31:31</t>
  </si>
  <si>
    <t>IMG_0709_grid_compass.JPG</t>
  </si>
  <si>
    <t>2019:06:27 00:30:05</t>
  </si>
  <si>
    <t>IMG_0813_grid_compass.JPG</t>
  </si>
  <si>
    <t>2019:06:29 06:16:50</t>
  </si>
  <si>
    <t>IMG_1706_grid_compass.JPG</t>
  </si>
  <si>
    <t>2019:08:10 00:10:38</t>
  </si>
  <si>
    <t>IMG_0121_grid_compass.JPG</t>
  </si>
  <si>
    <t>2019:07:11 19:13:13</t>
  </si>
  <si>
    <t>IMG_0010_grid_compass.JPG</t>
  </si>
  <si>
    <t>2019:08:28 10:52:54</t>
  </si>
  <si>
    <t>IMG_1352_grid_compass (2).JPG</t>
  </si>
  <si>
    <t>2019:07:21 04:13:24</t>
  </si>
  <si>
    <t>IMG_0477_grid_compass_1.JPG</t>
  </si>
  <si>
    <t>2019:06:15 20:41:20</t>
  </si>
  <si>
    <t>IMG_3726_grid_compass.JPG</t>
  </si>
  <si>
    <t>2019:07:02 06:31:07</t>
  </si>
  <si>
    <t>IMG_3525_grid_compass.JPG</t>
  </si>
  <si>
    <t>2019:08:13 06:59:16</t>
  </si>
  <si>
    <t>IMG_0307_grid_compass.JPG</t>
  </si>
  <si>
    <t>2019:06:24 05:25:49</t>
  </si>
  <si>
    <t>IMG_0020_grid_compass_1.JPG</t>
  </si>
  <si>
    <t>2019:06:25 06:05:45</t>
  </si>
  <si>
    <t>IMG_0279_grid_compass.JPG</t>
  </si>
  <si>
    <t>2019:07:24 03:38:50</t>
  </si>
  <si>
    <t>IMG_0554_grid_compass.JPG</t>
  </si>
  <si>
    <t>2019:06:30 06:30:12</t>
  </si>
  <si>
    <t>IMG_0801_grid_compass.JPG</t>
  </si>
  <si>
    <t>2019:08:08 18:28:33</t>
  </si>
  <si>
    <t>IMG_0726_grid_compass.JPG</t>
  </si>
  <si>
    <t>2019:08:25 20:50:11</t>
  </si>
  <si>
    <t>IMG_0188_grid_compass (2).JPG</t>
  </si>
  <si>
    <t>2019:06:16 22:23:34</t>
  </si>
  <si>
    <t>IMG_0536_grid_compass.JPG</t>
  </si>
  <si>
    <t>2019:06:29 22:27:54</t>
  </si>
  <si>
    <t>IMG_0904_grid_compass.JPG</t>
  </si>
  <si>
    <t>2019:06:26 02:17:10</t>
  </si>
  <si>
    <t>IMG_1245_grid_compass.JPG</t>
  </si>
  <si>
    <t>2019:08:16 20:10:37</t>
  </si>
  <si>
    <t>IMG_0078_grid_compass.JPG</t>
  </si>
  <si>
    <t>2019:06:25 23:16:31</t>
  </si>
  <si>
    <t>IMG_1320_grid_compass.JPG</t>
  </si>
  <si>
    <t>2019:07:05 08:47:34</t>
  </si>
  <si>
    <t>IMG_0667_grid_compass.JPG</t>
  </si>
  <si>
    <t>2019:06:17 19:52:57</t>
  </si>
  <si>
    <t>IMG_1356_grid_compass.JPG</t>
  </si>
  <si>
    <t>2019:07:05 17:52:03</t>
  </si>
  <si>
    <t>IMG_1295_grid_compass (2).JPG</t>
  </si>
  <si>
    <t>2019:07:20 07:03:10</t>
  </si>
  <si>
    <t>IMG_0313_grid_compass.JPG</t>
  </si>
  <si>
    <t>2019:07:03 18:05:30</t>
  </si>
  <si>
    <t>IMG_1454_grid_compass.JPG</t>
  </si>
  <si>
    <t>2019:07:07 21:49:21</t>
  </si>
  <si>
    <t>IMG_3418_grid_compass.JPG</t>
  </si>
  <si>
    <t>2019:08:12 23:43:44</t>
  </si>
  <si>
    <t>IMG_0080_grid_compass.JPG</t>
  </si>
  <si>
    <t>2019:08:20 01:16:20</t>
  </si>
  <si>
    <t>IMG_1292_grid_compass.JPG</t>
  </si>
  <si>
    <t>2019:07:04 20:00:04</t>
  </si>
  <si>
    <t>IMG_1254_grid_compass.JPG</t>
  </si>
  <si>
    <t>2019:06:26 17:02:15</t>
  </si>
  <si>
    <t>IMG_0282_grid_compass_1.JPG</t>
  </si>
  <si>
    <t>2019:07:24 03:38:51</t>
  </si>
  <si>
    <t>IMG_0046_grid_compass (2).JPG</t>
  </si>
  <si>
    <t>2019:08:11 00:46:26</t>
  </si>
  <si>
    <t>IMG_0805_grid_compass.JPG</t>
  </si>
  <si>
    <t>2019:08:17 03:24:53</t>
  </si>
  <si>
    <t>IMG_0188_grid_compass.JPG</t>
  </si>
  <si>
    <t>2019:07:23 07:43:26</t>
  </si>
  <si>
    <t>IMG_0680_grid_compass.JPG</t>
  </si>
  <si>
    <t>2019:07:01 18:27:57</t>
  </si>
  <si>
    <t>IMG_0350_grid_compass (2).JPG</t>
  </si>
  <si>
    <t>2019:07:14 03:48:43</t>
  </si>
  <si>
    <t>IMG_1214_grid_compass.JPG</t>
  </si>
  <si>
    <t>2019:07:03 04:20:42</t>
  </si>
  <si>
    <t>IMG_1156_grid_compass.JPG</t>
  </si>
  <si>
    <t>2019:07:20 05:16:54</t>
  </si>
  <si>
    <t>IMG_0138_grid_compass (2).JPG</t>
  </si>
  <si>
    <t>2019:07:10 05:17:10</t>
  </si>
  <si>
    <t>IMG_0117_grid_compass.JPG</t>
  </si>
  <si>
    <t>2019:08:26 18:56:08</t>
  </si>
  <si>
    <t>IMG_1190_grid_compass_1.JPG</t>
  </si>
  <si>
    <t>2019:07:18 19:57:01</t>
  </si>
  <si>
    <t>IMG_1772_grid_compass.JPG</t>
  </si>
  <si>
    <t>2019:06:18 02:25:17</t>
  </si>
  <si>
    <t>IMG_2760_grid_compass.JPG</t>
  </si>
  <si>
    <t>2019:08:11 21:10:19</t>
  </si>
  <si>
    <t>IMG_1020_grid_compass.JPG</t>
  </si>
  <si>
    <t>2019:08:15 00:34:37</t>
  </si>
  <si>
    <t>IMG_1252_grid_compass.JPG</t>
  </si>
  <si>
    <t>2019:06:26 17:02:14</t>
  </si>
  <si>
    <t>IMG_0318_grid_compass.JPG</t>
  </si>
  <si>
    <t>2019:07:03 18:05:32</t>
  </si>
  <si>
    <t>IMG_1215_grid_compass.JPG</t>
  </si>
  <si>
    <t>2019:08:28 06:52:52</t>
  </si>
  <si>
    <t>IMG_0315_grid_compass.JPG</t>
  </si>
  <si>
    <t>2019:07:03 18:05:31</t>
  </si>
  <si>
    <t>IMG_0170_grid_compass (3).JPG</t>
  </si>
  <si>
    <t>2019:07:10 17:52:00</t>
  </si>
  <si>
    <t>IMG_1316_grid_compass.JPG</t>
  </si>
  <si>
    <t>2019:07:03 23:39:57</t>
  </si>
  <si>
    <t>IMG_4395_grid_compass.JPG</t>
  </si>
  <si>
    <t>2019:06:07 20:00:56</t>
  </si>
  <si>
    <t>IMG_0194_grid_compass (3).JPG</t>
  </si>
  <si>
    <t>2019:07:12 04:31:45</t>
  </si>
  <si>
    <t>IMG_0023_grid_compass.JPG</t>
  </si>
  <si>
    <t>2019:07:13 07:45:13</t>
  </si>
  <si>
    <t>IMG_1205_grid_compass.JPG</t>
  </si>
  <si>
    <t>2019:07:18 22:08:52</t>
  </si>
  <si>
    <t>IMG_3438_grid_compass.JPG</t>
  </si>
  <si>
    <t>2019:08:12 23:45:33</t>
  </si>
  <si>
    <t>IMG_0608_grid_compass.JPG</t>
  </si>
  <si>
    <t>2019:07:01 02:25:57</t>
  </si>
  <si>
    <t>IMG_0326_grid_compass.JPG</t>
  </si>
  <si>
    <t>2019:07:03 18:05:52</t>
  </si>
  <si>
    <t>IMG_0993_grid_compass.JPG</t>
  </si>
  <si>
    <t>2019:08:08 22:45:02</t>
  </si>
  <si>
    <t>IMG_0048_grid_compass.JPG</t>
  </si>
  <si>
    <t>2019:08:11 00:46:27</t>
  </si>
  <si>
    <t>IMG_1350_grid_compass.JPG</t>
  </si>
  <si>
    <t>2019:07:05 17:51:41</t>
  </si>
  <si>
    <t>IMG_0344_grid.JPG</t>
  </si>
  <si>
    <t>2019:07:08 22:37:04</t>
  </si>
  <si>
    <t>IMG_0140_grid_compass (2).JPG</t>
  </si>
  <si>
    <t>2019:08:07 01:51:51</t>
  </si>
  <si>
    <t>IMG_0093_grid_compass.JPG</t>
  </si>
  <si>
    <t>2019:06:27 00:02:30</t>
  </si>
  <si>
    <t>IMG_0027_grid_compass.JPG</t>
  </si>
  <si>
    <t>2019:07:08 17:19:18</t>
  </si>
  <si>
    <t>IMG_2926_grid_compass.JPG</t>
  </si>
  <si>
    <t>2019:06:30 00:45:38</t>
  </si>
  <si>
    <t>IMG_0052_grid_compass (2).JPG</t>
  </si>
  <si>
    <t>2019:08:20 07:21:50</t>
  </si>
  <si>
    <t>IMG_0016_grid_compass.JPG</t>
  </si>
  <si>
    <t>2019:06:12 04:34:22</t>
  </si>
  <si>
    <t>IMG_0647_grid_compass.JPG</t>
  </si>
  <si>
    <t>2019:06:26 07:09:01</t>
  </si>
  <si>
    <t>IMG_1382_grid_compass.JPG</t>
  </si>
  <si>
    <t>2019:07:21 04:23:36</t>
  </si>
  <si>
    <t>IMG_0636_grid_compass (2).JPG</t>
  </si>
  <si>
    <t>2019:08:24 08:06:18</t>
  </si>
  <si>
    <t>IMG_0260_grid_compass.JPG</t>
  </si>
  <si>
    <t>2019:08:10 08:17:44</t>
  </si>
  <si>
    <t>IMG_0327_grid_compass.JPG</t>
  </si>
  <si>
    <t>2019:07:12 18:54:09</t>
  </si>
  <si>
    <t>IMG_2498_grid_compass.JPG</t>
  </si>
  <si>
    <t>2019:06:29 00:00:23</t>
  </si>
  <si>
    <t>IMG_0007_grid_compass.JPG</t>
  </si>
  <si>
    <t>2019:07:11 23:33:35</t>
  </si>
  <si>
    <t>IMG_1161_grid_compass.JPG</t>
  </si>
  <si>
    <t>2019:08:28 00:53:30</t>
  </si>
  <si>
    <t>IMG_0266_grid_compass (2).JPG</t>
  </si>
  <si>
    <t>2019:06:25 06:56:43</t>
  </si>
  <si>
    <t>IMG_0084_grid_compass_1.JPG</t>
  </si>
  <si>
    <t>2019:07:08 23:39:28</t>
  </si>
  <si>
    <t>IMG_0633_grid_compass.JPG</t>
  </si>
  <si>
    <t>2019:08:24 08:06:17</t>
  </si>
  <si>
    <t>IMG_1286_grid_compass.JPG</t>
  </si>
  <si>
    <t>2019:07:03 10:58:40</t>
  </si>
  <si>
    <t>IMG_1630_grid_compass.JPG</t>
  </si>
  <si>
    <t>2019:08:19 06:28:14</t>
  </si>
  <si>
    <t>IMG_2276_grid_compass.JPG</t>
  </si>
  <si>
    <t>2019:08:29 22:56:34</t>
  </si>
  <si>
    <t>IMG_1874_grid_compass.JPG</t>
  </si>
  <si>
    <t>2019:07:26 05:20:41</t>
  </si>
  <si>
    <t>IMG_0303_grid_compass.JPG</t>
  </si>
  <si>
    <t>2019:08:08 08:06:24</t>
  </si>
  <si>
    <t>IMG_0722_grid_compass_1.JPG</t>
  </si>
  <si>
    <t>2019:08:17 07:39:32</t>
  </si>
  <si>
    <t>IMG_0442_grid_compass.JPG</t>
  </si>
  <si>
    <t>2019:07:12 06:25:00</t>
  </si>
  <si>
    <t>IMG_0018_grid_compass.JPG</t>
  </si>
  <si>
    <t>2019:06:12 04:34:23</t>
  </si>
  <si>
    <t>IMG_1094_grid_compass.JPG</t>
  </si>
  <si>
    <t>2019:06:13 18:17:41</t>
  </si>
  <si>
    <t>IMG_0908_grid_compass.JPG</t>
  </si>
  <si>
    <t>2019:06:26 02:17:18</t>
  </si>
  <si>
    <t>IMG_0634_grid_compass.JPG</t>
  </si>
  <si>
    <t>2019:07:01 03:58:03</t>
  </si>
  <si>
    <t>IMG_1065_grid_compass.JPG</t>
  </si>
  <si>
    <t>2019:07:01 08:08:58</t>
  </si>
  <si>
    <t>IMG_0674_grid_compass.JPG</t>
  </si>
  <si>
    <t>2019:07:01 18:26:35</t>
  </si>
  <si>
    <t>IMG_3362_grid_compass.JPG</t>
  </si>
  <si>
    <t>2019:07:01 06:42:50</t>
  </si>
  <si>
    <t>IMG_4303_grid_compass.JPG</t>
  </si>
  <si>
    <t>2019:08:14 03:27:58</t>
  </si>
  <si>
    <t>IMG_1767_grid_compass.JPG</t>
  </si>
  <si>
    <t>2019:06:03 18:27:58</t>
  </si>
  <si>
    <t>IMG_1329_grid_compass.JPG</t>
  </si>
  <si>
    <t>2019:07:05 17:49:54</t>
  </si>
  <si>
    <t>IMG_1442_grid_compass.JPG</t>
  </si>
  <si>
    <t>2019:07:07 20:11:34</t>
  </si>
  <si>
    <t>IMG_0154_grid_compass.JPG</t>
  </si>
  <si>
    <t>2019:07:12 19:45:00</t>
  </si>
  <si>
    <t>IMG_4424_grid_compass.JPG</t>
  </si>
  <si>
    <t>2019:06:08 06:38:08</t>
  </si>
  <si>
    <t>IMG_2442_grid_compass.JPG</t>
  </si>
  <si>
    <t>2019:07:27 04:35:56</t>
  </si>
  <si>
    <t>IMG_4059_grid_compass.JPG</t>
  </si>
  <si>
    <t>2019:06:07 06:43:33</t>
  </si>
  <si>
    <t>IMG_2264_grid_compass.JPG</t>
  </si>
  <si>
    <t>2019:06:03 05:31:26</t>
  </si>
  <si>
    <t>IMG_1332_grid_compass.JPG</t>
  </si>
  <si>
    <t>2019:07:04 03:33:28</t>
  </si>
  <si>
    <t>IMG_0428_grid_compass (2).JPG</t>
  </si>
  <si>
    <t>2019:07:12 02:25:09</t>
  </si>
  <si>
    <t>IMG_0420_grid_compass (2).JPG</t>
  </si>
  <si>
    <t>2019:06:14 20:28:14</t>
  </si>
  <si>
    <t>IMG_0842_grid_compass.JPG</t>
  </si>
  <si>
    <t>2019:06:29 18:59:20</t>
  </si>
  <si>
    <t>IMG_0547_grid_compass.JPG</t>
  </si>
  <si>
    <t>2019:06:30 06:30:04</t>
  </si>
  <si>
    <t>IMG_0932_grid_compass (2).JPG</t>
  </si>
  <si>
    <t>2019:08:13 18:53:17</t>
  </si>
  <si>
    <t>IMG_3524_grid_compass.JPG</t>
  </si>
  <si>
    <t>2019:06:05 20:48:48</t>
  </si>
  <si>
    <t>IMG_0010_grid_compass (3).JPG</t>
  </si>
  <si>
    <t>2019:07:12 22:19:56</t>
  </si>
  <si>
    <t>IMG_1868_grid_compass.JPG</t>
  </si>
  <si>
    <t>2019:07:26 05:16:21</t>
  </si>
  <si>
    <t>IMG_3446_grid_compass.JPG</t>
  </si>
  <si>
    <t>2019:07:28 21:13:49</t>
  </si>
  <si>
    <t>IMG_0008_grid_compass (2).JPG</t>
  </si>
  <si>
    <t>2019:08:05 18:04:32</t>
  </si>
  <si>
    <t>IMG_1082_grid_compass.JPG</t>
  </si>
  <si>
    <t>2019:06:22 07:26:21</t>
  </si>
  <si>
    <t>IMG_0488_grid_compass (3).JPG</t>
  </si>
  <si>
    <t>2019:07:14 22:23:27</t>
  </si>
  <si>
    <t>IMG_0631_grid_compass.JPG</t>
  </si>
  <si>
    <t>2019:08:24 08:06:16</t>
  </si>
  <si>
    <t>IMG_0010_grid_compass (2).JPG</t>
  </si>
  <si>
    <t>2019:08:05 18:04:33</t>
  </si>
  <si>
    <t>IMG_0012_grid_compass (2).JPG</t>
  </si>
  <si>
    <t>2019:08:05 18:04:34</t>
  </si>
  <si>
    <t>IMG_0414_grid_compass (2).JPG</t>
  </si>
  <si>
    <t>2019:07:09 03:11:19</t>
  </si>
  <si>
    <t>IMG_0806_grid_compass (2).JPG</t>
  </si>
  <si>
    <t>2019:08:08 18:32:52</t>
  </si>
  <si>
    <t>IMG_1845_grid_compass.JPG</t>
  </si>
  <si>
    <t>2019:08:29 06:39:53</t>
  </si>
  <si>
    <t>IMG_0963_grid_compass.JPG</t>
  </si>
  <si>
    <t>2019:06:21 00:03:40</t>
  </si>
  <si>
    <t>IMG_1892_grid.JPG</t>
  </si>
  <si>
    <t>2019:06:14 20:58:11</t>
  </si>
  <si>
    <t>IMG_0056_grid_compass.JPG</t>
  </si>
  <si>
    <t>2019:06:26 04:41:05</t>
  </si>
  <si>
    <t>IMG_3578_grid_compass.JPG</t>
  </si>
  <si>
    <t>IMG_1184_grid_compass (2).JPG</t>
  </si>
  <si>
    <t>2019:07:18 19:56:51</t>
  </si>
  <si>
    <t>IMG_0530_grid_compass.JPG</t>
  </si>
  <si>
    <t>2019:06:29 22:26:52</t>
  </si>
  <si>
    <t>IMG_0481_grid_compass (3).JPG</t>
  </si>
  <si>
    <t>2019:06:01 03:32:16</t>
  </si>
  <si>
    <t>IMG_0676_grid_compass.JPG</t>
  </si>
  <si>
    <t>2019:07:01 18:26:36</t>
  </si>
  <si>
    <t>IMG_1077_grid_compass.JPG</t>
  </si>
  <si>
    <t>2019:06:22 03:51:15</t>
  </si>
  <si>
    <t>IMG_0240_grid_compass_1.JPG</t>
  </si>
  <si>
    <t>2019:07:22 22:07:05</t>
  </si>
  <si>
    <t>IMG_0782_grid_compass.JPG</t>
  </si>
  <si>
    <t>2019:08:22 03:49:33</t>
  </si>
  <si>
    <t>IMG_0292_grid_compass.JPG</t>
  </si>
  <si>
    <t>2019:07:24 03:39:05</t>
  </si>
  <si>
    <t>IMG_0149_grid_compass.JPG</t>
  </si>
  <si>
    <t>2019:07:12 19:44:40</t>
  </si>
  <si>
    <t>IMG_0318_grid_compass (2).JPG</t>
  </si>
  <si>
    <t>2019:08:12 02:43:28</t>
  </si>
  <si>
    <t>IMG_1388_grid_compass (2).JPG</t>
  </si>
  <si>
    <t>2019:06:02 08:30:03</t>
  </si>
  <si>
    <t>IMG_1766_grid_compass (2).JPG</t>
  </si>
  <si>
    <t>2019:06:18 02:18:45</t>
  </si>
  <si>
    <t>IMG_1009_grid_compass.JPG</t>
  </si>
  <si>
    <t>2019:08:16 22:16:40</t>
  </si>
  <si>
    <t>IMG_0500_grid_compass_1.JPG</t>
  </si>
  <si>
    <t>2019:07:14 21:10:30</t>
  </si>
  <si>
    <t>IMG_2310_grid_compass.JPG</t>
  </si>
  <si>
    <t>2019:08:29 23:18:09</t>
  </si>
  <si>
    <t>IMG_1971_grid_compass.JPG</t>
  </si>
  <si>
    <t>2019:06:28 01:42:41</t>
  </si>
  <si>
    <t>IMG_4235_grid_compass.JPG</t>
  </si>
  <si>
    <t>2019:08:14 02:26:13</t>
  </si>
  <si>
    <t>IMG_0340_grid_compass.JPG</t>
  </si>
  <si>
    <t>2019:08:09 00:00:14</t>
  </si>
  <si>
    <t>IMG_0422_grid_compass.JPG</t>
  </si>
  <si>
    <t>2019:07:14 06:02:17</t>
  </si>
  <si>
    <t>IMG_1790_grid_compass.JPG</t>
  </si>
  <si>
    <t>2019:06:03 21:05:27</t>
  </si>
  <si>
    <t>IMG_0412_grid_compass.JPG</t>
  </si>
  <si>
    <t>2019:07:09 03:11:18</t>
  </si>
  <si>
    <t>IMG_1724_grid_compass.JPG</t>
  </si>
  <si>
    <t>2019:08:10 00:12:59</t>
  </si>
  <si>
    <t>IMG_0290_grid_compass_1.JPG</t>
  </si>
  <si>
    <t>2019:07:24 03:39:04</t>
  </si>
  <si>
    <t>IMG_0423_grid_compass.JPG</t>
  </si>
  <si>
    <t>2019:07:11 07:45:11</t>
  </si>
  <si>
    <t>IMG_0494_grid_compass_1.JPG</t>
  </si>
  <si>
    <t>2019:07:14 22:23:36</t>
  </si>
  <si>
    <t>IMG_0120_grid_compass (2).JPG</t>
  </si>
  <si>
    <t>2019:07:11 19:13:07</t>
  </si>
  <si>
    <t>IMG_1301_grid_compass.JPG</t>
  </si>
  <si>
    <t>2019:07:03 17:12:31</t>
  </si>
  <si>
    <t>IMG_1214_grid_compass_2.JPG</t>
  </si>
  <si>
    <t>2019:07:19 04:37:56</t>
  </si>
  <si>
    <t>IMG_0123_grid_compass.JPG</t>
  </si>
  <si>
    <t>2019:07:11 19:13:14</t>
  </si>
  <si>
    <t>IMG_2790_grid_compass.JPG</t>
  </si>
  <si>
    <t>2019:06:29 17:30:09</t>
  </si>
  <si>
    <t>IMG_0050_grid_compass_1 (2).JPG</t>
  </si>
  <si>
    <t>2019:07:08 19:24:44</t>
  </si>
  <si>
    <t>IMG_1656_grid.JPG</t>
  </si>
  <si>
    <t>2019:08:09 22:02:05</t>
  </si>
  <si>
    <t>IMG_2841_grid_compass.JPG</t>
  </si>
  <si>
    <t>2019:08:12 06:04:43</t>
  </si>
  <si>
    <t>IMG_1017_grid_compass.JPG</t>
  </si>
  <si>
    <t>2019:08:15 00:34:36</t>
  </si>
  <si>
    <t>IMG_2747_grid_compass.JPG</t>
  </si>
  <si>
    <t>2019:08:11 20:07:57</t>
  </si>
  <si>
    <t>IMG_2793_grid_compass.JPG</t>
  </si>
  <si>
    <t>2019:06:29 17:31:08</t>
  </si>
  <si>
    <t>IMG_1193_grid_compass.JPG</t>
  </si>
  <si>
    <t>2019:07:04 06:35:27</t>
  </si>
  <si>
    <t>IMG_0164_grid_compass_2.JPG</t>
  </si>
  <si>
    <t>2019:07:10 07:48:58</t>
  </si>
  <si>
    <t>IMG_0647_grid_compass (2).JPG</t>
  </si>
  <si>
    <t>2019:06:16 00:34:11</t>
  </si>
  <si>
    <t>IMG_0864_grid_compass.JPG</t>
  </si>
  <si>
    <t>2019:06:25 19:14:55</t>
  </si>
  <si>
    <t>IMG_0416_grid_compass.JPG</t>
  </si>
  <si>
    <t>2019:07:29 16:44:00</t>
  </si>
  <si>
    <t>IMG_1114_grid_compass.JPG</t>
  </si>
  <si>
    <t>2019:08:09 06:22:40</t>
  </si>
  <si>
    <t>IMG_2583_grid_compass.JPG</t>
  </si>
  <si>
    <t>2019:06:03 23:45:00</t>
  </si>
  <si>
    <t>IMG_0362_grid_compass (2).JPG</t>
  </si>
  <si>
    <t>2019:06:12 05:41:36</t>
  </si>
  <si>
    <t>IMG_3455_grid.JPG</t>
  </si>
  <si>
    <t>2019:07:28 21:39:25</t>
  </si>
  <si>
    <t>IMG_0170_grid_compass.JPG</t>
  </si>
  <si>
    <t>2019:06:27 01:05:09</t>
  </si>
  <si>
    <t>IMG_1132_grid_compass.JPG</t>
  </si>
  <si>
    <t>2019:07:18 06:43:23</t>
  </si>
  <si>
    <t>IMG_3566_grid_compass.JPG</t>
  </si>
  <si>
    <t>IMG_4292_grid_compass.JPG</t>
  </si>
  <si>
    <t>2019:07:03 00:19:42</t>
  </si>
  <si>
    <t>IMG_1614_grid_compass.JPG</t>
  </si>
  <si>
    <t>2019:07:05 18:33:01</t>
  </si>
  <si>
    <t>IMG_0128_grid_compass_1.JPG</t>
  </si>
  <si>
    <t>2019:08:06 19:23:41</t>
  </si>
  <si>
    <t>IMG_0597_grid_compass.JPG</t>
  </si>
  <si>
    <t>2019:08:12 20:21:20</t>
  </si>
  <si>
    <t>IMG_0173_grid_compass.JPG</t>
  </si>
  <si>
    <t>2019:06:27 01:05:10</t>
  </si>
  <si>
    <t>IMG_0076_grid_compass (2).JPG</t>
  </si>
  <si>
    <t>2019:07:10 22:29:29</t>
  </si>
  <si>
    <t>IMG_1652_grid.JPG</t>
  </si>
  <si>
    <t>2019:08:09 22:02:04</t>
  </si>
  <si>
    <t>IMG_1106_grid_compass.JPG</t>
  </si>
  <si>
    <t>2019:07:17 20:50:33</t>
  </si>
  <si>
    <t>IMG_0128_grid_compass (2).JPG</t>
  </si>
  <si>
    <t>2019:06:12 08:19:29</t>
  </si>
  <si>
    <t>IMG_0135_grid_compass.JPG</t>
  </si>
  <si>
    <t>2019:07:10 05:17:09</t>
  </si>
  <si>
    <t>IMG_1778_grid_compass.JPG</t>
  </si>
  <si>
    <t>2019:06:03 18:38:57</t>
  </si>
  <si>
    <t>IMG_1228_grid_compass.JPG</t>
  </si>
  <si>
    <t>2019:08:19 00:06:42</t>
  </si>
  <si>
    <t>IMG_0147_grid.JPG</t>
  </si>
  <si>
    <t>2019:07:10 05:22:20</t>
  </si>
  <si>
    <t>IMG_2030_grid_compass.JPG</t>
  </si>
  <si>
    <t>2019:07:08 03:05:19</t>
  </si>
  <si>
    <t>IMG_0699_grid_compass (2).JPG</t>
  </si>
  <si>
    <t>2019:07:15 07:03:11</t>
  </si>
  <si>
    <t>LAPP05</t>
  </si>
  <si>
    <t>IMG_0190_grid.JPG</t>
  </si>
  <si>
    <t>2019:07:15 04:35:01</t>
  </si>
  <si>
    <t>IMG_2006_grid_compass.JPG</t>
  </si>
  <si>
    <t>2019:07:03 17:07:42</t>
  </si>
  <si>
    <t>IMG_0686_grid_compass (2).JPG</t>
  </si>
  <si>
    <t>2019:07:15 00:55:39</t>
  </si>
  <si>
    <t>IMG_0128_grid_compass_2.JPG</t>
  </si>
  <si>
    <t>2019:08:11 23:43:45</t>
  </si>
  <si>
    <t>IMG_0074_grid_compass (3).JPG</t>
  </si>
  <si>
    <t>2019:07:10 22:29:28</t>
  </si>
  <si>
    <t>IMG_3420_grid_compass.JPG</t>
  </si>
  <si>
    <t>2019:08:12 23:43:45</t>
  </si>
  <si>
    <t>IMG_1046_grid_compass.JPG</t>
  </si>
  <si>
    <t>2019:06:21 17:16:59</t>
  </si>
  <si>
    <t>IMG_0862_grid_compass (2).JPG</t>
  </si>
  <si>
    <t>2019:06:25 19:14:54</t>
  </si>
  <si>
    <t>IMG_0276_grid_compass.JPG</t>
  </si>
  <si>
    <t>2019:07:28 05:12:50</t>
  </si>
  <si>
    <t>IMG_0565_grid_compass.JPG</t>
  </si>
  <si>
    <t>2019:06:26 05:58:13</t>
  </si>
  <si>
    <t>IMG_0581_grid_compass.JPG</t>
  </si>
  <si>
    <t>2019:08:13 06:41:40</t>
  </si>
  <si>
    <t>IMG_0140_grid_compass_1.JPG</t>
  </si>
  <si>
    <t>2019:07:22 17:17:22</t>
  </si>
  <si>
    <t>IMG_0054_grid_compass (2).JPG</t>
  </si>
  <si>
    <t>2019:08:17 01:04:42</t>
  </si>
  <si>
    <t>IMG_4057_grid_compass.JPG</t>
  </si>
  <si>
    <t>2019:06:07 06:43:32</t>
  </si>
  <si>
    <t>IMG_2438_grid_compass.JPG</t>
  </si>
  <si>
    <t>2019:07:27 04:35:55</t>
  </si>
  <si>
    <t>IMG_1676_grid_compass.JPG</t>
  </si>
  <si>
    <t>2019:08:04 01:10:43</t>
  </si>
  <si>
    <t>IMG_1862_grid_compass.JPG</t>
  </si>
  <si>
    <t>2019:07:26 04:16:32</t>
  </si>
  <si>
    <t>IMG_0425_grid_compass.JPG</t>
  </si>
  <si>
    <t>2019:07:14 06:02:18</t>
  </si>
  <si>
    <t>IMG_1195_grid_compass.JPG</t>
  </si>
  <si>
    <t>2019:07:18 22:08:06</t>
  </si>
  <si>
    <t>IMG_1384_grid_compass.JPG</t>
  </si>
  <si>
    <t>2019:07:21 04:23:37</t>
  </si>
  <si>
    <t>IMG_1748_grid_compass.JPG</t>
  </si>
  <si>
    <t>2019:08:29 04:06:40</t>
  </si>
  <si>
    <t>IMG_0122_grid_compass.JPG</t>
  </si>
  <si>
    <t>2019:07:22 17:15:18</t>
  </si>
  <si>
    <t>IMG_0804_grid_compass_1.JPG</t>
  </si>
  <si>
    <t>2019:08:08 18:28:34</t>
  </si>
  <si>
    <t>IMG_1341_grid_compass.JPG</t>
  </si>
  <si>
    <t>2019:07:04 06:49:57</t>
  </si>
  <si>
    <t>IMG_0816_grid.JPG</t>
  </si>
  <si>
    <t>2019:08:08 18:33:21</t>
  </si>
  <si>
    <t>IMG_0044_grid_compass (2).JPG</t>
  </si>
  <si>
    <t>2019:08:11 00:46:25</t>
  </si>
  <si>
    <t>IMG_0593_grid_compass.JPG</t>
  </si>
  <si>
    <t>2019:08:12 19:15:48</t>
  </si>
  <si>
    <t>IMG_0798_grid_compass.JPG</t>
  </si>
  <si>
    <t>2019:07:15 17:59:04</t>
  </si>
  <si>
    <t>IMG_0947_grid_compass.JPG</t>
  </si>
  <si>
    <t>2019:06:26 05:14:23</t>
  </si>
  <si>
    <t>IMG_4314_grid.JPG</t>
  </si>
  <si>
    <t>2019:08:14 03:29:20</t>
  </si>
  <si>
    <t>IMG_2369_grid_compass.JPG</t>
  </si>
  <si>
    <t>2019:06:06 17:51:21</t>
  </si>
  <si>
    <t>IMG_0320_grid.JPG</t>
  </si>
  <si>
    <t>2019:08:27 00:21:04</t>
  </si>
  <si>
    <t>IMG_2924_grid_compass.JPG</t>
  </si>
  <si>
    <t>2019:06:30 00:45:37</t>
  </si>
  <si>
    <t>IMG_4398_grid_compass.JPG</t>
  </si>
  <si>
    <t>2019:06:07 20:00:57</t>
  </si>
  <si>
    <t>IMG_0823_grid_compass.JPG</t>
  </si>
  <si>
    <t>2019:07:03 06:33:57</t>
  </si>
  <si>
    <t>IMG_0614_grid_compass.JPG</t>
  </si>
  <si>
    <t>2019:07:01 02:47:43</t>
  </si>
  <si>
    <t>IMG_1310_grid_compass.JPG</t>
  </si>
  <si>
    <t>2019:07:03 23:39:43</t>
  </si>
  <si>
    <t>IMG_0793_grid_compass.JPG</t>
  </si>
  <si>
    <t>2019:07:15 17:59:02</t>
  </si>
  <si>
    <t>IMG_0287_grid_compass.JPG</t>
  </si>
  <si>
    <t>2019:07:24 03:38:58</t>
  </si>
  <si>
    <t>IMG_0410_grid_compass.JPG</t>
  </si>
  <si>
    <t>2019:07:09 03:11:17</t>
  </si>
  <si>
    <t>IMG_1388_grid_compass.JPG</t>
  </si>
  <si>
    <t>2019:07:21 04:28:53</t>
  </si>
  <si>
    <t>IMG_1833_grid_compass.JPG</t>
  </si>
  <si>
    <t>2019:07:26 02:44:08</t>
  </si>
  <si>
    <t>IMG_0162_grid_compass (2).JPG</t>
  </si>
  <si>
    <t>2019:07:10 07:48:51</t>
  </si>
  <si>
    <t>IMG_0122_grid_compass_1.JPG</t>
  </si>
  <si>
    <t>2019:06:11 20:13:58</t>
  </si>
  <si>
    <t>IMG_0902_grid_compass.JPG</t>
  </si>
  <si>
    <t>2019:06:26 02:17:09</t>
  </si>
  <si>
    <t>IMG_3442_grid_compass.JPG</t>
  </si>
  <si>
    <t>2019:07:28 18:56:01</t>
  </si>
  <si>
    <t>IMG_0139_grid_compass.JPG</t>
  </si>
  <si>
    <t>2019:06:14 06:44:34</t>
  </si>
  <si>
    <t>IMG_1328_grid_compass_1.JPG</t>
  </si>
  <si>
    <t>2019:06:27 00:42:28</t>
  </si>
  <si>
    <t>IMG_1785_grid_compass.JPG</t>
  </si>
  <si>
    <t>2019:06:03 19:08:17</t>
  </si>
  <si>
    <t>IMG_4232_grid_compass.JPG</t>
  </si>
  <si>
    <t>2019:08:14 02:26:12</t>
  </si>
  <si>
    <t>IMG_0332_grid_compass (2).JPG</t>
  </si>
  <si>
    <t>2019:06:27 21:57:49</t>
  </si>
  <si>
    <t>IMG_0726_grid_compass (2).JPG</t>
  </si>
  <si>
    <t>2019:08:08 08:09:20</t>
  </si>
  <si>
    <t>IMG_0638_grid_compass (2).JPG</t>
  </si>
  <si>
    <t>2019:06:16 00:33:45</t>
  </si>
  <si>
    <t>IMG_1326_grid_compass.JPG</t>
  </si>
  <si>
    <t>2019:06:27 00:38:33</t>
  </si>
  <si>
    <t>IMG_2750_grid.JPG</t>
  </si>
  <si>
    <t>2019:08:11 20:10:15</t>
  </si>
  <si>
    <t>IMG_1831_grid_compass.JPG</t>
  </si>
  <si>
    <t>2019:07:26 02:44:07</t>
  </si>
  <si>
    <t>IMG_1836_grid_compass.JPG</t>
  </si>
  <si>
    <t>2019:07:26 02:44:09</t>
  </si>
  <si>
    <t>IMG_0791_grid_compass_1.JPG</t>
  </si>
  <si>
    <t>2019:08:14 01:53:26</t>
  </si>
  <si>
    <t>IMG_0488_grid_compass.JPG</t>
  </si>
  <si>
    <t>2019:06:13 06:14:04</t>
  </si>
  <si>
    <t>IMG_0975_grid_compass.JPG</t>
  </si>
  <si>
    <t>2019:06:21 05:38:59</t>
  </si>
  <si>
    <t>IMG_0862_grid_compass.JPG</t>
  </si>
  <si>
    <t>2019:07:30 06:37:57</t>
  </si>
  <si>
    <t>IMG_1291_grid_compass.JPG</t>
  </si>
  <si>
    <t>2019:08:21 00:16:32</t>
  </si>
  <si>
    <t>IMG_0290_grid_compass.JPG</t>
  </si>
  <si>
    <t>2019:07:23 01:48:05</t>
  </si>
  <si>
    <t>IMG_0050_grid_compass (2).JPG</t>
  </si>
  <si>
    <t>2019:08:20 07:21:49</t>
  </si>
  <si>
    <t>IMG_4312_grid.JPG</t>
  </si>
  <si>
    <t>2019:08:14 03:29:19</t>
  </si>
  <si>
    <t>IMG_0912_grid_compass.JPG</t>
  </si>
  <si>
    <t>2019:06:26 02:17:19</t>
  </si>
  <si>
    <t>IMG_0404_grid_compass.JPG</t>
  </si>
  <si>
    <t>2019:08:29 01:34:47</t>
  </si>
  <si>
    <t>IMG_0053_grid.JPG</t>
  </si>
  <si>
    <t>2019:08:06 04:29:12</t>
  </si>
  <si>
    <t>IMG_2744_grid_compass.JPG</t>
  </si>
  <si>
    <t>2019:08:11 20:07:56</t>
  </si>
  <si>
    <t>IMG_0615_grid_compass.JPG</t>
  </si>
  <si>
    <t>2019:08:24 06:02:23</t>
  </si>
  <si>
    <t>IMG_0584_grid_compass.JPG</t>
  </si>
  <si>
    <t>2019:07:01 00:30:11</t>
  </si>
  <si>
    <t>IMG_0329_grid_compass.JPG</t>
  </si>
  <si>
    <t>2019:07:03 18:05:53</t>
  </si>
  <si>
    <t>IMG_1323_grid_compass.JPG</t>
  </si>
  <si>
    <t>2019:06:27 00:38:32</t>
  </si>
  <si>
    <t>IMG_1028_grid_compass.JPG</t>
  </si>
  <si>
    <t>2019:07:31 07:28:46</t>
  </si>
  <si>
    <t>IMG_0124_grid_compass (3).JPG</t>
  </si>
  <si>
    <t>2019:08:26 19:28:20</t>
  </si>
  <si>
    <t>IMG_1170_grid_compass.JPG</t>
  </si>
  <si>
    <t>2019:08:28 01:06:50</t>
  </si>
  <si>
    <t>IMG_2258_grid_compass.JPG</t>
  </si>
  <si>
    <t>2019:06:03 05:26:41</t>
  </si>
  <si>
    <t>IMG_4253_grid_compass.JPG</t>
  </si>
  <si>
    <t>2019:08:14 02:27:14</t>
  </si>
  <si>
    <t>IMG_0308_grid_compass.JPG</t>
  </si>
  <si>
    <t>2019:06:25 04:59:27</t>
  </si>
  <si>
    <t>IMG_0492_grid_compass (2).JPG</t>
  </si>
  <si>
    <t>2019:08:22 22:22:34</t>
  </si>
  <si>
    <t>IMG_0180_grid_compass (3).JPG</t>
  </si>
  <si>
    <t>2019:08:26 18:32:42</t>
  </si>
  <si>
    <t>IMG_1718_grid_compass.JPG</t>
  </si>
  <si>
    <t>2019:08:10 00:12:27</t>
  </si>
  <si>
    <t>IMG_0144_grid_compass_1.JPG</t>
  </si>
  <si>
    <t>2019:08:16 06:02:20</t>
  </si>
  <si>
    <t>IMG_0668_grid.JPG</t>
  </si>
  <si>
    <t>2019:06:26 08:25:22</t>
  </si>
  <si>
    <t>IMG_0112_grid_compass.JPG</t>
  </si>
  <si>
    <t>2019:07:11 19:12:51</t>
  </si>
  <si>
    <t>IMG_0197_grid_compass.JPG</t>
  </si>
  <si>
    <t>2019:07:26 06:09:35</t>
  </si>
  <si>
    <t>IMG_0650_grid_compass.JPG</t>
  </si>
  <si>
    <t>2019:06:26 07:09:09</t>
  </si>
  <si>
    <t>IMG_0723_grid_compass.JPG</t>
  </si>
  <si>
    <t>2019:08:25 20:50:10</t>
  </si>
  <si>
    <t>IMG_0188_grid.JPG</t>
  </si>
  <si>
    <t>2019:07:15 04:35:00</t>
  </si>
  <si>
    <t>IMG_0506_grid_compass.JPG</t>
  </si>
  <si>
    <t>2019:07:12 19:13:33</t>
  </si>
  <si>
    <t>IMG_0620_grid_compass (2).JPG</t>
  </si>
  <si>
    <t>2019:08:24 06:02:37</t>
  </si>
  <si>
    <t>IMG_0284_grid_compass.JPG</t>
  </si>
  <si>
    <t>2019:07:24 03:38:57</t>
  </si>
  <si>
    <t>IMG_0499_grid_compass (2).JPG</t>
  </si>
  <si>
    <t>2019:08:22 23:04:59</t>
  </si>
  <si>
    <t>IMG_0356_grid_compass (2).JPG</t>
  </si>
  <si>
    <t>2019:06:12 01:25:42</t>
  </si>
  <si>
    <t>IMG_0857_grid_compass.JPG</t>
  </si>
  <si>
    <t>2019:06:30 00:07:39</t>
  </si>
  <si>
    <t>IMG_0009_grid_compass.JPG</t>
  </si>
  <si>
    <t>2019:07:11 23:33:36</t>
  </si>
  <si>
    <t>IMG_0602_grid_compass.JPG</t>
  </si>
  <si>
    <t>2019:07:01 02:25:39</t>
  </si>
  <si>
    <t>IMG_2278_grid_compass.JPG</t>
  </si>
  <si>
    <t>2019:08:29 22:56:35</t>
  </si>
  <si>
    <t>IMG_1896_grid_compass.JPG</t>
  </si>
  <si>
    <t>2019:06:14 20:58:12</t>
  </si>
  <si>
    <t>IMG_0036_grid_compass.JPG</t>
  </si>
  <si>
    <t>2019:06:11 09:30:48</t>
  </si>
  <si>
    <t>IMG_0481_grid_compass.JPG</t>
  </si>
  <si>
    <t>2019:06:13 05:31:30</t>
  </si>
  <si>
    <t>IMG_0428_grid_compass.JPG</t>
  </si>
  <si>
    <t>2019:08:22 06:53:47</t>
  </si>
  <si>
    <t>IMG_1628_grid_compass.JPG</t>
  </si>
  <si>
    <t>2019:08:19 06:28:13</t>
  </si>
  <si>
    <t>IMG_0707_grid_compass.JPG</t>
  </si>
  <si>
    <t>2019:07:15 07:03:47</t>
  </si>
  <si>
    <t>IMG_0117_grid_compass (2).JPG</t>
  </si>
  <si>
    <t>2019:07:11 19:13:06</t>
  </si>
  <si>
    <t>IMG_0692_grid_compass.JPG</t>
  </si>
  <si>
    <t>2019:07:15 07:02:41</t>
  </si>
  <si>
    <t>IMG_2756_grid_compass.JPG</t>
  </si>
  <si>
    <t>2019:08:11 21:10:18</t>
  </si>
  <si>
    <t>IMG_1334_grid_compass.JPG</t>
  </si>
  <si>
    <t>2019:07:05 17:50:03</t>
  </si>
  <si>
    <t>IMG_0177_grid.JPG</t>
  </si>
  <si>
    <t>2019:08:07 18:01:46</t>
  </si>
  <si>
    <t>IMG_2377_grid_compass.JPG</t>
  </si>
  <si>
    <t>2019:06:07 06:05:15</t>
  </si>
  <si>
    <t>IMG_0348_grid.JPG</t>
  </si>
  <si>
    <t>2019:07:08 22:37:05</t>
  </si>
  <si>
    <t>IMG_1070_grid_compass (2).JPG</t>
  </si>
  <si>
    <t>2019:06:22 01:11:16</t>
  </si>
  <si>
    <t>IMG_0944_grid_compass.JPG</t>
  </si>
  <si>
    <t>2019:06:26 05:14:22</t>
  </si>
  <si>
    <t>IMG_1250_grid_compass.JPG</t>
  </si>
  <si>
    <t>2019:06:26 17:02:13</t>
  </si>
  <si>
    <t>IMG_0180_grid.JPG</t>
  </si>
  <si>
    <t>2019:08:07 18:01:47</t>
  </si>
  <si>
    <t>IMG_1070_grid_compass.JPG</t>
  </si>
  <si>
    <t>2019:07:01 08:23:39</t>
  </si>
  <si>
    <t>IMG_1315_grid_compass.JPG</t>
  </si>
  <si>
    <t>2019:07:05 08:47:32</t>
  </si>
  <si>
    <t>IMG_3357_grid_compass.JPG</t>
  </si>
  <si>
    <t>2019:07:01 06:42:38</t>
  </si>
  <si>
    <t>IMG_2588_grid_compass.JPG</t>
  </si>
  <si>
    <t>2019:06:04 06:55:51</t>
  </si>
  <si>
    <t>IMG_0639_grid_compass.JPG</t>
  </si>
  <si>
    <t>2019:06:26 07:08:49</t>
  </si>
  <si>
    <t>IMG_3360_grid_compass.JPG</t>
  </si>
  <si>
    <t>2019:07:01 06:42:39</t>
  </si>
  <si>
    <t>IMG_2942_grid_compass.JPG</t>
  </si>
  <si>
    <t>2019:06:09 18:31:48</t>
  </si>
  <si>
    <t>IMG_1508_grid_compass.JPG</t>
  </si>
  <si>
    <t>2019:06:02 23:14:48</t>
  </si>
  <si>
    <t>IMG_0632_grid_compass.JPG</t>
  </si>
  <si>
    <t>2019:07:01 03:58:02</t>
  </si>
  <si>
    <t>IMG_0719_grid_compass.JPG</t>
  </si>
  <si>
    <t>2019:06:27 00:50:21</t>
  </si>
  <si>
    <t>IMG_0860_grid_compass (2).JPG</t>
  </si>
  <si>
    <t>2019:06:25 19:14:53</t>
  </si>
  <si>
    <t>IMG_2780_grid_compass.JPG</t>
  </si>
  <si>
    <t>2019:08:12 00:37:27</t>
  </si>
  <si>
    <t>IMG_0362_grid_compass.JPG</t>
  </si>
  <si>
    <t>2019:06:29 02:52:57</t>
  </si>
  <si>
    <t>IMG_1171_grid_compass.JPG</t>
  </si>
  <si>
    <t>2019:07:02 07:43:17</t>
  </si>
  <si>
    <t>IMG_0152_grid_compass (3).JPG</t>
  </si>
  <si>
    <t>2019:07:12 19:44:59</t>
  </si>
  <si>
    <t>IMG_2501_grid_compass.JPG</t>
  </si>
  <si>
    <t>2019:06:29 00:00:24</t>
  </si>
  <si>
    <t>IMG_1634_grid_compass.JPG</t>
  </si>
  <si>
    <t>2019:07:06 06:25:55</t>
  </si>
  <si>
    <t>IMG_0637_grid_compass.JPG</t>
  </si>
  <si>
    <t>2019:06:26 07:08:48</t>
  </si>
  <si>
    <t>IMG_1148_grid_compass.JPG</t>
  </si>
  <si>
    <t>2019:08:28 00:50:32</t>
  </si>
  <si>
    <t>IMG_4266_grid_compass.JPG</t>
  </si>
  <si>
    <t>2019:08:14 02:27:43</t>
  </si>
  <si>
    <t>IMG_1751_grid.JPG</t>
  </si>
  <si>
    <t>2019:08:29 04:06:41</t>
  </si>
  <si>
    <t>IMG_1154_grid_compass.JPG</t>
  </si>
  <si>
    <t>2019:07:20 05:16:53</t>
  </si>
  <si>
    <t>IMG_0619_grid_compass.JPG</t>
  </si>
  <si>
    <t>2019:07:01 02:48:01</t>
  </si>
  <si>
    <t>IMG_1184_grid_compass.JPG</t>
  </si>
  <si>
    <t>2019:07:04 06:35:11</t>
  </si>
  <si>
    <t>IMG_0991_grid_compass.JPG</t>
  </si>
  <si>
    <t>2019:08:08 22:45:01</t>
  </si>
  <si>
    <t>IMG_1159_grid_compass.JPG</t>
  </si>
  <si>
    <t>2019:08:28 00:53:29</t>
  </si>
  <si>
    <t>IMG_1167_grid_compass.JPG</t>
  </si>
  <si>
    <t>2019:08:28 01:06:49</t>
  </si>
  <si>
    <t>IMG_3468_grid_compass.JPG</t>
  </si>
  <si>
    <t>2019:06:05 18:02:30</t>
  </si>
  <si>
    <t>IMG_0175_grid.JPG</t>
  </si>
  <si>
    <t>2019:08:07 18:01:45</t>
  </si>
  <si>
    <t>IMG_0674_grid_compass (2).JPG</t>
  </si>
  <si>
    <t>2019:06:17 19:53:12</t>
  </si>
  <si>
    <t>IMG_1169_grid_compass.JPG</t>
  </si>
  <si>
    <t>2019:08:03 17:36:09</t>
  </si>
  <si>
    <t>IMG_0549_grid_compass.JPG</t>
  </si>
  <si>
    <t>2019:06:30 06:30:05</t>
  </si>
  <si>
    <t>IMG_1969_grid_compass.JPG</t>
  </si>
  <si>
    <t>2019:06:28 01:42:40</t>
  </si>
  <si>
    <t>IMG_1349_grid_compass.JPG</t>
  </si>
  <si>
    <t>2019:07:21 04:12:55</t>
  </si>
  <si>
    <t>IMG_2436_grid_compass.JPG</t>
  </si>
  <si>
    <t>2019:06:28 17:20:31</t>
  </si>
  <si>
    <t>IMG_1368_grid_compass.JPG</t>
  </si>
  <si>
    <t>2019:07:21 04:20:45</t>
  </si>
  <si>
    <t>IMG_1765_grid_compass.JPG</t>
  </si>
  <si>
    <t>2019:06:03 18:27:57</t>
  </si>
  <si>
    <t>IMG_0628_grid_compass_1.JPG</t>
  </si>
  <si>
    <t>2019:07:01 03:57:44</t>
  </si>
  <si>
    <t>IMG_1356_grid_compass (2).JPG</t>
  </si>
  <si>
    <t>2019:07:21 04:13:25</t>
  </si>
  <si>
    <t>IMG_0324_grid.JPG</t>
  </si>
  <si>
    <t>2019:08:27 00:21:05</t>
  </si>
  <si>
    <t>IMG_1142_grid_compass.JPG</t>
  </si>
  <si>
    <t>2019:08:09 06:48:18</t>
  </si>
  <si>
    <t>IMG_0852_grid_compass.JPG</t>
  </si>
  <si>
    <t>2019:06:20 05:10:21</t>
  </si>
  <si>
    <t>IMG_0411_grid_compass.JPG</t>
  </si>
  <si>
    <t>2019:06:14 20:27:49</t>
  </si>
  <si>
    <t>IMG_1344_grid_compass (3).JPG</t>
  </si>
  <si>
    <t>2019:07:21 04:12:06</t>
  </si>
  <si>
    <t>IMG_1660_grid_compass.JPG</t>
  </si>
  <si>
    <t>2019:08:09 22:02:14</t>
  </si>
  <si>
    <t>IMG_0517_grid_compass.JPG</t>
  </si>
  <si>
    <t>2019:08:10 07:55:11</t>
  </si>
  <si>
    <t>IMG_0433_grid_compass.JPG</t>
  </si>
  <si>
    <t>2019:07:12 02:25:20</t>
  </si>
  <si>
    <t>IMG_3440_grid_compass.JPG</t>
  </si>
  <si>
    <t>2019:07:28 18:56:00</t>
  </si>
  <si>
    <t>IMG_0938_grid_compass.JPG</t>
  </si>
  <si>
    <t>2019:06:20 21:01:36</t>
  </si>
  <si>
    <t>IMG_0421_grid_compass.JPG</t>
  </si>
  <si>
    <t>2019:07:11 07:45:10</t>
  </si>
  <si>
    <t>IMG_0134_grid_compass (2).JPG</t>
  </si>
  <si>
    <t>2019:08:07 01:51:42</t>
  </si>
  <si>
    <t>IMG_0110_grid_compass.JPG</t>
  </si>
  <si>
    <t>2019:07:11 19:12:50</t>
  </si>
  <si>
    <t>IMG_0032_grid_compass.JPG</t>
  </si>
  <si>
    <t>2019:06:11 09:30:46</t>
  </si>
  <si>
    <t>IMG_0497_grid_compass.JPG</t>
  </si>
  <si>
    <t>2019:07:12 17:28:50</t>
  </si>
  <si>
    <t>IMG_1052_grid_compass.JPG</t>
  </si>
  <si>
    <t>2019:08:09 02:02:04</t>
  </si>
  <si>
    <t>IMG_4250_grid_compass.JPG</t>
  </si>
  <si>
    <t>2019:08:14 02:27:13</t>
  </si>
  <si>
    <t>IMG_0025_grid_compass.JPG</t>
  </si>
  <si>
    <t>2019:07:08 17:19:17</t>
  </si>
  <si>
    <t>IMG_0164_grid_compass_3.JPG</t>
  </si>
  <si>
    <t>2019:07:12 19:45:29</t>
  </si>
  <si>
    <t>IMG_1207_grid_compass.JPG</t>
  </si>
  <si>
    <t>2019:07:19 04:37:46</t>
  </si>
  <si>
    <t>IMG_1386_grid_compass.JPG</t>
  </si>
  <si>
    <t>2019:07:21 04:23:38</t>
  </si>
  <si>
    <t>IMG_1256_grid_compass.JPG</t>
  </si>
  <si>
    <t>2019:06:26 17:02:32</t>
  </si>
  <si>
    <t>IMG_1357_grid_compass.JPG</t>
  </si>
  <si>
    <t>2019:07:05 17:52:24</t>
  </si>
  <si>
    <t>IMG_1321_grid_compass.JPG</t>
  </si>
  <si>
    <t>2019:06:27 00:38:31</t>
  </si>
  <si>
    <t>IMG_0325_grid_compass.JPG</t>
  </si>
  <si>
    <t>2019:07:12 18:54:08</t>
  </si>
  <si>
    <t>IMG_0650_grid_compass (3).JPG</t>
  </si>
  <si>
    <t>2019:07:17 01:27:59</t>
  </si>
  <si>
    <t>IMG_0398_grid_compass.JPG</t>
  </si>
  <si>
    <t>2019:07:26 00:52:26</t>
  </si>
  <si>
    <t>IMG_0934_grid_compass (2).JPG</t>
  </si>
  <si>
    <t>2019:08:13 18:53:18</t>
  </si>
  <si>
    <t>IMG_4310_grid.JPG</t>
  </si>
  <si>
    <t>2019:08:14 03:29:18</t>
  </si>
  <si>
    <t>IMG_4293_grid_compass.JPG</t>
  </si>
  <si>
    <t>2019:08:14 03:25:30</t>
  </si>
  <si>
    <t>IMG_0034_grid_compass.JPG</t>
  </si>
  <si>
    <t>2019:06:11 09:30:47</t>
  </si>
  <si>
    <t>IMG_0726_grid_compass_1.JPG</t>
  </si>
  <si>
    <t>2019:08:17 07:39:34</t>
  </si>
  <si>
    <t>IMG_0691_grid_compass (2).JPG</t>
  </si>
  <si>
    <t>2019:06:18 00:15:43</t>
  </si>
  <si>
    <t>IMG_0714_grid_compass.JPG</t>
  </si>
  <si>
    <t>2019:06:27 00:30:07</t>
  </si>
  <si>
    <t>IMG_0115_grid_compass (2).JPG</t>
  </si>
  <si>
    <t>2019:07:11 19:13:05</t>
  </si>
  <si>
    <t>IMG_1112_grid_compass (2).JPG</t>
  </si>
  <si>
    <t>2019:08:09 06:22:39</t>
  </si>
  <si>
    <t>IMG_2839_grid_compass.JPG</t>
  </si>
  <si>
    <t>2019:08:12 06:04:42</t>
  </si>
  <si>
    <t>IMG_0236_grid_compass_1.JPG</t>
  </si>
  <si>
    <t>2019:07:22 22:07:04</t>
  </si>
  <si>
    <t>IMG_2791_grid_compass.JPG</t>
  </si>
  <si>
    <t>2019:06:29 17:31:07</t>
  </si>
  <si>
    <t>IMG_0145_grid_compass (3).JPG</t>
  </si>
  <si>
    <t>2019:07:10 05:22:19</t>
  </si>
  <si>
    <t>IMG_1334_grid_compass (2).JPG</t>
  </si>
  <si>
    <t>2019:07:21 04:11:46</t>
  </si>
  <si>
    <t>IMG_0632_grid_compass_2.JPG</t>
  </si>
  <si>
    <t>2019:06:26 07:08:38</t>
  </si>
  <si>
    <t>IMG_0872_grid_compass.JPG</t>
  </si>
  <si>
    <t>2019:08:08 18:38:21</t>
  </si>
  <si>
    <t>IMG_2581_grid_compass.JPG</t>
  </si>
  <si>
    <t>2019:06:03 23:44:59</t>
  </si>
  <si>
    <t>IMG_2834_grid_compass.JPG</t>
  </si>
  <si>
    <t>2019:08:12 06:02:54</t>
  </si>
  <si>
    <t>IMG_0382_grid_compass.JPG</t>
  </si>
  <si>
    <t>2019:07:14 05:30:36</t>
  </si>
  <si>
    <t>IMG_3449_grid_compass.JPG</t>
  </si>
  <si>
    <t>2019:07:28 21:13:50</t>
  </si>
  <si>
    <t>IMG_1848_grid_compass.JPG</t>
  </si>
  <si>
    <t>2019:08:29 06:39:54</t>
  </si>
  <si>
    <t>IMG_1776_grid_compass.JPG</t>
  </si>
  <si>
    <t>2019:06:18 02:25:18</t>
  </si>
  <si>
    <t>IMG_1051_grid_compass.JPG</t>
  </si>
  <si>
    <t>2019:06:21 17:33:35</t>
  </si>
  <si>
    <t>IMG_0571_grid_compass.JPG</t>
  </si>
  <si>
    <t>2019:06:26 06:14:32</t>
  </si>
  <si>
    <t>IMG_1327_grid_compass.JPG</t>
  </si>
  <si>
    <t>2019:07:05 17:49:53</t>
  </si>
  <si>
    <t>IMG_3422_grid_compass.JPG</t>
  </si>
  <si>
    <t>2019:08:12 23:43:55</t>
  </si>
  <si>
    <t>IMG_1358_grid_compass.JPG</t>
  </si>
  <si>
    <t>2019:07:21 04:16:24</t>
  </si>
  <si>
    <t>IMG_4263_grid_compass.JPG</t>
  </si>
  <si>
    <t>2019:08:14 02:27:42</t>
  </si>
  <si>
    <t>IMG_0131_grid.JPG</t>
  </si>
  <si>
    <t>2019:08:26 19:33:35</t>
  </si>
  <si>
    <t>IMG_0634_grid_compass_1.JPG</t>
  </si>
  <si>
    <t>2019:06:26 07:08:39</t>
  </si>
  <si>
    <t>IMG_1885_grid.JPG</t>
  </si>
  <si>
    <t>2019:06:20 14:03:20</t>
  </si>
  <si>
    <t>IMG_2784_grid_compass.JPG</t>
  </si>
  <si>
    <t>2019:08:12 00:37:28</t>
  </si>
  <si>
    <t>IMG_0481_grid_compass (2).JPG</t>
  </si>
  <si>
    <t>2019:08:09 15:05:26</t>
  </si>
  <si>
    <t>IMG_0475_grid_compass.JPG</t>
  </si>
  <si>
    <t>2019:06:12 19:46:12</t>
  </si>
  <si>
    <t>IMG_1165_grid_compass.JPG</t>
  </si>
  <si>
    <t>2019:08:28 01:06:48</t>
  </si>
  <si>
    <t>IMG_0641_grid_compass_1.JPG</t>
  </si>
  <si>
    <t>2019:07:01 03:58:57</t>
  </si>
  <si>
    <t>IMG_0696_grid_compass.JPG</t>
  </si>
  <si>
    <t>2019:07:01 18:30:04</t>
  </si>
  <si>
    <t>IMG_0697_grid_compass (2).JPG</t>
  </si>
  <si>
    <t>2019:07:15 07:03:10</t>
  </si>
  <si>
    <t>IMG_3570_grid_compass.JPG</t>
  </si>
  <si>
    <t>IMG_1054_grid_compass.JPG</t>
  </si>
  <si>
    <t>2019:08:09 02:02:05</t>
  </si>
  <si>
    <t>IMG_2254_grid_compass.JPG</t>
  </si>
  <si>
    <t>2019:08:10 22:46:36</t>
  </si>
  <si>
    <t>IMG_1210_grid_compass_1.JPG</t>
  </si>
  <si>
    <t>2019:07:20 21:12:59</t>
  </si>
  <si>
    <t>IMG_0636_grid_compass.JPG</t>
  </si>
  <si>
    <t>2019:06:26 07:08:40</t>
  </si>
  <si>
    <t>IMG_0721_grid_compass.JPG</t>
  </si>
  <si>
    <t>2019:08:25 20:50:09</t>
  </si>
  <si>
    <t>IMG_4298_grid_compass.JPG</t>
  </si>
  <si>
    <t>2019:08:14 03:26:04</t>
  </si>
  <si>
    <t>IMG_1213_grid_compass.JPG</t>
  </si>
  <si>
    <t>2019:08:28 06:52:51</t>
  </si>
  <si>
    <t>IMG_0332_grid_compass.JPG</t>
  </si>
  <si>
    <t>2019:07:26 23:32:05</t>
  </si>
  <si>
    <t>IMG_4337_grid.JPG</t>
  </si>
  <si>
    <t>2019:08:14 07:35:32</t>
  </si>
  <si>
    <t>IMG_0193_grid_compass.JPG</t>
  </si>
  <si>
    <t>2019:07:23 07:43:37</t>
  </si>
  <si>
    <t>IMG_3365_grid_compass.JPG</t>
  </si>
  <si>
    <t>2019:07:01 06:42:51</t>
  </si>
  <si>
    <t>IMG_0157_grid_compass.JPG</t>
  </si>
  <si>
    <t>2019:07:22 04:46:10</t>
  </si>
  <si>
    <t>IMG_2252_grid_compass.JPG</t>
  </si>
  <si>
    <t>2019:08:10 22:46:35</t>
  </si>
  <si>
    <t>IMG_0642_grid_compass (2).JPG</t>
  </si>
  <si>
    <t>2019:08:12 04:09:45</t>
  </si>
  <si>
    <t>IMG_4333_grid_compass.JPG</t>
  </si>
  <si>
    <t>2019:08:14 07:35:30</t>
  </si>
  <si>
    <t>IMG_2371_grid_compass.JPG</t>
  </si>
  <si>
    <t>2019:06:07 05:59:33</t>
  </si>
  <si>
    <t>IMG_0280_grid_compass.JPG</t>
  </si>
  <si>
    <t>2019:06:20 17:17:44</t>
  </si>
  <si>
    <t>IMG_4335_grid_compass.JPG</t>
  </si>
  <si>
    <t>2019:08:14 07:35:31</t>
  </si>
  <si>
    <t>IMG_1871_grid.JPG</t>
  </si>
  <si>
    <t>2019:07:26 05:16:22</t>
  </si>
  <si>
    <t>IMG_0230_grid_compass.JPG</t>
  </si>
  <si>
    <t>2019:07:23 17:28:08</t>
  </si>
  <si>
    <t>IMG_2280_grid_compass.JPG</t>
  </si>
  <si>
    <t>2019:08:29 22:56:36</t>
  </si>
  <si>
    <t>IMG_1130_grid_compass.JPG</t>
  </si>
  <si>
    <t>2019:07:18 06:43:22</t>
  </si>
  <si>
    <t>IMG_0499_grid_compass.JPG</t>
  </si>
  <si>
    <t>2019:06:23 02:14:21</t>
  </si>
  <si>
    <t>IMG_0050_grid.JPG</t>
  </si>
  <si>
    <t>2019:08:06 04:29:11</t>
  </si>
  <si>
    <t>IMG_0133_grid_compass.JPG</t>
  </si>
  <si>
    <t>2019:07:10 05:17:08</t>
  </si>
  <si>
    <t>IMG_0494_grid_compass_2.JPG</t>
  </si>
  <si>
    <t>2019:07:12 17:28:49</t>
  </si>
  <si>
    <t>IMG_1364_grid_compass (2).JPG</t>
  </si>
  <si>
    <t>2019:07:21 04:20:44</t>
  </si>
  <si>
    <t>IMG_0613_grid_compass.JPG</t>
  </si>
  <si>
    <t>2019:08:24 06:02:22</t>
  </si>
  <si>
    <t>IMG_1783_grid_compass.JPG</t>
  </si>
  <si>
    <t>2019:06:03 19:08:16</t>
  </si>
  <si>
    <t>IMG_1212_grid_compass_1.JPG</t>
  </si>
  <si>
    <t>2019:07:20 21:13:00</t>
  </si>
  <si>
    <t>IMG_0080_grid_compass (2).JPG</t>
  </si>
  <si>
    <t>2019:07:08 23:39:27</t>
  </si>
  <si>
    <t>IMG_1829_grid_compass.JPG</t>
  </si>
  <si>
    <t>2019:07:26 02:43:57</t>
  </si>
  <si>
    <t>IMG_0126_grid_compass (2).JPG</t>
  </si>
  <si>
    <t>2019:07:11 19:13:15</t>
  </si>
  <si>
    <t>Height:</t>
  </si>
  <si>
    <t>IMG_0475_grid_compass_1.JPG</t>
  </si>
  <si>
    <t>2019:06:15 20:41:19</t>
  </si>
  <si>
    <t>IMG_0833_grid_compass.JPG</t>
  </si>
  <si>
    <t>2019:06:29 17:39:12</t>
  </si>
  <si>
    <t>IMG_1347_grid_compass.JPG</t>
  </si>
  <si>
    <t>2019:07:05 17:51:40</t>
  </si>
  <si>
    <t>IMG_1805_grid_compass.JPG</t>
  </si>
  <si>
    <t>2019:07:07 01:48:25</t>
  </si>
  <si>
    <t>IMG_1208_grid_compass.JPG</t>
  </si>
  <si>
    <t>2019:07:20 21:12:58</t>
  </si>
  <si>
    <t>IMG_3434_grid_compass.JPG</t>
  </si>
  <si>
    <t>2019:08:12 23:45:32</t>
  </si>
  <si>
    <t>IMG_2366_grid_compass.JPG</t>
  </si>
  <si>
    <t>2019:06:06 17:51:20</t>
  </si>
  <si>
    <t>IMG_0697_grid_compass.JPG</t>
  </si>
  <si>
    <t>2019:08:12 23:27:47</t>
  </si>
  <si>
    <t>IMG_0054_grid_compass.JPG</t>
  </si>
  <si>
    <t>2019:06:11 09:31:29</t>
  </si>
  <si>
    <t>IMG_1196_grid_compass.JPG</t>
  </si>
  <si>
    <t>2019:07:04 06:36:40</t>
  </si>
  <si>
    <t>IMG_2330_grid.JPG</t>
  </si>
  <si>
    <t>2019:07:27 02:06:20</t>
  </si>
  <si>
    <t>IMG_0246_grid_compass.JPG</t>
  </si>
  <si>
    <t>2019:07:12 23:50:22</t>
  </si>
  <si>
    <t>IMG_1837_grid_compass.JPG</t>
  </si>
  <si>
    <t>2019:06:20 07:07:22</t>
  </si>
  <si>
    <t>IMG_0927_grid_compass.JPG</t>
  </si>
  <si>
    <t>2019:08:13 18:53:06</t>
  </si>
  <si>
    <t>IMG_3721_grid_compass.JPG</t>
  </si>
  <si>
    <t>2019:07:02 06:31:05</t>
  </si>
  <si>
    <t>IMG_0091_grid_compass.JPG</t>
  </si>
  <si>
    <t>2019:06:27 00:02:29</t>
  </si>
  <si>
    <t>IMG_1346_grid_compass.JPG</t>
  </si>
  <si>
    <t>2019:07:21 04:12:54</t>
  </si>
  <si>
    <t>IMG_0130_grid_compass.JPG</t>
  </si>
  <si>
    <t>2019:07:22 17:16:23</t>
  </si>
  <si>
    <t>IMG_1344_grid_compass.JPG</t>
  </si>
  <si>
    <t>2019:07:05 17:50:44</t>
  </si>
  <si>
    <t>IMG_0132_grid_compass.JPG</t>
  </si>
  <si>
    <t>2019:07:22 17:16:24</t>
  </si>
  <si>
    <t>IMG_0140_grid_compass.JPG</t>
  </si>
  <si>
    <t>2019:07:30 23:08:54</t>
  </si>
  <si>
    <t>IMG_4295_grid_compass.JPG</t>
  </si>
  <si>
    <t>2019:07:03 00:19:43</t>
  </si>
  <si>
    <t>IMG_1135_grid_compass.JPG</t>
  </si>
  <si>
    <t>2019:06:23 04:31:20</t>
  </si>
  <si>
    <t>IMG_0128_grid.JPG</t>
  </si>
  <si>
    <t>2019:08:26 19:33:34</t>
  </si>
  <si>
    <t>IMG_3523_grid_compass.JPG</t>
  </si>
  <si>
    <t>2019:08:13 06:59:15</t>
  </si>
  <si>
    <t>IMG_1360_grid_compass.JPG</t>
  </si>
  <si>
    <t>2019:07:21 04:16:25</t>
  </si>
  <si>
    <t>IMG_0936_grid_compass.JPG</t>
  </si>
  <si>
    <t>2019:08:25 17:21:19</t>
  </si>
  <si>
    <t>IMG_0961_grid_compass.JPG</t>
  </si>
  <si>
    <t>2019:06:21 00:03:39</t>
  </si>
  <si>
    <t>IMG_0848_grid_compass (2).JPG</t>
  </si>
  <si>
    <t>2019:06:20 05:10:20</t>
  </si>
  <si>
    <t>IMG_1199_grid_compass.JPG</t>
  </si>
  <si>
    <t>2019:07:02 17:51:27</t>
  </si>
  <si>
    <t>IMG_4261_grid_compass.JPG</t>
  </si>
  <si>
    <t>2019:08:14 02:27:41</t>
  </si>
  <si>
    <t>IMG_1015_grid_compass.JPG</t>
  </si>
  <si>
    <t>2019:08:15 00:34:35</t>
  </si>
  <si>
    <t>IMG_0169_grid_compass.JPG</t>
  </si>
  <si>
    <t>2019:07:23 07:09:33</t>
  </si>
  <si>
    <t>IMG_4256_grid_compass.JPG</t>
  </si>
  <si>
    <t>2019:08:14 02:27:27</t>
  </si>
  <si>
    <t>IMG_0190_grid_compass.JPG</t>
  </si>
  <si>
    <t>2019:06:16 22:23:35</t>
  </si>
  <si>
    <t>IMG_1451_grid_compass.JPG</t>
  </si>
  <si>
    <t>2019:07:07 21:49:00</t>
  </si>
  <si>
    <t>IMG_0180_grid_compass (2).JPG</t>
  </si>
  <si>
    <t>2019:06:27 01:05:18</t>
  </si>
  <si>
    <t>IMG_1190_grid_compass.JPG</t>
  </si>
  <si>
    <t>2019:07:04 06:35:26</t>
  </si>
  <si>
    <t>IMG_1448_grid_compass.JPG</t>
  </si>
  <si>
    <t>2019:07:07 21:48:59</t>
  </si>
  <si>
    <t>IMG_0175_grid_compass.JPG</t>
  </si>
  <si>
    <t>2019:07:10 17:52:13</t>
  </si>
  <si>
    <t>IMG_1194_grid_compass.JPG</t>
  </si>
  <si>
    <t>2019:07:20 21:12:25</t>
  </si>
  <si>
    <t>IMG_0186_grid_compass.JPG</t>
  </si>
  <si>
    <t>2019:07:23 07:21:01</t>
  </si>
  <si>
    <t>IMG_1074_grid_compass.JPG</t>
  </si>
  <si>
    <t>2019:08:01 06:13:34</t>
  </si>
  <si>
    <t>IMG_0500_grid_compass.JPG</t>
  </si>
  <si>
    <t>2019:07:12 17:28:58</t>
  </si>
  <si>
    <t>IMG_0226_grid_compass.JPG</t>
  </si>
  <si>
    <t>2019:07:23 17:28:01</t>
  </si>
  <si>
    <t>IMG_0076_grid_compass.JPG</t>
  </si>
  <si>
    <t>2019:06:13 06:38:16</t>
  </si>
  <si>
    <t>IMG_0228_grid_compass.JPG</t>
  </si>
  <si>
    <t>2019:07:23 17:28:02</t>
  </si>
  <si>
    <t>IMG_0301_grid_compass.JPG</t>
  </si>
  <si>
    <t>2019:08:08 08:06:23</t>
  </si>
  <si>
    <t>IMG_1075_grid_compass.JPG</t>
  </si>
  <si>
    <t>2019:06:22 03:51:14</t>
  </si>
  <si>
    <t>IMG_0626_grid_compass.JPG</t>
  </si>
  <si>
    <t>2019:07:01 03:57:43</t>
  </si>
  <si>
    <t>IMG_0973_grid_compass.JPG</t>
  </si>
  <si>
    <t>2019:06:21 05:38:58</t>
  </si>
  <si>
    <t>IMG_0224_grid_compass.JPG</t>
  </si>
  <si>
    <t>2019:07:23 17:28:00</t>
  </si>
  <si>
    <t>IMG_0394_grid_compass.JPG</t>
  </si>
  <si>
    <t>2019:08:21 17:53:44</t>
  </si>
  <si>
    <t>IMG_1016_grid.JPG</t>
  </si>
  <si>
    <t>2019:08:18 03:19:12</t>
  </si>
  <si>
    <t>IMG_0128_grid_compass.JPG</t>
  </si>
  <si>
    <t>2019:07:22 17:16:22</t>
  </si>
  <si>
    <t>IMG_0136_grid_compass.JPG</t>
  </si>
  <si>
    <t>2019:07:22 17:16:40</t>
  </si>
  <si>
    <t>IMG_1288_grid_compass.JPG</t>
  </si>
  <si>
    <t>2019:07:03 10:58:41</t>
  </si>
  <si>
    <t>IMG_0138_grid_compass.JPG</t>
  </si>
  <si>
    <t>2019:07:22 17:16:41</t>
  </si>
  <si>
    <t>IMG_1262_grid_compass.JPG</t>
  </si>
  <si>
    <t>2019:06:26 17:02:43</t>
  </si>
  <si>
    <t>IMG_0716_grid_compass (2).JPG</t>
  </si>
  <si>
    <t>2019:08:17 07:25:40</t>
  </si>
  <si>
    <t>IMG_1502_grid_compass.JPG</t>
  </si>
  <si>
    <t>2019:08:09 09:49:26</t>
  </si>
  <si>
    <t>IMG_0134_grid_compass.JPG</t>
  </si>
  <si>
    <t>2019:07:22 17:16:39</t>
  </si>
  <si>
    <t>IMG_0350_grid_compass.JPG</t>
  </si>
  <si>
    <t>2019:08:12 07:48:29</t>
  </si>
  <si>
    <t>IMG_1769_grid_compass.JPG</t>
  </si>
  <si>
    <t>2019:08:05 07:08:07</t>
  </si>
  <si>
    <t>Ear length</t>
  </si>
  <si>
    <t>IMG_0690_grid_compass.JPG</t>
  </si>
  <si>
    <t>2019:07:01 18:28:56</t>
  </si>
  <si>
    <t>IMG_0143_grid_compass (2).JPG</t>
  </si>
  <si>
    <t>2019:08:07 01:51:52</t>
  </si>
  <si>
    <t>IMG_1715_grid_compass.JPG</t>
  </si>
  <si>
    <t>2019:08:10 00:10:48</t>
  </si>
  <si>
    <t>IMG_0176_grid_compass.JPG</t>
  </si>
  <si>
    <t>2019:07:23 07:20:53</t>
  </si>
  <si>
    <t>IMG_0409_grid_compass.JPG</t>
  </si>
  <si>
    <t>2019:06:14 20:27:48</t>
  </si>
  <si>
    <t>IMG_0546_grid_compass.JPG</t>
  </si>
  <si>
    <t>2019:06:30 06:29:34</t>
  </si>
  <si>
    <t>IMG_0180_grid_compass.JPG</t>
  </si>
  <si>
    <t>2019:07:23 07:20:54</t>
  </si>
  <si>
    <t>IMG_0141_grid_compass (2).JPG</t>
  </si>
  <si>
    <t>2019:08:16 06:02:19</t>
  </si>
  <si>
    <t>IMG_0309_grid_compass.JPG</t>
  </si>
  <si>
    <t>2019:06:24 05:25:50</t>
  </si>
  <si>
    <t>IMG_0641_grid_compass.JPG</t>
  </si>
  <si>
    <t>2019:06:26 07:08:50</t>
  </si>
  <si>
    <t>IMG_0263_grid_compass.JPG</t>
  </si>
  <si>
    <t>2019:08:10 08:17:45</t>
  </si>
  <si>
    <t>IMG_0146_grid_compass.JPG</t>
  </si>
  <si>
    <t>2019:07:12 19:44:39</t>
  </si>
  <si>
    <t>IMG_1020_grid.JPG</t>
  </si>
  <si>
    <t>2019:08:18 03:19:13</t>
  </si>
  <si>
    <t>IMG_4435_grid_compass.JPG</t>
  </si>
  <si>
    <t>2019:06:08 06:59:21</t>
  </si>
  <si>
    <t>IMG_0834_grid_compass.JPG</t>
  </si>
  <si>
    <t>2019:06:29 17:39:13</t>
  </si>
  <si>
    <t>IMG_1248_grid_compass (2).JPG</t>
  </si>
  <si>
    <t>2019:08:16 20:10:38</t>
  </si>
  <si>
    <t>IMG_1464_grid_compass.JPG</t>
  </si>
  <si>
    <t>2019:07:05 03:31:37</t>
  </si>
  <si>
    <t>IMG_0925_grid_compass.JPG</t>
  </si>
  <si>
    <t>2019:08:13 18:53:05</t>
  </si>
  <si>
    <t>IMG_0120_grid_compass.JPG</t>
  </si>
  <si>
    <t>2019:08:26 18:56:09</t>
  </si>
  <si>
    <t>IMG_1218_grid_compass (2).JPG</t>
  </si>
  <si>
    <t>2019:07:21 00:20:25</t>
  </si>
  <si>
    <t>IMG_4291_grid_compass.JPG</t>
  </si>
  <si>
    <t>2019:08:14 03:25:29</t>
  </si>
  <si>
    <t>IMG_0277_grid_compass.JPG</t>
  </si>
  <si>
    <t>2019:07:24 03:38:49</t>
  </si>
  <si>
    <t>IMG_0630_grid_compass (2).JPG</t>
  </si>
  <si>
    <t>2019:08:24 08:05:56</t>
  </si>
  <si>
    <t>IMG_1046_grid.JPG</t>
  </si>
  <si>
    <t>2019:08:09 02:01:48</t>
  </si>
  <si>
    <t>IMG_0012_grid_compass (3).JPG</t>
  </si>
  <si>
    <t>2019:07:11 23:33:37</t>
  </si>
  <si>
    <t>IMG_4301_grid.JPG</t>
  </si>
  <si>
    <t>2019:08:14 03:26:05</t>
  </si>
  <si>
    <t>IMG_0582_grid_compass.JPG</t>
  </si>
  <si>
    <t>2019:08:23 18:44:56</t>
  </si>
  <si>
    <t>IMG_1345_grid_compass.JPG</t>
  </si>
  <si>
    <t>2019:07:05 17:51:39</t>
  </si>
  <si>
    <t>IMG_4258_grid_compass.JPG</t>
  </si>
  <si>
    <t>2019:08:14 02:27:28</t>
  </si>
  <si>
    <t>IMG_0930_grid_compass.JPG</t>
  </si>
  <si>
    <t>2019:08:13 18:53:07</t>
  </si>
  <si>
    <t>IMG_0052_grid_compass.JPG</t>
  </si>
  <si>
    <t>2019:06:11 09:31:28</t>
  </si>
  <si>
    <t>IMG_0059_grid_compass.JPG</t>
  </si>
  <si>
    <t>2019:06:26 04:41:06</t>
  </si>
  <si>
    <t>IMG_1174_grid.JPG</t>
  </si>
  <si>
    <t>2019:08:28 01:07:14</t>
  </si>
  <si>
    <t>IMG_0878_grid.JPG</t>
  </si>
  <si>
    <t>2019:08:08 18:38:30</t>
  </si>
  <si>
    <t>IMG_0636_grid_compass (3).JPG</t>
  </si>
  <si>
    <t>2019:08:11 21:51:41</t>
  </si>
  <si>
    <t>IMG_0012_grid_compass.JPG</t>
  </si>
  <si>
    <t>2019:08:28 10:52:55</t>
  </si>
  <si>
    <t>IMG_0501_grid_compass.JPG</t>
  </si>
  <si>
    <t>2019:06:23 02:14:22</t>
  </si>
  <si>
    <t>IMG_1369_grid_compass.JPG</t>
  </si>
  <si>
    <t>2019:07:21 04:21:01</t>
  </si>
  <si>
    <t>IMG_1248_grid_compass_1.JPG</t>
  </si>
  <si>
    <t>2019:08:19 02:23:13</t>
  </si>
  <si>
    <t>IMG_0600_grid_compass.JPG</t>
  </si>
  <si>
    <t>2019:08:12 20:21:21</t>
  </si>
  <si>
    <t>IMG_0139_grid_compass (2).JPG</t>
  </si>
  <si>
    <t>2019:08:16 06:02:18</t>
  </si>
  <si>
    <t>IMG_0743_grid_compass.JPG</t>
  </si>
  <si>
    <t>2019:07:28 21:51:09</t>
  </si>
  <si>
    <t>IMG_0269_grid_compass (2).JPG</t>
  </si>
  <si>
    <t>2019:06:25 06:56:44</t>
  </si>
  <si>
    <t>IMG_4358_grid_compass.JPG</t>
  </si>
  <si>
    <t>2019:07:30 08:05:13</t>
  </si>
  <si>
    <t>IMG_0192_grid.JPG</t>
  </si>
  <si>
    <t>2019:08:07 18:02:35</t>
  </si>
  <si>
    <t>IMG_0044_grid_compass.JPG</t>
  </si>
  <si>
    <t>2019:06:11 09:31:12</t>
  </si>
  <si>
    <t>IMG_3426_grid.JPG</t>
  </si>
  <si>
    <t>2019:08:12 23:43:56</t>
  </si>
  <si>
    <t>IMG_0166_grid_compass.JPG</t>
  </si>
  <si>
    <t>2019:07:12 19:45:30</t>
  </si>
  <si>
    <t>tail</t>
  </si>
  <si>
    <t>IMG_2333_grid.JPG</t>
  </si>
  <si>
    <t>2019:07:27 02:06:21</t>
  </si>
  <si>
    <t>IMG_0162_grid_compass.JPG</t>
  </si>
  <si>
    <t>2019:07:22 18:47:59</t>
  </si>
  <si>
    <t>IMG_1290_grid_compass.JPG</t>
  </si>
  <si>
    <t>2019:07:03 10:58:42</t>
  </si>
  <si>
    <t>IMG_0604_grid_compass_1.JPG</t>
  </si>
  <si>
    <t>2019:07:01 02:25:40</t>
  </si>
  <si>
    <t>IMG_0762_grid_compass.JPG</t>
  </si>
  <si>
    <t>2019:07:29 08:42:29</t>
  </si>
  <si>
    <t>IMG_0852_grid_compass (2).JPG</t>
  </si>
  <si>
    <t>2019:08:08 18:36:41</t>
  </si>
  <si>
    <t>IMG_0630_grid_compass (3).JPG</t>
  </si>
  <si>
    <t>2019:08:11 21:51:21</t>
  </si>
  <si>
    <t>IMG_0590_grid_compass.JPG</t>
  </si>
  <si>
    <t>2019:08:12 19:15:47</t>
  </si>
  <si>
    <t>IMG_1196_grid_compass (2).JPG</t>
  </si>
  <si>
    <t>2019:07:20 21:12:34</t>
  </si>
  <si>
    <t>IMG_1171_grid_compass_1.JPG</t>
  </si>
  <si>
    <t>2019:07:03 20:58:49</t>
  </si>
  <si>
    <t>IMG_0136_grid_compass (2).JPG</t>
  </si>
  <si>
    <t>2019:08:07 01:51:43</t>
  </si>
  <si>
    <t>IMG_1371_grid_compass.JPG</t>
  </si>
  <si>
    <t>2019:07:21 04:21:02</t>
  </si>
  <si>
    <t>IMG_1172_grid.JPG</t>
  </si>
  <si>
    <t>2019:08:28 01:07:13</t>
  </si>
  <si>
    <t>IMG_0552_grid_compass.JPG</t>
  </si>
  <si>
    <t>2019:06:30 06:30:06</t>
  </si>
  <si>
    <t>Body length</t>
  </si>
  <si>
    <t>IMG_0150_grid_compass.JPG</t>
  </si>
  <si>
    <t>2019:07:22 18:47:18</t>
  </si>
  <si>
    <t>IMG_2592_grid_compass.JPG</t>
  </si>
  <si>
    <t>2019:06:04 06:55:52</t>
  </si>
  <si>
    <t>IMG_1374_grid_compass (2).JPG</t>
  </si>
  <si>
    <t>2019:07:21 04:21:03</t>
  </si>
  <si>
    <t>IMG_0041_grid_compass.JPG</t>
  </si>
  <si>
    <t>2019:06:25 10:19:41</t>
  </si>
  <si>
    <t>IMG_0050_grid_compass.JPG</t>
  </si>
  <si>
    <t>2019:06:11 09:31:27</t>
  </si>
  <si>
    <t>IMG_1217_grid_compass (2).JPG</t>
  </si>
  <si>
    <t>2019:07:19 04:37:57</t>
  </si>
  <si>
    <t>IMG_1176_grid_compass.JPG</t>
  </si>
  <si>
    <t>2019:07:02 07:43:19</t>
  </si>
  <si>
    <t>IMG_1049_grid.JPG</t>
  </si>
  <si>
    <t>2019:08:09 02:01:49</t>
  </si>
  <si>
    <t>IMG_0268_grid.JPG</t>
  </si>
  <si>
    <t>2019:08:10 08:30:26</t>
  </si>
  <si>
    <t>IMG_0614_grid_compass_1.JPG</t>
  </si>
  <si>
    <t>2019:06:26 07:08:10</t>
  </si>
  <si>
    <t>IMG_0850_grid_compass (2).JPG</t>
  </si>
  <si>
    <t>2019:08:08 18:36:40</t>
  </si>
  <si>
    <t>IMG_0880_grid.JPG</t>
  </si>
  <si>
    <t>2019:08:08 18:38:31</t>
  </si>
  <si>
    <t>IMG_1067_grid_compass.JPG</t>
  </si>
  <si>
    <t>2019:07:01 08:08:59</t>
  </si>
  <si>
    <t>IMG_0610_grid_compass_1.JPG</t>
  </si>
  <si>
    <t>2019:06:26 07:08:02</t>
  </si>
  <si>
    <t>IMG_0608_grid_compass_1.JPG</t>
  </si>
  <si>
    <t>2019:06:26 07:08:01</t>
  </si>
  <si>
    <t>IMG_0612_grid_compass.JPG</t>
  </si>
  <si>
    <t>2019:06:26 07:08:03</t>
  </si>
  <si>
    <t>IMG_4437_grid_compass.JPG</t>
  </si>
  <si>
    <t>2019:06:08 06:59:22</t>
  </si>
  <si>
    <t>IMG_0270_grid_compass.JPG</t>
  </si>
  <si>
    <t>2019:06:25 06:56:45</t>
  </si>
  <si>
    <t>IMG_1265_grid_compass.JPG</t>
  </si>
  <si>
    <t>2019:06:26 17:02:44</t>
  </si>
  <si>
    <t>IMG_0487_grid_compass.JPG</t>
  </si>
  <si>
    <t>2019:08:09 15:05:42</t>
  </si>
  <si>
    <t>IMG_0444_grid_compass.JPG</t>
  </si>
  <si>
    <t>2019:07:12 06:25:01</t>
  </si>
  <si>
    <t>IMG_0602_grid_compass_1.JPG</t>
  </si>
  <si>
    <t>2019:06:26 07:07:45</t>
  </si>
  <si>
    <t>IMG_3431_grid.JPG</t>
  </si>
  <si>
    <t>2019:08:12 23:45:13</t>
  </si>
  <si>
    <t>IMG_1206_grid_compass (2).JPG</t>
  </si>
  <si>
    <t>2019:07:20 21:12:49</t>
  </si>
  <si>
    <t>IMG_0486_grid.JPG</t>
  </si>
  <si>
    <t>2019:08:09 15:05:28</t>
  </si>
  <si>
    <t>IMG_0604_grid_compass.JPG</t>
  </si>
  <si>
    <t>2019:06:26 07:07:46</t>
  </si>
  <si>
    <t>IMG_1202_grid_compass_1.JPG</t>
  </si>
  <si>
    <t>2019:07:20 21:12:48</t>
  </si>
  <si>
    <t>IMG_0617_grid_compass.JPG</t>
  </si>
  <si>
    <t>2019:06:26 07:08:11</t>
  </si>
  <si>
    <t>IMG_0476_grid_compass.JPG</t>
  </si>
  <si>
    <t>2019:08:15 20:03:42</t>
  </si>
  <si>
    <t>IMG_0606_grid_compass.JPG</t>
  </si>
  <si>
    <t>2019:06:26 07:07:47</t>
  </si>
  <si>
    <t>IMG_0353_grid_compass.JPG</t>
  </si>
  <si>
    <t>2019:08:12 07:48:30</t>
  </si>
  <si>
    <t>IMG_3428_grid_compass.JPG</t>
  </si>
  <si>
    <t>2019:08:12 23:45:12</t>
  </si>
  <si>
    <t>IMG_0502_grid_compass.JPG</t>
  </si>
  <si>
    <t>2019:07:12 17:28:59</t>
  </si>
  <si>
    <t>IMG_1658_grid_compass (2).JPG</t>
  </si>
  <si>
    <t>2019:08:09 22:02:13</t>
  </si>
  <si>
    <t>IMG_0062_grid_compass.JPG</t>
  </si>
  <si>
    <t>2019:07:08 19:25:01</t>
  </si>
  <si>
    <t>IMG_0140_grid_compass (3).JPG</t>
  </si>
  <si>
    <t>2019:07:10 05:18:12</t>
  </si>
  <si>
    <t>IMG_0618_grid_compass.JPG</t>
  </si>
  <si>
    <t>2019:06:26 07:08:12</t>
  </si>
  <si>
    <t>IMG_0504_grid_compass.JPG</t>
  </si>
  <si>
    <t>2019:06:23 02:14:23</t>
  </si>
  <si>
    <t>IMG_0816_grid_compass.JPG</t>
  </si>
  <si>
    <t>2019:06:29 06:16:51</t>
  </si>
  <si>
    <t>IMG_0560_grid_compass (2).JPG</t>
  </si>
  <si>
    <t>2019:07:16 06:50:00</t>
  </si>
  <si>
    <t>IMG_0583_grid_compass.JPG</t>
  </si>
  <si>
    <t>2019:08:23 18:45:42</t>
  </si>
  <si>
    <t>IMG_1802_grid_compass.JPG</t>
  </si>
  <si>
    <t>2019:07:07 01:48:24</t>
  </si>
  <si>
    <t>IMG_0848_grid_compass (3).JPG</t>
  </si>
  <si>
    <t>2019:08:08 18:36:39</t>
  </si>
  <si>
    <t>IMG_4246_grid_compass.JPG</t>
  </si>
  <si>
    <t>2019:08:14 02:27:02</t>
  </si>
  <si>
    <t>IMG_0142_grid_compass.JPG</t>
  </si>
  <si>
    <t>2019:07:30 23:08:55</t>
  </si>
  <si>
    <t>IMG_4244_grid_compass.JPG</t>
  </si>
  <si>
    <t>2019:08:14 02:27:01</t>
  </si>
  <si>
    <t>IMG_4360_grid_compass.JPG</t>
  </si>
  <si>
    <t>2019:07:30 08:05:14</t>
  </si>
  <si>
    <t>IMG_0151_grid.JPG</t>
  </si>
  <si>
    <t>2019:07:10 05:22:51</t>
  </si>
  <si>
    <t>IMG_2270_grid_compass.JPG</t>
  </si>
  <si>
    <t>IMG_0056_grid_compass (2).JPG</t>
  </si>
  <si>
    <t>2019:08:20 07:23:43</t>
  </si>
  <si>
    <t>2019:07:03 20:58:50</t>
  </si>
  <si>
    <t>IMG_1376_grid_compass (2).JPG</t>
  </si>
  <si>
    <t>2019:07:21 04:21:20</t>
  </si>
  <si>
    <t>IMG_3428_grid.JPG</t>
  </si>
  <si>
    <t>IMG_0164_grid_compass_1.JPG</t>
  </si>
  <si>
    <t>2019:07:22 04:46:20</t>
  </si>
  <si>
    <t>IMG_0733_grid.JPG</t>
  </si>
  <si>
    <t>2019:07:28 21:48:24</t>
  </si>
  <si>
    <t>IMG_2366_grid.JPG</t>
  </si>
  <si>
    <t>IMG_1199_grid_compass (2).JPG</t>
  </si>
  <si>
    <t>2019:07:20 21:12:35</t>
  </si>
  <si>
    <t>IMG_1200_grid_compass.JPG</t>
  </si>
  <si>
    <t>2019:07:04 06:36:41</t>
  </si>
  <si>
    <t>IMG_0630_grid_compass.JPG</t>
  </si>
  <si>
    <t>2019:06:26 07:08:31</t>
  </si>
  <si>
    <t>IMG_0563_grid_compass (2).JPG</t>
  </si>
  <si>
    <t>2019:07:16 06:50:01</t>
  </si>
  <si>
    <t>IMG_0354_grid_compass.JPG</t>
  </si>
  <si>
    <t>2019:08:12 07:48:31</t>
  </si>
  <si>
    <t>IMG_0785_grid_compass.JPG</t>
  </si>
  <si>
    <t>2019:08:22 03:49:34</t>
  </si>
  <si>
    <t>IMG_1206_grid_compass.JPG</t>
  </si>
  <si>
    <t>2019:07:02 17:51:39</t>
  </si>
  <si>
    <t>IMG_3386_grid_compass.JPG</t>
  </si>
  <si>
    <t>2019:08:12 17:54:17</t>
  </si>
  <si>
    <t>IMG_0626_grid_compass_1.JPG</t>
  </si>
  <si>
    <t>2019:06:26 07:08:29</t>
  </si>
  <si>
    <t>IMG_1505_grid_compass.JPG</t>
  </si>
  <si>
    <t>2019:08:09 09:49:27</t>
  </si>
  <si>
    <t>IMG_0488_grid.JPG</t>
  </si>
  <si>
    <t>2019:08:09 15:05:43</t>
  </si>
  <si>
    <t>IMG_0671_grid.JPG</t>
  </si>
  <si>
    <t>2019:06:26 08:25:23</t>
  </si>
  <si>
    <t>IMG_0622_grid.JPG</t>
  </si>
  <si>
    <t>2019:06:26 07:08:21</t>
  </si>
  <si>
    <t>IMG_3571_grid.JPG</t>
  </si>
  <si>
    <t>2019:06:05 21:47:15</t>
  </si>
  <si>
    <t>IMG_2364_grid.JPG</t>
  </si>
  <si>
    <t>IMG_4070_grid_compass.JPG</t>
  </si>
  <si>
    <t>2019:06:07 07:17:31</t>
  </si>
  <si>
    <t>IMG_4439_grid.JPG</t>
  </si>
  <si>
    <t>2019:06:08 06:59:23</t>
  </si>
  <si>
    <t>IMG_0046_grid_compass.JPG</t>
  </si>
  <si>
    <t>2019:06:11 09:31:13</t>
  </si>
  <si>
    <t>IMG_0124_grid.JPG</t>
  </si>
  <si>
    <t>2019:06:14 02:25:35</t>
  </si>
  <si>
    <t>IMG_1887_grid.JPG</t>
  </si>
  <si>
    <t>2019:06:20 14:03:21</t>
  </si>
  <si>
    <t>IMG_0619_grid_compass_1.JPG</t>
  </si>
  <si>
    <t>2019:06:26 07:08:20</t>
  </si>
  <si>
    <t>IMG_0624_grid_compass.JPG</t>
  </si>
  <si>
    <t>2019:06:26 07:08:22</t>
  </si>
  <si>
    <t>IMG_0628_grid_compass.JPG</t>
  </si>
  <si>
    <t>2019:06:26 07:08:30</t>
  </si>
  <si>
    <t>IMG_0644_grid_compass.JPG</t>
  </si>
  <si>
    <t>2019:06:26 07:09:00</t>
  </si>
  <si>
    <t>IMG_1219_grid.JPG</t>
  </si>
  <si>
    <t>2019:07:03 04:20:51</t>
  </si>
  <si>
    <t>IMG_1231_grid.JPG</t>
  </si>
  <si>
    <t>2019:07:03 05:19:31</t>
  </si>
  <si>
    <t>IMG_1343_grid_compass.JPG</t>
  </si>
  <si>
    <t>2019:07:04 06:49:58</t>
  </si>
  <si>
    <t>IMG_1615_grid_compass (2).JPG</t>
  </si>
  <si>
    <t>2019:07:05 18:33:16</t>
  </si>
  <si>
    <t>IMG_0142_grid.JPG</t>
  </si>
  <si>
    <t>2019:07:10 05:18:13</t>
  </si>
  <si>
    <t>IMG_0173_grid.JPG</t>
  </si>
  <si>
    <t>2019:07:10 17:52:01</t>
  </si>
  <si>
    <t>IMG_0177_grid_compass.JPG</t>
  </si>
  <si>
    <t>2019:07:10 17:52:14</t>
  </si>
  <si>
    <t>IMG_1111_grid.JPG</t>
  </si>
  <si>
    <t>2019:07:17 20:50:42</t>
  </si>
  <si>
    <t>IMG_1132_grid.JPG</t>
  </si>
  <si>
    <t>IMG_1378_grid.JPG</t>
  </si>
  <si>
    <t>2019:07:21 04:21:21</t>
  </si>
  <si>
    <t>IMG_0232_grid_compass.JPG</t>
  </si>
  <si>
    <t>2019:07:23 17:28:09</t>
  </si>
  <si>
    <t>IMG_0244_grid.JPG</t>
  </si>
  <si>
    <t>2019:07:27 06:17:50</t>
  </si>
  <si>
    <t>IMG_1112_grid_compass.JPG</t>
  </si>
  <si>
    <t>2019:07:30 16:40:00</t>
  </si>
  <si>
    <t>IMG_0483_grid_compass (2).JPG</t>
  </si>
  <si>
    <t>2019:08:09 15:05:27</t>
  </si>
  <si>
    <t>IMG_3416_grid_compass_1.JPG</t>
  </si>
  <si>
    <t>2019:08:14 01:33:20</t>
  </si>
  <si>
    <t>IMG_4237_grid_compass.JPG</t>
  </si>
  <si>
    <t>2019:08:14 02:26:49</t>
  </si>
  <si>
    <t>IMG_4239_grid_compass.JPG</t>
  </si>
  <si>
    <t>2019:08:14 02:26:50</t>
  </si>
  <si>
    <t>IMG_4242_grid_compass.JPG</t>
  </si>
  <si>
    <t>2019:08:14 02:26:51</t>
  </si>
  <si>
    <t>IMG_0718_grid.JPG</t>
  </si>
  <si>
    <t>2019:08:17 07:25:41</t>
  </si>
  <si>
    <t>IMG_0396_grid.JPG</t>
  </si>
  <si>
    <t>2019:08:21 17:53:45</t>
  </si>
  <si>
    <t>IMG_0494_grid.JPG</t>
  </si>
  <si>
    <t>2019:08:22 22:22:56</t>
  </si>
  <si>
    <t>IMG_0734_grid_compass.JPG</t>
  </si>
  <si>
    <t>2019:08:25 03:00:24</t>
  </si>
  <si>
    <t>IMG_0937_grid_compass.JPG</t>
  </si>
  <si>
    <t>2019:08:25 17:21:27</t>
  </si>
  <si>
    <t>IMG_0048_grid.JPG</t>
  </si>
  <si>
    <t>2019:06:11 09:31:14</t>
  </si>
  <si>
    <t>IMG_1636_grid.JPG</t>
  </si>
  <si>
    <t>2019:07:06 06:25:56</t>
  </si>
  <si>
    <t>placeID</t>
  </si>
  <si>
    <t>fileID</t>
  </si>
  <si>
    <t>datetime</t>
  </si>
  <si>
    <t>time</t>
  </si>
  <si>
    <t>distance</t>
  </si>
  <si>
    <t>absangle</t>
  </si>
  <si>
    <t>species</t>
  </si>
  <si>
    <t>Jackal</t>
  </si>
  <si>
    <t>measurement</t>
  </si>
  <si>
    <t>height</t>
  </si>
  <si>
    <t>ear</t>
  </si>
  <si>
    <t>IMG_0122_grid_compass (2).JPG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</si>
</sst>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"/>
  </numFmts>
  <fonts count="4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 applyFont="1"/>
    <xf numFmtId="164" fontId="1" fillId="0" borderId="0" xfId="0" applyNumberFormat="1" applyFont="1"/>
    <xf numFmtId="0" fontId="0" fillId="0" borderId="0" xfId="0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00"/>
  <sheetViews>
    <sheetView tabSelected="1" topLeftCell="C1" workbookViewId="0">
      <pane ySplit="1" topLeftCell="A1123" activePane="bottomLeft" state="frozen"/>
      <selection pane="bottomLeft" activeCell="W1152" sqref="W1152"/>
    </sheetView>
  </sheetViews>
  <sheetFormatPr defaultColWidth="12.59765625" defaultRowHeight="15" customHeight="1" x14ac:dyDescent="0.25"/>
  <cols>
    <col min="1" max="1" width="7.59765625" customWidth="1"/>
    <col min="2" max="2" width="26.3984375" customWidth="1"/>
    <col min="3" max="3" width="19" customWidth="1"/>
    <col min="4" max="4" width="4.59765625" customWidth="1"/>
    <col min="5" max="6" width="10.796875" bestFit="1" customWidth="1"/>
    <col min="7" max="13" width="7.59765625" customWidth="1"/>
    <col min="14" max="14" width="7.69921875" customWidth="1"/>
    <col min="15" max="18" width="7.59765625" customWidth="1"/>
    <col min="19" max="21" width="7.69921875" customWidth="1"/>
    <col min="22" max="24" width="7.59765625" customWidth="1"/>
  </cols>
  <sheetData>
    <row r="1" spans="1:22" s="5" customFormat="1" ht="14.25" customHeight="1" x14ac:dyDescent="0.3">
      <c r="A1" s="1" t="s">
        <v>2498</v>
      </c>
      <c r="B1" s="1" t="s">
        <v>2499</v>
      </c>
      <c r="C1" s="1" t="s">
        <v>2500</v>
      </c>
      <c r="D1" s="1" t="s">
        <v>0</v>
      </c>
      <c r="E1" s="1" t="s">
        <v>1</v>
      </c>
      <c r="F1" s="2" t="s">
        <v>2501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2" t="s">
        <v>2502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2" t="s">
        <v>2503</v>
      </c>
      <c r="U1" s="1" t="s">
        <v>2506</v>
      </c>
      <c r="V1" s="1" t="s">
        <v>2504</v>
      </c>
    </row>
    <row r="2" spans="1:22" ht="14.25" customHeight="1" x14ac:dyDescent="0.3">
      <c r="A2" s="1" t="s">
        <v>14</v>
      </c>
      <c r="B2" s="1" t="s">
        <v>15</v>
      </c>
      <c r="C2" s="1" t="s">
        <v>16</v>
      </c>
      <c r="D2" s="1">
        <f t="shared" ref="D2:D65" si="0">(LEFT(C2,4)&amp;"-"&amp;MID(C2,6,2)&amp;"-"&amp;MID(C2,9,2))-(2019&amp;"-"&amp;5&amp;"-"&amp;28)</f>
        <v>35</v>
      </c>
      <c r="E2" s="1">
        <f t="shared" ref="E2:E65" si="1">TIMEVALUE(RIGHT(C2,8))</f>
        <v>0.96208333333333329</v>
      </c>
      <c r="F2" s="2">
        <f t="shared" ref="F2:F65" si="2">(D2+E2)*2*PI()-4.989969053</f>
        <v>220.96646456256786</v>
      </c>
      <c r="G2" s="1">
        <v>2080</v>
      </c>
      <c r="H2" s="1">
        <v>3744</v>
      </c>
      <c r="I2" s="1">
        <v>0</v>
      </c>
      <c r="J2" s="1">
        <v>54</v>
      </c>
      <c r="K2" s="1">
        <f t="shared" ref="K2:K65" si="3">(32.67*I2)/H2</f>
        <v>0</v>
      </c>
      <c r="L2" s="1">
        <f t="shared" ref="L2:L65" si="4">(18.15*J2)/G2</f>
        <v>0.47120192307692305</v>
      </c>
      <c r="M2" s="1">
        <f t="shared" ref="M2:M65" si="5">SQRT(K2*K2+L2*L2)</f>
        <v>0.47120192307692305</v>
      </c>
      <c r="N2" s="2">
        <f t="shared" ref="N2:N33" si="6">42*0.4/M2</f>
        <v>35.653504744413837</v>
      </c>
      <c r="O2" s="1">
        <v>1872</v>
      </c>
      <c r="P2" s="1">
        <f t="shared" ref="P2:P65" si="7">H2/2-O2</f>
        <v>0</v>
      </c>
      <c r="Q2" s="1">
        <f t="shared" ref="Q2:Q65" si="8">TAN(RADIANS(21.25))*N2</f>
        <v>13.864889711122203</v>
      </c>
      <c r="R2" s="1">
        <f t="shared" ref="R2:R65" si="9">Q2*(P2/(H2/2))</f>
        <v>0</v>
      </c>
      <c r="S2" s="2">
        <f t="shared" ref="S2:S65" si="10">DEGREES(ATAN(R2/N2))</f>
        <v>0</v>
      </c>
      <c r="T2" s="2">
        <f t="shared" ref="T2:T65" si="11">RADIANS(S2)</f>
        <v>0</v>
      </c>
      <c r="U2" s="1" t="s">
        <v>2507</v>
      </c>
      <c r="V2" s="6" t="s">
        <v>2505</v>
      </c>
    </row>
    <row r="3" spans="1:22" ht="14.25" customHeight="1" x14ac:dyDescent="0.3">
      <c r="A3" s="1" t="s">
        <v>17</v>
      </c>
      <c r="B3" s="1" t="s">
        <v>18</v>
      </c>
      <c r="C3" s="1" t="s">
        <v>19</v>
      </c>
      <c r="D3" s="1">
        <f t="shared" si="0"/>
        <v>35</v>
      </c>
      <c r="E3" s="1">
        <f t="shared" si="1"/>
        <v>0.74418981481481483</v>
      </c>
      <c r="F3" s="2">
        <f t="shared" si="2"/>
        <v>219.59739920848267</v>
      </c>
      <c r="G3" s="1">
        <v>2080</v>
      </c>
      <c r="H3" s="1">
        <v>3744</v>
      </c>
      <c r="I3" s="1">
        <v>0</v>
      </c>
      <c r="J3" s="1">
        <v>280</v>
      </c>
      <c r="K3" s="1">
        <f t="shared" si="3"/>
        <v>0</v>
      </c>
      <c r="L3" s="1">
        <f t="shared" si="4"/>
        <v>2.4432692307692307</v>
      </c>
      <c r="M3" s="1">
        <f t="shared" si="5"/>
        <v>2.4432692307692307</v>
      </c>
      <c r="N3" s="2">
        <f t="shared" si="6"/>
        <v>6.8760330578512399</v>
      </c>
      <c r="O3" s="1">
        <v>1871</v>
      </c>
      <c r="P3" s="1">
        <f t="shared" si="7"/>
        <v>1</v>
      </c>
      <c r="Q3" s="1">
        <f t="shared" si="8"/>
        <v>2.673943015716425</v>
      </c>
      <c r="R3" s="1">
        <f t="shared" si="9"/>
        <v>1.4283883630963809E-3</v>
      </c>
      <c r="S3" s="2">
        <f t="shared" si="10"/>
        <v>1.1902302220658573E-2</v>
      </c>
      <c r="T3" s="2">
        <f t="shared" si="11"/>
        <v>2.0773436231792474E-4</v>
      </c>
      <c r="U3" s="1" t="s">
        <v>2507</v>
      </c>
      <c r="V3" s="6" t="s">
        <v>2505</v>
      </c>
    </row>
    <row r="4" spans="1:22" ht="14.25" customHeight="1" x14ac:dyDescent="0.3">
      <c r="A4" s="1" t="s">
        <v>20</v>
      </c>
      <c r="B4" s="1" t="s">
        <v>21</v>
      </c>
      <c r="C4" s="1" t="s">
        <v>22</v>
      </c>
      <c r="D4" s="1">
        <f t="shared" si="0"/>
        <v>70</v>
      </c>
      <c r="E4" s="1">
        <f t="shared" si="1"/>
        <v>0.92281250000000004</v>
      </c>
      <c r="F4" s="2">
        <f t="shared" si="2"/>
        <v>440.63120439085276</v>
      </c>
      <c r="G4" s="1">
        <v>2080</v>
      </c>
      <c r="H4" s="1">
        <v>3744</v>
      </c>
      <c r="I4" s="1">
        <v>0</v>
      </c>
      <c r="J4" s="1">
        <v>289</v>
      </c>
      <c r="K4" s="1">
        <f t="shared" si="3"/>
        <v>0</v>
      </c>
      <c r="L4" s="1">
        <f t="shared" si="4"/>
        <v>2.5218028846153842</v>
      </c>
      <c r="M4" s="1">
        <f t="shared" si="5"/>
        <v>2.5218028846153842</v>
      </c>
      <c r="N4" s="2">
        <f t="shared" si="6"/>
        <v>6.6619005404787108</v>
      </c>
      <c r="O4" s="1">
        <v>1870</v>
      </c>
      <c r="P4" s="1">
        <f t="shared" si="7"/>
        <v>2</v>
      </c>
      <c r="Q4" s="1">
        <f t="shared" si="8"/>
        <v>2.5906714339121075</v>
      </c>
      <c r="R4" s="1">
        <f t="shared" si="9"/>
        <v>2.767811361017209E-3</v>
      </c>
      <c r="S4" s="2">
        <f t="shared" si="10"/>
        <v>2.3804603414063683E-2</v>
      </c>
      <c r="T4" s="2">
        <f t="shared" si="11"/>
        <v>4.1546870670689434E-4</v>
      </c>
      <c r="U4" s="1" t="s">
        <v>2507</v>
      </c>
      <c r="V4" s="6" t="s">
        <v>2505</v>
      </c>
    </row>
    <row r="5" spans="1:22" ht="14.25" customHeight="1" x14ac:dyDescent="0.3">
      <c r="A5" s="1" t="s">
        <v>17</v>
      </c>
      <c r="B5" s="1" t="s">
        <v>23</v>
      </c>
      <c r="C5" s="1" t="s">
        <v>24</v>
      </c>
      <c r="D5" s="1">
        <f t="shared" si="0"/>
        <v>58</v>
      </c>
      <c r="E5" s="1">
        <f t="shared" si="1"/>
        <v>0.99545138888888884</v>
      </c>
      <c r="F5" s="2">
        <f t="shared" si="2"/>
        <v>365.68938430409418</v>
      </c>
      <c r="G5" s="1">
        <v>2080</v>
      </c>
      <c r="H5" s="1">
        <v>3744</v>
      </c>
      <c r="I5" s="1">
        <v>0</v>
      </c>
      <c r="J5" s="1">
        <v>256</v>
      </c>
      <c r="K5" s="1">
        <f t="shared" si="3"/>
        <v>0</v>
      </c>
      <c r="L5" s="1">
        <f t="shared" si="4"/>
        <v>2.2338461538461538</v>
      </c>
      <c r="M5" s="1">
        <f t="shared" si="5"/>
        <v>2.2338461538461538</v>
      </c>
      <c r="N5" s="2">
        <f t="shared" si="6"/>
        <v>7.5206611570247937</v>
      </c>
      <c r="O5" s="1">
        <v>1868</v>
      </c>
      <c r="P5" s="1">
        <f t="shared" si="7"/>
        <v>4</v>
      </c>
      <c r="Q5" s="1">
        <f t="shared" si="8"/>
        <v>2.9246251734398396</v>
      </c>
      <c r="R5" s="1">
        <f t="shared" si="9"/>
        <v>6.2491990885466661E-3</v>
      </c>
      <c r="S5" s="2">
        <f t="shared" si="10"/>
        <v>4.7609198610102842E-2</v>
      </c>
      <c r="T5" s="2">
        <f t="shared" si="11"/>
        <v>8.3093726998220263E-4</v>
      </c>
      <c r="U5" s="1" t="s">
        <v>2507</v>
      </c>
      <c r="V5" s="6" t="s">
        <v>2505</v>
      </c>
    </row>
    <row r="6" spans="1:22" ht="14.25" customHeight="1" x14ac:dyDescent="0.3">
      <c r="A6" s="1" t="s">
        <v>17</v>
      </c>
      <c r="B6" s="1" t="s">
        <v>25</v>
      </c>
      <c r="C6" s="1" t="s">
        <v>26</v>
      </c>
      <c r="D6" s="1">
        <f t="shared" si="0"/>
        <v>34</v>
      </c>
      <c r="E6" s="1">
        <f t="shared" si="1"/>
        <v>0.34976851851851848</v>
      </c>
      <c r="F6" s="2">
        <f t="shared" si="2"/>
        <v>210.83599180757543</v>
      </c>
      <c r="G6" s="1">
        <v>2080</v>
      </c>
      <c r="H6" s="1">
        <v>3744</v>
      </c>
      <c r="I6" s="1">
        <v>0</v>
      </c>
      <c r="J6" s="1">
        <v>233</v>
      </c>
      <c r="K6" s="1">
        <f t="shared" si="3"/>
        <v>0</v>
      </c>
      <c r="L6" s="1">
        <f t="shared" si="4"/>
        <v>2.0331490384615383</v>
      </c>
      <c r="M6" s="1">
        <f t="shared" si="5"/>
        <v>2.0331490384615383</v>
      </c>
      <c r="N6" s="2">
        <f t="shared" si="6"/>
        <v>8.2630440180186575</v>
      </c>
      <c r="O6" s="1">
        <v>1868</v>
      </c>
      <c r="P6" s="1">
        <f t="shared" si="7"/>
        <v>4</v>
      </c>
      <c r="Q6" s="1">
        <f t="shared" si="8"/>
        <v>3.2133220789725279</v>
      </c>
      <c r="R6" s="1">
        <f t="shared" si="9"/>
        <v>6.8660728183173678E-3</v>
      </c>
      <c r="S6" s="2">
        <f t="shared" si="10"/>
        <v>4.7609198610102849E-2</v>
      </c>
      <c r="T6" s="2">
        <f t="shared" si="11"/>
        <v>8.3093726998220273E-4</v>
      </c>
      <c r="U6" s="1" t="s">
        <v>2507</v>
      </c>
      <c r="V6" s="6" t="s">
        <v>2505</v>
      </c>
    </row>
    <row r="7" spans="1:22" ht="14.25" customHeight="1" x14ac:dyDescent="0.3">
      <c r="A7" s="1" t="s">
        <v>27</v>
      </c>
      <c r="B7" s="1" t="s">
        <v>28</v>
      </c>
      <c r="C7" s="1" t="s">
        <v>29</v>
      </c>
      <c r="D7" s="1">
        <f t="shared" si="0"/>
        <v>56</v>
      </c>
      <c r="E7" s="1">
        <f t="shared" si="1"/>
        <v>0.73032407407407407</v>
      </c>
      <c r="F7" s="2">
        <f t="shared" si="2"/>
        <v>351.45716964075859</v>
      </c>
      <c r="G7" s="1">
        <v>2080</v>
      </c>
      <c r="H7" s="1">
        <v>3744</v>
      </c>
      <c r="I7" s="1">
        <v>0</v>
      </c>
      <c r="J7" s="1">
        <v>82</v>
      </c>
      <c r="K7" s="1">
        <f t="shared" si="3"/>
        <v>0</v>
      </c>
      <c r="L7" s="1">
        <f t="shared" si="4"/>
        <v>0.71552884615384615</v>
      </c>
      <c r="M7" s="1">
        <f t="shared" si="5"/>
        <v>0.71552884615384615</v>
      </c>
      <c r="N7" s="2">
        <f t="shared" si="6"/>
        <v>23.479137270711551</v>
      </c>
      <c r="O7" s="1">
        <v>1868</v>
      </c>
      <c r="P7" s="1">
        <f t="shared" si="7"/>
        <v>4</v>
      </c>
      <c r="Q7" s="1">
        <f t="shared" si="8"/>
        <v>9.1305371268365718</v>
      </c>
      <c r="R7" s="1">
        <f t="shared" si="9"/>
        <v>1.9509694715462763E-2</v>
      </c>
      <c r="S7" s="2">
        <f t="shared" si="10"/>
        <v>4.7609198610102849E-2</v>
      </c>
      <c r="T7" s="2">
        <f t="shared" si="11"/>
        <v>8.3093726998220273E-4</v>
      </c>
      <c r="U7" s="1" t="s">
        <v>2507</v>
      </c>
      <c r="V7" s="6" t="s">
        <v>2505</v>
      </c>
    </row>
    <row r="8" spans="1:22" ht="14.25" customHeight="1" x14ac:dyDescent="0.3">
      <c r="A8" s="1" t="s">
        <v>30</v>
      </c>
      <c r="B8" s="1" t="s">
        <v>31</v>
      </c>
      <c r="C8" s="1" t="s">
        <v>32</v>
      </c>
      <c r="D8" s="1">
        <f t="shared" si="0"/>
        <v>82</v>
      </c>
      <c r="E8" s="1">
        <f t="shared" si="1"/>
        <v>0.13872685185185185</v>
      </c>
      <c r="F8" s="2">
        <f t="shared" si="2"/>
        <v>511.10287265299291</v>
      </c>
      <c r="G8" s="1">
        <v>2080</v>
      </c>
      <c r="H8" s="1">
        <v>3744</v>
      </c>
      <c r="I8" s="1">
        <v>0</v>
      </c>
      <c r="J8" s="1">
        <v>94</v>
      </c>
      <c r="K8" s="1">
        <f t="shared" si="3"/>
        <v>0</v>
      </c>
      <c r="L8" s="1">
        <f t="shared" si="4"/>
        <v>0.82024038461538462</v>
      </c>
      <c r="M8" s="1">
        <f t="shared" si="5"/>
        <v>0.82024038461538462</v>
      </c>
      <c r="N8" s="2">
        <f t="shared" si="6"/>
        <v>20.481800597854757</v>
      </c>
      <c r="O8" s="1">
        <v>1868</v>
      </c>
      <c r="P8" s="1">
        <f t="shared" si="7"/>
        <v>4</v>
      </c>
      <c r="Q8" s="1">
        <f t="shared" si="8"/>
        <v>7.9649366425595636</v>
      </c>
      <c r="R8" s="1">
        <f t="shared" si="9"/>
        <v>1.7019095390084539E-2</v>
      </c>
      <c r="S8" s="2">
        <f t="shared" si="10"/>
        <v>4.7609198610102849E-2</v>
      </c>
      <c r="T8" s="2">
        <f t="shared" si="11"/>
        <v>8.3093726998220273E-4</v>
      </c>
      <c r="U8" s="1" t="s">
        <v>2507</v>
      </c>
      <c r="V8" s="6" t="s">
        <v>2505</v>
      </c>
    </row>
    <row r="9" spans="1:22" ht="14.25" customHeight="1" x14ac:dyDescent="0.3">
      <c r="A9" s="1" t="s">
        <v>17</v>
      </c>
      <c r="B9" s="1" t="s">
        <v>33</v>
      </c>
      <c r="C9" s="1" t="s">
        <v>34</v>
      </c>
      <c r="D9" s="1">
        <f t="shared" si="0"/>
        <v>29</v>
      </c>
      <c r="E9" s="1">
        <f t="shared" si="1"/>
        <v>0.26011574074074073</v>
      </c>
      <c r="F9" s="2">
        <f t="shared" si="2"/>
        <v>178.85676025559636</v>
      </c>
      <c r="G9" s="1">
        <v>2080</v>
      </c>
      <c r="H9" s="1">
        <v>3744</v>
      </c>
      <c r="I9" s="1">
        <v>0</v>
      </c>
      <c r="J9" s="1">
        <v>111</v>
      </c>
      <c r="K9" s="1">
        <f t="shared" si="3"/>
        <v>0</v>
      </c>
      <c r="L9" s="1">
        <f t="shared" si="4"/>
        <v>0.96858173076923071</v>
      </c>
      <c r="M9" s="1">
        <f t="shared" si="5"/>
        <v>0.96858173076923071</v>
      </c>
      <c r="N9" s="2">
        <f t="shared" si="6"/>
        <v>17.344948254039164</v>
      </c>
      <c r="O9" s="1">
        <v>1867</v>
      </c>
      <c r="P9" s="1">
        <f t="shared" si="7"/>
        <v>5</v>
      </c>
      <c r="Q9" s="1">
        <f t="shared" si="8"/>
        <v>6.7450814810864772</v>
      </c>
      <c r="R9" s="1">
        <f t="shared" si="9"/>
        <v>1.8015709084098497E-2</v>
      </c>
      <c r="S9" s="2">
        <f t="shared" si="10"/>
        <v>5.9511490558234764E-2</v>
      </c>
      <c r="T9" s="2">
        <f t="shared" si="11"/>
        <v>1.0386714530107148E-3</v>
      </c>
      <c r="U9" s="1" t="s">
        <v>2507</v>
      </c>
      <c r="V9" s="6" t="s">
        <v>2505</v>
      </c>
    </row>
    <row r="10" spans="1:22" ht="14.25" customHeight="1" x14ac:dyDescent="0.3">
      <c r="A10" s="1" t="s">
        <v>20</v>
      </c>
      <c r="B10" s="1" t="s">
        <v>35</v>
      </c>
      <c r="C10" s="1" t="s">
        <v>36</v>
      </c>
      <c r="D10" s="1">
        <f t="shared" si="0"/>
        <v>77</v>
      </c>
      <c r="E10" s="1">
        <f t="shared" si="1"/>
        <v>0.1809375</v>
      </c>
      <c r="F10" s="2">
        <f t="shared" si="2"/>
        <v>479.95216344134593</v>
      </c>
      <c r="G10" s="1">
        <v>2080</v>
      </c>
      <c r="H10" s="1">
        <v>3744</v>
      </c>
      <c r="I10" s="1">
        <v>0</v>
      </c>
      <c r="J10" s="1">
        <v>207</v>
      </c>
      <c r="K10" s="1">
        <f t="shared" si="3"/>
        <v>0</v>
      </c>
      <c r="L10" s="1">
        <f t="shared" si="4"/>
        <v>1.8062740384615383</v>
      </c>
      <c r="M10" s="1">
        <f t="shared" si="5"/>
        <v>1.8062740384615383</v>
      </c>
      <c r="N10" s="2">
        <f t="shared" si="6"/>
        <v>9.3009142811514369</v>
      </c>
      <c r="O10" s="1">
        <v>1863</v>
      </c>
      <c r="P10" s="1">
        <f t="shared" si="7"/>
        <v>9</v>
      </c>
      <c r="Q10" s="1">
        <f t="shared" si="8"/>
        <v>3.6169277507275317</v>
      </c>
      <c r="R10" s="1">
        <f t="shared" si="9"/>
        <v>1.7389075724651596E-2</v>
      </c>
      <c r="S10" s="2">
        <f t="shared" si="10"/>
        <v>0.10712059671575733</v>
      </c>
      <c r="T10" s="2">
        <f t="shared" si="11"/>
        <v>1.8696071093909897E-3</v>
      </c>
      <c r="U10" s="1" t="s">
        <v>2507</v>
      </c>
      <c r="V10" s="6" t="s">
        <v>2505</v>
      </c>
    </row>
    <row r="11" spans="1:22" ht="14.25" customHeight="1" x14ac:dyDescent="0.3">
      <c r="A11" s="1" t="s">
        <v>37</v>
      </c>
      <c r="B11" s="1" t="s">
        <v>38</v>
      </c>
      <c r="C11" s="1" t="s">
        <v>39</v>
      </c>
      <c r="D11" s="1">
        <f t="shared" si="0"/>
        <v>84</v>
      </c>
      <c r="E11" s="1">
        <f t="shared" si="1"/>
        <v>0.15486111111111112</v>
      </c>
      <c r="F11" s="2">
        <f t="shared" si="2"/>
        <v>523.77061780807219</v>
      </c>
      <c r="G11" s="1">
        <v>2080</v>
      </c>
      <c r="H11" s="1">
        <v>3744</v>
      </c>
      <c r="I11" s="1">
        <v>0</v>
      </c>
      <c r="J11" s="1">
        <v>420</v>
      </c>
      <c r="K11" s="1">
        <f t="shared" si="3"/>
        <v>0</v>
      </c>
      <c r="L11" s="1">
        <f t="shared" si="4"/>
        <v>3.6649038461538459</v>
      </c>
      <c r="M11" s="1">
        <f t="shared" si="5"/>
        <v>3.6649038461538459</v>
      </c>
      <c r="N11" s="2">
        <f t="shared" si="6"/>
        <v>4.5840220385674932</v>
      </c>
      <c r="O11" s="1">
        <v>1863</v>
      </c>
      <c r="P11" s="1">
        <f t="shared" si="7"/>
        <v>9</v>
      </c>
      <c r="Q11" s="1">
        <f t="shared" si="8"/>
        <v>1.7826286771442832</v>
      </c>
      <c r="R11" s="1">
        <f t="shared" si="9"/>
        <v>8.5703301785782851E-3</v>
      </c>
      <c r="S11" s="2">
        <f t="shared" si="10"/>
        <v>0.10712059671575733</v>
      </c>
      <c r="T11" s="2">
        <f t="shared" si="11"/>
        <v>1.8696071093909897E-3</v>
      </c>
      <c r="U11" s="1" t="s">
        <v>2507</v>
      </c>
      <c r="V11" s="6" t="s">
        <v>2505</v>
      </c>
    </row>
    <row r="12" spans="1:22" ht="14.25" customHeight="1" x14ac:dyDescent="0.3">
      <c r="A12" s="1" t="s">
        <v>40</v>
      </c>
      <c r="B12" s="1" t="s">
        <v>41</v>
      </c>
      <c r="C12" s="1" t="s">
        <v>42</v>
      </c>
      <c r="D12" s="1">
        <f t="shared" si="0"/>
        <v>73</v>
      </c>
      <c r="E12" s="1">
        <f t="shared" si="1"/>
        <v>0.40825231481481478</v>
      </c>
      <c r="F12" s="2">
        <f t="shared" si="2"/>
        <v>456.24768331717632</v>
      </c>
      <c r="G12" s="1">
        <v>2080</v>
      </c>
      <c r="H12" s="1">
        <v>3744</v>
      </c>
      <c r="I12" s="1">
        <v>0</v>
      </c>
      <c r="J12" s="1">
        <v>307</v>
      </c>
      <c r="K12" s="1">
        <f t="shared" si="3"/>
        <v>0</v>
      </c>
      <c r="L12" s="1">
        <f t="shared" si="4"/>
        <v>2.6788701923076919</v>
      </c>
      <c r="M12" s="1">
        <f t="shared" si="5"/>
        <v>2.6788701923076919</v>
      </c>
      <c r="N12" s="2">
        <f t="shared" si="6"/>
        <v>6.2713005087894054</v>
      </c>
      <c r="O12" s="1">
        <v>1863</v>
      </c>
      <c r="P12" s="1">
        <f t="shared" si="7"/>
        <v>9</v>
      </c>
      <c r="Q12" s="1">
        <f t="shared" si="8"/>
        <v>2.4387753889270329</v>
      </c>
      <c r="R12" s="1">
        <f t="shared" si="9"/>
        <v>1.1724881677533813E-2</v>
      </c>
      <c r="S12" s="2">
        <f t="shared" si="10"/>
        <v>0.10712059671575734</v>
      </c>
      <c r="T12" s="2">
        <f t="shared" si="11"/>
        <v>1.8696071093909899E-3</v>
      </c>
      <c r="U12" s="1" t="s">
        <v>2507</v>
      </c>
      <c r="V12" s="6" t="s">
        <v>2505</v>
      </c>
    </row>
    <row r="13" spans="1:22" ht="14.25" customHeight="1" x14ac:dyDescent="0.3">
      <c r="A13" s="1" t="s">
        <v>17</v>
      </c>
      <c r="B13" s="1" t="s">
        <v>43</v>
      </c>
      <c r="C13" s="1" t="s">
        <v>44</v>
      </c>
      <c r="D13" s="1">
        <f t="shared" si="0"/>
        <v>6</v>
      </c>
      <c r="E13" s="1">
        <f t="shared" si="1"/>
        <v>0.77706018518518516</v>
      </c>
      <c r="F13" s="2">
        <f t="shared" si="2"/>
        <v>37.591555928427319</v>
      </c>
      <c r="G13" s="1">
        <v>2080</v>
      </c>
      <c r="H13" s="1">
        <v>3744</v>
      </c>
      <c r="I13" s="1">
        <v>0</v>
      </c>
      <c r="J13" s="1">
        <v>239</v>
      </c>
      <c r="K13" s="1">
        <f t="shared" si="3"/>
        <v>0</v>
      </c>
      <c r="L13" s="1">
        <f t="shared" si="4"/>
        <v>2.0855048076923075</v>
      </c>
      <c r="M13" s="1">
        <f t="shared" si="5"/>
        <v>2.0855048076923075</v>
      </c>
      <c r="N13" s="2">
        <f t="shared" si="6"/>
        <v>8.0556035824198631</v>
      </c>
      <c r="O13" s="1">
        <v>1862</v>
      </c>
      <c r="P13" s="1">
        <f t="shared" si="7"/>
        <v>10</v>
      </c>
      <c r="Q13" s="1">
        <f t="shared" si="8"/>
        <v>3.1326529054418368</v>
      </c>
      <c r="R13" s="1">
        <f t="shared" si="9"/>
        <v>1.6734256973514085E-2</v>
      </c>
      <c r="S13" s="2">
        <f t="shared" si="10"/>
        <v>0.11902285271018559</v>
      </c>
      <c r="T13" s="2">
        <f t="shared" si="11"/>
        <v>2.0773406649089946E-3</v>
      </c>
      <c r="U13" s="1" t="s">
        <v>2507</v>
      </c>
      <c r="V13" s="6" t="s">
        <v>2505</v>
      </c>
    </row>
    <row r="14" spans="1:22" ht="14.25" customHeight="1" x14ac:dyDescent="0.3">
      <c r="A14" s="1" t="s">
        <v>40</v>
      </c>
      <c r="B14" s="1" t="s">
        <v>45</v>
      </c>
      <c r="C14" s="1" t="s">
        <v>46</v>
      </c>
      <c r="D14" s="1">
        <f t="shared" si="0"/>
        <v>8</v>
      </c>
      <c r="E14" s="1">
        <f t="shared" si="1"/>
        <v>0.99254629629629632</v>
      </c>
      <c r="F14" s="2">
        <f t="shared" si="2"/>
        <v>51.511865710021098</v>
      </c>
      <c r="G14" s="1">
        <v>2080</v>
      </c>
      <c r="H14" s="1">
        <v>3744</v>
      </c>
      <c r="I14" s="1">
        <v>0</v>
      </c>
      <c r="J14" s="1">
        <v>119</v>
      </c>
      <c r="K14" s="1">
        <f t="shared" si="3"/>
        <v>0</v>
      </c>
      <c r="L14" s="1">
        <f t="shared" si="4"/>
        <v>1.0383894230769231</v>
      </c>
      <c r="M14" s="1">
        <f t="shared" si="5"/>
        <v>1.0383894230769231</v>
      </c>
      <c r="N14" s="2">
        <f t="shared" si="6"/>
        <v>16.178901312591154</v>
      </c>
      <c r="O14" s="1">
        <v>1858</v>
      </c>
      <c r="P14" s="1">
        <f t="shared" si="7"/>
        <v>14</v>
      </c>
      <c r="Q14" s="1">
        <f t="shared" si="8"/>
        <v>6.2916306252151175</v>
      </c>
      <c r="R14" s="1">
        <f t="shared" si="9"/>
        <v>4.7052793137292548E-2</v>
      </c>
      <c r="S14" s="2">
        <f t="shared" si="10"/>
        <v>0.16663176369121779</v>
      </c>
      <c r="T14" s="2">
        <f t="shared" si="11"/>
        <v>2.9082729148168901E-3</v>
      </c>
      <c r="U14" s="1" t="s">
        <v>2507</v>
      </c>
      <c r="V14" s="6" t="s">
        <v>2505</v>
      </c>
    </row>
    <row r="15" spans="1:22" ht="14.25" customHeight="1" x14ac:dyDescent="0.3">
      <c r="A15" s="1" t="s">
        <v>17</v>
      </c>
      <c r="B15" s="1" t="s">
        <v>47</v>
      </c>
      <c r="C15" s="1" t="s">
        <v>48</v>
      </c>
      <c r="D15" s="1">
        <f t="shared" si="0"/>
        <v>6</v>
      </c>
      <c r="E15" s="1">
        <f t="shared" si="1"/>
        <v>0.8787962962962963</v>
      </c>
      <c r="F15" s="2">
        <f t="shared" si="2"/>
        <v>38.230782766970243</v>
      </c>
      <c r="G15" s="1">
        <v>2080</v>
      </c>
      <c r="H15" s="1">
        <v>3744</v>
      </c>
      <c r="I15" s="1">
        <v>0</v>
      </c>
      <c r="J15" s="1">
        <v>212</v>
      </c>
      <c r="K15" s="1">
        <f t="shared" si="3"/>
        <v>0</v>
      </c>
      <c r="L15" s="1">
        <f t="shared" si="4"/>
        <v>1.849903846153846</v>
      </c>
      <c r="M15" s="1">
        <f t="shared" si="5"/>
        <v>1.849903846153846</v>
      </c>
      <c r="N15" s="2">
        <f t="shared" si="6"/>
        <v>9.0815530952752237</v>
      </c>
      <c r="O15" s="1">
        <v>1852</v>
      </c>
      <c r="P15" s="1">
        <f t="shared" si="7"/>
        <v>20</v>
      </c>
      <c r="Q15" s="1">
        <f t="shared" si="8"/>
        <v>3.531622850946222</v>
      </c>
      <c r="R15" s="1">
        <f t="shared" si="9"/>
        <v>3.7731013364810065E-2</v>
      </c>
      <c r="S15" s="2">
        <f t="shared" si="10"/>
        <v>0.23804467818007363</v>
      </c>
      <c r="T15" s="2">
        <f t="shared" si="11"/>
        <v>4.1546634010925882E-3</v>
      </c>
      <c r="U15" s="1" t="s">
        <v>2507</v>
      </c>
      <c r="V15" s="6" t="s">
        <v>2505</v>
      </c>
    </row>
    <row r="16" spans="1:22" ht="14.25" customHeight="1" x14ac:dyDescent="0.3">
      <c r="A16" s="1" t="s">
        <v>20</v>
      </c>
      <c r="B16" s="1" t="s">
        <v>49</v>
      </c>
      <c r="C16" s="1" t="s">
        <v>50</v>
      </c>
      <c r="D16" s="1">
        <f t="shared" si="0"/>
        <v>21</v>
      </c>
      <c r="E16" s="1">
        <f t="shared" si="1"/>
        <v>9.6365740740740738E-2</v>
      </c>
      <c r="F16" s="2">
        <f t="shared" si="2"/>
        <v>127.56240620410902</v>
      </c>
      <c r="G16" s="1">
        <v>2080</v>
      </c>
      <c r="H16" s="1">
        <v>3744</v>
      </c>
      <c r="I16" s="1">
        <v>0</v>
      </c>
      <c r="J16" s="1">
        <v>248</v>
      </c>
      <c r="K16" s="1">
        <f t="shared" si="3"/>
        <v>0</v>
      </c>
      <c r="L16" s="1">
        <f t="shared" si="4"/>
        <v>2.1640384615384614</v>
      </c>
      <c r="M16" s="1">
        <f t="shared" si="5"/>
        <v>2.1640384615384614</v>
      </c>
      <c r="N16" s="2">
        <f t="shared" si="6"/>
        <v>7.7632631298320458</v>
      </c>
      <c r="O16" s="1">
        <v>1852</v>
      </c>
      <c r="P16" s="1">
        <f t="shared" si="7"/>
        <v>20</v>
      </c>
      <c r="Q16" s="1">
        <f t="shared" si="8"/>
        <v>3.0189679209701574</v>
      </c>
      <c r="R16" s="1">
        <f t="shared" si="9"/>
        <v>3.2253930779595701E-2</v>
      </c>
      <c r="S16" s="2">
        <f t="shared" si="10"/>
        <v>0.23804467818007369</v>
      </c>
      <c r="T16" s="2">
        <f t="shared" si="11"/>
        <v>4.1546634010925891E-3</v>
      </c>
      <c r="U16" s="1" t="s">
        <v>2507</v>
      </c>
      <c r="V16" s="6" t="s">
        <v>2505</v>
      </c>
    </row>
    <row r="17" spans="1:22" ht="14.25" customHeight="1" x14ac:dyDescent="0.3">
      <c r="A17" s="1" t="s">
        <v>17</v>
      </c>
      <c r="B17" s="1" t="s">
        <v>51</v>
      </c>
      <c r="C17" s="1" t="s">
        <v>52</v>
      </c>
      <c r="D17" s="1">
        <f t="shared" si="0"/>
        <v>29</v>
      </c>
      <c r="E17" s="1">
        <f t="shared" si="1"/>
        <v>0.24878472222222223</v>
      </c>
      <c r="F17" s="2">
        <f t="shared" si="2"/>
        <v>178.78556536652542</v>
      </c>
      <c r="G17" s="1">
        <v>2080</v>
      </c>
      <c r="H17" s="1">
        <v>3744</v>
      </c>
      <c r="I17" s="1">
        <v>0</v>
      </c>
      <c r="J17" s="1">
        <v>156</v>
      </c>
      <c r="K17" s="1">
        <f t="shared" si="3"/>
        <v>0</v>
      </c>
      <c r="L17" s="1">
        <f t="shared" si="4"/>
        <v>1.3612499999999998</v>
      </c>
      <c r="M17" s="1">
        <f t="shared" si="5"/>
        <v>1.3612499999999998</v>
      </c>
      <c r="N17" s="2">
        <f t="shared" si="6"/>
        <v>12.341597796143253</v>
      </c>
      <c r="O17" s="1">
        <v>1849</v>
      </c>
      <c r="P17" s="1">
        <f t="shared" si="7"/>
        <v>23</v>
      </c>
      <c r="Q17" s="1">
        <f t="shared" si="8"/>
        <v>4.7993849000038402</v>
      </c>
      <c r="R17" s="1">
        <f t="shared" si="9"/>
        <v>5.8966801656030084E-2</v>
      </c>
      <c r="S17" s="2">
        <f t="shared" si="10"/>
        <v>0.27375087194239983</v>
      </c>
      <c r="T17" s="2">
        <f t="shared" si="11"/>
        <v>4.7778540456002421E-3</v>
      </c>
      <c r="U17" s="1" t="s">
        <v>2507</v>
      </c>
      <c r="V17" s="6" t="s">
        <v>2505</v>
      </c>
    </row>
    <row r="18" spans="1:22" ht="14.25" customHeight="1" x14ac:dyDescent="0.3">
      <c r="A18" s="1" t="s">
        <v>17</v>
      </c>
      <c r="B18" s="1" t="s">
        <v>53</v>
      </c>
      <c r="C18" s="1" t="s">
        <v>54</v>
      </c>
      <c r="D18" s="1">
        <f t="shared" si="0"/>
        <v>5</v>
      </c>
      <c r="E18" s="1">
        <f t="shared" si="1"/>
        <v>0.35421296296296295</v>
      </c>
      <c r="F18" s="2">
        <f t="shared" si="2"/>
        <v>28.651543167399371</v>
      </c>
      <c r="G18" s="1">
        <v>2080</v>
      </c>
      <c r="H18" s="1">
        <v>3744</v>
      </c>
      <c r="I18" s="1">
        <v>0</v>
      </c>
      <c r="J18" s="1">
        <v>148</v>
      </c>
      <c r="K18" s="1">
        <f t="shared" si="3"/>
        <v>0</v>
      </c>
      <c r="L18" s="1">
        <f t="shared" si="4"/>
        <v>1.2914423076923076</v>
      </c>
      <c r="M18" s="1">
        <f t="shared" si="5"/>
        <v>1.2914423076923076</v>
      </c>
      <c r="N18" s="2">
        <f t="shared" si="6"/>
        <v>13.008711190529374</v>
      </c>
      <c r="O18" s="1">
        <v>1847</v>
      </c>
      <c r="P18" s="1">
        <f t="shared" si="7"/>
        <v>25</v>
      </c>
      <c r="Q18" s="1">
        <f t="shared" si="8"/>
        <v>5.0588111108148581</v>
      </c>
      <c r="R18" s="1">
        <f t="shared" si="9"/>
        <v>6.7558909065369363E-2</v>
      </c>
      <c r="S18" s="2">
        <f t="shared" si="10"/>
        <v>0.29755488470040375</v>
      </c>
      <c r="T18" s="2">
        <f t="shared" si="11"/>
        <v>5.1933124434141468E-3</v>
      </c>
      <c r="U18" s="1" t="s">
        <v>2507</v>
      </c>
      <c r="V18" s="6" t="s">
        <v>2505</v>
      </c>
    </row>
    <row r="19" spans="1:22" ht="14.25" customHeight="1" x14ac:dyDescent="0.3">
      <c r="A19" s="1" t="s">
        <v>27</v>
      </c>
      <c r="B19" s="1" t="s">
        <v>55</v>
      </c>
      <c r="C19" s="1" t="s">
        <v>56</v>
      </c>
      <c r="D19" s="1">
        <f t="shared" si="0"/>
        <v>30</v>
      </c>
      <c r="E19" s="1">
        <f t="shared" si="1"/>
        <v>1.7476851851851852E-3</v>
      </c>
      <c r="F19" s="2">
        <f t="shared" si="2"/>
        <v>183.51657119226471</v>
      </c>
      <c r="G19" s="1">
        <v>2080</v>
      </c>
      <c r="H19" s="1">
        <v>3744</v>
      </c>
      <c r="I19" s="1">
        <v>0</v>
      </c>
      <c r="J19" s="1">
        <v>228</v>
      </c>
      <c r="K19" s="1">
        <f t="shared" si="3"/>
        <v>0</v>
      </c>
      <c r="L19" s="1">
        <f t="shared" si="4"/>
        <v>1.9895192307692307</v>
      </c>
      <c r="M19" s="1">
        <f t="shared" si="5"/>
        <v>1.9895192307692307</v>
      </c>
      <c r="N19" s="2">
        <f t="shared" si="6"/>
        <v>8.4442511236769615</v>
      </c>
      <c r="O19" s="1">
        <v>1845</v>
      </c>
      <c r="P19" s="1">
        <f t="shared" si="7"/>
        <v>27</v>
      </c>
      <c r="Q19" s="1">
        <f t="shared" si="8"/>
        <v>3.2837896684236796</v>
      </c>
      <c r="R19" s="1">
        <f t="shared" si="9"/>
        <v>4.7362350986879999E-2</v>
      </c>
      <c r="S19" s="2">
        <f t="shared" si="10"/>
        <v>0.32135879473860685</v>
      </c>
      <c r="T19" s="2">
        <f t="shared" si="11"/>
        <v>5.60876904842932E-3</v>
      </c>
      <c r="U19" s="1" t="s">
        <v>2507</v>
      </c>
      <c r="V19" s="6" t="s">
        <v>2505</v>
      </c>
    </row>
    <row r="20" spans="1:22" ht="14.25" customHeight="1" x14ac:dyDescent="0.3">
      <c r="A20" s="1" t="s">
        <v>40</v>
      </c>
      <c r="B20" s="1" t="s">
        <v>57</v>
      </c>
      <c r="C20" s="1" t="s">
        <v>58</v>
      </c>
      <c r="D20" s="1">
        <f t="shared" si="0"/>
        <v>59</v>
      </c>
      <c r="E20" s="1">
        <f t="shared" si="1"/>
        <v>0.11384259259259259</v>
      </c>
      <c r="F20" s="2">
        <f t="shared" si="2"/>
        <v>366.43325817570462</v>
      </c>
      <c r="G20" s="1">
        <v>2080</v>
      </c>
      <c r="H20" s="1">
        <v>3744</v>
      </c>
      <c r="I20" s="1">
        <v>0</v>
      </c>
      <c r="J20" s="1">
        <v>165</v>
      </c>
      <c r="K20" s="1">
        <f t="shared" si="3"/>
        <v>0</v>
      </c>
      <c r="L20" s="1">
        <f t="shared" si="4"/>
        <v>1.4397836538461537</v>
      </c>
      <c r="M20" s="1">
        <f t="shared" si="5"/>
        <v>1.4397836538461537</v>
      </c>
      <c r="N20" s="2">
        <f t="shared" si="6"/>
        <v>11.668419734535439</v>
      </c>
      <c r="O20" s="1">
        <v>1844</v>
      </c>
      <c r="P20" s="1">
        <f t="shared" si="7"/>
        <v>28</v>
      </c>
      <c r="Q20" s="1">
        <f t="shared" si="8"/>
        <v>4.5376002690945398</v>
      </c>
      <c r="R20" s="1">
        <f t="shared" si="9"/>
        <v>6.787008949500381E-2</v>
      </c>
      <c r="S20" s="2">
        <f t="shared" si="10"/>
        <v>0.33326070867009039</v>
      </c>
      <c r="T20" s="2">
        <f t="shared" si="11"/>
        <v>5.8164966338226905E-3</v>
      </c>
      <c r="U20" s="1" t="s">
        <v>2507</v>
      </c>
      <c r="V20" s="6" t="s">
        <v>2505</v>
      </c>
    </row>
    <row r="21" spans="1:22" ht="14.25" customHeight="1" x14ac:dyDescent="0.3">
      <c r="A21" s="1" t="s">
        <v>27</v>
      </c>
      <c r="B21" s="1" t="s">
        <v>59</v>
      </c>
      <c r="C21" s="1" t="s">
        <v>60</v>
      </c>
      <c r="D21" s="1">
        <f t="shared" si="0"/>
        <v>51</v>
      </c>
      <c r="E21" s="1">
        <f t="shared" si="1"/>
        <v>0.8311574074074074</v>
      </c>
      <c r="F21" s="2">
        <f t="shared" si="2"/>
        <v>320.67479762333465</v>
      </c>
      <c r="G21" s="1">
        <v>2080</v>
      </c>
      <c r="H21" s="1">
        <v>3744</v>
      </c>
      <c r="I21" s="1">
        <v>0</v>
      </c>
      <c r="J21" s="1">
        <v>222</v>
      </c>
      <c r="K21" s="1">
        <f t="shared" si="3"/>
        <v>0</v>
      </c>
      <c r="L21" s="1">
        <f t="shared" si="4"/>
        <v>1.9371634615384614</v>
      </c>
      <c r="M21" s="1">
        <f t="shared" si="5"/>
        <v>1.9371634615384614</v>
      </c>
      <c r="N21" s="2">
        <f t="shared" si="6"/>
        <v>8.6724741270195818</v>
      </c>
      <c r="O21" s="1">
        <v>1841</v>
      </c>
      <c r="P21" s="1">
        <f t="shared" si="7"/>
        <v>31</v>
      </c>
      <c r="Q21" s="1">
        <f t="shared" si="8"/>
        <v>3.3725407405432386</v>
      </c>
      <c r="R21" s="1">
        <f t="shared" si="9"/>
        <v>5.584869816070534E-2</v>
      </c>
      <c r="S21" s="2">
        <f t="shared" si="10"/>
        <v>0.36896627378948654</v>
      </c>
      <c r="T21" s="2">
        <f t="shared" si="11"/>
        <v>6.4396763064413958E-3</v>
      </c>
      <c r="U21" s="1" t="s">
        <v>2507</v>
      </c>
      <c r="V21" s="6" t="s">
        <v>2505</v>
      </c>
    </row>
    <row r="22" spans="1:22" ht="14.25" customHeight="1" x14ac:dyDescent="0.3">
      <c r="A22" s="1" t="s">
        <v>27</v>
      </c>
      <c r="B22" s="1" t="s">
        <v>61</v>
      </c>
      <c r="C22" s="1" t="s">
        <v>62</v>
      </c>
      <c r="D22" s="1">
        <f t="shared" si="0"/>
        <v>86</v>
      </c>
      <c r="E22" s="1">
        <f t="shared" si="1"/>
        <v>0.93231481481481471</v>
      </c>
      <c r="F22" s="2">
        <f t="shared" si="2"/>
        <v>541.22187411055472</v>
      </c>
      <c r="G22" s="1">
        <v>2080</v>
      </c>
      <c r="H22" s="1">
        <v>3744</v>
      </c>
      <c r="I22" s="1">
        <v>0</v>
      </c>
      <c r="J22" s="1">
        <v>191</v>
      </c>
      <c r="K22" s="1">
        <f t="shared" si="3"/>
        <v>0</v>
      </c>
      <c r="L22" s="1">
        <f t="shared" si="4"/>
        <v>1.6666586538461536</v>
      </c>
      <c r="M22" s="1">
        <f t="shared" si="5"/>
        <v>1.6666586538461536</v>
      </c>
      <c r="N22" s="2">
        <f t="shared" si="6"/>
        <v>10.080048461771453</v>
      </c>
      <c r="O22" s="1">
        <v>1841</v>
      </c>
      <c r="P22" s="1">
        <f t="shared" si="7"/>
        <v>31</v>
      </c>
      <c r="Q22" s="1">
        <f t="shared" si="8"/>
        <v>3.9199164628303618</v>
      </c>
      <c r="R22" s="1">
        <f t="shared" si="9"/>
        <v>6.4913146553280565E-2</v>
      </c>
      <c r="S22" s="2">
        <f t="shared" si="10"/>
        <v>0.36896627378948654</v>
      </c>
      <c r="T22" s="2">
        <f t="shared" si="11"/>
        <v>6.4396763064413958E-3</v>
      </c>
      <c r="U22" s="1" t="s">
        <v>2507</v>
      </c>
      <c r="V22" s="6" t="s">
        <v>2505</v>
      </c>
    </row>
    <row r="23" spans="1:22" ht="14.25" customHeight="1" x14ac:dyDescent="0.3">
      <c r="A23" s="1" t="s">
        <v>40</v>
      </c>
      <c r="B23" s="1" t="s">
        <v>63</v>
      </c>
      <c r="C23" s="1" t="s">
        <v>64</v>
      </c>
      <c r="D23" s="1">
        <f t="shared" si="0"/>
        <v>29</v>
      </c>
      <c r="E23" s="1">
        <f t="shared" si="1"/>
        <v>6.157407407407408E-2</v>
      </c>
      <c r="F23" s="2">
        <f t="shared" si="2"/>
        <v>177.60928617273339</v>
      </c>
      <c r="G23" s="1">
        <v>2080</v>
      </c>
      <c r="H23" s="1">
        <v>3744</v>
      </c>
      <c r="I23" s="1">
        <v>0</v>
      </c>
      <c r="J23" s="1">
        <v>192</v>
      </c>
      <c r="K23" s="1">
        <f t="shared" si="3"/>
        <v>0</v>
      </c>
      <c r="L23" s="1">
        <f t="shared" si="4"/>
        <v>1.6753846153846153</v>
      </c>
      <c r="M23" s="1">
        <f t="shared" si="5"/>
        <v>1.6753846153846153</v>
      </c>
      <c r="N23" s="2">
        <f t="shared" si="6"/>
        <v>10.027548209366392</v>
      </c>
      <c r="O23" s="1">
        <v>1839</v>
      </c>
      <c r="P23" s="1">
        <f t="shared" si="7"/>
        <v>33</v>
      </c>
      <c r="Q23" s="1">
        <f t="shared" si="8"/>
        <v>3.89950023125312</v>
      </c>
      <c r="R23" s="1">
        <f t="shared" si="9"/>
        <v>6.8741189974013336E-2</v>
      </c>
      <c r="S23" s="2">
        <f t="shared" si="10"/>
        <v>0.39276982636969288</v>
      </c>
      <c r="T23" s="2">
        <f t="shared" si="11"/>
        <v>6.8551266726375876E-3</v>
      </c>
      <c r="U23" s="1" t="s">
        <v>2507</v>
      </c>
      <c r="V23" s="6" t="s">
        <v>2505</v>
      </c>
    </row>
    <row r="24" spans="1:22" ht="14.25" customHeight="1" x14ac:dyDescent="0.3">
      <c r="A24" s="1" t="s">
        <v>65</v>
      </c>
      <c r="B24" s="1" t="s">
        <v>66</v>
      </c>
      <c r="C24" s="1" t="s">
        <v>67</v>
      </c>
      <c r="D24" s="1">
        <f t="shared" si="0"/>
        <v>60</v>
      </c>
      <c r="E24" s="1">
        <f t="shared" si="1"/>
        <v>0.91759259259259263</v>
      </c>
      <c r="F24" s="2">
        <f t="shared" si="2"/>
        <v>377.76655367352976</v>
      </c>
      <c r="G24" s="1">
        <v>2080</v>
      </c>
      <c r="H24" s="1">
        <v>3744</v>
      </c>
      <c r="I24" s="1">
        <v>0</v>
      </c>
      <c r="J24" s="1">
        <v>504</v>
      </c>
      <c r="K24" s="1">
        <f t="shared" si="3"/>
        <v>0</v>
      </c>
      <c r="L24" s="1">
        <f t="shared" si="4"/>
        <v>4.3978846153846147</v>
      </c>
      <c r="M24" s="1">
        <f t="shared" si="5"/>
        <v>4.3978846153846147</v>
      </c>
      <c r="N24" s="2">
        <f t="shared" si="6"/>
        <v>3.8200183654729116</v>
      </c>
      <c r="O24" s="1">
        <v>1837</v>
      </c>
      <c r="P24" s="1">
        <f t="shared" si="7"/>
        <v>35</v>
      </c>
      <c r="Q24" s="1">
        <f t="shared" si="8"/>
        <v>1.4855238976202363</v>
      </c>
      <c r="R24" s="1">
        <f t="shared" si="9"/>
        <v>2.7774218171318518E-2</v>
      </c>
      <c r="S24" s="2">
        <f t="shared" si="10"/>
        <v>0.41657324336519158</v>
      </c>
      <c r="T24" s="2">
        <f t="shared" si="11"/>
        <v>7.2705746724342161E-3</v>
      </c>
      <c r="U24" s="1" t="s">
        <v>2507</v>
      </c>
      <c r="V24" s="6" t="s">
        <v>2505</v>
      </c>
    </row>
    <row r="25" spans="1:22" ht="14.25" customHeight="1" x14ac:dyDescent="0.3">
      <c r="A25" s="1" t="s">
        <v>40</v>
      </c>
      <c r="B25" s="1" t="s">
        <v>68</v>
      </c>
      <c r="C25" s="1" t="s">
        <v>69</v>
      </c>
      <c r="D25" s="1">
        <f t="shared" si="0"/>
        <v>8</v>
      </c>
      <c r="E25" s="1">
        <f t="shared" si="1"/>
        <v>0.90759259259259262</v>
      </c>
      <c r="F25" s="2">
        <f t="shared" si="2"/>
        <v>50.978085847119495</v>
      </c>
      <c r="G25" s="1">
        <v>2080</v>
      </c>
      <c r="H25" s="1">
        <v>3744</v>
      </c>
      <c r="I25" s="1">
        <v>0</v>
      </c>
      <c r="J25" s="1">
        <v>115</v>
      </c>
      <c r="K25" s="1">
        <f t="shared" si="3"/>
        <v>0</v>
      </c>
      <c r="L25" s="1">
        <f t="shared" si="4"/>
        <v>1.0034855769230768</v>
      </c>
      <c r="M25" s="1">
        <f t="shared" si="5"/>
        <v>1.0034855769230768</v>
      </c>
      <c r="N25" s="2">
        <f t="shared" si="6"/>
        <v>16.741645706072585</v>
      </c>
      <c r="O25" s="1">
        <v>1837</v>
      </c>
      <c r="P25" s="1">
        <f t="shared" si="7"/>
        <v>35</v>
      </c>
      <c r="Q25" s="1">
        <f t="shared" si="8"/>
        <v>6.510469951309557</v>
      </c>
      <c r="R25" s="1">
        <f t="shared" si="9"/>
        <v>0.12172353007256116</v>
      </c>
      <c r="S25" s="2">
        <f t="shared" si="10"/>
        <v>0.41657324336519164</v>
      </c>
      <c r="T25" s="2">
        <f t="shared" si="11"/>
        <v>7.2705746724342169E-3</v>
      </c>
      <c r="U25" s="1" t="s">
        <v>2507</v>
      </c>
      <c r="V25" s="6" t="s">
        <v>2505</v>
      </c>
    </row>
    <row r="26" spans="1:22" ht="14.25" customHeight="1" x14ac:dyDescent="0.3">
      <c r="A26" s="1" t="s">
        <v>40</v>
      </c>
      <c r="B26" s="1" t="s">
        <v>70</v>
      </c>
      <c r="C26" s="1" t="s">
        <v>71</v>
      </c>
      <c r="D26" s="1">
        <f t="shared" si="0"/>
        <v>8</v>
      </c>
      <c r="E26" s="1">
        <f t="shared" si="1"/>
        <v>0.99253472222222217</v>
      </c>
      <c r="F26" s="2">
        <f t="shared" si="2"/>
        <v>51.511792987968924</v>
      </c>
      <c r="G26" s="1">
        <v>2080</v>
      </c>
      <c r="H26" s="1">
        <v>3744</v>
      </c>
      <c r="I26" s="1">
        <v>0</v>
      </c>
      <c r="J26" s="1">
        <v>117</v>
      </c>
      <c r="K26" s="1">
        <f t="shared" si="3"/>
        <v>0</v>
      </c>
      <c r="L26" s="1">
        <f t="shared" si="4"/>
        <v>1.0209374999999998</v>
      </c>
      <c r="M26" s="1">
        <f t="shared" si="5"/>
        <v>1.0209374999999998</v>
      </c>
      <c r="N26" s="2">
        <f t="shared" si="6"/>
        <v>16.455463728191003</v>
      </c>
      <c r="O26" s="1">
        <v>1836</v>
      </c>
      <c r="P26" s="1">
        <f t="shared" si="7"/>
        <v>36</v>
      </c>
      <c r="Q26" s="1">
        <f t="shared" si="8"/>
        <v>6.3991798666717861</v>
      </c>
      <c r="R26" s="1">
        <f t="shared" si="9"/>
        <v>0.12306115128214974</v>
      </c>
      <c r="S26" s="2">
        <f t="shared" si="10"/>
        <v>0.42847489845129944</v>
      </c>
      <c r="T26" s="2">
        <f t="shared" si="11"/>
        <v>7.4782977401235276E-3</v>
      </c>
      <c r="U26" s="1" t="s">
        <v>2507</v>
      </c>
      <c r="V26" s="6" t="s">
        <v>2505</v>
      </c>
    </row>
    <row r="27" spans="1:22" ht="14.25" customHeight="1" x14ac:dyDescent="0.3">
      <c r="A27" s="1" t="s">
        <v>40</v>
      </c>
      <c r="B27" s="1" t="s">
        <v>72</v>
      </c>
      <c r="C27" s="1" t="s">
        <v>73</v>
      </c>
      <c r="D27" s="1">
        <f t="shared" si="0"/>
        <v>30</v>
      </c>
      <c r="E27" s="1">
        <f t="shared" si="1"/>
        <v>0.21953703703703706</v>
      </c>
      <c r="F27" s="2">
        <f t="shared" si="2"/>
        <v>184.88498204788041</v>
      </c>
      <c r="G27" s="1">
        <v>2080</v>
      </c>
      <c r="H27" s="1">
        <v>3744</v>
      </c>
      <c r="I27" s="1">
        <v>0</v>
      </c>
      <c r="J27" s="1">
        <v>129</v>
      </c>
      <c r="K27" s="1">
        <f t="shared" si="3"/>
        <v>0</v>
      </c>
      <c r="L27" s="1">
        <f t="shared" si="4"/>
        <v>1.1256490384615385</v>
      </c>
      <c r="M27" s="1">
        <f t="shared" si="5"/>
        <v>1.1256490384615385</v>
      </c>
      <c r="N27" s="2">
        <f t="shared" si="6"/>
        <v>14.924722916266257</v>
      </c>
      <c r="O27" s="1">
        <v>1836</v>
      </c>
      <c r="P27" s="1">
        <f t="shared" si="7"/>
        <v>36</v>
      </c>
      <c r="Q27" s="1">
        <f t="shared" si="8"/>
        <v>5.8039073209348757</v>
      </c>
      <c r="R27" s="1">
        <f t="shared" si="9"/>
        <v>0.11161360232567069</v>
      </c>
      <c r="S27" s="2">
        <f t="shared" si="10"/>
        <v>0.42847489845129944</v>
      </c>
      <c r="T27" s="2">
        <f t="shared" si="11"/>
        <v>7.4782977401235276E-3</v>
      </c>
      <c r="U27" s="1" t="s">
        <v>2507</v>
      </c>
      <c r="V27" s="6" t="s">
        <v>2505</v>
      </c>
    </row>
    <row r="28" spans="1:22" ht="14.25" customHeight="1" x14ac:dyDescent="0.3">
      <c r="A28" s="1" t="s">
        <v>17</v>
      </c>
      <c r="B28" s="1" t="s">
        <v>74</v>
      </c>
      <c r="C28" s="1" t="s">
        <v>75</v>
      </c>
      <c r="D28" s="1">
        <f t="shared" si="0"/>
        <v>32</v>
      </c>
      <c r="E28" s="1">
        <f t="shared" si="1"/>
        <v>0.79121527777777778</v>
      </c>
      <c r="F28" s="2">
        <f t="shared" si="2"/>
        <v>201.04331298489612</v>
      </c>
      <c r="G28" s="1">
        <v>2080</v>
      </c>
      <c r="H28" s="1">
        <v>3744</v>
      </c>
      <c r="I28" s="1">
        <v>0</v>
      </c>
      <c r="J28" s="1">
        <v>272</v>
      </c>
      <c r="K28" s="1">
        <f t="shared" si="3"/>
        <v>0</v>
      </c>
      <c r="L28" s="1">
        <f t="shared" si="4"/>
        <v>2.3734615384615383</v>
      </c>
      <c r="M28" s="1">
        <f t="shared" si="5"/>
        <v>2.3734615384615383</v>
      </c>
      <c r="N28" s="2">
        <f t="shared" si="6"/>
        <v>7.0782693242586303</v>
      </c>
      <c r="O28" s="1">
        <v>1835</v>
      </c>
      <c r="P28" s="1">
        <f t="shared" si="7"/>
        <v>37</v>
      </c>
      <c r="Q28" s="1">
        <f t="shared" si="8"/>
        <v>2.7525883985316142</v>
      </c>
      <c r="R28" s="1">
        <f t="shared" si="9"/>
        <v>5.440479206499451E-2</v>
      </c>
      <c r="S28" s="2">
        <f t="shared" si="10"/>
        <v>0.44037651656041549</v>
      </c>
      <c r="T28" s="2">
        <f t="shared" si="11"/>
        <v>7.6860201624425846E-3</v>
      </c>
      <c r="U28" s="1" t="s">
        <v>2507</v>
      </c>
      <c r="V28" s="6" t="s">
        <v>2505</v>
      </c>
    </row>
    <row r="29" spans="1:22" ht="14.25" customHeight="1" x14ac:dyDescent="0.3">
      <c r="A29" s="1" t="s">
        <v>17</v>
      </c>
      <c r="B29" s="1" t="s">
        <v>76</v>
      </c>
      <c r="C29" s="1" t="s">
        <v>77</v>
      </c>
      <c r="D29" s="1">
        <f t="shared" si="0"/>
        <v>55</v>
      </c>
      <c r="E29" s="1">
        <f t="shared" si="1"/>
        <v>0.19892361111111112</v>
      </c>
      <c r="F29" s="2">
        <f t="shared" si="2"/>
        <v>341.83509675246171</v>
      </c>
      <c r="G29" s="1">
        <v>2080</v>
      </c>
      <c r="H29" s="1">
        <v>3744</v>
      </c>
      <c r="I29" s="1">
        <v>0</v>
      </c>
      <c r="J29" s="1">
        <v>143</v>
      </c>
      <c r="K29" s="1">
        <f t="shared" si="3"/>
        <v>0</v>
      </c>
      <c r="L29" s="1">
        <f t="shared" si="4"/>
        <v>1.2478125</v>
      </c>
      <c r="M29" s="1">
        <f t="shared" si="5"/>
        <v>1.2478125</v>
      </c>
      <c r="N29" s="2">
        <f t="shared" si="6"/>
        <v>13.463561232156275</v>
      </c>
      <c r="O29" s="1">
        <v>1835</v>
      </c>
      <c r="P29" s="1">
        <f t="shared" si="7"/>
        <v>37</v>
      </c>
      <c r="Q29" s="1">
        <f t="shared" si="8"/>
        <v>5.2356926181860075</v>
      </c>
      <c r="R29" s="1">
        <f t="shared" si="9"/>
        <v>0.10348324085089865</v>
      </c>
      <c r="S29" s="2">
        <f t="shared" si="10"/>
        <v>0.44037651656041554</v>
      </c>
      <c r="T29" s="2">
        <f t="shared" si="11"/>
        <v>7.6860201624425854E-3</v>
      </c>
      <c r="U29" s="1" t="s">
        <v>2507</v>
      </c>
      <c r="V29" s="6" t="s">
        <v>2505</v>
      </c>
    </row>
    <row r="30" spans="1:22" ht="14.25" customHeight="1" x14ac:dyDescent="0.3">
      <c r="A30" s="1" t="s">
        <v>40</v>
      </c>
      <c r="B30" s="1" t="s">
        <v>78</v>
      </c>
      <c r="C30" s="1" t="s">
        <v>79</v>
      </c>
      <c r="D30" s="1">
        <f t="shared" si="0"/>
        <v>27</v>
      </c>
      <c r="E30" s="1">
        <f t="shared" si="1"/>
        <v>0.72283564814814805</v>
      </c>
      <c r="F30" s="2">
        <f t="shared" si="2"/>
        <v>169.19774456479891</v>
      </c>
      <c r="G30" s="1">
        <v>2080</v>
      </c>
      <c r="H30" s="1">
        <v>3744</v>
      </c>
      <c r="I30" s="1">
        <v>0</v>
      </c>
      <c r="J30" s="1">
        <v>180</v>
      </c>
      <c r="K30" s="1">
        <f t="shared" si="3"/>
        <v>0</v>
      </c>
      <c r="L30" s="1">
        <f t="shared" si="4"/>
        <v>1.5706730769230768</v>
      </c>
      <c r="M30" s="1">
        <f t="shared" si="5"/>
        <v>1.5706730769230768</v>
      </c>
      <c r="N30" s="2">
        <f t="shared" si="6"/>
        <v>10.696051423324151</v>
      </c>
      <c r="O30" s="1">
        <v>1833</v>
      </c>
      <c r="P30" s="1">
        <f t="shared" si="7"/>
        <v>39</v>
      </c>
      <c r="Q30" s="1">
        <f t="shared" si="8"/>
        <v>4.1594669133366606</v>
      </c>
      <c r="R30" s="1">
        <f t="shared" si="9"/>
        <v>8.6655560694513759E-2</v>
      </c>
      <c r="S30" s="2">
        <f t="shared" si="10"/>
        <v>0.46417963774009524</v>
      </c>
      <c r="T30" s="2">
        <f t="shared" si="11"/>
        <v>8.1014629992791926E-3</v>
      </c>
      <c r="U30" s="1" t="s">
        <v>2507</v>
      </c>
      <c r="V30" s="6" t="s">
        <v>2505</v>
      </c>
    </row>
    <row r="31" spans="1:22" ht="14.25" customHeight="1" x14ac:dyDescent="0.3">
      <c r="A31" s="1" t="s">
        <v>27</v>
      </c>
      <c r="B31" s="1" t="s">
        <v>80</v>
      </c>
      <c r="C31" s="1" t="s">
        <v>81</v>
      </c>
      <c r="D31" s="1">
        <f t="shared" si="0"/>
        <v>50</v>
      </c>
      <c r="E31" s="1">
        <f t="shared" si="1"/>
        <v>0.86844907407407401</v>
      </c>
      <c r="F31" s="2">
        <f t="shared" si="2"/>
        <v>314.62592276823523</v>
      </c>
      <c r="G31" s="1">
        <v>2080</v>
      </c>
      <c r="H31" s="1">
        <v>3744</v>
      </c>
      <c r="I31" s="1">
        <v>0</v>
      </c>
      <c r="J31" s="1">
        <v>193</v>
      </c>
      <c r="K31" s="1">
        <f t="shared" si="3"/>
        <v>0</v>
      </c>
      <c r="L31" s="1">
        <f t="shared" si="4"/>
        <v>1.6841105769230769</v>
      </c>
      <c r="M31" s="1">
        <f t="shared" si="5"/>
        <v>1.6841105769230769</v>
      </c>
      <c r="N31" s="2">
        <f t="shared" si="6"/>
        <v>9.9755920010277066</v>
      </c>
      <c r="O31" s="1">
        <v>1833</v>
      </c>
      <c r="P31" s="1">
        <f t="shared" si="7"/>
        <v>39</v>
      </c>
      <c r="Q31" s="1">
        <f t="shared" si="8"/>
        <v>3.8792955668424822</v>
      </c>
      <c r="R31" s="1">
        <f t="shared" si="9"/>
        <v>8.0818657642551708E-2</v>
      </c>
      <c r="S31" s="2">
        <f t="shared" si="10"/>
        <v>0.46417963774009535</v>
      </c>
      <c r="T31" s="2">
        <f t="shared" si="11"/>
        <v>8.1014629992791944E-3</v>
      </c>
      <c r="U31" s="1" t="s">
        <v>2507</v>
      </c>
      <c r="V31" s="6" t="s">
        <v>2505</v>
      </c>
    </row>
    <row r="32" spans="1:22" ht="14.25" customHeight="1" x14ac:dyDescent="0.3">
      <c r="A32" s="1" t="s">
        <v>82</v>
      </c>
      <c r="B32" s="1" t="s">
        <v>83</v>
      </c>
      <c r="C32" s="1" t="s">
        <v>84</v>
      </c>
      <c r="D32" s="1">
        <f t="shared" si="0"/>
        <v>59</v>
      </c>
      <c r="E32" s="1">
        <f t="shared" si="1"/>
        <v>0.25636574074074076</v>
      </c>
      <c r="F32" s="2">
        <f t="shared" si="2"/>
        <v>367.32875752608203</v>
      </c>
      <c r="G32" s="1">
        <v>2080</v>
      </c>
      <c r="H32" s="1">
        <v>3744</v>
      </c>
      <c r="I32" s="1">
        <v>0</v>
      </c>
      <c r="J32" s="1">
        <v>598</v>
      </c>
      <c r="K32" s="1">
        <f t="shared" si="3"/>
        <v>0</v>
      </c>
      <c r="L32" s="1">
        <f t="shared" si="4"/>
        <v>5.2181249999999997</v>
      </c>
      <c r="M32" s="1">
        <f t="shared" si="5"/>
        <v>5.2181249999999997</v>
      </c>
      <c r="N32" s="2">
        <f t="shared" si="6"/>
        <v>3.2195472511678047</v>
      </c>
      <c r="O32" s="1">
        <v>1830</v>
      </c>
      <c r="P32" s="1">
        <f t="shared" si="7"/>
        <v>42</v>
      </c>
      <c r="Q32" s="1">
        <f t="shared" si="8"/>
        <v>1.2520134521749147</v>
      </c>
      <c r="R32" s="1">
        <f t="shared" si="9"/>
        <v>2.8090045401360265E-2</v>
      </c>
      <c r="S32" s="2">
        <f t="shared" si="10"/>
        <v>0.49988401651034686</v>
      </c>
      <c r="T32" s="2">
        <f t="shared" si="11"/>
        <v>8.7246219661992475E-3</v>
      </c>
      <c r="U32" s="1" t="s">
        <v>2507</v>
      </c>
      <c r="V32" s="6" t="s">
        <v>2505</v>
      </c>
    </row>
    <row r="33" spans="1:22" ht="14.25" customHeight="1" x14ac:dyDescent="0.3">
      <c r="A33" s="1" t="s">
        <v>27</v>
      </c>
      <c r="B33" s="1" t="s">
        <v>85</v>
      </c>
      <c r="C33" s="1" t="s">
        <v>86</v>
      </c>
      <c r="D33" s="1">
        <f t="shared" si="0"/>
        <v>54</v>
      </c>
      <c r="E33" s="1">
        <f t="shared" si="1"/>
        <v>0.1867361111111111</v>
      </c>
      <c r="F33" s="2">
        <f t="shared" si="2"/>
        <v>335.47533512435086</v>
      </c>
      <c r="G33" s="1">
        <v>2080</v>
      </c>
      <c r="H33" s="1">
        <v>3744</v>
      </c>
      <c r="I33" s="1">
        <v>0</v>
      </c>
      <c r="J33" s="1">
        <v>198</v>
      </c>
      <c r="K33" s="1">
        <f t="shared" si="3"/>
        <v>0</v>
      </c>
      <c r="L33" s="1">
        <f t="shared" si="4"/>
        <v>1.7277403846153845</v>
      </c>
      <c r="M33" s="1">
        <f t="shared" si="5"/>
        <v>1.7277403846153845</v>
      </c>
      <c r="N33" s="2">
        <f t="shared" si="6"/>
        <v>9.723683112112866</v>
      </c>
      <c r="O33" s="1">
        <v>1829</v>
      </c>
      <c r="P33" s="1">
        <f t="shared" si="7"/>
        <v>43</v>
      </c>
      <c r="Q33" s="1">
        <f t="shared" si="8"/>
        <v>3.7813335575787832</v>
      </c>
      <c r="R33" s="1">
        <f t="shared" si="9"/>
        <v>8.685755500848702E-2</v>
      </c>
      <c r="S33" s="2">
        <f t="shared" si="10"/>
        <v>0.5117853911933361</v>
      </c>
      <c r="T33" s="2">
        <f t="shared" si="11"/>
        <v>8.9323401399309058E-3</v>
      </c>
      <c r="U33" s="1" t="s">
        <v>2507</v>
      </c>
      <c r="V33" s="6" t="s">
        <v>2505</v>
      </c>
    </row>
    <row r="34" spans="1:22" ht="14.25" customHeight="1" x14ac:dyDescent="0.3">
      <c r="A34" s="1" t="s">
        <v>17</v>
      </c>
      <c r="B34" s="1" t="s">
        <v>87</v>
      </c>
      <c r="C34" s="1" t="s">
        <v>88</v>
      </c>
      <c r="D34" s="1">
        <f t="shared" si="0"/>
        <v>36</v>
      </c>
      <c r="E34" s="1">
        <f t="shared" si="1"/>
        <v>0.98592592592592598</v>
      </c>
      <c r="F34" s="2">
        <f t="shared" si="2"/>
        <v>227.39945729721029</v>
      </c>
      <c r="G34" s="1">
        <v>2080</v>
      </c>
      <c r="H34" s="1">
        <v>3744</v>
      </c>
      <c r="I34" s="1">
        <v>0</v>
      </c>
      <c r="J34" s="1">
        <v>202</v>
      </c>
      <c r="K34" s="1">
        <f t="shared" si="3"/>
        <v>0</v>
      </c>
      <c r="L34" s="1">
        <f t="shared" si="4"/>
        <v>1.7626442307692307</v>
      </c>
      <c r="M34" s="1">
        <f t="shared" si="5"/>
        <v>1.7626442307692307</v>
      </c>
      <c r="N34" s="2">
        <f t="shared" ref="N34:N65" si="12">42*0.4/M34</f>
        <v>9.5311349316749858</v>
      </c>
      <c r="O34" s="1">
        <v>1825</v>
      </c>
      <c r="P34" s="1">
        <f t="shared" si="7"/>
        <v>47</v>
      </c>
      <c r="Q34" s="1">
        <f t="shared" si="8"/>
        <v>3.7064556653494996</v>
      </c>
      <c r="R34" s="1">
        <f t="shared" si="9"/>
        <v>9.305738048687312E-2</v>
      </c>
      <c r="S34" s="2">
        <f t="shared" si="10"/>
        <v>0.5593904380093615</v>
      </c>
      <c r="T34" s="2">
        <f t="shared" si="11"/>
        <v>9.763204947436592E-3</v>
      </c>
      <c r="U34" s="1" t="s">
        <v>2507</v>
      </c>
      <c r="V34" s="6" t="s">
        <v>2505</v>
      </c>
    </row>
    <row r="35" spans="1:22" ht="14.25" customHeight="1" x14ac:dyDescent="0.3">
      <c r="A35" s="1" t="s">
        <v>65</v>
      </c>
      <c r="B35" s="1" t="s">
        <v>89</v>
      </c>
      <c r="C35" s="1" t="s">
        <v>90</v>
      </c>
      <c r="D35" s="1">
        <f t="shared" si="0"/>
        <v>16</v>
      </c>
      <c r="E35" s="1">
        <f t="shared" si="1"/>
        <v>0.27656249999999999</v>
      </c>
      <c r="F35" s="2">
        <f t="shared" si="2"/>
        <v>97.278689298390248</v>
      </c>
      <c r="G35" s="1">
        <v>2080</v>
      </c>
      <c r="H35" s="1">
        <v>3744</v>
      </c>
      <c r="I35" s="1">
        <v>0</v>
      </c>
      <c r="J35" s="1">
        <v>369</v>
      </c>
      <c r="K35" s="1">
        <f t="shared" si="3"/>
        <v>0</v>
      </c>
      <c r="L35" s="1">
        <f t="shared" si="4"/>
        <v>3.2198798076923074</v>
      </c>
      <c r="M35" s="1">
        <f t="shared" si="5"/>
        <v>3.2198798076923074</v>
      </c>
      <c r="N35" s="2">
        <f t="shared" si="12"/>
        <v>5.2175860601581228</v>
      </c>
      <c r="O35" s="1">
        <v>1824</v>
      </c>
      <c r="P35" s="1">
        <f t="shared" si="7"/>
        <v>48</v>
      </c>
      <c r="Q35" s="1">
        <f t="shared" si="8"/>
        <v>2.0290082504081273</v>
      </c>
      <c r="R35" s="1">
        <f t="shared" si="9"/>
        <v>5.2025852574567363E-2</v>
      </c>
      <c r="S35" s="2">
        <f t="shared" si="10"/>
        <v>0.57129158160081117</v>
      </c>
      <c r="T35" s="2">
        <f t="shared" si="11"/>
        <v>9.9709190878600126E-3</v>
      </c>
      <c r="U35" s="1" t="s">
        <v>2507</v>
      </c>
      <c r="V35" s="6" t="s">
        <v>2505</v>
      </c>
    </row>
    <row r="36" spans="1:22" ht="14.25" customHeight="1" x14ac:dyDescent="0.3">
      <c r="A36" s="1" t="s">
        <v>27</v>
      </c>
      <c r="B36" s="1" t="s">
        <v>91</v>
      </c>
      <c r="C36" s="1" t="s">
        <v>92</v>
      </c>
      <c r="D36" s="1">
        <f t="shared" si="0"/>
        <v>71</v>
      </c>
      <c r="E36" s="1">
        <f t="shared" si="1"/>
        <v>0.75177083333333339</v>
      </c>
      <c r="F36" s="2">
        <f t="shared" si="2"/>
        <v>445.83970321111684</v>
      </c>
      <c r="G36" s="1">
        <v>2080</v>
      </c>
      <c r="H36" s="1">
        <v>3744</v>
      </c>
      <c r="I36" s="1">
        <v>0</v>
      </c>
      <c r="J36" s="1">
        <v>277</v>
      </c>
      <c r="K36" s="1">
        <f t="shared" si="3"/>
        <v>0</v>
      </c>
      <c r="L36" s="1">
        <f t="shared" si="4"/>
        <v>2.4170913461538457</v>
      </c>
      <c r="M36" s="1">
        <f t="shared" si="5"/>
        <v>2.4170913461538457</v>
      </c>
      <c r="N36" s="2">
        <f t="shared" si="12"/>
        <v>6.9505027299579334</v>
      </c>
      <c r="O36" s="1">
        <v>1824</v>
      </c>
      <c r="P36" s="1">
        <f t="shared" si="7"/>
        <v>48</v>
      </c>
      <c r="Q36" s="1">
        <f t="shared" si="8"/>
        <v>2.7029026873667839</v>
      </c>
      <c r="R36" s="1">
        <f t="shared" si="9"/>
        <v>6.9305197111968808E-2</v>
      </c>
      <c r="S36" s="2">
        <f t="shared" si="10"/>
        <v>0.57129158160081117</v>
      </c>
      <c r="T36" s="2">
        <f t="shared" si="11"/>
        <v>9.9709190878600126E-3</v>
      </c>
      <c r="U36" s="1" t="s">
        <v>2507</v>
      </c>
      <c r="V36" s="6" t="s">
        <v>2505</v>
      </c>
    </row>
    <row r="37" spans="1:22" ht="14.25" customHeight="1" x14ac:dyDescent="0.3">
      <c r="A37" s="1" t="s">
        <v>20</v>
      </c>
      <c r="B37" s="1" t="s">
        <v>93</v>
      </c>
      <c r="C37" s="1" t="s">
        <v>94</v>
      </c>
      <c r="D37" s="1">
        <f t="shared" si="0"/>
        <v>81</v>
      </c>
      <c r="E37" s="1">
        <f t="shared" si="1"/>
        <v>0.14230324074074074</v>
      </c>
      <c r="F37" s="2">
        <f t="shared" si="2"/>
        <v>504.84215845993276</v>
      </c>
      <c r="G37" s="1">
        <v>2080</v>
      </c>
      <c r="H37" s="1">
        <v>3744</v>
      </c>
      <c r="I37" s="1">
        <v>0</v>
      </c>
      <c r="J37" s="1">
        <v>264</v>
      </c>
      <c r="K37" s="1">
        <f t="shared" si="3"/>
        <v>0</v>
      </c>
      <c r="L37" s="1">
        <f t="shared" si="4"/>
        <v>2.3036538461538458</v>
      </c>
      <c r="M37" s="1">
        <f t="shared" si="5"/>
        <v>2.3036538461538458</v>
      </c>
      <c r="N37" s="2">
        <f t="shared" si="12"/>
        <v>7.2927623340846495</v>
      </c>
      <c r="O37" s="1">
        <v>1822</v>
      </c>
      <c r="P37" s="1">
        <f t="shared" si="7"/>
        <v>50</v>
      </c>
      <c r="Q37" s="1">
        <f t="shared" si="8"/>
        <v>2.8360001681840874</v>
      </c>
      <c r="R37" s="1">
        <f t="shared" si="9"/>
        <v>7.574786773995959E-2</v>
      </c>
      <c r="S37" s="2">
        <f t="shared" si="10"/>
        <v>0.59509371986198178</v>
      </c>
      <c r="T37" s="2">
        <f t="shared" si="11"/>
        <v>1.0386344769532358E-2</v>
      </c>
      <c r="U37" s="1" t="s">
        <v>2507</v>
      </c>
      <c r="V37" s="6" t="s">
        <v>2505</v>
      </c>
    </row>
    <row r="38" spans="1:22" ht="14.25" customHeight="1" x14ac:dyDescent="0.3">
      <c r="A38" s="1" t="s">
        <v>40</v>
      </c>
      <c r="B38" s="1" t="s">
        <v>95</v>
      </c>
      <c r="C38" s="1" t="s">
        <v>96</v>
      </c>
      <c r="D38" s="1">
        <f t="shared" si="0"/>
        <v>93</v>
      </c>
      <c r="E38" s="1">
        <f t="shared" si="1"/>
        <v>0.1711574074074074</v>
      </c>
      <c r="F38" s="2">
        <f t="shared" si="2"/>
        <v>580.42167822213867</v>
      </c>
      <c r="G38" s="1">
        <v>2080</v>
      </c>
      <c r="H38" s="1">
        <v>3744</v>
      </c>
      <c r="I38" s="1">
        <v>0</v>
      </c>
      <c r="J38" s="1">
        <v>222</v>
      </c>
      <c r="K38" s="1">
        <f t="shared" si="3"/>
        <v>0</v>
      </c>
      <c r="L38" s="1">
        <f t="shared" si="4"/>
        <v>1.9371634615384614</v>
      </c>
      <c r="M38" s="1">
        <f t="shared" si="5"/>
        <v>1.9371634615384614</v>
      </c>
      <c r="N38" s="2">
        <f t="shared" si="12"/>
        <v>8.6724741270195818</v>
      </c>
      <c r="O38" s="1">
        <v>1822</v>
      </c>
      <c r="P38" s="1">
        <f t="shared" si="7"/>
        <v>50</v>
      </c>
      <c r="Q38" s="1">
        <f t="shared" si="8"/>
        <v>3.3725407405432386</v>
      </c>
      <c r="R38" s="1">
        <f t="shared" si="9"/>
        <v>9.0078545420492484E-2</v>
      </c>
      <c r="S38" s="2">
        <f t="shared" si="10"/>
        <v>0.59509371986198178</v>
      </c>
      <c r="T38" s="2">
        <f t="shared" si="11"/>
        <v>1.0386344769532358E-2</v>
      </c>
      <c r="U38" s="1" t="s">
        <v>2507</v>
      </c>
      <c r="V38" s="6" t="s">
        <v>2505</v>
      </c>
    </row>
    <row r="39" spans="1:22" ht="14.25" customHeight="1" x14ac:dyDescent="0.3">
      <c r="A39" s="1" t="s">
        <v>40</v>
      </c>
      <c r="B39" s="1" t="s">
        <v>97</v>
      </c>
      <c r="C39" s="1" t="s">
        <v>98</v>
      </c>
      <c r="D39" s="1">
        <f t="shared" si="0"/>
        <v>28</v>
      </c>
      <c r="E39" s="1">
        <f t="shared" si="1"/>
        <v>0.23215277777777776</v>
      </c>
      <c r="F39" s="2">
        <f t="shared" si="2"/>
        <v>172.39787847038266</v>
      </c>
      <c r="G39" s="1">
        <v>2080</v>
      </c>
      <c r="H39" s="1">
        <v>3744</v>
      </c>
      <c r="I39" s="1">
        <v>0</v>
      </c>
      <c r="J39" s="1">
        <v>177</v>
      </c>
      <c r="K39" s="1">
        <f t="shared" si="3"/>
        <v>0</v>
      </c>
      <c r="L39" s="1">
        <f t="shared" si="4"/>
        <v>1.5444951923076922</v>
      </c>
      <c r="M39" s="1">
        <f t="shared" si="5"/>
        <v>1.5444951923076922</v>
      </c>
      <c r="N39" s="2">
        <f t="shared" si="12"/>
        <v>10.877340430499137</v>
      </c>
      <c r="O39" s="1">
        <v>1821</v>
      </c>
      <c r="P39" s="1">
        <f t="shared" si="7"/>
        <v>51</v>
      </c>
      <c r="Q39" s="1">
        <f t="shared" si="8"/>
        <v>4.2299663525457571</v>
      </c>
      <c r="R39" s="1">
        <f t="shared" si="9"/>
        <v>0.1152394679379453</v>
      </c>
      <c r="S39" s="2">
        <f t="shared" si="10"/>
        <v>0.60699471247847259</v>
      </c>
      <c r="T39" s="2">
        <f t="shared" si="11"/>
        <v>1.0594056274945658E-2</v>
      </c>
      <c r="U39" s="1" t="s">
        <v>2507</v>
      </c>
      <c r="V39" s="6" t="s">
        <v>2505</v>
      </c>
    </row>
    <row r="40" spans="1:22" ht="14.25" customHeight="1" x14ac:dyDescent="0.3">
      <c r="A40" s="1" t="s">
        <v>27</v>
      </c>
      <c r="B40" s="1" t="s">
        <v>99</v>
      </c>
      <c r="C40" s="1" t="s">
        <v>100</v>
      </c>
      <c r="D40" s="1">
        <f t="shared" si="0"/>
        <v>39</v>
      </c>
      <c r="E40" s="1">
        <f t="shared" si="1"/>
        <v>0.77920138888888879</v>
      </c>
      <c r="F40" s="2">
        <f t="shared" si="2"/>
        <v>244.95012464500442</v>
      </c>
      <c r="G40" s="1">
        <v>2080</v>
      </c>
      <c r="H40" s="1">
        <v>3744</v>
      </c>
      <c r="I40" s="1">
        <v>0</v>
      </c>
      <c r="J40" s="1">
        <v>220</v>
      </c>
      <c r="K40" s="1">
        <f t="shared" si="3"/>
        <v>0</v>
      </c>
      <c r="L40" s="1">
        <f t="shared" si="4"/>
        <v>1.9197115384615382</v>
      </c>
      <c r="M40" s="1">
        <f t="shared" si="5"/>
        <v>1.9197115384615382</v>
      </c>
      <c r="N40" s="2">
        <f t="shared" si="12"/>
        <v>8.7513148009015786</v>
      </c>
      <c r="O40" s="1">
        <v>1821</v>
      </c>
      <c r="P40" s="1">
        <f t="shared" si="7"/>
        <v>51</v>
      </c>
      <c r="Q40" s="1">
        <f t="shared" si="8"/>
        <v>3.4032002018209044</v>
      </c>
      <c r="R40" s="1">
        <f t="shared" si="9"/>
        <v>9.2715390113710536E-2</v>
      </c>
      <c r="S40" s="2">
        <f t="shared" si="10"/>
        <v>0.60699471247847259</v>
      </c>
      <c r="T40" s="2">
        <f t="shared" si="11"/>
        <v>1.0594056274945658E-2</v>
      </c>
      <c r="U40" s="1" t="s">
        <v>2507</v>
      </c>
      <c r="V40" s="6" t="s">
        <v>2505</v>
      </c>
    </row>
    <row r="41" spans="1:22" ht="14.25" customHeight="1" x14ac:dyDescent="0.3">
      <c r="A41" s="1" t="s">
        <v>14</v>
      </c>
      <c r="B41" s="1" t="s">
        <v>101</v>
      </c>
      <c r="C41" s="1" t="s">
        <v>102</v>
      </c>
      <c r="D41" s="1">
        <f t="shared" si="0"/>
        <v>74</v>
      </c>
      <c r="E41" s="1">
        <f t="shared" si="1"/>
        <v>0.3546643518518518</v>
      </c>
      <c r="F41" s="2">
        <f t="shared" si="2"/>
        <v>462.1941655228253</v>
      </c>
      <c r="G41" s="1">
        <v>2080</v>
      </c>
      <c r="H41" s="1">
        <v>3744</v>
      </c>
      <c r="I41" s="1">
        <v>0</v>
      </c>
      <c r="J41" s="1">
        <v>456</v>
      </c>
      <c r="K41" s="1">
        <f t="shared" si="3"/>
        <v>0</v>
      </c>
      <c r="L41" s="1">
        <f t="shared" si="4"/>
        <v>3.9790384615384613</v>
      </c>
      <c r="M41" s="1">
        <f t="shared" si="5"/>
        <v>3.9790384615384613</v>
      </c>
      <c r="N41" s="2">
        <f t="shared" si="12"/>
        <v>4.2221255618384808</v>
      </c>
      <c r="O41" s="1">
        <v>1818</v>
      </c>
      <c r="P41" s="1">
        <f t="shared" si="7"/>
        <v>54</v>
      </c>
      <c r="Q41" s="1">
        <f t="shared" si="8"/>
        <v>1.6418948342118398</v>
      </c>
      <c r="R41" s="1">
        <f t="shared" si="9"/>
        <v>4.7362350986879999E-2</v>
      </c>
      <c r="S41" s="2">
        <f t="shared" si="10"/>
        <v>0.64269737195274534</v>
      </c>
      <c r="T41" s="2">
        <f t="shared" si="11"/>
        <v>1.1217185234490064E-2</v>
      </c>
      <c r="U41" s="1" t="s">
        <v>2507</v>
      </c>
      <c r="V41" s="6" t="s">
        <v>2505</v>
      </c>
    </row>
    <row r="42" spans="1:22" ht="14.25" customHeight="1" x14ac:dyDescent="0.3">
      <c r="A42" s="1" t="s">
        <v>40</v>
      </c>
      <c r="B42" s="1" t="s">
        <v>103</v>
      </c>
      <c r="C42" s="1" t="s">
        <v>104</v>
      </c>
      <c r="D42" s="1">
        <f t="shared" si="0"/>
        <v>92</v>
      </c>
      <c r="E42" s="1">
        <f t="shared" si="1"/>
        <v>0.28672453703703704</v>
      </c>
      <c r="F42" s="2">
        <f t="shared" si="2"/>
        <v>574.86462260584085</v>
      </c>
      <c r="G42" s="1">
        <v>2080</v>
      </c>
      <c r="H42" s="1">
        <v>3744</v>
      </c>
      <c r="I42" s="1">
        <v>0</v>
      </c>
      <c r="J42" s="1">
        <v>141</v>
      </c>
      <c r="K42" s="1">
        <f t="shared" si="3"/>
        <v>0</v>
      </c>
      <c r="L42" s="1">
        <f t="shared" si="4"/>
        <v>1.2303605769230768</v>
      </c>
      <c r="M42" s="1">
        <f t="shared" si="5"/>
        <v>1.2303605769230768</v>
      </c>
      <c r="N42" s="2">
        <f t="shared" si="12"/>
        <v>13.654533731903173</v>
      </c>
      <c r="O42" s="1">
        <v>1817</v>
      </c>
      <c r="P42" s="1">
        <f t="shared" si="7"/>
        <v>55</v>
      </c>
      <c r="Q42" s="1">
        <f t="shared" si="8"/>
        <v>5.309957761706376</v>
      </c>
      <c r="R42" s="1">
        <f t="shared" si="9"/>
        <v>0.15600837440910828</v>
      </c>
      <c r="S42" s="2">
        <f t="shared" si="10"/>
        <v>0.65459814889736789</v>
      </c>
      <c r="T42" s="2">
        <f t="shared" si="11"/>
        <v>1.1424892975719159E-2</v>
      </c>
      <c r="U42" s="1" t="s">
        <v>2507</v>
      </c>
      <c r="V42" s="6" t="s">
        <v>2505</v>
      </c>
    </row>
    <row r="43" spans="1:22" ht="14.25" customHeight="1" x14ac:dyDescent="0.3">
      <c r="A43" s="1" t="s">
        <v>17</v>
      </c>
      <c r="B43" s="1" t="s">
        <v>105</v>
      </c>
      <c r="C43" s="1" t="s">
        <v>106</v>
      </c>
      <c r="D43" s="1">
        <f t="shared" si="0"/>
        <v>10</v>
      </c>
      <c r="E43" s="1">
        <f t="shared" si="1"/>
        <v>0.25366898148148148</v>
      </c>
      <c r="F43" s="2">
        <f t="shared" si="2"/>
        <v>59.435733236127511</v>
      </c>
      <c r="G43" s="1">
        <v>2080</v>
      </c>
      <c r="H43" s="1">
        <v>3744</v>
      </c>
      <c r="I43" s="1">
        <v>0</v>
      </c>
      <c r="J43" s="1">
        <v>145</v>
      </c>
      <c r="K43" s="1">
        <f t="shared" si="3"/>
        <v>0</v>
      </c>
      <c r="L43" s="1">
        <f t="shared" si="4"/>
        <v>1.265264423076923</v>
      </c>
      <c r="M43" s="1">
        <f t="shared" si="5"/>
        <v>1.265264423076923</v>
      </c>
      <c r="N43" s="2">
        <f t="shared" si="12"/>
        <v>13.277856939298948</v>
      </c>
      <c r="O43" s="1">
        <v>1816</v>
      </c>
      <c r="P43" s="1">
        <f t="shared" si="7"/>
        <v>56</v>
      </c>
      <c r="Q43" s="1">
        <f t="shared" si="8"/>
        <v>5.1634761682799937</v>
      </c>
      <c r="R43" s="1">
        <f t="shared" si="9"/>
        <v>0.15446296229897419</v>
      </c>
      <c r="S43" s="2">
        <f t="shared" si="10"/>
        <v>0.66649886935779312</v>
      </c>
      <c r="T43" s="2">
        <f t="shared" si="11"/>
        <v>1.1632599731113035E-2</v>
      </c>
      <c r="U43" s="1" t="s">
        <v>2507</v>
      </c>
      <c r="V43" s="6" t="s">
        <v>2505</v>
      </c>
    </row>
    <row r="44" spans="1:22" ht="14.25" customHeight="1" x14ac:dyDescent="0.3">
      <c r="A44" s="1" t="s">
        <v>27</v>
      </c>
      <c r="B44" s="1" t="s">
        <v>107</v>
      </c>
      <c r="C44" s="1" t="s">
        <v>108</v>
      </c>
      <c r="D44" s="1">
        <f t="shared" si="0"/>
        <v>30</v>
      </c>
      <c r="E44" s="1">
        <f t="shared" si="1"/>
        <v>0.91516203703703702</v>
      </c>
      <c r="F44" s="2">
        <f t="shared" si="2"/>
        <v>189.25572282718721</v>
      </c>
      <c r="G44" s="1">
        <v>2080</v>
      </c>
      <c r="H44" s="1">
        <v>3744</v>
      </c>
      <c r="I44" s="1">
        <v>0</v>
      </c>
      <c r="J44" s="1">
        <v>194</v>
      </c>
      <c r="K44" s="1">
        <f t="shared" si="3"/>
        <v>0</v>
      </c>
      <c r="L44" s="1">
        <f t="shared" si="4"/>
        <v>1.6928365384615385</v>
      </c>
      <c r="M44" s="1">
        <f t="shared" si="5"/>
        <v>1.6928365384615385</v>
      </c>
      <c r="N44" s="2">
        <f t="shared" si="12"/>
        <v>9.9241714237028198</v>
      </c>
      <c r="O44" s="1">
        <v>1816</v>
      </c>
      <c r="P44" s="1">
        <f t="shared" si="7"/>
        <v>56</v>
      </c>
      <c r="Q44" s="1">
        <f t="shared" si="8"/>
        <v>3.8592991979412314</v>
      </c>
      <c r="R44" s="1">
        <f t="shared" si="9"/>
        <v>0.11544912130593428</v>
      </c>
      <c r="S44" s="2">
        <f t="shared" si="10"/>
        <v>0.66649886935779312</v>
      </c>
      <c r="T44" s="2">
        <f t="shared" si="11"/>
        <v>1.1632599731113035E-2</v>
      </c>
      <c r="U44" s="1" t="s">
        <v>2507</v>
      </c>
      <c r="V44" s="6" t="s">
        <v>2505</v>
      </c>
    </row>
    <row r="45" spans="1:22" ht="14.25" customHeight="1" x14ac:dyDescent="0.3">
      <c r="A45" s="1" t="s">
        <v>40</v>
      </c>
      <c r="B45" s="1" t="s">
        <v>109</v>
      </c>
      <c r="C45" s="1" t="s">
        <v>110</v>
      </c>
      <c r="D45" s="1">
        <f t="shared" si="0"/>
        <v>6</v>
      </c>
      <c r="E45" s="1">
        <f t="shared" si="1"/>
        <v>0.23217592592592592</v>
      </c>
      <c r="F45" s="2">
        <f t="shared" si="2"/>
        <v>34.167947156536108</v>
      </c>
      <c r="G45" s="1">
        <v>2080</v>
      </c>
      <c r="H45" s="1">
        <v>3744</v>
      </c>
      <c r="I45" s="1">
        <v>0</v>
      </c>
      <c r="J45" s="1">
        <v>121</v>
      </c>
      <c r="K45" s="1">
        <f t="shared" si="3"/>
        <v>0</v>
      </c>
      <c r="L45" s="1">
        <f t="shared" si="4"/>
        <v>1.0558413461538461</v>
      </c>
      <c r="M45" s="1">
        <f t="shared" si="5"/>
        <v>1.0558413461538461</v>
      </c>
      <c r="N45" s="2">
        <f t="shared" si="12"/>
        <v>15.911481456184688</v>
      </c>
      <c r="O45" s="1">
        <v>1815</v>
      </c>
      <c r="P45" s="1">
        <f t="shared" si="7"/>
        <v>57</v>
      </c>
      <c r="Q45" s="1">
        <f t="shared" si="8"/>
        <v>6.1876367305834625</v>
      </c>
      <c r="R45" s="1">
        <f t="shared" si="9"/>
        <v>0.18840560557866312</v>
      </c>
      <c r="S45" s="2">
        <f t="shared" si="10"/>
        <v>0.67839953230758587</v>
      </c>
      <c r="T45" s="2">
        <f t="shared" si="11"/>
        <v>1.1840305482757019E-2</v>
      </c>
      <c r="U45" s="1" t="s">
        <v>2507</v>
      </c>
      <c r="V45" s="6" t="s">
        <v>2505</v>
      </c>
    </row>
    <row r="46" spans="1:22" ht="14.25" customHeight="1" x14ac:dyDescent="0.3">
      <c r="A46" s="1" t="s">
        <v>40</v>
      </c>
      <c r="B46" s="1" t="s">
        <v>111</v>
      </c>
      <c r="C46" s="1" t="s">
        <v>112</v>
      </c>
      <c r="D46" s="1">
        <f t="shared" si="0"/>
        <v>8</v>
      </c>
      <c r="E46" s="1">
        <f t="shared" si="1"/>
        <v>0.99255787037037047</v>
      </c>
      <c r="F46" s="2">
        <f t="shared" si="2"/>
        <v>51.511938432073265</v>
      </c>
      <c r="G46" s="1">
        <v>2080</v>
      </c>
      <c r="H46" s="1">
        <v>3744</v>
      </c>
      <c r="I46" s="1">
        <v>0</v>
      </c>
      <c r="J46" s="1">
        <v>130</v>
      </c>
      <c r="K46" s="1">
        <f t="shared" si="3"/>
        <v>0</v>
      </c>
      <c r="L46" s="1">
        <f t="shared" si="4"/>
        <v>1.1343749999999999</v>
      </c>
      <c r="M46" s="1">
        <f t="shared" si="5"/>
        <v>1.1343749999999999</v>
      </c>
      <c r="N46" s="2">
        <f t="shared" si="12"/>
        <v>14.809917355371903</v>
      </c>
      <c r="O46" s="1">
        <v>1815</v>
      </c>
      <c r="P46" s="1">
        <f t="shared" si="7"/>
        <v>57</v>
      </c>
      <c r="Q46" s="1">
        <f t="shared" si="8"/>
        <v>5.7592618800046083</v>
      </c>
      <c r="R46" s="1">
        <f t="shared" si="9"/>
        <v>0.1753621405770634</v>
      </c>
      <c r="S46" s="2">
        <f t="shared" si="10"/>
        <v>0.67839953230758598</v>
      </c>
      <c r="T46" s="2">
        <f t="shared" si="11"/>
        <v>1.1840305482757021E-2</v>
      </c>
      <c r="U46" s="1" t="s">
        <v>2507</v>
      </c>
      <c r="V46" s="6" t="s">
        <v>2505</v>
      </c>
    </row>
    <row r="47" spans="1:22" ht="14.25" customHeight="1" x14ac:dyDescent="0.3">
      <c r="A47" s="1" t="s">
        <v>27</v>
      </c>
      <c r="B47" s="1" t="s">
        <v>113</v>
      </c>
      <c r="C47" s="1" t="s">
        <v>114</v>
      </c>
      <c r="D47" s="1">
        <f t="shared" si="0"/>
        <v>34</v>
      </c>
      <c r="E47" s="1">
        <f t="shared" si="1"/>
        <v>0.10136574074074074</v>
      </c>
      <c r="F47" s="2">
        <f t="shared" si="2"/>
        <v>209.27523112397952</v>
      </c>
      <c r="G47" s="1">
        <v>2080</v>
      </c>
      <c r="H47" s="1">
        <v>3744</v>
      </c>
      <c r="I47" s="1">
        <v>0</v>
      </c>
      <c r="J47" s="1">
        <v>194</v>
      </c>
      <c r="K47" s="1">
        <f t="shared" si="3"/>
        <v>0</v>
      </c>
      <c r="L47" s="1">
        <f t="shared" si="4"/>
        <v>1.6928365384615385</v>
      </c>
      <c r="M47" s="1">
        <f t="shared" si="5"/>
        <v>1.6928365384615385</v>
      </c>
      <c r="N47" s="2">
        <f t="shared" si="12"/>
        <v>9.9241714237028198</v>
      </c>
      <c r="O47" s="1">
        <v>1812</v>
      </c>
      <c r="P47" s="1">
        <f t="shared" si="7"/>
        <v>60</v>
      </c>
      <c r="Q47" s="1">
        <f t="shared" si="8"/>
        <v>3.8592991979412314</v>
      </c>
      <c r="R47" s="1">
        <f t="shared" si="9"/>
        <v>0.12369548711350099</v>
      </c>
      <c r="S47" s="2">
        <f t="shared" si="10"/>
        <v>0.71410116582927696</v>
      </c>
      <c r="T47" s="2">
        <f t="shared" si="11"/>
        <v>1.2463416536050907E-2</v>
      </c>
      <c r="U47" s="1" t="s">
        <v>2507</v>
      </c>
      <c r="V47" s="6" t="s">
        <v>2505</v>
      </c>
    </row>
    <row r="48" spans="1:22" ht="14.25" customHeight="1" x14ac:dyDescent="0.3">
      <c r="A48" s="1" t="s">
        <v>27</v>
      </c>
      <c r="B48" s="1" t="s">
        <v>115</v>
      </c>
      <c r="C48" s="1" t="s">
        <v>116</v>
      </c>
      <c r="D48" s="1">
        <f t="shared" si="0"/>
        <v>25</v>
      </c>
      <c r="E48" s="1">
        <f t="shared" si="1"/>
        <v>0.16060185185185186</v>
      </c>
      <c r="F48" s="2">
        <f t="shared" si="2"/>
        <v>153.09875482235103</v>
      </c>
      <c r="G48" s="1">
        <v>2080</v>
      </c>
      <c r="H48" s="1">
        <v>3744</v>
      </c>
      <c r="I48" s="1">
        <v>0</v>
      </c>
      <c r="J48" s="1">
        <v>252</v>
      </c>
      <c r="K48" s="1">
        <f t="shared" si="3"/>
        <v>0</v>
      </c>
      <c r="L48" s="1">
        <f t="shared" si="4"/>
        <v>2.1989423076923074</v>
      </c>
      <c r="M48" s="1">
        <f t="shared" si="5"/>
        <v>2.1989423076923074</v>
      </c>
      <c r="N48" s="2">
        <f t="shared" si="12"/>
        <v>7.6400367309458233</v>
      </c>
      <c r="O48" s="1">
        <v>1812</v>
      </c>
      <c r="P48" s="1">
        <f t="shared" si="7"/>
        <v>60</v>
      </c>
      <c r="Q48" s="1">
        <f t="shared" si="8"/>
        <v>2.9710477952404726</v>
      </c>
      <c r="R48" s="1">
        <f t="shared" si="9"/>
        <v>9.5225890873092064E-2</v>
      </c>
      <c r="S48" s="2">
        <f t="shared" si="10"/>
        <v>0.71410116582927707</v>
      </c>
      <c r="T48" s="2">
        <f t="shared" si="11"/>
        <v>1.2463416536050908E-2</v>
      </c>
      <c r="U48" s="1" t="s">
        <v>2507</v>
      </c>
      <c r="V48" s="6" t="s">
        <v>2505</v>
      </c>
    </row>
    <row r="49" spans="1:24" ht="14.25" customHeight="1" x14ac:dyDescent="0.3">
      <c r="A49" s="1" t="s">
        <v>40</v>
      </c>
      <c r="B49" s="1" t="s">
        <v>117</v>
      </c>
      <c r="C49" s="1" t="s">
        <v>118</v>
      </c>
      <c r="D49" s="1">
        <f t="shared" si="0"/>
        <v>36</v>
      </c>
      <c r="E49" s="1">
        <f t="shared" si="1"/>
        <v>1.2743055555555556E-2</v>
      </c>
      <c r="F49" s="2">
        <f t="shared" si="2"/>
        <v>221.28476898490032</v>
      </c>
      <c r="G49" s="1">
        <v>2080</v>
      </c>
      <c r="H49" s="1">
        <v>3744</v>
      </c>
      <c r="I49" s="1">
        <v>0</v>
      </c>
      <c r="J49" s="1">
        <v>92</v>
      </c>
      <c r="K49" s="1">
        <f t="shared" si="3"/>
        <v>0</v>
      </c>
      <c r="L49" s="1">
        <f t="shared" si="4"/>
        <v>0.80278846153846151</v>
      </c>
      <c r="M49" s="1">
        <f t="shared" si="5"/>
        <v>0.80278846153846151</v>
      </c>
      <c r="N49" s="2">
        <f t="shared" si="12"/>
        <v>20.927057132590733</v>
      </c>
      <c r="O49" s="1">
        <v>1812</v>
      </c>
      <c r="P49" s="1">
        <f t="shared" si="7"/>
        <v>60</v>
      </c>
      <c r="Q49" s="1">
        <f t="shared" si="8"/>
        <v>8.138087439136946</v>
      </c>
      <c r="R49" s="1">
        <f t="shared" si="9"/>
        <v>0.26083613586977389</v>
      </c>
      <c r="S49" s="2">
        <f t="shared" si="10"/>
        <v>0.71410116582927707</v>
      </c>
      <c r="T49" s="2">
        <f t="shared" si="11"/>
        <v>1.2463416536050908E-2</v>
      </c>
      <c r="U49" s="1" t="s">
        <v>2507</v>
      </c>
      <c r="V49" s="6" t="s">
        <v>2505</v>
      </c>
    </row>
    <row r="50" spans="1:24" ht="14.25" customHeight="1" x14ac:dyDescent="0.3">
      <c r="A50" s="1" t="s">
        <v>40</v>
      </c>
      <c r="B50" s="1" t="s">
        <v>119</v>
      </c>
      <c r="C50" s="1" t="s">
        <v>120</v>
      </c>
      <c r="D50" s="1">
        <f t="shared" si="0"/>
        <v>61</v>
      </c>
      <c r="E50" s="1">
        <f t="shared" si="1"/>
        <v>0.78834490740740737</v>
      </c>
      <c r="F50" s="2">
        <f t="shared" si="2"/>
        <v>383.23765182416685</v>
      </c>
      <c r="G50" s="1">
        <v>2080</v>
      </c>
      <c r="H50" s="1">
        <v>3744</v>
      </c>
      <c r="I50" s="1">
        <v>0</v>
      </c>
      <c r="J50" s="1">
        <v>107</v>
      </c>
      <c r="K50" s="1">
        <f t="shared" si="3"/>
        <v>0</v>
      </c>
      <c r="L50" s="1">
        <f t="shared" si="4"/>
        <v>0.93367788461538459</v>
      </c>
      <c r="M50" s="1">
        <f t="shared" si="5"/>
        <v>0.93367788461538459</v>
      </c>
      <c r="N50" s="2">
        <f t="shared" si="12"/>
        <v>17.993357534563994</v>
      </c>
      <c r="O50" s="1">
        <v>1812</v>
      </c>
      <c r="P50" s="1">
        <f t="shared" si="7"/>
        <v>60</v>
      </c>
      <c r="Q50" s="1">
        <f t="shared" si="8"/>
        <v>6.9972340598186831</v>
      </c>
      <c r="R50" s="1">
        <f t="shared" si="9"/>
        <v>0.22427032243008599</v>
      </c>
      <c r="S50" s="2">
        <f t="shared" si="10"/>
        <v>0.71410116582927707</v>
      </c>
      <c r="T50" s="2">
        <f t="shared" si="11"/>
        <v>1.2463416536050908E-2</v>
      </c>
      <c r="U50" s="1" t="s">
        <v>2507</v>
      </c>
      <c r="V50" s="6" t="s">
        <v>2505</v>
      </c>
    </row>
    <row r="51" spans="1:24" ht="14.25" customHeight="1" x14ac:dyDescent="0.3">
      <c r="A51" s="1" t="s">
        <v>40</v>
      </c>
      <c r="B51" s="1" t="s">
        <v>121</v>
      </c>
      <c r="C51" s="1" t="s">
        <v>122</v>
      </c>
      <c r="D51" s="1">
        <f t="shared" si="0"/>
        <v>78</v>
      </c>
      <c r="E51" s="1">
        <f t="shared" si="1"/>
        <v>0.10481481481481481</v>
      </c>
      <c r="F51" s="2">
        <f t="shared" si="2"/>
        <v>485.75705581142694</v>
      </c>
      <c r="G51" s="1">
        <v>2080</v>
      </c>
      <c r="H51" s="1">
        <v>3744</v>
      </c>
      <c r="I51" s="1">
        <v>0</v>
      </c>
      <c r="J51" s="1">
        <v>80</v>
      </c>
      <c r="K51" s="1">
        <f t="shared" si="3"/>
        <v>0</v>
      </c>
      <c r="L51" s="1">
        <f t="shared" si="4"/>
        <v>0.69807692307692304</v>
      </c>
      <c r="M51" s="1">
        <f t="shared" si="5"/>
        <v>0.69807692307692304</v>
      </c>
      <c r="N51" s="2">
        <f t="shared" si="12"/>
        <v>24.06611570247934</v>
      </c>
      <c r="O51" s="1">
        <v>1812</v>
      </c>
      <c r="P51" s="1">
        <f t="shared" si="7"/>
        <v>60</v>
      </c>
      <c r="Q51" s="1">
        <f t="shared" si="8"/>
        <v>9.3588005550074875</v>
      </c>
      <c r="R51" s="1">
        <f t="shared" si="9"/>
        <v>0.29996155625023996</v>
      </c>
      <c r="S51" s="2">
        <f t="shared" si="10"/>
        <v>0.71410116582927707</v>
      </c>
      <c r="T51" s="2">
        <f t="shared" si="11"/>
        <v>1.2463416536050908E-2</v>
      </c>
      <c r="U51" s="1" t="s">
        <v>2507</v>
      </c>
      <c r="V51" s="6" t="s">
        <v>2505</v>
      </c>
    </row>
    <row r="52" spans="1:24" ht="14.25" customHeight="1" x14ac:dyDescent="0.3">
      <c r="A52" s="1" t="s">
        <v>40</v>
      </c>
      <c r="B52" s="1" t="s">
        <v>123</v>
      </c>
      <c r="C52" s="1" t="s">
        <v>124</v>
      </c>
      <c r="D52" s="1">
        <f t="shared" si="0"/>
        <v>6</v>
      </c>
      <c r="E52" s="1">
        <f t="shared" si="1"/>
        <v>0.23017361111111112</v>
      </c>
      <c r="F52" s="2">
        <f t="shared" si="2"/>
        <v>34.155366241511317</v>
      </c>
      <c r="G52" s="1">
        <v>2080</v>
      </c>
      <c r="H52" s="1">
        <v>3744</v>
      </c>
      <c r="I52" s="1">
        <v>0</v>
      </c>
      <c r="J52" s="1">
        <v>174</v>
      </c>
      <c r="K52" s="1">
        <f t="shared" si="3"/>
        <v>0</v>
      </c>
      <c r="L52" s="1">
        <f t="shared" si="4"/>
        <v>1.5183173076923075</v>
      </c>
      <c r="M52" s="1">
        <f t="shared" si="5"/>
        <v>1.5183173076923075</v>
      </c>
      <c r="N52" s="2">
        <f t="shared" si="12"/>
        <v>11.064880782749123</v>
      </c>
      <c r="O52" s="1">
        <v>1811</v>
      </c>
      <c r="P52" s="1">
        <f t="shared" si="7"/>
        <v>61</v>
      </c>
      <c r="Q52" s="1">
        <f t="shared" si="8"/>
        <v>4.3028968068999944</v>
      </c>
      <c r="R52" s="1">
        <f t="shared" si="9"/>
        <v>0.14021191518210452</v>
      </c>
      <c r="S52" s="2">
        <f t="shared" si="10"/>
        <v>0.72600158847280005</v>
      </c>
      <c r="T52" s="2">
        <f t="shared" si="11"/>
        <v>1.2671118093559272E-2</v>
      </c>
      <c r="U52" s="1" t="s">
        <v>2507</v>
      </c>
      <c r="V52" s="6" t="s">
        <v>2505</v>
      </c>
    </row>
    <row r="53" spans="1:24" ht="14.25" customHeight="1" x14ac:dyDescent="0.3">
      <c r="A53" s="1" t="s">
        <v>17</v>
      </c>
      <c r="B53" s="1" t="s">
        <v>125</v>
      </c>
      <c r="C53" s="1" t="s">
        <v>126</v>
      </c>
      <c r="D53" s="1">
        <f t="shared" si="0"/>
        <v>6</v>
      </c>
      <c r="E53" s="1">
        <f t="shared" si="1"/>
        <v>0.77324074074074067</v>
      </c>
      <c r="F53" s="2">
        <f t="shared" si="2"/>
        <v>37.567557651212397</v>
      </c>
      <c r="G53" s="1">
        <v>2080</v>
      </c>
      <c r="H53" s="1">
        <v>3744</v>
      </c>
      <c r="I53" s="1">
        <v>0</v>
      </c>
      <c r="J53" s="1">
        <v>162</v>
      </c>
      <c r="K53" s="1">
        <f t="shared" si="3"/>
        <v>0</v>
      </c>
      <c r="L53" s="1">
        <f t="shared" si="4"/>
        <v>1.4136057692307691</v>
      </c>
      <c r="M53" s="1">
        <f t="shared" si="5"/>
        <v>1.4136057692307691</v>
      </c>
      <c r="N53" s="2">
        <f t="shared" si="12"/>
        <v>11.88450158147128</v>
      </c>
      <c r="O53" s="1">
        <v>1811</v>
      </c>
      <c r="P53" s="1">
        <f t="shared" si="7"/>
        <v>61</v>
      </c>
      <c r="Q53" s="1">
        <f t="shared" si="8"/>
        <v>4.6216299037074018</v>
      </c>
      <c r="R53" s="1">
        <f t="shared" si="9"/>
        <v>0.15059798297337154</v>
      </c>
      <c r="S53" s="2">
        <f t="shared" si="10"/>
        <v>0.72600158847280016</v>
      </c>
      <c r="T53" s="2">
        <f t="shared" si="11"/>
        <v>1.2671118093559273E-2</v>
      </c>
      <c r="U53" s="1" t="s">
        <v>2507</v>
      </c>
      <c r="V53" s="6" t="s">
        <v>2505</v>
      </c>
    </row>
    <row r="54" spans="1:24" ht="14.25" customHeight="1" x14ac:dyDescent="0.3">
      <c r="A54" s="1" t="s">
        <v>27</v>
      </c>
      <c r="B54" s="1" t="s">
        <v>127</v>
      </c>
      <c r="C54" s="1" t="s">
        <v>128</v>
      </c>
      <c r="D54" s="1">
        <f t="shared" si="0"/>
        <v>48</v>
      </c>
      <c r="E54" s="1">
        <f t="shared" si="1"/>
        <v>0.73703703703703705</v>
      </c>
      <c r="F54" s="2">
        <f t="shared" si="2"/>
        <v>301.23386597357842</v>
      </c>
      <c r="G54" s="1">
        <v>2080</v>
      </c>
      <c r="H54" s="1">
        <v>3744</v>
      </c>
      <c r="I54" s="1">
        <v>0</v>
      </c>
      <c r="J54" s="1">
        <v>67</v>
      </c>
      <c r="K54" s="1">
        <f t="shared" si="3"/>
        <v>0</v>
      </c>
      <c r="L54" s="1">
        <f t="shared" si="4"/>
        <v>0.58463942307692307</v>
      </c>
      <c r="M54" s="1">
        <f t="shared" si="5"/>
        <v>0.58463942307692307</v>
      </c>
      <c r="N54" s="2">
        <f t="shared" si="12"/>
        <v>28.735660540273837</v>
      </c>
      <c r="O54" s="1">
        <v>1810</v>
      </c>
      <c r="P54" s="1">
        <f t="shared" si="7"/>
        <v>62</v>
      </c>
      <c r="Q54" s="1">
        <f t="shared" si="8"/>
        <v>11.174687229859686</v>
      </c>
      <c r="R54" s="1">
        <f t="shared" si="9"/>
        <v>0.37010182064706226</v>
      </c>
      <c r="S54" s="2">
        <f t="shared" si="10"/>
        <v>0.73790194847397539</v>
      </c>
      <c r="T54" s="2">
        <f t="shared" si="11"/>
        <v>1.2878818557752417E-2</v>
      </c>
      <c r="U54" s="1" t="s">
        <v>2507</v>
      </c>
      <c r="V54" s="6" t="s">
        <v>2505</v>
      </c>
    </row>
    <row r="55" spans="1:24" ht="14.25" customHeight="1" x14ac:dyDescent="0.3">
      <c r="A55" s="1" t="s">
        <v>20</v>
      </c>
      <c r="B55" s="1" t="s">
        <v>129</v>
      </c>
      <c r="C55" s="1" t="s">
        <v>130</v>
      </c>
      <c r="D55" s="1">
        <f t="shared" si="0"/>
        <v>15</v>
      </c>
      <c r="E55" s="1">
        <f t="shared" si="1"/>
        <v>0.88006944444444446</v>
      </c>
      <c r="F55" s="2">
        <f t="shared" si="2"/>
        <v>94.787449957324839</v>
      </c>
      <c r="G55" s="1">
        <v>2080</v>
      </c>
      <c r="H55" s="1">
        <v>3744</v>
      </c>
      <c r="I55" s="1">
        <v>0</v>
      </c>
      <c r="J55" s="1">
        <v>300</v>
      </c>
      <c r="K55" s="1">
        <f t="shared" si="3"/>
        <v>0</v>
      </c>
      <c r="L55" s="1">
        <f t="shared" si="4"/>
        <v>2.6177884615384617</v>
      </c>
      <c r="M55" s="1">
        <f t="shared" si="5"/>
        <v>2.6177884615384617</v>
      </c>
      <c r="N55" s="2">
        <f t="shared" si="12"/>
        <v>6.4176308539944902</v>
      </c>
      <c r="O55" s="1">
        <v>1809</v>
      </c>
      <c r="P55" s="1">
        <f t="shared" si="7"/>
        <v>63</v>
      </c>
      <c r="Q55" s="1">
        <f t="shared" si="8"/>
        <v>2.4956801480019966</v>
      </c>
      <c r="R55" s="1">
        <f t="shared" si="9"/>
        <v>8.3989235750067184E-2</v>
      </c>
      <c r="S55" s="2">
        <f t="shared" si="10"/>
        <v>0.74980224480655511</v>
      </c>
      <c r="T55" s="2">
        <f t="shared" si="11"/>
        <v>1.308651791071894E-2</v>
      </c>
      <c r="U55" s="1" t="s">
        <v>2507</v>
      </c>
      <c r="V55" s="6" t="s">
        <v>2505</v>
      </c>
    </row>
    <row r="56" spans="1:24" ht="14.25" customHeight="1" x14ac:dyDescent="0.3">
      <c r="A56" s="1" t="s">
        <v>27</v>
      </c>
      <c r="B56" s="1" t="s">
        <v>131</v>
      </c>
      <c r="C56" s="1" t="s">
        <v>132</v>
      </c>
      <c r="D56" s="1">
        <f t="shared" si="0"/>
        <v>18</v>
      </c>
      <c r="E56" s="1">
        <f t="shared" si="1"/>
        <v>0.86204861111111108</v>
      </c>
      <c r="F56" s="2">
        <f t="shared" si="2"/>
        <v>113.52377764364046</v>
      </c>
      <c r="G56" s="1">
        <v>2080</v>
      </c>
      <c r="H56" s="1">
        <v>3744</v>
      </c>
      <c r="I56" s="1">
        <v>0</v>
      </c>
      <c r="J56" s="1">
        <v>198</v>
      </c>
      <c r="K56" s="1">
        <f t="shared" si="3"/>
        <v>0</v>
      </c>
      <c r="L56" s="1">
        <f t="shared" si="4"/>
        <v>1.7277403846153845</v>
      </c>
      <c r="M56" s="1">
        <f t="shared" si="5"/>
        <v>1.7277403846153845</v>
      </c>
      <c r="N56" s="2">
        <f t="shared" si="12"/>
        <v>9.723683112112866</v>
      </c>
      <c r="O56" s="1">
        <v>1809</v>
      </c>
      <c r="P56" s="1">
        <f t="shared" si="7"/>
        <v>63</v>
      </c>
      <c r="Q56" s="1">
        <f t="shared" si="8"/>
        <v>3.7813335575787832</v>
      </c>
      <c r="R56" s="1">
        <f t="shared" si="9"/>
        <v>0.12725641780313213</v>
      </c>
      <c r="S56" s="2">
        <f t="shared" si="10"/>
        <v>0.74980224480655511</v>
      </c>
      <c r="T56" s="2">
        <f t="shared" si="11"/>
        <v>1.308651791071894E-2</v>
      </c>
      <c r="U56" s="1" t="s">
        <v>2507</v>
      </c>
      <c r="V56" s="6" t="s">
        <v>2505</v>
      </c>
    </row>
    <row r="57" spans="1:24" ht="14.25" customHeight="1" x14ac:dyDescent="0.3">
      <c r="A57" s="1" t="s">
        <v>27</v>
      </c>
      <c r="B57" s="1" t="s">
        <v>133</v>
      </c>
      <c r="C57" s="1" t="s">
        <v>134</v>
      </c>
      <c r="D57" s="1">
        <f t="shared" si="0"/>
        <v>77</v>
      </c>
      <c r="E57" s="1">
        <f t="shared" si="1"/>
        <v>0.78670138888888896</v>
      </c>
      <c r="F57" s="2">
        <f t="shared" si="2"/>
        <v>483.75829020763257</v>
      </c>
      <c r="G57" s="1">
        <v>2080</v>
      </c>
      <c r="H57" s="1">
        <v>3744</v>
      </c>
      <c r="I57" s="1">
        <v>0</v>
      </c>
      <c r="J57" s="1">
        <v>201</v>
      </c>
      <c r="K57" s="1">
        <f t="shared" si="3"/>
        <v>0</v>
      </c>
      <c r="L57" s="1">
        <f t="shared" si="4"/>
        <v>1.7539182692307691</v>
      </c>
      <c r="M57" s="1">
        <f t="shared" si="5"/>
        <v>1.7539182692307691</v>
      </c>
      <c r="N57" s="2">
        <f t="shared" si="12"/>
        <v>9.5785535134246143</v>
      </c>
      <c r="O57" s="1">
        <v>1809</v>
      </c>
      <c r="P57" s="1">
        <f t="shared" si="7"/>
        <v>63</v>
      </c>
      <c r="Q57" s="1">
        <f t="shared" si="8"/>
        <v>3.7248957432865626</v>
      </c>
      <c r="R57" s="1">
        <f t="shared" si="9"/>
        <v>0.1253570682836824</v>
      </c>
      <c r="S57" s="2">
        <f t="shared" si="10"/>
        <v>0.74980224480655511</v>
      </c>
      <c r="T57" s="2">
        <f t="shared" si="11"/>
        <v>1.308651791071894E-2</v>
      </c>
      <c r="U57" s="1" t="s">
        <v>2507</v>
      </c>
      <c r="V57" s="6" t="s">
        <v>2505</v>
      </c>
    </row>
    <row r="58" spans="1:24" ht="14.25" customHeight="1" x14ac:dyDescent="0.3">
      <c r="A58" s="1" t="s">
        <v>40</v>
      </c>
      <c r="B58" s="1" t="s">
        <v>135</v>
      </c>
      <c r="C58" s="1" t="s">
        <v>136</v>
      </c>
      <c r="D58" s="1">
        <f t="shared" si="0"/>
        <v>73</v>
      </c>
      <c r="E58" s="1">
        <f t="shared" si="1"/>
        <v>8.4224537037037028E-2</v>
      </c>
      <c r="F58" s="2">
        <f t="shared" si="2"/>
        <v>454.21175674472488</v>
      </c>
      <c r="G58" s="1">
        <v>2080</v>
      </c>
      <c r="H58" s="1">
        <v>3744</v>
      </c>
      <c r="I58" s="1">
        <v>0</v>
      </c>
      <c r="J58" s="1">
        <v>119</v>
      </c>
      <c r="K58" s="1">
        <f t="shared" si="3"/>
        <v>0</v>
      </c>
      <c r="L58" s="1">
        <f t="shared" si="4"/>
        <v>1.0383894230769231</v>
      </c>
      <c r="M58" s="1">
        <f t="shared" si="5"/>
        <v>1.0383894230769231</v>
      </c>
      <c r="N58" s="2">
        <f t="shared" si="12"/>
        <v>16.178901312591154</v>
      </c>
      <c r="O58" s="1">
        <v>1806</v>
      </c>
      <c r="P58" s="1">
        <f t="shared" si="7"/>
        <v>66</v>
      </c>
      <c r="Q58" s="1">
        <f t="shared" si="8"/>
        <v>6.2916306252151175</v>
      </c>
      <c r="R58" s="1">
        <f t="shared" si="9"/>
        <v>0.22182031050437914</v>
      </c>
      <c r="S58" s="2">
        <f t="shared" si="10"/>
        <v>0.78550274153073973</v>
      </c>
      <c r="T58" s="2">
        <f t="shared" si="11"/>
        <v>1.3709609123153412E-2</v>
      </c>
      <c r="U58" s="1" t="s">
        <v>2507</v>
      </c>
      <c r="V58" s="6" t="s">
        <v>2505</v>
      </c>
    </row>
    <row r="59" spans="1:24" ht="14.25" customHeight="1" x14ac:dyDescent="0.3">
      <c r="A59" s="1" t="s">
        <v>40</v>
      </c>
      <c r="B59" s="1" t="s">
        <v>137</v>
      </c>
      <c r="C59" s="1" t="s">
        <v>138</v>
      </c>
      <c r="D59" s="1">
        <f t="shared" si="0"/>
        <v>77</v>
      </c>
      <c r="E59" s="1">
        <f t="shared" si="1"/>
        <v>0.88002314814814808</v>
      </c>
      <c r="F59" s="2">
        <f t="shared" si="2"/>
        <v>484.34464811425056</v>
      </c>
      <c r="G59" s="1">
        <v>2080</v>
      </c>
      <c r="H59" s="1">
        <v>3744</v>
      </c>
      <c r="I59" s="1">
        <v>0</v>
      </c>
      <c r="J59" s="1">
        <v>136</v>
      </c>
      <c r="K59" s="1">
        <f t="shared" si="3"/>
        <v>0</v>
      </c>
      <c r="L59" s="1">
        <f t="shared" si="4"/>
        <v>1.1867307692307691</v>
      </c>
      <c r="M59" s="1">
        <f t="shared" si="5"/>
        <v>1.1867307692307691</v>
      </c>
      <c r="N59" s="2">
        <f t="shared" si="12"/>
        <v>14.156538648517261</v>
      </c>
      <c r="O59" s="1">
        <v>1805</v>
      </c>
      <c r="P59" s="1">
        <f t="shared" si="7"/>
        <v>67</v>
      </c>
      <c r="Q59" s="1">
        <f t="shared" si="8"/>
        <v>5.5051767970632284</v>
      </c>
      <c r="R59" s="1">
        <f t="shared" si="9"/>
        <v>0.19703357126241255</v>
      </c>
      <c r="S59" s="2">
        <f t="shared" si="10"/>
        <v>0.79740277292712536</v>
      </c>
      <c r="T59" s="2">
        <f t="shared" si="11"/>
        <v>1.3917303852111039E-2</v>
      </c>
      <c r="U59" s="1" t="s">
        <v>2507</v>
      </c>
      <c r="V59" s="6" t="s">
        <v>2505</v>
      </c>
    </row>
    <row r="60" spans="1:24" ht="14.25" customHeight="1" x14ac:dyDescent="0.3">
      <c r="A60" s="1" t="s">
        <v>40</v>
      </c>
      <c r="B60" s="1" t="s">
        <v>139</v>
      </c>
      <c r="C60" s="1" t="s">
        <v>140</v>
      </c>
      <c r="D60" s="1">
        <f t="shared" si="0"/>
        <v>8</v>
      </c>
      <c r="E60" s="1">
        <f t="shared" si="1"/>
        <v>0.90760416666666666</v>
      </c>
      <c r="F60" s="2">
        <f t="shared" si="2"/>
        <v>50.978158569171661</v>
      </c>
      <c r="G60" s="1">
        <v>2080</v>
      </c>
      <c r="H60" s="1">
        <v>3744</v>
      </c>
      <c r="I60" s="1">
        <v>0</v>
      </c>
      <c r="J60" s="1">
        <v>101</v>
      </c>
      <c r="K60" s="1">
        <f t="shared" si="3"/>
        <v>0</v>
      </c>
      <c r="L60" s="1">
        <f t="shared" si="4"/>
        <v>0.88132211538461536</v>
      </c>
      <c r="M60" s="1">
        <f t="shared" si="5"/>
        <v>0.88132211538461536</v>
      </c>
      <c r="N60" s="2">
        <f t="shared" si="12"/>
        <v>19.062269863349972</v>
      </c>
      <c r="O60" s="1">
        <v>1803</v>
      </c>
      <c r="P60" s="1">
        <f t="shared" si="7"/>
        <v>69</v>
      </c>
      <c r="Q60" s="1">
        <f t="shared" si="8"/>
        <v>7.4129113306989991</v>
      </c>
      <c r="R60" s="1">
        <f t="shared" si="9"/>
        <v>0.27323230866358489</v>
      </c>
      <c r="S60" s="2">
        <f t="shared" si="10"/>
        <v>0.82120262829586299</v>
      </c>
      <c r="T60" s="2">
        <f t="shared" si="11"/>
        <v>1.4332689689793961E-2</v>
      </c>
      <c r="U60" s="1" t="s">
        <v>2507</v>
      </c>
      <c r="V60" s="6" t="s">
        <v>2505</v>
      </c>
      <c r="W60" s="1"/>
      <c r="X60" s="1"/>
    </row>
    <row r="61" spans="1:24" ht="14.25" customHeight="1" x14ac:dyDescent="0.3">
      <c r="A61" s="1" t="s">
        <v>40</v>
      </c>
      <c r="B61" s="1" t="s">
        <v>141</v>
      </c>
      <c r="C61" s="1" t="s">
        <v>142</v>
      </c>
      <c r="D61" s="1">
        <f t="shared" si="0"/>
        <v>30</v>
      </c>
      <c r="E61" s="1">
        <f t="shared" si="1"/>
        <v>0.21954861111111112</v>
      </c>
      <c r="F61" s="2">
        <f t="shared" si="2"/>
        <v>184.88505476993259</v>
      </c>
      <c r="G61" s="1">
        <v>2080</v>
      </c>
      <c r="H61" s="1">
        <v>3744</v>
      </c>
      <c r="I61" s="1">
        <v>0</v>
      </c>
      <c r="J61" s="1">
        <v>139</v>
      </c>
      <c r="K61" s="1">
        <f t="shared" si="3"/>
        <v>0</v>
      </c>
      <c r="L61" s="1">
        <f t="shared" si="4"/>
        <v>1.2129086538461538</v>
      </c>
      <c r="M61" s="1">
        <f t="shared" si="5"/>
        <v>1.2129086538461538</v>
      </c>
      <c r="N61" s="2">
        <f t="shared" si="12"/>
        <v>13.851001843153577</v>
      </c>
      <c r="O61" s="1">
        <v>1803</v>
      </c>
      <c r="P61" s="1">
        <f t="shared" si="7"/>
        <v>69</v>
      </c>
      <c r="Q61" s="1">
        <f t="shared" si="8"/>
        <v>5.3863600316589855</v>
      </c>
      <c r="R61" s="1">
        <f t="shared" si="9"/>
        <v>0.19853570629512288</v>
      </c>
      <c r="S61" s="2">
        <f t="shared" si="10"/>
        <v>0.8212026282958631</v>
      </c>
      <c r="T61" s="2">
        <f t="shared" si="11"/>
        <v>1.4332689689793962E-2</v>
      </c>
      <c r="U61" s="1" t="s">
        <v>2507</v>
      </c>
      <c r="V61" s="6" t="s">
        <v>2505</v>
      </c>
    </row>
    <row r="62" spans="1:24" ht="14.25" customHeight="1" x14ac:dyDescent="0.3">
      <c r="A62" s="1" t="s">
        <v>17</v>
      </c>
      <c r="B62" s="1" t="s">
        <v>143</v>
      </c>
      <c r="C62" s="1" t="s">
        <v>144</v>
      </c>
      <c r="D62" s="1">
        <f t="shared" si="0"/>
        <v>75</v>
      </c>
      <c r="E62" s="1">
        <f t="shared" si="1"/>
        <v>0.9108680555555555</v>
      </c>
      <c r="F62" s="2">
        <f t="shared" si="2"/>
        <v>471.9720817689149</v>
      </c>
      <c r="G62" s="1">
        <v>2080</v>
      </c>
      <c r="H62" s="1">
        <v>3744</v>
      </c>
      <c r="I62" s="1">
        <v>0</v>
      </c>
      <c r="J62" s="1">
        <v>205</v>
      </c>
      <c r="K62" s="1">
        <f t="shared" si="3"/>
        <v>0</v>
      </c>
      <c r="L62" s="1">
        <f t="shared" si="4"/>
        <v>1.7888221153846151</v>
      </c>
      <c r="M62" s="1">
        <f t="shared" si="5"/>
        <v>1.7888221153846151</v>
      </c>
      <c r="N62" s="2">
        <f t="shared" si="12"/>
        <v>9.3916549082846217</v>
      </c>
      <c r="O62" s="1">
        <v>1803</v>
      </c>
      <c r="P62" s="1">
        <f t="shared" si="7"/>
        <v>69</v>
      </c>
      <c r="Q62" s="1">
        <f t="shared" si="8"/>
        <v>3.6522148507346297</v>
      </c>
      <c r="R62" s="1">
        <f t="shared" si="9"/>
        <v>0.13461689353669309</v>
      </c>
      <c r="S62" s="2">
        <f t="shared" si="10"/>
        <v>0.82120262829586321</v>
      </c>
      <c r="T62" s="2">
        <f t="shared" si="11"/>
        <v>1.4332689689793964E-2</v>
      </c>
      <c r="U62" s="1" t="s">
        <v>2507</v>
      </c>
      <c r="V62" s="6" t="s">
        <v>2505</v>
      </c>
    </row>
    <row r="63" spans="1:24" ht="14.25" customHeight="1" x14ac:dyDescent="0.3">
      <c r="A63" s="1" t="s">
        <v>17</v>
      </c>
      <c r="B63" s="1" t="s">
        <v>145</v>
      </c>
      <c r="C63" s="1" t="s">
        <v>146</v>
      </c>
      <c r="D63" s="1">
        <f t="shared" si="0"/>
        <v>29</v>
      </c>
      <c r="E63" s="1">
        <f t="shared" si="1"/>
        <v>0.29793981481481485</v>
      </c>
      <c r="F63" s="2">
        <f t="shared" si="2"/>
        <v>179.09441592207625</v>
      </c>
      <c r="G63" s="1">
        <v>2080</v>
      </c>
      <c r="H63" s="1">
        <v>3744</v>
      </c>
      <c r="I63" s="1">
        <v>0</v>
      </c>
      <c r="J63" s="1">
        <v>358</v>
      </c>
      <c r="K63" s="1">
        <f t="shared" si="3"/>
        <v>0</v>
      </c>
      <c r="L63" s="1">
        <f t="shared" si="4"/>
        <v>3.1238942307692308</v>
      </c>
      <c r="M63" s="1">
        <f t="shared" si="5"/>
        <v>3.1238942307692308</v>
      </c>
      <c r="N63" s="2">
        <f>42*0.11/M63</f>
        <v>1.478923311325546</v>
      </c>
      <c r="O63" s="1">
        <v>1800</v>
      </c>
      <c r="P63" s="1">
        <f t="shared" si="7"/>
        <v>72</v>
      </c>
      <c r="Q63" s="1">
        <f t="shared" si="8"/>
        <v>0.5751218218161025</v>
      </c>
      <c r="R63" s="1">
        <f t="shared" si="9"/>
        <v>2.2120070069850097E-2</v>
      </c>
      <c r="S63" s="2">
        <f t="shared" si="10"/>
        <v>0.85690187739879842</v>
      </c>
      <c r="T63" s="2">
        <f t="shared" si="11"/>
        <v>1.4955759127129816E-2</v>
      </c>
      <c r="U63" s="1" t="s">
        <v>2508</v>
      </c>
      <c r="V63" s="6" t="s">
        <v>2505</v>
      </c>
    </row>
    <row r="64" spans="1:24" ht="14.25" customHeight="1" x14ac:dyDescent="0.3">
      <c r="A64" s="1" t="s">
        <v>40</v>
      </c>
      <c r="B64" s="1" t="s">
        <v>147</v>
      </c>
      <c r="C64" s="1" t="s">
        <v>148</v>
      </c>
      <c r="D64" s="1">
        <f t="shared" si="0"/>
        <v>30</v>
      </c>
      <c r="E64" s="1">
        <f t="shared" si="1"/>
        <v>2.9629629629629627E-2</v>
      </c>
      <c r="F64" s="2">
        <f t="shared" si="2"/>
        <v>183.69175861593362</v>
      </c>
      <c r="G64" s="1">
        <v>2080</v>
      </c>
      <c r="H64" s="1">
        <v>3744</v>
      </c>
      <c r="I64" s="1">
        <v>0</v>
      </c>
      <c r="J64" s="1">
        <v>171</v>
      </c>
      <c r="K64" s="1">
        <f t="shared" si="3"/>
        <v>0</v>
      </c>
      <c r="L64" s="1">
        <f t="shared" si="4"/>
        <v>1.4921394230769229</v>
      </c>
      <c r="M64" s="1">
        <f t="shared" si="5"/>
        <v>1.4921394230769229</v>
      </c>
      <c r="N64" s="2">
        <f t="shared" ref="N64:N95" si="13">42*0.4/M64</f>
        <v>11.25900149823595</v>
      </c>
      <c r="O64" s="1">
        <v>1799</v>
      </c>
      <c r="P64" s="1">
        <f t="shared" si="7"/>
        <v>73</v>
      </c>
      <c r="Q64" s="1">
        <f t="shared" si="8"/>
        <v>4.378386224564907</v>
      </c>
      <c r="R64" s="1">
        <f t="shared" si="9"/>
        <v>0.17073835170578963</v>
      </c>
      <c r="S64" s="2">
        <f t="shared" si="10"/>
        <v>0.86880148060929896</v>
      </c>
      <c r="T64" s="2">
        <f t="shared" si="11"/>
        <v>1.5163446382833937E-2</v>
      </c>
      <c r="U64" s="1" t="s">
        <v>2507</v>
      </c>
      <c r="V64" s="6" t="s">
        <v>2505</v>
      </c>
    </row>
    <row r="65" spans="1:24" ht="14.25" customHeight="1" x14ac:dyDescent="0.3">
      <c r="A65" s="1" t="s">
        <v>40</v>
      </c>
      <c r="B65" s="1" t="s">
        <v>149</v>
      </c>
      <c r="C65" s="1" t="s">
        <v>150</v>
      </c>
      <c r="D65" s="1">
        <f t="shared" si="0"/>
        <v>41</v>
      </c>
      <c r="E65" s="1">
        <f t="shared" si="1"/>
        <v>0.7775347222222222</v>
      </c>
      <c r="F65" s="2">
        <f t="shared" si="2"/>
        <v>257.50602328385168</v>
      </c>
      <c r="G65" s="1">
        <v>2080</v>
      </c>
      <c r="H65" s="1">
        <v>3744</v>
      </c>
      <c r="I65" s="1">
        <v>0</v>
      </c>
      <c r="J65" s="1">
        <v>103</v>
      </c>
      <c r="K65" s="1">
        <f t="shared" si="3"/>
        <v>0</v>
      </c>
      <c r="L65" s="1">
        <f t="shared" si="4"/>
        <v>0.89877403846153836</v>
      </c>
      <c r="M65" s="1">
        <f t="shared" si="5"/>
        <v>0.89877403846153836</v>
      </c>
      <c r="N65" s="2">
        <f t="shared" si="13"/>
        <v>18.692128700954829</v>
      </c>
      <c r="O65" s="1">
        <v>1798</v>
      </c>
      <c r="P65" s="1">
        <f t="shared" si="7"/>
        <v>74</v>
      </c>
      <c r="Q65" s="1">
        <f t="shared" si="8"/>
        <v>7.2689713048601847</v>
      </c>
      <c r="R65" s="1">
        <f t="shared" si="9"/>
        <v>0.2873418144015244</v>
      </c>
      <c r="S65" s="2">
        <f t="shared" si="10"/>
        <v>0.88070100886476821</v>
      </c>
      <c r="T65" s="2">
        <f t="shared" si="11"/>
        <v>1.5371132330325972E-2</v>
      </c>
      <c r="U65" s="1" t="s">
        <v>2507</v>
      </c>
      <c r="V65" s="6" t="s">
        <v>2505</v>
      </c>
      <c r="W65" s="1"/>
      <c r="X65" s="1"/>
    </row>
    <row r="66" spans="1:24" ht="14.25" customHeight="1" x14ac:dyDescent="0.3">
      <c r="A66" s="1" t="s">
        <v>17</v>
      </c>
      <c r="B66" s="1" t="s">
        <v>151</v>
      </c>
      <c r="C66" s="1" t="s">
        <v>152</v>
      </c>
      <c r="D66" s="1">
        <f t="shared" ref="D66:D129" si="14">(LEFT(C66,4)&amp;"-"&amp;MID(C66,6,2)&amp;"-"&amp;MID(C66,9,2))-(2019&amp;"-"&amp;5&amp;"-"&amp;28)</f>
        <v>47</v>
      </c>
      <c r="E66" s="1">
        <f t="shared" ref="E66:E129" si="15">TIMEVALUE(RIGHT(C66,8))</f>
        <v>0.88230324074074085</v>
      </c>
      <c r="F66" s="2">
        <f t="shared" ref="F66:F129" si="16">(D66+E66)*2*PI()-4.989969053</f>
        <v>295.86341514313972</v>
      </c>
      <c r="G66" s="1">
        <v>2080</v>
      </c>
      <c r="H66" s="1">
        <v>3744</v>
      </c>
      <c r="I66" s="1">
        <v>0</v>
      </c>
      <c r="J66" s="1">
        <v>229</v>
      </c>
      <c r="K66" s="1">
        <f t="shared" ref="K66:K129" si="17">(32.67*I66)/H66</f>
        <v>0</v>
      </c>
      <c r="L66" s="1">
        <f t="shared" ref="L66:L129" si="18">(18.15*J66)/G66</f>
        <v>1.998245192307692</v>
      </c>
      <c r="M66" s="1">
        <f t="shared" ref="M66:M129" si="19">SQRT(K66*K66+L66*L66)</f>
        <v>1.998245192307692</v>
      </c>
      <c r="N66" s="2">
        <f t="shared" si="13"/>
        <v>8.407376664621605</v>
      </c>
      <c r="O66" s="1">
        <v>1798</v>
      </c>
      <c r="P66" s="1">
        <f t="shared" ref="P66:P129" si="20">H66/2-O66</f>
        <v>74</v>
      </c>
      <c r="Q66" s="1">
        <f t="shared" ref="Q66:Q129" si="21">TAN(RADIANS(21.25))*N66</f>
        <v>3.2694499755484676</v>
      </c>
      <c r="R66" s="1">
        <f t="shared" ref="R66:R129" si="22">Q66*(P66/(H66/2))</f>
        <v>0.12924107809326207</v>
      </c>
      <c r="S66" s="2">
        <f t="shared" ref="S66:S129" si="23">DEGREES(ATAN(R66/N66))</f>
        <v>0.88070100886476821</v>
      </c>
      <c r="T66" s="2">
        <f t="shared" ref="T66:T129" si="24">RADIANS(S66)</f>
        <v>1.5371132330325972E-2</v>
      </c>
      <c r="U66" s="1" t="s">
        <v>2507</v>
      </c>
      <c r="V66" s="6" t="s">
        <v>2505</v>
      </c>
    </row>
    <row r="67" spans="1:24" ht="14.25" customHeight="1" x14ac:dyDescent="0.3">
      <c r="A67" s="1" t="s">
        <v>17</v>
      </c>
      <c r="B67" s="1" t="s">
        <v>153</v>
      </c>
      <c r="C67" s="1" t="s">
        <v>154</v>
      </c>
      <c r="D67" s="1">
        <f t="shared" si="14"/>
        <v>16</v>
      </c>
      <c r="E67" s="1">
        <f t="shared" si="15"/>
        <v>0.23023148148148151</v>
      </c>
      <c r="F67" s="2">
        <f t="shared" si="16"/>
        <v>96.987582923568027</v>
      </c>
      <c r="G67" s="1">
        <v>2080</v>
      </c>
      <c r="H67" s="1">
        <v>3744</v>
      </c>
      <c r="I67" s="1">
        <v>0</v>
      </c>
      <c r="J67" s="1">
        <v>189</v>
      </c>
      <c r="K67" s="1">
        <f t="shared" si="17"/>
        <v>0</v>
      </c>
      <c r="L67" s="1">
        <f t="shared" si="18"/>
        <v>1.6492067307692306</v>
      </c>
      <c r="M67" s="1">
        <f t="shared" si="19"/>
        <v>1.6492067307692306</v>
      </c>
      <c r="N67" s="2">
        <f t="shared" si="13"/>
        <v>10.186715641261097</v>
      </c>
      <c r="O67" s="1">
        <v>1797</v>
      </c>
      <c r="P67" s="1">
        <f t="shared" si="20"/>
        <v>75</v>
      </c>
      <c r="Q67" s="1">
        <f t="shared" si="21"/>
        <v>3.9613970603206297</v>
      </c>
      <c r="R67" s="1">
        <f t="shared" si="22"/>
        <v>0.15870981812182011</v>
      </c>
      <c r="S67" s="2">
        <f t="shared" si="23"/>
        <v>0.89260046113938885</v>
      </c>
      <c r="T67" s="2">
        <f t="shared" si="24"/>
        <v>1.5578816951702032E-2</v>
      </c>
      <c r="U67" s="1" t="s">
        <v>2507</v>
      </c>
      <c r="V67" s="6" t="s">
        <v>2505</v>
      </c>
    </row>
    <row r="68" spans="1:24" ht="14.25" customHeight="1" x14ac:dyDescent="0.3">
      <c r="A68" s="1" t="s">
        <v>17</v>
      </c>
      <c r="B68" s="1" t="s">
        <v>155</v>
      </c>
      <c r="C68" s="1" t="s">
        <v>156</v>
      </c>
      <c r="D68" s="1">
        <f t="shared" si="14"/>
        <v>45</v>
      </c>
      <c r="E68" s="1">
        <f t="shared" si="15"/>
        <v>0.18872685185185187</v>
      </c>
      <c r="F68" s="2">
        <f t="shared" si="16"/>
        <v>278.93917555270724</v>
      </c>
      <c r="G68" s="1">
        <v>2080</v>
      </c>
      <c r="H68" s="1">
        <v>3744</v>
      </c>
      <c r="I68" s="1">
        <v>0</v>
      </c>
      <c r="J68" s="1">
        <v>229</v>
      </c>
      <c r="K68" s="1">
        <f t="shared" si="17"/>
        <v>0</v>
      </c>
      <c r="L68" s="1">
        <f t="shared" si="18"/>
        <v>1.998245192307692</v>
      </c>
      <c r="M68" s="1">
        <f t="shared" si="19"/>
        <v>1.998245192307692</v>
      </c>
      <c r="N68" s="2">
        <f t="shared" si="13"/>
        <v>8.407376664621605</v>
      </c>
      <c r="O68" s="1">
        <v>1796</v>
      </c>
      <c r="P68" s="1">
        <f t="shared" si="20"/>
        <v>76</v>
      </c>
      <c r="Q68" s="1">
        <f t="shared" si="21"/>
        <v>3.2694499755484676</v>
      </c>
      <c r="R68" s="1">
        <f t="shared" si="22"/>
        <v>0.1327340802038908</v>
      </c>
      <c r="S68" s="2">
        <f t="shared" si="23"/>
        <v>0.90449983640738285</v>
      </c>
      <c r="T68" s="2">
        <f t="shared" si="24"/>
        <v>1.5786500229058909E-2</v>
      </c>
      <c r="U68" s="1" t="s">
        <v>2507</v>
      </c>
      <c r="V68" s="6" t="s">
        <v>2505</v>
      </c>
    </row>
    <row r="69" spans="1:24" ht="14.25" customHeight="1" x14ac:dyDescent="0.3">
      <c r="A69" s="1" t="s">
        <v>17</v>
      </c>
      <c r="B69" s="1" t="s">
        <v>157</v>
      </c>
      <c r="C69" s="1" t="s">
        <v>158</v>
      </c>
      <c r="D69" s="1">
        <f t="shared" si="14"/>
        <v>30</v>
      </c>
      <c r="E69" s="1">
        <f t="shared" si="15"/>
        <v>2.0902777777777781E-2</v>
      </c>
      <c r="F69" s="2">
        <f t="shared" si="16"/>
        <v>183.63692618860014</v>
      </c>
      <c r="G69" s="1">
        <v>2080</v>
      </c>
      <c r="H69" s="1">
        <v>3744</v>
      </c>
      <c r="I69" s="1">
        <v>0</v>
      </c>
      <c r="J69" s="1">
        <v>318</v>
      </c>
      <c r="K69" s="1">
        <f t="shared" si="17"/>
        <v>0</v>
      </c>
      <c r="L69" s="1">
        <f t="shared" si="18"/>
        <v>2.7748557692307689</v>
      </c>
      <c r="M69" s="1">
        <f t="shared" si="19"/>
        <v>2.7748557692307689</v>
      </c>
      <c r="N69" s="2">
        <f t="shared" si="13"/>
        <v>6.0543687301834828</v>
      </c>
      <c r="O69" s="1">
        <v>1795</v>
      </c>
      <c r="P69" s="1">
        <f t="shared" si="20"/>
        <v>77</v>
      </c>
      <c r="Q69" s="1">
        <f t="shared" si="21"/>
        <v>2.354415233964148</v>
      </c>
      <c r="R69" s="1">
        <f t="shared" si="22"/>
        <v>9.6842934303012496E-2</v>
      </c>
      <c r="S69" s="2">
        <f t="shared" si="23"/>
        <v>0.91639913364301118</v>
      </c>
      <c r="T69" s="2">
        <f t="shared" si="24"/>
        <v>1.5994182144494083E-2</v>
      </c>
      <c r="U69" s="1" t="s">
        <v>2507</v>
      </c>
      <c r="V69" s="6" t="s">
        <v>2505</v>
      </c>
    </row>
    <row r="70" spans="1:24" ht="14.25" customHeight="1" x14ac:dyDescent="0.3">
      <c r="A70" s="1" t="s">
        <v>30</v>
      </c>
      <c r="B70" s="1" t="s">
        <v>159</v>
      </c>
      <c r="C70" s="1" t="s">
        <v>160</v>
      </c>
      <c r="D70" s="1">
        <f t="shared" si="14"/>
        <v>75</v>
      </c>
      <c r="E70" s="1">
        <f t="shared" si="15"/>
        <v>0.80123842592592587</v>
      </c>
      <c r="F70" s="2">
        <f t="shared" si="16"/>
        <v>471.28325849079448</v>
      </c>
      <c r="G70" s="1">
        <v>2080</v>
      </c>
      <c r="H70" s="1">
        <v>3744</v>
      </c>
      <c r="I70" s="1">
        <v>0</v>
      </c>
      <c r="J70" s="1">
        <v>157</v>
      </c>
      <c r="K70" s="1">
        <f t="shared" si="17"/>
        <v>0</v>
      </c>
      <c r="L70" s="1">
        <f t="shared" si="18"/>
        <v>1.3699759615384615</v>
      </c>
      <c r="M70" s="1">
        <f t="shared" si="19"/>
        <v>1.3699759615384615</v>
      </c>
      <c r="N70" s="2">
        <f t="shared" si="13"/>
        <v>12.262988892983104</v>
      </c>
      <c r="O70" s="1">
        <v>1792</v>
      </c>
      <c r="P70" s="1">
        <f t="shared" si="20"/>
        <v>80</v>
      </c>
      <c r="Q70" s="1">
        <f t="shared" si="21"/>
        <v>4.7688155694305667</v>
      </c>
      <c r="R70" s="1">
        <f t="shared" si="22"/>
        <v>0.20379553715515242</v>
      </c>
      <c r="S70" s="2">
        <f t="shared" si="23"/>
        <v>0.95209654689893142</v>
      </c>
      <c r="T70" s="2">
        <f t="shared" si="24"/>
        <v>1.6617219540254961E-2</v>
      </c>
      <c r="U70" s="1" t="s">
        <v>2507</v>
      </c>
      <c r="V70" s="6" t="s">
        <v>2505</v>
      </c>
    </row>
    <row r="71" spans="1:24" ht="14.25" customHeight="1" x14ac:dyDescent="0.3">
      <c r="A71" s="1" t="s">
        <v>17</v>
      </c>
      <c r="B71" s="1" t="s">
        <v>161</v>
      </c>
      <c r="C71" s="1" t="s">
        <v>162</v>
      </c>
      <c r="D71" s="1">
        <f t="shared" si="14"/>
        <v>6</v>
      </c>
      <c r="E71" s="1">
        <f t="shared" si="15"/>
        <v>0.77322916666666675</v>
      </c>
      <c r="F71" s="2">
        <f t="shared" si="16"/>
        <v>37.56748492916023</v>
      </c>
      <c r="G71" s="1">
        <v>2080</v>
      </c>
      <c r="H71" s="1">
        <v>3744</v>
      </c>
      <c r="I71" s="1">
        <v>0</v>
      </c>
      <c r="J71" s="1">
        <v>111</v>
      </c>
      <c r="K71" s="1">
        <f t="shared" si="17"/>
        <v>0</v>
      </c>
      <c r="L71" s="1">
        <f t="shared" si="18"/>
        <v>0.96858173076923071</v>
      </c>
      <c r="M71" s="1">
        <f t="shared" si="19"/>
        <v>0.96858173076923071</v>
      </c>
      <c r="N71" s="2">
        <f t="shared" si="13"/>
        <v>17.344948254039164</v>
      </c>
      <c r="O71" s="1">
        <v>1791</v>
      </c>
      <c r="P71" s="1">
        <f t="shared" si="20"/>
        <v>81</v>
      </c>
      <c r="Q71" s="1">
        <f t="shared" si="21"/>
        <v>6.7450814810864772</v>
      </c>
      <c r="R71" s="1">
        <f t="shared" si="22"/>
        <v>0.29185448716239565</v>
      </c>
      <c r="S71" s="2">
        <f t="shared" si="23"/>
        <v>0.96399552174853165</v>
      </c>
      <c r="T71" s="2">
        <f t="shared" si="24"/>
        <v>1.6824895828992482E-2</v>
      </c>
      <c r="U71" s="1" t="s">
        <v>2507</v>
      </c>
      <c r="V71" s="6" t="s">
        <v>2505</v>
      </c>
    </row>
    <row r="72" spans="1:24" ht="14.25" customHeight="1" x14ac:dyDescent="0.3">
      <c r="A72" s="1" t="s">
        <v>27</v>
      </c>
      <c r="B72" s="1" t="s">
        <v>163</v>
      </c>
      <c r="C72" s="1" t="s">
        <v>164</v>
      </c>
      <c r="D72" s="1">
        <f t="shared" si="14"/>
        <v>54</v>
      </c>
      <c r="E72" s="1">
        <f t="shared" si="15"/>
        <v>0.17504629629629631</v>
      </c>
      <c r="F72" s="2">
        <f t="shared" si="16"/>
        <v>335.40188585166277</v>
      </c>
      <c r="G72" s="1">
        <v>2080</v>
      </c>
      <c r="H72" s="1">
        <v>3744</v>
      </c>
      <c r="I72" s="1">
        <v>0</v>
      </c>
      <c r="J72" s="1">
        <v>184</v>
      </c>
      <c r="K72" s="1">
        <f t="shared" si="17"/>
        <v>0</v>
      </c>
      <c r="L72" s="1">
        <f t="shared" si="18"/>
        <v>1.605576923076923</v>
      </c>
      <c r="M72" s="1">
        <f t="shared" si="19"/>
        <v>1.605576923076923</v>
      </c>
      <c r="N72" s="2">
        <f t="shared" si="13"/>
        <v>10.463528566295366</v>
      </c>
      <c r="O72" s="1">
        <v>1791</v>
      </c>
      <c r="P72" s="1">
        <f t="shared" si="20"/>
        <v>81</v>
      </c>
      <c r="Q72" s="1">
        <f t="shared" si="21"/>
        <v>4.069043719568473</v>
      </c>
      <c r="R72" s="1">
        <f t="shared" si="22"/>
        <v>0.1760643917120974</v>
      </c>
      <c r="S72" s="2">
        <f t="shared" si="23"/>
        <v>0.96399552174853165</v>
      </c>
      <c r="T72" s="2">
        <f t="shared" si="24"/>
        <v>1.6824895828992482E-2</v>
      </c>
      <c r="U72" s="1" t="s">
        <v>2507</v>
      </c>
      <c r="V72" s="6" t="s">
        <v>2505</v>
      </c>
    </row>
    <row r="73" spans="1:24" ht="14.25" customHeight="1" x14ac:dyDescent="0.3">
      <c r="A73" s="1" t="s">
        <v>17</v>
      </c>
      <c r="B73" s="1" t="s">
        <v>165</v>
      </c>
      <c r="C73" s="1" t="s">
        <v>166</v>
      </c>
      <c r="D73" s="1">
        <f t="shared" si="14"/>
        <v>38</v>
      </c>
      <c r="E73" s="1">
        <f t="shared" si="15"/>
        <v>0.77290509259259255</v>
      </c>
      <c r="F73" s="2">
        <f t="shared" si="16"/>
        <v>238.62737854144635</v>
      </c>
      <c r="G73" s="1">
        <v>2080</v>
      </c>
      <c r="H73" s="1">
        <v>3744</v>
      </c>
      <c r="I73" s="1">
        <v>0</v>
      </c>
      <c r="J73" s="1">
        <v>238</v>
      </c>
      <c r="K73" s="1">
        <f t="shared" si="17"/>
        <v>0</v>
      </c>
      <c r="L73" s="1">
        <f t="shared" si="18"/>
        <v>2.0767788461538461</v>
      </c>
      <c r="M73" s="1">
        <f t="shared" si="19"/>
        <v>2.0767788461538461</v>
      </c>
      <c r="N73" s="2">
        <f t="shared" si="13"/>
        <v>8.0894506562955772</v>
      </c>
      <c r="O73" s="1">
        <v>1790</v>
      </c>
      <c r="P73" s="1">
        <f t="shared" si="20"/>
        <v>82</v>
      </c>
      <c r="Q73" s="1">
        <f t="shared" si="21"/>
        <v>3.1458153126075588</v>
      </c>
      <c r="R73" s="1">
        <f t="shared" si="22"/>
        <v>0.13779746561635672</v>
      </c>
      <c r="S73" s="2">
        <f t="shared" si="23"/>
        <v>0.97589441343769112</v>
      </c>
      <c r="T73" s="2">
        <f t="shared" si="24"/>
        <v>1.7032570666306503E-2</v>
      </c>
      <c r="U73" s="1" t="s">
        <v>2507</v>
      </c>
      <c r="V73" s="6" t="s">
        <v>2505</v>
      </c>
    </row>
    <row r="74" spans="1:24" ht="14.25" customHeight="1" x14ac:dyDescent="0.3">
      <c r="A74" s="1" t="s">
        <v>40</v>
      </c>
      <c r="B74" s="1" t="s">
        <v>167</v>
      </c>
      <c r="C74" s="1" t="s">
        <v>168</v>
      </c>
      <c r="D74" s="1">
        <f t="shared" si="14"/>
        <v>92</v>
      </c>
      <c r="E74" s="1">
        <f t="shared" si="15"/>
        <v>0.3107638888888889</v>
      </c>
      <c r="F74" s="2">
        <f t="shared" si="16"/>
        <v>575.01566630819059</v>
      </c>
      <c r="G74" s="1">
        <v>2080</v>
      </c>
      <c r="H74" s="1">
        <v>3744</v>
      </c>
      <c r="I74" s="1">
        <v>0</v>
      </c>
      <c r="J74" s="1">
        <v>101</v>
      </c>
      <c r="K74" s="1">
        <f t="shared" si="17"/>
        <v>0</v>
      </c>
      <c r="L74" s="1">
        <f t="shared" si="18"/>
        <v>0.88132211538461536</v>
      </c>
      <c r="M74" s="1">
        <f t="shared" si="19"/>
        <v>0.88132211538461536</v>
      </c>
      <c r="N74" s="2">
        <f t="shared" si="13"/>
        <v>19.062269863349972</v>
      </c>
      <c r="O74" s="1">
        <v>1790</v>
      </c>
      <c r="P74" s="1">
        <f t="shared" si="20"/>
        <v>82</v>
      </c>
      <c r="Q74" s="1">
        <f t="shared" si="21"/>
        <v>7.4129113306989991</v>
      </c>
      <c r="R74" s="1">
        <f t="shared" si="22"/>
        <v>0.32471085957121681</v>
      </c>
      <c r="S74" s="2">
        <f t="shared" si="23"/>
        <v>0.97589441343769112</v>
      </c>
      <c r="T74" s="2">
        <f t="shared" si="24"/>
        <v>1.7032570666306503E-2</v>
      </c>
      <c r="U74" s="1" t="s">
        <v>2507</v>
      </c>
      <c r="V74" s="6" t="s">
        <v>2505</v>
      </c>
    </row>
    <row r="75" spans="1:24" ht="14.25" customHeight="1" x14ac:dyDescent="0.3">
      <c r="A75" s="1" t="s">
        <v>40</v>
      </c>
      <c r="B75" s="1" t="s">
        <v>169</v>
      </c>
      <c r="C75" s="1" t="s">
        <v>170</v>
      </c>
      <c r="D75" s="1">
        <f t="shared" si="14"/>
        <v>41</v>
      </c>
      <c r="E75" s="1">
        <f t="shared" si="15"/>
        <v>0.94296296296296289</v>
      </c>
      <c r="F75" s="2">
        <f t="shared" si="16"/>
        <v>258.5454395754665</v>
      </c>
      <c r="G75" s="1">
        <v>2080</v>
      </c>
      <c r="H75" s="1">
        <v>3744</v>
      </c>
      <c r="I75" s="1">
        <v>0</v>
      </c>
      <c r="J75" s="1">
        <v>94</v>
      </c>
      <c r="K75" s="1">
        <f t="shared" si="17"/>
        <v>0</v>
      </c>
      <c r="L75" s="1">
        <f t="shared" si="18"/>
        <v>0.82024038461538462</v>
      </c>
      <c r="M75" s="1">
        <f t="shared" si="19"/>
        <v>0.82024038461538462</v>
      </c>
      <c r="N75" s="2">
        <f t="shared" si="13"/>
        <v>20.481800597854757</v>
      </c>
      <c r="O75" s="1">
        <v>1790</v>
      </c>
      <c r="P75" s="1">
        <f t="shared" si="20"/>
        <v>82</v>
      </c>
      <c r="Q75" s="1">
        <f t="shared" si="21"/>
        <v>7.9649366425595636</v>
      </c>
      <c r="R75" s="1">
        <f t="shared" si="22"/>
        <v>0.34889145549673301</v>
      </c>
      <c r="S75" s="2">
        <f t="shared" si="23"/>
        <v>0.97589441343769123</v>
      </c>
      <c r="T75" s="2">
        <f t="shared" si="24"/>
        <v>1.7032570666306507E-2</v>
      </c>
      <c r="U75" s="1" t="s">
        <v>2507</v>
      </c>
      <c r="V75" s="6" t="s">
        <v>2505</v>
      </c>
    </row>
    <row r="76" spans="1:24" ht="14.25" customHeight="1" x14ac:dyDescent="0.3">
      <c r="A76" s="1" t="s">
        <v>40</v>
      </c>
      <c r="B76" s="1" t="s">
        <v>171</v>
      </c>
      <c r="C76" s="1" t="s">
        <v>172</v>
      </c>
      <c r="D76" s="1">
        <f t="shared" si="14"/>
        <v>32</v>
      </c>
      <c r="E76" s="1">
        <f t="shared" si="15"/>
        <v>0.98699074074074078</v>
      </c>
      <c r="F76" s="2">
        <f t="shared" si="16"/>
        <v>202.27340649729129</v>
      </c>
      <c r="G76" s="1">
        <v>2080</v>
      </c>
      <c r="H76" s="1">
        <v>3744</v>
      </c>
      <c r="I76" s="1">
        <v>0</v>
      </c>
      <c r="J76" s="1">
        <v>124</v>
      </c>
      <c r="K76" s="1">
        <f t="shared" si="17"/>
        <v>0</v>
      </c>
      <c r="L76" s="1">
        <f t="shared" si="18"/>
        <v>1.0820192307692307</v>
      </c>
      <c r="M76" s="1">
        <f t="shared" si="19"/>
        <v>1.0820192307692307</v>
      </c>
      <c r="N76" s="2">
        <f t="shared" si="13"/>
        <v>15.526526259664092</v>
      </c>
      <c r="O76" s="1">
        <v>1788</v>
      </c>
      <c r="P76" s="1">
        <f t="shared" si="20"/>
        <v>84</v>
      </c>
      <c r="Q76" s="1">
        <f t="shared" si="21"/>
        <v>6.0379358419403149</v>
      </c>
      <c r="R76" s="1">
        <f t="shared" si="22"/>
        <v>0.27093301854860385</v>
      </c>
      <c r="S76" s="2">
        <f t="shared" si="23"/>
        <v>0.99969194323277999</v>
      </c>
      <c r="T76" s="2">
        <f t="shared" si="24"/>
        <v>1.7447915915072255E-2</v>
      </c>
      <c r="U76" s="1" t="s">
        <v>2507</v>
      </c>
      <c r="V76" s="6" t="s">
        <v>2505</v>
      </c>
    </row>
    <row r="77" spans="1:24" ht="14.25" customHeight="1" x14ac:dyDescent="0.3">
      <c r="A77" s="1" t="s">
        <v>14</v>
      </c>
      <c r="B77" s="1" t="s">
        <v>173</v>
      </c>
      <c r="C77" s="1" t="s">
        <v>174</v>
      </c>
      <c r="D77" s="1">
        <f t="shared" si="14"/>
        <v>35</v>
      </c>
      <c r="E77" s="1">
        <f t="shared" si="15"/>
        <v>0.96207175925925925</v>
      </c>
      <c r="F77" s="2">
        <f t="shared" si="16"/>
        <v>220.96639184051571</v>
      </c>
      <c r="G77" s="1">
        <v>2080</v>
      </c>
      <c r="H77" s="1">
        <v>3744</v>
      </c>
      <c r="I77" s="1">
        <v>0</v>
      </c>
      <c r="J77" s="1">
        <v>67</v>
      </c>
      <c r="K77" s="1">
        <f t="shared" si="17"/>
        <v>0</v>
      </c>
      <c r="L77" s="1">
        <f t="shared" si="18"/>
        <v>0.58463942307692307</v>
      </c>
      <c r="M77" s="1">
        <f t="shared" si="19"/>
        <v>0.58463942307692307</v>
      </c>
      <c r="N77" s="2">
        <f t="shared" si="13"/>
        <v>28.735660540273837</v>
      </c>
      <c r="O77" s="1">
        <v>1788</v>
      </c>
      <c r="P77" s="1">
        <f t="shared" si="20"/>
        <v>84</v>
      </c>
      <c r="Q77" s="1">
        <f t="shared" si="21"/>
        <v>11.174687229859686</v>
      </c>
      <c r="R77" s="1">
        <f t="shared" si="22"/>
        <v>0.50142827313472949</v>
      </c>
      <c r="S77" s="2">
        <f t="shared" si="23"/>
        <v>0.99969194323277999</v>
      </c>
      <c r="T77" s="2">
        <f t="shared" si="24"/>
        <v>1.7447915915072255E-2</v>
      </c>
      <c r="U77" s="1" t="s">
        <v>2507</v>
      </c>
      <c r="V77" s="6" t="s">
        <v>2505</v>
      </c>
    </row>
    <row r="78" spans="1:24" ht="14.25" customHeight="1" x14ac:dyDescent="0.3">
      <c r="A78" s="1" t="s">
        <v>14</v>
      </c>
      <c r="B78" s="1" t="s">
        <v>175</v>
      </c>
      <c r="C78" s="1" t="s">
        <v>176</v>
      </c>
      <c r="D78" s="1">
        <f t="shared" si="14"/>
        <v>45</v>
      </c>
      <c r="E78" s="1">
        <f t="shared" si="15"/>
        <v>0.78761574074074081</v>
      </c>
      <c r="F78" s="2">
        <f t="shared" si="16"/>
        <v>282.702105420007</v>
      </c>
      <c r="G78" s="1">
        <v>2080</v>
      </c>
      <c r="H78" s="1">
        <v>3744</v>
      </c>
      <c r="I78" s="1">
        <v>0</v>
      </c>
      <c r="J78" s="1">
        <v>267</v>
      </c>
      <c r="K78" s="1">
        <f t="shared" si="17"/>
        <v>0</v>
      </c>
      <c r="L78" s="1">
        <f t="shared" si="18"/>
        <v>2.3298317307692304</v>
      </c>
      <c r="M78" s="1">
        <f t="shared" si="19"/>
        <v>2.3298317307692304</v>
      </c>
      <c r="N78" s="2">
        <f t="shared" si="13"/>
        <v>7.210821184263474</v>
      </c>
      <c r="O78" s="1">
        <v>1788</v>
      </c>
      <c r="P78" s="1">
        <f t="shared" si="20"/>
        <v>84</v>
      </c>
      <c r="Q78" s="1">
        <f t="shared" si="21"/>
        <v>2.8041349977550527</v>
      </c>
      <c r="R78" s="1">
        <f t="shared" si="22"/>
        <v>0.1258265704120857</v>
      </c>
      <c r="S78" s="2">
        <f t="shared" si="23"/>
        <v>0.99969194323277999</v>
      </c>
      <c r="T78" s="2">
        <f t="shared" si="24"/>
        <v>1.7447915915072255E-2</v>
      </c>
      <c r="U78" s="1" t="s">
        <v>2507</v>
      </c>
      <c r="V78" s="6" t="s">
        <v>2505</v>
      </c>
    </row>
    <row r="79" spans="1:24" ht="14.25" customHeight="1" x14ac:dyDescent="0.3">
      <c r="A79" s="1" t="s">
        <v>177</v>
      </c>
      <c r="B79" s="1" t="s">
        <v>178</v>
      </c>
      <c r="C79" s="1" t="s">
        <v>179</v>
      </c>
      <c r="D79" s="1">
        <f t="shared" si="14"/>
        <v>36</v>
      </c>
      <c r="E79" s="1">
        <f t="shared" si="15"/>
        <v>0.75394675925925936</v>
      </c>
      <c r="F79" s="2">
        <f t="shared" si="16"/>
        <v>225.94188920563852</v>
      </c>
      <c r="G79" s="1">
        <v>2080</v>
      </c>
      <c r="H79" s="1">
        <v>3744</v>
      </c>
      <c r="I79" s="1">
        <v>0</v>
      </c>
      <c r="J79" s="1">
        <v>354</v>
      </c>
      <c r="K79" s="1">
        <f t="shared" si="17"/>
        <v>0</v>
      </c>
      <c r="L79" s="1">
        <f t="shared" si="18"/>
        <v>3.0889903846153843</v>
      </c>
      <c r="M79" s="1">
        <f t="shared" si="19"/>
        <v>3.0889903846153843</v>
      </c>
      <c r="N79" s="2">
        <f t="shared" si="13"/>
        <v>5.4386702152495685</v>
      </c>
      <c r="O79" s="1">
        <v>1788</v>
      </c>
      <c r="P79" s="1">
        <f t="shared" si="20"/>
        <v>84</v>
      </c>
      <c r="Q79" s="1">
        <f t="shared" si="21"/>
        <v>2.1149831762728786</v>
      </c>
      <c r="R79" s="1">
        <f t="shared" si="22"/>
        <v>9.4903091243013785E-2</v>
      </c>
      <c r="S79" s="2">
        <f t="shared" si="23"/>
        <v>0.9996919432327801</v>
      </c>
      <c r="T79" s="2">
        <f t="shared" si="24"/>
        <v>1.7447915915072259E-2</v>
      </c>
      <c r="U79" s="1" t="s">
        <v>2507</v>
      </c>
      <c r="V79" s="6" t="s">
        <v>2505</v>
      </c>
    </row>
    <row r="80" spans="1:24" ht="14.25" customHeight="1" x14ac:dyDescent="0.3">
      <c r="A80" s="1" t="s">
        <v>40</v>
      </c>
      <c r="B80" s="1" t="s">
        <v>180</v>
      </c>
      <c r="C80" s="1" t="s">
        <v>181</v>
      </c>
      <c r="D80" s="1">
        <f t="shared" si="14"/>
        <v>41</v>
      </c>
      <c r="E80" s="1">
        <f t="shared" si="15"/>
        <v>0.77774305555555545</v>
      </c>
      <c r="F80" s="2">
        <f t="shared" si="16"/>
        <v>257.50733228079065</v>
      </c>
      <c r="G80" s="1">
        <v>2080</v>
      </c>
      <c r="H80" s="1">
        <v>3744</v>
      </c>
      <c r="I80" s="1">
        <v>0</v>
      </c>
      <c r="J80" s="1">
        <v>93</v>
      </c>
      <c r="K80" s="1">
        <f t="shared" si="17"/>
        <v>0</v>
      </c>
      <c r="L80" s="1">
        <f t="shared" si="18"/>
        <v>0.81151442307692301</v>
      </c>
      <c r="M80" s="1">
        <f t="shared" si="19"/>
        <v>0.81151442307692301</v>
      </c>
      <c r="N80" s="2">
        <f t="shared" si="13"/>
        <v>20.702035012885457</v>
      </c>
      <c r="O80" s="1">
        <v>1787</v>
      </c>
      <c r="P80" s="1">
        <f t="shared" si="20"/>
        <v>85</v>
      </c>
      <c r="Q80" s="1">
        <f t="shared" si="21"/>
        <v>8.0505811225870865</v>
      </c>
      <c r="R80" s="1">
        <f t="shared" si="22"/>
        <v>0.36554454883541793</v>
      </c>
      <c r="S80" s="2">
        <f t="shared" si="23"/>
        <v>1.0115905792878643</v>
      </c>
      <c r="T80" s="2">
        <f t="shared" si="24"/>
        <v>1.7655586290729986E-2</v>
      </c>
      <c r="U80" s="1" t="s">
        <v>2507</v>
      </c>
      <c r="V80" s="6" t="s">
        <v>2505</v>
      </c>
      <c r="W80" s="1"/>
      <c r="X80" s="1"/>
    </row>
    <row r="81" spans="1:22" ht="14.25" customHeight="1" x14ac:dyDescent="0.3">
      <c r="A81" s="1" t="s">
        <v>27</v>
      </c>
      <c r="B81" s="1" t="s">
        <v>182</v>
      </c>
      <c r="C81" s="1" t="s">
        <v>183</v>
      </c>
      <c r="D81" s="1">
        <f t="shared" si="14"/>
        <v>55</v>
      </c>
      <c r="E81" s="1">
        <f t="shared" si="15"/>
        <v>0.78331018518518514</v>
      </c>
      <c r="F81" s="2">
        <f t="shared" si="16"/>
        <v>345.50690588839694</v>
      </c>
      <c r="G81" s="1">
        <v>2080</v>
      </c>
      <c r="H81" s="1">
        <v>3744</v>
      </c>
      <c r="I81" s="1">
        <v>0</v>
      </c>
      <c r="J81" s="1">
        <v>195</v>
      </c>
      <c r="K81" s="1">
        <f t="shared" si="17"/>
        <v>0</v>
      </c>
      <c r="L81" s="1">
        <f t="shared" si="18"/>
        <v>1.7015624999999999</v>
      </c>
      <c r="M81" s="1">
        <f t="shared" si="19"/>
        <v>1.7015624999999999</v>
      </c>
      <c r="N81" s="2">
        <f t="shared" si="13"/>
        <v>9.8732782369146026</v>
      </c>
      <c r="O81" s="1">
        <v>1786</v>
      </c>
      <c r="P81" s="1">
        <f t="shared" si="20"/>
        <v>86</v>
      </c>
      <c r="Q81" s="1">
        <f t="shared" si="21"/>
        <v>3.8395079200030722</v>
      </c>
      <c r="R81" s="1">
        <f t="shared" si="22"/>
        <v>0.17638765017108132</v>
      </c>
      <c r="S81" s="2">
        <f t="shared" si="23"/>
        <v>1.0234891280808189</v>
      </c>
      <c r="T81" s="2">
        <f t="shared" si="24"/>
        <v>1.7863255143376243E-2</v>
      </c>
      <c r="U81" s="1" t="s">
        <v>2507</v>
      </c>
      <c r="V81" s="6" t="s">
        <v>2505</v>
      </c>
    </row>
    <row r="82" spans="1:22" ht="14.25" customHeight="1" x14ac:dyDescent="0.3">
      <c r="A82" s="1" t="s">
        <v>40</v>
      </c>
      <c r="B82" s="1" t="s">
        <v>184</v>
      </c>
      <c r="C82" s="1" t="s">
        <v>185</v>
      </c>
      <c r="D82" s="1">
        <f t="shared" si="14"/>
        <v>28</v>
      </c>
      <c r="E82" s="1">
        <f t="shared" si="15"/>
        <v>0.23519675925925929</v>
      </c>
      <c r="F82" s="2">
        <f t="shared" si="16"/>
        <v>172.41700437010243</v>
      </c>
      <c r="G82" s="1">
        <v>2080</v>
      </c>
      <c r="H82" s="1">
        <v>3744</v>
      </c>
      <c r="I82" s="1">
        <v>0</v>
      </c>
      <c r="J82" s="1">
        <v>206</v>
      </c>
      <c r="K82" s="1">
        <f t="shared" si="17"/>
        <v>0</v>
      </c>
      <c r="L82" s="1">
        <f t="shared" si="18"/>
        <v>1.7975480769230767</v>
      </c>
      <c r="M82" s="1">
        <f t="shared" si="19"/>
        <v>1.7975480769230767</v>
      </c>
      <c r="N82" s="2">
        <f t="shared" si="13"/>
        <v>9.3460643504774144</v>
      </c>
      <c r="O82" s="1">
        <v>1783</v>
      </c>
      <c r="P82" s="1">
        <f t="shared" si="20"/>
        <v>89</v>
      </c>
      <c r="Q82" s="1">
        <f t="shared" si="21"/>
        <v>3.6344856524300924</v>
      </c>
      <c r="R82" s="1">
        <f t="shared" si="22"/>
        <v>0.17279338839010588</v>
      </c>
      <c r="S82" s="2">
        <f t="shared" si="23"/>
        <v>1.0591842406340282</v>
      </c>
      <c r="T82" s="2">
        <f t="shared" si="24"/>
        <v>1.8486252384299705E-2</v>
      </c>
      <c r="U82" s="1" t="s">
        <v>2507</v>
      </c>
      <c r="V82" s="6" t="s">
        <v>2505</v>
      </c>
    </row>
    <row r="83" spans="1:22" ht="14.25" customHeight="1" x14ac:dyDescent="0.3">
      <c r="A83" s="1" t="s">
        <v>40</v>
      </c>
      <c r="B83" s="1" t="s">
        <v>186</v>
      </c>
      <c r="C83" s="1" t="s">
        <v>187</v>
      </c>
      <c r="D83" s="1">
        <f t="shared" si="14"/>
        <v>76</v>
      </c>
      <c r="E83" s="1">
        <f t="shared" si="15"/>
        <v>0.74685185185185177</v>
      </c>
      <c r="F83" s="2">
        <f t="shared" si="16"/>
        <v>477.22472287484402</v>
      </c>
      <c r="G83" s="1">
        <v>2080</v>
      </c>
      <c r="H83" s="1">
        <v>3744</v>
      </c>
      <c r="I83" s="1">
        <v>0</v>
      </c>
      <c r="J83" s="1">
        <v>106</v>
      </c>
      <c r="K83" s="1">
        <f t="shared" si="17"/>
        <v>0</v>
      </c>
      <c r="L83" s="1">
        <f t="shared" si="18"/>
        <v>0.92495192307692298</v>
      </c>
      <c r="M83" s="1">
        <f t="shared" si="19"/>
        <v>0.92495192307692298</v>
      </c>
      <c r="N83" s="2">
        <f t="shared" si="13"/>
        <v>18.163106190550447</v>
      </c>
      <c r="O83" s="1">
        <v>1782</v>
      </c>
      <c r="P83" s="1">
        <f t="shared" si="20"/>
        <v>90</v>
      </c>
      <c r="Q83" s="1">
        <f t="shared" si="21"/>
        <v>7.0632457018924439</v>
      </c>
      <c r="R83" s="1">
        <f t="shared" si="22"/>
        <v>0.33957912028329057</v>
      </c>
      <c r="S83" s="2">
        <f t="shared" si="23"/>
        <v>1.0710824301258175</v>
      </c>
      <c r="T83" s="2">
        <f t="shared" si="24"/>
        <v>1.8693914965957618E-2</v>
      </c>
      <c r="U83" s="1" t="s">
        <v>2507</v>
      </c>
      <c r="V83" s="6" t="s">
        <v>2505</v>
      </c>
    </row>
    <row r="84" spans="1:22" ht="14.25" customHeight="1" x14ac:dyDescent="0.3">
      <c r="A84" s="1" t="s">
        <v>20</v>
      </c>
      <c r="B84" s="1" t="s">
        <v>188</v>
      </c>
      <c r="C84" s="1" t="s">
        <v>189</v>
      </c>
      <c r="D84" s="1">
        <f t="shared" si="14"/>
        <v>81</v>
      </c>
      <c r="E84" s="1">
        <f t="shared" si="15"/>
        <v>0.1228587962962963</v>
      </c>
      <c r="F84" s="2">
        <f t="shared" si="16"/>
        <v>504.71998541229317</v>
      </c>
      <c r="G84" s="1">
        <v>2080</v>
      </c>
      <c r="H84" s="1">
        <v>3744</v>
      </c>
      <c r="I84" s="1">
        <v>0</v>
      </c>
      <c r="J84" s="1">
        <v>248</v>
      </c>
      <c r="K84" s="1">
        <f t="shared" si="17"/>
        <v>0</v>
      </c>
      <c r="L84" s="1">
        <f t="shared" si="18"/>
        <v>2.1640384615384614</v>
      </c>
      <c r="M84" s="1">
        <f t="shared" si="19"/>
        <v>2.1640384615384614</v>
      </c>
      <c r="N84" s="2">
        <f t="shared" si="13"/>
        <v>7.7632631298320458</v>
      </c>
      <c r="O84" s="1">
        <v>1782</v>
      </c>
      <c r="P84" s="1">
        <f t="shared" si="20"/>
        <v>90</v>
      </c>
      <c r="Q84" s="1">
        <f t="shared" si="21"/>
        <v>3.0189679209701574</v>
      </c>
      <c r="R84" s="1">
        <f t="shared" si="22"/>
        <v>0.14514268850818066</v>
      </c>
      <c r="S84" s="2">
        <f t="shared" si="23"/>
        <v>1.0710824301258175</v>
      </c>
      <c r="T84" s="2">
        <f t="shared" si="24"/>
        <v>1.8693914965957618E-2</v>
      </c>
      <c r="U84" s="1" t="s">
        <v>2507</v>
      </c>
      <c r="V84" s="6" t="s">
        <v>2505</v>
      </c>
    </row>
    <row r="85" spans="1:22" ht="14.25" customHeight="1" x14ac:dyDescent="0.3">
      <c r="A85" s="1" t="s">
        <v>17</v>
      </c>
      <c r="B85" s="1" t="s">
        <v>190</v>
      </c>
      <c r="C85" s="1" t="s">
        <v>191</v>
      </c>
      <c r="D85" s="1">
        <f t="shared" si="14"/>
        <v>15</v>
      </c>
      <c r="E85" s="1">
        <f t="shared" si="15"/>
        <v>0.23724537037037038</v>
      </c>
      <c r="F85" s="2">
        <f t="shared" si="16"/>
        <v>90.748467180001285</v>
      </c>
      <c r="G85" s="1">
        <v>2080</v>
      </c>
      <c r="H85" s="1">
        <v>3744</v>
      </c>
      <c r="I85" s="1">
        <v>0</v>
      </c>
      <c r="J85" s="1">
        <v>228</v>
      </c>
      <c r="K85" s="1">
        <f t="shared" si="17"/>
        <v>0</v>
      </c>
      <c r="L85" s="1">
        <f t="shared" si="18"/>
        <v>1.9895192307692307</v>
      </c>
      <c r="M85" s="1">
        <f t="shared" si="19"/>
        <v>1.9895192307692307</v>
      </c>
      <c r="N85" s="2">
        <f t="shared" si="13"/>
        <v>8.4442511236769615</v>
      </c>
      <c r="O85" s="1">
        <v>1780</v>
      </c>
      <c r="P85" s="1">
        <f t="shared" si="20"/>
        <v>92</v>
      </c>
      <c r="Q85" s="1">
        <f t="shared" si="21"/>
        <v>3.2837896684236796</v>
      </c>
      <c r="R85" s="1">
        <f t="shared" si="22"/>
        <v>0.16138282558492442</v>
      </c>
      <c r="S85" s="2">
        <f t="shared" si="23"/>
        <v>1.0948785309196563</v>
      </c>
      <c r="T85" s="2">
        <f t="shared" si="24"/>
        <v>1.9109235273946541E-2</v>
      </c>
      <c r="U85" s="1" t="s">
        <v>2507</v>
      </c>
      <c r="V85" s="6" t="s">
        <v>2505</v>
      </c>
    </row>
    <row r="86" spans="1:22" ht="14.25" customHeight="1" x14ac:dyDescent="0.3">
      <c r="A86" s="1" t="s">
        <v>27</v>
      </c>
      <c r="B86" s="1" t="s">
        <v>192</v>
      </c>
      <c r="C86" s="1" t="s">
        <v>193</v>
      </c>
      <c r="D86" s="1">
        <f t="shared" si="14"/>
        <v>17</v>
      </c>
      <c r="E86" s="1">
        <f t="shared" si="15"/>
        <v>0.8529282407407407</v>
      </c>
      <c r="F86" s="2">
        <f t="shared" si="16"/>
        <v>107.18328735935373</v>
      </c>
      <c r="G86" s="1">
        <v>2080</v>
      </c>
      <c r="H86" s="1">
        <v>3744</v>
      </c>
      <c r="I86" s="1">
        <v>0</v>
      </c>
      <c r="J86" s="1">
        <v>240</v>
      </c>
      <c r="K86" s="1">
        <f t="shared" si="17"/>
        <v>0</v>
      </c>
      <c r="L86" s="1">
        <f t="shared" si="18"/>
        <v>2.0942307692307693</v>
      </c>
      <c r="M86" s="1">
        <f t="shared" si="19"/>
        <v>2.0942307692307693</v>
      </c>
      <c r="N86" s="2">
        <f t="shared" si="13"/>
        <v>8.0220385674931123</v>
      </c>
      <c r="O86" s="1">
        <v>1780</v>
      </c>
      <c r="P86" s="1">
        <f t="shared" si="20"/>
        <v>92</v>
      </c>
      <c r="Q86" s="1">
        <f t="shared" si="21"/>
        <v>3.1196001850024953</v>
      </c>
      <c r="R86" s="1">
        <f t="shared" si="22"/>
        <v>0.15331368430567818</v>
      </c>
      <c r="S86" s="2">
        <f t="shared" si="23"/>
        <v>1.0948785309196563</v>
      </c>
      <c r="T86" s="2">
        <f t="shared" si="24"/>
        <v>1.9109235273946541E-2</v>
      </c>
      <c r="U86" s="1" t="s">
        <v>2507</v>
      </c>
      <c r="V86" s="6" t="s">
        <v>2505</v>
      </c>
    </row>
    <row r="87" spans="1:22" ht="14.25" customHeight="1" x14ac:dyDescent="0.3">
      <c r="A87" s="1" t="s">
        <v>30</v>
      </c>
      <c r="B87" s="1" t="s">
        <v>194</v>
      </c>
      <c r="C87" s="1" t="s">
        <v>195</v>
      </c>
      <c r="D87" s="1">
        <f t="shared" si="14"/>
        <v>76</v>
      </c>
      <c r="E87" s="1">
        <f t="shared" si="15"/>
        <v>0.11350694444444444</v>
      </c>
      <c r="F87" s="2">
        <f t="shared" si="16"/>
        <v>473.24529945824474</v>
      </c>
      <c r="G87" s="1">
        <v>2080</v>
      </c>
      <c r="H87" s="1">
        <v>3744</v>
      </c>
      <c r="I87" s="1">
        <v>0</v>
      </c>
      <c r="J87" s="1">
        <v>151</v>
      </c>
      <c r="K87" s="1">
        <f t="shared" si="17"/>
        <v>0</v>
      </c>
      <c r="L87" s="1">
        <f t="shared" si="18"/>
        <v>1.3176201923076922</v>
      </c>
      <c r="M87" s="1">
        <f t="shared" si="19"/>
        <v>1.3176201923076922</v>
      </c>
      <c r="N87" s="2">
        <f t="shared" si="13"/>
        <v>12.750259974823493</v>
      </c>
      <c r="O87" s="1">
        <v>1776</v>
      </c>
      <c r="P87" s="1">
        <f t="shared" si="20"/>
        <v>96</v>
      </c>
      <c r="Q87" s="1">
        <f t="shared" si="21"/>
        <v>4.9583049298052915</v>
      </c>
      <c r="R87" s="1">
        <f t="shared" si="22"/>
        <v>0.25427204768232264</v>
      </c>
      <c r="S87" s="2">
        <f t="shared" si="23"/>
        <v>1.1424695910479203</v>
      </c>
      <c r="T87" s="2">
        <f t="shared" si="24"/>
        <v>1.9939855967699344E-2</v>
      </c>
      <c r="U87" s="1" t="s">
        <v>2507</v>
      </c>
      <c r="V87" s="6" t="s">
        <v>2505</v>
      </c>
    </row>
    <row r="88" spans="1:22" ht="14.25" customHeight="1" x14ac:dyDescent="0.3">
      <c r="A88" s="1" t="s">
        <v>196</v>
      </c>
      <c r="B88" s="1" t="s">
        <v>197</v>
      </c>
      <c r="C88" s="1" t="s">
        <v>198</v>
      </c>
      <c r="D88" s="1">
        <f t="shared" si="14"/>
        <v>49</v>
      </c>
      <c r="E88" s="1">
        <f t="shared" si="15"/>
        <v>0.18722222222222221</v>
      </c>
      <c r="F88" s="2">
        <f t="shared" si="16"/>
        <v>304.06246291464396</v>
      </c>
      <c r="G88" s="1">
        <v>2080</v>
      </c>
      <c r="H88" s="1">
        <v>3744</v>
      </c>
      <c r="I88" s="1">
        <v>0</v>
      </c>
      <c r="J88" s="1">
        <v>256</v>
      </c>
      <c r="K88" s="1">
        <f t="shared" si="17"/>
        <v>0</v>
      </c>
      <c r="L88" s="1">
        <f t="shared" si="18"/>
        <v>2.2338461538461538</v>
      </c>
      <c r="M88" s="1">
        <f t="shared" si="19"/>
        <v>2.2338461538461538</v>
      </c>
      <c r="N88" s="2">
        <f t="shared" si="13"/>
        <v>7.5206611570247937</v>
      </c>
      <c r="O88" s="1">
        <v>1773</v>
      </c>
      <c r="P88" s="1">
        <f t="shared" si="20"/>
        <v>99</v>
      </c>
      <c r="Q88" s="1">
        <f t="shared" si="21"/>
        <v>2.9246251734398396</v>
      </c>
      <c r="R88" s="1">
        <f t="shared" si="22"/>
        <v>0.15466767744152998</v>
      </c>
      <c r="S88" s="2">
        <f t="shared" si="23"/>
        <v>1.1781618550830173</v>
      </c>
      <c r="T88" s="2">
        <f t="shared" si="24"/>
        <v>2.0562803492602942E-2</v>
      </c>
      <c r="U88" s="1" t="s">
        <v>2507</v>
      </c>
      <c r="V88" s="6" t="s">
        <v>2505</v>
      </c>
    </row>
    <row r="89" spans="1:22" ht="14.25" customHeight="1" x14ac:dyDescent="0.3">
      <c r="A89" s="1" t="s">
        <v>17</v>
      </c>
      <c r="B89" s="1" t="s">
        <v>199</v>
      </c>
      <c r="C89" s="1" t="s">
        <v>200</v>
      </c>
      <c r="D89" s="1">
        <f t="shared" si="14"/>
        <v>76</v>
      </c>
      <c r="E89" s="1">
        <f t="shared" si="15"/>
        <v>0.17341435185185183</v>
      </c>
      <c r="F89" s="2">
        <f t="shared" si="16"/>
        <v>473.62170880025815</v>
      </c>
      <c r="G89" s="1">
        <v>2080</v>
      </c>
      <c r="H89" s="1">
        <v>3744</v>
      </c>
      <c r="I89" s="1">
        <v>0</v>
      </c>
      <c r="J89" s="1">
        <v>211</v>
      </c>
      <c r="K89" s="1">
        <f t="shared" si="17"/>
        <v>0</v>
      </c>
      <c r="L89" s="1">
        <f t="shared" si="18"/>
        <v>1.8411778846153843</v>
      </c>
      <c r="M89" s="1">
        <f t="shared" si="19"/>
        <v>1.8411778846153843</v>
      </c>
      <c r="N89" s="2">
        <f t="shared" si="13"/>
        <v>9.1245936312717895</v>
      </c>
      <c r="O89" s="1">
        <v>1771</v>
      </c>
      <c r="P89" s="1">
        <f t="shared" si="20"/>
        <v>101</v>
      </c>
      <c r="Q89" s="1">
        <f t="shared" si="21"/>
        <v>3.5483604000028395</v>
      </c>
      <c r="R89" s="1">
        <f t="shared" si="22"/>
        <v>0.19144465833348653</v>
      </c>
      <c r="S89" s="2">
        <f t="shared" si="23"/>
        <v>1.2019561914203114</v>
      </c>
      <c r="T89" s="2">
        <f t="shared" si="24"/>
        <v>2.0978093005015654E-2</v>
      </c>
      <c r="U89" s="1" t="s">
        <v>2507</v>
      </c>
      <c r="V89" s="6" t="s">
        <v>2505</v>
      </c>
    </row>
    <row r="90" spans="1:22" ht="14.25" customHeight="1" x14ac:dyDescent="0.3">
      <c r="A90" s="1" t="s">
        <v>30</v>
      </c>
      <c r="B90" s="1" t="s">
        <v>201</v>
      </c>
      <c r="C90" s="1" t="s">
        <v>202</v>
      </c>
      <c r="D90" s="1">
        <f t="shared" si="14"/>
        <v>33</v>
      </c>
      <c r="E90" s="1">
        <f t="shared" si="15"/>
        <v>6.2037037037037043E-3</v>
      </c>
      <c r="F90" s="2">
        <f t="shared" si="16"/>
        <v>202.39412510388755</v>
      </c>
      <c r="G90" s="1">
        <v>2080</v>
      </c>
      <c r="H90" s="1">
        <v>3744</v>
      </c>
      <c r="I90" s="1">
        <v>0</v>
      </c>
      <c r="J90" s="1">
        <v>268</v>
      </c>
      <c r="K90" s="1">
        <f t="shared" si="17"/>
        <v>0</v>
      </c>
      <c r="L90" s="1">
        <f t="shared" si="18"/>
        <v>2.3385576923076923</v>
      </c>
      <c r="M90" s="1">
        <f t="shared" si="19"/>
        <v>2.3385576923076923</v>
      </c>
      <c r="N90" s="2">
        <f t="shared" si="13"/>
        <v>7.1839151350684594</v>
      </c>
      <c r="O90" s="1">
        <v>1770</v>
      </c>
      <c r="P90" s="1">
        <f t="shared" si="20"/>
        <v>102</v>
      </c>
      <c r="Q90" s="1">
        <f t="shared" si="21"/>
        <v>2.7936718074649214</v>
      </c>
      <c r="R90" s="1">
        <f t="shared" si="22"/>
        <v>0.15221929720161431</v>
      </c>
      <c r="S90" s="2">
        <f t="shared" si="23"/>
        <v>1.2138532046092585</v>
      </c>
      <c r="T90" s="2">
        <f t="shared" si="24"/>
        <v>2.118573505631597E-2</v>
      </c>
      <c r="U90" s="1" t="s">
        <v>2507</v>
      </c>
      <c r="V90" s="6" t="s">
        <v>2505</v>
      </c>
    </row>
    <row r="91" spans="1:22" ht="14.25" customHeight="1" x14ac:dyDescent="0.3">
      <c r="A91" s="1" t="s">
        <v>40</v>
      </c>
      <c r="B91" s="1" t="s">
        <v>203</v>
      </c>
      <c r="C91" s="1" t="s">
        <v>204</v>
      </c>
      <c r="D91" s="1">
        <f t="shared" si="14"/>
        <v>58</v>
      </c>
      <c r="E91" s="1">
        <f t="shared" si="15"/>
        <v>0.71442129629629625</v>
      </c>
      <c r="F91" s="2">
        <f t="shared" si="16"/>
        <v>363.92362015544109</v>
      </c>
      <c r="G91" s="1">
        <v>2080</v>
      </c>
      <c r="H91" s="1">
        <v>3744</v>
      </c>
      <c r="I91" s="1">
        <v>0</v>
      </c>
      <c r="J91" s="1">
        <v>100</v>
      </c>
      <c r="K91" s="1">
        <f t="shared" si="17"/>
        <v>0</v>
      </c>
      <c r="L91" s="1">
        <f t="shared" si="18"/>
        <v>0.87259615384615374</v>
      </c>
      <c r="M91" s="1">
        <f t="shared" si="19"/>
        <v>0.87259615384615374</v>
      </c>
      <c r="N91" s="2">
        <f t="shared" si="13"/>
        <v>19.252892561983476</v>
      </c>
      <c r="O91" s="1">
        <v>1770</v>
      </c>
      <c r="P91" s="1">
        <f t="shared" si="20"/>
        <v>102</v>
      </c>
      <c r="Q91" s="1">
        <f t="shared" si="21"/>
        <v>7.4870404440059914</v>
      </c>
      <c r="R91" s="1">
        <f t="shared" si="22"/>
        <v>0.40794771650032646</v>
      </c>
      <c r="S91" s="2">
        <f t="shared" si="23"/>
        <v>1.2138532046092585</v>
      </c>
      <c r="T91" s="2">
        <f t="shared" si="24"/>
        <v>2.118573505631597E-2</v>
      </c>
      <c r="U91" s="1" t="s">
        <v>2507</v>
      </c>
      <c r="V91" s="6" t="s">
        <v>2505</v>
      </c>
    </row>
    <row r="92" spans="1:22" ht="14.25" customHeight="1" x14ac:dyDescent="0.3">
      <c r="A92" s="1" t="s">
        <v>20</v>
      </c>
      <c r="B92" s="1" t="s">
        <v>205</v>
      </c>
      <c r="C92" s="1" t="s">
        <v>206</v>
      </c>
      <c r="D92" s="1">
        <f t="shared" si="14"/>
        <v>78</v>
      </c>
      <c r="E92" s="1">
        <f t="shared" si="15"/>
        <v>0.25519675925925928</v>
      </c>
      <c r="F92" s="2">
        <f t="shared" si="16"/>
        <v>486.70193343522538</v>
      </c>
      <c r="G92" s="1">
        <v>2080</v>
      </c>
      <c r="H92" s="1">
        <v>3744</v>
      </c>
      <c r="I92" s="1">
        <v>0</v>
      </c>
      <c r="J92" s="1">
        <v>270</v>
      </c>
      <c r="K92" s="1">
        <f t="shared" si="17"/>
        <v>0</v>
      </c>
      <c r="L92" s="1">
        <f t="shared" si="18"/>
        <v>2.3560096153846155</v>
      </c>
      <c r="M92" s="1">
        <f t="shared" si="19"/>
        <v>2.3560096153846155</v>
      </c>
      <c r="N92" s="2">
        <f t="shared" si="13"/>
        <v>7.1307009488827671</v>
      </c>
      <c r="O92" s="1">
        <v>1768</v>
      </c>
      <c r="P92" s="1">
        <f t="shared" si="20"/>
        <v>104</v>
      </c>
      <c r="Q92" s="1">
        <f t="shared" si="21"/>
        <v>2.7729779422244403</v>
      </c>
      <c r="R92" s="1">
        <f t="shared" si="22"/>
        <v>0.15405433012358</v>
      </c>
      <c r="S92" s="2">
        <f t="shared" si="23"/>
        <v>1.2376469159051711</v>
      </c>
      <c r="T92" s="2">
        <f t="shared" si="24"/>
        <v>2.160101365969861E-2</v>
      </c>
      <c r="U92" s="1" t="s">
        <v>2507</v>
      </c>
      <c r="V92" s="6" t="s">
        <v>2505</v>
      </c>
    </row>
    <row r="93" spans="1:22" ht="14.25" customHeight="1" x14ac:dyDescent="0.3">
      <c r="A93" s="1" t="s">
        <v>40</v>
      </c>
      <c r="B93" s="1" t="s">
        <v>207</v>
      </c>
      <c r="C93" s="1" t="s">
        <v>208</v>
      </c>
      <c r="D93" s="1">
        <f t="shared" si="14"/>
        <v>33</v>
      </c>
      <c r="E93" s="1">
        <f t="shared" si="15"/>
        <v>2.9803240740740741E-2</v>
      </c>
      <c r="F93" s="2">
        <f t="shared" si="16"/>
        <v>202.54240536825489</v>
      </c>
      <c r="G93" s="1">
        <v>2080</v>
      </c>
      <c r="H93" s="1">
        <v>3744</v>
      </c>
      <c r="I93" s="1">
        <v>0</v>
      </c>
      <c r="J93" s="1">
        <v>211</v>
      </c>
      <c r="K93" s="1">
        <f t="shared" si="17"/>
        <v>0</v>
      </c>
      <c r="L93" s="1">
        <f t="shared" si="18"/>
        <v>1.8411778846153843</v>
      </c>
      <c r="M93" s="1">
        <f t="shared" si="19"/>
        <v>1.8411778846153843</v>
      </c>
      <c r="N93" s="2">
        <f t="shared" si="13"/>
        <v>9.1245936312717895</v>
      </c>
      <c r="O93" s="1">
        <v>1768</v>
      </c>
      <c r="P93" s="1">
        <f t="shared" si="20"/>
        <v>104</v>
      </c>
      <c r="Q93" s="1">
        <f t="shared" si="21"/>
        <v>3.5483604000028395</v>
      </c>
      <c r="R93" s="1">
        <f t="shared" si="22"/>
        <v>0.19713113333349108</v>
      </c>
      <c r="S93" s="2">
        <f t="shared" si="23"/>
        <v>1.2376469159051713</v>
      </c>
      <c r="T93" s="2">
        <f t="shared" si="24"/>
        <v>2.1601013659698614E-2</v>
      </c>
      <c r="U93" s="1" t="s">
        <v>2507</v>
      </c>
      <c r="V93" s="6" t="s">
        <v>2505</v>
      </c>
    </row>
    <row r="94" spans="1:22" ht="14.25" customHeight="1" x14ac:dyDescent="0.3">
      <c r="A94" s="1" t="s">
        <v>40</v>
      </c>
      <c r="B94" s="1" t="s">
        <v>209</v>
      </c>
      <c r="C94" s="1" t="s">
        <v>210</v>
      </c>
      <c r="D94" s="1">
        <f t="shared" si="14"/>
        <v>73</v>
      </c>
      <c r="E94" s="1">
        <f t="shared" si="15"/>
        <v>0.28356481481481483</v>
      </c>
      <c r="F94" s="2">
        <f t="shared" si="16"/>
        <v>455.46424864918731</v>
      </c>
      <c r="G94" s="1">
        <v>2080</v>
      </c>
      <c r="H94" s="1">
        <v>3744</v>
      </c>
      <c r="I94" s="1">
        <v>0</v>
      </c>
      <c r="J94" s="1">
        <v>150</v>
      </c>
      <c r="K94" s="1">
        <f t="shared" si="17"/>
        <v>0</v>
      </c>
      <c r="L94" s="1">
        <f t="shared" si="18"/>
        <v>1.3088942307692308</v>
      </c>
      <c r="M94" s="1">
        <f t="shared" si="19"/>
        <v>1.3088942307692308</v>
      </c>
      <c r="N94" s="2">
        <f t="shared" si="13"/>
        <v>12.83526170798898</v>
      </c>
      <c r="O94" s="1">
        <v>1768</v>
      </c>
      <c r="P94" s="1">
        <f t="shared" si="20"/>
        <v>104</v>
      </c>
      <c r="Q94" s="1">
        <f t="shared" si="21"/>
        <v>4.9913602960039931</v>
      </c>
      <c r="R94" s="1">
        <f t="shared" si="22"/>
        <v>0.27729779422244405</v>
      </c>
      <c r="S94" s="2">
        <f t="shared" si="23"/>
        <v>1.2376469159051713</v>
      </c>
      <c r="T94" s="2">
        <f t="shared" si="24"/>
        <v>2.1601013659698614E-2</v>
      </c>
      <c r="U94" s="1" t="s">
        <v>2507</v>
      </c>
      <c r="V94" s="6" t="s">
        <v>2505</v>
      </c>
    </row>
    <row r="95" spans="1:22" ht="14.25" customHeight="1" x14ac:dyDescent="0.3">
      <c r="A95" s="1" t="s">
        <v>40</v>
      </c>
      <c r="B95" s="1" t="s">
        <v>211</v>
      </c>
      <c r="C95" s="1" t="s">
        <v>212</v>
      </c>
      <c r="D95" s="1">
        <f t="shared" si="14"/>
        <v>92</v>
      </c>
      <c r="E95" s="1">
        <f t="shared" si="15"/>
        <v>0.30917824074074074</v>
      </c>
      <c r="F95" s="2">
        <f t="shared" si="16"/>
        <v>575.00570338704381</v>
      </c>
      <c r="G95" s="1">
        <v>2080</v>
      </c>
      <c r="H95" s="1">
        <v>3744</v>
      </c>
      <c r="I95" s="1">
        <v>0</v>
      </c>
      <c r="J95" s="1">
        <v>119</v>
      </c>
      <c r="K95" s="1">
        <f t="shared" si="17"/>
        <v>0</v>
      </c>
      <c r="L95" s="1">
        <f t="shared" si="18"/>
        <v>1.0383894230769231</v>
      </c>
      <c r="M95" s="1">
        <f t="shared" si="19"/>
        <v>1.0383894230769231</v>
      </c>
      <c r="N95" s="2">
        <f t="shared" si="13"/>
        <v>16.178901312591154</v>
      </c>
      <c r="O95" s="1">
        <v>1768</v>
      </c>
      <c r="P95" s="1">
        <f t="shared" si="20"/>
        <v>104</v>
      </c>
      <c r="Q95" s="1">
        <f t="shared" si="21"/>
        <v>6.2916306252151175</v>
      </c>
      <c r="R95" s="1">
        <f t="shared" si="22"/>
        <v>0.34953503473417319</v>
      </c>
      <c r="S95" s="2">
        <f t="shared" si="23"/>
        <v>1.2376469159051713</v>
      </c>
      <c r="T95" s="2">
        <f t="shared" si="24"/>
        <v>2.1601013659698614E-2</v>
      </c>
      <c r="U95" s="1" t="s">
        <v>2507</v>
      </c>
      <c r="V95" s="6" t="s">
        <v>2505</v>
      </c>
    </row>
    <row r="96" spans="1:22" ht="14.25" customHeight="1" x14ac:dyDescent="0.3">
      <c r="A96" s="1" t="s">
        <v>20</v>
      </c>
      <c r="B96" s="1" t="s">
        <v>213</v>
      </c>
      <c r="C96" s="1" t="s">
        <v>214</v>
      </c>
      <c r="D96" s="1">
        <f t="shared" si="14"/>
        <v>25</v>
      </c>
      <c r="E96" s="1">
        <f t="shared" si="15"/>
        <v>0.68739583333333332</v>
      </c>
      <c r="F96" s="2">
        <f t="shared" si="16"/>
        <v>156.4086990267061</v>
      </c>
      <c r="G96" s="1">
        <v>2080</v>
      </c>
      <c r="H96" s="1">
        <v>3744</v>
      </c>
      <c r="I96" s="1">
        <v>0</v>
      </c>
      <c r="J96" s="1">
        <v>214</v>
      </c>
      <c r="K96" s="1">
        <f t="shared" si="17"/>
        <v>0</v>
      </c>
      <c r="L96" s="1">
        <f t="shared" si="18"/>
        <v>1.8673557692307692</v>
      </c>
      <c r="M96" s="1">
        <f t="shared" si="19"/>
        <v>1.8673557692307692</v>
      </c>
      <c r="N96" s="2">
        <f t="shared" ref="N96:N127" si="25">42*0.4/M96</f>
        <v>8.9966787672819972</v>
      </c>
      <c r="O96" s="1">
        <v>1768</v>
      </c>
      <c r="P96" s="1">
        <f t="shared" si="20"/>
        <v>104</v>
      </c>
      <c r="Q96" s="1">
        <f t="shared" si="21"/>
        <v>3.4986170299093415</v>
      </c>
      <c r="R96" s="1">
        <f t="shared" si="22"/>
        <v>0.19436761277274117</v>
      </c>
      <c r="S96" s="2">
        <f t="shared" si="23"/>
        <v>1.2376469159051713</v>
      </c>
      <c r="T96" s="2">
        <f t="shared" si="24"/>
        <v>2.1601013659698614E-2</v>
      </c>
      <c r="U96" s="1" t="s">
        <v>2507</v>
      </c>
      <c r="V96" s="6" t="s">
        <v>2505</v>
      </c>
    </row>
    <row r="97" spans="1:22" ht="14.25" customHeight="1" x14ac:dyDescent="0.3">
      <c r="A97" s="1" t="s">
        <v>40</v>
      </c>
      <c r="B97" s="1" t="s">
        <v>215</v>
      </c>
      <c r="C97" s="1" t="s">
        <v>216</v>
      </c>
      <c r="D97" s="1">
        <f t="shared" si="14"/>
        <v>27</v>
      </c>
      <c r="E97" s="1">
        <f t="shared" si="15"/>
        <v>0.7228472222222222</v>
      </c>
      <c r="F97" s="2">
        <f t="shared" si="16"/>
        <v>169.19781728685106</v>
      </c>
      <c r="G97" s="1">
        <v>2080</v>
      </c>
      <c r="H97" s="1">
        <v>3744</v>
      </c>
      <c r="I97" s="1">
        <v>0</v>
      </c>
      <c r="J97" s="1">
        <v>219</v>
      </c>
      <c r="K97" s="1">
        <f t="shared" si="17"/>
        <v>0</v>
      </c>
      <c r="L97" s="1">
        <f t="shared" si="18"/>
        <v>1.9109855769230768</v>
      </c>
      <c r="M97" s="1">
        <f t="shared" si="19"/>
        <v>1.9109855769230768</v>
      </c>
      <c r="N97" s="2">
        <f t="shared" si="25"/>
        <v>8.7912751424582076</v>
      </c>
      <c r="O97" s="1">
        <v>1767</v>
      </c>
      <c r="P97" s="1">
        <f t="shared" si="20"/>
        <v>105</v>
      </c>
      <c r="Q97" s="1">
        <f t="shared" si="21"/>
        <v>3.4187399287698588</v>
      </c>
      <c r="R97" s="1">
        <f t="shared" si="22"/>
        <v>0.19175624600471966</v>
      </c>
      <c r="S97" s="2">
        <f t="shared" si="23"/>
        <v>1.2495436119632677</v>
      </c>
      <c r="T97" s="2">
        <f t="shared" si="24"/>
        <v>2.1808650176021429E-2</v>
      </c>
      <c r="U97" s="1" t="s">
        <v>2507</v>
      </c>
      <c r="V97" s="6" t="s">
        <v>2505</v>
      </c>
    </row>
    <row r="98" spans="1:22" ht="14.25" customHeight="1" x14ac:dyDescent="0.3">
      <c r="A98" s="1" t="s">
        <v>27</v>
      </c>
      <c r="B98" s="1" t="s">
        <v>217</v>
      </c>
      <c r="C98" s="1" t="s">
        <v>218</v>
      </c>
      <c r="D98" s="1">
        <f t="shared" si="14"/>
        <v>34</v>
      </c>
      <c r="E98" s="1">
        <f t="shared" si="15"/>
        <v>0.16592592592592592</v>
      </c>
      <c r="F98" s="2">
        <f t="shared" si="16"/>
        <v>209.68087473096386</v>
      </c>
      <c r="G98" s="1">
        <v>2080</v>
      </c>
      <c r="H98" s="1">
        <v>3744</v>
      </c>
      <c r="I98" s="1">
        <v>0</v>
      </c>
      <c r="J98" s="1">
        <v>198</v>
      </c>
      <c r="K98" s="1">
        <f t="shared" si="17"/>
        <v>0</v>
      </c>
      <c r="L98" s="1">
        <f t="shared" si="18"/>
        <v>1.7277403846153845</v>
      </c>
      <c r="M98" s="1">
        <f t="shared" si="19"/>
        <v>1.7277403846153845</v>
      </c>
      <c r="N98" s="2">
        <f t="shared" si="25"/>
        <v>9.723683112112866</v>
      </c>
      <c r="O98" s="1">
        <v>1767</v>
      </c>
      <c r="P98" s="1">
        <f t="shared" si="20"/>
        <v>105</v>
      </c>
      <c r="Q98" s="1">
        <f t="shared" si="21"/>
        <v>3.7813335575787832</v>
      </c>
      <c r="R98" s="1">
        <f t="shared" si="22"/>
        <v>0.2120940296718869</v>
      </c>
      <c r="S98" s="2">
        <f t="shared" si="23"/>
        <v>1.2495436119632677</v>
      </c>
      <c r="T98" s="2">
        <f t="shared" si="24"/>
        <v>2.1808650176021429E-2</v>
      </c>
      <c r="U98" s="1" t="s">
        <v>2507</v>
      </c>
      <c r="V98" s="6" t="s">
        <v>2505</v>
      </c>
    </row>
    <row r="99" spans="1:22" ht="14.25" customHeight="1" x14ac:dyDescent="0.3">
      <c r="A99" s="1" t="s">
        <v>40</v>
      </c>
      <c r="B99" s="1" t="s">
        <v>219</v>
      </c>
      <c r="C99" s="1" t="s">
        <v>220</v>
      </c>
      <c r="D99" s="1">
        <f t="shared" si="14"/>
        <v>72</v>
      </c>
      <c r="E99" s="1">
        <f t="shared" si="15"/>
        <v>0.94469907407407405</v>
      </c>
      <c r="F99" s="2">
        <f t="shared" si="16"/>
        <v>453.33509240585863</v>
      </c>
      <c r="G99" s="1">
        <v>2080</v>
      </c>
      <c r="H99" s="1">
        <v>3744</v>
      </c>
      <c r="I99" s="1">
        <v>0</v>
      </c>
      <c r="J99" s="1">
        <v>169</v>
      </c>
      <c r="K99" s="1">
        <f t="shared" si="17"/>
        <v>0</v>
      </c>
      <c r="L99" s="1">
        <f t="shared" si="18"/>
        <v>1.4746874999999999</v>
      </c>
      <c r="M99" s="1">
        <f t="shared" si="19"/>
        <v>1.4746874999999999</v>
      </c>
      <c r="N99" s="2">
        <f t="shared" si="25"/>
        <v>11.392244119516848</v>
      </c>
      <c r="O99" s="1">
        <v>1766</v>
      </c>
      <c r="P99" s="1">
        <f t="shared" si="20"/>
        <v>106</v>
      </c>
      <c r="Q99" s="1">
        <f t="shared" si="21"/>
        <v>4.4302014461573904</v>
      </c>
      <c r="R99" s="1">
        <f t="shared" si="22"/>
        <v>0.25085542376745906</v>
      </c>
      <c r="S99" s="2">
        <f t="shared" si="23"/>
        <v>1.2614402002623013</v>
      </c>
      <c r="T99" s="2">
        <f t="shared" si="24"/>
        <v>2.2016284811593796E-2</v>
      </c>
      <c r="U99" s="1" t="s">
        <v>2507</v>
      </c>
      <c r="V99" s="6" t="s">
        <v>2505</v>
      </c>
    </row>
    <row r="100" spans="1:22" ht="14.25" customHeight="1" x14ac:dyDescent="0.3">
      <c r="A100" s="1" t="s">
        <v>14</v>
      </c>
      <c r="B100" s="1" t="s">
        <v>221</v>
      </c>
      <c r="C100" s="1" t="s">
        <v>222</v>
      </c>
      <c r="D100" s="1">
        <f t="shared" si="14"/>
        <v>74</v>
      </c>
      <c r="E100" s="1">
        <f t="shared" si="15"/>
        <v>0.35445601851851855</v>
      </c>
      <c r="F100" s="2">
        <f t="shared" si="16"/>
        <v>462.19285652588633</v>
      </c>
      <c r="G100" s="1">
        <v>2080</v>
      </c>
      <c r="H100" s="1">
        <v>3744</v>
      </c>
      <c r="I100" s="1">
        <v>0</v>
      </c>
      <c r="J100" s="1">
        <v>531</v>
      </c>
      <c r="K100" s="1">
        <f t="shared" si="17"/>
        <v>0</v>
      </c>
      <c r="L100" s="1">
        <f t="shared" si="18"/>
        <v>4.6334855769230767</v>
      </c>
      <c r="M100" s="1">
        <f t="shared" si="19"/>
        <v>4.6334855769230767</v>
      </c>
      <c r="N100" s="2">
        <f t="shared" si="25"/>
        <v>3.6257801434997123</v>
      </c>
      <c r="O100" s="1">
        <v>1766</v>
      </c>
      <c r="P100" s="1">
        <f t="shared" si="20"/>
        <v>106</v>
      </c>
      <c r="Q100" s="1">
        <f t="shared" si="21"/>
        <v>1.409988784181919</v>
      </c>
      <c r="R100" s="1">
        <f t="shared" si="22"/>
        <v>7.9839108506027462E-2</v>
      </c>
      <c r="S100" s="2">
        <f t="shared" si="23"/>
        <v>1.2614402002623015</v>
      </c>
      <c r="T100" s="2">
        <f t="shared" si="24"/>
        <v>2.20162848115938E-2</v>
      </c>
      <c r="U100" s="1" t="s">
        <v>2507</v>
      </c>
      <c r="V100" s="6" t="s">
        <v>2505</v>
      </c>
    </row>
    <row r="101" spans="1:22" ht="14.25" customHeight="1" x14ac:dyDescent="0.3">
      <c r="A101" s="1" t="s">
        <v>40</v>
      </c>
      <c r="B101" s="1" t="s">
        <v>223</v>
      </c>
      <c r="C101" s="1" t="s">
        <v>224</v>
      </c>
      <c r="D101" s="1">
        <f t="shared" si="14"/>
        <v>29</v>
      </c>
      <c r="E101" s="1">
        <f t="shared" si="15"/>
        <v>0.21961805555555555</v>
      </c>
      <c r="F101" s="2">
        <f t="shared" si="16"/>
        <v>178.60230579506603</v>
      </c>
      <c r="G101" s="1">
        <v>2080</v>
      </c>
      <c r="H101" s="1">
        <v>3744</v>
      </c>
      <c r="I101" s="1">
        <v>0</v>
      </c>
      <c r="J101" s="1">
        <v>101</v>
      </c>
      <c r="K101" s="1">
        <f t="shared" si="17"/>
        <v>0</v>
      </c>
      <c r="L101" s="1">
        <f t="shared" si="18"/>
        <v>0.88132211538461536</v>
      </c>
      <c r="M101" s="1">
        <f t="shared" si="19"/>
        <v>0.88132211538461536</v>
      </c>
      <c r="N101" s="2">
        <f t="shared" si="25"/>
        <v>19.062269863349972</v>
      </c>
      <c r="O101" s="1">
        <v>1764</v>
      </c>
      <c r="P101" s="1">
        <f t="shared" si="20"/>
        <v>108</v>
      </c>
      <c r="Q101" s="1">
        <f t="shared" si="21"/>
        <v>7.4129113306989991</v>
      </c>
      <c r="R101" s="1">
        <f t="shared" si="22"/>
        <v>0.42766796138648072</v>
      </c>
      <c r="S101" s="2">
        <f t="shared" si="23"/>
        <v>1.2852330494860531</v>
      </c>
      <c r="T101" s="2">
        <f t="shared" si="24"/>
        <v>2.2431548368978843E-2</v>
      </c>
      <c r="U101" s="1" t="s">
        <v>2507</v>
      </c>
      <c r="V101" s="6" t="s">
        <v>2505</v>
      </c>
    </row>
    <row r="102" spans="1:22" ht="14.25" customHeight="1" x14ac:dyDescent="0.3">
      <c r="A102" s="1" t="s">
        <v>30</v>
      </c>
      <c r="B102" s="1" t="s">
        <v>225</v>
      </c>
      <c r="C102" s="1" t="s">
        <v>226</v>
      </c>
      <c r="D102" s="1">
        <f t="shared" si="14"/>
        <v>41</v>
      </c>
      <c r="E102" s="1">
        <f t="shared" si="15"/>
        <v>0.12836805555555555</v>
      </c>
      <c r="F102" s="2">
        <f t="shared" si="16"/>
        <v>253.42718882194092</v>
      </c>
      <c r="G102" s="1">
        <v>2080</v>
      </c>
      <c r="H102" s="1">
        <v>3744</v>
      </c>
      <c r="I102" s="1">
        <v>0</v>
      </c>
      <c r="J102" s="1">
        <v>154</v>
      </c>
      <c r="K102" s="1">
        <f t="shared" si="17"/>
        <v>0</v>
      </c>
      <c r="L102" s="1">
        <f t="shared" si="18"/>
        <v>1.3437980769230768</v>
      </c>
      <c r="M102" s="1">
        <f t="shared" si="19"/>
        <v>1.3437980769230768</v>
      </c>
      <c r="N102" s="2">
        <f t="shared" si="25"/>
        <v>12.501878287002254</v>
      </c>
      <c r="O102" s="1">
        <v>1762</v>
      </c>
      <c r="P102" s="1">
        <f t="shared" si="20"/>
        <v>110</v>
      </c>
      <c r="Q102" s="1">
        <f t="shared" si="21"/>
        <v>4.8617145740298637</v>
      </c>
      <c r="R102" s="1">
        <f t="shared" si="22"/>
        <v>0.28567767261927618</v>
      </c>
      <c r="S102" s="2">
        <f t="shared" si="23"/>
        <v>1.3090254553827319</v>
      </c>
      <c r="T102" s="2">
        <f t="shared" si="24"/>
        <v>2.2846804188846801E-2</v>
      </c>
      <c r="U102" s="1" t="s">
        <v>2507</v>
      </c>
      <c r="V102" s="6" t="s">
        <v>2505</v>
      </c>
    </row>
    <row r="103" spans="1:22" ht="14.25" customHeight="1" x14ac:dyDescent="0.3">
      <c r="A103" s="1" t="s">
        <v>40</v>
      </c>
      <c r="B103" s="1" t="s">
        <v>227</v>
      </c>
      <c r="C103" s="1" t="s">
        <v>228</v>
      </c>
      <c r="D103" s="1">
        <f t="shared" si="14"/>
        <v>27</v>
      </c>
      <c r="E103" s="1">
        <f t="shared" si="15"/>
        <v>0.72285879629629635</v>
      </c>
      <c r="F103" s="2">
        <f t="shared" si="16"/>
        <v>169.19789000890324</v>
      </c>
      <c r="G103" s="1">
        <v>2080</v>
      </c>
      <c r="H103" s="1">
        <v>3744</v>
      </c>
      <c r="I103" s="1">
        <v>0</v>
      </c>
      <c r="J103" s="1">
        <v>210</v>
      </c>
      <c r="K103" s="1">
        <f t="shared" si="17"/>
        <v>0</v>
      </c>
      <c r="L103" s="1">
        <f t="shared" si="18"/>
        <v>1.832451923076923</v>
      </c>
      <c r="M103" s="1">
        <f t="shared" si="19"/>
        <v>1.832451923076923</v>
      </c>
      <c r="N103" s="2">
        <f t="shared" si="25"/>
        <v>9.1680440771349865</v>
      </c>
      <c r="O103" s="1">
        <v>1761</v>
      </c>
      <c r="P103" s="1">
        <f t="shared" si="20"/>
        <v>111</v>
      </c>
      <c r="Q103" s="1">
        <f t="shared" si="21"/>
        <v>3.5652573542885664</v>
      </c>
      <c r="R103" s="1">
        <f t="shared" si="22"/>
        <v>0.21140147773826434</v>
      </c>
      <c r="S103" s="2">
        <f t="shared" si="23"/>
        <v>1.3209214895231389</v>
      </c>
      <c r="T103" s="2">
        <f t="shared" si="24"/>
        <v>2.3054429152526555E-2</v>
      </c>
      <c r="U103" s="1" t="s">
        <v>2507</v>
      </c>
      <c r="V103" s="6" t="s">
        <v>2505</v>
      </c>
    </row>
    <row r="104" spans="1:22" ht="14.25" customHeight="1" x14ac:dyDescent="0.3">
      <c r="A104" s="1" t="s">
        <v>17</v>
      </c>
      <c r="B104" s="1" t="s">
        <v>229</v>
      </c>
      <c r="C104" s="1" t="s">
        <v>230</v>
      </c>
      <c r="D104" s="1">
        <f t="shared" si="14"/>
        <v>29</v>
      </c>
      <c r="E104" s="1">
        <f t="shared" si="15"/>
        <v>0.24877314814814813</v>
      </c>
      <c r="F104" s="2">
        <f t="shared" si="16"/>
        <v>178.78549264447327</v>
      </c>
      <c r="G104" s="1">
        <v>2080</v>
      </c>
      <c r="H104" s="1">
        <v>3744</v>
      </c>
      <c r="I104" s="1">
        <v>0</v>
      </c>
      <c r="J104" s="1">
        <v>227</v>
      </c>
      <c r="K104" s="1">
        <f t="shared" si="17"/>
        <v>0</v>
      </c>
      <c r="L104" s="1">
        <f t="shared" si="18"/>
        <v>1.9807932692307688</v>
      </c>
      <c r="M104" s="1">
        <f t="shared" si="19"/>
        <v>1.9807932692307688</v>
      </c>
      <c r="N104" s="2">
        <f t="shared" si="25"/>
        <v>8.4814504678341311</v>
      </c>
      <c r="O104" s="1">
        <v>1761</v>
      </c>
      <c r="P104" s="1">
        <f t="shared" si="20"/>
        <v>111</v>
      </c>
      <c r="Q104" s="1">
        <f t="shared" si="21"/>
        <v>3.298255702205283</v>
      </c>
      <c r="R104" s="1">
        <f t="shared" si="22"/>
        <v>0.19556964900896709</v>
      </c>
      <c r="S104" s="2">
        <f t="shared" si="23"/>
        <v>1.3209214895231391</v>
      </c>
      <c r="T104" s="2">
        <f t="shared" si="24"/>
        <v>2.3054429152526562E-2</v>
      </c>
      <c r="U104" s="1" t="s">
        <v>2507</v>
      </c>
      <c r="V104" s="6" t="s">
        <v>2505</v>
      </c>
    </row>
    <row r="105" spans="1:22" ht="14.25" customHeight="1" x14ac:dyDescent="0.3">
      <c r="A105" s="1" t="s">
        <v>27</v>
      </c>
      <c r="B105" s="1" t="s">
        <v>231</v>
      </c>
      <c r="C105" s="1" t="s">
        <v>232</v>
      </c>
      <c r="D105" s="1">
        <f t="shared" si="14"/>
        <v>45</v>
      </c>
      <c r="E105" s="1">
        <f t="shared" si="15"/>
        <v>0.10081018518518518</v>
      </c>
      <c r="F105" s="2">
        <f t="shared" si="16"/>
        <v>278.38677884445099</v>
      </c>
      <c r="G105" s="1">
        <v>2080</v>
      </c>
      <c r="H105" s="1">
        <v>3744</v>
      </c>
      <c r="I105" s="1">
        <v>0</v>
      </c>
      <c r="J105" s="1">
        <v>264</v>
      </c>
      <c r="K105" s="1">
        <f t="shared" si="17"/>
        <v>0</v>
      </c>
      <c r="L105" s="1">
        <f t="shared" si="18"/>
        <v>2.3036538461538458</v>
      </c>
      <c r="M105" s="1">
        <f t="shared" si="19"/>
        <v>2.3036538461538458</v>
      </c>
      <c r="N105" s="2">
        <f t="shared" si="25"/>
        <v>7.2927623340846495</v>
      </c>
      <c r="O105" s="1">
        <v>1761</v>
      </c>
      <c r="P105" s="1">
        <f t="shared" si="20"/>
        <v>111</v>
      </c>
      <c r="Q105" s="1">
        <f t="shared" si="21"/>
        <v>2.8360001681840874</v>
      </c>
      <c r="R105" s="1">
        <f t="shared" si="22"/>
        <v>0.16816026638271031</v>
      </c>
      <c r="S105" s="2">
        <f t="shared" si="23"/>
        <v>1.3209214895231391</v>
      </c>
      <c r="T105" s="2">
        <f t="shared" si="24"/>
        <v>2.3054429152526562E-2</v>
      </c>
      <c r="U105" s="1" t="s">
        <v>2507</v>
      </c>
      <c r="V105" s="6" t="s">
        <v>2505</v>
      </c>
    </row>
    <row r="106" spans="1:22" ht="14.25" customHeight="1" x14ac:dyDescent="0.3">
      <c r="A106" s="1" t="s">
        <v>40</v>
      </c>
      <c r="B106" s="1" t="s">
        <v>233</v>
      </c>
      <c r="C106" s="1" t="s">
        <v>234</v>
      </c>
      <c r="D106" s="1">
        <f t="shared" si="14"/>
        <v>34</v>
      </c>
      <c r="E106" s="1">
        <f t="shared" si="15"/>
        <v>0.28012731481481484</v>
      </c>
      <c r="F106" s="2">
        <f t="shared" si="16"/>
        <v>210.39842321969002</v>
      </c>
      <c r="G106" s="1">
        <v>2080</v>
      </c>
      <c r="H106" s="1">
        <v>3744</v>
      </c>
      <c r="I106" s="1">
        <v>0</v>
      </c>
      <c r="J106" s="1">
        <v>112</v>
      </c>
      <c r="K106" s="1">
        <f t="shared" si="17"/>
        <v>0</v>
      </c>
      <c r="L106" s="1">
        <f t="shared" si="18"/>
        <v>0.97730769230769221</v>
      </c>
      <c r="M106" s="1">
        <f t="shared" si="19"/>
        <v>0.97730769230769221</v>
      </c>
      <c r="N106" s="2">
        <f t="shared" si="25"/>
        <v>17.190082644628102</v>
      </c>
      <c r="O106" s="1">
        <v>1760</v>
      </c>
      <c r="P106" s="1">
        <f t="shared" si="20"/>
        <v>112</v>
      </c>
      <c r="Q106" s="1">
        <f t="shared" si="21"/>
        <v>6.6848575392910634</v>
      </c>
      <c r="R106" s="1">
        <f t="shared" si="22"/>
        <v>0.39994874166698674</v>
      </c>
      <c r="S106" s="2">
        <f t="shared" si="23"/>
        <v>1.3328174097595584</v>
      </c>
      <c r="T106" s="2">
        <f t="shared" si="24"/>
        <v>2.3262052128206701E-2</v>
      </c>
      <c r="U106" s="1" t="s">
        <v>2507</v>
      </c>
      <c r="V106" s="6" t="s">
        <v>2505</v>
      </c>
    </row>
    <row r="107" spans="1:22" ht="14.25" customHeight="1" x14ac:dyDescent="0.3">
      <c r="A107" s="1" t="s">
        <v>17</v>
      </c>
      <c r="B107" s="1" t="s">
        <v>235</v>
      </c>
      <c r="C107" s="1" t="s">
        <v>236</v>
      </c>
      <c r="D107" s="1">
        <f t="shared" si="14"/>
        <v>68</v>
      </c>
      <c r="E107" s="1">
        <f t="shared" si="15"/>
        <v>4.912037037037037E-2</v>
      </c>
      <c r="F107" s="2">
        <f t="shared" si="16"/>
        <v>422.57526422460626</v>
      </c>
      <c r="G107" s="1">
        <v>2080</v>
      </c>
      <c r="H107" s="1">
        <v>3744</v>
      </c>
      <c r="I107" s="1">
        <v>0</v>
      </c>
      <c r="J107" s="1">
        <v>228</v>
      </c>
      <c r="K107" s="1">
        <f t="shared" si="17"/>
        <v>0</v>
      </c>
      <c r="L107" s="1">
        <f t="shared" si="18"/>
        <v>1.9895192307692307</v>
      </c>
      <c r="M107" s="1">
        <f t="shared" si="19"/>
        <v>1.9895192307692307</v>
      </c>
      <c r="N107" s="2">
        <f t="shared" si="25"/>
        <v>8.4442511236769615</v>
      </c>
      <c r="O107" s="1">
        <v>1759</v>
      </c>
      <c r="P107" s="1">
        <f t="shared" si="20"/>
        <v>113</v>
      </c>
      <c r="Q107" s="1">
        <f t="shared" si="21"/>
        <v>3.2837896684236796</v>
      </c>
      <c r="R107" s="1">
        <f t="shared" si="22"/>
        <v>0.19822020968583109</v>
      </c>
      <c r="S107" s="2">
        <f t="shared" si="23"/>
        <v>1.344713215068039</v>
      </c>
      <c r="T107" s="2">
        <f t="shared" si="24"/>
        <v>2.3469673098015904E-2</v>
      </c>
      <c r="U107" s="1" t="s">
        <v>2507</v>
      </c>
      <c r="V107" s="6" t="s">
        <v>2505</v>
      </c>
    </row>
    <row r="108" spans="1:22" ht="14.25" customHeight="1" x14ac:dyDescent="0.3">
      <c r="A108" s="1" t="s">
        <v>17</v>
      </c>
      <c r="B108" s="1" t="s">
        <v>237</v>
      </c>
      <c r="C108" s="1" t="s">
        <v>238</v>
      </c>
      <c r="D108" s="1">
        <f t="shared" si="14"/>
        <v>78</v>
      </c>
      <c r="E108" s="1">
        <f t="shared" si="15"/>
        <v>7.8761574074074067E-2</v>
      </c>
      <c r="F108" s="2">
        <f t="shared" si="16"/>
        <v>485.59335847200032</v>
      </c>
      <c r="G108" s="1">
        <v>2080</v>
      </c>
      <c r="H108" s="1">
        <v>3744</v>
      </c>
      <c r="I108" s="1">
        <v>0</v>
      </c>
      <c r="J108" s="1">
        <v>294</v>
      </c>
      <c r="K108" s="1">
        <f t="shared" si="17"/>
        <v>0</v>
      </c>
      <c r="L108" s="1">
        <f t="shared" si="18"/>
        <v>2.565432692307692</v>
      </c>
      <c r="M108" s="1">
        <f t="shared" si="19"/>
        <v>2.565432692307692</v>
      </c>
      <c r="N108" s="2">
        <f t="shared" si="25"/>
        <v>6.5486029122392768</v>
      </c>
      <c r="O108" s="1">
        <v>1758</v>
      </c>
      <c r="P108" s="1">
        <f t="shared" si="20"/>
        <v>114</v>
      </c>
      <c r="Q108" s="1">
        <f t="shared" si="21"/>
        <v>2.546612395920405</v>
      </c>
      <c r="R108" s="1">
        <f t="shared" si="22"/>
        <v>0.15508216513617851</v>
      </c>
      <c r="S108" s="2">
        <f t="shared" si="23"/>
        <v>1.3566089044246887</v>
      </c>
      <c r="T108" s="2">
        <f t="shared" si="24"/>
        <v>2.3677292044083888E-2</v>
      </c>
      <c r="U108" s="1" t="s">
        <v>2507</v>
      </c>
      <c r="V108" s="6" t="s">
        <v>2505</v>
      </c>
    </row>
    <row r="109" spans="1:22" ht="14.25" customHeight="1" x14ac:dyDescent="0.3">
      <c r="A109" s="1" t="s">
        <v>40</v>
      </c>
      <c r="B109" s="1" t="s">
        <v>239</v>
      </c>
      <c r="C109" s="1" t="s">
        <v>240</v>
      </c>
      <c r="D109" s="1">
        <f t="shared" si="14"/>
        <v>11</v>
      </c>
      <c r="E109" s="1">
        <f t="shared" si="15"/>
        <v>0.29046296296296298</v>
      </c>
      <c r="F109" s="2">
        <f t="shared" si="16"/>
        <v>65.950101947144191</v>
      </c>
      <c r="G109" s="1">
        <v>2080</v>
      </c>
      <c r="H109" s="1">
        <v>3744</v>
      </c>
      <c r="I109" s="1">
        <v>0</v>
      </c>
      <c r="J109" s="1">
        <v>114</v>
      </c>
      <c r="K109" s="1">
        <f t="shared" si="17"/>
        <v>0</v>
      </c>
      <c r="L109" s="1">
        <f t="shared" si="18"/>
        <v>0.99475961538461533</v>
      </c>
      <c r="M109" s="1">
        <f t="shared" si="19"/>
        <v>0.99475961538461533</v>
      </c>
      <c r="N109" s="2">
        <f t="shared" si="25"/>
        <v>16.888502247353923</v>
      </c>
      <c r="O109" s="1">
        <v>1756</v>
      </c>
      <c r="P109" s="1">
        <f t="shared" si="20"/>
        <v>116</v>
      </c>
      <c r="Q109" s="1">
        <f t="shared" si="21"/>
        <v>6.5675793368473592</v>
      </c>
      <c r="R109" s="1">
        <f t="shared" si="22"/>
        <v>0.40696538625763551</v>
      </c>
      <c r="S109" s="2">
        <f t="shared" si="23"/>
        <v>1.3803999311872288</v>
      </c>
      <c r="T109" s="2">
        <f t="shared" si="24"/>
        <v>2.4092523793520299E-2</v>
      </c>
      <c r="U109" s="1" t="s">
        <v>2507</v>
      </c>
      <c r="V109" s="6" t="s">
        <v>2505</v>
      </c>
    </row>
    <row r="110" spans="1:22" ht="14.25" customHeight="1" x14ac:dyDescent="0.3">
      <c r="A110" s="1" t="s">
        <v>17</v>
      </c>
      <c r="B110" s="1" t="s">
        <v>241</v>
      </c>
      <c r="C110" s="1" t="s">
        <v>242</v>
      </c>
      <c r="D110" s="1">
        <f t="shared" si="14"/>
        <v>61</v>
      </c>
      <c r="E110" s="1">
        <f t="shared" si="15"/>
        <v>0.90842592592592597</v>
      </c>
      <c r="F110" s="2">
        <f t="shared" si="16"/>
        <v>383.99214311539356</v>
      </c>
      <c r="G110" s="1">
        <v>2080</v>
      </c>
      <c r="H110" s="1">
        <v>3744</v>
      </c>
      <c r="I110" s="1">
        <v>0</v>
      </c>
      <c r="J110" s="1">
        <v>134</v>
      </c>
      <c r="K110" s="1">
        <f t="shared" si="17"/>
        <v>0</v>
      </c>
      <c r="L110" s="1">
        <f t="shared" si="18"/>
        <v>1.1692788461538461</v>
      </c>
      <c r="M110" s="1">
        <f t="shared" si="19"/>
        <v>1.1692788461538461</v>
      </c>
      <c r="N110" s="2">
        <f t="shared" si="25"/>
        <v>14.367830270136919</v>
      </c>
      <c r="O110" s="1">
        <v>1756</v>
      </c>
      <c r="P110" s="1">
        <f t="shared" si="20"/>
        <v>116</v>
      </c>
      <c r="Q110" s="1">
        <f t="shared" si="21"/>
        <v>5.5873436149298428</v>
      </c>
      <c r="R110" s="1">
        <f t="shared" si="22"/>
        <v>0.34622428383112275</v>
      </c>
      <c r="S110" s="2">
        <f t="shared" si="23"/>
        <v>1.380399931187229</v>
      </c>
      <c r="T110" s="2">
        <f t="shared" si="24"/>
        <v>2.4092523793520303E-2</v>
      </c>
      <c r="U110" s="1" t="s">
        <v>2507</v>
      </c>
      <c r="V110" s="6" t="s">
        <v>2505</v>
      </c>
    </row>
    <row r="111" spans="1:22" ht="14.25" customHeight="1" x14ac:dyDescent="0.3">
      <c r="A111" s="1" t="s">
        <v>17</v>
      </c>
      <c r="B111" s="1" t="s">
        <v>243</v>
      </c>
      <c r="C111" s="1" t="s">
        <v>244</v>
      </c>
      <c r="D111" s="1">
        <f t="shared" si="14"/>
        <v>35</v>
      </c>
      <c r="E111" s="1">
        <f t="shared" si="15"/>
        <v>0.74405092592592592</v>
      </c>
      <c r="F111" s="2">
        <f t="shared" si="16"/>
        <v>219.59652654385664</v>
      </c>
      <c r="G111" s="1">
        <v>2080</v>
      </c>
      <c r="H111" s="1">
        <v>3744</v>
      </c>
      <c r="I111" s="1">
        <v>0</v>
      </c>
      <c r="J111" s="1">
        <v>253</v>
      </c>
      <c r="K111" s="1">
        <f t="shared" si="17"/>
        <v>0</v>
      </c>
      <c r="L111" s="1">
        <f t="shared" si="18"/>
        <v>2.2076682692307692</v>
      </c>
      <c r="M111" s="1">
        <f t="shared" si="19"/>
        <v>2.2076682692307692</v>
      </c>
      <c r="N111" s="2">
        <f t="shared" si="25"/>
        <v>7.6098389573057199</v>
      </c>
      <c r="O111" s="1">
        <v>1755</v>
      </c>
      <c r="P111" s="1">
        <f t="shared" si="20"/>
        <v>117</v>
      </c>
      <c r="Q111" s="1">
        <f t="shared" si="21"/>
        <v>2.9593045233225252</v>
      </c>
      <c r="R111" s="1">
        <f t="shared" si="22"/>
        <v>0.18495653270765783</v>
      </c>
      <c r="S111" s="2">
        <f t="shared" si="23"/>
        <v>1.3922952665456374</v>
      </c>
      <c r="T111" s="2">
        <f t="shared" si="24"/>
        <v>2.4300136561153429E-2</v>
      </c>
      <c r="U111" s="1" t="s">
        <v>2507</v>
      </c>
      <c r="V111" s="6" t="s">
        <v>2505</v>
      </c>
    </row>
    <row r="112" spans="1:22" ht="14.25" customHeight="1" x14ac:dyDescent="0.3">
      <c r="A112" s="1" t="s">
        <v>40</v>
      </c>
      <c r="B112" s="1" t="s">
        <v>245</v>
      </c>
      <c r="C112" s="1" t="s">
        <v>246</v>
      </c>
      <c r="D112" s="1">
        <f t="shared" si="14"/>
        <v>32</v>
      </c>
      <c r="E112" s="1">
        <f t="shared" si="15"/>
        <v>0.98575231481481485</v>
      </c>
      <c r="F112" s="2">
        <f t="shared" si="16"/>
        <v>202.26562523770949</v>
      </c>
      <c r="G112" s="1">
        <v>2080</v>
      </c>
      <c r="H112" s="1">
        <v>3744</v>
      </c>
      <c r="I112" s="1">
        <v>0</v>
      </c>
      <c r="J112" s="1">
        <v>128</v>
      </c>
      <c r="K112" s="1">
        <f t="shared" si="17"/>
        <v>0</v>
      </c>
      <c r="L112" s="1">
        <f t="shared" si="18"/>
        <v>1.1169230769230769</v>
      </c>
      <c r="M112" s="1">
        <f t="shared" si="19"/>
        <v>1.1169230769230769</v>
      </c>
      <c r="N112" s="2">
        <f t="shared" si="25"/>
        <v>15.041322314049587</v>
      </c>
      <c r="O112" s="1">
        <v>1754</v>
      </c>
      <c r="P112" s="1">
        <f t="shared" si="20"/>
        <v>118</v>
      </c>
      <c r="Q112" s="1">
        <f t="shared" si="21"/>
        <v>5.8492503468796793</v>
      </c>
      <c r="R112" s="1">
        <f t="shared" si="22"/>
        <v>0.36870274622425325</v>
      </c>
      <c r="S112" s="2">
        <f t="shared" si="23"/>
        <v>1.4041904818572524</v>
      </c>
      <c r="T112" s="2">
        <f t="shared" si="24"/>
        <v>2.4507747233574753E-2</v>
      </c>
      <c r="U112" s="1" t="s">
        <v>2507</v>
      </c>
      <c r="V112" s="6" t="s">
        <v>2505</v>
      </c>
    </row>
    <row r="113" spans="1:24" ht="14.25" customHeight="1" x14ac:dyDescent="0.3">
      <c r="A113" s="1" t="s">
        <v>247</v>
      </c>
      <c r="B113" s="1" t="s">
        <v>248</v>
      </c>
      <c r="C113" s="1" t="s">
        <v>249</v>
      </c>
      <c r="D113" s="1">
        <f t="shared" si="14"/>
        <v>17</v>
      </c>
      <c r="E113" s="1">
        <f t="shared" si="15"/>
        <v>0.28097222222222223</v>
      </c>
      <c r="F113" s="2">
        <f t="shared" si="16"/>
        <v>103.58958170744523</v>
      </c>
      <c r="G113" s="1">
        <v>2080</v>
      </c>
      <c r="H113" s="1">
        <v>3744</v>
      </c>
      <c r="I113" s="1">
        <v>0</v>
      </c>
      <c r="J113" s="1">
        <v>157</v>
      </c>
      <c r="K113" s="1">
        <f t="shared" si="17"/>
        <v>0</v>
      </c>
      <c r="L113" s="1">
        <f t="shared" si="18"/>
        <v>1.3699759615384615</v>
      </c>
      <c r="M113" s="1">
        <f t="shared" si="19"/>
        <v>1.3699759615384615</v>
      </c>
      <c r="N113" s="2">
        <f t="shared" si="25"/>
        <v>12.262988892983104</v>
      </c>
      <c r="O113" s="1">
        <v>1753</v>
      </c>
      <c r="P113" s="1">
        <f t="shared" si="20"/>
        <v>119</v>
      </c>
      <c r="Q113" s="1">
        <f t="shared" si="21"/>
        <v>4.7688155694305667</v>
      </c>
      <c r="R113" s="1">
        <f t="shared" si="22"/>
        <v>0.30314586151828921</v>
      </c>
      <c r="S113" s="2">
        <f t="shared" si="23"/>
        <v>1.416085576098487</v>
      </c>
      <c r="T113" s="2">
        <f t="shared" si="24"/>
        <v>2.4715355792919315E-2</v>
      </c>
      <c r="U113" s="1" t="s">
        <v>2507</v>
      </c>
      <c r="V113" s="6" t="s">
        <v>2505</v>
      </c>
    </row>
    <row r="114" spans="1:24" ht="14.25" customHeight="1" x14ac:dyDescent="0.3">
      <c r="A114" s="1" t="s">
        <v>247</v>
      </c>
      <c r="B114" s="1" t="s">
        <v>250</v>
      </c>
      <c r="C114" s="1" t="s">
        <v>251</v>
      </c>
      <c r="D114" s="1">
        <f t="shared" si="14"/>
        <v>17</v>
      </c>
      <c r="E114" s="1">
        <f t="shared" si="15"/>
        <v>0.28120370370370368</v>
      </c>
      <c r="F114" s="2">
        <f t="shared" si="16"/>
        <v>103.59103614848856</v>
      </c>
      <c r="G114" s="1">
        <v>2080</v>
      </c>
      <c r="H114" s="1">
        <v>3744</v>
      </c>
      <c r="I114" s="1">
        <v>0</v>
      </c>
      <c r="J114" s="1">
        <v>97</v>
      </c>
      <c r="K114" s="1">
        <f t="shared" si="17"/>
        <v>0</v>
      </c>
      <c r="L114" s="1">
        <f t="shared" si="18"/>
        <v>0.84641826923076924</v>
      </c>
      <c r="M114" s="1">
        <f t="shared" si="19"/>
        <v>0.84641826923076924</v>
      </c>
      <c r="N114" s="2">
        <f t="shared" si="25"/>
        <v>19.84834284740564</v>
      </c>
      <c r="O114" s="1">
        <v>1753</v>
      </c>
      <c r="P114" s="1">
        <f t="shared" si="20"/>
        <v>119</v>
      </c>
      <c r="Q114" s="1">
        <f t="shared" si="21"/>
        <v>7.7185983958824629</v>
      </c>
      <c r="R114" s="1">
        <f t="shared" si="22"/>
        <v>0.49065876555022064</v>
      </c>
      <c r="S114" s="2">
        <f t="shared" si="23"/>
        <v>1.4160855760984872</v>
      </c>
      <c r="T114" s="2">
        <f t="shared" si="24"/>
        <v>2.4715355792919318E-2</v>
      </c>
      <c r="U114" s="1" t="s">
        <v>2507</v>
      </c>
      <c r="V114" s="6" t="s">
        <v>2505</v>
      </c>
    </row>
    <row r="115" spans="1:24" ht="14.25" customHeight="1" x14ac:dyDescent="0.3">
      <c r="A115" s="1" t="s">
        <v>27</v>
      </c>
      <c r="B115" s="1" t="s">
        <v>252</v>
      </c>
      <c r="C115" s="1" t="s">
        <v>253</v>
      </c>
      <c r="D115" s="1">
        <f t="shared" si="14"/>
        <v>51</v>
      </c>
      <c r="E115" s="1">
        <f t="shared" si="15"/>
        <v>0.92230324074074066</v>
      </c>
      <c r="F115" s="2">
        <f t="shared" si="16"/>
        <v>321.24748378414523</v>
      </c>
      <c r="G115" s="1">
        <v>2080</v>
      </c>
      <c r="H115" s="1">
        <v>3744</v>
      </c>
      <c r="I115" s="1">
        <v>0</v>
      </c>
      <c r="J115" s="1">
        <v>206</v>
      </c>
      <c r="K115" s="1">
        <f t="shared" si="17"/>
        <v>0</v>
      </c>
      <c r="L115" s="1">
        <f t="shared" si="18"/>
        <v>1.7975480769230767</v>
      </c>
      <c r="M115" s="1">
        <f t="shared" si="19"/>
        <v>1.7975480769230767</v>
      </c>
      <c r="N115" s="2">
        <f t="shared" si="25"/>
        <v>9.3460643504774144</v>
      </c>
      <c r="O115" s="1">
        <v>1752</v>
      </c>
      <c r="P115" s="1">
        <f t="shared" si="20"/>
        <v>120</v>
      </c>
      <c r="Q115" s="1">
        <f t="shared" si="21"/>
        <v>3.6344856524300924</v>
      </c>
      <c r="R115" s="1">
        <f t="shared" si="22"/>
        <v>0.23297984951474948</v>
      </c>
      <c r="S115" s="2">
        <f t="shared" si="23"/>
        <v>1.4279805482458172</v>
      </c>
      <c r="T115" s="2">
        <f t="shared" si="24"/>
        <v>2.4922962221323248E-2</v>
      </c>
      <c r="U115" s="1" t="s">
        <v>2507</v>
      </c>
      <c r="V115" s="6" t="s">
        <v>2505</v>
      </c>
    </row>
    <row r="116" spans="1:24" ht="14.25" customHeight="1" x14ac:dyDescent="0.3">
      <c r="A116" s="1" t="s">
        <v>17</v>
      </c>
      <c r="B116" s="1" t="s">
        <v>254</v>
      </c>
      <c r="C116" s="1" t="s">
        <v>255</v>
      </c>
      <c r="D116" s="1">
        <f t="shared" si="14"/>
        <v>36</v>
      </c>
      <c r="E116" s="1">
        <f t="shared" si="15"/>
        <v>0.98608796296296297</v>
      </c>
      <c r="F116" s="2">
        <f t="shared" si="16"/>
        <v>227.40047540594063</v>
      </c>
      <c r="G116" s="1">
        <v>2080</v>
      </c>
      <c r="H116" s="1">
        <v>3744</v>
      </c>
      <c r="I116" s="1">
        <v>0</v>
      </c>
      <c r="J116" s="1">
        <v>250</v>
      </c>
      <c r="K116" s="1">
        <f t="shared" si="17"/>
        <v>0</v>
      </c>
      <c r="L116" s="1">
        <f t="shared" si="18"/>
        <v>2.1814903846153846</v>
      </c>
      <c r="M116" s="1">
        <f t="shared" si="19"/>
        <v>2.1814903846153846</v>
      </c>
      <c r="N116" s="2">
        <f t="shared" si="25"/>
        <v>7.7011570247933889</v>
      </c>
      <c r="O116" s="1">
        <v>1752</v>
      </c>
      <c r="P116" s="1">
        <f t="shared" si="20"/>
        <v>120</v>
      </c>
      <c r="Q116" s="1">
        <f t="shared" si="21"/>
        <v>2.994816177602396</v>
      </c>
      <c r="R116" s="1">
        <f t="shared" si="22"/>
        <v>0.19197539600015356</v>
      </c>
      <c r="S116" s="2">
        <f t="shared" si="23"/>
        <v>1.4279805482458174</v>
      </c>
      <c r="T116" s="2">
        <f t="shared" si="24"/>
        <v>2.4922962221323251E-2</v>
      </c>
      <c r="U116" s="1" t="s">
        <v>2507</v>
      </c>
      <c r="V116" s="6" t="s">
        <v>2505</v>
      </c>
    </row>
    <row r="117" spans="1:24" ht="14.25" customHeight="1" x14ac:dyDescent="0.3">
      <c r="A117" s="1" t="s">
        <v>30</v>
      </c>
      <c r="B117" s="1" t="s">
        <v>256</v>
      </c>
      <c r="C117" s="1" t="s">
        <v>257</v>
      </c>
      <c r="D117" s="1">
        <f t="shared" si="14"/>
        <v>85</v>
      </c>
      <c r="E117" s="1">
        <f t="shared" si="15"/>
        <v>1.1504629629629629E-2</v>
      </c>
      <c r="F117" s="2">
        <f t="shared" si="16"/>
        <v>529.15306777711828</v>
      </c>
      <c r="G117" s="1">
        <v>2080</v>
      </c>
      <c r="H117" s="1">
        <v>3744</v>
      </c>
      <c r="I117" s="1">
        <v>0</v>
      </c>
      <c r="J117" s="1">
        <v>159</v>
      </c>
      <c r="K117" s="1">
        <f t="shared" si="17"/>
        <v>0</v>
      </c>
      <c r="L117" s="1">
        <f t="shared" si="18"/>
        <v>1.3874278846153845</v>
      </c>
      <c r="M117" s="1">
        <f t="shared" si="19"/>
        <v>1.3874278846153845</v>
      </c>
      <c r="N117" s="2">
        <f t="shared" si="25"/>
        <v>12.108737460366966</v>
      </c>
      <c r="O117" s="1">
        <v>1746</v>
      </c>
      <c r="P117" s="1">
        <f t="shared" si="20"/>
        <v>126</v>
      </c>
      <c r="Q117" s="1">
        <f t="shared" si="21"/>
        <v>4.708830467928296</v>
      </c>
      <c r="R117" s="1">
        <f t="shared" si="22"/>
        <v>0.31694051226440451</v>
      </c>
      <c r="S117" s="2">
        <f t="shared" si="23"/>
        <v>1.499347759848465</v>
      </c>
      <c r="T117" s="2">
        <f t="shared" si="24"/>
        <v>2.6168555041756952E-2</v>
      </c>
      <c r="U117" s="1" t="s">
        <v>2507</v>
      </c>
      <c r="V117" s="6" t="s">
        <v>2505</v>
      </c>
    </row>
    <row r="118" spans="1:24" ht="14.25" customHeight="1" x14ac:dyDescent="0.3">
      <c r="A118" s="1" t="s">
        <v>20</v>
      </c>
      <c r="B118" s="1" t="s">
        <v>258</v>
      </c>
      <c r="C118" s="1" t="s">
        <v>259</v>
      </c>
      <c r="D118" s="1">
        <f t="shared" si="14"/>
        <v>19</v>
      </c>
      <c r="E118" s="1">
        <f t="shared" si="15"/>
        <v>8.0937499999999996E-2</v>
      </c>
      <c r="F118" s="2">
        <f t="shared" si="16"/>
        <v>114.899097094212</v>
      </c>
      <c r="G118" s="1">
        <v>2080</v>
      </c>
      <c r="H118" s="1">
        <v>3744</v>
      </c>
      <c r="I118" s="1">
        <v>0</v>
      </c>
      <c r="J118" s="1">
        <v>300</v>
      </c>
      <c r="K118" s="1">
        <f t="shared" si="17"/>
        <v>0</v>
      </c>
      <c r="L118" s="1">
        <f t="shared" si="18"/>
        <v>2.6177884615384617</v>
      </c>
      <c r="M118" s="1">
        <f t="shared" si="19"/>
        <v>2.6177884615384617</v>
      </c>
      <c r="N118" s="2">
        <f t="shared" si="25"/>
        <v>6.4176308539944902</v>
      </c>
      <c r="O118" s="1">
        <v>1746</v>
      </c>
      <c r="P118" s="1">
        <f t="shared" si="20"/>
        <v>126</v>
      </c>
      <c r="Q118" s="1">
        <f t="shared" si="21"/>
        <v>2.4956801480019966</v>
      </c>
      <c r="R118" s="1">
        <f t="shared" si="22"/>
        <v>0.16797847150013437</v>
      </c>
      <c r="S118" s="2">
        <f t="shared" si="23"/>
        <v>1.4993477598484652</v>
      </c>
      <c r="T118" s="2">
        <f t="shared" si="24"/>
        <v>2.6168555041756955E-2</v>
      </c>
      <c r="U118" s="1" t="s">
        <v>2507</v>
      </c>
      <c r="V118" s="6" t="s">
        <v>2505</v>
      </c>
    </row>
    <row r="119" spans="1:24" ht="14.25" customHeight="1" x14ac:dyDescent="0.3">
      <c r="A119" s="1" t="s">
        <v>40</v>
      </c>
      <c r="B119" s="1" t="s">
        <v>260</v>
      </c>
      <c r="C119" s="1" t="s">
        <v>261</v>
      </c>
      <c r="D119" s="1">
        <f t="shared" si="14"/>
        <v>93</v>
      </c>
      <c r="E119" s="1">
        <f t="shared" si="15"/>
        <v>0.28033564814814815</v>
      </c>
      <c r="F119" s="2">
        <f t="shared" si="16"/>
        <v>581.10766534022468</v>
      </c>
      <c r="G119" s="1">
        <v>2080</v>
      </c>
      <c r="H119" s="1">
        <v>3744</v>
      </c>
      <c r="I119" s="1">
        <v>0</v>
      </c>
      <c r="J119" s="1">
        <v>81</v>
      </c>
      <c r="K119" s="1">
        <f t="shared" si="17"/>
        <v>0</v>
      </c>
      <c r="L119" s="1">
        <f t="shared" si="18"/>
        <v>0.70680288461538454</v>
      </c>
      <c r="M119" s="1">
        <f t="shared" si="19"/>
        <v>0.70680288461538454</v>
      </c>
      <c r="N119" s="2">
        <f t="shared" si="25"/>
        <v>23.76900316294256</v>
      </c>
      <c r="O119" s="1">
        <v>1746</v>
      </c>
      <c r="P119" s="1">
        <f t="shared" si="20"/>
        <v>126</v>
      </c>
      <c r="Q119" s="1">
        <f t="shared" si="21"/>
        <v>9.2432598074148036</v>
      </c>
      <c r="R119" s="1">
        <f t="shared" si="22"/>
        <v>0.62214248703753483</v>
      </c>
      <c r="S119" s="2">
        <f t="shared" si="23"/>
        <v>1.4993477598484652</v>
      </c>
      <c r="T119" s="2">
        <f t="shared" si="24"/>
        <v>2.6168555041756955E-2</v>
      </c>
      <c r="U119" s="1" t="s">
        <v>2507</v>
      </c>
      <c r="V119" s="6" t="s">
        <v>2505</v>
      </c>
      <c r="W119" s="3"/>
      <c r="X119" s="3"/>
    </row>
    <row r="120" spans="1:24" ht="14.25" customHeight="1" x14ac:dyDescent="0.3">
      <c r="A120" s="1" t="s">
        <v>27</v>
      </c>
      <c r="B120" s="1" t="s">
        <v>262</v>
      </c>
      <c r="C120" s="1" t="s">
        <v>263</v>
      </c>
      <c r="D120" s="1">
        <f t="shared" si="14"/>
        <v>24</v>
      </c>
      <c r="E120" s="1">
        <f t="shared" si="15"/>
        <v>2.5578703703703705E-3</v>
      </c>
      <c r="F120" s="2">
        <f t="shared" si="16"/>
        <v>145.82254989283885</v>
      </c>
      <c r="G120" s="1">
        <v>2080</v>
      </c>
      <c r="H120" s="1">
        <v>3744</v>
      </c>
      <c r="I120" s="1">
        <v>0</v>
      </c>
      <c r="J120" s="1">
        <v>189</v>
      </c>
      <c r="K120" s="1">
        <f t="shared" si="17"/>
        <v>0</v>
      </c>
      <c r="L120" s="1">
        <f t="shared" si="18"/>
        <v>1.6492067307692306</v>
      </c>
      <c r="M120" s="1">
        <f t="shared" si="19"/>
        <v>1.6492067307692306</v>
      </c>
      <c r="N120" s="2">
        <f t="shared" si="25"/>
        <v>10.186715641261097</v>
      </c>
      <c r="O120" s="1">
        <v>1744</v>
      </c>
      <c r="P120" s="1">
        <f t="shared" si="20"/>
        <v>128</v>
      </c>
      <c r="Q120" s="1">
        <f t="shared" si="21"/>
        <v>3.9613970603206297</v>
      </c>
      <c r="R120" s="1">
        <f t="shared" si="22"/>
        <v>0.27086475626123968</v>
      </c>
      <c r="S120" s="2">
        <f t="shared" si="23"/>
        <v>1.523135807242058</v>
      </c>
      <c r="T120" s="2">
        <f t="shared" si="24"/>
        <v>2.6583734791395603E-2</v>
      </c>
      <c r="U120" s="1" t="s">
        <v>2507</v>
      </c>
      <c r="V120" s="6" t="s">
        <v>2505</v>
      </c>
    </row>
    <row r="121" spans="1:24" ht="14.25" customHeight="1" x14ac:dyDescent="0.3">
      <c r="A121" s="1" t="s">
        <v>27</v>
      </c>
      <c r="B121" s="1" t="s">
        <v>264</v>
      </c>
      <c r="C121" s="1" t="s">
        <v>265</v>
      </c>
      <c r="D121" s="1">
        <f t="shared" si="14"/>
        <v>40</v>
      </c>
      <c r="E121" s="1">
        <f t="shared" si="15"/>
        <v>0.9092824074074074</v>
      </c>
      <c r="F121" s="2">
        <f t="shared" si="16"/>
        <v>252.05063309648258</v>
      </c>
      <c r="G121" s="1">
        <v>2080</v>
      </c>
      <c r="H121" s="1">
        <v>3744</v>
      </c>
      <c r="I121" s="1">
        <v>0</v>
      </c>
      <c r="J121" s="1">
        <v>200</v>
      </c>
      <c r="K121" s="1">
        <f t="shared" si="17"/>
        <v>0</v>
      </c>
      <c r="L121" s="1">
        <f t="shared" si="18"/>
        <v>1.7451923076923075</v>
      </c>
      <c r="M121" s="1">
        <f t="shared" si="19"/>
        <v>1.7451923076923075</v>
      </c>
      <c r="N121" s="2">
        <f t="shared" si="25"/>
        <v>9.6264462809917379</v>
      </c>
      <c r="O121" s="1">
        <v>1743</v>
      </c>
      <c r="P121" s="1">
        <f t="shared" si="20"/>
        <v>129</v>
      </c>
      <c r="Q121" s="1">
        <f t="shared" si="21"/>
        <v>3.7435202220029957</v>
      </c>
      <c r="R121" s="1">
        <f t="shared" si="22"/>
        <v>0.25796693837520646</v>
      </c>
      <c r="S121" s="2">
        <f t="shared" si="23"/>
        <v>1.5350296344962433</v>
      </c>
      <c r="T121" s="2">
        <f t="shared" si="24"/>
        <v>2.6791321237644574E-2</v>
      </c>
      <c r="U121" s="1" t="s">
        <v>2507</v>
      </c>
      <c r="V121" s="6" t="s">
        <v>2505</v>
      </c>
    </row>
    <row r="122" spans="1:24" ht="14.25" customHeight="1" x14ac:dyDescent="0.3">
      <c r="A122" s="1" t="s">
        <v>40</v>
      </c>
      <c r="B122" s="1" t="s">
        <v>266</v>
      </c>
      <c r="C122" s="1" t="s">
        <v>267</v>
      </c>
      <c r="D122" s="1">
        <f t="shared" si="14"/>
        <v>72</v>
      </c>
      <c r="E122" s="1">
        <f t="shared" si="15"/>
        <v>0.41930555555555554</v>
      </c>
      <c r="F122" s="2">
        <f t="shared" si="16"/>
        <v>450.03394756981567</v>
      </c>
      <c r="G122" s="1">
        <v>2080</v>
      </c>
      <c r="H122" s="1">
        <v>3744</v>
      </c>
      <c r="I122" s="1">
        <v>0</v>
      </c>
      <c r="J122" s="1">
        <v>107</v>
      </c>
      <c r="K122" s="1">
        <f t="shared" si="17"/>
        <v>0</v>
      </c>
      <c r="L122" s="1">
        <f t="shared" si="18"/>
        <v>0.93367788461538459</v>
      </c>
      <c r="M122" s="1">
        <f t="shared" si="19"/>
        <v>0.93367788461538459</v>
      </c>
      <c r="N122" s="2">
        <f t="shared" si="25"/>
        <v>17.993357534563994</v>
      </c>
      <c r="O122" s="1">
        <v>1743</v>
      </c>
      <c r="P122" s="1">
        <f t="shared" si="20"/>
        <v>129</v>
      </c>
      <c r="Q122" s="1">
        <f t="shared" si="21"/>
        <v>6.9972340598186831</v>
      </c>
      <c r="R122" s="1">
        <f t="shared" si="22"/>
        <v>0.48218119322468495</v>
      </c>
      <c r="S122" s="2">
        <f t="shared" si="23"/>
        <v>1.5350296344962433</v>
      </c>
      <c r="T122" s="2">
        <f t="shared" si="24"/>
        <v>2.6791321237644574E-2</v>
      </c>
      <c r="U122" s="1" t="s">
        <v>2507</v>
      </c>
      <c r="V122" s="6" t="s">
        <v>2505</v>
      </c>
    </row>
    <row r="123" spans="1:24" ht="14.25" customHeight="1" x14ac:dyDescent="0.3">
      <c r="A123" s="1" t="s">
        <v>40</v>
      </c>
      <c r="B123" s="1" t="s">
        <v>268</v>
      </c>
      <c r="C123" s="1" t="s">
        <v>269</v>
      </c>
      <c r="D123" s="1">
        <f t="shared" si="14"/>
        <v>30</v>
      </c>
      <c r="E123" s="1">
        <f t="shared" si="15"/>
        <v>0.28810185185185183</v>
      </c>
      <c r="F123" s="2">
        <f t="shared" si="16"/>
        <v>185.31578748491435</v>
      </c>
      <c r="G123" s="1">
        <v>2080</v>
      </c>
      <c r="H123" s="1">
        <v>3744</v>
      </c>
      <c r="I123" s="1">
        <v>0</v>
      </c>
      <c r="J123" s="1">
        <v>105</v>
      </c>
      <c r="K123" s="1">
        <f t="shared" si="17"/>
        <v>0</v>
      </c>
      <c r="L123" s="1">
        <f t="shared" si="18"/>
        <v>0.91622596153846148</v>
      </c>
      <c r="M123" s="1">
        <f t="shared" si="19"/>
        <v>0.91622596153846148</v>
      </c>
      <c r="N123" s="2">
        <f t="shared" si="25"/>
        <v>18.336088154269973</v>
      </c>
      <c r="O123" s="1">
        <v>1739</v>
      </c>
      <c r="P123" s="1">
        <f t="shared" si="20"/>
        <v>133</v>
      </c>
      <c r="Q123" s="1">
        <f t="shared" si="21"/>
        <v>7.1305147085771328</v>
      </c>
      <c r="R123" s="1">
        <f t="shared" si="22"/>
        <v>0.50660173944484965</v>
      </c>
      <c r="S123" s="2">
        <f t="shared" si="23"/>
        <v>1.5826036100294287</v>
      </c>
      <c r="T123" s="2">
        <f t="shared" si="24"/>
        <v>2.7621643748961883E-2</v>
      </c>
      <c r="U123" s="1" t="s">
        <v>2507</v>
      </c>
      <c r="V123" s="6" t="s">
        <v>2505</v>
      </c>
    </row>
    <row r="124" spans="1:24" ht="14.25" customHeight="1" x14ac:dyDescent="0.3">
      <c r="A124" s="1" t="s">
        <v>20</v>
      </c>
      <c r="B124" s="1" t="s">
        <v>270</v>
      </c>
      <c r="C124" s="1" t="s">
        <v>271</v>
      </c>
      <c r="D124" s="1">
        <f t="shared" si="14"/>
        <v>77</v>
      </c>
      <c r="E124" s="1">
        <f t="shared" si="15"/>
        <v>0.27892361111111114</v>
      </c>
      <c r="F124" s="2">
        <f t="shared" si="16"/>
        <v>480.56782833498698</v>
      </c>
      <c r="G124" s="1">
        <v>2080</v>
      </c>
      <c r="H124" s="1">
        <v>3744</v>
      </c>
      <c r="I124" s="1">
        <v>0</v>
      </c>
      <c r="J124" s="1">
        <v>121</v>
      </c>
      <c r="K124" s="1">
        <f t="shared" si="17"/>
        <v>0</v>
      </c>
      <c r="L124" s="1">
        <f t="shared" si="18"/>
        <v>1.0558413461538461</v>
      </c>
      <c r="M124" s="1">
        <f t="shared" si="19"/>
        <v>1.0558413461538461</v>
      </c>
      <c r="N124" s="2">
        <f t="shared" si="25"/>
        <v>15.911481456184688</v>
      </c>
      <c r="O124" s="1">
        <v>1738</v>
      </c>
      <c r="P124" s="1">
        <f t="shared" si="20"/>
        <v>134</v>
      </c>
      <c r="Q124" s="1">
        <f t="shared" si="21"/>
        <v>6.1876367305834625</v>
      </c>
      <c r="R124" s="1">
        <f t="shared" si="22"/>
        <v>0.44291844118492729</v>
      </c>
      <c r="S124" s="2">
        <f t="shared" si="23"/>
        <v>1.5944967654283497</v>
      </c>
      <c r="T124" s="2">
        <f t="shared" si="24"/>
        <v>2.7829218469124395E-2</v>
      </c>
      <c r="U124" s="1" t="s">
        <v>2507</v>
      </c>
      <c r="V124" s="6" t="s">
        <v>2505</v>
      </c>
    </row>
    <row r="125" spans="1:24" ht="14.25" customHeight="1" x14ac:dyDescent="0.3">
      <c r="A125" s="1" t="s">
        <v>82</v>
      </c>
      <c r="B125" s="1" t="s">
        <v>272</v>
      </c>
      <c r="C125" s="1" t="s">
        <v>273</v>
      </c>
      <c r="D125" s="1">
        <f t="shared" si="14"/>
        <v>55</v>
      </c>
      <c r="E125" s="1">
        <f t="shared" si="15"/>
        <v>0.19874999999999998</v>
      </c>
      <c r="F125" s="2">
        <f t="shared" si="16"/>
        <v>341.83400592167919</v>
      </c>
      <c r="G125" s="1">
        <v>2080</v>
      </c>
      <c r="H125" s="1">
        <v>3744</v>
      </c>
      <c r="I125" s="1">
        <v>0</v>
      </c>
      <c r="J125" s="1">
        <v>246</v>
      </c>
      <c r="K125" s="1">
        <f t="shared" si="17"/>
        <v>0</v>
      </c>
      <c r="L125" s="1">
        <f t="shared" si="18"/>
        <v>2.1465865384615381</v>
      </c>
      <c r="M125" s="1">
        <f t="shared" si="19"/>
        <v>2.1465865384615381</v>
      </c>
      <c r="N125" s="2">
        <f t="shared" si="25"/>
        <v>7.826379090237185</v>
      </c>
      <c r="O125" s="1">
        <v>1732</v>
      </c>
      <c r="P125" s="1">
        <f t="shared" si="20"/>
        <v>140</v>
      </c>
      <c r="Q125" s="1">
        <f t="shared" si="21"/>
        <v>3.0435123756121913</v>
      </c>
      <c r="R125" s="1">
        <f t="shared" si="22"/>
        <v>0.22761310501373225</v>
      </c>
      <c r="S125" s="2">
        <f t="shared" si="23"/>
        <v>1.6658527758216926</v>
      </c>
      <c r="T125" s="2">
        <f t="shared" si="24"/>
        <v>2.9074615791575522E-2</v>
      </c>
      <c r="U125" s="1" t="s">
        <v>2507</v>
      </c>
      <c r="V125" s="6" t="s">
        <v>2505</v>
      </c>
    </row>
    <row r="126" spans="1:24" ht="14.25" customHeight="1" x14ac:dyDescent="0.3">
      <c r="A126" s="1" t="s">
        <v>27</v>
      </c>
      <c r="B126" s="1" t="s">
        <v>274</v>
      </c>
      <c r="C126" s="1" t="s">
        <v>275</v>
      </c>
      <c r="D126" s="1">
        <f t="shared" si="14"/>
        <v>80</v>
      </c>
      <c r="E126" s="1">
        <f t="shared" si="15"/>
        <v>0.84069444444444441</v>
      </c>
      <c r="F126" s="2">
        <f t="shared" si="16"/>
        <v>502.9470945025277</v>
      </c>
      <c r="G126" s="1">
        <v>2080</v>
      </c>
      <c r="H126" s="1">
        <v>3744</v>
      </c>
      <c r="I126" s="1">
        <v>0</v>
      </c>
      <c r="J126" s="1">
        <v>207</v>
      </c>
      <c r="K126" s="1">
        <f t="shared" si="17"/>
        <v>0</v>
      </c>
      <c r="L126" s="1">
        <f t="shared" si="18"/>
        <v>1.8062740384615383</v>
      </c>
      <c r="M126" s="1">
        <f t="shared" si="19"/>
        <v>1.8062740384615383</v>
      </c>
      <c r="N126" s="2">
        <f t="shared" si="25"/>
        <v>9.3009142811514369</v>
      </c>
      <c r="O126" s="1">
        <v>1732</v>
      </c>
      <c r="P126" s="1">
        <f t="shared" si="20"/>
        <v>140</v>
      </c>
      <c r="Q126" s="1">
        <f t="shared" si="21"/>
        <v>3.6169277507275317</v>
      </c>
      <c r="R126" s="1">
        <f t="shared" si="22"/>
        <v>0.27049673349458037</v>
      </c>
      <c r="S126" s="2">
        <f t="shared" si="23"/>
        <v>1.6658527758216926</v>
      </c>
      <c r="T126" s="2">
        <f t="shared" si="24"/>
        <v>2.9074615791575522E-2</v>
      </c>
      <c r="U126" s="1" t="s">
        <v>2507</v>
      </c>
      <c r="V126" s="6" t="s">
        <v>2505</v>
      </c>
    </row>
    <row r="127" spans="1:24" ht="14.25" customHeight="1" x14ac:dyDescent="0.3">
      <c r="A127" s="1" t="s">
        <v>40</v>
      </c>
      <c r="B127" s="1" t="s">
        <v>276</v>
      </c>
      <c r="C127" s="1" t="s">
        <v>277</v>
      </c>
      <c r="D127" s="1">
        <f t="shared" si="14"/>
        <v>32</v>
      </c>
      <c r="E127" s="1">
        <f t="shared" si="15"/>
        <v>0.98576388888888899</v>
      </c>
      <c r="F127" s="2">
        <f t="shared" si="16"/>
        <v>202.26569795976164</v>
      </c>
      <c r="G127" s="1">
        <v>2080</v>
      </c>
      <c r="H127" s="1">
        <v>3744</v>
      </c>
      <c r="I127" s="1">
        <v>0</v>
      </c>
      <c r="J127" s="1">
        <v>107</v>
      </c>
      <c r="K127" s="1">
        <f t="shared" si="17"/>
        <v>0</v>
      </c>
      <c r="L127" s="1">
        <f t="shared" si="18"/>
        <v>0.93367788461538459</v>
      </c>
      <c r="M127" s="1">
        <f t="shared" si="19"/>
        <v>0.93367788461538459</v>
      </c>
      <c r="N127" s="2">
        <f t="shared" si="25"/>
        <v>17.993357534563994</v>
      </c>
      <c r="O127" s="1">
        <v>1731</v>
      </c>
      <c r="P127" s="1">
        <f t="shared" si="20"/>
        <v>141</v>
      </c>
      <c r="Q127" s="1">
        <f t="shared" si="21"/>
        <v>6.9972340598186831</v>
      </c>
      <c r="R127" s="1">
        <f t="shared" si="22"/>
        <v>0.52703525771070203</v>
      </c>
      <c r="S127" s="2">
        <f t="shared" si="23"/>
        <v>1.6777449476793576</v>
      </c>
      <c r="T127" s="2">
        <f t="shared" si="24"/>
        <v>2.9282173345704786E-2</v>
      </c>
      <c r="U127" s="1" t="s">
        <v>2507</v>
      </c>
      <c r="V127" s="6" t="s">
        <v>2505</v>
      </c>
    </row>
    <row r="128" spans="1:24" ht="14.25" customHeight="1" x14ac:dyDescent="0.3">
      <c r="A128" s="1" t="s">
        <v>27</v>
      </c>
      <c r="B128" s="1" t="s">
        <v>278</v>
      </c>
      <c r="C128" s="1" t="s">
        <v>279</v>
      </c>
      <c r="D128" s="1">
        <f t="shared" si="14"/>
        <v>38</v>
      </c>
      <c r="E128" s="1">
        <f t="shared" si="15"/>
        <v>0.7435532407407407</v>
      </c>
      <c r="F128" s="2">
        <f t="shared" si="16"/>
        <v>238.44295541715223</v>
      </c>
      <c r="G128" s="1">
        <v>2080</v>
      </c>
      <c r="H128" s="1">
        <v>3744</v>
      </c>
      <c r="I128" s="1">
        <v>0</v>
      </c>
      <c r="J128" s="1">
        <v>192</v>
      </c>
      <c r="K128" s="1">
        <f t="shared" si="17"/>
        <v>0</v>
      </c>
      <c r="L128" s="1">
        <f t="shared" si="18"/>
        <v>1.6753846153846153</v>
      </c>
      <c r="M128" s="1">
        <f t="shared" si="19"/>
        <v>1.6753846153846153</v>
      </c>
      <c r="N128" s="2">
        <f t="shared" ref="N128:N159" si="26">42*0.4/M128</f>
        <v>10.027548209366392</v>
      </c>
      <c r="O128" s="1">
        <v>1731</v>
      </c>
      <c r="P128" s="1">
        <f t="shared" si="20"/>
        <v>141</v>
      </c>
      <c r="Q128" s="1">
        <f t="shared" si="21"/>
        <v>3.89950023125312</v>
      </c>
      <c r="R128" s="1">
        <f t="shared" si="22"/>
        <v>0.2937123571616933</v>
      </c>
      <c r="S128" s="2">
        <f t="shared" si="23"/>
        <v>1.6777449476793576</v>
      </c>
      <c r="T128" s="2">
        <f t="shared" si="24"/>
        <v>2.9282173345704786E-2</v>
      </c>
      <c r="U128" s="1" t="s">
        <v>2507</v>
      </c>
      <c r="V128" s="6" t="s">
        <v>2505</v>
      </c>
    </row>
    <row r="129" spans="1:22" ht="14.25" customHeight="1" x14ac:dyDescent="0.3">
      <c r="A129" s="1" t="s">
        <v>40</v>
      </c>
      <c r="B129" s="1" t="s">
        <v>280</v>
      </c>
      <c r="C129" s="1" t="s">
        <v>281</v>
      </c>
      <c r="D129" s="1">
        <f t="shared" si="14"/>
        <v>73</v>
      </c>
      <c r="E129" s="1">
        <f t="shared" si="15"/>
        <v>8.4212962962962976E-2</v>
      </c>
      <c r="F129" s="2">
        <f t="shared" si="16"/>
        <v>454.21168402267278</v>
      </c>
      <c r="G129" s="1">
        <v>2080</v>
      </c>
      <c r="H129" s="1">
        <v>3744</v>
      </c>
      <c r="I129" s="1">
        <v>0</v>
      </c>
      <c r="J129" s="1">
        <v>127</v>
      </c>
      <c r="K129" s="1">
        <f t="shared" si="17"/>
        <v>0</v>
      </c>
      <c r="L129" s="1">
        <f t="shared" si="18"/>
        <v>1.1081971153846153</v>
      </c>
      <c r="M129" s="1">
        <f t="shared" si="19"/>
        <v>1.1081971153846153</v>
      </c>
      <c r="N129" s="2">
        <f t="shared" si="26"/>
        <v>15.159757922821633</v>
      </c>
      <c r="O129" s="1">
        <v>1730</v>
      </c>
      <c r="P129" s="1">
        <f t="shared" si="20"/>
        <v>142</v>
      </c>
      <c r="Q129" s="1">
        <f t="shared" si="21"/>
        <v>5.8953074362251892</v>
      </c>
      <c r="R129" s="1">
        <f t="shared" si="22"/>
        <v>0.44718678202135514</v>
      </c>
      <c r="S129" s="2">
        <f t="shared" si="23"/>
        <v>1.6896369749424835</v>
      </c>
      <c r="T129" s="2">
        <f t="shared" si="24"/>
        <v>2.9489728376183265E-2</v>
      </c>
      <c r="U129" s="1" t="s">
        <v>2507</v>
      </c>
      <c r="V129" s="6" t="s">
        <v>2505</v>
      </c>
    </row>
    <row r="130" spans="1:22" ht="14.25" customHeight="1" x14ac:dyDescent="0.3">
      <c r="A130" s="1" t="s">
        <v>17</v>
      </c>
      <c r="B130" s="1" t="s">
        <v>282</v>
      </c>
      <c r="C130" s="1" t="s">
        <v>283</v>
      </c>
      <c r="D130" s="1">
        <f t="shared" ref="D130:D193" si="27">(LEFT(C130,4)&amp;"-"&amp;MID(C130,6,2)&amp;"-"&amp;MID(C130,9,2))-(2019&amp;"-"&amp;5&amp;"-"&amp;28)</f>
        <v>64</v>
      </c>
      <c r="E130" s="1">
        <f t="shared" ref="E130:E193" si="28">TIMEVALUE(RIGHT(C130,8))</f>
        <v>0.3116666666666667</v>
      </c>
      <c r="F130" s="2">
        <f t="shared" ref="F130:F193" si="29">(D130+E130)*2*PI()-4.989969053</f>
        <v>399.09215002723118</v>
      </c>
      <c r="G130" s="1">
        <v>2080</v>
      </c>
      <c r="H130" s="1">
        <v>3744</v>
      </c>
      <c r="I130" s="1">
        <v>0</v>
      </c>
      <c r="J130" s="1">
        <v>147</v>
      </c>
      <c r="K130" s="1">
        <f t="shared" ref="K130:K193" si="30">(32.67*I130)/H130</f>
        <v>0</v>
      </c>
      <c r="L130" s="1">
        <f t="shared" ref="L130:L193" si="31">(18.15*J130)/G130</f>
        <v>1.282716346153846</v>
      </c>
      <c r="M130" s="1">
        <f t="shared" ref="M130:M193" si="32">SQRT(K130*K130+L130*L130)</f>
        <v>1.282716346153846</v>
      </c>
      <c r="N130" s="2">
        <f t="shared" si="26"/>
        <v>13.097205824478554</v>
      </c>
      <c r="O130" s="1">
        <v>1730</v>
      </c>
      <c r="P130" s="1">
        <f t="shared" ref="P130:P193" si="33">H130/2-O130</f>
        <v>142</v>
      </c>
      <c r="Q130" s="1">
        <f t="shared" ref="Q130:Q193" si="34">TAN(RADIANS(21.25))*N130</f>
        <v>5.09322479184081</v>
      </c>
      <c r="R130" s="1">
        <f t="shared" ref="R130:R193" si="35">Q130*(P130/(H130/2))</f>
        <v>0.38634504297083067</v>
      </c>
      <c r="S130" s="2">
        <f t="shared" ref="S130:S193" si="36">DEGREES(ATAN(R130/N130))</f>
        <v>1.6896369749424838</v>
      </c>
      <c r="T130" s="2">
        <f t="shared" ref="T130:T193" si="37">RADIANS(S130)</f>
        <v>2.9489728376183268E-2</v>
      </c>
      <c r="U130" s="1" t="s">
        <v>2507</v>
      </c>
      <c r="V130" s="6" t="s">
        <v>2505</v>
      </c>
    </row>
    <row r="131" spans="1:22" ht="14.25" customHeight="1" x14ac:dyDescent="0.3">
      <c r="A131" s="1" t="s">
        <v>17</v>
      </c>
      <c r="B131" s="1" t="s">
        <v>284</v>
      </c>
      <c r="C131" s="1" t="s">
        <v>285</v>
      </c>
      <c r="D131" s="1">
        <f t="shared" si="27"/>
        <v>25</v>
      </c>
      <c r="E131" s="1">
        <f t="shared" si="28"/>
        <v>1.0092592592592592E-2</v>
      </c>
      <c r="F131" s="2">
        <f t="shared" si="29"/>
        <v>152.15307725597876</v>
      </c>
      <c r="G131" s="1">
        <v>2080</v>
      </c>
      <c r="H131" s="1">
        <v>3744</v>
      </c>
      <c r="I131" s="1">
        <v>0</v>
      </c>
      <c r="J131" s="1">
        <v>195</v>
      </c>
      <c r="K131" s="1">
        <f t="shared" si="30"/>
        <v>0</v>
      </c>
      <c r="L131" s="1">
        <f t="shared" si="31"/>
        <v>1.7015624999999999</v>
      </c>
      <c r="M131" s="1">
        <f t="shared" si="32"/>
        <v>1.7015624999999999</v>
      </c>
      <c r="N131" s="2">
        <f t="shared" si="26"/>
        <v>9.8732782369146026</v>
      </c>
      <c r="O131" s="1">
        <v>1729</v>
      </c>
      <c r="P131" s="1">
        <f t="shared" si="33"/>
        <v>143</v>
      </c>
      <c r="Q131" s="1">
        <f t="shared" si="34"/>
        <v>3.8395079200030722</v>
      </c>
      <c r="R131" s="1">
        <f t="shared" si="35"/>
        <v>0.29329574388912361</v>
      </c>
      <c r="S131" s="2">
        <f t="shared" si="36"/>
        <v>1.701528856589132</v>
      </c>
      <c r="T131" s="2">
        <f t="shared" si="37"/>
        <v>2.9697280865174765E-2</v>
      </c>
      <c r="U131" s="1" t="s">
        <v>2507</v>
      </c>
      <c r="V131" s="6" t="s">
        <v>2505</v>
      </c>
    </row>
    <row r="132" spans="1:22" ht="14.25" customHeight="1" x14ac:dyDescent="0.3">
      <c r="A132" s="1" t="s">
        <v>286</v>
      </c>
      <c r="B132" s="1" t="s">
        <v>287</v>
      </c>
      <c r="C132" s="1" t="s">
        <v>288</v>
      </c>
      <c r="D132" s="1">
        <f t="shared" si="27"/>
        <v>26</v>
      </c>
      <c r="E132" s="1">
        <f t="shared" si="28"/>
        <v>9.3206018518518521E-2</v>
      </c>
      <c r="F132" s="2">
        <f t="shared" si="29"/>
        <v>158.95847961976548</v>
      </c>
      <c r="G132" s="1">
        <v>2080</v>
      </c>
      <c r="H132" s="1">
        <v>3744</v>
      </c>
      <c r="I132" s="1">
        <v>0</v>
      </c>
      <c r="J132" s="1">
        <v>225</v>
      </c>
      <c r="K132" s="1">
        <f t="shared" si="30"/>
        <v>0</v>
      </c>
      <c r="L132" s="1">
        <f t="shared" si="31"/>
        <v>1.963341346153846</v>
      </c>
      <c r="M132" s="1">
        <f t="shared" si="32"/>
        <v>1.963341346153846</v>
      </c>
      <c r="N132" s="2">
        <f t="shared" si="26"/>
        <v>8.5568411386593208</v>
      </c>
      <c r="O132" s="1">
        <v>1728</v>
      </c>
      <c r="P132" s="1">
        <f t="shared" si="33"/>
        <v>144</v>
      </c>
      <c r="Q132" s="1">
        <f t="shared" si="34"/>
        <v>3.3275735306693286</v>
      </c>
      <c r="R132" s="1">
        <f t="shared" si="35"/>
        <v>0.25596719466687146</v>
      </c>
      <c r="S132" s="2">
        <f t="shared" si="36"/>
        <v>1.713420591597437</v>
      </c>
      <c r="T132" s="2">
        <f t="shared" si="37"/>
        <v>2.9904830794844364E-2</v>
      </c>
      <c r="U132" s="1" t="s">
        <v>2507</v>
      </c>
      <c r="V132" s="6" t="s">
        <v>2505</v>
      </c>
    </row>
    <row r="133" spans="1:22" ht="14.25" customHeight="1" x14ac:dyDescent="0.3">
      <c r="A133" s="1" t="s">
        <v>27</v>
      </c>
      <c r="B133" s="1" t="s">
        <v>289</v>
      </c>
      <c r="C133" s="1" t="s">
        <v>290</v>
      </c>
      <c r="D133" s="1">
        <f t="shared" si="27"/>
        <v>48</v>
      </c>
      <c r="E133" s="1">
        <f t="shared" si="28"/>
        <v>0.74934027777777779</v>
      </c>
      <c r="F133" s="2">
        <f t="shared" si="29"/>
        <v>301.31116951503134</v>
      </c>
      <c r="G133" s="1">
        <v>2080</v>
      </c>
      <c r="H133" s="1">
        <v>3744</v>
      </c>
      <c r="I133" s="1">
        <v>0</v>
      </c>
      <c r="J133" s="1">
        <v>229</v>
      </c>
      <c r="K133" s="1">
        <f t="shared" si="30"/>
        <v>0</v>
      </c>
      <c r="L133" s="1">
        <f t="shared" si="31"/>
        <v>1.998245192307692</v>
      </c>
      <c r="M133" s="1">
        <f t="shared" si="32"/>
        <v>1.998245192307692</v>
      </c>
      <c r="N133" s="2">
        <f t="shared" si="26"/>
        <v>8.407376664621605</v>
      </c>
      <c r="O133" s="1">
        <v>1727</v>
      </c>
      <c r="P133" s="1">
        <f t="shared" si="33"/>
        <v>145</v>
      </c>
      <c r="Q133" s="1">
        <f t="shared" si="34"/>
        <v>3.2694499755484676</v>
      </c>
      <c r="R133" s="1">
        <f t="shared" si="35"/>
        <v>0.25324265302058108</v>
      </c>
      <c r="S133" s="2">
        <f t="shared" si="36"/>
        <v>1.7253121789456112</v>
      </c>
      <c r="T133" s="2">
        <f t="shared" si="37"/>
        <v>3.0112378147358503E-2</v>
      </c>
      <c r="U133" s="1" t="s">
        <v>2507</v>
      </c>
      <c r="V133" s="6" t="s">
        <v>2505</v>
      </c>
    </row>
    <row r="134" spans="1:22" ht="14.25" customHeight="1" x14ac:dyDescent="0.3">
      <c r="A134" s="1" t="s">
        <v>27</v>
      </c>
      <c r="B134" s="1" t="s">
        <v>291</v>
      </c>
      <c r="C134" s="1" t="s">
        <v>292</v>
      </c>
      <c r="D134" s="1">
        <f t="shared" si="27"/>
        <v>70</v>
      </c>
      <c r="E134" s="1">
        <f t="shared" si="28"/>
        <v>0.22670138888888888</v>
      </c>
      <c r="F134" s="2">
        <f t="shared" si="29"/>
        <v>436.25740928535492</v>
      </c>
      <c r="G134" s="1">
        <v>2080</v>
      </c>
      <c r="H134" s="1">
        <v>3744</v>
      </c>
      <c r="I134" s="1">
        <v>0</v>
      </c>
      <c r="J134" s="1">
        <v>232</v>
      </c>
      <c r="K134" s="1">
        <f t="shared" si="30"/>
        <v>0</v>
      </c>
      <c r="L134" s="1">
        <f t="shared" si="31"/>
        <v>2.0244230769230764</v>
      </c>
      <c r="M134" s="1">
        <f t="shared" si="32"/>
        <v>2.0244230769230764</v>
      </c>
      <c r="N134" s="2">
        <f t="shared" si="26"/>
        <v>8.2986605870618426</v>
      </c>
      <c r="O134" s="1">
        <v>1726</v>
      </c>
      <c r="P134" s="1">
        <f t="shared" si="33"/>
        <v>146</v>
      </c>
      <c r="Q134" s="1">
        <f t="shared" si="34"/>
        <v>3.2271726051749958</v>
      </c>
      <c r="R134" s="1">
        <f t="shared" si="35"/>
        <v>0.25169188053181057</v>
      </c>
      <c r="S134" s="2">
        <f t="shared" si="36"/>
        <v>1.7372036176119421</v>
      </c>
      <c r="T134" s="2">
        <f t="shared" si="37"/>
        <v>3.031992290488494E-2</v>
      </c>
      <c r="U134" s="1" t="s">
        <v>2507</v>
      </c>
      <c r="V134" s="6" t="s">
        <v>2505</v>
      </c>
    </row>
    <row r="135" spans="1:22" ht="14.25" customHeight="1" x14ac:dyDescent="0.3">
      <c r="A135" s="1" t="s">
        <v>40</v>
      </c>
      <c r="B135" s="1" t="s">
        <v>293</v>
      </c>
      <c r="C135" s="1" t="s">
        <v>294</v>
      </c>
      <c r="D135" s="1">
        <f t="shared" si="27"/>
        <v>6</v>
      </c>
      <c r="E135" s="1">
        <f t="shared" si="28"/>
        <v>0.23218749999999999</v>
      </c>
      <c r="F135" s="2">
        <f t="shared" si="29"/>
        <v>34.168019878588275</v>
      </c>
      <c r="G135" s="1">
        <v>2080</v>
      </c>
      <c r="H135" s="1">
        <v>3744</v>
      </c>
      <c r="I135" s="1">
        <v>0</v>
      </c>
      <c r="J135" s="1">
        <v>127</v>
      </c>
      <c r="K135" s="1">
        <f t="shared" si="30"/>
        <v>0</v>
      </c>
      <c r="L135" s="1">
        <f t="shared" si="31"/>
        <v>1.1081971153846153</v>
      </c>
      <c r="M135" s="1">
        <f t="shared" si="32"/>
        <v>1.1081971153846153</v>
      </c>
      <c r="N135" s="2">
        <f t="shared" si="26"/>
        <v>15.159757922821633</v>
      </c>
      <c r="O135" s="1">
        <v>1725</v>
      </c>
      <c r="P135" s="1">
        <f t="shared" si="33"/>
        <v>147</v>
      </c>
      <c r="Q135" s="1">
        <f t="shared" si="34"/>
        <v>5.8953074362251892</v>
      </c>
      <c r="R135" s="1">
        <f t="shared" si="35"/>
        <v>0.4629327954728113</v>
      </c>
      <c r="S135" s="2">
        <f t="shared" si="36"/>
        <v>1.7490949065747938</v>
      </c>
      <c r="T135" s="2">
        <f t="shared" si="37"/>
        <v>3.0527465049592768E-2</v>
      </c>
      <c r="U135" s="1" t="s">
        <v>2507</v>
      </c>
      <c r="V135" s="6" t="s">
        <v>2505</v>
      </c>
    </row>
    <row r="136" spans="1:22" ht="14.25" customHeight="1" x14ac:dyDescent="0.3">
      <c r="A136" s="1" t="s">
        <v>177</v>
      </c>
      <c r="B136" s="1" t="s">
        <v>295</v>
      </c>
      <c r="C136" s="1" t="s">
        <v>296</v>
      </c>
      <c r="D136" s="1">
        <f t="shared" si="27"/>
        <v>36</v>
      </c>
      <c r="E136" s="1">
        <f t="shared" si="28"/>
        <v>0.75395833333333329</v>
      </c>
      <c r="F136" s="2">
        <f t="shared" si="29"/>
        <v>225.94196192769067</v>
      </c>
      <c r="G136" s="1">
        <v>2080</v>
      </c>
      <c r="H136" s="1">
        <v>3744</v>
      </c>
      <c r="I136" s="1">
        <v>0</v>
      </c>
      <c r="J136" s="1">
        <v>366</v>
      </c>
      <c r="K136" s="1">
        <f t="shared" si="30"/>
        <v>0</v>
      </c>
      <c r="L136" s="1">
        <f t="shared" si="31"/>
        <v>3.1937019230769228</v>
      </c>
      <c r="M136" s="1">
        <f t="shared" si="32"/>
        <v>3.1937019230769228</v>
      </c>
      <c r="N136" s="2">
        <f t="shared" si="26"/>
        <v>5.2603531590118777</v>
      </c>
      <c r="O136" s="1">
        <v>1725</v>
      </c>
      <c r="P136" s="1">
        <f t="shared" si="33"/>
        <v>147</v>
      </c>
      <c r="Q136" s="1">
        <f t="shared" si="34"/>
        <v>2.0456394655754071</v>
      </c>
      <c r="R136" s="1">
        <f t="shared" si="35"/>
        <v>0.16063515034165857</v>
      </c>
      <c r="S136" s="2">
        <f t="shared" si="36"/>
        <v>1.7490949065747938</v>
      </c>
      <c r="T136" s="2">
        <f t="shared" si="37"/>
        <v>3.0527465049592768E-2</v>
      </c>
      <c r="U136" s="1" t="s">
        <v>2507</v>
      </c>
      <c r="V136" s="6" t="s">
        <v>2505</v>
      </c>
    </row>
    <row r="137" spans="1:22" ht="14.25" customHeight="1" x14ac:dyDescent="0.3">
      <c r="A137" s="1" t="s">
        <v>30</v>
      </c>
      <c r="B137" s="1" t="s">
        <v>297</v>
      </c>
      <c r="C137" s="1" t="s">
        <v>298</v>
      </c>
      <c r="D137" s="1">
        <f t="shared" si="27"/>
        <v>72</v>
      </c>
      <c r="E137" s="1">
        <f t="shared" si="28"/>
        <v>2.525462962962963E-2</v>
      </c>
      <c r="F137" s="2">
        <f t="shared" si="29"/>
        <v>447.55805258175735</v>
      </c>
      <c r="G137" s="1">
        <v>2080</v>
      </c>
      <c r="H137" s="1">
        <v>3744</v>
      </c>
      <c r="I137" s="1">
        <v>0</v>
      </c>
      <c r="J137" s="1">
        <v>103</v>
      </c>
      <c r="K137" s="1">
        <f t="shared" si="30"/>
        <v>0</v>
      </c>
      <c r="L137" s="1">
        <f t="shared" si="31"/>
        <v>0.89877403846153836</v>
      </c>
      <c r="M137" s="1">
        <f t="shared" si="32"/>
        <v>0.89877403846153836</v>
      </c>
      <c r="N137" s="2">
        <f t="shared" si="26"/>
        <v>18.692128700954829</v>
      </c>
      <c r="O137" s="1">
        <v>1725</v>
      </c>
      <c r="P137" s="1">
        <f t="shared" si="33"/>
        <v>147</v>
      </c>
      <c r="Q137" s="1">
        <f t="shared" si="34"/>
        <v>7.2689713048601847</v>
      </c>
      <c r="R137" s="1">
        <f t="shared" si="35"/>
        <v>0.57080063131113634</v>
      </c>
      <c r="S137" s="2">
        <f t="shared" si="36"/>
        <v>1.7490949065747938</v>
      </c>
      <c r="T137" s="2">
        <f t="shared" si="37"/>
        <v>3.0527465049592768E-2</v>
      </c>
      <c r="U137" s="1" t="s">
        <v>2507</v>
      </c>
      <c r="V137" s="6" t="s">
        <v>2505</v>
      </c>
    </row>
    <row r="138" spans="1:22" ht="14.25" customHeight="1" x14ac:dyDescent="0.3">
      <c r="A138" s="1" t="s">
        <v>17</v>
      </c>
      <c r="B138" s="1" t="s">
        <v>299</v>
      </c>
      <c r="C138" s="1" t="s">
        <v>300</v>
      </c>
      <c r="D138" s="1">
        <f t="shared" si="27"/>
        <v>34</v>
      </c>
      <c r="E138" s="1">
        <f t="shared" si="28"/>
        <v>0.33954861111111106</v>
      </c>
      <c r="F138" s="2">
        <f t="shared" si="29"/>
        <v>210.7717782355125</v>
      </c>
      <c r="G138" s="1">
        <v>2080</v>
      </c>
      <c r="H138" s="1">
        <v>3744</v>
      </c>
      <c r="I138" s="1">
        <v>0</v>
      </c>
      <c r="J138" s="1">
        <v>228</v>
      </c>
      <c r="K138" s="1">
        <f t="shared" si="30"/>
        <v>0</v>
      </c>
      <c r="L138" s="1">
        <f t="shared" si="31"/>
        <v>1.9895192307692307</v>
      </c>
      <c r="M138" s="1">
        <f t="shared" si="32"/>
        <v>1.9895192307692307</v>
      </c>
      <c r="N138" s="2">
        <f t="shared" si="26"/>
        <v>8.4442511236769615</v>
      </c>
      <c r="O138" s="1">
        <v>1723</v>
      </c>
      <c r="P138" s="1">
        <f t="shared" si="33"/>
        <v>149</v>
      </c>
      <c r="Q138" s="1">
        <f t="shared" si="34"/>
        <v>3.2837896684236796</v>
      </c>
      <c r="R138" s="1">
        <f t="shared" si="35"/>
        <v>0.26137001100167107</v>
      </c>
      <c r="S138" s="2">
        <f t="shared" si="36"/>
        <v>1.7728770313039053</v>
      </c>
      <c r="T138" s="2">
        <f t="shared" si="37"/>
        <v>3.0942541429235727E-2</v>
      </c>
      <c r="U138" s="1" t="s">
        <v>2507</v>
      </c>
      <c r="V138" s="6" t="s">
        <v>2505</v>
      </c>
    </row>
    <row r="139" spans="1:22" ht="14.25" customHeight="1" x14ac:dyDescent="0.3">
      <c r="A139" s="1" t="s">
        <v>27</v>
      </c>
      <c r="B139" s="1" t="s">
        <v>301</v>
      </c>
      <c r="C139" s="1" t="s">
        <v>302</v>
      </c>
      <c r="D139" s="1">
        <f t="shared" si="27"/>
        <v>55</v>
      </c>
      <c r="E139" s="1">
        <f t="shared" si="28"/>
        <v>0.24564814814814814</v>
      </c>
      <c r="F139" s="2">
        <f t="shared" si="29"/>
        <v>342.12867567705757</v>
      </c>
      <c r="G139" s="1">
        <v>2080</v>
      </c>
      <c r="H139" s="1">
        <v>3744</v>
      </c>
      <c r="I139" s="1">
        <v>0</v>
      </c>
      <c r="J139" s="1">
        <v>220</v>
      </c>
      <c r="K139" s="1">
        <f t="shared" si="30"/>
        <v>0</v>
      </c>
      <c r="L139" s="1">
        <f t="shared" si="31"/>
        <v>1.9197115384615382</v>
      </c>
      <c r="M139" s="1">
        <f t="shared" si="32"/>
        <v>1.9197115384615382</v>
      </c>
      <c r="N139" s="2">
        <f t="shared" si="26"/>
        <v>8.7513148009015786</v>
      </c>
      <c r="O139" s="1">
        <v>1723</v>
      </c>
      <c r="P139" s="1">
        <f t="shared" si="33"/>
        <v>149</v>
      </c>
      <c r="Q139" s="1">
        <f t="shared" si="34"/>
        <v>3.4032002018209044</v>
      </c>
      <c r="R139" s="1">
        <f t="shared" si="35"/>
        <v>0.27087437503809547</v>
      </c>
      <c r="S139" s="2">
        <f t="shared" si="36"/>
        <v>1.7728770313039053</v>
      </c>
      <c r="T139" s="2">
        <f t="shared" si="37"/>
        <v>3.0942541429235727E-2</v>
      </c>
      <c r="U139" s="1" t="s">
        <v>2507</v>
      </c>
      <c r="V139" s="6" t="s">
        <v>2505</v>
      </c>
    </row>
    <row r="140" spans="1:22" ht="14.25" customHeight="1" x14ac:dyDescent="0.3">
      <c r="A140" s="1" t="s">
        <v>17</v>
      </c>
      <c r="B140" s="1" t="s">
        <v>303</v>
      </c>
      <c r="C140" s="1" t="s">
        <v>304</v>
      </c>
      <c r="D140" s="1">
        <f t="shared" si="27"/>
        <v>84</v>
      </c>
      <c r="E140" s="1">
        <f t="shared" si="28"/>
        <v>5.302083333333333E-2</v>
      </c>
      <c r="F140" s="2">
        <f t="shared" si="29"/>
        <v>523.13073647105966</v>
      </c>
      <c r="G140" s="1">
        <v>2080</v>
      </c>
      <c r="H140" s="1">
        <v>3744</v>
      </c>
      <c r="I140" s="1">
        <v>0</v>
      </c>
      <c r="J140" s="1">
        <v>216</v>
      </c>
      <c r="K140" s="1">
        <f t="shared" si="30"/>
        <v>0</v>
      </c>
      <c r="L140" s="1">
        <f t="shared" si="31"/>
        <v>1.8848076923076922</v>
      </c>
      <c r="M140" s="1">
        <f t="shared" si="32"/>
        <v>1.8848076923076922</v>
      </c>
      <c r="N140" s="2">
        <f t="shared" si="26"/>
        <v>8.9133761861034593</v>
      </c>
      <c r="O140" s="1">
        <v>1723</v>
      </c>
      <c r="P140" s="1">
        <f t="shared" si="33"/>
        <v>149</v>
      </c>
      <c r="Q140" s="1">
        <f t="shared" si="34"/>
        <v>3.4662224277805507</v>
      </c>
      <c r="R140" s="1">
        <f t="shared" si="35"/>
        <v>0.27589056716843058</v>
      </c>
      <c r="S140" s="2">
        <f t="shared" si="36"/>
        <v>1.7728770313039055</v>
      </c>
      <c r="T140" s="2">
        <f t="shared" si="37"/>
        <v>3.0942541429235731E-2</v>
      </c>
      <c r="U140" s="1" t="s">
        <v>2507</v>
      </c>
      <c r="V140" s="6" t="s">
        <v>2505</v>
      </c>
    </row>
    <row r="141" spans="1:22" ht="14.25" customHeight="1" x14ac:dyDescent="0.3">
      <c r="A141" s="1" t="s">
        <v>40</v>
      </c>
      <c r="B141" s="1" t="s">
        <v>305</v>
      </c>
      <c r="C141" s="1" t="s">
        <v>306</v>
      </c>
      <c r="D141" s="1">
        <f t="shared" si="27"/>
        <v>28</v>
      </c>
      <c r="E141" s="1">
        <f t="shared" si="28"/>
        <v>0.22872685185185185</v>
      </c>
      <c r="F141" s="2">
        <f t="shared" si="29"/>
        <v>172.37635274294141</v>
      </c>
      <c r="G141" s="1">
        <v>2080</v>
      </c>
      <c r="H141" s="1">
        <v>3744</v>
      </c>
      <c r="I141" s="1">
        <v>0</v>
      </c>
      <c r="J141" s="1">
        <v>107</v>
      </c>
      <c r="K141" s="1">
        <f t="shared" si="30"/>
        <v>0</v>
      </c>
      <c r="L141" s="1">
        <f t="shared" si="31"/>
        <v>0.93367788461538459</v>
      </c>
      <c r="M141" s="1">
        <f t="shared" si="32"/>
        <v>0.93367788461538459</v>
      </c>
      <c r="N141" s="2">
        <f t="shared" si="26"/>
        <v>17.993357534563994</v>
      </c>
      <c r="O141" s="1">
        <v>1722</v>
      </c>
      <c r="P141" s="1">
        <f t="shared" si="33"/>
        <v>150</v>
      </c>
      <c r="Q141" s="1">
        <f t="shared" si="34"/>
        <v>6.9972340598186831</v>
      </c>
      <c r="R141" s="1">
        <f t="shared" si="35"/>
        <v>0.56067580607521506</v>
      </c>
      <c r="S141" s="2">
        <f t="shared" si="36"/>
        <v>1.7847678650272827</v>
      </c>
      <c r="T141" s="2">
        <f t="shared" si="37"/>
        <v>3.1150075628515839E-2</v>
      </c>
      <c r="U141" s="1" t="s">
        <v>2507</v>
      </c>
      <c r="V141" s="6" t="s">
        <v>2505</v>
      </c>
    </row>
    <row r="142" spans="1:22" ht="14.25" customHeight="1" x14ac:dyDescent="0.3">
      <c r="A142" s="1" t="s">
        <v>27</v>
      </c>
      <c r="B142" s="1" t="s">
        <v>307</v>
      </c>
      <c r="C142" s="1" t="s">
        <v>308</v>
      </c>
      <c r="D142" s="1">
        <f t="shared" si="27"/>
        <v>56</v>
      </c>
      <c r="E142" s="1">
        <f t="shared" si="28"/>
        <v>0.30624999999999997</v>
      </c>
      <c r="F142" s="2">
        <f t="shared" si="29"/>
        <v>348.7926336493806</v>
      </c>
      <c r="G142" s="1">
        <v>2080</v>
      </c>
      <c r="H142" s="1">
        <v>3744</v>
      </c>
      <c r="I142" s="1">
        <v>0</v>
      </c>
      <c r="J142" s="1">
        <v>195</v>
      </c>
      <c r="K142" s="1">
        <f t="shared" si="30"/>
        <v>0</v>
      </c>
      <c r="L142" s="1">
        <f t="shared" si="31"/>
        <v>1.7015624999999999</v>
      </c>
      <c r="M142" s="1">
        <f t="shared" si="32"/>
        <v>1.7015624999999999</v>
      </c>
      <c r="N142" s="2">
        <f t="shared" si="26"/>
        <v>9.8732782369146026</v>
      </c>
      <c r="O142" s="1">
        <v>1722</v>
      </c>
      <c r="P142" s="1">
        <f t="shared" si="33"/>
        <v>150</v>
      </c>
      <c r="Q142" s="1">
        <f t="shared" si="34"/>
        <v>3.8395079200030722</v>
      </c>
      <c r="R142" s="1">
        <f t="shared" si="35"/>
        <v>0.3076528782053744</v>
      </c>
      <c r="S142" s="2">
        <f t="shared" si="36"/>
        <v>1.7847678650272827</v>
      </c>
      <c r="T142" s="2">
        <f t="shared" si="37"/>
        <v>3.1150075628515839E-2</v>
      </c>
      <c r="U142" s="1" t="s">
        <v>2507</v>
      </c>
      <c r="V142" s="6" t="s">
        <v>2505</v>
      </c>
    </row>
    <row r="143" spans="1:22" ht="14.25" customHeight="1" x14ac:dyDescent="0.3">
      <c r="A143" s="1" t="s">
        <v>27</v>
      </c>
      <c r="B143" s="1" t="s">
        <v>309</v>
      </c>
      <c r="C143" s="1" t="s">
        <v>310</v>
      </c>
      <c r="D143" s="1">
        <f t="shared" si="27"/>
        <v>25</v>
      </c>
      <c r="E143" s="1">
        <f t="shared" si="28"/>
        <v>0.30997685185185186</v>
      </c>
      <c r="F143" s="2">
        <f t="shared" si="29"/>
        <v>154.03730562761098</v>
      </c>
      <c r="G143" s="1">
        <v>2080</v>
      </c>
      <c r="H143" s="1">
        <v>3744</v>
      </c>
      <c r="I143" s="1">
        <v>0</v>
      </c>
      <c r="J143" s="1">
        <v>216</v>
      </c>
      <c r="K143" s="1">
        <f t="shared" si="30"/>
        <v>0</v>
      </c>
      <c r="L143" s="1">
        <f t="shared" si="31"/>
        <v>1.8848076923076922</v>
      </c>
      <c r="M143" s="1">
        <f t="shared" si="32"/>
        <v>1.8848076923076922</v>
      </c>
      <c r="N143" s="2">
        <f t="shared" si="26"/>
        <v>8.9133761861034593</v>
      </c>
      <c r="O143" s="1">
        <v>1721</v>
      </c>
      <c r="P143" s="1">
        <f t="shared" si="33"/>
        <v>151</v>
      </c>
      <c r="Q143" s="1">
        <f t="shared" si="34"/>
        <v>3.4662224277805507</v>
      </c>
      <c r="R143" s="1">
        <f t="shared" si="35"/>
        <v>0.27959379625793973</v>
      </c>
      <c r="S143" s="2">
        <f t="shared" si="36"/>
        <v>1.796658544961417</v>
      </c>
      <c r="T143" s="2">
        <f t="shared" si="37"/>
        <v>3.1357607143667303E-2</v>
      </c>
      <c r="U143" s="1" t="s">
        <v>2507</v>
      </c>
      <c r="V143" s="6" t="s">
        <v>2505</v>
      </c>
    </row>
    <row r="144" spans="1:22" ht="14.25" customHeight="1" x14ac:dyDescent="0.3">
      <c r="A144" s="1" t="s">
        <v>17</v>
      </c>
      <c r="B144" s="1" t="s">
        <v>311</v>
      </c>
      <c r="C144" s="1" t="s">
        <v>312</v>
      </c>
      <c r="D144" s="1">
        <f t="shared" si="27"/>
        <v>35</v>
      </c>
      <c r="E144" s="1">
        <f t="shared" si="28"/>
        <v>0.32173611111111111</v>
      </c>
      <c r="F144" s="2">
        <f t="shared" si="29"/>
        <v>216.94304430440795</v>
      </c>
      <c r="G144" s="1">
        <v>2080</v>
      </c>
      <c r="H144" s="1">
        <v>3744</v>
      </c>
      <c r="I144" s="1">
        <v>0</v>
      </c>
      <c r="J144" s="1">
        <v>253</v>
      </c>
      <c r="K144" s="1">
        <f t="shared" si="30"/>
        <v>0</v>
      </c>
      <c r="L144" s="1">
        <f t="shared" si="31"/>
        <v>2.2076682692307692</v>
      </c>
      <c r="M144" s="1">
        <f t="shared" si="32"/>
        <v>2.2076682692307692</v>
      </c>
      <c r="N144" s="2">
        <f t="shared" si="26"/>
        <v>7.6098389573057199</v>
      </c>
      <c r="O144" s="1">
        <v>1721</v>
      </c>
      <c r="P144" s="1">
        <f t="shared" si="33"/>
        <v>151</v>
      </c>
      <c r="Q144" s="1">
        <f t="shared" si="34"/>
        <v>2.9593045233225252</v>
      </c>
      <c r="R144" s="1">
        <f t="shared" si="35"/>
        <v>0.23870458494749003</v>
      </c>
      <c r="S144" s="2">
        <f t="shared" si="36"/>
        <v>1.796658544961417</v>
      </c>
      <c r="T144" s="2">
        <f t="shared" si="37"/>
        <v>3.1357607143667303E-2</v>
      </c>
      <c r="U144" s="1" t="s">
        <v>2507</v>
      </c>
      <c r="V144" s="6" t="s">
        <v>2505</v>
      </c>
    </row>
    <row r="145" spans="1:24" ht="14.25" customHeight="1" x14ac:dyDescent="0.3">
      <c r="A145" s="1" t="s">
        <v>20</v>
      </c>
      <c r="B145" s="1" t="s">
        <v>313</v>
      </c>
      <c r="C145" s="1" t="s">
        <v>314</v>
      </c>
      <c r="D145" s="1">
        <f t="shared" si="27"/>
        <v>49</v>
      </c>
      <c r="E145" s="1">
        <f t="shared" si="28"/>
        <v>0.76887731481481481</v>
      </c>
      <c r="F145" s="2">
        <f t="shared" si="29"/>
        <v>307.71710964626789</v>
      </c>
      <c r="G145" s="1">
        <v>2080</v>
      </c>
      <c r="H145" s="1">
        <v>3744</v>
      </c>
      <c r="I145" s="1">
        <v>0</v>
      </c>
      <c r="J145" s="1">
        <v>265</v>
      </c>
      <c r="K145" s="1">
        <f t="shared" si="30"/>
        <v>0</v>
      </c>
      <c r="L145" s="1">
        <f t="shared" si="31"/>
        <v>2.3123798076923077</v>
      </c>
      <c r="M145" s="1">
        <f t="shared" si="32"/>
        <v>2.3123798076923077</v>
      </c>
      <c r="N145" s="2">
        <f t="shared" si="26"/>
        <v>7.2652424762201777</v>
      </c>
      <c r="O145" s="1">
        <v>1721</v>
      </c>
      <c r="P145" s="1">
        <f t="shared" si="33"/>
        <v>151</v>
      </c>
      <c r="Q145" s="1">
        <f t="shared" si="34"/>
        <v>2.8252982807569769</v>
      </c>
      <c r="R145" s="1">
        <f t="shared" si="35"/>
        <v>0.22789532072345275</v>
      </c>
      <c r="S145" s="2">
        <f t="shared" si="36"/>
        <v>1.796658544961417</v>
      </c>
      <c r="T145" s="2">
        <f t="shared" si="37"/>
        <v>3.1357607143667303E-2</v>
      </c>
      <c r="U145" s="1" t="s">
        <v>2507</v>
      </c>
      <c r="V145" s="6" t="s">
        <v>2505</v>
      </c>
    </row>
    <row r="146" spans="1:24" ht="14.25" customHeight="1" x14ac:dyDescent="0.3">
      <c r="A146" s="1" t="s">
        <v>40</v>
      </c>
      <c r="B146" s="1" t="s">
        <v>315</v>
      </c>
      <c r="C146" s="1" t="s">
        <v>316</v>
      </c>
      <c r="D146" s="1">
        <f t="shared" si="27"/>
        <v>7</v>
      </c>
      <c r="E146" s="1">
        <f t="shared" si="28"/>
        <v>0.29067129629629629</v>
      </c>
      <c r="F146" s="2">
        <f t="shared" si="29"/>
        <v>40.818669715364834</v>
      </c>
      <c r="G146" s="1">
        <v>2080</v>
      </c>
      <c r="H146" s="1">
        <v>3744</v>
      </c>
      <c r="I146" s="1">
        <v>0</v>
      </c>
      <c r="J146" s="1">
        <v>100</v>
      </c>
      <c r="K146" s="1">
        <f t="shared" si="30"/>
        <v>0</v>
      </c>
      <c r="L146" s="1">
        <f t="shared" si="31"/>
        <v>0.87259615384615374</v>
      </c>
      <c r="M146" s="1">
        <f t="shared" si="32"/>
        <v>0.87259615384615374</v>
      </c>
      <c r="N146" s="2">
        <f t="shared" si="26"/>
        <v>19.252892561983476</v>
      </c>
      <c r="O146" s="1">
        <v>1720</v>
      </c>
      <c r="P146" s="1">
        <f t="shared" si="33"/>
        <v>152</v>
      </c>
      <c r="Q146" s="1">
        <f t="shared" si="34"/>
        <v>7.4870404440059914</v>
      </c>
      <c r="R146" s="1">
        <f t="shared" si="35"/>
        <v>0.60792208733381981</v>
      </c>
      <c r="S146" s="2">
        <f t="shared" si="36"/>
        <v>1.8085490700850646</v>
      </c>
      <c r="T146" s="2">
        <f t="shared" si="37"/>
        <v>3.156513595686606E-2</v>
      </c>
      <c r="U146" s="1" t="s">
        <v>2507</v>
      </c>
      <c r="V146" s="6" t="s">
        <v>2505</v>
      </c>
    </row>
    <row r="147" spans="1:24" ht="14.25" customHeight="1" x14ac:dyDescent="0.3">
      <c r="A147" s="1" t="s">
        <v>65</v>
      </c>
      <c r="B147" s="1" t="s">
        <v>317</v>
      </c>
      <c r="C147" s="1" t="s">
        <v>318</v>
      </c>
      <c r="D147" s="1">
        <f t="shared" si="27"/>
        <v>60</v>
      </c>
      <c r="E147" s="1">
        <f t="shared" si="28"/>
        <v>0.26237268518518519</v>
      </c>
      <c r="F147" s="2">
        <f t="shared" si="29"/>
        <v>373.649685578336</v>
      </c>
      <c r="G147" s="1">
        <v>2080</v>
      </c>
      <c r="H147" s="1">
        <v>3744</v>
      </c>
      <c r="I147" s="1">
        <v>0</v>
      </c>
      <c r="J147" s="1">
        <v>1038</v>
      </c>
      <c r="K147" s="1">
        <f t="shared" si="30"/>
        <v>0</v>
      </c>
      <c r="L147" s="1">
        <f t="shared" si="31"/>
        <v>9.0575480769230747</v>
      </c>
      <c r="M147" s="1">
        <f t="shared" si="32"/>
        <v>9.0575480769230747</v>
      </c>
      <c r="N147" s="2">
        <f t="shared" si="26"/>
        <v>1.8548066052007204</v>
      </c>
      <c r="O147" s="1">
        <v>1720</v>
      </c>
      <c r="P147" s="1">
        <f t="shared" si="33"/>
        <v>152</v>
      </c>
      <c r="Q147" s="1">
        <f t="shared" si="34"/>
        <v>0.72129484046300496</v>
      </c>
      <c r="R147" s="1">
        <f t="shared" si="35"/>
        <v>5.8566675080329464E-2</v>
      </c>
      <c r="S147" s="2">
        <f t="shared" si="36"/>
        <v>1.8085490700850646</v>
      </c>
      <c r="T147" s="2">
        <f t="shared" si="37"/>
        <v>3.156513595686606E-2</v>
      </c>
      <c r="U147" s="1" t="s">
        <v>2507</v>
      </c>
      <c r="V147" s="6" t="s">
        <v>2505</v>
      </c>
    </row>
    <row r="148" spans="1:24" ht="14.25" customHeight="1" x14ac:dyDescent="0.3">
      <c r="A148" s="1" t="s">
        <v>196</v>
      </c>
      <c r="B148" s="1" t="s">
        <v>319</v>
      </c>
      <c r="C148" s="1" t="s">
        <v>320</v>
      </c>
      <c r="D148" s="1">
        <f t="shared" si="27"/>
        <v>49</v>
      </c>
      <c r="E148" s="1">
        <f t="shared" si="28"/>
        <v>0.1872337962962963</v>
      </c>
      <c r="F148" s="2">
        <f t="shared" si="29"/>
        <v>304.06253563669611</v>
      </c>
      <c r="G148" s="1">
        <v>2080</v>
      </c>
      <c r="H148" s="1">
        <v>3744</v>
      </c>
      <c r="I148" s="1">
        <v>0</v>
      </c>
      <c r="J148" s="1">
        <v>274</v>
      </c>
      <c r="K148" s="1">
        <f t="shared" si="30"/>
        <v>0</v>
      </c>
      <c r="L148" s="1">
        <f t="shared" si="31"/>
        <v>2.3909134615384611</v>
      </c>
      <c r="M148" s="1">
        <f t="shared" si="32"/>
        <v>2.3909134615384611</v>
      </c>
      <c r="N148" s="2">
        <f t="shared" si="26"/>
        <v>7.0266031248114871</v>
      </c>
      <c r="O148" s="1">
        <v>1719</v>
      </c>
      <c r="P148" s="1">
        <f t="shared" si="33"/>
        <v>153</v>
      </c>
      <c r="Q148" s="1">
        <f t="shared" si="34"/>
        <v>2.7324965124109455</v>
      </c>
      <c r="R148" s="1">
        <f t="shared" si="35"/>
        <v>0.22332904187974073</v>
      </c>
      <c r="S148" s="2">
        <f t="shared" si="36"/>
        <v>1.8204394393770618</v>
      </c>
      <c r="T148" s="2">
        <f t="shared" si="37"/>
        <v>3.1772662050289439E-2</v>
      </c>
      <c r="U148" s="1" t="s">
        <v>2507</v>
      </c>
      <c r="V148" s="6" t="s">
        <v>2505</v>
      </c>
    </row>
    <row r="149" spans="1:24" ht="14.25" customHeight="1" x14ac:dyDescent="0.3">
      <c r="A149" s="1" t="s">
        <v>27</v>
      </c>
      <c r="B149" s="1" t="s">
        <v>321</v>
      </c>
      <c r="C149" s="1" t="s">
        <v>322</v>
      </c>
      <c r="D149" s="1">
        <f t="shared" si="27"/>
        <v>36</v>
      </c>
      <c r="E149" s="1">
        <f t="shared" si="28"/>
        <v>0.87409722222222219</v>
      </c>
      <c r="F149" s="2">
        <f t="shared" si="29"/>
        <v>226.69681682917826</v>
      </c>
      <c r="G149" s="1">
        <v>2080</v>
      </c>
      <c r="H149" s="1">
        <v>3744</v>
      </c>
      <c r="I149" s="1">
        <v>0</v>
      </c>
      <c r="J149" s="1">
        <v>190</v>
      </c>
      <c r="K149" s="1">
        <f t="shared" si="30"/>
        <v>0</v>
      </c>
      <c r="L149" s="1">
        <f t="shared" si="31"/>
        <v>1.657932692307692</v>
      </c>
      <c r="M149" s="1">
        <f t="shared" si="32"/>
        <v>1.657932692307692</v>
      </c>
      <c r="N149" s="2">
        <f t="shared" si="26"/>
        <v>10.133101348412355</v>
      </c>
      <c r="O149" s="1">
        <v>1718</v>
      </c>
      <c r="P149" s="1">
        <f t="shared" si="33"/>
        <v>154</v>
      </c>
      <c r="Q149" s="1">
        <f t="shared" si="34"/>
        <v>3.940547602108416</v>
      </c>
      <c r="R149" s="1">
        <f t="shared" si="35"/>
        <v>0.32416898008797868</v>
      </c>
      <c r="S149" s="2">
        <f t="shared" si="36"/>
        <v>1.8323296518163252</v>
      </c>
      <c r="T149" s="2">
        <f t="shared" si="37"/>
        <v>3.198018540611617E-2</v>
      </c>
      <c r="U149" s="1" t="s">
        <v>2507</v>
      </c>
      <c r="V149" s="6" t="s">
        <v>2505</v>
      </c>
    </row>
    <row r="150" spans="1:24" ht="14.25" customHeight="1" x14ac:dyDescent="0.3">
      <c r="A150" s="1" t="s">
        <v>40</v>
      </c>
      <c r="B150" s="1" t="s">
        <v>323</v>
      </c>
      <c r="C150" s="1" t="s">
        <v>324</v>
      </c>
      <c r="D150" s="1">
        <f t="shared" si="27"/>
        <v>7</v>
      </c>
      <c r="E150" s="1">
        <f t="shared" si="28"/>
        <v>0.29068287037037038</v>
      </c>
      <c r="F150" s="2">
        <f t="shared" si="29"/>
        <v>40.818742437417001</v>
      </c>
      <c r="G150" s="1">
        <v>2080</v>
      </c>
      <c r="H150" s="1">
        <v>3744</v>
      </c>
      <c r="I150" s="1">
        <v>0</v>
      </c>
      <c r="J150" s="1">
        <v>100</v>
      </c>
      <c r="K150" s="1">
        <f t="shared" si="30"/>
        <v>0</v>
      </c>
      <c r="L150" s="1">
        <f t="shared" si="31"/>
        <v>0.87259615384615374</v>
      </c>
      <c r="M150" s="1">
        <f t="shared" si="32"/>
        <v>0.87259615384615374</v>
      </c>
      <c r="N150" s="2">
        <f t="shared" si="26"/>
        <v>19.252892561983476</v>
      </c>
      <c r="O150" s="1">
        <v>1717</v>
      </c>
      <c r="P150" s="1">
        <f t="shared" si="33"/>
        <v>155</v>
      </c>
      <c r="Q150" s="1">
        <f t="shared" si="34"/>
        <v>7.4870404440059914</v>
      </c>
      <c r="R150" s="1">
        <f t="shared" si="35"/>
        <v>0.61992054958382936</v>
      </c>
      <c r="S150" s="2">
        <f t="shared" si="36"/>
        <v>1.8442197063818526</v>
      </c>
      <c r="T150" s="2">
        <f t="shared" si="37"/>
        <v>3.2187706006526408E-2</v>
      </c>
      <c r="U150" s="1" t="s">
        <v>2507</v>
      </c>
      <c r="V150" s="6" t="s">
        <v>2505</v>
      </c>
    </row>
    <row r="151" spans="1:24" ht="14.25" customHeight="1" x14ac:dyDescent="0.3">
      <c r="A151" s="1" t="s">
        <v>17</v>
      </c>
      <c r="B151" s="1" t="s">
        <v>325</v>
      </c>
      <c r="C151" s="1" t="s">
        <v>326</v>
      </c>
      <c r="D151" s="1">
        <f t="shared" si="27"/>
        <v>17</v>
      </c>
      <c r="E151" s="1">
        <f t="shared" si="28"/>
        <v>4.4675925925925933E-3</v>
      </c>
      <c r="F151" s="2">
        <f t="shared" si="29"/>
        <v>101.85225188118922</v>
      </c>
      <c r="G151" s="1">
        <v>2080</v>
      </c>
      <c r="H151" s="1">
        <v>3744</v>
      </c>
      <c r="I151" s="1">
        <v>0</v>
      </c>
      <c r="J151" s="1">
        <v>204</v>
      </c>
      <c r="K151" s="1">
        <f t="shared" si="30"/>
        <v>0</v>
      </c>
      <c r="L151" s="1">
        <f t="shared" si="31"/>
        <v>1.7800961538461537</v>
      </c>
      <c r="M151" s="1">
        <f t="shared" si="32"/>
        <v>1.7800961538461537</v>
      </c>
      <c r="N151" s="2">
        <f t="shared" si="26"/>
        <v>9.4376924323448392</v>
      </c>
      <c r="O151" s="1">
        <v>1717</v>
      </c>
      <c r="P151" s="1">
        <f t="shared" si="33"/>
        <v>155</v>
      </c>
      <c r="Q151" s="1">
        <f t="shared" si="34"/>
        <v>3.6701178647088186</v>
      </c>
      <c r="R151" s="1">
        <f t="shared" si="35"/>
        <v>0.30388262234501434</v>
      </c>
      <c r="S151" s="2">
        <f t="shared" si="36"/>
        <v>1.8442197063818526</v>
      </c>
      <c r="T151" s="2">
        <f t="shared" si="37"/>
        <v>3.2187706006526408E-2</v>
      </c>
      <c r="U151" s="1" t="s">
        <v>2507</v>
      </c>
      <c r="V151" s="6" t="s">
        <v>2505</v>
      </c>
    </row>
    <row r="152" spans="1:24" ht="14.25" customHeight="1" x14ac:dyDescent="0.3">
      <c r="A152" s="1" t="s">
        <v>27</v>
      </c>
      <c r="B152" s="1" t="s">
        <v>327</v>
      </c>
      <c r="C152" s="1" t="s">
        <v>328</v>
      </c>
      <c r="D152" s="1">
        <f t="shared" si="27"/>
        <v>34</v>
      </c>
      <c r="E152" s="1">
        <f t="shared" si="28"/>
        <v>0.77086805555555549</v>
      </c>
      <c r="F152" s="2">
        <f t="shared" si="29"/>
        <v>213.48183823154667</v>
      </c>
      <c r="G152" s="1">
        <v>2080</v>
      </c>
      <c r="H152" s="1">
        <v>3744</v>
      </c>
      <c r="I152" s="1">
        <v>0</v>
      </c>
      <c r="J152" s="1">
        <v>171</v>
      </c>
      <c r="K152" s="1">
        <f t="shared" si="30"/>
        <v>0</v>
      </c>
      <c r="L152" s="1">
        <f t="shared" si="31"/>
        <v>1.4921394230769229</v>
      </c>
      <c r="M152" s="1">
        <f t="shared" si="32"/>
        <v>1.4921394230769229</v>
      </c>
      <c r="N152" s="2">
        <f t="shared" si="26"/>
        <v>11.25900149823595</v>
      </c>
      <c r="O152" s="1">
        <v>1715</v>
      </c>
      <c r="P152" s="1">
        <f t="shared" si="33"/>
        <v>157</v>
      </c>
      <c r="Q152" s="1">
        <f t="shared" si="34"/>
        <v>4.378386224564907</v>
      </c>
      <c r="R152" s="1">
        <f t="shared" si="35"/>
        <v>0.36720440024395851</v>
      </c>
      <c r="S152" s="2">
        <f t="shared" si="36"/>
        <v>1.8679993378080961</v>
      </c>
      <c r="T152" s="2">
        <f t="shared" si="37"/>
        <v>3.2602738869825072E-2</v>
      </c>
      <c r="U152" s="1" t="s">
        <v>2507</v>
      </c>
      <c r="V152" s="6" t="s">
        <v>2505</v>
      </c>
    </row>
    <row r="153" spans="1:24" ht="14.25" customHeight="1" x14ac:dyDescent="0.3">
      <c r="A153" s="1" t="s">
        <v>286</v>
      </c>
      <c r="B153" s="1" t="s">
        <v>329</v>
      </c>
      <c r="C153" s="1" t="s">
        <v>330</v>
      </c>
      <c r="D153" s="1">
        <f t="shared" si="27"/>
        <v>45</v>
      </c>
      <c r="E153" s="1">
        <f t="shared" si="28"/>
        <v>0.82318287037037041</v>
      </c>
      <c r="F153" s="2">
        <f t="shared" si="29"/>
        <v>282.92558028631441</v>
      </c>
      <c r="G153" s="1">
        <v>2080</v>
      </c>
      <c r="H153" s="1">
        <v>3744</v>
      </c>
      <c r="I153" s="1">
        <v>0</v>
      </c>
      <c r="J153" s="1">
        <v>239</v>
      </c>
      <c r="K153" s="1">
        <f t="shared" si="30"/>
        <v>0</v>
      </c>
      <c r="L153" s="1">
        <f t="shared" si="31"/>
        <v>2.0855048076923075</v>
      </c>
      <c r="M153" s="1">
        <f t="shared" si="32"/>
        <v>2.0855048076923075</v>
      </c>
      <c r="N153" s="2">
        <f t="shared" si="26"/>
        <v>8.0556035824198631</v>
      </c>
      <c r="O153" s="1">
        <v>1714</v>
      </c>
      <c r="P153" s="1">
        <f t="shared" si="33"/>
        <v>158</v>
      </c>
      <c r="Q153" s="1">
        <f t="shared" si="34"/>
        <v>3.1326529054418368</v>
      </c>
      <c r="R153" s="1">
        <f t="shared" si="35"/>
        <v>0.26440126018152255</v>
      </c>
      <c r="S153" s="2">
        <f t="shared" si="36"/>
        <v>1.879888912627218</v>
      </c>
      <c r="T153" s="2">
        <f t="shared" si="37"/>
        <v>3.281025109708096E-2</v>
      </c>
      <c r="U153" s="1" t="s">
        <v>2507</v>
      </c>
      <c r="V153" s="6" t="s">
        <v>2505</v>
      </c>
    </row>
    <row r="154" spans="1:24" ht="14.25" customHeight="1" x14ac:dyDescent="0.3">
      <c r="A154" s="1" t="s">
        <v>40</v>
      </c>
      <c r="B154" s="1" t="s">
        <v>331</v>
      </c>
      <c r="C154" s="1" t="s">
        <v>332</v>
      </c>
      <c r="D154" s="1">
        <f t="shared" si="27"/>
        <v>93</v>
      </c>
      <c r="E154" s="1">
        <f t="shared" si="28"/>
        <v>0.28031250000000002</v>
      </c>
      <c r="F154" s="2">
        <f t="shared" si="29"/>
        <v>581.10751989612027</v>
      </c>
      <c r="G154" s="1">
        <v>2080</v>
      </c>
      <c r="H154" s="1">
        <v>3744</v>
      </c>
      <c r="I154" s="1">
        <v>0</v>
      </c>
      <c r="J154" s="1">
        <v>77</v>
      </c>
      <c r="K154" s="1">
        <f t="shared" si="30"/>
        <v>0</v>
      </c>
      <c r="L154" s="1">
        <f t="shared" si="31"/>
        <v>0.67189903846153842</v>
      </c>
      <c r="M154" s="1">
        <f t="shared" si="32"/>
        <v>0.67189903846153842</v>
      </c>
      <c r="N154" s="2">
        <f t="shared" si="26"/>
        <v>25.003756574004509</v>
      </c>
      <c r="O154" s="1">
        <v>1714</v>
      </c>
      <c r="P154" s="1">
        <f t="shared" si="33"/>
        <v>158</v>
      </c>
      <c r="Q154" s="1">
        <f t="shared" si="34"/>
        <v>9.7234291480597275</v>
      </c>
      <c r="R154" s="1">
        <f t="shared" si="35"/>
        <v>0.82067404134264799</v>
      </c>
      <c r="S154" s="2">
        <f t="shared" si="36"/>
        <v>1.8798889126272185</v>
      </c>
      <c r="T154" s="2">
        <f t="shared" si="37"/>
        <v>3.2810251097080967E-2</v>
      </c>
      <c r="U154" s="1" t="s">
        <v>2507</v>
      </c>
      <c r="V154" s="6" t="s">
        <v>2505</v>
      </c>
      <c r="W154" s="3"/>
      <c r="X154" s="3"/>
    </row>
    <row r="155" spans="1:24" ht="14.25" customHeight="1" x14ac:dyDescent="0.3">
      <c r="A155" s="1" t="s">
        <v>247</v>
      </c>
      <c r="B155" s="1" t="s">
        <v>333</v>
      </c>
      <c r="C155" s="1" t="s">
        <v>334</v>
      </c>
      <c r="D155" s="1">
        <f t="shared" si="27"/>
        <v>17</v>
      </c>
      <c r="E155" s="1">
        <f t="shared" si="28"/>
        <v>0.28119212962962964</v>
      </c>
      <c r="F155" s="2">
        <f t="shared" si="29"/>
        <v>103.5909634264364</v>
      </c>
      <c r="G155" s="1">
        <v>2080</v>
      </c>
      <c r="H155" s="1">
        <v>3744</v>
      </c>
      <c r="I155" s="1">
        <v>0</v>
      </c>
      <c r="J155" s="1">
        <v>104</v>
      </c>
      <c r="K155" s="1">
        <f t="shared" si="30"/>
        <v>0</v>
      </c>
      <c r="L155" s="1">
        <f t="shared" si="31"/>
        <v>0.90749999999999997</v>
      </c>
      <c r="M155" s="1">
        <f t="shared" si="32"/>
        <v>0.90749999999999997</v>
      </c>
      <c r="N155" s="2">
        <f t="shared" si="26"/>
        <v>18.512396694214878</v>
      </c>
      <c r="O155" s="1">
        <v>1712</v>
      </c>
      <c r="P155" s="1">
        <f t="shared" si="33"/>
        <v>160</v>
      </c>
      <c r="Q155" s="1">
        <f t="shared" si="34"/>
        <v>7.1990773500057594</v>
      </c>
      <c r="R155" s="1">
        <f t="shared" si="35"/>
        <v>0.61530575641074869</v>
      </c>
      <c r="S155" s="2">
        <f t="shared" si="36"/>
        <v>1.9036675753740955</v>
      </c>
      <c r="T155" s="2">
        <f t="shared" si="37"/>
        <v>3.322526705373529E-2</v>
      </c>
      <c r="U155" s="1" t="s">
        <v>2507</v>
      </c>
      <c r="V155" s="6" t="s">
        <v>2505</v>
      </c>
    </row>
    <row r="156" spans="1:24" ht="14.25" customHeight="1" x14ac:dyDescent="0.3">
      <c r="A156" s="1" t="s">
        <v>40</v>
      </c>
      <c r="B156" s="1" t="s">
        <v>335</v>
      </c>
      <c r="C156" s="1" t="s">
        <v>336</v>
      </c>
      <c r="D156" s="1">
        <f t="shared" si="27"/>
        <v>61</v>
      </c>
      <c r="E156" s="1">
        <f t="shared" si="28"/>
        <v>0.78833333333333344</v>
      </c>
      <c r="F156" s="2">
        <f t="shared" si="29"/>
        <v>383.23757910211469</v>
      </c>
      <c r="G156" s="1">
        <v>2080</v>
      </c>
      <c r="H156" s="1">
        <v>3744</v>
      </c>
      <c r="I156" s="1">
        <v>0</v>
      </c>
      <c r="J156" s="1">
        <v>121</v>
      </c>
      <c r="K156" s="1">
        <f t="shared" si="30"/>
        <v>0</v>
      </c>
      <c r="L156" s="1">
        <f t="shared" si="31"/>
        <v>1.0558413461538461</v>
      </c>
      <c r="M156" s="1">
        <f t="shared" si="32"/>
        <v>1.0558413461538461</v>
      </c>
      <c r="N156" s="2">
        <f t="shared" si="26"/>
        <v>15.911481456184688</v>
      </c>
      <c r="O156" s="1">
        <v>1710</v>
      </c>
      <c r="P156" s="1">
        <f t="shared" si="33"/>
        <v>162</v>
      </c>
      <c r="Q156" s="1">
        <f t="shared" si="34"/>
        <v>6.1876367305834625</v>
      </c>
      <c r="R156" s="1">
        <f t="shared" si="35"/>
        <v>0.53546856322356884</v>
      </c>
      <c r="S156" s="2">
        <f t="shared" si="36"/>
        <v>1.9274455821289744</v>
      </c>
      <c r="T156" s="2">
        <f t="shared" si="37"/>
        <v>3.3640271561169381E-2</v>
      </c>
      <c r="U156" s="1" t="s">
        <v>2507</v>
      </c>
      <c r="V156" s="6" t="s">
        <v>2505</v>
      </c>
    </row>
    <row r="157" spans="1:24" ht="14.25" customHeight="1" x14ac:dyDescent="0.3">
      <c r="A157" s="1" t="s">
        <v>40</v>
      </c>
      <c r="B157" s="1" t="s">
        <v>337</v>
      </c>
      <c r="C157" s="1" t="s">
        <v>338</v>
      </c>
      <c r="D157" s="1">
        <f t="shared" si="27"/>
        <v>93</v>
      </c>
      <c r="E157" s="1">
        <f t="shared" si="28"/>
        <v>0.28032407407407406</v>
      </c>
      <c r="F157" s="2">
        <f t="shared" si="29"/>
        <v>581.10759261817248</v>
      </c>
      <c r="G157" s="1">
        <v>2080</v>
      </c>
      <c r="H157" s="1">
        <v>3744</v>
      </c>
      <c r="I157" s="1">
        <v>0</v>
      </c>
      <c r="J157" s="1">
        <v>87</v>
      </c>
      <c r="K157" s="1">
        <f t="shared" si="30"/>
        <v>0</v>
      </c>
      <c r="L157" s="1">
        <f t="shared" si="31"/>
        <v>0.75915865384615377</v>
      </c>
      <c r="M157" s="1">
        <f t="shared" si="32"/>
        <v>0.75915865384615377</v>
      </c>
      <c r="N157" s="2">
        <f t="shared" si="26"/>
        <v>22.129761565498246</v>
      </c>
      <c r="O157" s="1">
        <v>1710</v>
      </c>
      <c r="P157" s="1">
        <f t="shared" si="33"/>
        <v>162</v>
      </c>
      <c r="Q157" s="1">
        <f t="shared" si="34"/>
        <v>8.6057936137999889</v>
      </c>
      <c r="R157" s="1">
        <f t="shared" si="35"/>
        <v>0.74473213965576823</v>
      </c>
      <c r="S157" s="2">
        <f t="shared" si="36"/>
        <v>1.9274455821289749</v>
      </c>
      <c r="T157" s="2">
        <f t="shared" si="37"/>
        <v>3.3640271561169388E-2</v>
      </c>
      <c r="U157" s="1" t="s">
        <v>2507</v>
      </c>
      <c r="V157" s="6" t="s">
        <v>2505</v>
      </c>
      <c r="W157" s="3"/>
      <c r="X157" s="3"/>
    </row>
    <row r="158" spans="1:24" ht="14.25" customHeight="1" x14ac:dyDescent="0.3">
      <c r="A158" s="1" t="s">
        <v>40</v>
      </c>
      <c r="B158" s="1" t="s">
        <v>339</v>
      </c>
      <c r="C158" s="1" t="s">
        <v>340</v>
      </c>
      <c r="D158" s="1">
        <f t="shared" si="27"/>
        <v>8</v>
      </c>
      <c r="E158" s="1">
        <f t="shared" si="28"/>
        <v>0.75172453703703701</v>
      </c>
      <c r="F158" s="2">
        <f t="shared" si="29"/>
        <v>49.998737970594171</v>
      </c>
      <c r="G158" s="1">
        <v>2080</v>
      </c>
      <c r="H158" s="1">
        <v>3744</v>
      </c>
      <c r="I158" s="1">
        <v>0</v>
      </c>
      <c r="J158" s="1">
        <v>223</v>
      </c>
      <c r="K158" s="1">
        <f t="shared" si="30"/>
        <v>0</v>
      </c>
      <c r="L158" s="1">
        <f t="shared" si="31"/>
        <v>1.945889423076923</v>
      </c>
      <c r="M158" s="1">
        <f t="shared" si="32"/>
        <v>1.945889423076923</v>
      </c>
      <c r="N158" s="2">
        <f t="shared" si="26"/>
        <v>8.6335841085127676</v>
      </c>
      <c r="O158" s="1">
        <v>1709</v>
      </c>
      <c r="P158" s="1">
        <f t="shared" si="33"/>
        <v>163</v>
      </c>
      <c r="Q158" s="1">
        <f t="shared" si="34"/>
        <v>3.3574172394645694</v>
      </c>
      <c r="R158" s="1">
        <f t="shared" si="35"/>
        <v>0.29233921476107094</v>
      </c>
      <c r="S158" s="2">
        <f t="shared" si="36"/>
        <v>1.9393343369584166</v>
      </c>
      <c r="T158" s="2">
        <f t="shared" si="37"/>
        <v>3.3847769476905522E-2</v>
      </c>
      <c r="U158" s="1" t="s">
        <v>2507</v>
      </c>
      <c r="V158" s="6" t="s">
        <v>2505</v>
      </c>
    </row>
    <row r="159" spans="1:24" ht="14.25" customHeight="1" x14ac:dyDescent="0.3">
      <c r="A159" s="1" t="s">
        <v>27</v>
      </c>
      <c r="B159" s="1" t="s">
        <v>341</v>
      </c>
      <c r="C159" s="1" t="s">
        <v>342</v>
      </c>
      <c r="D159" s="1">
        <f t="shared" si="27"/>
        <v>14</v>
      </c>
      <c r="E159" s="1">
        <f t="shared" si="28"/>
        <v>0.84287037037037038</v>
      </c>
      <c r="F159" s="2">
        <f t="shared" si="29"/>
        <v>88.270535974482343</v>
      </c>
      <c r="G159" s="1">
        <v>2080</v>
      </c>
      <c r="H159" s="1">
        <v>3744</v>
      </c>
      <c r="I159" s="1">
        <v>0</v>
      </c>
      <c r="J159" s="1">
        <v>174</v>
      </c>
      <c r="K159" s="1">
        <f t="shared" si="30"/>
        <v>0</v>
      </c>
      <c r="L159" s="1">
        <f t="shared" si="31"/>
        <v>1.5183173076923075</v>
      </c>
      <c r="M159" s="1">
        <f t="shared" si="32"/>
        <v>1.5183173076923075</v>
      </c>
      <c r="N159" s="2">
        <f t="shared" si="26"/>
        <v>11.064880782749123</v>
      </c>
      <c r="O159" s="1">
        <v>1709</v>
      </c>
      <c r="P159" s="1">
        <f t="shared" si="33"/>
        <v>163</v>
      </c>
      <c r="Q159" s="1">
        <f t="shared" si="34"/>
        <v>4.3028968068999944</v>
      </c>
      <c r="R159" s="1">
        <f t="shared" si="35"/>
        <v>0.37466462581447602</v>
      </c>
      <c r="S159" s="2">
        <f t="shared" si="36"/>
        <v>1.9393343369584166</v>
      </c>
      <c r="T159" s="2">
        <f t="shared" si="37"/>
        <v>3.3847769476905522E-2</v>
      </c>
      <c r="U159" s="1" t="s">
        <v>2507</v>
      </c>
      <c r="V159" s="6" t="s">
        <v>2505</v>
      </c>
      <c r="W159" s="1"/>
      <c r="X159" s="1"/>
    </row>
    <row r="160" spans="1:24" ht="14.25" customHeight="1" x14ac:dyDescent="0.3">
      <c r="A160" s="1" t="s">
        <v>27</v>
      </c>
      <c r="B160" s="1" t="s">
        <v>343</v>
      </c>
      <c r="C160" s="1" t="s">
        <v>344</v>
      </c>
      <c r="D160" s="1">
        <f t="shared" si="27"/>
        <v>45</v>
      </c>
      <c r="E160" s="1">
        <f t="shared" si="28"/>
        <v>0.26734953703703707</v>
      </c>
      <c r="F160" s="2">
        <f t="shared" si="29"/>
        <v>279.43317645307377</v>
      </c>
      <c r="G160" s="1">
        <v>2080</v>
      </c>
      <c r="H160" s="1">
        <v>3744</v>
      </c>
      <c r="I160" s="1">
        <v>0</v>
      </c>
      <c r="J160" s="1">
        <v>215</v>
      </c>
      <c r="K160" s="1">
        <f t="shared" si="30"/>
        <v>0</v>
      </c>
      <c r="L160" s="1">
        <f t="shared" si="31"/>
        <v>1.8760817307692306</v>
      </c>
      <c r="M160" s="1">
        <f t="shared" si="32"/>
        <v>1.8760817307692306</v>
      </c>
      <c r="N160" s="2">
        <f t="shared" ref="N160:N191" si="38">42*0.4/M160</f>
        <v>8.9548337497597554</v>
      </c>
      <c r="O160" s="1">
        <v>1709</v>
      </c>
      <c r="P160" s="1">
        <f t="shared" si="33"/>
        <v>163</v>
      </c>
      <c r="Q160" s="1">
        <f t="shared" si="34"/>
        <v>3.4823443925609259</v>
      </c>
      <c r="R160" s="1">
        <f t="shared" si="35"/>
        <v>0.30321695298473872</v>
      </c>
      <c r="S160" s="2">
        <f t="shared" si="36"/>
        <v>1.9393343369584166</v>
      </c>
      <c r="T160" s="2">
        <f t="shared" si="37"/>
        <v>3.3847769476905522E-2</v>
      </c>
      <c r="U160" s="1" t="s">
        <v>2507</v>
      </c>
      <c r="V160" s="6" t="s">
        <v>2505</v>
      </c>
    </row>
    <row r="161" spans="1:22" ht="14.25" customHeight="1" x14ac:dyDescent="0.3">
      <c r="A161" s="1" t="s">
        <v>40</v>
      </c>
      <c r="B161" s="1" t="s">
        <v>345</v>
      </c>
      <c r="C161" s="1" t="s">
        <v>346</v>
      </c>
      <c r="D161" s="1">
        <f t="shared" si="27"/>
        <v>30</v>
      </c>
      <c r="E161" s="1">
        <f t="shared" si="28"/>
        <v>0.21956018518518519</v>
      </c>
      <c r="F161" s="2">
        <f t="shared" si="29"/>
        <v>184.88512749198475</v>
      </c>
      <c r="G161" s="1">
        <v>2080</v>
      </c>
      <c r="H161" s="1">
        <v>3744</v>
      </c>
      <c r="I161" s="1">
        <v>0</v>
      </c>
      <c r="J161" s="1">
        <v>157</v>
      </c>
      <c r="K161" s="1">
        <f t="shared" si="30"/>
        <v>0</v>
      </c>
      <c r="L161" s="1">
        <f t="shared" si="31"/>
        <v>1.3699759615384615</v>
      </c>
      <c r="M161" s="1">
        <f t="shared" si="32"/>
        <v>1.3699759615384615</v>
      </c>
      <c r="N161" s="2">
        <f t="shared" si="38"/>
        <v>12.262988892983104</v>
      </c>
      <c r="O161" s="1">
        <v>1708</v>
      </c>
      <c r="P161" s="1">
        <f t="shared" si="33"/>
        <v>164</v>
      </c>
      <c r="Q161" s="1">
        <f t="shared" si="34"/>
        <v>4.7688155694305667</v>
      </c>
      <c r="R161" s="1">
        <f t="shared" si="35"/>
        <v>0.41778085116806246</v>
      </c>
      <c r="S161" s="2">
        <f t="shared" si="36"/>
        <v>1.9512229247288304</v>
      </c>
      <c r="T161" s="2">
        <f t="shared" si="37"/>
        <v>3.4055264476911574E-2</v>
      </c>
      <c r="U161" s="1" t="s">
        <v>2507</v>
      </c>
      <c r="V161" s="6" t="s">
        <v>2505</v>
      </c>
    </row>
    <row r="162" spans="1:22" ht="14.25" customHeight="1" x14ac:dyDescent="0.3">
      <c r="A162" s="1" t="s">
        <v>17</v>
      </c>
      <c r="B162" s="1" t="s">
        <v>347</v>
      </c>
      <c r="C162" s="1" t="s">
        <v>348</v>
      </c>
      <c r="D162" s="1">
        <f t="shared" si="27"/>
        <v>37</v>
      </c>
      <c r="E162" s="1">
        <f t="shared" si="28"/>
        <v>6.3634259259259265E-2</v>
      </c>
      <c r="F162" s="2">
        <f t="shared" si="29"/>
        <v>227.88771315545571</v>
      </c>
      <c r="G162" s="1">
        <v>2080</v>
      </c>
      <c r="H162" s="1">
        <v>3744</v>
      </c>
      <c r="I162" s="1">
        <v>0</v>
      </c>
      <c r="J162" s="1">
        <v>266</v>
      </c>
      <c r="K162" s="1">
        <f t="shared" si="30"/>
        <v>0</v>
      </c>
      <c r="L162" s="1">
        <f t="shared" si="31"/>
        <v>2.3211057692307691</v>
      </c>
      <c r="M162" s="1">
        <f t="shared" si="32"/>
        <v>2.3211057692307691</v>
      </c>
      <c r="N162" s="2">
        <f t="shared" si="38"/>
        <v>7.2379295345802532</v>
      </c>
      <c r="O162" s="1">
        <v>1707</v>
      </c>
      <c r="P162" s="1">
        <f t="shared" si="33"/>
        <v>165</v>
      </c>
      <c r="Q162" s="1">
        <f t="shared" si="34"/>
        <v>2.8146768586488684</v>
      </c>
      <c r="R162" s="1">
        <f t="shared" si="35"/>
        <v>0.24808850516937142</v>
      </c>
      <c r="S162" s="2">
        <f t="shared" si="36"/>
        <v>1.9631113444200534</v>
      </c>
      <c r="T162" s="2">
        <f t="shared" si="37"/>
        <v>3.4262756543382344E-2</v>
      </c>
      <c r="U162" s="1" t="s">
        <v>2507</v>
      </c>
      <c r="V162" s="6" t="s">
        <v>2505</v>
      </c>
    </row>
    <row r="163" spans="1:22" ht="14.25" customHeight="1" x14ac:dyDescent="0.3">
      <c r="A163" s="1" t="s">
        <v>82</v>
      </c>
      <c r="B163" s="1" t="s">
        <v>349</v>
      </c>
      <c r="C163" s="1" t="s">
        <v>350</v>
      </c>
      <c r="D163" s="1">
        <f t="shared" si="27"/>
        <v>59</v>
      </c>
      <c r="E163" s="1">
        <f t="shared" si="28"/>
        <v>0.25635416666666666</v>
      </c>
      <c r="F163" s="2">
        <f t="shared" si="29"/>
        <v>367.32868480402988</v>
      </c>
      <c r="G163" s="1">
        <v>2080</v>
      </c>
      <c r="H163" s="1">
        <v>3744</v>
      </c>
      <c r="I163" s="1">
        <v>0</v>
      </c>
      <c r="J163" s="1">
        <v>466</v>
      </c>
      <c r="K163" s="1">
        <f t="shared" si="30"/>
        <v>0</v>
      </c>
      <c r="L163" s="1">
        <f t="shared" si="31"/>
        <v>4.0662980769230765</v>
      </c>
      <c r="M163" s="1">
        <f t="shared" si="32"/>
        <v>4.0662980769230765</v>
      </c>
      <c r="N163" s="2">
        <f t="shared" si="38"/>
        <v>4.1315220090093288</v>
      </c>
      <c r="O163" s="1">
        <v>1704</v>
      </c>
      <c r="P163" s="1">
        <f t="shared" si="33"/>
        <v>168</v>
      </c>
      <c r="Q163" s="1">
        <f t="shared" si="34"/>
        <v>1.6066610394862639</v>
      </c>
      <c r="R163" s="1">
        <f t="shared" si="35"/>
        <v>0.14418752918466471</v>
      </c>
      <c r="S163" s="2">
        <f t="shared" si="36"/>
        <v>1.9987755848182431</v>
      </c>
      <c r="T163" s="2">
        <f t="shared" si="37"/>
        <v>3.4885214963553526E-2</v>
      </c>
      <c r="U163" s="1" t="s">
        <v>2507</v>
      </c>
      <c r="V163" s="6" t="s">
        <v>2505</v>
      </c>
    </row>
    <row r="164" spans="1:22" ht="14.25" customHeight="1" x14ac:dyDescent="0.3">
      <c r="A164" s="1" t="s">
        <v>40</v>
      </c>
      <c r="B164" s="1" t="s">
        <v>351</v>
      </c>
      <c r="C164" s="1" t="s">
        <v>352</v>
      </c>
      <c r="D164" s="1">
        <f t="shared" si="27"/>
        <v>31</v>
      </c>
      <c r="E164" s="1">
        <f t="shared" si="28"/>
        <v>0.72255787037037045</v>
      </c>
      <c r="F164" s="2">
        <f t="shared" si="29"/>
        <v>194.32874046426525</v>
      </c>
      <c r="G164" s="1">
        <v>2080</v>
      </c>
      <c r="H164" s="1">
        <v>3744</v>
      </c>
      <c r="I164" s="1">
        <v>0</v>
      </c>
      <c r="J164" s="1">
        <v>237</v>
      </c>
      <c r="K164" s="1">
        <f t="shared" si="30"/>
        <v>0</v>
      </c>
      <c r="L164" s="1">
        <f t="shared" si="31"/>
        <v>2.0680528846153843</v>
      </c>
      <c r="M164" s="1">
        <f t="shared" si="32"/>
        <v>2.0680528846153843</v>
      </c>
      <c r="N164" s="2">
        <f t="shared" si="38"/>
        <v>8.1235833594866982</v>
      </c>
      <c r="O164" s="1">
        <v>1704</v>
      </c>
      <c r="P164" s="1">
        <f t="shared" si="33"/>
        <v>168</v>
      </c>
      <c r="Q164" s="1">
        <f t="shared" si="34"/>
        <v>3.1590887949392368</v>
      </c>
      <c r="R164" s="1">
        <f t="shared" si="35"/>
        <v>0.28350796877659817</v>
      </c>
      <c r="S164" s="2">
        <f t="shared" si="36"/>
        <v>1.9987755848182434</v>
      </c>
      <c r="T164" s="2">
        <f t="shared" si="37"/>
        <v>3.4885214963553533E-2</v>
      </c>
      <c r="U164" s="1" t="s">
        <v>2507</v>
      </c>
      <c r="V164" s="6" t="s">
        <v>2505</v>
      </c>
    </row>
    <row r="165" spans="1:22" ht="14.25" customHeight="1" x14ac:dyDescent="0.3">
      <c r="A165" s="1" t="s">
        <v>17</v>
      </c>
      <c r="B165" s="1" t="s">
        <v>353</v>
      </c>
      <c r="C165" s="1" t="s">
        <v>354</v>
      </c>
      <c r="D165" s="1">
        <f t="shared" si="27"/>
        <v>5</v>
      </c>
      <c r="E165" s="1">
        <f t="shared" si="28"/>
        <v>0.35422453703703699</v>
      </c>
      <c r="F165" s="2">
        <f t="shared" si="29"/>
        <v>28.651615889451538</v>
      </c>
      <c r="G165" s="1">
        <v>2080</v>
      </c>
      <c r="H165" s="1">
        <v>3744</v>
      </c>
      <c r="I165" s="1">
        <v>0</v>
      </c>
      <c r="J165" s="1">
        <v>149</v>
      </c>
      <c r="K165" s="1">
        <f t="shared" si="30"/>
        <v>0</v>
      </c>
      <c r="L165" s="1">
        <f t="shared" si="31"/>
        <v>1.3001682692307692</v>
      </c>
      <c r="M165" s="1">
        <f t="shared" si="32"/>
        <v>1.3001682692307692</v>
      </c>
      <c r="N165" s="2">
        <f t="shared" si="38"/>
        <v>12.921404404015753</v>
      </c>
      <c r="O165" s="1">
        <v>1703</v>
      </c>
      <c r="P165" s="1">
        <f t="shared" si="33"/>
        <v>169</v>
      </c>
      <c r="Q165" s="1">
        <f t="shared" si="34"/>
        <v>5.0248593583932815</v>
      </c>
      <c r="R165" s="1">
        <f t="shared" si="35"/>
        <v>0.45363313652161569</v>
      </c>
      <c r="S165" s="2">
        <f t="shared" si="36"/>
        <v>2.0106633219928067</v>
      </c>
      <c r="T165" s="2">
        <f t="shared" si="37"/>
        <v>3.5092695117861394E-2</v>
      </c>
      <c r="U165" s="1" t="s">
        <v>2507</v>
      </c>
      <c r="V165" s="6" t="s">
        <v>2505</v>
      </c>
    </row>
    <row r="166" spans="1:22" ht="14.25" customHeight="1" x14ac:dyDescent="0.3">
      <c r="A166" s="1" t="s">
        <v>40</v>
      </c>
      <c r="B166" s="1" t="s">
        <v>355</v>
      </c>
      <c r="C166" s="1" t="s">
        <v>356</v>
      </c>
      <c r="D166" s="1">
        <f t="shared" si="27"/>
        <v>58</v>
      </c>
      <c r="E166" s="1">
        <f t="shared" si="28"/>
        <v>0.71440972222222221</v>
      </c>
      <c r="F166" s="2">
        <f t="shared" si="29"/>
        <v>363.92354743338893</v>
      </c>
      <c r="G166" s="1">
        <v>2080</v>
      </c>
      <c r="H166" s="1">
        <v>3744</v>
      </c>
      <c r="I166" s="1">
        <v>0</v>
      </c>
      <c r="J166" s="1">
        <v>114</v>
      </c>
      <c r="K166" s="1">
        <f t="shared" si="30"/>
        <v>0</v>
      </c>
      <c r="L166" s="1">
        <f t="shared" si="31"/>
        <v>0.99475961538461533</v>
      </c>
      <c r="M166" s="1">
        <f t="shared" si="32"/>
        <v>0.99475961538461533</v>
      </c>
      <c r="N166" s="2">
        <f t="shared" si="38"/>
        <v>16.888502247353923</v>
      </c>
      <c r="O166" s="1">
        <v>1702</v>
      </c>
      <c r="P166" s="1">
        <f t="shared" si="33"/>
        <v>170</v>
      </c>
      <c r="Q166" s="1">
        <f t="shared" si="34"/>
        <v>6.5675793368473592</v>
      </c>
      <c r="R166" s="1">
        <f t="shared" si="35"/>
        <v>0.59641479020515542</v>
      </c>
      <c r="S166" s="2">
        <f t="shared" si="36"/>
        <v>2.0225508859886707</v>
      </c>
      <c r="T166" s="2">
        <f t="shared" si="37"/>
        <v>3.5300172249630751E-2</v>
      </c>
      <c r="U166" s="1" t="s">
        <v>2507</v>
      </c>
      <c r="V166" s="6" t="s">
        <v>2505</v>
      </c>
    </row>
    <row r="167" spans="1:22" ht="14.25" customHeight="1" x14ac:dyDescent="0.3">
      <c r="A167" s="1" t="s">
        <v>357</v>
      </c>
      <c r="B167" s="1" t="s">
        <v>358</v>
      </c>
      <c r="C167" s="1" t="s">
        <v>359</v>
      </c>
      <c r="D167" s="1">
        <f t="shared" si="27"/>
        <v>72</v>
      </c>
      <c r="E167" s="1">
        <f t="shared" si="28"/>
        <v>0.33979166666666666</v>
      </c>
      <c r="F167" s="2">
        <f t="shared" si="29"/>
        <v>449.53434707143231</v>
      </c>
      <c r="G167" s="1">
        <v>2080</v>
      </c>
      <c r="H167" s="1">
        <v>3744</v>
      </c>
      <c r="I167" s="1">
        <v>0</v>
      </c>
      <c r="J167" s="1">
        <v>579</v>
      </c>
      <c r="K167" s="1">
        <f t="shared" si="30"/>
        <v>0</v>
      </c>
      <c r="L167" s="1">
        <f t="shared" si="31"/>
        <v>5.0523317307692297</v>
      </c>
      <c r="M167" s="1">
        <f t="shared" si="32"/>
        <v>5.0523317307692297</v>
      </c>
      <c r="N167" s="2">
        <f t="shared" si="38"/>
        <v>3.3251973336759026</v>
      </c>
      <c r="O167" s="1">
        <v>1702</v>
      </c>
      <c r="P167" s="1">
        <f t="shared" si="33"/>
        <v>170</v>
      </c>
      <c r="Q167" s="1">
        <f t="shared" si="34"/>
        <v>1.2930985222808276</v>
      </c>
      <c r="R167" s="1">
        <f t="shared" si="35"/>
        <v>0.11742881879687002</v>
      </c>
      <c r="S167" s="2">
        <f t="shared" si="36"/>
        <v>2.0225508859886712</v>
      </c>
      <c r="T167" s="2">
        <f t="shared" si="37"/>
        <v>3.5300172249630758E-2</v>
      </c>
      <c r="U167" s="1" t="s">
        <v>2507</v>
      </c>
      <c r="V167" s="6" t="s">
        <v>2505</v>
      </c>
    </row>
    <row r="168" spans="1:22" ht="14.25" customHeight="1" x14ac:dyDescent="0.3">
      <c r="A168" s="1" t="s">
        <v>20</v>
      </c>
      <c r="B168" s="1" t="s">
        <v>360</v>
      </c>
      <c r="C168" s="1" t="s">
        <v>361</v>
      </c>
      <c r="D168" s="1">
        <f t="shared" si="27"/>
        <v>14</v>
      </c>
      <c r="E168" s="1">
        <f t="shared" si="28"/>
        <v>0.89947916666666661</v>
      </c>
      <c r="F168" s="2">
        <f t="shared" si="29"/>
        <v>88.626219531628337</v>
      </c>
      <c r="G168" s="1">
        <v>2080</v>
      </c>
      <c r="H168" s="1">
        <v>3744</v>
      </c>
      <c r="I168" s="1">
        <v>0</v>
      </c>
      <c r="J168" s="1">
        <v>315</v>
      </c>
      <c r="K168" s="1">
        <f t="shared" si="30"/>
        <v>0</v>
      </c>
      <c r="L168" s="1">
        <f t="shared" si="31"/>
        <v>2.7486778846153848</v>
      </c>
      <c r="M168" s="1">
        <f t="shared" si="32"/>
        <v>2.7486778846153848</v>
      </c>
      <c r="N168" s="2">
        <f t="shared" si="38"/>
        <v>6.1120293847566574</v>
      </c>
      <c r="O168" s="1">
        <v>1701</v>
      </c>
      <c r="P168" s="1">
        <f t="shared" si="33"/>
        <v>171</v>
      </c>
      <c r="Q168" s="1">
        <f t="shared" si="34"/>
        <v>2.3768382361923774</v>
      </c>
      <c r="R168" s="1">
        <f t="shared" si="35"/>
        <v>0.21711503119064984</v>
      </c>
      <c r="S168" s="2">
        <f t="shared" si="36"/>
        <v>2.0344382757862016</v>
      </c>
      <c r="T168" s="2">
        <f t="shared" si="37"/>
        <v>3.5507646341065645E-2</v>
      </c>
      <c r="U168" s="1" t="s">
        <v>2507</v>
      </c>
      <c r="V168" s="6" t="s">
        <v>2505</v>
      </c>
    </row>
    <row r="169" spans="1:22" ht="14.25" customHeight="1" x14ac:dyDescent="0.3">
      <c r="A169" s="1" t="s">
        <v>27</v>
      </c>
      <c r="B169" s="1" t="s">
        <v>362</v>
      </c>
      <c r="C169" s="1" t="s">
        <v>363</v>
      </c>
      <c r="D169" s="1">
        <f t="shared" si="27"/>
        <v>90</v>
      </c>
      <c r="E169" s="1">
        <f t="shared" si="28"/>
        <v>0.78896990740740736</v>
      </c>
      <c r="F169" s="2">
        <f t="shared" si="29"/>
        <v>565.45395272319183</v>
      </c>
      <c r="G169" s="1">
        <v>2080</v>
      </c>
      <c r="H169" s="1">
        <v>3744</v>
      </c>
      <c r="I169" s="1">
        <v>0</v>
      </c>
      <c r="J169" s="1">
        <v>208</v>
      </c>
      <c r="K169" s="1">
        <f t="shared" si="30"/>
        <v>0</v>
      </c>
      <c r="L169" s="1">
        <f t="shared" si="31"/>
        <v>1.8149999999999999</v>
      </c>
      <c r="M169" s="1">
        <f t="shared" si="32"/>
        <v>1.8149999999999999</v>
      </c>
      <c r="N169" s="2">
        <f t="shared" si="38"/>
        <v>9.2561983471074392</v>
      </c>
      <c r="O169" s="1">
        <v>1701</v>
      </c>
      <c r="P169" s="1">
        <f t="shared" si="33"/>
        <v>171</v>
      </c>
      <c r="Q169" s="1">
        <f t="shared" si="34"/>
        <v>3.5995386750028797</v>
      </c>
      <c r="R169" s="1">
        <f t="shared" si="35"/>
        <v>0.32880401358199379</v>
      </c>
      <c r="S169" s="2">
        <f t="shared" si="36"/>
        <v>2.0344382757862016</v>
      </c>
      <c r="T169" s="2">
        <f t="shared" si="37"/>
        <v>3.5507646341065645E-2</v>
      </c>
      <c r="U169" s="1" t="s">
        <v>2507</v>
      </c>
      <c r="V169" s="6" t="s">
        <v>2505</v>
      </c>
    </row>
    <row r="170" spans="1:22" ht="14.25" customHeight="1" x14ac:dyDescent="0.3">
      <c r="A170" s="1" t="s">
        <v>17</v>
      </c>
      <c r="B170" s="1" t="s">
        <v>364</v>
      </c>
      <c r="C170" s="1" t="s">
        <v>365</v>
      </c>
      <c r="D170" s="1">
        <f t="shared" si="27"/>
        <v>32</v>
      </c>
      <c r="E170" s="1">
        <f t="shared" si="28"/>
        <v>0.97292824074074069</v>
      </c>
      <c r="F170" s="2">
        <f t="shared" si="29"/>
        <v>202.18504920390907</v>
      </c>
      <c r="G170" s="1">
        <v>2080</v>
      </c>
      <c r="H170" s="1">
        <v>3744</v>
      </c>
      <c r="I170" s="1">
        <v>0</v>
      </c>
      <c r="J170" s="1">
        <v>280</v>
      </c>
      <c r="K170" s="1">
        <f t="shared" si="30"/>
        <v>0</v>
      </c>
      <c r="L170" s="1">
        <f t="shared" si="31"/>
        <v>2.4432692307692307</v>
      </c>
      <c r="M170" s="1">
        <f t="shared" si="32"/>
        <v>2.4432692307692307</v>
      </c>
      <c r="N170" s="2">
        <f t="shared" si="38"/>
        <v>6.8760330578512399</v>
      </c>
      <c r="O170" s="1">
        <v>1701</v>
      </c>
      <c r="P170" s="1">
        <f t="shared" si="33"/>
        <v>171</v>
      </c>
      <c r="Q170" s="1">
        <f t="shared" si="34"/>
        <v>2.673943015716425</v>
      </c>
      <c r="R170" s="1">
        <f t="shared" si="35"/>
        <v>0.24425441008948112</v>
      </c>
      <c r="S170" s="2">
        <f t="shared" si="36"/>
        <v>2.0344382757862021</v>
      </c>
      <c r="T170" s="2">
        <f t="shared" si="37"/>
        <v>3.5507646341065659E-2</v>
      </c>
      <c r="U170" s="1" t="s">
        <v>2507</v>
      </c>
      <c r="V170" s="6" t="s">
        <v>2505</v>
      </c>
    </row>
    <row r="171" spans="1:22" ht="14.25" customHeight="1" x14ac:dyDescent="0.3">
      <c r="A171" s="1" t="s">
        <v>357</v>
      </c>
      <c r="B171" s="1" t="s">
        <v>366</v>
      </c>
      <c r="C171" s="1" t="s">
        <v>367</v>
      </c>
      <c r="D171" s="1">
        <f t="shared" si="27"/>
        <v>16</v>
      </c>
      <c r="E171" s="1">
        <f t="shared" si="28"/>
        <v>0.7622916666666667</v>
      </c>
      <c r="F171" s="2">
        <f t="shared" si="29"/>
        <v>100.33061566165883</v>
      </c>
      <c r="G171" s="1">
        <v>2080</v>
      </c>
      <c r="H171" s="1">
        <v>3744</v>
      </c>
      <c r="I171" s="1">
        <v>0</v>
      </c>
      <c r="J171" s="1">
        <v>222</v>
      </c>
      <c r="K171" s="1">
        <f t="shared" si="30"/>
        <v>0</v>
      </c>
      <c r="L171" s="1">
        <f t="shared" si="31"/>
        <v>1.9371634615384614</v>
      </c>
      <c r="M171" s="1">
        <f t="shared" si="32"/>
        <v>1.9371634615384614</v>
      </c>
      <c r="N171" s="2">
        <f t="shared" si="38"/>
        <v>8.6724741270195818</v>
      </c>
      <c r="O171" s="1">
        <v>1700</v>
      </c>
      <c r="P171" s="1">
        <f t="shared" si="33"/>
        <v>172</v>
      </c>
      <c r="Q171" s="1">
        <f t="shared" si="34"/>
        <v>3.3725407405432386</v>
      </c>
      <c r="R171" s="1">
        <f t="shared" si="35"/>
        <v>0.30987019624649415</v>
      </c>
      <c r="S171" s="2">
        <f t="shared" si="36"/>
        <v>2.0463254903658523</v>
      </c>
      <c r="T171" s="2">
        <f t="shared" si="37"/>
        <v>3.5715117374371629E-2</v>
      </c>
      <c r="U171" s="1" t="s">
        <v>2507</v>
      </c>
      <c r="V171" s="6" t="s">
        <v>2505</v>
      </c>
    </row>
    <row r="172" spans="1:22" ht="14.25" customHeight="1" x14ac:dyDescent="0.3">
      <c r="A172" s="1" t="s">
        <v>40</v>
      </c>
      <c r="B172" s="1" t="s">
        <v>368</v>
      </c>
      <c r="C172" s="1" t="s">
        <v>369</v>
      </c>
      <c r="D172" s="1">
        <f t="shared" si="27"/>
        <v>41</v>
      </c>
      <c r="E172" s="1">
        <f t="shared" si="28"/>
        <v>0.94295138888888896</v>
      </c>
      <c r="F172" s="2">
        <f t="shared" si="29"/>
        <v>258.54536685341429</v>
      </c>
      <c r="G172" s="1">
        <v>2080</v>
      </c>
      <c r="H172" s="1">
        <v>3744</v>
      </c>
      <c r="I172" s="1">
        <v>0</v>
      </c>
      <c r="J172" s="1">
        <v>101</v>
      </c>
      <c r="K172" s="1">
        <f t="shared" si="30"/>
        <v>0</v>
      </c>
      <c r="L172" s="1">
        <f t="shared" si="31"/>
        <v>0.88132211538461536</v>
      </c>
      <c r="M172" s="1">
        <f t="shared" si="32"/>
        <v>0.88132211538461536</v>
      </c>
      <c r="N172" s="2">
        <f t="shared" si="38"/>
        <v>19.062269863349972</v>
      </c>
      <c r="O172" s="1">
        <v>1699</v>
      </c>
      <c r="P172" s="1">
        <f t="shared" si="33"/>
        <v>173</v>
      </c>
      <c r="Q172" s="1">
        <f t="shared" si="34"/>
        <v>7.4129113306989991</v>
      </c>
      <c r="R172" s="1">
        <f t="shared" si="35"/>
        <v>0.68506071592464046</v>
      </c>
      <c r="S172" s="2">
        <f t="shared" si="36"/>
        <v>2.0582125287081681</v>
      </c>
      <c r="T172" s="2">
        <f t="shared" si="37"/>
        <v>3.5922585331755845E-2</v>
      </c>
      <c r="U172" s="1" t="s">
        <v>2507</v>
      </c>
      <c r="V172" s="6" t="s">
        <v>2505</v>
      </c>
    </row>
    <row r="173" spans="1:22" ht="14.25" customHeight="1" x14ac:dyDescent="0.3">
      <c r="A173" s="1" t="s">
        <v>27</v>
      </c>
      <c r="B173" s="1" t="s">
        <v>370</v>
      </c>
      <c r="C173" s="1" t="s">
        <v>371</v>
      </c>
      <c r="D173" s="1">
        <f t="shared" si="27"/>
        <v>34</v>
      </c>
      <c r="E173" s="1">
        <f t="shared" si="28"/>
        <v>0.11670138888888888</v>
      </c>
      <c r="F173" s="2">
        <f t="shared" si="29"/>
        <v>209.37158784310006</v>
      </c>
      <c r="G173" s="1">
        <v>2080</v>
      </c>
      <c r="H173" s="1">
        <v>3744</v>
      </c>
      <c r="I173" s="1">
        <v>0</v>
      </c>
      <c r="J173" s="1">
        <v>198</v>
      </c>
      <c r="K173" s="1">
        <f t="shared" si="30"/>
        <v>0</v>
      </c>
      <c r="L173" s="1">
        <f t="shared" si="31"/>
        <v>1.7277403846153845</v>
      </c>
      <c r="M173" s="1">
        <f t="shared" si="32"/>
        <v>1.7277403846153845</v>
      </c>
      <c r="N173" s="2">
        <f t="shared" si="38"/>
        <v>9.723683112112866</v>
      </c>
      <c r="O173" s="1">
        <v>1698</v>
      </c>
      <c r="P173" s="1">
        <f t="shared" si="33"/>
        <v>174</v>
      </c>
      <c r="Q173" s="1">
        <f t="shared" si="34"/>
        <v>3.7813335575787832</v>
      </c>
      <c r="R173" s="1">
        <f t="shared" si="35"/>
        <v>0.35147010631341258</v>
      </c>
      <c r="S173" s="2">
        <f t="shared" si="36"/>
        <v>2.0700993897937847</v>
      </c>
      <c r="T173" s="2">
        <f t="shared" si="37"/>
        <v>3.6130050195427046E-2</v>
      </c>
      <c r="U173" s="1" t="s">
        <v>2507</v>
      </c>
      <c r="V173" s="6" t="s">
        <v>2505</v>
      </c>
    </row>
    <row r="174" spans="1:22" ht="14.25" customHeight="1" x14ac:dyDescent="0.3">
      <c r="A174" s="1" t="s">
        <v>20</v>
      </c>
      <c r="B174" s="1" t="s">
        <v>372</v>
      </c>
      <c r="C174" s="1" t="s">
        <v>373</v>
      </c>
      <c r="D174" s="1">
        <f t="shared" si="27"/>
        <v>49</v>
      </c>
      <c r="E174" s="1">
        <f t="shared" si="28"/>
        <v>0.76888888888888884</v>
      </c>
      <c r="F174" s="2">
        <f t="shared" si="29"/>
        <v>307.71718236832004</v>
      </c>
      <c r="G174" s="1">
        <v>2080</v>
      </c>
      <c r="H174" s="1">
        <v>3744</v>
      </c>
      <c r="I174" s="1">
        <v>0</v>
      </c>
      <c r="J174" s="1">
        <v>294</v>
      </c>
      <c r="K174" s="1">
        <f t="shared" si="30"/>
        <v>0</v>
      </c>
      <c r="L174" s="1">
        <f t="shared" si="31"/>
        <v>2.565432692307692</v>
      </c>
      <c r="M174" s="1">
        <f t="shared" si="32"/>
        <v>2.565432692307692</v>
      </c>
      <c r="N174" s="2">
        <f t="shared" si="38"/>
        <v>6.5486029122392768</v>
      </c>
      <c r="O174" s="1">
        <v>1697</v>
      </c>
      <c r="P174" s="1">
        <f t="shared" si="33"/>
        <v>175</v>
      </c>
      <c r="Q174" s="1">
        <f t="shared" si="34"/>
        <v>2.546612395920405</v>
      </c>
      <c r="R174" s="1">
        <f t="shared" si="35"/>
        <v>0.23806472718273017</v>
      </c>
      <c r="S174" s="2">
        <f t="shared" si="36"/>
        <v>2.0819860726034283</v>
      </c>
      <c r="T174" s="2">
        <f t="shared" si="37"/>
        <v>3.6337511947595533E-2</v>
      </c>
      <c r="U174" s="1" t="s">
        <v>2507</v>
      </c>
      <c r="V174" s="6" t="s">
        <v>2505</v>
      </c>
    </row>
    <row r="175" spans="1:22" ht="14.25" customHeight="1" x14ac:dyDescent="0.3">
      <c r="A175" s="1" t="s">
        <v>40</v>
      </c>
      <c r="B175" s="1" t="s">
        <v>374</v>
      </c>
      <c r="C175" s="1" t="s">
        <v>375</v>
      </c>
      <c r="D175" s="1">
        <f t="shared" si="27"/>
        <v>72</v>
      </c>
      <c r="E175" s="1">
        <f t="shared" si="28"/>
        <v>0.77509259259259267</v>
      </c>
      <c r="F175" s="2">
        <f t="shared" si="29"/>
        <v>452.26942345341172</v>
      </c>
      <c r="G175" s="1">
        <v>2080</v>
      </c>
      <c r="H175" s="1">
        <v>3744</v>
      </c>
      <c r="I175" s="1">
        <v>0</v>
      </c>
      <c r="J175" s="1">
        <v>126</v>
      </c>
      <c r="K175" s="1">
        <f t="shared" si="30"/>
        <v>0</v>
      </c>
      <c r="L175" s="1">
        <f t="shared" si="31"/>
        <v>1.0994711538461537</v>
      </c>
      <c r="M175" s="1">
        <f t="shared" si="32"/>
        <v>1.0994711538461537</v>
      </c>
      <c r="N175" s="2">
        <f t="shared" si="38"/>
        <v>15.280073461891647</v>
      </c>
      <c r="O175" s="1">
        <v>1697</v>
      </c>
      <c r="P175" s="1">
        <f t="shared" si="33"/>
        <v>175</v>
      </c>
      <c r="Q175" s="1">
        <f t="shared" si="34"/>
        <v>5.9420955904809452</v>
      </c>
      <c r="R175" s="1">
        <f t="shared" si="35"/>
        <v>0.55548436342637042</v>
      </c>
      <c r="S175" s="2">
        <f t="shared" si="36"/>
        <v>2.0819860726034283</v>
      </c>
      <c r="T175" s="2">
        <f t="shared" si="37"/>
        <v>3.6337511947595533E-2</v>
      </c>
      <c r="U175" s="1" t="s">
        <v>2507</v>
      </c>
      <c r="V175" s="6" t="s">
        <v>2505</v>
      </c>
    </row>
    <row r="176" spans="1:22" ht="14.25" customHeight="1" x14ac:dyDescent="0.3">
      <c r="A176" s="1" t="s">
        <v>40</v>
      </c>
      <c r="B176" s="1" t="s">
        <v>376</v>
      </c>
      <c r="C176" s="1" t="s">
        <v>377</v>
      </c>
      <c r="D176" s="1">
        <f t="shared" si="27"/>
        <v>73</v>
      </c>
      <c r="E176" s="1">
        <f t="shared" si="28"/>
        <v>0.41045138888888894</v>
      </c>
      <c r="F176" s="2">
        <f t="shared" si="29"/>
        <v>456.26150050708793</v>
      </c>
      <c r="G176" s="1">
        <v>2080</v>
      </c>
      <c r="H176" s="1">
        <v>3744</v>
      </c>
      <c r="I176" s="1">
        <v>0</v>
      </c>
      <c r="J176" s="1">
        <v>196</v>
      </c>
      <c r="K176" s="1">
        <f t="shared" si="30"/>
        <v>0</v>
      </c>
      <c r="L176" s="1">
        <f t="shared" si="31"/>
        <v>1.7102884615384613</v>
      </c>
      <c r="M176" s="1">
        <f t="shared" si="32"/>
        <v>1.7102884615384613</v>
      </c>
      <c r="N176" s="2">
        <f t="shared" si="38"/>
        <v>9.8229043683589161</v>
      </c>
      <c r="O176" s="1">
        <v>1697</v>
      </c>
      <c r="P176" s="1">
        <f t="shared" si="33"/>
        <v>175</v>
      </c>
      <c r="Q176" s="1">
        <f t="shared" si="34"/>
        <v>3.8199185938806077</v>
      </c>
      <c r="R176" s="1">
        <f t="shared" si="35"/>
        <v>0.35709709077409529</v>
      </c>
      <c r="S176" s="2">
        <f t="shared" si="36"/>
        <v>2.0819860726034283</v>
      </c>
      <c r="T176" s="2">
        <f t="shared" si="37"/>
        <v>3.6337511947595533E-2</v>
      </c>
      <c r="U176" s="1" t="s">
        <v>2507</v>
      </c>
      <c r="V176" s="6" t="s">
        <v>2505</v>
      </c>
    </row>
    <row r="177" spans="1:24" ht="14.25" customHeight="1" x14ac:dyDescent="0.3">
      <c r="A177" s="1" t="s">
        <v>27</v>
      </c>
      <c r="B177" s="1" t="s">
        <v>378</v>
      </c>
      <c r="C177" s="1" t="s">
        <v>379</v>
      </c>
      <c r="D177" s="1">
        <f t="shared" si="27"/>
        <v>4</v>
      </c>
      <c r="E177" s="1">
        <f t="shared" si="28"/>
        <v>0.14743055555555554</v>
      </c>
      <c r="F177" s="2">
        <f t="shared" si="29"/>
        <v>21.069105676214335</v>
      </c>
      <c r="G177" s="1">
        <v>2080</v>
      </c>
      <c r="H177" s="1">
        <v>3744</v>
      </c>
      <c r="I177" s="1">
        <v>0</v>
      </c>
      <c r="J177" s="1">
        <v>214</v>
      </c>
      <c r="K177" s="1">
        <f t="shared" si="30"/>
        <v>0</v>
      </c>
      <c r="L177" s="1">
        <f t="shared" si="31"/>
        <v>1.8673557692307692</v>
      </c>
      <c r="M177" s="1">
        <f t="shared" si="32"/>
        <v>1.8673557692307692</v>
      </c>
      <c r="N177" s="2">
        <f t="shared" si="38"/>
        <v>8.9966787672819972</v>
      </c>
      <c r="O177" s="1">
        <v>1696</v>
      </c>
      <c r="P177" s="1">
        <f t="shared" si="33"/>
        <v>176</v>
      </c>
      <c r="Q177" s="1">
        <f t="shared" si="34"/>
        <v>3.4986170299093415</v>
      </c>
      <c r="R177" s="1">
        <f t="shared" si="35"/>
        <v>0.32892980623079277</v>
      </c>
      <c r="S177" s="2">
        <f t="shared" si="36"/>
        <v>2.093872576117918</v>
      </c>
      <c r="T177" s="2">
        <f t="shared" si="37"/>
        <v>3.6544970570473255E-2</v>
      </c>
      <c r="U177" s="1" t="s">
        <v>2507</v>
      </c>
      <c r="V177" s="6" t="s">
        <v>2505</v>
      </c>
    </row>
    <row r="178" spans="1:24" ht="14.25" customHeight="1" x14ac:dyDescent="0.3">
      <c r="A178" s="1" t="s">
        <v>40</v>
      </c>
      <c r="B178" s="1" t="s">
        <v>380</v>
      </c>
      <c r="C178" s="1" t="s">
        <v>381</v>
      </c>
      <c r="D178" s="1">
        <f t="shared" si="27"/>
        <v>41</v>
      </c>
      <c r="E178" s="1">
        <f t="shared" si="28"/>
        <v>0.77754629629629635</v>
      </c>
      <c r="F178" s="2">
        <f t="shared" si="29"/>
        <v>257.50609600590383</v>
      </c>
      <c r="G178" s="1">
        <v>2080</v>
      </c>
      <c r="H178" s="1">
        <v>3744</v>
      </c>
      <c r="I178" s="1">
        <v>0</v>
      </c>
      <c r="J178" s="1">
        <v>97</v>
      </c>
      <c r="K178" s="1">
        <f t="shared" si="30"/>
        <v>0</v>
      </c>
      <c r="L178" s="1">
        <f t="shared" si="31"/>
        <v>0.84641826923076924</v>
      </c>
      <c r="M178" s="1">
        <f t="shared" si="32"/>
        <v>0.84641826923076924</v>
      </c>
      <c r="N178" s="2">
        <f t="shared" si="38"/>
        <v>19.84834284740564</v>
      </c>
      <c r="O178" s="1">
        <v>1696</v>
      </c>
      <c r="P178" s="1">
        <f t="shared" si="33"/>
        <v>176</v>
      </c>
      <c r="Q178" s="1">
        <f t="shared" si="34"/>
        <v>7.7185983958824629</v>
      </c>
      <c r="R178" s="1">
        <f t="shared" si="35"/>
        <v>0.72568019106587256</v>
      </c>
      <c r="S178" s="2">
        <f t="shared" si="36"/>
        <v>2.093872576117918</v>
      </c>
      <c r="T178" s="2">
        <f t="shared" si="37"/>
        <v>3.6544970570473255E-2</v>
      </c>
      <c r="U178" s="1" t="s">
        <v>2507</v>
      </c>
      <c r="V178" s="6" t="s">
        <v>2505</v>
      </c>
      <c r="W178" s="1"/>
      <c r="X178" s="1"/>
    </row>
    <row r="179" spans="1:24" ht="14.25" customHeight="1" x14ac:dyDescent="0.3">
      <c r="A179" s="1" t="s">
        <v>40</v>
      </c>
      <c r="B179" s="1" t="s">
        <v>382</v>
      </c>
      <c r="C179" s="1" t="s">
        <v>383</v>
      </c>
      <c r="D179" s="1">
        <f t="shared" si="27"/>
        <v>60</v>
      </c>
      <c r="E179" s="1">
        <f t="shared" si="28"/>
        <v>8.7500000000000008E-2</v>
      </c>
      <c r="F179" s="2">
        <f t="shared" si="29"/>
        <v>372.55092809215341</v>
      </c>
      <c r="G179" s="1">
        <v>2080</v>
      </c>
      <c r="H179" s="1">
        <v>3744</v>
      </c>
      <c r="I179" s="1">
        <v>0</v>
      </c>
      <c r="J179" s="1">
        <v>157</v>
      </c>
      <c r="K179" s="1">
        <f t="shared" si="30"/>
        <v>0</v>
      </c>
      <c r="L179" s="1">
        <f t="shared" si="31"/>
        <v>1.3699759615384615</v>
      </c>
      <c r="M179" s="1">
        <f t="shared" si="32"/>
        <v>1.3699759615384615</v>
      </c>
      <c r="N179" s="2">
        <f t="shared" si="38"/>
        <v>12.262988892983104</v>
      </c>
      <c r="O179" s="1">
        <v>1695</v>
      </c>
      <c r="P179" s="1">
        <f t="shared" si="33"/>
        <v>177</v>
      </c>
      <c r="Q179" s="1">
        <f t="shared" si="34"/>
        <v>4.7688155694305667</v>
      </c>
      <c r="R179" s="1">
        <f t="shared" si="35"/>
        <v>0.45089762595577471</v>
      </c>
      <c r="S179" s="2">
        <f t="shared" si="36"/>
        <v>2.105758899318166</v>
      </c>
      <c r="T179" s="2">
        <f t="shared" si="37"/>
        <v>3.6752426046273774E-2</v>
      </c>
      <c r="U179" s="1" t="s">
        <v>2507</v>
      </c>
      <c r="V179" s="6" t="s">
        <v>2505</v>
      </c>
    </row>
    <row r="180" spans="1:24" ht="14.25" customHeight="1" x14ac:dyDescent="0.3">
      <c r="A180" s="1" t="s">
        <v>27</v>
      </c>
      <c r="B180" s="1" t="s">
        <v>384</v>
      </c>
      <c r="C180" s="1" t="s">
        <v>385</v>
      </c>
      <c r="D180" s="1">
        <f t="shared" si="27"/>
        <v>88</v>
      </c>
      <c r="E180" s="1">
        <f t="shared" si="28"/>
        <v>0.33743055555555551</v>
      </c>
      <c r="F180" s="2">
        <f t="shared" si="29"/>
        <v>550.05047668766372</v>
      </c>
      <c r="G180" s="1">
        <v>2080</v>
      </c>
      <c r="H180" s="1">
        <v>3744</v>
      </c>
      <c r="I180" s="1">
        <v>0</v>
      </c>
      <c r="J180" s="1">
        <v>205</v>
      </c>
      <c r="K180" s="1">
        <f t="shared" si="30"/>
        <v>0</v>
      </c>
      <c r="L180" s="1">
        <f t="shared" si="31"/>
        <v>1.7888221153846151</v>
      </c>
      <c r="M180" s="1">
        <f t="shared" si="32"/>
        <v>1.7888221153846151</v>
      </c>
      <c r="N180" s="2">
        <f t="shared" si="38"/>
        <v>9.3916549082846217</v>
      </c>
      <c r="O180" s="1">
        <v>1695</v>
      </c>
      <c r="P180" s="1">
        <f t="shared" si="33"/>
        <v>177</v>
      </c>
      <c r="Q180" s="1">
        <f t="shared" si="34"/>
        <v>3.6522148507346297</v>
      </c>
      <c r="R180" s="1">
        <f t="shared" si="35"/>
        <v>0.34532159646369093</v>
      </c>
      <c r="S180" s="2">
        <f t="shared" si="36"/>
        <v>2.1057588993181664</v>
      </c>
      <c r="T180" s="2">
        <f t="shared" si="37"/>
        <v>3.6752426046273781E-2</v>
      </c>
      <c r="U180" s="1" t="s">
        <v>2507</v>
      </c>
      <c r="V180" s="6" t="s">
        <v>2505</v>
      </c>
    </row>
    <row r="181" spans="1:24" ht="14.25" customHeight="1" x14ac:dyDescent="0.3">
      <c r="A181" s="1" t="s">
        <v>27</v>
      </c>
      <c r="B181" s="1" t="s">
        <v>386</v>
      </c>
      <c r="C181" s="1" t="s">
        <v>387</v>
      </c>
      <c r="D181" s="1">
        <f t="shared" si="27"/>
        <v>39</v>
      </c>
      <c r="E181" s="1">
        <f t="shared" si="28"/>
        <v>0.77910879629629637</v>
      </c>
      <c r="F181" s="2">
        <f t="shared" si="29"/>
        <v>244.94954286858714</v>
      </c>
      <c r="G181" s="1">
        <v>2080</v>
      </c>
      <c r="H181" s="1">
        <v>3744</v>
      </c>
      <c r="I181" s="1">
        <v>0</v>
      </c>
      <c r="J181" s="1">
        <v>181</v>
      </c>
      <c r="K181" s="1">
        <f t="shared" si="30"/>
        <v>0</v>
      </c>
      <c r="L181" s="1">
        <f t="shared" si="31"/>
        <v>1.5793990384615384</v>
      </c>
      <c r="M181" s="1">
        <f t="shared" si="32"/>
        <v>1.5793990384615384</v>
      </c>
      <c r="N181" s="2">
        <f t="shared" si="38"/>
        <v>10.636957216565454</v>
      </c>
      <c r="O181" s="1">
        <v>1694</v>
      </c>
      <c r="P181" s="1">
        <f t="shared" si="33"/>
        <v>178</v>
      </c>
      <c r="Q181" s="1">
        <f t="shared" si="34"/>
        <v>4.1364864331524807</v>
      </c>
      <c r="R181" s="1">
        <f t="shared" si="35"/>
        <v>0.39331975699847305</v>
      </c>
      <c r="S181" s="2">
        <f t="shared" si="36"/>
        <v>2.1176450411851775</v>
      </c>
      <c r="T181" s="2">
        <f t="shared" si="37"/>
        <v>3.6959878357212268E-2</v>
      </c>
      <c r="U181" s="1" t="s">
        <v>2507</v>
      </c>
      <c r="V181" s="6" t="s">
        <v>2505</v>
      </c>
    </row>
    <row r="182" spans="1:24" ht="14.25" customHeight="1" x14ac:dyDescent="0.3">
      <c r="A182" s="1" t="s">
        <v>40</v>
      </c>
      <c r="B182" s="1" t="s">
        <v>388</v>
      </c>
      <c r="C182" s="1" t="s">
        <v>389</v>
      </c>
      <c r="D182" s="1">
        <f t="shared" si="27"/>
        <v>6</v>
      </c>
      <c r="E182" s="1">
        <f t="shared" si="28"/>
        <v>0.23216435185185183</v>
      </c>
      <c r="F182" s="2">
        <f t="shared" si="29"/>
        <v>34.167874434483942</v>
      </c>
      <c r="G182" s="1">
        <v>2080</v>
      </c>
      <c r="H182" s="1">
        <v>3744</v>
      </c>
      <c r="I182" s="1">
        <v>0</v>
      </c>
      <c r="J182" s="1">
        <v>121</v>
      </c>
      <c r="K182" s="1">
        <f t="shared" si="30"/>
        <v>0</v>
      </c>
      <c r="L182" s="1">
        <f t="shared" si="31"/>
        <v>1.0558413461538461</v>
      </c>
      <c r="M182" s="1">
        <f t="shared" si="32"/>
        <v>1.0558413461538461</v>
      </c>
      <c r="N182" s="2">
        <f t="shared" si="38"/>
        <v>15.911481456184688</v>
      </c>
      <c r="O182" s="1">
        <v>1693</v>
      </c>
      <c r="P182" s="1">
        <f t="shared" si="33"/>
        <v>179</v>
      </c>
      <c r="Q182" s="1">
        <f t="shared" si="34"/>
        <v>6.1876367305834625</v>
      </c>
      <c r="R182" s="1">
        <f t="shared" si="35"/>
        <v>0.59165970874702978</v>
      </c>
      <c r="S182" s="2">
        <f t="shared" si="36"/>
        <v>2.1295310007000485</v>
      </c>
      <c r="T182" s="2">
        <f t="shared" si="37"/>
        <v>3.7167327485505518E-2</v>
      </c>
      <c r="U182" s="1" t="s">
        <v>2507</v>
      </c>
      <c r="V182" s="6" t="s">
        <v>2505</v>
      </c>
      <c r="W182" s="1"/>
      <c r="X182" s="1"/>
    </row>
    <row r="183" spans="1:24" ht="14.25" customHeight="1" x14ac:dyDescent="0.3">
      <c r="A183" s="1" t="s">
        <v>14</v>
      </c>
      <c r="B183" s="1" t="s">
        <v>390</v>
      </c>
      <c r="C183" s="1" t="s">
        <v>391</v>
      </c>
      <c r="D183" s="1">
        <f t="shared" si="27"/>
        <v>35</v>
      </c>
      <c r="E183" s="1">
        <f t="shared" si="28"/>
        <v>0.96206018518518521</v>
      </c>
      <c r="F183" s="2">
        <f t="shared" si="29"/>
        <v>220.96631911846356</v>
      </c>
      <c r="G183" s="1">
        <v>2080</v>
      </c>
      <c r="H183" s="1">
        <v>3744</v>
      </c>
      <c r="I183" s="1">
        <v>0</v>
      </c>
      <c r="J183" s="1">
        <v>84</v>
      </c>
      <c r="K183" s="1">
        <f t="shared" si="30"/>
        <v>0</v>
      </c>
      <c r="L183" s="1">
        <f t="shared" si="31"/>
        <v>0.73298076923076916</v>
      </c>
      <c r="M183" s="1">
        <f t="shared" si="32"/>
        <v>0.73298076923076916</v>
      </c>
      <c r="N183" s="2">
        <f t="shared" si="38"/>
        <v>22.92011019283747</v>
      </c>
      <c r="O183" s="1">
        <v>1693</v>
      </c>
      <c r="P183" s="1">
        <f t="shared" si="33"/>
        <v>179</v>
      </c>
      <c r="Q183" s="1">
        <f t="shared" si="34"/>
        <v>8.9131433857214173</v>
      </c>
      <c r="R183" s="1">
        <f t="shared" si="35"/>
        <v>0.85227172331417389</v>
      </c>
      <c r="S183" s="2">
        <f t="shared" si="36"/>
        <v>2.1295310007000485</v>
      </c>
      <c r="T183" s="2">
        <f t="shared" si="37"/>
        <v>3.7167327485505518E-2</v>
      </c>
      <c r="U183" s="1" t="s">
        <v>2507</v>
      </c>
      <c r="V183" s="6" t="s">
        <v>2505</v>
      </c>
    </row>
    <row r="184" spans="1:24" ht="14.25" customHeight="1" x14ac:dyDescent="0.3">
      <c r="A184" s="1" t="s">
        <v>27</v>
      </c>
      <c r="B184" s="1" t="s">
        <v>392</v>
      </c>
      <c r="C184" s="1" t="s">
        <v>393</v>
      </c>
      <c r="D184" s="1">
        <f t="shared" si="27"/>
        <v>86</v>
      </c>
      <c r="E184" s="1">
        <f t="shared" si="28"/>
        <v>0.28736111111111112</v>
      </c>
      <c r="F184" s="2">
        <f t="shared" si="29"/>
        <v>537.16951047563259</v>
      </c>
      <c r="G184" s="1">
        <v>2080</v>
      </c>
      <c r="H184" s="1">
        <v>3744</v>
      </c>
      <c r="I184" s="1">
        <v>0</v>
      </c>
      <c r="J184" s="1">
        <v>247</v>
      </c>
      <c r="K184" s="1">
        <f t="shared" si="30"/>
        <v>0</v>
      </c>
      <c r="L184" s="1">
        <f t="shared" si="31"/>
        <v>2.1553124999999995</v>
      </c>
      <c r="M184" s="1">
        <f t="shared" si="32"/>
        <v>2.1553124999999995</v>
      </c>
      <c r="N184" s="2">
        <f t="shared" si="38"/>
        <v>7.7946933449325817</v>
      </c>
      <c r="O184" s="1">
        <v>1693</v>
      </c>
      <c r="P184" s="1">
        <f t="shared" si="33"/>
        <v>179</v>
      </c>
      <c r="Q184" s="1">
        <f t="shared" si="34"/>
        <v>3.0311904631603204</v>
      </c>
      <c r="R184" s="1">
        <f t="shared" si="35"/>
        <v>0.28984139578295798</v>
      </c>
      <c r="S184" s="2">
        <f t="shared" si="36"/>
        <v>2.129531000700049</v>
      </c>
      <c r="T184" s="2">
        <f t="shared" si="37"/>
        <v>3.7167327485505525E-2</v>
      </c>
      <c r="U184" s="1" t="s">
        <v>2507</v>
      </c>
      <c r="V184" s="6" t="s">
        <v>2505</v>
      </c>
    </row>
    <row r="185" spans="1:24" ht="14.25" customHeight="1" x14ac:dyDescent="0.3">
      <c r="A185" s="1" t="s">
        <v>20</v>
      </c>
      <c r="B185" s="1" t="s">
        <v>394</v>
      </c>
      <c r="C185" s="1" t="s">
        <v>395</v>
      </c>
      <c r="D185" s="1">
        <f t="shared" si="27"/>
        <v>78</v>
      </c>
      <c r="E185" s="1">
        <f t="shared" si="28"/>
        <v>0.25520833333333331</v>
      </c>
      <c r="F185" s="2">
        <f t="shared" si="29"/>
        <v>486.70200615727748</v>
      </c>
      <c r="G185" s="1">
        <v>2080</v>
      </c>
      <c r="H185" s="1">
        <v>3744</v>
      </c>
      <c r="I185" s="1">
        <v>0</v>
      </c>
      <c r="J185" s="1">
        <v>333</v>
      </c>
      <c r="K185" s="1">
        <f t="shared" si="30"/>
        <v>0</v>
      </c>
      <c r="L185" s="1">
        <f t="shared" si="31"/>
        <v>2.905745192307692</v>
      </c>
      <c r="M185" s="1">
        <f t="shared" si="32"/>
        <v>2.905745192307692</v>
      </c>
      <c r="N185" s="2">
        <f t="shared" si="38"/>
        <v>5.7816494180130551</v>
      </c>
      <c r="O185" s="1">
        <v>1692</v>
      </c>
      <c r="P185" s="1">
        <f t="shared" si="33"/>
        <v>180</v>
      </c>
      <c r="Q185" s="1">
        <f t="shared" si="34"/>
        <v>2.2483604936954924</v>
      </c>
      <c r="R185" s="1">
        <f t="shared" si="35"/>
        <v>0.21618850900918196</v>
      </c>
      <c r="S185" s="2">
        <f t="shared" si="36"/>
        <v>2.1414167768439731</v>
      </c>
      <c r="T185" s="2">
        <f t="shared" si="37"/>
        <v>3.7374773413371996E-2</v>
      </c>
      <c r="U185" s="1" t="s">
        <v>2507</v>
      </c>
      <c r="V185" s="6" t="s">
        <v>2505</v>
      </c>
    </row>
    <row r="186" spans="1:24" ht="14.25" customHeight="1" x14ac:dyDescent="0.3">
      <c r="A186" s="1" t="s">
        <v>40</v>
      </c>
      <c r="B186" s="1" t="s">
        <v>396</v>
      </c>
      <c r="C186" s="1" t="s">
        <v>397</v>
      </c>
      <c r="D186" s="1">
        <f t="shared" si="27"/>
        <v>8</v>
      </c>
      <c r="E186" s="1">
        <f t="shared" si="28"/>
        <v>9.4502314814814817E-2</v>
      </c>
      <c r="F186" s="2">
        <f t="shared" si="29"/>
        <v>45.869288960375592</v>
      </c>
      <c r="G186" s="1">
        <v>2080</v>
      </c>
      <c r="H186" s="1">
        <v>3744</v>
      </c>
      <c r="I186" s="1">
        <v>0</v>
      </c>
      <c r="J186" s="1">
        <v>102</v>
      </c>
      <c r="K186" s="1">
        <f t="shared" si="30"/>
        <v>0</v>
      </c>
      <c r="L186" s="1">
        <f t="shared" si="31"/>
        <v>0.89004807692307686</v>
      </c>
      <c r="M186" s="1">
        <f t="shared" si="32"/>
        <v>0.89004807692307686</v>
      </c>
      <c r="N186" s="2">
        <f t="shared" si="38"/>
        <v>18.875384864689678</v>
      </c>
      <c r="O186" s="1">
        <v>1691</v>
      </c>
      <c r="P186" s="1">
        <f t="shared" si="33"/>
        <v>181</v>
      </c>
      <c r="Q186" s="1">
        <f t="shared" si="34"/>
        <v>7.3402357294176372</v>
      </c>
      <c r="R186" s="1">
        <f t="shared" si="35"/>
        <v>0.70971296315416255</v>
      </c>
      <c r="S186" s="2">
        <f t="shared" si="36"/>
        <v>2.1533023685982373</v>
      </c>
      <c r="T186" s="2">
        <f t="shared" si="37"/>
        <v>3.7582216123031795E-2</v>
      </c>
      <c r="U186" s="1" t="s">
        <v>2507</v>
      </c>
      <c r="V186" s="6" t="s">
        <v>2505</v>
      </c>
    </row>
    <row r="187" spans="1:24" ht="14.25" customHeight="1" x14ac:dyDescent="0.3">
      <c r="A187" s="1" t="s">
        <v>65</v>
      </c>
      <c r="B187" s="1" t="s">
        <v>2509</v>
      </c>
      <c r="C187" s="1" t="s">
        <v>398</v>
      </c>
      <c r="D187" s="1">
        <f t="shared" si="27"/>
        <v>17</v>
      </c>
      <c r="E187" s="1">
        <f t="shared" si="28"/>
        <v>0.10108796296296296</v>
      </c>
      <c r="F187" s="2">
        <f t="shared" si="29"/>
        <v>102.45933557267458</v>
      </c>
      <c r="G187" s="1">
        <v>2080</v>
      </c>
      <c r="H187" s="1">
        <v>3744</v>
      </c>
      <c r="I187" s="1">
        <v>0</v>
      </c>
      <c r="J187" s="1">
        <v>1000</v>
      </c>
      <c r="K187" s="1">
        <f t="shared" si="30"/>
        <v>0</v>
      </c>
      <c r="L187" s="1">
        <f t="shared" si="31"/>
        <v>8.7259615384615383</v>
      </c>
      <c r="M187" s="1">
        <f t="shared" si="32"/>
        <v>8.7259615384615383</v>
      </c>
      <c r="N187" s="2">
        <f>42*0.32/M187</f>
        <v>1.5402314049586776</v>
      </c>
      <c r="O187" s="1">
        <v>1690</v>
      </c>
      <c r="P187" s="1">
        <f t="shared" si="33"/>
        <v>182</v>
      </c>
      <c r="Q187" s="1">
        <f t="shared" si="34"/>
        <v>0.59896323552047914</v>
      </c>
      <c r="R187" s="1">
        <f t="shared" si="35"/>
        <v>5.8232536786713252E-2</v>
      </c>
      <c r="S187" s="2">
        <f t="shared" si="36"/>
        <v>2.1651877749442221</v>
      </c>
      <c r="T187" s="2">
        <f t="shared" si="37"/>
        <v>3.7789655596706662E-2</v>
      </c>
      <c r="U187" s="1" t="s">
        <v>2264</v>
      </c>
      <c r="V187" s="6" t="s">
        <v>2505</v>
      </c>
    </row>
    <row r="188" spans="1:24" ht="14.25" customHeight="1" x14ac:dyDescent="0.3">
      <c r="A188" s="1" t="s">
        <v>27</v>
      </c>
      <c r="B188" s="1" t="s">
        <v>399</v>
      </c>
      <c r="C188" s="1" t="s">
        <v>400</v>
      </c>
      <c r="D188" s="1">
        <f t="shared" si="27"/>
        <v>32</v>
      </c>
      <c r="E188" s="1">
        <f t="shared" si="28"/>
        <v>0.93533564814814818</v>
      </c>
      <c r="F188" s="2">
        <f t="shared" si="29"/>
        <v>201.94884797847249</v>
      </c>
      <c r="G188" s="1">
        <v>2080</v>
      </c>
      <c r="H188" s="1">
        <v>3744</v>
      </c>
      <c r="I188" s="1">
        <v>0</v>
      </c>
      <c r="J188" s="1">
        <v>186</v>
      </c>
      <c r="K188" s="1">
        <f t="shared" si="30"/>
        <v>0</v>
      </c>
      <c r="L188" s="1">
        <f t="shared" si="31"/>
        <v>1.623028846153846</v>
      </c>
      <c r="M188" s="1">
        <f t="shared" si="32"/>
        <v>1.623028846153846</v>
      </c>
      <c r="N188" s="2">
        <f t="shared" ref="N188:N251" si="39">42*0.4/M188</f>
        <v>10.351017506442728</v>
      </c>
      <c r="O188" s="1">
        <v>1689</v>
      </c>
      <c r="P188" s="1">
        <f t="shared" si="33"/>
        <v>183</v>
      </c>
      <c r="Q188" s="1">
        <f t="shared" si="34"/>
        <v>4.0252905612935432</v>
      </c>
      <c r="R188" s="1">
        <f t="shared" si="35"/>
        <v>0.39349795551106753</v>
      </c>
      <c r="S188" s="2">
        <f t="shared" si="36"/>
        <v>2.1770729948634044</v>
      </c>
      <c r="T188" s="2">
        <f t="shared" si="37"/>
        <v>3.7997091816620004E-2</v>
      </c>
      <c r="U188" s="1" t="s">
        <v>2507</v>
      </c>
      <c r="V188" s="6" t="s">
        <v>2505</v>
      </c>
    </row>
    <row r="189" spans="1:24" ht="14.25" customHeight="1" x14ac:dyDescent="0.3">
      <c r="A189" s="1" t="s">
        <v>27</v>
      </c>
      <c r="B189" s="1" t="s">
        <v>401</v>
      </c>
      <c r="C189" s="1" t="s">
        <v>402</v>
      </c>
      <c r="D189" s="1">
        <f t="shared" si="27"/>
        <v>71</v>
      </c>
      <c r="E189" s="1">
        <f t="shared" si="28"/>
        <v>0.75152777777777768</v>
      </c>
      <c r="F189" s="2">
        <f t="shared" si="29"/>
        <v>445.8381760480213</v>
      </c>
      <c r="G189" s="1">
        <v>2080</v>
      </c>
      <c r="H189" s="1">
        <v>3744</v>
      </c>
      <c r="I189" s="1">
        <v>0</v>
      </c>
      <c r="J189" s="1">
        <v>277</v>
      </c>
      <c r="K189" s="1">
        <f t="shared" si="30"/>
        <v>0</v>
      </c>
      <c r="L189" s="1">
        <f t="shared" si="31"/>
        <v>2.4170913461538457</v>
      </c>
      <c r="M189" s="1">
        <f t="shared" si="32"/>
        <v>2.4170913461538457</v>
      </c>
      <c r="N189" s="2">
        <f t="shared" si="39"/>
        <v>6.9505027299579334</v>
      </c>
      <c r="O189" s="1">
        <v>1689</v>
      </c>
      <c r="P189" s="1">
        <f t="shared" si="33"/>
        <v>183</v>
      </c>
      <c r="Q189" s="1">
        <f t="shared" si="34"/>
        <v>2.7029026873667839</v>
      </c>
      <c r="R189" s="1">
        <f t="shared" si="35"/>
        <v>0.26422606398938109</v>
      </c>
      <c r="S189" s="2">
        <f t="shared" si="36"/>
        <v>2.1770729948634044</v>
      </c>
      <c r="T189" s="2">
        <f t="shared" si="37"/>
        <v>3.7997091816620004E-2</v>
      </c>
      <c r="U189" s="1" t="s">
        <v>2507</v>
      </c>
      <c r="V189" s="6" t="s">
        <v>2505</v>
      </c>
    </row>
    <row r="190" spans="1:24" ht="14.25" customHeight="1" x14ac:dyDescent="0.3">
      <c r="A190" s="1" t="s">
        <v>40</v>
      </c>
      <c r="B190" s="1" t="s">
        <v>403</v>
      </c>
      <c r="C190" s="1" t="s">
        <v>404</v>
      </c>
      <c r="D190" s="1">
        <f t="shared" si="27"/>
        <v>73</v>
      </c>
      <c r="E190" s="1">
        <f t="shared" si="28"/>
        <v>0.41043981481481479</v>
      </c>
      <c r="F190" s="2">
        <f t="shared" si="29"/>
        <v>456.26142778503572</v>
      </c>
      <c r="G190" s="1">
        <v>2080</v>
      </c>
      <c r="H190" s="1">
        <v>3744</v>
      </c>
      <c r="I190" s="1">
        <v>0</v>
      </c>
      <c r="J190" s="1">
        <v>241</v>
      </c>
      <c r="K190" s="1">
        <f t="shared" si="30"/>
        <v>0</v>
      </c>
      <c r="L190" s="1">
        <f t="shared" si="31"/>
        <v>2.1029567307692307</v>
      </c>
      <c r="M190" s="1">
        <f t="shared" si="32"/>
        <v>2.1029567307692307</v>
      </c>
      <c r="N190" s="2">
        <f t="shared" si="39"/>
        <v>7.9887521004080799</v>
      </c>
      <c r="O190" s="1">
        <v>1688</v>
      </c>
      <c r="P190" s="1">
        <f t="shared" si="33"/>
        <v>184</v>
      </c>
      <c r="Q190" s="1">
        <f t="shared" si="34"/>
        <v>3.1066557858946018</v>
      </c>
      <c r="R190" s="1">
        <f t="shared" si="35"/>
        <v>0.30535505587852924</v>
      </c>
      <c r="S190" s="2">
        <f t="shared" si="36"/>
        <v>2.1889580273373599</v>
      </c>
      <c r="T190" s="2">
        <f t="shared" si="37"/>
        <v>3.8204524764996972E-2</v>
      </c>
      <c r="U190" s="1" t="s">
        <v>2507</v>
      </c>
      <c r="V190" s="6" t="s">
        <v>2505</v>
      </c>
    </row>
    <row r="191" spans="1:24" ht="14.25" customHeight="1" x14ac:dyDescent="0.3">
      <c r="A191" s="1" t="s">
        <v>17</v>
      </c>
      <c r="B191" s="1" t="s">
        <v>405</v>
      </c>
      <c r="C191" s="1" t="s">
        <v>406</v>
      </c>
      <c r="D191" s="1">
        <f t="shared" si="27"/>
        <v>68</v>
      </c>
      <c r="E191" s="1">
        <f t="shared" si="28"/>
        <v>1.2662037037037039E-2</v>
      </c>
      <c r="F191" s="2">
        <f t="shared" si="29"/>
        <v>422.3461897602819</v>
      </c>
      <c r="G191" s="1">
        <v>2080</v>
      </c>
      <c r="H191" s="1">
        <v>3744</v>
      </c>
      <c r="I191" s="1">
        <v>0</v>
      </c>
      <c r="J191" s="1">
        <v>214</v>
      </c>
      <c r="K191" s="1">
        <f t="shared" si="30"/>
        <v>0</v>
      </c>
      <c r="L191" s="1">
        <f t="shared" si="31"/>
        <v>1.8673557692307692</v>
      </c>
      <c r="M191" s="1">
        <f t="shared" si="32"/>
        <v>1.8673557692307692</v>
      </c>
      <c r="N191" s="2">
        <f t="shared" si="39"/>
        <v>8.9966787672819972</v>
      </c>
      <c r="O191" s="1">
        <v>1685</v>
      </c>
      <c r="P191" s="1">
        <f t="shared" si="33"/>
        <v>187</v>
      </c>
      <c r="Q191" s="1">
        <f t="shared" si="34"/>
        <v>3.4986170299093415</v>
      </c>
      <c r="R191" s="1">
        <f t="shared" si="35"/>
        <v>0.34948791912021737</v>
      </c>
      <c r="S191" s="2">
        <f t="shared" si="36"/>
        <v>2.2246119899050423</v>
      </c>
      <c r="T191" s="2">
        <f t="shared" si="37"/>
        <v>3.8826803803185844E-2</v>
      </c>
      <c r="U191" s="1" t="s">
        <v>2507</v>
      </c>
      <c r="V191" s="6" t="s">
        <v>2505</v>
      </c>
    </row>
    <row r="192" spans="1:24" ht="14.25" customHeight="1" x14ac:dyDescent="0.3">
      <c r="A192" s="1" t="s">
        <v>40</v>
      </c>
      <c r="B192" s="1" t="s">
        <v>407</v>
      </c>
      <c r="C192" s="1" t="s">
        <v>408</v>
      </c>
      <c r="D192" s="1">
        <f t="shared" si="27"/>
        <v>28</v>
      </c>
      <c r="E192" s="1">
        <f t="shared" si="28"/>
        <v>0.2321412037037037</v>
      </c>
      <c r="F192" s="2">
        <f t="shared" si="29"/>
        <v>172.39780574833051</v>
      </c>
      <c r="G192" s="1">
        <v>2080</v>
      </c>
      <c r="H192" s="1">
        <v>3744</v>
      </c>
      <c r="I192" s="1">
        <v>0</v>
      </c>
      <c r="J192" s="1">
        <v>156</v>
      </c>
      <c r="K192" s="1">
        <f t="shared" si="30"/>
        <v>0</v>
      </c>
      <c r="L192" s="1">
        <f t="shared" si="31"/>
        <v>1.3612499999999998</v>
      </c>
      <c r="M192" s="1">
        <f t="shared" si="32"/>
        <v>1.3612499999999998</v>
      </c>
      <c r="N192" s="2">
        <f t="shared" si="39"/>
        <v>12.341597796143253</v>
      </c>
      <c r="O192" s="1">
        <v>1681</v>
      </c>
      <c r="P192" s="1">
        <f t="shared" si="33"/>
        <v>191</v>
      </c>
      <c r="Q192" s="1">
        <f t="shared" si="34"/>
        <v>4.7993849000038402</v>
      </c>
      <c r="R192" s="1">
        <f t="shared" si="35"/>
        <v>0.48968083114355421</v>
      </c>
      <c r="S192" s="2">
        <f t="shared" si="36"/>
        <v>2.2721479206612503</v>
      </c>
      <c r="T192" s="2">
        <f t="shared" si="37"/>
        <v>3.965646230788171E-2</v>
      </c>
      <c r="U192" s="1" t="s">
        <v>2507</v>
      </c>
      <c r="V192" s="6" t="s">
        <v>2505</v>
      </c>
    </row>
    <row r="193" spans="1:22" ht="14.25" customHeight="1" x14ac:dyDescent="0.3">
      <c r="A193" s="1" t="s">
        <v>17</v>
      </c>
      <c r="B193" s="1" t="s">
        <v>409</v>
      </c>
      <c r="C193" s="1" t="s">
        <v>410</v>
      </c>
      <c r="D193" s="1">
        <f t="shared" si="27"/>
        <v>61</v>
      </c>
      <c r="E193" s="1">
        <f t="shared" si="28"/>
        <v>0.89818287037037037</v>
      </c>
      <c r="F193" s="2">
        <f t="shared" si="29"/>
        <v>383.9277840992263</v>
      </c>
      <c r="G193" s="1">
        <v>2080</v>
      </c>
      <c r="H193" s="1">
        <v>3744</v>
      </c>
      <c r="I193" s="1">
        <v>0</v>
      </c>
      <c r="J193" s="1">
        <v>225</v>
      </c>
      <c r="K193" s="1">
        <f t="shared" si="30"/>
        <v>0</v>
      </c>
      <c r="L193" s="1">
        <f t="shared" si="31"/>
        <v>1.963341346153846</v>
      </c>
      <c r="M193" s="1">
        <f t="shared" si="32"/>
        <v>1.963341346153846</v>
      </c>
      <c r="N193" s="2">
        <f t="shared" si="39"/>
        <v>8.5568411386593208</v>
      </c>
      <c r="O193" s="1">
        <v>1681</v>
      </c>
      <c r="P193" s="1">
        <f t="shared" si="33"/>
        <v>191</v>
      </c>
      <c r="Q193" s="1">
        <f t="shared" si="34"/>
        <v>3.3275735306693286</v>
      </c>
      <c r="R193" s="1">
        <f t="shared" si="35"/>
        <v>0.33951204292619752</v>
      </c>
      <c r="S193" s="2">
        <f t="shared" si="36"/>
        <v>2.2721479206612503</v>
      </c>
      <c r="T193" s="2">
        <f t="shared" si="37"/>
        <v>3.965646230788171E-2</v>
      </c>
      <c r="U193" s="1" t="s">
        <v>2507</v>
      </c>
      <c r="V193" s="6" t="s">
        <v>2505</v>
      </c>
    </row>
    <row r="194" spans="1:22" ht="14.25" customHeight="1" x14ac:dyDescent="0.3">
      <c r="A194" s="1" t="s">
        <v>17</v>
      </c>
      <c r="B194" s="1" t="s">
        <v>411</v>
      </c>
      <c r="C194" s="1" t="s">
        <v>412</v>
      </c>
      <c r="D194" s="1">
        <f t="shared" ref="D194:D257" si="40">(LEFT(C194,4)&amp;"-"&amp;MID(C194,6,2)&amp;"-"&amp;MID(C194,9,2))-(2019&amp;"-"&amp;5&amp;"-"&amp;28)</f>
        <v>72</v>
      </c>
      <c r="E194" s="1">
        <f t="shared" ref="E194:E257" si="41">TIMEVALUE(RIGHT(C194,8))</f>
        <v>0.33778935185185183</v>
      </c>
      <c r="F194" s="2">
        <f t="shared" ref="F194:F257" si="42">(D194+E194)*2*PI()-4.989969053</f>
        <v>449.52176615640752</v>
      </c>
      <c r="G194" s="1">
        <v>2080</v>
      </c>
      <c r="H194" s="1">
        <v>3744</v>
      </c>
      <c r="I194" s="1">
        <v>0</v>
      </c>
      <c r="J194" s="1">
        <v>241</v>
      </c>
      <c r="K194" s="1">
        <f t="shared" ref="K194:K257" si="43">(32.67*I194)/H194</f>
        <v>0</v>
      </c>
      <c r="L194" s="1">
        <f t="shared" ref="L194:L257" si="44">(18.15*J194)/G194</f>
        <v>2.1029567307692307</v>
      </c>
      <c r="M194" s="1">
        <f t="shared" ref="M194:M257" si="45">SQRT(K194*K194+L194*L194)</f>
        <v>2.1029567307692307</v>
      </c>
      <c r="N194" s="2">
        <f t="shared" si="39"/>
        <v>7.9887521004080799</v>
      </c>
      <c r="O194" s="1">
        <v>1681</v>
      </c>
      <c r="P194" s="1">
        <f t="shared" ref="P194:P257" si="46">H194/2-O194</f>
        <v>191</v>
      </c>
      <c r="Q194" s="1">
        <f t="shared" ref="Q194:Q257" si="47">TAN(RADIANS(21.25))*N194</f>
        <v>3.1066557858946018</v>
      </c>
      <c r="R194" s="1">
        <f t="shared" ref="R194:R257" si="48">Q194*(P194/(H194/2))</f>
        <v>0.31697182430869064</v>
      </c>
      <c r="S194" s="2">
        <f t="shared" ref="S194:S257" si="49">DEGREES(ATAN(R194/N194))</f>
        <v>2.2721479206612503</v>
      </c>
      <c r="T194" s="2">
        <f t="shared" ref="T194:T257" si="50">RADIANS(S194)</f>
        <v>3.965646230788171E-2</v>
      </c>
      <c r="U194" s="1" t="s">
        <v>2507</v>
      </c>
      <c r="V194" s="6" t="s">
        <v>2505</v>
      </c>
    </row>
    <row r="195" spans="1:22" ht="14.25" customHeight="1" x14ac:dyDescent="0.3">
      <c r="A195" s="1" t="s">
        <v>40</v>
      </c>
      <c r="B195" s="1" t="s">
        <v>413</v>
      </c>
      <c r="C195" s="1" t="s">
        <v>414</v>
      </c>
      <c r="D195" s="1">
        <f t="shared" si="40"/>
        <v>8</v>
      </c>
      <c r="E195" s="1">
        <f t="shared" si="41"/>
        <v>9.4525462962962978E-2</v>
      </c>
      <c r="F195" s="2">
        <f t="shared" si="42"/>
        <v>45.869434404479925</v>
      </c>
      <c r="G195" s="1">
        <v>2080</v>
      </c>
      <c r="H195" s="1">
        <v>3744</v>
      </c>
      <c r="I195" s="1">
        <v>0</v>
      </c>
      <c r="J195" s="1">
        <v>81</v>
      </c>
      <c r="K195" s="1">
        <f t="shared" si="43"/>
        <v>0</v>
      </c>
      <c r="L195" s="1">
        <f t="shared" si="44"/>
        <v>0.70680288461538454</v>
      </c>
      <c r="M195" s="1">
        <f t="shared" si="45"/>
        <v>0.70680288461538454</v>
      </c>
      <c r="N195" s="2">
        <f t="shared" si="39"/>
        <v>23.76900316294256</v>
      </c>
      <c r="O195" s="1">
        <v>1679</v>
      </c>
      <c r="P195" s="1">
        <f t="shared" si="46"/>
        <v>193</v>
      </c>
      <c r="Q195" s="1">
        <f t="shared" si="47"/>
        <v>9.2432598074148036</v>
      </c>
      <c r="R195" s="1">
        <f t="shared" si="48"/>
        <v>0.95296428570035097</v>
      </c>
      <c r="S195" s="2">
        <f t="shared" si="49"/>
        <v>2.295914716575556</v>
      </c>
      <c r="T195" s="2">
        <f t="shared" si="50"/>
        <v>4.0071271149235886E-2</v>
      </c>
      <c r="U195" s="1" t="s">
        <v>2507</v>
      </c>
      <c r="V195" s="6" t="s">
        <v>2505</v>
      </c>
    </row>
    <row r="196" spans="1:22" ht="14.25" customHeight="1" x14ac:dyDescent="0.3">
      <c r="A196" s="1" t="s">
        <v>40</v>
      </c>
      <c r="B196" s="1" t="s">
        <v>415</v>
      </c>
      <c r="C196" s="1" t="s">
        <v>416</v>
      </c>
      <c r="D196" s="1">
        <f t="shared" si="40"/>
        <v>8</v>
      </c>
      <c r="E196" s="1">
        <f t="shared" si="41"/>
        <v>9.4513888888888897E-2</v>
      </c>
      <c r="F196" s="2">
        <f t="shared" si="42"/>
        <v>45.869361682427758</v>
      </c>
      <c r="G196" s="1">
        <v>2080</v>
      </c>
      <c r="H196" s="1">
        <v>3744</v>
      </c>
      <c r="I196" s="1">
        <v>0</v>
      </c>
      <c r="J196" s="1">
        <v>76</v>
      </c>
      <c r="K196" s="1">
        <f t="shared" si="43"/>
        <v>0</v>
      </c>
      <c r="L196" s="1">
        <f t="shared" si="44"/>
        <v>0.66317307692307681</v>
      </c>
      <c r="M196" s="1">
        <f t="shared" si="45"/>
        <v>0.66317307692307681</v>
      </c>
      <c r="N196" s="2">
        <f t="shared" si="39"/>
        <v>25.33275337103089</v>
      </c>
      <c r="O196" s="1">
        <v>1678</v>
      </c>
      <c r="P196" s="1">
        <f t="shared" si="46"/>
        <v>194</v>
      </c>
      <c r="Q196" s="1">
        <f t="shared" si="47"/>
        <v>9.8513690052710405</v>
      </c>
      <c r="R196" s="1">
        <f t="shared" si="48"/>
        <v>1.0209217879394135</v>
      </c>
      <c r="S196" s="2">
        <f t="shared" si="49"/>
        <v>2.3077978186052888</v>
      </c>
      <c r="T196" s="2">
        <f t="shared" si="50"/>
        <v>4.0278670405005143E-2</v>
      </c>
      <c r="U196" s="1" t="s">
        <v>2507</v>
      </c>
      <c r="V196" s="6" t="s">
        <v>2505</v>
      </c>
    </row>
    <row r="197" spans="1:22" ht="14.25" customHeight="1" x14ac:dyDescent="0.3">
      <c r="A197" s="1" t="s">
        <v>17</v>
      </c>
      <c r="B197" s="1" t="s">
        <v>417</v>
      </c>
      <c r="C197" s="1" t="s">
        <v>418</v>
      </c>
      <c r="D197" s="1">
        <f t="shared" si="40"/>
        <v>70</v>
      </c>
      <c r="E197" s="1">
        <f t="shared" si="41"/>
        <v>0.80812499999999998</v>
      </c>
      <c r="F197" s="2">
        <f t="shared" si="42"/>
        <v>439.91060157593557</v>
      </c>
      <c r="G197" s="1">
        <v>2080</v>
      </c>
      <c r="H197" s="1">
        <v>3744</v>
      </c>
      <c r="I197" s="1">
        <v>0</v>
      </c>
      <c r="J197" s="1">
        <v>241</v>
      </c>
      <c r="K197" s="1">
        <f t="shared" si="43"/>
        <v>0</v>
      </c>
      <c r="L197" s="1">
        <f t="shared" si="44"/>
        <v>2.1029567307692307</v>
      </c>
      <c r="M197" s="1">
        <f t="shared" si="45"/>
        <v>2.1029567307692307</v>
      </c>
      <c r="N197" s="2">
        <f t="shared" si="39"/>
        <v>7.9887521004080799</v>
      </c>
      <c r="O197" s="1">
        <v>1677</v>
      </c>
      <c r="P197" s="1">
        <f t="shared" si="46"/>
        <v>195</v>
      </c>
      <c r="Q197" s="1">
        <f t="shared" si="47"/>
        <v>3.1066557858946018</v>
      </c>
      <c r="R197" s="1">
        <f t="shared" si="48"/>
        <v>0.32360997769735439</v>
      </c>
      <c r="S197" s="2">
        <f t="shared" si="49"/>
        <v>2.3196807219935942</v>
      </c>
      <c r="T197" s="2">
        <f t="shared" si="50"/>
        <v>4.0486066193827462E-2</v>
      </c>
      <c r="U197" s="1" t="s">
        <v>2507</v>
      </c>
      <c r="V197" s="6" t="s">
        <v>2505</v>
      </c>
    </row>
    <row r="198" spans="1:22" ht="14.25" customHeight="1" x14ac:dyDescent="0.3">
      <c r="A198" s="1" t="s">
        <v>17</v>
      </c>
      <c r="B198" s="1" t="s">
        <v>419</v>
      </c>
      <c r="C198" s="1" t="s">
        <v>420</v>
      </c>
      <c r="D198" s="1">
        <f t="shared" si="40"/>
        <v>80</v>
      </c>
      <c r="E198" s="1">
        <f t="shared" si="41"/>
        <v>0.92826388888888889</v>
      </c>
      <c r="F198" s="2">
        <f t="shared" si="42"/>
        <v>503.49730954921898</v>
      </c>
      <c r="G198" s="1">
        <v>2080</v>
      </c>
      <c r="H198" s="1">
        <v>3744</v>
      </c>
      <c r="I198" s="1">
        <v>0</v>
      </c>
      <c r="J198" s="1">
        <v>207</v>
      </c>
      <c r="K198" s="1">
        <f t="shared" si="43"/>
        <v>0</v>
      </c>
      <c r="L198" s="1">
        <f t="shared" si="44"/>
        <v>1.8062740384615383</v>
      </c>
      <c r="M198" s="1">
        <f t="shared" si="45"/>
        <v>1.8062740384615383</v>
      </c>
      <c r="N198" s="2">
        <f t="shared" si="39"/>
        <v>9.3009142811514369</v>
      </c>
      <c r="O198" s="1">
        <v>1675</v>
      </c>
      <c r="P198" s="1">
        <f t="shared" si="46"/>
        <v>197</v>
      </c>
      <c r="Q198" s="1">
        <f t="shared" si="47"/>
        <v>3.6169277507275317</v>
      </c>
      <c r="R198" s="1">
        <f t="shared" si="48"/>
        <v>0.38062754641737379</v>
      </c>
      <c r="S198" s="2">
        <f t="shared" si="49"/>
        <v>2.3434459287770966</v>
      </c>
      <c r="T198" s="2">
        <f t="shared" si="50"/>
        <v>4.090084729961687E-2</v>
      </c>
      <c r="U198" s="1" t="s">
        <v>2507</v>
      </c>
      <c r="V198" s="6" t="s">
        <v>2505</v>
      </c>
    </row>
    <row r="199" spans="1:22" ht="14.25" customHeight="1" x14ac:dyDescent="0.3">
      <c r="A199" s="1" t="s">
        <v>40</v>
      </c>
      <c r="B199" s="1" t="s">
        <v>421</v>
      </c>
      <c r="C199" s="1" t="s">
        <v>422</v>
      </c>
      <c r="D199" s="1">
        <f t="shared" si="40"/>
        <v>28</v>
      </c>
      <c r="E199" s="1">
        <f t="shared" si="41"/>
        <v>0.23216435185185183</v>
      </c>
      <c r="F199" s="2">
        <f t="shared" si="42"/>
        <v>172.39795119243485</v>
      </c>
      <c r="G199" s="1">
        <v>2080</v>
      </c>
      <c r="H199" s="1">
        <v>3744</v>
      </c>
      <c r="I199" s="1">
        <v>0</v>
      </c>
      <c r="J199" s="1">
        <v>186</v>
      </c>
      <c r="K199" s="1">
        <f t="shared" si="43"/>
        <v>0</v>
      </c>
      <c r="L199" s="1">
        <f t="shared" si="44"/>
        <v>1.623028846153846</v>
      </c>
      <c r="M199" s="1">
        <f t="shared" si="45"/>
        <v>1.623028846153846</v>
      </c>
      <c r="N199" s="2">
        <f t="shared" si="39"/>
        <v>10.351017506442728</v>
      </c>
      <c r="O199" s="1">
        <v>1674</v>
      </c>
      <c r="P199" s="1">
        <f t="shared" si="46"/>
        <v>198</v>
      </c>
      <c r="Q199" s="1">
        <f t="shared" si="47"/>
        <v>4.0252905612935432</v>
      </c>
      <c r="R199" s="1">
        <f t="shared" si="48"/>
        <v>0.42575188629066324</v>
      </c>
      <c r="S199" s="2">
        <f t="shared" si="49"/>
        <v>2.355328230138138</v>
      </c>
      <c r="T199" s="2">
        <f t="shared" si="50"/>
        <v>4.1108232581081247E-2</v>
      </c>
      <c r="U199" s="1" t="s">
        <v>2507</v>
      </c>
      <c r="V199" s="6" t="s">
        <v>2505</v>
      </c>
    </row>
    <row r="200" spans="1:22" ht="14.25" customHeight="1" x14ac:dyDescent="0.3">
      <c r="A200" s="1" t="s">
        <v>40</v>
      </c>
      <c r="B200" s="1" t="s">
        <v>423</v>
      </c>
      <c r="C200" s="1" t="s">
        <v>424</v>
      </c>
      <c r="D200" s="1">
        <f t="shared" si="40"/>
        <v>36</v>
      </c>
      <c r="E200" s="1">
        <f t="shared" si="41"/>
        <v>1.3287037037037036E-2</v>
      </c>
      <c r="F200" s="2">
        <f t="shared" si="42"/>
        <v>221.28818692135218</v>
      </c>
      <c r="G200" s="1">
        <v>2080</v>
      </c>
      <c r="H200" s="1">
        <v>3744</v>
      </c>
      <c r="I200" s="1">
        <v>0</v>
      </c>
      <c r="J200" s="1">
        <v>114</v>
      </c>
      <c r="K200" s="1">
        <f t="shared" si="43"/>
        <v>0</v>
      </c>
      <c r="L200" s="1">
        <f t="shared" si="44"/>
        <v>0.99475961538461533</v>
      </c>
      <c r="M200" s="1">
        <f t="shared" si="45"/>
        <v>0.99475961538461533</v>
      </c>
      <c r="N200" s="2">
        <f t="shared" si="39"/>
        <v>16.888502247353923</v>
      </c>
      <c r="O200" s="1">
        <v>1674</v>
      </c>
      <c r="P200" s="1">
        <f t="shared" si="46"/>
        <v>198</v>
      </c>
      <c r="Q200" s="1">
        <f t="shared" si="47"/>
        <v>6.5675793368473592</v>
      </c>
      <c r="R200" s="1">
        <f t="shared" si="48"/>
        <v>0.69464781447423996</v>
      </c>
      <c r="S200" s="2">
        <f t="shared" si="49"/>
        <v>2.3553282301381384</v>
      </c>
      <c r="T200" s="2">
        <f t="shared" si="50"/>
        <v>4.1108232581081254E-2</v>
      </c>
      <c r="U200" s="1" t="s">
        <v>2507</v>
      </c>
      <c r="V200" s="6" t="s">
        <v>2505</v>
      </c>
    </row>
    <row r="201" spans="1:22" ht="14.25" customHeight="1" x14ac:dyDescent="0.3">
      <c r="A201" s="1" t="s">
        <v>40</v>
      </c>
      <c r="B201" s="1" t="s">
        <v>425</v>
      </c>
      <c r="C201" s="1" t="s">
        <v>426</v>
      </c>
      <c r="D201" s="1">
        <f t="shared" si="40"/>
        <v>29</v>
      </c>
      <c r="E201" s="1">
        <f t="shared" si="41"/>
        <v>6.1562499999999999E-2</v>
      </c>
      <c r="F201" s="2">
        <f t="shared" si="42"/>
        <v>177.60921345068124</v>
      </c>
      <c r="G201" s="1">
        <v>2080</v>
      </c>
      <c r="H201" s="1">
        <v>3744</v>
      </c>
      <c r="I201" s="1">
        <v>0</v>
      </c>
      <c r="J201" s="1">
        <v>186</v>
      </c>
      <c r="K201" s="1">
        <f t="shared" si="43"/>
        <v>0</v>
      </c>
      <c r="L201" s="1">
        <f t="shared" si="44"/>
        <v>1.623028846153846</v>
      </c>
      <c r="M201" s="1">
        <f t="shared" si="45"/>
        <v>1.623028846153846</v>
      </c>
      <c r="N201" s="2">
        <f t="shared" si="39"/>
        <v>10.351017506442728</v>
      </c>
      <c r="O201" s="1">
        <v>1672</v>
      </c>
      <c r="P201" s="1">
        <f t="shared" si="46"/>
        <v>200</v>
      </c>
      <c r="Q201" s="1">
        <f t="shared" si="47"/>
        <v>4.0252905612935432</v>
      </c>
      <c r="R201" s="1">
        <f t="shared" si="48"/>
        <v>0.43005241039460929</v>
      </c>
      <c r="S201" s="2">
        <f t="shared" si="49"/>
        <v>2.3790922237141912</v>
      </c>
      <c r="T201" s="2">
        <f t="shared" si="50"/>
        <v>4.1522992512406154E-2</v>
      </c>
      <c r="U201" s="1" t="s">
        <v>2507</v>
      </c>
      <c r="V201" s="6" t="s">
        <v>2505</v>
      </c>
    </row>
    <row r="202" spans="1:22" ht="14.25" customHeight="1" x14ac:dyDescent="0.3">
      <c r="A202" s="1" t="s">
        <v>30</v>
      </c>
      <c r="B202" s="1" t="s">
        <v>427</v>
      </c>
      <c r="C202" s="1" t="s">
        <v>428</v>
      </c>
      <c r="D202" s="1">
        <f t="shared" si="40"/>
        <v>72</v>
      </c>
      <c r="E202" s="1">
        <f t="shared" si="41"/>
        <v>2.5243055555555557E-2</v>
      </c>
      <c r="F202" s="2">
        <f t="shared" si="42"/>
        <v>447.5579798597052</v>
      </c>
      <c r="G202" s="1">
        <v>2080</v>
      </c>
      <c r="H202" s="1">
        <v>3744</v>
      </c>
      <c r="I202" s="1">
        <v>0</v>
      </c>
      <c r="J202" s="1">
        <v>103</v>
      </c>
      <c r="K202" s="1">
        <f t="shared" si="43"/>
        <v>0</v>
      </c>
      <c r="L202" s="1">
        <f t="shared" si="44"/>
        <v>0.89877403846153836</v>
      </c>
      <c r="M202" s="1">
        <f t="shared" si="45"/>
        <v>0.89877403846153836</v>
      </c>
      <c r="N202" s="2">
        <f t="shared" si="39"/>
        <v>18.692128700954829</v>
      </c>
      <c r="O202" s="1">
        <v>1671</v>
      </c>
      <c r="P202" s="1">
        <f t="shared" si="46"/>
        <v>201</v>
      </c>
      <c r="Q202" s="1">
        <f t="shared" si="47"/>
        <v>7.2689713048601847</v>
      </c>
      <c r="R202" s="1">
        <f t="shared" si="48"/>
        <v>0.78048249587441076</v>
      </c>
      <c r="S202" s="2">
        <f t="shared" si="49"/>
        <v>2.3909739138956714</v>
      </c>
      <c r="T202" s="2">
        <f t="shared" si="50"/>
        <v>4.1730367126774866E-2</v>
      </c>
      <c r="U202" s="1" t="s">
        <v>2507</v>
      </c>
      <c r="V202" s="6" t="s">
        <v>2505</v>
      </c>
    </row>
    <row r="203" spans="1:22" ht="14.25" customHeight="1" x14ac:dyDescent="0.3">
      <c r="A203" s="1" t="s">
        <v>17</v>
      </c>
      <c r="B203" s="1" t="s">
        <v>429</v>
      </c>
      <c r="C203" s="1" t="s">
        <v>430</v>
      </c>
      <c r="D203" s="1">
        <f t="shared" si="40"/>
        <v>33</v>
      </c>
      <c r="E203" s="1">
        <f t="shared" si="41"/>
        <v>5.3009259259259251E-3</v>
      </c>
      <c r="F203" s="2">
        <f t="shared" si="42"/>
        <v>202.38845278381854</v>
      </c>
      <c r="G203" s="1">
        <v>2080</v>
      </c>
      <c r="H203" s="1">
        <v>3744</v>
      </c>
      <c r="I203" s="1">
        <v>0</v>
      </c>
      <c r="J203" s="1">
        <v>263</v>
      </c>
      <c r="K203" s="1">
        <f t="shared" si="43"/>
        <v>0</v>
      </c>
      <c r="L203" s="1">
        <f t="shared" si="44"/>
        <v>2.2949278846153844</v>
      </c>
      <c r="M203" s="1">
        <f t="shared" si="45"/>
        <v>2.2949278846153844</v>
      </c>
      <c r="N203" s="2">
        <f t="shared" si="39"/>
        <v>7.3204914684347804</v>
      </c>
      <c r="O203" s="1">
        <v>1669</v>
      </c>
      <c r="P203" s="1">
        <f t="shared" si="46"/>
        <v>203</v>
      </c>
      <c r="Q203" s="1">
        <f t="shared" si="47"/>
        <v>2.8467834387855473</v>
      </c>
      <c r="R203" s="1">
        <f t="shared" si="48"/>
        <v>0.30870568273155241</v>
      </c>
      <c r="S203" s="2">
        <f t="shared" si="49"/>
        <v>2.4147366759625046</v>
      </c>
      <c r="T203" s="2">
        <f t="shared" si="50"/>
        <v>4.2145105564209119E-2</v>
      </c>
      <c r="U203" s="1" t="s">
        <v>2507</v>
      </c>
      <c r="V203" s="6" t="s">
        <v>2505</v>
      </c>
    </row>
    <row r="204" spans="1:22" ht="14.25" customHeight="1" x14ac:dyDescent="0.3">
      <c r="A204" s="1" t="s">
        <v>27</v>
      </c>
      <c r="B204" s="1" t="s">
        <v>431</v>
      </c>
      <c r="C204" s="1" t="s">
        <v>432</v>
      </c>
      <c r="D204" s="1">
        <f t="shared" si="40"/>
        <v>37</v>
      </c>
      <c r="E204" s="1">
        <f t="shared" si="41"/>
        <v>0.83339120370370379</v>
      </c>
      <c r="F204" s="2">
        <f t="shared" si="42"/>
        <v>232.7242386788885</v>
      </c>
      <c r="G204" s="1">
        <v>2080</v>
      </c>
      <c r="H204" s="1">
        <v>3744</v>
      </c>
      <c r="I204" s="1">
        <v>0</v>
      </c>
      <c r="J204" s="1">
        <v>236</v>
      </c>
      <c r="K204" s="1">
        <f t="shared" si="43"/>
        <v>0</v>
      </c>
      <c r="L204" s="1">
        <f t="shared" si="44"/>
        <v>2.0593269230769229</v>
      </c>
      <c r="M204" s="1">
        <f t="shared" si="45"/>
        <v>2.0593269230769229</v>
      </c>
      <c r="N204" s="2">
        <f t="shared" si="39"/>
        <v>8.1580053228743541</v>
      </c>
      <c r="O204" s="1">
        <v>1669</v>
      </c>
      <c r="P204" s="1">
        <f t="shared" si="46"/>
        <v>203</v>
      </c>
      <c r="Q204" s="1">
        <f t="shared" si="47"/>
        <v>3.1724747644093183</v>
      </c>
      <c r="R204" s="1">
        <f t="shared" si="48"/>
        <v>0.344023705755925</v>
      </c>
      <c r="S204" s="2">
        <f t="shared" si="49"/>
        <v>2.4147366759625046</v>
      </c>
      <c r="T204" s="2">
        <f t="shared" si="50"/>
        <v>4.2145105564209119E-2</v>
      </c>
      <c r="U204" s="1" t="s">
        <v>2507</v>
      </c>
      <c r="V204" s="6" t="s">
        <v>2505</v>
      </c>
    </row>
    <row r="205" spans="1:22" ht="14.25" customHeight="1" x14ac:dyDescent="0.3">
      <c r="A205" s="1" t="s">
        <v>65</v>
      </c>
      <c r="B205" s="1" t="s">
        <v>433</v>
      </c>
      <c r="C205" s="1" t="s">
        <v>434</v>
      </c>
      <c r="D205" s="1">
        <f t="shared" si="40"/>
        <v>81</v>
      </c>
      <c r="E205" s="1">
        <f t="shared" si="41"/>
        <v>0.1756712962962963</v>
      </c>
      <c r="F205" s="2">
        <f t="shared" si="42"/>
        <v>505.05181613632863</v>
      </c>
      <c r="G205" s="1">
        <v>2080</v>
      </c>
      <c r="H205" s="1">
        <v>3744</v>
      </c>
      <c r="I205" s="1">
        <v>0</v>
      </c>
      <c r="J205" s="1">
        <v>274</v>
      </c>
      <c r="K205" s="1">
        <f t="shared" si="43"/>
        <v>0</v>
      </c>
      <c r="L205" s="1">
        <f t="shared" si="44"/>
        <v>2.3909134615384611</v>
      </c>
      <c r="M205" s="1">
        <f t="shared" si="45"/>
        <v>2.3909134615384611</v>
      </c>
      <c r="N205" s="2">
        <f t="shared" si="39"/>
        <v>7.0266031248114871</v>
      </c>
      <c r="O205" s="1">
        <v>1669</v>
      </c>
      <c r="P205" s="1">
        <f t="shared" si="46"/>
        <v>203</v>
      </c>
      <c r="Q205" s="1">
        <f t="shared" si="47"/>
        <v>2.7324965124109455</v>
      </c>
      <c r="R205" s="1">
        <f t="shared" si="48"/>
        <v>0.29631238889926387</v>
      </c>
      <c r="S205" s="2">
        <f t="shared" si="49"/>
        <v>2.4147366759625046</v>
      </c>
      <c r="T205" s="2">
        <f t="shared" si="50"/>
        <v>4.2145105564209119E-2</v>
      </c>
      <c r="U205" s="1" t="s">
        <v>2507</v>
      </c>
      <c r="V205" s="6" t="s">
        <v>2505</v>
      </c>
    </row>
    <row r="206" spans="1:22" ht="14.25" customHeight="1" x14ac:dyDescent="0.3">
      <c r="A206" s="1" t="s">
        <v>435</v>
      </c>
      <c r="B206" s="1" t="s">
        <v>436</v>
      </c>
      <c r="C206" s="1" t="s">
        <v>437</v>
      </c>
      <c r="D206" s="1">
        <f t="shared" si="40"/>
        <v>48</v>
      </c>
      <c r="E206" s="1">
        <f t="shared" si="41"/>
        <v>5.0081018518518518E-2</v>
      </c>
      <c r="F206" s="2">
        <f t="shared" si="42"/>
        <v>296.91759401134431</v>
      </c>
      <c r="G206" s="1">
        <v>2080</v>
      </c>
      <c r="H206" s="1">
        <v>3744</v>
      </c>
      <c r="I206" s="1">
        <v>0</v>
      </c>
      <c r="J206" s="1">
        <v>210</v>
      </c>
      <c r="K206" s="1">
        <f t="shared" si="43"/>
        <v>0</v>
      </c>
      <c r="L206" s="1">
        <f t="shared" si="44"/>
        <v>1.832451923076923</v>
      </c>
      <c r="M206" s="1">
        <f t="shared" si="45"/>
        <v>1.832451923076923</v>
      </c>
      <c r="N206" s="2">
        <f t="shared" si="39"/>
        <v>9.1680440771349865</v>
      </c>
      <c r="O206" s="1">
        <v>1668</v>
      </c>
      <c r="P206" s="1">
        <f t="shared" si="46"/>
        <v>204</v>
      </c>
      <c r="Q206" s="1">
        <f t="shared" si="47"/>
        <v>3.5652573542885664</v>
      </c>
      <c r="R206" s="1">
        <f t="shared" si="48"/>
        <v>0.38852163476221557</v>
      </c>
      <c r="S206" s="2">
        <f t="shared" si="49"/>
        <v>2.4266177458149607</v>
      </c>
      <c r="T206" s="2">
        <f t="shared" si="50"/>
        <v>4.2352469351793917E-2</v>
      </c>
      <c r="U206" s="1" t="s">
        <v>2507</v>
      </c>
      <c r="V206" s="6" t="s">
        <v>2505</v>
      </c>
    </row>
    <row r="207" spans="1:22" ht="14.25" customHeight="1" x14ac:dyDescent="0.3">
      <c r="A207" s="1" t="s">
        <v>27</v>
      </c>
      <c r="B207" s="1" t="s">
        <v>438</v>
      </c>
      <c r="C207" s="1" t="s">
        <v>439</v>
      </c>
      <c r="D207" s="1">
        <f t="shared" si="40"/>
        <v>38</v>
      </c>
      <c r="E207" s="1">
        <f t="shared" si="41"/>
        <v>0.74446759259259254</v>
      </c>
      <c r="F207" s="2">
        <f t="shared" si="42"/>
        <v>238.4487004592734</v>
      </c>
      <c r="G207" s="1">
        <v>2080</v>
      </c>
      <c r="H207" s="1">
        <v>3744</v>
      </c>
      <c r="I207" s="1">
        <v>0</v>
      </c>
      <c r="J207" s="1">
        <v>208</v>
      </c>
      <c r="K207" s="1">
        <f t="shared" si="43"/>
        <v>0</v>
      </c>
      <c r="L207" s="1">
        <f t="shared" si="44"/>
        <v>1.8149999999999999</v>
      </c>
      <c r="M207" s="1">
        <f t="shared" si="45"/>
        <v>1.8149999999999999</v>
      </c>
      <c r="N207" s="2">
        <f t="shared" si="39"/>
        <v>9.2561983471074392</v>
      </c>
      <c r="O207" s="1">
        <v>1667</v>
      </c>
      <c r="P207" s="1">
        <f t="shared" si="46"/>
        <v>205</v>
      </c>
      <c r="Q207" s="1">
        <f t="shared" si="47"/>
        <v>3.5995386750028797</v>
      </c>
      <c r="R207" s="1">
        <f t="shared" si="48"/>
        <v>0.39418025020063585</v>
      </c>
      <c r="S207" s="2">
        <f t="shared" si="49"/>
        <v>2.438498606858357</v>
      </c>
      <c r="T207" s="2">
        <f t="shared" si="50"/>
        <v>4.2559829494973112E-2</v>
      </c>
      <c r="U207" s="1" t="s">
        <v>2507</v>
      </c>
      <c r="V207" s="6" t="s">
        <v>2505</v>
      </c>
    </row>
    <row r="208" spans="1:22" ht="14.25" customHeight="1" x14ac:dyDescent="0.3">
      <c r="A208" s="1" t="s">
        <v>27</v>
      </c>
      <c r="B208" s="1" t="s">
        <v>440</v>
      </c>
      <c r="C208" s="1" t="s">
        <v>441</v>
      </c>
      <c r="D208" s="1">
        <f t="shared" si="40"/>
        <v>48</v>
      </c>
      <c r="E208" s="1">
        <f t="shared" si="41"/>
        <v>0.73702546296296301</v>
      </c>
      <c r="F208" s="2">
        <f t="shared" si="42"/>
        <v>301.23379325152627</v>
      </c>
      <c r="G208" s="1">
        <v>2080</v>
      </c>
      <c r="H208" s="1">
        <v>3744</v>
      </c>
      <c r="I208" s="1">
        <v>0</v>
      </c>
      <c r="J208" s="1">
        <v>99</v>
      </c>
      <c r="K208" s="1">
        <f t="shared" si="43"/>
        <v>0</v>
      </c>
      <c r="L208" s="1">
        <f t="shared" si="44"/>
        <v>0.86387019230769224</v>
      </c>
      <c r="M208" s="1">
        <f t="shared" si="45"/>
        <v>0.86387019230769224</v>
      </c>
      <c r="N208" s="2">
        <f t="shared" si="39"/>
        <v>19.447366224225732</v>
      </c>
      <c r="O208" s="1">
        <v>1667</v>
      </c>
      <c r="P208" s="1">
        <f t="shared" si="46"/>
        <v>205</v>
      </c>
      <c r="Q208" s="1">
        <f t="shared" si="47"/>
        <v>7.5626671151575664</v>
      </c>
      <c r="R208" s="1">
        <f t="shared" si="48"/>
        <v>0.82817668729022498</v>
      </c>
      <c r="S208" s="2">
        <f t="shared" si="49"/>
        <v>2.4384986068583574</v>
      </c>
      <c r="T208" s="2">
        <f t="shared" si="50"/>
        <v>4.2559829494973118E-2</v>
      </c>
      <c r="U208" s="1" t="s">
        <v>2507</v>
      </c>
      <c r="V208" s="6" t="s">
        <v>2505</v>
      </c>
    </row>
    <row r="209" spans="1:24" ht="14.25" customHeight="1" x14ac:dyDescent="0.3">
      <c r="A209" s="1" t="s">
        <v>40</v>
      </c>
      <c r="B209" s="1" t="s">
        <v>442</v>
      </c>
      <c r="C209" s="1" t="s">
        <v>443</v>
      </c>
      <c r="D209" s="1">
        <f t="shared" si="40"/>
        <v>32</v>
      </c>
      <c r="E209" s="1">
        <f t="shared" si="41"/>
        <v>0.98697916666666663</v>
      </c>
      <c r="F209" s="2">
        <f t="shared" si="42"/>
        <v>202.27333377523908</v>
      </c>
      <c r="G209" s="1">
        <v>2080</v>
      </c>
      <c r="H209" s="1">
        <v>3744</v>
      </c>
      <c r="I209" s="1">
        <v>0</v>
      </c>
      <c r="J209" s="1">
        <v>134</v>
      </c>
      <c r="K209" s="1">
        <f t="shared" si="43"/>
        <v>0</v>
      </c>
      <c r="L209" s="1">
        <f t="shared" si="44"/>
        <v>1.1692788461538461</v>
      </c>
      <c r="M209" s="1">
        <f t="shared" si="45"/>
        <v>1.1692788461538461</v>
      </c>
      <c r="N209" s="2">
        <f t="shared" si="39"/>
        <v>14.367830270136919</v>
      </c>
      <c r="O209" s="1">
        <v>1666</v>
      </c>
      <c r="P209" s="1">
        <f t="shared" si="46"/>
        <v>206</v>
      </c>
      <c r="Q209" s="1">
        <f t="shared" si="47"/>
        <v>5.5873436149298428</v>
      </c>
      <c r="R209" s="1">
        <f t="shared" si="48"/>
        <v>0.6148465730104421</v>
      </c>
      <c r="S209" s="2">
        <f t="shared" si="49"/>
        <v>2.4503792580765134</v>
      </c>
      <c r="T209" s="2">
        <f t="shared" si="50"/>
        <v>4.2767185976011014E-2</v>
      </c>
      <c r="U209" s="1" t="s">
        <v>2507</v>
      </c>
      <c r="V209" s="6" t="s">
        <v>2505</v>
      </c>
    </row>
    <row r="210" spans="1:24" ht="14.25" customHeight="1" x14ac:dyDescent="0.3">
      <c r="A210" s="1" t="s">
        <v>17</v>
      </c>
      <c r="B210" s="1" t="s">
        <v>444</v>
      </c>
      <c r="C210" s="1" t="s">
        <v>445</v>
      </c>
      <c r="D210" s="1">
        <f t="shared" si="40"/>
        <v>15</v>
      </c>
      <c r="E210" s="1">
        <f t="shared" si="41"/>
        <v>0.82377314814814817</v>
      </c>
      <c r="F210" s="2">
        <f t="shared" si="42"/>
        <v>94.433729895587319</v>
      </c>
      <c r="G210" s="1">
        <v>2080</v>
      </c>
      <c r="H210" s="1">
        <v>3744</v>
      </c>
      <c r="I210" s="1">
        <v>0</v>
      </c>
      <c r="J210" s="1">
        <v>222</v>
      </c>
      <c r="K210" s="1">
        <f t="shared" si="43"/>
        <v>0</v>
      </c>
      <c r="L210" s="1">
        <f t="shared" si="44"/>
        <v>1.9371634615384614</v>
      </c>
      <c r="M210" s="1">
        <f t="shared" si="45"/>
        <v>1.9371634615384614</v>
      </c>
      <c r="N210" s="2">
        <f t="shared" si="39"/>
        <v>8.6724741270195818</v>
      </c>
      <c r="O210" s="1">
        <v>1666</v>
      </c>
      <c r="P210" s="1">
        <f t="shared" si="46"/>
        <v>206</v>
      </c>
      <c r="Q210" s="1">
        <f t="shared" si="47"/>
        <v>3.3725407405432386</v>
      </c>
      <c r="R210" s="1">
        <f t="shared" si="48"/>
        <v>0.37112360713242903</v>
      </c>
      <c r="S210" s="2">
        <f t="shared" si="49"/>
        <v>2.4503792580765138</v>
      </c>
      <c r="T210" s="2">
        <f t="shared" si="50"/>
        <v>4.2767185976011021E-2</v>
      </c>
      <c r="U210" s="1" t="s">
        <v>2507</v>
      </c>
      <c r="V210" s="6" t="s">
        <v>2505</v>
      </c>
    </row>
    <row r="211" spans="1:24" ht="14.25" customHeight="1" x14ac:dyDescent="0.3">
      <c r="A211" s="1" t="s">
        <v>27</v>
      </c>
      <c r="B211" s="1" t="s">
        <v>446</v>
      </c>
      <c r="C211" s="1" t="s">
        <v>447</v>
      </c>
      <c r="D211" s="1">
        <f t="shared" si="40"/>
        <v>34</v>
      </c>
      <c r="E211" s="1">
        <f t="shared" si="41"/>
        <v>0.77008101851851851</v>
      </c>
      <c r="F211" s="2">
        <f t="shared" si="42"/>
        <v>213.47689313199936</v>
      </c>
      <c r="G211" s="1">
        <v>2080</v>
      </c>
      <c r="H211" s="1">
        <v>3744</v>
      </c>
      <c r="I211" s="1">
        <v>0</v>
      </c>
      <c r="J211" s="1">
        <v>204</v>
      </c>
      <c r="K211" s="1">
        <f t="shared" si="43"/>
        <v>0</v>
      </c>
      <c r="L211" s="1">
        <f t="shared" si="44"/>
        <v>1.7800961538461537</v>
      </c>
      <c r="M211" s="1">
        <f t="shared" si="45"/>
        <v>1.7800961538461537</v>
      </c>
      <c r="N211" s="2">
        <f t="shared" si="39"/>
        <v>9.4376924323448392</v>
      </c>
      <c r="O211" s="1">
        <v>1666</v>
      </c>
      <c r="P211" s="1">
        <f t="shared" si="46"/>
        <v>206</v>
      </c>
      <c r="Q211" s="1">
        <f t="shared" si="47"/>
        <v>3.6701178647088186</v>
      </c>
      <c r="R211" s="1">
        <f t="shared" si="48"/>
        <v>0.40386980776176101</v>
      </c>
      <c r="S211" s="2">
        <f t="shared" si="49"/>
        <v>2.4503792580765138</v>
      </c>
      <c r="T211" s="2">
        <f t="shared" si="50"/>
        <v>4.2767185976011021E-2</v>
      </c>
      <c r="U211" s="1" t="s">
        <v>2507</v>
      </c>
      <c r="V211" s="6" t="s">
        <v>2505</v>
      </c>
    </row>
    <row r="212" spans="1:24" ht="14.25" customHeight="1" x14ac:dyDescent="0.3">
      <c r="A212" s="1" t="s">
        <v>40</v>
      </c>
      <c r="B212" s="1" t="s">
        <v>448</v>
      </c>
      <c r="C212" s="1" t="s">
        <v>449</v>
      </c>
      <c r="D212" s="1">
        <f t="shared" si="40"/>
        <v>41</v>
      </c>
      <c r="E212" s="1">
        <f t="shared" si="41"/>
        <v>0.7777546296296296</v>
      </c>
      <c r="F212" s="2">
        <f t="shared" si="42"/>
        <v>257.5074050028428</v>
      </c>
      <c r="G212" s="1">
        <v>2080</v>
      </c>
      <c r="H212" s="1">
        <v>3744</v>
      </c>
      <c r="I212" s="1">
        <v>0</v>
      </c>
      <c r="J212" s="1">
        <v>88</v>
      </c>
      <c r="K212" s="1">
        <f t="shared" si="43"/>
        <v>0</v>
      </c>
      <c r="L212" s="1">
        <f t="shared" si="44"/>
        <v>0.76788461538461528</v>
      </c>
      <c r="M212" s="1">
        <f t="shared" si="45"/>
        <v>0.76788461538461528</v>
      </c>
      <c r="N212" s="2">
        <f t="shared" si="39"/>
        <v>21.878287002253948</v>
      </c>
      <c r="O212" s="1">
        <v>1665</v>
      </c>
      <c r="P212" s="1">
        <f t="shared" si="46"/>
        <v>207</v>
      </c>
      <c r="Q212" s="1">
        <f t="shared" si="47"/>
        <v>8.5080005045522622</v>
      </c>
      <c r="R212" s="1">
        <f t="shared" si="48"/>
        <v>0.94078851733029822</v>
      </c>
      <c r="S212" s="2">
        <f t="shared" si="49"/>
        <v>2.4622596984533578</v>
      </c>
      <c r="T212" s="2">
        <f t="shared" si="50"/>
        <v>4.2974538777173825E-2</v>
      </c>
      <c r="U212" s="1" t="s">
        <v>2507</v>
      </c>
      <c r="V212" s="6" t="s">
        <v>2505</v>
      </c>
      <c r="W212" s="1"/>
      <c r="X212" s="1"/>
    </row>
    <row r="213" spans="1:24" ht="14.25" customHeight="1" x14ac:dyDescent="0.3">
      <c r="A213" s="1" t="s">
        <v>450</v>
      </c>
      <c r="B213" s="1" t="s">
        <v>451</v>
      </c>
      <c r="C213" s="1" t="s">
        <v>452</v>
      </c>
      <c r="D213" s="1">
        <f t="shared" si="40"/>
        <v>81</v>
      </c>
      <c r="E213" s="1">
        <f t="shared" si="41"/>
        <v>0.31913194444444443</v>
      </c>
      <c r="F213" s="2">
        <f t="shared" si="42"/>
        <v>505.95320597293153</v>
      </c>
      <c r="G213" s="1">
        <v>2080</v>
      </c>
      <c r="H213" s="1">
        <v>3744</v>
      </c>
      <c r="I213" s="1">
        <v>0</v>
      </c>
      <c r="J213" s="1">
        <v>306</v>
      </c>
      <c r="K213" s="1">
        <f t="shared" si="43"/>
        <v>0</v>
      </c>
      <c r="L213" s="1">
        <f t="shared" si="44"/>
        <v>2.6701442307692305</v>
      </c>
      <c r="M213" s="1">
        <f t="shared" si="45"/>
        <v>2.6701442307692305</v>
      </c>
      <c r="N213" s="2">
        <f t="shared" si="39"/>
        <v>6.2917949548965604</v>
      </c>
      <c r="O213" s="1">
        <v>1665</v>
      </c>
      <c r="P213" s="1">
        <f t="shared" si="46"/>
        <v>207</v>
      </c>
      <c r="Q213" s="1">
        <f t="shared" si="47"/>
        <v>2.4467452431392127</v>
      </c>
      <c r="R213" s="1">
        <f t="shared" si="48"/>
        <v>0.27055356053943219</v>
      </c>
      <c r="S213" s="2">
        <f t="shared" si="49"/>
        <v>2.4622596984533582</v>
      </c>
      <c r="T213" s="2">
        <f t="shared" si="50"/>
        <v>4.2974538777173832E-2</v>
      </c>
      <c r="U213" s="1" t="s">
        <v>2507</v>
      </c>
      <c r="V213" s="6" t="s">
        <v>2505</v>
      </c>
    </row>
    <row r="214" spans="1:24" ht="14.25" customHeight="1" x14ac:dyDescent="0.3">
      <c r="A214" s="1" t="s">
        <v>27</v>
      </c>
      <c r="B214" s="1" t="s">
        <v>453</v>
      </c>
      <c r="C214" s="1" t="s">
        <v>454</v>
      </c>
      <c r="D214" s="1">
        <f t="shared" si="40"/>
        <v>51</v>
      </c>
      <c r="E214" s="1">
        <f t="shared" si="41"/>
        <v>0.83127314814814823</v>
      </c>
      <c r="F214" s="2">
        <f t="shared" si="42"/>
        <v>320.67552484385629</v>
      </c>
      <c r="G214" s="1">
        <v>2080</v>
      </c>
      <c r="H214" s="1">
        <v>3744</v>
      </c>
      <c r="I214" s="1">
        <v>0</v>
      </c>
      <c r="J214" s="1">
        <v>184</v>
      </c>
      <c r="K214" s="1">
        <f t="shared" si="43"/>
        <v>0</v>
      </c>
      <c r="L214" s="1">
        <f t="shared" si="44"/>
        <v>1.605576923076923</v>
      </c>
      <c r="M214" s="1">
        <f t="shared" si="45"/>
        <v>1.605576923076923</v>
      </c>
      <c r="N214" s="2">
        <f t="shared" si="39"/>
        <v>10.463528566295366</v>
      </c>
      <c r="O214" s="1">
        <v>1664</v>
      </c>
      <c r="P214" s="1">
        <f t="shared" si="46"/>
        <v>208</v>
      </c>
      <c r="Q214" s="1">
        <f t="shared" si="47"/>
        <v>4.069043719568473</v>
      </c>
      <c r="R214" s="1">
        <f t="shared" si="48"/>
        <v>0.45211596884094141</v>
      </c>
      <c r="S214" s="2">
        <f t="shared" si="49"/>
        <v>2.4741399269729265</v>
      </c>
      <c r="T214" s="2">
        <f t="shared" si="50"/>
        <v>4.318188788072963E-2</v>
      </c>
      <c r="U214" s="1" t="s">
        <v>2507</v>
      </c>
      <c r="V214" s="6" t="s">
        <v>2505</v>
      </c>
    </row>
    <row r="215" spans="1:24" ht="14.25" customHeight="1" x14ac:dyDescent="0.3">
      <c r="A215" s="1" t="s">
        <v>40</v>
      </c>
      <c r="B215" s="1" t="s">
        <v>455</v>
      </c>
      <c r="C215" s="1" t="s">
        <v>456</v>
      </c>
      <c r="D215" s="1">
        <f t="shared" si="40"/>
        <v>93</v>
      </c>
      <c r="E215" s="1">
        <f t="shared" si="41"/>
        <v>0.28042824074074074</v>
      </c>
      <c r="F215" s="2">
        <f t="shared" si="42"/>
        <v>581.10824711664202</v>
      </c>
      <c r="G215" s="1">
        <v>2080</v>
      </c>
      <c r="H215" s="1">
        <v>3744</v>
      </c>
      <c r="I215" s="1">
        <v>0</v>
      </c>
      <c r="J215" s="1">
        <v>55</v>
      </c>
      <c r="K215" s="1">
        <f t="shared" si="43"/>
        <v>0</v>
      </c>
      <c r="L215" s="1">
        <f t="shared" si="44"/>
        <v>0.47992788461538455</v>
      </c>
      <c r="M215" s="1">
        <f t="shared" si="45"/>
        <v>0.47992788461538455</v>
      </c>
      <c r="N215" s="2">
        <f t="shared" si="39"/>
        <v>35.005259203606315</v>
      </c>
      <c r="O215" s="1">
        <v>1664</v>
      </c>
      <c r="P215" s="1">
        <f t="shared" si="46"/>
        <v>208</v>
      </c>
      <c r="Q215" s="1">
        <f t="shared" si="47"/>
        <v>13.612800807283618</v>
      </c>
      <c r="R215" s="1">
        <f t="shared" si="48"/>
        <v>1.5125334230315131</v>
      </c>
      <c r="S215" s="2">
        <f t="shared" si="49"/>
        <v>2.4741399269729265</v>
      </c>
      <c r="T215" s="2">
        <f t="shared" si="50"/>
        <v>4.318188788072963E-2</v>
      </c>
      <c r="U215" s="1" t="s">
        <v>2507</v>
      </c>
      <c r="V215" s="6" t="s">
        <v>2505</v>
      </c>
      <c r="W215" s="3"/>
      <c r="X215" s="3"/>
    </row>
    <row r="216" spans="1:24" ht="14.25" customHeight="1" x14ac:dyDescent="0.3">
      <c r="A216" s="1" t="s">
        <v>27</v>
      </c>
      <c r="B216" s="1" t="s">
        <v>457</v>
      </c>
      <c r="C216" s="1" t="s">
        <v>458</v>
      </c>
      <c r="D216" s="1">
        <f t="shared" si="40"/>
        <v>15</v>
      </c>
      <c r="E216" s="1">
        <f t="shared" si="41"/>
        <v>0.34688657407407408</v>
      </c>
      <c r="F216" s="2">
        <f t="shared" si="42"/>
        <v>91.437363180173875</v>
      </c>
      <c r="G216" s="1">
        <v>2080</v>
      </c>
      <c r="H216" s="1">
        <v>3744</v>
      </c>
      <c r="I216" s="1">
        <v>0</v>
      </c>
      <c r="J216" s="1">
        <v>228</v>
      </c>
      <c r="K216" s="1">
        <f t="shared" si="43"/>
        <v>0</v>
      </c>
      <c r="L216" s="1">
        <f t="shared" si="44"/>
        <v>1.9895192307692307</v>
      </c>
      <c r="M216" s="1">
        <f t="shared" si="45"/>
        <v>1.9895192307692307</v>
      </c>
      <c r="N216" s="2">
        <f t="shared" si="39"/>
        <v>8.4442511236769615</v>
      </c>
      <c r="O216" s="1">
        <v>1662</v>
      </c>
      <c r="P216" s="1">
        <f t="shared" si="46"/>
        <v>210</v>
      </c>
      <c r="Q216" s="1">
        <f t="shared" si="47"/>
        <v>3.2837896684236796</v>
      </c>
      <c r="R216" s="1">
        <f t="shared" si="48"/>
        <v>0.36837384100906662</v>
      </c>
      <c r="S216" s="2">
        <f t="shared" si="49"/>
        <v>2.497899744376928</v>
      </c>
      <c r="T216" s="2">
        <f t="shared" si="50"/>
        <v>4.3596574924102106E-2</v>
      </c>
      <c r="U216" s="1" t="s">
        <v>2507</v>
      </c>
      <c r="V216" s="6" t="s">
        <v>2505</v>
      </c>
    </row>
    <row r="217" spans="1:24" ht="14.25" customHeight="1" x14ac:dyDescent="0.3">
      <c r="A217" s="1" t="s">
        <v>459</v>
      </c>
      <c r="B217" s="1" t="s">
        <v>460</v>
      </c>
      <c r="C217" s="1" t="s">
        <v>461</v>
      </c>
      <c r="D217" s="1">
        <f t="shared" si="40"/>
        <v>81</v>
      </c>
      <c r="E217" s="1">
        <f t="shared" si="41"/>
        <v>4.4918981481481483E-2</v>
      </c>
      <c r="F217" s="2">
        <f t="shared" si="42"/>
        <v>504.23027511300444</v>
      </c>
      <c r="G217" s="1">
        <v>2080</v>
      </c>
      <c r="H217" s="1">
        <v>3744</v>
      </c>
      <c r="I217" s="1">
        <v>0</v>
      </c>
      <c r="J217" s="1">
        <v>282</v>
      </c>
      <c r="K217" s="1">
        <f t="shared" si="43"/>
        <v>0</v>
      </c>
      <c r="L217" s="1">
        <f t="shared" si="44"/>
        <v>2.4607211538461535</v>
      </c>
      <c r="M217" s="1">
        <f t="shared" si="45"/>
        <v>2.4607211538461535</v>
      </c>
      <c r="N217" s="2">
        <f t="shared" si="39"/>
        <v>6.8272668659515867</v>
      </c>
      <c r="O217" s="1">
        <v>1662</v>
      </c>
      <c r="P217" s="1">
        <f t="shared" si="46"/>
        <v>210</v>
      </c>
      <c r="Q217" s="1">
        <f t="shared" si="47"/>
        <v>2.654978880853188</v>
      </c>
      <c r="R217" s="1">
        <f t="shared" si="48"/>
        <v>0.29783416932647944</v>
      </c>
      <c r="S217" s="2">
        <f t="shared" si="49"/>
        <v>2.497899744376928</v>
      </c>
      <c r="T217" s="2">
        <f t="shared" si="50"/>
        <v>4.3596574924102106E-2</v>
      </c>
      <c r="U217" s="1" t="s">
        <v>2507</v>
      </c>
      <c r="V217" s="6" t="s">
        <v>2505</v>
      </c>
    </row>
    <row r="218" spans="1:24" ht="14.25" customHeight="1" x14ac:dyDescent="0.3">
      <c r="A218" s="1" t="s">
        <v>17</v>
      </c>
      <c r="B218" s="1" t="s">
        <v>462</v>
      </c>
      <c r="C218" s="1" t="s">
        <v>463</v>
      </c>
      <c r="D218" s="1">
        <f t="shared" si="40"/>
        <v>73</v>
      </c>
      <c r="E218" s="1">
        <f t="shared" si="41"/>
        <v>1.5046296296296297E-4</v>
      </c>
      <c r="F218" s="2">
        <f t="shared" si="42"/>
        <v>453.683503757788</v>
      </c>
      <c r="G218" s="1">
        <v>2080</v>
      </c>
      <c r="H218" s="1">
        <v>3744</v>
      </c>
      <c r="I218" s="1">
        <v>0</v>
      </c>
      <c r="J218" s="1">
        <v>255</v>
      </c>
      <c r="K218" s="1">
        <f t="shared" si="43"/>
        <v>0</v>
      </c>
      <c r="L218" s="1">
        <f t="shared" si="44"/>
        <v>2.2251201923076924</v>
      </c>
      <c r="M218" s="1">
        <f t="shared" si="45"/>
        <v>2.2251201923076924</v>
      </c>
      <c r="N218" s="2">
        <f t="shared" si="39"/>
        <v>7.5501539458758709</v>
      </c>
      <c r="O218" s="1">
        <v>1662</v>
      </c>
      <c r="P218" s="1">
        <f t="shared" si="46"/>
        <v>210</v>
      </c>
      <c r="Q218" s="1">
        <f t="shared" si="47"/>
        <v>2.9360942917670547</v>
      </c>
      <c r="R218" s="1">
        <f t="shared" si="48"/>
        <v>0.32936955196104784</v>
      </c>
      <c r="S218" s="2">
        <f t="shared" si="49"/>
        <v>2.4978997443769284</v>
      </c>
      <c r="T218" s="2">
        <f t="shared" si="50"/>
        <v>4.3596574924102113E-2</v>
      </c>
      <c r="U218" s="1" t="s">
        <v>2507</v>
      </c>
      <c r="V218" s="6" t="s">
        <v>2505</v>
      </c>
    </row>
    <row r="219" spans="1:24" ht="14.25" customHeight="1" x14ac:dyDescent="0.3">
      <c r="A219" s="1" t="s">
        <v>17</v>
      </c>
      <c r="B219" s="1" t="s">
        <v>464</v>
      </c>
      <c r="C219" s="1" t="s">
        <v>465</v>
      </c>
      <c r="D219" s="1">
        <f t="shared" si="40"/>
        <v>17</v>
      </c>
      <c r="E219" s="1">
        <f t="shared" si="41"/>
        <v>4.4791666666666669E-3</v>
      </c>
      <c r="F219" s="2">
        <f t="shared" si="42"/>
        <v>101.85232460324137</v>
      </c>
      <c r="G219" s="1">
        <v>2080</v>
      </c>
      <c r="H219" s="1">
        <v>3744</v>
      </c>
      <c r="I219" s="1">
        <v>0</v>
      </c>
      <c r="J219" s="1">
        <v>270</v>
      </c>
      <c r="K219" s="1">
        <f t="shared" si="43"/>
        <v>0</v>
      </c>
      <c r="L219" s="1">
        <f t="shared" si="44"/>
        <v>2.3560096153846155</v>
      </c>
      <c r="M219" s="1">
        <f t="shared" si="45"/>
        <v>2.3560096153846155</v>
      </c>
      <c r="N219" s="2">
        <f t="shared" si="39"/>
        <v>7.1307009488827671</v>
      </c>
      <c r="O219" s="1">
        <v>1661</v>
      </c>
      <c r="P219" s="1">
        <f t="shared" si="46"/>
        <v>211</v>
      </c>
      <c r="Q219" s="1">
        <f t="shared" si="47"/>
        <v>2.7729779422244403</v>
      </c>
      <c r="R219" s="1">
        <f t="shared" si="48"/>
        <v>0.31255253515457099</v>
      </c>
      <c r="S219" s="2">
        <f t="shared" si="49"/>
        <v>2.5097793312299808</v>
      </c>
      <c r="T219" s="2">
        <f t="shared" si="50"/>
        <v>4.3803912828464513E-2</v>
      </c>
      <c r="U219" s="1" t="s">
        <v>2507</v>
      </c>
      <c r="V219" s="6" t="s">
        <v>2505</v>
      </c>
    </row>
    <row r="220" spans="1:24" ht="14.25" customHeight="1" x14ac:dyDescent="0.3">
      <c r="A220" s="1" t="s">
        <v>40</v>
      </c>
      <c r="B220" s="1" t="s">
        <v>466</v>
      </c>
      <c r="C220" s="1" t="s">
        <v>467</v>
      </c>
      <c r="D220" s="1">
        <f t="shared" si="40"/>
        <v>29</v>
      </c>
      <c r="E220" s="1">
        <f t="shared" si="41"/>
        <v>0.21928240740740743</v>
      </c>
      <c r="F220" s="2">
        <f t="shared" si="42"/>
        <v>178.60019685555318</v>
      </c>
      <c r="G220" s="1">
        <v>2080</v>
      </c>
      <c r="H220" s="1">
        <v>3744</v>
      </c>
      <c r="I220" s="1">
        <v>0</v>
      </c>
      <c r="J220" s="1">
        <v>103</v>
      </c>
      <c r="K220" s="1">
        <f t="shared" si="43"/>
        <v>0</v>
      </c>
      <c r="L220" s="1">
        <f t="shared" si="44"/>
        <v>0.89877403846153836</v>
      </c>
      <c r="M220" s="1">
        <f t="shared" si="45"/>
        <v>0.89877403846153836</v>
      </c>
      <c r="N220" s="2">
        <f t="shared" si="39"/>
        <v>18.692128700954829</v>
      </c>
      <c r="O220" s="1">
        <v>1661</v>
      </c>
      <c r="P220" s="1">
        <f t="shared" si="46"/>
        <v>211</v>
      </c>
      <c r="Q220" s="1">
        <f t="shared" si="47"/>
        <v>7.2689713048601847</v>
      </c>
      <c r="R220" s="1">
        <f t="shared" si="48"/>
        <v>0.81931247079353575</v>
      </c>
      <c r="S220" s="2">
        <f t="shared" si="49"/>
        <v>2.5097793312299812</v>
      </c>
      <c r="T220" s="2">
        <f t="shared" si="50"/>
        <v>4.380391282846452E-2</v>
      </c>
      <c r="U220" s="1" t="s">
        <v>2507</v>
      </c>
      <c r="V220" s="6" t="s">
        <v>2505</v>
      </c>
    </row>
    <row r="221" spans="1:24" ht="14.25" customHeight="1" x14ac:dyDescent="0.3">
      <c r="A221" s="1" t="s">
        <v>65</v>
      </c>
      <c r="B221" s="1" t="s">
        <v>468</v>
      </c>
      <c r="C221" s="1" t="s">
        <v>469</v>
      </c>
      <c r="D221" s="1">
        <f t="shared" si="40"/>
        <v>47</v>
      </c>
      <c r="E221" s="1">
        <f t="shared" si="41"/>
        <v>0.15884259259259259</v>
      </c>
      <c r="F221" s="2">
        <f t="shared" si="42"/>
        <v>291.31777782837264</v>
      </c>
      <c r="G221" s="1">
        <v>2080</v>
      </c>
      <c r="H221" s="1">
        <v>3744</v>
      </c>
      <c r="I221" s="1">
        <v>0</v>
      </c>
      <c r="J221" s="1">
        <v>483</v>
      </c>
      <c r="K221" s="1">
        <f t="shared" si="43"/>
        <v>0</v>
      </c>
      <c r="L221" s="1">
        <f t="shared" si="44"/>
        <v>4.2146394230769229</v>
      </c>
      <c r="M221" s="1">
        <f t="shared" si="45"/>
        <v>4.2146394230769229</v>
      </c>
      <c r="N221" s="2">
        <f t="shared" si="39"/>
        <v>3.9861061204934725</v>
      </c>
      <c r="O221" s="1">
        <v>1659</v>
      </c>
      <c r="P221" s="1">
        <f t="shared" si="46"/>
        <v>213</v>
      </c>
      <c r="Q221" s="1">
        <f t="shared" si="47"/>
        <v>1.5501118931689419</v>
      </c>
      <c r="R221" s="1">
        <f t="shared" si="48"/>
        <v>0.17637491092146615</v>
      </c>
      <c r="S221" s="2">
        <f t="shared" si="49"/>
        <v>2.5335378561605721</v>
      </c>
      <c r="T221" s="2">
        <f t="shared" si="50"/>
        <v>4.4218577313920489E-2</v>
      </c>
      <c r="U221" s="1" t="s">
        <v>2507</v>
      </c>
      <c r="V221" s="6" t="s">
        <v>2505</v>
      </c>
    </row>
    <row r="222" spans="1:24" ht="14.25" customHeight="1" x14ac:dyDescent="0.3">
      <c r="A222" s="1" t="s">
        <v>286</v>
      </c>
      <c r="B222" s="1" t="s">
        <v>470</v>
      </c>
      <c r="C222" s="1" t="s">
        <v>471</v>
      </c>
      <c r="D222" s="1">
        <f t="shared" si="40"/>
        <v>75</v>
      </c>
      <c r="E222" s="1">
        <f t="shared" si="41"/>
        <v>0.98872685185185183</v>
      </c>
      <c r="F222" s="2">
        <f t="shared" si="42"/>
        <v>472.46128301383845</v>
      </c>
      <c r="G222" s="1">
        <v>2080</v>
      </c>
      <c r="H222" s="1">
        <v>3744</v>
      </c>
      <c r="I222" s="1">
        <v>0</v>
      </c>
      <c r="J222" s="1">
        <v>258</v>
      </c>
      <c r="K222" s="1">
        <f t="shared" si="43"/>
        <v>0</v>
      </c>
      <c r="L222" s="1">
        <f t="shared" si="44"/>
        <v>2.251298076923077</v>
      </c>
      <c r="M222" s="1">
        <f t="shared" si="45"/>
        <v>2.251298076923077</v>
      </c>
      <c r="N222" s="2">
        <f t="shared" si="39"/>
        <v>7.4623614581331283</v>
      </c>
      <c r="O222" s="1">
        <v>1659</v>
      </c>
      <c r="P222" s="1">
        <f t="shared" si="46"/>
        <v>213</v>
      </c>
      <c r="Q222" s="1">
        <f t="shared" si="47"/>
        <v>2.9019536604674379</v>
      </c>
      <c r="R222" s="1">
        <f t="shared" si="48"/>
        <v>0.33019024021344245</v>
      </c>
      <c r="S222" s="2">
        <f t="shared" si="49"/>
        <v>2.5335378561605721</v>
      </c>
      <c r="T222" s="2">
        <f t="shared" si="50"/>
        <v>4.4218577313920489E-2</v>
      </c>
      <c r="U222" s="1" t="s">
        <v>2507</v>
      </c>
      <c r="V222" s="6" t="s">
        <v>2505</v>
      </c>
    </row>
    <row r="223" spans="1:24" ht="14.25" customHeight="1" x14ac:dyDescent="0.3">
      <c r="A223" s="1" t="s">
        <v>40</v>
      </c>
      <c r="B223" s="1" t="s">
        <v>472</v>
      </c>
      <c r="C223" s="1" t="s">
        <v>473</v>
      </c>
      <c r="D223" s="1">
        <f t="shared" si="40"/>
        <v>93</v>
      </c>
      <c r="E223" s="1">
        <f t="shared" si="41"/>
        <v>0.17114583333333333</v>
      </c>
      <c r="F223" s="2">
        <f t="shared" si="42"/>
        <v>580.42160550008646</v>
      </c>
      <c r="G223" s="1">
        <v>2080</v>
      </c>
      <c r="H223" s="1">
        <v>3744</v>
      </c>
      <c r="I223" s="1">
        <v>0</v>
      </c>
      <c r="J223" s="1">
        <v>230</v>
      </c>
      <c r="K223" s="1">
        <f t="shared" si="43"/>
        <v>0</v>
      </c>
      <c r="L223" s="1">
        <f t="shared" si="44"/>
        <v>2.0069711538461537</v>
      </c>
      <c r="M223" s="1">
        <f t="shared" si="45"/>
        <v>2.0069711538461537</v>
      </c>
      <c r="N223" s="2">
        <f t="shared" si="39"/>
        <v>8.3708228530362927</v>
      </c>
      <c r="O223" s="1">
        <v>1659</v>
      </c>
      <c r="P223" s="1">
        <f t="shared" si="46"/>
        <v>213</v>
      </c>
      <c r="Q223" s="1">
        <f t="shared" si="47"/>
        <v>3.2552349756547785</v>
      </c>
      <c r="R223" s="1">
        <f t="shared" si="48"/>
        <v>0.37038731293507898</v>
      </c>
      <c r="S223" s="2">
        <f t="shared" si="49"/>
        <v>2.5335378561605721</v>
      </c>
      <c r="T223" s="2">
        <f t="shared" si="50"/>
        <v>4.4218577313920489E-2</v>
      </c>
      <c r="U223" s="1" t="s">
        <v>2507</v>
      </c>
      <c r="V223" s="6" t="s">
        <v>2505</v>
      </c>
    </row>
    <row r="224" spans="1:24" ht="14.25" customHeight="1" x14ac:dyDescent="0.3">
      <c r="A224" s="1" t="s">
        <v>40</v>
      </c>
      <c r="B224" s="1" t="s">
        <v>474</v>
      </c>
      <c r="C224" s="1" t="s">
        <v>475</v>
      </c>
      <c r="D224" s="1">
        <f t="shared" si="40"/>
        <v>34</v>
      </c>
      <c r="E224" s="1">
        <f t="shared" si="41"/>
        <v>0.27959490740740739</v>
      </c>
      <c r="F224" s="2">
        <f t="shared" si="42"/>
        <v>210.39507800529037</v>
      </c>
      <c r="G224" s="1">
        <v>2080</v>
      </c>
      <c r="H224" s="1">
        <v>3744</v>
      </c>
      <c r="I224" s="1">
        <v>0</v>
      </c>
      <c r="J224" s="1">
        <v>381</v>
      </c>
      <c r="K224" s="1">
        <f t="shared" si="43"/>
        <v>0</v>
      </c>
      <c r="L224" s="1">
        <f t="shared" si="44"/>
        <v>3.3245913461538459</v>
      </c>
      <c r="M224" s="1">
        <f t="shared" si="45"/>
        <v>3.3245913461538459</v>
      </c>
      <c r="N224" s="2">
        <f t="shared" si="39"/>
        <v>5.0532526409405438</v>
      </c>
      <c r="O224" s="1">
        <v>1658</v>
      </c>
      <c r="P224" s="1">
        <f t="shared" si="46"/>
        <v>214</v>
      </c>
      <c r="Q224" s="1">
        <f t="shared" si="47"/>
        <v>1.9651024787417295</v>
      </c>
      <c r="R224" s="1">
        <f t="shared" si="48"/>
        <v>0.22464312524077462</v>
      </c>
      <c r="S224" s="2">
        <f t="shared" si="49"/>
        <v>2.5454167922073951</v>
      </c>
      <c r="T224" s="2">
        <f t="shared" si="50"/>
        <v>4.4425903859571389E-2</v>
      </c>
      <c r="U224" s="1" t="s">
        <v>2507</v>
      </c>
      <c r="V224" s="6" t="s">
        <v>2505</v>
      </c>
    </row>
    <row r="225" spans="1:24" ht="14.25" customHeight="1" x14ac:dyDescent="0.3">
      <c r="A225" s="1" t="s">
        <v>27</v>
      </c>
      <c r="B225" s="1" t="s">
        <v>476</v>
      </c>
      <c r="C225" s="1" t="s">
        <v>477</v>
      </c>
      <c r="D225" s="1">
        <f t="shared" si="40"/>
        <v>24</v>
      </c>
      <c r="E225" s="1">
        <f t="shared" si="41"/>
        <v>0.72013888888888899</v>
      </c>
      <c r="F225" s="2">
        <f t="shared" si="42"/>
        <v>150.33124440510537</v>
      </c>
      <c r="G225" s="1">
        <v>2080</v>
      </c>
      <c r="H225" s="1">
        <v>3744</v>
      </c>
      <c r="I225" s="1">
        <v>0</v>
      </c>
      <c r="J225" s="1">
        <v>208</v>
      </c>
      <c r="K225" s="1">
        <f t="shared" si="43"/>
        <v>0</v>
      </c>
      <c r="L225" s="1">
        <f t="shared" si="44"/>
        <v>1.8149999999999999</v>
      </c>
      <c r="M225" s="1">
        <f t="shared" si="45"/>
        <v>1.8149999999999999</v>
      </c>
      <c r="N225" s="2">
        <f t="shared" si="39"/>
        <v>9.2561983471074392</v>
      </c>
      <c r="O225" s="1">
        <v>1657</v>
      </c>
      <c r="P225" s="1">
        <f t="shared" si="46"/>
        <v>215</v>
      </c>
      <c r="Q225" s="1">
        <f t="shared" si="47"/>
        <v>3.5995386750028797</v>
      </c>
      <c r="R225" s="1">
        <f t="shared" si="48"/>
        <v>0.41340855508847174</v>
      </c>
      <c r="S225" s="2">
        <f t="shared" si="49"/>
        <v>2.5572955092882816</v>
      </c>
      <c r="T225" s="2">
        <f t="shared" si="50"/>
        <v>4.4633226583545745E-2</v>
      </c>
      <c r="U225" s="1" t="s">
        <v>2507</v>
      </c>
      <c r="V225" s="6" t="s">
        <v>2505</v>
      </c>
      <c r="W225" s="1"/>
      <c r="X225" s="1"/>
    </row>
    <row r="226" spans="1:24" ht="14.25" customHeight="1" x14ac:dyDescent="0.3">
      <c r="A226" s="1" t="s">
        <v>27</v>
      </c>
      <c r="B226" s="1" t="s">
        <v>478</v>
      </c>
      <c r="C226" s="1" t="s">
        <v>479</v>
      </c>
      <c r="D226" s="1">
        <f t="shared" si="40"/>
        <v>56</v>
      </c>
      <c r="E226" s="1">
        <f t="shared" si="41"/>
        <v>0.29832175925925924</v>
      </c>
      <c r="F226" s="2">
        <f t="shared" si="42"/>
        <v>348.74281904364659</v>
      </c>
      <c r="G226" s="1">
        <v>2080</v>
      </c>
      <c r="H226" s="1">
        <v>3744</v>
      </c>
      <c r="I226" s="1">
        <v>0</v>
      </c>
      <c r="J226" s="1">
        <v>225</v>
      </c>
      <c r="K226" s="1">
        <f t="shared" si="43"/>
        <v>0</v>
      </c>
      <c r="L226" s="1">
        <f t="shared" si="44"/>
        <v>1.963341346153846</v>
      </c>
      <c r="M226" s="1">
        <f t="shared" si="45"/>
        <v>1.963341346153846</v>
      </c>
      <c r="N226" s="2">
        <f t="shared" si="39"/>
        <v>8.5568411386593208</v>
      </c>
      <c r="O226" s="1">
        <v>1657</v>
      </c>
      <c r="P226" s="1">
        <f t="shared" si="46"/>
        <v>215</v>
      </c>
      <c r="Q226" s="1">
        <f t="shared" si="47"/>
        <v>3.3275735306693286</v>
      </c>
      <c r="R226" s="1">
        <f t="shared" si="48"/>
        <v>0.38217324203734276</v>
      </c>
      <c r="S226" s="2">
        <f t="shared" si="49"/>
        <v>2.5572955092882816</v>
      </c>
      <c r="T226" s="2">
        <f t="shared" si="50"/>
        <v>4.4633226583545745E-2</v>
      </c>
      <c r="U226" s="1" t="s">
        <v>2507</v>
      </c>
      <c r="V226" s="6" t="s">
        <v>2505</v>
      </c>
    </row>
    <row r="227" spans="1:24" ht="14.25" customHeight="1" x14ac:dyDescent="0.3">
      <c r="A227" s="1" t="s">
        <v>27</v>
      </c>
      <c r="B227" s="1" t="s">
        <v>480</v>
      </c>
      <c r="C227" s="1" t="s">
        <v>481</v>
      </c>
      <c r="D227" s="1">
        <f t="shared" si="40"/>
        <v>34</v>
      </c>
      <c r="E227" s="1">
        <f t="shared" si="41"/>
        <v>2.0972222222222222E-2</v>
      </c>
      <c r="F227" s="2">
        <f t="shared" si="42"/>
        <v>208.77010374963149</v>
      </c>
      <c r="G227" s="1">
        <v>2080</v>
      </c>
      <c r="H227" s="1">
        <v>3744</v>
      </c>
      <c r="I227" s="1">
        <v>0</v>
      </c>
      <c r="J227" s="1">
        <v>208</v>
      </c>
      <c r="K227" s="1">
        <f t="shared" si="43"/>
        <v>0</v>
      </c>
      <c r="L227" s="1">
        <f t="shared" si="44"/>
        <v>1.8149999999999999</v>
      </c>
      <c r="M227" s="1">
        <f t="shared" si="45"/>
        <v>1.8149999999999999</v>
      </c>
      <c r="N227" s="2">
        <f t="shared" si="39"/>
        <v>9.2561983471074392</v>
      </c>
      <c r="O227" s="1">
        <v>1656</v>
      </c>
      <c r="P227" s="1">
        <f t="shared" si="46"/>
        <v>216</v>
      </c>
      <c r="Q227" s="1">
        <f t="shared" si="47"/>
        <v>3.5995386750028797</v>
      </c>
      <c r="R227" s="1">
        <f t="shared" si="48"/>
        <v>0.41533138557725535</v>
      </c>
      <c r="S227" s="2">
        <f t="shared" si="49"/>
        <v>2.5691740063881539</v>
      </c>
      <c r="T227" s="2">
        <f t="shared" si="50"/>
        <v>4.4840545468127116E-2</v>
      </c>
      <c r="U227" s="1" t="s">
        <v>2507</v>
      </c>
      <c r="V227" s="6" t="s">
        <v>2505</v>
      </c>
    </row>
    <row r="228" spans="1:24" ht="14.25" customHeight="1" x14ac:dyDescent="0.3">
      <c r="A228" s="1" t="s">
        <v>40</v>
      </c>
      <c r="B228" s="1" t="s">
        <v>482</v>
      </c>
      <c r="C228" s="1" t="s">
        <v>483</v>
      </c>
      <c r="D228" s="1">
        <f t="shared" si="40"/>
        <v>30</v>
      </c>
      <c r="E228" s="1">
        <f t="shared" si="41"/>
        <v>0.28809027777777779</v>
      </c>
      <c r="F228" s="2">
        <f t="shared" si="42"/>
        <v>185.3157147628622</v>
      </c>
      <c r="G228" s="1">
        <v>2080</v>
      </c>
      <c r="H228" s="1">
        <v>3744</v>
      </c>
      <c r="I228" s="1">
        <v>0</v>
      </c>
      <c r="J228" s="1">
        <v>115</v>
      </c>
      <c r="K228" s="1">
        <f t="shared" si="43"/>
        <v>0</v>
      </c>
      <c r="L228" s="1">
        <f t="shared" si="44"/>
        <v>1.0034855769230768</v>
      </c>
      <c r="M228" s="1">
        <f t="shared" si="45"/>
        <v>1.0034855769230768</v>
      </c>
      <c r="N228" s="2">
        <f t="shared" si="39"/>
        <v>16.741645706072585</v>
      </c>
      <c r="O228" s="1">
        <v>1656</v>
      </c>
      <c r="P228" s="1">
        <f t="shared" si="46"/>
        <v>216</v>
      </c>
      <c r="Q228" s="1">
        <f t="shared" si="47"/>
        <v>6.510469951309557</v>
      </c>
      <c r="R228" s="1">
        <f t="shared" si="48"/>
        <v>0.75120807130494893</v>
      </c>
      <c r="S228" s="2">
        <f t="shared" si="49"/>
        <v>2.5691740063881543</v>
      </c>
      <c r="T228" s="2">
        <f t="shared" si="50"/>
        <v>4.4840545468127123E-2</v>
      </c>
      <c r="U228" s="1" t="s">
        <v>2507</v>
      </c>
      <c r="V228" s="6" t="s">
        <v>2505</v>
      </c>
    </row>
    <row r="229" spans="1:24" ht="14.25" customHeight="1" x14ac:dyDescent="0.3">
      <c r="A229" s="1" t="s">
        <v>17</v>
      </c>
      <c r="B229" s="1" t="s">
        <v>484</v>
      </c>
      <c r="C229" s="1" t="s">
        <v>485</v>
      </c>
      <c r="D229" s="1">
        <f t="shared" si="40"/>
        <v>36</v>
      </c>
      <c r="E229" s="1">
        <f t="shared" si="41"/>
        <v>0.18105324074074072</v>
      </c>
      <c r="F229" s="2">
        <f t="shared" si="42"/>
        <v>222.34229306750456</v>
      </c>
      <c r="G229" s="1">
        <v>2080</v>
      </c>
      <c r="H229" s="1">
        <v>3744</v>
      </c>
      <c r="I229" s="1">
        <v>0</v>
      </c>
      <c r="J229" s="1">
        <v>209</v>
      </c>
      <c r="K229" s="1">
        <f t="shared" si="43"/>
        <v>0</v>
      </c>
      <c r="L229" s="1">
        <f t="shared" si="44"/>
        <v>1.8237259615384616</v>
      </c>
      <c r="M229" s="1">
        <f t="shared" si="45"/>
        <v>1.8237259615384616</v>
      </c>
      <c r="N229" s="2">
        <f t="shared" si="39"/>
        <v>9.2119103167385035</v>
      </c>
      <c r="O229" s="1">
        <v>1655</v>
      </c>
      <c r="P229" s="1">
        <f t="shared" si="46"/>
        <v>217</v>
      </c>
      <c r="Q229" s="1">
        <f t="shared" si="47"/>
        <v>3.5823160019167415</v>
      </c>
      <c r="R229" s="1">
        <f t="shared" si="48"/>
        <v>0.4152577844102206</v>
      </c>
      <c r="S229" s="2">
        <f t="shared" si="49"/>
        <v>2.5810522824920499</v>
      </c>
      <c r="T229" s="2">
        <f t="shared" si="50"/>
        <v>4.5047860495601062E-2</v>
      </c>
      <c r="U229" s="1" t="s">
        <v>2507</v>
      </c>
      <c r="V229" s="6" t="s">
        <v>2505</v>
      </c>
    </row>
    <row r="230" spans="1:24" ht="14.25" customHeight="1" x14ac:dyDescent="0.3">
      <c r="A230" s="1" t="s">
        <v>20</v>
      </c>
      <c r="B230" s="1" t="s">
        <v>486</v>
      </c>
      <c r="C230" s="1" t="s">
        <v>487</v>
      </c>
      <c r="D230" s="1">
        <f t="shared" si="40"/>
        <v>81</v>
      </c>
      <c r="E230" s="1">
        <f t="shared" si="41"/>
        <v>0.12284722222222222</v>
      </c>
      <c r="F230" s="2">
        <f t="shared" si="42"/>
        <v>504.71991269024096</v>
      </c>
      <c r="G230" s="1">
        <v>2080</v>
      </c>
      <c r="H230" s="1">
        <v>3744</v>
      </c>
      <c r="I230" s="1">
        <v>0</v>
      </c>
      <c r="J230" s="1">
        <v>190</v>
      </c>
      <c r="K230" s="1">
        <f t="shared" si="43"/>
        <v>0</v>
      </c>
      <c r="L230" s="1">
        <f t="shared" si="44"/>
        <v>1.657932692307692</v>
      </c>
      <c r="M230" s="1">
        <f t="shared" si="45"/>
        <v>1.657932692307692</v>
      </c>
      <c r="N230" s="2">
        <f t="shared" si="39"/>
        <v>10.133101348412355</v>
      </c>
      <c r="O230" s="1">
        <v>1651</v>
      </c>
      <c r="P230" s="1">
        <f t="shared" si="46"/>
        <v>221</v>
      </c>
      <c r="Q230" s="1">
        <f t="shared" si="47"/>
        <v>3.940547602108416</v>
      </c>
      <c r="R230" s="1">
        <f t="shared" si="48"/>
        <v>0.46520353636002132</v>
      </c>
      <c r="S230" s="2">
        <f t="shared" si="49"/>
        <v>2.6285631566525933</v>
      </c>
      <c r="T230" s="2">
        <f t="shared" si="50"/>
        <v>4.5877081680203241E-2</v>
      </c>
      <c r="U230" s="1" t="s">
        <v>2507</v>
      </c>
      <c r="V230" s="6" t="s">
        <v>2505</v>
      </c>
    </row>
    <row r="231" spans="1:24" ht="14.25" customHeight="1" x14ac:dyDescent="0.3">
      <c r="A231" s="1" t="s">
        <v>40</v>
      </c>
      <c r="B231" s="1" t="s">
        <v>488</v>
      </c>
      <c r="C231" s="1" t="s">
        <v>489</v>
      </c>
      <c r="D231" s="1">
        <f t="shared" si="40"/>
        <v>73</v>
      </c>
      <c r="E231" s="1">
        <f t="shared" si="41"/>
        <v>0.31907407407407407</v>
      </c>
      <c r="F231" s="2">
        <f t="shared" si="42"/>
        <v>455.68735990523402</v>
      </c>
      <c r="G231" s="1">
        <v>2080</v>
      </c>
      <c r="H231" s="1">
        <v>3744</v>
      </c>
      <c r="I231" s="1">
        <v>0</v>
      </c>
      <c r="J231" s="1">
        <v>116</v>
      </c>
      <c r="K231" s="1">
        <f t="shared" si="43"/>
        <v>0</v>
      </c>
      <c r="L231" s="1">
        <f t="shared" si="44"/>
        <v>1.0122115384615382</v>
      </c>
      <c r="M231" s="1">
        <f t="shared" si="45"/>
        <v>1.0122115384615382</v>
      </c>
      <c r="N231" s="2">
        <f t="shared" si="39"/>
        <v>16.597321174123685</v>
      </c>
      <c r="O231" s="1">
        <v>1650</v>
      </c>
      <c r="P231" s="1">
        <f t="shared" si="46"/>
        <v>222</v>
      </c>
      <c r="Q231" s="1">
        <f t="shared" si="47"/>
        <v>6.4543452103499916</v>
      </c>
      <c r="R231" s="1">
        <f t="shared" si="48"/>
        <v>0.7654191435350951</v>
      </c>
      <c r="S231" s="2">
        <f t="shared" si="49"/>
        <v>2.6404403125561573</v>
      </c>
      <c r="T231" s="2">
        <f t="shared" si="50"/>
        <v>4.608437715649312E-2</v>
      </c>
      <c r="U231" s="1" t="s">
        <v>2507</v>
      </c>
      <c r="V231" s="6" t="s">
        <v>2505</v>
      </c>
    </row>
    <row r="232" spans="1:24" ht="14.25" customHeight="1" x14ac:dyDescent="0.3">
      <c r="A232" s="1" t="s">
        <v>40</v>
      </c>
      <c r="B232" s="1" t="s">
        <v>490</v>
      </c>
      <c r="C232" s="1" t="s">
        <v>491</v>
      </c>
      <c r="D232" s="1">
        <f t="shared" si="40"/>
        <v>73</v>
      </c>
      <c r="E232" s="1">
        <f t="shared" si="41"/>
        <v>8.4236111111111109E-2</v>
      </c>
      <c r="F232" s="2">
        <f t="shared" si="42"/>
        <v>454.21182946677709</v>
      </c>
      <c r="G232" s="1">
        <v>2080</v>
      </c>
      <c r="H232" s="1">
        <v>3744</v>
      </c>
      <c r="I232" s="1">
        <v>0</v>
      </c>
      <c r="J232" s="1">
        <v>98</v>
      </c>
      <c r="K232" s="1">
        <f t="shared" si="43"/>
        <v>0</v>
      </c>
      <c r="L232" s="1">
        <f t="shared" si="44"/>
        <v>0.85514423076923063</v>
      </c>
      <c r="M232" s="1">
        <f t="shared" si="45"/>
        <v>0.85514423076923063</v>
      </c>
      <c r="N232" s="2">
        <f t="shared" si="39"/>
        <v>19.645808736717832</v>
      </c>
      <c r="O232" s="1">
        <v>1648</v>
      </c>
      <c r="P232" s="1">
        <f t="shared" si="46"/>
        <v>224</v>
      </c>
      <c r="Q232" s="1">
        <f t="shared" si="47"/>
        <v>7.6398371877612155</v>
      </c>
      <c r="R232" s="1">
        <f t="shared" si="48"/>
        <v>0.91416855238168393</v>
      </c>
      <c r="S232" s="2">
        <f t="shared" si="49"/>
        <v>2.6641939420990841</v>
      </c>
      <c r="T232" s="2">
        <f t="shared" si="50"/>
        <v>4.6498956201316187E-2</v>
      </c>
      <c r="U232" s="1" t="s">
        <v>2507</v>
      </c>
      <c r="V232" s="6" t="s">
        <v>2505</v>
      </c>
    </row>
    <row r="233" spans="1:24" ht="14.25" customHeight="1" x14ac:dyDescent="0.3">
      <c r="A233" s="1" t="s">
        <v>20</v>
      </c>
      <c r="B233" s="1" t="s">
        <v>492</v>
      </c>
      <c r="C233" s="1" t="s">
        <v>493</v>
      </c>
      <c r="D233" s="1">
        <f t="shared" si="40"/>
        <v>19</v>
      </c>
      <c r="E233" s="1">
        <f t="shared" si="41"/>
        <v>8.0925925925925915E-2</v>
      </c>
      <c r="F233" s="2">
        <f t="shared" si="42"/>
        <v>114.89902437215981</v>
      </c>
      <c r="G233" s="1">
        <v>2080</v>
      </c>
      <c r="H233" s="1">
        <v>3744</v>
      </c>
      <c r="I233" s="1">
        <v>0</v>
      </c>
      <c r="J233" s="1">
        <v>213</v>
      </c>
      <c r="K233" s="1">
        <f t="shared" si="43"/>
        <v>0</v>
      </c>
      <c r="L233" s="1">
        <f t="shared" si="44"/>
        <v>1.8586298076923076</v>
      </c>
      <c r="M233" s="1">
        <f t="shared" si="45"/>
        <v>1.8586298076923076</v>
      </c>
      <c r="N233" s="2">
        <f t="shared" si="39"/>
        <v>9.0389166957668881</v>
      </c>
      <c r="O233" s="1">
        <v>1645</v>
      </c>
      <c r="P233" s="1">
        <f t="shared" si="46"/>
        <v>227</v>
      </c>
      <c r="Q233" s="1">
        <f t="shared" si="47"/>
        <v>3.5150424619746428</v>
      </c>
      <c r="R233" s="1">
        <f t="shared" si="48"/>
        <v>0.4262364523868824</v>
      </c>
      <c r="S233" s="2">
        <f t="shared" si="49"/>
        <v>2.699822665542392</v>
      </c>
      <c r="T233" s="2">
        <f t="shared" si="50"/>
        <v>4.7120794733684399E-2</v>
      </c>
      <c r="U233" s="1" t="s">
        <v>2507</v>
      </c>
      <c r="V233" s="6" t="s">
        <v>2505</v>
      </c>
    </row>
    <row r="234" spans="1:24" ht="14.25" customHeight="1" x14ac:dyDescent="0.3">
      <c r="A234" s="1" t="s">
        <v>27</v>
      </c>
      <c r="B234" s="1" t="s">
        <v>494</v>
      </c>
      <c r="C234" s="1" t="s">
        <v>495</v>
      </c>
      <c r="D234" s="1">
        <f t="shared" si="40"/>
        <v>55</v>
      </c>
      <c r="E234" s="1">
        <f t="shared" si="41"/>
        <v>0.72040509259259267</v>
      </c>
      <c r="F234" s="2">
        <f t="shared" si="42"/>
        <v>345.11166153487238</v>
      </c>
      <c r="G234" s="1">
        <v>2080</v>
      </c>
      <c r="H234" s="1">
        <v>3744</v>
      </c>
      <c r="I234" s="1">
        <v>0</v>
      </c>
      <c r="J234" s="1">
        <v>234</v>
      </c>
      <c r="K234" s="1">
        <f t="shared" si="43"/>
        <v>0</v>
      </c>
      <c r="L234" s="1">
        <f t="shared" si="44"/>
        <v>2.0418749999999997</v>
      </c>
      <c r="M234" s="1">
        <f t="shared" si="45"/>
        <v>2.0418749999999997</v>
      </c>
      <c r="N234" s="2">
        <f t="shared" si="39"/>
        <v>8.2277318640955013</v>
      </c>
      <c r="O234" s="1">
        <v>1645</v>
      </c>
      <c r="P234" s="1">
        <f t="shared" si="46"/>
        <v>227</v>
      </c>
      <c r="Q234" s="1">
        <f t="shared" si="47"/>
        <v>3.199589933335893</v>
      </c>
      <c r="R234" s="1">
        <f t="shared" si="48"/>
        <v>0.38798446307011097</v>
      </c>
      <c r="S234" s="2">
        <f t="shared" si="49"/>
        <v>2.6998226655423925</v>
      </c>
      <c r="T234" s="2">
        <f t="shared" si="50"/>
        <v>4.7120794733684405E-2</v>
      </c>
      <c r="U234" s="1" t="s">
        <v>2507</v>
      </c>
      <c r="V234" s="6" t="s">
        <v>2505</v>
      </c>
    </row>
    <row r="235" spans="1:24" ht="14.25" customHeight="1" x14ac:dyDescent="0.3">
      <c r="A235" s="1" t="s">
        <v>40</v>
      </c>
      <c r="B235" s="1" t="s">
        <v>496</v>
      </c>
      <c r="C235" s="1" t="s">
        <v>497</v>
      </c>
      <c r="D235" s="1">
        <f t="shared" si="40"/>
        <v>93</v>
      </c>
      <c r="E235" s="1">
        <f t="shared" si="41"/>
        <v>0.27929398148148149</v>
      </c>
      <c r="F235" s="2">
        <f t="shared" si="42"/>
        <v>581.1011203555297</v>
      </c>
      <c r="G235" s="1">
        <v>2080</v>
      </c>
      <c r="H235" s="1">
        <v>3744</v>
      </c>
      <c r="I235" s="1">
        <v>0</v>
      </c>
      <c r="J235" s="1">
        <v>117</v>
      </c>
      <c r="K235" s="1">
        <f t="shared" si="43"/>
        <v>0</v>
      </c>
      <c r="L235" s="1">
        <f t="shared" si="44"/>
        <v>1.0209374999999998</v>
      </c>
      <c r="M235" s="1">
        <f t="shared" si="45"/>
        <v>1.0209374999999998</v>
      </c>
      <c r="N235" s="2">
        <f t="shared" si="39"/>
        <v>16.455463728191003</v>
      </c>
      <c r="O235" s="1">
        <v>1645</v>
      </c>
      <c r="P235" s="1">
        <f t="shared" si="46"/>
        <v>227</v>
      </c>
      <c r="Q235" s="1">
        <f t="shared" si="47"/>
        <v>6.3991798666717861</v>
      </c>
      <c r="R235" s="1">
        <f t="shared" si="48"/>
        <v>0.77596892614022195</v>
      </c>
      <c r="S235" s="2">
        <f t="shared" si="49"/>
        <v>2.6998226655423925</v>
      </c>
      <c r="T235" s="2">
        <f t="shared" si="50"/>
        <v>4.7120794733684405E-2</v>
      </c>
      <c r="U235" s="1" t="s">
        <v>2507</v>
      </c>
      <c r="V235" s="6" t="s">
        <v>2505</v>
      </c>
    </row>
    <row r="236" spans="1:24" ht="14.25" customHeight="1" x14ac:dyDescent="0.3">
      <c r="A236" s="1" t="s">
        <v>40</v>
      </c>
      <c r="B236" s="1" t="s">
        <v>498</v>
      </c>
      <c r="C236" s="1" t="s">
        <v>499</v>
      </c>
      <c r="D236" s="1">
        <f t="shared" si="40"/>
        <v>90</v>
      </c>
      <c r="E236" s="1">
        <f t="shared" si="41"/>
        <v>0.77244212962962966</v>
      </c>
      <c r="F236" s="2">
        <f t="shared" si="42"/>
        <v>565.35010563269816</v>
      </c>
      <c r="G236" s="1">
        <v>2080</v>
      </c>
      <c r="H236" s="1">
        <v>3744</v>
      </c>
      <c r="I236" s="1">
        <v>0</v>
      </c>
      <c r="J236" s="1">
        <v>244</v>
      </c>
      <c r="K236" s="1">
        <f t="shared" si="43"/>
        <v>0</v>
      </c>
      <c r="L236" s="1">
        <f t="shared" si="44"/>
        <v>2.1291346153846149</v>
      </c>
      <c r="M236" s="1">
        <f t="shared" si="45"/>
        <v>2.1291346153846149</v>
      </c>
      <c r="N236" s="2">
        <f t="shared" si="39"/>
        <v>7.8905297385178184</v>
      </c>
      <c r="O236" s="1">
        <v>1644</v>
      </c>
      <c r="P236" s="1">
        <f t="shared" si="46"/>
        <v>228</v>
      </c>
      <c r="Q236" s="1">
        <f t="shared" si="47"/>
        <v>3.0684591983631111</v>
      </c>
      <c r="R236" s="1">
        <f t="shared" si="48"/>
        <v>0.37372259467243019</v>
      </c>
      <c r="S236" s="2">
        <f t="shared" si="49"/>
        <v>2.7116984437358789</v>
      </c>
      <c r="T236" s="2">
        <f t="shared" si="50"/>
        <v>4.7328066164397289E-2</v>
      </c>
      <c r="U236" s="1" t="s">
        <v>2507</v>
      </c>
      <c r="V236" s="6" t="s">
        <v>2505</v>
      </c>
    </row>
    <row r="237" spans="1:24" ht="14.25" customHeight="1" x14ac:dyDescent="0.3">
      <c r="A237" s="1" t="s">
        <v>27</v>
      </c>
      <c r="B237" s="1" t="s">
        <v>500</v>
      </c>
      <c r="C237" s="1" t="s">
        <v>501</v>
      </c>
      <c r="D237" s="1">
        <f t="shared" si="40"/>
        <v>25</v>
      </c>
      <c r="E237" s="1">
        <f t="shared" si="41"/>
        <v>4.9502314814814818E-2</v>
      </c>
      <c r="F237" s="2">
        <f t="shared" si="42"/>
        <v>152.40069584360549</v>
      </c>
      <c r="G237" s="1">
        <v>2080</v>
      </c>
      <c r="H237" s="1">
        <v>3744</v>
      </c>
      <c r="I237" s="1">
        <v>0</v>
      </c>
      <c r="J237" s="1">
        <v>231</v>
      </c>
      <c r="K237" s="1">
        <f t="shared" si="43"/>
        <v>0</v>
      </c>
      <c r="L237" s="1">
        <f t="shared" si="44"/>
        <v>2.015697115384615</v>
      </c>
      <c r="M237" s="1">
        <f t="shared" si="45"/>
        <v>2.015697115384615</v>
      </c>
      <c r="N237" s="2">
        <f t="shared" si="39"/>
        <v>8.3345855246681708</v>
      </c>
      <c r="O237" s="1">
        <v>1642</v>
      </c>
      <c r="P237" s="1">
        <f t="shared" si="46"/>
        <v>230</v>
      </c>
      <c r="Q237" s="1">
        <f t="shared" si="47"/>
        <v>3.2411430493532425</v>
      </c>
      <c r="R237" s="1">
        <f t="shared" si="48"/>
        <v>0.39821736183293044</v>
      </c>
      <c r="S237" s="2">
        <f t="shared" si="49"/>
        <v>2.7354492996098672</v>
      </c>
      <c r="T237" s="2">
        <f t="shared" si="50"/>
        <v>4.7742596799565024E-2</v>
      </c>
      <c r="U237" s="1" t="s">
        <v>2507</v>
      </c>
      <c r="V237" s="6" t="s">
        <v>2505</v>
      </c>
    </row>
    <row r="238" spans="1:24" ht="14.25" customHeight="1" x14ac:dyDescent="0.3">
      <c r="A238" s="1" t="s">
        <v>40</v>
      </c>
      <c r="B238" s="1" t="s">
        <v>502</v>
      </c>
      <c r="C238" s="1" t="s">
        <v>503</v>
      </c>
      <c r="D238" s="1">
        <f t="shared" si="40"/>
        <v>72</v>
      </c>
      <c r="E238" s="1">
        <f t="shared" si="41"/>
        <v>0.77508101851851852</v>
      </c>
      <c r="F238" s="2">
        <f t="shared" si="42"/>
        <v>452.26935073135957</v>
      </c>
      <c r="G238" s="1">
        <v>2080</v>
      </c>
      <c r="H238" s="1">
        <v>3744</v>
      </c>
      <c r="I238" s="1">
        <v>0</v>
      </c>
      <c r="J238" s="1">
        <v>140</v>
      </c>
      <c r="K238" s="1">
        <f t="shared" si="43"/>
        <v>0</v>
      </c>
      <c r="L238" s="1">
        <f t="shared" si="44"/>
        <v>1.2216346153846154</v>
      </c>
      <c r="M238" s="1">
        <f t="shared" si="45"/>
        <v>1.2216346153846154</v>
      </c>
      <c r="N238" s="2">
        <f t="shared" si="39"/>
        <v>13.75206611570248</v>
      </c>
      <c r="O238" s="1">
        <v>1642</v>
      </c>
      <c r="P238" s="1">
        <f t="shared" si="46"/>
        <v>230</v>
      </c>
      <c r="Q238" s="1">
        <f t="shared" si="47"/>
        <v>5.34788603143285</v>
      </c>
      <c r="R238" s="1">
        <f t="shared" si="48"/>
        <v>0.65705864702433514</v>
      </c>
      <c r="S238" s="2">
        <f t="shared" si="49"/>
        <v>2.7354492996098672</v>
      </c>
      <c r="T238" s="2">
        <f t="shared" si="50"/>
        <v>4.7742596799565024E-2</v>
      </c>
      <c r="U238" s="1" t="s">
        <v>2507</v>
      </c>
      <c r="V238" s="6" t="s">
        <v>2505</v>
      </c>
    </row>
    <row r="239" spans="1:24" ht="14.25" customHeight="1" x14ac:dyDescent="0.3">
      <c r="A239" s="1" t="s">
        <v>17</v>
      </c>
      <c r="B239" s="1" t="s">
        <v>504</v>
      </c>
      <c r="C239" s="1" t="s">
        <v>505</v>
      </c>
      <c r="D239" s="1">
        <f t="shared" si="40"/>
        <v>36</v>
      </c>
      <c r="E239" s="1">
        <f t="shared" si="41"/>
        <v>0.71701388888888884</v>
      </c>
      <c r="F239" s="2">
        <f t="shared" si="42"/>
        <v>225.70983313717545</v>
      </c>
      <c r="G239" s="1">
        <v>2080</v>
      </c>
      <c r="H239" s="1">
        <v>3744</v>
      </c>
      <c r="I239" s="1">
        <v>0</v>
      </c>
      <c r="J239" s="1">
        <v>222</v>
      </c>
      <c r="K239" s="1">
        <f t="shared" si="43"/>
        <v>0</v>
      </c>
      <c r="L239" s="1">
        <f t="shared" si="44"/>
        <v>1.9371634615384614</v>
      </c>
      <c r="M239" s="1">
        <f t="shared" si="45"/>
        <v>1.9371634615384614</v>
      </c>
      <c r="N239" s="2">
        <f t="shared" si="39"/>
        <v>8.6724741270195818</v>
      </c>
      <c r="O239" s="1">
        <v>1642</v>
      </c>
      <c r="P239" s="1">
        <f t="shared" si="46"/>
        <v>230</v>
      </c>
      <c r="Q239" s="1">
        <f t="shared" si="47"/>
        <v>3.3725407405432386</v>
      </c>
      <c r="R239" s="1">
        <f t="shared" si="48"/>
        <v>0.41436130893426543</v>
      </c>
      <c r="S239" s="2">
        <f t="shared" si="49"/>
        <v>2.7354492996098676</v>
      </c>
      <c r="T239" s="2">
        <f t="shared" si="50"/>
        <v>4.774259679956503E-2</v>
      </c>
      <c r="U239" s="1" t="s">
        <v>2507</v>
      </c>
      <c r="V239" s="6" t="s">
        <v>2505</v>
      </c>
      <c r="W239" s="1"/>
      <c r="X239" s="1"/>
    </row>
    <row r="240" spans="1:24" ht="14.25" customHeight="1" x14ac:dyDescent="0.3">
      <c r="A240" s="1" t="s">
        <v>40</v>
      </c>
      <c r="B240" s="1" t="s">
        <v>506</v>
      </c>
      <c r="C240" s="1" t="s">
        <v>507</v>
      </c>
      <c r="D240" s="1">
        <f t="shared" si="40"/>
        <v>35</v>
      </c>
      <c r="E240" s="1">
        <f t="shared" si="41"/>
        <v>0.27159722222222221</v>
      </c>
      <c r="F240" s="2">
        <f t="shared" si="42"/>
        <v>216.62801237442295</v>
      </c>
      <c r="G240" s="1">
        <v>2080</v>
      </c>
      <c r="H240" s="1">
        <v>3744</v>
      </c>
      <c r="I240" s="1">
        <v>0</v>
      </c>
      <c r="J240" s="1">
        <v>222</v>
      </c>
      <c r="K240" s="1">
        <f t="shared" si="43"/>
        <v>0</v>
      </c>
      <c r="L240" s="1">
        <f t="shared" si="44"/>
        <v>1.9371634615384614</v>
      </c>
      <c r="M240" s="1">
        <f t="shared" si="45"/>
        <v>1.9371634615384614</v>
      </c>
      <c r="N240" s="2">
        <f t="shared" si="39"/>
        <v>8.6724741270195818</v>
      </c>
      <c r="O240" s="1">
        <v>1639</v>
      </c>
      <c r="P240" s="1">
        <f t="shared" si="46"/>
        <v>233</v>
      </c>
      <c r="Q240" s="1">
        <f t="shared" si="47"/>
        <v>3.3725407405432386</v>
      </c>
      <c r="R240" s="1">
        <f t="shared" si="48"/>
        <v>0.419766021659495</v>
      </c>
      <c r="S240" s="2">
        <f t="shared" si="49"/>
        <v>2.7710738169385332</v>
      </c>
      <c r="T240" s="2">
        <f t="shared" si="50"/>
        <v>4.8364361921384019E-2</v>
      </c>
      <c r="U240" s="1" t="s">
        <v>2507</v>
      </c>
      <c r="V240" s="6" t="s">
        <v>2505</v>
      </c>
    </row>
    <row r="241" spans="1:24" ht="14.25" customHeight="1" x14ac:dyDescent="0.3">
      <c r="A241" s="1" t="s">
        <v>27</v>
      </c>
      <c r="B241" s="1" t="s">
        <v>508</v>
      </c>
      <c r="C241" s="1" t="s">
        <v>509</v>
      </c>
      <c r="D241" s="1">
        <f t="shared" si="40"/>
        <v>26</v>
      </c>
      <c r="E241" s="1">
        <f t="shared" si="41"/>
        <v>0.18844907407407407</v>
      </c>
      <c r="F241" s="2">
        <f t="shared" si="42"/>
        <v>159.55690938704305</v>
      </c>
      <c r="G241" s="1">
        <v>2080</v>
      </c>
      <c r="H241" s="1">
        <v>3744</v>
      </c>
      <c r="I241" s="1">
        <v>0</v>
      </c>
      <c r="J241" s="1">
        <v>227</v>
      </c>
      <c r="K241" s="1">
        <f t="shared" si="43"/>
        <v>0</v>
      </c>
      <c r="L241" s="1">
        <f t="shared" si="44"/>
        <v>1.9807932692307688</v>
      </c>
      <c r="M241" s="1">
        <f t="shared" si="45"/>
        <v>1.9807932692307688</v>
      </c>
      <c r="N241" s="2">
        <f t="shared" si="39"/>
        <v>8.4814504678341311</v>
      </c>
      <c r="O241" s="1">
        <v>1638</v>
      </c>
      <c r="P241" s="1">
        <f t="shared" si="46"/>
        <v>234</v>
      </c>
      <c r="Q241" s="1">
        <f t="shared" si="47"/>
        <v>3.298255702205283</v>
      </c>
      <c r="R241" s="1">
        <f t="shared" si="48"/>
        <v>0.41228196277566037</v>
      </c>
      <c r="S241" s="2">
        <f t="shared" si="49"/>
        <v>2.7829481809336913</v>
      </c>
      <c r="T241" s="2">
        <f t="shared" si="50"/>
        <v>4.8571608669679793E-2</v>
      </c>
      <c r="U241" s="1" t="s">
        <v>2507</v>
      </c>
      <c r="V241" s="6" t="s">
        <v>2505</v>
      </c>
    </row>
    <row r="242" spans="1:24" ht="14.25" customHeight="1" x14ac:dyDescent="0.3">
      <c r="A242" s="1" t="s">
        <v>27</v>
      </c>
      <c r="B242" s="1" t="s">
        <v>510</v>
      </c>
      <c r="C242" s="1" t="s">
        <v>511</v>
      </c>
      <c r="D242" s="1">
        <f t="shared" si="40"/>
        <v>56</v>
      </c>
      <c r="E242" s="1">
        <f t="shared" si="41"/>
        <v>0.73031250000000003</v>
      </c>
      <c r="F242" s="2">
        <f t="shared" si="42"/>
        <v>351.45709691870644</v>
      </c>
      <c r="G242" s="1">
        <v>2080</v>
      </c>
      <c r="H242" s="1">
        <v>3744</v>
      </c>
      <c r="I242" s="1">
        <v>0</v>
      </c>
      <c r="J242" s="1">
        <v>102</v>
      </c>
      <c r="K242" s="1">
        <f t="shared" si="43"/>
        <v>0</v>
      </c>
      <c r="L242" s="1">
        <f t="shared" si="44"/>
        <v>0.89004807692307686</v>
      </c>
      <c r="M242" s="1">
        <f t="shared" si="45"/>
        <v>0.89004807692307686</v>
      </c>
      <c r="N242" s="2">
        <f t="shared" si="39"/>
        <v>18.875384864689678</v>
      </c>
      <c r="O242" s="1">
        <v>1638</v>
      </c>
      <c r="P242" s="1">
        <f t="shared" si="46"/>
        <v>234</v>
      </c>
      <c r="Q242" s="1">
        <f t="shared" si="47"/>
        <v>7.3402357294176372</v>
      </c>
      <c r="R242" s="1">
        <f t="shared" si="48"/>
        <v>0.91752946617720466</v>
      </c>
      <c r="S242" s="2">
        <f t="shared" si="49"/>
        <v>2.7829481809336913</v>
      </c>
      <c r="T242" s="2">
        <f t="shared" si="50"/>
        <v>4.8571608669679793E-2</v>
      </c>
      <c r="U242" s="1" t="s">
        <v>2507</v>
      </c>
      <c r="V242" s="6" t="s">
        <v>2505</v>
      </c>
    </row>
    <row r="243" spans="1:24" ht="14.25" customHeight="1" x14ac:dyDescent="0.3">
      <c r="A243" s="1" t="s">
        <v>40</v>
      </c>
      <c r="B243" s="1" t="s">
        <v>512</v>
      </c>
      <c r="C243" s="1" t="s">
        <v>513</v>
      </c>
      <c r="D243" s="1">
        <f t="shared" si="40"/>
        <v>92</v>
      </c>
      <c r="E243" s="1">
        <f t="shared" si="41"/>
        <v>0.30916666666666665</v>
      </c>
      <c r="F243" s="2">
        <f t="shared" si="42"/>
        <v>575.00563066499171</v>
      </c>
      <c r="G243" s="1">
        <v>2080</v>
      </c>
      <c r="H243" s="1">
        <v>3744</v>
      </c>
      <c r="I243" s="1">
        <v>0</v>
      </c>
      <c r="J243" s="1">
        <v>109</v>
      </c>
      <c r="K243" s="1">
        <f t="shared" si="43"/>
        <v>0</v>
      </c>
      <c r="L243" s="1">
        <f t="shared" si="44"/>
        <v>0.95112980769230759</v>
      </c>
      <c r="M243" s="1">
        <f t="shared" si="45"/>
        <v>0.95112980769230759</v>
      </c>
      <c r="N243" s="2">
        <f t="shared" si="39"/>
        <v>17.66320418530594</v>
      </c>
      <c r="O243" s="1">
        <v>1637</v>
      </c>
      <c r="P243" s="1">
        <f t="shared" si="46"/>
        <v>235</v>
      </c>
      <c r="Q243" s="1">
        <f t="shared" si="47"/>
        <v>6.8688444440421934</v>
      </c>
      <c r="R243" s="1">
        <f t="shared" si="48"/>
        <v>0.8622748100159805</v>
      </c>
      <c r="S243" s="2">
        <f t="shared" si="49"/>
        <v>2.7948223056834873</v>
      </c>
      <c r="T243" s="2">
        <f t="shared" si="50"/>
        <v>4.8778851242356286E-2</v>
      </c>
      <c r="U243" s="1" t="s">
        <v>2507</v>
      </c>
      <c r="V243" s="6" t="s">
        <v>2505</v>
      </c>
    </row>
    <row r="244" spans="1:24" ht="14.25" customHeight="1" x14ac:dyDescent="0.3">
      <c r="A244" s="1" t="s">
        <v>27</v>
      </c>
      <c r="B244" s="1" t="s">
        <v>514</v>
      </c>
      <c r="C244" s="1" t="s">
        <v>515</v>
      </c>
      <c r="D244" s="1">
        <f t="shared" si="40"/>
        <v>35</v>
      </c>
      <c r="E244" s="1">
        <f t="shared" si="41"/>
        <v>6.7939814814814814E-2</v>
      </c>
      <c r="F244" s="2">
        <f t="shared" si="42"/>
        <v>215.34839514450246</v>
      </c>
      <c r="G244" s="1">
        <v>2080</v>
      </c>
      <c r="H244" s="1">
        <v>3744</v>
      </c>
      <c r="I244" s="1">
        <v>0</v>
      </c>
      <c r="J244" s="1">
        <v>255</v>
      </c>
      <c r="K244" s="1">
        <f t="shared" si="43"/>
        <v>0</v>
      </c>
      <c r="L244" s="1">
        <f t="shared" si="44"/>
        <v>2.2251201923076924</v>
      </c>
      <c r="M244" s="1">
        <f t="shared" si="45"/>
        <v>2.2251201923076924</v>
      </c>
      <c r="N244" s="2">
        <f t="shared" si="39"/>
        <v>7.5501539458758709</v>
      </c>
      <c r="O244" s="1">
        <v>1635</v>
      </c>
      <c r="P244" s="1">
        <f t="shared" si="46"/>
        <v>237</v>
      </c>
      <c r="Q244" s="1">
        <f t="shared" si="47"/>
        <v>2.9360942917670547</v>
      </c>
      <c r="R244" s="1">
        <f t="shared" si="48"/>
        <v>0.37171706578461106</v>
      </c>
      <c r="S244" s="2">
        <f t="shared" si="49"/>
        <v>2.8185698333962637</v>
      </c>
      <c r="T244" s="2">
        <f t="shared" si="50"/>
        <v>4.9193323790152829E-2</v>
      </c>
      <c r="U244" s="1" t="s">
        <v>2507</v>
      </c>
      <c r="V244" s="6" t="s">
        <v>2505</v>
      </c>
    </row>
    <row r="245" spans="1:24" ht="14.25" customHeight="1" x14ac:dyDescent="0.3">
      <c r="A245" s="1" t="s">
        <v>40</v>
      </c>
      <c r="B245" s="1" t="s">
        <v>516</v>
      </c>
      <c r="C245" s="1" t="s">
        <v>517</v>
      </c>
      <c r="D245" s="1">
        <f t="shared" si="40"/>
        <v>73</v>
      </c>
      <c r="E245" s="1">
        <f t="shared" si="41"/>
        <v>0.31908564814814816</v>
      </c>
      <c r="F245" s="2">
        <f t="shared" si="42"/>
        <v>455.68743262728611</v>
      </c>
      <c r="G245" s="1">
        <v>2080</v>
      </c>
      <c r="H245" s="1">
        <v>3744</v>
      </c>
      <c r="I245" s="1">
        <v>0</v>
      </c>
      <c r="J245" s="1">
        <v>112</v>
      </c>
      <c r="K245" s="1">
        <f t="shared" si="43"/>
        <v>0</v>
      </c>
      <c r="L245" s="1">
        <f t="shared" si="44"/>
        <v>0.97730769230769221</v>
      </c>
      <c r="M245" s="1">
        <f t="shared" si="45"/>
        <v>0.97730769230769221</v>
      </c>
      <c r="N245" s="2">
        <f t="shared" si="39"/>
        <v>17.190082644628102</v>
      </c>
      <c r="O245" s="1">
        <v>1635</v>
      </c>
      <c r="P245" s="1">
        <f t="shared" si="46"/>
        <v>237</v>
      </c>
      <c r="Q245" s="1">
        <f t="shared" si="47"/>
        <v>6.6848575392910634</v>
      </c>
      <c r="R245" s="1">
        <f t="shared" si="48"/>
        <v>0.84632010513460576</v>
      </c>
      <c r="S245" s="2">
        <f t="shared" si="49"/>
        <v>2.8185698333962641</v>
      </c>
      <c r="T245" s="2">
        <f t="shared" si="50"/>
        <v>4.9193323790152836E-2</v>
      </c>
      <c r="U245" s="1" t="s">
        <v>2507</v>
      </c>
      <c r="V245" s="6" t="s">
        <v>2505</v>
      </c>
    </row>
    <row r="246" spans="1:24" ht="14.25" customHeight="1" x14ac:dyDescent="0.3">
      <c r="A246" s="1" t="s">
        <v>27</v>
      </c>
      <c r="B246" s="1" t="s">
        <v>518</v>
      </c>
      <c r="C246" s="1" t="s">
        <v>519</v>
      </c>
      <c r="D246" s="1">
        <f t="shared" si="40"/>
        <v>77</v>
      </c>
      <c r="E246" s="1">
        <f t="shared" si="41"/>
        <v>0.78671296296296289</v>
      </c>
      <c r="F246" s="2">
        <f t="shared" si="42"/>
        <v>483.75836292968478</v>
      </c>
      <c r="G246" s="1">
        <v>2080</v>
      </c>
      <c r="H246" s="1">
        <v>3744</v>
      </c>
      <c r="I246" s="1">
        <v>0</v>
      </c>
      <c r="J246" s="1">
        <v>207</v>
      </c>
      <c r="K246" s="1">
        <f t="shared" si="43"/>
        <v>0</v>
      </c>
      <c r="L246" s="1">
        <f t="shared" si="44"/>
        <v>1.8062740384615383</v>
      </c>
      <c r="M246" s="1">
        <f t="shared" si="45"/>
        <v>1.8062740384615383</v>
      </c>
      <c r="N246" s="2">
        <f t="shared" si="39"/>
        <v>9.3009142811514369</v>
      </c>
      <c r="O246" s="1">
        <v>1635</v>
      </c>
      <c r="P246" s="1">
        <f t="shared" si="46"/>
        <v>237</v>
      </c>
      <c r="Q246" s="1">
        <f t="shared" si="47"/>
        <v>3.6169277507275317</v>
      </c>
      <c r="R246" s="1">
        <f t="shared" si="48"/>
        <v>0.45791232741582533</v>
      </c>
      <c r="S246" s="2">
        <f t="shared" si="49"/>
        <v>2.8185698333962641</v>
      </c>
      <c r="T246" s="2">
        <f t="shared" si="50"/>
        <v>4.9193323790152836E-2</v>
      </c>
      <c r="U246" s="1" t="s">
        <v>2507</v>
      </c>
      <c r="V246" s="6" t="s">
        <v>2505</v>
      </c>
    </row>
    <row r="247" spans="1:24" ht="14.25" customHeight="1" x14ac:dyDescent="0.3">
      <c r="A247" s="1" t="s">
        <v>17</v>
      </c>
      <c r="B247" s="1" t="s">
        <v>520</v>
      </c>
      <c r="C247" s="1" t="s">
        <v>521</v>
      </c>
      <c r="D247" s="1">
        <f t="shared" si="40"/>
        <v>9</v>
      </c>
      <c r="E247" s="1">
        <f t="shared" si="41"/>
        <v>0.74386574074074074</v>
      </c>
      <c r="F247" s="2">
        <f t="shared" si="42"/>
        <v>56.232545004352758</v>
      </c>
      <c r="G247" s="1">
        <v>2080</v>
      </c>
      <c r="H247" s="1">
        <v>3744</v>
      </c>
      <c r="I247" s="1">
        <v>0</v>
      </c>
      <c r="J247" s="1">
        <v>115</v>
      </c>
      <c r="K247" s="1">
        <f t="shared" si="43"/>
        <v>0</v>
      </c>
      <c r="L247" s="1">
        <f t="shared" si="44"/>
        <v>1.0034855769230768</v>
      </c>
      <c r="M247" s="1">
        <f t="shared" si="45"/>
        <v>1.0034855769230768</v>
      </c>
      <c r="N247" s="2">
        <f t="shared" si="39"/>
        <v>16.741645706072585</v>
      </c>
      <c r="O247" s="1">
        <v>1634</v>
      </c>
      <c r="P247" s="1">
        <f t="shared" si="46"/>
        <v>238</v>
      </c>
      <c r="Q247" s="1">
        <f t="shared" si="47"/>
        <v>6.510469951309557</v>
      </c>
      <c r="R247" s="1">
        <f t="shared" si="48"/>
        <v>0.82772000449341587</v>
      </c>
      <c r="S247" s="2">
        <f t="shared" si="49"/>
        <v>2.8304432343341879</v>
      </c>
      <c r="T247" s="2">
        <f t="shared" si="50"/>
        <v>4.9400553729928992E-2</v>
      </c>
      <c r="U247" s="1" t="s">
        <v>2507</v>
      </c>
      <c r="V247" s="6" t="s">
        <v>2505</v>
      </c>
    </row>
    <row r="248" spans="1:24" ht="14.25" customHeight="1" x14ac:dyDescent="0.3">
      <c r="A248" s="1" t="s">
        <v>17</v>
      </c>
      <c r="B248" s="1" t="s">
        <v>522</v>
      </c>
      <c r="C248" s="1" t="s">
        <v>523</v>
      </c>
      <c r="D248" s="1">
        <f t="shared" si="40"/>
        <v>32</v>
      </c>
      <c r="E248" s="1">
        <f t="shared" si="41"/>
        <v>0.26167824074074075</v>
      </c>
      <c r="F248" s="2">
        <f t="shared" si="42"/>
        <v>197.71613365417758</v>
      </c>
      <c r="G248" s="1">
        <v>2080</v>
      </c>
      <c r="H248" s="1">
        <v>3744</v>
      </c>
      <c r="I248" s="1">
        <v>0</v>
      </c>
      <c r="J248" s="1">
        <v>271</v>
      </c>
      <c r="K248" s="1">
        <f t="shared" si="43"/>
        <v>0</v>
      </c>
      <c r="L248" s="1">
        <f t="shared" si="44"/>
        <v>2.3647355769230769</v>
      </c>
      <c r="M248" s="1">
        <f t="shared" si="45"/>
        <v>2.3647355769230769</v>
      </c>
      <c r="N248" s="2">
        <f t="shared" si="39"/>
        <v>7.1043883992558934</v>
      </c>
      <c r="O248" s="1">
        <v>1634</v>
      </c>
      <c r="P248" s="1">
        <f t="shared" si="46"/>
        <v>238</v>
      </c>
      <c r="Q248" s="1">
        <f t="shared" si="47"/>
        <v>2.7627455512937229</v>
      </c>
      <c r="R248" s="1">
        <f t="shared" si="48"/>
        <v>0.35124649637174465</v>
      </c>
      <c r="S248" s="2">
        <f t="shared" si="49"/>
        <v>2.8304432343341879</v>
      </c>
      <c r="T248" s="2">
        <f t="shared" si="50"/>
        <v>4.9400553729928992E-2</v>
      </c>
      <c r="U248" s="1" t="s">
        <v>2507</v>
      </c>
      <c r="V248" s="6" t="s">
        <v>2505</v>
      </c>
    </row>
    <row r="249" spans="1:24" ht="14.25" customHeight="1" x14ac:dyDescent="0.3">
      <c r="A249" s="1" t="s">
        <v>17</v>
      </c>
      <c r="B249" s="1" t="s">
        <v>524</v>
      </c>
      <c r="C249" s="1" t="s">
        <v>525</v>
      </c>
      <c r="D249" s="1">
        <f t="shared" si="40"/>
        <v>9</v>
      </c>
      <c r="E249" s="1">
        <f t="shared" si="41"/>
        <v>0.74387731481481489</v>
      </c>
      <c r="F249" s="2">
        <f t="shared" si="42"/>
        <v>56.232617726404925</v>
      </c>
      <c r="G249" s="1">
        <v>2080</v>
      </c>
      <c r="H249" s="1">
        <v>3744</v>
      </c>
      <c r="I249" s="1">
        <v>0</v>
      </c>
      <c r="J249" s="1">
        <v>137</v>
      </c>
      <c r="K249" s="1">
        <f t="shared" si="43"/>
        <v>0</v>
      </c>
      <c r="L249" s="1">
        <f t="shared" si="44"/>
        <v>1.1954567307692305</v>
      </c>
      <c r="M249" s="1">
        <f t="shared" si="45"/>
        <v>1.1954567307692305</v>
      </c>
      <c r="N249" s="2">
        <f t="shared" si="39"/>
        <v>14.053206249622974</v>
      </c>
      <c r="O249" s="1">
        <v>1633</v>
      </c>
      <c r="P249" s="1">
        <f t="shared" si="46"/>
        <v>239</v>
      </c>
      <c r="Q249" s="1">
        <f t="shared" si="47"/>
        <v>5.464993024821891</v>
      </c>
      <c r="R249" s="1">
        <f t="shared" si="48"/>
        <v>0.69772079750664096</v>
      </c>
      <c r="S249" s="2">
        <f t="shared" si="49"/>
        <v>2.8423163919766377</v>
      </c>
      <c r="T249" s="2">
        <f t="shared" si="50"/>
        <v>4.9607779423398064E-2</v>
      </c>
      <c r="U249" s="1" t="s">
        <v>2507</v>
      </c>
      <c r="V249" s="6" t="s">
        <v>2505</v>
      </c>
    </row>
    <row r="250" spans="1:24" ht="14.25" customHeight="1" x14ac:dyDescent="0.3">
      <c r="A250" s="1" t="s">
        <v>27</v>
      </c>
      <c r="B250" s="1" t="s">
        <v>526</v>
      </c>
      <c r="C250" s="1" t="s">
        <v>527</v>
      </c>
      <c r="D250" s="1">
        <f t="shared" si="40"/>
        <v>31</v>
      </c>
      <c r="E250" s="1">
        <f t="shared" si="41"/>
        <v>0.98031250000000003</v>
      </c>
      <c r="F250" s="2">
        <f t="shared" si="42"/>
        <v>195.94826056601164</v>
      </c>
      <c r="G250" s="1">
        <v>2080</v>
      </c>
      <c r="H250" s="1">
        <v>3744</v>
      </c>
      <c r="I250" s="1">
        <v>0</v>
      </c>
      <c r="J250" s="1">
        <v>246</v>
      </c>
      <c r="K250" s="1">
        <f t="shared" si="43"/>
        <v>0</v>
      </c>
      <c r="L250" s="1">
        <f t="shared" si="44"/>
        <v>2.1465865384615381</v>
      </c>
      <c r="M250" s="1">
        <f t="shared" si="45"/>
        <v>2.1465865384615381</v>
      </c>
      <c r="N250" s="2">
        <f t="shared" si="39"/>
        <v>7.826379090237185</v>
      </c>
      <c r="O250" s="1">
        <v>1632</v>
      </c>
      <c r="P250" s="1">
        <f t="shared" si="46"/>
        <v>240</v>
      </c>
      <c r="Q250" s="1">
        <f t="shared" si="47"/>
        <v>3.0435123756121913</v>
      </c>
      <c r="R250" s="1">
        <f t="shared" si="48"/>
        <v>0.39019389430925527</v>
      </c>
      <c r="S250" s="2">
        <f t="shared" si="49"/>
        <v>2.8541893053113983</v>
      </c>
      <c r="T250" s="2">
        <f t="shared" si="50"/>
        <v>4.981500085289358E-2</v>
      </c>
      <c r="U250" s="1" t="s">
        <v>2507</v>
      </c>
      <c r="V250" s="6" t="s">
        <v>2505</v>
      </c>
    </row>
    <row r="251" spans="1:24" ht="14.25" customHeight="1" x14ac:dyDescent="0.3">
      <c r="A251" s="1" t="s">
        <v>40</v>
      </c>
      <c r="B251" s="1" t="s">
        <v>528</v>
      </c>
      <c r="C251" s="1" t="s">
        <v>529</v>
      </c>
      <c r="D251" s="1">
        <f t="shared" si="40"/>
        <v>41</v>
      </c>
      <c r="E251" s="1">
        <f t="shared" si="41"/>
        <v>0.77752314814814805</v>
      </c>
      <c r="F251" s="2">
        <f t="shared" si="42"/>
        <v>257.50595056179952</v>
      </c>
      <c r="G251" s="1">
        <v>2080</v>
      </c>
      <c r="H251" s="1">
        <v>3744</v>
      </c>
      <c r="I251" s="1">
        <v>0</v>
      </c>
      <c r="J251" s="1">
        <v>118</v>
      </c>
      <c r="K251" s="1">
        <f t="shared" si="43"/>
        <v>0</v>
      </c>
      <c r="L251" s="1">
        <f t="shared" si="44"/>
        <v>1.0296634615384614</v>
      </c>
      <c r="M251" s="1">
        <f t="shared" si="45"/>
        <v>1.0296634615384614</v>
      </c>
      <c r="N251" s="2">
        <f t="shared" si="39"/>
        <v>16.316010645748708</v>
      </c>
      <c r="O251" s="1">
        <v>1630</v>
      </c>
      <c r="P251" s="1">
        <f t="shared" si="46"/>
        <v>242</v>
      </c>
      <c r="Q251" s="1">
        <f t="shared" si="47"/>
        <v>6.3449495288186366</v>
      </c>
      <c r="R251" s="1">
        <f t="shared" si="48"/>
        <v>0.82023386002890497</v>
      </c>
      <c r="S251" s="2">
        <f t="shared" si="49"/>
        <v>2.8779343950096119</v>
      </c>
      <c r="T251" s="2">
        <f t="shared" si="50"/>
        <v>5.0229430849308795E-2</v>
      </c>
      <c r="U251" s="1" t="s">
        <v>2507</v>
      </c>
      <c r="V251" s="6" t="s">
        <v>2505</v>
      </c>
      <c r="W251" s="1"/>
      <c r="X251" s="1"/>
    </row>
    <row r="252" spans="1:24" ht="14.25" customHeight="1" x14ac:dyDescent="0.3">
      <c r="A252" s="1" t="s">
        <v>27</v>
      </c>
      <c r="B252" s="1" t="s">
        <v>530</v>
      </c>
      <c r="C252" s="1" t="s">
        <v>531</v>
      </c>
      <c r="D252" s="1">
        <f t="shared" si="40"/>
        <v>40</v>
      </c>
      <c r="E252" s="1">
        <f t="shared" si="41"/>
        <v>0.84137731481481481</v>
      </c>
      <c r="F252" s="2">
        <f t="shared" si="42"/>
        <v>251.62397281642208</v>
      </c>
      <c r="G252" s="1">
        <v>2080</v>
      </c>
      <c r="H252" s="1">
        <v>3744</v>
      </c>
      <c r="I252" s="1">
        <v>0</v>
      </c>
      <c r="J252" s="1">
        <v>209</v>
      </c>
      <c r="K252" s="1">
        <f t="shared" si="43"/>
        <v>0</v>
      </c>
      <c r="L252" s="1">
        <f t="shared" si="44"/>
        <v>1.8237259615384616</v>
      </c>
      <c r="M252" s="1">
        <f t="shared" si="45"/>
        <v>1.8237259615384616</v>
      </c>
      <c r="N252" s="2">
        <f t="shared" ref="N252:N315" si="51">42*0.4/M252</f>
        <v>9.2119103167385035</v>
      </c>
      <c r="O252" s="1">
        <v>1629</v>
      </c>
      <c r="P252" s="1">
        <f t="shared" si="46"/>
        <v>243</v>
      </c>
      <c r="Q252" s="1">
        <f t="shared" si="47"/>
        <v>3.5823160019167415</v>
      </c>
      <c r="R252" s="1">
        <f t="shared" si="48"/>
        <v>0.46501217332573092</v>
      </c>
      <c r="S252" s="2">
        <f t="shared" si="49"/>
        <v>2.8898065693492616</v>
      </c>
      <c r="T252" s="2">
        <f t="shared" si="50"/>
        <v>5.0436639380906464E-2</v>
      </c>
      <c r="U252" s="1" t="s">
        <v>2507</v>
      </c>
      <c r="V252" s="6" t="s">
        <v>2505</v>
      </c>
    </row>
    <row r="253" spans="1:24" ht="14.25" customHeight="1" x14ac:dyDescent="0.3">
      <c r="A253" s="1" t="s">
        <v>40</v>
      </c>
      <c r="B253" s="1" t="s">
        <v>532</v>
      </c>
      <c r="C253" s="1" t="s">
        <v>533</v>
      </c>
      <c r="D253" s="1">
        <f t="shared" si="40"/>
        <v>90</v>
      </c>
      <c r="E253" s="1">
        <f t="shared" si="41"/>
        <v>0.77243055555555562</v>
      </c>
      <c r="F253" s="2">
        <f t="shared" si="42"/>
        <v>565.35003291064606</v>
      </c>
      <c r="G253" s="1">
        <v>2080</v>
      </c>
      <c r="H253" s="1">
        <v>3744</v>
      </c>
      <c r="I253" s="1">
        <v>0</v>
      </c>
      <c r="J253" s="1">
        <v>237</v>
      </c>
      <c r="K253" s="1">
        <f t="shared" si="43"/>
        <v>0</v>
      </c>
      <c r="L253" s="1">
        <f t="shared" si="44"/>
        <v>2.0680528846153843</v>
      </c>
      <c r="M253" s="1">
        <f t="shared" si="45"/>
        <v>2.0680528846153843</v>
      </c>
      <c r="N253" s="2">
        <f t="shared" si="51"/>
        <v>8.1235833594866982</v>
      </c>
      <c r="O253" s="1">
        <v>1629</v>
      </c>
      <c r="P253" s="1">
        <f t="shared" si="46"/>
        <v>243</v>
      </c>
      <c r="Q253" s="1">
        <f t="shared" si="47"/>
        <v>3.1590887949392368</v>
      </c>
      <c r="R253" s="1">
        <f t="shared" si="48"/>
        <v>0.41007402626615097</v>
      </c>
      <c r="S253" s="2">
        <f t="shared" si="49"/>
        <v>2.8898065693492616</v>
      </c>
      <c r="T253" s="2">
        <f t="shared" si="50"/>
        <v>5.0436639380906464E-2</v>
      </c>
      <c r="U253" s="1" t="s">
        <v>2507</v>
      </c>
      <c r="V253" s="6" t="s">
        <v>2505</v>
      </c>
    </row>
    <row r="254" spans="1:24" ht="14.25" customHeight="1" x14ac:dyDescent="0.3">
      <c r="A254" s="1" t="s">
        <v>40</v>
      </c>
      <c r="B254" s="1" t="s">
        <v>534</v>
      </c>
      <c r="C254" s="1" t="s">
        <v>535</v>
      </c>
      <c r="D254" s="1">
        <f t="shared" si="40"/>
        <v>33</v>
      </c>
      <c r="E254" s="1">
        <f t="shared" si="41"/>
        <v>2.9791666666666664E-2</v>
      </c>
      <c r="F254" s="2">
        <f t="shared" si="42"/>
        <v>202.54233264620274</v>
      </c>
      <c r="G254" s="1">
        <v>2080</v>
      </c>
      <c r="H254" s="1">
        <v>3744</v>
      </c>
      <c r="I254" s="1">
        <v>0</v>
      </c>
      <c r="J254" s="1">
        <v>211</v>
      </c>
      <c r="K254" s="1">
        <f t="shared" si="43"/>
        <v>0</v>
      </c>
      <c r="L254" s="1">
        <f t="shared" si="44"/>
        <v>1.8411778846153843</v>
      </c>
      <c r="M254" s="1">
        <f t="shared" si="45"/>
        <v>1.8411778846153843</v>
      </c>
      <c r="N254" s="2">
        <f t="shared" si="51"/>
        <v>9.1245936312717895</v>
      </c>
      <c r="O254" s="1">
        <v>1627</v>
      </c>
      <c r="P254" s="1">
        <f t="shared" si="46"/>
        <v>245</v>
      </c>
      <c r="Q254" s="1">
        <f t="shared" si="47"/>
        <v>3.5483604000028395</v>
      </c>
      <c r="R254" s="1">
        <f t="shared" si="48"/>
        <v>0.46439545833370499</v>
      </c>
      <c r="S254" s="2">
        <f t="shared" si="49"/>
        <v>2.9135501719510923</v>
      </c>
      <c r="T254" s="2">
        <f t="shared" si="50"/>
        <v>5.08510434225935E-2</v>
      </c>
      <c r="U254" s="1" t="s">
        <v>2507</v>
      </c>
      <c r="V254" s="6" t="s">
        <v>2505</v>
      </c>
    </row>
    <row r="255" spans="1:24" ht="14.25" customHeight="1" x14ac:dyDescent="0.3">
      <c r="A255" s="1" t="s">
        <v>17</v>
      </c>
      <c r="B255" s="1" t="s">
        <v>536</v>
      </c>
      <c r="C255" s="1" t="s">
        <v>537</v>
      </c>
      <c r="D255" s="1">
        <f t="shared" si="40"/>
        <v>32</v>
      </c>
      <c r="E255" s="1">
        <f t="shared" si="41"/>
        <v>0.73554398148148137</v>
      </c>
      <c r="F255" s="2">
        <f t="shared" si="42"/>
        <v>200.69351991397559</v>
      </c>
      <c r="G255" s="1">
        <v>2080</v>
      </c>
      <c r="H255" s="1">
        <v>3744</v>
      </c>
      <c r="I255" s="1">
        <v>0</v>
      </c>
      <c r="J255" s="1">
        <v>226</v>
      </c>
      <c r="K255" s="1">
        <f t="shared" si="43"/>
        <v>0</v>
      </c>
      <c r="L255" s="1">
        <f t="shared" si="44"/>
        <v>1.9720673076923074</v>
      </c>
      <c r="M255" s="1">
        <f t="shared" si="45"/>
        <v>1.9720673076923074</v>
      </c>
      <c r="N255" s="2">
        <f t="shared" si="51"/>
        <v>8.5189790097272002</v>
      </c>
      <c r="O255" s="1">
        <v>1626</v>
      </c>
      <c r="P255" s="1">
        <f t="shared" si="46"/>
        <v>246</v>
      </c>
      <c r="Q255" s="1">
        <f t="shared" si="47"/>
        <v>3.3128497539849513</v>
      </c>
      <c r="R255" s="1">
        <f t="shared" si="48"/>
        <v>0.43534243561981734</v>
      </c>
      <c r="S255" s="2">
        <f t="shared" si="49"/>
        <v>2.9254215981902347</v>
      </c>
      <c r="T255" s="2">
        <f t="shared" si="50"/>
        <v>5.1058238897374188E-2</v>
      </c>
      <c r="U255" s="1" t="s">
        <v>2507</v>
      </c>
      <c r="V255" s="6" t="s">
        <v>2505</v>
      </c>
    </row>
    <row r="256" spans="1:24" ht="14.25" customHeight="1" x14ac:dyDescent="0.3">
      <c r="A256" s="1" t="s">
        <v>20</v>
      </c>
      <c r="B256" s="1" t="s">
        <v>538</v>
      </c>
      <c r="C256" s="1" t="s">
        <v>539</v>
      </c>
      <c r="D256" s="1">
        <f t="shared" si="40"/>
        <v>81</v>
      </c>
      <c r="E256" s="1">
        <f t="shared" si="41"/>
        <v>0.14229166666666668</v>
      </c>
      <c r="F256" s="2">
        <f t="shared" si="42"/>
        <v>504.84208573788061</v>
      </c>
      <c r="G256" s="1">
        <v>2080</v>
      </c>
      <c r="H256" s="1">
        <v>3744</v>
      </c>
      <c r="I256" s="1">
        <v>0</v>
      </c>
      <c r="J256" s="1">
        <v>324</v>
      </c>
      <c r="K256" s="1">
        <f t="shared" si="43"/>
        <v>0</v>
      </c>
      <c r="L256" s="1">
        <f t="shared" si="44"/>
        <v>2.8272115384615382</v>
      </c>
      <c r="M256" s="1">
        <f t="shared" si="45"/>
        <v>2.8272115384615382</v>
      </c>
      <c r="N256" s="2">
        <f t="shared" si="51"/>
        <v>5.9422507907356401</v>
      </c>
      <c r="O256" s="1">
        <v>1623</v>
      </c>
      <c r="P256" s="1">
        <f t="shared" si="46"/>
        <v>249</v>
      </c>
      <c r="Q256" s="1">
        <f t="shared" si="47"/>
        <v>2.3108149518537009</v>
      </c>
      <c r="R256" s="1">
        <f t="shared" si="48"/>
        <v>0.30736801442925826</v>
      </c>
      <c r="S256" s="2">
        <f t="shared" si="49"/>
        <v>2.9610343645250365</v>
      </c>
      <c r="T256" s="2">
        <f t="shared" si="50"/>
        <v>5.1679798925659867E-2</v>
      </c>
      <c r="U256" s="1" t="s">
        <v>2507</v>
      </c>
      <c r="V256" s="6" t="s">
        <v>2505</v>
      </c>
    </row>
    <row r="257" spans="1:24" ht="14.25" customHeight="1" x14ac:dyDescent="0.3">
      <c r="A257" s="1" t="s">
        <v>286</v>
      </c>
      <c r="B257" s="1" t="s">
        <v>540</v>
      </c>
      <c r="C257" s="1" t="s">
        <v>541</v>
      </c>
      <c r="D257" s="1">
        <f t="shared" si="40"/>
        <v>45</v>
      </c>
      <c r="E257" s="1">
        <f t="shared" si="41"/>
        <v>0.82317129629629626</v>
      </c>
      <c r="F257" s="2">
        <f t="shared" si="42"/>
        <v>282.92550756426226</v>
      </c>
      <c r="G257" s="1">
        <v>2080</v>
      </c>
      <c r="H257" s="1">
        <v>3744</v>
      </c>
      <c r="I257" s="1">
        <v>0</v>
      </c>
      <c r="J257" s="1">
        <v>226</v>
      </c>
      <c r="K257" s="1">
        <f t="shared" si="43"/>
        <v>0</v>
      </c>
      <c r="L257" s="1">
        <f t="shared" si="44"/>
        <v>1.9720673076923074</v>
      </c>
      <c r="M257" s="1">
        <f t="shared" si="45"/>
        <v>1.9720673076923074</v>
      </c>
      <c r="N257" s="2">
        <f t="shared" si="51"/>
        <v>8.5189790097272002</v>
      </c>
      <c r="O257" s="1">
        <v>1621</v>
      </c>
      <c r="P257" s="1">
        <f t="shared" si="46"/>
        <v>251</v>
      </c>
      <c r="Q257" s="1">
        <f t="shared" si="47"/>
        <v>3.3128497539849513</v>
      </c>
      <c r="R257" s="1">
        <f t="shared" si="48"/>
        <v>0.44419085910802497</v>
      </c>
      <c r="S257" s="2">
        <f t="shared" si="49"/>
        <v>2.984774938319033</v>
      </c>
      <c r="T257" s="2">
        <f t="shared" si="50"/>
        <v>5.2094150104677786E-2</v>
      </c>
      <c r="U257" s="1" t="s">
        <v>2507</v>
      </c>
      <c r="V257" s="6" t="s">
        <v>2505</v>
      </c>
    </row>
    <row r="258" spans="1:24" ht="14.25" customHeight="1" x14ac:dyDescent="0.3">
      <c r="A258" s="1" t="s">
        <v>40</v>
      </c>
      <c r="B258" s="1" t="s">
        <v>542</v>
      </c>
      <c r="C258" s="1" t="s">
        <v>543</v>
      </c>
      <c r="D258" s="1">
        <f t="shared" ref="D258:D321" si="52">(LEFT(C258,4)&amp;"-"&amp;MID(C258,6,2)&amp;"-"&amp;MID(C258,9,2))-(2019&amp;"-"&amp;5&amp;"-"&amp;28)</f>
        <v>76</v>
      </c>
      <c r="E258" s="1">
        <f t="shared" ref="E258:E321" si="53">TIMEVALUE(RIGHT(C258,8))</f>
        <v>0.99013888888888879</v>
      </c>
      <c r="F258" s="2">
        <f t="shared" ref="F258:F321" si="54">(D258+E258)*2*PI()-4.989969053</f>
        <v>478.7533404113824</v>
      </c>
      <c r="G258" s="1">
        <v>2080</v>
      </c>
      <c r="H258" s="1">
        <v>3744</v>
      </c>
      <c r="I258" s="1">
        <v>0</v>
      </c>
      <c r="J258" s="1">
        <v>128</v>
      </c>
      <c r="K258" s="1">
        <f t="shared" ref="K258:K321" si="55">(32.67*I258)/H258</f>
        <v>0</v>
      </c>
      <c r="L258" s="1">
        <f t="shared" ref="L258:L321" si="56">(18.15*J258)/G258</f>
        <v>1.1169230769230769</v>
      </c>
      <c r="M258" s="1">
        <f t="shared" ref="M258:M321" si="57">SQRT(K258*K258+L258*L258)</f>
        <v>1.1169230769230769</v>
      </c>
      <c r="N258" s="2">
        <f t="shared" si="51"/>
        <v>15.041322314049587</v>
      </c>
      <c r="O258" s="1">
        <v>1620</v>
      </c>
      <c r="P258" s="1">
        <f t="shared" ref="P258:P321" si="58">H258/2-O258</f>
        <v>252</v>
      </c>
      <c r="Q258" s="1">
        <f t="shared" ref="Q258:Q321" si="59">TAN(RADIANS(21.25))*N258</f>
        <v>5.8492503468796793</v>
      </c>
      <c r="R258" s="1">
        <f t="shared" ref="R258:R321" si="60">Q258*(P258/(H258/2))</f>
        <v>0.78739908515687984</v>
      </c>
      <c r="S258" s="2">
        <f t="shared" ref="S258:S321" si="61">DEGREES(ATAN(R258/N258))</f>
        <v>2.9966448410548487</v>
      </c>
      <c r="T258" s="2">
        <f t="shared" ref="T258:T321" si="62">RADIANS(S258)</f>
        <v>5.2301318989309259E-2</v>
      </c>
      <c r="U258" s="1" t="s">
        <v>2507</v>
      </c>
      <c r="V258" s="6" t="s">
        <v>2505</v>
      </c>
    </row>
    <row r="259" spans="1:24" ht="14.25" customHeight="1" x14ac:dyDescent="0.3">
      <c r="A259" s="1" t="s">
        <v>27</v>
      </c>
      <c r="B259" s="1" t="s">
        <v>544</v>
      </c>
      <c r="C259" s="1" t="s">
        <v>545</v>
      </c>
      <c r="D259" s="1">
        <f t="shared" si="52"/>
        <v>41</v>
      </c>
      <c r="E259" s="1">
        <f t="shared" si="53"/>
        <v>0.72174768518518517</v>
      </c>
      <c r="F259" s="2">
        <f t="shared" si="54"/>
        <v>257.15550299240948</v>
      </c>
      <c r="G259" s="1">
        <v>2080</v>
      </c>
      <c r="H259" s="1">
        <v>3744</v>
      </c>
      <c r="I259" s="1">
        <v>0</v>
      </c>
      <c r="J259" s="1">
        <v>110</v>
      </c>
      <c r="K259" s="1">
        <f t="shared" si="55"/>
        <v>0</v>
      </c>
      <c r="L259" s="1">
        <f t="shared" si="56"/>
        <v>0.9598557692307691</v>
      </c>
      <c r="M259" s="1">
        <f t="shared" si="57"/>
        <v>0.9598557692307691</v>
      </c>
      <c r="N259" s="2">
        <f t="shared" si="51"/>
        <v>17.502629601803157</v>
      </c>
      <c r="O259" s="1">
        <v>1619</v>
      </c>
      <c r="P259" s="1">
        <f t="shared" si="58"/>
        <v>253</v>
      </c>
      <c r="Q259" s="1">
        <f t="shared" si="59"/>
        <v>6.8064004036418089</v>
      </c>
      <c r="R259" s="1">
        <f t="shared" si="60"/>
        <v>0.91988210583406915</v>
      </c>
      <c r="S259" s="2">
        <f t="shared" si="61"/>
        <v>3.0085144863357747</v>
      </c>
      <c r="T259" s="2">
        <f t="shared" si="62"/>
        <v>5.2508483380505219E-2</v>
      </c>
      <c r="U259" s="1" t="s">
        <v>2507</v>
      </c>
      <c r="V259" s="6" t="s">
        <v>2505</v>
      </c>
      <c r="W259" s="1"/>
      <c r="X259" s="1"/>
    </row>
    <row r="260" spans="1:24" ht="14.25" customHeight="1" x14ac:dyDescent="0.3">
      <c r="A260" s="1" t="s">
        <v>27</v>
      </c>
      <c r="B260" s="1" t="s">
        <v>546</v>
      </c>
      <c r="C260" s="1" t="s">
        <v>547</v>
      </c>
      <c r="D260" s="1">
        <f t="shared" si="52"/>
        <v>56</v>
      </c>
      <c r="E260" s="1">
        <f t="shared" si="53"/>
        <v>0.32184027777777779</v>
      </c>
      <c r="F260" s="2">
        <f t="shared" si="54"/>
        <v>348.89059025364878</v>
      </c>
      <c r="G260" s="1">
        <v>2080</v>
      </c>
      <c r="H260" s="1">
        <v>3744</v>
      </c>
      <c r="I260" s="1">
        <v>0</v>
      </c>
      <c r="J260" s="1">
        <v>213</v>
      </c>
      <c r="K260" s="1">
        <f t="shared" si="55"/>
        <v>0</v>
      </c>
      <c r="L260" s="1">
        <f t="shared" si="56"/>
        <v>1.8586298076923076</v>
      </c>
      <c r="M260" s="1">
        <f t="shared" si="57"/>
        <v>1.8586298076923076</v>
      </c>
      <c r="N260" s="2">
        <f t="shared" si="51"/>
        <v>9.0389166957668881</v>
      </c>
      <c r="O260" s="1">
        <v>1619</v>
      </c>
      <c r="P260" s="1">
        <f t="shared" si="58"/>
        <v>253</v>
      </c>
      <c r="Q260" s="1">
        <f t="shared" si="59"/>
        <v>3.5150424619746428</v>
      </c>
      <c r="R260" s="1">
        <f t="shared" si="60"/>
        <v>0.47505648658097466</v>
      </c>
      <c r="S260" s="2">
        <f t="shared" si="61"/>
        <v>3.0085144863357747</v>
      </c>
      <c r="T260" s="2">
        <f t="shared" si="62"/>
        <v>5.2508483380505219E-2</v>
      </c>
      <c r="U260" s="1" t="s">
        <v>2507</v>
      </c>
      <c r="V260" s="6" t="s">
        <v>2505</v>
      </c>
    </row>
    <row r="261" spans="1:24" ht="14.25" customHeight="1" x14ac:dyDescent="0.3">
      <c r="A261" s="1" t="s">
        <v>27</v>
      </c>
      <c r="B261" s="1" t="s">
        <v>548</v>
      </c>
      <c r="C261" s="1" t="s">
        <v>549</v>
      </c>
      <c r="D261" s="1">
        <f t="shared" si="52"/>
        <v>41</v>
      </c>
      <c r="E261" s="1">
        <f t="shared" si="53"/>
        <v>0.80885416666666676</v>
      </c>
      <c r="F261" s="2">
        <f t="shared" si="54"/>
        <v>257.70280915701409</v>
      </c>
      <c r="G261" s="1">
        <v>2080</v>
      </c>
      <c r="H261" s="1">
        <v>3744</v>
      </c>
      <c r="I261" s="1">
        <v>0</v>
      </c>
      <c r="J261" s="1">
        <v>210</v>
      </c>
      <c r="K261" s="1">
        <f t="shared" si="55"/>
        <v>0</v>
      </c>
      <c r="L261" s="1">
        <f t="shared" si="56"/>
        <v>1.832451923076923</v>
      </c>
      <c r="M261" s="1">
        <f t="shared" si="57"/>
        <v>1.832451923076923</v>
      </c>
      <c r="N261" s="2">
        <f t="shared" si="51"/>
        <v>9.1680440771349865</v>
      </c>
      <c r="O261" s="1">
        <v>1617</v>
      </c>
      <c r="P261" s="1">
        <f t="shared" si="58"/>
        <v>255</v>
      </c>
      <c r="Q261" s="1">
        <f t="shared" si="59"/>
        <v>3.5652573542885664</v>
      </c>
      <c r="R261" s="1">
        <f t="shared" si="60"/>
        <v>0.48565204345276941</v>
      </c>
      <c r="S261" s="2">
        <f t="shared" si="61"/>
        <v>3.0322530004914396</v>
      </c>
      <c r="T261" s="2">
        <f t="shared" si="62"/>
        <v>5.292279861205286E-2</v>
      </c>
      <c r="U261" s="1" t="s">
        <v>2507</v>
      </c>
      <c r="V261" s="6" t="s">
        <v>2505</v>
      </c>
    </row>
    <row r="262" spans="1:24" ht="14.25" customHeight="1" x14ac:dyDescent="0.3">
      <c r="A262" s="1" t="s">
        <v>27</v>
      </c>
      <c r="B262" s="1" t="s">
        <v>550</v>
      </c>
      <c r="C262" s="1" t="s">
        <v>551</v>
      </c>
      <c r="D262" s="1">
        <f t="shared" si="52"/>
        <v>56</v>
      </c>
      <c r="E262" s="1">
        <f t="shared" si="53"/>
        <v>0.32197916666666665</v>
      </c>
      <c r="F262" s="2">
        <f t="shared" si="54"/>
        <v>348.89146291827478</v>
      </c>
      <c r="G262" s="1">
        <v>2080</v>
      </c>
      <c r="H262" s="1">
        <v>3744</v>
      </c>
      <c r="I262" s="1">
        <v>0</v>
      </c>
      <c r="J262" s="1">
        <v>170</v>
      </c>
      <c r="K262" s="1">
        <f t="shared" si="55"/>
        <v>0</v>
      </c>
      <c r="L262" s="1">
        <f t="shared" si="56"/>
        <v>1.4834134615384613</v>
      </c>
      <c r="M262" s="1">
        <f t="shared" si="57"/>
        <v>1.4834134615384613</v>
      </c>
      <c r="N262" s="2">
        <f t="shared" si="51"/>
        <v>11.325230918813809</v>
      </c>
      <c r="O262" s="1">
        <v>1617</v>
      </c>
      <c r="P262" s="1">
        <f t="shared" si="58"/>
        <v>255</v>
      </c>
      <c r="Q262" s="1">
        <f t="shared" si="59"/>
        <v>4.4041414376505825</v>
      </c>
      <c r="R262" s="1">
        <f t="shared" si="60"/>
        <v>0.59992311250047992</v>
      </c>
      <c r="S262" s="2">
        <f t="shared" si="61"/>
        <v>3.0322530004914396</v>
      </c>
      <c r="T262" s="2">
        <f t="shared" si="62"/>
        <v>5.292279861205286E-2</v>
      </c>
      <c r="U262" s="1" t="s">
        <v>2507</v>
      </c>
      <c r="V262" s="6" t="s">
        <v>2505</v>
      </c>
    </row>
    <row r="263" spans="1:24" ht="14.25" customHeight="1" x14ac:dyDescent="0.3">
      <c r="A263" s="1" t="s">
        <v>357</v>
      </c>
      <c r="B263" s="1" t="s">
        <v>552</v>
      </c>
      <c r="C263" s="1" t="s">
        <v>553</v>
      </c>
      <c r="D263" s="1">
        <f t="shared" si="52"/>
        <v>72</v>
      </c>
      <c r="E263" s="1">
        <f t="shared" si="53"/>
        <v>0.33980324074074075</v>
      </c>
      <c r="F263" s="2">
        <f t="shared" si="54"/>
        <v>449.5344197934844</v>
      </c>
      <c r="G263" s="1">
        <v>2080</v>
      </c>
      <c r="H263" s="1">
        <v>3744</v>
      </c>
      <c r="I263" s="1">
        <v>0</v>
      </c>
      <c r="J263" s="1">
        <v>552</v>
      </c>
      <c r="K263" s="1">
        <f t="shared" si="55"/>
        <v>0</v>
      </c>
      <c r="L263" s="1">
        <f t="shared" si="56"/>
        <v>4.8167307692307686</v>
      </c>
      <c r="M263" s="1">
        <f t="shared" si="57"/>
        <v>4.8167307692307686</v>
      </c>
      <c r="N263" s="2">
        <f t="shared" si="51"/>
        <v>3.4878428554317891</v>
      </c>
      <c r="O263" s="1">
        <v>1617</v>
      </c>
      <c r="P263" s="1">
        <f t="shared" si="58"/>
        <v>255</v>
      </c>
      <c r="Q263" s="1">
        <f t="shared" si="59"/>
        <v>1.3563479065228246</v>
      </c>
      <c r="R263" s="1">
        <f t="shared" si="60"/>
        <v>0.18475892957442319</v>
      </c>
      <c r="S263" s="2">
        <f t="shared" si="61"/>
        <v>3.0322530004914396</v>
      </c>
      <c r="T263" s="2">
        <f t="shared" si="62"/>
        <v>5.292279861205286E-2</v>
      </c>
      <c r="U263" s="1" t="s">
        <v>2507</v>
      </c>
      <c r="V263" s="6" t="s">
        <v>2505</v>
      </c>
    </row>
    <row r="264" spans="1:24" ht="14.25" customHeight="1" x14ac:dyDescent="0.3">
      <c r="A264" s="1" t="s">
        <v>40</v>
      </c>
      <c r="B264" s="1" t="s">
        <v>554</v>
      </c>
      <c r="C264" s="1" t="s">
        <v>555</v>
      </c>
      <c r="D264" s="1">
        <f t="shared" si="52"/>
        <v>72</v>
      </c>
      <c r="E264" s="1">
        <f t="shared" si="53"/>
        <v>0.94795138888888886</v>
      </c>
      <c r="F264" s="2">
        <f t="shared" si="54"/>
        <v>453.35552730251743</v>
      </c>
      <c r="G264" s="1">
        <v>2080</v>
      </c>
      <c r="H264" s="1">
        <v>3744</v>
      </c>
      <c r="I264" s="1">
        <v>0</v>
      </c>
      <c r="J264" s="1">
        <v>99</v>
      </c>
      <c r="K264" s="1">
        <f t="shared" si="55"/>
        <v>0</v>
      </c>
      <c r="L264" s="1">
        <f t="shared" si="56"/>
        <v>0.86387019230769224</v>
      </c>
      <c r="M264" s="1">
        <f t="shared" si="57"/>
        <v>0.86387019230769224</v>
      </c>
      <c r="N264" s="2">
        <f t="shared" si="51"/>
        <v>19.447366224225732</v>
      </c>
      <c r="O264" s="1">
        <v>1617</v>
      </c>
      <c r="P264" s="1">
        <f t="shared" si="58"/>
        <v>255</v>
      </c>
      <c r="Q264" s="1">
        <f t="shared" si="59"/>
        <v>7.5626671151575664</v>
      </c>
      <c r="R264" s="1">
        <f t="shared" si="60"/>
        <v>1.0301710012634504</v>
      </c>
      <c r="S264" s="2">
        <f t="shared" si="61"/>
        <v>3.0322530004914396</v>
      </c>
      <c r="T264" s="2">
        <f t="shared" si="62"/>
        <v>5.292279861205286E-2</v>
      </c>
      <c r="U264" s="1" t="s">
        <v>2507</v>
      </c>
      <c r="V264" s="6" t="s">
        <v>2505</v>
      </c>
    </row>
    <row r="265" spans="1:24" ht="14.25" customHeight="1" x14ac:dyDescent="0.3">
      <c r="A265" s="1" t="s">
        <v>40</v>
      </c>
      <c r="B265" s="1" t="s">
        <v>556</v>
      </c>
      <c r="C265" s="1" t="s">
        <v>557</v>
      </c>
      <c r="D265" s="1">
        <f t="shared" si="52"/>
        <v>93</v>
      </c>
      <c r="E265" s="1">
        <f t="shared" si="53"/>
        <v>0.95554398148148145</v>
      </c>
      <c r="F265" s="2">
        <f t="shared" si="54"/>
        <v>585.35012441950983</v>
      </c>
      <c r="G265" s="1">
        <v>2080</v>
      </c>
      <c r="H265" s="1">
        <v>3744</v>
      </c>
      <c r="I265" s="1">
        <v>0</v>
      </c>
      <c r="J265" s="1">
        <v>197</v>
      </c>
      <c r="K265" s="1">
        <f t="shared" si="55"/>
        <v>0</v>
      </c>
      <c r="L265" s="1">
        <f t="shared" si="56"/>
        <v>1.7190144230769229</v>
      </c>
      <c r="M265" s="1">
        <f t="shared" si="57"/>
        <v>1.7190144230769229</v>
      </c>
      <c r="N265" s="2">
        <f t="shared" si="51"/>
        <v>9.7730419096362819</v>
      </c>
      <c r="O265" s="1">
        <v>1616</v>
      </c>
      <c r="P265" s="1">
        <f t="shared" si="58"/>
        <v>256</v>
      </c>
      <c r="Q265" s="1">
        <f t="shared" si="59"/>
        <v>3.8005281441654777</v>
      </c>
      <c r="R265" s="1">
        <f t="shared" si="60"/>
        <v>0.51973034450126199</v>
      </c>
      <c r="S265" s="2">
        <f t="shared" si="61"/>
        <v>3.0441218673457557</v>
      </c>
      <c r="T265" s="2">
        <f t="shared" si="62"/>
        <v>5.3129949417141498E-2</v>
      </c>
      <c r="U265" s="1" t="s">
        <v>2507</v>
      </c>
      <c r="V265" s="6" t="s">
        <v>2505</v>
      </c>
    </row>
    <row r="266" spans="1:24" ht="14.25" customHeight="1" x14ac:dyDescent="0.3">
      <c r="A266" s="1" t="s">
        <v>82</v>
      </c>
      <c r="B266" s="1" t="s">
        <v>558</v>
      </c>
      <c r="C266" s="1" t="s">
        <v>559</v>
      </c>
      <c r="D266" s="1">
        <f t="shared" si="52"/>
        <v>59</v>
      </c>
      <c r="E266" s="1">
        <f t="shared" si="53"/>
        <v>0.25637731481481479</v>
      </c>
      <c r="F266" s="2">
        <f t="shared" si="54"/>
        <v>367.32883024813418</v>
      </c>
      <c r="G266" s="1">
        <v>2080</v>
      </c>
      <c r="H266" s="1">
        <v>3744</v>
      </c>
      <c r="I266" s="1">
        <v>0</v>
      </c>
      <c r="J266" s="1">
        <v>595</v>
      </c>
      <c r="K266" s="1">
        <f t="shared" si="55"/>
        <v>0</v>
      </c>
      <c r="L266" s="1">
        <f t="shared" si="56"/>
        <v>5.1919471153846155</v>
      </c>
      <c r="M266" s="1">
        <f t="shared" si="57"/>
        <v>5.1919471153846155</v>
      </c>
      <c r="N266" s="2">
        <f t="shared" si="51"/>
        <v>3.2357802625182304</v>
      </c>
      <c r="O266" s="1">
        <v>1614</v>
      </c>
      <c r="P266" s="1">
        <f t="shared" si="58"/>
        <v>258</v>
      </c>
      <c r="Q266" s="1">
        <f t="shared" si="59"/>
        <v>1.2583261250430233</v>
      </c>
      <c r="R266" s="1">
        <f t="shared" si="60"/>
        <v>0.17342315184887822</v>
      </c>
      <c r="S266" s="2">
        <f t="shared" si="61"/>
        <v>3.0678588155572886</v>
      </c>
      <c r="T266" s="2">
        <f t="shared" si="62"/>
        <v>5.3544237317808122E-2</v>
      </c>
      <c r="U266" s="1" t="s">
        <v>2507</v>
      </c>
      <c r="V266" s="6" t="s">
        <v>2505</v>
      </c>
    </row>
    <row r="267" spans="1:24" ht="14.25" customHeight="1" x14ac:dyDescent="0.3">
      <c r="A267" s="1" t="s">
        <v>40</v>
      </c>
      <c r="B267" s="1" t="s">
        <v>560</v>
      </c>
      <c r="C267" s="1" t="s">
        <v>561</v>
      </c>
      <c r="D267" s="1">
        <f t="shared" si="52"/>
        <v>77</v>
      </c>
      <c r="E267" s="1">
        <f t="shared" si="53"/>
        <v>0.88003472222222223</v>
      </c>
      <c r="F267" s="2">
        <f t="shared" si="54"/>
        <v>484.34472083630266</v>
      </c>
      <c r="G267" s="1">
        <v>2080</v>
      </c>
      <c r="H267" s="1">
        <v>3744</v>
      </c>
      <c r="I267" s="1">
        <v>0</v>
      </c>
      <c r="J267" s="1">
        <v>134</v>
      </c>
      <c r="K267" s="1">
        <f t="shared" si="55"/>
        <v>0</v>
      </c>
      <c r="L267" s="1">
        <f t="shared" si="56"/>
        <v>1.1692788461538461</v>
      </c>
      <c r="M267" s="1">
        <f t="shared" si="57"/>
        <v>1.1692788461538461</v>
      </c>
      <c r="N267" s="2">
        <f t="shared" si="51"/>
        <v>14.367830270136919</v>
      </c>
      <c r="O267" s="1">
        <v>1614</v>
      </c>
      <c r="P267" s="1">
        <f t="shared" si="58"/>
        <v>258</v>
      </c>
      <c r="Q267" s="1">
        <f t="shared" si="59"/>
        <v>5.5873436149298428</v>
      </c>
      <c r="R267" s="1">
        <f t="shared" si="60"/>
        <v>0.77005056231404889</v>
      </c>
      <c r="S267" s="2">
        <f t="shared" si="61"/>
        <v>3.067858815557289</v>
      </c>
      <c r="T267" s="2">
        <f t="shared" si="62"/>
        <v>5.3544237317808129E-2</v>
      </c>
      <c r="U267" s="1" t="s">
        <v>2507</v>
      </c>
      <c r="V267" s="6" t="s">
        <v>2505</v>
      </c>
    </row>
    <row r="268" spans="1:24" ht="14.25" customHeight="1" x14ac:dyDescent="0.3">
      <c r="A268" s="1" t="s">
        <v>27</v>
      </c>
      <c r="B268" s="1" t="s">
        <v>562</v>
      </c>
      <c r="C268" s="1" t="s">
        <v>563</v>
      </c>
      <c r="D268" s="1">
        <f t="shared" si="52"/>
        <v>20</v>
      </c>
      <c r="E268" s="1">
        <f t="shared" si="53"/>
        <v>0.82844907407407409</v>
      </c>
      <c r="F268" s="2">
        <f t="shared" si="54"/>
        <v>125.8790361405605</v>
      </c>
      <c r="G268" s="1">
        <v>2080</v>
      </c>
      <c r="H268" s="1">
        <v>3744</v>
      </c>
      <c r="I268" s="1">
        <v>0</v>
      </c>
      <c r="J268" s="1">
        <v>182</v>
      </c>
      <c r="K268" s="1">
        <f t="shared" si="55"/>
        <v>0</v>
      </c>
      <c r="L268" s="1">
        <f t="shared" si="56"/>
        <v>1.5881249999999998</v>
      </c>
      <c r="M268" s="1">
        <f t="shared" si="57"/>
        <v>1.5881249999999998</v>
      </c>
      <c r="N268" s="2">
        <f t="shared" si="51"/>
        <v>10.578512396694217</v>
      </c>
      <c r="O268" s="1">
        <v>1613</v>
      </c>
      <c r="P268" s="1">
        <f t="shared" si="58"/>
        <v>259</v>
      </c>
      <c r="Q268" s="1">
        <f t="shared" si="59"/>
        <v>4.1137584857175771</v>
      </c>
      <c r="R268" s="1">
        <f t="shared" si="60"/>
        <v>0.56915782467994258</v>
      </c>
      <c r="S268" s="2">
        <f t="shared" si="61"/>
        <v>3.0797268948948866</v>
      </c>
      <c r="T268" s="2">
        <f t="shared" si="62"/>
        <v>5.3751374378137116E-2</v>
      </c>
      <c r="U268" s="1" t="s">
        <v>2507</v>
      </c>
      <c r="V268" s="6" t="s">
        <v>2505</v>
      </c>
    </row>
    <row r="269" spans="1:24" ht="14.25" customHeight="1" x14ac:dyDescent="0.3">
      <c r="A269" s="1" t="s">
        <v>17</v>
      </c>
      <c r="B269" s="1" t="s">
        <v>564</v>
      </c>
      <c r="C269" s="1" t="s">
        <v>565</v>
      </c>
      <c r="D269" s="1">
        <f t="shared" si="52"/>
        <v>50</v>
      </c>
      <c r="E269" s="1">
        <f t="shared" si="53"/>
        <v>6.1111111111111116E-2</v>
      </c>
      <c r="F269" s="2">
        <f t="shared" si="54"/>
        <v>309.55326874141809</v>
      </c>
      <c r="G269" s="1">
        <v>2080</v>
      </c>
      <c r="H269" s="1">
        <v>3744</v>
      </c>
      <c r="I269" s="1">
        <v>0</v>
      </c>
      <c r="J269" s="1">
        <v>235</v>
      </c>
      <c r="K269" s="1">
        <f t="shared" si="55"/>
        <v>0</v>
      </c>
      <c r="L269" s="1">
        <f t="shared" si="56"/>
        <v>2.0506009615384615</v>
      </c>
      <c r="M269" s="1">
        <f t="shared" si="57"/>
        <v>2.0506009615384615</v>
      </c>
      <c r="N269" s="2">
        <f t="shared" si="51"/>
        <v>8.1927202391419023</v>
      </c>
      <c r="O269" s="1">
        <v>1612</v>
      </c>
      <c r="P269" s="1">
        <f t="shared" si="58"/>
        <v>260</v>
      </c>
      <c r="Q269" s="1">
        <f t="shared" si="59"/>
        <v>3.185974657023825</v>
      </c>
      <c r="R269" s="1">
        <f t="shared" si="60"/>
        <v>0.44249648014219795</v>
      </c>
      <c r="S269" s="2">
        <f t="shared" si="61"/>
        <v>3.0915947097075169</v>
      </c>
      <c r="T269" s="2">
        <f t="shared" si="62"/>
        <v>5.3958506821634472E-2</v>
      </c>
      <c r="U269" s="1" t="s">
        <v>2507</v>
      </c>
      <c r="V269" s="6" t="s">
        <v>2505</v>
      </c>
    </row>
    <row r="270" spans="1:24" ht="14.25" customHeight="1" x14ac:dyDescent="0.3">
      <c r="A270" s="1" t="s">
        <v>17</v>
      </c>
      <c r="B270" s="1" t="s">
        <v>566</v>
      </c>
      <c r="C270" s="1" t="s">
        <v>567</v>
      </c>
      <c r="D270" s="1">
        <f t="shared" si="52"/>
        <v>83</v>
      </c>
      <c r="E270" s="1">
        <f t="shared" si="53"/>
        <v>4.6412037037037038E-3</v>
      </c>
      <c r="F270" s="2">
        <f t="shared" si="54"/>
        <v>516.54357298582443</v>
      </c>
      <c r="G270" s="1">
        <v>2080</v>
      </c>
      <c r="H270" s="1">
        <v>3744</v>
      </c>
      <c r="I270" s="1">
        <v>0</v>
      </c>
      <c r="J270" s="1">
        <v>234</v>
      </c>
      <c r="K270" s="1">
        <f t="shared" si="55"/>
        <v>0</v>
      </c>
      <c r="L270" s="1">
        <f t="shared" si="56"/>
        <v>2.0418749999999997</v>
      </c>
      <c r="M270" s="1">
        <f t="shared" si="57"/>
        <v>2.0418749999999997</v>
      </c>
      <c r="N270" s="2">
        <f t="shared" si="51"/>
        <v>8.2277318640955013</v>
      </c>
      <c r="O270" s="1">
        <v>1609</v>
      </c>
      <c r="P270" s="1">
        <f t="shared" si="58"/>
        <v>263</v>
      </c>
      <c r="Q270" s="1">
        <f t="shared" si="59"/>
        <v>3.199589933335893</v>
      </c>
      <c r="R270" s="1">
        <f t="shared" si="60"/>
        <v>0.44951503871118581</v>
      </c>
      <c r="S270" s="2">
        <f t="shared" si="61"/>
        <v>3.1271965569015627</v>
      </c>
      <c r="T270" s="2">
        <f t="shared" si="62"/>
        <v>5.4579876274962476E-2</v>
      </c>
      <c r="U270" s="1" t="s">
        <v>2507</v>
      </c>
      <c r="V270" s="6" t="s">
        <v>2505</v>
      </c>
    </row>
    <row r="271" spans="1:24" ht="14.25" customHeight="1" x14ac:dyDescent="0.3">
      <c r="A271" s="1" t="s">
        <v>40</v>
      </c>
      <c r="B271" s="1" t="s">
        <v>568</v>
      </c>
      <c r="C271" s="1" t="s">
        <v>569</v>
      </c>
      <c r="D271" s="1">
        <f t="shared" si="52"/>
        <v>28</v>
      </c>
      <c r="E271" s="1">
        <f t="shared" si="53"/>
        <v>0.23518518518518516</v>
      </c>
      <c r="F271" s="2">
        <f t="shared" si="54"/>
        <v>172.41693164805025</v>
      </c>
      <c r="G271" s="1">
        <v>2080</v>
      </c>
      <c r="H271" s="1">
        <v>3744</v>
      </c>
      <c r="I271" s="1">
        <v>0</v>
      </c>
      <c r="J271" s="1">
        <v>186</v>
      </c>
      <c r="K271" s="1">
        <f t="shared" si="55"/>
        <v>0</v>
      </c>
      <c r="L271" s="1">
        <f t="shared" si="56"/>
        <v>1.623028846153846</v>
      </c>
      <c r="M271" s="1">
        <f t="shared" si="57"/>
        <v>1.623028846153846</v>
      </c>
      <c r="N271" s="2">
        <f t="shared" si="51"/>
        <v>10.351017506442728</v>
      </c>
      <c r="O271" s="1">
        <v>1608</v>
      </c>
      <c r="P271" s="1">
        <f t="shared" si="58"/>
        <v>264</v>
      </c>
      <c r="Q271" s="1">
        <f t="shared" si="59"/>
        <v>4.0252905612935432</v>
      </c>
      <c r="R271" s="1">
        <f t="shared" si="60"/>
        <v>0.56766918172088432</v>
      </c>
      <c r="S271" s="2">
        <f t="shared" si="61"/>
        <v>3.1390633035209676</v>
      </c>
      <c r="T271" s="2">
        <f t="shared" si="62"/>
        <v>5.4786990074970995E-2</v>
      </c>
      <c r="U271" s="1" t="s">
        <v>2507</v>
      </c>
      <c r="V271" s="6" t="s">
        <v>2505</v>
      </c>
    </row>
    <row r="272" spans="1:24" ht="14.25" customHeight="1" x14ac:dyDescent="0.3">
      <c r="A272" s="1" t="s">
        <v>14</v>
      </c>
      <c r="B272" s="1" t="s">
        <v>570</v>
      </c>
      <c r="C272" s="1" t="s">
        <v>571</v>
      </c>
      <c r="D272" s="1">
        <f t="shared" si="52"/>
        <v>47</v>
      </c>
      <c r="E272" s="1">
        <f t="shared" si="53"/>
        <v>0.93306712962962957</v>
      </c>
      <c r="F272" s="2">
        <f t="shared" si="54"/>
        <v>296.18237406394167</v>
      </c>
      <c r="G272" s="1">
        <v>2080</v>
      </c>
      <c r="H272" s="1">
        <v>3744</v>
      </c>
      <c r="I272" s="1">
        <v>0</v>
      </c>
      <c r="J272" s="1">
        <v>213</v>
      </c>
      <c r="K272" s="1">
        <f t="shared" si="55"/>
        <v>0</v>
      </c>
      <c r="L272" s="1">
        <f t="shared" si="56"/>
        <v>1.8586298076923076</v>
      </c>
      <c r="M272" s="1">
        <f t="shared" si="57"/>
        <v>1.8586298076923076</v>
      </c>
      <c r="N272" s="2">
        <f t="shared" si="51"/>
        <v>9.0389166957668881</v>
      </c>
      <c r="O272" s="1">
        <v>1608</v>
      </c>
      <c r="P272" s="1">
        <f t="shared" si="58"/>
        <v>264</v>
      </c>
      <c r="Q272" s="1">
        <f t="shared" si="59"/>
        <v>3.5150424619746428</v>
      </c>
      <c r="R272" s="1">
        <f t="shared" si="60"/>
        <v>0.49571111643232141</v>
      </c>
      <c r="S272" s="2">
        <f t="shared" si="61"/>
        <v>3.1390633035209676</v>
      </c>
      <c r="T272" s="2">
        <f t="shared" si="62"/>
        <v>5.4786990074970995E-2</v>
      </c>
      <c r="U272" s="1" t="s">
        <v>2507</v>
      </c>
      <c r="V272" s="6" t="s">
        <v>2505</v>
      </c>
    </row>
    <row r="273" spans="1:22" ht="14.25" customHeight="1" x14ac:dyDescent="0.3">
      <c r="A273" s="1" t="s">
        <v>17</v>
      </c>
      <c r="B273" s="1" t="s">
        <v>572</v>
      </c>
      <c r="C273" s="1" t="s">
        <v>573</v>
      </c>
      <c r="D273" s="1">
        <f t="shared" si="52"/>
        <v>10</v>
      </c>
      <c r="E273" s="1">
        <f t="shared" si="53"/>
        <v>0.24971064814814814</v>
      </c>
      <c r="F273" s="2">
        <f t="shared" si="54"/>
        <v>59.410862294286595</v>
      </c>
      <c r="G273" s="1">
        <v>2080</v>
      </c>
      <c r="H273" s="1">
        <v>3744</v>
      </c>
      <c r="I273" s="1">
        <v>0</v>
      </c>
      <c r="J273" s="1">
        <v>211</v>
      </c>
      <c r="K273" s="1">
        <f t="shared" si="55"/>
        <v>0</v>
      </c>
      <c r="L273" s="1">
        <f t="shared" si="56"/>
        <v>1.8411778846153843</v>
      </c>
      <c r="M273" s="1">
        <f t="shared" si="57"/>
        <v>1.8411778846153843</v>
      </c>
      <c r="N273" s="2">
        <f t="shared" si="51"/>
        <v>9.1245936312717895</v>
      </c>
      <c r="O273" s="1">
        <v>1607</v>
      </c>
      <c r="P273" s="1">
        <f t="shared" si="58"/>
        <v>265</v>
      </c>
      <c r="Q273" s="1">
        <f t="shared" si="59"/>
        <v>3.5483604000028395</v>
      </c>
      <c r="R273" s="1">
        <f t="shared" si="60"/>
        <v>0.50230529166706861</v>
      </c>
      <c r="S273" s="2">
        <f t="shared" si="61"/>
        <v>3.1509297805694136</v>
      </c>
      <c r="T273" s="2">
        <f t="shared" si="62"/>
        <v>5.499409917007872E-2</v>
      </c>
      <c r="U273" s="1" t="s">
        <v>2507</v>
      </c>
      <c r="V273" s="6" t="s">
        <v>2505</v>
      </c>
    </row>
    <row r="274" spans="1:22" ht="14.25" customHeight="1" x14ac:dyDescent="0.3">
      <c r="A274" s="1" t="s">
        <v>17</v>
      </c>
      <c r="B274" s="1" t="s">
        <v>574</v>
      </c>
      <c r="C274" s="1" t="s">
        <v>575</v>
      </c>
      <c r="D274" s="1">
        <f t="shared" si="52"/>
        <v>61</v>
      </c>
      <c r="E274" s="1">
        <f t="shared" si="53"/>
        <v>0.89819444444444441</v>
      </c>
      <c r="F274" s="2">
        <f t="shared" si="54"/>
        <v>383.92785682127845</v>
      </c>
      <c r="G274" s="1">
        <v>2080</v>
      </c>
      <c r="H274" s="1">
        <v>3744</v>
      </c>
      <c r="I274" s="1">
        <v>0</v>
      </c>
      <c r="J274" s="1">
        <v>191</v>
      </c>
      <c r="K274" s="1">
        <f t="shared" si="55"/>
        <v>0</v>
      </c>
      <c r="L274" s="1">
        <f t="shared" si="56"/>
        <v>1.6666586538461536</v>
      </c>
      <c r="M274" s="1">
        <f t="shared" si="57"/>
        <v>1.6666586538461536</v>
      </c>
      <c r="N274" s="2">
        <f t="shared" si="51"/>
        <v>10.080048461771453</v>
      </c>
      <c r="O274" s="1">
        <v>1605</v>
      </c>
      <c r="P274" s="1">
        <f t="shared" si="58"/>
        <v>267</v>
      </c>
      <c r="Q274" s="1">
        <f t="shared" si="59"/>
        <v>3.9199164628303618</v>
      </c>
      <c r="R274" s="1">
        <f t="shared" si="60"/>
        <v>0.55909064934599706</v>
      </c>
      <c r="S274" s="2">
        <f t="shared" si="61"/>
        <v>3.1746619219184238</v>
      </c>
      <c r="T274" s="2">
        <f t="shared" si="62"/>
        <v>5.5408303175167629E-2</v>
      </c>
      <c r="U274" s="1" t="s">
        <v>2507</v>
      </c>
      <c r="V274" s="6" t="s">
        <v>2505</v>
      </c>
    </row>
    <row r="275" spans="1:22" ht="14.25" customHeight="1" x14ac:dyDescent="0.3">
      <c r="A275" s="1" t="s">
        <v>14</v>
      </c>
      <c r="B275" s="1" t="s">
        <v>576</v>
      </c>
      <c r="C275" s="1" t="s">
        <v>577</v>
      </c>
      <c r="D275" s="1">
        <f t="shared" si="52"/>
        <v>74</v>
      </c>
      <c r="E275" s="1">
        <f t="shared" si="53"/>
        <v>0.35467592592592595</v>
      </c>
      <c r="F275" s="2">
        <f t="shared" si="54"/>
        <v>462.19423824487751</v>
      </c>
      <c r="G275" s="1">
        <v>2080</v>
      </c>
      <c r="H275" s="1">
        <v>3744</v>
      </c>
      <c r="I275" s="1">
        <v>0</v>
      </c>
      <c r="J275" s="1">
        <v>318</v>
      </c>
      <c r="K275" s="1">
        <f t="shared" si="55"/>
        <v>0</v>
      </c>
      <c r="L275" s="1">
        <f t="shared" si="56"/>
        <v>2.7748557692307689</v>
      </c>
      <c r="M275" s="1">
        <f t="shared" si="57"/>
        <v>2.7748557692307689</v>
      </c>
      <c r="N275" s="2">
        <f t="shared" si="51"/>
        <v>6.0543687301834828</v>
      </c>
      <c r="O275" s="1">
        <v>1602</v>
      </c>
      <c r="P275" s="1">
        <f t="shared" si="58"/>
        <v>270</v>
      </c>
      <c r="Q275" s="1">
        <f t="shared" si="59"/>
        <v>2.354415233964148</v>
      </c>
      <c r="R275" s="1">
        <f t="shared" si="60"/>
        <v>0.33957912028329057</v>
      </c>
      <c r="S275" s="2">
        <f t="shared" si="61"/>
        <v>3.2102580869446355</v>
      </c>
      <c r="T275" s="2">
        <f t="shared" si="62"/>
        <v>5.6029573455958284E-2</v>
      </c>
      <c r="U275" s="1" t="s">
        <v>2507</v>
      </c>
      <c r="V275" s="6" t="s">
        <v>2505</v>
      </c>
    </row>
    <row r="276" spans="1:22" ht="14.25" customHeight="1" x14ac:dyDescent="0.3">
      <c r="A276" s="1" t="s">
        <v>40</v>
      </c>
      <c r="B276" s="1" t="s">
        <v>578</v>
      </c>
      <c r="C276" s="1" t="s">
        <v>579</v>
      </c>
      <c r="D276" s="1">
        <f t="shared" si="52"/>
        <v>76</v>
      </c>
      <c r="E276" s="1">
        <f t="shared" si="53"/>
        <v>0.74684027777777784</v>
      </c>
      <c r="F276" s="2">
        <f t="shared" si="54"/>
        <v>477.22465015279181</v>
      </c>
      <c r="G276" s="1">
        <v>2080</v>
      </c>
      <c r="H276" s="1">
        <v>3744</v>
      </c>
      <c r="I276" s="1">
        <v>0</v>
      </c>
      <c r="J276" s="1">
        <v>111</v>
      </c>
      <c r="K276" s="1">
        <f t="shared" si="55"/>
        <v>0</v>
      </c>
      <c r="L276" s="1">
        <f t="shared" si="56"/>
        <v>0.96858173076923071</v>
      </c>
      <c r="M276" s="1">
        <f t="shared" si="57"/>
        <v>0.96858173076923071</v>
      </c>
      <c r="N276" s="2">
        <f t="shared" si="51"/>
        <v>17.344948254039164</v>
      </c>
      <c r="O276" s="1">
        <v>1601</v>
      </c>
      <c r="P276" s="1">
        <f t="shared" si="58"/>
        <v>271</v>
      </c>
      <c r="Q276" s="1">
        <f t="shared" si="59"/>
        <v>6.7450814810864772</v>
      </c>
      <c r="R276" s="1">
        <f t="shared" si="60"/>
        <v>0.97645143235813858</v>
      </c>
      <c r="S276" s="2">
        <f t="shared" si="61"/>
        <v>3.2221229253877111</v>
      </c>
      <c r="T276" s="2">
        <f t="shared" si="62"/>
        <v>5.6236653952007144E-2</v>
      </c>
      <c r="U276" s="1" t="s">
        <v>2507</v>
      </c>
      <c r="V276" s="6" t="s">
        <v>2505</v>
      </c>
    </row>
    <row r="277" spans="1:22" ht="14.25" customHeight="1" x14ac:dyDescent="0.3">
      <c r="A277" s="1" t="s">
        <v>27</v>
      </c>
      <c r="B277" s="1" t="s">
        <v>580</v>
      </c>
      <c r="C277" s="1" t="s">
        <v>581</v>
      </c>
      <c r="D277" s="1">
        <f t="shared" si="52"/>
        <v>21</v>
      </c>
      <c r="E277" s="1">
        <f t="shared" si="53"/>
        <v>1.0937500000000001E-2</v>
      </c>
      <c r="F277" s="2">
        <f t="shared" si="54"/>
        <v>127.02564473706859</v>
      </c>
      <c r="G277" s="1">
        <v>2080</v>
      </c>
      <c r="H277" s="1">
        <v>3744</v>
      </c>
      <c r="I277" s="1">
        <v>0</v>
      </c>
      <c r="J277" s="1">
        <v>196</v>
      </c>
      <c r="K277" s="1">
        <f t="shared" si="55"/>
        <v>0</v>
      </c>
      <c r="L277" s="1">
        <f t="shared" si="56"/>
        <v>1.7102884615384613</v>
      </c>
      <c r="M277" s="1">
        <f t="shared" si="57"/>
        <v>1.7102884615384613</v>
      </c>
      <c r="N277" s="2">
        <f t="shared" si="51"/>
        <v>9.8229043683589161</v>
      </c>
      <c r="O277" s="1">
        <v>1601</v>
      </c>
      <c r="P277" s="1">
        <f t="shared" si="58"/>
        <v>271</v>
      </c>
      <c r="Q277" s="1">
        <f t="shared" si="59"/>
        <v>3.8199185938806077</v>
      </c>
      <c r="R277" s="1">
        <f t="shared" si="60"/>
        <v>0.55299035199874191</v>
      </c>
      <c r="S277" s="2">
        <f t="shared" si="61"/>
        <v>3.2221229253877115</v>
      </c>
      <c r="T277" s="2">
        <f t="shared" si="62"/>
        <v>5.6236653952007151E-2</v>
      </c>
      <c r="U277" s="1" t="s">
        <v>2507</v>
      </c>
      <c r="V277" s="6" t="s">
        <v>2505</v>
      </c>
    </row>
    <row r="278" spans="1:22" ht="14.25" customHeight="1" x14ac:dyDescent="0.3">
      <c r="A278" s="1" t="s">
        <v>17</v>
      </c>
      <c r="B278" s="1" t="s">
        <v>582</v>
      </c>
      <c r="C278" s="1" t="s">
        <v>583</v>
      </c>
      <c r="D278" s="1">
        <f t="shared" si="52"/>
        <v>38</v>
      </c>
      <c r="E278" s="1">
        <f t="shared" si="53"/>
        <v>0.14694444444444446</v>
      </c>
      <c r="F278" s="2">
        <f t="shared" si="54"/>
        <v>234.69435179412926</v>
      </c>
      <c r="G278" s="1">
        <v>2080</v>
      </c>
      <c r="H278" s="1">
        <v>3744</v>
      </c>
      <c r="I278" s="1">
        <v>0</v>
      </c>
      <c r="J278" s="1">
        <v>255</v>
      </c>
      <c r="K278" s="1">
        <f t="shared" si="55"/>
        <v>0</v>
      </c>
      <c r="L278" s="1">
        <f t="shared" si="56"/>
        <v>2.2251201923076924</v>
      </c>
      <c r="M278" s="1">
        <f t="shared" si="57"/>
        <v>2.2251201923076924</v>
      </c>
      <c r="N278" s="2">
        <f t="shared" si="51"/>
        <v>7.5501539458758709</v>
      </c>
      <c r="O278" s="1">
        <v>1600</v>
      </c>
      <c r="P278" s="1">
        <f t="shared" si="58"/>
        <v>272</v>
      </c>
      <c r="Q278" s="1">
        <f t="shared" si="59"/>
        <v>2.9360942917670547</v>
      </c>
      <c r="R278" s="1">
        <f t="shared" si="60"/>
        <v>0.42661199111145243</v>
      </c>
      <c r="S278" s="2">
        <f t="shared" si="61"/>
        <v>3.2339874872012637</v>
      </c>
      <c r="T278" s="2">
        <f t="shared" si="62"/>
        <v>5.6443729619960033E-2</v>
      </c>
      <c r="U278" s="1" t="s">
        <v>2507</v>
      </c>
      <c r="V278" s="6" t="s">
        <v>2505</v>
      </c>
    </row>
    <row r="279" spans="1:22" ht="14.25" customHeight="1" x14ac:dyDescent="0.3">
      <c r="A279" s="1" t="s">
        <v>17</v>
      </c>
      <c r="B279" s="1" t="s">
        <v>584</v>
      </c>
      <c r="C279" s="1" t="s">
        <v>585</v>
      </c>
      <c r="D279" s="1">
        <f t="shared" si="52"/>
        <v>16</v>
      </c>
      <c r="E279" s="1">
        <f t="shared" si="53"/>
        <v>0.2597800925925926</v>
      </c>
      <c r="F279" s="2">
        <f t="shared" si="54"/>
        <v>97.173242322748919</v>
      </c>
      <c r="G279" s="1">
        <v>2080</v>
      </c>
      <c r="H279" s="1">
        <v>3744</v>
      </c>
      <c r="I279" s="1">
        <v>0</v>
      </c>
      <c r="J279" s="1">
        <v>252</v>
      </c>
      <c r="K279" s="1">
        <f t="shared" si="55"/>
        <v>0</v>
      </c>
      <c r="L279" s="1">
        <f t="shared" si="56"/>
        <v>2.1989423076923074</v>
      </c>
      <c r="M279" s="1">
        <f t="shared" si="57"/>
        <v>2.1989423076923074</v>
      </c>
      <c r="N279" s="2">
        <f t="shared" si="51"/>
        <v>7.6400367309458233</v>
      </c>
      <c r="O279" s="1">
        <v>1599</v>
      </c>
      <c r="P279" s="1">
        <f t="shared" si="58"/>
        <v>273</v>
      </c>
      <c r="Q279" s="1">
        <f t="shared" si="59"/>
        <v>2.9710477952404726</v>
      </c>
      <c r="R279" s="1">
        <f t="shared" si="60"/>
        <v>0.43327780347256895</v>
      </c>
      <c r="S279" s="2">
        <f t="shared" si="61"/>
        <v>3.2458517713774904</v>
      </c>
      <c r="T279" s="2">
        <f t="shared" si="62"/>
        <v>5.665080044222745E-2</v>
      </c>
      <c r="U279" s="1" t="s">
        <v>2507</v>
      </c>
      <c r="V279" s="6" t="s">
        <v>2505</v>
      </c>
    </row>
    <row r="280" spans="1:22" ht="14.25" customHeight="1" x14ac:dyDescent="0.3">
      <c r="A280" s="1" t="s">
        <v>20</v>
      </c>
      <c r="B280" s="1" t="s">
        <v>586</v>
      </c>
      <c r="C280" s="1" t="s">
        <v>587</v>
      </c>
      <c r="D280" s="1">
        <f t="shared" si="52"/>
        <v>70</v>
      </c>
      <c r="E280" s="1">
        <f t="shared" si="53"/>
        <v>0.92280092592592589</v>
      </c>
      <c r="F280" s="2">
        <f t="shared" si="54"/>
        <v>440.63113166880055</v>
      </c>
      <c r="G280" s="1">
        <v>2080</v>
      </c>
      <c r="H280" s="1">
        <v>3744</v>
      </c>
      <c r="I280" s="1">
        <v>0</v>
      </c>
      <c r="J280" s="1">
        <v>213</v>
      </c>
      <c r="K280" s="1">
        <f t="shared" si="55"/>
        <v>0</v>
      </c>
      <c r="L280" s="1">
        <f t="shared" si="56"/>
        <v>1.8586298076923076</v>
      </c>
      <c r="M280" s="1">
        <f t="shared" si="57"/>
        <v>1.8586298076923076</v>
      </c>
      <c r="N280" s="2">
        <f t="shared" si="51"/>
        <v>9.0389166957668881</v>
      </c>
      <c r="O280" s="1">
        <v>1599</v>
      </c>
      <c r="P280" s="1">
        <f t="shared" si="58"/>
        <v>273</v>
      </c>
      <c r="Q280" s="1">
        <f t="shared" si="59"/>
        <v>3.5150424619746428</v>
      </c>
      <c r="R280" s="1">
        <f t="shared" si="60"/>
        <v>0.51261035903796881</v>
      </c>
      <c r="S280" s="2">
        <f t="shared" si="61"/>
        <v>3.2458517713774904</v>
      </c>
      <c r="T280" s="2">
        <f t="shared" si="62"/>
        <v>5.665080044222745E-2</v>
      </c>
      <c r="U280" s="1" t="s">
        <v>2507</v>
      </c>
      <c r="V280" s="6" t="s">
        <v>2505</v>
      </c>
    </row>
    <row r="281" spans="1:22" ht="14.25" customHeight="1" x14ac:dyDescent="0.3">
      <c r="A281" s="1" t="s">
        <v>27</v>
      </c>
      <c r="B281" s="1" t="s">
        <v>588</v>
      </c>
      <c r="C281" s="1" t="s">
        <v>589</v>
      </c>
      <c r="D281" s="1">
        <f t="shared" si="52"/>
        <v>28</v>
      </c>
      <c r="E281" s="1">
        <f t="shared" si="53"/>
        <v>0.43032407407407408</v>
      </c>
      <c r="F281" s="2">
        <f t="shared" si="54"/>
        <v>173.64302544757629</v>
      </c>
      <c r="G281" s="1">
        <v>2080</v>
      </c>
      <c r="H281" s="1">
        <v>3744</v>
      </c>
      <c r="I281" s="1">
        <v>0</v>
      </c>
      <c r="J281" s="1">
        <v>216</v>
      </c>
      <c r="K281" s="1">
        <f t="shared" si="55"/>
        <v>0</v>
      </c>
      <c r="L281" s="1">
        <f t="shared" si="56"/>
        <v>1.8848076923076922</v>
      </c>
      <c r="M281" s="1">
        <f t="shared" si="57"/>
        <v>1.8848076923076922</v>
      </c>
      <c r="N281" s="2">
        <f t="shared" si="51"/>
        <v>8.9133761861034593</v>
      </c>
      <c r="O281" s="1">
        <v>1593</v>
      </c>
      <c r="P281" s="1">
        <f t="shared" si="58"/>
        <v>279</v>
      </c>
      <c r="Q281" s="1">
        <f t="shared" si="59"/>
        <v>3.4662224277805507</v>
      </c>
      <c r="R281" s="1">
        <f t="shared" si="60"/>
        <v>0.51660045798652432</v>
      </c>
      <c r="S281" s="2">
        <f t="shared" si="61"/>
        <v>3.3170315896320699</v>
      </c>
      <c r="T281" s="2">
        <f t="shared" si="62"/>
        <v>5.7893122631741026E-2</v>
      </c>
      <c r="U281" s="1" t="s">
        <v>2507</v>
      </c>
      <c r="V281" s="6" t="s">
        <v>2505</v>
      </c>
    </row>
    <row r="282" spans="1:22" ht="14.25" customHeight="1" x14ac:dyDescent="0.3">
      <c r="A282" s="1" t="s">
        <v>27</v>
      </c>
      <c r="B282" s="1" t="s">
        <v>590</v>
      </c>
      <c r="C282" s="1" t="s">
        <v>591</v>
      </c>
      <c r="D282" s="1">
        <f t="shared" si="52"/>
        <v>54</v>
      </c>
      <c r="E282" s="1">
        <f t="shared" si="53"/>
        <v>0.17484953703703701</v>
      </c>
      <c r="F282" s="2">
        <f t="shared" si="54"/>
        <v>335.40064957677589</v>
      </c>
      <c r="G282" s="1">
        <v>2080</v>
      </c>
      <c r="H282" s="1">
        <v>3744</v>
      </c>
      <c r="I282" s="1">
        <v>0</v>
      </c>
      <c r="J282" s="1">
        <v>190</v>
      </c>
      <c r="K282" s="1">
        <f t="shared" si="55"/>
        <v>0</v>
      </c>
      <c r="L282" s="1">
        <f t="shared" si="56"/>
        <v>1.657932692307692</v>
      </c>
      <c r="M282" s="1">
        <f t="shared" si="57"/>
        <v>1.657932692307692</v>
      </c>
      <c r="N282" s="2">
        <f t="shared" si="51"/>
        <v>10.133101348412355</v>
      </c>
      <c r="O282" s="1">
        <v>1593</v>
      </c>
      <c r="P282" s="1">
        <f t="shared" si="58"/>
        <v>279</v>
      </c>
      <c r="Q282" s="1">
        <f t="shared" si="59"/>
        <v>3.940547602108416</v>
      </c>
      <c r="R282" s="1">
        <f t="shared" si="60"/>
        <v>0.58729315223731204</v>
      </c>
      <c r="S282" s="2">
        <f t="shared" si="61"/>
        <v>3.3170315896320708</v>
      </c>
      <c r="T282" s="2">
        <f t="shared" si="62"/>
        <v>5.789312263174104E-2</v>
      </c>
      <c r="U282" s="1" t="s">
        <v>2507</v>
      </c>
      <c r="V282" s="6" t="s">
        <v>2505</v>
      </c>
    </row>
    <row r="283" spans="1:22" ht="14.25" customHeight="1" x14ac:dyDescent="0.3">
      <c r="A283" s="1" t="s">
        <v>286</v>
      </c>
      <c r="B283" s="1" t="s">
        <v>592</v>
      </c>
      <c r="C283" s="1" t="s">
        <v>593</v>
      </c>
      <c r="D283" s="1">
        <f t="shared" si="52"/>
        <v>26</v>
      </c>
      <c r="E283" s="1">
        <f t="shared" si="53"/>
        <v>9.3194444444444455E-2</v>
      </c>
      <c r="F283" s="2">
        <f t="shared" si="54"/>
        <v>158.95840689771333</v>
      </c>
      <c r="G283" s="1">
        <v>2080</v>
      </c>
      <c r="H283" s="1">
        <v>3744</v>
      </c>
      <c r="I283" s="1">
        <v>0</v>
      </c>
      <c r="J283" s="1">
        <v>219</v>
      </c>
      <c r="K283" s="1">
        <f t="shared" si="55"/>
        <v>0</v>
      </c>
      <c r="L283" s="1">
        <f t="shared" si="56"/>
        <v>1.9109855769230768</v>
      </c>
      <c r="M283" s="1">
        <f t="shared" si="57"/>
        <v>1.9109855769230768</v>
      </c>
      <c r="N283" s="2">
        <f t="shared" si="51"/>
        <v>8.7912751424582076</v>
      </c>
      <c r="O283" s="1">
        <v>1591</v>
      </c>
      <c r="P283" s="1">
        <f t="shared" si="58"/>
        <v>281</v>
      </c>
      <c r="Q283" s="1">
        <f t="shared" si="59"/>
        <v>3.4187399287698588</v>
      </c>
      <c r="R283" s="1">
        <f t="shared" si="60"/>
        <v>0.51317623930786871</v>
      </c>
      <c r="S283" s="2">
        <f t="shared" si="61"/>
        <v>3.3407559289544881</v>
      </c>
      <c r="T283" s="2">
        <f t="shared" si="62"/>
        <v>5.8307190465777585E-2</v>
      </c>
      <c r="U283" s="1" t="s">
        <v>2507</v>
      </c>
      <c r="V283" s="6" t="s">
        <v>2505</v>
      </c>
    </row>
    <row r="284" spans="1:22" ht="14.25" customHeight="1" x14ac:dyDescent="0.3">
      <c r="A284" s="1" t="s">
        <v>40</v>
      </c>
      <c r="B284" s="1" t="s">
        <v>594</v>
      </c>
      <c r="C284" s="1" t="s">
        <v>595</v>
      </c>
      <c r="D284" s="1">
        <f t="shared" si="52"/>
        <v>11</v>
      </c>
      <c r="E284" s="1">
        <f t="shared" si="53"/>
        <v>0.27649305555555553</v>
      </c>
      <c r="F284" s="2">
        <f t="shared" si="54"/>
        <v>65.862326430179309</v>
      </c>
      <c r="G284" s="1">
        <v>2080</v>
      </c>
      <c r="H284" s="1">
        <v>3744</v>
      </c>
      <c r="I284" s="1">
        <v>0</v>
      </c>
      <c r="J284" s="1">
        <v>100</v>
      </c>
      <c r="K284" s="1">
        <f t="shared" si="55"/>
        <v>0</v>
      </c>
      <c r="L284" s="1">
        <f t="shared" si="56"/>
        <v>0.87259615384615374</v>
      </c>
      <c r="M284" s="1">
        <f t="shared" si="57"/>
        <v>0.87259615384615374</v>
      </c>
      <c r="N284" s="2">
        <f t="shared" si="51"/>
        <v>19.252892561983476</v>
      </c>
      <c r="O284" s="1">
        <v>1590</v>
      </c>
      <c r="P284" s="1">
        <f t="shared" si="58"/>
        <v>282</v>
      </c>
      <c r="Q284" s="1">
        <f t="shared" si="59"/>
        <v>7.4870404440059914</v>
      </c>
      <c r="R284" s="1">
        <f t="shared" si="60"/>
        <v>1.1278554515009025</v>
      </c>
      <c r="S284" s="2">
        <f t="shared" si="61"/>
        <v>3.3526176690673277</v>
      </c>
      <c r="T284" s="2">
        <f t="shared" si="62"/>
        <v>5.851421688576252E-2</v>
      </c>
      <c r="U284" s="1" t="s">
        <v>2507</v>
      </c>
      <c r="V284" s="6" t="s">
        <v>2505</v>
      </c>
    </row>
    <row r="285" spans="1:22" ht="14.25" customHeight="1" x14ac:dyDescent="0.3">
      <c r="A285" s="1" t="s">
        <v>27</v>
      </c>
      <c r="B285" s="1" t="s">
        <v>596</v>
      </c>
      <c r="C285" s="1" t="s">
        <v>597</v>
      </c>
      <c r="D285" s="1">
        <f t="shared" si="52"/>
        <v>33</v>
      </c>
      <c r="E285" s="1">
        <f t="shared" si="53"/>
        <v>0.27098379629629626</v>
      </c>
      <c r="F285" s="2">
        <f t="shared" si="54"/>
        <v>204.057787491299</v>
      </c>
      <c r="G285" s="1">
        <v>2080</v>
      </c>
      <c r="H285" s="1">
        <v>3744</v>
      </c>
      <c r="I285" s="1">
        <v>0</v>
      </c>
      <c r="J285" s="1">
        <v>94</v>
      </c>
      <c r="K285" s="1">
        <f t="shared" si="55"/>
        <v>0</v>
      </c>
      <c r="L285" s="1">
        <f t="shared" si="56"/>
        <v>0.82024038461538462</v>
      </c>
      <c r="M285" s="1">
        <f t="shared" si="57"/>
        <v>0.82024038461538462</v>
      </c>
      <c r="N285" s="2">
        <f t="shared" si="51"/>
        <v>20.481800597854757</v>
      </c>
      <c r="O285" s="1">
        <v>1590</v>
      </c>
      <c r="P285" s="1">
        <f t="shared" si="58"/>
        <v>282</v>
      </c>
      <c r="Q285" s="1">
        <f t="shared" si="59"/>
        <v>7.9649366425595636</v>
      </c>
      <c r="R285" s="1">
        <f t="shared" si="60"/>
        <v>1.1998462250009598</v>
      </c>
      <c r="S285" s="2">
        <f t="shared" si="61"/>
        <v>3.3526176690673277</v>
      </c>
      <c r="T285" s="2">
        <f t="shared" si="62"/>
        <v>5.851421688576252E-2</v>
      </c>
      <c r="U285" s="1" t="s">
        <v>2507</v>
      </c>
      <c r="V285" s="6" t="s">
        <v>2505</v>
      </c>
    </row>
    <row r="286" spans="1:22" ht="14.25" customHeight="1" x14ac:dyDescent="0.3">
      <c r="A286" s="1" t="s">
        <v>27</v>
      </c>
      <c r="B286" s="1" t="s">
        <v>598</v>
      </c>
      <c r="C286" s="1" t="s">
        <v>599</v>
      </c>
      <c r="D286" s="1">
        <f t="shared" si="52"/>
        <v>45</v>
      </c>
      <c r="E286" s="1">
        <f t="shared" si="53"/>
        <v>0.80108796296296303</v>
      </c>
      <c r="F286" s="2">
        <f t="shared" si="54"/>
        <v>282.7867538887287</v>
      </c>
      <c r="G286" s="1">
        <v>2080</v>
      </c>
      <c r="H286" s="1">
        <v>3744</v>
      </c>
      <c r="I286" s="1">
        <v>0</v>
      </c>
      <c r="J286" s="1">
        <v>183</v>
      </c>
      <c r="K286" s="1">
        <f t="shared" si="55"/>
        <v>0</v>
      </c>
      <c r="L286" s="1">
        <f t="shared" si="56"/>
        <v>1.5968509615384614</v>
      </c>
      <c r="M286" s="1">
        <f t="shared" si="57"/>
        <v>1.5968509615384614</v>
      </c>
      <c r="N286" s="2">
        <f t="shared" si="51"/>
        <v>10.520706318023755</v>
      </c>
      <c r="O286" s="1">
        <v>1590</v>
      </c>
      <c r="P286" s="1">
        <f t="shared" si="58"/>
        <v>282</v>
      </c>
      <c r="Q286" s="1">
        <f t="shared" si="59"/>
        <v>4.0912789311508142</v>
      </c>
      <c r="R286" s="1">
        <f t="shared" si="60"/>
        <v>0.61631445437207777</v>
      </c>
      <c r="S286" s="2">
        <f t="shared" si="61"/>
        <v>3.3526176690673277</v>
      </c>
      <c r="T286" s="2">
        <f t="shared" si="62"/>
        <v>5.851421688576252E-2</v>
      </c>
      <c r="U286" s="1" t="s">
        <v>2507</v>
      </c>
      <c r="V286" s="6" t="s">
        <v>2505</v>
      </c>
    </row>
    <row r="287" spans="1:22" ht="14.25" customHeight="1" x14ac:dyDescent="0.3">
      <c r="A287" s="1" t="s">
        <v>40</v>
      </c>
      <c r="B287" s="1" t="s">
        <v>600</v>
      </c>
      <c r="C287" s="1" t="s">
        <v>601</v>
      </c>
      <c r="D287" s="1">
        <f t="shared" si="52"/>
        <v>72</v>
      </c>
      <c r="E287" s="1">
        <f t="shared" si="53"/>
        <v>0.77284722222222213</v>
      </c>
      <c r="F287" s="2">
        <f t="shared" si="54"/>
        <v>452.25531537529145</v>
      </c>
      <c r="G287" s="1">
        <v>2080</v>
      </c>
      <c r="H287" s="1">
        <v>3744</v>
      </c>
      <c r="I287" s="1">
        <v>0</v>
      </c>
      <c r="J287" s="1">
        <v>73</v>
      </c>
      <c r="K287" s="1">
        <f t="shared" si="55"/>
        <v>0</v>
      </c>
      <c r="L287" s="1">
        <f t="shared" si="56"/>
        <v>0.63699519230769219</v>
      </c>
      <c r="M287" s="1">
        <f t="shared" si="57"/>
        <v>0.63699519230769219</v>
      </c>
      <c r="N287" s="2">
        <f t="shared" si="51"/>
        <v>26.373825427374623</v>
      </c>
      <c r="O287" s="1">
        <v>1590</v>
      </c>
      <c r="P287" s="1">
        <f t="shared" si="58"/>
        <v>282</v>
      </c>
      <c r="Q287" s="1">
        <f t="shared" si="59"/>
        <v>10.256219786309575</v>
      </c>
      <c r="R287" s="1">
        <f t="shared" si="60"/>
        <v>1.5450074678094552</v>
      </c>
      <c r="S287" s="2">
        <f t="shared" si="61"/>
        <v>3.3526176690673277</v>
      </c>
      <c r="T287" s="2">
        <f t="shared" si="62"/>
        <v>5.851421688576252E-2</v>
      </c>
      <c r="U287" s="1" t="s">
        <v>2507</v>
      </c>
      <c r="V287" s="6" t="s">
        <v>2505</v>
      </c>
    </row>
    <row r="288" spans="1:22" ht="14.25" customHeight="1" x14ac:dyDescent="0.3">
      <c r="A288" s="1" t="s">
        <v>450</v>
      </c>
      <c r="B288" s="1" t="s">
        <v>602</v>
      </c>
      <c r="C288" s="1" t="s">
        <v>603</v>
      </c>
      <c r="D288" s="1">
        <f t="shared" si="52"/>
        <v>56</v>
      </c>
      <c r="E288" s="1">
        <f t="shared" si="53"/>
        <v>0.91192129629629637</v>
      </c>
      <c r="F288" s="2">
        <f t="shared" si="54"/>
        <v>352.59817863924991</v>
      </c>
      <c r="G288" s="1">
        <v>2080</v>
      </c>
      <c r="H288" s="1">
        <v>3744</v>
      </c>
      <c r="I288" s="1">
        <v>0</v>
      </c>
      <c r="J288" s="1">
        <v>258</v>
      </c>
      <c r="K288" s="1">
        <f t="shared" si="55"/>
        <v>0</v>
      </c>
      <c r="L288" s="1">
        <f t="shared" si="56"/>
        <v>2.251298076923077</v>
      </c>
      <c r="M288" s="1">
        <f t="shared" si="57"/>
        <v>2.251298076923077</v>
      </c>
      <c r="N288" s="2">
        <f t="shared" si="51"/>
        <v>7.4623614581331283</v>
      </c>
      <c r="O288" s="1">
        <v>1590</v>
      </c>
      <c r="P288" s="1">
        <f t="shared" si="58"/>
        <v>282</v>
      </c>
      <c r="Q288" s="1">
        <f t="shared" si="59"/>
        <v>2.9019536604674379</v>
      </c>
      <c r="R288" s="1">
        <f t="shared" si="60"/>
        <v>0.43715327577554353</v>
      </c>
      <c r="S288" s="2">
        <f t="shared" si="61"/>
        <v>3.3526176690673282</v>
      </c>
      <c r="T288" s="2">
        <f t="shared" si="62"/>
        <v>5.8514216885762527E-2</v>
      </c>
      <c r="U288" s="1" t="s">
        <v>2507</v>
      </c>
      <c r="V288" s="6" t="s">
        <v>2505</v>
      </c>
    </row>
    <row r="289" spans="1:24" ht="14.25" customHeight="1" x14ac:dyDescent="0.3">
      <c r="A289" s="1" t="s">
        <v>435</v>
      </c>
      <c r="B289" s="1" t="s">
        <v>604</v>
      </c>
      <c r="C289" s="1" t="s">
        <v>605</v>
      </c>
      <c r="D289" s="1">
        <f t="shared" si="52"/>
        <v>92</v>
      </c>
      <c r="E289" s="1">
        <f t="shared" si="53"/>
        <v>0.45339120370370373</v>
      </c>
      <c r="F289" s="2">
        <f t="shared" si="54"/>
        <v>575.91182015703748</v>
      </c>
      <c r="G289" s="1">
        <v>2080</v>
      </c>
      <c r="H289" s="1">
        <v>3744</v>
      </c>
      <c r="I289" s="1">
        <v>0</v>
      </c>
      <c r="J289" s="1">
        <v>312</v>
      </c>
      <c r="K289" s="1">
        <f t="shared" si="55"/>
        <v>0</v>
      </c>
      <c r="L289" s="1">
        <f t="shared" si="56"/>
        <v>2.7224999999999997</v>
      </c>
      <c r="M289" s="1">
        <f t="shared" si="57"/>
        <v>2.7224999999999997</v>
      </c>
      <c r="N289" s="2">
        <f t="shared" si="51"/>
        <v>6.1707988980716264</v>
      </c>
      <c r="O289" s="1">
        <v>1587</v>
      </c>
      <c r="P289" s="1">
        <f t="shared" si="58"/>
        <v>285</v>
      </c>
      <c r="Q289" s="1">
        <f t="shared" si="59"/>
        <v>2.3996924500019201</v>
      </c>
      <c r="R289" s="1">
        <f t="shared" si="60"/>
        <v>0.36533779286888202</v>
      </c>
      <c r="S289" s="2">
        <f t="shared" si="61"/>
        <v>3.3882011591365386</v>
      </c>
      <c r="T289" s="2">
        <f t="shared" si="62"/>
        <v>5.9135265946820954E-2</v>
      </c>
      <c r="U289" s="1" t="s">
        <v>2507</v>
      </c>
      <c r="V289" s="6" t="s">
        <v>2505</v>
      </c>
    </row>
    <row r="290" spans="1:24" ht="14.25" customHeight="1" x14ac:dyDescent="0.3">
      <c r="A290" s="1" t="s">
        <v>247</v>
      </c>
      <c r="B290" s="1" t="s">
        <v>606</v>
      </c>
      <c r="C290" s="1" t="s">
        <v>607</v>
      </c>
      <c r="D290" s="1">
        <f t="shared" si="52"/>
        <v>61</v>
      </c>
      <c r="E290" s="1">
        <f t="shared" si="53"/>
        <v>0.21722222222222221</v>
      </c>
      <c r="F290" s="2">
        <f t="shared" si="54"/>
        <v>379.64918216001433</v>
      </c>
      <c r="G290" s="1">
        <v>2080</v>
      </c>
      <c r="H290" s="1">
        <v>3744</v>
      </c>
      <c r="I290" s="1">
        <v>0</v>
      </c>
      <c r="J290" s="1">
        <v>154</v>
      </c>
      <c r="K290" s="1">
        <f t="shared" si="55"/>
        <v>0</v>
      </c>
      <c r="L290" s="1">
        <f t="shared" si="56"/>
        <v>1.3437980769230768</v>
      </c>
      <c r="M290" s="1">
        <f t="shared" si="57"/>
        <v>1.3437980769230768</v>
      </c>
      <c r="N290" s="2">
        <f t="shared" si="51"/>
        <v>12.501878287002254</v>
      </c>
      <c r="O290" s="1">
        <v>1587</v>
      </c>
      <c r="P290" s="1">
        <f t="shared" si="58"/>
        <v>285</v>
      </c>
      <c r="Q290" s="1">
        <f t="shared" si="59"/>
        <v>4.8617145740298637</v>
      </c>
      <c r="R290" s="1">
        <f t="shared" si="60"/>
        <v>0.74016487905903372</v>
      </c>
      <c r="S290" s="2">
        <f t="shared" si="61"/>
        <v>3.3882011591365391</v>
      </c>
      <c r="T290" s="2">
        <f t="shared" si="62"/>
        <v>5.9135265946820961E-2</v>
      </c>
      <c r="U290" s="1" t="s">
        <v>2507</v>
      </c>
      <c r="V290" s="6" t="s">
        <v>2505</v>
      </c>
    </row>
    <row r="291" spans="1:24" ht="14.25" customHeight="1" x14ac:dyDescent="0.3">
      <c r="A291" s="1" t="s">
        <v>27</v>
      </c>
      <c r="B291" s="1" t="s">
        <v>608</v>
      </c>
      <c r="C291" s="1" t="s">
        <v>609</v>
      </c>
      <c r="D291" s="1">
        <f t="shared" si="52"/>
        <v>15</v>
      </c>
      <c r="E291" s="1">
        <f t="shared" si="53"/>
        <v>0.34687499999999999</v>
      </c>
      <c r="F291" s="2">
        <f t="shared" si="54"/>
        <v>91.437290458121723</v>
      </c>
      <c r="G291" s="1">
        <v>2080</v>
      </c>
      <c r="H291" s="1">
        <v>3744</v>
      </c>
      <c r="I291" s="1">
        <v>0</v>
      </c>
      <c r="J291" s="1">
        <v>237</v>
      </c>
      <c r="K291" s="1">
        <f t="shared" si="55"/>
        <v>0</v>
      </c>
      <c r="L291" s="1">
        <f t="shared" si="56"/>
        <v>2.0680528846153843</v>
      </c>
      <c r="M291" s="1">
        <f t="shared" si="57"/>
        <v>2.0680528846153843</v>
      </c>
      <c r="N291" s="2">
        <f t="shared" si="51"/>
        <v>8.1235833594866982</v>
      </c>
      <c r="O291" s="1">
        <v>1585</v>
      </c>
      <c r="P291" s="1">
        <f t="shared" si="58"/>
        <v>287</v>
      </c>
      <c r="Q291" s="1">
        <f t="shared" si="59"/>
        <v>3.1590887949392368</v>
      </c>
      <c r="R291" s="1">
        <f t="shared" si="60"/>
        <v>0.48432611332668857</v>
      </c>
      <c r="S291" s="2">
        <f t="shared" si="61"/>
        <v>3.4119220338980258</v>
      </c>
      <c r="T291" s="2">
        <f t="shared" si="62"/>
        <v>5.9549273312862132E-2</v>
      </c>
      <c r="U291" s="1" t="s">
        <v>2507</v>
      </c>
      <c r="V291" s="6" t="s">
        <v>2505</v>
      </c>
    </row>
    <row r="292" spans="1:24" ht="14.25" customHeight="1" x14ac:dyDescent="0.3">
      <c r="A292" s="1" t="s">
        <v>40</v>
      </c>
      <c r="B292" s="1" t="s">
        <v>610</v>
      </c>
      <c r="C292" s="1" t="s">
        <v>611</v>
      </c>
      <c r="D292" s="1">
        <f t="shared" si="52"/>
        <v>78</v>
      </c>
      <c r="E292" s="1">
        <f t="shared" si="53"/>
        <v>0.10480324074074075</v>
      </c>
      <c r="F292" s="2">
        <f t="shared" si="54"/>
        <v>485.75698308937473</v>
      </c>
      <c r="G292" s="1">
        <v>2080</v>
      </c>
      <c r="H292" s="1">
        <v>3744</v>
      </c>
      <c r="I292" s="1">
        <v>0</v>
      </c>
      <c r="J292" s="1">
        <v>89</v>
      </c>
      <c r="K292" s="1">
        <f t="shared" si="55"/>
        <v>0</v>
      </c>
      <c r="L292" s="1">
        <f t="shared" si="56"/>
        <v>0.77661057692307689</v>
      </c>
      <c r="M292" s="1">
        <f t="shared" si="57"/>
        <v>0.77661057692307689</v>
      </c>
      <c r="N292" s="2">
        <f t="shared" si="51"/>
        <v>21.632463552790419</v>
      </c>
      <c r="O292" s="1">
        <v>1585</v>
      </c>
      <c r="P292" s="1">
        <f t="shared" si="58"/>
        <v>287</v>
      </c>
      <c r="Q292" s="1">
        <f t="shared" si="59"/>
        <v>8.4124049932651577</v>
      </c>
      <c r="R292" s="1">
        <f t="shared" si="60"/>
        <v>1.2897223467238785</v>
      </c>
      <c r="S292" s="2">
        <f t="shared" si="61"/>
        <v>3.4119220338980263</v>
      </c>
      <c r="T292" s="2">
        <f t="shared" si="62"/>
        <v>5.9549273312862139E-2</v>
      </c>
      <c r="U292" s="1" t="s">
        <v>2507</v>
      </c>
      <c r="V292" s="6" t="s">
        <v>2505</v>
      </c>
    </row>
    <row r="293" spans="1:24" ht="14.25" customHeight="1" x14ac:dyDescent="0.3">
      <c r="A293" s="1" t="s">
        <v>40</v>
      </c>
      <c r="B293" s="1" t="s">
        <v>612</v>
      </c>
      <c r="C293" s="1" t="s">
        <v>613</v>
      </c>
      <c r="D293" s="1">
        <f t="shared" si="52"/>
        <v>36</v>
      </c>
      <c r="E293" s="1">
        <f t="shared" si="53"/>
        <v>1.329861111111111E-2</v>
      </c>
      <c r="F293" s="2">
        <f t="shared" si="54"/>
        <v>221.28825964340433</v>
      </c>
      <c r="G293" s="1">
        <v>2080</v>
      </c>
      <c r="H293" s="1">
        <v>3744</v>
      </c>
      <c r="I293" s="1">
        <v>0</v>
      </c>
      <c r="J293" s="1">
        <v>95</v>
      </c>
      <c r="K293" s="1">
        <f t="shared" si="55"/>
        <v>0</v>
      </c>
      <c r="L293" s="1">
        <f t="shared" si="56"/>
        <v>0.82896634615384601</v>
      </c>
      <c r="M293" s="1">
        <f t="shared" si="57"/>
        <v>0.82896634615384601</v>
      </c>
      <c r="N293" s="2">
        <f t="shared" si="51"/>
        <v>20.26620269682471</v>
      </c>
      <c r="O293" s="1">
        <v>1583</v>
      </c>
      <c r="P293" s="1">
        <f t="shared" si="58"/>
        <v>289</v>
      </c>
      <c r="Q293" s="1">
        <f t="shared" si="59"/>
        <v>7.8810952042168321</v>
      </c>
      <c r="R293" s="1">
        <f t="shared" si="60"/>
        <v>1.2166861720185174</v>
      </c>
      <c r="S293" s="2">
        <f t="shared" si="61"/>
        <v>3.4356417377116859</v>
      </c>
      <c r="T293" s="2">
        <f t="shared" si="62"/>
        <v>5.9963260242008355E-2</v>
      </c>
      <c r="U293" s="1" t="s">
        <v>2507</v>
      </c>
      <c r="V293" s="6" t="s">
        <v>2505</v>
      </c>
    </row>
    <row r="294" spans="1:24" ht="14.25" customHeight="1" x14ac:dyDescent="0.3">
      <c r="A294" s="1" t="s">
        <v>30</v>
      </c>
      <c r="B294" s="1" t="s">
        <v>614</v>
      </c>
      <c r="C294" s="1" t="s">
        <v>615</v>
      </c>
      <c r="D294" s="1">
        <f t="shared" si="52"/>
        <v>45</v>
      </c>
      <c r="E294" s="1">
        <f t="shared" si="53"/>
        <v>2.7465277777777772E-2</v>
      </c>
      <c r="F294" s="2">
        <f t="shared" si="54"/>
        <v>277.92593919987235</v>
      </c>
      <c r="G294" s="1">
        <v>2080</v>
      </c>
      <c r="H294" s="1">
        <v>3744</v>
      </c>
      <c r="I294" s="1">
        <v>0</v>
      </c>
      <c r="J294" s="1">
        <v>133</v>
      </c>
      <c r="K294" s="1">
        <f t="shared" si="55"/>
        <v>0</v>
      </c>
      <c r="L294" s="1">
        <f t="shared" si="56"/>
        <v>1.1605528846153845</v>
      </c>
      <c r="M294" s="1">
        <f t="shared" si="57"/>
        <v>1.1605528846153845</v>
      </c>
      <c r="N294" s="2">
        <f t="shared" si="51"/>
        <v>14.475859069160506</v>
      </c>
      <c r="O294" s="1">
        <v>1582</v>
      </c>
      <c r="P294" s="1">
        <f t="shared" si="58"/>
        <v>290</v>
      </c>
      <c r="Q294" s="1">
        <f t="shared" si="59"/>
        <v>5.6293537172977368</v>
      </c>
      <c r="R294" s="1">
        <f t="shared" si="60"/>
        <v>0.87206868483779043</v>
      </c>
      <c r="S294" s="2">
        <f t="shared" si="61"/>
        <v>3.4475011479995166</v>
      </c>
      <c r="T294" s="2">
        <f t="shared" si="62"/>
        <v>6.0170245998875889E-2</v>
      </c>
      <c r="U294" s="1" t="s">
        <v>2507</v>
      </c>
      <c r="V294" s="6" t="s">
        <v>2505</v>
      </c>
    </row>
    <row r="295" spans="1:24" ht="14.25" customHeight="1" x14ac:dyDescent="0.3">
      <c r="A295" s="1" t="s">
        <v>17</v>
      </c>
      <c r="B295" s="1" t="s">
        <v>616</v>
      </c>
      <c r="C295" s="1" t="s">
        <v>617</v>
      </c>
      <c r="D295" s="1">
        <f t="shared" si="52"/>
        <v>25</v>
      </c>
      <c r="E295" s="1">
        <f t="shared" si="53"/>
        <v>9.8842592592592576E-3</v>
      </c>
      <c r="F295" s="2">
        <f t="shared" si="54"/>
        <v>152.15176825903978</v>
      </c>
      <c r="G295" s="1">
        <v>2080</v>
      </c>
      <c r="H295" s="1">
        <v>3744</v>
      </c>
      <c r="I295" s="1">
        <v>0</v>
      </c>
      <c r="J295" s="1">
        <v>186</v>
      </c>
      <c r="K295" s="1">
        <f t="shared" si="55"/>
        <v>0</v>
      </c>
      <c r="L295" s="1">
        <f t="shared" si="56"/>
        <v>1.623028846153846</v>
      </c>
      <c r="M295" s="1">
        <f t="shared" si="57"/>
        <v>1.623028846153846</v>
      </c>
      <c r="N295" s="2">
        <f t="shared" si="51"/>
        <v>10.351017506442728</v>
      </c>
      <c r="O295" s="1">
        <v>1581</v>
      </c>
      <c r="P295" s="1">
        <f t="shared" si="58"/>
        <v>291</v>
      </c>
      <c r="Q295" s="1">
        <f t="shared" si="59"/>
        <v>4.0252905612935432</v>
      </c>
      <c r="R295" s="1">
        <f t="shared" si="60"/>
        <v>0.62572625712415653</v>
      </c>
      <c r="S295" s="2">
        <f t="shared" si="61"/>
        <v>3.4593602625344135</v>
      </c>
      <c r="T295" s="2">
        <f t="shared" si="62"/>
        <v>6.0377226593880957E-2</v>
      </c>
      <c r="U295" s="1" t="s">
        <v>2507</v>
      </c>
      <c r="V295" s="6" t="s">
        <v>2505</v>
      </c>
    </row>
    <row r="296" spans="1:24" ht="14.25" customHeight="1" x14ac:dyDescent="0.3">
      <c r="A296" s="1" t="s">
        <v>40</v>
      </c>
      <c r="B296" s="1" t="s">
        <v>618</v>
      </c>
      <c r="C296" s="1" t="s">
        <v>619</v>
      </c>
      <c r="D296" s="1">
        <f t="shared" si="52"/>
        <v>92</v>
      </c>
      <c r="E296" s="1">
        <f t="shared" si="53"/>
        <v>0.31077546296296293</v>
      </c>
      <c r="F296" s="2">
        <f t="shared" si="54"/>
        <v>575.0157390302428</v>
      </c>
      <c r="G296" s="1">
        <v>2080</v>
      </c>
      <c r="H296" s="1">
        <v>3744</v>
      </c>
      <c r="I296" s="1">
        <v>0</v>
      </c>
      <c r="J296" s="1">
        <v>106</v>
      </c>
      <c r="K296" s="1">
        <f t="shared" si="55"/>
        <v>0</v>
      </c>
      <c r="L296" s="1">
        <f t="shared" si="56"/>
        <v>0.92495192307692298</v>
      </c>
      <c r="M296" s="1">
        <f t="shared" si="57"/>
        <v>0.92495192307692298</v>
      </c>
      <c r="N296" s="2">
        <f t="shared" si="51"/>
        <v>18.163106190550447</v>
      </c>
      <c r="O296" s="1">
        <v>1581</v>
      </c>
      <c r="P296" s="1">
        <f t="shared" si="58"/>
        <v>291</v>
      </c>
      <c r="Q296" s="1">
        <f t="shared" si="59"/>
        <v>7.0632457018924439</v>
      </c>
      <c r="R296" s="1">
        <f t="shared" si="60"/>
        <v>1.0979724889159728</v>
      </c>
      <c r="S296" s="2">
        <f t="shared" si="61"/>
        <v>3.4593602625344135</v>
      </c>
      <c r="T296" s="2">
        <f t="shared" si="62"/>
        <v>6.0377226593880957E-2</v>
      </c>
      <c r="U296" s="1" t="s">
        <v>2507</v>
      </c>
      <c r="V296" s="6" t="s">
        <v>2505</v>
      </c>
      <c r="W296" s="1" t="s">
        <v>620</v>
      </c>
      <c r="X296" s="1">
        <v>14</v>
      </c>
    </row>
    <row r="297" spans="1:24" ht="14.25" customHeight="1" x14ac:dyDescent="0.3">
      <c r="A297" s="1" t="s">
        <v>17</v>
      </c>
      <c r="B297" s="1" t="s">
        <v>621</v>
      </c>
      <c r="C297" s="1" t="s">
        <v>622</v>
      </c>
      <c r="D297" s="1">
        <f t="shared" si="52"/>
        <v>6</v>
      </c>
      <c r="E297" s="1">
        <f t="shared" si="53"/>
        <v>0.76943287037037045</v>
      </c>
      <c r="F297" s="2">
        <f t="shared" si="54"/>
        <v>37.543632096049642</v>
      </c>
      <c r="G297" s="1">
        <v>2080</v>
      </c>
      <c r="H297" s="1">
        <v>3744</v>
      </c>
      <c r="I297" s="1">
        <v>0</v>
      </c>
      <c r="J297" s="1">
        <v>204</v>
      </c>
      <c r="K297" s="1">
        <f t="shared" si="55"/>
        <v>0</v>
      </c>
      <c r="L297" s="1">
        <f t="shared" si="56"/>
        <v>1.7800961538461537</v>
      </c>
      <c r="M297" s="1">
        <f t="shared" si="57"/>
        <v>1.7800961538461537</v>
      </c>
      <c r="N297" s="2">
        <f t="shared" si="51"/>
        <v>9.4376924323448392</v>
      </c>
      <c r="O297" s="1">
        <v>1578</v>
      </c>
      <c r="P297" s="1">
        <f t="shared" si="58"/>
        <v>294</v>
      </c>
      <c r="Q297" s="1">
        <f t="shared" si="59"/>
        <v>3.6701178647088186</v>
      </c>
      <c r="R297" s="1">
        <f t="shared" si="60"/>
        <v>0.57639671593183373</v>
      </c>
      <c r="S297" s="2">
        <f t="shared" si="61"/>
        <v>3.4949358215721644</v>
      </c>
      <c r="T297" s="2">
        <f t="shared" si="62"/>
        <v>6.0998137232327332E-2</v>
      </c>
      <c r="U297" s="1" t="s">
        <v>2507</v>
      </c>
      <c r="V297" s="6" t="s">
        <v>2505</v>
      </c>
    </row>
    <row r="298" spans="1:24" ht="14.25" customHeight="1" x14ac:dyDescent="0.3">
      <c r="A298" s="1" t="s">
        <v>27</v>
      </c>
      <c r="B298" s="1" t="s">
        <v>623</v>
      </c>
      <c r="C298" s="1" t="s">
        <v>624</v>
      </c>
      <c r="D298" s="1">
        <f t="shared" si="52"/>
        <v>41</v>
      </c>
      <c r="E298" s="1">
        <f t="shared" si="53"/>
        <v>0.8089467592592593</v>
      </c>
      <c r="F298" s="2">
        <f t="shared" si="54"/>
        <v>257.70339093343136</v>
      </c>
      <c r="G298" s="1">
        <v>2080</v>
      </c>
      <c r="H298" s="1">
        <v>3744</v>
      </c>
      <c r="I298" s="1">
        <v>0</v>
      </c>
      <c r="J298" s="1">
        <v>198</v>
      </c>
      <c r="K298" s="1">
        <f t="shared" si="55"/>
        <v>0</v>
      </c>
      <c r="L298" s="1">
        <f t="shared" si="56"/>
        <v>1.7277403846153845</v>
      </c>
      <c r="M298" s="1">
        <f t="shared" si="57"/>
        <v>1.7277403846153845</v>
      </c>
      <c r="N298" s="2">
        <f t="shared" si="51"/>
        <v>9.723683112112866</v>
      </c>
      <c r="O298" s="1">
        <v>1575</v>
      </c>
      <c r="P298" s="1">
        <f t="shared" si="58"/>
        <v>297</v>
      </c>
      <c r="Q298" s="1">
        <f t="shared" si="59"/>
        <v>3.7813335575787832</v>
      </c>
      <c r="R298" s="1">
        <f t="shared" si="60"/>
        <v>0.59992311250048003</v>
      </c>
      <c r="S298" s="2">
        <f t="shared" si="61"/>
        <v>3.530508682662286</v>
      </c>
      <c r="T298" s="2">
        <f t="shared" si="62"/>
        <v>6.1619000782704533E-2</v>
      </c>
      <c r="U298" s="1" t="s">
        <v>2507</v>
      </c>
      <c r="V298" s="6" t="s">
        <v>2505</v>
      </c>
    </row>
    <row r="299" spans="1:24" ht="14.25" customHeight="1" x14ac:dyDescent="0.3">
      <c r="A299" s="1" t="s">
        <v>40</v>
      </c>
      <c r="B299" s="1" t="s">
        <v>625</v>
      </c>
      <c r="C299" s="1" t="s">
        <v>626</v>
      </c>
      <c r="D299" s="1">
        <f t="shared" si="52"/>
        <v>36</v>
      </c>
      <c r="E299" s="1">
        <f t="shared" si="53"/>
        <v>1.3310185185185187E-2</v>
      </c>
      <c r="F299" s="2">
        <f t="shared" si="54"/>
        <v>221.28833236545648</v>
      </c>
      <c r="G299" s="1">
        <v>2080</v>
      </c>
      <c r="H299" s="1">
        <v>3744</v>
      </c>
      <c r="I299" s="1">
        <v>0</v>
      </c>
      <c r="J299" s="1">
        <v>113</v>
      </c>
      <c r="K299" s="1">
        <f t="shared" si="55"/>
        <v>0</v>
      </c>
      <c r="L299" s="1">
        <f t="shared" si="56"/>
        <v>0.98603365384615371</v>
      </c>
      <c r="M299" s="1">
        <f t="shared" si="57"/>
        <v>0.98603365384615371</v>
      </c>
      <c r="N299" s="2">
        <f t="shared" si="51"/>
        <v>17.0379580194544</v>
      </c>
      <c r="O299" s="1">
        <v>1574</v>
      </c>
      <c r="P299" s="1">
        <f t="shared" si="58"/>
        <v>298</v>
      </c>
      <c r="Q299" s="1">
        <f t="shared" si="59"/>
        <v>6.6256995079699026</v>
      </c>
      <c r="R299" s="1">
        <f t="shared" si="60"/>
        <v>1.054732079794354</v>
      </c>
      <c r="S299" s="2">
        <f t="shared" si="61"/>
        <v>3.5423656987949048</v>
      </c>
      <c r="T299" s="2">
        <f t="shared" si="62"/>
        <v>6.182594475368082E-2</v>
      </c>
      <c r="U299" s="1" t="s">
        <v>2507</v>
      </c>
      <c r="V299" s="6" t="s">
        <v>2505</v>
      </c>
    </row>
    <row r="300" spans="1:24" ht="14.25" customHeight="1" x14ac:dyDescent="0.3">
      <c r="A300" s="1" t="s">
        <v>27</v>
      </c>
      <c r="B300" s="1" t="s">
        <v>627</v>
      </c>
      <c r="C300" s="1" t="s">
        <v>628</v>
      </c>
      <c r="D300" s="1">
        <f t="shared" si="52"/>
        <v>55</v>
      </c>
      <c r="E300" s="1">
        <f t="shared" si="53"/>
        <v>0.71898148148148155</v>
      </c>
      <c r="F300" s="2">
        <f t="shared" si="54"/>
        <v>345.10271672245591</v>
      </c>
      <c r="G300" s="1">
        <v>2080</v>
      </c>
      <c r="H300" s="1">
        <v>3744</v>
      </c>
      <c r="I300" s="1">
        <v>0</v>
      </c>
      <c r="J300" s="1">
        <v>120</v>
      </c>
      <c r="K300" s="1">
        <f t="shared" si="55"/>
        <v>0</v>
      </c>
      <c r="L300" s="1">
        <f t="shared" si="56"/>
        <v>1.0471153846153847</v>
      </c>
      <c r="M300" s="1">
        <f t="shared" si="57"/>
        <v>1.0471153846153847</v>
      </c>
      <c r="N300" s="2">
        <f t="shared" si="51"/>
        <v>16.044077134986225</v>
      </c>
      <c r="O300" s="1">
        <v>1573</v>
      </c>
      <c r="P300" s="1">
        <f t="shared" si="58"/>
        <v>299</v>
      </c>
      <c r="Q300" s="1">
        <f t="shared" si="59"/>
        <v>6.2392003700049905</v>
      </c>
      <c r="R300" s="1">
        <f t="shared" si="60"/>
        <v>0.99653894798690812</v>
      </c>
      <c r="S300" s="2">
        <f t="shared" si="61"/>
        <v>3.5542224111387908</v>
      </c>
      <c r="T300" s="2">
        <f t="shared" si="62"/>
        <v>6.2032883422543483E-2</v>
      </c>
      <c r="U300" s="1" t="s">
        <v>2507</v>
      </c>
      <c r="V300" s="6" t="s">
        <v>2505</v>
      </c>
      <c r="W300" s="1"/>
      <c r="X300" s="1"/>
    </row>
    <row r="301" spans="1:24" ht="14.25" customHeight="1" x14ac:dyDescent="0.3">
      <c r="A301" s="1" t="s">
        <v>27</v>
      </c>
      <c r="B301" s="1" t="s">
        <v>629</v>
      </c>
      <c r="C301" s="1" t="s">
        <v>630</v>
      </c>
      <c r="D301" s="1">
        <f t="shared" si="52"/>
        <v>36</v>
      </c>
      <c r="E301" s="1">
        <f t="shared" si="53"/>
        <v>0.27358796296296295</v>
      </c>
      <c r="F301" s="2">
        <f t="shared" si="54"/>
        <v>222.92370587457518</v>
      </c>
      <c r="G301" s="1">
        <v>2080</v>
      </c>
      <c r="H301" s="1">
        <v>3744</v>
      </c>
      <c r="I301" s="1">
        <v>0</v>
      </c>
      <c r="J301" s="1">
        <v>171</v>
      </c>
      <c r="K301" s="1">
        <f t="shared" si="55"/>
        <v>0</v>
      </c>
      <c r="L301" s="1">
        <f t="shared" si="56"/>
        <v>1.4921394230769229</v>
      </c>
      <c r="M301" s="1">
        <f t="shared" si="57"/>
        <v>1.4921394230769229</v>
      </c>
      <c r="N301" s="2">
        <f t="shared" si="51"/>
        <v>11.25900149823595</v>
      </c>
      <c r="O301" s="1">
        <v>1573</v>
      </c>
      <c r="P301" s="1">
        <f t="shared" si="58"/>
        <v>299</v>
      </c>
      <c r="Q301" s="1">
        <f t="shared" si="59"/>
        <v>4.378386224564907</v>
      </c>
      <c r="R301" s="1">
        <f t="shared" si="60"/>
        <v>0.69932557753467262</v>
      </c>
      <c r="S301" s="2">
        <f t="shared" si="61"/>
        <v>3.5542224111387908</v>
      </c>
      <c r="T301" s="2">
        <f t="shared" si="62"/>
        <v>6.2032883422543483E-2</v>
      </c>
      <c r="U301" s="1" t="s">
        <v>2507</v>
      </c>
      <c r="V301" s="6" t="s">
        <v>2505</v>
      </c>
    </row>
    <row r="302" spans="1:24" ht="14.25" customHeight="1" x14ac:dyDescent="0.3">
      <c r="A302" s="1" t="s">
        <v>27</v>
      </c>
      <c r="B302" s="1" t="s">
        <v>631</v>
      </c>
      <c r="C302" s="1" t="s">
        <v>632</v>
      </c>
      <c r="D302" s="1">
        <f t="shared" si="52"/>
        <v>54</v>
      </c>
      <c r="E302" s="1">
        <f t="shared" si="53"/>
        <v>0.17130787037037035</v>
      </c>
      <c r="F302" s="2">
        <f t="shared" si="54"/>
        <v>335.37839662881299</v>
      </c>
      <c r="G302" s="1">
        <v>2080</v>
      </c>
      <c r="H302" s="1">
        <v>3744</v>
      </c>
      <c r="I302" s="1">
        <v>0</v>
      </c>
      <c r="J302" s="1">
        <v>178</v>
      </c>
      <c r="K302" s="1">
        <f t="shared" si="55"/>
        <v>0</v>
      </c>
      <c r="L302" s="1">
        <f t="shared" si="56"/>
        <v>1.5532211538461538</v>
      </c>
      <c r="M302" s="1">
        <f t="shared" si="57"/>
        <v>1.5532211538461538</v>
      </c>
      <c r="N302" s="2">
        <f t="shared" si="51"/>
        <v>10.81623177639521</v>
      </c>
      <c r="O302" s="1">
        <v>1572</v>
      </c>
      <c r="P302" s="1">
        <f t="shared" si="58"/>
        <v>300</v>
      </c>
      <c r="Q302" s="1">
        <f t="shared" si="59"/>
        <v>4.2062024966325788</v>
      </c>
      <c r="R302" s="1">
        <f t="shared" si="60"/>
        <v>0.6740709129218877</v>
      </c>
      <c r="S302" s="2">
        <f t="shared" si="61"/>
        <v>3.5660788186901633</v>
      </c>
      <c r="T302" s="2">
        <f t="shared" si="62"/>
        <v>6.2239816771773253E-2</v>
      </c>
      <c r="U302" s="1" t="s">
        <v>2507</v>
      </c>
      <c r="V302" s="6" t="s">
        <v>2505</v>
      </c>
    </row>
    <row r="303" spans="1:24" ht="14.25" customHeight="1" x14ac:dyDescent="0.3">
      <c r="A303" s="1" t="s">
        <v>20</v>
      </c>
      <c r="B303" s="1" t="s">
        <v>633</v>
      </c>
      <c r="C303" s="1" t="s">
        <v>634</v>
      </c>
      <c r="D303" s="1">
        <f t="shared" si="52"/>
        <v>49</v>
      </c>
      <c r="E303" s="1">
        <f t="shared" si="53"/>
        <v>0.76886574074074077</v>
      </c>
      <c r="F303" s="2">
        <f t="shared" si="54"/>
        <v>307.71703692421573</v>
      </c>
      <c r="G303" s="1">
        <v>2080</v>
      </c>
      <c r="H303" s="1">
        <v>3744</v>
      </c>
      <c r="I303" s="1">
        <v>0</v>
      </c>
      <c r="J303" s="1">
        <v>208</v>
      </c>
      <c r="K303" s="1">
        <f t="shared" si="55"/>
        <v>0</v>
      </c>
      <c r="L303" s="1">
        <f t="shared" si="56"/>
        <v>1.8149999999999999</v>
      </c>
      <c r="M303" s="1">
        <f t="shared" si="57"/>
        <v>1.8149999999999999</v>
      </c>
      <c r="N303" s="2">
        <f t="shared" si="51"/>
        <v>9.2561983471074392</v>
      </c>
      <c r="O303" s="1">
        <v>1571</v>
      </c>
      <c r="P303" s="1">
        <f t="shared" si="58"/>
        <v>301</v>
      </c>
      <c r="Q303" s="1">
        <f t="shared" si="59"/>
        <v>3.5995386750028797</v>
      </c>
      <c r="R303" s="1">
        <f t="shared" si="60"/>
        <v>0.57877197712386053</v>
      </c>
      <c r="S303" s="2">
        <f t="shared" si="61"/>
        <v>3.5779349204453976</v>
      </c>
      <c r="T303" s="2">
        <f t="shared" si="62"/>
        <v>6.2446744783853571E-2</v>
      </c>
      <c r="U303" s="1" t="s">
        <v>2507</v>
      </c>
      <c r="V303" s="6" t="s">
        <v>2505</v>
      </c>
    </row>
    <row r="304" spans="1:24" ht="14.25" customHeight="1" x14ac:dyDescent="0.3">
      <c r="A304" s="1" t="s">
        <v>40</v>
      </c>
      <c r="B304" s="1" t="s">
        <v>635</v>
      </c>
      <c r="C304" s="1" t="s">
        <v>636</v>
      </c>
      <c r="D304" s="1">
        <f t="shared" si="52"/>
        <v>29</v>
      </c>
      <c r="E304" s="1">
        <f t="shared" si="53"/>
        <v>0.21960648148148146</v>
      </c>
      <c r="F304" s="2">
        <f t="shared" si="54"/>
        <v>178.60223307301385</v>
      </c>
      <c r="G304" s="1">
        <v>2080</v>
      </c>
      <c r="H304" s="1">
        <v>3744</v>
      </c>
      <c r="I304" s="1">
        <v>0</v>
      </c>
      <c r="J304" s="1">
        <v>95</v>
      </c>
      <c r="K304" s="1">
        <f t="shared" si="55"/>
        <v>0</v>
      </c>
      <c r="L304" s="1">
        <f t="shared" si="56"/>
        <v>0.82896634615384601</v>
      </c>
      <c r="M304" s="1">
        <f t="shared" si="57"/>
        <v>0.82896634615384601</v>
      </c>
      <c r="N304" s="2">
        <f t="shared" si="51"/>
        <v>20.26620269682471</v>
      </c>
      <c r="O304" s="1">
        <v>1570</v>
      </c>
      <c r="P304" s="1">
        <f t="shared" si="58"/>
        <v>302</v>
      </c>
      <c r="Q304" s="1">
        <f t="shared" si="59"/>
        <v>7.8810952042168321</v>
      </c>
      <c r="R304" s="1">
        <f t="shared" si="60"/>
        <v>1.2714159998255787</v>
      </c>
      <c r="S304" s="2">
        <f t="shared" si="61"/>
        <v>3.5897907154010249</v>
      </c>
      <c r="T304" s="2">
        <f t="shared" si="62"/>
        <v>6.26536674412706E-2</v>
      </c>
      <c r="U304" s="1" t="s">
        <v>2507</v>
      </c>
      <c r="V304" s="6" t="s">
        <v>2505</v>
      </c>
    </row>
    <row r="305" spans="1:24" ht="14.25" customHeight="1" x14ac:dyDescent="0.3">
      <c r="A305" s="1" t="s">
        <v>27</v>
      </c>
      <c r="B305" s="1" t="s">
        <v>637</v>
      </c>
      <c r="C305" s="1" t="s">
        <v>638</v>
      </c>
      <c r="D305" s="1">
        <f t="shared" si="52"/>
        <v>41</v>
      </c>
      <c r="E305" s="1">
        <f t="shared" si="53"/>
        <v>0.80893518518518526</v>
      </c>
      <c r="F305" s="2">
        <f t="shared" si="54"/>
        <v>257.70331821137921</v>
      </c>
      <c r="G305" s="1">
        <v>2080</v>
      </c>
      <c r="H305" s="1">
        <v>3744</v>
      </c>
      <c r="I305" s="1">
        <v>0</v>
      </c>
      <c r="J305" s="1">
        <v>201</v>
      </c>
      <c r="K305" s="1">
        <f t="shared" si="55"/>
        <v>0</v>
      </c>
      <c r="L305" s="1">
        <f t="shared" si="56"/>
        <v>1.7539182692307691</v>
      </c>
      <c r="M305" s="1">
        <f t="shared" si="57"/>
        <v>1.7539182692307691</v>
      </c>
      <c r="N305" s="2">
        <f t="shared" si="51"/>
        <v>9.5785535134246143</v>
      </c>
      <c r="O305" s="1">
        <v>1570</v>
      </c>
      <c r="P305" s="1">
        <f t="shared" si="58"/>
        <v>302</v>
      </c>
      <c r="Q305" s="1">
        <f t="shared" si="59"/>
        <v>3.7248957432865626</v>
      </c>
      <c r="R305" s="1">
        <f t="shared" si="60"/>
        <v>0.60091800986781085</v>
      </c>
      <c r="S305" s="2">
        <f t="shared" si="61"/>
        <v>3.5897907154010249</v>
      </c>
      <c r="T305" s="2">
        <f t="shared" si="62"/>
        <v>6.26536674412706E-2</v>
      </c>
      <c r="U305" s="1" t="s">
        <v>2507</v>
      </c>
      <c r="V305" s="6" t="s">
        <v>2505</v>
      </c>
    </row>
    <row r="306" spans="1:24" ht="14.25" customHeight="1" x14ac:dyDescent="0.3">
      <c r="A306" s="1" t="s">
        <v>40</v>
      </c>
      <c r="B306" s="1" t="s">
        <v>639</v>
      </c>
      <c r="C306" s="1" t="s">
        <v>640</v>
      </c>
      <c r="D306" s="1">
        <f t="shared" si="52"/>
        <v>8</v>
      </c>
      <c r="E306" s="1">
        <f t="shared" si="53"/>
        <v>0.9644328703703704</v>
      </c>
      <c r="F306" s="2">
        <f t="shared" si="54"/>
        <v>51.335223845308832</v>
      </c>
      <c r="G306" s="1">
        <v>2080</v>
      </c>
      <c r="H306" s="1">
        <v>3744</v>
      </c>
      <c r="I306" s="1">
        <v>0</v>
      </c>
      <c r="J306" s="1">
        <v>198</v>
      </c>
      <c r="K306" s="1">
        <f t="shared" si="55"/>
        <v>0</v>
      </c>
      <c r="L306" s="1">
        <f t="shared" si="56"/>
        <v>1.7277403846153845</v>
      </c>
      <c r="M306" s="1">
        <f t="shared" si="57"/>
        <v>1.7277403846153845</v>
      </c>
      <c r="N306" s="2">
        <f t="shared" si="51"/>
        <v>9.723683112112866</v>
      </c>
      <c r="O306" s="1">
        <v>1569</v>
      </c>
      <c r="P306" s="1">
        <f t="shared" si="58"/>
        <v>303</v>
      </c>
      <c r="Q306" s="1">
        <f t="shared" si="59"/>
        <v>3.7813335575787832</v>
      </c>
      <c r="R306" s="1">
        <f t="shared" si="60"/>
        <v>0.61204277133887364</v>
      </c>
      <c r="S306" s="2">
        <f t="shared" si="61"/>
        <v>3.6016462025537357</v>
      </c>
      <c r="T306" s="2">
        <f t="shared" si="62"/>
        <v>6.2860584726513291E-2</v>
      </c>
      <c r="U306" s="1" t="s">
        <v>2507</v>
      </c>
      <c r="V306" s="6" t="s">
        <v>2505</v>
      </c>
    </row>
    <row r="307" spans="1:24" ht="14.25" customHeight="1" x14ac:dyDescent="0.3">
      <c r="A307" s="1" t="s">
        <v>40</v>
      </c>
      <c r="B307" s="1" t="s">
        <v>641</v>
      </c>
      <c r="C307" s="1" t="s">
        <v>642</v>
      </c>
      <c r="D307" s="1">
        <f t="shared" si="52"/>
        <v>36</v>
      </c>
      <c r="E307" s="1">
        <f t="shared" si="53"/>
        <v>1.2731481481481481E-2</v>
      </c>
      <c r="F307" s="2">
        <f t="shared" si="54"/>
        <v>221.28469626284817</v>
      </c>
      <c r="G307" s="1">
        <v>2080</v>
      </c>
      <c r="H307" s="1">
        <v>3744</v>
      </c>
      <c r="I307" s="1">
        <v>0</v>
      </c>
      <c r="J307" s="1">
        <v>110</v>
      </c>
      <c r="K307" s="1">
        <f t="shared" si="55"/>
        <v>0</v>
      </c>
      <c r="L307" s="1">
        <f t="shared" si="56"/>
        <v>0.9598557692307691</v>
      </c>
      <c r="M307" s="1">
        <f t="shared" si="57"/>
        <v>0.9598557692307691</v>
      </c>
      <c r="N307" s="2">
        <f t="shared" si="51"/>
        <v>17.502629601803157</v>
      </c>
      <c r="O307" s="1">
        <v>1568</v>
      </c>
      <c r="P307" s="1">
        <f t="shared" si="58"/>
        <v>304</v>
      </c>
      <c r="Q307" s="1">
        <f t="shared" si="59"/>
        <v>6.8064004036418089</v>
      </c>
      <c r="R307" s="1">
        <f t="shared" si="60"/>
        <v>1.1053128860614905</v>
      </c>
      <c r="S307" s="2">
        <f t="shared" si="61"/>
        <v>3.6135013809003773</v>
      </c>
      <c r="T307" s="2">
        <f t="shared" si="62"/>
        <v>6.3067496622073324E-2</v>
      </c>
      <c r="U307" s="1" t="s">
        <v>2507</v>
      </c>
      <c r="V307" s="6" t="s">
        <v>2505</v>
      </c>
    </row>
    <row r="308" spans="1:24" ht="14.25" customHeight="1" x14ac:dyDescent="0.3">
      <c r="A308" s="1" t="s">
        <v>40</v>
      </c>
      <c r="B308" s="1" t="s">
        <v>643</v>
      </c>
      <c r="C308" s="1" t="s">
        <v>644</v>
      </c>
      <c r="D308" s="1">
        <f t="shared" si="52"/>
        <v>28</v>
      </c>
      <c r="E308" s="1">
        <f t="shared" si="53"/>
        <v>0.22871527777777778</v>
      </c>
      <c r="F308" s="2">
        <f t="shared" si="54"/>
        <v>172.37628002088923</v>
      </c>
      <c r="G308" s="1">
        <v>2080</v>
      </c>
      <c r="H308" s="1">
        <v>3744</v>
      </c>
      <c r="I308" s="1">
        <v>0</v>
      </c>
      <c r="J308" s="1">
        <v>92</v>
      </c>
      <c r="K308" s="1">
        <f t="shared" si="55"/>
        <v>0</v>
      </c>
      <c r="L308" s="1">
        <f t="shared" si="56"/>
        <v>0.80278846153846151</v>
      </c>
      <c r="M308" s="1">
        <f t="shared" si="57"/>
        <v>0.80278846153846151</v>
      </c>
      <c r="N308" s="2">
        <f t="shared" si="51"/>
        <v>20.927057132590733</v>
      </c>
      <c r="O308" s="1">
        <v>1567</v>
      </c>
      <c r="P308" s="1">
        <f t="shared" si="58"/>
        <v>305</v>
      </c>
      <c r="Q308" s="1">
        <f t="shared" si="59"/>
        <v>8.138087439136946</v>
      </c>
      <c r="R308" s="1">
        <f t="shared" si="60"/>
        <v>1.325917024004684</v>
      </c>
      <c r="S308" s="2">
        <f t="shared" si="61"/>
        <v>3.6253562494379508</v>
      </c>
      <c r="T308" s="2">
        <f t="shared" si="62"/>
        <v>6.3274403110445063E-2</v>
      </c>
      <c r="U308" s="1" t="s">
        <v>2507</v>
      </c>
      <c r="V308" s="6" t="s">
        <v>2505</v>
      </c>
    </row>
    <row r="309" spans="1:24" ht="14.25" customHeight="1" x14ac:dyDescent="0.3">
      <c r="A309" s="1" t="s">
        <v>30</v>
      </c>
      <c r="B309" s="1" t="s">
        <v>645</v>
      </c>
      <c r="C309" s="1" t="s">
        <v>646</v>
      </c>
      <c r="D309" s="1">
        <f t="shared" si="52"/>
        <v>76</v>
      </c>
      <c r="E309" s="1">
        <f t="shared" si="53"/>
        <v>0.11349537037037037</v>
      </c>
      <c r="F309" s="2">
        <f t="shared" si="54"/>
        <v>473.24522673619259</v>
      </c>
      <c r="G309" s="1">
        <v>2080</v>
      </c>
      <c r="H309" s="1">
        <v>3744</v>
      </c>
      <c r="I309" s="1">
        <v>0</v>
      </c>
      <c r="J309" s="1">
        <v>169</v>
      </c>
      <c r="K309" s="1">
        <f t="shared" si="55"/>
        <v>0</v>
      </c>
      <c r="L309" s="1">
        <f t="shared" si="56"/>
        <v>1.4746874999999999</v>
      </c>
      <c r="M309" s="1">
        <f t="shared" si="57"/>
        <v>1.4746874999999999</v>
      </c>
      <c r="N309" s="2">
        <f t="shared" si="51"/>
        <v>11.392244119516848</v>
      </c>
      <c r="O309" s="1">
        <v>1567</v>
      </c>
      <c r="P309" s="1">
        <f t="shared" si="58"/>
        <v>305</v>
      </c>
      <c r="Q309" s="1">
        <f t="shared" si="59"/>
        <v>4.4302014461573904</v>
      </c>
      <c r="R309" s="1">
        <f t="shared" si="60"/>
        <v>0.72180098348183985</v>
      </c>
      <c r="S309" s="2">
        <f t="shared" si="61"/>
        <v>3.6253562494379512</v>
      </c>
      <c r="T309" s="2">
        <f t="shared" si="62"/>
        <v>6.3274403110445077E-2</v>
      </c>
      <c r="U309" s="1" t="s">
        <v>2507</v>
      </c>
      <c r="V309" s="6" t="s">
        <v>2505</v>
      </c>
    </row>
    <row r="310" spans="1:24" ht="14.25" customHeight="1" x14ac:dyDescent="0.3">
      <c r="A310" s="1" t="s">
        <v>27</v>
      </c>
      <c r="B310" s="1" t="s">
        <v>647</v>
      </c>
      <c r="C310" s="1" t="s">
        <v>648</v>
      </c>
      <c r="D310" s="1">
        <f t="shared" si="52"/>
        <v>45</v>
      </c>
      <c r="E310" s="1">
        <f t="shared" si="53"/>
        <v>0.1009375</v>
      </c>
      <c r="F310" s="2">
        <f t="shared" si="54"/>
        <v>278.38757878702484</v>
      </c>
      <c r="G310" s="1">
        <v>2080</v>
      </c>
      <c r="H310" s="1">
        <v>3744</v>
      </c>
      <c r="I310" s="1">
        <v>0</v>
      </c>
      <c r="J310" s="1">
        <v>243</v>
      </c>
      <c r="K310" s="1">
        <f t="shared" si="55"/>
        <v>0</v>
      </c>
      <c r="L310" s="1">
        <f t="shared" si="56"/>
        <v>2.120408653846154</v>
      </c>
      <c r="M310" s="1">
        <f t="shared" si="57"/>
        <v>2.120408653846154</v>
      </c>
      <c r="N310" s="2">
        <f t="shared" si="51"/>
        <v>7.9230010543141853</v>
      </c>
      <c r="O310" s="1">
        <v>1566</v>
      </c>
      <c r="P310" s="1">
        <f t="shared" si="58"/>
        <v>306</v>
      </c>
      <c r="Q310" s="1">
        <f t="shared" si="59"/>
        <v>3.0810866024716006</v>
      </c>
      <c r="R310" s="1">
        <f t="shared" si="60"/>
        <v>0.5036391561732424</v>
      </c>
      <c r="S310" s="2">
        <f t="shared" si="61"/>
        <v>3.6372108071636227</v>
      </c>
      <c r="T310" s="2">
        <f t="shared" si="62"/>
        <v>6.3481304174125772E-2</v>
      </c>
      <c r="U310" s="1" t="s">
        <v>2507</v>
      </c>
      <c r="V310" s="6" t="s">
        <v>2505</v>
      </c>
    </row>
    <row r="311" spans="1:24" ht="14.25" customHeight="1" x14ac:dyDescent="0.3">
      <c r="A311" s="1" t="s">
        <v>65</v>
      </c>
      <c r="B311" s="1" t="s">
        <v>649</v>
      </c>
      <c r="C311" s="1" t="s">
        <v>650</v>
      </c>
      <c r="D311" s="1">
        <f t="shared" si="52"/>
        <v>81</v>
      </c>
      <c r="E311" s="1">
        <f t="shared" si="53"/>
        <v>0.17565972222222223</v>
      </c>
      <c r="F311" s="2">
        <f t="shared" si="54"/>
        <v>505.05174341427642</v>
      </c>
      <c r="G311" s="1">
        <v>2080</v>
      </c>
      <c r="H311" s="1">
        <v>3744</v>
      </c>
      <c r="I311" s="1">
        <v>0</v>
      </c>
      <c r="J311" s="1">
        <v>567</v>
      </c>
      <c r="K311" s="1">
        <f t="shared" si="55"/>
        <v>0</v>
      </c>
      <c r="L311" s="1">
        <f t="shared" si="56"/>
        <v>4.9476201923076921</v>
      </c>
      <c r="M311" s="1">
        <f t="shared" si="57"/>
        <v>4.9476201923076921</v>
      </c>
      <c r="N311" s="2">
        <f t="shared" si="51"/>
        <v>3.3955718804203654</v>
      </c>
      <c r="O311" s="1">
        <v>1566</v>
      </c>
      <c r="P311" s="1">
        <f t="shared" si="58"/>
        <v>306</v>
      </c>
      <c r="Q311" s="1">
        <f t="shared" si="59"/>
        <v>1.3204656867735431</v>
      </c>
      <c r="R311" s="1">
        <f t="shared" si="60"/>
        <v>0.21584535264567534</v>
      </c>
      <c r="S311" s="2">
        <f t="shared" si="61"/>
        <v>3.6372108071636227</v>
      </c>
      <c r="T311" s="2">
        <f t="shared" si="62"/>
        <v>6.3481304174125772E-2</v>
      </c>
      <c r="U311" s="1" t="s">
        <v>2507</v>
      </c>
      <c r="V311" s="6" t="s">
        <v>2505</v>
      </c>
    </row>
    <row r="312" spans="1:24" ht="14.25" customHeight="1" x14ac:dyDescent="0.3">
      <c r="A312" s="1" t="s">
        <v>27</v>
      </c>
      <c r="B312" s="1" t="s">
        <v>651</v>
      </c>
      <c r="C312" s="1" t="s">
        <v>652</v>
      </c>
      <c r="D312" s="1">
        <f t="shared" si="52"/>
        <v>24</v>
      </c>
      <c r="E312" s="1">
        <f t="shared" si="53"/>
        <v>0.73167824074074073</v>
      </c>
      <c r="F312" s="2">
        <f t="shared" si="54"/>
        <v>150.40374829111531</v>
      </c>
      <c r="G312" s="1">
        <v>2080</v>
      </c>
      <c r="H312" s="1">
        <v>3744</v>
      </c>
      <c r="I312" s="1">
        <v>0</v>
      </c>
      <c r="J312" s="1">
        <v>189</v>
      </c>
      <c r="K312" s="1">
        <f t="shared" si="55"/>
        <v>0</v>
      </c>
      <c r="L312" s="1">
        <f t="shared" si="56"/>
        <v>1.6492067307692306</v>
      </c>
      <c r="M312" s="1">
        <f t="shared" si="57"/>
        <v>1.6492067307692306</v>
      </c>
      <c r="N312" s="2">
        <f t="shared" si="51"/>
        <v>10.186715641261097</v>
      </c>
      <c r="O312" s="1">
        <v>1565</v>
      </c>
      <c r="P312" s="1">
        <f t="shared" si="58"/>
        <v>307</v>
      </c>
      <c r="Q312" s="1">
        <f t="shared" si="59"/>
        <v>3.9613970603206297</v>
      </c>
      <c r="R312" s="1">
        <f t="shared" si="60"/>
        <v>0.64965218884531695</v>
      </c>
      <c r="S312" s="2">
        <f t="shared" si="61"/>
        <v>3.6490650530747142</v>
      </c>
      <c r="T312" s="2">
        <f t="shared" si="62"/>
        <v>6.3688199795615394E-2</v>
      </c>
      <c r="U312" s="1" t="s">
        <v>2507</v>
      </c>
      <c r="V312" s="6" t="s">
        <v>2505</v>
      </c>
    </row>
    <row r="313" spans="1:24" ht="14.25" customHeight="1" x14ac:dyDescent="0.3">
      <c r="A313" s="1" t="s">
        <v>27</v>
      </c>
      <c r="B313" s="1" t="s">
        <v>653</v>
      </c>
      <c r="C313" s="1" t="s">
        <v>654</v>
      </c>
      <c r="D313" s="1">
        <f t="shared" si="52"/>
        <v>76</v>
      </c>
      <c r="E313" s="1">
        <f t="shared" si="53"/>
        <v>0.84813657407407417</v>
      </c>
      <c r="F313" s="2">
        <f t="shared" si="54"/>
        <v>477.86111355335242</v>
      </c>
      <c r="G313" s="1">
        <v>2080</v>
      </c>
      <c r="H313" s="1">
        <v>3744</v>
      </c>
      <c r="I313" s="1">
        <v>0</v>
      </c>
      <c r="J313" s="1">
        <v>185</v>
      </c>
      <c r="K313" s="1">
        <f t="shared" si="55"/>
        <v>0</v>
      </c>
      <c r="L313" s="1">
        <f t="shared" si="56"/>
        <v>1.6143028846153844</v>
      </c>
      <c r="M313" s="1">
        <f t="shared" si="57"/>
        <v>1.6143028846153844</v>
      </c>
      <c r="N313" s="2">
        <f t="shared" si="51"/>
        <v>10.406968952423499</v>
      </c>
      <c r="O313" s="1">
        <v>1562</v>
      </c>
      <c r="P313" s="1">
        <f t="shared" si="58"/>
        <v>310</v>
      </c>
      <c r="Q313" s="1">
        <f t="shared" si="59"/>
        <v>4.0470488886518865</v>
      </c>
      <c r="R313" s="1">
        <f t="shared" si="60"/>
        <v>0.67018437792846408</v>
      </c>
      <c r="S313" s="2">
        <f t="shared" si="61"/>
        <v>3.6846259098961229</v>
      </c>
      <c r="T313" s="2">
        <f t="shared" si="62"/>
        <v>6.4308853831979262E-2</v>
      </c>
      <c r="U313" s="1" t="s">
        <v>2507</v>
      </c>
      <c r="V313" s="6" t="s">
        <v>2505</v>
      </c>
    </row>
    <row r="314" spans="1:24" ht="14.25" customHeight="1" x14ac:dyDescent="0.3">
      <c r="A314" s="1" t="s">
        <v>40</v>
      </c>
      <c r="B314" s="1" t="s">
        <v>655</v>
      </c>
      <c r="C314" s="1" t="s">
        <v>656</v>
      </c>
      <c r="D314" s="1">
        <f t="shared" si="52"/>
        <v>78</v>
      </c>
      <c r="E314" s="1">
        <f t="shared" si="53"/>
        <v>0.14444444444444446</v>
      </c>
      <c r="F314" s="2">
        <f t="shared" si="54"/>
        <v>486.0060561180448</v>
      </c>
      <c r="G314" s="1">
        <v>2080</v>
      </c>
      <c r="H314" s="1">
        <v>3744</v>
      </c>
      <c r="I314" s="1">
        <v>0</v>
      </c>
      <c r="J314" s="1">
        <v>105</v>
      </c>
      <c r="K314" s="1">
        <f t="shared" si="55"/>
        <v>0</v>
      </c>
      <c r="L314" s="1">
        <f t="shared" si="56"/>
        <v>0.91622596153846148</v>
      </c>
      <c r="M314" s="1">
        <f t="shared" si="57"/>
        <v>0.91622596153846148</v>
      </c>
      <c r="N314" s="2">
        <f t="shared" si="51"/>
        <v>18.336088154269973</v>
      </c>
      <c r="O314" s="1">
        <v>1559</v>
      </c>
      <c r="P314" s="1">
        <f t="shared" si="58"/>
        <v>313</v>
      </c>
      <c r="Q314" s="1">
        <f t="shared" si="59"/>
        <v>7.1305147085771328</v>
      </c>
      <c r="R314" s="1">
        <f t="shared" si="60"/>
        <v>1.1922281537311124</v>
      </c>
      <c r="S314" s="2">
        <f t="shared" si="61"/>
        <v>3.7201839243052777</v>
      </c>
      <c r="T314" s="2">
        <f t="shared" si="62"/>
        <v>6.4929458258890599E-2</v>
      </c>
      <c r="U314" s="1" t="s">
        <v>2507</v>
      </c>
      <c r="V314" s="6" t="s">
        <v>2505</v>
      </c>
    </row>
    <row r="315" spans="1:24" ht="14.25" customHeight="1" x14ac:dyDescent="0.3">
      <c r="A315" s="1" t="s">
        <v>27</v>
      </c>
      <c r="B315" s="1" t="s">
        <v>657</v>
      </c>
      <c r="C315" s="1" t="s">
        <v>658</v>
      </c>
      <c r="D315" s="1">
        <f t="shared" si="52"/>
        <v>32</v>
      </c>
      <c r="E315" s="1">
        <f t="shared" si="53"/>
        <v>0.12011574074074073</v>
      </c>
      <c r="F315" s="2">
        <f t="shared" si="54"/>
        <v>196.82667023412998</v>
      </c>
      <c r="G315" s="1">
        <v>2080</v>
      </c>
      <c r="H315" s="1">
        <v>3744</v>
      </c>
      <c r="I315" s="1">
        <v>0</v>
      </c>
      <c r="J315" s="1">
        <v>193</v>
      </c>
      <c r="K315" s="1">
        <f t="shared" si="55"/>
        <v>0</v>
      </c>
      <c r="L315" s="1">
        <f t="shared" si="56"/>
        <v>1.6841105769230769</v>
      </c>
      <c r="M315" s="1">
        <f t="shared" si="57"/>
        <v>1.6841105769230769</v>
      </c>
      <c r="N315" s="2">
        <f t="shared" si="51"/>
        <v>9.9755920010277066</v>
      </c>
      <c r="O315" s="1">
        <v>1558</v>
      </c>
      <c r="P315" s="1">
        <f t="shared" si="58"/>
        <v>314</v>
      </c>
      <c r="Q315" s="1">
        <f t="shared" si="59"/>
        <v>3.8792955668424822</v>
      </c>
      <c r="R315" s="1">
        <f t="shared" si="60"/>
        <v>0.65069380768618557</v>
      </c>
      <c r="S315" s="2">
        <f t="shared" si="61"/>
        <v>3.7320359594527908</v>
      </c>
      <c r="T315" s="2">
        <f t="shared" si="62"/>
        <v>6.5136315295276789E-2</v>
      </c>
      <c r="U315" s="1" t="s">
        <v>2507</v>
      </c>
      <c r="V315" s="6" t="s">
        <v>2505</v>
      </c>
      <c r="W315" s="1"/>
      <c r="X315" s="1"/>
    </row>
    <row r="316" spans="1:24" ht="14.25" customHeight="1" x14ac:dyDescent="0.3">
      <c r="A316" s="1" t="s">
        <v>177</v>
      </c>
      <c r="B316" s="1" t="s">
        <v>659</v>
      </c>
      <c r="C316" s="1" t="s">
        <v>660</v>
      </c>
      <c r="D316" s="1">
        <f t="shared" si="52"/>
        <v>45</v>
      </c>
      <c r="E316" s="1">
        <f t="shared" si="53"/>
        <v>0.93049768518518527</v>
      </c>
      <c r="F316" s="2">
        <f t="shared" si="54"/>
        <v>283.59985915400159</v>
      </c>
      <c r="G316" s="1">
        <v>2080</v>
      </c>
      <c r="H316" s="1">
        <v>3744</v>
      </c>
      <c r="I316" s="1">
        <v>0</v>
      </c>
      <c r="J316" s="1">
        <v>177</v>
      </c>
      <c r="K316" s="1">
        <f t="shared" si="55"/>
        <v>0</v>
      </c>
      <c r="L316" s="1">
        <f t="shared" si="56"/>
        <v>1.5444951923076922</v>
      </c>
      <c r="M316" s="1">
        <f t="shared" si="57"/>
        <v>1.5444951923076922</v>
      </c>
      <c r="N316" s="2">
        <f t="shared" ref="N316:N379" si="63">42*0.4/M316</f>
        <v>10.877340430499137</v>
      </c>
      <c r="O316" s="1">
        <v>1557</v>
      </c>
      <c r="P316" s="1">
        <f t="shared" si="58"/>
        <v>315</v>
      </c>
      <c r="Q316" s="1">
        <f t="shared" si="59"/>
        <v>4.2299663525457571</v>
      </c>
      <c r="R316" s="1">
        <f t="shared" si="60"/>
        <v>0.71177318432260339</v>
      </c>
      <c r="S316" s="2">
        <f t="shared" si="61"/>
        <v>3.7438876747700842</v>
      </c>
      <c r="T316" s="2">
        <f t="shared" si="62"/>
        <v>6.5343166749572607E-2</v>
      </c>
      <c r="U316" s="1" t="s">
        <v>2507</v>
      </c>
      <c r="V316" s="6" t="s">
        <v>2505</v>
      </c>
    </row>
    <row r="317" spans="1:24" ht="14.25" customHeight="1" x14ac:dyDescent="0.3">
      <c r="A317" s="1" t="s">
        <v>14</v>
      </c>
      <c r="B317" s="1" t="s">
        <v>661</v>
      </c>
      <c r="C317" s="1" t="s">
        <v>662</v>
      </c>
      <c r="D317" s="1">
        <f t="shared" si="52"/>
        <v>47</v>
      </c>
      <c r="E317" s="1">
        <f t="shared" si="53"/>
        <v>0.93296296296296299</v>
      </c>
      <c r="F317" s="2">
        <f t="shared" si="54"/>
        <v>296.18171956547218</v>
      </c>
      <c r="G317" s="1">
        <v>2080</v>
      </c>
      <c r="H317" s="1">
        <v>3744</v>
      </c>
      <c r="I317" s="1">
        <v>0</v>
      </c>
      <c r="J317" s="1">
        <v>175</v>
      </c>
      <c r="K317" s="1">
        <f t="shared" si="55"/>
        <v>0</v>
      </c>
      <c r="L317" s="1">
        <f t="shared" si="56"/>
        <v>1.5270432692307689</v>
      </c>
      <c r="M317" s="1">
        <f t="shared" si="57"/>
        <v>1.5270432692307689</v>
      </c>
      <c r="N317" s="2">
        <f t="shared" si="63"/>
        <v>11.001652892561985</v>
      </c>
      <c r="O317" s="1">
        <v>1557</v>
      </c>
      <c r="P317" s="1">
        <f t="shared" si="58"/>
        <v>315</v>
      </c>
      <c r="Q317" s="1">
        <f t="shared" si="59"/>
        <v>4.2783088251462802</v>
      </c>
      <c r="R317" s="1">
        <f t="shared" si="60"/>
        <v>0.71990773500057603</v>
      </c>
      <c r="S317" s="2">
        <f t="shared" si="61"/>
        <v>3.7438876747700842</v>
      </c>
      <c r="T317" s="2">
        <f t="shared" si="62"/>
        <v>6.5343166749572607E-2</v>
      </c>
      <c r="U317" s="1" t="s">
        <v>2507</v>
      </c>
      <c r="V317" s="6" t="s">
        <v>2505</v>
      </c>
    </row>
    <row r="318" spans="1:24" ht="14.25" customHeight="1" x14ac:dyDescent="0.3">
      <c r="A318" s="1" t="s">
        <v>82</v>
      </c>
      <c r="B318" s="1" t="s">
        <v>663</v>
      </c>
      <c r="C318" s="1" t="s">
        <v>664</v>
      </c>
      <c r="D318" s="1">
        <f t="shared" si="52"/>
        <v>62</v>
      </c>
      <c r="E318" s="1">
        <f t="shared" si="53"/>
        <v>0.69724537037037038</v>
      </c>
      <c r="F318" s="2">
        <f t="shared" si="54"/>
        <v>388.94844185874445</v>
      </c>
      <c r="G318" s="1">
        <v>2080</v>
      </c>
      <c r="H318" s="1">
        <v>3744</v>
      </c>
      <c r="I318" s="1">
        <v>0</v>
      </c>
      <c r="J318" s="1">
        <v>402</v>
      </c>
      <c r="K318" s="1">
        <f t="shared" si="55"/>
        <v>0</v>
      </c>
      <c r="L318" s="1">
        <f t="shared" si="56"/>
        <v>3.5078365384615382</v>
      </c>
      <c r="M318" s="1">
        <f t="shared" si="57"/>
        <v>3.5078365384615382</v>
      </c>
      <c r="N318" s="2">
        <f t="shared" si="63"/>
        <v>4.7892767567123071</v>
      </c>
      <c r="O318" s="1">
        <v>1557</v>
      </c>
      <c r="P318" s="1">
        <f t="shared" si="58"/>
        <v>315</v>
      </c>
      <c r="Q318" s="1">
        <f t="shared" si="59"/>
        <v>1.8624478716432813</v>
      </c>
      <c r="R318" s="1">
        <f t="shared" si="60"/>
        <v>0.31339267070920601</v>
      </c>
      <c r="S318" s="2">
        <f t="shared" si="61"/>
        <v>3.7438876747700842</v>
      </c>
      <c r="T318" s="2">
        <f t="shared" si="62"/>
        <v>6.5343166749572607E-2</v>
      </c>
      <c r="U318" s="1" t="s">
        <v>2507</v>
      </c>
      <c r="V318" s="6" t="s">
        <v>2505</v>
      </c>
    </row>
    <row r="319" spans="1:24" ht="14.25" customHeight="1" x14ac:dyDescent="0.3">
      <c r="A319" s="1" t="s">
        <v>40</v>
      </c>
      <c r="B319" s="1" t="s">
        <v>665</v>
      </c>
      <c r="C319" s="1" t="s">
        <v>666</v>
      </c>
      <c r="D319" s="1">
        <f t="shared" si="52"/>
        <v>10</v>
      </c>
      <c r="E319" s="1">
        <f t="shared" si="53"/>
        <v>0.2802546296296296</v>
      </c>
      <c r="F319" s="2">
        <f t="shared" si="54"/>
        <v>59.602775789953803</v>
      </c>
      <c r="G319" s="1">
        <v>2080</v>
      </c>
      <c r="H319" s="1">
        <v>3744</v>
      </c>
      <c r="I319" s="1">
        <v>0</v>
      </c>
      <c r="J319" s="1">
        <v>88</v>
      </c>
      <c r="K319" s="1">
        <f t="shared" si="55"/>
        <v>0</v>
      </c>
      <c r="L319" s="1">
        <f t="shared" si="56"/>
        <v>0.76788461538461528</v>
      </c>
      <c r="M319" s="1">
        <f t="shared" si="57"/>
        <v>0.76788461538461528</v>
      </c>
      <c r="N319" s="2">
        <f t="shared" si="63"/>
        <v>21.878287002253948</v>
      </c>
      <c r="O319" s="1">
        <v>1556</v>
      </c>
      <c r="P319" s="1">
        <f t="shared" si="58"/>
        <v>316</v>
      </c>
      <c r="Q319" s="1">
        <f t="shared" si="59"/>
        <v>8.5080005045522622</v>
      </c>
      <c r="R319" s="1">
        <f t="shared" si="60"/>
        <v>1.436179572349634</v>
      </c>
      <c r="S319" s="2">
        <f t="shared" si="61"/>
        <v>3.7557390692559358</v>
      </c>
      <c r="T319" s="2">
        <f t="shared" si="62"/>
        <v>6.5550012604303418E-2</v>
      </c>
      <c r="U319" s="1" t="s">
        <v>2507</v>
      </c>
      <c r="V319" s="6" t="s">
        <v>2505</v>
      </c>
    </row>
    <row r="320" spans="1:24" ht="14.25" customHeight="1" x14ac:dyDescent="0.3">
      <c r="A320" s="1" t="s">
        <v>40</v>
      </c>
      <c r="B320" s="1" t="s">
        <v>667</v>
      </c>
      <c r="C320" s="1" t="s">
        <v>668</v>
      </c>
      <c r="D320" s="1">
        <f t="shared" si="52"/>
        <v>30</v>
      </c>
      <c r="E320" s="1">
        <f t="shared" si="53"/>
        <v>2.9502314814814815E-2</v>
      </c>
      <c r="F320" s="2">
        <f t="shared" si="54"/>
        <v>183.6909586733598</v>
      </c>
      <c r="G320" s="1">
        <v>2080</v>
      </c>
      <c r="H320" s="1">
        <v>3744</v>
      </c>
      <c r="I320" s="1">
        <v>0</v>
      </c>
      <c r="J320" s="1">
        <v>206</v>
      </c>
      <c r="K320" s="1">
        <f t="shared" si="55"/>
        <v>0</v>
      </c>
      <c r="L320" s="1">
        <f t="shared" si="56"/>
        <v>1.7975480769230767</v>
      </c>
      <c r="M320" s="1">
        <f t="shared" si="57"/>
        <v>1.7975480769230767</v>
      </c>
      <c r="N320" s="2">
        <f t="shared" si="63"/>
        <v>9.3460643504774144</v>
      </c>
      <c r="O320" s="1">
        <v>1552</v>
      </c>
      <c r="P320" s="1">
        <f t="shared" si="58"/>
        <v>320</v>
      </c>
      <c r="Q320" s="1">
        <f t="shared" si="59"/>
        <v>3.6344856524300924</v>
      </c>
      <c r="R320" s="1">
        <f t="shared" si="60"/>
        <v>0.62127959870599869</v>
      </c>
      <c r="S320" s="2">
        <f t="shared" si="61"/>
        <v>3.8031414188661903</v>
      </c>
      <c r="T320" s="2">
        <f t="shared" si="62"/>
        <v>6.6377339678183808E-2</v>
      </c>
      <c r="U320" s="1" t="s">
        <v>2507</v>
      </c>
      <c r="V320" s="6" t="s">
        <v>2505</v>
      </c>
      <c r="W320" s="1"/>
      <c r="X320" s="1"/>
    </row>
    <row r="321" spans="1:22" ht="14.25" customHeight="1" x14ac:dyDescent="0.3">
      <c r="A321" s="1" t="s">
        <v>17</v>
      </c>
      <c r="B321" s="1" t="s">
        <v>669</v>
      </c>
      <c r="C321" s="1" t="s">
        <v>670</v>
      </c>
      <c r="D321" s="1">
        <f t="shared" si="52"/>
        <v>45</v>
      </c>
      <c r="E321" s="1">
        <f t="shared" si="53"/>
        <v>0.99329861111111117</v>
      </c>
      <c r="F321" s="2">
        <f t="shared" si="54"/>
        <v>283.99444900905661</v>
      </c>
      <c r="G321" s="1">
        <v>2080</v>
      </c>
      <c r="H321" s="1">
        <v>3744</v>
      </c>
      <c r="I321" s="1">
        <v>0</v>
      </c>
      <c r="J321" s="1">
        <v>193</v>
      </c>
      <c r="K321" s="1">
        <f t="shared" si="55"/>
        <v>0</v>
      </c>
      <c r="L321" s="1">
        <f t="shared" si="56"/>
        <v>1.6841105769230769</v>
      </c>
      <c r="M321" s="1">
        <f t="shared" si="57"/>
        <v>1.6841105769230769</v>
      </c>
      <c r="N321" s="2">
        <f t="shared" si="63"/>
        <v>9.9755920010277066</v>
      </c>
      <c r="O321" s="1">
        <v>1552</v>
      </c>
      <c r="P321" s="1">
        <f t="shared" si="58"/>
        <v>320</v>
      </c>
      <c r="Q321" s="1">
        <f t="shared" si="59"/>
        <v>3.8792955668424822</v>
      </c>
      <c r="R321" s="1">
        <f t="shared" si="60"/>
        <v>0.66312744732350126</v>
      </c>
      <c r="S321" s="2">
        <f t="shared" si="61"/>
        <v>3.8031414188661912</v>
      </c>
      <c r="T321" s="2">
        <f t="shared" si="62"/>
        <v>6.6377339678183822E-2</v>
      </c>
      <c r="U321" s="1" t="s">
        <v>2507</v>
      </c>
      <c r="V321" s="6" t="s">
        <v>2505</v>
      </c>
    </row>
    <row r="322" spans="1:22" ht="14.25" customHeight="1" x14ac:dyDescent="0.3">
      <c r="A322" s="1" t="s">
        <v>27</v>
      </c>
      <c r="B322" s="1" t="s">
        <v>671</v>
      </c>
      <c r="C322" s="1" t="s">
        <v>672</v>
      </c>
      <c r="D322" s="1">
        <f t="shared" ref="D322:D385" si="64">(LEFT(C322,4)&amp;"-"&amp;MID(C322,6,2)&amp;"-"&amp;MID(C322,9,2))-(2019&amp;"-"&amp;5&amp;"-"&amp;28)</f>
        <v>24</v>
      </c>
      <c r="E322" s="1">
        <f t="shared" ref="E322:E385" si="65">TIMEVALUE(RIGHT(C322,8))</f>
        <v>0.23541666666666669</v>
      </c>
      <c r="F322" s="2">
        <f t="shared" ref="F322:F385" si="66">(D322+E322)*2*PI()-4.989969053</f>
        <v>147.28564486037524</v>
      </c>
      <c r="G322" s="1">
        <v>2080</v>
      </c>
      <c r="H322" s="1">
        <v>3744</v>
      </c>
      <c r="I322" s="1">
        <v>0</v>
      </c>
      <c r="J322" s="1">
        <v>201</v>
      </c>
      <c r="K322" s="1">
        <f t="shared" ref="K322:K385" si="67">(32.67*I322)/H322</f>
        <v>0</v>
      </c>
      <c r="L322" s="1">
        <f t="shared" ref="L322:L385" si="68">(18.15*J322)/G322</f>
        <v>1.7539182692307691</v>
      </c>
      <c r="M322" s="1">
        <f t="shared" ref="M322:M385" si="69">SQRT(K322*K322+L322*L322)</f>
        <v>1.7539182692307691</v>
      </c>
      <c r="N322" s="2">
        <f t="shared" si="63"/>
        <v>9.5785535134246143</v>
      </c>
      <c r="O322" s="1">
        <v>1551</v>
      </c>
      <c r="P322" s="1">
        <f t="shared" ref="P322:P385" si="70">H322/2-O322</f>
        <v>321</v>
      </c>
      <c r="Q322" s="1">
        <f t="shared" ref="Q322:Q385" si="71">TAN(RADIANS(21.25))*N322</f>
        <v>3.7248957432865626</v>
      </c>
      <c r="R322" s="1">
        <f t="shared" ref="R322:R385" si="72">Q322*(P322/(H322/2))</f>
        <v>0.63872410982638173</v>
      </c>
      <c r="S322" s="2">
        <f t="shared" ref="S322:S385" si="73">DEGREES(ATAN(R322/N322))</f>
        <v>3.8149911941822281</v>
      </c>
      <c r="T322" s="2">
        <f t="shared" ref="T322:T385" si="74">RADIANS(S322)</f>
        <v>6.6584157273070224E-2</v>
      </c>
      <c r="U322" s="1" t="s">
        <v>2507</v>
      </c>
      <c r="V322" s="6" t="s">
        <v>2505</v>
      </c>
    </row>
    <row r="323" spans="1:22" ht="14.25" customHeight="1" x14ac:dyDescent="0.3">
      <c r="A323" s="1" t="s">
        <v>27</v>
      </c>
      <c r="B323" s="1" t="s">
        <v>673</v>
      </c>
      <c r="C323" s="1" t="s">
        <v>674</v>
      </c>
      <c r="D323" s="1">
        <f t="shared" si="64"/>
        <v>48</v>
      </c>
      <c r="E323" s="1">
        <f t="shared" si="65"/>
        <v>3.8657407407407404E-2</v>
      </c>
      <c r="F323" s="2">
        <f t="shared" si="66"/>
        <v>296.84581734585601</v>
      </c>
      <c r="G323" s="1">
        <v>2080</v>
      </c>
      <c r="H323" s="1">
        <v>3744</v>
      </c>
      <c r="I323" s="1">
        <v>0</v>
      </c>
      <c r="J323" s="1">
        <v>197</v>
      </c>
      <c r="K323" s="1">
        <f t="shared" si="67"/>
        <v>0</v>
      </c>
      <c r="L323" s="1">
        <f t="shared" si="68"/>
        <v>1.7190144230769229</v>
      </c>
      <c r="M323" s="1">
        <f t="shared" si="69"/>
        <v>1.7190144230769229</v>
      </c>
      <c r="N323" s="2">
        <f t="shared" si="63"/>
        <v>9.7730419096362819</v>
      </c>
      <c r="O323" s="1">
        <v>1551</v>
      </c>
      <c r="P323" s="1">
        <f t="shared" si="70"/>
        <v>321</v>
      </c>
      <c r="Q323" s="1">
        <f t="shared" si="71"/>
        <v>3.8005281441654777</v>
      </c>
      <c r="R323" s="1">
        <f t="shared" si="72"/>
        <v>0.65169312728478546</v>
      </c>
      <c r="S323" s="2">
        <f t="shared" si="73"/>
        <v>3.8149911941822281</v>
      </c>
      <c r="T323" s="2">
        <f t="shared" si="74"/>
        <v>6.6584157273070224E-2</v>
      </c>
      <c r="U323" s="1" t="s">
        <v>2507</v>
      </c>
      <c r="V323" s="6" t="s">
        <v>2505</v>
      </c>
    </row>
    <row r="324" spans="1:22" ht="14.25" customHeight="1" x14ac:dyDescent="0.3">
      <c r="A324" s="1" t="s">
        <v>40</v>
      </c>
      <c r="B324" s="1" t="s">
        <v>675</v>
      </c>
      <c r="C324" s="1" t="s">
        <v>676</v>
      </c>
      <c r="D324" s="1">
        <f t="shared" si="64"/>
        <v>73</v>
      </c>
      <c r="E324" s="1">
        <f t="shared" si="65"/>
        <v>0.40826388888888893</v>
      </c>
      <c r="F324" s="2">
        <f t="shared" si="66"/>
        <v>456.24775603922842</v>
      </c>
      <c r="G324" s="1">
        <v>2080</v>
      </c>
      <c r="H324" s="1">
        <v>3744</v>
      </c>
      <c r="I324" s="1">
        <v>0</v>
      </c>
      <c r="J324" s="1">
        <v>332</v>
      </c>
      <c r="K324" s="1">
        <f t="shared" si="67"/>
        <v>0</v>
      </c>
      <c r="L324" s="1">
        <f t="shared" si="68"/>
        <v>2.8970192307692306</v>
      </c>
      <c r="M324" s="1">
        <f t="shared" si="69"/>
        <v>2.8970192307692306</v>
      </c>
      <c r="N324" s="2">
        <f t="shared" si="63"/>
        <v>5.7990640246938172</v>
      </c>
      <c r="O324" s="1">
        <v>1549</v>
      </c>
      <c r="P324" s="1">
        <f t="shared" si="70"/>
        <v>323</v>
      </c>
      <c r="Q324" s="1">
        <f t="shared" si="71"/>
        <v>2.2551326638572258</v>
      </c>
      <c r="R324" s="1">
        <f t="shared" si="72"/>
        <v>0.38910675770613457</v>
      </c>
      <c r="S324" s="2">
        <f t="shared" si="73"/>
        <v>3.8386897633082615</v>
      </c>
      <c r="T324" s="2">
        <f t="shared" si="74"/>
        <v>6.6997775332330978E-2</v>
      </c>
      <c r="U324" s="1" t="s">
        <v>2507</v>
      </c>
      <c r="V324" s="6" t="s">
        <v>2505</v>
      </c>
    </row>
    <row r="325" spans="1:22" ht="14.25" customHeight="1" x14ac:dyDescent="0.3">
      <c r="A325" s="1" t="s">
        <v>40</v>
      </c>
      <c r="B325" s="1" t="s">
        <v>677</v>
      </c>
      <c r="C325" s="1" t="s">
        <v>678</v>
      </c>
      <c r="D325" s="1">
        <f t="shared" si="64"/>
        <v>59</v>
      </c>
      <c r="E325" s="1">
        <f t="shared" si="65"/>
        <v>0.22270833333333331</v>
      </c>
      <c r="F325" s="2">
        <f t="shared" si="66"/>
        <v>367.11728179838207</v>
      </c>
      <c r="G325" s="1">
        <v>2080</v>
      </c>
      <c r="H325" s="1">
        <v>3744</v>
      </c>
      <c r="I325" s="1">
        <v>0</v>
      </c>
      <c r="J325" s="1">
        <v>197</v>
      </c>
      <c r="K325" s="1">
        <f t="shared" si="67"/>
        <v>0</v>
      </c>
      <c r="L325" s="1">
        <f t="shared" si="68"/>
        <v>1.7190144230769229</v>
      </c>
      <c r="M325" s="1">
        <f t="shared" si="69"/>
        <v>1.7190144230769229</v>
      </c>
      <c r="N325" s="2">
        <f t="shared" si="63"/>
        <v>9.7730419096362819</v>
      </c>
      <c r="O325" s="1">
        <v>1547</v>
      </c>
      <c r="P325" s="1">
        <f t="shared" si="70"/>
        <v>325</v>
      </c>
      <c r="Q325" s="1">
        <f t="shared" si="71"/>
        <v>3.8005281441654777</v>
      </c>
      <c r="R325" s="1">
        <f t="shared" si="72"/>
        <v>0.65981391391761768</v>
      </c>
      <c r="S325" s="2">
        <f t="shared" si="73"/>
        <v>3.8623870170933112</v>
      </c>
      <c r="T325" s="2">
        <f t="shared" si="74"/>
        <v>6.7411370434560788E-2</v>
      </c>
      <c r="U325" s="1" t="s">
        <v>2507</v>
      </c>
      <c r="V325" s="6" t="s">
        <v>2505</v>
      </c>
    </row>
    <row r="326" spans="1:22" ht="14.25" customHeight="1" x14ac:dyDescent="0.3">
      <c r="A326" s="1" t="s">
        <v>17</v>
      </c>
      <c r="B326" s="1" t="s">
        <v>679</v>
      </c>
      <c r="C326" s="1" t="s">
        <v>680</v>
      </c>
      <c r="D326" s="1">
        <f t="shared" si="64"/>
        <v>64</v>
      </c>
      <c r="E326" s="1">
        <f t="shared" si="65"/>
        <v>0.31165509259259261</v>
      </c>
      <c r="F326" s="2">
        <f t="shared" si="66"/>
        <v>399.09207730517898</v>
      </c>
      <c r="G326" s="1">
        <v>2080</v>
      </c>
      <c r="H326" s="1">
        <v>3744</v>
      </c>
      <c r="I326" s="1">
        <v>0</v>
      </c>
      <c r="J326" s="1">
        <v>143</v>
      </c>
      <c r="K326" s="1">
        <f t="shared" si="67"/>
        <v>0</v>
      </c>
      <c r="L326" s="1">
        <f t="shared" si="68"/>
        <v>1.2478125</v>
      </c>
      <c r="M326" s="1">
        <f t="shared" si="69"/>
        <v>1.2478125</v>
      </c>
      <c r="N326" s="2">
        <f t="shared" si="63"/>
        <v>13.463561232156275</v>
      </c>
      <c r="O326" s="1">
        <v>1546</v>
      </c>
      <c r="P326" s="1">
        <f t="shared" si="70"/>
        <v>326</v>
      </c>
      <c r="Q326" s="1">
        <f t="shared" si="71"/>
        <v>5.2356926181860075</v>
      </c>
      <c r="R326" s="1">
        <f t="shared" si="72"/>
        <v>0.91177125722683672</v>
      </c>
      <c r="S326" s="2">
        <f t="shared" si="73"/>
        <v>3.8742351482337463</v>
      </c>
      <c r="T326" s="2">
        <f t="shared" si="74"/>
        <v>6.7618159333169447E-2</v>
      </c>
      <c r="U326" s="1" t="s">
        <v>2507</v>
      </c>
      <c r="V326" s="6" t="s">
        <v>2505</v>
      </c>
    </row>
    <row r="327" spans="1:22" ht="14.25" customHeight="1" x14ac:dyDescent="0.3">
      <c r="A327" s="1" t="s">
        <v>40</v>
      </c>
      <c r="B327" s="1" t="s">
        <v>681</v>
      </c>
      <c r="C327" s="1" t="s">
        <v>682</v>
      </c>
      <c r="D327" s="1">
        <f t="shared" si="64"/>
        <v>59</v>
      </c>
      <c r="E327" s="1">
        <f t="shared" si="65"/>
        <v>0.17633101851851851</v>
      </c>
      <c r="F327" s="2">
        <f t="shared" si="66"/>
        <v>366.82588453535118</v>
      </c>
      <c r="G327" s="1">
        <v>2080</v>
      </c>
      <c r="H327" s="1">
        <v>3744</v>
      </c>
      <c r="I327" s="1">
        <v>0</v>
      </c>
      <c r="J327" s="1">
        <v>102</v>
      </c>
      <c r="K327" s="1">
        <f t="shared" si="67"/>
        <v>0</v>
      </c>
      <c r="L327" s="1">
        <f t="shared" si="68"/>
        <v>0.89004807692307686</v>
      </c>
      <c r="M327" s="1">
        <f t="shared" si="69"/>
        <v>0.89004807692307686</v>
      </c>
      <c r="N327" s="2">
        <f t="shared" si="63"/>
        <v>18.875384864689678</v>
      </c>
      <c r="O327" s="1">
        <v>1545</v>
      </c>
      <c r="P327" s="1">
        <f t="shared" si="70"/>
        <v>327</v>
      </c>
      <c r="Q327" s="1">
        <f t="shared" si="71"/>
        <v>7.3402357294176372</v>
      </c>
      <c r="R327" s="1">
        <f t="shared" si="72"/>
        <v>1.2821886129912219</v>
      </c>
      <c r="S327" s="2">
        <f t="shared" si="73"/>
        <v>3.886082947540209</v>
      </c>
      <c r="T327" s="2">
        <f t="shared" si="74"/>
        <v>6.7824942440182723E-2</v>
      </c>
      <c r="U327" s="1" t="s">
        <v>2507</v>
      </c>
      <c r="V327" s="6" t="s">
        <v>2505</v>
      </c>
    </row>
    <row r="328" spans="1:22" ht="14.25" customHeight="1" x14ac:dyDescent="0.3">
      <c r="A328" s="1" t="s">
        <v>17</v>
      </c>
      <c r="B328" s="1" t="s">
        <v>683</v>
      </c>
      <c r="C328" s="1" t="s">
        <v>684</v>
      </c>
      <c r="D328" s="1">
        <f t="shared" si="64"/>
        <v>65</v>
      </c>
      <c r="E328" s="1">
        <f t="shared" si="65"/>
        <v>0.25939814814814816</v>
      </c>
      <c r="F328" s="2">
        <f t="shared" si="66"/>
        <v>405.0469225468272</v>
      </c>
      <c r="G328" s="1">
        <v>2080</v>
      </c>
      <c r="H328" s="1">
        <v>3744</v>
      </c>
      <c r="I328" s="1">
        <v>0</v>
      </c>
      <c r="J328" s="1">
        <v>222</v>
      </c>
      <c r="K328" s="1">
        <f t="shared" si="67"/>
        <v>0</v>
      </c>
      <c r="L328" s="1">
        <f t="shared" si="68"/>
        <v>1.9371634615384614</v>
      </c>
      <c r="M328" s="1">
        <f t="shared" si="69"/>
        <v>1.9371634615384614</v>
      </c>
      <c r="N328" s="2">
        <f t="shared" si="63"/>
        <v>8.6724741270195818</v>
      </c>
      <c r="O328" s="1">
        <v>1545</v>
      </c>
      <c r="P328" s="1">
        <f t="shared" si="70"/>
        <v>327</v>
      </c>
      <c r="Q328" s="1">
        <f t="shared" si="71"/>
        <v>3.3725407405432386</v>
      </c>
      <c r="R328" s="1">
        <f t="shared" si="72"/>
        <v>0.58911368705002076</v>
      </c>
      <c r="S328" s="2">
        <f t="shared" si="73"/>
        <v>3.886082947540209</v>
      </c>
      <c r="T328" s="2">
        <f t="shared" si="74"/>
        <v>6.7824942440182723E-2</v>
      </c>
      <c r="U328" s="1" t="s">
        <v>2507</v>
      </c>
      <c r="V328" s="6" t="s">
        <v>2505</v>
      </c>
    </row>
    <row r="329" spans="1:22" ht="14.25" customHeight="1" x14ac:dyDescent="0.3">
      <c r="A329" s="1" t="s">
        <v>17</v>
      </c>
      <c r="B329" s="1" t="s">
        <v>685</v>
      </c>
      <c r="C329" s="1" t="s">
        <v>686</v>
      </c>
      <c r="D329" s="1">
        <f t="shared" si="64"/>
        <v>5</v>
      </c>
      <c r="E329" s="1">
        <f t="shared" si="65"/>
        <v>0.96862268518518524</v>
      </c>
      <c r="F329" s="2">
        <f t="shared" si="66"/>
        <v>32.511993306654318</v>
      </c>
      <c r="G329" s="1">
        <v>2080</v>
      </c>
      <c r="H329" s="1">
        <v>3744</v>
      </c>
      <c r="I329" s="1">
        <v>0</v>
      </c>
      <c r="J329" s="1">
        <v>225</v>
      </c>
      <c r="K329" s="1">
        <f t="shared" si="67"/>
        <v>0</v>
      </c>
      <c r="L329" s="1">
        <f t="shared" si="68"/>
        <v>1.963341346153846</v>
      </c>
      <c r="M329" s="1">
        <f t="shared" si="69"/>
        <v>1.963341346153846</v>
      </c>
      <c r="N329" s="2">
        <f t="shared" si="63"/>
        <v>8.5568411386593208</v>
      </c>
      <c r="O329" s="1">
        <v>1542</v>
      </c>
      <c r="P329" s="1">
        <f t="shared" si="70"/>
        <v>330</v>
      </c>
      <c r="Q329" s="1">
        <f t="shared" si="71"/>
        <v>3.3275735306693286</v>
      </c>
      <c r="R329" s="1">
        <f t="shared" si="72"/>
        <v>0.5865914877782471</v>
      </c>
      <c r="S329" s="2">
        <f t="shared" si="73"/>
        <v>3.9216243444643841</v>
      </c>
      <c r="T329" s="2">
        <f t="shared" si="74"/>
        <v>6.8445256837267765E-2</v>
      </c>
      <c r="U329" s="1" t="s">
        <v>2507</v>
      </c>
      <c r="V329" s="6" t="s">
        <v>2505</v>
      </c>
    </row>
    <row r="330" spans="1:22" ht="14.25" customHeight="1" x14ac:dyDescent="0.3">
      <c r="A330" s="1" t="s">
        <v>27</v>
      </c>
      <c r="B330" s="1" t="s">
        <v>687</v>
      </c>
      <c r="C330" s="1" t="s">
        <v>688</v>
      </c>
      <c r="D330" s="1">
        <f t="shared" si="64"/>
        <v>56</v>
      </c>
      <c r="E330" s="1">
        <f t="shared" si="65"/>
        <v>0.73033564814814822</v>
      </c>
      <c r="F330" s="2">
        <f t="shared" si="66"/>
        <v>351.4572423628108</v>
      </c>
      <c r="G330" s="1">
        <v>2080</v>
      </c>
      <c r="H330" s="1">
        <v>3744</v>
      </c>
      <c r="I330" s="1">
        <v>0</v>
      </c>
      <c r="J330" s="1">
        <v>79</v>
      </c>
      <c r="K330" s="1">
        <f t="shared" si="67"/>
        <v>0</v>
      </c>
      <c r="L330" s="1">
        <f t="shared" si="68"/>
        <v>0.68935096153846154</v>
      </c>
      <c r="M330" s="1">
        <f t="shared" si="69"/>
        <v>0.68935096153846154</v>
      </c>
      <c r="N330" s="2">
        <f t="shared" si="63"/>
        <v>24.370750078460091</v>
      </c>
      <c r="O330" s="1">
        <v>1542</v>
      </c>
      <c r="P330" s="1">
        <f t="shared" si="70"/>
        <v>330</v>
      </c>
      <c r="Q330" s="1">
        <f t="shared" si="71"/>
        <v>9.4772663848177086</v>
      </c>
      <c r="R330" s="1">
        <f t="shared" si="72"/>
        <v>1.6706719588620962</v>
      </c>
      <c r="S330" s="2">
        <f t="shared" si="73"/>
        <v>3.9216243444643841</v>
      </c>
      <c r="T330" s="2">
        <f t="shared" si="74"/>
        <v>6.8445256837267765E-2</v>
      </c>
      <c r="U330" s="1" t="s">
        <v>2507</v>
      </c>
      <c r="V330" s="6" t="s">
        <v>2505</v>
      </c>
    </row>
    <row r="331" spans="1:22" ht="14.25" customHeight="1" x14ac:dyDescent="0.3">
      <c r="A331" s="1" t="s">
        <v>40</v>
      </c>
      <c r="B331" s="1" t="s">
        <v>689</v>
      </c>
      <c r="C331" s="1" t="s">
        <v>690</v>
      </c>
      <c r="D331" s="1">
        <f t="shared" si="64"/>
        <v>74</v>
      </c>
      <c r="E331" s="1">
        <f t="shared" si="65"/>
        <v>7.4884259259259262E-3</v>
      </c>
      <c r="F331" s="2">
        <f t="shared" si="66"/>
        <v>460.01279484604112</v>
      </c>
      <c r="G331" s="1">
        <v>2080</v>
      </c>
      <c r="H331" s="1">
        <v>3744</v>
      </c>
      <c r="I331" s="1">
        <v>0</v>
      </c>
      <c r="J331" s="1">
        <v>748</v>
      </c>
      <c r="K331" s="1">
        <f t="shared" si="67"/>
        <v>0</v>
      </c>
      <c r="L331" s="1">
        <f t="shared" si="68"/>
        <v>6.5270192307692305</v>
      </c>
      <c r="M331" s="1">
        <f t="shared" si="69"/>
        <v>6.5270192307692305</v>
      </c>
      <c r="N331" s="2">
        <f t="shared" si="63"/>
        <v>2.573916117912229</v>
      </c>
      <c r="O331" s="1">
        <v>1537</v>
      </c>
      <c r="P331" s="1">
        <f t="shared" si="70"/>
        <v>335</v>
      </c>
      <c r="Q331" s="1">
        <f t="shared" si="71"/>
        <v>1.0009412358296779</v>
      </c>
      <c r="R331" s="1">
        <f t="shared" si="72"/>
        <v>0.17912142842037504</v>
      </c>
      <c r="S331" s="2">
        <f t="shared" si="73"/>
        <v>3.9808532760979705</v>
      </c>
      <c r="T331" s="2">
        <f t="shared" si="74"/>
        <v>6.9478996706712468E-2</v>
      </c>
      <c r="U331" s="1" t="s">
        <v>2507</v>
      </c>
      <c r="V331" s="6" t="s">
        <v>2505</v>
      </c>
    </row>
    <row r="332" spans="1:22" ht="14.25" customHeight="1" x14ac:dyDescent="0.3">
      <c r="A332" s="1" t="s">
        <v>27</v>
      </c>
      <c r="B332" s="1" t="s">
        <v>691</v>
      </c>
      <c r="C332" s="1" t="s">
        <v>692</v>
      </c>
      <c r="D332" s="1">
        <f t="shared" si="64"/>
        <v>55</v>
      </c>
      <c r="E332" s="1">
        <f t="shared" si="65"/>
        <v>0.7828356481481481</v>
      </c>
      <c r="F332" s="2">
        <f t="shared" si="66"/>
        <v>345.50392428425812</v>
      </c>
      <c r="G332" s="1">
        <v>2080</v>
      </c>
      <c r="H332" s="1">
        <v>3744</v>
      </c>
      <c r="I332" s="1">
        <v>0</v>
      </c>
      <c r="J332" s="1">
        <v>202</v>
      </c>
      <c r="K332" s="1">
        <f t="shared" si="67"/>
        <v>0</v>
      </c>
      <c r="L332" s="1">
        <f t="shared" si="68"/>
        <v>1.7626442307692307</v>
      </c>
      <c r="M332" s="1">
        <f t="shared" si="69"/>
        <v>1.7626442307692307</v>
      </c>
      <c r="N332" s="2">
        <f t="shared" si="63"/>
        <v>9.5311349316749858</v>
      </c>
      <c r="O332" s="1">
        <v>1533</v>
      </c>
      <c r="P332" s="1">
        <f t="shared" si="70"/>
        <v>339</v>
      </c>
      <c r="Q332" s="1">
        <f t="shared" si="71"/>
        <v>3.7064556653494996</v>
      </c>
      <c r="R332" s="1">
        <f t="shared" si="72"/>
        <v>0.67120110606489336</v>
      </c>
      <c r="S332" s="2">
        <f t="shared" si="73"/>
        <v>4.0282302926218989</v>
      </c>
      <c r="T332" s="2">
        <f t="shared" si="74"/>
        <v>7.0305881634826775E-2</v>
      </c>
      <c r="U332" s="1" t="s">
        <v>2507</v>
      </c>
      <c r="V332" s="6" t="s">
        <v>2505</v>
      </c>
    </row>
    <row r="333" spans="1:22" ht="14.25" customHeight="1" x14ac:dyDescent="0.3">
      <c r="A333" s="1" t="s">
        <v>27</v>
      </c>
      <c r="B333" s="1" t="s">
        <v>693</v>
      </c>
      <c r="C333" s="1" t="s">
        <v>694</v>
      </c>
      <c r="D333" s="1">
        <f t="shared" si="64"/>
        <v>86</v>
      </c>
      <c r="E333" s="1">
        <f t="shared" si="65"/>
        <v>0.96181712962962962</v>
      </c>
      <c r="F333" s="2">
        <f t="shared" si="66"/>
        <v>541.40724262152696</v>
      </c>
      <c r="G333" s="1">
        <v>2080</v>
      </c>
      <c r="H333" s="1">
        <v>3744</v>
      </c>
      <c r="I333" s="1">
        <v>0</v>
      </c>
      <c r="J333" s="1">
        <v>208</v>
      </c>
      <c r="K333" s="1">
        <f t="shared" si="67"/>
        <v>0</v>
      </c>
      <c r="L333" s="1">
        <f t="shared" si="68"/>
        <v>1.8149999999999999</v>
      </c>
      <c r="M333" s="1">
        <f t="shared" si="69"/>
        <v>1.8149999999999999</v>
      </c>
      <c r="N333" s="2">
        <f t="shared" si="63"/>
        <v>9.2561983471074392</v>
      </c>
      <c r="O333" s="1">
        <v>1533</v>
      </c>
      <c r="P333" s="1">
        <f t="shared" si="70"/>
        <v>339</v>
      </c>
      <c r="Q333" s="1">
        <f t="shared" si="71"/>
        <v>3.5995386750028797</v>
      </c>
      <c r="R333" s="1">
        <f t="shared" si="72"/>
        <v>0.65183953569763686</v>
      </c>
      <c r="S333" s="2">
        <f t="shared" si="73"/>
        <v>4.0282302926218989</v>
      </c>
      <c r="T333" s="2">
        <f t="shared" si="74"/>
        <v>7.0305881634826775E-2</v>
      </c>
      <c r="U333" s="1" t="s">
        <v>2507</v>
      </c>
      <c r="V333" s="6" t="s">
        <v>2505</v>
      </c>
    </row>
    <row r="334" spans="1:22" ht="14.25" customHeight="1" x14ac:dyDescent="0.3">
      <c r="A334" s="1" t="s">
        <v>14</v>
      </c>
      <c r="B334" s="1" t="s">
        <v>695</v>
      </c>
      <c r="C334" s="1" t="s">
        <v>696</v>
      </c>
      <c r="D334" s="1">
        <f t="shared" si="64"/>
        <v>74</v>
      </c>
      <c r="E334" s="1">
        <f t="shared" si="65"/>
        <v>0.35468749999999999</v>
      </c>
      <c r="F334" s="2">
        <f t="shared" si="66"/>
        <v>462.19431096692966</v>
      </c>
      <c r="G334" s="1">
        <v>2080</v>
      </c>
      <c r="H334" s="1">
        <v>3744</v>
      </c>
      <c r="I334" s="1">
        <v>0</v>
      </c>
      <c r="J334" s="1">
        <v>255</v>
      </c>
      <c r="K334" s="1">
        <f t="shared" si="67"/>
        <v>0</v>
      </c>
      <c r="L334" s="1">
        <f t="shared" si="68"/>
        <v>2.2251201923076924</v>
      </c>
      <c r="M334" s="1">
        <f t="shared" si="69"/>
        <v>2.2251201923076924</v>
      </c>
      <c r="N334" s="2">
        <f t="shared" si="63"/>
        <v>7.5501539458758709</v>
      </c>
      <c r="O334" s="1">
        <v>1533</v>
      </c>
      <c r="P334" s="1">
        <f t="shared" si="70"/>
        <v>339</v>
      </c>
      <c r="Q334" s="1">
        <f t="shared" si="71"/>
        <v>2.9360942917670547</v>
      </c>
      <c r="R334" s="1">
        <f t="shared" si="72"/>
        <v>0.53169656245140573</v>
      </c>
      <c r="S334" s="2">
        <f t="shared" si="73"/>
        <v>4.0282302926218998</v>
      </c>
      <c r="T334" s="2">
        <f t="shared" si="74"/>
        <v>7.0305881634826803E-2</v>
      </c>
      <c r="U334" s="1" t="s">
        <v>2507</v>
      </c>
      <c r="V334" s="6" t="s">
        <v>2505</v>
      </c>
    </row>
    <row r="335" spans="1:22" ht="14.25" customHeight="1" x14ac:dyDescent="0.3">
      <c r="A335" s="1" t="s">
        <v>27</v>
      </c>
      <c r="B335" s="1" t="s">
        <v>697</v>
      </c>
      <c r="C335" s="1" t="s">
        <v>698</v>
      </c>
      <c r="D335" s="1">
        <f t="shared" si="64"/>
        <v>43</v>
      </c>
      <c r="E335" s="1">
        <f t="shared" si="65"/>
        <v>0.32557870370370373</v>
      </c>
      <c r="F335" s="2">
        <f t="shared" si="66"/>
        <v>267.23267048316393</v>
      </c>
      <c r="G335" s="1">
        <v>2080</v>
      </c>
      <c r="H335" s="1">
        <v>3744</v>
      </c>
      <c r="I335" s="1">
        <v>0</v>
      </c>
      <c r="J335" s="1">
        <v>589</v>
      </c>
      <c r="K335" s="1">
        <f t="shared" si="67"/>
        <v>0</v>
      </c>
      <c r="L335" s="1">
        <f t="shared" si="68"/>
        <v>5.1395913461538454</v>
      </c>
      <c r="M335" s="1">
        <f t="shared" si="69"/>
        <v>5.1395913461538454</v>
      </c>
      <c r="N335" s="2">
        <f t="shared" si="63"/>
        <v>3.2687423704555982</v>
      </c>
      <c r="O335" s="1">
        <v>1531</v>
      </c>
      <c r="P335" s="1">
        <f t="shared" si="70"/>
        <v>341</v>
      </c>
      <c r="Q335" s="1">
        <f t="shared" si="71"/>
        <v>1.2711443877769084</v>
      </c>
      <c r="R335" s="1">
        <f t="shared" si="72"/>
        <v>0.23154927149141333</v>
      </c>
      <c r="S335" s="2">
        <f t="shared" si="73"/>
        <v>4.0519167360102557</v>
      </c>
      <c r="T335" s="2">
        <f t="shared" si="74"/>
        <v>7.0719288060040852E-2</v>
      </c>
      <c r="U335" s="1" t="s">
        <v>2507</v>
      </c>
      <c r="V335" s="6" t="s">
        <v>2505</v>
      </c>
    </row>
    <row r="336" spans="1:22" ht="14.25" customHeight="1" x14ac:dyDescent="0.3">
      <c r="A336" s="1" t="s">
        <v>40</v>
      </c>
      <c r="B336" s="1" t="s">
        <v>699</v>
      </c>
      <c r="C336" s="1" t="s">
        <v>700</v>
      </c>
      <c r="D336" s="1">
        <f t="shared" si="64"/>
        <v>92</v>
      </c>
      <c r="E336" s="1">
        <f t="shared" si="65"/>
        <v>3.7164351851851851E-2</v>
      </c>
      <c r="F336" s="2">
        <f t="shared" si="66"/>
        <v>573.29658971702838</v>
      </c>
      <c r="G336" s="1">
        <v>2080</v>
      </c>
      <c r="H336" s="1">
        <v>3744</v>
      </c>
      <c r="I336" s="1">
        <v>0</v>
      </c>
      <c r="J336" s="1">
        <v>100</v>
      </c>
      <c r="K336" s="1">
        <f t="shared" si="67"/>
        <v>0</v>
      </c>
      <c r="L336" s="1">
        <f t="shared" si="68"/>
        <v>0.87259615384615374</v>
      </c>
      <c r="M336" s="1">
        <f t="shared" si="69"/>
        <v>0.87259615384615374</v>
      </c>
      <c r="N336" s="2">
        <f t="shared" si="63"/>
        <v>19.252892561983476</v>
      </c>
      <c r="O336" s="1">
        <v>1531</v>
      </c>
      <c r="P336" s="1">
        <f t="shared" si="70"/>
        <v>341</v>
      </c>
      <c r="Q336" s="1">
        <f t="shared" si="71"/>
        <v>7.4870404440059914</v>
      </c>
      <c r="R336" s="1">
        <f t="shared" si="72"/>
        <v>1.3638252090844247</v>
      </c>
      <c r="S336" s="2">
        <f t="shared" si="73"/>
        <v>4.0519167360102566</v>
      </c>
      <c r="T336" s="2">
        <f t="shared" si="74"/>
        <v>7.0719288060040866E-2</v>
      </c>
      <c r="U336" s="1" t="s">
        <v>2507</v>
      </c>
      <c r="V336" s="6" t="s">
        <v>2505</v>
      </c>
    </row>
    <row r="337" spans="1:24" ht="14.25" customHeight="1" x14ac:dyDescent="0.3">
      <c r="A337" s="1" t="s">
        <v>27</v>
      </c>
      <c r="B337" s="1" t="s">
        <v>701</v>
      </c>
      <c r="C337" s="1" t="s">
        <v>702</v>
      </c>
      <c r="D337" s="1">
        <f t="shared" si="64"/>
        <v>4</v>
      </c>
      <c r="E337" s="1">
        <f t="shared" si="65"/>
        <v>0.14741898148148147</v>
      </c>
      <c r="F337" s="2">
        <f t="shared" si="66"/>
        <v>21.069032954162168</v>
      </c>
      <c r="G337" s="1">
        <v>2080</v>
      </c>
      <c r="H337" s="1">
        <v>3744</v>
      </c>
      <c r="I337" s="1">
        <v>0</v>
      </c>
      <c r="J337" s="1">
        <v>196</v>
      </c>
      <c r="K337" s="1">
        <f t="shared" si="67"/>
        <v>0</v>
      </c>
      <c r="L337" s="1">
        <f t="shared" si="68"/>
        <v>1.7102884615384613</v>
      </c>
      <c r="M337" s="1">
        <f t="shared" si="69"/>
        <v>1.7102884615384613</v>
      </c>
      <c r="N337" s="2">
        <f t="shared" si="63"/>
        <v>9.8229043683589161</v>
      </c>
      <c r="O337" s="1">
        <v>1530</v>
      </c>
      <c r="P337" s="1">
        <f t="shared" si="70"/>
        <v>342</v>
      </c>
      <c r="Q337" s="1">
        <f t="shared" si="71"/>
        <v>3.8199185938806077</v>
      </c>
      <c r="R337" s="1">
        <f t="shared" si="72"/>
        <v>0.69786974311280325</v>
      </c>
      <c r="S337" s="2">
        <f t="shared" si="73"/>
        <v>4.0637594379964677</v>
      </c>
      <c r="T337" s="2">
        <f t="shared" si="74"/>
        <v>7.0925982202032722E-2</v>
      </c>
      <c r="U337" s="1" t="s">
        <v>2507</v>
      </c>
      <c r="V337" s="6" t="s">
        <v>2505</v>
      </c>
    </row>
    <row r="338" spans="1:24" ht="14.25" customHeight="1" x14ac:dyDescent="0.3">
      <c r="A338" s="1" t="s">
        <v>40</v>
      </c>
      <c r="B338" s="1" t="s">
        <v>703</v>
      </c>
      <c r="C338" s="1" t="s">
        <v>704</v>
      </c>
      <c r="D338" s="1">
        <f t="shared" si="64"/>
        <v>93</v>
      </c>
      <c r="E338" s="1">
        <f t="shared" si="65"/>
        <v>0.9555324074074073</v>
      </c>
      <c r="F338" s="2">
        <f t="shared" si="66"/>
        <v>585.35005169745773</v>
      </c>
      <c r="G338" s="1">
        <v>2080</v>
      </c>
      <c r="H338" s="1">
        <v>3744</v>
      </c>
      <c r="I338" s="1">
        <v>0</v>
      </c>
      <c r="J338" s="1">
        <v>236</v>
      </c>
      <c r="K338" s="1">
        <f t="shared" si="67"/>
        <v>0</v>
      </c>
      <c r="L338" s="1">
        <f t="shared" si="68"/>
        <v>2.0593269230769229</v>
      </c>
      <c r="M338" s="1">
        <f t="shared" si="69"/>
        <v>2.0593269230769229</v>
      </c>
      <c r="N338" s="2">
        <f t="shared" si="63"/>
        <v>8.1580053228743541</v>
      </c>
      <c r="O338" s="1">
        <v>1528</v>
      </c>
      <c r="P338" s="1">
        <f t="shared" si="70"/>
        <v>344</v>
      </c>
      <c r="Q338" s="1">
        <f t="shared" si="71"/>
        <v>3.1724747644093183</v>
      </c>
      <c r="R338" s="1">
        <f t="shared" si="72"/>
        <v>0.58297613192137054</v>
      </c>
      <c r="S338" s="2">
        <f t="shared" si="73"/>
        <v>4.0874437975698568</v>
      </c>
      <c r="T338" s="2">
        <f t="shared" si="74"/>
        <v>7.1339352257814598E-2</v>
      </c>
      <c r="U338" s="1" t="s">
        <v>2507</v>
      </c>
      <c r="V338" s="6" t="s">
        <v>2505</v>
      </c>
    </row>
    <row r="339" spans="1:24" ht="14.25" customHeight="1" x14ac:dyDescent="0.3">
      <c r="A339" s="1" t="s">
        <v>40</v>
      </c>
      <c r="B339" s="1" t="s">
        <v>705</v>
      </c>
      <c r="C339" s="1" t="s">
        <v>706</v>
      </c>
      <c r="D339" s="1">
        <f t="shared" si="64"/>
        <v>8</v>
      </c>
      <c r="E339" s="1">
        <f t="shared" si="65"/>
        <v>0.96442129629629625</v>
      </c>
      <c r="F339" s="2">
        <f t="shared" si="66"/>
        <v>51.335151123256665</v>
      </c>
      <c r="G339" s="1">
        <v>2080</v>
      </c>
      <c r="H339" s="1">
        <v>3744</v>
      </c>
      <c r="I339" s="1">
        <v>0</v>
      </c>
      <c r="J339" s="1">
        <v>102</v>
      </c>
      <c r="K339" s="1">
        <f t="shared" si="67"/>
        <v>0</v>
      </c>
      <c r="L339" s="1">
        <f t="shared" si="68"/>
        <v>0.89004807692307686</v>
      </c>
      <c r="M339" s="1">
        <f t="shared" si="69"/>
        <v>0.89004807692307686</v>
      </c>
      <c r="N339" s="2">
        <f t="shared" si="63"/>
        <v>18.875384864689678</v>
      </c>
      <c r="O339" s="1">
        <v>1527</v>
      </c>
      <c r="P339" s="1">
        <f t="shared" si="70"/>
        <v>345</v>
      </c>
      <c r="Q339" s="1">
        <f t="shared" si="71"/>
        <v>7.3402357294176372</v>
      </c>
      <c r="R339" s="1">
        <f t="shared" si="72"/>
        <v>1.3527678026971608</v>
      </c>
      <c r="S339" s="2">
        <f t="shared" si="73"/>
        <v>4.0992854531643212</v>
      </c>
      <c r="T339" s="2">
        <f t="shared" si="74"/>
        <v>7.1546028136825215E-2</v>
      </c>
      <c r="U339" s="1" t="s">
        <v>2507</v>
      </c>
      <c r="V339" s="6" t="s">
        <v>2505</v>
      </c>
    </row>
    <row r="340" spans="1:24" ht="14.25" customHeight="1" x14ac:dyDescent="0.3">
      <c r="A340" s="1" t="s">
        <v>27</v>
      </c>
      <c r="B340" s="1" t="s">
        <v>707</v>
      </c>
      <c r="C340" s="1" t="s">
        <v>708</v>
      </c>
      <c r="D340" s="1">
        <f t="shared" si="64"/>
        <v>85</v>
      </c>
      <c r="E340" s="1">
        <f t="shared" si="65"/>
        <v>0.74563657407407413</v>
      </c>
      <c r="F340" s="2">
        <f t="shared" si="66"/>
        <v>533.76575482398277</v>
      </c>
      <c r="G340" s="1">
        <v>2080</v>
      </c>
      <c r="H340" s="1">
        <v>3744</v>
      </c>
      <c r="I340" s="1">
        <v>0</v>
      </c>
      <c r="J340" s="1">
        <v>219</v>
      </c>
      <c r="K340" s="1">
        <f t="shared" si="67"/>
        <v>0</v>
      </c>
      <c r="L340" s="1">
        <f t="shared" si="68"/>
        <v>1.9109855769230768</v>
      </c>
      <c r="M340" s="1">
        <f t="shared" si="69"/>
        <v>1.9109855769230768</v>
      </c>
      <c r="N340" s="2">
        <f t="shared" si="63"/>
        <v>8.7912751424582076</v>
      </c>
      <c r="O340" s="1">
        <v>1527</v>
      </c>
      <c r="P340" s="1">
        <f t="shared" si="70"/>
        <v>345</v>
      </c>
      <c r="Q340" s="1">
        <f t="shared" si="71"/>
        <v>3.4187399287698588</v>
      </c>
      <c r="R340" s="1">
        <f t="shared" si="72"/>
        <v>0.63005623687265033</v>
      </c>
      <c r="S340" s="2">
        <f t="shared" si="73"/>
        <v>4.0992854531643212</v>
      </c>
      <c r="T340" s="2">
        <f t="shared" si="74"/>
        <v>7.1546028136825215E-2</v>
      </c>
      <c r="U340" s="1" t="s">
        <v>2507</v>
      </c>
      <c r="V340" s="6" t="s">
        <v>2505</v>
      </c>
    </row>
    <row r="341" spans="1:24" ht="14.25" customHeight="1" x14ac:dyDescent="0.3">
      <c r="A341" s="1" t="s">
        <v>17</v>
      </c>
      <c r="B341" s="1" t="s">
        <v>709</v>
      </c>
      <c r="C341" s="1" t="s">
        <v>710</v>
      </c>
      <c r="D341" s="1">
        <f t="shared" si="64"/>
        <v>36</v>
      </c>
      <c r="E341" s="1">
        <f t="shared" si="65"/>
        <v>0.2217824074074074</v>
      </c>
      <c r="F341" s="2">
        <f t="shared" si="66"/>
        <v>222.59820196907825</v>
      </c>
      <c r="G341" s="1">
        <v>2080</v>
      </c>
      <c r="H341" s="1">
        <v>3744</v>
      </c>
      <c r="I341" s="1">
        <v>0</v>
      </c>
      <c r="J341" s="1">
        <v>275</v>
      </c>
      <c r="K341" s="1">
        <f t="shared" si="67"/>
        <v>0</v>
      </c>
      <c r="L341" s="1">
        <f t="shared" si="68"/>
        <v>2.3996394230769229</v>
      </c>
      <c r="M341" s="1">
        <f t="shared" si="69"/>
        <v>2.3996394230769229</v>
      </c>
      <c r="N341" s="2">
        <f t="shared" si="63"/>
        <v>7.0010518407212627</v>
      </c>
      <c r="O341" s="1">
        <v>1524</v>
      </c>
      <c r="P341" s="1">
        <f t="shared" si="70"/>
        <v>348</v>
      </c>
      <c r="Q341" s="1">
        <f t="shared" si="71"/>
        <v>2.7225601614567236</v>
      </c>
      <c r="R341" s="1">
        <f t="shared" si="72"/>
        <v>0.50611695309131399</v>
      </c>
      <c r="S341" s="2">
        <f t="shared" si="73"/>
        <v>4.1348083112262906</v>
      </c>
      <c r="T341" s="2">
        <f t="shared" si="74"/>
        <v>7.2166018969725187E-2</v>
      </c>
      <c r="U341" s="1" t="s">
        <v>2507</v>
      </c>
      <c r="V341" s="6" t="s">
        <v>2505</v>
      </c>
      <c r="W341" s="1"/>
      <c r="X341" s="1"/>
    </row>
    <row r="342" spans="1:24" ht="14.25" customHeight="1" x14ac:dyDescent="0.3">
      <c r="A342" s="1" t="s">
        <v>27</v>
      </c>
      <c r="B342" s="1" t="s">
        <v>711</v>
      </c>
      <c r="C342" s="1" t="s">
        <v>712</v>
      </c>
      <c r="D342" s="1">
        <f t="shared" si="64"/>
        <v>38</v>
      </c>
      <c r="E342" s="1">
        <f t="shared" si="65"/>
        <v>0.74473379629629621</v>
      </c>
      <c r="F342" s="2">
        <f t="shared" si="66"/>
        <v>238.45037306647322</v>
      </c>
      <c r="G342" s="1">
        <v>2080</v>
      </c>
      <c r="H342" s="1">
        <v>3744</v>
      </c>
      <c r="I342" s="1">
        <v>0</v>
      </c>
      <c r="J342" s="1">
        <v>245</v>
      </c>
      <c r="K342" s="1">
        <f t="shared" si="67"/>
        <v>0</v>
      </c>
      <c r="L342" s="1">
        <f t="shared" si="68"/>
        <v>2.1378605769230767</v>
      </c>
      <c r="M342" s="1">
        <f t="shared" si="69"/>
        <v>2.1378605769230767</v>
      </c>
      <c r="N342" s="2">
        <f t="shared" si="63"/>
        <v>7.8583234946871316</v>
      </c>
      <c r="O342" s="1">
        <v>1524</v>
      </c>
      <c r="P342" s="1">
        <f t="shared" si="70"/>
        <v>348</v>
      </c>
      <c r="Q342" s="1">
        <f t="shared" si="71"/>
        <v>3.0559348751044855</v>
      </c>
      <c r="R342" s="1">
        <f t="shared" si="72"/>
        <v>0.56809045755147491</v>
      </c>
      <c r="S342" s="2">
        <f t="shared" si="73"/>
        <v>4.1348083112262914</v>
      </c>
      <c r="T342" s="2">
        <f t="shared" si="74"/>
        <v>7.2166018969725201E-2</v>
      </c>
      <c r="U342" s="1" t="s">
        <v>2507</v>
      </c>
      <c r="V342" s="6" t="s">
        <v>2505</v>
      </c>
    </row>
    <row r="343" spans="1:24" ht="14.25" customHeight="1" x14ac:dyDescent="0.3">
      <c r="A343" s="1" t="s">
        <v>17</v>
      </c>
      <c r="B343" s="1" t="s">
        <v>713</v>
      </c>
      <c r="C343" s="1" t="s">
        <v>714</v>
      </c>
      <c r="D343" s="1">
        <f t="shared" si="64"/>
        <v>84</v>
      </c>
      <c r="E343" s="1">
        <f t="shared" si="65"/>
        <v>5.303240740740741E-2</v>
      </c>
      <c r="F343" s="2">
        <f t="shared" si="66"/>
        <v>523.13080919311187</v>
      </c>
      <c r="G343" s="1">
        <v>2080</v>
      </c>
      <c r="H343" s="1">
        <v>3744</v>
      </c>
      <c r="I343" s="1">
        <v>0</v>
      </c>
      <c r="J343" s="1">
        <v>210</v>
      </c>
      <c r="K343" s="1">
        <f t="shared" si="67"/>
        <v>0</v>
      </c>
      <c r="L343" s="1">
        <f t="shared" si="68"/>
        <v>1.832451923076923</v>
      </c>
      <c r="M343" s="1">
        <f t="shared" si="69"/>
        <v>1.832451923076923</v>
      </c>
      <c r="N343" s="2">
        <f t="shared" si="63"/>
        <v>9.1680440771349865</v>
      </c>
      <c r="O343" s="1">
        <v>1524</v>
      </c>
      <c r="P343" s="1">
        <f t="shared" si="70"/>
        <v>348</v>
      </c>
      <c r="Q343" s="1">
        <f t="shared" si="71"/>
        <v>3.5652573542885664</v>
      </c>
      <c r="R343" s="1">
        <f t="shared" si="72"/>
        <v>0.6627722004767207</v>
      </c>
      <c r="S343" s="2">
        <f t="shared" si="73"/>
        <v>4.1348083112262914</v>
      </c>
      <c r="T343" s="2">
        <f t="shared" si="74"/>
        <v>7.2166018969725201E-2</v>
      </c>
      <c r="U343" s="1" t="s">
        <v>2507</v>
      </c>
      <c r="V343" s="6" t="s">
        <v>2505</v>
      </c>
    </row>
    <row r="344" spans="1:24" ht="14.25" customHeight="1" x14ac:dyDescent="0.3">
      <c r="A344" s="1" t="s">
        <v>40</v>
      </c>
      <c r="B344" s="1" t="s">
        <v>715</v>
      </c>
      <c r="C344" s="1" t="s">
        <v>716</v>
      </c>
      <c r="D344" s="1">
        <f t="shared" si="64"/>
        <v>60</v>
      </c>
      <c r="E344" s="1">
        <f t="shared" si="65"/>
        <v>8.7488425925925928E-2</v>
      </c>
      <c r="F344" s="2">
        <f t="shared" si="66"/>
        <v>372.55085537010126</v>
      </c>
      <c r="G344" s="1">
        <v>2080</v>
      </c>
      <c r="H344" s="1">
        <v>3744</v>
      </c>
      <c r="I344" s="1">
        <v>0</v>
      </c>
      <c r="J344" s="1">
        <v>162</v>
      </c>
      <c r="K344" s="1">
        <f t="shared" si="67"/>
        <v>0</v>
      </c>
      <c r="L344" s="1">
        <f t="shared" si="68"/>
        <v>1.4136057692307691</v>
      </c>
      <c r="M344" s="1">
        <f t="shared" si="69"/>
        <v>1.4136057692307691</v>
      </c>
      <c r="N344" s="2">
        <f t="shared" si="63"/>
        <v>11.88450158147128</v>
      </c>
      <c r="O344" s="1">
        <v>1523</v>
      </c>
      <c r="P344" s="1">
        <f t="shared" si="70"/>
        <v>349</v>
      </c>
      <c r="Q344" s="1">
        <f t="shared" si="71"/>
        <v>4.6216299037074018</v>
      </c>
      <c r="R344" s="1">
        <f t="shared" si="72"/>
        <v>0.86161796815912572</v>
      </c>
      <c r="S344" s="2">
        <f t="shared" si="73"/>
        <v>4.1466485576873762</v>
      </c>
      <c r="T344" s="2">
        <f t="shared" si="74"/>
        <v>7.2372670254718732E-2</v>
      </c>
      <c r="U344" s="1" t="s">
        <v>2507</v>
      </c>
      <c r="V344" s="6" t="s">
        <v>2505</v>
      </c>
    </row>
    <row r="345" spans="1:24" ht="14.25" customHeight="1" x14ac:dyDescent="0.3">
      <c r="A345" s="1" t="s">
        <v>17</v>
      </c>
      <c r="B345" s="1" t="s">
        <v>717</v>
      </c>
      <c r="C345" s="1" t="s">
        <v>718</v>
      </c>
      <c r="D345" s="1">
        <f t="shared" si="64"/>
        <v>83</v>
      </c>
      <c r="E345" s="1">
        <f t="shared" si="65"/>
        <v>9.9444444444444446E-2</v>
      </c>
      <c r="F345" s="2">
        <f t="shared" si="66"/>
        <v>517.13923931511965</v>
      </c>
      <c r="G345" s="1">
        <v>2080</v>
      </c>
      <c r="H345" s="1">
        <v>3744</v>
      </c>
      <c r="I345" s="1">
        <v>0</v>
      </c>
      <c r="J345" s="1">
        <v>248</v>
      </c>
      <c r="K345" s="1">
        <f t="shared" si="67"/>
        <v>0</v>
      </c>
      <c r="L345" s="1">
        <f t="shared" si="68"/>
        <v>2.1640384615384614</v>
      </c>
      <c r="M345" s="1">
        <f t="shared" si="69"/>
        <v>2.1640384615384614</v>
      </c>
      <c r="N345" s="2">
        <f t="shared" si="63"/>
        <v>7.7632631298320458</v>
      </c>
      <c r="O345" s="1">
        <v>1522</v>
      </c>
      <c r="P345" s="1">
        <f t="shared" si="70"/>
        <v>350</v>
      </c>
      <c r="Q345" s="1">
        <f t="shared" si="71"/>
        <v>3.0189679209701574</v>
      </c>
      <c r="R345" s="1">
        <f t="shared" si="72"/>
        <v>0.56444378864292477</v>
      </c>
      <c r="S345" s="2">
        <f t="shared" si="73"/>
        <v>4.1584884493762413</v>
      </c>
      <c r="T345" s="2">
        <f t="shared" si="74"/>
        <v>7.2579315347768944E-2</v>
      </c>
      <c r="U345" s="1" t="s">
        <v>2507</v>
      </c>
      <c r="V345" s="6" t="s">
        <v>2505</v>
      </c>
    </row>
    <row r="346" spans="1:24" ht="14.25" customHeight="1" x14ac:dyDescent="0.3">
      <c r="A346" s="1" t="s">
        <v>40</v>
      </c>
      <c r="B346" s="1" t="s">
        <v>719</v>
      </c>
      <c r="C346" s="1" t="s">
        <v>720</v>
      </c>
      <c r="D346" s="1">
        <f t="shared" si="64"/>
        <v>74</v>
      </c>
      <c r="E346" s="1">
        <f t="shared" si="65"/>
        <v>7.3958333333333341E-3</v>
      </c>
      <c r="F346" s="2">
        <f t="shared" si="66"/>
        <v>460.01221306962373</v>
      </c>
      <c r="G346" s="1">
        <v>2080</v>
      </c>
      <c r="H346" s="1">
        <v>3744</v>
      </c>
      <c r="I346" s="1">
        <v>0</v>
      </c>
      <c r="J346" s="1">
        <v>222</v>
      </c>
      <c r="K346" s="1">
        <f t="shared" si="67"/>
        <v>0</v>
      </c>
      <c r="L346" s="1">
        <f t="shared" si="68"/>
        <v>1.9371634615384614</v>
      </c>
      <c r="M346" s="1">
        <f t="shared" si="69"/>
        <v>1.9371634615384614</v>
      </c>
      <c r="N346" s="2">
        <f t="shared" si="63"/>
        <v>8.6724741270195818</v>
      </c>
      <c r="O346" s="1">
        <v>1520</v>
      </c>
      <c r="P346" s="1">
        <f t="shared" si="70"/>
        <v>352</v>
      </c>
      <c r="Q346" s="1">
        <f t="shared" si="71"/>
        <v>3.3725407405432386</v>
      </c>
      <c r="R346" s="1">
        <f t="shared" si="72"/>
        <v>0.63415295976026709</v>
      </c>
      <c r="S346" s="2">
        <f t="shared" si="73"/>
        <v>4.1821671644567457</v>
      </c>
      <c r="T346" s="2">
        <f t="shared" si="74"/>
        <v>7.2992586888565386E-2</v>
      </c>
      <c r="U346" s="1" t="s">
        <v>2507</v>
      </c>
      <c r="V346" s="6" t="s">
        <v>2505</v>
      </c>
    </row>
    <row r="347" spans="1:24" ht="14.25" customHeight="1" x14ac:dyDescent="0.3">
      <c r="A347" s="1" t="s">
        <v>17</v>
      </c>
      <c r="B347" s="1" t="s">
        <v>721</v>
      </c>
      <c r="C347" s="1" t="s">
        <v>722</v>
      </c>
      <c r="D347" s="1">
        <f t="shared" si="64"/>
        <v>80</v>
      </c>
      <c r="E347" s="1">
        <f t="shared" si="65"/>
        <v>0.92825231481481485</v>
      </c>
      <c r="F347" s="2">
        <f t="shared" si="66"/>
        <v>503.49723682716677</v>
      </c>
      <c r="G347" s="1">
        <v>2080</v>
      </c>
      <c r="H347" s="1">
        <v>3744</v>
      </c>
      <c r="I347" s="1">
        <v>0</v>
      </c>
      <c r="J347" s="1">
        <v>194</v>
      </c>
      <c r="K347" s="1">
        <f t="shared" si="67"/>
        <v>0</v>
      </c>
      <c r="L347" s="1">
        <f t="shared" si="68"/>
        <v>1.6928365384615385</v>
      </c>
      <c r="M347" s="1">
        <f t="shared" si="69"/>
        <v>1.6928365384615385</v>
      </c>
      <c r="N347" s="2">
        <f t="shared" si="63"/>
        <v>9.9241714237028198</v>
      </c>
      <c r="O347" s="1">
        <v>1520</v>
      </c>
      <c r="P347" s="1">
        <f t="shared" si="70"/>
        <v>352</v>
      </c>
      <c r="Q347" s="1">
        <f t="shared" si="71"/>
        <v>3.8592991979412314</v>
      </c>
      <c r="R347" s="1">
        <f t="shared" si="72"/>
        <v>0.72568019106587256</v>
      </c>
      <c r="S347" s="2">
        <f t="shared" si="73"/>
        <v>4.1821671644567457</v>
      </c>
      <c r="T347" s="2">
        <f t="shared" si="74"/>
        <v>7.2992586888565386E-2</v>
      </c>
      <c r="U347" s="1" t="s">
        <v>2507</v>
      </c>
      <c r="V347" s="6" t="s">
        <v>2505</v>
      </c>
    </row>
    <row r="348" spans="1:24" ht="14.25" customHeight="1" x14ac:dyDescent="0.3">
      <c r="A348" s="1" t="s">
        <v>40</v>
      </c>
      <c r="B348" s="1" t="s">
        <v>723</v>
      </c>
      <c r="C348" s="1" t="s">
        <v>724</v>
      </c>
      <c r="D348" s="1">
        <f t="shared" si="64"/>
        <v>93</v>
      </c>
      <c r="E348" s="1">
        <f t="shared" si="65"/>
        <v>0.28043981481481484</v>
      </c>
      <c r="F348" s="2">
        <f t="shared" si="66"/>
        <v>581.10831983869411</v>
      </c>
      <c r="G348" s="1">
        <v>2080</v>
      </c>
      <c r="H348" s="1">
        <v>3744</v>
      </c>
      <c r="I348" s="1">
        <v>0</v>
      </c>
      <c r="J348" s="1">
        <v>55</v>
      </c>
      <c r="K348" s="1">
        <f t="shared" si="67"/>
        <v>0</v>
      </c>
      <c r="L348" s="1">
        <f t="shared" si="68"/>
        <v>0.47992788461538455</v>
      </c>
      <c r="M348" s="1">
        <f t="shared" si="69"/>
        <v>0.47992788461538455</v>
      </c>
      <c r="N348" s="2">
        <f t="shared" si="63"/>
        <v>35.005259203606315</v>
      </c>
      <c r="O348" s="1">
        <v>1519</v>
      </c>
      <c r="P348" s="1">
        <f t="shared" si="70"/>
        <v>353</v>
      </c>
      <c r="Q348" s="1">
        <f t="shared" si="71"/>
        <v>13.612800807283618</v>
      </c>
      <c r="R348" s="1">
        <f t="shared" si="72"/>
        <v>2.5669437419717505</v>
      </c>
      <c r="S348" s="2">
        <f t="shared" si="73"/>
        <v>4.1940059858585528</v>
      </c>
      <c r="T348" s="2">
        <f t="shared" si="74"/>
        <v>7.319921330158248E-2</v>
      </c>
      <c r="U348" s="1" t="s">
        <v>2507</v>
      </c>
      <c r="V348" s="6" t="s">
        <v>2505</v>
      </c>
      <c r="W348" s="3"/>
      <c r="X348" s="3"/>
    </row>
    <row r="349" spans="1:24" ht="14.25" customHeight="1" x14ac:dyDescent="0.3">
      <c r="A349" s="1" t="s">
        <v>40</v>
      </c>
      <c r="B349" s="1" t="s">
        <v>725</v>
      </c>
      <c r="C349" s="1" t="s">
        <v>726</v>
      </c>
      <c r="D349" s="1">
        <f t="shared" si="64"/>
        <v>34</v>
      </c>
      <c r="E349" s="1">
        <f t="shared" si="65"/>
        <v>0.28013888888888888</v>
      </c>
      <c r="F349" s="2">
        <f t="shared" si="66"/>
        <v>210.39849594174223</v>
      </c>
      <c r="G349" s="1">
        <v>2080</v>
      </c>
      <c r="H349" s="1">
        <v>3744</v>
      </c>
      <c r="I349" s="1">
        <v>0</v>
      </c>
      <c r="J349" s="1">
        <v>85</v>
      </c>
      <c r="K349" s="1">
        <f t="shared" si="67"/>
        <v>0</v>
      </c>
      <c r="L349" s="1">
        <f t="shared" si="68"/>
        <v>0.74170673076923066</v>
      </c>
      <c r="M349" s="1">
        <f t="shared" si="69"/>
        <v>0.74170673076923066</v>
      </c>
      <c r="N349" s="2">
        <f t="shared" si="63"/>
        <v>22.650461837627617</v>
      </c>
      <c r="O349" s="1">
        <v>1518</v>
      </c>
      <c r="P349" s="1">
        <f t="shared" si="70"/>
        <v>354</v>
      </c>
      <c r="Q349" s="1">
        <f t="shared" si="71"/>
        <v>8.808282875301165</v>
      </c>
      <c r="R349" s="1">
        <f t="shared" si="72"/>
        <v>1.6656688770601562</v>
      </c>
      <c r="S349" s="2">
        <f t="shared" si="73"/>
        <v>4.2058444485084792</v>
      </c>
      <c r="T349" s="2">
        <f t="shared" si="74"/>
        <v>7.340583345319808E-2</v>
      </c>
      <c r="U349" s="1" t="s">
        <v>2507</v>
      </c>
      <c r="V349" s="6" t="s">
        <v>2505</v>
      </c>
    </row>
    <row r="350" spans="1:24" ht="14.25" customHeight="1" x14ac:dyDescent="0.3">
      <c r="A350" s="1" t="s">
        <v>17</v>
      </c>
      <c r="B350" s="1" t="s">
        <v>727</v>
      </c>
      <c r="C350" s="1" t="s">
        <v>728</v>
      </c>
      <c r="D350" s="1">
        <f t="shared" si="64"/>
        <v>38</v>
      </c>
      <c r="E350" s="1">
        <f t="shared" si="65"/>
        <v>0.7729166666666667</v>
      </c>
      <c r="F350" s="2">
        <f t="shared" si="66"/>
        <v>238.6274512634985</v>
      </c>
      <c r="G350" s="1">
        <v>2080</v>
      </c>
      <c r="H350" s="1">
        <v>3744</v>
      </c>
      <c r="I350" s="1">
        <v>0</v>
      </c>
      <c r="J350" s="1">
        <v>238</v>
      </c>
      <c r="K350" s="1">
        <f t="shared" si="67"/>
        <v>0</v>
      </c>
      <c r="L350" s="1">
        <f t="shared" si="68"/>
        <v>2.0767788461538461</v>
      </c>
      <c r="M350" s="1">
        <f t="shared" si="69"/>
        <v>2.0767788461538461</v>
      </c>
      <c r="N350" s="2">
        <f t="shared" si="63"/>
        <v>8.0894506562955772</v>
      </c>
      <c r="O350" s="1">
        <v>1517</v>
      </c>
      <c r="P350" s="1">
        <f t="shared" si="70"/>
        <v>355</v>
      </c>
      <c r="Q350" s="1">
        <f t="shared" si="71"/>
        <v>3.1458153126075588</v>
      </c>
      <c r="R350" s="1">
        <f t="shared" si="72"/>
        <v>0.59656219870495908</v>
      </c>
      <c r="S350" s="2">
        <f t="shared" si="73"/>
        <v>4.2176825514120635</v>
      </c>
      <c r="T350" s="2">
        <f t="shared" si="74"/>
        <v>7.3612447326055527E-2</v>
      </c>
      <c r="U350" s="1" t="s">
        <v>2507</v>
      </c>
      <c r="V350" s="6" t="s">
        <v>2505</v>
      </c>
    </row>
    <row r="351" spans="1:24" ht="14.25" customHeight="1" x14ac:dyDescent="0.3">
      <c r="A351" s="1" t="s">
        <v>27</v>
      </c>
      <c r="B351" s="1" t="s">
        <v>729</v>
      </c>
      <c r="C351" s="1" t="s">
        <v>730</v>
      </c>
      <c r="D351" s="1">
        <f t="shared" si="64"/>
        <v>14</v>
      </c>
      <c r="E351" s="1">
        <f t="shared" si="65"/>
        <v>0.84304398148148152</v>
      </c>
      <c r="F351" s="2">
        <f t="shared" si="66"/>
        <v>88.27162680526483</v>
      </c>
      <c r="G351" s="1">
        <v>2080</v>
      </c>
      <c r="H351" s="1">
        <v>3744</v>
      </c>
      <c r="I351" s="1">
        <v>0</v>
      </c>
      <c r="J351" s="1">
        <v>225</v>
      </c>
      <c r="K351" s="1">
        <f t="shared" si="67"/>
        <v>0</v>
      </c>
      <c r="L351" s="1">
        <f t="shared" si="68"/>
        <v>1.963341346153846</v>
      </c>
      <c r="M351" s="1">
        <f t="shared" si="69"/>
        <v>1.963341346153846</v>
      </c>
      <c r="N351" s="2">
        <f t="shared" si="63"/>
        <v>8.5568411386593208</v>
      </c>
      <c r="O351" s="1">
        <v>1515</v>
      </c>
      <c r="P351" s="1">
        <f t="shared" si="70"/>
        <v>357</v>
      </c>
      <c r="Q351" s="1">
        <f t="shared" si="71"/>
        <v>3.3275735306693286</v>
      </c>
      <c r="R351" s="1">
        <f t="shared" si="72"/>
        <v>0.63458533677828544</v>
      </c>
      <c r="S351" s="2">
        <f t="shared" si="73"/>
        <v>4.2413576740032877</v>
      </c>
      <c r="T351" s="2">
        <f t="shared" si="74"/>
        <v>7.4025656166085668E-2</v>
      </c>
      <c r="U351" s="1" t="s">
        <v>2507</v>
      </c>
      <c r="V351" s="6" t="s">
        <v>2505</v>
      </c>
    </row>
    <row r="352" spans="1:24" ht="14.25" customHeight="1" x14ac:dyDescent="0.3">
      <c r="A352" s="1" t="s">
        <v>27</v>
      </c>
      <c r="B352" s="1" t="s">
        <v>731</v>
      </c>
      <c r="C352" s="1" t="s">
        <v>732</v>
      </c>
      <c r="D352" s="1">
        <f t="shared" si="64"/>
        <v>20</v>
      </c>
      <c r="E352" s="1">
        <f t="shared" si="65"/>
        <v>0.82846064814814813</v>
      </c>
      <c r="F352" s="2">
        <f t="shared" si="66"/>
        <v>125.87910886261265</v>
      </c>
      <c r="G352" s="1">
        <v>2080</v>
      </c>
      <c r="H352" s="1">
        <v>3744</v>
      </c>
      <c r="I352" s="1">
        <v>0</v>
      </c>
      <c r="J352" s="1">
        <v>202</v>
      </c>
      <c r="K352" s="1">
        <f t="shared" si="67"/>
        <v>0</v>
      </c>
      <c r="L352" s="1">
        <f t="shared" si="68"/>
        <v>1.7626442307692307</v>
      </c>
      <c r="M352" s="1">
        <f t="shared" si="69"/>
        <v>1.7626442307692307</v>
      </c>
      <c r="N352" s="2">
        <f t="shared" si="63"/>
        <v>9.5311349316749858</v>
      </c>
      <c r="O352" s="1">
        <v>1510</v>
      </c>
      <c r="P352" s="1">
        <f t="shared" si="70"/>
        <v>362</v>
      </c>
      <c r="Q352" s="1">
        <f t="shared" si="71"/>
        <v>3.7064556653494996</v>
      </c>
      <c r="R352" s="1">
        <f t="shared" si="72"/>
        <v>0.71673982417549087</v>
      </c>
      <c r="S352" s="2">
        <f t="shared" si="73"/>
        <v>4.3005391153435868</v>
      </c>
      <c r="T352" s="2">
        <f t="shared" si="74"/>
        <v>7.5058567173549778E-2</v>
      </c>
      <c r="U352" s="1" t="s">
        <v>2507</v>
      </c>
      <c r="V352" s="6" t="s">
        <v>2505</v>
      </c>
    </row>
    <row r="353" spans="1:22" ht="14.25" customHeight="1" x14ac:dyDescent="0.3">
      <c r="A353" s="1" t="s">
        <v>40</v>
      </c>
      <c r="B353" s="1" t="s">
        <v>733</v>
      </c>
      <c r="C353" s="1" t="s">
        <v>734</v>
      </c>
      <c r="D353" s="1">
        <f t="shared" si="64"/>
        <v>77</v>
      </c>
      <c r="E353" s="1">
        <f t="shared" si="65"/>
        <v>0.29116898148148146</v>
      </c>
      <c r="F353" s="2">
        <f t="shared" si="66"/>
        <v>480.64476826617903</v>
      </c>
      <c r="G353" s="1">
        <v>2080</v>
      </c>
      <c r="H353" s="1">
        <v>3744</v>
      </c>
      <c r="I353" s="1">
        <v>0</v>
      </c>
      <c r="J353" s="1">
        <v>214</v>
      </c>
      <c r="K353" s="1">
        <f t="shared" si="67"/>
        <v>0</v>
      </c>
      <c r="L353" s="1">
        <f t="shared" si="68"/>
        <v>1.8673557692307692</v>
      </c>
      <c r="M353" s="1">
        <f t="shared" si="69"/>
        <v>1.8673557692307692</v>
      </c>
      <c r="N353" s="2">
        <f t="shared" si="63"/>
        <v>8.9966787672819972</v>
      </c>
      <c r="O353" s="1">
        <v>1509</v>
      </c>
      <c r="P353" s="1">
        <f t="shared" si="70"/>
        <v>363</v>
      </c>
      <c r="Q353" s="1">
        <f t="shared" si="71"/>
        <v>3.4986170299093415</v>
      </c>
      <c r="R353" s="1">
        <f t="shared" si="72"/>
        <v>0.67841772535101019</v>
      </c>
      <c r="S353" s="2">
        <f t="shared" si="73"/>
        <v>4.3123743044979834</v>
      </c>
      <c r="T353" s="2">
        <f t="shared" si="74"/>
        <v>7.5265130191890323E-2</v>
      </c>
      <c r="U353" s="1" t="s">
        <v>2507</v>
      </c>
      <c r="V353" s="6" t="s">
        <v>2505</v>
      </c>
    </row>
    <row r="354" spans="1:22" ht="14.25" customHeight="1" x14ac:dyDescent="0.3">
      <c r="A354" s="1" t="s">
        <v>40</v>
      </c>
      <c r="B354" s="1" t="s">
        <v>735</v>
      </c>
      <c r="C354" s="1" t="s">
        <v>736</v>
      </c>
      <c r="D354" s="1">
        <f t="shared" si="64"/>
        <v>7</v>
      </c>
      <c r="E354" s="1">
        <f t="shared" si="65"/>
        <v>0.29069444444444442</v>
      </c>
      <c r="F354" s="2">
        <f t="shared" si="66"/>
        <v>40.818815159469167</v>
      </c>
      <c r="G354" s="1">
        <v>2080</v>
      </c>
      <c r="H354" s="1">
        <v>3744</v>
      </c>
      <c r="I354" s="1">
        <v>0</v>
      </c>
      <c r="J354" s="1">
        <v>90</v>
      </c>
      <c r="K354" s="1">
        <f t="shared" si="67"/>
        <v>0</v>
      </c>
      <c r="L354" s="1">
        <f t="shared" si="68"/>
        <v>0.78533653846153839</v>
      </c>
      <c r="M354" s="1">
        <f t="shared" si="69"/>
        <v>0.78533653846153839</v>
      </c>
      <c r="N354" s="2">
        <f t="shared" si="63"/>
        <v>21.392102846648303</v>
      </c>
      <c r="O354" s="1">
        <v>1508</v>
      </c>
      <c r="P354" s="1">
        <f t="shared" si="70"/>
        <v>364</v>
      </c>
      <c r="Q354" s="1">
        <f t="shared" si="71"/>
        <v>8.3189338266733213</v>
      </c>
      <c r="R354" s="1">
        <f t="shared" si="72"/>
        <v>1.6175704662975903</v>
      </c>
      <c r="S354" s="2">
        <f t="shared" si="73"/>
        <v>4.3242091249642041</v>
      </c>
      <c r="T354" s="2">
        <f t="shared" si="74"/>
        <v>7.5471686775408289E-2</v>
      </c>
      <c r="U354" s="1" t="s">
        <v>2507</v>
      </c>
      <c r="V354" s="6" t="s">
        <v>2505</v>
      </c>
    </row>
    <row r="355" spans="1:22" ht="14.25" customHeight="1" x14ac:dyDescent="0.3">
      <c r="A355" s="1" t="s">
        <v>17</v>
      </c>
      <c r="B355" s="1" t="s">
        <v>737</v>
      </c>
      <c r="C355" s="1" t="s">
        <v>738</v>
      </c>
      <c r="D355" s="1">
        <f t="shared" si="64"/>
        <v>61</v>
      </c>
      <c r="E355" s="1">
        <f t="shared" si="65"/>
        <v>0.9105092592592593</v>
      </c>
      <c r="F355" s="2">
        <f t="shared" si="66"/>
        <v>384.00523308478353</v>
      </c>
      <c r="G355" s="1">
        <v>2080</v>
      </c>
      <c r="H355" s="1">
        <v>3744</v>
      </c>
      <c r="I355" s="1">
        <v>0</v>
      </c>
      <c r="J355" s="1">
        <v>211</v>
      </c>
      <c r="K355" s="1">
        <f t="shared" si="67"/>
        <v>0</v>
      </c>
      <c r="L355" s="1">
        <f t="shared" si="68"/>
        <v>1.8411778846153843</v>
      </c>
      <c r="M355" s="1">
        <f t="shared" si="69"/>
        <v>1.8411778846153843</v>
      </c>
      <c r="N355" s="2">
        <f t="shared" si="63"/>
        <v>9.1245936312717895</v>
      </c>
      <c r="O355" s="1">
        <v>1506</v>
      </c>
      <c r="P355" s="1">
        <f t="shared" si="70"/>
        <v>366</v>
      </c>
      <c r="Q355" s="1">
        <f t="shared" si="71"/>
        <v>3.5483604000028395</v>
      </c>
      <c r="R355" s="1">
        <f t="shared" si="72"/>
        <v>0.69374995000055517</v>
      </c>
      <c r="S355" s="2">
        <f t="shared" si="73"/>
        <v>4.3478776558618977</v>
      </c>
      <c r="T355" s="2">
        <f t="shared" si="74"/>
        <v>7.5884780568683044E-2</v>
      </c>
      <c r="U355" s="1" t="s">
        <v>2507</v>
      </c>
      <c r="V355" s="6" t="s">
        <v>2505</v>
      </c>
    </row>
    <row r="356" spans="1:22" ht="14.25" customHeight="1" x14ac:dyDescent="0.3">
      <c r="A356" s="1" t="s">
        <v>17</v>
      </c>
      <c r="B356" s="1" t="s">
        <v>739</v>
      </c>
      <c r="C356" s="1" t="s">
        <v>740</v>
      </c>
      <c r="D356" s="1">
        <f t="shared" si="64"/>
        <v>61</v>
      </c>
      <c r="E356" s="1">
        <f t="shared" si="65"/>
        <v>0.9084374999999999</v>
      </c>
      <c r="F356" s="2">
        <f t="shared" si="66"/>
        <v>383.99221583744571</v>
      </c>
      <c r="G356" s="1">
        <v>2080</v>
      </c>
      <c r="H356" s="1">
        <v>3744</v>
      </c>
      <c r="I356" s="1">
        <v>0</v>
      </c>
      <c r="J356" s="1">
        <v>155</v>
      </c>
      <c r="K356" s="1">
        <f t="shared" si="67"/>
        <v>0</v>
      </c>
      <c r="L356" s="1">
        <f t="shared" si="68"/>
        <v>1.3525240384615385</v>
      </c>
      <c r="M356" s="1">
        <f t="shared" si="69"/>
        <v>1.3525240384615385</v>
      </c>
      <c r="N356" s="2">
        <f t="shared" si="63"/>
        <v>12.421221007731273</v>
      </c>
      <c r="O356" s="1">
        <v>1505</v>
      </c>
      <c r="P356" s="1">
        <f t="shared" si="70"/>
        <v>367</v>
      </c>
      <c r="Q356" s="1">
        <f t="shared" si="71"/>
        <v>4.8303486735522512</v>
      </c>
      <c r="R356" s="1">
        <f t="shared" si="72"/>
        <v>0.94697540768892952</v>
      </c>
      <c r="S356" s="2">
        <f t="shared" si="73"/>
        <v>4.3597113643087209</v>
      </c>
      <c r="T356" s="2">
        <f t="shared" si="74"/>
        <v>7.6091317743801179E-2</v>
      </c>
      <c r="U356" s="1" t="s">
        <v>2507</v>
      </c>
      <c r="V356" s="6" t="s">
        <v>2505</v>
      </c>
    </row>
    <row r="357" spans="1:22" ht="14.25" customHeight="1" x14ac:dyDescent="0.3">
      <c r="A357" s="1" t="s">
        <v>17</v>
      </c>
      <c r="B357" s="1" t="s">
        <v>741</v>
      </c>
      <c r="C357" s="1" t="s">
        <v>742</v>
      </c>
      <c r="D357" s="1">
        <f t="shared" si="64"/>
        <v>23</v>
      </c>
      <c r="E357" s="1">
        <f t="shared" si="65"/>
        <v>0.29679398148148145</v>
      </c>
      <c r="F357" s="2">
        <f t="shared" si="66"/>
        <v>141.38810459583425</v>
      </c>
      <c r="G357" s="1">
        <v>2080</v>
      </c>
      <c r="H357" s="1">
        <v>3744</v>
      </c>
      <c r="I357" s="1">
        <v>0</v>
      </c>
      <c r="J357" s="1">
        <v>184</v>
      </c>
      <c r="K357" s="1">
        <f t="shared" si="67"/>
        <v>0</v>
      </c>
      <c r="L357" s="1">
        <f t="shared" si="68"/>
        <v>1.605576923076923</v>
      </c>
      <c r="M357" s="1">
        <f t="shared" si="69"/>
        <v>1.605576923076923</v>
      </c>
      <c r="N357" s="2">
        <f t="shared" si="63"/>
        <v>10.463528566295366</v>
      </c>
      <c r="O357" s="1">
        <v>1504</v>
      </c>
      <c r="P357" s="1">
        <f t="shared" si="70"/>
        <v>368</v>
      </c>
      <c r="Q357" s="1">
        <f t="shared" si="71"/>
        <v>4.069043719568473</v>
      </c>
      <c r="R357" s="1">
        <f t="shared" si="72"/>
        <v>0.79989748333397326</v>
      </c>
      <c r="S357" s="2">
        <f t="shared" si="73"/>
        <v>4.3715447000980836</v>
      </c>
      <c r="T357" s="2">
        <f t="shared" si="74"/>
        <v>7.6297848414819638E-2</v>
      </c>
      <c r="U357" s="1" t="s">
        <v>2507</v>
      </c>
      <c r="V357" s="6" t="s">
        <v>2505</v>
      </c>
    </row>
    <row r="358" spans="1:22" ht="14.25" customHeight="1" x14ac:dyDescent="0.3">
      <c r="A358" s="1" t="s">
        <v>17</v>
      </c>
      <c r="B358" s="1" t="s">
        <v>743</v>
      </c>
      <c r="C358" s="1" t="s">
        <v>744</v>
      </c>
      <c r="D358" s="1">
        <f t="shared" si="64"/>
        <v>10</v>
      </c>
      <c r="E358" s="1">
        <f t="shared" si="65"/>
        <v>0.25365740740740744</v>
      </c>
      <c r="F358" s="2">
        <f t="shared" si="66"/>
        <v>59.435660514075344</v>
      </c>
      <c r="G358" s="1">
        <v>2080</v>
      </c>
      <c r="H358" s="1">
        <v>3744</v>
      </c>
      <c r="I358" s="1">
        <v>0</v>
      </c>
      <c r="J358" s="1">
        <v>166</v>
      </c>
      <c r="K358" s="1">
        <f t="shared" si="67"/>
        <v>0</v>
      </c>
      <c r="L358" s="1">
        <f t="shared" si="68"/>
        <v>1.4485096153846153</v>
      </c>
      <c r="M358" s="1">
        <f t="shared" si="69"/>
        <v>1.4485096153846153</v>
      </c>
      <c r="N358" s="2">
        <f t="shared" si="63"/>
        <v>11.598128049387634</v>
      </c>
      <c r="O358" s="1">
        <v>1503</v>
      </c>
      <c r="P358" s="1">
        <f t="shared" si="70"/>
        <v>369</v>
      </c>
      <c r="Q358" s="1">
        <f t="shared" si="71"/>
        <v>4.5102653277144515</v>
      </c>
      <c r="R358" s="1">
        <f t="shared" si="72"/>
        <v>0.88904268478986781</v>
      </c>
      <c r="S358" s="2">
        <f t="shared" si="73"/>
        <v>4.383377662238134</v>
      </c>
      <c r="T358" s="2">
        <f t="shared" si="74"/>
        <v>7.6504372564427353E-2</v>
      </c>
      <c r="U358" s="1" t="s">
        <v>2507</v>
      </c>
      <c r="V358" s="6" t="s">
        <v>2505</v>
      </c>
    </row>
    <row r="359" spans="1:22" ht="14.25" customHeight="1" x14ac:dyDescent="0.3">
      <c r="A359" s="1" t="s">
        <v>27</v>
      </c>
      <c r="B359" s="1" t="s">
        <v>745</v>
      </c>
      <c r="C359" s="1" t="s">
        <v>746</v>
      </c>
      <c r="D359" s="1">
        <f t="shared" si="64"/>
        <v>51</v>
      </c>
      <c r="E359" s="1">
        <f t="shared" si="65"/>
        <v>0.28024305555555556</v>
      </c>
      <c r="F359" s="2">
        <f t="shared" si="66"/>
        <v>317.21330066226471</v>
      </c>
      <c r="G359" s="1">
        <v>2080</v>
      </c>
      <c r="H359" s="1">
        <v>3744</v>
      </c>
      <c r="I359" s="1">
        <v>0</v>
      </c>
      <c r="J359" s="1">
        <v>634</v>
      </c>
      <c r="K359" s="1">
        <f t="shared" si="67"/>
        <v>0</v>
      </c>
      <c r="L359" s="1">
        <f t="shared" si="68"/>
        <v>5.5322596153846151</v>
      </c>
      <c r="M359" s="1">
        <f t="shared" si="69"/>
        <v>5.5322596153846151</v>
      </c>
      <c r="N359" s="2">
        <f t="shared" si="63"/>
        <v>3.0367338425841441</v>
      </c>
      <c r="O359" s="1">
        <v>1503</v>
      </c>
      <c r="P359" s="1">
        <f t="shared" si="70"/>
        <v>369</v>
      </c>
      <c r="Q359" s="1">
        <f t="shared" si="71"/>
        <v>1.1809212056791782</v>
      </c>
      <c r="R359" s="1">
        <f t="shared" si="72"/>
        <v>0.23277773765791493</v>
      </c>
      <c r="S359" s="2">
        <f t="shared" si="73"/>
        <v>4.383377662238134</v>
      </c>
      <c r="T359" s="2">
        <f t="shared" si="74"/>
        <v>7.6504372564427353E-2</v>
      </c>
      <c r="U359" s="1" t="s">
        <v>2507</v>
      </c>
      <c r="V359" s="6" t="s">
        <v>2505</v>
      </c>
    </row>
    <row r="360" spans="1:22" ht="14.25" customHeight="1" x14ac:dyDescent="0.3">
      <c r="A360" s="1" t="s">
        <v>17</v>
      </c>
      <c r="B360" s="1" t="s">
        <v>747</v>
      </c>
      <c r="C360" s="1" t="s">
        <v>748</v>
      </c>
      <c r="D360" s="1">
        <f t="shared" si="64"/>
        <v>58</v>
      </c>
      <c r="E360" s="1">
        <f t="shared" si="65"/>
        <v>0.99543981481481481</v>
      </c>
      <c r="F360" s="2">
        <f t="shared" si="66"/>
        <v>365.68931158204202</v>
      </c>
      <c r="G360" s="1">
        <v>2080</v>
      </c>
      <c r="H360" s="1">
        <v>3744</v>
      </c>
      <c r="I360" s="1">
        <v>0</v>
      </c>
      <c r="J360" s="1">
        <v>253</v>
      </c>
      <c r="K360" s="1">
        <f t="shared" si="67"/>
        <v>0</v>
      </c>
      <c r="L360" s="1">
        <f t="shared" si="68"/>
        <v>2.2076682692307692</v>
      </c>
      <c r="M360" s="1">
        <f t="shared" si="69"/>
        <v>2.2076682692307692</v>
      </c>
      <c r="N360" s="2">
        <f t="shared" si="63"/>
        <v>7.6098389573057199</v>
      </c>
      <c r="O360" s="1">
        <v>1503</v>
      </c>
      <c r="P360" s="1">
        <f t="shared" si="70"/>
        <v>369</v>
      </c>
      <c r="Q360" s="1">
        <f t="shared" si="71"/>
        <v>2.9593045233225252</v>
      </c>
      <c r="R360" s="1">
        <f t="shared" si="72"/>
        <v>0.58332444930876692</v>
      </c>
      <c r="S360" s="2">
        <f t="shared" si="73"/>
        <v>4.383377662238134</v>
      </c>
      <c r="T360" s="2">
        <f t="shared" si="74"/>
        <v>7.6504372564427353E-2</v>
      </c>
      <c r="U360" s="1" t="s">
        <v>2507</v>
      </c>
      <c r="V360" s="6" t="s">
        <v>2505</v>
      </c>
    </row>
    <row r="361" spans="1:22" ht="14.25" customHeight="1" x14ac:dyDescent="0.3">
      <c r="A361" s="1" t="s">
        <v>27</v>
      </c>
      <c r="B361" s="1" t="s">
        <v>749</v>
      </c>
      <c r="C361" s="1" t="s">
        <v>750</v>
      </c>
      <c r="D361" s="1">
        <f t="shared" si="64"/>
        <v>38</v>
      </c>
      <c r="E361" s="1">
        <f t="shared" si="65"/>
        <v>0.3663541666666667</v>
      </c>
      <c r="F361" s="2">
        <f t="shared" si="66"/>
        <v>236.07294373704829</v>
      </c>
      <c r="G361" s="1">
        <v>2080</v>
      </c>
      <c r="H361" s="1">
        <v>3744</v>
      </c>
      <c r="I361" s="1">
        <v>0</v>
      </c>
      <c r="J361" s="1">
        <v>179</v>
      </c>
      <c r="K361" s="1">
        <f t="shared" si="67"/>
        <v>0</v>
      </c>
      <c r="L361" s="1">
        <f t="shared" si="68"/>
        <v>1.5619471153846154</v>
      </c>
      <c r="M361" s="1">
        <f t="shared" si="69"/>
        <v>1.5619471153846154</v>
      </c>
      <c r="N361" s="2">
        <f t="shared" si="63"/>
        <v>10.755805900549426</v>
      </c>
      <c r="O361" s="1">
        <v>1502</v>
      </c>
      <c r="P361" s="1">
        <f t="shared" si="70"/>
        <v>370</v>
      </c>
      <c r="Q361" s="1">
        <f t="shared" si="71"/>
        <v>4.1827041586625642</v>
      </c>
      <c r="R361" s="1">
        <f t="shared" si="72"/>
        <v>0.82670968947924606</v>
      </c>
      <c r="S361" s="2">
        <f t="shared" si="73"/>
        <v>4.3952102497372145</v>
      </c>
      <c r="T361" s="2">
        <f t="shared" si="74"/>
        <v>7.6710890175316626E-2</v>
      </c>
      <c r="U361" s="1" t="s">
        <v>2507</v>
      </c>
      <c r="V361" s="6" t="s">
        <v>2505</v>
      </c>
    </row>
    <row r="362" spans="1:22" ht="14.25" customHeight="1" x14ac:dyDescent="0.3">
      <c r="A362" s="1" t="s">
        <v>17</v>
      </c>
      <c r="B362" s="1" t="s">
        <v>751</v>
      </c>
      <c r="C362" s="1" t="s">
        <v>752</v>
      </c>
      <c r="D362" s="1">
        <f t="shared" si="64"/>
        <v>65</v>
      </c>
      <c r="E362" s="1">
        <f t="shared" si="65"/>
        <v>0.25940972222222219</v>
      </c>
      <c r="F362" s="2">
        <f t="shared" si="66"/>
        <v>405.0469952688793</v>
      </c>
      <c r="G362" s="1">
        <v>2080</v>
      </c>
      <c r="H362" s="1">
        <v>3744</v>
      </c>
      <c r="I362" s="1">
        <v>0</v>
      </c>
      <c r="J362" s="1">
        <v>200</v>
      </c>
      <c r="K362" s="1">
        <f t="shared" si="67"/>
        <v>0</v>
      </c>
      <c r="L362" s="1">
        <f t="shared" si="68"/>
        <v>1.7451923076923075</v>
      </c>
      <c r="M362" s="1">
        <f t="shared" si="69"/>
        <v>1.7451923076923075</v>
      </c>
      <c r="N362" s="2">
        <f t="shared" si="63"/>
        <v>9.6264462809917379</v>
      </c>
      <c r="O362" s="1">
        <v>1501</v>
      </c>
      <c r="P362" s="1">
        <f t="shared" si="70"/>
        <v>371</v>
      </c>
      <c r="Q362" s="1">
        <f t="shared" si="71"/>
        <v>3.7435202220029957</v>
      </c>
      <c r="R362" s="1">
        <f t="shared" si="72"/>
        <v>0.74190491579226037</v>
      </c>
      <c r="S362" s="2">
        <f t="shared" si="73"/>
        <v>4.4070424616038553</v>
      </c>
      <c r="T362" s="2">
        <f t="shared" si="74"/>
        <v>7.691740123018305E-2</v>
      </c>
      <c r="U362" s="1" t="s">
        <v>2507</v>
      </c>
      <c r="V362" s="6" t="s">
        <v>2505</v>
      </c>
    </row>
    <row r="363" spans="1:22" ht="14.25" customHeight="1" x14ac:dyDescent="0.3">
      <c r="A363" s="1" t="s">
        <v>27</v>
      </c>
      <c r="B363" s="1" t="s">
        <v>753</v>
      </c>
      <c r="C363" s="1" t="s">
        <v>754</v>
      </c>
      <c r="D363" s="1">
        <f t="shared" si="64"/>
        <v>28</v>
      </c>
      <c r="E363" s="1">
        <f t="shared" si="65"/>
        <v>0.96979166666666661</v>
      </c>
      <c r="F363" s="2">
        <f t="shared" si="66"/>
        <v>177.0326002990536</v>
      </c>
      <c r="G363" s="1">
        <v>2080</v>
      </c>
      <c r="H363" s="1">
        <v>3744</v>
      </c>
      <c r="I363" s="1">
        <v>0</v>
      </c>
      <c r="J363" s="1">
        <v>183</v>
      </c>
      <c r="K363" s="1">
        <f t="shared" si="67"/>
        <v>0</v>
      </c>
      <c r="L363" s="1">
        <f t="shared" si="68"/>
        <v>1.5968509615384614</v>
      </c>
      <c r="M363" s="1">
        <f t="shared" si="69"/>
        <v>1.5968509615384614</v>
      </c>
      <c r="N363" s="2">
        <f t="shared" si="63"/>
        <v>10.520706318023755</v>
      </c>
      <c r="O363" s="1">
        <v>1500</v>
      </c>
      <c r="P363" s="1">
        <f t="shared" si="70"/>
        <v>372</v>
      </c>
      <c r="Q363" s="1">
        <f t="shared" si="71"/>
        <v>4.0912789311508142</v>
      </c>
      <c r="R363" s="1">
        <f t="shared" si="72"/>
        <v>0.81301055683125145</v>
      </c>
      <c r="S363" s="2">
        <f t="shared" si="73"/>
        <v>4.4188742968467771</v>
      </c>
      <c r="T363" s="2">
        <f t="shared" si="74"/>
        <v>7.7123905711725546E-2</v>
      </c>
      <c r="U363" s="1" t="s">
        <v>2507</v>
      </c>
      <c r="V363" s="6" t="s">
        <v>2505</v>
      </c>
    </row>
    <row r="364" spans="1:22" ht="14.25" customHeight="1" x14ac:dyDescent="0.3">
      <c r="A364" s="1" t="s">
        <v>27</v>
      </c>
      <c r="B364" s="1" t="s">
        <v>755</v>
      </c>
      <c r="C364" s="1" t="s">
        <v>756</v>
      </c>
      <c r="D364" s="1">
        <f t="shared" si="64"/>
        <v>33</v>
      </c>
      <c r="E364" s="1">
        <f t="shared" si="65"/>
        <v>0.27052083333333332</v>
      </c>
      <c r="F364" s="2">
        <f t="shared" si="66"/>
        <v>204.05487860921232</v>
      </c>
      <c r="G364" s="1">
        <v>2080</v>
      </c>
      <c r="H364" s="1">
        <v>3744</v>
      </c>
      <c r="I364" s="1">
        <v>0</v>
      </c>
      <c r="J364" s="1">
        <v>216</v>
      </c>
      <c r="K364" s="1">
        <f t="shared" si="67"/>
        <v>0</v>
      </c>
      <c r="L364" s="1">
        <f t="shared" si="68"/>
        <v>1.8848076923076922</v>
      </c>
      <c r="M364" s="1">
        <f t="shared" si="69"/>
        <v>1.8848076923076922</v>
      </c>
      <c r="N364" s="2">
        <f t="shared" si="63"/>
        <v>8.9133761861034593</v>
      </c>
      <c r="O364" s="1">
        <v>1500</v>
      </c>
      <c r="P364" s="1">
        <f t="shared" si="70"/>
        <v>372</v>
      </c>
      <c r="Q364" s="1">
        <f t="shared" si="71"/>
        <v>3.4662224277805507</v>
      </c>
      <c r="R364" s="1">
        <f t="shared" si="72"/>
        <v>0.68880061064869913</v>
      </c>
      <c r="S364" s="2">
        <f t="shared" si="73"/>
        <v>4.4188742968467771</v>
      </c>
      <c r="T364" s="2">
        <f t="shared" si="74"/>
        <v>7.7123905711725546E-2</v>
      </c>
      <c r="U364" s="1" t="s">
        <v>2507</v>
      </c>
      <c r="V364" s="6" t="s">
        <v>2505</v>
      </c>
    </row>
    <row r="365" spans="1:22" ht="14.25" customHeight="1" x14ac:dyDescent="0.3">
      <c r="A365" s="1" t="s">
        <v>65</v>
      </c>
      <c r="B365" s="1" t="s">
        <v>757</v>
      </c>
      <c r="C365" s="1" t="s">
        <v>758</v>
      </c>
      <c r="D365" s="1">
        <f t="shared" si="64"/>
        <v>43</v>
      </c>
      <c r="E365" s="1">
        <f t="shared" si="65"/>
        <v>0.74707175925925917</v>
      </c>
      <c r="F365" s="2">
        <f t="shared" si="66"/>
        <v>269.88098945690876</v>
      </c>
      <c r="G365" s="1">
        <v>2080</v>
      </c>
      <c r="H365" s="1">
        <v>3744</v>
      </c>
      <c r="I365" s="1">
        <v>0</v>
      </c>
      <c r="J365" s="1">
        <v>427</v>
      </c>
      <c r="K365" s="1">
        <f t="shared" si="67"/>
        <v>0</v>
      </c>
      <c r="L365" s="1">
        <f t="shared" si="68"/>
        <v>3.7259855769230765</v>
      </c>
      <c r="M365" s="1">
        <f t="shared" si="69"/>
        <v>3.7259855769230765</v>
      </c>
      <c r="N365" s="2">
        <f t="shared" si="63"/>
        <v>4.508874136295896</v>
      </c>
      <c r="O365" s="1">
        <v>1500</v>
      </c>
      <c r="P365" s="1">
        <f t="shared" si="70"/>
        <v>372</v>
      </c>
      <c r="Q365" s="1">
        <f t="shared" si="71"/>
        <v>1.753405256207492</v>
      </c>
      <c r="R365" s="1">
        <f t="shared" si="72"/>
        <v>0.34843309578482212</v>
      </c>
      <c r="S365" s="2">
        <f t="shared" si="73"/>
        <v>4.418874296846778</v>
      </c>
      <c r="T365" s="2">
        <f t="shared" si="74"/>
        <v>7.712390571172556E-2</v>
      </c>
      <c r="U365" s="1" t="s">
        <v>2507</v>
      </c>
      <c r="V365" s="6" t="s">
        <v>2505</v>
      </c>
    </row>
    <row r="366" spans="1:22" ht="14.25" customHeight="1" x14ac:dyDescent="0.3">
      <c r="A366" s="1" t="s">
        <v>17</v>
      </c>
      <c r="B366" s="1" t="s">
        <v>759</v>
      </c>
      <c r="C366" s="1" t="s">
        <v>760</v>
      </c>
      <c r="D366" s="1">
        <f t="shared" si="64"/>
        <v>62</v>
      </c>
      <c r="E366" s="1">
        <f t="shared" si="65"/>
        <v>0.36281249999999998</v>
      </c>
      <c r="F366" s="2">
        <f t="shared" si="66"/>
        <v>386.84713816139543</v>
      </c>
      <c r="G366" s="1">
        <v>2080</v>
      </c>
      <c r="H366" s="1">
        <v>3744</v>
      </c>
      <c r="I366" s="1">
        <v>0</v>
      </c>
      <c r="J366" s="1">
        <v>255</v>
      </c>
      <c r="K366" s="1">
        <f t="shared" si="67"/>
        <v>0</v>
      </c>
      <c r="L366" s="1">
        <f t="shared" si="68"/>
        <v>2.2251201923076924</v>
      </c>
      <c r="M366" s="1">
        <f t="shared" si="69"/>
        <v>2.2251201923076924</v>
      </c>
      <c r="N366" s="2">
        <f t="shared" si="63"/>
        <v>7.5501539458758709</v>
      </c>
      <c r="O366" s="1">
        <v>1494</v>
      </c>
      <c r="P366" s="1">
        <f t="shared" si="70"/>
        <v>378</v>
      </c>
      <c r="Q366" s="1">
        <f t="shared" si="71"/>
        <v>2.9360942917670547</v>
      </c>
      <c r="R366" s="1">
        <f t="shared" si="72"/>
        <v>0.59286519352988609</v>
      </c>
      <c r="S366" s="2">
        <f t="shared" si="73"/>
        <v>4.4898573437189278</v>
      </c>
      <c r="T366" s="2">
        <f t="shared" si="74"/>
        <v>7.8362793592742036E-2</v>
      </c>
      <c r="U366" s="1" t="s">
        <v>2507</v>
      </c>
      <c r="V366" s="6" t="s">
        <v>2505</v>
      </c>
    </row>
    <row r="367" spans="1:22" ht="14.25" customHeight="1" x14ac:dyDescent="0.3">
      <c r="A367" s="1" t="s">
        <v>40</v>
      </c>
      <c r="B367" s="1" t="s">
        <v>761</v>
      </c>
      <c r="C367" s="1" t="s">
        <v>762</v>
      </c>
      <c r="D367" s="1">
        <f t="shared" si="64"/>
        <v>29</v>
      </c>
      <c r="E367" s="1">
        <f t="shared" si="65"/>
        <v>0.21927083333333333</v>
      </c>
      <c r="F367" s="2">
        <f t="shared" si="66"/>
        <v>178.600124133501</v>
      </c>
      <c r="G367" s="1">
        <v>2080</v>
      </c>
      <c r="H367" s="1">
        <v>3744</v>
      </c>
      <c r="I367" s="1">
        <v>0</v>
      </c>
      <c r="J367" s="1">
        <v>108</v>
      </c>
      <c r="K367" s="1">
        <f t="shared" si="67"/>
        <v>0</v>
      </c>
      <c r="L367" s="1">
        <f t="shared" si="68"/>
        <v>0.94240384615384609</v>
      </c>
      <c r="M367" s="1">
        <f t="shared" si="69"/>
        <v>0.94240384615384609</v>
      </c>
      <c r="N367" s="2">
        <f t="shared" si="63"/>
        <v>17.826752372206919</v>
      </c>
      <c r="O367" s="1">
        <v>1492</v>
      </c>
      <c r="P367" s="1">
        <f t="shared" si="70"/>
        <v>380</v>
      </c>
      <c r="Q367" s="1">
        <f t="shared" si="71"/>
        <v>6.9324448555611013</v>
      </c>
      <c r="R367" s="1">
        <f t="shared" si="72"/>
        <v>1.4072270540134715</v>
      </c>
      <c r="S367" s="2">
        <f t="shared" si="73"/>
        <v>4.5135153014465113</v>
      </c>
      <c r="T367" s="2">
        <f t="shared" si="74"/>
        <v>7.8775702849386009E-2</v>
      </c>
      <c r="U367" s="1" t="s">
        <v>2507</v>
      </c>
      <c r="V367" s="6" t="s">
        <v>2505</v>
      </c>
    </row>
    <row r="368" spans="1:22" ht="14.25" customHeight="1" x14ac:dyDescent="0.3">
      <c r="A368" s="1" t="s">
        <v>40</v>
      </c>
      <c r="B368" s="1" t="s">
        <v>763</v>
      </c>
      <c r="C368" s="1" t="s">
        <v>764</v>
      </c>
      <c r="D368" s="1">
        <f t="shared" si="64"/>
        <v>76</v>
      </c>
      <c r="E368" s="1">
        <f t="shared" si="65"/>
        <v>0.99012731481481486</v>
      </c>
      <c r="F368" s="2">
        <f t="shared" si="66"/>
        <v>478.75326768933019</v>
      </c>
      <c r="G368" s="1">
        <v>2080</v>
      </c>
      <c r="H368" s="1">
        <v>3744</v>
      </c>
      <c r="I368" s="1">
        <v>0</v>
      </c>
      <c r="J368" s="1">
        <v>137</v>
      </c>
      <c r="K368" s="1">
        <f t="shared" si="67"/>
        <v>0</v>
      </c>
      <c r="L368" s="1">
        <f t="shared" si="68"/>
        <v>1.1954567307692305</v>
      </c>
      <c r="M368" s="1">
        <f t="shared" si="69"/>
        <v>1.1954567307692305</v>
      </c>
      <c r="N368" s="2">
        <f t="shared" si="63"/>
        <v>14.053206249622974</v>
      </c>
      <c r="O368" s="1">
        <v>1492</v>
      </c>
      <c r="P368" s="1">
        <f t="shared" si="70"/>
        <v>380</v>
      </c>
      <c r="Q368" s="1">
        <f t="shared" si="71"/>
        <v>5.464993024821891</v>
      </c>
      <c r="R368" s="1">
        <f t="shared" si="72"/>
        <v>1.1093468746967514</v>
      </c>
      <c r="S368" s="2">
        <f t="shared" si="73"/>
        <v>4.5135153014465113</v>
      </c>
      <c r="T368" s="2">
        <f t="shared" si="74"/>
        <v>7.8775702849386009E-2</v>
      </c>
      <c r="U368" s="1" t="s">
        <v>2507</v>
      </c>
      <c r="V368" s="6" t="s">
        <v>2505</v>
      </c>
    </row>
    <row r="369" spans="1:22" ht="14.25" customHeight="1" x14ac:dyDescent="0.3">
      <c r="A369" s="1" t="s">
        <v>17</v>
      </c>
      <c r="B369" s="1" t="s">
        <v>765</v>
      </c>
      <c r="C369" s="1" t="s">
        <v>766</v>
      </c>
      <c r="D369" s="1">
        <f t="shared" si="64"/>
        <v>37</v>
      </c>
      <c r="E369" s="1">
        <f t="shared" si="65"/>
        <v>0.28467592592592594</v>
      </c>
      <c r="F369" s="2">
        <f t="shared" si="66"/>
        <v>229.27655890773019</v>
      </c>
      <c r="G369" s="1">
        <v>2080</v>
      </c>
      <c r="H369" s="1">
        <v>3744</v>
      </c>
      <c r="I369" s="1">
        <v>0</v>
      </c>
      <c r="J369" s="1">
        <v>292</v>
      </c>
      <c r="K369" s="1">
        <f t="shared" si="67"/>
        <v>0</v>
      </c>
      <c r="L369" s="1">
        <f t="shared" si="68"/>
        <v>2.5479807692307688</v>
      </c>
      <c r="M369" s="1">
        <f t="shared" si="69"/>
        <v>2.5479807692307688</v>
      </c>
      <c r="N369" s="2">
        <f t="shared" si="63"/>
        <v>6.5934563568436557</v>
      </c>
      <c r="O369" s="1">
        <v>1490</v>
      </c>
      <c r="P369" s="1">
        <f t="shared" si="70"/>
        <v>382</v>
      </c>
      <c r="Q369" s="1">
        <f t="shared" si="71"/>
        <v>2.5640549465773939</v>
      </c>
      <c r="R369" s="1">
        <f t="shared" si="72"/>
        <v>0.52322061409859211</v>
      </c>
      <c r="S369" s="2">
        <f t="shared" si="73"/>
        <v>4.5371717170281531</v>
      </c>
      <c r="T369" s="2">
        <f t="shared" si="74"/>
        <v>7.9188585190505742E-2</v>
      </c>
      <c r="U369" s="1" t="s">
        <v>2507</v>
      </c>
      <c r="V369" s="6" t="s">
        <v>2505</v>
      </c>
    </row>
    <row r="370" spans="1:22" ht="14.25" customHeight="1" x14ac:dyDescent="0.3">
      <c r="A370" s="1" t="s">
        <v>27</v>
      </c>
      <c r="B370" s="1" t="s">
        <v>767</v>
      </c>
      <c r="C370" s="1" t="s">
        <v>768</v>
      </c>
      <c r="D370" s="1">
        <f t="shared" si="64"/>
        <v>51</v>
      </c>
      <c r="E370" s="1">
        <f t="shared" si="65"/>
        <v>0.92281250000000004</v>
      </c>
      <c r="F370" s="2">
        <f t="shared" si="66"/>
        <v>321.25068355444057</v>
      </c>
      <c r="G370" s="1">
        <v>2080</v>
      </c>
      <c r="H370" s="1">
        <v>3744</v>
      </c>
      <c r="I370" s="1">
        <v>0</v>
      </c>
      <c r="J370" s="1">
        <v>239</v>
      </c>
      <c r="K370" s="1">
        <f t="shared" si="67"/>
        <v>0</v>
      </c>
      <c r="L370" s="1">
        <f t="shared" si="68"/>
        <v>2.0855048076923075</v>
      </c>
      <c r="M370" s="1">
        <f t="shared" si="69"/>
        <v>2.0855048076923075</v>
      </c>
      <c r="N370" s="2">
        <f t="shared" si="63"/>
        <v>8.0556035824198631</v>
      </c>
      <c r="O370" s="1">
        <v>1487</v>
      </c>
      <c r="P370" s="1">
        <f t="shared" si="70"/>
        <v>385</v>
      </c>
      <c r="Q370" s="1">
        <f t="shared" si="71"/>
        <v>3.1326529054418368</v>
      </c>
      <c r="R370" s="1">
        <f t="shared" si="72"/>
        <v>0.64426889348029226</v>
      </c>
      <c r="S370" s="2">
        <f t="shared" si="73"/>
        <v>4.5726534315661151</v>
      </c>
      <c r="T370" s="2">
        <f t="shared" si="74"/>
        <v>7.9807857933445914E-2</v>
      </c>
      <c r="U370" s="1" t="s">
        <v>2507</v>
      </c>
      <c r="V370" s="6" t="s">
        <v>2505</v>
      </c>
    </row>
    <row r="371" spans="1:22" ht="14.25" customHeight="1" x14ac:dyDescent="0.3">
      <c r="A371" s="1" t="s">
        <v>40</v>
      </c>
      <c r="B371" s="1" t="s">
        <v>769</v>
      </c>
      <c r="C371" s="1" t="s">
        <v>770</v>
      </c>
      <c r="D371" s="1">
        <f t="shared" si="64"/>
        <v>76</v>
      </c>
      <c r="E371" s="1">
        <f t="shared" si="65"/>
        <v>0.74682870370370369</v>
      </c>
      <c r="F371" s="2">
        <f t="shared" si="66"/>
        <v>477.2245774307396</v>
      </c>
      <c r="G371" s="1">
        <v>2080</v>
      </c>
      <c r="H371" s="1">
        <v>3744</v>
      </c>
      <c r="I371" s="1">
        <v>0</v>
      </c>
      <c r="J371" s="1">
        <v>111</v>
      </c>
      <c r="K371" s="1">
        <f t="shared" si="67"/>
        <v>0</v>
      </c>
      <c r="L371" s="1">
        <f t="shared" si="68"/>
        <v>0.96858173076923071</v>
      </c>
      <c r="M371" s="1">
        <f t="shared" si="69"/>
        <v>0.96858173076923071</v>
      </c>
      <c r="N371" s="2">
        <f t="shared" si="63"/>
        <v>17.344948254039164</v>
      </c>
      <c r="O371" s="1">
        <v>1487</v>
      </c>
      <c r="P371" s="1">
        <f t="shared" si="70"/>
        <v>385</v>
      </c>
      <c r="Q371" s="1">
        <f t="shared" si="71"/>
        <v>6.7450814810864772</v>
      </c>
      <c r="R371" s="1">
        <f t="shared" si="72"/>
        <v>1.3872095994755842</v>
      </c>
      <c r="S371" s="2">
        <f t="shared" si="73"/>
        <v>4.572653431566116</v>
      </c>
      <c r="T371" s="2">
        <f t="shared" si="74"/>
        <v>7.9807857933445941E-2</v>
      </c>
      <c r="U371" s="1" t="s">
        <v>2507</v>
      </c>
      <c r="V371" s="6" t="s">
        <v>2505</v>
      </c>
    </row>
    <row r="372" spans="1:22" ht="14.25" customHeight="1" x14ac:dyDescent="0.3">
      <c r="A372" s="1" t="s">
        <v>450</v>
      </c>
      <c r="B372" s="1" t="s">
        <v>771</v>
      </c>
      <c r="C372" s="1" t="s">
        <v>772</v>
      </c>
      <c r="D372" s="1">
        <f t="shared" si="64"/>
        <v>30</v>
      </c>
      <c r="E372" s="1">
        <f t="shared" si="65"/>
        <v>4.5335648148148146E-2</v>
      </c>
      <c r="F372" s="2">
        <f t="shared" si="66"/>
        <v>183.79044244072347</v>
      </c>
      <c r="G372" s="1">
        <v>2080</v>
      </c>
      <c r="H372" s="1">
        <v>3744</v>
      </c>
      <c r="I372" s="1">
        <v>0</v>
      </c>
      <c r="J372" s="1">
        <v>270</v>
      </c>
      <c r="K372" s="1">
        <f t="shared" si="67"/>
        <v>0</v>
      </c>
      <c r="L372" s="1">
        <f t="shared" si="68"/>
        <v>2.3560096153846155</v>
      </c>
      <c r="M372" s="1">
        <f t="shared" si="69"/>
        <v>2.3560096153846155</v>
      </c>
      <c r="N372" s="2">
        <f t="shared" si="63"/>
        <v>7.1307009488827671</v>
      </c>
      <c r="O372" s="1">
        <v>1485</v>
      </c>
      <c r="P372" s="1">
        <f t="shared" si="70"/>
        <v>387</v>
      </c>
      <c r="Q372" s="1">
        <f t="shared" si="71"/>
        <v>2.7729779422244403</v>
      </c>
      <c r="R372" s="1">
        <f t="shared" si="72"/>
        <v>0.57325986305601406</v>
      </c>
      <c r="S372" s="2">
        <f t="shared" si="73"/>
        <v>4.5963059571663543</v>
      </c>
      <c r="T372" s="2">
        <f t="shared" si="74"/>
        <v>8.0220672381582342E-2</v>
      </c>
      <c r="U372" s="1" t="s">
        <v>2507</v>
      </c>
      <c r="V372" s="6" t="s">
        <v>2505</v>
      </c>
    </row>
    <row r="373" spans="1:22" ht="14.25" customHeight="1" x14ac:dyDescent="0.3">
      <c r="A373" s="1" t="s">
        <v>40</v>
      </c>
      <c r="B373" s="1" t="s">
        <v>773</v>
      </c>
      <c r="C373" s="1" t="s">
        <v>774</v>
      </c>
      <c r="D373" s="1">
        <f t="shared" si="64"/>
        <v>74</v>
      </c>
      <c r="E373" s="1">
        <f t="shared" si="65"/>
        <v>9.0277777777777787E-3</v>
      </c>
      <c r="F373" s="2">
        <f t="shared" si="66"/>
        <v>460.02246687897917</v>
      </c>
      <c r="G373" s="1">
        <v>2080</v>
      </c>
      <c r="H373" s="1">
        <v>3744</v>
      </c>
      <c r="I373" s="1">
        <v>0</v>
      </c>
      <c r="J373" s="1">
        <v>90</v>
      </c>
      <c r="K373" s="1">
        <f t="shared" si="67"/>
        <v>0</v>
      </c>
      <c r="L373" s="1">
        <f t="shared" si="68"/>
        <v>0.78533653846153839</v>
      </c>
      <c r="M373" s="1">
        <f t="shared" si="69"/>
        <v>0.78533653846153839</v>
      </c>
      <c r="N373" s="2">
        <f t="shared" si="63"/>
        <v>21.392102846648303</v>
      </c>
      <c r="O373" s="1">
        <v>1483</v>
      </c>
      <c r="P373" s="1">
        <f t="shared" si="70"/>
        <v>389</v>
      </c>
      <c r="Q373" s="1">
        <f t="shared" si="71"/>
        <v>8.3189338266733213</v>
      </c>
      <c r="R373" s="1">
        <f t="shared" si="72"/>
        <v>1.7286673389828644</v>
      </c>
      <c r="S373" s="2">
        <f t="shared" si="73"/>
        <v>4.6199569129357112</v>
      </c>
      <c r="T373" s="2">
        <f t="shared" si="74"/>
        <v>8.063345943100117E-2</v>
      </c>
      <c r="U373" s="1" t="s">
        <v>2507</v>
      </c>
      <c r="V373" s="6" t="s">
        <v>2505</v>
      </c>
    </row>
    <row r="374" spans="1:22" ht="14.25" customHeight="1" x14ac:dyDescent="0.3">
      <c r="A374" s="1" t="s">
        <v>177</v>
      </c>
      <c r="B374" s="1" t="s">
        <v>775</v>
      </c>
      <c r="C374" s="1" t="s">
        <v>776</v>
      </c>
      <c r="D374" s="1">
        <f t="shared" si="64"/>
        <v>46</v>
      </c>
      <c r="E374" s="1">
        <f t="shared" si="65"/>
        <v>0.3230555555555556</v>
      </c>
      <c r="F374" s="2">
        <f t="shared" si="66"/>
        <v>286.0663729973304</v>
      </c>
      <c r="G374" s="1">
        <v>2080</v>
      </c>
      <c r="H374" s="1">
        <v>3744</v>
      </c>
      <c r="I374" s="1">
        <v>0</v>
      </c>
      <c r="J374" s="1">
        <v>231</v>
      </c>
      <c r="K374" s="1">
        <f t="shared" si="67"/>
        <v>0</v>
      </c>
      <c r="L374" s="1">
        <f t="shared" si="68"/>
        <v>2.015697115384615</v>
      </c>
      <c r="M374" s="1">
        <f t="shared" si="69"/>
        <v>2.015697115384615</v>
      </c>
      <c r="N374" s="2">
        <f t="shared" si="63"/>
        <v>8.3345855246681708</v>
      </c>
      <c r="O374" s="1">
        <v>1480</v>
      </c>
      <c r="P374" s="1">
        <f t="shared" si="70"/>
        <v>392</v>
      </c>
      <c r="Q374" s="1">
        <f t="shared" si="71"/>
        <v>3.2411430493532425</v>
      </c>
      <c r="R374" s="1">
        <f t="shared" si="72"/>
        <v>0.67870089495003794</v>
      </c>
      <c r="S374" s="2">
        <f t="shared" si="73"/>
        <v>4.6554303858702673</v>
      </c>
      <c r="T374" s="2">
        <f t="shared" si="74"/>
        <v>8.125258833082627E-2</v>
      </c>
      <c r="U374" s="1" t="s">
        <v>2507</v>
      </c>
      <c r="V374" s="6" t="s">
        <v>2505</v>
      </c>
    </row>
    <row r="375" spans="1:22" ht="14.25" customHeight="1" x14ac:dyDescent="0.3">
      <c r="A375" s="1" t="s">
        <v>27</v>
      </c>
      <c r="B375" s="1" t="s">
        <v>777</v>
      </c>
      <c r="C375" s="1" t="s">
        <v>778</v>
      </c>
      <c r="D375" s="1">
        <f t="shared" si="64"/>
        <v>52</v>
      </c>
      <c r="E375" s="1">
        <f t="shared" si="65"/>
        <v>0.19290509259259259</v>
      </c>
      <c r="F375" s="2">
        <f t="shared" si="66"/>
        <v>322.94772536379639</v>
      </c>
      <c r="G375" s="1">
        <v>2080</v>
      </c>
      <c r="H375" s="1">
        <v>3744</v>
      </c>
      <c r="I375" s="1">
        <v>0</v>
      </c>
      <c r="J375" s="1">
        <v>203</v>
      </c>
      <c r="K375" s="1">
        <f t="shared" si="67"/>
        <v>0</v>
      </c>
      <c r="L375" s="1">
        <f t="shared" si="68"/>
        <v>1.7713701923076923</v>
      </c>
      <c r="M375" s="1">
        <f t="shared" si="69"/>
        <v>1.7713701923076923</v>
      </c>
      <c r="N375" s="2">
        <f t="shared" si="63"/>
        <v>9.484183528070675</v>
      </c>
      <c r="O375" s="1">
        <v>1478</v>
      </c>
      <c r="P375" s="1">
        <f t="shared" si="70"/>
        <v>394</v>
      </c>
      <c r="Q375" s="1">
        <f t="shared" si="71"/>
        <v>3.6881972630571376</v>
      </c>
      <c r="R375" s="1">
        <f t="shared" si="72"/>
        <v>0.77625519318617109</v>
      </c>
      <c r="S375" s="2">
        <f t="shared" si="73"/>
        <v>4.6790773824945306</v>
      </c>
      <c r="T375" s="2">
        <f t="shared" si="74"/>
        <v>8.166530628012765E-2</v>
      </c>
      <c r="U375" s="1" t="s">
        <v>2507</v>
      </c>
      <c r="V375" s="6" t="s">
        <v>2505</v>
      </c>
    </row>
    <row r="376" spans="1:22" ht="14.25" customHeight="1" x14ac:dyDescent="0.3">
      <c r="A376" s="1" t="s">
        <v>20</v>
      </c>
      <c r="B376" s="1" t="s">
        <v>779</v>
      </c>
      <c r="C376" s="1" t="s">
        <v>780</v>
      </c>
      <c r="D376" s="1">
        <f t="shared" si="64"/>
        <v>14</v>
      </c>
      <c r="E376" s="1">
        <f t="shared" si="65"/>
        <v>0.89949074074074076</v>
      </c>
      <c r="F376" s="2">
        <f t="shared" si="66"/>
        <v>88.626292253680518</v>
      </c>
      <c r="G376" s="1">
        <v>2080</v>
      </c>
      <c r="H376" s="1">
        <v>3744</v>
      </c>
      <c r="I376" s="1">
        <v>0</v>
      </c>
      <c r="J376" s="1">
        <v>189</v>
      </c>
      <c r="K376" s="1">
        <f t="shared" si="67"/>
        <v>0</v>
      </c>
      <c r="L376" s="1">
        <f t="shared" si="68"/>
        <v>1.6492067307692306</v>
      </c>
      <c r="M376" s="1">
        <f t="shared" si="69"/>
        <v>1.6492067307692306</v>
      </c>
      <c r="N376" s="2">
        <f t="shared" si="63"/>
        <v>10.186715641261097</v>
      </c>
      <c r="O376" s="1">
        <v>1477</v>
      </c>
      <c r="P376" s="1">
        <f t="shared" si="70"/>
        <v>395</v>
      </c>
      <c r="Q376" s="1">
        <f t="shared" si="71"/>
        <v>3.9613970603206297</v>
      </c>
      <c r="R376" s="1">
        <f t="shared" si="72"/>
        <v>0.83587170877491923</v>
      </c>
      <c r="S376" s="2">
        <f t="shared" si="73"/>
        <v>4.6909002822461776</v>
      </c>
      <c r="T376" s="2">
        <f t="shared" si="74"/>
        <v>8.1871654807927102E-2</v>
      </c>
      <c r="U376" s="1" t="s">
        <v>2507</v>
      </c>
      <c r="V376" s="6" t="s">
        <v>2505</v>
      </c>
    </row>
    <row r="377" spans="1:22" ht="14.25" customHeight="1" x14ac:dyDescent="0.3">
      <c r="A377" s="1" t="s">
        <v>27</v>
      </c>
      <c r="B377" s="1" t="s">
        <v>781</v>
      </c>
      <c r="C377" s="1" t="s">
        <v>782</v>
      </c>
      <c r="D377" s="1">
        <f t="shared" si="64"/>
        <v>52</v>
      </c>
      <c r="E377" s="1">
        <f t="shared" si="65"/>
        <v>0.19291666666666665</v>
      </c>
      <c r="F377" s="2">
        <f t="shared" si="66"/>
        <v>322.9477980858486</v>
      </c>
      <c r="G377" s="1">
        <v>2080</v>
      </c>
      <c r="H377" s="1">
        <v>3744</v>
      </c>
      <c r="I377" s="1">
        <v>0</v>
      </c>
      <c r="J377" s="1">
        <v>203</v>
      </c>
      <c r="K377" s="1">
        <f t="shared" si="67"/>
        <v>0</v>
      </c>
      <c r="L377" s="1">
        <f t="shared" si="68"/>
        <v>1.7713701923076923</v>
      </c>
      <c r="M377" s="1">
        <f t="shared" si="69"/>
        <v>1.7713701923076923</v>
      </c>
      <c r="N377" s="2">
        <f t="shared" si="63"/>
        <v>9.484183528070675</v>
      </c>
      <c r="O377" s="1">
        <v>1477</v>
      </c>
      <c r="P377" s="1">
        <f t="shared" si="70"/>
        <v>395</v>
      </c>
      <c r="Q377" s="1">
        <f t="shared" si="71"/>
        <v>3.6881972630571376</v>
      </c>
      <c r="R377" s="1">
        <f t="shared" si="72"/>
        <v>0.77822538403182118</v>
      </c>
      <c r="S377" s="2">
        <f t="shared" si="73"/>
        <v>4.6909002822461776</v>
      </c>
      <c r="T377" s="2">
        <f t="shared" si="74"/>
        <v>8.1871654807927102E-2</v>
      </c>
      <c r="U377" s="1" t="s">
        <v>2507</v>
      </c>
      <c r="V377" s="6" t="s">
        <v>2505</v>
      </c>
    </row>
    <row r="378" spans="1:22" ht="14.25" customHeight="1" x14ac:dyDescent="0.3">
      <c r="A378" s="1" t="s">
        <v>17</v>
      </c>
      <c r="B378" s="1" t="s">
        <v>783</v>
      </c>
      <c r="C378" s="1" t="s">
        <v>784</v>
      </c>
      <c r="D378" s="1">
        <f t="shared" si="64"/>
        <v>76</v>
      </c>
      <c r="E378" s="1">
        <f t="shared" si="65"/>
        <v>0.97765046296296287</v>
      </c>
      <c r="F378" s="2">
        <f t="shared" si="66"/>
        <v>478.67487331709481</v>
      </c>
      <c r="G378" s="1">
        <v>2080</v>
      </c>
      <c r="H378" s="1">
        <v>3744</v>
      </c>
      <c r="I378" s="1">
        <v>0</v>
      </c>
      <c r="J378" s="1">
        <v>253</v>
      </c>
      <c r="K378" s="1">
        <f t="shared" si="67"/>
        <v>0</v>
      </c>
      <c r="L378" s="1">
        <f t="shared" si="68"/>
        <v>2.2076682692307692</v>
      </c>
      <c r="M378" s="1">
        <f t="shared" si="69"/>
        <v>2.2076682692307692</v>
      </c>
      <c r="N378" s="2">
        <f t="shared" si="63"/>
        <v>7.6098389573057199</v>
      </c>
      <c r="O378" s="1">
        <v>1476</v>
      </c>
      <c r="P378" s="1">
        <f t="shared" si="70"/>
        <v>396</v>
      </c>
      <c r="Q378" s="1">
        <f t="shared" si="71"/>
        <v>2.9593045233225252</v>
      </c>
      <c r="R378" s="1">
        <f t="shared" si="72"/>
        <v>0.62600672608745722</v>
      </c>
      <c r="S378" s="2">
        <f t="shared" si="73"/>
        <v>4.7027227816420396</v>
      </c>
      <c r="T378" s="2">
        <f t="shared" si="74"/>
        <v>8.2077996348199941E-2</v>
      </c>
      <c r="U378" s="1" t="s">
        <v>2507</v>
      </c>
      <c r="V378" s="6" t="s">
        <v>2505</v>
      </c>
    </row>
    <row r="379" spans="1:22" ht="14.25" customHeight="1" x14ac:dyDescent="0.3">
      <c r="A379" s="1" t="s">
        <v>65</v>
      </c>
      <c r="B379" s="1" t="s">
        <v>785</v>
      </c>
      <c r="C379" s="1" t="s">
        <v>786</v>
      </c>
      <c r="D379" s="1">
        <f t="shared" si="64"/>
        <v>43</v>
      </c>
      <c r="E379" s="1">
        <f t="shared" si="65"/>
        <v>0.74708333333333332</v>
      </c>
      <c r="F379" s="2">
        <f t="shared" si="66"/>
        <v>269.88106217896097</v>
      </c>
      <c r="G379" s="1">
        <v>2080</v>
      </c>
      <c r="H379" s="1">
        <v>3744</v>
      </c>
      <c r="I379" s="1">
        <v>0</v>
      </c>
      <c r="J379" s="1">
        <v>361</v>
      </c>
      <c r="K379" s="1">
        <f t="shared" si="67"/>
        <v>0</v>
      </c>
      <c r="L379" s="1">
        <f t="shared" si="68"/>
        <v>3.1500721153846154</v>
      </c>
      <c r="M379" s="1">
        <f t="shared" si="69"/>
        <v>3.1500721153846154</v>
      </c>
      <c r="N379" s="2">
        <f t="shared" si="63"/>
        <v>5.3332112360065018</v>
      </c>
      <c r="O379" s="1">
        <v>1474</v>
      </c>
      <c r="P379" s="1">
        <f t="shared" si="70"/>
        <v>398</v>
      </c>
      <c r="Q379" s="1">
        <f t="shared" si="71"/>
        <v>2.0739724221623241</v>
      </c>
      <c r="R379" s="1">
        <f t="shared" si="72"/>
        <v>0.44094071795972489</v>
      </c>
      <c r="S379" s="2">
        <f t="shared" si="73"/>
        <v>4.7263665754212454</v>
      </c>
      <c r="T379" s="2">
        <f t="shared" si="74"/>
        <v>8.2490658397309638E-2</v>
      </c>
      <c r="U379" s="1" t="s">
        <v>2507</v>
      </c>
      <c r="V379" s="6" t="s">
        <v>2505</v>
      </c>
    </row>
    <row r="380" spans="1:22" ht="14.25" customHeight="1" x14ac:dyDescent="0.3">
      <c r="A380" s="1" t="s">
        <v>40</v>
      </c>
      <c r="B380" s="1" t="s">
        <v>787</v>
      </c>
      <c r="C380" s="1" t="s">
        <v>788</v>
      </c>
      <c r="D380" s="1">
        <f t="shared" si="64"/>
        <v>58</v>
      </c>
      <c r="E380" s="1">
        <f t="shared" si="65"/>
        <v>0.7144328703703704</v>
      </c>
      <c r="F380" s="2">
        <f t="shared" si="66"/>
        <v>363.92369287749329</v>
      </c>
      <c r="G380" s="1">
        <v>2080</v>
      </c>
      <c r="H380" s="1">
        <v>3744</v>
      </c>
      <c r="I380" s="1">
        <v>0</v>
      </c>
      <c r="J380" s="1">
        <v>98</v>
      </c>
      <c r="K380" s="1">
        <f t="shared" si="67"/>
        <v>0</v>
      </c>
      <c r="L380" s="1">
        <f t="shared" si="68"/>
        <v>0.85514423076923063</v>
      </c>
      <c r="M380" s="1">
        <f t="shared" si="69"/>
        <v>0.85514423076923063</v>
      </c>
      <c r="N380" s="2">
        <f t="shared" ref="N380:N443" si="75">42*0.4/M380</f>
        <v>19.645808736717832</v>
      </c>
      <c r="O380" s="1">
        <v>1473</v>
      </c>
      <c r="P380" s="1">
        <f t="shared" si="70"/>
        <v>399</v>
      </c>
      <c r="Q380" s="1">
        <f t="shared" si="71"/>
        <v>7.6398371877612155</v>
      </c>
      <c r="R380" s="1">
        <f t="shared" si="72"/>
        <v>1.6283627339298743</v>
      </c>
      <c r="S380" s="2">
        <f t="shared" si="73"/>
        <v>4.7381878678325124</v>
      </c>
      <c r="T380" s="2">
        <f t="shared" si="74"/>
        <v>8.2696978871727264E-2</v>
      </c>
      <c r="U380" s="1" t="s">
        <v>2507</v>
      </c>
      <c r="V380" s="6" t="s">
        <v>2505</v>
      </c>
    </row>
    <row r="381" spans="1:22" ht="14.25" customHeight="1" x14ac:dyDescent="0.3">
      <c r="A381" s="1" t="s">
        <v>247</v>
      </c>
      <c r="B381" s="1" t="s">
        <v>789</v>
      </c>
      <c r="C381" s="1" t="s">
        <v>790</v>
      </c>
      <c r="D381" s="1">
        <f t="shared" si="64"/>
        <v>17</v>
      </c>
      <c r="E381" s="1">
        <f t="shared" si="65"/>
        <v>0.28118055555555554</v>
      </c>
      <c r="F381" s="2">
        <f t="shared" si="66"/>
        <v>103.59089070438422</v>
      </c>
      <c r="G381" s="1">
        <v>2080</v>
      </c>
      <c r="H381" s="1">
        <v>3744</v>
      </c>
      <c r="I381" s="1">
        <v>0</v>
      </c>
      <c r="J381" s="1">
        <v>111</v>
      </c>
      <c r="K381" s="1">
        <f t="shared" si="67"/>
        <v>0</v>
      </c>
      <c r="L381" s="1">
        <f t="shared" si="68"/>
        <v>0.96858173076923071</v>
      </c>
      <c r="M381" s="1">
        <f t="shared" si="69"/>
        <v>0.96858173076923071</v>
      </c>
      <c r="N381" s="2">
        <f t="shared" si="75"/>
        <v>17.344948254039164</v>
      </c>
      <c r="O381" s="1">
        <v>1471</v>
      </c>
      <c r="P381" s="1">
        <f t="shared" si="70"/>
        <v>401</v>
      </c>
      <c r="Q381" s="1">
        <f t="shared" si="71"/>
        <v>6.7450814810864772</v>
      </c>
      <c r="R381" s="1">
        <f t="shared" si="72"/>
        <v>1.4448598685446994</v>
      </c>
      <c r="S381" s="2">
        <f t="shared" si="73"/>
        <v>4.7618292387697343</v>
      </c>
      <c r="T381" s="2">
        <f t="shared" si="74"/>
        <v>8.3109598634267076E-2</v>
      </c>
      <c r="U381" s="1" t="s">
        <v>2507</v>
      </c>
      <c r="V381" s="6" t="s">
        <v>2505</v>
      </c>
    </row>
    <row r="382" spans="1:22" ht="14.25" customHeight="1" x14ac:dyDescent="0.3">
      <c r="A382" s="1" t="s">
        <v>20</v>
      </c>
      <c r="B382" s="1" t="s">
        <v>791</v>
      </c>
      <c r="C382" s="1" t="s">
        <v>792</v>
      </c>
      <c r="D382" s="1">
        <f t="shared" si="64"/>
        <v>59</v>
      </c>
      <c r="E382" s="1">
        <f t="shared" si="65"/>
        <v>3.6423611111111115E-2</v>
      </c>
      <c r="F382" s="2">
        <f t="shared" si="66"/>
        <v>365.94682036876338</v>
      </c>
      <c r="G382" s="1">
        <v>2080</v>
      </c>
      <c r="H382" s="1">
        <v>3744</v>
      </c>
      <c r="I382" s="1">
        <v>0</v>
      </c>
      <c r="J382" s="1">
        <v>261</v>
      </c>
      <c r="K382" s="1">
        <f t="shared" si="67"/>
        <v>0</v>
      </c>
      <c r="L382" s="1">
        <f t="shared" si="68"/>
        <v>2.2774759615384612</v>
      </c>
      <c r="M382" s="1">
        <f t="shared" si="69"/>
        <v>2.2774759615384612</v>
      </c>
      <c r="N382" s="2">
        <f t="shared" si="75"/>
        <v>7.3765871884994159</v>
      </c>
      <c r="O382" s="1">
        <v>1467</v>
      </c>
      <c r="P382" s="1">
        <f t="shared" si="70"/>
        <v>405</v>
      </c>
      <c r="Q382" s="1">
        <f t="shared" si="71"/>
        <v>2.8685978712666631</v>
      </c>
      <c r="R382" s="1">
        <f t="shared" si="72"/>
        <v>0.6206101163798069</v>
      </c>
      <c r="S382" s="2">
        <f t="shared" si="73"/>
        <v>4.80910709751541</v>
      </c>
      <c r="T382" s="2">
        <f t="shared" si="74"/>
        <v>8.3934752932671913E-2</v>
      </c>
      <c r="U382" s="1" t="s">
        <v>2507</v>
      </c>
      <c r="V382" s="6" t="s">
        <v>2505</v>
      </c>
    </row>
    <row r="383" spans="1:22" ht="14.25" customHeight="1" x14ac:dyDescent="0.3">
      <c r="A383" s="1" t="s">
        <v>435</v>
      </c>
      <c r="B383" s="1" t="s">
        <v>793</v>
      </c>
      <c r="C383" s="1" t="s">
        <v>794</v>
      </c>
      <c r="D383" s="1">
        <f t="shared" si="64"/>
        <v>48</v>
      </c>
      <c r="E383" s="1">
        <f t="shared" si="65"/>
        <v>5.0092592592592598E-2</v>
      </c>
      <c r="F383" s="2">
        <f t="shared" si="66"/>
        <v>296.91766673339646</v>
      </c>
      <c r="G383" s="1">
        <v>2080</v>
      </c>
      <c r="H383" s="1">
        <v>3744</v>
      </c>
      <c r="I383" s="1">
        <v>0</v>
      </c>
      <c r="J383" s="1">
        <v>153</v>
      </c>
      <c r="K383" s="1">
        <f t="shared" si="67"/>
        <v>0</v>
      </c>
      <c r="L383" s="1">
        <f t="shared" si="68"/>
        <v>1.3350721153846152</v>
      </c>
      <c r="M383" s="1">
        <f t="shared" si="69"/>
        <v>1.3350721153846152</v>
      </c>
      <c r="N383" s="2">
        <f t="shared" si="75"/>
        <v>12.583589909793121</v>
      </c>
      <c r="O383" s="1">
        <v>1467</v>
      </c>
      <c r="P383" s="1">
        <f t="shared" si="70"/>
        <v>405</v>
      </c>
      <c r="Q383" s="1">
        <f t="shared" si="71"/>
        <v>4.8934904862784254</v>
      </c>
      <c r="R383" s="1">
        <f t="shared" si="72"/>
        <v>1.0586878455890825</v>
      </c>
      <c r="S383" s="2">
        <f t="shared" si="73"/>
        <v>4.8091070975154109</v>
      </c>
      <c r="T383" s="2">
        <f t="shared" si="74"/>
        <v>8.3934752932671927E-2</v>
      </c>
      <c r="U383" s="1" t="s">
        <v>2507</v>
      </c>
      <c r="V383" s="6" t="s">
        <v>2505</v>
      </c>
    </row>
    <row r="384" spans="1:22" ht="14.25" customHeight="1" x14ac:dyDescent="0.3">
      <c r="A384" s="1" t="s">
        <v>40</v>
      </c>
      <c r="B384" s="1" t="s">
        <v>795</v>
      </c>
      <c r="C384" s="1" t="s">
        <v>796</v>
      </c>
      <c r="D384" s="1">
        <f t="shared" si="64"/>
        <v>56</v>
      </c>
      <c r="E384" s="1">
        <f t="shared" si="65"/>
        <v>7.5069444444444453E-2</v>
      </c>
      <c r="F384" s="2">
        <f t="shared" si="66"/>
        <v>347.34008337940833</v>
      </c>
      <c r="G384" s="1">
        <v>2080</v>
      </c>
      <c r="H384" s="1">
        <v>3744</v>
      </c>
      <c r="I384" s="1">
        <v>0</v>
      </c>
      <c r="J384" s="1">
        <v>240</v>
      </c>
      <c r="K384" s="1">
        <f t="shared" si="67"/>
        <v>0</v>
      </c>
      <c r="L384" s="1">
        <f t="shared" si="68"/>
        <v>2.0942307692307693</v>
      </c>
      <c r="M384" s="1">
        <f t="shared" si="69"/>
        <v>2.0942307692307693</v>
      </c>
      <c r="N384" s="2">
        <f t="shared" si="75"/>
        <v>8.0220385674931123</v>
      </c>
      <c r="O384" s="1">
        <v>1467</v>
      </c>
      <c r="P384" s="1">
        <f t="shared" si="70"/>
        <v>405</v>
      </c>
      <c r="Q384" s="1">
        <f t="shared" si="71"/>
        <v>3.1196001850024953</v>
      </c>
      <c r="R384" s="1">
        <f t="shared" si="72"/>
        <v>0.67491350156303986</v>
      </c>
      <c r="S384" s="2">
        <f t="shared" si="73"/>
        <v>4.8091070975154109</v>
      </c>
      <c r="T384" s="2">
        <f t="shared" si="74"/>
        <v>8.3934752932671927E-2</v>
      </c>
      <c r="U384" s="1" t="s">
        <v>2507</v>
      </c>
      <c r="V384" s="6" t="s">
        <v>2505</v>
      </c>
    </row>
    <row r="385" spans="1:24" ht="14.25" customHeight="1" x14ac:dyDescent="0.3">
      <c r="A385" s="1" t="s">
        <v>40</v>
      </c>
      <c r="B385" s="1" t="s">
        <v>797</v>
      </c>
      <c r="C385" s="1" t="s">
        <v>798</v>
      </c>
      <c r="D385" s="1">
        <f t="shared" si="64"/>
        <v>93</v>
      </c>
      <c r="E385" s="1">
        <f t="shared" si="65"/>
        <v>0.17113425925925926</v>
      </c>
      <c r="F385" s="2">
        <f t="shared" si="66"/>
        <v>580.42153277803436</v>
      </c>
      <c r="G385" s="1">
        <v>2080</v>
      </c>
      <c r="H385" s="1">
        <v>3744</v>
      </c>
      <c r="I385" s="1">
        <v>0</v>
      </c>
      <c r="J385" s="1">
        <v>272</v>
      </c>
      <c r="K385" s="1">
        <f t="shared" si="67"/>
        <v>0</v>
      </c>
      <c r="L385" s="1">
        <f t="shared" si="68"/>
        <v>2.3734615384615383</v>
      </c>
      <c r="M385" s="1">
        <f t="shared" si="69"/>
        <v>2.3734615384615383</v>
      </c>
      <c r="N385" s="2">
        <f t="shared" si="75"/>
        <v>7.0782693242586303</v>
      </c>
      <c r="O385" s="1">
        <v>1467</v>
      </c>
      <c r="P385" s="1">
        <f t="shared" si="70"/>
        <v>405</v>
      </c>
      <c r="Q385" s="1">
        <f t="shared" si="71"/>
        <v>2.7525883985316142</v>
      </c>
      <c r="R385" s="1">
        <f t="shared" si="72"/>
        <v>0.59551191314385887</v>
      </c>
      <c r="S385" s="2">
        <f t="shared" si="73"/>
        <v>4.8091070975154109</v>
      </c>
      <c r="T385" s="2">
        <f t="shared" si="74"/>
        <v>8.3934752932671927E-2</v>
      </c>
      <c r="U385" s="1" t="s">
        <v>2507</v>
      </c>
      <c r="V385" s="6" t="s">
        <v>2505</v>
      </c>
    </row>
    <row r="386" spans="1:24" ht="14.25" customHeight="1" x14ac:dyDescent="0.3">
      <c r="A386" s="1" t="s">
        <v>40</v>
      </c>
      <c r="B386" s="1" t="s">
        <v>799</v>
      </c>
      <c r="C386" s="1" t="s">
        <v>800</v>
      </c>
      <c r="D386" s="1">
        <f t="shared" ref="D386:D449" si="76">(LEFT(C386,4)&amp;"-"&amp;MID(C386,6,2)&amp;"-"&amp;MID(C386,9,2))-(2019&amp;"-"&amp;5&amp;"-"&amp;28)</f>
        <v>8</v>
      </c>
      <c r="E386" s="1">
        <f t="shared" ref="E386:E449" si="77">TIMEVALUE(RIGHT(C386,8))</f>
        <v>9.0995370370370365E-2</v>
      </c>
      <c r="F386" s="2">
        <f t="shared" ref="F386:F449" si="78">(D386+E386)*2*PI()-4.989969053</f>
        <v>45.847254178569159</v>
      </c>
      <c r="G386" s="1">
        <v>2080</v>
      </c>
      <c r="H386" s="1">
        <v>3744</v>
      </c>
      <c r="I386" s="1">
        <v>0</v>
      </c>
      <c r="J386" s="1">
        <v>119</v>
      </c>
      <c r="K386" s="1">
        <f t="shared" ref="K386:K449" si="79">(32.67*I386)/H386</f>
        <v>0</v>
      </c>
      <c r="L386" s="1">
        <f t="shared" ref="L386:L449" si="80">(18.15*J386)/G386</f>
        <v>1.0383894230769231</v>
      </c>
      <c r="M386" s="1">
        <f t="shared" ref="M386:M449" si="81">SQRT(K386*K386+L386*L386)</f>
        <v>1.0383894230769231</v>
      </c>
      <c r="N386" s="2">
        <f t="shared" si="75"/>
        <v>16.178901312591154</v>
      </c>
      <c r="O386" s="1">
        <v>1465</v>
      </c>
      <c r="P386" s="1">
        <f t="shared" ref="P386:P449" si="82">H386/2-O386</f>
        <v>407</v>
      </c>
      <c r="Q386" s="1">
        <f t="shared" ref="Q386:Q449" si="83">TAN(RADIANS(21.25))*N386</f>
        <v>6.2916306252151175</v>
      </c>
      <c r="R386" s="1">
        <f t="shared" ref="R386:R449" si="84">Q386*(P386/(H386/2))</f>
        <v>1.3678919147770048</v>
      </c>
      <c r="S386" s="2">
        <f t="shared" ref="S386:S449" si="85">DEGREES(ATAN(R386/N386))</f>
        <v>4.8327435695670173</v>
      </c>
      <c r="T386" s="2">
        <f t="shared" ref="T386:T449" si="86">RADIANS(S386)</f>
        <v>8.4347287193528089E-2</v>
      </c>
      <c r="U386" s="1" t="s">
        <v>2507</v>
      </c>
      <c r="V386" s="6" t="s">
        <v>2505</v>
      </c>
      <c r="W386" s="1"/>
      <c r="X386" s="1"/>
    </row>
    <row r="387" spans="1:24" ht="14.25" customHeight="1" x14ac:dyDescent="0.3">
      <c r="A387" s="1" t="s">
        <v>27</v>
      </c>
      <c r="B387" s="1" t="s">
        <v>801</v>
      </c>
      <c r="C387" s="1" t="s">
        <v>802</v>
      </c>
      <c r="D387" s="1">
        <f t="shared" si="76"/>
        <v>86</v>
      </c>
      <c r="E387" s="1">
        <f t="shared" si="77"/>
        <v>0.96180555555555547</v>
      </c>
      <c r="F387" s="2">
        <f t="shared" si="78"/>
        <v>541.40716989947487</v>
      </c>
      <c r="G387" s="1">
        <v>2080</v>
      </c>
      <c r="H387" s="1">
        <v>3744</v>
      </c>
      <c r="I387" s="1">
        <v>0</v>
      </c>
      <c r="J387" s="1">
        <v>217</v>
      </c>
      <c r="K387" s="1">
        <f t="shared" si="79"/>
        <v>0</v>
      </c>
      <c r="L387" s="1">
        <f t="shared" si="80"/>
        <v>1.8935336538461538</v>
      </c>
      <c r="M387" s="1">
        <f t="shared" si="81"/>
        <v>1.8935336538461538</v>
      </c>
      <c r="N387" s="2">
        <f t="shared" si="75"/>
        <v>8.8723007198080523</v>
      </c>
      <c r="O387" s="1">
        <v>1465</v>
      </c>
      <c r="P387" s="1">
        <f t="shared" si="82"/>
        <v>407</v>
      </c>
      <c r="Q387" s="1">
        <f t="shared" si="83"/>
        <v>3.4502490525373228</v>
      </c>
      <c r="R387" s="1">
        <f t="shared" si="84"/>
        <v>0.75013427584545433</v>
      </c>
      <c r="S387" s="2">
        <f t="shared" si="85"/>
        <v>4.8327435695670182</v>
      </c>
      <c r="T387" s="2">
        <f t="shared" si="86"/>
        <v>8.4347287193528103E-2</v>
      </c>
      <c r="U387" s="1" t="s">
        <v>2507</v>
      </c>
      <c r="V387" s="6" t="s">
        <v>2505</v>
      </c>
    </row>
    <row r="388" spans="1:24" ht="14.25" customHeight="1" x14ac:dyDescent="0.3">
      <c r="A388" s="1" t="s">
        <v>17</v>
      </c>
      <c r="B388" s="1" t="s">
        <v>803</v>
      </c>
      <c r="C388" s="1" t="s">
        <v>804</v>
      </c>
      <c r="D388" s="1">
        <f t="shared" si="76"/>
        <v>37</v>
      </c>
      <c r="E388" s="1">
        <f t="shared" si="77"/>
        <v>6.3622685185185185E-2</v>
      </c>
      <c r="F388" s="2">
        <f t="shared" si="78"/>
        <v>227.88764043340356</v>
      </c>
      <c r="G388" s="1">
        <v>2080</v>
      </c>
      <c r="H388" s="1">
        <v>3744</v>
      </c>
      <c r="I388" s="1">
        <v>0</v>
      </c>
      <c r="J388" s="1">
        <v>229</v>
      </c>
      <c r="K388" s="1">
        <f t="shared" si="79"/>
        <v>0</v>
      </c>
      <c r="L388" s="1">
        <f t="shared" si="80"/>
        <v>1.998245192307692</v>
      </c>
      <c r="M388" s="1">
        <f t="shared" si="81"/>
        <v>1.998245192307692</v>
      </c>
      <c r="N388" s="2">
        <f t="shared" si="75"/>
        <v>8.407376664621605</v>
      </c>
      <c r="O388" s="1">
        <v>1464</v>
      </c>
      <c r="P388" s="1">
        <f t="shared" si="82"/>
        <v>408</v>
      </c>
      <c r="Q388" s="1">
        <f t="shared" si="83"/>
        <v>3.2694499755484676</v>
      </c>
      <c r="R388" s="1">
        <f t="shared" si="84"/>
        <v>0.71257243056825581</v>
      </c>
      <c r="S388" s="2">
        <f t="shared" si="85"/>
        <v>4.8445611878173382</v>
      </c>
      <c r="T388" s="2">
        <f t="shared" si="86"/>
        <v>8.4553543541739953E-2</v>
      </c>
      <c r="U388" s="1" t="s">
        <v>2507</v>
      </c>
      <c r="V388" s="6" t="s">
        <v>2505</v>
      </c>
    </row>
    <row r="389" spans="1:24" ht="14.25" customHeight="1" x14ac:dyDescent="0.3">
      <c r="A389" s="1" t="s">
        <v>17</v>
      </c>
      <c r="B389" s="1" t="s">
        <v>805</v>
      </c>
      <c r="C389" s="1" t="s">
        <v>806</v>
      </c>
      <c r="D389" s="1">
        <f t="shared" si="76"/>
        <v>69</v>
      </c>
      <c r="E389" s="1">
        <f t="shared" si="77"/>
        <v>0.29729166666666668</v>
      </c>
      <c r="F389" s="2">
        <f t="shared" si="78"/>
        <v>430.41775577433839</v>
      </c>
      <c r="G389" s="1">
        <v>2080</v>
      </c>
      <c r="H389" s="1">
        <v>3744</v>
      </c>
      <c r="I389" s="1">
        <v>0</v>
      </c>
      <c r="J389" s="1">
        <v>259</v>
      </c>
      <c r="K389" s="1">
        <f t="shared" si="79"/>
        <v>0</v>
      </c>
      <c r="L389" s="1">
        <f t="shared" si="80"/>
        <v>2.260024038461538</v>
      </c>
      <c r="M389" s="1">
        <f t="shared" si="81"/>
        <v>2.260024038461538</v>
      </c>
      <c r="N389" s="2">
        <f t="shared" si="75"/>
        <v>7.4335492517310717</v>
      </c>
      <c r="O389" s="1">
        <v>1464</v>
      </c>
      <c r="P389" s="1">
        <f t="shared" si="82"/>
        <v>408</v>
      </c>
      <c r="Q389" s="1">
        <f t="shared" si="83"/>
        <v>2.8907492061799194</v>
      </c>
      <c r="R389" s="1">
        <f t="shared" si="84"/>
        <v>0.63003508339818759</v>
      </c>
      <c r="S389" s="2">
        <f t="shared" si="85"/>
        <v>4.8445611878173382</v>
      </c>
      <c r="T389" s="2">
        <f t="shared" si="86"/>
        <v>8.4553543541739953E-2</v>
      </c>
      <c r="U389" s="1" t="s">
        <v>2507</v>
      </c>
      <c r="V389" s="6" t="s">
        <v>2505</v>
      </c>
    </row>
    <row r="390" spans="1:24" ht="14.25" customHeight="1" x14ac:dyDescent="0.3">
      <c r="A390" s="1" t="s">
        <v>27</v>
      </c>
      <c r="B390" s="1" t="s">
        <v>596</v>
      </c>
      <c r="C390" s="1" t="s">
        <v>597</v>
      </c>
      <c r="D390" s="1">
        <f t="shared" si="76"/>
        <v>33</v>
      </c>
      <c r="E390" s="1">
        <f t="shared" si="77"/>
        <v>0.27098379629629626</v>
      </c>
      <c r="F390" s="2">
        <f t="shared" si="78"/>
        <v>204.057787491299</v>
      </c>
      <c r="G390" s="1">
        <v>2080</v>
      </c>
      <c r="H390" s="1">
        <v>3744</v>
      </c>
      <c r="I390" s="1">
        <v>0</v>
      </c>
      <c r="J390" s="1">
        <v>79</v>
      </c>
      <c r="K390" s="1">
        <f t="shared" si="79"/>
        <v>0</v>
      </c>
      <c r="L390" s="1">
        <f t="shared" si="80"/>
        <v>0.68935096153846154</v>
      </c>
      <c r="M390" s="1">
        <f t="shared" si="81"/>
        <v>0.68935096153846154</v>
      </c>
      <c r="N390" s="2">
        <f t="shared" si="75"/>
        <v>24.370750078460091</v>
      </c>
      <c r="O390" s="1">
        <v>1463</v>
      </c>
      <c r="P390" s="1">
        <f t="shared" si="82"/>
        <v>409</v>
      </c>
      <c r="Q390" s="1">
        <f t="shared" si="83"/>
        <v>9.4772663848177086</v>
      </c>
      <c r="R390" s="1">
        <f t="shared" si="84"/>
        <v>2.0706207005290826</v>
      </c>
      <c r="S390" s="2">
        <f t="shared" si="85"/>
        <v>4.8563783929054427</v>
      </c>
      <c r="T390" s="2">
        <f t="shared" si="86"/>
        <v>8.4759792678910803E-2</v>
      </c>
      <c r="U390" s="1" t="s">
        <v>2507</v>
      </c>
      <c r="V390" s="6" t="s">
        <v>2505</v>
      </c>
    </row>
    <row r="391" spans="1:24" ht="14.25" customHeight="1" x14ac:dyDescent="0.3">
      <c r="A391" s="1" t="s">
        <v>27</v>
      </c>
      <c r="B391" s="1" t="s">
        <v>807</v>
      </c>
      <c r="C391" s="1" t="s">
        <v>808</v>
      </c>
      <c r="D391" s="1">
        <f t="shared" si="76"/>
        <v>54</v>
      </c>
      <c r="E391" s="1">
        <f t="shared" si="77"/>
        <v>0.17131944444444444</v>
      </c>
      <c r="F391" s="2">
        <f t="shared" si="78"/>
        <v>335.37846935086515</v>
      </c>
      <c r="G391" s="1">
        <v>2080</v>
      </c>
      <c r="H391" s="1">
        <v>3744</v>
      </c>
      <c r="I391" s="1">
        <v>0</v>
      </c>
      <c r="J391" s="1">
        <v>188</v>
      </c>
      <c r="K391" s="1">
        <f t="shared" si="79"/>
        <v>0</v>
      </c>
      <c r="L391" s="1">
        <f t="shared" si="80"/>
        <v>1.6404807692307692</v>
      </c>
      <c r="M391" s="1">
        <f t="shared" si="81"/>
        <v>1.6404807692307692</v>
      </c>
      <c r="N391" s="2">
        <f t="shared" si="75"/>
        <v>10.240900298927379</v>
      </c>
      <c r="O391" s="1">
        <v>1463</v>
      </c>
      <c r="P391" s="1">
        <f t="shared" si="82"/>
        <v>409</v>
      </c>
      <c r="Q391" s="1">
        <f t="shared" si="83"/>
        <v>3.9824683212797818</v>
      </c>
      <c r="R391" s="1">
        <f t="shared" si="84"/>
        <v>0.87010125181807196</v>
      </c>
      <c r="S391" s="2">
        <f t="shared" si="85"/>
        <v>4.8563783929054427</v>
      </c>
      <c r="T391" s="2">
        <f t="shared" si="86"/>
        <v>8.4759792678910803E-2</v>
      </c>
      <c r="U391" s="1" t="s">
        <v>2507</v>
      </c>
      <c r="V391" s="6" t="s">
        <v>2505</v>
      </c>
    </row>
    <row r="392" spans="1:24" ht="14.25" customHeight="1" x14ac:dyDescent="0.3">
      <c r="A392" s="1" t="s">
        <v>40</v>
      </c>
      <c r="B392" s="1" t="s">
        <v>809</v>
      </c>
      <c r="C392" s="1" t="s">
        <v>810</v>
      </c>
      <c r="D392" s="1">
        <f t="shared" si="76"/>
        <v>72</v>
      </c>
      <c r="E392" s="1">
        <f t="shared" si="77"/>
        <v>0.94468750000000001</v>
      </c>
      <c r="F392" s="2">
        <f t="shared" si="78"/>
        <v>453.33501968380642</v>
      </c>
      <c r="G392" s="1">
        <v>2080</v>
      </c>
      <c r="H392" s="1">
        <v>3744</v>
      </c>
      <c r="I392" s="1">
        <v>0</v>
      </c>
      <c r="J392" s="1">
        <v>205</v>
      </c>
      <c r="K392" s="1">
        <f t="shared" si="79"/>
        <v>0</v>
      </c>
      <c r="L392" s="1">
        <f t="shared" si="80"/>
        <v>1.7888221153846151</v>
      </c>
      <c r="M392" s="1">
        <f t="shared" si="81"/>
        <v>1.7888221153846151</v>
      </c>
      <c r="N392" s="2">
        <f t="shared" si="75"/>
        <v>9.3916549082846217</v>
      </c>
      <c r="O392" s="1">
        <v>1463</v>
      </c>
      <c r="P392" s="1">
        <f t="shared" si="82"/>
        <v>409</v>
      </c>
      <c r="Q392" s="1">
        <f t="shared" si="83"/>
        <v>3.6522148507346297</v>
      </c>
      <c r="R392" s="1">
        <f t="shared" si="84"/>
        <v>0.7979465138624271</v>
      </c>
      <c r="S392" s="2">
        <f t="shared" si="85"/>
        <v>4.8563783929054427</v>
      </c>
      <c r="T392" s="2">
        <f t="shared" si="86"/>
        <v>8.4759792678910803E-2</v>
      </c>
      <c r="U392" s="1" t="s">
        <v>2507</v>
      </c>
      <c r="V392" s="6" t="s">
        <v>2505</v>
      </c>
    </row>
    <row r="393" spans="1:24" ht="14.25" customHeight="1" x14ac:dyDescent="0.3">
      <c r="A393" s="1" t="s">
        <v>17</v>
      </c>
      <c r="B393" s="1" t="s">
        <v>811</v>
      </c>
      <c r="C393" s="1" t="s">
        <v>812</v>
      </c>
      <c r="D393" s="1">
        <f t="shared" si="76"/>
        <v>37</v>
      </c>
      <c r="E393" s="1">
        <f t="shared" si="77"/>
        <v>0.14822916666666666</v>
      </c>
      <c r="F393" s="2">
        <f t="shared" si="78"/>
        <v>228.41923863474017</v>
      </c>
      <c r="G393" s="1">
        <v>2080</v>
      </c>
      <c r="H393" s="1">
        <v>3744</v>
      </c>
      <c r="I393" s="1">
        <v>0</v>
      </c>
      <c r="J393" s="1">
        <v>251</v>
      </c>
      <c r="K393" s="1">
        <f t="shared" si="79"/>
        <v>0</v>
      </c>
      <c r="L393" s="1">
        <f t="shared" si="80"/>
        <v>2.190216346153846</v>
      </c>
      <c r="M393" s="1">
        <f t="shared" si="81"/>
        <v>2.190216346153846</v>
      </c>
      <c r="N393" s="2">
        <f t="shared" si="75"/>
        <v>7.6704751242962042</v>
      </c>
      <c r="O393" s="1">
        <v>1462</v>
      </c>
      <c r="P393" s="1">
        <f t="shared" si="82"/>
        <v>410</v>
      </c>
      <c r="Q393" s="1">
        <f t="shared" si="83"/>
        <v>2.9828846390462109</v>
      </c>
      <c r="R393" s="1">
        <f t="shared" si="84"/>
        <v>0.65330272543212953</v>
      </c>
      <c r="S393" s="2">
        <f t="shared" si="85"/>
        <v>4.8681951838476749</v>
      </c>
      <c r="T393" s="2">
        <f t="shared" si="86"/>
        <v>8.4966034587872608E-2</v>
      </c>
      <c r="U393" s="1" t="s">
        <v>2507</v>
      </c>
      <c r="V393" s="6" t="s">
        <v>2505</v>
      </c>
    </row>
    <row r="394" spans="1:24" ht="14.25" customHeight="1" x14ac:dyDescent="0.3">
      <c r="A394" s="1" t="s">
        <v>37</v>
      </c>
      <c r="B394" s="1" t="s">
        <v>813</v>
      </c>
      <c r="C394" s="1" t="s">
        <v>814</v>
      </c>
      <c r="D394" s="1">
        <f t="shared" si="76"/>
        <v>84</v>
      </c>
      <c r="E394" s="1">
        <f t="shared" si="77"/>
        <v>0.15484953703703705</v>
      </c>
      <c r="F394" s="2">
        <f t="shared" si="78"/>
        <v>523.77054508601998</v>
      </c>
      <c r="G394" s="1">
        <v>2080</v>
      </c>
      <c r="H394" s="1">
        <v>3744</v>
      </c>
      <c r="I394" s="1">
        <v>0</v>
      </c>
      <c r="J394" s="1">
        <v>672</v>
      </c>
      <c r="K394" s="1">
        <f t="shared" si="79"/>
        <v>0</v>
      </c>
      <c r="L394" s="1">
        <f t="shared" si="80"/>
        <v>5.8638461538461533</v>
      </c>
      <c r="M394" s="1">
        <f t="shared" si="81"/>
        <v>5.8638461538461533</v>
      </c>
      <c r="N394" s="2">
        <f t="shared" si="75"/>
        <v>2.8650137741046837</v>
      </c>
      <c r="O394" s="1">
        <v>1462</v>
      </c>
      <c r="P394" s="1">
        <f t="shared" si="82"/>
        <v>410</v>
      </c>
      <c r="Q394" s="1">
        <f t="shared" si="83"/>
        <v>1.1141429232151772</v>
      </c>
      <c r="R394" s="1">
        <f t="shared" si="84"/>
        <v>0.24401634536229841</v>
      </c>
      <c r="S394" s="2">
        <f t="shared" si="85"/>
        <v>4.8681951838476749</v>
      </c>
      <c r="T394" s="2">
        <f t="shared" si="86"/>
        <v>8.4966034587872608E-2</v>
      </c>
      <c r="U394" s="1" t="s">
        <v>2507</v>
      </c>
      <c r="V394" s="6" t="s">
        <v>2505</v>
      </c>
    </row>
    <row r="395" spans="1:24" ht="14.25" customHeight="1" x14ac:dyDescent="0.3">
      <c r="A395" s="1" t="s">
        <v>27</v>
      </c>
      <c r="B395" s="1" t="s">
        <v>815</v>
      </c>
      <c r="C395" s="1" t="s">
        <v>816</v>
      </c>
      <c r="D395" s="1">
        <f t="shared" si="76"/>
        <v>90</v>
      </c>
      <c r="E395" s="1">
        <f t="shared" si="77"/>
        <v>0.81133101851851841</v>
      </c>
      <c r="F395" s="2">
        <f t="shared" si="78"/>
        <v>565.59445172797734</v>
      </c>
      <c r="G395" s="1">
        <v>2080</v>
      </c>
      <c r="H395" s="1">
        <v>3744</v>
      </c>
      <c r="I395" s="1">
        <v>0</v>
      </c>
      <c r="J395" s="1">
        <v>166</v>
      </c>
      <c r="K395" s="1">
        <f t="shared" si="79"/>
        <v>0</v>
      </c>
      <c r="L395" s="1">
        <f t="shared" si="80"/>
        <v>1.4485096153846153</v>
      </c>
      <c r="M395" s="1">
        <f t="shared" si="81"/>
        <v>1.4485096153846153</v>
      </c>
      <c r="N395" s="2">
        <f t="shared" si="75"/>
        <v>11.598128049387634</v>
      </c>
      <c r="O395" s="1">
        <v>1462</v>
      </c>
      <c r="P395" s="1">
        <f t="shared" si="82"/>
        <v>410</v>
      </c>
      <c r="Q395" s="1">
        <f t="shared" si="83"/>
        <v>4.5102653277144515</v>
      </c>
      <c r="R395" s="1">
        <f t="shared" si="84"/>
        <v>0.98782520532207541</v>
      </c>
      <c r="S395" s="2">
        <f t="shared" si="85"/>
        <v>4.8681951838476749</v>
      </c>
      <c r="T395" s="2">
        <f t="shared" si="86"/>
        <v>8.4966034587872608E-2</v>
      </c>
      <c r="U395" s="1" t="s">
        <v>2507</v>
      </c>
      <c r="V395" s="6" t="s">
        <v>2505</v>
      </c>
    </row>
    <row r="396" spans="1:24" ht="14.25" customHeight="1" x14ac:dyDescent="0.3">
      <c r="A396" s="1" t="s">
        <v>30</v>
      </c>
      <c r="B396" s="1" t="s">
        <v>817</v>
      </c>
      <c r="C396" s="1" t="s">
        <v>818</v>
      </c>
      <c r="D396" s="1">
        <f t="shared" si="76"/>
        <v>78</v>
      </c>
      <c r="E396" s="1">
        <f t="shared" si="77"/>
        <v>0.22574074074074071</v>
      </c>
      <c r="F396" s="2">
        <f t="shared" si="78"/>
        <v>486.51685581246187</v>
      </c>
      <c r="G396" s="1">
        <v>2080</v>
      </c>
      <c r="H396" s="1">
        <v>3744</v>
      </c>
      <c r="I396" s="1">
        <v>0</v>
      </c>
      <c r="J396" s="1">
        <v>156</v>
      </c>
      <c r="K396" s="1">
        <f t="shared" si="79"/>
        <v>0</v>
      </c>
      <c r="L396" s="1">
        <f t="shared" si="80"/>
        <v>1.3612499999999998</v>
      </c>
      <c r="M396" s="1">
        <f t="shared" si="81"/>
        <v>1.3612499999999998</v>
      </c>
      <c r="N396" s="2">
        <f t="shared" si="75"/>
        <v>12.341597796143253</v>
      </c>
      <c r="O396" s="1">
        <v>1459</v>
      </c>
      <c r="P396" s="1">
        <f t="shared" si="82"/>
        <v>413</v>
      </c>
      <c r="Q396" s="1">
        <f t="shared" si="83"/>
        <v>4.7993849000038402</v>
      </c>
      <c r="R396" s="1">
        <f t="shared" si="84"/>
        <v>1.0588386558234968</v>
      </c>
      <c r="S396" s="2">
        <f t="shared" si="85"/>
        <v>4.9036430619657105</v>
      </c>
      <c r="T396" s="2">
        <f t="shared" si="86"/>
        <v>8.5584716773877967E-2</v>
      </c>
      <c r="U396" s="1" t="s">
        <v>2507</v>
      </c>
      <c r="V396" s="6" t="s">
        <v>2505</v>
      </c>
    </row>
    <row r="397" spans="1:24" ht="14.25" customHeight="1" x14ac:dyDescent="0.3">
      <c r="A397" s="1" t="s">
        <v>27</v>
      </c>
      <c r="B397" s="1" t="s">
        <v>819</v>
      </c>
      <c r="C397" s="1" t="s">
        <v>820</v>
      </c>
      <c r="D397" s="1">
        <f t="shared" si="76"/>
        <v>33</v>
      </c>
      <c r="E397" s="1">
        <f t="shared" si="77"/>
        <v>0.27050925925925923</v>
      </c>
      <c r="F397" s="2">
        <f t="shared" si="78"/>
        <v>204.05480588716014</v>
      </c>
      <c r="G397" s="1">
        <v>2080</v>
      </c>
      <c r="H397" s="1">
        <v>3744</v>
      </c>
      <c r="I397" s="1">
        <v>0</v>
      </c>
      <c r="J397" s="1">
        <v>208</v>
      </c>
      <c r="K397" s="1">
        <f t="shared" si="79"/>
        <v>0</v>
      </c>
      <c r="L397" s="1">
        <f t="shared" si="80"/>
        <v>1.8149999999999999</v>
      </c>
      <c r="M397" s="1">
        <f t="shared" si="81"/>
        <v>1.8149999999999999</v>
      </c>
      <c r="N397" s="2">
        <f t="shared" si="75"/>
        <v>9.2561983471074392</v>
      </c>
      <c r="O397" s="1">
        <v>1457</v>
      </c>
      <c r="P397" s="1">
        <f t="shared" si="82"/>
        <v>415</v>
      </c>
      <c r="Q397" s="1">
        <f t="shared" si="83"/>
        <v>3.5995386750028797</v>
      </c>
      <c r="R397" s="1">
        <f t="shared" si="84"/>
        <v>0.79797465284518965</v>
      </c>
      <c r="S397" s="2">
        <f t="shared" si="85"/>
        <v>4.9272728919574469</v>
      </c>
      <c r="T397" s="2">
        <f t="shared" si="86"/>
        <v>8.5997135108920278E-2</v>
      </c>
      <c r="U397" s="1" t="s">
        <v>2507</v>
      </c>
      <c r="V397" s="6" t="s">
        <v>2505</v>
      </c>
    </row>
    <row r="398" spans="1:24" ht="14.25" customHeight="1" x14ac:dyDescent="0.3">
      <c r="A398" s="1" t="s">
        <v>17</v>
      </c>
      <c r="B398" s="1" t="s">
        <v>821</v>
      </c>
      <c r="C398" s="1" t="s">
        <v>822</v>
      </c>
      <c r="D398" s="1">
        <f t="shared" si="76"/>
        <v>30</v>
      </c>
      <c r="E398" s="1">
        <f t="shared" si="77"/>
        <v>3.4953703703703702E-2</v>
      </c>
      <c r="F398" s="2">
        <f t="shared" si="78"/>
        <v>183.72521075993021</v>
      </c>
      <c r="G398" s="1">
        <v>2080</v>
      </c>
      <c r="H398" s="1">
        <v>3744</v>
      </c>
      <c r="I398" s="1">
        <v>0</v>
      </c>
      <c r="J398" s="1">
        <v>294</v>
      </c>
      <c r="K398" s="1">
        <f t="shared" si="79"/>
        <v>0</v>
      </c>
      <c r="L398" s="1">
        <f t="shared" si="80"/>
        <v>2.565432692307692</v>
      </c>
      <c r="M398" s="1">
        <f t="shared" si="81"/>
        <v>2.565432692307692</v>
      </c>
      <c r="N398" s="2">
        <f t="shared" si="75"/>
        <v>6.5486029122392768</v>
      </c>
      <c r="O398" s="1">
        <v>1456</v>
      </c>
      <c r="P398" s="1">
        <f t="shared" si="82"/>
        <v>416</v>
      </c>
      <c r="Q398" s="1">
        <f t="shared" si="83"/>
        <v>2.546612395920405</v>
      </c>
      <c r="R398" s="1">
        <f t="shared" si="84"/>
        <v>0.56591386576008995</v>
      </c>
      <c r="S398" s="2">
        <f t="shared" si="85"/>
        <v>4.9390871773794194</v>
      </c>
      <c r="T398" s="2">
        <f t="shared" si="86"/>
        <v>8.6203333288304068E-2</v>
      </c>
      <c r="U398" s="1" t="s">
        <v>2507</v>
      </c>
      <c r="V398" s="6" t="s">
        <v>2505</v>
      </c>
    </row>
    <row r="399" spans="1:24" ht="14.25" customHeight="1" x14ac:dyDescent="0.3">
      <c r="A399" s="1" t="s">
        <v>40</v>
      </c>
      <c r="B399" s="1" t="s">
        <v>823</v>
      </c>
      <c r="C399" s="1" t="s">
        <v>824</v>
      </c>
      <c r="D399" s="1">
        <f t="shared" si="76"/>
        <v>76</v>
      </c>
      <c r="E399" s="1">
        <f t="shared" si="77"/>
        <v>0.25328703703703703</v>
      </c>
      <c r="F399" s="2">
        <f t="shared" si="78"/>
        <v>474.12356368225875</v>
      </c>
      <c r="G399" s="1">
        <v>2080</v>
      </c>
      <c r="H399" s="1">
        <v>3744</v>
      </c>
      <c r="I399" s="1">
        <v>0</v>
      </c>
      <c r="J399" s="1">
        <v>110</v>
      </c>
      <c r="K399" s="1">
        <f t="shared" si="79"/>
        <v>0</v>
      </c>
      <c r="L399" s="1">
        <f t="shared" si="80"/>
        <v>0.9598557692307691</v>
      </c>
      <c r="M399" s="1">
        <f t="shared" si="81"/>
        <v>0.9598557692307691</v>
      </c>
      <c r="N399" s="2">
        <f t="shared" si="75"/>
        <v>17.502629601803157</v>
      </c>
      <c r="O399" s="1">
        <v>1454</v>
      </c>
      <c r="P399" s="1">
        <f t="shared" si="82"/>
        <v>418</v>
      </c>
      <c r="Q399" s="1">
        <f t="shared" si="83"/>
        <v>6.8064004036418089</v>
      </c>
      <c r="R399" s="1">
        <f t="shared" si="84"/>
        <v>1.5198052183345492</v>
      </c>
      <c r="S399" s="2">
        <f t="shared" si="85"/>
        <v>4.9627144841646809</v>
      </c>
      <c r="T399" s="2">
        <f t="shared" si="86"/>
        <v>8.6615707585085674E-2</v>
      </c>
      <c r="U399" s="1" t="s">
        <v>2507</v>
      </c>
      <c r="V399" s="6" t="s">
        <v>2505</v>
      </c>
    </row>
    <row r="400" spans="1:24" ht="14.25" customHeight="1" x14ac:dyDescent="0.3">
      <c r="A400" s="1" t="s">
        <v>17</v>
      </c>
      <c r="B400" s="1" t="s">
        <v>825</v>
      </c>
      <c r="C400" s="1" t="s">
        <v>826</v>
      </c>
      <c r="D400" s="1">
        <f t="shared" si="76"/>
        <v>61</v>
      </c>
      <c r="E400" s="1">
        <f t="shared" si="77"/>
        <v>0.90841435185185182</v>
      </c>
      <c r="F400" s="2">
        <f t="shared" si="78"/>
        <v>383.99207039334141</v>
      </c>
      <c r="G400" s="1">
        <v>2080</v>
      </c>
      <c r="H400" s="1">
        <v>3744</v>
      </c>
      <c r="I400" s="1">
        <v>0</v>
      </c>
      <c r="J400" s="1">
        <v>118</v>
      </c>
      <c r="K400" s="1">
        <f t="shared" si="79"/>
        <v>0</v>
      </c>
      <c r="L400" s="1">
        <f t="shared" si="80"/>
        <v>1.0296634615384614</v>
      </c>
      <c r="M400" s="1">
        <f t="shared" si="81"/>
        <v>1.0296634615384614</v>
      </c>
      <c r="N400" s="2">
        <f t="shared" si="75"/>
        <v>16.316010645748708</v>
      </c>
      <c r="O400" s="1">
        <v>1454</v>
      </c>
      <c r="P400" s="1">
        <f t="shared" si="82"/>
        <v>418</v>
      </c>
      <c r="Q400" s="1">
        <f t="shared" si="83"/>
        <v>6.3449495288186366</v>
      </c>
      <c r="R400" s="1">
        <f t="shared" si="84"/>
        <v>1.4167675764135632</v>
      </c>
      <c r="S400" s="2">
        <f t="shared" si="85"/>
        <v>4.9627144841646817</v>
      </c>
      <c r="T400" s="2">
        <f t="shared" si="86"/>
        <v>8.6615707585085688E-2</v>
      </c>
      <c r="U400" s="1" t="s">
        <v>2507</v>
      </c>
      <c r="V400" s="6" t="s">
        <v>2505</v>
      </c>
    </row>
    <row r="401" spans="1:22" ht="14.25" customHeight="1" x14ac:dyDescent="0.3">
      <c r="A401" s="1" t="s">
        <v>17</v>
      </c>
      <c r="B401" s="1" t="s">
        <v>827</v>
      </c>
      <c r="C401" s="1" t="s">
        <v>828</v>
      </c>
      <c r="D401" s="1">
        <f t="shared" si="76"/>
        <v>32</v>
      </c>
      <c r="E401" s="1">
        <f t="shared" si="77"/>
        <v>0.97291666666666676</v>
      </c>
      <c r="F401" s="2">
        <f t="shared" si="78"/>
        <v>202.18497648185692</v>
      </c>
      <c r="G401" s="1">
        <v>2080</v>
      </c>
      <c r="H401" s="1">
        <v>3744</v>
      </c>
      <c r="I401" s="1">
        <v>0</v>
      </c>
      <c r="J401" s="1">
        <v>240</v>
      </c>
      <c r="K401" s="1">
        <f t="shared" si="79"/>
        <v>0</v>
      </c>
      <c r="L401" s="1">
        <f t="shared" si="80"/>
        <v>2.0942307692307693</v>
      </c>
      <c r="M401" s="1">
        <f t="shared" si="81"/>
        <v>2.0942307692307693</v>
      </c>
      <c r="N401" s="2">
        <f t="shared" si="75"/>
        <v>8.0220385674931123</v>
      </c>
      <c r="O401" s="1">
        <v>1453</v>
      </c>
      <c r="P401" s="1">
        <f t="shared" si="82"/>
        <v>419</v>
      </c>
      <c r="Q401" s="1">
        <f t="shared" si="83"/>
        <v>3.1196001850024953</v>
      </c>
      <c r="R401" s="1">
        <f t="shared" si="84"/>
        <v>0.69824384482694746</v>
      </c>
      <c r="S401" s="2">
        <f t="shared" si="85"/>
        <v>4.9745275035642527</v>
      </c>
      <c r="T401" s="2">
        <f t="shared" si="86"/>
        <v>8.682188366821017E-2</v>
      </c>
      <c r="U401" s="1" t="s">
        <v>2507</v>
      </c>
      <c r="V401" s="6" t="s">
        <v>2505</v>
      </c>
    </row>
    <row r="402" spans="1:22" ht="14.25" customHeight="1" x14ac:dyDescent="0.3">
      <c r="A402" s="1" t="s">
        <v>27</v>
      </c>
      <c r="B402" s="1" t="s">
        <v>829</v>
      </c>
      <c r="C402" s="1" t="s">
        <v>830</v>
      </c>
      <c r="D402" s="1">
        <f t="shared" si="76"/>
        <v>74</v>
      </c>
      <c r="E402" s="1">
        <f t="shared" si="77"/>
        <v>0.33001157407407405</v>
      </c>
      <c r="F402" s="2">
        <f t="shared" si="78"/>
        <v>462.03926755171085</v>
      </c>
      <c r="G402" s="1">
        <v>2080</v>
      </c>
      <c r="H402" s="1">
        <v>3744</v>
      </c>
      <c r="I402" s="1">
        <v>0</v>
      </c>
      <c r="J402" s="1">
        <v>217</v>
      </c>
      <c r="K402" s="1">
        <f t="shared" si="79"/>
        <v>0</v>
      </c>
      <c r="L402" s="1">
        <f t="shared" si="80"/>
        <v>1.8935336538461538</v>
      </c>
      <c r="M402" s="1">
        <f t="shared" si="81"/>
        <v>1.8935336538461538</v>
      </c>
      <c r="N402" s="2">
        <f t="shared" si="75"/>
        <v>8.8723007198080523</v>
      </c>
      <c r="O402" s="1">
        <v>1452</v>
      </c>
      <c r="P402" s="1">
        <f t="shared" si="82"/>
        <v>420</v>
      </c>
      <c r="Q402" s="1">
        <f t="shared" si="83"/>
        <v>3.4502490525373228</v>
      </c>
      <c r="R402" s="1">
        <f t="shared" si="84"/>
        <v>0.77409433871029687</v>
      </c>
      <c r="S402" s="2">
        <f t="shared" si="85"/>
        <v>4.9863400989929971</v>
      </c>
      <c r="T402" s="2">
        <f t="shared" si="86"/>
        <v>8.7028052351647789E-2</v>
      </c>
      <c r="U402" s="1" t="s">
        <v>2507</v>
      </c>
      <c r="V402" s="6" t="s">
        <v>2505</v>
      </c>
    </row>
    <row r="403" spans="1:22" ht="14.25" customHeight="1" x14ac:dyDescent="0.3">
      <c r="A403" s="1" t="s">
        <v>40</v>
      </c>
      <c r="B403" s="1" t="s">
        <v>831</v>
      </c>
      <c r="C403" s="1" t="s">
        <v>832</v>
      </c>
      <c r="D403" s="1">
        <f t="shared" si="76"/>
        <v>29</v>
      </c>
      <c r="E403" s="1">
        <f t="shared" si="77"/>
        <v>0.7101157407407408</v>
      </c>
      <c r="F403" s="2">
        <f t="shared" si="78"/>
        <v>181.68419364382714</v>
      </c>
      <c r="G403" s="1">
        <v>2080</v>
      </c>
      <c r="H403" s="1">
        <v>3744</v>
      </c>
      <c r="I403" s="1">
        <v>0</v>
      </c>
      <c r="J403" s="1">
        <v>226</v>
      </c>
      <c r="K403" s="1">
        <f t="shared" si="79"/>
        <v>0</v>
      </c>
      <c r="L403" s="1">
        <f t="shared" si="80"/>
        <v>1.9720673076923074</v>
      </c>
      <c r="M403" s="1">
        <f t="shared" si="81"/>
        <v>1.9720673076923074</v>
      </c>
      <c r="N403" s="2">
        <f t="shared" si="75"/>
        <v>8.5189790097272002</v>
      </c>
      <c r="O403" s="1">
        <v>1451</v>
      </c>
      <c r="P403" s="1">
        <f t="shared" si="82"/>
        <v>421</v>
      </c>
      <c r="Q403" s="1">
        <f t="shared" si="83"/>
        <v>3.3128497539849513</v>
      </c>
      <c r="R403" s="1">
        <f t="shared" si="84"/>
        <v>0.74503725770708573</v>
      </c>
      <c r="S403" s="2">
        <f t="shared" si="85"/>
        <v>4.9981522694695899</v>
      </c>
      <c r="T403" s="2">
        <f t="shared" si="86"/>
        <v>8.7234213618271203E-2</v>
      </c>
      <c r="U403" s="1" t="s">
        <v>2507</v>
      </c>
      <c r="V403" s="6" t="s">
        <v>2505</v>
      </c>
    </row>
    <row r="404" spans="1:22" ht="14.25" customHeight="1" x14ac:dyDescent="0.3">
      <c r="A404" s="1" t="s">
        <v>27</v>
      </c>
      <c r="B404" s="1" t="s">
        <v>833</v>
      </c>
      <c r="C404" s="1" t="s">
        <v>834</v>
      </c>
      <c r="D404" s="1">
        <f t="shared" si="76"/>
        <v>24</v>
      </c>
      <c r="E404" s="1">
        <f t="shared" si="77"/>
        <v>0.73166666666666658</v>
      </c>
      <c r="F404" s="2">
        <f t="shared" si="78"/>
        <v>150.40367556906313</v>
      </c>
      <c r="G404" s="1">
        <v>2080</v>
      </c>
      <c r="H404" s="1">
        <v>3744</v>
      </c>
      <c r="I404" s="1">
        <v>0</v>
      </c>
      <c r="J404" s="1">
        <v>211</v>
      </c>
      <c r="K404" s="1">
        <f t="shared" si="79"/>
        <v>0</v>
      </c>
      <c r="L404" s="1">
        <f t="shared" si="80"/>
        <v>1.8411778846153843</v>
      </c>
      <c r="M404" s="1">
        <f t="shared" si="81"/>
        <v>1.8411778846153843</v>
      </c>
      <c r="N404" s="2">
        <f t="shared" si="75"/>
        <v>9.1245936312717895</v>
      </c>
      <c r="O404" s="1">
        <v>1450</v>
      </c>
      <c r="P404" s="1">
        <f t="shared" si="82"/>
        <v>422</v>
      </c>
      <c r="Q404" s="1">
        <f t="shared" si="83"/>
        <v>3.5483604000028395</v>
      </c>
      <c r="R404" s="1">
        <f t="shared" si="84"/>
        <v>0.79989748333397348</v>
      </c>
      <c r="S404" s="2">
        <f t="shared" si="85"/>
        <v>5.009964014012926</v>
      </c>
      <c r="T404" s="2">
        <f t="shared" si="86"/>
        <v>8.7440367450956888E-2</v>
      </c>
      <c r="U404" s="1" t="s">
        <v>2507</v>
      </c>
      <c r="V404" s="6" t="s">
        <v>2505</v>
      </c>
    </row>
    <row r="405" spans="1:22" ht="14.25" customHeight="1" x14ac:dyDescent="0.3">
      <c r="A405" s="1" t="s">
        <v>27</v>
      </c>
      <c r="B405" s="1" t="s">
        <v>835</v>
      </c>
      <c r="C405" s="1" t="s">
        <v>836</v>
      </c>
      <c r="D405" s="1">
        <f t="shared" si="76"/>
        <v>43</v>
      </c>
      <c r="E405" s="1">
        <f t="shared" si="77"/>
        <v>0.32568287037037036</v>
      </c>
      <c r="F405" s="2">
        <f t="shared" si="78"/>
        <v>267.23332498163342</v>
      </c>
      <c r="G405" s="1">
        <v>2080</v>
      </c>
      <c r="H405" s="1">
        <v>3744</v>
      </c>
      <c r="I405" s="1">
        <v>0</v>
      </c>
      <c r="J405" s="1">
        <v>712</v>
      </c>
      <c r="K405" s="1">
        <f t="shared" si="79"/>
        <v>0</v>
      </c>
      <c r="L405" s="1">
        <f t="shared" si="80"/>
        <v>6.2128846153846151</v>
      </c>
      <c r="M405" s="1">
        <f t="shared" si="81"/>
        <v>6.2128846153846151</v>
      </c>
      <c r="N405" s="2">
        <f t="shared" si="75"/>
        <v>2.7040579440988024</v>
      </c>
      <c r="O405" s="1">
        <v>1449</v>
      </c>
      <c r="P405" s="1">
        <f t="shared" si="82"/>
        <v>423</v>
      </c>
      <c r="Q405" s="1">
        <f t="shared" si="83"/>
        <v>1.0515506241581447</v>
      </c>
      <c r="R405" s="1">
        <f t="shared" si="84"/>
        <v>0.23760999680496539</v>
      </c>
      <c r="S405" s="2">
        <f t="shared" si="85"/>
        <v>5.0217753316421119</v>
      </c>
      <c r="T405" s="2">
        <f t="shared" si="86"/>
        <v>8.7646513832585038E-2</v>
      </c>
      <c r="U405" s="1" t="s">
        <v>2507</v>
      </c>
      <c r="V405" s="6" t="s">
        <v>2505</v>
      </c>
    </row>
    <row r="406" spans="1:22" ht="14.25" customHeight="1" x14ac:dyDescent="0.3">
      <c r="A406" s="1" t="s">
        <v>27</v>
      </c>
      <c r="B406" s="1" t="s">
        <v>837</v>
      </c>
      <c r="C406" s="1" t="s">
        <v>838</v>
      </c>
      <c r="D406" s="1">
        <f t="shared" si="76"/>
        <v>54</v>
      </c>
      <c r="E406" s="1">
        <f t="shared" si="77"/>
        <v>0.17505787037037038</v>
      </c>
      <c r="F406" s="2">
        <f t="shared" si="78"/>
        <v>335.40195857371498</v>
      </c>
      <c r="G406" s="1">
        <v>2080</v>
      </c>
      <c r="H406" s="1">
        <v>3744</v>
      </c>
      <c r="I406" s="1">
        <v>0</v>
      </c>
      <c r="J406" s="1">
        <v>192</v>
      </c>
      <c r="K406" s="1">
        <f t="shared" si="79"/>
        <v>0</v>
      </c>
      <c r="L406" s="1">
        <f t="shared" si="80"/>
        <v>1.6753846153846153</v>
      </c>
      <c r="M406" s="1">
        <f t="shared" si="81"/>
        <v>1.6753846153846153</v>
      </c>
      <c r="N406" s="2">
        <f t="shared" si="75"/>
        <v>10.027548209366392</v>
      </c>
      <c r="O406" s="1">
        <v>1449</v>
      </c>
      <c r="P406" s="1">
        <f t="shared" si="82"/>
        <v>423</v>
      </c>
      <c r="Q406" s="1">
        <f t="shared" si="83"/>
        <v>3.89950023125312</v>
      </c>
      <c r="R406" s="1">
        <f t="shared" si="84"/>
        <v>0.88113707148508003</v>
      </c>
      <c r="S406" s="2">
        <f t="shared" si="85"/>
        <v>5.0217753316421119</v>
      </c>
      <c r="T406" s="2">
        <f t="shared" si="86"/>
        <v>8.7646513832585038E-2</v>
      </c>
      <c r="U406" s="1" t="s">
        <v>2507</v>
      </c>
      <c r="V406" s="6" t="s">
        <v>2505</v>
      </c>
    </row>
    <row r="407" spans="1:22" ht="14.25" customHeight="1" x14ac:dyDescent="0.3">
      <c r="A407" s="1" t="s">
        <v>27</v>
      </c>
      <c r="B407" s="1" t="s">
        <v>839</v>
      </c>
      <c r="C407" s="1" t="s">
        <v>840</v>
      </c>
      <c r="D407" s="1">
        <f t="shared" si="76"/>
        <v>71</v>
      </c>
      <c r="E407" s="1">
        <f t="shared" si="77"/>
        <v>0.75151620370370376</v>
      </c>
      <c r="F407" s="2">
        <f t="shared" si="78"/>
        <v>445.83810332596914</v>
      </c>
      <c r="G407" s="1">
        <v>2080</v>
      </c>
      <c r="H407" s="1">
        <v>3744</v>
      </c>
      <c r="I407" s="1">
        <v>0</v>
      </c>
      <c r="J407" s="1">
        <v>277</v>
      </c>
      <c r="K407" s="1">
        <f t="shared" si="79"/>
        <v>0</v>
      </c>
      <c r="L407" s="1">
        <f t="shared" si="80"/>
        <v>2.4170913461538457</v>
      </c>
      <c r="M407" s="1">
        <f t="shared" si="81"/>
        <v>2.4170913461538457</v>
      </c>
      <c r="N407" s="2">
        <f t="shared" si="75"/>
        <v>6.9505027299579334</v>
      </c>
      <c r="O407" s="1">
        <v>1449</v>
      </c>
      <c r="P407" s="1">
        <f t="shared" si="82"/>
        <v>423</v>
      </c>
      <c r="Q407" s="1">
        <f t="shared" si="83"/>
        <v>2.7029026873667839</v>
      </c>
      <c r="R407" s="1">
        <f t="shared" si="84"/>
        <v>0.61075204954922524</v>
      </c>
      <c r="S407" s="2">
        <f t="shared" si="85"/>
        <v>5.0217753316421119</v>
      </c>
      <c r="T407" s="2">
        <f t="shared" si="86"/>
        <v>8.7646513832585038E-2</v>
      </c>
      <c r="U407" s="1" t="s">
        <v>2507</v>
      </c>
      <c r="V407" s="6" t="s">
        <v>2505</v>
      </c>
    </row>
    <row r="408" spans="1:22" ht="14.25" customHeight="1" x14ac:dyDescent="0.3">
      <c r="A408" s="1" t="s">
        <v>40</v>
      </c>
      <c r="B408" s="1" t="s">
        <v>841</v>
      </c>
      <c r="C408" s="1" t="s">
        <v>842</v>
      </c>
      <c r="D408" s="1">
        <f t="shared" si="76"/>
        <v>74</v>
      </c>
      <c r="E408" s="1">
        <f t="shared" si="77"/>
        <v>8.6574074074074071E-3</v>
      </c>
      <c r="F408" s="2">
        <f t="shared" si="78"/>
        <v>460.02013977330989</v>
      </c>
      <c r="G408" s="1">
        <v>2080</v>
      </c>
      <c r="H408" s="1">
        <v>3744</v>
      </c>
      <c r="I408" s="1">
        <v>0</v>
      </c>
      <c r="J408" s="1">
        <v>106</v>
      </c>
      <c r="K408" s="1">
        <f t="shared" si="79"/>
        <v>0</v>
      </c>
      <c r="L408" s="1">
        <f t="shared" si="80"/>
        <v>0.92495192307692298</v>
      </c>
      <c r="M408" s="1">
        <f t="shared" si="81"/>
        <v>0.92495192307692298</v>
      </c>
      <c r="N408" s="2">
        <f t="shared" si="75"/>
        <v>18.163106190550447</v>
      </c>
      <c r="O408" s="1">
        <v>1446</v>
      </c>
      <c r="P408" s="1">
        <f t="shared" si="82"/>
        <v>426</v>
      </c>
      <c r="Q408" s="1">
        <f t="shared" si="83"/>
        <v>7.0632457018924439</v>
      </c>
      <c r="R408" s="1">
        <f t="shared" si="84"/>
        <v>1.6073411693409088</v>
      </c>
      <c r="S408" s="2">
        <f t="shared" si="85"/>
        <v>5.057206713239089</v>
      </c>
      <c r="T408" s="2">
        <f t="shared" si="86"/>
        <v>8.8264908099982817E-2</v>
      </c>
      <c r="U408" s="1" t="s">
        <v>2507</v>
      </c>
      <c r="V408" s="6" t="s">
        <v>2505</v>
      </c>
    </row>
    <row r="409" spans="1:22" ht="14.25" customHeight="1" x14ac:dyDescent="0.3">
      <c r="A409" s="1" t="s">
        <v>40</v>
      </c>
      <c r="B409" s="1" t="s">
        <v>843</v>
      </c>
      <c r="C409" s="1" t="s">
        <v>844</v>
      </c>
      <c r="D409" s="1">
        <f t="shared" si="76"/>
        <v>31</v>
      </c>
      <c r="E409" s="1">
        <f t="shared" si="77"/>
        <v>0.72256944444444438</v>
      </c>
      <c r="F409" s="2">
        <f t="shared" si="78"/>
        <v>194.32881318631743</v>
      </c>
      <c r="G409" s="1">
        <v>2080</v>
      </c>
      <c r="H409" s="1">
        <v>3744</v>
      </c>
      <c r="I409" s="1">
        <v>0</v>
      </c>
      <c r="J409" s="1">
        <v>248</v>
      </c>
      <c r="K409" s="1">
        <f t="shared" si="79"/>
        <v>0</v>
      </c>
      <c r="L409" s="1">
        <f t="shared" si="80"/>
        <v>2.1640384615384614</v>
      </c>
      <c r="M409" s="1">
        <f t="shared" si="81"/>
        <v>2.1640384615384614</v>
      </c>
      <c r="N409" s="2">
        <f t="shared" si="75"/>
        <v>7.7632631298320458</v>
      </c>
      <c r="O409" s="1">
        <v>1443</v>
      </c>
      <c r="P409" s="1">
        <f t="shared" si="82"/>
        <v>429</v>
      </c>
      <c r="Q409" s="1">
        <f t="shared" si="83"/>
        <v>3.0189679209701574</v>
      </c>
      <c r="R409" s="1">
        <f t="shared" si="84"/>
        <v>0.69184681522232772</v>
      </c>
      <c r="S409" s="2">
        <f t="shared" si="85"/>
        <v>5.0926342173173857</v>
      </c>
      <c r="T409" s="2">
        <f t="shared" si="86"/>
        <v>8.888323469191281E-2</v>
      </c>
      <c r="U409" s="1" t="s">
        <v>2507</v>
      </c>
      <c r="V409" s="6" t="s">
        <v>2505</v>
      </c>
    </row>
    <row r="410" spans="1:22" ht="14.25" customHeight="1" x14ac:dyDescent="0.3">
      <c r="A410" s="1" t="s">
        <v>82</v>
      </c>
      <c r="B410" s="1" t="s">
        <v>845</v>
      </c>
      <c r="C410" s="1" t="s">
        <v>846</v>
      </c>
      <c r="D410" s="1">
        <f t="shared" si="76"/>
        <v>14</v>
      </c>
      <c r="E410" s="1">
        <f t="shared" si="77"/>
        <v>0.39656249999999998</v>
      </c>
      <c r="F410" s="2">
        <f t="shared" si="78"/>
        <v>85.466300920892621</v>
      </c>
      <c r="G410" s="1">
        <v>2080</v>
      </c>
      <c r="H410" s="1">
        <v>3744</v>
      </c>
      <c r="I410" s="1">
        <v>0</v>
      </c>
      <c r="J410" s="1">
        <v>682</v>
      </c>
      <c r="K410" s="1">
        <f t="shared" si="79"/>
        <v>0</v>
      </c>
      <c r="L410" s="1">
        <f t="shared" si="80"/>
        <v>5.9511057692307689</v>
      </c>
      <c r="M410" s="1">
        <f t="shared" si="81"/>
        <v>5.9511057692307689</v>
      </c>
      <c r="N410" s="2">
        <f t="shared" si="75"/>
        <v>2.8230047744843803</v>
      </c>
      <c r="O410" s="1">
        <v>1441</v>
      </c>
      <c r="P410" s="1">
        <f t="shared" si="82"/>
        <v>431</v>
      </c>
      <c r="Q410" s="1">
        <f t="shared" si="83"/>
        <v>1.0978065167164208</v>
      </c>
      <c r="R410" s="1">
        <f t="shared" si="84"/>
        <v>0.25275353029101355</v>
      </c>
      <c r="S410" s="2">
        <f t="shared" si="85"/>
        <v>5.1162503861306332</v>
      </c>
      <c r="T410" s="2">
        <f t="shared" si="86"/>
        <v>8.9295414594410774E-2</v>
      </c>
      <c r="U410" s="1" t="s">
        <v>2507</v>
      </c>
      <c r="V410" s="6" t="s">
        <v>2505</v>
      </c>
    </row>
    <row r="411" spans="1:22" ht="14.25" customHeight="1" x14ac:dyDescent="0.3">
      <c r="A411" s="1" t="s">
        <v>17</v>
      </c>
      <c r="B411" s="1" t="s">
        <v>847</v>
      </c>
      <c r="C411" s="1" t="s">
        <v>848</v>
      </c>
      <c r="D411" s="1">
        <f t="shared" si="76"/>
        <v>38</v>
      </c>
      <c r="E411" s="1">
        <f t="shared" si="77"/>
        <v>0.14693287037037037</v>
      </c>
      <c r="F411" s="2">
        <f t="shared" si="78"/>
        <v>234.69427907207711</v>
      </c>
      <c r="G411" s="1">
        <v>2080</v>
      </c>
      <c r="H411" s="1">
        <v>3744</v>
      </c>
      <c r="I411" s="1">
        <v>0</v>
      </c>
      <c r="J411" s="1">
        <v>288</v>
      </c>
      <c r="K411" s="1">
        <f t="shared" si="79"/>
        <v>0</v>
      </c>
      <c r="L411" s="1">
        <f t="shared" si="80"/>
        <v>2.5130769230769232</v>
      </c>
      <c r="M411" s="1">
        <f t="shared" si="81"/>
        <v>2.5130769230769232</v>
      </c>
      <c r="N411" s="2">
        <f t="shared" si="75"/>
        <v>6.6850321395775945</v>
      </c>
      <c r="O411" s="1">
        <v>1440</v>
      </c>
      <c r="P411" s="1">
        <f t="shared" si="82"/>
        <v>432</v>
      </c>
      <c r="Q411" s="1">
        <f t="shared" si="83"/>
        <v>2.599666820835413</v>
      </c>
      <c r="R411" s="1">
        <f t="shared" si="84"/>
        <v>0.59992311250047992</v>
      </c>
      <c r="S411" s="2">
        <f t="shared" si="85"/>
        <v>5.1280578174281199</v>
      </c>
      <c r="T411" s="2">
        <f t="shared" si="86"/>
        <v>8.9501493146754943E-2</v>
      </c>
      <c r="U411" s="1" t="s">
        <v>2507</v>
      </c>
      <c r="V411" s="6" t="s">
        <v>2505</v>
      </c>
    </row>
    <row r="412" spans="1:22" ht="14.25" customHeight="1" x14ac:dyDescent="0.3">
      <c r="A412" s="1" t="s">
        <v>27</v>
      </c>
      <c r="B412" s="1" t="s">
        <v>849</v>
      </c>
      <c r="C412" s="1" t="s">
        <v>624</v>
      </c>
      <c r="D412" s="1">
        <f t="shared" si="76"/>
        <v>41</v>
      </c>
      <c r="E412" s="1">
        <f t="shared" si="77"/>
        <v>0.8089467592592593</v>
      </c>
      <c r="F412" s="2">
        <f t="shared" si="78"/>
        <v>257.70339093343136</v>
      </c>
      <c r="G412" s="1">
        <v>2080</v>
      </c>
      <c r="H412" s="1">
        <v>3744</v>
      </c>
      <c r="I412" s="1">
        <v>0</v>
      </c>
      <c r="J412" s="1">
        <v>143</v>
      </c>
      <c r="K412" s="1">
        <f t="shared" si="79"/>
        <v>0</v>
      </c>
      <c r="L412" s="1">
        <f t="shared" si="80"/>
        <v>1.2478125</v>
      </c>
      <c r="M412" s="1">
        <f t="shared" si="81"/>
        <v>1.2478125</v>
      </c>
      <c r="N412" s="2">
        <f t="shared" si="75"/>
        <v>13.463561232156275</v>
      </c>
      <c r="O412" s="1">
        <v>1438</v>
      </c>
      <c r="P412" s="1">
        <f t="shared" si="82"/>
        <v>434</v>
      </c>
      <c r="Q412" s="1">
        <f t="shared" si="83"/>
        <v>5.2356926181860075</v>
      </c>
      <c r="R412" s="1">
        <f t="shared" si="84"/>
        <v>1.213830446737568</v>
      </c>
      <c r="S412" s="2">
        <f t="shared" si="85"/>
        <v>5.1516713689112672</v>
      </c>
      <c r="T412" s="2">
        <f t="shared" si="86"/>
        <v>8.9913627368225058E-2</v>
      </c>
      <c r="U412" s="1" t="s">
        <v>2507</v>
      </c>
      <c r="V412" s="6" t="s">
        <v>2505</v>
      </c>
    </row>
    <row r="413" spans="1:22" ht="14.25" customHeight="1" x14ac:dyDescent="0.3">
      <c r="A413" s="1" t="s">
        <v>27</v>
      </c>
      <c r="B413" s="1" t="s">
        <v>850</v>
      </c>
      <c r="C413" s="1" t="s">
        <v>851</v>
      </c>
      <c r="D413" s="1">
        <f t="shared" si="76"/>
        <v>74</v>
      </c>
      <c r="E413" s="1">
        <f t="shared" si="77"/>
        <v>0.33</v>
      </c>
      <c r="F413" s="2">
        <f t="shared" si="78"/>
        <v>462.03919482965864</v>
      </c>
      <c r="G413" s="1">
        <v>2080</v>
      </c>
      <c r="H413" s="1">
        <v>3744</v>
      </c>
      <c r="I413" s="1">
        <v>0</v>
      </c>
      <c r="J413" s="1">
        <v>214</v>
      </c>
      <c r="K413" s="1">
        <f t="shared" si="79"/>
        <v>0</v>
      </c>
      <c r="L413" s="1">
        <f t="shared" si="80"/>
        <v>1.8673557692307692</v>
      </c>
      <c r="M413" s="1">
        <f t="shared" si="81"/>
        <v>1.8673557692307692</v>
      </c>
      <c r="N413" s="2">
        <f t="shared" si="75"/>
        <v>8.9966787672819972</v>
      </c>
      <c r="O413" s="1">
        <v>1437</v>
      </c>
      <c r="P413" s="1">
        <f t="shared" si="82"/>
        <v>435</v>
      </c>
      <c r="Q413" s="1">
        <f t="shared" si="83"/>
        <v>3.4986170299093415</v>
      </c>
      <c r="R413" s="1">
        <f t="shared" si="84"/>
        <v>0.81297991880906173</v>
      </c>
      <c r="S413" s="2">
        <f t="shared" si="85"/>
        <v>5.1634774871401685</v>
      </c>
      <c r="T413" s="2">
        <f t="shared" si="86"/>
        <v>9.0119683003199114E-2</v>
      </c>
      <c r="U413" s="1" t="s">
        <v>2507</v>
      </c>
      <c r="V413" s="6" t="s">
        <v>2505</v>
      </c>
    </row>
    <row r="414" spans="1:22" ht="14.25" customHeight="1" x14ac:dyDescent="0.3">
      <c r="A414" s="1" t="s">
        <v>17</v>
      </c>
      <c r="B414" s="1" t="s">
        <v>852</v>
      </c>
      <c r="C414" s="1" t="s">
        <v>853</v>
      </c>
      <c r="D414" s="1">
        <f t="shared" si="76"/>
        <v>53</v>
      </c>
      <c r="E414" s="1">
        <f t="shared" si="77"/>
        <v>0.88361111111111112</v>
      </c>
      <c r="F414" s="2">
        <f t="shared" si="78"/>
        <v>333.57074457811206</v>
      </c>
      <c r="G414" s="1">
        <v>2080</v>
      </c>
      <c r="H414" s="1">
        <v>3744</v>
      </c>
      <c r="I414" s="1">
        <v>0</v>
      </c>
      <c r="J414" s="1">
        <v>232</v>
      </c>
      <c r="K414" s="1">
        <f t="shared" si="79"/>
        <v>0</v>
      </c>
      <c r="L414" s="1">
        <f t="shared" si="80"/>
        <v>2.0244230769230764</v>
      </c>
      <c r="M414" s="1">
        <f t="shared" si="81"/>
        <v>2.0244230769230764</v>
      </c>
      <c r="N414" s="2">
        <f t="shared" si="75"/>
        <v>8.2986605870618426</v>
      </c>
      <c r="O414" s="1">
        <v>1436</v>
      </c>
      <c r="P414" s="1">
        <f t="shared" si="82"/>
        <v>436</v>
      </c>
      <c r="Q414" s="1">
        <f t="shared" si="83"/>
        <v>3.2271726051749958</v>
      </c>
      <c r="R414" s="1">
        <f t="shared" si="84"/>
        <v>0.75162780761554393</v>
      </c>
      <c r="S414" s="2">
        <f t="shared" si="85"/>
        <v>5.1752831657231528</v>
      </c>
      <c r="T414" s="2">
        <f t="shared" si="86"/>
        <v>9.0325730964904358E-2</v>
      </c>
      <c r="U414" s="1" t="s">
        <v>2507</v>
      </c>
      <c r="V414" s="6" t="s">
        <v>2505</v>
      </c>
    </row>
    <row r="415" spans="1:22" ht="14.25" customHeight="1" x14ac:dyDescent="0.3">
      <c r="A415" s="1" t="s">
        <v>27</v>
      </c>
      <c r="B415" s="1" t="s">
        <v>854</v>
      </c>
      <c r="C415" s="1" t="s">
        <v>855</v>
      </c>
      <c r="D415" s="1">
        <f t="shared" si="76"/>
        <v>51</v>
      </c>
      <c r="E415" s="1">
        <f t="shared" si="77"/>
        <v>0.28023148148148147</v>
      </c>
      <c r="F415" s="2">
        <f t="shared" si="78"/>
        <v>317.21322794021251</v>
      </c>
      <c r="G415" s="1">
        <v>2080</v>
      </c>
      <c r="H415" s="1">
        <v>3744</v>
      </c>
      <c r="I415" s="1">
        <v>0</v>
      </c>
      <c r="J415" s="1">
        <v>482</v>
      </c>
      <c r="K415" s="1">
        <f t="shared" si="79"/>
        <v>0</v>
      </c>
      <c r="L415" s="1">
        <f t="shared" si="80"/>
        <v>4.2059134615384615</v>
      </c>
      <c r="M415" s="1">
        <f t="shared" si="81"/>
        <v>4.2059134615384615</v>
      </c>
      <c r="N415" s="2">
        <f t="shared" si="75"/>
        <v>3.99437605020404</v>
      </c>
      <c r="O415" s="1">
        <v>1435</v>
      </c>
      <c r="P415" s="1">
        <f t="shared" si="82"/>
        <v>437</v>
      </c>
      <c r="Q415" s="1">
        <f t="shared" si="83"/>
        <v>1.5533278929473009</v>
      </c>
      <c r="R415" s="1">
        <f t="shared" si="84"/>
        <v>0.36260912885575347</v>
      </c>
      <c r="S415" s="2">
        <f t="shared" si="85"/>
        <v>5.1870884036823952</v>
      </c>
      <c r="T415" s="2">
        <f t="shared" si="86"/>
        <v>9.0531771236274552E-2</v>
      </c>
      <c r="U415" s="1" t="s">
        <v>2507</v>
      </c>
      <c r="V415" s="6" t="s">
        <v>2505</v>
      </c>
    </row>
    <row r="416" spans="1:22" ht="14.25" customHeight="1" x14ac:dyDescent="0.3">
      <c r="A416" s="1" t="s">
        <v>27</v>
      </c>
      <c r="B416" s="1" t="s">
        <v>856</v>
      </c>
      <c r="C416" s="1" t="s">
        <v>857</v>
      </c>
      <c r="D416" s="1">
        <f t="shared" si="76"/>
        <v>93</v>
      </c>
      <c r="E416" s="1">
        <f t="shared" si="77"/>
        <v>6.5833333333333341E-2</v>
      </c>
      <c r="F416" s="2">
        <f t="shared" si="78"/>
        <v>579.75990754742418</v>
      </c>
      <c r="G416" s="1">
        <v>2080</v>
      </c>
      <c r="H416" s="1">
        <v>3744</v>
      </c>
      <c r="I416" s="1">
        <v>0</v>
      </c>
      <c r="J416" s="1">
        <v>181</v>
      </c>
      <c r="K416" s="1">
        <f t="shared" si="79"/>
        <v>0</v>
      </c>
      <c r="L416" s="1">
        <f t="shared" si="80"/>
        <v>1.5793990384615384</v>
      </c>
      <c r="M416" s="1">
        <f t="shared" si="81"/>
        <v>1.5793990384615384</v>
      </c>
      <c r="N416" s="2">
        <f t="shared" si="75"/>
        <v>10.636957216565454</v>
      </c>
      <c r="O416" s="1">
        <v>1435</v>
      </c>
      <c r="P416" s="1">
        <f t="shared" si="82"/>
        <v>437</v>
      </c>
      <c r="Q416" s="1">
        <f t="shared" si="83"/>
        <v>4.1364864331524807</v>
      </c>
      <c r="R416" s="1">
        <f t="shared" si="84"/>
        <v>0.96562210004681304</v>
      </c>
      <c r="S416" s="2">
        <f t="shared" si="85"/>
        <v>5.1870884036823952</v>
      </c>
      <c r="T416" s="2">
        <f t="shared" si="86"/>
        <v>9.0531771236274552E-2</v>
      </c>
      <c r="U416" s="1" t="s">
        <v>2507</v>
      </c>
      <c r="V416" s="6" t="s">
        <v>2505</v>
      </c>
    </row>
    <row r="417" spans="1:24" ht="14.25" customHeight="1" x14ac:dyDescent="0.3">
      <c r="A417" s="1" t="s">
        <v>40</v>
      </c>
      <c r="B417" s="1" t="s">
        <v>858</v>
      </c>
      <c r="C417" s="1" t="s">
        <v>640</v>
      </c>
      <c r="D417" s="1">
        <f t="shared" si="76"/>
        <v>8</v>
      </c>
      <c r="E417" s="1">
        <f t="shared" si="77"/>
        <v>0.9644328703703704</v>
      </c>
      <c r="F417" s="2">
        <f t="shared" si="78"/>
        <v>51.335223845308832</v>
      </c>
      <c r="G417" s="1">
        <v>2080</v>
      </c>
      <c r="H417" s="1">
        <v>3744</v>
      </c>
      <c r="I417" s="1">
        <v>0</v>
      </c>
      <c r="J417" s="1">
        <v>104</v>
      </c>
      <c r="K417" s="1">
        <f t="shared" si="79"/>
        <v>0</v>
      </c>
      <c r="L417" s="1">
        <f t="shared" si="80"/>
        <v>0.90749999999999997</v>
      </c>
      <c r="M417" s="1">
        <f t="shared" si="81"/>
        <v>0.90749999999999997</v>
      </c>
      <c r="N417" s="2">
        <f t="shared" si="75"/>
        <v>18.512396694214878</v>
      </c>
      <c r="O417" s="1">
        <v>1434</v>
      </c>
      <c r="P417" s="1">
        <f t="shared" si="82"/>
        <v>438</v>
      </c>
      <c r="Q417" s="1">
        <f t="shared" si="83"/>
        <v>7.1990773500057594</v>
      </c>
      <c r="R417" s="1">
        <f t="shared" si="84"/>
        <v>1.6843995081744245</v>
      </c>
      <c r="S417" s="2">
        <f t="shared" si="85"/>
        <v>5.1988932000402928</v>
      </c>
      <c r="T417" s="2">
        <f t="shared" si="86"/>
        <v>9.0737803800247305E-2</v>
      </c>
      <c r="U417" s="1" t="s">
        <v>2507</v>
      </c>
      <c r="V417" s="6" t="s">
        <v>2505</v>
      </c>
    </row>
    <row r="418" spans="1:24" ht="14.25" customHeight="1" x14ac:dyDescent="0.3">
      <c r="A418" s="1" t="s">
        <v>20</v>
      </c>
      <c r="B418" s="1" t="s">
        <v>859</v>
      </c>
      <c r="C418" s="1" t="s">
        <v>860</v>
      </c>
      <c r="D418" s="1">
        <f t="shared" si="76"/>
        <v>77</v>
      </c>
      <c r="E418" s="1">
        <f t="shared" si="77"/>
        <v>0.18092592592592593</v>
      </c>
      <c r="F418" s="2">
        <f t="shared" si="78"/>
        <v>479.95209071929378</v>
      </c>
      <c r="G418" s="1">
        <v>2080</v>
      </c>
      <c r="H418" s="1">
        <v>3744</v>
      </c>
      <c r="I418" s="1">
        <v>0</v>
      </c>
      <c r="J418" s="1">
        <v>197</v>
      </c>
      <c r="K418" s="1">
        <f t="shared" si="79"/>
        <v>0</v>
      </c>
      <c r="L418" s="1">
        <f t="shared" si="80"/>
        <v>1.7190144230769229</v>
      </c>
      <c r="M418" s="1">
        <f t="shared" si="81"/>
        <v>1.7190144230769229</v>
      </c>
      <c r="N418" s="2">
        <f t="shared" si="75"/>
        <v>9.7730419096362819</v>
      </c>
      <c r="O418" s="1">
        <v>1434</v>
      </c>
      <c r="P418" s="1">
        <f t="shared" si="82"/>
        <v>438</v>
      </c>
      <c r="Q418" s="1">
        <f t="shared" si="83"/>
        <v>3.8005281441654777</v>
      </c>
      <c r="R418" s="1">
        <f t="shared" si="84"/>
        <v>0.88922613629512781</v>
      </c>
      <c r="S418" s="2">
        <f t="shared" si="85"/>
        <v>5.1988932000402928</v>
      </c>
      <c r="T418" s="2">
        <f t="shared" si="86"/>
        <v>9.0737803800247305E-2</v>
      </c>
      <c r="U418" s="1" t="s">
        <v>2507</v>
      </c>
      <c r="V418" s="6" t="s">
        <v>2505</v>
      </c>
    </row>
    <row r="419" spans="1:24" ht="14.25" customHeight="1" x14ac:dyDescent="0.3">
      <c r="A419" s="1" t="s">
        <v>27</v>
      </c>
      <c r="B419" s="1" t="s">
        <v>861</v>
      </c>
      <c r="C419" s="1" t="s">
        <v>862</v>
      </c>
      <c r="D419" s="1">
        <f t="shared" si="76"/>
        <v>48</v>
      </c>
      <c r="E419" s="1">
        <f t="shared" si="77"/>
        <v>0.73701388888888886</v>
      </c>
      <c r="F419" s="2">
        <f t="shared" si="78"/>
        <v>301.23372052947411</v>
      </c>
      <c r="G419" s="1">
        <v>2080</v>
      </c>
      <c r="H419" s="1">
        <v>3744</v>
      </c>
      <c r="I419" s="1">
        <v>0</v>
      </c>
      <c r="J419" s="1">
        <v>117</v>
      </c>
      <c r="K419" s="1">
        <f t="shared" si="79"/>
        <v>0</v>
      </c>
      <c r="L419" s="1">
        <f t="shared" si="80"/>
        <v>1.0209374999999998</v>
      </c>
      <c r="M419" s="1">
        <f t="shared" si="81"/>
        <v>1.0209374999999998</v>
      </c>
      <c r="N419" s="2">
        <f t="shared" si="75"/>
        <v>16.455463728191003</v>
      </c>
      <c r="O419" s="1">
        <v>1432</v>
      </c>
      <c r="P419" s="1">
        <f t="shared" si="82"/>
        <v>440</v>
      </c>
      <c r="Q419" s="1">
        <f t="shared" si="83"/>
        <v>6.3991798666717861</v>
      </c>
      <c r="R419" s="1">
        <f t="shared" si="84"/>
        <v>1.5040807378929411</v>
      </c>
      <c r="S419" s="2">
        <f t="shared" si="85"/>
        <v>5.2225014640427636</v>
      </c>
      <c r="T419" s="2">
        <f t="shared" si="86"/>
        <v>9.1149845737770477E-2</v>
      </c>
      <c r="U419" s="1" t="s">
        <v>2507</v>
      </c>
      <c r="V419" s="6" t="s">
        <v>2505</v>
      </c>
    </row>
    <row r="420" spans="1:24" ht="14.25" customHeight="1" x14ac:dyDescent="0.3">
      <c r="A420" s="1" t="s">
        <v>40</v>
      </c>
      <c r="B420" s="1" t="s">
        <v>863</v>
      </c>
      <c r="C420" s="1" t="s">
        <v>864</v>
      </c>
      <c r="D420" s="1">
        <f t="shared" si="76"/>
        <v>8</v>
      </c>
      <c r="E420" s="1">
        <f t="shared" si="77"/>
        <v>0.86723379629629627</v>
      </c>
      <c r="F420" s="2">
        <f t="shared" si="78"/>
        <v>50.724504051215156</v>
      </c>
      <c r="G420" s="1">
        <v>2080</v>
      </c>
      <c r="H420" s="1">
        <v>3744</v>
      </c>
      <c r="I420" s="1">
        <v>0</v>
      </c>
      <c r="J420" s="1">
        <v>144</v>
      </c>
      <c r="K420" s="1">
        <f t="shared" si="79"/>
        <v>0</v>
      </c>
      <c r="L420" s="1">
        <f t="shared" si="80"/>
        <v>1.2565384615384616</v>
      </c>
      <c r="M420" s="1">
        <f t="shared" si="81"/>
        <v>1.2565384615384616</v>
      </c>
      <c r="N420" s="2">
        <f t="shared" si="75"/>
        <v>13.370064279155189</v>
      </c>
      <c r="O420" s="1">
        <v>1432</v>
      </c>
      <c r="P420" s="1">
        <f t="shared" si="82"/>
        <v>440</v>
      </c>
      <c r="Q420" s="1">
        <f t="shared" si="83"/>
        <v>5.199333641670826</v>
      </c>
      <c r="R420" s="1">
        <f t="shared" si="84"/>
        <v>1.2220655995380147</v>
      </c>
      <c r="S420" s="2">
        <f t="shared" si="85"/>
        <v>5.2225014640427645</v>
      </c>
      <c r="T420" s="2">
        <f t="shared" si="86"/>
        <v>9.1149845737770491E-2</v>
      </c>
      <c r="U420" s="1" t="s">
        <v>2507</v>
      </c>
      <c r="V420" s="6" t="s">
        <v>2505</v>
      </c>
    </row>
    <row r="421" spans="1:24" ht="14.25" customHeight="1" x14ac:dyDescent="0.3">
      <c r="A421" s="1" t="s">
        <v>65</v>
      </c>
      <c r="B421" s="1" t="s">
        <v>785</v>
      </c>
      <c r="C421" s="1" t="s">
        <v>786</v>
      </c>
      <c r="D421" s="1">
        <f t="shared" si="76"/>
        <v>43</v>
      </c>
      <c r="E421" s="1">
        <f t="shared" si="77"/>
        <v>0.74708333333333332</v>
      </c>
      <c r="F421" s="2">
        <f t="shared" si="78"/>
        <v>269.88106217896097</v>
      </c>
      <c r="G421" s="1">
        <v>2080</v>
      </c>
      <c r="H421" s="1">
        <v>3744</v>
      </c>
      <c r="I421" s="1">
        <v>0</v>
      </c>
      <c r="J421" s="1">
        <v>768</v>
      </c>
      <c r="K421" s="1">
        <f t="shared" si="79"/>
        <v>0</v>
      </c>
      <c r="L421" s="1">
        <f t="shared" si="80"/>
        <v>6.701538461538461</v>
      </c>
      <c r="M421" s="1">
        <f t="shared" si="81"/>
        <v>6.701538461538461</v>
      </c>
      <c r="N421" s="2">
        <f t="shared" si="75"/>
        <v>2.506887052341598</v>
      </c>
      <c r="O421" s="1">
        <v>1431</v>
      </c>
      <c r="P421" s="1">
        <f t="shared" si="82"/>
        <v>441</v>
      </c>
      <c r="Q421" s="1">
        <f t="shared" si="83"/>
        <v>0.97487505781327999</v>
      </c>
      <c r="R421" s="1">
        <f t="shared" si="84"/>
        <v>0.22965806650408999</v>
      </c>
      <c r="S421" s="2">
        <f t="shared" si="85"/>
        <v>5.2343049297332511</v>
      </c>
      <c r="T421" s="2">
        <f t="shared" si="86"/>
        <v>9.1355855077215664E-2</v>
      </c>
      <c r="U421" s="1" t="s">
        <v>2507</v>
      </c>
      <c r="V421" s="6" t="s">
        <v>2505</v>
      </c>
      <c r="W421" s="1"/>
      <c r="X421" s="1"/>
    </row>
    <row r="422" spans="1:24" ht="14.25" customHeight="1" x14ac:dyDescent="0.3">
      <c r="A422" s="1" t="s">
        <v>40</v>
      </c>
      <c r="B422" s="1" t="s">
        <v>865</v>
      </c>
      <c r="C422" s="1" t="s">
        <v>866</v>
      </c>
      <c r="D422" s="1">
        <f t="shared" si="76"/>
        <v>76</v>
      </c>
      <c r="E422" s="1">
        <f t="shared" si="77"/>
        <v>0.99011574074074071</v>
      </c>
      <c r="F422" s="2">
        <f t="shared" si="78"/>
        <v>478.75319496727798</v>
      </c>
      <c r="G422" s="1">
        <v>2080</v>
      </c>
      <c r="H422" s="1">
        <v>3744</v>
      </c>
      <c r="I422" s="1">
        <v>0</v>
      </c>
      <c r="J422" s="1">
        <v>168</v>
      </c>
      <c r="K422" s="1">
        <f t="shared" si="79"/>
        <v>0</v>
      </c>
      <c r="L422" s="1">
        <f t="shared" si="80"/>
        <v>1.4659615384615383</v>
      </c>
      <c r="M422" s="1">
        <f t="shared" si="81"/>
        <v>1.4659615384615383</v>
      </c>
      <c r="N422" s="2">
        <f t="shared" si="75"/>
        <v>11.460055096418735</v>
      </c>
      <c r="O422" s="1">
        <v>1430</v>
      </c>
      <c r="P422" s="1">
        <f t="shared" si="82"/>
        <v>442</v>
      </c>
      <c r="Q422" s="1">
        <f t="shared" si="83"/>
        <v>4.4565716928607086</v>
      </c>
      <c r="R422" s="1">
        <f t="shared" si="84"/>
        <v>1.0522460941476672</v>
      </c>
      <c r="S422" s="2">
        <f t="shared" si="85"/>
        <v>5.2461079499142205</v>
      </c>
      <c r="T422" s="2">
        <f t="shared" si="86"/>
        <v>9.1561856641052916E-2</v>
      </c>
      <c r="U422" s="1" t="s">
        <v>2507</v>
      </c>
      <c r="V422" s="6" t="s">
        <v>2505</v>
      </c>
    </row>
    <row r="423" spans="1:24" ht="14.25" customHeight="1" x14ac:dyDescent="0.3">
      <c r="A423" s="1" t="s">
        <v>30</v>
      </c>
      <c r="B423" s="1" t="s">
        <v>867</v>
      </c>
      <c r="C423" s="1" t="s">
        <v>868</v>
      </c>
      <c r="D423" s="1">
        <f t="shared" si="76"/>
        <v>78</v>
      </c>
      <c r="E423" s="1">
        <f t="shared" si="77"/>
        <v>0.22575231481481481</v>
      </c>
      <c r="F423" s="2">
        <f t="shared" si="78"/>
        <v>486.51692853451397</v>
      </c>
      <c r="G423" s="1">
        <v>2080</v>
      </c>
      <c r="H423" s="1">
        <v>3744</v>
      </c>
      <c r="I423" s="1">
        <v>0</v>
      </c>
      <c r="J423" s="1">
        <v>148</v>
      </c>
      <c r="K423" s="1">
        <f t="shared" si="79"/>
        <v>0</v>
      </c>
      <c r="L423" s="1">
        <f t="shared" si="80"/>
        <v>1.2914423076923076</v>
      </c>
      <c r="M423" s="1">
        <f t="shared" si="81"/>
        <v>1.2914423076923076</v>
      </c>
      <c r="N423" s="2">
        <f t="shared" si="75"/>
        <v>13.008711190529374</v>
      </c>
      <c r="O423" s="1">
        <v>1429</v>
      </c>
      <c r="P423" s="1">
        <f t="shared" si="82"/>
        <v>443</v>
      </c>
      <c r="Q423" s="1">
        <f t="shared" si="83"/>
        <v>5.0588111108148581</v>
      </c>
      <c r="R423" s="1">
        <f t="shared" si="84"/>
        <v>1.1971438686383451</v>
      </c>
      <c r="S423" s="2">
        <f t="shared" si="85"/>
        <v>5.2579105236091914</v>
      </c>
      <c r="T423" s="2">
        <f t="shared" si="86"/>
        <v>9.1767850412239435E-2</v>
      </c>
      <c r="U423" s="1" t="s">
        <v>2507</v>
      </c>
      <c r="V423" s="6" t="s">
        <v>2505</v>
      </c>
    </row>
    <row r="424" spans="1:24" ht="14.25" customHeight="1" x14ac:dyDescent="0.3">
      <c r="A424" s="1" t="s">
        <v>17</v>
      </c>
      <c r="B424" s="1" t="s">
        <v>869</v>
      </c>
      <c r="C424" s="1" t="s">
        <v>870</v>
      </c>
      <c r="D424" s="1">
        <f t="shared" si="76"/>
        <v>62</v>
      </c>
      <c r="E424" s="1">
        <f t="shared" si="77"/>
        <v>0.36282407407407408</v>
      </c>
      <c r="F424" s="2">
        <f t="shared" si="78"/>
        <v>386.84721088344764</v>
      </c>
      <c r="G424" s="1">
        <v>2080</v>
      </c>
      <c r="H424" s="1">
        <v>3744</v>
      </c>
      <c r="I424" s="1">
        <v>0</v>
      </c>
      <c r="J424" s="1">
        <v>234</v>
      </c>
      <c r="K424" s="1">
        <f t="shared" si="79"/>
        <v>0</v>
      </c>
      <c r="L424" s="1">
        <f t="shared" si="80"/>
        <v>2.0418749999999997</v>
      </c>
      <c r="M424" s="1">
        <f t="shared" si="81"/>
        <v>2.0418749999999997</v>
      </c>
      <c r="N424" s="2">
        <f t="shared" si="75"/>
        <v>8.2277318640955013</v>
      </c>
      <c r="O424" s="1">
        <v>1428</v>
      </c>
      <c r="P424" s="1">
        <f t="shared" si="82"/>
        <v>444</v>
      </c>
      <c r="Q424" s="1">
        <f t="shared" si="83"/>
        <v>3.199589933335893</v>
      </c>
      <c r="R424" s="1">
        <f t="shared" si="84"/>
        <v>0.75887709957325666</v>
      </c>
      <c r="S424" s="2">
        <f t="shared" si="85"/>
        <v>5.2697126498419076</v>
      </c>
      <c r="T424" s="2">
        <f t="shared" si="86"/>
        <v>9.1973836373736323E-2</v>
      </c>
      <c r="U424" s="1" t="s">
        <v>2507</v>
      </c>
      <c r="V424" s="6" t="s">
        <v>2505</v>
      </c>
    </row>
    <row r="425" spans="1:24" ht="14.25" customHeight="1" x14ac:dyDescent="0.3">
      <c r="A425" s="1" t="s">
        <v>27</v>
      </c>
      <c r="B425" s="1" t="s">
        <v>871</v>
      </c>
      <c r="C425" s="1" t="s">
        <v>872</v>
      </c>
      <c r="D425" s="1">
        <f t="shared" si="76"/>
        <v>88</v>
      </c>
      <c r="E425" s="1">
        <f t="shared" si="77"/>
        <v>0.33744212962962966</v>
      </c>
      <c r="F425" s="2">
        <f t="shared" si="78"/>
        <v>550.05054940971593</v>
      </c>
      <c r="G425" s="1">
        <v>2080</v>
      </c>
      <c r="H425" s="1">
        <v>3744</v>
      </c>
      <c r="I425" s="1">
        <v>0</v>
      </c>
      <c r="J425" s="1">
        <v>181</v>
      </c>
      <c r="K425" s="1">
        <f t="shared" si="79"/>
        <v>0</v>
      </c>
      <c r="L425" s="1">
        <f t="shared" si="80"/>
        <v>1.5793990384615384</v>
      </c>
      <c r="M425" s="1">
        <f t="shared" si="81"/>
        <v>1.5793990384615384</v>
      </c>
      <c r="N425" s="2">
        <f t="shared" si="75"/>
        <v>10.636957216565454</v>
      </c>
      <c r="O425" s="1">
        <v>1428</v>
      </c>
      <c r="P425" s="1">
        <f t="shared" si="82"/>
        <v>444</v>
      </c>
      <c r="Q425" s="1">
        <f t="shared" si="83"/>
        <v>4.1364864331524807</v>
      </c>
      <c r="R425" s="1">
        <f t="shared" si="84"/>
        <v>0.9810897309400114</v>
      </c>
      <c r="S425" s="2">
        <f t="shared" si="85"/>
        <v>5.2697126498419076</v>
      </c>
      <c r="T425" s="2">
        <f t="shared" si="86"/>
        <v>9.1973836373736323E-2</v>
      </c>
      <c r="U425" s="1" t="s">
        <v>2507</v>
      </c>
      <c r="V425" s="6" t="s">
        <v>2505</v>
      </c>
    </row>
    <row r="426" spans="1:24" ht="14.25" customHeight="1" x14ac:dyDescent="0.3">
      <c r="A426" s="1" t="s">
        <v>27</v>
      </c>
      <c r="B426" s="1" t="s">
        <v>873</v>
      </c>
      <c r="C426" s="1" t="s">
        <v>874</v>
      </c>
      <c r="D426" s="1">
        <f t="shared" si="76"/>
        <v>38</v>
      </c>
      <c r="E426" s="1">
        <f t="shared" si="77"/>
        <v>0.74299768518518527</v>
      </c>
      <c r="F426" s="2">
        <f t="shared" si="78"/>
        <v>238.43946475864828</v>
      </c>
      <c r="G426" s="1">
        <v>2080</v>
      </c>
      <c r="H426" s="1">
        <v>3744</v>
      </c>
      <c r="I426" s="1">
        <v>0</v>
      </c>
      <c r="J426" s="1">
        <v>97</v>
      </c>
      <c r="K426" s="1">
        <f t="shared" si="79"/>
        <v>0</v>
      </c>
      <c r="L426" s="1">
        <f t="shared" si="80"/>
        <v>0.84641826923076924</v>
      </c>
      <c r="M426" s="1">
        <f t="shared" si="81"/>
        <v>0.84641826923076924</v>
      </c>
      <c r="N426" s="2">
        <f t="shared" si="75"/>
        <v>19.84834284740564</v>
      </c>
      <c r="O426" s="1">
        <v>1428</v>
      </c>
      <c r="P426" s="1">
        <f t="shared" si="82"/>
        <v>444</v>
      </c>
      <c r="Q426" s="1">
        <f t="shared" si="83"/>
        <v>7.7185983958824629</v>
      </c>
      <c r="R426" s="1">
        <f t="shared" si="84"/>
        <v>1.8306932092798149</v>
      </c>
      <c r="S426" s="2">
        <f t="shared" si="85"/>
        <v>5.2697126498419085</v>
      </c>
      <c r="T426" s="2">
        <f t="shared" si="86"/>
        <v>9.1973836373736337E-2</v>
      </c>
      <c r="U426" s="1" t="s">
        <v>2507</v>
      </c>
      <c r="V426" s="6" t="s">
        <v>2505</v>
      </c>
    </row>
    <row r="427" spans="1:24" ht="14.25" customHeight="1" x14ac:dyDescent="0.3">
      <c r="A427" s="1" t="s">
        <v>27</v>
      </c>
      <c r="B427" s="1" t="s">
        <v>875</v>
      </c>
      <c r="C427" s="1" t="s">
        <v>876</v>
      </c>
      <c r="D427" s="1">
        <f t="shared" si="76"/>
        <v>87</v>
      </c>
      <c r="E427" s="1">
        <f t="shared" si="77"/>
        <v>0.78119212962962958</v>
      </c>
      <c r="F427" s="2">
        <f t="shared" si="78"/>
        <v>546.55552758259728</v>
      </c>
      <c r="G427" s="1">
        <v>2080</v>
      </c>
      <c r="H427" s="1">
        <v>3744</v>
      </c>
      <c r="I427" s="1">
        <v>0</v>
      </c>
      <c r="J427" s="1">
        <v>217</v>
      </c>
      <c r="K427" s="1">
        <f t="shared" si="79"/>
        <v>0</v>
      </c>
      <c r="L427" s="1">
        <f t="shared" si="80"/>
        <v>1.8935336538461538</v>
      </c>
      <c r="M427" s="1">
        <f t="shared" si="81"/>
        <v>1.8935336538461538</v>
      </c>
      <c r="N427" s="2">
        <f t="shared" si="75"/>
        <v>8.8723007198080523</v>
      </c>
      <c r="O427" s="1">
        <v>1426</v>
      </c>
      <c r="P427" s="1">
        <f t="shared" si="82"/>
        <v>446</v>
      </c>
      <c r="Q427" s="1">
        <f t="shared" si="83"/>
        <v>3.4502490525373228</v>
      </c>
      <c r="R427" s="1">
        <f t="shared" si="84"/>
        <v>0.82201446443998183</v>
      </c>
      <c r="S427" s="2">
        <f t="shared" si="85"/>
        <v>5.2933155560166787</v>
      </c>
      <c r="T427" s="2">
        <f t="shared" si="86"/>
        <v>9.2385784799525389E-2</v>
      </c>
      <c r="U427" s="1" t="s">
        <v>2507</v>
      </c>
      <c r="V427" s="6" t="s">
        <v>2505</v>
      </c>
      <c r="W427" s="1"/>
      <c r="X427" s="1"/>
    </row>
    <row r="428" spans="1:24" ht="14.25" customHeight="1" x14ac:dyDescent="0.3">
      <c r="A428" s="1" t="s">
        <v>40</v>
      </c>
      <c r="B428" s="1" t="s">
        <v>877</v>
      </c>
      <c r="C428" s="1" t="s">
        <v>878</v>
      </c>
      <c r="D428" s="1">
        <f t="shared" si="76"/>
        <v>6</v>
      </c>
      <c r="E428" s="1">
        <f t="shared" si="77"/>
        <v>0.98959490740740741</v>
      </c>
      <c r="F428" s="2">
        <f t="shared" si="78"/>
        <v>38.926950972359478</v>
      </c>
      <c r="G428" s="1">
        <v>2080</v>
      </c>
      <c r="H428" s="1">
        <v>3744</v>
      </c>
      <c r="I428" s="1">
        <v>0</v>
      </c>
      <c r="J428" s="1">
        <v>125</v>
      </c>
      <c r="K428" s="1">
        <f t="shared" si="79"/>
        <v>0</v>
      </c>
      <c r="L428" s="1">
        <f t="shared" si="80"/>
        <v>1.0907451923076923</v>
      </c>
      <c r="M428" s="1">
        <f t="shared" si="81"/>
        <v>1.0907451923076923</v>
      </c>
      <c r="N428" s="2">
        <f t="shared" si="75"/>
        <v>15.402314049586778</v>
      </c>
      <c r="O428" s="1">
        <v>1425</v>
      </c>
      <c r="P428" s="1">
        <f t="shared" si="82"/>
        <v>447</v>
      </c>
      <c r="Q428" s="1">
        <f t="shared" si="83"/>
        <v>5.9896323552047921</v>
      </c>
      <c r="R428" s="1">
        <f t="shared" si="84"/>
        <v>1.4302167002011443</v>
      </c>
      <c r="S428" s="2">
        <f t="shared" si="85"/>
        <v>5.3051163340073524</v>
      </c>
      <c r="T428" s="2">
        <f t="shared" si="86"/>
        <v>9.2591747229759519E-2</v>
      </c>
      <c r="U428" s="1" t="s">
        <v>2507</v>
      </c>
      <c r="V428" s="6" t="s">
        <v>2505</v>
      </c>
    </row>
    <row r="429" spans="1:24" ht="14.25" customHeight="1" x14ac:dyDescent="0.3">
      <c r="A429" s="1" t="s">
        <v>17</v>
      </c>
      <c r="B429" s="1" t="s">
        <v>879</v>
      </c>
      <c r="C429" s="1" t="s">
        <v>880</v>
      </c>
      <c r="D429" s="1">
        <f t="shared" si="76"/>
        <v>10</v>
      </c>
      <c r="E429" s="1">
        <f t="shared" si="77"/>
        <v>0.24969907407407407</v>
      </c>
      <c r="F429" s="2">
        <f t="shared" si="78"/>
        <v>59.410789572234428</v>
      </c>
      <c r="G429" s="1">
        <v>2080</v>
      </c>
      <c r="H429" s="1">
        <v>3744</v>
      </c>
      <c r="I429" s="1">
        <v>0</v>
      </c>
      <c r="J429" s="1">
        <v>238</v>
      </c>
      <c r="K429" s="1">
        <f t="shared" si="79"/>
        <v>0</v>
      </c>
      <c r="L429" s="1">
        <f t="shared" si="80"/>
        <v>2.0767788461538461</v>
      </c>
      <c r="M429" s="1">
        <f t="shared" si="81"/>
        <v>2.0767788461538461</v>
      </c>
      <c r="N429" s="2">
        <f t="shared" si="75"/>
        <v>8.0894506562955772</v>
      </c>
      <c r="O429" s="1">
        <v>1425</v>
      </c>
      <c r="P429" s="1">
        <f t="shared" si="82"/>
        <v>447</v>
      </c>
      <c r="Q429" s="1">
        <f t="shared" si="83"/>
        <v>3.1458153126075588</v>
      </c>
      <c r="R429" s="1">
        <f t="shared" si="84"/>
        <v>0.75116423329892035</v>
      </c>
      <c r="S429" s="2">
        <f t="shared" si="85"/>
        <v>5.3051163340073524</v>
      </c>
      <c r="T429" s="2">
        <f t="shared" si="86"/>
        <v>9.2591747229759519E-2</v>
      </c>
      <c r="U429" s="1" t="s">
        <v>2507</v>
      </c>
      <c r="V429" s="6" t="s">
        <v>2505</v>
      </c>
    </row>
    <row r="430" spans="1:24" ht="14.25" customHeight="1" x14ac:dyDescent="0.3">
      <c r="A430" s="1" t="s">
        <v>881</v>
      </c>
      <c r="B430" s="1" t="s">
        <v>882</v>
      </c>
      <c r="C430" s="1" t="s">
        <v>883</v>
      </c>
      <c r="D430" s="1">
        <f t="shared" si="76"/>
        <v>89</v>
      </c>
      <c r="E430" s="1">
        <f t="shared" si="77"/>
        <v>0.72312500000000002</v>
      </c>
      <c r="F430" s="2">
        <f t="shared" si="78"/>
        <v>558.75705166123737</v>
      </c>
      <c r="G430" s="1">
        <v>2080</v>
      </c>
      <c r="H430" s="1">
        <v>3744</v>
      </c>
      <c r="I430" s="1">
        <v>0</v>
      </c>
      <c r="J430" s="1">
        <v>328</v>
      </c>
      <c r="K430" s="1">
        <f t="shared" si="79"/>
        <v>0</v>
      </c>
      <c r="L430" s="1">
        <f t="shared" si="80"/>
        <v>2.8621153846153846</v>
      </c>
      <c r="M430" s="1">
        <f t="shared" si="81"/>
        <v>2.8621153846153846</v>
      </c>
      <c r="N430" s="2">
        <f t="shared" si="75"/>
        <v>5.8697843176778877</v>
      </c>
      <c r="O430" s="1">
        <v>1424</v>
      </c>
      <c r="P430" s="1">
        <f t="shared" si="82"/>
        <v>448</v>
      </c>
      <c r="Q430" s="1">
        <f t="shared" si="83"/>
        <v>2.282634281709143</v>
      </c>
      <c r="R430" s="1">
        <f t="shared" si="84"/>
        <v>0.54627145203295735</v>
      </c>
      <c r="S430" s="2">
        <f t="shared" si="85"/>
        <v>5.3169166606330078</v>
      </c>
      <c r="T430" s="2">
        <f t="shared" si="86"/>
        <v>9.2797701782187964E-2</v>
      </c>
      <c r="U430" s="1" t="s">
        <v>2507</v>
      </c>
      <c r="V430" s="6" t="s">
        <v>2505</v>
      </c>
    </row>
    <row r="431" spans="1:24" ht="14.25" customHeight="1" x14ac:dyDescent="0.3">
      <c r="A431" s="1" t="s">
        <v>27</v>
      </c>
      <c r="B431" s="1" t="s">
        <v>884</v>
      </c>
      <c r="C431" s="1" t="s">
        <v>885</v>
      </c>
      <c r="D431" s="1">
        <f t="shared" si="76"/>
        <v>21</v>
      </c>
      <c r="E431" s="1">
        <f t="shared" si="77"/>
        <v>1.0925925925925924E-2</v>
      </c>
      <c r="F431" s="2">
        <f t="shared" si="78"/>
        <v>127.02557201501641</v>
      </c>
      <c r="G431" s="1">
        <v>2080</v>
      </c>
      <c r="H431" s="1">
        <v>3744</v>
      </c>
      <c r="I431" s="1">
        <v>0</v>
      </c>
      <c r="J431" s="1">
        <v>222</v>
      </c>
      <c r="K431" s="1">
        <f t="shared" si="79"/>
        <v>0</v>
      </c>
      <c r="L431" s="1">
        <f t="shared" si="80"/>
        <v>1.9371634615384614</v>
      </c>
      <c r="M431" s="1">
        <f t="shared" si="81"/>
        <v>1.9371634615384614</v>
      </c>
      <c r="N431" s="2">
        <f t="shared" si="75"/>
        <v>8.6724741270195818</v>
      </c>
      <c r="O431" s="1">
        <v>1423</v>
      </c>
      <c r="P431" s="1">
        <f t="shared" si="82"/>
        <v>449</v>
      </c>
      <c r="Q431" s="1">
        <f t="shared" si="83"/>
        <v>3.3725407405432386</v>
      </c>
      <c r="R431" s="1">
        <f t="shared" si="84"/>
        <v>0.80890533787602259</v>
      </c>
      <c r="S431" s="2">
        <f t="shared" si="85"/>
        <v>5.3287165349185273</v>
      </c>
      <c r="T431" s="2">
        <f t="shared" si="86"/>
        <v>9.3003648439791683E-2</v>
      </c>
      <c r="U431" s="1" t="s">
        <v>2507</v>
      </c>
      <c r="V431" s="6" t="s">
        <v>2505</v>
      </c>
    </row>
    <row r="432" spans="1:24" ht="14.25" customHeight="1" x14ac:dyDescent="0.3">
      <c r="A432" s="1" t="s">
        <v>82</v>
      </c>
      <c r="B432" s="1" t="s">
        <v>886</v>
      </c>
      <c r="C432" s="1" t="s">
        <v>887</v>
      </c>
      <c r="D432" s="1">
        <f t="shared" si="76"/>
        <v>14</v>
      </c>
      <c r="E432" s="1">
        <f t="shared" si="77"/>
        <v>0.39653935185185185</v>
      </c>
      <c r="F432" s="2">
        <f t="shared" si="78"/>
        <v>85.466155476788273</v>
      </c>
      <c r="G432" s="1">
        <v>2080</v>
      </c>
      <c r="H432" s="1">
        <v>3744</v>
      </c>
      <c r="I432" s="1">
        <v>0</v>
      </c>
      <c r="J432" s="1">
        <v>697</v>
      </c>
      <c r="K432" s="1">
        <f t="shared" si="79"/>
        <v>0</v>
      </c>
      <c r="L432" s="1">
        <f t="shared" si="80"/>
        <v>6.0819951923076916</v>
      </c>
      <c r="M432" s="1">
        <f t="shared" si="81"/>
        <v>6.0819951923076916</v>
      </c>
      <c r="N432" s="2">
        <f t="shared" si="75"/>
        <v>2.762251443613124</v>
      </c>
      <c r="O432" s="1">
        <v>1422</v>
      </c>
      <c r="P432" s="1">
        <f t="shared" si="82"/>
        <v>450</v>
      </c>
      <c r="Q432" s="1">
        <f t="shared" si="83"/>
        <v>1.0741808384513616</v>
      </c>
      <c r="R432" s="1">
        <f t="shared" si="84"/>
        <v>0.25821654770465424</v>
      </c>
      <c r="S432" s="2">
        <f t="shared" si="85"/>
        <v>5.3405159558890096</v>
      </c>
      <c r="T432" s="2">
        <f t="shared" si="86"/>
        <v>9.320958718555547E-2</v>
      </c>
      <c r="U432" s="1" t="s">
        <v>2507</v>
      </c>
      <c r="V432" s="6" t="s">
        <v>2505</v>
      </c>
    </row>
    <row r="433" spans="1:22" ht="14.25" customHeight="1" x14ac:dyDescent="0.3">
      <c r="A433" s="1" t="s">
        <v>27</v>
      </c>
      <c r="B433" s="1" t="s">
        <v>888</v>
      </c>
      <c r="C433" s="1" t="s">
        <v>889</v>
      </c>
      <c r="D433" s="1">
        <f t="shared" si="76"/>
        <v>86</v>
      </c>
      <c r="E433" s="1">
        <f t="shared" si="77"/>
        <v>0.93232638888888886</v>
      </c>
      <c r="F433" s="2">
        <f t="shared" si="78"/>
        <v>541.22194683260693</v>
      </c>
      <c r="G433" s="1">
        <v>2080</v>
      </c>
      <c r="H433" s="1">
        <v>3744</v>
      </c>
      <c r="I433" s="1">
        <v>0</v>
      </c>
      <c r="J433" s="1">
        <v>179</v>
      </c>
      <c r="K433" s="1">
        <f t="shared" si="79"/>
        <v>0</v>
      </c>
      <c r="L433" s="1">
        <f t="shared" si="80"/>
        <v>1.5619471153846154</v>
      </c>
      <c r="M433" s="1">
        <f t="shared" si="81"/>
        <v>1.5619471153846154</v>
      </c>
      <c r="N433" s="2">
        <f t="shared" si="75"/>
        <v>10.755805900549426</v>
      </c>
      <c r="O433" s="1">
        <v>1419</v>
      </c>
      <c r="P433" s="1">
        <f t="shared" si="82"/>
        <v>453</v>
      </c>
      <c r="Q433" s="1">
        <f t="shared" si="83"/>
        <v>4.1827041586625642</v>
      </c>
      <c r="R433" s="1">
        <f t="shared" si="84"/>
        <v>1.0121607819840499</v>
      </c>
      <c r="S433" s="2">
        <f t="shared" si="85"/>
        <v>5.3759114891647561</v>
      </c>
      <c r="T433" s="2">
        <f t="shared" si="86"/>
        <v>9.3827355781716457E-2</v>
      </c>
      <c r="U433" s="1" t="s">
        <v>2507</v>
      </c>
      <c r="V433" s="6" t="s">
        <v>2505</v>
      </c>
    </row>
    <row r="434" spans="1:22" ht="14.25" customHeight="1" x14ac:dyDescent="0.3">
      <c r="A434" s="1" t="s">
        <v>82</v>
      </c>
      <c r="B434" s="1" t="s">
        <v>890</v>
      </c>
      <c r="C434" s="1" t="s">
        <v>891</v>
      </c>
      <c r="D434" s="1">
        <f t="shared" si="76"/>
        <v>14</v>
      </c>
      <c r="E434" s="1">
        <f t="shared" si="77"/>
        <v>0.39655092592592595</v>
      </c>
      <c r="F434" s="2">
        <f t="shared" si="78"/>
        <v>85.466228198840454</v>
      </c>
      <c r="G434" s="1">
        <v>2080</v>
      </c>
      <c r="H434" s="1">
        <v>3744</v>
      </c>
      <c r="I434" s="1">
        <v>0</v>
      </c>
      <c r="J434" s="1">
        <v>649</v>
      </c>
      <c r="K434" s="1">
        <f t="shared" si="79"/>
        <v>0</v>
      </c>
      <c r="L434" s="1">
        <f t="shared" si="80"/>
        <v>5.6631490384615377</v>
      </c>
      <c r="M434" s="1">
        <f t="shared" si="81"/>
        <v>5.6631490384615377</v>
      </c>
      <c r="N434" s="2">
        <f t="shared" si="75"/>
        <v>2.9665473901361286</v>
      </c>
      <c r="O434" s="1">
        <v>1417</v>
      </c>
      <c r="P434" s="1">
        <f t="shared" si="82"/>
        <v>455</v>
      </c>
      <c r="Q434" s="1">
        <f t="shared" si="83"/>
        <v>1.1536271870579338</v>
      </c>
      <c r="R434" s="1">
        <f t="shared" si="84"/>
        <v>0.28039549685435888</v>
      </c>
      <c r="S434" s="2">
        <f t="shared" si="85"/>
        <v>5.3995062269106766</v>
      </c>
      <c r="T434" s="2">
        <f t="shared" si="86"/>
        <v>9.4239161641527361E-2</v>
      </c>
      <c r="U434" s="1" t="s">
        <v>2507</v>
      </c>
      <c r="V434" s="6" t="s">
        <v>2505</v>
      </c>
    </row>
    <row r="435" spans="1:22" ht="14.25" customHeight="1" x14ac:dyDescent="0.3">
      <c r="A435" s="1" t="s">
        <v>30</v>
      </c>
      <c r="B435" s="1" t="s">
        <v>892</v>
      </c>
      <c r="C435" s="1" t="s">
        <v>893</v>
      </c>
      <c r="D435" s="1">
        <f t="shared" si="76"/>
        <v>85</v>
      </c>
      <c r="E435" s="1">
        <f t="shared" si="77"/>
        <v>1.1493055555555555E-2</v>
      </c>
      <c r="F435" s="2">
        <f t="shared" si="78"/>
        <v>529.15299505506619</v>
      </c>
      <c r="G435" s="1">
        <v>2080</v>
      </c>
      <c r="H435" s="1">
        <v>3744</v>
      </c>
      <c r="I435" s="1">
        <v>0</v>
      </c>
      <c r="J435" s="1">
        <v>157</v>
      </c>
      <c r="K435" s="1">
        <f t="shared" si="79"/>
        <v>0</v>
      </c>
      <c r="L435" s="1">
        <f t="shared" si="80"/>
        <v>1.3699759615384615</v>
      </c>
      <c r="M435" s="1">
        <f t="shared" si="81"/>
        <v>1.3699759615384615</v>
      </c>
      <c r="N435" s="2">
        <f t="shared" si="75"/>
        <v>12.262988892983104</v>
      </c>
      <c r="O435" s="1">
        <v>1417</v>
      </c>
      <c r="P435" s="1">
        <f t="shared" si="82"/>
        <v>455</v>
      </c>
      <c r="Q435" s="1">
        <f t="shared" si="83"/>
        <v>4.7688155694305667</v>
      </c>
      <c r="R435" s="1">
        <f t="shared" si="84"/>
        <v>1.1590871175699293</v>
      </c>
      <c r="S435" s="2">
        <f t="shared" si="85"/>
        <v>5.3995062269106766</v>
      </c>
      <c r="T435" s="2">
        <f t="shared" si="86"/>
        <v>9.4239161641527361E-2</v>
      </c>
      <c r="U435" s="1" t="s">
        <v>2507</v>
      </c>
      <c r="V435" s="6" t="s">
        <v>2505</v>
      </c>
    </row>
    <row r="436" spans="1:22" ht="14.25" customHeight="1" x14ac:dyDescent="0.3">
      <c r="A436" s="1" t="s">
        <v>177</v>
      </c>
      <c r="B436" s="1" t="s">
        <v>894</v>
      </c>
      <c r="C436" s="1" t="s">
        <v>895</v>
      </c>
      <c r="D436" s="1">
        <f t="shared" si="76"/>
        <v>36</v>
      </c>
      <c r="E436" s="1">
        <f t="shared" si="77"/>
        <v>0.75396990740740744</v>
      </c>
      <c r="F436" s="2">
        <f t="shared" si="78"/>
        <v>225.94203464974288</v>
      </c>
      <c r="G436" s="1">
        <v>2080</v>
      </c>
      <c r="H436" s="1">
        <v>3744</v>
      </c>
      <c r="I436" s="1">
        <v>0</v>
      </c>
      <c r="J436" s="1">
        <v>342</v>
      </c>
      <c r="K436" s="1">
        <f t="shared" si="79"/>
        <v>0</v>
      </c>
      <c r="L436" s="1">
        <f t="shared" si="80"/>
        <v>2.9842788461538459</v>
      </c>
      <c r="M436" s="1">
        <f t="shared" si="81"/>
        <v>2.9842788461538459</v>
      </c>
      <c r="N436" s="2">
        <f t="shared" si="75"/>
        <v>5.6295007491179749</v>
      </c>
      <c r="O436" s="1">
        <v>1417</v>
      </c>
      <c r="P436" s="1">
        <f t="shared" si="82"/>
        <v>455</v>
      </c>
      <c r="Q436" s="1">
        <f t="shared" si="83"/>
        <v>2.1891931122824535</v>
      </c>
      <c r="R436" s="1">
        <f t="shared" si="84"/>
        <v>0.53209554812420745</v>
      </c>
      <c r="S436" s="2">
        <f t="shared" si="85"/>
        <v>5.3995062269106784</v>
      </c>
      <c r="T436" s="2">
        <f t="shared" si="86"/>
        <v>9.4239161641527389E-2</v>
      </c>
      <c r="U436" s="1" t="s">
        <v>2507</v>
      </c>
      <c r="V436" s="6" t="s">
        <v>2505</v>
      </c>
    </row>
    <row r="437" spans="1:22" ht="14.25" customHeight="1" x14ac:dyDescent="0.3">
      <c r="A437" s="1" t="s">
        <v>40</v>
      </c>
      <c r="B437" s="1" t="s">
        <v>896</v>
      </c>
      <c r="C437" s="1" t="s">
        <v>897</v>
      </c>
      <c r="D437" s="1">
        <f t="shared" si="76"/>
        <v>72</v>
      </c>
      <c r="E437" s="1">
        <f t="shared" si="77"/>
        <v>0.4192939814814815</v>
      </c>
      <c r="F437" s="2">
        <f t="shared" si="78"/>
        <v>450.03387484776351</v>
      </c>
      <c r="G437" s="1">
        <v>2080</v>
      </c>
      <c r="H437" s="1">
        <v>3744</v>
      </c>
      <c r="I437" s="1">
        <v>0</v>
      </c>
      <c r="J437" s="1">
        <v>111</v>
      </c>
      <c r="K437" s="1">
        <f t="shared" si="79"/>
        <v>0</v>
      </c>
      <c r="L437" s="1">
        <f t="shared" si="80"/>
        <v>0.96858173076923071</v>
      </c>
      <c r="M437" s="1">
        <f t="shared" si="81"/>
        <v>0.96858173076923071</v>
      </c>
      <c r="N437" s="2">
        <f t="shared" si="75"/>
        <v>17.344948254039164</v>
      </c>
      <c r="O437" s="1">
        <v>1417</v>
      </c>
      <c r="P437" s="1">
        <f t="shared" si="82"/>
        <v>455</v>
      </c>
      <c r="Q437" s="1">
        <f t="shared" si="83"/>
        <v>6.7450814810864772</v>
      </c>
      <c r="R437" s="1">
        <f t="shared" si="84"/>
        <v>1.6394295266529633</v>
      </c>
      <c r="S437" s="2">
        <f t="shared" si="85"/>
        <v>5.3995062269106784</v>
      </c>
      <c r="T437" s="2">
        <f t="shared" si="86"/>
        <v>9.4239161641527389E-2</v>
      </c>
      <c r="U437" s="1" t="s">
        <v>2507</v>
      </c>
      <c r="V437" s="6" t="s">
        <v>2505</v>
      </c>
    </row>
    <row r="438" spans="1:22" ht="14.25" customHeight="1" x14ac:dyDescent="0.3">
      <c r="A438" s="1" t="s">
        <v>14</v>
      </c>
      <c r="B438" s="1" t="s">
        <v>898</v>
      </c>
      <c r="C438" s="1" t="s">
        <v>899</v>
      </c>
      <c r="D438" s="1">
        <f t="shared" si="76"/>
        <v>59</v>
      </c>
      <c r="E438" s="1">
        <f t="shared" si="77"/>
        <v>0.98062499999999997</v>
      </c>
      <c r="F438" s="2">
        <f t="shared" si="78"/>
        <v>371.8794126624486</v>
      </c>
      <c r="G438" s="1">
        <v>2080</v>
      </c>
      <c r="H438" s="1">
        <v>3744</v>
      </c>
      <c r="I438" s="1">
        <v>0</v>
      </c>
      <c r="J438" s="1">
        <v>228</v>
      </c>
      <c r="K438" s="1">
        <f t="shared" si="79"/>
        <v>0</v>
      </c>
      <c r="L438" s="1">
        <f t="shared" si="80"/>
        <v>1.9895192307692307</v>
      </c>
      <c r="M438" s="1">
        <f t="shared" si="81"/>
        <v>1.9895192307692307</v>
      </c>
      <c r="N438" s="2">
        <f t="shared" si="75"/>
        <v>8.4442511236769615</v>
      </c>
      <c r="O438" s="1">
        <v>1416</v>
      </c>
      <c r="P438" s="1">
        <f t="shared" si="82"/>
        <v>456</v>
      </c>
      <c r="Q438" s="1">
        <f t="shared" si="83"/>
        <v>3.2837896684236796</v>
      </c>
      <c r="R438" s="1">
        <f t="shared" si="84"/>
        <v>0.79989748333397326</v>
      </c>
      <c r="S438" s="2">
        <f t="shared" si="85"/>
        <v>5.411302907531029</v>
      </c>
      <c r="T438" s="2">
        <f t="shared" si="86"/>
        <v>9.4445052559158721E-2</v>
      </c>
      <c r="U438" s="1" t="s">
        <v>2507</v>
      </c>
      <c r="V438" s="6" t="s">
        <v>2505</v>
      </c>
    </row>
    <row r="439" spans="1:22" ht="14.25" customHeight="1" x14ac:dyDescent="0.3">
      <c r="A439" s="1" t="s">
        <v>40</v>
      </c>
      <c r="B439" s="1" t="s">
        <v>900</v>
      </c>
      <c r="C439" s="1" t="s">
        <v>901</v>
      </c>
      <c r="D439" s="1">
        <f t="shared" si="76"/>
        <v>8</v>
      </c>
      <c r="E439" s="1">
        <f t="shared" si="77"/>
        <v>9.1006944444444446E-2</v>
      </c>
      <c r="F439" s="2">
        <f t="shared" si="78"/>
        <v>45.847326900621333</v>
      </c>
      <c r="G439" s="1">
        <v>2080</v>
      </c>
      <c r="H439" s="1">
        <v>3744</v>
      </c>
      <c r="I439" s="1">
        <v>0</v>
      </c>
      <c r="J439" s="1">
        <v>119</v>
      </c>
      <c r="K439" s="1">
        <f t="shared" si="79"/>
        <v>0</v>
      </c>
      <c r="L439" s="1">
        <f t="shared" si="80"/>
        <v>1.0383894230769231</v>
      </c>
      <c r="M439" s="1">
        <f t="shared" si="81"/>
        <v>1.0383894230769231</v>
      </c>
      <c r="N439" s="2">
        <f t="shared" si="75"/>
        <v>16.178901312591154</v>
      </c>
      <c r="O439" s="1">
        <v>1413</v>
      </c>
      <c r="P439" s="1">
        <f t="shared" si="82"/>
        <v>459</v>
      </c>
      <c r="Q439" s="1">
        <f t="shared" si="83"/>
        <v>6.2916306252151175</v>
      </c>
      <c r="R439" s="1">
        <f t="shared" si="84"/>
        <v>1.5426594321440912</v>
      </c>
      <c r="S439" s="2">
        <f t="shared" si="85"/>
        <v>5.4466901847029403</v>
      </c>
      <c r="T439" s="2">
        <f t="shared" si="86"/>
        <v>9.5062677059124398E-2</v>
      </c>
      <c r="U439" s="1" t="s">
        <v>2507</v>
      </c>
      <c r="V439" s="6" t="s">
        <v>2505</v>
      </c>
    </row>
    <row r="440" spans="1:22" ht="14.25" customHeight="1" x14ac:dyDescent="0.3">
      <c r="A440" s="1" t="s">
        <v>17</v>
      </c>
      <c r="B440" s="1" t="s">
        <v>902</v>
      </c>
      <c r="C440" s="1" t="s">
        <v>903</v>
      </c>
      <c r="D440" s="1">
        <f t="shared" si="76"/>
        <v>15</v>
      </c>
      <c r="E440" s="1">
        <f t="shared" si="77"/>
        <v>0.23723379629629629</v>
      </c>
      <c r="F440" s="2">
        <f t="shared" si="78"/>
        <v>90.748394457949118</v>
      </c>
      <c r="G440" s="1">
        <v>2080</v>
      </c>
      <c r="H440" s="1">
        <v>3744</v>
      </c>
      <c r="I440" s="1">
        <v>0</v>
      </c>
      <c r="J440" s="1">
        <v>204</v>
      </c>
      <c r="K440" s="1">
        <f t="shared" si="79"/>
        <v>0</v>
      </c>
      <c r="L440" s="1">
        <f t="shared" si="80"/>
        <v>1.7800961538461537</v>
      </c>
      <c r="M440" s="1">
        <f t="shared" si="81"/>
        <v>1.7800961538461537</v>
      </c>
      <c r="N440" s="2">
        <f t="shared" si="75"/>
        <v>9.4376924323448392</v>
      </c>
      <c r="O440" s="1">
        <v>1413</v>
      </c>
      <c r="P440" s="1">
        <f t="shared" si="82"/>
        <v>459</v>
      </c>
      <c r="Q440" s="1">
        <f t="shared" si="83"/>
        <v>3.6701178647088186</v>
      </c>
      <c r="R440" s="1">
        <f t="shared" si="84"/>
        <v>0.89988466875071993</v>
      </c>
      <c r="S440" s="2">
        <f t="shared" si="85"/>
        <v>5.4466901847029412</v>
      </c>
      <c r="T440" s="2">
        <f t="shared" si="86"/>
        <v>9.5062677059124412E-2</v>
      </c>
      <c r="U440" s="1" t="s">
        <v>2507</v>
      </c>
      <c r="V440" s="6" t="s">
        <v>2505</v>
      </c>
    </row>
    <row r="441" spans="1:22" ht="14.25" customHeight="1" x14ac:dyDescent="0.3">
      <c r="A441" s="1" t="s">
        <v>40</v>
      </c>
      <c r="B441" s="1" t="s">
        <v>904</v>
      </c>
      <c r="C441" s="1" t="s">
        <v>905</v>
      </c>
      <c r="D441" s="1">
        <f t="shared" si="76"/>
        <v>93</v>
      </c>
      <c r="E441" s="1">
        <f t="shared" si="77"/>
        <v>0.27930555555555553</v>
      </c>
      <c r="F441" s="2">
        <f t="shared" si="78"/>
        <v>581.1011930775818</v>
      </c>
      <c r="G441" s="1">
        <v>2080</v>
      </c>
      <c r="H441" s="1">
        <v>3744</v>
      </c>
      <c r="I441" s="1">
        <v>0</v>
      </c>
      <c r="J441" s="1">
        <v>119</v>
      </c>
      <c r="K441" s="1">
        <f t="shared" si="79"/>
        <v>0</v>
      </c>
      <c r="L441" s="1">
        <f t="shared" si="80"/>
        <v>1.0383894230769231</v>
      </c>
      <c r="M441" s="1">
        <f t="shared" si="81"/>
        <v>1.0383894230769231</v>
      </c>
      <c r="N441" s="2">
        <f t="shared" si="75"/>
        <v>16.178901312591154</v>
      </c>
      <c r="O441" s="1">
        <v>1411</v>
      </c>
      <c r="P441" s="1">
        <f t="shared" si="82"/>
        <v>461</v>
      </c>
      <c r="Q441" s="1">
        <f t="shared" si="83"/>
        <v>6.2916306252151175</v>
      </c>
      <c r="R441" s="1">
        <f t="shared" si="84"/>
        <v>1.5493812597351333</v>
      </c>
      <c r="S441" s="2">
        <f t="shared" si="85"/>
        <v>5.4702793891823278</v>
      </c>
      <c r="T441" s="2">
        <f t="shared" si="86"/>
        <v>9.5474386345215906E-2</v>
      </c>
      <c r="U441" s="1" t="s">
        <v>2507</v>
      </c>
      <c r="V441" s="6" t="s">
        <v>2505</v>
      </c>
    </row>
    <row r="442" spans="1:22" ht="14.25" customHeight="1" x14ac:dyDescent="0.3">
      <c r="A442" s="1" t="s">
        <v>40</v>
      </c>
      <c r="B442" s="1" t="s">
        <v>906</v>
      </c>
      <c r="C442" s="1" t="s">
        <v>907</v>
      </c>
      <c r="D442" s="1">
        <f t="shared" si="76"/>
        <v>72</v>
      </c>
      <c r="E442" s="1">
        <f t="shared" si="77"/>
        <v>0.76981481481481484</v>
      </c>
      <c r="F442" s="2">
        <f t="shared" si="78"/>
        <v>452.23626219762383</v>
      </c>
      <c r="G442" s="1">
        <v>2080</v>
      </c>
      <c r="H442" s="1">
        <v>3744</v>
      </c>
      <c r="I442" s="1">
        <v>0</v>
      </c>
      <c r="J442" s="1">
        <v>143</v>
      </c>
      <c r="K442" s="1">
        <f t="shared" si="79"/>
        <v>0</v>
      </c>
      <c r="L442" s="1">
        <f t="shared" si="80"/>
        <v>1.2478125</v>
      </c>
      <c r="M442" s="1">
        <f t="shared" si="81"/>
        <v>1.2478125</v>
      </c>
      <c r="N442" s="2">
        <f t="shared" si="75"/>
        <v>13.463561232156275</v>
      </c>
      <c r="O442" s="1">
        <v>1409</v>
      </c>
      <c r="P442" s="1">
        <f t="shared" si="82"/>
        <v>463</v>
      </c>
      <c r="Q442" s="1">
        <f t="shared" si="83"/>
        <v>5.2356926181860075</v>
      </c>
      <c r="R442" s="1">
        <f t="shared" si="84"/>
        <v>1.2949389328098939</v>
      </c>
      <c r="S442" s="2">
        <f t="shared" si="85"/>
        <v>5.4938667336787939</v>
      </c>
      <c r="T442" s="2">
        <f t="shared" si="86"/>
        <v>9.5886063168481403E-2</v>
      </c>
      <c r="U442" s="1" t="s">
        <v>2507</v>
      </c>
      <c r="V442" s="6" t="s">
        <v>2505</v>
      </c>
    </row>
    <row r="443" spans="1:22" ht="14.25" customHeight="1" x14ac:dyDescent="0.3">
      <c r="A443" s="1" t="s">
        <v>40</v>
      </c>
      <c r="B443" s="1" t="s">
        <v>908</v>
      </c>
      <c r="C443" s="1" t="s">
        <v>909</v>
      </c>
      <c r="D443" s="1">
        <f t="shared" si="76"/>
        <v>59</v>
      </c>
      <c r="E443" s="1">
        <f t="shared" si="77"/>
        <v>0.17631944444444445</v>
      </c>
      <c r="F443" s="2">
        <f t="shared" si="78"/>
        <v>366.82581181329903</v>
      </c>
      <c r="G443" s="1">
        <v>2080</v>
      </c>
      <c r="H443" s="1">
        <v>3744</v>
      </c>
      <c r="I443" s="1">
        <v>0</v>
      </c>
      <c r="J443" s="1">
        <v>123</v>
      </c>
      <c r="K443" s="1">
        <f t="shared" si="79"/>
        <v>0</v>
      </c>
      <c r="L443" s="1">
        <f t="shared" si="80"/>
        <v>1.0732932692307691</v>
      </c>
      <c r="M443" s="1">
        <f t="shared" si="81"/>
        <v>1.0732932692307691</v>
      </c>
      <c r="N443" s="2">
        <f t="shared" si="75"/>
        <v>15.65275818047437</v>
      </c>
      <c r="O443" s="1">
        <v>1408</v>
      </c>
      <c r="P443" s="1">
        <f t="shared" si="82"/>
        <v>464</v>
      </c>
      <c r="Q443" s="1">
        <f t="shared" si="83"/>
        <v>6.0870247512243827</v>
      </c>
      <c r="R443" s="1">
        <f t="shared" si="84"/>
        <v>1.5087497246624539</v>
      </c>
      <c r="S443" s="2">
        <f t="shared" si="85"/>
        <v>5.5056597060038657</v>
      </c>
      <c r="T443" s="2">
        <f t="shared" si="86"/>
        <v>9.6091889364150473E-2</v>
      </c>
      <c r="U443" s="1" t="s">
        <v>2507</v>
      </c>
      <c r="V443" s="6" t="s">
        <v>2505</v>
      </c>
    </row>
    <row r="444" spans="1:22" ht="14.25" customHeight="1" x14ac:dyDescent="0.3">
      <c r="A444" s="1" t="s">
        <v>17</v>
      </c>
      <c r="B444" s="1" t="s">
        <v>910</v>
      </c>
      <c r="C444" s="1" t="s">
        <v>911</v>
      </c>
      <c r="D444" s="1">
        <f t="shared" si="76"/>
        <v>15</v>
      </c>
      <c r="E444" s="1">
        <f t="shared" si="77"/>
        <v>5.9525462962962961E-2</v>
      </c>
      <c r="F444" s="2">
        <f t="shared" si="78"/>
        <v>89.631820068985746</v>
      </c>
      <c r="G444" s="1">
        <v>2080</v>
      </c>
      <c r="H444" s="1">
        <v>3744</v>
      </c>
      <c r="I444" s="1">
        <v>0</v>
      </c>
      <c r="J444" s="1">
        <v>231</v>
      </c>
      <c r="K444" s="1">
        <f t="shared" si="79"/>
        <v>0</v>
      </c>
      <c r="L444" s="1">
        <f t="shared" si="80"/>
        <v>2.015697115384615</v>
      </c>
      <c r="M444" s="1">
        <f t="shared" si="81"/>
        <v>2.015697115384615</v>
      </c>
      <c r="N444" s="2">
        <f t="shared" ref="N444:N507" si="87">42*0.4/M444</f>
        <v>8.3345855246681708</v>
      </c>
      <c r="O444" s="1">
        <v>1407</v>
      </c>
      <c r="P444" s="1">
        <f t="shared" si="82"/>
        <v>465</v>
      </c>
      <c r="Q444" s="1">
        <f t="shared" si="83"/>
        <v>3.2411430493532425</v>
      </c>
      <c r="R444" s="1">
        <f t="shared" si="84"/>
        <v>0.805091622836142</v>
      </c>
      <c r="S444" s="2">
        <f t="shared" si="85"/>
        <v>5.5174522104181989</v>
      </c>
      <c r="T444" s="2">
        <f t="shared" si="86"/>
        <v>9.6297707393236551E-2</v>
      </c>
      <c r="U444" s="1" t="s">
        <v>2507</v>
      </c>
      <c r="V444" s="6" t="s">
        <v>2505</v>
      </c>
    </row>
    <row r="445" spans="1:22" ht="14.25" customHeight="1" x14ac:dyDescent="0.3">
      <c r="A445" s="1" t="s">
        <v>40</v>
      </c>
      <c r="B445" s="1" t="s">
        <v>912</v>
      </c>
      <c r="C445" s="1" t="s">
        <v>913</v>
      </c>
      <c r="D445" s="1">
        <f t="shared" si="76"/>
        <v>30</v>
      </c>
      <c r="E445" s="1">
        <f t="shared" si="77"/>
        <v>2.9641203703703701E-2</v>
      </c>
      <c r="F445" s="2">
        <f t="shared" si="78"/>
        <v>183.6918313379858</v>
      </c>
      <c r="G445" s="1">
        <v>2080</v>
      </c>
      <c r="H445" s="1">
        <v>3744</v>
      </c>
      <c r="I445" s="1">
        <v>0</v>
      </c>
      <c r="J445" s="1">
        <v>213</v>
      </c>
      <c r="K445" s="1">
        <f t="shared" si="79"/>
        <v>0</v>
      </c>
      <c r="L445" s="1">
        <f t="shared" si="80"/>
        <v>1.8586298076923076</v>
      </c>
      <c r="M445" s="1">
        <f t="shared" si="81"/>
        <v>1.8586298076923076</v>
      </c>
      <c r="N445" s="2">
        <f t="shared" si="87"/>
        <v>9.0389166957668881</v>
      </c>
      <c r="O445" s="1">
        <v>1407</v>
      </c>
      <c r="P445" s="1">
        <f t="shared" si="82"/>
        <v>465</v>
      </c>
      <c r="Q445" s="1">
        <f t="shared" si="83"/>
        <v>3.5150424619746428</v>
      </c>
      <c r="R445" s="1">
        <f t="shared" si="84"/>
        <v>0.87312753462511161</v>
      </c>
      <c r="S445" s="2">
        <f t="shared" si="85"/>
        <v>5.5174522104181998</v>
      </c>
      <c r="T445" s="2">
        <f t="shared" si="86"/>
        <v>9.6297707393236565E-2</v>
      </c>
      <c r="U445" s="1" t="s">
        <v>2507</v>
      </c>
      <c r="V445" s="6" t="s">
        <v>2505</v>
      </c>
    </row>
    <row r="446" spans="1:22" ht="14.25" customHeight="1" x14ac:dyDescent="0.3">
      <c r="A446" s="1" t="s">
        <v>17</v>
      </c>
      <c r="B446" s="1" t="s">
        <v>914</v>
      </c>
      <c r="C446" s="1" t="s">
        <v>915</v>
      </c>
      <c r="D446" s="1">
        <f t="shared" si="76"/>
        <v>54</v>
      </c>
      <c r="E446" s="1">
        <f t="shared" si="77"/>
        <v>1.4166666666666666E-2</v>
      </c>
      <c r="F446" s="2">
        <f t="shared" si="78"/>
        <v>334.39104932654942</v>
      </c>
      <c r="G446" s="1">
        <v>2080</v>
      </c>
      <c r="H446" s="1">
        <v>3744</v>
      </c>
      <c r="I446" s="1">
        <v>0</v>
      </c>
      <c r="J446" s="1">
        <v>249</v>
      </c>
      <c r="K446" s="1">
        <f t="shared" si="79"/>
        <v>0</v>
      </c>
      <c r="L446" s="1">
        <f t="shared" si="80"/>
        <v>2.1727644230769227</v>
      </c>
      <c r="M446" s="1">
        <f t="shared" si="81"/>
        <v>2.1727644230769227</v>
      </c>
      <c r="N446" s="2">
        <f t="shared" si="87"/>
        <v>7.7320853662584232</v>
      </c>
      <c r="O446" s="1">
        <v>1406</v>
      </c>
      <c r="P446" s="1">
        <f t="shared" si="82"/>
        <v>466</v>
      </c>
      <c r="Q446" s="1">
        <f t="shared" si="83"/>
        <v>3.0068435518096348</v>
      </c>
      <c r="R446" s="1">
        <f t="shared" si="84"/>
        <v>0.74849844826030443</v>
      </c>
      <c r="S446" s="2">
        <f t="shared" si="85"/>
        <v>5.5292442459506175</v>
      </c>
      <c r="T446" s="2">
        <f t="shared" si="86"/>
        <v>9.6503517238789416E-2</v>
      </c>
      <c r="U446" s="1" t="s">
        <v>2507</v>
      </c>
      <c r="V446" s="6" t="s">
        <v>2505</v>
      </c>
    </row>
    <row r="447" spans="1:22" ht="14.25" customHeight="1" x14ac:dyDescent="0.3">
      <c r="A447" s="1" t="s">
        <v>27</v>
      </c>
      <c r="B447" s="1" t="s">
        <v>916</v>
      </c>
      <c r="C447" s="1" t="s">
        <v>917</v>
      </c>
      <c r="D447" s="1">
        <f t="shared" si="76"/>
        <v>44</v>
      </c>
      <c r="E447" s="1">
        <f t="shared" si="77"/>
        <v>0.3230555555555556</v>
      </c>
      <c r="F447" s="2">
        <f t="shared" si="78"/>
        <v>273.50000238297122</v>
      </c>
      <c r="G447" s="1">
        <v>2080</v>
      </c>
      <c r="H447" s="1">
        <v>3744</v>
      </c>
      <c r="I447" s="1">
        <v>0</v>
      </c>
      <c r="J447" s="1">
        <v>102</v>
      </c>
      <c r="K447" s="1">
        <f t="shared" si="79"/>
        <v>0</v>
      </c>
      <c r="L447" s="1">
        <f t="shared" si="80"/>
        <v>0.89004807692307686</v>
      </c>
      <c r="M447" s="1">
        <f t="shared" si="81"/>
        <v>0.89004807692307686</v>
      </c>
      <c r="N447" s="2">
        <f t="shared" si="87"/>
        <v>18.875384864689678</v>
      </c>
      <c r="O447" s="1">
        <v>1402</v>
      </c>
      <c r="P447" s="1">
        <f t="shared" si="82"/>
        <v>470</v>
      </c>
      <c r="Q447" s="1">
        <f t="shared" si="83"/>
        <v>7.3402357294176372</v>
      </c>
      <c r="R447" s="1">
        <f t="shared" si="84"/>
        <v>1.8429010645439581</v>
      </c>
      <c r="S447" s="2">
        <f t="shared" si="85"/>
        <v>5.5764076798458069</v>
      </c>
      <c r="T447" s="2">
        <f t="shared" si="86"/>
        <v>9.7326674446807163E-2</v>
      </c>
      <c r="U447" s="1" t="s">
        <v>2507</v>
      </c>
      <c r="V447" s="6" t="s">
        <v>2505</v>
      </c>
    </row>
    <row r="448" spans="1:22" ht="14.25" customHeight="1" x14ac:dyDescent="0.3">
      <c r="A448" s="1" t="s">
        <v>27</v>
      </c>
      <c r="B448" s="1" t="s">
        <v>918</v>
      </c>
      <c r="C448" s="1" t="s">
        <v>919</v>
      </c>
      <c r="D448" s="1">
        <f t="shared" si="76"/>
        <v>36</v>
      </c>
      <c r="E448" s="1">
        <f t="shared" si="77"/>
        <v>0.87408564814814815</v>
      </c>
      <c r="F448" s="2">
        <f t="shared" si="78"/>
        <v>226.69674410712608</v>
      </c>
      <c r="G448" s="1">
        <v>2080</v>
      </c>
      <c r="H448" s="1">
        <v>3744</v>
      </c>
      <c r="I448" s="1">
        <v>0</v>
      </c>
      <c r="J448" s="1">
        <v>203</v>
      </c>
      <c r="K448" s="1">
        <f t="shared" si="79"/>
        <v>0</v>
      </c>
      <c r="L448" s="1">
        <f t="shared" si="80"/>
        <v>1.7713701923076923</v>
      </c>
      <c r="M448" s="1">
        <f t="shared" si="81"/>
        <v>1.7713701923076923</v>
      </c>
      <c r="N448" s="2">
        <f t="shared" si="87"/>
        <v>9.484183528070675</v>
      </c>
      <c r="O448" s="1">
        <v>1401</v>
      </c>
      <c r="P448" s="1">
        <f t="shared" si="82"/>
        <v>471</v>
      </c>
      <c r="Q448" s="1">
        <f t="shared" si="83"/>
        <v>3.6881972630571376</v>
      </c>
      <c r="R448" s="1">
        <f t="shared" si="84"/>
        <v>0.92795988830123488</v>
      </c>
      <c r="S448" s="2">
        <f t="shared" si="85"/>
        <v>5.588197356409232</v>
      </c>
      <c r="T448" s="2">
        <f t="shared" si="86"/>
        <v>9.753244312058415E-2</v>
      </c>
      <c r="U448" s="1" t="s">
        <v>2507</v>
      </c>
      <c r="V448" s="6" t="s">
        <v>2505</v>
      </c>
    </row>
    <row r="449" spans="1:24" ht="14.25" customHeight="1" x14ac:dyDescent="0.3">
      <c r="A449" s="1" t="s">
        <v>82</v>
      </c>
      <c r="B449" s="1" t="s">
        <v>920</v>
      </c>
      <c r="C449" s="1" t="s">
        <v>921</v>
      </c>
      <c r="D449" s="1">
        <f t="shared" si="76"/>
        <v>59</v>
      </c>
      <c r="E449" s="1">
        <f t="shared" si="77"/>
        <v>0.25664351851851852</v>
      </c>
      <c r="F449" s="2">
        <f t="shared" si="78"/>
        <v>367.33050285533403</v>
      </c>
      <c r="G449" s="1">
        <v>2080</v>
      </c>
      <c r="H449" s="1">
        <v>3744</v>
      </c>
      <c r="I449" s="1">
        <v>0</v>
      </c>
      <c r="J449" s="1">
        <v>606</v>
      </c>
      <c r="K449" s="1">
        <f t="shared" si="79"/>
        <v>0</v>
      </c>
      <c r="L449" s="1">
        <f t="shared" si="80"/>
        <v>5.2879326923076917</v>
      </c>
      <c r="M449" s="1">
        <f t="shared" si="81"/>
        <v>5.2879326923076917</v>
      </c>
      <c r="N449" s="2">
        <f t="shared" si="87"/>
        <v>3.1770449772249956</v>
      </c>
      <c r="O449" s="1">
        <v>1401</v>
      </c>
      <c r="P449" s="1">
        <f t="shared" si="82"/>
        <v>471</v>
      </c>
      <c r="Q449" s="1">
        <f t="shared" si="83"/>
        <v>1.2354852217831667</v>
      </c>
      <c r="R449" s="1">
        <f t="shared" si="84"/>
        <v>0.31085124971146982</v>
      </c>
      <c r="S449" s="2">
        <f t="shared" si="85"/>
        <v>5.588197356409232</v>
      </c>
      <c r="T449" s="2">
        <f t="shared" si="86"/>
        <v>9.753244312058415E-2</v>
      </c>
      <c r="U449" s="1" t="s">
        <v>2507</v>
      </c>
      <c r="V449" s="6" t="s">
        <v>2505</v>
      </c>
    </row>
    <row r="450" spans="1:24" ht="14.25" customHeight="1" x14ac:dyDescent="0.3">
      <c r="A450" s="1" t="s">
        <v>40</v>
      </c>
      <c r="B450" s="1" t="s">
        <v>922</v>
      </c>
      <c r="C450" s="1" t="s">
        <v>923</v>
      </c>
      <c r="D450" s="1">
        <f t="shared" ref="D450:D513" si="88">(LEFT(C450,4)&amp;"-"&amp;MID(C450,6,2)&amp;"-"&amp;MID(C450,9,2))-(2019&amp;"-"&amp;5&amp;"-"&amp;28)</f>
        <v>76</v>
      </c>
      <c r="E450" s="1">
        <f t="shared" ref="E450:E513" si="89">TIMEVALUE(RIGHT(C450,8))</f>
        <v>0.9886921296296296</v>
      </c>
      <c r="F450" s="2">
        <f t="shared" ref="F450:F513" si="90">(D450+E450)*2*PI()-4.989969053</f>
        <v>478.74425015486156</v>
      </c>
      <c r="G450" s="1">
        <v>2080</v>
      </c>
      <c r="H450" s="1">
        <v>3744</v>
      </c>
      <c r="I450" s="1">
        <v>0</v>
      </c>
      <c r="J450" s="1">
        <v>154</v>
      </c>
      <c r="K450" s="1">
        <f t="shared" ref="K450:K513" si="91">(32.67*I450)/H450</f>
        <v>0</v>
      </c>
      <c r="L450" s="1">
        <f t="shared" ref="L450:L513" si="92">(18.15*J450)/G450</f>
        <v>1.3437980769230768</v>
      </c>
      <c r="M450" s="1">
        <f t="shared" ref="M450:M513" si="93">SQRT(K450*K450+L450*L450)</f>
        <v>1.3437980769230768</v>
      </c>
      <c r="N450" s="2">
        <f t="shared" si="87"/>
        <v>12.501878287002254</v>
      </c>
      <c r="O450" s="1">
        <v>1401</v>
      </c>
      <c r="P450" s="1">
        <f t="shared" ref="P450:P513" si="94">H450/2-O450</f>
        <v>471</v>
      </c>
      <c r="Q450" s="1">
        <f t="shared" ref="Q450:Q513" si="95">TAN(RADIANS(21.25))*N450</f>
        <v>4.8617145740298637</v>
      </c>
      <c r="R450" s="1">
        <f t="shared" ref="R450:R513" si="96">Q450*(P450/(H450/2))</f>
        <v>1.223219852760719</v>
      </c>
      <c r="S450" s="2">
        <f t="shared" ref="S450:S513" si="97">DEGREES(ATAN(R450/N450))</f>
        <v>5.5881973564092329</v>
      </c>
      <c r="T450" s="2">
        <f t="shared" ref="T450:T513" si="98">RADIANS(S450)</f>
        <v>9.7532443120584164E-2</v>
      </c>
      <c r="U450" s="1" t="s">
        <v>2507</v>
      </c>
      <c r="V450" s="6" t="s">
        <v>2505</v>
      </c>
    </row>
    <row r="451" spans="1:24" ht="14.25" customHeight="1" x14ac:dyDescent="0.3">
      <c r="A451" s="1" t="s">
        <v>27</v>
      </c>
      <c r="B451" s="1" t="s">
        <v>924</v>
      </c>
      <c r="C451" s="1" t="s">
        <v>925</v>
      </c>
      <c r="D451" s="1">
        <f t="shared" si="88"/>
        <v>36</v>
      </c>
      <c r="E451" s="1">
        <f t="shared" si="89"/>
        <v>0.27359953703703704</v>
      </c>
      <c r="F451" s="2">
        <f t="shared" si="90"/>
        <v>222.92377859662733</v>
      </c>
      <c r="G451" s="1">
        <v>2080</v>
      </c>
      <c r="H451" s="1">
        <v>3744</v>
      </c>
      <c r="I451" s="1">
        <v>0</v>
      </c>
      <c r="J451" s="1">
        <v>179</v>
      </c>
      <c r="K451" s="1">
        <f t="shared" si="91"/>
        <v>0</v>
      </c>
      <c r="L451" s="1">
        <f t="shared" si="92"/>
        <v>1.5619471153846154</v>
      </c>
      <c r="M451" s="1">
        <f t="shared" si="93"/>
        <v>1.5619471153846154</v>
      </c>
      <c r="N451" s="2">
        <f t="shared" si="87"/>
        <v>10.755805900549426</v>
      </c>
      <c r="O451" s="1">
        <v>1400</v>
      </c>
      <c r="P451" s="1">
        <f t="shared" si="94"/>
        <v>472</v>
      </c>
      <c r="Q451" s="1">
        <f t="shared" si="95"/>
        <v>4.1827041586625642</v>
      </c>
      <c r="R451" s="1">
        <f t="shared" si="96"/>
        <v>1.0546134417140653</v>
      </c>
      <c r="S451" s="2">
        <f t="shared" si="97"/>
        <v>5.5999865582686423</v>
      </c>
      <c r="T451" s="2">
        <f t="shared" si="98"/>
        <v>9.7738203509213098E-2</v>
      </c>
      <c r="U451" s="1" t="s">
        <v>2507</v>
      </c>
      <c r="V451" s="6" t="s">
        <v>2505</v>
      </c>
      <c r="W451" s="1"/>
      <c r="X451" s="1"/>
    </row>
    <row r="452" spans="1:24" ht="14.25" customHeight="1" x14ac:dyDescent="0.3">
      <c r="A452" s="1" t="s">
        <v>17</v>
      </c>
      <c r="B452" s="1" t="s">
        <v>926</v>
      </c>
      <c r="C452" s="1" t="s">
        <v>927</v>
      </c>
      <c r="D452" s="1">
        <f t="shared" si="88"/>
        <v>23</v>
      </c>
      <c r="E452" s="1">
        <f t="shared" si="89"/>
        <v>0.29680555555555554</v>
      </c>
      <c r="F452" s="2">
        <f t="shared" si="90"/>
        <v>141.3881773178864</v>
      </c>
      <c r="G452" s="1">
        <v>2080</v>
      </c>
      <c r="H452" s="1">
        <v>3744</v>
      </c>
      <c r="I452" s="1">
        <v>0</v>
      </c>
      <c r="J452" s="1">
        <v>157</v>
      </c>
      <c r="K452" s="1">
        <f t="shared" si="91"/>
        <v>0</v>
      </c>
      <c r="L452" s="1">
        <f t="shared" si="92"/>
        <v>1.3699759615384615</v>
      </c>
      <c r="M452" s="1">
        <f t="shared" si="93"/>
        <v>1.3699759615384615</v>
      </c>
      <c r="N452" s="2">
        <f t="shared" si="87"/>
        <v>12.262988892983104</v>
      </c>
      <c r="O452" s="1">
        <v>1398</v>
      </c>
      <c r="P452" s="1">
        <f t="shared" si="94"/>
        <v>474</v>
      </c>
      <c r="Q452" s="1">
        <f t="shared" si="95"/>
        <v>4.7688155694305667</v>
      </c>
      <c r="R452" s="1">
        <f t="shared" si="96"/>
        <v>1.207488557644278</v>
      </c>
      <c r="S452" s="2">
        <f t="shared" si="97"/>
        <v>5.6235635339975838</v>
      </c>
      <c r="T452" s="2">
        <f t="shared" si="98"/>
        <v>9.8149699363345916E-2</v>
      </c>
      <c r="U452" s="1" t="s">
        <v>2507</v>
      </c>
      <c r="V452" s="6" t="s">
        <v>2505</v>
      </c>
    </row>
    <row r="453" spans="1:24" ht="14.25" customHeight="1" x14ac:dyDescent="0.3">
      <c r="A453" s="1" t="s">
        <v>40</v>
      </c>
      <c r="B453" s="1" t="s">
        <v>928</v>
      </c>
      <c r="C453" s="1" t="s">
        <v>929</v>
      </c>
      <c r="D453" s="1">
        <f t="shared" si="88"/>
        <v>59</v>
      </c>
      <c r="E453" s="1">
        <f t="shared" si="89"/>
        <v>0.17815972222222221</v>
      </c>
      <c r="F453" s="2">
        <f t="shared" si="90"/>
        <v>366.83737461959345</v>
      </c>
      <c r="G453" s="1">
        <v>2080</v>
      </c>
      <c r="H453" s="1">
        <v>3744</v>
      </c>
      <c r="I453" s="1">
        <v>0</v>
      </c>
      <c r="J453" s="1">
        <v>98</v>
      </c>
      <c r="K453" s="1">
        <f t="shared" si="91"/>
        <v>0</v>
      </c>
      <c r="L453" s="1">
        <f t="shared" si="92"/>
        <v>0.85514423076923063</v>
      </c>
      <c r="M453" s="1">
        <f t="shared" si="93"/>
        <v>0.85514423076923063</v>
      </c>
      <c r="N453" s="2">
        <f t="shared" si="87"/>
        <v>19.645808736717832</v>
      </c>
      <c r="O453" s="1">
        <v>1398</v>
      </c>
      <c r="P453" s="1">
        <f t="shared" si="94"/>
        <v>474</v>
      </c>
      <c r="Q453" s="1">
        <f t="shared" si="95"/>
        <v>7.6398371877612155</v>
      </c>
      <c r="R453" s="1">
        <f t="shared" si="96"/>
        <v>1.9344459545933845</v>
      </c>
      <c r="S453" s="2">
        <f t="shared" si="97"/>
        <v>5.6235635339975847</v>
      </c>
      <c r="T453" s="2">
        <f t="shared" si="98"/>
        <v>9.814969936334593E-2</v>
      </c>
      <c r="U453" s="1" t="s">
        <v>2507</v>
      </c>
      <c r="V453" s="6" t="s">
        <v>2505</v>
      </c>
    </row>
    <row r="454" spans="1:24" ht="14.25" customHeight="1" x14ac:dyDescent="0.3">
      <c r="A454" s="1" t="s">
        <v>40</v>
      </c>
      <c r="B454" s="1" t="s">
        <v>930</v>
      </c>
      <c r="C454" s="1" t="s">
        <v>931</v>
      </c>
      <c r="D454" s="1">
        <f t="shared" si="88"/>
        <v>30</v>
      </c>
      <c r="E454" s="1">
        <f t="shared" si="89"/>
        <v>0.2880787037037037</v>
      </c>
      <c r="F454" s="2">
        <f t="shared" si="90"/>
        <v>185.31564204081002</v>
      </c>
      <c r="G454" s="1">
        <v>2080</v>
      </c>
      <c r="H454" s="1">
        <v>3744</v>
      </c>
      <c r="I454" s="1">
        <v>0</v>
      </c>
      <c r="J454" s="1">
        <v>119</v>
      </c>
      <c r="K454" s="1">
        <f t="shared" si="91"/>
        <v>0</v>
      </c>
      <c r="L454" s="1">
        <f t="shared" si="92"/>
        <v>1.0383894230769231</v>
      </c>
      <c r="M454" s="1">
        <f t="shared" si="93"/>
        <v>1.0383894230769231</v>
      </c>
      <c r="N454" s="2">
        <f t="shared" si="87"/>
        <v>16.178901312591154</v>
      </c>
      <c r="O454" s="1">
        <v>1397</v>
      </c>
      <c r="P454" s="1">
        <f t="shared" si="94"/>
        <v>475</v>
      </c>
      <c r="Q454" s="1">
        <f t="shared" si="95"/>
        <v>6.2916306252151175</v>
      </c>
      <c r="R454" s="1">
        <f t="shared" si="96"/>
        <v>1.5964340528724255</v>
      </c>
      <c r="S454" s="2">
        <f t="shared" si="97"/>
        <v>5.6353513059288023</v>
      </c>
      <c r="T454" s="2">
        <f t="shared" si="98"/>
        <v>9.8355434795019847E-2</v>
      </c>
      <c r="U454" s="1" t="s">
        <v>2507</v>
      </c>
      <c r="V454" s="6" t="s">
        <v>2505</v>
      </c>
    </row>
    <row r="455" spans="1:24" ht="14.25" customHeight="1" x14ac:dyDescent="0.3">
      <c r="A455" s="1" t="s">
        <v>40</v>
      </c>
      <c r="B455" s="1" t="s">
        <v>932</v>
      </c>
      <c r="C455" s="1" t="s">
        <v>933</v>
      </c>
      <c r="D455" s="1">
        <f t="shared" si="88"/>
        <v>11</v>
      </c>
      <c r="E455" s="1">
        <f t="shared" si="89"/>
        <v>0.29045138888888888</v>
      </c>
      <c r="F455" s="2">
        <f t="shared" si="90"/>
        <v>65.950029225092024</v>
      </c>
      <c r="G455" s="1">
        <v>2080</v>
      </c>
      <c r="H455" s="1">
        <v>3744</v>
      </c>
      <c r="I455" s="1">
        <v>0</v>
      </c>
      <c r="J455" s="1">
        <v>113</v>
      </c>
      <c r="K455" s="1">
        <f t="shared" si="91"/>
        <v>0</v>
      </c>
      <c r="L455" s="1">
        <f t="shared" si="92"/>
        <v>0.98603365384615371</v>
      </c>
      <c r="M455" s="1">
        <f t="shared" si="93"/>
        <v>0.98603365384615371</v>
      </c>
      <c r="N455" s="2">
        <f t="shared" si="87"/>
        <v>17.0379580194544</v>
      </c>
      <c r="O455" s="1">
        <v>1396</v>
      </c>
      <c r="P455" s="1">
        <f t="shared" si="94"/>
        <v>476</v>
      </c>
      <c r="Q455" s="1">
        <f t="shared" si="95"/>
        <v>6.6256995079699026</v>
      </c>
      <c r="R455" s="1">
        <f t="shared" si="96"/>
        <v>1.68473983215474</v>
      </c>
      <c r="S455" s="2">
        <f t="shared" si="97"/>
        <v>5.6471385992793763</v>
      </c>
      <c r="T455" s="2">
        <f t="shared" si="98"/>
        <v>9.8561161873885791E-2</v>
      </c>
      <c r="U455" s="1" t="s">
        <v>2507</v>
      </c>
      <c r="V455" s="6" t="s">
        <v>2505</v>
      </c>
      <c r="W455" s="1"/>
      <c r="X455" s="1"/>
    </row>
    <row r="456" spans="1:24" ht="14.25" customHeight="1" x14ac:dyDescent="0.3">
      <c r="A456" s="1" t="s">
        <v>27</v>
      </c>
      <c r="B456" s="1" t="s">
        <v>934</v>
      </c>
      <c r="C456" s="1" t="s">
        <v>935</v>
      </c>
      <c r="D456" s="1">
        <f t="shared" si="88"/>
        <v>32</v>
      </c>
      <c r="E456" s="1">
        <f t="shared" si="89"/>
        <v>0.93605324074074081</v>
      </c>
      <c r="F456" s="2">
        <f t="shared" si="90"/>
        <v>201.9533567457068</v>
      </c>
      <c r="G456" s="1">
        <v>2080</v>
      </c>
      <c r="H456" s="1">
        <v>3744</v>
      </c>
      <c r="I456" s="1">
        <v>0</v>
      </c>
      <c r="J456" s="1">
        <v>195</v>
      </c>
      <c r="K456" s="1">
        <f t="shared" si="91"/>
        <v>0</v>
      </c>
      <c r="L456" s="1">
        <f t="shared" si="92"/>
        <v>1.7015624999999999</v>
      </c>
      <c r="M456" s="1">
        <f t="shared" si="93"/>
        <v>1.7015624999999999</v>
      </c>
      <c r="N456" s="2">
        <f t="shared" si="87"/>
        <v>9.8732782369146026</v>
      </c>
      <c r="O456" s="1">
        <v>1396</v>
      </c>
      <c r="P456" s="1">
        <f t="shared" si="94"/>
        <v>476</v>
      </c>
      <c r="Q456" s="1">
        <f t="shared" si="95"/>
        <v>3.8395079200030722</v>
      </c>
      <c r="R456" s="1">
        <f t="shared" si="96"/>
        <v>0.97628513350505464</v>
      </c>
      <c r="S456" s="2">
        <f t="shared" si="97"/>
        <v>5.6471385992793763</v>
      </c>
      <c r="T456" s="2">
        <f t="shared" si="98"/>
        <v>9.8561161873885791E-2</v>
      </c>
      <c r="U456" s="1" t="s">
        <v>2507</v>
      </c>
      <c r="V456" s="6" t="s">
        <v>2505</v>
      </c>
    </row>
    <row r="457" spans="1:24" ht="14.25" customHeight="1" x14ac:dyDescent="0.3">
      <c r="A457" s="1" t="s">
        <v>27</v>
      </c>
      <c r="B457" s="1" t="s">
        <v>936</v>
      </c>
      <c r="C457" s="1" t="s">
        <v>937</v>
      </c>
      <c r="D457" s="1">
        <f t="shared" si="88"/>
        <v>14</v>
      </c>
      <c r="E457" s="1">
        <f t="shared" si="89"/>
        <v>0.84285879629629623</v>
      </c>
      <c r="F457" s="2">
        <f t="shared" si="90"/>
        <v>88.270463252430176</v>
      </c>
      <c r="G457" s="1">
        <v>2080</v>
      </c>
      <c r="H457" s="1">
        <v>3744</v>
      </c>
      <c r="I457" s="1">
        <v>0</v>
      </c>
      <c r="J457" s="1">
        <v>190</v>
      </c>
      <c r="K457" s="1">
        <f t="shared" si="91"/>
        <v>0</v>
      </c>
      <c r="L457" s="1">
        <f t="shared" si="92"/>
        <v>1.657932692307692</v>
      </c>
      <c r="M457" s="1">
        <f t="shared" si="93"/>
        <v>1.657932692307692</v>
      </c>
      <c r="N457" s="2">
        <f t="shared" si="87"/>
        <v>10.133101348412355</v>
      </c>
      <c r="O457" s="1">
        <v>1395</v>
      </c>
      <c r="P457" s="1">
        <f t="shared" si="94"/>
        <v>477</v>
      </c>
      <c r="Q457" s="1">
        <f t="shared" si="95"/>
        <v>3.940547602108416</v>
      </c>
      <c r="R457" s="1">
        <f t="shared" si="96"/>
        <v>1.0040818409218559</v>
      </c>
      <c r="S457" s="2">
        <f t="shared" si="97"/>
        <v>5.6589254130807474</v>
      </c>
      <c r="T457" s="2">
        <f t="shared" si="98"/>
        <v>9.8766880583039229E-2</v>
      </c>
      <c r="U457" s="1" t="s">
        <v>2507</v>
      </c>
      <c r="V457" s="6" t="s">
        <v>2505</v>
      </c>
    </row>
    <row r="458" spans="1:24" ht="14.25" customHeight="1" x14ac:dyDescent="0.3">
      <c r="A458" s="1" t="s">
        <v>17</v>
      </c>
      <c r="B458" s="1" t="s">
        <v>938</v>
      </c>
      <c r="C458" s="1" t="s">
        <v>939</v>
      </c>
      <c r="D458" s="1">
        <f t="shared" si="88"/>
        <v>15</v>
      </c>
      <c r="E458" s="1">
        <f t="shared" si="89"/>
        <v>0.82376157407407413</v>
      </c>
      <c r="F458" s="2">
        <f t="shared" si="90"/>
        <v>94.433657173535153</v>
      </c>
      <c r="G458" s="1">
        <v>2080</v>
      </c>
      <c r="H458" s="1">
        <v>3744</v>
      </c>
      <c r="I458" s="1">
        <v>0</v>
      </c>
      <c r="J458" s="1">
        <v>234</v>
      </c>
      <c r="K458" s="1">
        <f t="shared" si="91"/>
        <v>0</v>
      </c>
      <c r="L458" s="1">
        <f t="shared" si="92"/>
        <v>2.0418749999999997</v>
      </c>
      <c r="M458" s="1">
        <f t="shared" si="93"/>
        <v>2.0418749999999997</v>
      </c>
      <c r="N458" s="2">
        <f t="shared" si="87"/>
        <v>8.2277318640955013</v>
      </c>
      <c r="O458" s="1">
        <v>1395</v>
      </c>
      <c r="P458" s="1">
        <f t="shared" si="94"/>
        <v>477</v>
      </c>
      <c r="Q458" s="1">
        <f t="shared" si="95"/>
        <v>3.199589933335893</v>
      </c>
      <c r="R458" s="1">
        <f t="shared" si="96"/>
        <v>0.81528012724424193</v>
      </c>
      <c r="S458" s="2">
        <f t="shared" si="97"/>
        <v>5.6589254130807474</v>
      </c>
      <c r="T458" s="2">
        <f t="shared" si="98"/>
        <v>9.8766880583039229E-2</v>
      </c>
      <c r="U458" s="1" t="s">
        <v>2507</v>
      </c>
      <c r="V458" s="6" t="s">
        <v>2505</v>
      </c>
    </row>
    <row r="459" spans="1:24" ht="14.25" customHeight="1" x14ac:dyDescent="0.3">
      <c r="A459" s="1" t="s">
        <v>27</v>
      </c>
      <c r="B459" s="1" t="s">
        <v>940</v>
      </c>
      <c r="C459" s="1" t="s">
        <v>941</v>
      </c>
      <c r="D459" s="1">
        <f t="shared" si="88"/>
        <v>31</v>
      </c>
      <c r="E459" s="1">
        <f t="shared" si="89"/>
        <v>0.98032407407407407</v>
      </c>
      <c r="F459" s="2">
        <f t="shared" si="90"/>
        <v>195.94833328806382</v>
      </c>
      <c r="G459" s="1">
        <v>2080</v>
      </c>
      <c r="H459" s="1">
        <v>3744</v>
      </c>
      <c r="I459" s="1">
        <v>0</v>
      </c>
      <c r="J459" s="1">
        <v>240</v>
      </c>
      <c r="K459" s="1">
        <f t="shared" si="91"/>
        <v>0</v>
      </c>
      <c r="L459" s="1">
        <f t="shared" si="92"/>
        <v>2.0942307692307693</v>
      </c>
      <c r="M459" s="1">
        <f t="shared" si="93"/>
        <v>2.0942307692307693</v>
      </c>
      <c r="N459" s="2">
        <f t="shared" si="87"/>
        <v>8.0220385674931123</v>
      </c>
      <c r="O459" s="1">
        <v>1395</v>
      </c>
      <c r="P459" s="1">
        <f t="shared" si="94"/>
        <v>477</v>
      </c>
      <c r="Q459" s="1">
        <f t="shared" si="95"/>
        <v>3.1196001850024953</v>
      </c>
      <c r="R459" s="1">
        <f t="shared" si="96"/>
        <v>0.79489812406313576</v>
      </c>
      <c r="S459" s="2">
        <f t="shared" si="97"/>
        <v>5.6589254130807474</v>
      </c>
      <c r="T459" s="2">
        <f t="shared" si="98"/>
        <v>9.8766880583039229E-2</v>
      </c>
      <c r="U459" s="1" t="s">
        <v>2507</v>
      </c>
      <c r="V459" s="6" t="s">
        <v>2505</v>
      </c>
    </row>
    <row r="460" spans="1:24" ht="14.25" customHeight="1" x14ac:dyDescent="0.3">
      <c r="A460" s="1" t="s">
        <v>40</v>
      </c>
      <c r="B460" s="1" t="s">
        <v>942</v>
      </c>
      <c r="C460" s="1" t="s">
        <v>943</v>
      </c>
      <c r="D460" s="1">
        <f t="shared" si="88"/>
        <v>60</v>
      </c>
      <c r="E460" s="1">
        <f t="shared" si="89"/>
        <v>8.7476851851851847E-2</v>
      </c>
      <c r="F460" s="2">
        <f t="shared" si="90"/>
        <v>372.55078264804911</v>
      </c>
      <c r="G460" s="1">
        <v>2080</v>
      </c>
      <c r="H460" s="1">
        <v>3744</v>
      </c>
      <c r="I460" s="1">
        <v>0</v>
      </c>
      <c r="J460" s="1">
        <v>193</v>
      </c>
      <c r="K460" s="1">
        <f t="shared" si="91"/>
        <v>0</v>
      </c>
      <c r="L460" s="1">
        <f t="shared" si="92"/>
        <v>1.6841105769230769</v>
      </c>
      <c r="M460" s="1">
        <f t="shared" si="93"/>
        <v>1.6841105769230769</v>
      </c>
      <c r="N460" s="2">
        <f t="shared" si="87"/>
        <v>9.9755920010277066</v>
      </c>
      <c r="O460" s="1">
        <v>1395</v>
      </c>
      <c r="P460" s="1">
        <f t="shared" si="94"/>
        <v>477</v>
      </c>
      <c r="Q460" s="1">
        <f t="shared" si="95"/>
        <v>3.8792955668424822</v>
      </c>
      <c r="R460" s="1">
        <f t="shared" si="96"/>
        <v>0.98847435116659399</v>
      </c>
      <c r="S460" s="2">
        <f t="shared" si="97"/>
        <v>5.6589254130807483</v>
      </c>
      <c r="T460" s="2">
        <f t="shared" si="98"/>
        <v>9.8766880583039243E-2</v>
      </c>
      <c r="U460" s="1" t="s">
        <v>2507</v>
      </c>
      <c r="V460" s="6" t="s">
        <v>2505</v>
      </c>
    </row>
    <row r="461" spans="1:24" ht="14.25" customHeight="1" x14ac:dyDescent="0.3">
      <c r="A461" s="1" t="s">
        <v>82</v>
      </c>
      <c r="B461" s="1" t="s">
        <v>944</v>
      </c>
      <c r="C461" s="1" t="s">
        <v>945</v>
      </c>
      <c r="D461" s="1">
        <f t="shared" si="88"/>
        <v>62</v>
      </c>
      <c r="E461" s="1">
        <f t="shared" si="89"/>
        <v>0.69723379629629623</v>
      </c>
      <c r="F461" s="2">
        <f t="shared" si="90"/>
        <v>388.94836913669229</v>
      </c>
      <c r="G461" s="1">
        <v>2080</v>
      </c>
      <c r="H461" s="1">
        <v>3744</v>
      </c>
      <c r="I461" s="1">
        <v>0</v>
      </c>
      <c r="J461" s="1">
        <v>390</v>
      </c>
      <c r="K461" s="1">
        <f t="shared" si="91"/>
        <v>0</v>
      </c>
      <c r="L461" s="1">
        <f t="shared" si="92"/>
        <v>3.4031249999999997</v>
      </c>
      <c r="M461" s="1">
        <f t="shared" si="93"/>
        <v>3.4031249999999997</v>
      </c>
      <c r="N461" s="2">
        <f t="shared" si="87"/>
        <v>4.9366391184573013</v>
      </c>
      <c r="O461" s="1">
        <v>1395</v>
      </c>
      <c r="P461" s="1">
        <f t="shared" si="94"/>
        <v>477</v>
      </c>
      <c r="Q461" s="1">
        <f t="shared" si="95"/>
        <v>1.9197539600015361</v>
      </c>
      <c r="R461" s="1">
        <f t="shared" si="96"/>
        <v>0.48916807634654524</v>
      </c>
      <c r="S461" s="2">
        <f t="shared" si="97"/>
        <v>5.6589254130807483</v>
      </c>
      <c r="T461" s="2">
        <f t="shared" si="98"/>
        <v>9.8766880583039243E-2</v>
      </c>
      <c r="U461" s="1" t="s">
        <v>2507</v>
      </c>
      <c r="V461" s="6" t="s">
        <v>2505</v>
      </c>
    </row>
    <row r="462" spans="1:24" ht="14.25" customHeight="1" x14ac:dyDescent="0.3">
      <c r="A462" s="1" t="s">
        <v>17</v>
      </c>
      <c r="B462" s="1" t="s">
        <v>946</v>
      </c>
      <c r="C462" s="1" t="s">
        <v>947</v>
      </c>
      <c r="D462" s="1">
        <f t="shared" si="88"/>
        <v>25</v>
      </c>
      <c r="E462" s="1">
        <f t="shared" si="89"/>
        <v>1.0081018518518519E-2</v>
      </c>
      <c r="F462" s="2">
        <f t="shared" si="90"/>
        <v>152.15300453392661</v>
      </c>
      <c r="G462" s="1">
        <v>2080</v>
      </c>
      <c r="H462" s="1">
        <v>3744</v>
      </c>
      <c r="I462" s="1">
        <v>0</v>
      </c>
      <c r="J462" s="1">
        <v>182</v>
      </c>
      <c r="K462" s="1">
        <f t="shared" si="91"/>
        <v>0</v>
      </c>
      <c r="L462" s="1">
        <f t="shared" si="92"/>
        <v>1.5881249999999998</v>
      </c>
      <c r="M462" s="1">
        <f t="shared" si="93"/>
        <v>1.5881249999999998</v>
      </c>
      <c r="N462" s="2">
        <f t="shared" si="87"/>
        <v>10.578512396694217</v>
      </c>
      <c r="O462" s="1">
        <v>1393</v>
      </c>
      <c r="P462" s="1">
        <f t="shared" si="94"/>
        <v>479</v>
      </c>
      <c r="Q462" s="1">
        <f t="shared" si="95"/>
        <v>4.1137584857175771</v>
      </c>
      <c r="R462" s="1">
        <f t="shared" si="96"/>
        <v>1.0526123475741023</v>
      </c>
      <c r="S462" s="2">
        <f t="shared" si="97"/>
        <v>5.6824975981628665</v>
      </c>
      <c r="T462" s="2">
        <f t="shared" si="98"/>
        <v>9.91782928246117E-2</v>
      </c>
      <c r="U462" s="1" t="s">
        <v>2507</v>
      </c>
      <c r="V462" s="6" t="s">
        <v>2505</v>
      </c>
    </row>
    <row r="463" spans="1:24" ht="14.25" customHeight="1" x14ac:dyDescent="0.3">
      <c r="A463" s="1" t="s">
        <v>17</v>
      </c>
      <c r="B463" s="1" t="s">
        <v>948</v>
      </c>
      <c r="C463" s="1" t="s">
        <v>949</v>
      </c>
      <c r="D463" s="1">
        <f t="shared" si="88"/>
        <v>36</v>
      </c>
      <c r="E463" s="1">
        <f t="shared" si="89"/>
        <v>0.22177083333333333</v>
      </c>
      <c r="F463" s="2">
        <f t="shared" si="90"/>
        <v>222.59812924702604</v>
      </c>
      <c r="G463" s="1">
        <v>2080</v>
      </c>
      <c r="H463" s="1">
        <v>3744</v>
      </c>
      <c r="I463" s="1">
        <v>0</v>
      </c>
      <c r="J463" s="1">
        <v>236</v>
      </c>
      <c r="K463" s="1">
        <f t="shared" si="91"/>
        <v>0</v>
      </c>
      <c r="L463" s="1">
        <f t="shared" si="92"/>
        <v>2.0593269230769229</v>
      </c>
      <c r="M463" s="1">
        <f t="shared" si="93"/>
        <v>2.0593269230769229</v>
      </c>
      <c r="N463" s="2">
        <f t="shared" si="87"/>
        <v>8.1580053228743541</v>
      </c>
      <c r="O463" s="1">
        <v>1393</v>
      </c>
      <c r="P463" s="1">
        <f t="shared" si="94"/>
        <v>479</v>
      </c>
      <c r="Q463" s="1">
        <f t="shared" si="95"/>
        <v>3.1724747644093183</v>
      </c>
      <c r="R463" s="1">
        <f t="shared" si="96"/>
        <v>0.81176036973935006</v>
      </c>
      <c r="S463" s="2">
        <f t="shared" si="97"/>
        <v>5.6824975981628665</v>
      </c>
      <c r="T463" s="2">
        <f t="shared" si="98"/>
        <v>9.91782928246117E-2</v>
      </c>
      <c r="U463" s="1" t="s">
        <v>2507</v>
      </c>
      <c r="V463" s="6" t="s">
        <v>2505</v>
      </c>
    </row>
    <row r="464" spans="1:24" ht="14.25" customHeight="1" x14ac:dyDescent="0.3">
      <c r="A464" s="1" t="s">
        <v>27</v>
      </c>
      <c r="B464" s="1" t="s">
        <v>950</v>
      </c>
      <c r="C464" s="1" t="s">
        <v>951</v>
      </c>
      <c r="D464" s="1">
        <f t="shared" si="88"/>
        <v>56</v>
      </c>
      <c r="E464" s="1">
        <f t="shared" si="89"/>
        <v>0.32196759259259261</v>
      </c>
      <c r="F464" s="2">
        <f t="shared" si="90"/>
        <v>348.89139019622263</v>
      </c>
      <c r="G464" s="1">
        <v>2080</v>
      </c>
      <c r="H464" s="1">
        <v>3744</v>
      </c>
      <c r="I464" s="1">
        <v>0</v>
      </c>
      <c r="J464" s="1">
        <v>173</v>
      </c>
      <c r="K464" s="1">
        <f t="shared" si="91"/>
        <v>0</v>
      </c>
      <c r="L464" s="1">
        <f t="shared" si="92"/>
        <v>1.5095913461538462</v>
      </c>
      <c r="M464" s="1">
        <f t="shared" si="93"/>
        <v>1.5095913461538462</v>
      </c>
      <c r="N464" s="2">
        <f t="shared" si="87"/>
        <v>11.128839631204318</v>
      </c>
      <c r="O464" s="1">
        <v>1392</v>
      </c>
      <c r="P464" s="1">
        <f t="shared" si="94"/>
        <v>480</v>
      </c>
      <c r="Q464" s="1">
        <f t="shared" si="95"/>
        <v>4.3277690427780282</v>
      </c>
      <c r="R464" s="1">
        <f t="shared" si="96"/>
        <v>1.1096843699430841</v>
      </c>
      <c r="S464" s="2">
        <f t="shared" si="97"/>
        <v>5.6942829675077089</v>
      </c>
      <c r="T464" s="2">
        <f t="shared" si="98"/>
        <v>9.9383986323242801E-2</v>
      </c>
      <c r="U464" s="1" t="s">
        <v>2507</v>
      </c>
      <c r="V464" s="6" t="s">
        <v>2505</v>
      </c>
    </row>
    <row r="465" spans="1:24" ht="14.25" customHeight="1" x14ac:dyDescent="0.3">
      <c r="A465" s="1" t="s">
        <v>27</v>
      </c>
      <c r="B465" s="1" t="s">
        <v>952</v>
      </c>
      <c r="C465" s="1" t="s">
        <v>953</v>
      </c>
      <c r="D465" s="1">
        <f t="shared" si="88"/>
        <v>34</v>
      </c>
      <c r="E465" s="1">
        <f t="shared" si="89"/>
        <v>0.77085648148148145</v>
      </c>
      <c r="F465" s="2">
        <f t="shared" si="90"/>
        <v>213.48176550949452</v>
      </c>
      <c r="G465" s="1">
        <v>2080</v>
      </c>
      <c r="H465" s="1">
        <v>3744</v>
      </c>
      <c r="I465" s="1">
        <v>0</v>
      </c>
      <c r="J465" s="1">
        <v>190</v>
      </c>
      <c r="K465" s="1">
        <f t="shared" si="91"/>
        <v>0</v>
      </c>
      <c r="L465" s="1">
        <f t="shared" si="92"/>
        <v>1.657932692307692</v>
      </c>
      <c r="M465" s="1">
        <f t="shared" si="93"/>
        <v>1.657932692307692</v>
      </c>
      <c r="N465" s="2">
        <f t="shared" si="87"/>
        <v>10.133101348412355</v>
      </c>
      <c r="O465" s="1">
        <v>1390</v>
      </c>
      <c r="P465" s="1">
        <f t="shared" si="94"/>
        <v>482</v>
      </c>
      <c r="Q465" s="1">
        <f t="shared" si="95"/>
        <v>3.940547602108416</v>
      </c>
      <c r="R465" s="1">
        <f t="shared" si="96"/>
        <v>1.0146068078078292</v>
      </c>
      <c r="S465" s="2">
        <f t="shared" si="97"/>
        <v>5.7178522549670134</v>
      </c>
      <c r="T465" s="2">
        <f t="shared" si="98"/>
        <v>9.9795347991756683E-2</v>
      </c>
      <c r="U465" s="1" t="s">
        <v>2507</v>
      </c>
      <c r="V465" s="6" t="s">
        <v>2505</v>
      </c>
    </row>
    <row r="466" spans="1:24" ht="14.25" customHeight="1" x14ac:dyDescent="0.3">
      <c r="A466" s="1" t="s">
        <v>40</v>
      </c>
      <c r="B466" s="1" t="s">
        <v>954</v>
      </c>
      <c r="C466" s="1" t="s">
        <v>955</v>
      </c>
      <c r="D466" s="1">
        <f t="shared" si="88"/>
        <v>93</v>
      </c>
      <c r="E466" s="1">
        <f t="shared" si="89"/>
        <v>0.97091435185185182</v>
      </c>
      <c r="F466" s="2">
        <f t="shared" si="90"/>
        <v>585.44669930478688</v>
      </c>
      <c r="G466" s="1">
        <v>2080</v>
      </c>
      <c r="H466" s="1">
        <v>3744</v>
      </c>
      <c r="I466" s="1">
        <v>0</v>
      </c>
      <c r="J466" s="1">
        <v>110</v>
      </c>
      <c r="K466" s="1">
        <f t="shared" si="91"/>
        <v>0</v>
      </c>
      <c r="L466" s="1">
        <f t="shared" si="92"/>
        <v>0.9598557692307691</v>
      </c>
      <c r="M466" s="1">
        <f t="shared" si="93"/>
        <v>0.9598557692307691</v>
      </c>
      <c r="N466" s="2">
        <f t="shared" si="87"/>
        <v>17.502629601803157</v>
      </c>
      <c r="O466" s="1">
        <v>1390</v>
      </c>
      <c r="P466" s="1">
        <f t="shared" si="94"/>
        <v>482</v>
      </c>
      <c r="Q466" s="1">
        <f t="shared" si="95"/>
        <v>6.8064004036418089</v>
      </c>
      <c r="R466" s="1">
        <f t="shared" si="96"/>
        <v>1.7525026680317048</v>
      </c>
      <c r="S466" s="2">
        <f t="shared" si="97"/>
        <v>5.7178522549670134</v>
      </c>
      <c r="T466" s="2">
        <f t="shared" si="98"/>
        <v>9.9795347991756683E-2</v>
      </c>
      <c r="U466" s="1" t="s">
        <v>2507</v>
      </c>
      <c r="V466" s="6" t="s">
        <v>2505</v>
      </c>
    </row>
    <row r="467" spans="1:24" ht="14.25" customHeight="1" x14ac:dyDescent="0.3">
      <c r="A467" s="1" t="s">
        <v>40</v>
      </c>
      <c r="B467" s="1" t="s">
        <v>956</v>
      </c>
      <c r="C467" s="1" t="s">
        <v>957</v>
      </c>
      <c r="D467" s="1">
        <f t="shared" si="88"/>
        <v>93</v>
      </c>
      <c r="E467" s="1">
        <f t="shared" si="89"/>
        <v>0.95552083333333337</v>
      </c>
      <c r="F467" s="2">
        <f t="shared" si="90"/>
        <v>585.34997897540552</v>
      </c>
      <c r="G467" s="1">
        <v>2080</v>
      </c>
      <c r="H467" s="1">
        <v>3744</v>
      </c>
      <c r="I467" s="1">
        <v>0</v>
      </c>
      <c r="J467" s="1">
        <v>288</v>
      </c>
      <c r="K467" s="1">
        <f t="shared" si="91"/>
        <v>0</v>
      </c>
      <c r="L467" s="1">
        <f t="shared" si="92"/>
        <v>2.5130769230769232</v>
      </c>
      <c r="M467" s="1">
        <f t="shared" si="93"/>
        <v>2.5130769230769232</v>
      </c>
      <c r="N467" s="2">
        <f t="shared" si="87"/>
        <v>6.6850321395775945</v>
      </c>
      <c r="O467" s="1">
        <v>1389</v>
      </c>
      <c r="P467" s="1">
        <f t="shared" si="94"/>
        <v>483</v>
      </c>
      <c r="Q467" s="1">
        <f t="shared" si="95"/>
        <v>2.599666820835413</v>
      </c>
      <c r="R467" s="1">
        <f t="shared" si="96"/>
        <v>0.67074736883734221</v>
      </c>
      <c r="S467" s="2">
        <f t="shared" si="97"/>
        <v>5.7296361711470292</v>
      </c>
      <c r="T467" s="2">
        <f t="shared" si="98"/>
        <v>0.10000101612787698</v>
      </c>
      <c r="U467" s="1" t="s">
        <v>2507</v>
      </c>
      <c r="V467" s="6" t="s">
        <v>2505</v>
      </c>
    </row>
    <row r="468" spans="1:24" ht="14.25" customHeight="1" x14ac:dyDescent="0.3">
      <c r="A468" s="1" t="s">
        <v>27</v>
      </c>
      <c r="B468" s="1" t="s">
        <v>958</v>
      </c>
      <c r="C468" s="1" t="s">
        <v>959</v>
      </c>
      <c r="D468" s="1">
        <f t="shared" si="88"/>
        <v>20</v>
      </c>
      <c r="E468" s="1">
        <f t="shared" si="89"/>
        <v>0.82862268518518523</v>
      </c>
      <c r="F468" s="2">
        <f t="shared" si="90"/>
        <v>125.88012697134299</v>
      </c>
      <c r="G468" s="1">
        <v>2080</v>
      </c>
      <c r="H468" s="1">
        <v>3744</v>
      </c>
      <c r="I468" s="1">
        <v>0</v>
      </c>
      <c r="J468" s="1">
        <v>193</v>
      </c>
      <c r="K468" s="1">
        <f t="shared" si="91"/>
        <v>0</v>
      </c>
      <c r="L468" s="1">
        <f t="shared" si="92"/>
        <v>1.6841105769230769</v>
      </c>
      <c r="M468" s="1">
        <f t="shared" si="93"/>
        <v>1.6841105769230769</v>
      </c>
      <c r="N468" s="2">
        <f t="shared" si="87"/>
        <v>9.9755920010277066</v>
      </c>
      <c r="O468" s="1">
        <v>1389</v>
      </c>
      <c r="P468" s="1">
        <f t="shared" si="94"/>
        <v>483</v>
      </c>
      <c r="Q468" s="1">
        <f t="shared" si="95"/>
        <v>3.8792955668424822</v>
      </c>
      <c r="R468" s="1">
        <f t="shared" si="96"/>
        <v>1.0009079908039098</v>
      </c>
      <c r="S468" s="2">
        <f t="shared" si="97"/>
        <v>5.7296361711470301</v>
      </c>
      <c r="T468" s="2">
        <f t="shared" si="98"/>
        <v>0.100001016127877</v>
      </c>
      <c r="U468" s="1" t="s">
        <v>2507</v>
      </c>
      <c r="V468" s="6" t="s">
        <v>2505</v>
      </c>
    </row>
    <row r="469" spans="1:24" ht="14.25" customHeight="1" x14ac:dyDescent="0.3">
      <c r="A469" s="1" t="s">
        <v>40</v>
      </c>
      <c r="B469" s="1" t="s">
        <v>960</v>
      </c>
      <c r="C469" s="1" t="s">
        <v>961</v>
      </c>
      <c r="D469" s="1">
        <f t="shared" si="88"/>
        <v>28</v>
      </c>
      <c r="E469" s="1">
        <f t="shared" si="89"/>
        <v>0.20796296296296299</v>
      </c>
      <c r="F469" s="2">
        <f t="shared" si="90"/>
        <v>172.24588938135483</v>
      </c>
      <c r="G469" s="1">
        <v>2080</v>
      </c>
      <c r="H469" s="1">
        <v>3744</v>
      </c>
      <c r="I469" s="1">
        <v>0</v>
      </c>
      <c r="J469" s="1">
        <v>109</v>
      </c>
      <c r="K469" s="1">
        <f t="shared" si="91"/>
        <v>0</v>
      </c>
      <c r="L469" s="1">
        <f t="shared" si="92"/>
        <v>0.95112980769230759</v>
      </c>
      <c r="M469" s="1">
        <f t="shared" si="93"/>
        <v>0.95112980769230759</v>
      </c>
      <c r="N469" s="2">
        <f t="shared" si="87"/>
        <v>17.66320418530594</v>
      </c>
      <c r="O469" s="1">
        <v>1388</v>
      </c>
      <c r="P469" s="1">
        <f t="shared" si="94"/>
        <v>484</v>
      </c>
      <c r="Q469" s="1">
        <f t="shared" si="95"/>
        <v>6.8688444440421934</v>
      </c>
      <c r="R469" s="1">
        <f t="shared" si="96"/>
        <v>1.7759191831818493</v>
      </c>
      <c r="S469" s="2">
        <f t="shared" si="97"/>
        <v>5.7414196010047256</v>
      </c>
      <c r="T469" s="2">
        <f t="shared" si="98"/>
        <v>0.10020667577607159</v>
      </c>
      <c r="U469" s="1" t="s">
        <v>2507</v>
      </c>
      <c r="V469" s="6" t="s">
        <v>2505</v>
      </c>
    </row>
    <row r="470" spans="1:24" ht="14.25" customHeight="1" x14ac:dyDescent="0.3">
      <c r="A470" s="1" t="s">
        <v>40</v>
      </c>
      <c r="B470" s="1" t="s">
        <v>962</v>
      </c>
      <c r="C470" s="1" t="s">
        <v>963</v>
      </c>
      <c r="D470" s="1">
        <f t="shared" si="88"/>
        <v>72</v>
      </c>
      <c r="E470" s="1">
        <f t="shared" si="89"/>
        <v>0.7728356481481482</v>
      </c>
      <c r="F470" s="2">
        <f t="shared" si="90"/>
        <v>452.25524265323929</v>
      </c>
      <c r="G470" s="1">
        <v>2080</v>
      </c>
      <c r="H470" s="1">
        <v>3744</v>
      </c>
      <c r="I470" s="1">
        <v>0</v>
      </c>
      <c r="J470" s="1">
        <v>105</v>
      </c>
      <c r="K470" s="1">
        <f t="shared" si="91"/>
        <v>0</v>
      </c>
      <c r="L470" s="1">
        <f t="shared" si="92"/>
        <v>0.91622596153846148</v>
      </c>
      <c r="M470" s="1">
        <f t="shared" si="93"/>
        <v>0.91622596153846148</v>
      </c>
      <c r="N470" s="2">
        <f t="shared" si="87"/>
        <v>18.336088154269973</v>
      </c>
      <c r="O470" s="1">
        <v>1388</v>
      </c>
      <c r="P470" s="1">
        <f t="shared" si="94"/>
        <v>484</v>
      </c>
      <c r="Q470" s="1">
        <f t="shared" si="95"/>
        <v>7.1305147085771328</v>
      </c>
      <c r="R470" s="1">
        <f t="shared" si="96"/>
        <v>1.8435732473030624</v>
      </c>
      <c r="S470" s="2">
        <f t="shared" si="97"/>
        <v>5.7414196010047256</v>
      </c>
      <c r="T470" s="2">
        <f t="shared" si="98"/>
        <v>0.10020667577607159</v>
      </c>
      <c r="U470" s="1" t="s">
        <v>2507</v>
      </c>
      <c r="V470" s="6" t="s">
        <v>2505</v>
      </c>
    </row>
    <row r="471" spans="1:24" ht="14.25" customHeight="1" x14ac:dyDescent="0.3">
      <c r="A471" s="1" t="s">
        <v>247</v>
      </c>
      <c r="B471" s="1" t="s">
        <v>964</v>
      </c>
      <c r="C471" s="1" t="s">
        <v>965</v>
      </c>
      <c r="D471" s="1">
        <f t="shared" si="88"/>
        <v>17</v>
      </c>
      <c r="E471" s="1">
        <f t="shared" si="89"/>
        <v>0.28096064814814814</v>
      </c>
      <c r="F471" s="2">
        <f t="shared" si="90"/>
        <v>103.58950898539307</v>
      </c>
      <c r="G471" s="1">
        <v>2080</v>
      </c>
      <c r="H471" s="1">
        <v>3744</v>
      </c>
      <c r="I471" s="1">
        <v>0</v>
      </c>
      <c r="J471" s="1">
        <v>190</v>
      </c>
      <c r="K471" s="1">
        <f t="shared" si="91"/>
        <v>0</v>
      </c>
      <c r="L471" s="1">
        <f t="shared" si="92"/>
        <v>1.657932692307692</v>
      </c>
      <c r="M471" s="1">
        <f t="shared" si="93"/>
        <v>1.657932692307692</v>
      </c>
      <c r="N471" s="2">
        <f t="shared" si="87"/>
        <v>10.133101348412355</v>
      </c>
      <c r="O471" s="1">
        <v>1386</v>
      </c>
      <c r="P471" s="1">
        <f t="shared" si="94"/>
        <v>486</v>
      </c>
      <c r="Q471" s="1">
        <f t="shared" si="95"/>
        <v>3.940547602108416</v>
      </c>
      <c r="R471" s="1">
        <f t="shared" si="96"/>
        <v>1.0230267813166081</v>
      </c>
      <c r="S471" s="2">
        <f t="shared" si="97"/>
        <v>5.7649849978869474</v>
      </c>
      <c r="T471" s="2">
        <f t="shared" si="98"/>
        <v>0.10061796954120557</v>
      </c>
      <c r="U471" s="1" t="s">
        <v>2507</v>
      </c>
      <c r="V471" s="6" t="s">
        <v>2505</v>
      </c>
    </row>
    <row r="472" spans="1:24" ht="14.25" customHeight="1" x14ac:dyDescent="0.3">
      <c r="A472" s="1" t="s">
        <v>27</v>
      </c>
      <c r="B472" s="1" t="s">
        <v>966</v>
      </c>
      <c r="C472" s="1" t="s">
        <v>967</v>
      </c>
      <c r="D472" s="1">
        <f t="shared" si="88"/>
        <v>30</v>
      </c>
      <c r="E472" s="1">
        <f t="shared" si="89"/>
        <v>0.7568287037037037</v>
      </c>
      <c r="F472" s="2">
        <f t="shared" si="90"/>
        <v>188.26088515355045</v>
      </c>
      <c r="G472" s="1">
        <v>2080</v>
      </c>
      <c r="H472" s="1">
        <v>3744</v>
      </c>
      <c r="I472" s="1">
        <v>0</v>
      </c>
      <c r="J472" s="1">
        <v>213</v>
      </c>
      <c r="K472" s="1">
        <f t="shared" si="91"/>
        <v>0</v>
      </c>
      <c r="L472" s="1">
        <f t="shared" si="92"/>
        <v>1.8586298076923076</v>
      </c>
      <c r="M472" s="1">
        <f t="shared" si="93"/>
        <v>1.8586298076923076</v>
      </c>
      <c r="N472" s="2">
        <f t="shared" si="87"/>
        <v>9.0389166957668881</v>
      </c>
      <c r="O472" s="1">
        <v>1386</v>
      </c>
      <c r="P472" s="1">
        <f t="shared" si="94"/>
        <v>486</v>
      </c>
      <c r="Q472" s="1">
        <f t="shared" si="95"/>
        <v>3.5150424619746428</v>
      </c>
      <c r="R472" s="1">
        <f t="shared" si="96"/>
        <v>0.91255910070495538</v>
      </c>
      <c r="S472" s="2">
        <f t="shared" si="97"/>
        <v>5.7649849978869474</v>
      </c>
      <c r="T472" s="2">
        <f t="shared" si="98"/>
        <v>0.10061796954120557</v>
      </c>
      <c r="U472" s="1" t="s">
        <v>2507</v>
      </c>
      <c r="V472" s="6" t="s">
        <v>2505</v>
      </c>
    </row>
    <row r="473" spans="1:24" ht="14.25" customHeight="1" x14ac:dyDescent="0.3">
      <c r="A473" s="1" t="s">
        <v>450</v>
      </c>
      <c r="B473" s="1" t="s">
        <v>968</v>
      </c>
      <c r="C473" s="1" t="s">
        <v>969</v>
      </c>
      <c r="D473" s="1">
        <f t="shared" si="88"/>
        <v>63</v>
      </c>
      <c r="E473" s="1">
        <f t="shared" si="89"/>
        <v>0.27634259259259258</v>
      </c>
      <c r="F473" s="2">
        <f t="shared" si="90"/>
        <v>392.58701701683964</v>
      </c>
      <c r="G473" s="1">
        <v>2080</v>
      </c>
      <c r="H473" s="1">
        <v>3744</v>
      </c>
      <c r="I473" s="1">
        <v>0</v>
      </c>
      <c r="J473" s="1">
        <v>306</v>
      </c>
      <c r="K473" s="1">
        <f t="shared" si="91"/>
        <v>0</v>
      </c>
      <c r="L473" s="1">
        <f t="shared" si="92"/>
        <v>2.6701442307692305</v>
      </c>
      <c r="M473" s="1">
        <f t="shared" si="93"/>
        <v>2.6701442307692305</v>
      </c>
      <c r="N473" s="2">
        <f t="shared" si="87"/>
        <v>6.2917949548965604</v>
      </c>
      <c r="O473" s="1">
        <v>1386</v>
      </c>
      <c r="P473" s="1">
        <f t="shared" si="94"/>
        <v>486</v>
      </c>
      <c r="Q473" s="1">
        <f t="shared" si="95"/>
        <v>2.4467452431392127</v>
      </c>
      <c r="R473" s="1">
        <f t="shared" si="96"/>
        <v>0.63521270735344948</v>
      </c>
      <c r="S473" s="2">
        <f t="shared" si="97"/>
        <v>5.7649849978869474</v>
      </c>
      <c r="T473" s="2">
        <f t="shared" si="98"/>
        <v>0.10061796954120557</v>
      </c>
      <c r="U473" s="1" t="s">
        <v>2507</v>
      </c>
      <c r="V473" s="6" t="s">
        <v>2505</v>
      </c>
    </row>
    <row r="474" spans="1:24" ht="14.25" customHeight="1" x14ac:dyDescent="0.3">
      <c r="A474" s="1" t="s">
        <v>30</v>
      </c>
      <c r="B474" s="1" t="s">
        <v>970</v>
      </c>
      <c r="C474" s="1" t="s">
        <v>971</v>
      </c>
      <c r="D474" s="1">
        <f t="shared" si="88"/>
        <v>41</v>
      </c>
      <c r="E474" s="1">
        <f t="shared" si="89"/>
        <v>0.12870370370370371</v>
      </c>
      <c r="F474" s="2">
        <f t="shared" si="90"/>
        <v>253.42929776145374</v>
      </c>
      <c r="G474" s="1">
        <v>2080</v>
      </c>
      <c r="H474" s="1">
        <v>3744</v>
      </c>
      <c r="I474" s="1">
        <v>0</v>
      </c>
      <c r="J474" s="1">
        <v>167</v>
      </c>
      <c r="K474" s="1">
        <f t="shared" si="91"/>
        <v>0</v>
      </c>
      <c r="L474" s="1">
        <f t="shared" si="92"/>
        <v>1.4572355769230767</v>
      </c>
      <c r="M474" s="1">
        <f t="shared" si="93"/>
        <v>1.4572355769230767</v>
      </c>
      <c r="N474" s="2">
        <f t="shared" si="87"/>
        <v>11.528678180828429</v>
      </c>
      <c r="O474" s="1">
        <v>1386</v>
      </c>
      <c r="P474" s="1">
        <f t="shared" si="94"/>
        <v>486</v>
      </c>
      <c r="Q474" s="1">
        <f t="shared" si="95"/>
        <v>4.4832577509017915</v>
      </c>
      <c r="R474" s="1">
        <f t="shared" si="96"/>
        <v>1.1639226853302729</v>
      </c>
      <c r="S474" s="2">
        <f t="shared" si="97"/>
        <v>5.7649849978869483</v>
      </c>
      <c r="T474" s="2">
        <f t="shared" si="98"/>
        <v>0.1006179695412056</v>
      </c>
      <c r="U474" s="1" t="s">
        <v>2507</v>
      </c>
      <c r="V474" s="6" t="s">
        <v>2505</v>
      </c>
    </row>
    <row r="475" spans="1:24" ht="14.25" customHeight="1" x14ac:dyDescent="0.3">
      <c r="A475" s="1" t="s">
        <v>40</v>
      </c>
      <c r="B475" s="1" t="s">
        <v>972</v>
      </c>
      <c r="C475" s="1" t="s">
        <v>973</v>
      </c>
      <c r="D475" s="1">
        <f t="shared" si="88"/>
        <v>72</v>
      </c>
      <c r="E475" s="1">
        <f t="shared" si="89"/>
        <v>0.7731365740740741</v>
      </c>
      <c r="F475" s="2">
        <f t="shared" si="90"/>
        <v>452.2571334265956</v>
      </c>
      <c r="G475" s="1">
        <v>2080</v>
      </c>
      <c r="H475" s="1">
        <v>3744</v>
      </c>
      <c r="I475" s="1">
        <v>0</v>
      </c>
      <c r="J475" s="1">
        <v>94</v>
      </c>
      <c r="K475" s="1">
        <f t="shared" si="91"/>
        <v>0</v>
      </c>
      <c r="L475" s="1">
        <f t="shared" si="92"/>
        <v>0.82024038461538462</v>
      </c>
      <c r="M475" s="1">
        <f t="shared" si="93"/>
        <v>0.82024038461538462</v>
      </c>
      <c r="N475" s="2">
        <f t="shared" si="87"/>
        <v>20.481800597854757</v>
      </c>
      <c r="O475" s="1">
        <v>1385</v>
      </c>
      <c r="P475" s="1">
        <f t="shared" si="94"/>
        <v>487</v>
      </c>
      <c r="Q475" s="1">
        <f t="shared" si="95"/>
        <v>7.9649366425595636</v>
      </c>
      <c r="R475" s="1">
        <f t="shared" si="96"/>
        <v>2.0720748637427926</v>
      </c>
      <c r="S475" s="2">
        <f t="shared" si="97"/>
        <v>5.7767669629789804</v>
      </c>
      <c r="T475" s="2">
        <f t="shared" si="98"/>
        <v>0.10082360362441659</v>
      </c>
      <c r="U475" s="1" t="s">
        <v>2507</v>
      </c>
      <c r="V475" s="6" t="s">
        <v>2505</v>
      </c>
    </row>
    <row r="476" spans="1:24" ht="14.25" customHeight="1" x14ac:dyDescent="0.3">
      <c r="A476" s="1" t="s">
        <v>40</v>
      </c>
      <c r="B476" s="1" t="s">
        <v>974</v>
      </c>
      <c r="C476" s="1" t="s">
        <v>975</v>
      </c>
      <c r="D476" s="1">
        <f t="shared" si="88"/>
        <v>93</v>
      </c>
      <c r="E476" s="1">
        <f t="shared" si="89"/>
        <v>0.28045138888888888</v>
      </c>
      <c r="F476" s="2">
        <f t="shared" si="90"/>
        <v>581.10839256074632</v>
      </c>
      <c r="G476" s="1">
        <v>2080</v>
      </c>
      <c r="H476" s="1">
        <v>3744</v>
      </c>
      <c r="I476" s="1">
        <v>0</v>
      </c>
      <c r="J476" s="1">
        <v>56</v>
      </c>
      <c r="K476" s="1">
        <f t="shared" si="91"/>
        <v>0</v>
      </c>
      <c r="L476" s="1">
        <f t="shared" si="92"/>
        <v>0.48865384615384611</v>
      </c>
      <c r="M476" s="1">
        <f t="shared" si="93"/>
        <v>0.48865384615384611</v>
      </c>
      <c r="N476" s="2">
        <f t="shared" si="87"/>
        <v>34.380165289256205</v>
      </c>
      <c r="O476" s="1">
        <v>1385</v>
      </c>
      <c r="P476" s="1">
        <f t="shared" si="94"/>
        <v>487</v>
      </c>
      <c r="Q476" s="1">
        <f t="shared" si="95"/>
        <v>13.369715078582127</v>
      </c>
      <c r="R476" s="1">
        <f t="shared" si="96"/>
        <v>3.478125664139688</v>
      </c>
      <c r="S476" s="2">
        <f t="shared" si="97"/>
        <v>5.7767669629789804</v>
      </c>
      <c r="T476" s="2">
        <f t="shared" si="98"/>
        <v>0.10082360362441659</v>
      </c>
      <c r="U476" s="1" t="s">
        <v>2507</v>
      </c>
      <c r="V476" s="6" t="s">
        <v>2505</v>
      </c>
      <c r="W476" s="3"/>
      <c r="X476" s="3"/>
    </row>
    <row r="477" spans="1:24" ht="14.25" customHeight="1" x14ac:dyDescent="0.3">
      <c r="A477" s="1" t="s">
        <v>247</v>
      </c>
      <c r="B477" s="1" t="s">
        <v>976</v>
      </c>
      <c r="C477" s="1" t="s">
        <v>977</v>
      </c>
      <c r="D477" s="1">
        <f t="shared" si="88"/>
        <v>23</v>
      </c>
      <c r="E477" s="1">
        <f t="shared" si="89"/>
        <v>0.720636574074074</v>
      </c>
      <c r="F477" s="2">
        <f t="shared" si="90"/>
        <v>144.05118614616893</v>
      </c>
      <c r="G477" s="1">
        <v>2080</v>
      </c>
      <c r="H477" s="1">
        <v>3744</v>
      </c>
      <c r="I477" s="1">
        <v>0</v>
      </c>
      <c r="J477" s="1">
        <v>244</v>
      </c>
      <c r="K477" s="1">
        <f t="shared" si="91"/>
        <v>0</v>
      </c>
      <c r="L477" s="1">
        <f t="shared" si="92"/>
        <v>2.1291346153846149</v>
      </c>
      <c r="M477" s="1">
        <f t="shared" si="93"/>
        <v>2.1291346153846149</v>
      </c>
      <c r="N477" s="2">
        <f t="shared" si="87"/>
        <v>7.8905297385178184</v>
      </c>
      <c r="O477" s="1">
        <v>1383</v>
      </c>
      <c r="P477" s="1">
        <f t="shared" si="94"/>
        <v>489</v>
      </c>
      <c r="Q477" s="1">
        <f t="shared" si="95"/>
        <v>3.0684591983631111</v>
      </c>
      <c r="R477" s="1">
        <f t="shared" si="96"/>
        <v>0.80153661752113325</v>
      </c>
      <c r="S477" s="2">
        <f t="shared" si="97"/>
        <v>5.8003294216354968</v>
      </c>
      <c r="T477" s="2">
        <f t="shared" si="98"/>
        <v>0.10123484610783784</v>
      </c>
      <c r="U477" s="1" t="s">
        <v>2507</v>
      </c>
      <c r="V477" s="6" t="s">
        <v>2505</v>
      </c>
    </row>
    <row r="478" spans="1:24" ht="14.25" customHeight="1" x14ac:dyDescent="0.3">
      <c r="A478" s="1" t="s">
        <v>17</v>
      </c>
      <c r="B478" s="1" t="s">
        <v>978</v>
      </c>
      <c r="C478" s="1" t="s">
        <v>979</v>
      </c>
      <c r="D478" s="1">
        <f t="shared" si="88"/>
        <v>25</v>
      </c>
      <c r="E478" s="1">
        <f t="shared" si="89"/>
        <v>9.8958333333333329E-3</v>
      </c>
      <c r="F478" s="2">
        <f t="shared" si="90"/>
        <v>152.15184098109196</v>
      </c>
      <c r="G478" s="1">
        <v>2080</v>
      </c>
      <c r="H478" s="1">
        <v>3744</v>
      </c>
      <c r="I478" s="1">
        <v>0</v>
      </c>
      <c r="J478" s="1">
        <v>176</v>
      </c>
      <c r="K478" s="1">
        <f t="shared" si="91"/>
        <v>0</v>
      </c>
      <c r="L478" s="1">
        <f t="shared" si="92"/>
        <v>1.5357692307692306</v>
      </c>
      <c r="M478" s="1">
        <f t="shared" si="93"/>
        <v>1.5357692307692306</v>
      </c>
      <c r="N478" s="2">
        <f t="shared" si="87"/>
        <v>10.939143501126974</v>
      </c>
      <c r="O478" s="1">
        <v>1383</v>
      </c>
      <c r="P478" s="1">
        <f t="shared" si="94"/>
        <v>489</v>
      </c>
      <c r="Q478" s="1">
        <f t="shared" si="95"/>
        <v>4.2540002522761311</v>
      </c>
      <c r="R478" s="1">
        <f t="shared" si="96"/>
        <v>1.1112212197452074</v>
      </c>
      <c r="S478" s="2">
        <f t="shared" si="97"/>
        <v>5.8003294216354977</v>
      </c>
      <c r="T478" s="2">
        <f t="shared" si="98"/>
        <v>0.10123484610783785</v>
      </c>
      <c r="U478" s="1" t="s">
        <v>2507</v>
      </c>
      <c r="V478" s="6" t="s">
        <v>2505</v>
      </c>
    </row>
    <row r="479" spans="1:24" ht="14.25" customHeight="1" x14ac:dyDescent="0.3">
      <c r="A479" s="1" t="s">
        <v>27</v>
      </c>
      <c r="B479" s="1" t="s">
        <v>980</v>
      </c>
      <c r="C479" s="1" t="s">
        <v>981</v>
      </c>
      <c r="D479" s="1">
        <f t="shared" si="88"/>
        <v>55</v>
      </c>
      <c r="E479" s="1">
        <f t="shared" si="89"/>
        <v>0.2456365740740741</v>
      </c>
      <c r="F479" s="2">
        <f t="shared" si="90"/>
        <v>342.12860295500542</v>
      </c>
      <c r="G479" s="1">
        <v>2080</v>
      </c>
      <c r="H479" s="1">
        <v>3744</v>
      </c>
      <c r="I479" s="1">
        <v>0</v>
      </c>
      <c r="J479" s="1">
        <v>222</v>
      </c>
      <c r="K479" s="1">
        <f t="shared" si="91"/>
        <v>0</v>
      </c>
      <c r="L479" s="1">
        <f t="shared" si="92"/>
        <v>1.9371634615384614</v>
      </c>
      <c r="M479" s="1">
        <f t="shared" si="93"/>
        <v>1.9371634615384614</v>
      </c>
      <c r="N479" s="2">
        <f t="shared" si="87"/>
        <v>8.6724741270195818</v>
      </c>
      <c r="O479" s="1">
        <v>1383</v>
      </c>
      <c r="P479" s="1">
        <f t="shared" si="94"/>
        <v>489</v>
      </c>
      <c r="Q479" s="1">
        <f t="shared" si="95"/>
        <v>3.3725407405432386</v>
      </c>
      <c r="R479" s="1">
        <f t="shared" si="96"/>
        <v>0.88096817421241658</v>
      </c>
      <c r="S479" s="2">
        <f t="shared" si="97"/>
        <v>5.8003294216354977</v>
      </c>
      <c r="T479" s="2">
        <f t="shared" si="98"/>
        <v>0.10123484610783785</v>
      </c>
      <c r="U479" s="1" t="s">
        <v>2507</v>
      </c>
      <c r="V479" s="6" t="s">
        <v>2505</v>
      </c>
    </row>
    <row r="480" spans="1:24" ht="14.25" customHeight="1" x14ac:dyDescent="0.3">
      <c r="A480" s="1" t="s">
        <v>40</v>
      </c>
      <c r="B480" s="1" t="s">
        <v>982</v>
      </c>
      <c r="C480" s="1" t="s">
        <v>983</v>
      </c>
      <c r="D480" s="1">
        <f t="shared" si="88"/>
        <v>73</v>
      </c>
      <c r="E480" s="1">
        <f t="shared" si="89"/>
        <v>0.41046296296296297</v>
      </c>
      <c r="F480" s="2">
        <f t="shared" si="90"/>
        <v>456.26157322914014</v>
      </c>
      <c r="G480" s="1">
        <v>2080</v>
      </c>
      <c r="H480" s="1">
        <v>3744</v>
      </c>
      <c r="I480" s="1">
        <v>0</v>
      </c>
      <c r="J480" s="1">
        <v>188</v>
      </c>
      <c r="K480" s="1">
        <f t="shared" si="91"/>
        <v>0</v>
      </c>
      <c r="L480" s="1">
        <f t="shared" si="92"/>
        <v>1.6404807692307692</v>
      </c>
      <c r="M480" s="1">
        <f t="shared" si="93"/>
        <v>1.6404807692307692</v>
      </c>
      <c r="N480" s="2">
        <f t="shared" si="87"/>
        <v>10.240900298927379</v>
      </c>
      <c r="O480" s="1">
        <v>1383</v>
      </c>
      <c r="P480" s="1">
        <f t="shared" si="94"/>
        <v>489</v>
      </c>
      <c r="Q480" s="1">
        <f t="shared" si="95"/>
        <v>3.9824683212797818</v>
      </c>
      <c r="R480" s="1">
        <f t="shared" si="96"/>
        <v>1.0402922057189175</v>
      </c>
      <c r="S480" s="2">
        <f t="shared" si="97"/>
        <v>5.8003294216354977</v>
      </c>
      <c r="T480" s="2">
        <f t="shared" si="98"/>
        <v>0.10123484610783785</v>
      </c>
      <c r="U480" s="1" t="s">
        <v>2507</v>
      </c>
      <c r="V480" s="6" t="s">
        <v>2505</v>
      </c>
    </row>
    <row r="481" spans="1:24" ht="14.25" customHeight="1" x14ac:dyDescent="0.3">
      <c r="A481" s="1" t="s">
        <v>27</v>
      </c>
      <c r="B481" s="1" t="s">
        <v>984</v>
      </c>
      <c r="C481" s="1" t="s">
        <v>985</v>
      </c>
      <c r="D481" s="1">
        <f t="shared" si="88"/>
        <v>51</v>
      </c>
      <c r="E481" s="1">
        <f t="shared" si="89"/>
        <v>0.92231481481481481</v>
      </c>
      <c r="F481" s="2">
        <f t="shared" si="90"/>
        <v>321.24755650619738</v>
      </c>
      <c r="G481" s="1">
        <v>2080</v>
      </c>
      <c r="H481" s="1">
        <v>3744</v>
      </c>
      <c r="I481" s="1">
        <v>0</v>
      </c>
      <c r="J481" s="1">
        <v>208</v>
      </c>
      <c r="K481" s="1">
        <f t="shared" si="91"/>
        <v>0</v>
      </c>
      <c r="L481" s="1">
        <f t="shared" si="92"/>
        <v>1.8149999999999999</v>
      </c>
      <c r="M481" s="1">
        <f t="shared" si="93"/>
        <v>1.8149999999999999</v>
      </c>
      <c r="N481" s="2">
        <f t="shared" si="87"/>
        <v>9.2561983471074392</v>
      </c>
      <c r="O481" s="1">
        <v>1382</v>
      </c>
      <c r="P481" s="1">
        <f t="shared" si="94"/>
        <v>490</v>
      </c>
      <c r="Q481" s="1">
        <f t="shared" si="95"/>
        <v>3.5995386750028797</v>
      </c>
      <c r="R481" s="1">
        <f t="shared" si="96"/>
        <v>0.94218693950395893</v>
      </c>
      <c r="S481" s="2">
        <f t="shared" si="97"/>
        <v>5.812109913268964</v>
      </c>
      <c r="T481" s="2">
        <f t="shared" si="98"/>
        <v>0.10144045447434548</v>
      </c>
      <c r="U481" s="1" t="s">
        <v>2507</v>
      </c>
      <c r="V481" s="6" t="s">
        <v>2505</v>
      </c>
    </row>
    <row r="482" spans="1:24" ht="14.25" customHeight="1" x14ac:dyDescent="0.3">
      <c r="A482" s="1" t="s">
        <v>20</v>
      </c>
      <c r="B482" s="1" t="s">
        <v>986</v>
      </c>
      <c r="C482" s="1" t="s">
        <v>987</v>
      </c>
      <c r="D482" s="1">
        <f t="shared" si="88"/>
        <v>25</v>
      </c>
      <c r="E482" s="1">
        <f t="shared" si="89"/>
        <v>0.68738425925925928</v>
      </c>
      <c r="F482" s="2">
        <f t="shared" si="90"/>
        <v>156.40862630465395</v>
      </c>
      <c r="G482" s="1">
        <v>2080</v>
      </c>
      <c r="H482" s="1">
        <v>3744</v>
      </c>
      <c r="I482" s="1">
        <v>0</v>
      </c>
      <c r="J482" s="1">
        <v>225</v>
      </c>
      <c r="K482" s="1">
        <f t="shared" si="91"/>
        <v>0</v>
      </c>
      <c r="L482" s="1">
        <f t="shared" si="92"/>
        <v>1.963341346153846</v>
      </c>
      <c r="M482" s="1">
        <f t="shared" si="93"/>
        <v>1.963341346153846</v>
      </c>
      <c r="N482" s="2">
        <f t="shared" si="87"/>
        <v>8.5568411386593208</v>
      </c>
      <c r="O482" s="1">
        <v>1377</v>
      </c>
      <c r="P482" s="1">
        <f t="shared" si="94"/>
        <v>495</v>
      </c>
      <c r="Q482" s="1">
        <f t="shared" si="95"/>
        <v>3.3275735306693286</v>
      </c>
      <c r="R482" s="1">
        <f t="shared" si="96"/>
        <v>0.8798872316673706</v>
      </c>
      <c r="S482" s="2">
        <f t="shared" si="97"/>
        <v>5.8710049558902622</v>
      </c>
      <c r="T482" s="2">
        <f t="shared" si="98"/>
        <v>0.10246836688118953</v>
      </c>
      <c r="U482" s="1" t="s">
        <v>2507</v>
      </c>
      <c r="V482" s="6" t="s">
        <v>2505</v>
      </c>
    </row>
    <row r="483" spans="1:24" ht="14.25" customHeight="1" x14ac:dyDescent="0.3">
      <c r="A483" s="1" t="s">
        <v>27</v>
      </c>
      <c r="B483" s="1" t="s">
        <v>988</v>
      </c>
      <c r="C483" s="1" t="s">
        <v>989</v>
      </c>
      <c r="D483" s="1">
        <f t="shared" si="88"/>
        <v>71</v>
      </c>
      <c r="E483" s="1">
        <f t="shared" si="89"/>
        <v>0.75178240740740743</v>
      </c>
      <c r="F483" s="2">
        <f t="shared" si="90"/>
        <v>445.83977593316894</v>
      </c>
      <c r="G483" s="1">
        <v>2080</v>
      </c>
      <c r="H483" s="1">
        <v>3744</v>
      </c>
      <c r="I483" s="1">
        <v>0</v>
      </c>
      <c r="J483" s="1">
        <v>288</v>
      </c>
      <c r="K483" s="1">
        <f t="shared" si="91"/>
        <v>0</v>
      </c>
      <c r="L483" s="1">
        <f t="shared" si="92"/>
        <v>2.5130769230769232</v>
      </c>
      <c r="M483" s="1">
        <f t="shared" si="93"/>
        <v>2.5130769230769232</v>
      </c>
      <c r="N483" s="2">
        <f t="shared" si="87"/>
        <v>6.6850321395775945</v>
      </c>
      <c r="O483" s="1">
        <v>1375</v>
      </c>
      <c r="P483" s="1">
        <f t="shared" si="94"/>
        <v>497</v>
      </c>
      <c r="Q483" s="1">
        <f t="shared" si="95"/>
        <v>2.599666820835413</v>
      </c>
      <c r="R483" s="1">
        <f t="shared" si="96"/>
        <v>0.69018932155726509</v>
      </c>
      <c r="S483" s="2">
        <f t="shared" si="97"/>
        <v>5.8945594943497674</v>
      </c>
      <c r="T483" s="2">
        <f t="shared" si="98"/>
        <v>0.10287947113109552</v>
      </c>
      <c r="U483" s="1" t="s">
        <v>2507</v>
      </c>
      <c r="V483" s="6" t="s">
        <v>2505</v>
      </c>
    </row>
    <row r="484" spans="1:24" ht="14.25" customHeight="1" x14ac:dyDescent="0.3">
      <c r="A484" s="1" t="s">
        <v>17</v>
      </c>
      <c r="B484" s="1" t="s">
        <v>990</v>
      </c>
      <c r="C484" s="1" t="s">
        <v>991</v>
      </c>
      <c r="D484" s="1">
        <f t="shared" si="88"/>
        <v>75</v>
      </c>
      <c r="E484" s="1">
        <f t="shared" si="89"/>
        <v>0.91087962962962965</v>
      </c>
      <c r="F484" s="2">
        <f t="shared" si="90"/>
        <v>471.97215449096706</v>
      </c>
      <c r="G484" s="1">
        <v>2080</v>
      </c>
      <c r="H484" s="1">
        <v>3744</v>
      </c>
      <c r="I484" s="1">
        <v>0</v>
      </c>
      <c r="J484" s="1">
        <v>189</v>
      </c>
      <c r="K484" s="1">
        <f t="shared" si="91"/>
        <v>0</v>
      </c>
      <c r="L484" s="1">
        <f t="shared" si="92"/>
        <v>1.6492067307692306</v>
      </c>
      <c r="M484" s="1">
        <f t="shared" si="93"/>
        <v>1.6492067307692306</v>
      </c>
      <c r="N484" s="2">
        <f t="shared" si="87"/>
        <v>10.186715641261097</v>
      </c>
      <c r="O484" s="1">
        <v>1375</v>
      </c>
      <c r="P484" s="1">
        <f t="shared" si="94"/>
        <v>497</v>
      </c>
      <c r="Q484" s="1">
        <f t="shared" si="95"/>
        <v>3.9613970603206297</v>
      </c>
      <c r="R484" s="1">
        <f t="shared" si="96"/>
        <v>1.0517170614205946</v>
      </c>
      <c r="S484" s="2">
        <f t="shared" si="97"/>
        <v>5.8945594943497674</v>
      </c>
      <c r="T484" s="2">
        <f t="shared" si="98"/>
        <v>0.10287947113109552</v>
      </c>
      <c r="U484" s="1" t="s">
        <v>2507</v>
      </c>
      <c r="V484" s="6" t="s">
        <v>2505</v>
      </c>
    </row>
    <row r="485" spans="1:24" ht="14.25" customHeight="1" x14ac:dyDescent="0.3">
      <c r="A485" s="1" t="s">
        <v>27</v>
      </c>
      <c r="B485" s="1" t="s">
        <v>992</v>
      </c>
      <c r="C485" s="1" t="s">
        <v>993</v>
      </c>
      <c r="D485" s="1">
        <f t="shared" si="88"/>
        <v>28</v>
      </c>
      <c r="E485" s="1">
        <f t="shared" si="89"/>
        <v>0.25400462962962961</v>
      </c>
      <c r="F485" s="2">
        <f t="shared" si="90"/>
        <v>172.53517770487289</v>
      </c>
      <c r="G485" s="1">
        <v>2080</v>
      </c>
      <c r="H485" s="1">
        <v>3744</v>
      </c>
      <c r="I485" s="1">
        <v>0</v>
      </c>
      <c r="J485" s="1">
        <v>198</v>
      </c>
      <c r="K485" s="1">
        <f t="shared" si="91"/>
        <v>0</v>
      </c>
      <c r="L485" s="1">
        <f t="shared" si="92"/>
        <v>1.7277403846153845</v>
      </c>
      <c r="M485" s="1">
        <f t="shared" si="93"/>
        <v>1.7277403846153845</v>
      </c>
      <c r="N485" s="2">
        <f t="shared" si="87"/>
        <v>9.723683112112866</v>
      </c>
      <c r="O485" s="1">
        <v>1375</v>
      </c>
      <c r="P485" s="1">
        <f t="shared" si="94"/>
        <v>497</v>
      </c>
      <c r="Q485" s="1">
        <f t="shared" si="95"/>
        <v>3.7813335575787832</v>
      </c>
      <c r="R485" s="1">
        <f t="shared" si="96"/>
        <v>1.0039117404469313</v>
      </c>
      <c r="S485" s="2">
        <f t="shared" si="97"/>
        <v>5.8945594943497683</v>
      </c>
      <c r="T485" s="2">
        <f t="shared" si="98"/>
        <v>0.10287947113109555</v>
      </c>
      <c r="U485" s="1" t="s">
        <v>2507</v>
      </c>
      <c r="V485" s="6" t="s">
        <v>2505</v>
      </c>
    </row>
    <row r="486" spans="1:24" ht="14.25" customHeight="1" x14ac:dyDescent="0.3">
      <c r="A486" s="1" t="s">
        <v>27</v>
      </c>
      <c r="B486" s="1" t="s">
        <v>994</v>
      </c>
      <c r="C486" s="1" t="s">
        <v>995</v>
      </c>
      <c r="D486" s="1">
        <f t="shared" si="88"/>
        <v>38</v>
      </c>
      <c r="E486" s="1">
        <f t="shared" si="89"/>
        <v>0.74474537037037036</v>
      </c>
      <c r="F486" s="2">
        <f t="shared" si="90"/>
        <v>238.45044578852537</v>
      </c>
      <c r="G486" s="1">
        <v>2080</v>
      </c>
      <c r="H486" s="1">
        <v>3744</v>
      </c>
      <c r="I486" s="1">
        <v>0</v>
      </c>
      <c r="J486" s="1">
        <v>221</v>
      </c>
      <c r="K486" s="1">
        <f t="shared" si="91"/>
        <v>0</v>
      </c>
      <c r="L486" s="1">
        <f t="shared" si="92"/>
        <v>1.9284374999999998</v>
      </c>
      <c r="M486" s="1">
        <f t="shared" si="93"/>
        <v>1.9284374999999998</v>
      </c>
      <c r="N486" s="2">
        <f t="shared" si="87"/>
        <v>8.7117160913952372</v>
      </c>
      <c r="O486" s="1">
        <v>1373</v>
      </c>
      <c r="P486" s="1">
        <f t="shared" si="94"/>
        <v>499</v>
      </c>
      <c r="Q486" s="1">
        <f t="shared" si="95"/>
        <v>3.3878011058850634</v>
      </c>
      <c r="R486" s="1">
        <f t="shared" si="96"/>
        <v>0.90305168367342237</v>
      </c>
      <c r="S486" s="2">
        <f t="shared" si="97"/>
        <v>5.9181120334796162</v>
      </c>
      <c r="T486" s="2">
        <f t="shared" si="98"/>
        <v>0.10329054048611619</v>
      </c>
      <c r="U486" s="1" t="s">
        <v>2507</v>
      </c>
      <c r="V486" s="6" t="s">
        <v>2505</v>
      </c>
    </row>
    <row r="487" spans="1:24" ht="14.25" customHeight="1" x14ac:dyDescent="0.3">
      <c r="A487" s="1" t="s">
        <v>40</v>
      </c>
      <c r="B487" s="1" t="s">
        <v>996</v>
      </c>
      <c r="C487" s="1" t="s">
        <v>997</v>
      </c>
      <c r="D487" s="1">
        <f t="shared" si="88"/>
        <v>10</v>
      </c>
      <c r="E487" s="1">
        <f t="shared" si="89"/>
        <v>0.83396990740740751</v>
      </c>
      <c r="F487" s="2">
        <f t="shared" si="90"/>
        <v>63.081871487648009</v>
      </c>
      <c r="G487" s="1">
        <v>2080</v>
      </c>
      <c r="H487" s="1">
        <v>3744</v>
      </c>
      <c r="I487" s="1">
        <v>0</v>
      </c>
      <c r="J487" s="1">
        <v>211</v>
      </c>
      <c r="K487" s="1">
        <f t="shared" si="91"/>
        <v>0</v>
      </c>
      <c r="L487" s="1">
        <f t="shared" si="92"/>
        <v>1.8411778846153843</v>
      </c>
      <c r="M487" s="1">
        <f t="shared" si="93"/>
        <v>1.8411778846153843</v>
      </c>
      <c r="N487" s="2">
        <f t="shared" si="87"/>
        <v>9.1245936312717895</v>
      </c>
      <c r="O487" s="1">
        <v>1372</v>
      </c>
      <c r="P487" s="1">
        <f t="shared" si="94"/>
        <v>500</v>
      </c>
      <c r="Q487" s="1">
        <f t="shared" si="95"/>
        <v>3.5483604000028395</v>
      </c>
      <c r="R487" s="1">
        <f t="shared" si="96"/>
        <v>0.94774583333409168</v>
      </c>
      <c r="S487" s="2">
        <f t="shared" si="97"/>
        <v>5.9298875508882141</v>
      </c>
      <c r="T487" s="2">
        <f t="shared" si="98"/>
        <v>0.10349606203602213</v>
      </c>
      <c r="U487" s="1" t="s">
        <v>2507</v>
      </c>
      <c r="V487" s="6" t="s">
        <v>2505</v>
      </c>
    </row>
    <row r="488" spans="1:24" ht="14.25" customHeight="1" x14ac:dyDescent="0.3">
      <c r="A488" s="1" t="s">
        <v>30</v>
      </c>
      <c r="B488" s="1" t="s">
        <v>998</v>
      </c>
      <c r="C488" s="1" t="s">
        <v>999</v>
      </c>
      <c r="D488" s="1">
        <f t="shared" si="88"/>
        <v>78</v>
      </c>
      <c r="E488" s="1">
        <f t="shared" si="89"/>
        <v>0.22576388888888888</v>
      </c>
      <c r="F488" s="2">
        <f t="shared" si="90"/>
        <v>486.51700125656618</v>
      </c>
      <c r="G488" s="1">
        <v>2080</v>
      </c>
      <c r="H488" s="1">
        <v>3744</v>
      </c>
      <c r="I488" s="1">
        <v>0</v>
      </c>
      <c r="J488" s="1">
        <v>156</v>
      </c>
      <c r="K488" s="1">
        <f t="shared" si="91"/>
        <v>0</v>
      </c>
      <c r="L488" s="1">
        <f t="shared" si="92"/>
        <v>1.3612499999999998</v>
      </c>
      <c r="M488" s="1">
        <f t="shared" si="93"/>
        <v>1.3612499999999998</v>
      </c>
      <c r="N488" s="2">
        <f t="shared" si="87"/>
        <v>12.341597796143253</v>
      </c>
      <c r="O488" s="1">
        <v>1370</v>
      </c>
      <c r="P488" s="1">
        <f t="shared" si="94"/>
        <v>502</v>
      </c>
      <c r="Q488" s="1">
        <f t="shared" si="95"/>
        <v>4.7993849000038402</v>
      </c>
      <c r="R488" s="1">
        <f t="shared" si="96"/>
        <v>1.2870145404924827</v>
      </c>
      <c r="S488" s="2">
        <f t="shared" si="97"/>
        <v>5.9534370765795375</v>
      </c>
      <c r="T488" s="2">
        <f t="shared" si="98"/>
        <v>0.10390707879661872</v>
      </c>
      <c r="U488" s="1" t="s">
        <v>2507</v>
      </c>
      <c r="V488" s="6" t="s">
        <v>2505</v>
      </c>
      <c r="W488" s="2"/>
      <c r="X488" s="2"/>
    </row>
    <row r="489" spans="1:24" ht="14.25" customHeight="1" x14ac:dyDescent="0.3">
      <c r="A489" s="1" t="s">
        <v>40</v>
      </c>
      <c r="B489" s="1" t="s">
        <v>1000</v>
      </c>
      <c r="C489" s="1" t="s">
        <v>1001</v>
      </c>
      <c r="D489" s="1">
        <f t="shared" si="88"/>
        <v>92</v>
      </c>
      <c r="E489" s="1">
        <f t="shared" si="89"/>
        <v>3.5104166666666665E-2</v>
      </c>
      <c r="F489" s="2">
        <f t="shared" si="90"/>
        <v>573.28364519174272</v>
      </c>
      <c r="G489" s="1">
        <v>2080</v>
      </c>
      <c r="H489" s="1">
        <v>3744</v>
      </c>
      <c r="I489" s="1">
        <v>0</v>
      </c>
      <c r="J489" s="1">
        <v>149</v>
      </c>
      <c r="K489" s="1">
        <f t="shared" si="91"/>
        <v>0</v>
      </c>
      <c r="L489" s="1">
        <f t="shared" si="92"/>
        <v>1.3001682692307692</v>
      </c>
      <c r="M489" s="1">
        <f t="shared" si="93"/>
        <v>1.3001682692307692</v>
      </c>
      <c r="N489" s="2">
        <f t="shared" si="87"/>
        <v>12.921404404015753</v>
      </c>
      <c r="O489" s="1">
        <v>1369</v>
      </c>
      <c r="P489" s="1">
        <f t="shared" si="94"/>
        <v>503</v>
      </c>
      <c r="Q489" s="1">
        <f t="shared" si="95"/>
        <v>5.0248593583932815</v>
      </c>
      <c r="R489" s="1">
        <f t="shared" si="96"/>
        <v>1.3501625305939211</v>
      </c>
      <c r="S489" s="2">
        <f t="shared" si="97"/>
        <v>5.9652110829377341</v>
      </c>
      <c r="T489" s="2">
        <f t="shared" si="98"/>
        <v>0.10411257397371999</v>
      </c>
      <c r="U489" s="1" t="s">
        <v>2507</v>
      </c>
      <c r="V489" s="6" t="s">
        <v>2505</v>
      </c>
    </row>
    <row r="490" spans="1:24" ht="14.25" customHeight="1" x14ac:dyDescent="0.3">
      <c r="A490" s="1" t="s">
        <v>17</v>
      </c>
      <c r="B490" s="1" t="s">
        <v>1002</v>
      </c>
      <c r="C490" s="1" t="s">
        <v>1003</v>
      </c>
      <c r="D490" s="1">
        <f t="shared" si="88"/>
        <v>29</v>
      </c>
      <c r="E490" s="1">
        <f t="shared" si="89"/>
        <v>0.26010416666666664</v>
      </c>
      <c r="F490" s="2">
        <f t="shared" si="90"/>
        <v>178.8566875335442</v>
      </c>
      <c r="G490" s="1">
        <v>2080</v>
      </c>
      <c r="H490" s="1">
        <v>3744</v>
      </c>
      <c r="I490" s="1">
        <v>0</v>
      </c>
      <c r="J490" s="1">
        <v>149</v>
      </c>
      <c r="K490" s="1">
        <f t="shared" si="91"/>
        <v>0</v>
      </c>
      <c r="L490" s="1">
        <f t="shared" si="92"/>
        <v>1.3001682692307692</v>
      </c>
      <c r="M490" s="1">
        <f t="shared" si="93"/>
        <v>1.3001682692307692</v>
      </c>
      <c r="N490" s="2">
        <f t="shared" si="87"/>
        <v>12.921404404015753</v>
      </c>
      <c r="O490" s="1">
        <v>1368</v>
      </c>
      <c r="P490" s="1">
        <f t="shared" si="94"/>
        <v>504</v>
      </c>
      <c r="Q490" s="1">
        <f t="shared" si="95"/>
        <v>5.0248593583932815</v>
      </c>
      <c r="R490" s="1">
        <f t="shared" si="96"/>
        <v>1.3528467503366526</v>
      </c>
      <c r="S490" s="2">
        <f t="shared" si="97"/>
        <v>5.9769845836883579</v>
      </c>
      <c r="T490" s="2">
        <f t="shared" si="98"/>
        <v>0.1043180603263044</v>
      </c>
      <c r="U490" s="1" t="s">
        <v>2507</v>
      </c>
      <c r="V490" s="6" t="s">
        <v>2505</v>
      </c>
    </row>
    <row r="491" spans="1:24" ht="14.25" customHeight="1" x14ac:dyDescent="0.3">
      <c r="A491" s="1" t="s">
        <v>450</v>
      </c>
      <c r="B491" s="1" t="s">
        <v>1004</v>
      </c>
      <c r="C491" s="1" t="s">
        <v>1005</v>
      </c>
      <c r="D491" s="1">
        <f t="shared" si="88"/>
        <v>56</v>
      </c>
      <c r="E491" s="1">
        <f t="shared" si="89"/>
        <v>0.91190972222222222</v>
      </c>
      <c r="F491" s="2">
        <f t="shared" si="90"/>
        <v>352.5981059171977</v>
      </c>
      <c r="G491" s="1">
        <v>2080</v>
      </c>
      <c r="H491" s="1">
        <v>3744</v>
      </c>
      <c r="I491" s="1">
        <v>0</v>
      </c>
      <c r="J491" s="1">
        <v>240</v>
      </c>
      <c r="K491" s="1">
        <f t="shared" si="91"/>
        <v>0</v>
      </c>
      <c r="L491" s="1">
        <f t="shared" si="92"/>
        <v>2.0942307692307693</v>
      </c>
      <c r="M491" s="1">
        <f t="shared" si="93"/>
        <v>2.0942307692307693</v>
      </c>
      <c r="N491" s="2">
        <f t="shared" si="87"/>
        <v>8.0220385674931123</v>
      </c>
      <c r="O491" s="1">
        <v>1368</v>
      </c>
      <c r="P491" s="1">
        <f t="shared" si="94"/>
        <v>504</v>
      </c>
      <c r="Q491" s="1">
        <f t="shared" si="95"/>
        <v>3.1196001850024953</v>
      </c>
      <c r="R491" s="1">
        <f t="shared" si="96"/>
        <v>0.8398923575006717</v>
      </c>
      <c r="S491" s="2">
        <f t="shared" si="97"/>
        <v>5.9769845836883579</v>
      </c>
      <c r="T491" s="2">
        <f t="shared" si="98"/>
        <v>0.1043180603263044</v>
      </c>
      <c r="U491" s="1" t="s">
        <v>2507</v>
      </c>
      <c r="V491" s="6" t="s">
        <v>2505</v>
      </c>
    </row>
    <row r="492" spans="1:24" ht="14.25" customHeight="1" x14ac:dyDescent="0.3">
      <c r="A492" s="1" t="s">
        <v>40</v>
      </c>
      <c r="B492" s="1" t="s">
        <v>1006</v>
      </c>
      <c r="C492" s="1" t="s">
        <v>1007</v>
      </c>
      <c r="D492" s="1">
        <f t="shared" si="88"/>
        <v>73</v>
      </c>
      <c r="E492" s="1">
        <f t="shared" si="89"/>
        <v>0.28355324074074073</v>
      </c>
      <c r="F492" s="2">
        <f t="shared" si="90"/>
        <v>455.46417592713522</v>
      </c>
      <c r="G492" s="1">
        <v>2080</v>
      </c>
      <c r="H492" s="1">
        <v>3744</v>
      </c>
      <c r="I492" s="1">
        <v>0</v>
      </c>
      <c r="J492" s="1">
        <v>184</v>
      </c>
      <c r="K492" s="1">
        <f t="shared" si="91"/>
        <v>0</v>
      </c>
      <c r="L492" s="1">
        <f t="shared" si="92"/>
        <v>1.605576923076923</v>
      </c>
      <c r="M492" s="1">
        <f t="shared" si="93"/>
        <v>1.605576923076923</v>
      </c>
      <c r="N492" s="2">
        <f t="shared" si="87"/>
        <v>10.463528566295366</v>
      </c>
      <c r="O492" s="1">
        <v>1367</v>
      </c>
      <c r="P492" s="1">
        <f t="shared" si="94"/>
        <v>505</v>
      </c>
      <c r="Q492" s="1">
        <f t="shared" si="95"/>
        <v>4.069043719568473</v>
      </c>
      <c r="R492" s="1">
        <f t="shared" si="96"/>
        <v>1.0976854051186318</v>
      </c>
      <c r="S492" s="2">
        <f t="shared" si="97"/>
        <v>5.9887575778697739</v>
      </c>
      <c r="T492" s="2">
        <f t="shared" si="98"/>
        <v>0.10452353783758825</v>
      </c>
      <c r="U492" s="1" t="s">
        <v>2507</v>
      </c>
      <c r="V492" s="6" t="s">
        <v>2505</v>
      </c>
    </row>
    <row r="493" spans="1:24" ht="14.25" customHeight="1" x14ac:dyDescent="0.3">
      <c r="A493" s="1" t="s">
        <v>40</v>
      </c>
      <c r="B493" s="1" t="s">
        <v>1008</v>
      </c>
      <c r="C493" s="1" t="s">
        <v>1009</v>
      </c>
      <c r="D493" s="1">
        <f t="shared" si="88"/>
        <v>6</v>
      </c>
      <c r="E493" s="1">
        <f t="shared" si="89"/>
        <v>0.22687500000000002</v>
      </c>
      <c r="F493" s="2">
        <f t="shared" si="90"/>
        <v>34.134640456643879</v>
      </c>
      <c r="G493" s="1">
        <v>2080</v>
      </c>
      <c r="H493" s="1">
        <v>3744</v>
      </c>
      <c r="I493" s="1">
        <v>0</v>
      </c>
      <c r="J493" s="1">
        <v>153</v>
      </c>
      <c r="K493" s="1">
        <f t="shared" si="91"/>
        <v>0</v>
      </c>
      <c r="L493" s="1">
        <f t="shared" si="92"/>
        <v>1.3350721153846152</v>
      </c>
      <c r="M493" s="1">
        <f t="shared" si="93"/>
        <v>1.3350721153846152</v>
      </c>
      <c r="N493" s="2">
        <f t="shared" si="87"/>
        <v>12.583589909793121</v>
      </c>
      <c r="O493" s="1">
        <v>1366</v>
      </c>
      <c r="P493" s="1">
        <f t="shared" si="94"/>
        <v>506</v>
      </c>
      <c r="Q493" s="1">
        <f t="shared" si="95"/>
        <v>4.8934904862784254</v>
      </c>
      <c r="R493" s="1">
        <f t="shared" si="96"/>
        <v>1.3227062959705571</v>
      </c>
      <c r="S493" s="2">
        <f t="shared" si="97"/>
        <v>6.0005300645206061</v>
      </c>
      <c r="T493" s="2">
        <f t="shared" si="98"/>
        <v>0.10472900649079235</v>
      </c>
      <c r="U493" s="1" t="s">
        <v>2507</v>
      </c>
      <c r="V493" s="6" t="s">
        <v>2505</v>
      </c>
    </row>
    <row r="494" spans="1:24" ht="14.25" customHeight="1" x14ac:dyDescent="0.3">
      <c r="A494" s="1" t="s">
        <v>27</v>
      </c>
      <c r="B494" s="1" t="s">
        <v>1010</v>
      </c>
      <c r="C494" s="1" t="s">
        <v>1011</v>
      </c>
      <c r="D494" s="1">
        <f t="shared" si="88"/>
        <v>55</v>
      </c>
      <c r="E494" s="1">
        <f t="shared" si="89"/>
        <v>0.78282407407407406</v>
      </c>
      <c r="F494" s="2">
        <f t="shared" si="90"/>
        <v>345.50385156220591</v>
      </c>
      <c r="G494" s="1">
        <v>2080</v>
      </c>
      <c r="H494" s="1">
        <v>3744</v>
      </c>
      <c r="I494" s="1">
        <v>0</v>
      </c>
      <c r="J494" s="1">
        <v>220</v>
      </c>
      <c r="K494" s="1">
        <f t="shared" si="91"/>
        <v>0</v>
      </c>
      <c r="L494" s="1">
        <f t="shared" si="92"/>
        <v>1.9197115384615382</v>
      </c>
      <c r="M494" s="1">
        <f t="shared" si="93"/>
        <v>1.9197115384615382</v>
      </c>
      <c r="N494" s="2">
        <f t="shared" si="87"/>
        <v>8.7513148009015786</v>
      </c>
      <c r="O494" s="1">
        <v>1366</v>
      </c>
      <c r="P494" s="1">
        <f t="shared" si="94"/>
        <v>506</v>
      </c>
      <c r="Q494" s="1">
        <f t="shared" si="95"/>
        <v>3.4032002018209044</v>
      </c>
      <c r="R494" s="1">
        <f t="shared" si="96"/>
        <v>0.91988210583406915</v>
      </c>
      <c r="S494" s="2">
        <f t="shared" si="97"/>
        <v>6.0005300645206061</v>
      </c>
      <c r="T494" s="2">
        <f t="shared" si="98"/>
        <v>0.10472900649079235</v>
      </c>
      <c r="U494" s="1" t="s">
        <v>2507</v>
      </c>
      <c r="V494" s="6" t="s">
        <v>2505</v>
      </c>
    </row>
    <row r="495" spans="1:24" ht="14.25" customHeight="1" x14ac:dyDescent="0.3">
      <c r="A495" s="1" t="s">
        <v>40</v>
      </c>
      <c r="B495" s="1" t="s">
        <v>1012</v>
      </c>
      <c r="C495" s="1" t="s">
        <v>1013</v>
      </c>
      <c r="D495" s="1">
        <f t="shared" si="88"/>
        <v>78</v>
      </c>
      <c r="E495" s="1">
        <f t="shared" si="89"/>
        <v>0.14271990740740739</v>
      </c>
      <c r="F495" s="2">
        <f t="shared" si="90"/>
        <v>485.99522053227201</v>
      </c>
      <c r="G495" s="1">
        <v>2080</v>
      </c>
      <c r="H495" s="1">
        <v>3744</v>
      </c>
      <c r="I495" s="1">
        <v>0</v>
      </c>
      <c r="J495" s="1">
        <v>170</v>
      </c>
      <c r="K495" s="1">
        <f t="shared" si="91"/>
        <v>0</v>
      </c>
      <c r="L495" s="1">
        <f t="shared" si="92"/>
        <v>1.4834134615384613</v>
      </c>
      <c r="M495" s="1">
        <f t="shared" si="93"/>
        <v>1.4834134615384613</v>
      </c>
      <c r="N495" s="2">
        <f t="shared" si="87"/>
        <v>11.325230918813809</v>
      </c>
      <c r="O495" s="1">
        <v>1366</v>
      </c>
      <c r="P495" s="1">
        <f t="shared" si="94"/>
        <v>506</v>
      </c>
      <c r="Q495" s="1">
        <f t="shared" si="95"/>
        <v>4.4041414376505825</v>
      </c>
      <c r="R495" s="1">
        <f t="shared" si="96"/>
        <v>1.1904356663735014</v>
      </c>
      <c r="S495" s="2">
        <f t="shared" si="97"/>
        <v>6.0005300645206061</v>
      </c>
      <c r="T495" s="2">
        <f t="shared" si="98"/>
        <v>0.10472900649079235</v>
      </c>
      <c r="U495" s="1" t="s">
        <v>2507</v>
      </c>
      <c r="V495" s="6" t="s">
        <v>2505</v>
      </c>
    </row>
    <row r="496" spans="1:24" ht="14.25" customHeight="1" x14ac:dyDescent="0.3">
      <c r="A496" s="1" t="s">
        <v>40</v>
      </c>
      <c r="B496" s="1" t="s">
        <v>1014</v>
      </c>
      <c r="C496" s="1" t="s">
        <v>1015</v>
      </c>
      <c r="D496" s="1">
        <f t="shared" si="88"/>
        <v>93</v>
      </c>
      <c r="E496" s="1">
        <f t="shared" si="89"/>
        <v>0.2792824074074074</v>
      </c>
      <c r="F496" s="2">
        <f t="shared" si="90"/>
        <v>581.10104763347749</v>
      </c>
      <c r="G496" s="1">
        <v>2080</v>
      </c>
      <c r="H496" s="1">
        <v>3744</v>
      </c>
      <c r="I496" s="1">
        <v>0</v>
      </c>
      <c r="J496" s="1">
        <v>134</v>
      </c>
      <c r="K496" s="1">
        <f t="shared" si="91"/>
        <v>0</v>
      </c>
      <c r="L496" s="1">
        <f t="shared" si="92"/>
        <v>1.1692788461538461</v>
      </c>
      <c r="M496" s="1">
        <f t="shared" si="93"/>
        <v>1.1692788461538461</v>
      </c>
      <c r="N496" s="2">
        <f t="shared" si="87"/>
        <v>14.367830270136919</v>
      </c>
      <c r="O496" s="1">
        <v>1366</v>
      </c>
      <c r="P496" s="1">
        <f t="shared" si="94"/>
        <v>506</v>
      </c>
      <c r="Q496" s="1">
        <f t="shared" si="95"/>
        <v>5.5873436149298428</v>
      </c>
      <c r="R496" s="1">
        <f t="shared" si="96"/>
        <v>1.5102542036081732</v>
      </c>
      <c r="S496" s="2">
        <f t="shared" si="97"/>
        <v>6.0005300645206061</v>
      </c>
      <c r="T496" s="2">
        <f t="shared" si="98"/>
        <v>0.10472900649079235</v>
      </c>
      <c r="U496" s="1" t="s">
        <v>2507</v>
      </c>
      <c r="V496" s="6" t="s">
        <v>2505</v>
      </c>
    </row>
    <row r="497" spans="1:22" ht="14.25" customHeight="1" x14ac:dyDescent="0.3">
      <c r="A497" s="1" t="s">
        <v>82</v>
      </c>
      <c r="B497" s="1" t="s">
        <v>1016</v>
      </c>
      <c r="C497" s="1" t="s">
        <v>1017</v>
      </c>
      <c r="D497" s="1">
        <f t="shared" si="88"/>
        <v>55</v>
      </c>
      <c r="E497" s="1">
        <f t="shared" si="89"/>
        <v>0.19873842592592594</v>
      </c>
      <c r="F497" s="2">
        <f t="shared" si="90"/>
        <v>341.83393319962704</v>
      </c>
      <c r="G497" s="1">
        <v>2080</v>
      </c>
      <c r="H497" s="1">
        <v>3744</v>
      </c>
      <c r="I497" s="1">
        <v>0</v>
      </c>
      <c r="J497" s="1">
        <v>246</v>
      </c>
      <c r="K497" s="1">
        <f t="shared" si="91"/>
        <v>0</v>
      </c>
      <c r="L497" s="1">
        <f t="shared" si="92"/>
        <v>2.1465865384615381</v>
      </c>
      <c r="M497" s="1">
        <f t="shared" si="93"/>
        <v>2.1465865384615381</v>
      </c>
      <c r="N497" s="2">
        <f t="shared" si="87"/>
        <v>7.826379090237185</v>
      </c>
      <c r="O497" s="1">
        <v>1365</v>
      </c>
      <c r="P497" s="1">
        <f t="shared" si="94"/>
        <v>507</v>
      </c>
      <c r="Q497" s="1">
        <f t="shared" si="95"/>
        <v>3.0435123756121913</v>
      </c>
      <c r="R497" s="1">
        <f t="shared" si="96"/>
        <v>0.82428460172830176</v>
      </c>
      <c r="S497" s="2">
        <f t="shared" si="97"/>
        <v>6.0123020426797291</v>
      </c>
      <c r="T497" s="2">
        <f t="shared" si="98"/>
        <v>0.10493446626914191</v>
      </c>
      <c r="U497" s="1" t="s">
        <v>2507</v>
      </c>
      <c r="V497" s="6" t="s">
        <v>2505</v>
      </c>
    </row>
    <row r="498" spans="1:22" ht="14.25" customHeight="1" x14ac:dyDescent="0.3">
      <c r="A498" s="1" t="s">
        <v>40</v>
      </c>
      <c r="B498" s="1" t="s">
        <v>1018</v>
      </c>
      <c r="C498" s="1" t="s">
        <v>1019</v>
      </c>
      <c r="D498" s="1">
        <f t="shared" si="88"/>
        <v>32</v>
      </c>
      <c r="E498" s="1">
        <f t="shared" si="89"/>
        <v>0.72996527777777775</v>
      </c>
      <c r="F498" s="2">
        <f t="shared" si="90"/>
        <v>200.65846788483137</v>
      </c>
      <c r="G498" s="1">
        <v>2080</v>
      </c>
      <c r="H498" s="1">
        <v>3744</v>
      </c>
      <c r="I498" s="1">
        <v>0</v>
      </c>
      <c r="J498" s="1">
        <v>126</v>
      </c>
      <c r="K498" s="1">
        <f t="shared" si="91"/>
        <v>0</v>
      </c>
      <c r="L498" s="1">
        <f t="shared" si="92"/>
        <v>1.0994711538461537</v>
      </c>
      <c r="M498" s="1">
        <f t="shared" si="93"/>
        <v>1.0994711538461537</v>
      </c>
      <c r="N498" s="2">
        <f t="shared" si="87"/>
        <v>15.280073461891647</v>
      </c>
      <c r="O498" s="1">
        <v>1364</v>
      </c>
      <c r="P498" s="1">
        <f t="shared" si="94"/>
        <v>508</v>
      </c>
      <c r="Q498" s="1">
        <f t="shared" si="95"/>
        <v>5.9420955904809452</v>
      </c>
      <c r="R498" s="1">
        <f t="shared" si="96"/>
        <v>1.6124917521176922</v>
      </c>
      <c r="S498" s="2">
        <f t="shared" si="97"/>
        <v>6.0240735113862751</v>
      </c>
      <c r="T498" s="2">
        <f t="shared" si="98"/>
        <v>0.10513991715586662</v>
      </c>
      <c r="U498" s="1" t="s">
        <v>2507</v>
      </c>
      <c r="V498" s="6" t="s">
        <v>2505</v>
      </c>
    </row>
    <row r="499" spans="1:22" ht="14.25" customHeight="1" x14ac:dyDescent="0.3">
      <c r="A499" s="1" t="s">
        <v>40</v>
      </c>
      <c r="B499" s="1" t="s">
        <v>1020</v>
      </c>
      <c r="C499" s="1" t="s">
        <v>1021</v>
      </c>
      <c r="D499" s="1">
        <f t="shared" si="88"/>
        <v>78</v>
      </c>
      <c r="E499" s="1">
        <f t="shared" si="89"/>
        <v>0.14443287037037036</v>
      </c>
      <c r="F499" s="2">
        <f t="shared" si="90"/>
        <v>486.00598339599259</v>
      </c>
      <c r="G499" s="1">
        <v>2080</v>
      </c>
      <c r="H499" s="1">
        <v>3744</v>
      </c>
      <c r="I499" s="1">
        <v>0</v>
      </c>
      <c r="J499" s="1">
        <v>93</v>
      </c>
      <c r="K499" s="1">
        <f t="shared" si="91"/>
        <v>0</v>
      </c>
      <c r="L499" s="1">
        <f t="shared" si="92"/>
        <v>0.81151442307692301</v>
      </c>
      <c r="M499" s="1">
        <f t="shared" si="93"/>
        <v>0.81151442307692301</v>
      </c>
      <c r="N499" s="2">
        <f t="shared" si="87"/>
        <v>20.702035012885457</v>
      </c>
      <c r="O499" s="1">
        <v>1364</v>
      </c>
      <c r="P499" s="1">
        <f t="shared" si="94"/>
        <v>508</v>
      </c>
      <c r="Q499" s="1">
        <f t="shared" si="95"/>
        <v>8.0505811225870865</v>
      </c>
      <c r="R499" s="1">
        <f t="shared" si="96"/>
        <v>2.1846662448046152</v>
      </c>
      <c r="S499" s="2">
        <f t="shared" si="97"/>
        <v>6.0240735113862751</v>
      </c>
      <c r="T499" s="2">
        <f t="shared" si="98"/>
        <v>0.10513991715586662</v>
      </c>
      <c r="U499" s="1" t="s">
        <v>2507</v>
      </c>
      <c r="V499" s="6" t="s">
        <v>2505</v>
      </c>
    </row>
    <row r="500" spans="1:22" ht="14.25" customHeight="1" x14ac:dyDescent="0.3">
      <c r="A500" s="1" t="s">
        <v>40</v>
      </c>
      <c r="B500" s="1" t="s">
        <v>1022</v>
      </c>
      <c r="C500" s="1" t="s">
        <v>1023</v>
      </c>
      <c r="D500" s="1">
        <f t="shared" si="88"/>
        <v>75</v>
      </c>
      <c r="E500" s="1">
        <f t="shared" si="89"/>
        <v>0.84046296296296286</v>
      </c>
      <c r="F500" s="2">
        <f t="shared" si="90"/>
        <v>471.52971352558649</v>
      </c>
      <c r="G500" s="1">
        <v>2080</v>
      </c>
      <c r="H500" s="1">
        <v>3744</v>
      </c>
      <c r="I500" s="1">
        <v>0</v>
      </c>
      <c r="J500" s="1">
        <v>101</v>
      </c>
      <c r="K500" s="1">
        <f t="shared" si="91"/>
        <v>0</v>
      </c>
      <c r="L500" s="1">
        <f t="shared" si="92"/>
        <v>0.88132211538461536</v>
      </c>
      <c r="M500" s="1">
        <f t="shared" si="93"/>
        <v>0.88132211538461536</v>
      </c>
      <c r="N500" s="2">
        <f t="shared" si="87"/>
        <v>19.062269863349972</v>
      </c>
      <c r="O500" s="1">
        <v>1361</v>
      </c>
      <c r="P500" s="1">
        <f t="shared" si="94"/>
        <v>511</v>
      </c>
      <c r="Q500" s="1">
        <f t="shared" si="95"/>
        <v>7.4129113306989991</v>
      </c>
      <c r="R500" s="1">
        <f t="shared" si="96"/>
        <v>2.0235030395230704</v>
      </c>
      <c r="S500" s="2">
        <f t="shared" si="97"/>
        <v>6.0593848511855839</v>
      </c>
      <c r="T500" s="2">
        <f t="shared" si="98"/>
        <v>0.10575621629865507</v>
      </c>
      <c r="U500" s="1" t="s">
        <v>2507</v>
      </c>
      <c r="V500" s="6" t="s">
        <v>2505</v>
      </c>
    </row>
    <row r="501" spans="1:22" ht="14.25" customHeight="1" x14ac:dyDescent="0.3">
      <c r="A501" s="1" t="s">
        <v>27</v>
      </c>
      <c r="B501" s="1" t="s">
        <v>1024</v>
      </c>
      <c r="C501" s="1" t="s">
        <v>1025</v>
      </c>
      <c r="D501" s="1">
        <f t="shared" si="88"/>
        <v>34</v>
      </c>
      <c r="E501" s="1">
        <f t="shared" si="89"/>
        <v>0.11668981481481482</v>
      </c>
      <c r="F501" s="2">
        <f t="shared" si="90"/>
        <v>209.37151512104785</v>
      </c>
      <c r="G501" s="1">
        <v>2080</v>
      </c>
      <c r="H501" s="1">
        <v>3744</v>
      </c>
      <c r="I501" s="1">
        <v>0</v>
      </c>
      <c r="J501" s="1">
        <v>181</v>
      </c>
      <c r="K501" s="1">
        <f t="shared" si="91"/>
        <v>0</v>
      </c>
      <c r="L501" s="1">
        <f t="shared" si="92"/>
        <v>1.5793990384615384</v>
      </c>
      <c r="M501" s="1">
        <f t="shared" si="93"/>
        <v>1.5793990384615384</v>
      </c>
      <c r="N501" s="2">
        <f t="shared" si="87"/>
        <v>10.636957216565454</v>
      </c>
      <c r="O501" s="1">
        <v>1360</v>
      </c>
      <c r="P501" s="1">
        <f t="shared" si="94"/>
        <v>512</v>
      </c>
      <c r="Q501" s="1">
        <f t="shared" si="95"/>
        <v>4.1364864331524807</v>
      </c>
      <c r="R501" s="1">
        <f t="shared" si="96"/>
        <v>1.1313467167596529</v>
      </c>
      <c r="S501" s="2">
        <f t="shared" si="97"/>
        <v>6.0711542724782399</v>
      </c>
      <c r="T501" s="2">
        <f t="shared" si="98"/>
        <v>0.10596163145126625</v>
      </c>
      <c r="U501" s="1" t="s">
        <v>2507</v>
      </c>
      <c r="V501" s="6" t="s">
        <v>2505</v>
      </c>
    </row>
    <row r="502" spans="1:22" ht="14.25" customHeight="1" x14ac:dyDescent="0.3">
      <c r="A502" s="1" t="s">
        <v>27</v>
      </c>
      <c r="B502" s="1" t="s">
        <v>1026</v>
      </c>
      <c r="C502" s="1" t="s">
        <v>1027</v>
      </c>
      <c r="D502" s="1">
        <f t="shared" si="88"/>
        <v>43</v>
      </c>
      <c r="E502" s="1">
        <f t="shared" si="89"/>
        <v>0.22385416666666666</v>
      </c>
      <c r="F502" s="2">
        <f t="shared" si="90"/>
        <v>266.59351636667316</v>
      </c>
      <c r="G502" s="1">
        <v>2080</v>
      </c>
      <c r="H502" s="1">
        <v>3744</v>
      </c>
      <c r="I502" s="1">
        <v>0</v>
      </c>
      <c r="J502" s="1">
        <v>100</v>
      </c>
      <c r="K502" s="1">
        <f t="shared" si="91"/>
        <v>0</v>
      </c>
      <c r="L502" s="1">
        <f t="shared" si="92"/>
        <v>0.87259615384615374</v>
      </c>
      <c r="M502" s="1">
        <f t="shared" si="93"/>
        <v>0.87259615384615374</v>
      </c>
      <c r="N502" s="2">
        <f t="shared" si="87"/>
        <v>19.252892561983476</v>
      </c>
      <c r="O502" s="1">
        <v>1358</v>
      </c>
      <c r="P502" s="1">
        <f t="shared" si="94"/>
        <v>514</v>
      </c>
      <c r="Q502" s="1">
        <f t="shared" si="95"/>
        <v>7.4870404440059914</v>
      </c>
      <c r="R502" s="1">
        <f t="shared" si="96"/>
        <v>2.0557365321683121</v>
      </c>
      <c r="S502" s="2">
        <f t="shared" si="97"/>
        <v>6.094691571344959</v>
      </c>
      <c r="T502" s="2">
        <f t="shared" si="98"/>
        <v>0.10637243481351642</v>
      </c>
      <c r="U502" s="1" t="s">
        <v>2507</v>
      </c>
      <c r="V502" s="6" t="s">
        <v>2505</v>
      </c>
    </row>
    <row r="503" spans="1:22" ht="14.25" customHeight="1" x14ac:dyDescent="0.3">
      <c r="A503" s="1" t="s">
        <v>27</v>
      </c>
      <c r="B503" s="1" t="s">
        <v>1028</v>
      </c>
      <c r="C503" s="1" t="s">
        <v>1029</v>
      </c>
      <c r="D503" s="1">
        <f t="shared" si="88"/>
        <v>45</v>
      </c>
      <c r="E503" s="1">
        <f t="shared" si="89"/>
        <v>0.10094907407407407</v>
      </c>
      <c r="F503" s="2">
        <f t="shared" si="90"/>
        <v>278.38765150907699</v>
      </c>
      <c r="G503" s="1">
        <v>2080</v>
      </c>
      <c r="H503" s="1">
        <v>3744</v>
      </c>
      <c r="I503" s="1">
        <v>0</v>
      </c>
      <c r="J503" s="1">
        <v>195</v>
      </c>
      <c r="K503" s="1">
        <f t="shared" si="91"/>
        <v>0</v>
      </c>
      <c r="L503" s="1">
        <f t="shared" si="92"/>
        <v>1.7015624999999999</v>
      </c>
      <c r="M503" s="1">
        <f t="shared" si="93"/>
        <v>1.7015624999999999</v>
      </c>
      <c r="N503" s="2">
        <f t="shared" si="87"/>
        <v>9.8732782369146026</v>
      </c>
      <c r="O503" s="1">
        <v>1357</v>
      </c>
      <c r="P503" s="1">
        <f t="shared" si="94"/>
        <v>515</v>
      </c>
      <c r="Q503" s="1">
        <f t="shared" si="95"/>
        <v>3.8395079200030722</v>
      </c>
      <c r="R503" s="1">
        <f t="shared" si="96"/>
        <v>1.0562748818384522</v>
      </c>
      <c r="S503" s="2">
        <f t="shared" si="97"/>
        <v>6.1064594470006179</v>
      </c>
      <c r="T503" s="2">
        <f t="shared" si="98"/>
        <v>0.10657782298967296</v>
      </c>
      <c r="U503" s="1" t="s">
        <v>2507</v>
      </c>
      <c r="V503" s="6" t="s">
        <v>2505</v>
      </c>
    </row>
    <row r="504" spans="1:22" ht="14.25" customHeight="1" x14ac:dyDescent="0.3">
      <c r="A504" s="1" t="s">
        <v>17</v>
      </c>
      <c r="B504" s="1" t="s">
        <v>1030</v>
      </c>
      <c r="C504" s="1" t="s">
        <v>1031</v>
      </c>
      <c r="D504" s="1">
        <f t="shared" si="88"/>
        <v>76</v>
      </c>
      <c r="E504" s="1">
        <f t="shared" si="89"/>
        <v>0.1734259259259259</v>
      </c>
      <c r="F504" s="2">
        <f t="shared" si="90"/>
        <v>473.62178152231036</v>
      </c>
      <c r="G504" s="1">
        <v>2080</v>
      </c>
      <c r="H504" s="1">
        <v>3744</v>
      </c>
      <c r="I504" s="1">
        <v>0</v>
      </c>
      <c r="J504" s="1">
        <v>200</v>
      </c>
      <c r="K504" s="1">
        <f t="shared" si="91"/>
        <v>0</v>
      </c>
      <c r="L504" s="1">
        <f t="shared" si="92"/>
        <v>1.7451923076923075</v>
      </c>
      <c r="M504" s="1">
        <f t="shared" si="93"/>
        <v>1.7451923076923075</v>
      </c>
      <c r="N504" s="2">
        <f t="shared" si="87"/>
        <v>9.6264462809917379</v>
      </c>
      <c r="O504" s="1">
        <v>1356</v>
      </c>
      <c r="P504" s="1">
        <f t="shared" si="94"/>
        <v>516</v>
      </c>
      <c r="Q504" s="1">
        <f t="shared" si="95"/>
        <v>3.7435202220029957</v>
      </c>
      <c r="R504" s="1">
        <f t="shared" si="96"/>
        <v>1.0318677535008258</v>
      </c>
      <c r="S504" s="2">
        <f t="shared" si="97"/>
        <v>6.1182268055259703</v>
      </c>
      <c r="T504" s="2">
        <f t="shared" si="98"/>
        <v>0.10678320214020298</v>
      </c>
      <c r="U504" s="1" t="s">
        <v>2507</v>
      </c>
      <c r="V504" s="6" t="s">
        <v>2505</v>
      </c>
    </row>
    <row r="505" spans="1:22" ht="14.25" customHeight="1" x14ac:dyDescent="0.3">
      <c r="A505" s="1" t="s">
        <v>27</v>
      </c>
      <c r="B505" s="1" t="s">
        <v>1032</v>
      </c>
      <c r="C505" s="1" t="s">
        <v>1033</v>
      </c>
      <c r="D505" s="1">
        <f t="shared" si="88"/>
        <v>48</v>
      </c>
      <c r="E505" s="1">
        <f t="shared" si="89"/>
        <v>0.29388888888888892</v>
      </c>
      <c r="F505" s="2">
        <f t="shared" si="90"/>
        <v>298.44948404023012</v>
      </c>
      <c r="G505" s="1">
        <v>2080</v>
      </c>
      <c r="H505" s="1">
        <v>3744</v>
      </c>
      <c r="I505" s="1">
        <v>0</v>
      </c>
      <c r="J505" s="1">
        <v>113</v>
      </c>
      <c r="K505" s="1">
        <f t="shared" si="91"/>
        <v>0</v>
      </c>
      <c r="L505" s="1">
        <f t="shared" si="92"/>
        <v>0.98603365384615371</v>
      </c>
      <c r="M505" s="1">
        <f t="shared" si="93"/>
        <v>0.98603365384615371</v>
      </c>
      <c r="N505" s="2">
        <f t="shared" si="87"/>
        <v>17.0379580194544</v>
      </c>
      <c r="O505" s="1">
        <v>1354</v>
      </c>
      <c r="P505" s="1">
        <f t="shared" si="94"/>
        <v>518</v>
      </c>
      <c r="Q505" s="1">
        <f t="shared" si="95"/>
        <v>6.6256995079699026</v>
      </c>
      <c r="R505" s="1">
        <f t="shared" si="96"/>
        <v>1.8333933467566292</v>
      </c>
      <c r="S505" s="2">
        <f t="shared" si="97"/>
        <v>6.1417599673517929</v>
      </c>
      <c r="T505" s="2">
        <f t="shared" si="98"/>
        <v>0.10719393329746822</v>
      </c>
      <c r="U505" s="1" t="s">
        <v>2507</v>
      </c>
      <c r="V505" s="6" t="s">
        <v>2505</v>
      </c>
    </row>
    <row r="506" spans="1:22" ht="14.25" customHeight="1" x14ac:dyDescent="0.3">
      <c r="A506" s="1" t="s">
        <v>20</v>
      </c>
      <c r="B506" s="1" t="s">
        <v>1034</v>
      </c>
      <c r="C506" s="1" t="s">
        <v>1035</v>
      </c>
      <c r="D506" s="1">
        <f t="shared" si="88"/>
        <v>36</v>
      </c>
      <c r="E506" s="1">
        <f t="shared" si="89"/>
        <v>0.71369212962962969</v>
      </c>
      <c r="F506" s="2">
        <f t="shared" si="90"/>
        <v>225.68896190820368</v>
      </c>
      <c r="G506" s="1">
        <v>2080</v>
      </c>
      <c r="H506" s="1">
        <v>3744</v>
      </c>
      <c r="I506" s="1">
        <v>0</v>
      </c>
      <c r="J506" s="1">
        <v>556</v>
      </c>
      <c r="K506" s="1">
        <f t="shared" si="91"/>
        <v>0</v>
      </c>
      <c r="L506" s="1">
        <f t="shared" si="92"/>
        <v>4.851634615384615</v>
      </c>
      <c r="M506" s="1">
        <f t="shared" si="93"/>
        <v>4.851634615384615</v>
      </c>
      <c r="N506" s="2">
        <f t="shared" si="87"/>
        <v>3.4627504607883943</v>
      </c>
      <c r="O506" s="1">
        <v>1353</v>
      </c>
      <c r="P506" s="1">
        <f t="shared" si="94"/>
        <v>519</v>
      </c>
      <c r="Q506" s="1">
        <f t="shared" si="95"/>
        <v>1.3465900079147464</v>
      </c>
      <c r="R506" s="1">
        <f t="shared" si="96"/>
        <v>0.37333344770713323</v>
      </c>
      <c r="S506" s="2">
        <f t="shared" si="97"/>
        <v>6.1535257687359266</v>
      </c>
      <c r="T506" s="2">
        <f t="shared" si="98"/>
        <v>0.10739928527075707</v>
      </c>
      <c r="U506" s="1" t="s">
        <v>2507</v>
      </c>
      <c r="V506" s="6" t="s">
        <v>2505</v>
      </c>
    </row>
    <row r="507" spans="1:22" ht="14.25" customHeight="1" x14ac:dyDescent="0.3">
      <c r="A507" s="1" t="s">
        <v>17</v>
      </c>
      <c r="B507" s="1" t="s">
        <v>1036</v>
      </c>
      <c r="C507" s="1" t="s">
        <v>1037</v>
      </c>
      <c r="D507" s="1">
        <f t="shared" si="88"/>
        <v>76</v>
      </c>
      <c r="E507" s="1">
        <f t="shared" si="89"/>
        <v>0.97763888888888895</v>
      </c>
      <c r="F507" s="2">
        <f t="shared" si="90"/>
        <v>478.6748005950426</v>
      </c>
      <c r="G507" s="1">
        <v>2080</v>
      </c>
      <c r="H507" s="1">
        <v>3744</v>
      </c>
      <c r="I507" s="1">
        <v>0</v>
      </c>
      <c r="J507" s="1">
        <v>216</v>
      </c>
      <c r="K507" s="1">
        <f t="shared" si="91"/>
        <v>0</v>
      </c>
      <c r="L507" s="1">
        <f t="shared" si="92"/>
        <v>1.8848076923076922</v>
      </c>
      <c r="M507" s="1">
        <f t="shared" si="93"/>
        <v>1.8848076923076922</v>
      </c>
      <c r="N507" s="2">
        <f t="shared" si="87"/>
        <v>8.9133761861034593</v>
      </c>
      <c r="O507" s="1">
        <v>1353</v>
      </c>
      <c r="P507" s="1">
        <f t="shared" si="94"/>
        <v>519</v>
      </c>
      <c r="Q507" s="1">
        <f t="shared" si="95"/>
        <v>3.4662224277805507</v>
      </c>
      <c r="R507" s="1">
        <f t="shared" si="96"/>
        <v>0.96098794872762072</v>
      </c>
      <c r="S507" s="2">
        <f t="shared" si="97"/>
        <v>6.1535257687359266</v>
      </c>
      <c r="T507" s="2">
        <f t="shared" si="98"/>
        <v>0.10739928527075707</v>
      </c>
      <c r="U507" s="1" t="s">
        <v>2507</v>
      </c>
      <c r="V507" s="6" t="s">
        <v>2505</v>
      </c>
    </row>
    <row r="508" spans="1:22" ht="14.25" customHeight="1" x14ac:dyDescent="0.3">
      <c r="A508" s="1" t="s">
        <v>40</v>
      </c>
      <c r="B508" s="1" t="s">
        <v>1038</v>
      </c>
      <c r="C508" s="1" t="s">
        <v>1039</v>
      </c>
      <c r="D508" s="1">
        <f t="shared" si="88"/>
        <v>93</v>
      </c>
      <c r="E508" s="1">
        <f t="shared" si="89"/>
        <v>0.2776851851851852</v>
      </c>
      <c r="F508" s="2">
        <f t="shared" si="90"/>
        <v>581.09101199027862</v>
      </c>
      <c r="G508" s="1">
        <v>2080</v>
      </c>
      <c r="H508" s="1">
        <v>3744</v>
      </c>
      <c r="I508" s="1">
        <v>0</v>
      </c>
      <c r="J508" s="1">
        <v>108</v>
      </c>
      <c r="K508" s="1">
        <f t="shared" si="91"/>
        <v>0</v>
      </c>
      <c r="L508" s="1">
        <f t="shared" si="92"/>
        <v>0.94240384615384609</v>
      </c>
      <c r="M508" s="1">
        <f t="shared" si="93"/>
        <v>0.94240384615384609</v>
      </c>
      <c r="N508" s="2">
        <f t="shared" ref="N508:N571" si="99">42*0.4/M508</f>
        <v>17.826752372206919</v>
      </c>
      <c r="O508" s="1">
        <v>1353</v>
      </c>
      <c r="P508" s="1">
        <f t="shared" si="94"/>
        <v>519</v>
      </c>
      <c r="Q508" s="1">
        <f t="shared" si="95"/>
        <v>6.9324448555611013</v>
      </c>
      <c r="R508" s="1">
        <f t="shared" si="96"/>
        <v>1.9219758974552414</v>
      </c>
      <c r="S508" s="2">
        <f t="shared" si="97"/>
        <v>6.1535257687359266</v>
      </c>
      <c r="T508" s="2">
        <f t="shared" si="98"/>
        <v>0.10739928527075707</v>
      </c>
      <c r="U508" s="1" t="s">
        <v>2507</v>
      </c>
      <c r="V508" s="6" t="s">
        <v>2505</v>
      </c>
    </row>
    <row r="509" spans="1:22" ht="14.25" customHeight="1" x14ac:dyDescent="0.3">
      <c r="A509" s="1" t="s">
        <v>40</v>
      </c>
      <c r="B509" s="1" t="s">
        <v>1040</v>
      </c>
      <c r="C509" s="1" t="s">
        <v>1041</v>
      </c>
      <c r="D509" s="1">
        <f t="shared" si="88"/>
        <v>61</v>
      </c>
      <c r="E509" s="1">
        <f t="shared" si="89"/>
        <v>0.90236111111111106</v>
      </c>
      <c r="F509" s="2">
        <f t="shared" si="90"/>
        <v>383.95403676005839</v>
      </c>
      <c r="G509" s="1">
        <v>2080</v>
      </c>
      <c r="H509" s="1">
        <v>3744</v>
      </c>
      <c r="I509" s="1">
        <v>0</v>
      </c>
      <c r="J509" s="1">
        <v>138</v>
      </c>
      <c r="K509" s="1">
        <f t="shared" si="91"/>
        <v>0</v>
      </c>
      <c r="L509" s="1">
        <f t="shared" si="92"/>
        <v>1.2041826923076921</v>
      </c>
      <c r="M509" s="1">
        <f t="shared" si="93"/>
        <v>1.2041826923076921</v>
      </c>
      <c r="N509" s="2">
        <f t="shared" si="99"/>
        <v>13.951371421727156</v>
      </c>
      <c r="O509" s="1">
        <v>1353</v>
      </c>
      <c r="P509" s="1">
        <f t="shared" si="94"/>
        <v>519</v>
      </c>
      <c r="Q509" s="1">
        <f t="shared" si="95"/>
        <v>5.4253916260912982</v>
      </c>
      <c r="R509" s="1">
        <f t="shared" si="96"/>
        <v>1.5041550501823633</v>
      </c>
      <c r="S509" s="2">
        <f t="shared" si="97"/>
        <v>6.1535257687359275</v>
      </c>
      <c r="T509" s="2">
        <f t="shared" si="98"/>
        <v>0.10739928527075708</v>
      </c>
      <c r="U509" s="1" t="s">
        <v>2507</v>
      </c>
      <c r="V509" s="6" t="s">
        <v>2505</v>
      </c>
    </row>
    <row r="510" spans="1:22" ht="14.25" customHeight="1" x14ac:dyDescent="0.3">
      <c r="A510" s="1" t="s">
        <v>27</v>
      </c>
      <c r="B510" s="1" t="s">
        <v>1042</v>
      </c>
      <c r="C510" s="1" t="s">
        <v>1043</v>
      </c>
      <c r="D510" s="1">
        <f t="shared" si="88"/>
        <v>55</v>
      </c>
      <c r="E510" s="1">
        <f t="shared" si="89"/>
        <v>0.78295138888888882</v>
      </c>
      <c r="F510" s="2">
        <f t="shared" si="90"/>
        <v>345.50465150477976</v>
      </c>
      <c r="G510" s="1">
        <v>2080</v>
      </c>
      <c r="H510" s="1">
        <v>3744</v>
      </c>
      <c r="I510" s="1">
        <v>0</v>
      </c>
      <c r="J510" s="1">
        <v>174</v>
      </c>
      <c r="K510" s="1">
        <f t="shared" si="91"/>
        <v>0</v>
      </c>
      <c r="L510" s="1">
        <f t="shared" si="92"/>
        <v>1.5183173076923075</v>
      </c>
      <c r="M510" s="1">
        <f t="shared" si="93"/>
        <v>1.5183173076923075</v>
      </c>
      <c r="N510" s="2">
        <f t="shared" si="99"/>
        <v>11.064880782749123</v>
      </c>
      <c r="O510" s="1">
        <v>1352</v>
      </c>
      <c r="P510" s="1">
        <f t="shared" si="94"/>
        <v>520</v>
      </c>
      <c r="Q510" s="1">
        <f t="shared" si="95"/>
        <v>4.3028968068999944</v>
      </c>
      <c r="R510" s="1">
        <f t="shared" si="96"/>
        <v>1.1952491130277763</v>
      </c>
      <c r="S510" s="2">
        <f t="shared" si="97"/>
        <v>6.1652910491570863</v>
      </c>
      <c r="T510" s="2">
        <f t="shared" si="98"/>
        <v>0.10760462815152673</v>
      </c>
      <c r="U510" s="1" t="s">
        <v>2507</v>
      </c>
      <c r="V510" s="6" t="s">
        <v>2505</v>
      </c>
    </row>
    <row r="511" spans="1:22" ht="14.25" customHeight="1" x14ac:dyDescent="0.3">
      <c r="A511" s="1" t="s">
        <v>27</v>
      </c>
      <c r="B511" s="1" t="s">
        <v>1044</v>
      </c>
      <c r="C511" s="1" t="s">
        <v>1045</v>
      </c>
      <c r="D511" s="1">
        <f t="shared" si="88"/>
        <v>30</v>
      </c>
      <c r="E511" s="1">
        <f t="shared" si="89"/>
        <v>0.75684027777777774</v>
      </c>
      <c r="F511" s="2">
        <f t="shared" si="90"/>
        <v>188.26095787560263</v>
      </c>
      <c r="G511" s="1">
        <v>2080</v>
      </c>
      <c r="H511" s="1">
        <v>3744</v>
      </c>
      <c r="I511" s="1">
        <v>0</v>
      </c>
      <c r="J511" s="1">
        <v>174</v>
      </c>
      <c r="K511" s="1">
        <f t="shared" si="91"/>
        <v>0</v>
      </c>
      <c r="L511" s="1">
        <f t="shared" si="92"/>
        <v>1.5183173076923075</v>
      </c>
      <c r="M511" s="1">
        <f t="shared" si="93"/>
        <v>1.5183173076923075</v>
      </c>
      <c r="N511" s="2">
        <f t="shared" si="99"/>
        <v>11.064880782749123</v>
      </c>
      <c r="O511" s="1">
        <v>1351</v>
      </c>
      <c r="P511" s="1">
        <f t="shared" si="94"/>
        <v>521</v>
      </c>
      <c r="Q511" s="1">
        <f t="shared" si="95"/>
        <v>4.3028968068999944</v>
      </c>
      <c r="R511" s="1">
        <f t="shared" si="96"/>
        <v>1.197547669014368</v>
      </c>
      <c r="S511" s="2">
        <f t="shared" si="97"/>
        <v>6.177055807657756</v>
      </c>
      <c r="T511" s="2">
        <f t="shared" si="98"/>
        <v>0.1078099619230654</v>
      </c>
      <c r="U511" s="1" t="s">
        <v>2507</v>
      </c>
      <c r="V511" s="6" t="s">
        <v>2505</v>
      </c>
    </row>
    <row r="512" spans="1:22" ht="14.25" customHeight="1" x14ac:dyDescent="0.3">
      <c r="A512" s="1" t="s">
        <v>40</v>
      </c>
      <c r="B512" s="1" t="s">
        <v>1046</v>
      </c>
      <c r="C512" s="1" t="s">
        <v>1047</v>
      </c>
      <c r="D512" s="1">
        <f t="shared" si="88"/>
        <v>92</v>
      </c>
      <c r="E512" s="1">
        <f t="shared" si="89"/>
        <v>0.3107523148148148</v>
      </c>
      <c r="F512" s="2">
        <f t="shared" si="90"/>
        <v>575.01559358613849</v>
      </c>
      <c r="G512" s="1">
        <v>2080</v>
      </c>
      <c r="H512" s="1">
        <v>3744</v>
      </c>
      <c r="I512" s="1">
        <v>0</v>
      </c>
      <c r="J512" s="1">
        <v>114</v>
      </c>
      <c r="K512" s="1">
        <f t="shared" si="91"/>
        <v>0</v>
      </c>
      <c r="L512" s="1">
        <f t="shared" si="92"/>
        <v>0.99475961538461533</v>
      </c>
      <c r="M512" s="1">
        <f t="shared" si="93"/>
        <v>0.99475961538461533</v>
      </c>
      <c r="N512" s="2">
        <f t="shared" si="99"/>
        <v>16.888502247353923</v>
      </c>
      <c r="O512" s="1">
        <v>1351</v>
      </c>
      <c r="P512" s="1">
        <f t="shared" si="94"/>
        <v>521</v>
      </c>
      <c r="Q512" s="1">
        <f t="shared" si="95"/>
        <v>6.5675793368473592</v>
      </c>
      <c r="R512" s="1">
        <f t="shared" si="96"/>
        <v>1.8278359158640354</v>
      </c>
      <c r="S512" s="2">
        <f t="shared" si="97"/>
        <v>6.177055807657756</v>
      </c>
      <c r="T512" s="2">
        <f t="shared" si="98"/>
        <v>0.1078099619230654</v>
      </c>
      <c r="U512" s="1" t="s">
        <v>2507</v>
      </c>
      <c r="V512" s="6" t="s">
        <v>2505</v>
      </c>
    </row>
    <row r="513" spans="1:22" ht="14.25" customHeight="1" x14ac:dyDescent="0.3">
      <c r="A513" s="1" t="s">
        <v>40</v>
      </c>
      <c r="B513" s="1" t="s">
        <v>1048</v>
      </c>
      <c r="C513" s="1" t="s">
        <v>1049</v>
      </c>
      <c r="D513" s="1">
        <f t="shared" si="88"/>
        <v>29</v>
      </c>
      <c r="E513" s="1">
        <f t="shared" si="89"/>
        <v>0.71010416666666665</v>
      </c>
      <c r="F513" s="2">
        <f t="shared" si="90"/>
        <v>181.68412092177499</v>
      </c>
      <c r="G513" s="1">
        <v>2080</v>
      </c>
      <c r="H513" s="1">
        <v>3744</v>
      </c>
      <c r="I513" s="1">
        <v>0</v>
      </c>
      <c r="J513" s="1">
        <v>215</v>
      </c>
      <c r="K513" s="1">
        <f t="shared" si="91"/>
        <v>0</v>
      </c>
      <c r="L513" s="1">
        <f t="shared" si="92"/>
        <v>1.8760817307692306</v>
      </c>
      <c r="M513" s="1">
        <f t="shared" si="93"/>
        <v>1.8760817307692306</v>
      </c>
      <c r="N513" s="2">
        <f t="shared" si="99"/>
        <v>8.9548337497597554</v>
      </c>
      <c r="O513" s="1">
        <v>1348</v>
      </c>
      <c r="P513" s="1">
        <f t="shared" si="94"/>
        <v>524</v>
      </c>
      <c r="Q513" s="1">
        <f t="shared" si="95"/>
        <v>3.4823443925609259</v>
      </c>
      <c r="R513" s="1">
        <f t="shared" si="96"/>
        <v>0.97475879364419082</v>
      </c>
      <c r="S513" s="2">
        <f t="shared" si="97"/>
        <v>6.2123469420655706</v>
      </c>
      <c r="T513" s="2">
        <f t="shared" si="98"/>
        <v>0.10842590841524563</v>
      </c>
      <c r="U513" s="1" t="s">
        <v>2507</v>
      </c>
      <c r="V513" s="6" t="s">
        <v>2505</v>
      </c>
    </row>
    <row r="514" spans="1:22" ht="14.25" customHeight="1" x14ac:dyDescent="0.3">
      <c r="A514" s="1" t="s">
        <v>17</v>
      </c>
      <c r="B514" s="1" t="s">
        <v>1050</v>
      </c>
      <c r="C514" s="1" t="s">
        <v>1051</v>
      </c>
      <c r="D514" s="1">
        <f t="shared" ref="D514:D577" si="100">(LEFT(C514,4)&amp;"-"&amp;MID(C514,6,2)&amp;"-"&amp;MID(C514,9,2))-(2019&amp;"-"&amp;5&amp;"-"&amp;28)</f>
        <v>6</v>
      </c>
      <c r="E514" s="1">
        <f t="shared" ref="E514:E577" si="101">TIMEVALUE(RIGHT(C514,8))</f>
        <v>0.79743055555555553</v>
      </c>
      <c r="F514" s="2">
        <f t="shared" ref="F514:F577" si="102">(D514+E514)*2*PI()-4.989969053</f>
        <v>37.719546740240233</v>
      </c>
      <c r="G514" s="1">
        <v>2080</v>
      </c>
      <c r="H514" s="1">
        <v>3744</v>
      </c>
      <c r="I514" s="1">
        <v>0</v>
      </c>
      <c r="J514" s="1">
        <v>186</v>
      </c>
      <c r="K514" s="1">
        <f t="shared" ref="K514:K577" si="103">(32.67*I514)/H514</f>
        <v>0</v>
      </c>
      <c r="L514" s="1">
        <f t="shared" ref="L514:L577" si="104">(18.15*J514)/G514</f>
        <v>1.623028846153846</v>
      </c>
      <c r="M514" s="1">
        <f t="shared" ref="M514:M577" si="105">SQRT(K514*K514+L514*L514)</f>
        <v>1.623028846153846</v>
      </c>
      <c r="N514" s="2">
        <f t="shared" si="99"/>
        <v>10.351017506442728</v>
      </c>
      <c r="O514" s="1">
        <v>1343</v>
      </c>
      <c r="P514" s="1">
        <f t="shared" ref="P514:P577" si="106">H514/2-O514</f>
        <v>529</v>
      </c>
      <c r="Q514" s="1">
        <f t="shared" ref="Q514:Q577" si="107">TAN(RADIANS(21.25))*N514</f>
        <v>4.0252905612935432</v>
      </c>
      <c r="R514" s="1">
        <f t="shared" ref="R514:R577" si="108">Q514*(P514/(H514/2))</f>
        <v>1.1374886254937415</v>
      </c>
      <c r="S514" s="2">
        <f t="shared" ref="S514:S577" si="109">DEGREES(ATAN(R514/N514))</f>
        <v>6.2711549717097661</v>
      </c>
      <c r="T514" s="2">
        <f t="shared" ref="T514:T577" si="110">RADIANS(S514)</f>
        <v>0.10945230215914727</v>
      </c>
      <c r="U514" s="1" t="s">
        <v>2507</v>
      </c>
      <c r="V514" s="6" t="s">
        <v>2505</v>
      </c>
    </row>
    <row r="515" spans="1:22" ht="14.25" customHeight="1" x14ac:dyDescent="0.3">
      <c r="A515" s="1" t="s">
        <v>30</v>
      </c>
      <c r="B515" s="1" t="s">
        <v>1052</v>
      </c>
      <c r="C515" s="1" t="s">
        <v>1053</v>
      </c>
      <c r="D515" s="1">
        <f t="shared" si="100"/>
        <v>82</v>
      </c>
      <c r="E515" s="1">
        <f t="shared" si="101"/>
        <v>0.13873842592592592</v>
      </c>
      <c r="F515" s="2">
        <f t="shared" si="102"/>
        <v>511.10294537504501</v>
      </c>
      <c r="G515" s="1">
        <v>2080</v>
      </c>
      <c r="H515" s="1">
        <v>3744</v>
      </c>
      <c r="I515" s="1">
        <v>0</v>
      </c>
      <c r="J515" s="1">
        <v>106</v>
      </c>
      <c r="K515" s="1">
        <f t="shared" si="103"/>
        <v>0</v>
      </c>
      <c r="L515" s="1">
        <f t="shared" si="104"/>
        <v>0.92495192307692298</v>
      </c>
      <c r="M515" s="1">
        <f t="shared" si="105"/>
        <v>0.92495192307692298</v>
      </c>
      <c r="N515" s="2">
        <f t="shared" si="99"/>
        <v>18.163106190550447</v>
      </c>
      <c r="O515" s="1">
        <v>1343</v>
      </c>
      <c r="P515" s="1">
        <f t="shared" si="106"/>
        <v>529</v>
      </c>
      <c r="Q515" s="1">
        <f t="shared" si="107"/>
        <v>7.0632457018924439</v>
      </c>
      <c r="R515" s="1">
        <f t="shared" si="108"/>
        <v>1.9959706069984524</v>
      </c>
      <c r="S515" s="2">
        <f t="shared" si="109"/>
        <v>6.271154971709767</v>
      </c>
      <c r="T515" s="2">
        <f t="shared" si="110"/>
        <v>0.10945230215914728</v>
      </c>
      <c r="U515" s="1" t="s">
        <v>2507</v>
      </c>
      <c r="V515" s="6" t="s">
        <v>2505</v>
      </c>
    </row>
    <row r="516" spans="1:22" ht="14.25" customHeight="1" x14ac:dyDescent="0.3">
      <c r="A516" s="1" t="s">
        <v>27</v>
      </c>
      <c r="B516" s="1" t="s">
        <v>1054</v>
      </c>
      <c r="C516" s="1" t="s">
        <v>1055</v>
      </c>
      <c r="D516" s="1">
        <f t="shared" si="100"/>
        <v>55</v>
      </c>
      <c r="E516" s="1">
        <f t="shared" si="101"/>
        <v>0.7189699074074074</v>
      </c>
      <c r="F516" s="2">
        <f t="shared" si="102"/>
        <v>345.10264400040376</v>
      </c>
      <c r="G516" s="1">
        <v>2080</v>
      </c>
      <c r="H516" s="1">
        <v>3744</v>
      </c>
      <c r="I516" s="1">
        <v>0</v>
      </c>
      <c r="J516" s="1">
        <v>140</v>
      </c>
      <c r="K516" s="1">
        <f t="shared" si="103"/>
        <v>0</v>
      </c>
      <c r="L516" s="1">
        <f t="shared" si="104"/>
        <v>1.2216346153846154</v>
      </c>
      <c r="M516" s="1">
        <f t="shared" si="105"/>
        <v>1.2216346153846154</v>
      </c>
      <c r="N516" s="2">
        <f t="shared" si="99"/>
        <v>13.75206611570248</v>
      </c>
      <c r="O516" s="1">
        <v>1342</v>
      </c>
      <c r="P516" s="1">
        <f t="shared" si="106"/>
        <v>530</v>
      </c>
      <c r="Q516" s="1">
        <f t="shared" si="107"/>
        <v>5.34788603143285</v>
      </c>
      <c r="R516" s="1">
        <f t="shared" si="108"/>
        <v>1.5140916648821636</v>
      </c>
      <c r="S516" s="2">
        <f t="shared" si="109"/>
        <v>6.2829149898809753</v>
      </c>
      <c r="T516" s="2">
        <f t="shared" si="110"/>
        <v>0.10965755319632924</v>
      </c>
      <c r="U516" s="1" t="s">
        <v>2507</v>
      </c>
      <c r="V516" s="6" t="s">
        <v>2505</v>
      </c>
    </row>
    <row r="517" spans="1:22" ht="14.25" customHeight="1" x14ac:dyDescent="0.3">
      <c r="A517" s="1" t="s">
        <v>881</v>
      </c>
      <c r="B517" s="1" t="s">
        <v>1056</v>
      </c>
      <c r="C517" s="1" t="s">
        <v>1057</v>
      </c>
      <c r="D517" s="1">
        <f t="shared" si="100"/>
        <v>89</v>
      </c>
      <c r="E517" s="1">
        <f t="shared" si="101"/>
        <v>0.72311342592592587</v>
      </c>
      <c r="F517" s="2">
        <f t="shared" si="102"/>
        <v>558.75697893918527</v>
      </c>
      <c r="G517" s="1">
        <v>2080</v>
      </c>
      <c r="H517" s="1">
        <v>3744</v>
      </c>
      <c r="I517" s="1">
        <v>0</v>
      </c>
      <c r="J517" s="1">
        <v>375</v>
      </c>
      <c r="K517" s="1">
        <f t="shared" si="103"/>
        <v>0</v>
      </c>
      <c r="L517" s="1">
        <f t="shared" si="104"/>
        <v>3.2722355769230766</v>
      </c>
      <c r="M517" s="1">
        <f t="shared" si="105"/>
        <v>3.2722355769230766</v>
      </c>
      <c r="N517" s="2">
        <f t="shared" si="99"/>
        <v>5.1341046831955932</v>
      </c>
      <c r="O517" s="1">
        <v>1342</v>
      </c>
      <c r="P517" s="1">
        <f t="shared" si="106"/>
        <v>530</v>
      </c>
      <c r="Q517" s="1">
        <f t="shared" si="107"/>
        <v>1.9965441184015975</v>
      </c>
      <c r="R517" s="1">
        <f t="shared" si="108"/>
        <v>0.56526088822267451</v>
      </c>
      <c r="S517" s="2">
        <f t="shared" si="109"/>
        <v>6.2829149898809753</v>
      </c>
      <c r="T517" s="2">
        <f t="shared" si="110"/>
        <v>0.10965755319632924</v>
      </c>
      <c r="U517" s="1" t="s">
        <v>2507</v>
      </c>
      <c r="V517" s="6" t="s">
        <v>2505</v>
      </c>
    </row>
    <row r="518" spans="1:22" ht="14.25" customHeight="1" x14ac:dyDescent="0.3">
      <c r="A518" s="1" t="s">
        <v>17</v>
      </c>
      <c r="B518" s="1" t="s">
        <v>1058</v>
      </c>
      <c r="C518" s="1" t="s">
        <v>1059</v>
      </c>
      <c r="D518" s="1">
        <f t="shared" si="100"/>
        <v>47</v>
      </c>
      <c r="E518" s="1">
        <f t="shared" si="101"/>
        <v>0.22957175925925924</v>
      </c>
      <c r="F518" s="2">
        <f t="shared" si="102"/>
        <v>291.76218228916173</v>
      </c>
      <c r="G518" s="1">
        <v>2080</v>
      </c>
      <c r="H518" s="1">
        <v>3744</v>
      </c>
      <c r="I518" s="1">
        <v>0</v>
      </c>
      <c r="J518" s="1">
        <v>193</v>
      </c>
      <c r="K518" s="1">
        <f t="shared" si="103"/>
        <v>0</v>
      </c>
      <c r="L518" s="1">
        <f t="shared" si="104"/>
        <v>1.6841105769230769</v>
      </c>
      <c r="M518" s="1">
        <f t="shared" si="105"/>
        <v>1.6841105769230769</v>
      </c>
      <c r="N518" s="2">
        <f t="shared" si="99"/>
        <v>9.9755920010277066</v>
      </c>
      <c r="O518" s="1">
        <v>1342</v>
      </c>
      <c r="P518" s="1">
        <f t="shared" si="106"/>
        <v>530</v>
      </c>
      <c r="Q518" s="1">
        <f t="shared" si="107"/>
        <v>3.8792955668424822</v>
      </c>
      <c r="R518" s="1">
        <f t="shared" si="108"/>
        <v>1.098304834629549</v>
      </c>
      <c r="S518" s="2">
        <f t="shared" si="109"/>
        <v>6.2829149898809762</v>
      </c>
      <c r="T518" s="2">
        <f t="shared" si="110"/>
        <v>0.10965755319632925</v>
      </c>
      <c r="U518" s="1" t="s">
        <v>2507</v>
      </c>
      <c r="V518" s="6" t="s">
        <v>2505</v>
      </c>
    </row>
    <row r="519" spans="1:22" ht="14.25" customHeight="1" x14ac:dyDescent="0.3">
      <c r="A519" s="1" t="s">
        <v>40</v>
      </c>
      <c r="B519" s="1" t="s">
        <v>1060</v>
      </c>
      <c r="C519" s="1" t="s">
        <v>1061</v>
      </c>
      <c r="D519" s="1">
        <f t="shared" si="100"/>
        <v>59</v>
      </c>
      <c r="E519" s="1">
        <f t="shared" si="101"/>
        <v>0.17630787037037035</v>
      </c>
      <c r="F519" s="2">
        <f t="shared" si="102"/>
        <v>366.82573909124687</v>
      </c>
      <c r="G519" s="1">
        <v>2080</v>
      </c>
      <c r="H519" s="1">
        <v>3744</v>
      </c>
      <c r="I519" s="1">
        <v>0</v>
      </c>
      <c r="J519" s="1">
        <v>116</v>
      </c>
      <c r="K519" s="1">
        <f t="shared" si="103"/>
        <v>0</v>
      </c>
      <c r="L519" s="1">
        <f t="shared" si="104"/>
        <v>1.0122115384615382</v>
      </c>
      <c r="M519" s="1">
        <f t="shared" si="105"/>
        <v>1.0122115384615382</v>
      </c>
      <c r="N519" s="2">
        <f t="shared" si="99"/>
        <v>16.597321174123685</v>
      </c>
      <c r="O519" s="1">
        <v>1341</v>
      </c>
      <c r="P519" s="1">
        <f t="shared" si="106"/>
        <v>531</v>
      </c>
      <c r="Q519" s="1">
        <f t="shared" si="107"/>
        <v>6.4543452103499916</v>
      </c>
      <c r="R519" s="1">
        <f t="shared" si="108"/>
        <v>1.8307998433204302</v>
      </c>
      <c r="S519" s="2">
        <f t="shared" si="109"/>
        <v>6.2946744765709539</v>
      </c>
      <c r="T519" s="2">
        <f t="shared" si="110"/>
        <v>0.10986279495741381</v>
      </c>
      <c r="U519" s="1" t="s">
        <v>2507</v>
      </c>
      <c r="V519" s="6" t="s">
        <v>2505</v>
      </c>
    </row>
    <row r="520" spans="1:22" ht="14.25" customHeight="1" x14ac:dyDescent="0.3">
      <c r="A520" s="1" t="s">
        <v>27</v>
      </c>
      <c r="B520" s="1" t="s">
        <v>1062</v>
      </c>
      <c r="C520" s="1" t="s">
        <v>1063</v>
      </c>
      <c r="D520" s="1">
        <f t="shared" si="100"/>
        <v>88</v>
      </c>
      <c r="E520" s="1">
        <f t="shared" si="101"/>
        <v>0.25166666666666665</v>
      </c>
      <c r="F520" s="2">
        <f t="shared" si="102"/>
        <v>549.5116062811104</v>
      </c>
      <c r="G520" s="1">
        <v>2080</v>
      </c>
      <c r="H520" s="1">
        <v>3744</v>
      </c>
      <c r="I520" s="1">
        <v>0</v>
      </c>
      <c r="J520" s="1">
        <v>103</v>
      </c>
      <c r="K520" s="1">
        <f t="shared" si="103"/>
        <v>0</v>
      </c>
      <c r="L520" s="1">
        <f t="shared" si="104"/>
        <v>0.89877403846153836</v>
      </c>
      <c r="M520" s="1">
        <f t="shared" si="105"/>
        <v>0.89877403846153836</v>
      </c>
      <c r="N520" s="2">
        <f t="shared" si="99"/>
        <v>18.692128700954829</v>
      </c>
      <c r="O520" s="1">
        <v>1339</v>
      </c>
      <c r="P520" s="1">
        <f t="shared" si="106"/>
        <v>533</v>
      </c>
      <c r="Q520" s="1">
        <f t="shared" si="107"/>
        <v>7.2689713048601847</v>
      </c>
      <c r="R520" s="1">
        <f t="shared" si="108"/>
        <v>2.0696376631893583</v>
      </c>
      <c r="S520" s="2">
        <f t="shared" si="109"/>
        <v>6.318191851688999</v>
      </c>
      <c r="T520" s="2">
        <f t="shared" si="110"/>
        <v>0.11027325058465029</v>
      </c>
      <c r="U520" s="1" t="s">
        <v>2507</v>
      </c>
      <c r="V520" s="6" t="s">
        <v>2505</v>
      </c>
    </row>
    <row r="521" spans="1:22" ht="14.25" customHeight="1" x14ac:dyDescent="0.3">
      <c r="A521" s="1" t="s">
        <v>27</v>
      </c>
      <c r="B521" s="1" t="s">
        <v>1064</v>
      </c>
      <c r="C521" s="1" t="s">
        <v>1065</v>
      </c>
      <c r="D521" s="1">
        <f t="shared" si="100"/>
        <v>39</v>
      </c>
      <c r="E521" s="1">
        <f t="shared" si="101"/>
        <v>0.77918981481481486</v>
      </c>
      <c r="F521" s="2">
        <f t="shared" si="102"/>
        <v>244.95005192295227</v>
      </c>
      <c r="G521" s="1">
        <v>2080</v>
      </c>
      <c r="H521" s="1">
        <v>3744</v>
      </c>
      <c r="I521" s="1">
        <v>0</v>
      </c>
      <c r="J521" s="1">
        <v>189</v>
      </c>
      <c r="K521" s="1">
        <f t="shared" si="103"/>
        <v>0</v>
      </c>
      <c r="L521" s="1">
        <f t="shared" si="104"/>
        <v>1.6492067307692306</v>
      </c>
      <c r="M521" s="1">
        <f t="shared" si="105"/>
        <v>1.6492067307692306</v>
      </c>
      <c r="N521" s="2">
        <f t="shared" si="99"/>
        <v>10.186715641261097</v>
      </c>
      <c r="O521" s="1">
        <v>1338</v>
      </c>
      <c r="P521" s="1">
        <f t="shared" si="106"/>
        <v>534</v>
      </c>
      <c r="Q521" s="1">
        <f t="shared" si="107"/>
        <v>3.9613970603206297</v>
      </c>
      <c r="R521" s="1">
        <f t="shared" si="108"/>
        <v>1.130013905027359</v>
      </c>
      <c r="S521" s="2">
        <f t="shared" si="109"/>
        <v>6.3299497382086196</v>
      </c>
      <c r="T521" s="2">
        <f t="shared" si="110"/>
        <v>0.11047846441749352</v>
      </c>
      <c r="U521" s="1" t="s">
        <v>2507</v>
      </c>
      <c r="V521" s="6" t="s">
        <v>2505</v>
      </c>
    </row>
    <row r="522" spans="1:22" ht="14.25" customHeight="1" x14ac:dyDescent="0.3">
      <c r="A522" s="1" t="s">
        <v>40</v>
      </c>
      <c r="B522" s="1" t="s">
        <v>1066</v>
      </c>
      <c r="C522" s="1" t="s">
        <v>1067</v>
      </c>
      <c r="D522" s="1">
        <f t="shared" si="100"/>
        <v>73</v>
      </c>
      <c r="E522" s="1">
        <f t="shared" si="101"/>
        <v>0.31906249999999997</v>
      </c>
      <c r="F522" s="2">
        <f t="shared" si="102"/>
        <v>455.68728718318181</v>
      </c>
      <c r="G522" s="1">
        <v>2080</v>
      </c>
      <c r="H522" s="1">
        <v>3744</v>
      </c>
      <c r="I522" s="1">
        <v>0</v>
      </c>
      <c r="J522" s="1">
        <v>120</v>
      </c>
      <c r="K522" s="1">
        <f t="shared" si="103"/>
        <v>0</v>
      </c>
      <c r="L522" s="1">
        <f t="shared" si="104"/>
        <v>1.0471153846153847</v>
      </c>
      <c r="M522" s="1">
        <f t="shared" si="105"/>
        <v>1.0471153846153847</v>
      </c>
      <c r="N522" s="2">
        <f t="shared" si="99"/>
        <v>16.044077134986225</v>
      </c>
      <c r="O522" s="1">
        <v>1336</v>
      </c>
      <c r="P522" s="1">
        <f t="shared" si="106"/>
        <v>536</v>
      </c>
      <c r="Q522" s="1">
        <f t="shared" si="107"/>
        <v>6.2392003700049905</v>
      </c>
      <c r="R522" s="1">
        <f t="shared" si="108"/>
        <v>1.7864377127792066</v>
      </c>
      <c r="S522" s="2">
        <f t="shared" si="109"/>
        <v>6.3534639043999492</v>
      </c>
      <c r="T522" s="2">
        <f t="shared" si="110"/>
        <v>0.11088886403839336</v>
      </c>
      <c r="U522" s="1" t="s">
        <v>2507</v>
      </c>
      <c r="V522" s="6" t="s">
        <v>2505</v>
      </c>
    </row>
    <row r="523" spans="1:22" ht="14.25" customHeight="1" x14ac:dyDescent="0.3">
      <c r="A523" s="1" t="s">
        <v>40</v>
      </c>
      <c r="B523" s="1" t="s">
        <v>1068</v>
      </c>
      <c r="C523" s="1" t="s">
        <v>1069</v>
      </c>
      <c r="D523" s="1">
        <f t="shared" si="100"/>
        <v>76</v>
      </c>
      <c r="E523" s="1">
        <f t="shared" si="101"/>
        <v>0.25202546296296297</v>
      </c>
      <c r="F523" s="2">
        <f t="shared" si="102"/>
        <v>474.11563697857258</v>
      </c>
      <c r="G523" s="1">
        <v>2080</v>
      </c>
      <c r="H523" s="1">
        <v>3744</v>
      </c>
      <c r="I523" s="1">
        <v>0</v>
      </c>
      <c r="J523" s="1">
        <v>218</v>
      </c>
      <c r="K523" s="1">
        <f t="shared" si="103"/>
        <v>0</v>
      </c>
      <c r="L523" s="1">
        <f t="shared" si="104"/>
        <v>1.9022596153846152</v>
      </c>
      <c r="M523" s="1">
        <f t="shared" si="105"/>
        <v>1.9022596153846152</v>
      </c>
      <c r="N523" s="2">
        <f t="shared" si="99"/>
        <v>8.8316020926529699</v>
      </c>
      <c r="O523" s="1">
        <v>1333</v>
      </c>
      <c r="P523" s="1">
        <f t="shared" si="106"/>
        <v>539</v>
      </c>
      <c r="Q523" s="1">
        <f t="shared" si="107"/>
        <v>3.4344222220210967</v>
      </c>
      <c r="R523" s="1">
        <f t="shared" si="108"/>
        <v>0.98886409063534775</v>
      </c>
      <c r="S523" s="2">
        <f t="shared" si="109"/>
        <v>6.3887311222678438</v>
      </c>
      <c r="T523" s="2">
        <f t="shared" si="110"/>
        <v>0.1115043931082063</v>
      </c>
      <c r="U523" s="1" t="s">
        <v>2507</v>
      </c>
      <c r="V523" s="6" t="s">
        <v>2505</v>
      </c>
    </row>
    <row r="524" spans="1:22" ht="14.25" customHeight="1" x14ac:dyDescent="0.3">
      <c r="A524" s="1" t="s">
        <v>30</v>
      </c>
      <c r="B524" s="1" t="s">
        <v>1070</v>
      </c>
      <c r="C524" s="1" t="s">
        <v>1071</v>
      </c>
      <c r="D524" s="1">
        <f t="shared" si="100"/>
        <v>33</v>
      </c>
      <c r="E524" s="1">
        <f t="shared" si="101"/>
        <v>6.1921296296296299E-3</v>
      </c>
      <c r="F524" s="2">
        <f t="shared" si="102"/>
        <v>202.39405238183539</v>
      </c>
      <c r="G524" s="1">
        <v>2080</v>
      </c>
      <c r="H524" s="1">
        <v>3744</v>
      </c>
      <c r="I524" s="1">
        <v>0</v>
      </c>
      <c r="J524" s="1">
        <v>265</v>
      </c>
      <c r="K524" s="1">
        <f t="shared" si="103"/>
        <v>0</v>
      </c>
      <c r="L524" s="1">
        <f t="shared" si="104"/>
        <v>2.3123798076923077</v>
      </c>
      <c r="M524" s="1">
        <f t="shared" si="105"/>
        <v>2.3123798076923077</v>
      </c>
      <c r="N524" s="2">
        <f t="shared" si="99"/>
        <v>7.2652424762201777</v>
      </c>
      <c r="O524" s="1">
        <v>1332</v>
      </c>
      <c r="P524" s="1">
        <f t="shared" si="106"/>
        <v>540</v>
      </c>
      <c r="Q524" s="1">
        <f t="shared" si="107"/>
        <v>2.8252982807569769</v>
      </c>
      <c r="R524" s="1">
        <f t="shared" si="108"/>
        <v>0.81498988867989708</v>
      </c>
      <c r="S524" s="2">
        <f t="shared" si="109"/>
        <v>6.4004857827007742</v>
      </c>
      <c r="T524" s="2">
        <f t="shared" si="110"/>
        <v>0.11170955063521483</v>
      </c>
      <c r="U524" s="1" t="s">
        <v>2507</v>
      </c>
      <c r="V524" s="6" t="s">
        <v>2505</v>
      </c>
    </row>
    <row r="525" spans="1:22" ht="14.25" customHeight="1" x14ac:dyDescent="0.3">
      <c r="A525" s="1" t="s">
        <v>27</v>
      </c>
      <c r="B525" s="1" t="s">
        <v>1072</v>
      </c>
      <c r="C525" s="1" t="s">
        <v>1073</v>
      </c>
      <c r="D525" s="1">
        <f t="shared" si="100"/>
        <v>23</v>
      </c>
      <c r="E525" s="1">
        <f t="shared" si="101"/>
        <v>0.87612268518518521</v>
      </c>
      <c r="F525" s="2">
        <f t="shared" si="102"/>
        <v>145.02813419497275</v>
      </c>
      <c r="G525" s="1">
        <v>2080</v>
      </c>
      <c r="H525" s="1">
        <v>3744</v>
      </c>
      <c r="I525" s="1">
        <v>0</v>
      </c>
      <c r="J525" s="1">
        <v>178</v>
      </c>
      <c r="K525" s="1">
        <f t="shared" si="103"/>
        <v>0</v>
      </c>
      <c r="L525" s="1">
        <f t="shared" si="104"/>
        <v>1.5532211538461538</v>
      </c>
      <c r="M525" s="1">
        <f t="shared" si="105"/>
        <v>1.5532211538461538</v>
      </c>
      <c r="N525" s="2">
        <f t="shared" si="99"/>
        <v>10.81623177639521</v>
      </c>
      <c r="O525" s="1">
        <v>1332</v>
      </c>
      <c r="P525" s="1">
        <f t="shared" si="106"/>
        <v>540</v>
      </c>
      <c r="Q525" s="1">
        <f t="shared" si="107"/>
        <v>4.2062024966325788</v>
      </c>
      <c r="R525" s="1">
        <f t="shared" si="108"/>
        <v>1.2133276432593976</v>
      </c>
      <c r="S525" s="2">
        <f t="shared" si="109"/>
        <v>6.4004857827007751</v>
      </c>
      <c r="T525" s="2">
        <f t="shared" si="110"/>
        <v>0.11170955063521484</v>
      </c>
      <c r="U525" s="1" t="s">
        <v>2507</v>
      </c>
      <c r="V525" s="6" t="s">
        <v>2505</v>
      </c>
    </row>
    <row r="526" spans="1:22" ht="14.25" customHeight="1" x14ac:dyDescent="0.3">
      <c r="A526" s="1" t="s">
        <v>450</v>
      </c>
      <c r="B526" s="1" t="s">
        <v>1074</v>
      </c>
      <c r="C526" s="1" t="s">
        <v>1075</v>
      </c>
      <c r="D526" s="1">
        <f t="shared" si="100"/>
        <v>67</v>
      </c>
      <c r="E526" s="1">
        <f t="shared" si="101"/>
        <v>0.73342592592592604</v>
      </c>
      <c r="F526" s="2">
        <f t="shared" si="102"/>
        <v>420.59169752971468</v>
      </c>
      <c r="G526" s="1">
        <v>2080</v>
      </c>
      <c r="H526" s="1">
        <v>3744</v>
      </c>
      <c r="I526" s="1">
        <v>0</v>
      </c>
      <c r="J526" s="1">
        <v>474</v>
      </c>
      <c r="K526" s="1">
        <f t="shared" si="103"/>
        <v>0</v>
      </c>
      <c r="L526" s="1">
        <f t="shared" si="104"/>
        <v>4.1361057692307686</v>
      </c>
      <c r="M526" s="1">
        <f t="shared" si="105"/>
        <v>4.1361057692307686</v>
      </c>
      <c r="N526" s="2">
        <f t="shared" si="99"/>
        <v>4.0617916797433491</v>
      </c>
      <c r="O526" s="1">
        <v>1332</v>
      </c>
      <c r="P526" s="1">
        <f t="shared" si="106"/>
        <v>540</v>
      </c>
      <c r="Q526" s="1">
        <f t="shared" si="107"/>
        <v>1.5795443974696184</v>
      </c>
      <c r="R526" s="1">
        <f t="shared" si="108"/>
        <v>0.45563780696238987</v>
      </c>
      <c r="S526" s="2">
        <f t="shared" si="109"/>
        <v>6.4004857827007751</v>
      </c>
      <c r="T526" s="2">
        <f t="shared" si="110"/>
        <v>0.11170955063521484</v>
      </c>
      <c r="U526" s="1" t="s">
        <v>2507</v>
      </c>
      <c r="V526" s="6" t="s">
        <v>2505</v>
      </c>
    </row>
    <row r="527" spans="1:22" ht="14.25" customHeight="1" x14ac:dyDescent="0.3">
      <c r="A527" s="1" t="s">
        <v>27</v>
      </c>
      <c r="B527" s="1" t="s">
        <v>1076</v>
      </c>
      <c r="C527" s="1" t="s">
        <v>1077</v>
      </c>
      <c r="D527" s="1">
        <f t="shared" si="100"/>
        <v>26</v>
      </c>
      <c r="E527" s="1">
        <f t="shared" si="101"/>
        <v>0.18843750000000001</v>
      </c>
      <c r="F527" s="2">
        <f t="shared" si="102"/>
        <v>159.55683666499087</v>
      </c>
      <c r="G527" s="1">
        <v>2080</v>
      </c>
      <c r="H527" s="1">
        <v>3744</v>
      </c>
      <c r="I527" s="1">
        <v>0</v>
      </c>
      <c r="J527" s="1">
        <v>269</v>
      </c>
      <c r="K527" s="1">
        <f t="shared" si="103"/>
        <v>0</v>
      </c>
      <c r="L527" s="1">
        <f t="shared" si="104"/>
        <v>2.3472836538461537</v>
      </c>
      <c r="M527" s="1">
        <f t="shared" si="105"/>
        <v>2.3472836538461537</v>
      </c>
      <c r="N527" s="2">
        <f t="shared" si="99"/>
        <v>7.1572091308488748</v>
      </c>
      <c r="O527" s="1">
        <v>1331</v>
      </c>
      <c r="P527" s="1">
        <f t="shared" si="106"/>
        <v>541</v>
      </c>
      <c r="Q527" s="1">
        <f t="shared" si="107"/>
        <v>2.7832864104111485</v>
      </c>
      <c r="R527" s="1">
        <f t="shared" si="108"/>
        <v>0.80435787822245253</v>
      </c>
      <c r="S527" s="2">
        <f t="shared" si="109"/>
        <v>6.4122399021182765</v>
      </c>
      <c r="T527" s="2">
        <f t="shared" si="110"/>
        <v>0.11191469871972284</v>
      </c>
      <c r="U527" s="1" t="s">
        <v>2507</v>
      </c>
      <c r="V527" s="6" t="s">
        <v>2505</v>
      </c>
    </row>
    <row r="528" spans="1:22" ht="14.25" customHeight="1" x14ac:dyDescent="0.3">
      <c r="A528" s="1" t="s">
        <v>27</v>
      </c>
      <c r="B528" s="1" t="s">
        <v>1078</v>
      </c>
      <c r="C528" s="1" t="s">
        <v>1079</v>
      </c>
      <c r="D528" s="1">
        <f t="shared" si="100"/>
        <v>39</v>
      </c>
      <c r="E528" s="1">
        <f t="shared" si="101"/>
        <v>0.77909722222222222</v>
      </c>
      <c r="F528" s="2">
        <f t="shared" si="102"/>
        <v>244.94947014653494</v>
      </c>
      <c r="G528" s="1">
        <v>2080</v>
      </c>
      <c r="H528" s="1">
        <v>3744</v>
      </c>
      <c r="I528" s="1">
        <v>0</v>
      </c>
      <c r="J528" s="1">
        <v>180</v>
      </c>
      <c r="K528" s="1">
        <f t="shared" si="103"/>
        <v>0</v>
      </c>
      <c r="L528" s="1">
        <f t="shared" si="104"/>
        <v>1.5706730769230768</v>
      </c>
      <c r="M528" s="1">
        <f t="shared" si="105"/>
        <v>1.5706730769230768</v>
      </c>
      <c r="N528" s="2">
        <f t="shared" si="99"/>
        <v>10.696051423324151</v>
      </c>
      <c r="O528" s="1">
        <v>1331</v>
      </c>
      <c r="P528" s="1">
        <f t="shared" si="106"/>
        <v>541</v>
      </c>
      <c r="Q528" s="1">
        <f t="shared" si="107"/>
        <v>4.1594669133366606</v>
      </c>
      <c r="R528" s="1">
        <f t="shared" si="108"/>
        <v>1.2020681624546652</v>
      </c>
      <c r="S528" s="2">
        <f t="shared" si="109"/>
        <v>6.4122399021182774</v>
      </c>
      <c r="T528" s="2">
        <f t="shared" si="110"/>
        <v>0.11191469871972286</v>
      </c>
      <c r="U528" s="1" t="s">
        <v>2507</v>
      </c>
      <c r="V528" s="6" t="s">
        <v>2505</v>
      </c>
    </row>
    <row r="529" spans="1:22" ht="14.25" customHeight="1" x14ac:dyDescent="0.3">
      <c r="A529" s="1" t="s">
        <v>247</v>
      </c>
      <c r="B529" s="1" t="s">
        <v>1080</v>
      </c>
      <c r="C529" s="1" t="s">
        <v>1081</v>
      </c>
      <c r="D529" s="1">
        <f t="shared" si="100"/>
        <v>61</v>
      </c>
      <c r="E529" s="1">
        <f t="shared" si="101"/>
        <v>0.21723379629629627</v>
      </c>
      <c r="F529" s="2">
        <f t="shared" si="102"/>
        <v>379.64925488206654</v>
      </c>
      <c r="G529" s="1">
        <v>2080</v>
      </c>
      <c r="H529" s="1">
        <v>3744</v>
      </c>
      <c r="I529" s="1">
        <v>0</v>
      </c>
      <c r="J529" s="1">
        <v>157</v>
      </c>
      <c r="K529" s="1">
        <f t="shared" si="103"/>
        <v>0</v>
      </c>
      <c r="L529" s="1">
        <f t="shared" si="104"/>
        <v>1.3699759615384615</v>
      </c>
      <c r="M529" s="1">
        <f t="shared" si="105"/>
        <v>1.3699759615384615</v>
      </c>
      <c r="N529" s="2">
        <f t="shared" si="99"/>
        <v>12.262988892983104</v>
      </c>
      <c r="O529" s="1">
        <v>1330</v>
      </c>
      <c r="P529" s="1">
        <f t="shared" si="106"/>
        <v>542</v>
      </c>
      <c r="Q529" s="1">
        <f t="shared" si="107"/>
        <v>4.7688155694305667</v>
      </c>
      <c r="R529" s="1">
        <f t="shared" si="108"/>
        <v>1.3807147642261579</v>
      </c>
      <c r="S529" s="2">
        <f t="shared" si="109"/>
        <v>6.4239934795684084</v>
      </c>
      <c r="T529" s="2">
        <f t="shared" si="110"/>
        <v>0.11211983734511581</v>
      </c>
      <c r="U529" s="1" t="s">
        <v>2507</v>
      </c>
      <c r="V529" s="6" t="s">
        <v>2505</v>
      </c>
    </row>
    <row r="530" spans="1:22" ht="14.25" customHeight="1" x14ac:dyDescent="0.3">
      <c r="A530" s="1" t="s">
        <v>30</v>
      </c>
      <c r="B530" s="1" t="s">
        <v>1082</v>
      </c>
      <c r="C530" s="1" t="s">
        <v>1083</v>
      </c>
      <c r="D530" s="1">
        <f t="shared" si="100"/>
        <v>41</v>
      </c>
      <c r="E530" s="1">
        <f t="shared" si="101"/>
        <v>0.12835648148148149</v>
      </c>
      <c r="F530" s="2">
        <f t="shared" si="102"/>
        <v>253.42711609988876</v>
      </c>
      <c r="G530" s="1">
        <v>2080</v>
      </c>
      <c r="H530" s="1">
        <v>3744</v>
      </c>
      <c r="I530" s="1">
        <v>0</v>
      </c>
      <c r="J530" s="1">
        <v>148</v>
      </c>
      <c r="K530" s="1">
        <f t="shared" si="103"/>
        <v>0</v>
      </c>
      <c r="L530" s="1">
        <f t="shared" si="104"/>
        <v>1.2914423076923076</v>
      </c>
      <c r="M530" s="1">
        <f t="shared" si="105"/>
        <v>1.2914423076923076</v>
      </c>
      <c r="N530" s="2">
        <f t="shared" si="99"/>
        <v>13.008711190529374</v>
      </c>
      <c r="O530" s="1">
        <v>1329</v>
      </c>
      <c r="P530" s="1">
        <f t="shared" si="106"/>
        <v>543</v>
      </c>
      <c r="Q530" s="1">
        <f t="shared" si="107"/>
        <v>5.0588111108148581</v>
      </c>
      <c r="R530" s="1">
        <f t="shared" si="108"/>
        <v>1.4673795048998228</v>
      </c>
      <c r="S530" s="2">
        <f t="shared" si="109"/>
        <v>6.4357465140994945</v>
      </c>
      <c r="T530" s="2">
        <f t="shared" si="110"/>
        <v>0.11232496649478385</v>
      </c>
      <c r="U530" s="1" t="s">
        <v>2507</v>
      </c>
      <c r="V530" s="6" t="s">
        <v>2505</v>
      </c>
    </row>
    <row r="531" spans="1:22" ht="14.25" customHeight="1" x14ac:dyDescent="0.3">
      <c r="A531" s="1" t="s">
        <v>30</v>
      </c>
      <c r="B531" s="1" t="s">
        <v>1084</v>
      </c>
      <c r="C531" s="1" t="s">
        <v>1085</v>
      </c>
      <c r="D531" s="1">
        <f t="shared" si="100"/>
        <v>45</v>
      </c>
      <c r="E531" s="1">
        <f t="shared" si="101"/>
        <v>2.7453703703703702E-2</v>
      </c>
      <c r="F531" s="2">
        <f t="shared" si="102"/>
        <v>277.92586647782019</v>
      </c>
      <c r="G531" s="1">
        <v>2080</v>
      </c>
      <c r="H531" s="1">
        <v>3744</v>
      </c>
      <c r="I531" s="1">
        <v>0</v>
      </c>
      <c r="J531" s="1">
        <v>132</v>
      </c>
      <c r="K531" s="1">
        <f t="shared" si="103"/>
        <v>0</v>
      </c>
      <c r="L531" s="1">
        <f t="shared" si="104"/>
        <v>1.1518269230769229</v>
      </c>
      <c r="M531" s="1">
        <f t="shared" si="105"/>
        <v>1.1518269230769229</v>
      </c>
      <c r="N531" s="2">
        <f t="shared" si="99"/>
        <v>14.585524668169299</v>
      </c>
      <c r="O531" s="1">
        <v>1326</v>
      </c>
      <c r="P531" s="1">
        <f t="shared" si="106"/>
        <v>546</v>
      </c>
      <c r="Q531" s="1">
        <f t="shared" si="107"/>
        <v>5.6720003363681748</v>
      </c>
      <c r="R531" s="1">
        <f t="shared" si="108"/>
        <v>1.6543334314407176</v>
      </c>
      <c r="S531" s="2">
        <f t="shared" si="109"/>
        <v>6.4710023506658105</v>
      </c>
      <c r="T531" s="2">
        <f t="shared" si="110"/>
        <v>0.11294029692341108</v>
      </c>
      <c r="U531" s="1" t="s">
        <v>2507</v>
      </c>
      <c r="V531" s="6" t="s">
        <v>2505</v>
      </c>
    </row>
    <row r="532" spans="1:22" ht="14.25" customHeight="1" x14ac:dyDescent="0.3">
      <c r="A532" s="1" t="s">
        <v>27</v>
      </c>
      <c r="B532" s="1" t="s">
        <v>1086</v>
      </c>
      <c r="C532" s="1" t="s">
        <v>1087</v>
      </c>
      <c r="D532" s="1">
        <f t="shared" si="100"/>
        <v>70</v>
      </c>
      <c r="E532" s="1">
        <f t="shared" si="101"/>
        <v>0.22668981481481479</v>
      </c>
      <c r="F532" s="2">
        <f t="shared" si="102"/>
        <v>436.25733656330277</v>
      </c>
      <c r="G532" s="1">
        <v>2080</v>
      </c>
      <c r="H532" s="1">
        <v>3744</v>
      </c>
      <c r="I532" s="1">
        <v>0</v>
      </c>
      <c r="J532" s="1">
        <v>246</v>
      </c>
      <c r="K532" s="1">
        <f t="shared" si="103"/>
        <v>0</v>
      </c>
      <c r="L532" s="1">
        <f t="shared" si="104"/>
        <v>2.1465865384615381</v>
      </c>
      <c r="M532" s="1">
        <f t="shared" si="105"/>
        <v>2.1465865384615381</v>
      </c>
      <c r="N532" s="2">
        <f t="shared" si="99"/>
        <v>7.826379090237185</v>
      </c>
      <c r="O532" s="1">
        <v>1326</v>
      </c>
      <c r="P532" s="1">
        <f t="shared" si="106"/>
        <v>546</v>
      </c>
      <c r="Q532" s="1">
        <f t="shared" si="107"/>
        <v>3.0435123756121913</v>
      </c>
      <c r="R532" s="1">
        <f t="shared" si="108"/>
        <v>0.8876911095535559</v>
      </c>
      <c r="S532" s="2">
        <f t="shared" si="109"/>
        <v>6.4710023506658114</v>
      </c>
      <c r="T532" s="2">
        <f t="shared" si="110"/>
        <v>0.11294029692341109</v>
      </c>
      <c r="U532" s="1" t="s">
        <v>2507</v>
      </c>
      <c r="V532" s="6" t="s">
        <v>2505</v>
      </c>
    </row>
    <row r="533" spans="1:22" ht="14.25" customHeight="1" x14ac:dyDescent="0.3">
      <c r="A533" s="1" t="s">
        <v>17</v>
      </c>
      <c r="B533" s="1" t="s">
        <v>1088</v>
      </c>
      <c r="C533" s="1" t="s">
        <v>1089</v>
      </c>
      <c r="D533" s="1">
        <f t="shared" si="100"/>
        <v>25</v>
      </c>
      <c r="E533" s="1">
        <f t="shared" si="101"/>
        <v>1.0104166666666668E-2</v>
      </c>
      <c r="F533" s="2">
        <f t="shared" si="102"/>
        <v>152.15314997803094</v>
      </c>
      <c r="G533" s="1">
        <v>2080</v>
      </c>
      <c r="H533" s="1">
        <v>3744</v>
      </c>
      <c r="I533" s="1">
        <v>0</v>
      </c>
      <c r="J533" s="1">
        <v>243</v>
      </c>
      <c r="K533" s="1">
        <f t="shared" si="103"/>
        <v>0</v>
      </c>
      <c r="L533" s="1">
        <f t="shared" si="104"/>
        <v>2.120408653846154</v>
      </c>
      <c r="M533" s="1">
        <f t="shared" si="105"/>
        <v>2.120408653846154</v>
      </c>
      <c r="N533" s="2">
        <f t="shared" si="99"/>
        <v>7.9230010543141853</v>
      </c>
      <c r="O533" s="1">
        <v>1325</v>
      </c>
      <c r="P533" s="1">
        <f t="shared" si="106"/>
        <v>547</v>
      </c>
      <c r="Q533" s="1">
        <f t="shared" si="107"/>
        <v>3.0810866024716006</v>
      </c>
      <c r="R533" s="1">
        <f t="shared" si="108"/>
        <v>0.90029613864955427</v>
      </c>
      <c r="S533" s="2">
        <f t="shared" si="109"/>
        <v>6.4827532040094056</v>
      </c>
      <c r="T533" s="2">
        <f t="shared" si="110"/>
        <v>0.11314538800417578</v>
      </c>
      <c r="U533" s="1" t="s">
        <v>2507</v>
      </c>
      <c r="V533" s="6" t="s">
        <v>2505</v>
      </c>
    </row>
    <row r="534" spans="1:22" ht="14.25" customHeight="1" x14ac:dyDescent="0.3">
      <c r="A534" s="1" t="s">
        <v>17</v>
      </c>
      <c r="B534" s="1" t="s">
        <v>1090</v>
      </c>
      <c r="C534" s="1" t="s">
        <v>1091</v>
      </c>
      <c r="D534" s="1">
        <f t="shared" si="100"/>
        <v>75</v>
      </c>
      <c r="E534" s="1">
        <f t="shared" si="101"/>
        <v>0.9106481481481481</v>
      </c>
      <c r="F534" s="2">
        <f t="shared" si="102"/>
        <v>471.97070004992366</v>
      </c>
      <c r="G534" s="1">
        <v>2080</v>
      </c>
      <c r="H534" s="1">
        <v>3744</v>
      </c>
      <c r="I534" s="1">
        <v>0</v>
      </c>
      <c r="J534" s="1">
        <v>232</v>
      </c>
      <c r="K534" s="1">
        <f t="shared" si="103"/>
        <v>0</v>
      </c>
      <c r="L534" s="1">
        <f t="shared" si="104"/>
        <v>2.0244230769230764</v>
      </c>
      <c r="M534" s="1">
        <f t="shared" si="105"/>
        <v>2.0244230769230764</v>
      </c>
      <c r="N534" s="2">
        <f t="shared" si="99"/>
        <v>8.2986605870618426</v>
      </c>
      <c r="O534" s="1">
        <v>1323</v>
      </c>
      <c r="P534" s="1">
        <f t="shared" si="106"/>
        <v>549</v>
      </c>
      <c r="Q534" s="1">
        <f t="shared" si="107"/>
        <v>3.2271726051749958</v>
      </c>
      <c r="R534" s="1">
        <f t="shared" si="108"/>
        <v>0.94643042747920558</v>
      </c>
      <c r="S534" s="2">
        <f t="shared" si="109"/>
        <v>6.5062532667265289</v>
      </c>
      <c r="T534" s="2">
        <f t="shared" si="110"/>
        <v>0.11355554147301476</v>
      </c>
      <c r="U534" s="1" t="s">
        <v>2507</v>
      </c>
      <c r="V534" s="6" t="s">
        <v>2505</v>
      </c>
    </row>
    <row r="535" spans="1:22" ht="14.25" customHeight="1" x14ac:dyDescent="0.3">
      <c r="A535" s="1" t="s">
        <v>40</v>
      </c>
      <c r="B535" s="1" t="s">
        <v>1092</v>
      </c>
      <c r="C535" s="1" t="s">
        <v>1093</v>
      </c>
      <c r="D535" s="1">
        <f t="shared" si="100"/>
        <v>90</v>
      </c>
      <c r="E535" s="1">
        <f t="shared" si="101"/>
        <v>0.77269675925925929</v>
      </c>
      <c r="F535" s="2">
        <f t="shared" si="102"/>
        <v>565.35170551784586</v>
      </c>
      <c r="G535" s="1">
        <v>2080</v>
      </c>
      <c r="H535" s="1">
        <v>3744</v>
      </c>
      <c r="I535" s="1">
        <v>0</v>
      </c>
      <c r="J535" s="1">
        <v>92</v>
      </c>
      <c r="K535" s="1">
        <f t="shared" si="103"/>
        <v>0</v>
      </c>
      <c r="L535" s="1">
        <f t="shared" si="104"/>
        <v>0.80278846153846151</v>
      </c>
      <c r="M535" s="1">
        <f t="shared" si="105"/>
        <v>0.80278846153846151</v>
      </c>
      <c r="N535" s="2">
        <f t="shared" si="99"/>
        <v>20.927057132590733</v>
      </c>
      <c r="O535" s="1">
        <v>1323</v>
      </c>
      <c r="P535" s="1">
        <f t="shared" si="106"/>
        <v>549</v>
      </c>
      <c r="Q535" s="1">
        <f t="shared" si="107"/>
        <v>8.138087439136946</v>
      </c>
      <c r="R535" s="1">
        <f t="shared" si="108"/>
        <v>2.3866506432084313</v>
      </c>
      <c r="S535" s="2">
        <f t="shared" si="109"/>
        <v>6.5062532667265289</v>
      </c>
      <c r="T535" s="2">
        <f t="shared" si="110"/>
        <v>0.11355554147301476</v>
      </c>
      <c r="U535" s="1" t="s">
        <v>2507</v>
      </c>
      <c r="V535" s="6" t="s">
        <v>2505</v>
      </c>
    </row>
    <row r="536" spans="1:22" ht="14.25" customHeight="1" x14ac:dyDescent="0.3">
      <c r="A536" s="1" t="s">
        <v>40</v>
      </c>
      <c r="B536" s="1" t="s">
        <v>1094</v>
      </c>
      <c r="C536" s="1" t="s">
        <v>1095</v>
      </c>
      <c r="D536" s="1">
        <f t="shared" si="100"/>
        <v>28</v>
      </c>
      <c r="E536" s="1">
        <f t="shared" si="101"/>
        <v>0.22898148148148148</v>
      </c>
      <c r="F536" s="2">
        <f t="shared" si="102"/>
        <v>172.37795262808908</v>
      </c>
      <c r="G536" s="1">
        <v>2080</v>
      </c>
      <c r="H536" s="1">
        <v>3744</v>
      </c>
      <c r="I536" s="1">
        <v>0</v>
      </c>
      <c r="J536" s="1">
        <v>90</v>
      </c>
      <c r="K536" s="1">
        <f t="shared" si="103"/>
        <v>0</v>
      </c>
      <c r="L536" s="1">
        <f t="shared" si="104"/>
        <v>0.78533653846153839</v>
      </c>
      <c r="M536" s="1">
        <f t="shared" si="105"/>
        <v>0.78533653846153839</v>
      </c>
      <c r="N536" s="2">
        <f t="shared" si="99"/>
        <v>21.392102846648303</v>
      </c>
      <c r="O536" s="1">
        <v>1321</v>
      </c>
      <c r="P536" s="1">
        <f t="shared" si="106"/>
        <v>551</v>
      </c>
      <c r="Q536" s="1">
        <f t="shared" si="107"/>
        <v>8.3189338266733213</v>
      </c>
      <c r="R536" s="1">
        <f t="shared" si="108"/>
        <v>2.4485750739834402</v>
      </c>
      <c r="S536" s="2">
        <f t="shared" si="109"/>
        <v>6.5297511311513157</v>
      </c>
      <c r="T536" s="2">
        <f t="shared" si="110"/>
        <v>0.11396565657441453</v>
      </c>
      <c r="U536" s="1" t="s">
        <v>2507</v>
      </c>
      <c r="V536" s="6" t="s">
        <v>2505</v>
      </c>
    </row>
    <row r="537" spans="1:22" ht="14.25" customHeight="1" x14ac:dyDescent="0.3">
      <c r="A537" s="1" t="s">
        <v>40</v>
      </c>
      <c r="B537" s="1" t="s">
        <v>1096</v>
      </c>
      <c r="C537" s="1" t="s">
        <v>1097</v>
      </c>
      <c r="D537" s="1">
        <f t="shared" si="100"/>
        <v>36</v>
      </c>
      <c r="E537" s="1">
        <f t="shared" si="101"/>
        <v>1.2719907407407407E-2</v>
      </c>
      <c r="F537" s="2">
        <f t="shared" si="102"/>
        <v>221.28462354079602</v>
      </c>
      <c r="G537" s="1">
        <v>2080</v>
      </c>
      <c r="H537" s="1">
        <v>3744</v>
      </c>
      <c r="I537" s="1">
        <v>0</v>
      </c>
      <c r="J537" s="1">
        <v>95</v>
      </c>
      <c r="K537" s="1">
        <f t="shared" si="103"/>
        <v>0</v>
      </c>
      <c r="L537" s="1">
        <f t="shared" si="104"/>
        <v>0.82896634615384601</v>
      </c>
      <c r="M537" s="1">
        <f t="shared" si="105"/>
        <v>0.82896634615384601</v>
      </c>
      <c r="N537" s="2">
        <f t="shared" si="99"/>
        <v>20.26620269682471</v>
      </c>
      <c r="O537" s="1">
        <v>1320</v>
      </c>
      <c r="P537" s="1">
        <f t="shared" si="106"/>
        <v>552</v>
      </c>
      <c r="Q537" s="1">
        <f t="shared" si="107"/>
        <v>7.8810952042168321</v>
      </c>
      <c r="R537" s="1">
        <f t="shared" si="108"/>
        <v>2.323912688422912</v>
      </c>
      <c r="S537" s="2">
        <f t="shared" si="109"/>
        <v>6.5414992366305178</v>
      </c>
      <c r="T537" s="2">
        <f t="shared" si="110"/>
        <v>0.11417069969589819</v>
      </c>
      <c r="U537" s="1" t="s">
        <v>2507</v>
      </c>
      <c r="V537" s="6" t="s">
        <v>2505</v>
      </c>
    </row>
    <row r="538" spans="1:22" ht="14.25" customHeight="1" x14ac:dyDescent="0.3">
      <c r="A538" s="1" t="s">
        <v>17</v>
      </c>
      <c r="B538" s="1" t="s">
        <v>1098</v>
      </c>
      <c r="C538" s="1" t="s">
        <v>1099</v>
      </c>
      <c r="D538" s="1">
        <f t="shared" si="100"/>
        <v>55</v>
      </c>
      <c r="E538" s="1">
        <f t="shared" si="101"/>
        <v>0.19893518518518519</v>
      </c>
      <c r="F538" s="2">
        <f t="shared" si="102"/>
        <v>341.83516947451386</v>
      </c>
      <c r="G538" s="1">
        <v>2080</v>
      </c>
      <c r="H538" s="1">
        <v>3744</v>
      </c>
      <c r="I538" s="1">
        <v>0</v>
      </c>
      <c r="J538" s="1">
        <v>152</v>
      </c>
      <c r="K538" s="1">
        <f t="shared" si="103"/>
        <v>0</v>
      </c>
      <c r="L538" s="1">
        <f t="shared" si="104"/>
        <v>1.3263461538461536</v>
      </c>
      <c r="M538" s="1">
        <f t="shared" si="105"/>
        <v>1.3263461538461536</v>
      </c>
      <c r="N538" s="2">
        <f t="shared" si="99"/>
        <v>12.666376685515445</v>
      </c>
      <c r="O538" s="1">
        <v>1320</v>
      </c>
      <c r="P538" s="1">
        <f t="shared" si="106"/>
        <v>552</v>
      </c>
      <c r="Q538" s="1">
        <f t="shared" si="107"/>
        <v>4.9256845026355203</v>
      </c>
      <c r="R538" s="1">
        <f t="shared" si="108"/>
        <v>1.4524454302643202</v>
      </c>
      <c r="S538" s="2">
        <f t="shared" si="109"/>
        <v>6.5414992366305178</v>
      </c>
      <c r="T538" s="2">
        <f t="shared" si="110"/>
        <v>0.11417069969589819</v>
      </c>
      <c r="U538" s="1" t="s">
        <v>2507</v>
      </c>
      <c r="V538" s="6" t="s">
        <v>2505</v>
      </c>
    </row>
    <row r="539" spans="1:22" ht="14.25" customHeight="1" x14ac:dyDescent="0.3">
      <c r="A539" s="1" t="s">
        <v>20</v>
      </c>
      <c r="B539" s="1" t="s">
        <v>1100</v>
      </c>
      <c r="C539" s="1" t="s">
        <v>1101</v>
      </c>
      <c r="D539" s="1">
        <f t="shared" si="100"/>
        <v>15</v>
      </c>
      <c r="E539" s="1">
        <f t="shared" si="101"/>
        <v>0.88005787037037031</v>
      </c>
      <c r="F539" s="2">
        <f t="shared" si="102"/>
        <v>94.787377235272672</v>
      </c>
      <c r="G539" s="1">
        <v>2080</v>
      </c>
      <c r="H539" s="1">
        <v>3744</v>
      </c>
      <c r="I539" s="1">
        <v>0</v>
      </c>
      <c r="J539" s="1">
        <v>405</v>
      </c>
      <c r="K539" s="1">
        <f t="shared" si="103"/>
        <v>0</v>
      </c>
      <c r="L539" s="1">
        <f t="shared" si="104"/>
        <v>3.5340144230769228</v>
      </c>
      <c r="M539" s="1">
        <f t="shared" si="105"/>
        <v>3.5340144230769228</v>
      </c>
      <c r="N539" s="2">
        <f t="shared" si="99"/>
        <v>4.7538006325885123</v>
      </c>
      <c r="O539" s="1">
        <v>1320</v>
      </c>
      <c r="P539" s="1">
        <f t="shared" si="106"/>
        <v>552</v>
      </c>
      <c r="Q539" s="1">
        <f t="shared" si="107"/>
        <v>1.8486519614829606</v>
      </c>
      <c r="R539" s="1">
        <f t="shared" si="108"/>
        <v>0.54511532197574486</v>
      </c>
      <c r="S539" s="2">
        <f t="shared" si="109"/>
        <v>6.5414992366305187</v>
      </c>
      <c r="T539" s="2">
        <f t="shared" si="110"/>
        <v>0.11417069969589821</v>
      </c>
      <c r="U539" s="1" t="s">
        <v>2507</v>
      </c>
      <c r="V539" s="6" t="s">
        <v>2505</v>
      </c>
    </row>
    <row r="540" spans="1:22" ht="14.25" customHeight="1" x14ac:dyDescent="0.3">
      <c r="A540" s="1" t="s">
        <v>30</v>
      </c>
      <c r="B540" s="1" t="s">
        <v>1102</v>
      </c>
      <c r="C540" s="1" t="s">
        <v>1103</v>
      </c>
      <c r="D540" s="1">
        <f t="shared" si="100"/>
        <v>75</v>
      </c>
      <c r="E540" s="1">
        <f t="shared" si="101"/>
        <v>0.80122685185185183</v>
      </c>
      <c r="F540" s="2">
        <f t="shared" si="102"/>
        <v>471.28318576874227</v>
      </c>
      <c r="G540" s="1">
        <v>2080</v>
      </c>
      <c r="H540" s="1">
        <v>3744</v>
      </c>
      <c r="I540" s="1">
        <v>0</v>
      </c>
      <c r="J540" s="1">
        <v>157</v>
      </c>
      <c r="K540" s="1">
        <f t="shared" si="103"/>
        <v>0</v>
      </c>
      <c r="L540" s="1">
        <f t="shared" si="104"/>
        <v>1.3699759615384615</v>
      </c>
      <c r="M540" s="1">
        <f t="shared" si="105"/>
        <v>1.3699759615384615</v>
      </c>
      <c r="N540" s="2">
        <f t="shared" si="99"/>
        <v>12.262988892983104</v>
      </c>
      <c r="O540" s="1">
        <v>1317</v>
      </c>
      <c r="P540" s="1">
        <f t="shared" si="106"/>
        <v>555</v>
      </c>
      <c r="Q540" s="1">
        <f t="shared" si="107"/>
        <v>4.7688155694305667</v>
      </c>
      <c r="R540" s="1">
        <f t="shared" si="108"/>
        <v>1.41383153901387</v>
      </c>
      <c r="S540" s="2">
        <f t="shared" si="109"/>
        <v>6.576740234748816</v>
      </c>
      <c r="T540" s="2">
        <f t="shared" si="110"/>
        <v>0.11478577114475162</v>
      </c>
      <c r="U540" s="1" t="s">
        <v>2507</v>
      </c>
      <c r="V540" s="6" t="s">
        <v>2505</v>
      </c>
    </row>
    <row r="541" spans="1:22" ht="14.25" customHeight="1" x14ac:dyDescent="0.3">
      <c r="A541" s="1" t="s">
        <v>40</v>
      </c>
      <c r="B541" s="1" t="s">
        <v>1104</v>
      </c>
      <c r="C541" s="1" t="s">
        <v>1105</v>
      </c>
      <c r="D541" s="1">
        <f t="shared" si="100"/>
        <v>73</v>
      </c>
      <c r="E541" s="1">
        <f t="shared" si="101"/>
        <v>0.26575231481481482</v>
      </c>
      <c r="F541" s="2">
        <f t="shared" si="102"/>
        <v>455.35232941090322</v>
      </c>
      <c r="G541" s="1">
        <v>2080</v>
      </c>
      <c r="H541" s="1">
        <v>3744</v>
      </c>
      <c r="I541" s="1">
        <v>0</v>
      </c>
      <c r="J541" s="1">
        <v>240</v>
      </c>
      <c r="K541" s="1">
        <f t="shared" si="103"/>
        <v>0</v>
      </c>
      <c r="L541" s="1">
        <f t="shared" si="104"/>
        <v>2.0942307692307693</v>
      </c>
      <c r="M541" s="1">
        <f t="shared" si="105"/>
        <v>2.0942307692307693</v>
      </c>
      <c r="N541" s="2">
        <f t="shared" si="99"/>
        <v>8.0220385674931123</v>
      </c>
      <c r="O541" s="1">
        <v>1316</v>
      </c>
      <c r="P541" s="1">
        <f t="shared" si="106"/>
        <v>556</v>
      </c>
      <c r="Q541" s="1">
        <f t="shared" si="107"/>
        <v>3.1196001850024953</v>
      </c>
      <c r="R541" s="1">
        <f t="shared" si="108"/>
        <v>0.92654791819518556</v>
      </c>
      <c r="S541" s="2">
        <f t="shared" si="109"/>
        <v>6.5884861248538282</v>
      </c>
      <c r="T541" s="2">
        <f t="shared" si="110"/>
        <v>0.11499077560066151</v>
      </c>
      <c r="U541" s="1" t="s">
        <v>2507</v>
      </c>
      <c r="V541" s="6" t="s">
        <v>2505</v>
      </c>
    </row>
    <row r="542" spans="1:22" ht="14.25" customHeight="1" x14ac:dyDescent="0.3">
      <c r="A542" s="1" t="s">
        <v>40</v>
      </c>
      <c r="B542" s="1" t="s">
        <v>1106</v>
      </c>
      <c r="C542" s="1" t="s">
        <v>1107</v>
      </c>
      <c r="D542" s="1">
        <f t="shared" si="100"/>
        <v>92</v>
      </c>
      <c r="E542" s="1">
        <f t="shared" si="101"/>
        <v>0.30915509259259261</v>
      </c>
      <c r="F542" s="2">
        <f t="shared" si="102"/>
        <v>575.0055579429395</v>
      </c>
      <c r="G542" s="1">
        <v>2080</v>
      </c>
      <c r="H542" s="1">
        <v>3744</v>
      </c>
      <c r="I542" s="1">
        <v>0</v>
      </c>
      <c r="J542" s="1">
        <v>114</v>
      </c>
      <c r="K542" s="1">
        <f t="shared" si="103"/>
        <v>0</v>
      </c>
      <c r="L542" s="1">
        <f t="shared" si="104"/>
        <v>0.99475961538461533</v>
      </c>
      <c r="M542" s="1">
        <f t="shared" si="105"/>
        <v>0.99475961538461533</v>
      </c>
      <c r="N542" s="2">
        <f t="shared" si="99"/>
        <v>16.888502247353923</v>
      </c>
      <c r="O542" s="1">
        <v>1316</v>
      </c>
      <c r="P542" s="1">
        <f t="shared" si="106"/>
        <v>556</v>
      </c>
      <c r="Q542" s="1">
        <f t="shared" si="107"/>
        <v>6.5675793368473592</v>
      </c>
      <c r="R542" s="1">
        <f t="shared" si="108"/>
        <v>1.9506271962003909</v>
      </c>
      <c r="S542" s="2">
        <f t="shared" si="109"/>
        <v>6.5884861248538282</v>
      </c>
      <c r="T542" s="2">
        <f t="shared" si="110"/>
        <v>0.11499077560066151</v>
      </c>
      <c r="U542" s="1" t="s">
        <v>2507</v>
      </c>
      <c r="V542" s="6" t="s">
        <v>2505</v>
      </c>
    </row>
    <row r="543" spans="1:22" ht="14.25" customHeight="1" x14ac:dyDescent="0.3">
      <c r="A543" s="1" t="s">
        <v>27</v>
      </c>
      <c r="B543" s="1" t="s">
        <v>1108</v>
      </c>
      <c r="C543" s="1" t="s">
        <v>1109</v>
      </c>
      <c r="D543" s="1">
        <f t="shared" si="100"/>
        <v>17</v>
      </c>
      <c r="E543" s="1">
        <f t="shared" si="101"/>
        <v>0.85266203703703702</v>
      </c>
      <c r="F543" s="2">
        <f t="shared" si="102"/>
        <v>107.18161475215389</v>
      </c>
      <c r="G543" s="1">
        <v>2080</v>
      </c>
      <c r="H543" s="1">
        <v>3744</v>
      </c>
      <c r="I543" s="1">
        <v>0</v>
      </c>
      <c r="J543" s="1">
        <v>312</v>
      </c>
      <c r="K543" s="1">
        <f t="shared" si="103"/>
        <v>0</v>
      </c>
      <c r="L543" s="1">
        <f t="shared" si="104"/>
        <v>2.7224999999999997</v>
      </c>
      <c r="M543" s="1">
        <f t="shared" si="105"/>
        <v>2.7224999999999997</v>
      </c>
      <c r="N543" s="2">
        <f t="shared" si="99"/>
        <v>6.1707988980716264</v>
      </c>
      <c r="O543" s="1">
        <v>1314</v>
      </c>
      <c r="P543" s="1">
        <f t="shared" si="106"/>
        <v>558</v>
      </c>
      <c r="Q543" s="1">
        <f t="shared" si="107"/>
        <v>2.3996924500019201</v>
      </c>
      <c r="R543" s="1">
        <f t="shared" si="108"/>
        <v>0.71529294182749537</v>
      </c>
      <c r="S543" s="2">
        <f t="shared" si="109"/>
        <v>6.6119762354747431</v>
      </c>
      <c r="T543" s="2">
        <f t="shared" si="110"/>
        <v>0.11540075537265417</v>
      </c>
      <c r="U543" s="1" t="s">
        <v>2507</v>
      </c>
      <c r="V543" s="6" t="s">
        <v>2505</v>
      </c>
    </row>
    <row r="544" spans="1:22" ht="14.25" customHeight="1" x14ac:dyDescent="0.3">
      <c r="A544" s="1" t="s">
        <v>14</v>
      </c>
      <c r="B544" s="1" t="s">
        <v>1110</v>
      </c>
      <c r="C544" s="1" t="s">
        <v>1111</v>
      </c>
      <c r="D544" s="1">
        <f t="shared" si="100"/>
        <v>19</v>
      </c>
      <c r="E544" s="1">
        <f t="shared" si="101"/>
        <v>2.372685185185185E-2</v>
      </c>
      <c r="F544" s="2">
        <f t="shared" si="102"/>
        <v>114.53963199035331</v>
      </c>
      <c r="G544" s="1">
        <v>2080</v>
      </c>
      <c r="H544" s="1">
        <v>3744</v>
      </c>
      <c r="I544" s="1">
        <v>0</v>
      </c>
      <c r="J544" s="1">
        <v>162</v>
      </c>
      <c r="K544" s="1">
        <f t="shared" si="103"/>
        <v>0</v>
      </c>
      <c r="L544" s="1">
        <f t="shared" si="104"/>
        <v>1.4136057692307691</v>
      </c>
      <c r="M544" s="1">
        <f t="shared" si="105"/>
        <v>1.4136057692307691</v>
      </c>
      <c r="N544" s="2">
        <f t="shared" si="99"/>
        <v>11.88450158147128</v>
      </c>
      <c r="O544" s="1">
        <v>1314</v>
      </c>
      <c r="P544" s="1">
        <f t="shared" si="106"/>
        <v>558</v>
      </c>
      <c r="Q544" s="1">
        <f t="shared" si="107"/>
        <v>4.6216299037074018</v>
      </c>
      <c r="R544" s="1">
        <f t="shared" si="108"/>
        <v>1.3776012212973985</v>
      </c>
      <c r="S544" s="2">
        <f t="shared" si="109"/>
        <v>6.6119762354747431</v>
      </c>
      <c r="T544" s="2">
        <f t="shared" si="110"/>
        <v>0.11540075537265417</v>
      </c>
      <c r="U544" s="1" t="s">
        <v>2507</v>
      </c>
      <c r="V544" s="6" t="s">
        <v>2505</v>
      </c>
    </row>
    <row r="545" spans="1:24" ht="14.25" customHeight="1" x14ac:dyDescent="0.3">
      <c r="A545" s="1" t="s">
        <v>17</v>
      </c>
      <c r="B545" s="1" t="s">
        <v>1112</v>
      </c>
      <c r="C545" s="1" t="s">
        <v>1113</v>
      </c>
      <c r="D545" s="1">
        <f t="shared" si="100"/>
        <v>12</v>
      </c>
      <c r="E545" s="1">
        <f t="shared" si="101"/>
        <v>0.77209490740740738</v>
      </c>
      <c r="F545" s="2">
        <f t="shared" si="102"/>
        <v>75.259470011125444</v>
      </c>
      <c r="G545" s="1">
        <v>2080</v>
      </c>
      <c r="H545" s="1">
        <v>3744</v>
      </c>
      <c r="I545" s="1">
        <v>0</v>
      </c>
      <c r="J545" s="1">
        <v>183</v>
      </c>
      <c r="K545" s="1">
        <f t="shared" si="103"/>
        <v>0</v>
      </c>
      <c r="L545" s="1">
        <f t="shared" si="104"/>
        <v>1.5968509615384614</v>
      </c>
      <c r="M545" s="1">
        <f t="shared" si="105"/>
        <v>1.5968509615384614</v>
      </c>
      <c r="N545" s="2">
        <f t="shared" si="99"/>
        <v>10.520706318023755</v>
      </c>
      <c r="O545" s="1">
        <v>1313</v>
      </c>
      <c r="P545" s="1">
        <f t="shared" si="106"/>
        <v>559</v>
      </c>
      <c r="Q545" s="1">
        <f t="shared" si="107"/>
        <v>4.0912789311508142</v>
      </c>
      <c r="R545" s="1">
        <f t="shared" si="108"/>
        <v>1.2217013474964236</v>
      </c>
      <c r="S545" s="2">
        <f t="shared" si="109"/>
        <v>6.623720454095789</v>
      </c>
      <c r="T545" s="2">
        <f t="shared" si="110"/>
        <v>0.11560573065566544</v>
      </c>
      <c r="U545" s="1" t="s">
        <v>2507</v>
      </c>
      <c r="V545" s="6" t="s">
        <v>2505</v>
      </c>
    </row>
    <row r="546" spans="1:24" ht="14.25" customHeight="1" x14ac:dyDescent="0.3">
      <c r="A546" s="1" t="s">
        <v>177</v>
      </c>
      <c r="B546" s="1" t="s">
        <v>1114</v>
      </c>
      <c r="C546" s="1" t="s">
        <v>1115</v>
      </c>
      <c r="D546" s="1">
        <f t="shared" si="100"/>
        <v>15</v>
      </c>
      <c r="E546" s="1">
        <f t="shared" si="101"/>
        <v>0.19052083333333333</v>
      </c>
      <c r="F546" s="2">
        <f t="shared" si="102"/>
        <v>90.454888255405407</v>
      </c>
      <c r="G546" s="1">
        <v>2080</v>
      </c>
      <c r="H546" s="1">
        <v>3744</v>
      </c>
      <c r="I546" s="1">
        <v>0</v>
      </c>
      <c r="J546" s="1">
        <v>210</v>
      </c>
      <c r="K546" s="1">
        <f t="shared" si="103"/>
        <v>0</v>
      </c>
      <c r="L546" s="1">
        <f t="shared" si="104"/>
        <v>1.832451923076923</v>
      </c>
      <c r="M546" s="1">
        <f t="shared" si="105"/>
        <v>1.832451923076923</v>
      </c>
      <c r="N546" s="2">
        <f t="shared" si="99"/>
        <v>9.1680440771349865</v>
      </c>
      <c r="O546" s="1">
        <v>1312</v>
      </c>
      <c r="P546" s="1">
        <f t="shared" si="106"/>
        <v>560</v>
      </c>
      <c r="Q546" s="1">
        <f t="shared" si="107"/>
        <v>3.5652573542885664</v>
      </c>
      <c r="R546" s="1">
        <f t="shared" si="108"/>
        <v>1.066529977778631</v>
      </c>
      <c r="S546" s="2">
        <f t="shared" si="109"/>
        <v>6.6354641136611194</v>
      </c>
      <c r="T546" s="2">
        <f t="shared" si="110"/>
        <v>0.11581069618131379</v>
      </c>
      <c r="U546" s="1" t="s">
        <v>2507</v>
      </c>
      <c r="V546" s="6" t="s">
        <v>2505</v>
      </c>
    </row>
    <row r="547" spans="1:24" ht="14.25" customHeight="1" x14ac:dyDescent="0.3">
      <c r="A547" s="1" t="s">
        <v>40</v>
      </c>
      <c r="B547" s="1" t="s">
        <v>1116</v>
      </c>
      <c r="C547" s="1" t="s">
        <v>1117</v>
      </c>
      <c r="D547" s="1">
        <f t="shared" si="100"/>
        <v>73</v>
      </c>
      <c r="E547" s="1">
        <f t="shared" si="101"/>
        <v>0.40827546296296297</v>
      </c>
      <c r="F547" s="2">
        <f t="shared" si="102"/>
        <v>456.24782876128063</v>
      </c>
      <c r="G547" s="1">
        <v>2080</v>
      </c>
      <c r="H547" s="1">
        <v>3744</v>
      </c>
      <c r="I547" s="1">
        <v>0</v>
      </c>
      <c r="J547" s="1">
        <v>338</v>
      </c>
      <c r="K547" s="1">
        <f t="shared" si="103"/>
        <v>0</v>
      </c>
      <c r="L547" s="1">
        <f t="shared" si="104"/>
        <v>2.9493749999999999</v>
      </c>
      <c r="M547" s="1">
        <f t="shared" si="105"/>
        <v>2.9493749999999999</v>
      </c>
      <c r="N547" s="2">
        <f t="shared" si="99"/>
        <v>5.6961220597584239</v>
      </c>
      <c r="O547" s="1">
        <v>1310</v>
      </c>
      <c r="P547" s="1">
        <f t="shared" si="106"/>
        <v>562</v>
      </c>
      <c r="Q547" s="1">
        <f t="shared" si="107"/>
        <v>2.2151007230786952</v>
      </c>
      <c r="R547" s="1">
        <f t="shared" si="108"/>
        <v>0.66500352904392446</v>
      </c>
      <c r="S547" s="2">
        <f t="shared" si="109"/>
        <v>6.6589497518379686</v>
      </c>
      <c r="T547" s="2">
        <f t="shared" si="110"/>
        <v>0.11622059789443188</v>
      </c>
      <c r="U547" s="1" t="s">
        <v>2507</v>
      </c>
      <c r="V547" s="6" t="s">
        <v>2505</v>
      </c>
    </row>
    <row r="548" spans="1:24" ht="14.25" customHeight="1" x14ac:dyDescent="0.3">
      <c r="A548" s="1" t="s">
        <v>27</v>
      </c>
      <c r="B548" s="1" t="s">
        <v>1118</v>
      </c>
      <c r="C548" s="1" t="s">
        <v>1119</v>
      </c>
      <c r="D548" s="1">
        <f t="shared" si="100"/>
        <v>37</v>
      </c>
      <c r="E548" s="1">
        <f t="shared" si="101"/>
        <v>0.27444444444444444</v>
      </c>
      <c r="F548" s="2">
        <f t="shared" si="102"/>
        <v>229.21227261361506</v>
      </c>
      <c r="G548" s="1">
        <v>2080</v>
      </c>
      <c r="H548" s="1">
        <v>3744</v>
      </c>
      <c r="I548" s="1">
        <v>0</v>
      </c>
      <c r="J548" s="1">
        <v>113</v>
      </c>
      <c r="K548" s="1">
        <f t="shared" si="103"/>
        <v>0</v>
      </c>
      <c r="L548" s="1">
        <f t="shared" si="104"/>
        <v>0.98603365384615371</v>
      </c>
      <c r="M548" s="1">
        <f t="shared" si="105"/>
        <v>0.98603365384615371</v>
      </c>
      <c r="N548" s="2">
        <f t="shared" si="99"/>
        <v>17.0379580194544</v>
      </c>
      <c r="O548" s="1">
        <v>1303</v>
      </c>
      <c r="P548" s="1">
        <f t="shared" si="106"/>
        <v>569</v>
      </c>
      <c r="Q548" s="1">
        <f t="shared" si="107"/>
        <v>6.6256995079699026</v>
      </c>
      <c r="R548" s="1">
        <f t="shared" si="108"/>
        <v>2.0139011859160654</v>
      </c>
      <c r="S548" s="2">
        <f t="shared" si="109"/>
        <v>6.7411317361227816</v>
      </c>
      <c r="T548" s="2">
        <f t="shared" si="110"/>
        <v>0.1176549441060241</v>
      </c>
      <c r="U548" s="1" t="s">
        <v>2507</v>
      </c>
      <c r="V548" s="6" t="s">
        <v>2505</v>
      </c>
    </row>
    <row r="549" spans="1:24" ht="14.25" customHeight="1" x14ac:dyDescent="0.3">
      <c r="A549" s="1" t="s">
        <v>40</v>
      </c>
      <c r="B549" s="1" t="s">
        <v>1120</v>
      </c>
      <c r="C549" s="1" t="s">
        <v>1121</v>
      </c>
      <c r="D549" s="1">
        <f t="shared" si="100"/>
        <v>72</v>
      </c>
      <c r="E549" s="1">
        <f t="shared" si="101"/>
        <v>0.77664351851851843</v>
      </c>
      <c r="F549" s="2">
        <f t="shared" si="102"/>
        <v>452.27916820840198</v>
      </c>
      <c r="G549" s="1">
        <v>2080</v>
      </c>
      <c r="H549" s="1">
        <v>3744</v>
      </c>
      <c r="I549" s="1">
        <v>0</v>
      </c>
      <c r="J549" s="1">
        <v>221</v>
      </c>
      <c r="K549" s="1">
        <f t="shared" si="103"/>
        <v>0</v>
      </c>
      <c r="L549" s="1">
        <f t="shared" si="104"/>
        <v>1.9284374999999998</v>
      </c>
      <c r="M549" s="1">
        <f t="shared" si="105"/>
        <v>1.9284374999999998</v>
      </c>
      <c r="N549" s="2">
        <f t="shared" si="99"/>
        <v>8.7117160913952372</v>
      </c>
      <c r="O549" s="1">
        <v>1301</v>
      </c>
      <c r="P549" s="1">
        <f t="shared" si="106"/>
        <v>571</v>
      </c>
      <c r="Q549" s="1">
        <f t="shared" si="107"/>
        <v>3.3878011058850634</v>
      </c>
      <c r="R549" s="1">
        <f t="shared" si="108"/>
        <v>1.0333517262074634</v>
      </c>
      <c r="S549" s="2">
        <f t="shared" si="109"/>
        <v>6.7646072006361173</v>
      </c>
      <c r="T549" s="2">
        <f t="shared" si="110"/>
        <v>0.1180646682552169</v>
      </c>
      <c r="U549" s="1" t="s">
        <v>2507</v>
      </c>
      <c r="V549" s="6" t="s">
        <v>2505</v>
      </c>
    </row>
    <row r="550" spans="1:24" ht="14.25" customHeight="1" x14ac:dyDescent="0.3">
      <c r="A550" s="1" t="s">
        <v>40</v>
      </c>
      <c r="B550" s="1" t="s">
        <v>1122</v>
      </c>
      <c r="C550" s="1" t="s">
        <v>1123</v>
      </c>
      <c r="D550" s="1">
        <f t="shared" si="100"/>
        <v>28</v>
      </c>
      <c r="E550" s="1">
        <f t="shared" si="101"/>
        <v>0.22896990740740741</v>
      </c>
      <c r="F550" s="2">
        <f t="shared" si="102"/>
        <v>172.3778799060369</v>
      </c>
      <c r="G550" s="1">
        <v>2080</v>
      </c>
      <c r="H550" s="1">
        <v>3744</v>
      </c>
      <c r="I550" s="1">
        <v>0</v>
      </c>
      <c r="J550" s="1">
        <v>91</v>
      </c>
      <c r="K550" s="1">
        <f t="shared" si="103"/>
        <v>0</v>
      </c>
      <c r="L550" s="1">
        <f t="shared" si="104"/>
        <v>0.79406249999999989</v>
      </c>
      <c r="M550" s="1">
        <f t="shared" si="105"/>
        <v>0.79406249999999989</v>
      </c>
      <c r="N550" s="2">
        <f t="shared" si="99"/>
        <v>21.157024793388434</v>
      </c>
      <c r="O550" s="1">
        <v>1300</v>
      </c>
      <c r="P550" s="1">
        <f t="shared" si="106"/>
        <v>572</v>
      </c>
      <c r="Q550" s="1">
        <f t="shared" si="107"/>
        <v>8.2275169714351541</v>
      </c>
      <c r="R550" s="1">
        <f t="shared" si="108"/>
        <v>2.5139635190496308</v>
      </c>
      <c r="S550" s="2">
        <f t="shared" si="109"/>
        <v>6.7763440777675275</v>
      </c>
      <c r="T550" s="2">
        <f t="shared" si="110"/>
        <v>0.11826951540506203</v>
      </c>
      <c r="U550" s="1" t="s">
        <v>2507</v>
      </c>
      <c r="V550" s="6" t="s">
        <v>2505</v>
      </c>
      <c r="W550" s="1"/>
      <c r="X550" s="1"/>
    </row>
    <row r="551" spans="1:24" ht="14.25" customHeight="1" x14ac:dyDescent="0.3">
      <c r="A551" s="1" t="s">
        <v>27</v>
      </c>
      <c r="B551" s="1" t="s">
        <v>1124</v>
      </c>
      <c r="C551" s="1" t="s">
        <v>1125</v>
      </c>
      <c r="D551" s="1">
        <f t="shared" si="100"/>
        <v>34</v>
      </c>
      <c r="E551" s="1">
        <f t="shared" si="101"/>
        <v>0.7694212962962963</v>
      </c>
      <c r="F551" s="2">
        <f t="shared" si="102"/>
        <v>213.47274797502587</v>
      </c>
      <c r="G551" s="1">
        <v>2080</v>
      </c>
      <c r="H551" s="1">
        <v>3744</v>
      </c>
      <c r="I551" s="1">
        <v>0</v>
      </c>
      <c r="J551" s="1">
        <v>222</v>
      </c>
      <c r="K551" s="1">
        <f t="shared" si="103"/>
        <v>0</v>
      </c>
      <c r="L551" s="1">
        <f t="shared" si="104"/>
        <v>1.9371634615384614</v>
      </c>
      <c r="M551" s="1">
        <f t="shared" si="105"/>
        <v>1.9371634615384614</v>
      </c>
      <c r="N551" s="2">
        <f t="shared" si="99"/>
        <v>8.6724741270195818</v>
      </c>
      <c r="O551" s="1">
        <v>1300</v>
      </c>
      <c r="P551" s="1">
        <f t="shared" si="106"/>
        <v>572</v>
      </c>
      <c r="Q551" s="1">
        <f t="shared" si="107"/>
        <v>3.3725407405432386</v>
      </c>
      <c r="R551" s="1">
        <f t="shared" si="108"/>
        <v>1.0304985596104341</v>
      </c>
      <c r="S551" s="2">
        <f t="shared" si="109"/>
        <v>6.7763440777675283</v>
      </c>
      <c r="T551" s="2">
        <f t="shared" si="110"/>
        <v>0.11826951540506205</v>
      </c>
      <c r="U551" s="1" t="s">
        <v>2507</v>
      </c>
      <c r="V551" s="6" t="s">
        <v>2505</v>
      </c>
    </row>
    <row r="552" spans="1:24" ht="15" customHeight="1" x14ac:dyDescent="0.3">
      <c r="A552" s="1" t="s">
        <v>27</v>
      </c>
      <c r="B552" s="1" t="s">
        <v>1126</v>
      </c>
      <c r="C552" s="1" t="s">
        <v>1127</v>
      </c>
      <c r="D552" s="1">
        <f t="shared" si="100"/>
        <v>38</v>
      </c>
      <c r="E552" s="1">
        <f t="shared" si="101"/>
        <v>0.74310185185185185</v>
      </c>
      <c r="F552" s="2">
        <f t="shared" si="102"/>
        <v>238.44011925711777</v>
      </c>
      <c r="G552" s="1">
        <v>2080</v>
      </c>
      <c r="H552" s="1">
        <v>3744</v>
      </c>
      <c r="I552" s="1">
        <v>0</v>
      </c>
      <c r="J552" s="1">
        <v>115</v>
      </c>
      <c r="K552" s="1">
        <f t="shared" si="103"/>
        <v>0</v>
      </c>
      <c r="L552" s="1">
        <f t="shared" si="104"/>
        <v>1.0034855769230768</v>
      </c>
      <c r="M552" s="1">
        <f t="shared" si="105"/>
        <v>1.0034855769230768</v>
      </c>
      <c r="N552" s="2">
        <f t="shared" si="99"/>
        <v>16.741645706072585</v>
      </c>
      <c r="O552" s="1">
        <v>1300</v>
      </c>
      <c r="P552" s="1">
        <f t="shared" si="106"/>
        <v>572</v>
      </c>
      <c r="Q552" s="1">
        <f t="shared" si="107"/>
        <v>6.510469951309557</v>
      </c>
      <c r="R552" s="1">
        <f t="shared" si="108"/>
        <v>1.9893102629001427</v>
      </c>
      <c r="S552" s="2">
        <f t="shared" si="109"/>
        <v>6.7763440777675283</v>
      </c>
      <c r="T552" s="2">
        <f t="shared" si="110"/>
        <v>0.11826951540506205</v>
      </c>
      <c r="U552" s="1" t="s">
        <v>2507</v>
      </c>
      <c r="V552" s="6" t="s">
        <v>2505</v>
      </c>
    </row>
    <row r="553" spans="1:24" ht="14.25" customHeight="1" x14ac:dyDescent="0.3">
      <c r="A553" s="1" t="s">
        <v>27</v>
      </c>
      <c r="B553" s="1" t="s">
        <v>1128</v>
      </c>
      <c r="C553" s="1" t="s">
        <v>1129</v>
      </c>
      <c r="D553" s="1">
        <f t="shared" si="100"/>
        <v>48</v>
      </c>
      <c r="E553" s="1">
        <f t="shared" si="101"/>
        <v>0.29354166666666665</v>
      </c>
      <c r="F553" s="2">
        <f t="shared" si="102"/>
        <v>298.4473023786652</v>
      </c>
      <c r="G553" s="1">
        <v>2080</v>
      </c>
      <c r="H553" s="1">
        <v>3744</v>
      </c>
      <c r="I553" s="1">
        <v>0</v>
      </c>
      <c r="J553" s="1">
        <v>122</v>
      </c>
      <c r="K553" s="1">
        <f t="shared" si="103"/>
        <v>0</v>
      </c>
      <c r="L553" s="1">
        <f t="shared" si="104"/>
        <v>1.0645673076923075</v>
      </c>
      <c r="M553" s="1">
        <f t="shared" si="105"/>
        <v>1.0645673076923075</v>
      </c>
      <c r="N553" s="2">
        <f t="shared" si="99"/>
        <v>15.781059477035637</v>
      </c>
      <c r="O553" s="1">
        <v>1298</v>
      </c>
      <c r="P553" s="1">
        <f t="shared" si="106"/>
        <v>574</v>
      </c>
      <c r="Q553" s="1">
        <f t="shared" si="107"/>
        <v>6.1369183967262222</v>
      </c>
      <c r="R553" s="1">
        <f t="shared" si="108"/>
        <v>1.8817260468594295</v>
      </c>
      <c r="S553" s="2">
        <f t="shared" si="109"/>
        <v>6.7998161170630151</v>
      </c>
      <c r="T553" s="2">
        <f t="shared" si="110"/>
        <v>0.11867917977292579</v>
      </c>
      <c r="U553" s="1" t="s">
        <v>2507</v>
      </c>
      <c r="V553" s="6" t="s">
        <v>2505</v>
      </c>
    </row>
    <row r="554" spans="1:24" ht="14.25" customHeight="1" x14ac:dyDescent="0.3">
      <c r="A554" s="1" t="s">
        <v>40</v>
      </c>
      <c r="B554" s="1" t="s">
        <v>1130</v>
      </c>
      <c r="C554" s="1" t="s">
        <v>1131</v>
      </c>
      <c r="D554" s="1">
        <f t="shared" si="100"/>
        <v>93</v>
      </c>
      <c r="E554" s="1">
        <f t="shared" si="101"/>
        <v>0.97092592592592597</v>
      </c>
      <c r="F554" s="2">
        <f t="shared" si="102"/>
        <v>585.44677202683908</v>
      </c>
      <c r="G554" s="1">
        <v>2080</v>
      </c>
      <c r="H554" s="1">
        <v>3744</v>
      </c>
      <c r="I554" s="1">
        <v>0</v>
      </c>
      <c r="J554" s="1">
        <v>114</v>
      </c>
      <c r="K554" s="1">
        <f t="shared" si="103"/>
        <v>0</v>
      </c>
      <c r="L554" s="1">
        <f t="shared" si="104"/>
        <v>0.99475961538461533</v>
      </c>
      <c r="M554" s="1">
        <f t="shared" si="105"/>
        <v>0.99475961538461533</v>
      </c>
      <c r="N554" s="2">
        <f t="shared" si="99"/>
        <v>16.888502247353923</v>
      </c>
      <c r="O554" s="1">
        <v>1298</v>
      </c>
      <c r="P554" s="1">
        <f t="shared" si="106"/>
        <v>574</v>
      </c>
      <c r="Q554" s="1">
        <f t="shared" si="107"/>
        <v>6.5675793368473592</v>
      </c>
      <c r="R554" s="1">
        <f t="shared" si="108"/>
        <v>2.013776997516231</v>
      </c>
      <c r="S554" s="2">
        <f t="shared" si="109"/>
        <v>6.7998161170630151</v>
      </c>
      <c r="T554" s="2">
        <f t="shared" si="110"/>
        <v>0.11867917977292579</v>
      </c>
      <c r="U554" s="1" t="s">
        <v>2507</v>
      </c>
      <c r="V554" s="6" t="s">
        <v>2505</v>
      </c>
    </row>
    <row r="555" spans="1:24" ht="14.25" customHeight="1" x14ac:dyDescent="0.3">
      <c r="A555" s="1" t="s">
        <v>27</v>
      </c>
      <c r="B555" s="1" t="s">
        <v>1132</v>
      </c>
      <c r="C555" s="1" t="s">
        <v>1133</v>
      </c>
      <c r="D555" s="1">
        <f t="shared" si="100"/>
        <v>84</v>
      </c>
      <c r="E555" s="1">
        <f t="shared" si="101"/>
        <v>0.30814814814814812</v>
      </c>
      <c r="F555" s="2">
        <f t="shared" si="102"/>
        <v>524.73374866696429</v>
      </c>
      <c r="G555" s="1">
        <v>2080</v>
      </c>
      <c r="H555" s="1">
        <v>3744</v>
      </c>
      <c r="I555" s="1">
        <v>0</v>
      </c>
      <c r="J555" s="1">
        <v>130</v>
      </c>
      <c r="K555" s="1">
        <f t="shared" si="103"/>
        <v>0</v>
      </c>
      <c r="L555" s="1">
        <f t="shared" si="104"/>
        <v>1.1343749999999999</v>
      </c>
      <c r="M555" s="1">
        <f t="shared" si="105"/>
        <v>1.1343749999999999</v>
      </c>
      <c r="N555" s="2">
        <f t="shared" si="99"/>
        <v>14.809917355371903</v>
      </c>
      <c r="O555" s="1">
        <v>1297</v>
      </c>
      <c r="P555" s="1">
        <f t="shared" si="106"/>
        <v>575</v>
      </c>
      <c r="Q555" s="1">
        <f t="shared" si="107"/>
        <v>5.7592618800046083</v>
      </c>
      <c r="R555" s="1">
        <f t="shared" si="108"/>
        <v>1.7690040496809027</v>
      </c>
      <c r="S555" s="2">
        <f t="shared" si="109"/>
        <v>6.8115512773412155</v>
      </c>
      <c r="T555" s="2">
        <f t="shared" si="110"/>
        <v>0.11888399695802963</v>
      </c>
      <c r="U555" s="1" t="s">
        <v>2507</v>
      </c>
      <c r="V555" s="6" t="s">
        <v>2505</v>
      </c>
    </row>
    <row r="556" spans="1:24" ht="14.25" customHeight="1" x14ac:dyDescent="0.3">
      <c r="A556" s="1" t="s">
        <v>27</v>
      </c>
      <c r="B556" s="1" t="s">
        <v>1134</v>
      </c>
      <c r="C556" s="1" t="s">
        <v>1135</v>
      </c>
      <c r="D556" s="1">
        <f t="shared" si="100"/>
        <v>88</v>
      </c>
      <c r="E556" s="1">
        <f t="shared" si="101"/>
        <v>0.25182870370370369</v>
      </c>
      <c r="F556" s="2">
        <f t="shared" si="102"/>
        <v>549.51262438984088</v>
      </c>
      <c r="G556" s="1">
        <v>2080</v>
      </c>
      <c r="H556" s="1">
        <v>3744</v>
      </c>
      <c r="I556" s="1">
        <v>0</v>
      </c>
      <c r="J556" s="1">
        <v>80</v>
      </c>
      <c r="K556" s="1">
        <f t="shared" si="103"/>
        <v>0</v>
      </c>
      <c r="L556" s="1">
        <f t="shared" si="104"/>
        <v>0.69807692307692304</v>
      </c>
      <c r="M556" s="1">
        <f t="shared" si="105"/>
        <v>0.69807692307692304</v>
      </c>
      <c r="N556" s="2">
        <f t="shared" si="99"/>
        <v>24.06611570247934</v>
      </c>
      <c r="O556" s="1">
        <v>1297</v>
      </c>
      <c r="P556" s="1">
        <f t="shared" si="106"/>
        <v>575</v>
      </c>
      <c r="Q556" s="1">
        <f t="shared" si="107"/>
        <v>9.3588005550074875</v>
      </c>
      <c r="R556" s="1">
        <f t="shared" si="108"/>
        <v>2.8746315807314669</v>
      </c>
      <c r="S556" s="2">
        <f t="shared" si="109"/>
        <v>6.8115512773412155</v>
      </c>
      <c r="T556" s="2">
        <f t="shared" si="110"/>
        <v>0.11888399695802963</v>
      </c>
      <c r="U556" s="1" t="s">
        <v>2507</v>
      </c>
      <c r="V556" s="6" t="s">
        <v>2505</v>
      </c>
    </row>
    <row r="557" spans="1:24" ht="14.25" customHeight="1" x14ac:dyDescent="0.3">
      <c r="A557" s="1" t="s">
        <v>40</v>
      </c>
      <c r="B557" s="1" t="s">
        <v>1136</v>
      </c>
      <c r="C557" s="1" t="s">
        <v>1137</v>
      </c>
      <c r="D557" s="1">
        <f t="shared" si="100"/>
        <v>31</v>
      </c>
      <c r="E557" s="1">
        <f t="shared" si="101"/>
        <v>7.1319444444444449E-2</v>
      </c>
      <c r="F557" s="2">
        <f t="shared" si="102"/>
        <v>190.23688875501671</v>
      </c>
      <c r="G557" s="1">
        <v>2080</v>
      </c>
      <c r="H557" s="1">
        <v>3744</v>
      </c>
      <c r="I557" s="1">
        <v>0</v>
      </c>
      <c r="J557" s="1">
        <v>134</v>
      </c>
      <c r="K557" s="1">
        <f t="shared" si="103"/>
        <v>0</v>
      </c>
      <c r="L557" s="1">
        <f t="shared" si="104"/>
        <v>1.1692788461538461</v>
      </c>
      <c r="M557" s="1">
        <f t="shared" si="105"/>
        <v>1.1692788461538461</v>
      </c>
      <c r="N557" s="2">
        <f t="shared" si="99"/>
        <v>14.367830270136919</v>
      </c>
      <c r="O557" s="1">
        <v>1296</v>
      </c>
      <c r="P557" s="1">
        <f t="shared" si="106"/>
        <v>576</v>
      </c>
      <c r="Q557" s="1">
        <f t="shared" si="107"/>
        <v>5.5873436149298428</v>
      </c>
      <c r="R557" s="1">
        <f t="shared" si="108"/>
        <v>1.719182650747644</v>
      </c>
      <c r="S557" s="2">
        <f t="shared" si="109"/>
        <v>6.8232858634496081</v>
      </c>
      <c r="T557" s="2">
        <f t="shared" si="110"/>
        <v>0.11908880412197988</v>
      </c>
      <c r="U557" s="1" t="s">
        <v>2507</v>
      </c>
      <c r="V557" s="6" t="s">
        <v>2505</v>
      </c>
    </row>
    <row r="558" spans="1:24" ht="14.25" customHeight="1" x14ac:dyDescent="0.3">
      <c r="A558" s="1" t="s">
        <v>14</v>
      </c>
      <c r="B558" s="1" t="s">
        <v>1138</v>
      </c>
      <c r="C558" s="1" t="s">
        <v>1139</v>
      </c>
      <c r="D558" s="1">
        <f t="shared" si="100"/>
        <v>19</v>
      </c>
      <c r="E558" s="1">
        <f t="shared" si="101"/>
        <v>2.344907407407407E-2</v>
      </c>
      <c r="F558" s="2">
        <f t="shared" si="102"/>
        <v>114.53788666110133</v>
      </c>
      <c r="G558" s="1">
        <v>2080</v>
      </c>
      <c r="H558" s="1">
        <v>3744</v>
      </c>
      <c r="I558" s="1">
        <v>0</v>
      </c>
      <c r="J558" s="1">
        <v>126</v>
      </c>
      <c r="K558" s="1">
        <f t="shared" si="103"/>
        <v>0</v>
      </c>
      <c r="L558" s="1">
        <f t="shared" si="104"/>
        <v>1.0994711538461537</v>
      </c>
      <c r="M558" s="1">
        <f t="shared" si="105"/>
        <v>1.0994711538461537</v>
      </c>
      <c r="N558" s="2">
        <f t="shared" si="99"/>
        <v>15.280073461891647</v>
      </c>
      <c r="O558" s="1">
        <v>1295</v>
      </c>
      <c r="P558" s="1">
        <f t="shared" si="106"/>
        <v>577</v>
      </c>
      <c r="Q558" s="1">
        <f t="shared" si="107"/>
        <v>5.9420955904809452</v>
      </c>
      <c r="R558" s="1">
        <f t="shared" si="108"/>
        <v>1.8315113011258042</v>
      </c>
      <c r="S558" s="2">
        <f t="shared" si="109"/>
        <v>6.8350198744459671</v>
      </c>
      <c r="T558" s="2">
        <f t="shared" si="110"/>
        <v>0.11929360124833156</v>
      </c>
      <c r="U558" s="1" t="s">
        <v>2507</v>
      </c>
      <c r="V558" s="6" t="s">
        <v>2505</v>
      </c>
    </row>
    <row r="559" spans="1:24" ht="14.25" customHeight="1" x14ac:dyDescent="0.3">
      <c r="A559" s="1" t="s">
        <v>27</v>
      </c>
      <c r="B559" s="1" t="s">
        <v>1140</v>
      </c>
      <c r="C559" s="1" t="s">
        <v>1141</v>
      </c>
      <c r="D559" s="1">
        <f t="shared" si="100"/>
        <v>56</v>
      </c>
      <c r="E559" s="1">
        <f t="shared" si="101"/>
        <v>0.29831018518518521</v>
      </c>
      <c r="F559" s="2">
        <f t="shared" si="102"/>
        <v>348.74274632159444</v>
      </c>
      <c r="G559" s="1">
        <v>2080</v>
      </c>
      <c r="H559" s="1">
        <v>3744</v>
      </c>
      <c r="I559" s="1">
        <v>0</v>
      </c>
      <c r="J559" s="1">
        <v>252</v>
      </c>
      <c r="K559" s="1">
        <f t="shared" si="103"/>
        <v>0</v>
      </c>
      <c r="L559" s="1">
        <f t="shared" si="104"/>
        <v>2.1989423076923074</v>
      </c>
      <c r="M559" s="1">
        <f t="shared" si="105"/>
        <v>2.1989423076923074</v>
      </c>
      <c r="N559" s="2">
        <f t="shared" si="99"/>
        <v>7.6400367309458233</v>
      </c>
      <c r="O559" s="1">
        <v>1293</v>
      </c>
      <c r="P559" s="1">
        <f t="shared" si="106"/>
        <v>579</v>
      </c>
      <c r="Q559" s="1">
        <f t="shared" si="107"/>
        <v>2.9710477952404726</v>
      </c>
      <c r="R559" s="1">
        <f t="shared" si="108"/>
        <v>0.91892984692533852</v>
      </c>
      <c r="S559" s="2">
        <f t="shared" si="109"/>
        <v>6.8584861673351023</v>
      </c>
      <c r="T559" s="2">
        <f t="shared" si="110"/>
        <v>0.1197031653224843</v>
      </c>
      <c r="U559" s="1" t="s">
        <v>2507</v>
      </c>
      <c r="V559" s="6" t="s">
        <v>2505</v>
      </c>
    </row>
    <row r="560" spans="1:24" ht="14.25" customHeight="1" x14ac:dyDescent="0.3">
      <c r="A560" s="1" t="s">
        <v>17</v>
      </c>
      <c r="B560" s="1" t="s">
        <v>1142</v>
      </c>
      <c r="C560" s="1" t="s">
        <v>1143</v>
      </c>
      <c r="D560" s="1">
        <f t="shared" si="100"/>
        <v>58</v>
      </c>
      <c r="E560" s="1">
        <f t="shared" si="101"/>
        <v>0.99546296296296299</v>
      </c>
      <c r="F560" s="2">
        <f t="shared" si="102"/>
        <v>365.68945702614633</v>
      </c>
      <c r="G560" s="1">
        <v>2080</v>
      </c>
      <c r="H560" s="1">
        <v>3744</v>
      </c>
      <c r="I560" s="1">
        <v>0</v>
      </c>
      <c r="J560" s="1">
        <v>265</v>
      </c>
      <c r="K560" s="1">
        <f t="shared" si="103"/>
        <v>0</v>
      </c>
      <c r="L560" s="1">
        <f t="shared" si="104"/>
        <v>2.3123798076923077</v>
      </c>
      <c r="M560" s="1">
        <f t="shared" si="105"/>
        <v>2.3123798076923077</v>
      </c>
      <c r="N560" s="2">
        <f t="shared" si="99"/>
        <v>7.2652424762201777</v>
      </c>
      <c r="O560" s="1">
        <v>1293</v>
      </c>
      <c r="P560" s="1">
        <f t="shared" si="106"/>
        <v>579</v>
      </c>
      <c r="Q560" s="1">
        <f t="shared" si="107"/>
        <v>2.8252982807569769</v>
      </c>
      <c r="R560" s="1">
        <f t="shared" si="108"/>
        <v>0.87385026952900091</v>
      </c>
      <c r="S560" s="2">
        <f t="shared" si="109"/>
        <v>6.8584861673351023</v>
      </c>
      <c r="T560" s="2">
        <f t="shared" si="110"/>
        <v>0.1197031653224843</v>
      </c>
      <c r="U560" s="1" t="s">
        <v>2507</v>
      </c>
      <c r="V560" s="6" t="s">
        <v>2505</v>
      </c>
    </row>
    <row r="561" spans="1:22" ht="14.25" customHeight="1" x14ac:dyDescent="0.3">
      <c r="A561" s="1" t="s">
        <v>65</v>
      </c>
      <c r="B561" s="1" t="s">
        <v>1144</v>
      </c>
      <c r="C561" s="1" t="s">
        <v>1145</v>
      </c>
      <c r="D561" s="1">
        <f t="shared" si="100"/>
        <v>60</v>
      </c>
      <c r="E561" s="1">
        <f t="shared" si="101"/>
        <v>0.91758101851851848</v>
      </c>
      <c r="F561" s="2">
        <f t="shared" si="102"/>
        <v>377.7664809514776</v>
      </c>
      <c r="G561" s="1">
        <v>2080</v>
      </c>
      <c r="H561" s="1">
        <v>3744</v>
      </c>
      <c r="I561" s="1">
        <v>0</v>
      </c>
      <c r="J561" s="1">
        <v>585</v>
      </c>
      <c r="K561" s="1">
        <f t="shared" si="103"/>
        <v>0</v>
      </c>
      <c r="L561" s="1">
        <f t="shared" si="104"/>
        <v>5.1046874999999998</v>
      </c>
      <c r="M561" s="1">
        <f t="shared" si="105"/>
        <v>5.1046874999999998</v>
      </c>
      <c r="N561" s="2">
        <f t="shared" si="99"/>
        <v>3.2910927456382004</v>
      </c>
      <c r="O561" s="1">
        <v>1293</v>
      </c>
      <c r="P561" s="1">
        <f t="shared" si="106"/>
        <v>579</v>
      </c>
      <c r="Q561" s="1">
        <f t="shared" si="107"/>
        <v>1.2798359733343572</v>
      </c>
      <c r="R561" s="1">
        <f t="shared" si="108"/>
        <v>0.39584670329091498</v>
      </c>
      <c r="S561" s="2">
        <f t="shared" si="109"/>
        <v>6.8584861673351023</v>
      </c>
      <c r="T561" s="2">
        <f t="shared" si="110"/>
        <v>0.1197031653224843</v>
      </c>
      <c r="U561" s="1" t="s">
        <v>2507</v>
      </c>
      <c r="V561" s="6" t="s">
        <v>2505</v>
      </c>
    </row>
    <row r="562" spans="1:22" ht="14.25" customHeight="1" x14ac:dyDescent="0.3">
      <c r="A562" s="1" t="s">
        <v>17</v>
      </c>
      <c r="B562" s="1" t="s">
        <v>1146</v>
      </c>
      <c r="C562" s="1" t="s">
        <v>1147</v>
      </c>
      <c r="D562" s="1">
        <f t="shared" si="100"/>
        <v>68</v>
      </c>
      <c r="E562" s="1">
        <f t="shared" si="101"/>
        <v>1.2650462962962962E-2</v>
      </c>
      <c r="F562" s="2">
        <f t="shared" si="102"/>
        <v>422.34611703822981</v>
      </c>
      <c r="G562" s="1">
        <v>2080</v>
      </c>
      <c r="H562" s="1">
        <v>3744</v>
      </c>
      <c r="I562" s="1">
        <v>0</v>
      </c>
      <c r="J562" s="1">
        <v>241</v>
      </c>
      <c r="K562" s="1">
        <f t="shared" si="103"/>
        <v>0</v>
      </c>
      <c r="L562" s="1">
        <f t="shared" si="104"/>
        <v>2.1029567307692307</v>
      </c>
      <c r="M562" s="1">
        <f t="shared" si="105"/>
        <v>2.1029567307692307</v>
      </c>
      <c r="N562" s="2">
        <f t="shared" si="99"/>
        <v>7.9887521004080799</v>
      </c>
      <c r="O562" s="1">
        <v>1292</v>
      </c>
      <c r="P562" s="1">
        <f t="shared" si="106"/>
        <v>580</v>
      </c>
      <c r="Q562" s="1">
        <f t="shared" si="107"/>
        <v>3.1066557858946018</v>
      </c>
      <c r="R562" s="1">
        <f t="shared" si="108"/>
        <v>0.9625322413562335</v>
      </c>
      <c r="S562" s="2">
        <f t="shared" si="109"/>
        <v>6.8702184473448531</v>
      </c>
      <c r="T562" s="2">
        <f t="shared" si="110"/>
        <v>0.11990793223742037</v>
      </c>
      <c r="U562" s="1" t="s">
        <v>2507</v>
      </c>
      <c r="V562" s="6" t="s">
        <v>2505</v>
      </c>
    </row>
    <row r="563" spans="1:22" ht="14.25" customHeight="1" x14ac:dyDescent="0.3">
      <c r="A563" s="1" t="s">
        <v>27</v>
      </c>
      <c r="B563" s="1" t="s">
        <v>1148</v>
      </c>
      <c r="C563" s="1" t="s">
        <v>1149</v>
      </c>
      <c r="D563" s="1">
        <f t="shared" si="100"/>
        <v>35</v>
      </c>
      <c r="E563" s="1">
        <f t="shared" si="101"/>
        <v>6.7928240740740733E-2</v>
      </c>
      <c r="F563" s="2">
        <f t="shared" si="102"/>
        <v>215.34832242245028</v>
      </c>
      <c r="G563" s="1">
        <v>2080</v>
      </c>
      <c r="H563" s="1">
        <v>3744</v>
      </c>
      <c r="I563" s="1">
        <v>0</v>
      </c>
      <c r="J563" s="1">
        <v>234</v>
      </c>
      <c r="K563" s="1">
        <f t="shared" si="103"/>
        <v>0</v>
      </c>
      <c r="L563" s="1">
        <f t="shared" si="104"/>
        <v>2.0418749999999997</v>
      </c>
      <c r="M563" s="1">
        <f t="shared" si="105"/>
        <v>2.0418749999999997</v>
      </c>
      <c r="N563" s="2">
        <f t="shared" si="99"/>
        <v>8.2277318640955013</v>
      </c>
      <c r="O563" s="1">
        <v>1291</v>
      </c>
      <c r="P563" s="1">
        <f t="shared" si="106"/>
        <v>581</v>
      </c>
      <c r="Q563" s="1">
        <f t="shared" si="107"/>
        <v>3.199589933335893</v>
      </c>
      <c r="R563" s="1">
        <f t="shared" si="108"/>
        <v>0.99303512354068046</v>
      </c>
      <c r="S563" s="2">
        <f t="shared" si="109"/>
        <v>6.8819501484765171</v>
      </c>
      <c r="T563" s="2">
        <f t="shared" si="110"/>
        <v>0.12011268904902785</v>
      </c>
      <c r="U563" s="1" t="s">
        <v>2507</v>
      </c>
      <c r="V563" s="6" t="s">
        <v>2505</v>
      </c>
    </row>
    <row r="564" spans="1:22" ht="14.25" customHeight="1" x14ac:dyDescent="0.3">
      <c r="A564" s="1" t="s">
        <v>27</v>
      </c>
      <c r="B564" s="1" t="s">
        <v>1150</v>
      </c>
      <c r="C564" s="1" t="s">
        <v>1151</v>
      </c>
      <c r="D564" s="1">
        <f t="shared" si="100"/>
        <v>34</v>
      </c>
      <c r="E564" s="1">
        <f t="shared" si="101"/>
        <v>0.11648148148148148</v>
      </c>
      <c r="F564" s="2">
        <f t="shared" si="102"/>
        <v>209.37020612410888</v>
      </c>
      <c r="G564" s="1">
        <v>2080</v>
      </c>
      <c r="H564" s="1">
        <v>3744</v>
      </c>
      <c r="I564" s="1">
        <v>0</v>
      </c>
      <c r="J564" s="1">
        <v>177</v>
      </c>
      <c r="K564" s="1">
        <f t="shared" si="103"/>
        <v>0</v>
      </c>
      <c r="L564" s="1">
        <f t="shared" si="104"/>
        <v>1.5444951923076922</v>
      </c>
      <c r="M564" s="1">
        <f t="shared" si="105"/>
        <v>1.5444951923076922</v>
      </c>
      <c r="N564" s="2">
        <f t="shared" si="99"/>
        <v>10.877340430499137</v>
      </c>
      <c r="O564" s="1">
        <v>1291</v>
      </c>
      <c r="P564" s="1">
        <f t="shared" si="106"/>
        <v>581</v>
      </c>
      <c r="Q564" s="1">
        <f t="shared" si="107"/>
        <v>4.2299663525457571</v>
      </c>
      <c r="R564" s="1">
        <f t="shared" si="108"/>
        <v>1.3128260955283573</v>
      </c>
      <c r="S564" s="2">
        <f t="shared" si="109"/>
        <v>6.881950148476518</v>
      </c>
      <c r="T564" s="2">
        <f t="shared" si="110"/>
        <v>0.12011268904902786</v>
      </c>
      <c r="U564" s="1" t="s">
        <v>2507</v>
      </c>
      <c r="V564" s="6" t="s">
        <v>2505</v>
      </c>
    </row>
    <row r="565" spans="1:22" ht="14.25" customHeight="1" x14ac:dyDescent="0.3">
      <c r="A565" s="1" t="s">
        <v>40</v>
      </c>
      <c r="B565" s="1" t="s">
        <v>1152</v>
      </c>
      <c r="C565" s="1" t="s">
        <v>1153</v>
      </c>
      <c r="D565" s="1">
        <f t="shared" si="100"/>
        <v>72</v>
      </c>
      <c r="E565" s="1">
        <f t="shared" si="101"/>
        <v>0.77314814814814825</v>
      </c>
      <c r="F565" s="2">
        <f t="shared" si="102"/>
        <v>452.25720614864781</v>
      </c>
      <c r="G565" s="1">
        <v>2080</v>
      </c>
      <c r="H565" s="1">
        <v>3744</v>
      </c>
      <c r="I565" s="1">
        <v>0</v>
      </c>
      <c r="J565" s="1">
        <v>94</v>
      </c>
      <c r="K565" s="1">
        <f t="shared" si="103"/>
        <v>0</v>
      </c>
      <c r="L565" s="1">
        <f t="shared" si="104"/>
        <v>0.82024038461538462</v>
      </c>
      <c r="M565" s="1">
        <f t="shared" si="105"/>
        <v>0.82024038461538462</v>
      </c>
      <c r="N565" s="2">
        <f t="shared" si="99"/>
        <v>20.481800597854757</v>
      </c>
      <c r="O565" s="1">
        <v>1291</v>
      </c>
      <c r="P565" s="1">
        <f t="shared" si="106"/>
        <v>581</v>
      </c>
      <c r="Q565" s="1">
        <f t="shared" si="107"/>
        <v>7.9649366425595636</v>
      </c>
      <c r="R565" s="1">
        <f t="shared" si="108"/>
        <v>2.4720236054097793</v>
      </c>
      <c r="S565" s="2">
        <f t="shared" si="109"/>
        <v>6.881950148476518</v>
      </c>
      <c r="T565" s="2">
        <f t="shared" si="110"/>
        <v>0.12011268904902786</v>
      </c>
      <c r="U565" s="1" t="s">
        <v>2507</v>
      </c>
      <c r="V565" s="6" t="s">
        <v>2505</v>
      </c>
    </row>
    <row r="566" spans="1:22" ht="14.25" customHeight="1" x14ac:dyDescent="0.3">
      <c r="A566" s="1" t="s">
        <v>40</v>
      </c>
      <c r="B566" s="1" t="s">
        <v>1154</v>
      </c>
      <c r="C566" s="1" t="s">
        <v>1155</v>
      </c>
      <c r="D566" s="1">
        <f t="shared" si="100"/>
        <v>32</v>
      </c>
      <c r="E566" s="1">
        <f t="shared" si="101"/>
        <v>0.72925925925925927</v>
      </c>
      <c r="F566" s="2">
        <f t="shared" si="102"/>
        <v>200.65403183964918</v>
      </c>
      <c r="G566" s="1">
        <v>2080</v>
      </c>
      <c r="H566" s="1">
        <v>3744</v>
      </c>
      <c r="I566" s="1">
        <v>0</v>
      </c>
      <c r="J566" s="1">
        <v>165</v>
      </c>
      <c r="K566" s="1">
        <f t="shared" si="103"/>
        <v>0</v>
      </c>
      <c r="L566" s="1">
        <f t="shared" si="104"/>
        <v>1.4397836538461537</v>
      </c>
      <c r="M566" s="1">
        <f t="shared" si="105"/>
        <v>1.4397836538461537</v>
      </c>
      <c r="N566" s="2">
        <f t="shared" si="99"/>
        <v>11.668419734535439</v>
      </c>
      <c r="O566" s="1">
        <v>1288</v>
      </c>
      <c r="P566" s="1">
        <f t="shared" si="106"/>
        <v>584</v>
      </c>
      <c r="Q566" s="1">
        <f t="shared" si="107"/>
        <v>4.5376002690945398</v>
      </c>
      <c r="R566" s="1">
        <f t="shared" si="108"/>
        <v>1.4155761523243651</v>
      </c>
      <c r="S566" s="2">
        <f t="shared" si="109"/>
        <v>6.9171417691964807</v>
      </c>
      <c r="T566" s="2">
        <f t="shared" si="110"/>
        <v>0.12072689869970427</v>
      </c>
      <c r="U566" s="1" t="s">
        <v>2507</v>
      </c>
      <c r="V566" s="6" t="s">
        <v>2505</v>
      </c>
    </row>
    <row r="567" spans="1:22" ht="14.25" customHeight="1" x14ac:dyDescent="0.3">
      <c r="A567" s="1" t="s">
        <v>27</v>
      </c>
      <c r="B567" s="1" t="s">
        <v>1156</v>
      </c>
      <c r="C567" s="1" t="s">
        <v>1157</v>
      </c>
      <c r="D567" s="1">
        <f t="shared" si="100"/>
        <v>48</v>
      </c>
      <c r="E567" s="1">
        <f t="shared" si="101"/>
        <v>0.29428240740740741</v>
      </c>
      <c r="F567" s="2">
        <f t="shared" si="102"/>
        <v>298.45195659000382</v>
      </c>
      <c r="G567" s="1">
        <v>2080</v>
      </c>
      <c r="H567" s="1">
        <v>3744</v>
      </c>
      <c r="I567" s="1">
        <v>0</v>
      </c>
      <c r="J567" s="1">
        <v>135</v>
      </c>
      <c r="K567" s="1">
        <f t="shared" si="103"/>
        <v>0</v>
      </c>
      <c r="L567" s="1">
        <f t="shared" si="104"/>
        <v>1.1780048076923078</v>
      </c>
      <c r="M567" s="1">
        <f t="shared" si="105"/>
        <v>1.1780048076923078</v>
      </c>
      <c r="N567" s="2">
        <f t="shared" si="99"/>
        <v>14.261401897765534</v>
      </c>
      <c r="O567" s="1">
        <v>1287</v>
      </c>
      <c r="P567" s="1">
        <f t="shared" si="106"/>
        <v>585</v>
      </c>
      <c r="Q567" s="1">
        <f t="shared" si="107"/>
        <v>5.5459558844488805</v>
      </c>
      <c r="R567" s="1">
        <f t="shared" si="108"/>
        <v>1.7331112138902751</v>
      </c>
      <c r="S567" s="2">
        <f t="shared" si="109"/>
        <v>6.9288711454107181</v>
      </c>
      <c r="T567" s="2">
        <f t="shared" si="110"/>
        <v>0.12093161493384783</v>
      </c>
      <c r="U567" s="1" t="s">
        <v>2507</v>
      </c>
      <c r="V567" s="6" t="s">
        <v>2505</v>
      </c>
    </row>
    <row r="568" spans="1:22" ht="14.25" customHeight="1" x14ac:dyDescent="0.3">
      <c r="A568" s="1" t="s">
        <v>17</v>
      </c>
      <c r="B568" s="1" t="s">
        <v>1158</v>
      </c>
      <c r="C568" s="1" t="s">
        <v>1159</v>
      </c>
      <c r="D568" s="1">
        <f t="shared" si="100"/>
        <v>16</v>
      </c>
      <c r="E568" s="1">
        <f t="shared" si="101"/>
        <v>0.23021990740740739</v>
      </c>
      <c r="F568" s="2">
        <f t="shared" si="102"/>
        <v>96.987510201515846</v>
      </c>
      <c r="G568" s="1">
        <v>2080</v>
      </c>
      <c r="H568" s="1">
        <v>3744</v>
      </c>
      <c r="I568" s="1">
        <v>0</v>
      </c>
      <c r="J568" s="1">
        <v>177</v>
      </c>
      <c r="K568" s="1">
        <f t="shared" si="103"/>
        <v>0</v>
      </c>
      <c r="L568" s="1">
        <f t="shared" si="104"/>
        <v>1.5444951923076922</v>
      </c>
      <c r="M568" s="1">
        <f t="shared" si="105"/>
        <v>1.5444951923076922</v>
      </c>
      <c r="N568" s="2">
        <f t="shared" si="99"/>
        <v>10.877340430499137</v>
      </c>
      <c r="O568" s="1">
        <v>1285</v>
      </c>
      <c r="P568" s="1">
        <f t="shared" si="106"/>
        <v>587</v>
      </c>
      <c r="Q568" s="1">
        <f t="shared" si="107"/>
        <v>4.2299663525457571</v>
      </c>
      <c r="R568" s="1">
        <f t="shared" si="108"/>
        <v>1.3263836799916451</v>
      </c>
      <c r="S568" s="2">
        <f t="shared" si="109"/>
        <v>6.952328146162281</v>
      </c>
      <c r="T568" s="2">
        <f t="shared" si="110"/>
        <v>0.12134101682960538</v>
      </c>
      <c r="U568" s="1" t="s">
        <v>2507</v>
      </c>
      <c r="V568" s="6" t="s">
        <v>2505</v>
      </c>
    </row>
    <row r="569" spans="1:22" ht="14.25" customHeight="1" x14ac:dyDescent="0.3">
      <c r="A569" s="1" t="s">
        <v>17</v>
      </c>
      <c r="B569" s="1" t="s">
        <v>1160</v>
      </c>
      <c r="C569" s="1" t="s">
        <v>1161</v>
      </c>
      <c r="D569" s="1">
        <f t="shared" si="100"/>
        <v>30</v>
      </c>
      <c r="E569" s="1">
        <f t="shared" si="101"/>
        <v>2.0891203703703703E-2</v>
      </c>
      <c r="F569" s="2">
        <f t="shared" si="102"/>
        <v>183.63685346654799</v>
      </c>
      <c r="G569" s="1">
        <v>2080</v>
      </c>
      <c r="H569" s="1">
        <v>3744</v>
      </c>
      <c r="I569" s="1">
        <v>0</v>
      </c>
      <c r="J569" s="1">
        <v>327</v>
      </c>
      <c r="K569" s="1">
        <f t="shared" si="103"/>
        <v>0</v>
      </c>
      <c r="L569" s="1">
        <f t="shared" si="104"/>
        <v>2.8533894230769228</v>
      </c>
      <c r="M569" s="1">
        <f t="shared" si="105"/>
        <v>2.8533894230769228</v>
      </c>
      <c r="N569" s="2">
        <f t="shared" si="99"/>
        <v>5.887734728435313</v>
      </c>
      <c r="O569" s="1">
        <v>1284</v>
      </c>
      <c r="P569" s="1">
        <f t="shared" si="106"/>
        <v>588</v>
      </c>
      <c r="Q569" s="1">
        <f t="shared" si="107"/>
        <v>2.2896148146807311</v>
      </c>
      <c r="R569" s="1">
        <f t="shared" si="108"/>
        <v>0.71917388409843475</v>
      </c>
      <c r="S569" s="2">
        <f t="shared" si="109"/>
        <v>6.9640557688211837</v>
      </c>
      <c r="T569" s="2">
        <f t="shared" si="110"/>
        <v>0.12154570245843473</v>
      </c>
      <c r="U569" s="1" t="s">
        <v>2507</v>
      </c>
      <c r="V569" s="6" t="s">
        <v>2505</v>
      </c>
    </row>
    <row r="570" spans="1:22" ht="14.25" customHeight="1" x14ac:dyDescent="0.3">
      <c r="A570" s="1" t="s">
        <v>17</v>
      </c>
      <c r="B570" s="1" t="s">
        <v>1162</v>
      </c>
      <c r="C570" s="1" t="s">
        <v>1163</v>
      </c>
      <c r="D570" s="1">
        <f t="shared" si="100"/>
        <v>32</v>
      </c>
      <c r="E570" s="1">
        <f t="shared" si="101"/>
        <v>0.26168981481481485</v>
      </c>
      <c r="F570" s="2">
        <f t="shared" si="102"/>
        <v>197.71620637622974</v>
      </c>
      <c r="G570" s="1">
        <v>2080</v>
      </c>
      <c r="H570" s="1">
        <v>3744</v>
      </c>
      <c r="I570" s="1">
        <v>0</v>
      </c>
      <c r="J570" s="1">
        <v>264</v>
      </c>
      <c r="K570" s="1">
        <f t="shared" si="103"/>
        <v>0</v>
      </c>
      <c r="L570" s="1">
        <f t="shared" si="104"/>
        <v>2.3036538461538458</v>
      </c>
      <c r="M570" s="1">
        <f t="shared" si="105"/>
        <v>2.3036538461538458</v>
      </c>
      <c r="N570" s="2">
        <f t="shared" si="99"/>
        <v>7.2927623340846495</v>
      </c>
      <c r="O570" s="1">
        <v>1284</v>
      </c>
      <c r="P570" s="1">
        <f t="shared" si="106"/>
        <v>588</v>
      </c>
      <c r="Q570" s="1">
        <f t="shared" si="107"/>
        <v>2.8360001681840874</v>
      </c>
      <c r="R570" s="1">
        <f t="shared" si="108"/>
        <v>0.89079492462192489</v>
      </c>
      <c r="S570" s="2">
        <f t="shared" si="109"/>
        <v>6.9640557688211837</v>
      </c>
      <c r="T570" s="2">
        <f t="shared" si="110"/>
        <v>0.12154570245843473</v>
      </c>
      <c r="U570" s="1" t="s">
        <v>2507</v>
      </c>
      <c r="V570" s="6" t="s">
        <v>2505</v>
      </c>
    </row>
    <row r="571" spans="1:22" ht="14.25" customHeight="1" x14ac:dyDescent="0.3">
      <c r="A571" s="1" t="s">
        <v>40</v>
      </c>
      <c r="B571" s="1" t="s">
        <v>1164</v>
      </c>
      <c r="C571" s="1" t="s">
        <v>1165</v>
      </c>
      <c r="D571" s="1">
        <f t="shared" si="100"/>
        <v>74</v>
      </c>
      <c r="E571" s="1">
        <f t="shared" si="101"/>
        <v>7.3842592592592597E-3</v>
      </c>
      <c r="F571" s="2">
        <f t="shared" si="102"/>
        <v>460.01214034757157</v>
      </c>
      <c r="G571" s="1">
        <v>2080</v>
      </c>
      <c r="H571" s="1">
        <v>3744</v>
      </c>
      <c r="I571" s="1">
        <v>0</v>
      </c>
      <c r="J571" s="1">
        <v>273</v>
      </c>
      <c r="K571" s="1">
        <f t="shared" si="103"/>
        <v>0</v>
      </c>
      <c r="L571" s="1">
        <f t="shared" si="104"/>
        <v>2.3821875000000001</v>
      </c>
      <c r="M571" s="1">
        <f t="shared" si="105"/>
        <v>2.3821875000000001</v>
      </c>
      <c r="N571" s="2">
        <f t="shared" si="99"/>
        <v>7.0523415977961434</v>
      </c>
      <c r="O571" s="1">
        <v>1284</v>
      </c>
      <c r="P571" s="1">
        <f t="shared" si="106"/>
        <v>588</v>
      </c>
      <c r="Q571" s="1">
        <f t="shared" si="107"/>
        <v>2.7425056571450512</v>
      </c>
      <c r="R571" s="1">
        <f t="shared" si="108"/>
        <v>0.86142805897504815</v>
      </c>
      <c r="S571" s="2">
        <f t="shared" si="109"/>
        <v>6.9640557688211837</v>
      </c>
      <c r="T571" s="2">
        <f t="shared" si="110"/>
        <v>0.12154570245843473</v>
      </c>
      <c r="U571" s="1" t="s">
        <v>2507</v>
      </c>
      <c r="V571" s="6" t="s">
        <v>2505</v>
      </c>
    </row>
    <row r="572" spans="1:22" ht="14.25" customHeight="1" x14ac:dyDescent="0.3">
      <c r="A572" s="1" t="s">
        <v>286</v>
      </c>
      <c r="B572" s="1" t="s">
        <v>1166</v>
      </c>
      <c r="C572" s="1" t="s">
        <v>1167</v>
      </c>
      <c r="D572" s="1">
        <f t="shared" si="100"/>
        <v>44</v>
      </c>
      <c r="E572" s="1">
        <f t="shared" si="101"/>
        <v>0.80084490740740744</v>
      </c>
      <c r="F572" s="2">
        <f t="shared" si="102"/>
        <v>276.50204141845364</v>
      </c>
      <c r="G572" s="1">
        <v>2080</v>
      </c>
      <c r="H572" s="1">
        <v>3744</v>
      </c>
      <c r="I572" s="1">
        <v>0</v>
      </c>
      <c r="J572" s="1">
        <v>234</v>
      </c>
      <c r="K572" s="1">
        <f t="shared" si="103"/>
        <v>0</v>
      </c>
      <c r="L572" s="1">
        <f t="shared" si="104"/>
        <v>2.0418749999999997</v>
      </c>
      <c r="M572" s="1">
        <f t="shared" si="105"/>
        <v>2.0418749999999997</v>
      </c>
      <c r="N572" s="2">
        <f t="shared" ref="N572:N635" si="111">42*0.4/M572</f>
        <v>8.2277318640955013</v>
      </c>
      <c r="O572" s="1">
        <v>1282</v>
      </c>
      <c r="P572" s="1">
        <f t="shared" si="106"/>
        <v>590</v>
      </c>
      <c r="Q572" s="1">
        <f t="shared" si="107"/>
        <v>3.199589933335893</v>
      </c>
      <c r="R572" s="1">
        <f t="shared" si="108"/>
        <v>1.0084177674509491</v>
      </c>
      <c r="S572" s="2">
        <f t="shared" si="109"/>
        <v>6.9875092540113544</v>
      </c>
      <c r="T572" s="2">
        <f t="shared" si="110"/>
        <v>0.12195504299607093</v>
      </c>
      <c r="U572" s="1" t="s">
        <v>2507</v>
      </c>
      <c r="V572" s="6" t="s">
        <v>2505</v>
      </c>
    </row>
    <row r="573" spans="1:22" ht="14.25" customHeight="1" x14ac:dyDescent="0.3">
      <c r="A573" s="1" t="s">
        <v>435</v>
      </c>
      <c r="B573" s="1" t="s">
        <v>1168</v>
      </c>
      <c r="C573" s="1" t="s">
        <v>1169</v>
      </c>
      <c r="D573" s="1">
        <f t="shared" si="100"/>
        <v>92</v>
      </c>
      <c r="E573" s="1">
        <f t="shared" si="101"/>
        <v>0.45340277777777777</v>
      </c>
      <c r="F573" s="2">
        <f t="shared" si="102"/>
        <v>575.91189287908969</v>
      </c>
      <c r="G573" s="1">
        <v>2080</v>
      </c>
      <c r="H573" s="1">
        <v>3744</v>
      </c>
      <c r="I573" s="1">
        <v>0</v>
      </c>
      <c r="J573" s="1">
        <v>243</v>
      </c>
      <c r="K573" s="1">
        <f t="shared" si="103"/>
        <v>0</v>
      </c>
      <c r="L573" s="1">
        <f t="shared" si="104"/>
        <v>2.120408653846154</v>
      </c>
      <c r="M573" s="1">
        <f t="shared" si="105"/>
        <v>2.120408653846154</v>
      </c>
      <c r="N573" s="2">
        <f t="shared" si="111"/>
        <v>7.9230010543141853</v>
      </c>
      <c r="O573" s="1">
        <v>1282</v>
      </c>
      <c r="P573" s="1">
        <f t="shared" si="106"/>
        <v>590</v>
      </c>
      <c r="Q573" s="1">
        <f t="shared" si="107"/>
        <v>3.0810866024716006</v>
      </c>
      <c r="R573" s="1">
        <f t="shared" si="108"/>
        <v>0.97106896124906217</v>
      </c>
      <c r="S573" s="2">
        <f t="shared" si="109"/>
        <v>6.9875092540113553</v>
      </c>
      <c r="T573" s="2">
        <f t="shared" si="110"/>
        <v>0.12195504299607095</v>
      </c>
      <c r="U573" s="1" t="s">
        <v>2507</v>
      </c>
      <c r="V573" s="6" t="s">
        <v>2505</v>
      </c>
    </row>
    <row r="574" spans="1:22" ht="14.25" customHeight="1" x14ac:dyDescent="0.3">
      <c r="A574" s="1" t="s">
        <v>27</v>
      </c>
      <c r="B574" s="1" t="s">
        <v>1170</v>
      </c>
      <c r="C574" s="1" t="s">
        <v>1171</v>
      </c>
      <c r="D574" s="1">
        <f t="shared" si="100"/>
        <v>54</v>
      </c>
      <c r="E574" s="1">
        <f t="shared" si="101"/>
        <v>0.17597222222222222</v>
      </c>
      <c r="F574" s="2">
        <f t="shared" si="102"/>
        <v>335.40770361583606</v>
      </c>
      <c r="G574" s="1">
        <v>2080</v>
      </c>
      <c r="H574" s="1">
        <v>3744</v>
      </c>
      <c r="I574" s="1">
        <v>0</v>
      </c>
      <c r="J574" s="1">
        <v>176</v>
      </c>
      <c r="K574" s="1">
        <f t="shared" si="103"/>
        <v>0</v>
      </c>
      <c r="L574" s="1">
        <f t="shared" si="104"/>
        <v>1.5357692307692306</v>
      </c>
      <c r="M574" s="1">
        <f t="shared" si="105"/>
        <v>1.5357692307692306</v>
      </c>
      <c r="N574" s="2">
        <f t="shared" si="111"/>
        <v>10.939143501126974</v>
      </c>
      <c r="O574" s="1">
        <v>1281</v>
      </c>
      <c r="P574" s="1">
        <f t="shared" si="106"/>
        <v>591</v>
      </c>
      <c r="Q574" s="1">
        <f t="shared" si="107"/>
        <v>4.2540002522761311</v>
      </c>
      <c r="R574" s="1">
        <f t="shared" si="108"/>
        <v>1.3430096950294836</v>
      </c>
      <c r="S574" s="2">
        <f t="shared" si="109"/>
        <v>6.9992351146659448</v>
      </c>
      <c r="T574" s="2">
        <f t="shared" si="110"/>
        <v>0.12215969787212359</v>
      </c>
      <c r="U574" s="1" t="s">
        <v>2507</v>
      </c>
      <c r="V574" s="6" t="s">
        <v>2505</v>
      </c>
    </row>
    <row r="575" spans="1:22" ht="14.25" customHeight="1" x14ac:dyDescent="0.3">
      <c r="A575" s="1" t="s">
        <v>40</v>
      </c>
      <c r="B575" s="1" t="s">
        <v>900</v>
      </c>
      <c r="C575" s="1" t="s">
        <v>901</v>
      </c>
      <c r="D575" s="1">
        <f t="shared" si="100"/>
        <v>8</v>
      </c>
      <c r="E575" s="1">
        <f t="shared" si="101"/>
        <v>9.1006944444444446E-2</v>
      </c>
      <c r="F575" s="2">
        <f t="shared" si="102"/>
        <v>45.847326900621333</v>
      </c>
      <c r="G575" s="1">
        <v>2080</v>
      </c>
      <c r="H575" s="1">
        <v>3744</v>
      </c>
      <c r="I575" s="1">
        <v>0</v>
      </c>
      <c r="J575" s="1">
        <v>166</v>
      </c>
      <c r="K575" s="1">
        <f t="shared" si="103"/>
        <v>0</v>
      </c>
      <c r="L575" s="1">
        <f t="shared" si="104"/>
        <v>1.4485096153846153</v>
      </c>
      <c r="M575" s="1">
        <f t="shared" si="105"/>
        <v>1.4485096153846153</v>
      </c>
      <c r="N575" s="2">
        <f t="shared" si="111"/>
        <v>11.598128049387634</v>
      </c>
      <c r="O575" s="1">
        <v>1279</v>
      </c>
      <c r="P575" s="1">
        <f t="shared" si="106"/>
        <v>593</v>
      </c>
      <c r="Q575" s="1">
        <f t="shared" si="107"/>
        <v>4.5102653277144515</v>
      </c>
      <c r="R575" s="1">
        <f t="shared" si="108"/>
        <v>1.4287325530633919</v>
      </c>
      <c r="S575" s="2">
        <f t="shared" si="109"/>
        <v>7.0226850674046188</v>
      </c>
      <c r="T575" s="2">
        <f t="shared" si="110"/>
        <v>0.12256897675685051</v>
      </c>
      <c r="U575" s="1" t="s">
        <v>2507</v>
      </c>
      <c r="V575" s="6" t="s">
        <v>2505</v>
      </c>
    </row>
    <row r="576" spans="1:22" ht="14.25" customHeight="1" x14ac:dyDescent="0.3">
      <c r="A576" s="1" t="s">
        <v>27</v>
      </c>
      <c r="B576" s="1" t="s">
        <v>1172</v>
      </c>
      <c r="C576" s="1" t="s">
        <v>1173</v>
      </c>
      <c r="D576" s="1">
        <f t="shared" si="100"/>
        <v>18</v>
      </c>
      <c r="E576" s="1">
        <f t="shared" si="101"/>
        <v>0.86203703703703705</v>
      </c>
      <c r="F576" s="2">
        <f t="shared" si="102"/>
        <v>113.52370492158829</v>
      </c>
      <c r="G576" s="1">
        <v>2080</v>
      </c>
      <c r="H576" s="1">
        <v>3744</v>
      </c>
      <c r="I576" s="1">
        <v>0</v>
      </c>
      <c r="J576" s="1">
        <v>202</v>
      </c>
      <c r="K576" s="1">
        <f t="shared" si="103"/>
        <v>0</v>
      </c>
      <c r="L576" s="1">
        <f t="shared" si="104"/>
        <v>1.7626442307692307</v>
      </c>
      <c r="M576" s="1">
        <f t="shared" si="105"/>
        <v>1.7626442307692307</v>
      </c>
      <c r="N576" s="2">
        <f t="shared" si="111"/>
        <v>9.5311349316749858</v>
      </c>
      <c r="O576" s="1">
        <v>1278</v>
      </c>
      <c r="P576" s="1">
        <f t="shared" si="106"/>
        <v>594</v>
      </c>
      <c r="Q576" s="1">
        <f t="shared" si="107"/>
        <v>3.7064556653494996</v>
      </c>
      <c r="R576" s="1">
        <f t="shared" si="108"/>
        <v>1.1760868938128219</v>
      </c>
      <c r="S576" s="2">
        <f t="shared" si="109"/>
        <v>7.0344091576137755</v>
      </c>
      <c r="T576" s="2">
        <f t="shared" si="110"/>
        <v>0.12277360073280112</v>
      </c>
      <c r="U576" s="1" t="s">
        <v>2507</v>
      </c>
      <c r="V576" s="6" t="s">
        <v>2505</v>
      </c>
    </row>
    <row r="577" spans="1:22" ht="14.25" customHeight="1" x14ac:dyDescent="0.3">
      <c r="A577" s="1" t="s">
        <v>40</v>
      </c>
      <c r="B577" s="1" t="s">
        <v>1174</v>
      </c>
      <c r="C577" s="1" t="s">
        <v>1175</v>
      </c>
      <c r="D577" s="1">
        <f t="shared" si="100"/>
        <v>35</v>
      </c>
      <c r="E577" s="1">
        <f t="shared" si="101"/>
        <v>0.27160879629629631</v>
      </c>
      <c r="F577" s="2">
        <f t="shared" si="102"/>
        <v>216.62808509647513</v>
      </c>
      <c r="G577" s="1">
        <v>2080</v>
      </c>
      <c r="H577" s="1">
        <v>3744</v>
      </c>
      <c r="I577" s="1">
        <v>0</v>
      </c>
      <c r="J577" s="1">
        <v>184</v>
      </c>
      <c r="K577" s="1">
        <f t="shared" si="103"/>
        <v>0</v>
      </c>
      <c r="L577" s="1">
        <f t="shared" si="104"/>
        <v>1.605576923076923</v>
      </c>
      <c r="M577" s="1">
        <f t="shared" si="105"/>
        <v>1.605576923076923</v>
      </c>
      <c r="N577" s="2">
        <f t="shared" si="111"/>
        <v>10.463528566295366</v>
      </c>
      <c r="O577" s="1">
        <v>1277</v>
      </c>
      <c r="P577" s="1">
        <f t="shared" si="106"/>
        <v>595</v>
      </c>
      <c r="Q577" s="1">
        <f t="shared" si="107"/>
        <v>4.069043719568473</v>
      </c>
      <c r="R577" s="1">
        <f t="shared" si="108"/>
        <v>1.2933125070209621</v>
      </c>
      <c r="S577" s="2">
        <f t="shared" si="109"/>
        <v>7.0461326558000081</v>
      </c>
      <c r="T577" s="2">
        <f t="shared" si="110"/>
        <v>0.12297821437600247</v>
      </c>
      <c r="U577" s="1" t="s">
        <v>2507</v>
      </c>
      <c r="V577" s="6" t="s">
        <v>2505</v>
      </c>
    </row>
    <row r="578" spans="1:22" ht="14.25" customHeight="1" x14ac:dyDescent="0.3">
      <c r="A578" s="1" t="s">
        <v>40</v>
      </c>
      <c r="B578" s="1" t="s">
        <v>1176</v>
      </c>
      <c r="C578" s="1" t="s">
        <v>1177</v>
      </c>
      <c r="D578" s="1">
        <f t="shared" ref="D578:D641" si="112">(LEFT(C578,4)&amp;"-"&amp;MID(C578,6,2)&amp;"-"&amp;MID(C578,9,2))-(2019&amp;"-"&amp;5&amp;"-"&amp;28)</f>
        <v>77</v>
      </c>
      <c r="E578" s="1">
        <f t="shared" ref="E578:E641" si="113">TIMEVALUE(RIGHT(C578,8))</f>
        <v>0.29115740740740742</v>
      </c>
      <c r="F578" s="2">
        <f t="shared" ref="F578:F641" si="114">(D578+E578)*2*PI()-4.989969053</f>
        <v>480.64469554412693</v>
      </c>
      <c r="G578" s="1">
        <v>2080</v>
      </c>
      <c r="H578" s="1">
        <v>3744</v>
      </c>
      <c r="I578" s="1">
        <v>0</v>
      </c>
      <c r="J578" s="1">
        <v>240</v>
      </c>
      <c r="K578" s="1">
        <f t="shared" ref="K578:K620" si="115">(32.67*I578)/H578</f>
        <v>0</v>
      </c>
      <c r="L578" s="1">
        <f t="shared" ref="L578:L641" si="116">(18.15*J578)/G578</f>
        <v>2.0942307692307693</v>
      </c>
      <c r="M578" s="1">
        <f t="shared" ref="M578:M641" si="117">SQRT(K578*K578+L578*L578)</f>
        <v>2.0942307692307693</v>
      </c>
      <c r="N578" s="2">
        <f t="shared" si="111"/>
        <v>8.0220385674931123</v>
      </c>
      <c r="O578" s="1">
        <v>1277</v>
      </c>
      <c r="P578" s="1">
        <f t="shared" ref="P578:P641" si="118">H578/2-O578</f>
        <v>595</v>
      </c>
      <c r="Q578" s="1">
        <f t="shared" ref="Q578:Q641" si="119">TAN(RADIANS(21.25))*N578</f>
        <v>3.1196001850024953</v>
      </c>
      <c r="R578" s="1">
        <f t="shared" ref="R578:R641" si="120">Q578*(P578/(H578/2))</f>
        <v>0.99153958871607084</v>
      </c>
      <c r="S578" s="2">
        <f t="shared" ref="S578:S641" si="121">DEGREES(ATAN(R578/N578))</f>
        <v>7.046132655800009</v>
      </c>
      <c r="T578" s="2">
        <f t="shared" ref="T578:T641" si="122">RADIANS(S578)</f>
        <v>0.12297821437600248</v>
      </c>
      <c r="U578" s="1" t="s">
        <v>2507</v>
      </c>
      <c r="V578" s="6" t="s">
        <v>2505</v>
      </c>
    </row>
    <row r="579" spans="1:22" ht="14.25" customHeight="1" x14ac:dyDescent="0.3">
      <c r="A579" s="1" t="s">
        <v>247</v>
      </c>
      <c r="B579" s="1" t="s">
        <v>1178</v>
      </c>
      <c r="C579" s="1" t="s">
        <v>1179</v>
      </c>
      <c r="D579" s="1">
        <f t="shared" si="112"/>
        <v>27</v>
      </c>
      <c r="E579" s="1">
        <f t="shared" si="113"/>
        <v>0.22626157407407407</v>
      </c>
      <c r="F579" s="2">
        <f t="shared" si="114"/>
        <v>166.07767763865036</v>
      </c>
      <c r="G579" s="1">
        <v>2080</v>
      </c>
      <c r="H579" s="1">
        <v>3744</v>
      </c>
      <c r="I579" s="1">
        <v>0</v>
      </c>
      <c r="J579" s="1">
        <v>232</v>
      </c>
      <c r="K579" s="1">
        <f t="shared" si="115"/>
        <v>0</v>
      </c>
      <c r="L579" s="1">
        <f t="shared" si="116"/>
        <v>2.0244230769230764</v>
      </c>
      <c r="M579" s="1">
        <f t="shared" si="117"/>
        <v>2.0244230769230764</v>
      </c>
      <c r="N579" s="2">
        <f t="shared" si="111"/>
        <v>8.2986605870618426</v>
      </c>
      <c r="O579" s="1">
        <v>1276</v>
      </c>
      <c r="P579" s="1">
        <f t="shared" si="118"/>
        <v>596</v>
      </c>
      <c r="Q579" s="1">
        <f t="shared" si="119"/>
        <v>3.2271726051749958</v>
      </c>
      <c r="R579" s="1">
        <f t="shared" si="120"/>
        <v>1.0274545260065691</v>
      </c>
      <c r="S579" s="2">
        <f t="shared" si="121"/>
        <v>7.057855561026587</v>
      </c>
      <c r="T579" s="2">
        <f t="shared" si="122"/>
        <v>0.12318281767010553</v>
      </c>
      <c r="U579" s="1" t="s">
        <v>2507</v>
      </c>
      <c r="V579" s="6" t="s">
        <v>2505</v>
      </c>
    </row>
    <row r="580" spans="1:22" ht="14.25" customHeight="1" x14ac:dyDescent="0.3">
      <c r="A580" s="1" t="s">
        <v>27</v>
      </c>
      <c r="B580" s="1" t="s">
        <v>1180</v>
      </c>
      <c r="C580" s="1" t="s">
        <v>1181</v>
      </c>
      <c r="D580" s="1">
        <f t="shared" si="112"/>
        <v>28</v>
      </c>
      <c r="E580" s="1">
        <f t="shared" si="113"/>
        <v>0.25399305555555557</v>
      </c>
      <c r="F580" s="2">
        <f t="shared" si="114"/>
        <v>172.53510498282071</v>
      </c>
      <c r="G580" s="1">
        <v>2080</v>
      </c>
      <c r="H580" s="1">
        <v>3744</v>
      </c>
      <c r="I580" s="1">
        <v>0</v>
      </c>
      <c r="J580" s="1">
        <v>192</v>
      </c>
      <c r="K580" s="1">
        <f t="shared" si="115"/>
        <v>0</v>
      </c>
      <c r="L580" s="1">
        <f t="shared" si="116"/>
        <v>1.6753846153846153</v>
      </c>
      <c r="M580" s="1">
        <f t="shared" si="117"/>
        <v>1.6753846153846153</v>
      </c>
      <c r="N580" s="2">
        <f t="shared" si="111"/>
        <v>10.027548209366392</v>
      </c>
      <c r="O580" s="1">
        <v>1275</v>
      </c>
      <c r="P580" s="1">
        <f t="shared" si="118"/>
        <v>597</v>
      </c>
      <c r="Q580" s="1">
        <f t="shared" si="119"/>
        <v>3.89950023125312</v>
      </c>
      <c r="R580" s="1">
        <f t="shared" si="120"/>
        <v>1.2435906186207866</v>
      </c>
      <c r="S580" s="2">
        <f t="shared" si="121"/>
        <v>7.0695778723570726</v>
      </c>
      <c r="T580" s="2">
        <f t="shared" si="122"/>
        <v>0.12338741059876633</v>
      </c>
      <c r="U580" s="1" t="s">
        <v>2507</v>
      </c>
      <c r="V580" s="6" t="s">
        <v>2505</v>
      </c>
    </row>
    <row r="581" spans="1:22" ht="14.25" customHeight="1" x14ac:dyDescent="0.3">
      <c r="A581" s="1" t="s">
        <v>27</v>
      </c>
      <c r="B581" s="1" t="s">
        <v>1182</v>
      </c>
      <c r="C581" s="1" t="s">
        <v>1183</v>
      </c>
      <c r="D581" s="1">
        <f t="shared" si="112"/>
        <v>57</v>
      </c>
      <c r="E581" s="1">
        <f t="shared" si="113"/>
        <v>0.1519675925925926</v>
      </c>
      <c r="F581" s="2">
        <f t="shared" si="114"/>
        <v>354.10643400118164</v>
      </c>
      <c r="G581" s="1">
        <v>2080</v>
      </c>
      <c r="H581" s="1">
        <v>3744</v>
      </c>
      <c r="I581" s="1">
        <v>166</v>
      </c>
      <c r="J581" s="1">
        <v>582</v>
      </c>
      <c r="K581" s="1">
        <f t="shared" si="115"/>
        <v>1.4485096153846155</v>
      </c>
      <c r="L581" s="1">
        <f t="shared" si="116"/>
        <v>5.0785096153846148</v>
      </c>
      <c r="M581" s="1">
        <f t="shared" si="117"/>
        <v>5.2810453529027441</v>
      </c>
      <c r="N581" s="2">
        <f>42*0.14/M581</f>
        <v>1.1134159256496519</v>
      </c>
      <c r="O581" s="1">
        <v>1275</v>
      </c>
      <c r="P581" s="1">
        <f t="shared" si="118"/>
        <v>597</v>
      </c>
      <c r="Q581" s="1">
        <f t="shared" si="119"/>
        <v>0.43298377319155923</v>
      </c>
      <c r="R581" s="1">
        <f t="shared" si="120"/>
        <v>0.13808296613000046</v>
      </c>
      <c r="S581" s="2">
        <f t="shared" si="121"/>
        <v>7.0695778723570726</v>
      </c>
      <c r="T581" s="2">
        <f t="shared" si="122"/>
        <v>0.12338741059876633</v>
      </c>
      <c r="U581" s="1" t="s">
        <v>2507</v>
      </c>
      <c r="V581" s="6" t="s">
        <v>2505</v>
      </c>
    </row>
    <row r="582" spans="1:22" ht="14.25" customHeight="1" x14ac:dyDescent="0.3">
      <c r="A582" s="1" t="s">
        <v>27</v>
      </c>
      <c r="B582" s="1" t="s">
        <v>1184</v>
      </c>
      <c r="C582" s="1" t="s">
        <v>1185</v>
      </c>
      <c r="D582" s="1">
        <f t="shared" si="112"/>
        <v>33</v>
      </c>
      <c r="E582" s="1">
        <f t="shared" si="113"/>
        <v>0.27097222222222223</v>
      </c>
      <c r="F582" s="2">
        <f t="shared" si="114"/>
        <v>204.05771476924679</v>
      </c>
      <c r="G582" s="1">
        <v>2080</v>
      </c>
      <c r="H582" s="1">
        <v>3744</v>
      </c>
      <c r="I582" s="1">
        <v>0</v>
      </c>
      <c r="J582" s="1">
        <v>92</v>
      </c>
      <c r="K582" s="1">
        <f t="shared" si="115"/>
        <v>0</v>
      </c>
      <c r="L582" s="1">
        <f t="shared" si="116"/>
        <v>0.80278846153846151</v>
      </c>
      <c r="M582" s="1">
        <f t="shared" si="117"/>
        <v>0.80278846153846151</v>
      </c>
      <c r="N582" s="2">
        <f t="shared" ref="N582:N592" si="123">42*0.4/M582</f>
        <v>20.927057132590733</v>
      </c>
      <c r="O582" s="1">
        <v>1274</v>
      </c>
      <c r="P582" s="1">
        <f t="shared" si="118"/>
        <v>598</v>
      </c>
      <c r="Q582" s="1">
        <f t="shared" si="119"/>
        <v>8.138087439136946</v>
      </c>
      <c r="R582" s="1">
        <f t="shared" si="120"/>
        <v>2.599666820835413</v>
      </c>
      <c r="S582" s="2">
        <f t="shared" si="121"/>
        <v>7.0812995888553134</v>
      </c>
      <c r="T582" s="2">
        <f t="shared" si="122"/>
        <v>0.12359199314564598</v>
      </c>
      <c r="U582" s="1" t="s">
        <v>2507</v>
      </c>
      <c r="V582" s="6" t="s">
        <v>2505</v>
      </c>
    </row>
    <row r="583" spans="1:22" ht="14.25" customHeight="1" x14ac:dyDescent="0.3">
      <c r="A583" s="1" t="s">
        <v>40</v>
      </c>
      <c r="B583" s="1" t="s">
        <v>1186</v>
      </c>
      <c r="C583" s="1" t="s">
        <v>1187</v>
      </c>
      <c r="D583" s="1">
        <f t="shared" si="112"/>
        <v>72</v>
      </c>
      <c r="E583" s="1">
        <f t="shared" si="113"/>
        <v>0.76982638888888888</v>
      </c>
      <c r="F583" s="2">
        <f t="shared" si="114"/>
        <v>452.23633491967598</v>
      </c>
      <c r="G583" s="1">
        <v>2080</v>
      </c>
      <c r="H583" s="1">
        <v>3744</v>
      </c>
      <c r="I583" s="1">
        <v>0</v>
      </c>
      <c r="J583" s="1">
        <v>125</v>
      </c>
      <c r="K583" s="1">
        <f t="shared" si="115"/>
        <v>0</v>
      </c>
      <c r="L583" s="1">
        <f t="shared" si="116"/>
        <v>1.0907451923076923</v>
      </c>
      <c r="M583" s="1">
        <f t="shared" si="117"/>
        <v>1.0907451923076923</v>
      </c>
      <c r="N583" s="2">
        <f t="shared" si="123"/>
        <v>15.402314049586778</v>
      </c>
      <c r="O583" s="1">
        <v>1274</v>
      </c>
      <c r="P583" s="1">
        <f t="shared" si="118"/>
        <v>598</v>
      </c>
      <c r="Q583" s="1">
        <f t="shared" si="119"/>
        <v>5.9896323552047921</v>
      </c>
      <c r="R583" s="1">
        <f t="shared" si="120"/>
        <v>1.913354780134864</v>
      </c>
      <c r="S583" s="2">
        <f t="shared" si="121"/>
        <v>7.0812995888553143</v>
      </c>
      <c r="T583" s="2">
        <f t="shared" si="122"/>
        <v>0.12359199314564599</v>
      </c>
      <c r="U583" s="1" t="s">
        <v>2507</v>
      </c>
      <c r="V583" s="6" t="s">
        <v>2505</v>
      </c>
    </row>
    <row r="584" spans="1:22" ht="14.25" customHeight="1" x14ac:dyDescent="0.3">
      <c r="A584" s="1" t="s">
        <v>27</v>
      </c>
      <c r="B584" s="1" t="s">
        <v>1188</v>
      </c>
      <c r="C584" s="1" t="s">
        <v>1189</v>
      </c>
      <c r="D584" s="1">
        <f t="shared" si="112"/>
        <v>89</v>
      </c>
      <c r="E584" s="1">
        <f t="shared" si="113"/>
        <v>0.86818287037037034</v>
      </c>
      <c r="F584" s="2">
        <f t="shared" si="114"/>
        <v>559.66847714103938</v>
      </c>
      <c r="G584" s="1">
        <v>2080</v>
      </c>
      <c r="H584" s="1">
        <v>3744</v>
      </c>
      <c r="I584" s="1">
        <v>0</v>
      </c>
      <c r="J584" s="1">
        <v>74</v>
      </c>
      <c r="K584" s="1">
        <f t="shared" si="115"/>
        <v>0</v>
      </c>
      <c r="L584" s="1">
        <f t="shared" si="116"/>
        <v>0.64572115384615381</v>
      </c>
      <c r="M584" s="1">
        <f t="shared" si="117"/>
        <v>0.64572115384615381</v>
      </c>
      <c r="N584" s="2">
        <f t="shared" si="123"/>
        <v>26.017422381058747</v>
      </c>
      <c r="O584" s="1">
        <v>1272</v>
      </c>
      <c r="P584" s="1">
        <f t="shared" si="118"/>
        <v>600</v>
      </c>
      <c r="Q584" s="1">
        <f t="shared" si="119"/>
        <v>10.117622221629716</v>
      </c>
      <c r="R584" s="1">
        <f t="shared" si="120"/>
        <v>3.2428276351377296</v>
      </c>
      <c r="S584" s="2">
        <f t="shared" si="121"/>
        <v>7.1047412336119597</v>
      </c>
      <c r="T584" s="2">
        <f t="shared" si="122"/>
        <v>0.12400112702873232</v>
      </c>
      <c r="U584" s="1" t="s">
        <v>2507</v>
      </c>
      <c r="V584" s="6" t="s">
        <v>2505</v>
      </c>
    </row>
    <row r="585" spans="1:22" ht="14.25" customHeight="1" x14ac:dyDescent="0.3">
      <c r="A585" s="1" t="s">
        <v>247</v>
      </c>
      <c r="B585" s="1" t="s">
        <v>1190</v>
      </c>
      <c r="C585" s="1" t="s">
        <v>1191</v>
      </c>
      <c r="D585" s="1">
        <f t="shared" si="112"/>
        <v>19</v>
      </c>
      <c r="E585" s="1">
        <f t="shared" si="113"/>
        <v>0.93303240740740734</v>
      </c>
      <c r="F585" s="2">
        <f t="shared" si="114"/>
        <v>120.25296729675675</v>
      </c>
      <c r="G585" s="1">
        <v>2080</v>
      </c>
      <c r="H585" s="1">
        <v>3744</v>
      </c>
      <c r="I585" s="1">
        <v>0</v>
      </c>
      <c r="J585" s="1">
        <v>229</v>
      </c>
      <c r="K585" s="1">
        <f t="shared" si="115"/>
        <v>0</v>
      </c>
      <c r="L585" s="1">
        <f t="shared" si="116"/>
        <v>1.998245192307692</v>
      </c>
      <c r="M585" s="1">
        <f t="shared" si="117"/>
        <v>1.998245192307692</v>
      </c>
      <c r="N585" s="2">
        <f t="shared" si="123"/>
        <v>8.407376664621605</v>
      </c>
      <c r="O585" s="1">
        <v>1270</v>
      </c>
      <c r="P585" s="1">
        <f t="shared" si="118"/>
        <v>602</v>
      </c>
      <c r="Q585" s="1">
        <f t="shared" si="119"/>
        <v>3.2694499755484676</v>
      </c>
      <c r="R585" s="1">
        <f t="shared" si="120"/>
        <v>1.0513936352992401</v>
      </c>
      <c r="S585" s="2">
        <f t="shared" si="121"/>
        <v>7.12818048781324</v>
      </c>
      <c r="T585" s="2">
        <f t="shared" si="122"/>
        <v>0.12441021918875657</v>
      </c>
      <c r="U585" s="1" t="s">
        <v>2507</v>
      </c>
      <c r="V585" s="6" t="s">
        <v>2505</v>
      </c>
    </row>
    <row r="586" spans="1:22" ht="14.25" customHeight="1" x14ac:dyDescent="0.3">
      <c r="A586" s="1" t="s">
        <v>27</v>
      </c>
      <c r="B586" s="1" t="s">
        <v>1192</v>
      </c>
      <c r="C586" s="1" t="s">
        <v>1193</v>
      </c>
      <c r="D586" s="1">
        <f t="shared" si="112"/>
        <v>32</v>
      </c>
      <c r="E586" s="1">
        <f t="shared" si="113"/>
        <v>0.93604166666666666</v>
      </c>
      <c r="F586" s="2">
        <f t="shared" si="114"/>
        <v>201.95328402365465</v>
      </c>
      <c r="G586" s="1">
        <v>2080</v>
      </c>
      <c r="H586" s="1">
        <v>3744</v>
      </c>
      <c r="I586" s="1">
        <v>0</v>
      </c>
      <c r="J586" s="1">
        <v>204</v>
      </c>
      <c r="K586" s="1">
        <f t="shared" si="115"/>
        <v>0</v>
      </c>
      <c r="L586" s="1">
        <f t="shared" si="116"/>
        <v>1.7800961538461537</v>
      </c>
      <c r="M586" s="1">
        <f t="shared" si="117"/>
        <v>1.7800961538461537</v>
      </c>
      <c r="N586" s="2">
        <f t="shared" si="123"/>
        <v>9.4376924323448392</v>
      </c>
      <c r="O586" s="1">
        <v>1269</v>
      </c>
      <c r="P586" s="1">
        <f t="shared" si="118"/>
        <v>603</v>
      </c>
      <c r="Q586" s="1">
        <f t="shared" si="119"/>
        <v>3.6701178647088186</v>
      </c>
      <c r="R586" s="1">
        <f t="shared" si="120"/>
        <v>1.1822014275744752</v>
      </c>
      <c r="S586" s="2">
        <f t="shared" si="121"/>
        <v>7.1398992161183852</v>
      </c>
      <c r="T586" s="2">
        <f t="shared" si="122"/>
        <v>0.12461474958182801</v>
      </c>
      <c r="U586" s="1" t="s">
        <v>2507</v>
      </c>
      <c r="V586" s="6" t="s">
        <v>2505</v>
      </c>
    </row>
    <row r="587" spans="1:22" ht="14.25" customHeight="1" x14ac:dyDescent="0.3">
      <c r="A587" s="1" t="s">
        <v>40</v>
      </c>
      <c r="B587" s="1" t="s">
        <v>1194</v>
      </c>
      <c r="C587" s="1" t="s">
        <v>1195</v>
      </c>
      <c r="D587" s="1">
        <f t="shared" si="112"/>
        <v>29</v>
      </c>
      <c r="E587" s="1">
        <f t="shared" si="113"/>
        <v>9.525462962962962E-2</v>
      </c>
      <c r="F587" s="2">
        <f t="shared" si="114"/>
        <v>177.82090734453772</v>
      </c>
      <c r="G587" s="1">
        <v>2080</v>
      </c>
      <c r="H587" s="1">
        <v>3744</v>
      </c>
      <c r="I587" s="1">
        <v>0</v>
      </c>
      <c r="J587" s="1">
        <v>112</v>
      </c>
      <c r="K587" s="1">
        <f t="shared" si="115"/>
        <v>0</v>
      </c>
      <c r="L587" s="1">
        <f t="shared" si="116"/>
        <v>0.97730769230769221</v>
      </c>
      <c r="M587" s="1">
        <f t="shared" si="117"/>
        <v>0.97730769230769221</v>
      </c>
      <c r="N587" s="2">
        <f t="shared" si="123"/>
        <v>17.190082644628102</v>
      </c>
      <c r="O587" s="1">
        <v>1268</v>
      </c>
      <c r="P587" s="1">
        <f t="shared" si="118"/>
        <v>604</v>
      </c>
      <c r="Q587" s="1">
        <f t="shared" si="119"/>
        <v>6.6848575392910634</v>
      </c>
      <c r="R587" s="1">
        <f t="shared" si="120"/>
        <v>2.1568664282755354</v>
      </c>
      <c r="S587" s="2">
        <f t="shared" si="121"/>
        <v>7.1516173439806039</v>
      </c>
      <c r="T587" s="2">
        <f t="shared" si="122"/>
        <v>0.12481926949519341</v>
      </c>
      <c r="U587" s="1" t="s">
        <v>2507</v>
      </c>
      <c r="V587" s="6" t="s">
        <v>2505</v>
      </c>
    </row>
    <row r="588" spans="1:22" ht="14.25" customHeight="1" x14ac:dyDescent="0.3">
      <c r="A588" s="1" t="s">
        <v>27</v>
      </c>
      <c r="B588" s="1" t="s">
        <v>1196</v>
      </c>
      <c r="C588" s="1" t="s">
        <v>1197</v>
      </c>
      <c r="D588" s="1">
        <f t="shared" si="112"/>
        <v>80</v>
      </c>
      <c r="E588" s="1">
        <f t="shared" si="113"/>
        <v>0.84070601851851856</v>
      </c>
      <c r="F588" s="2">
        <f t="shared" si="114"/>
        <v>502.94716722457991</v>
      </c>
      <c r="G588" s="1">
        <v>2080</v>
      </c>
      <c r="H588" s="1">
        <v>3744</v>
      </c>
      <c r="I588" s="1">
        <v>0</v>
      </c>
      <c r="J588" s="1">
        <v>190</v>
      </c>
      <c r="K588" s="1">
        <f t="shared" si="115"/>
        <v>0</v>
      </c>
      <c r="L588" s="1">
        <f t="shared" si="116"/>
        <v>1.657932692307692</v>
      </c>
      <c r="M588" s="1">
        <f t="shared" si="117"/>
        <v>1.657932692307692</v>
      </c>
      <c r="N588" s="2">
        <f t="shared" si="123"/>
        <v>10.133101348412355</v>
      </c>
      <c r="O588" s="1">
        <v>1264</v>
      </c>
      <c r="P588" s="1">
        <f t="shared" si="118"/>
        <v>608</v>
      </c>
      <c r="Q588" s="1">
        <f t="shared" si="119"/>
        <v>3.940547602108416</v>
      </c>
      <c r="R588" s="1">
        <f t="shared" si="120"/>
        <v>1.2798359733343574</v>
      </c>
      <c r="S588" s="2">
        <f t="shared" si="121"/>
        <v>7.1984838323230704</v>
      </c>
      <c r="T588" s="2">
        <f t="shared" si="122"/>
        <v>0.12563724402561699</v>
      </c>
      <c r="U588" s="1" t="s">
        <v>2507</v>
      </c>
      <c r="V588" s="6" t="s">
        <v>2505</v>
      </c>
    </row>
    <row r="589" spans="1:22" ht="14.25" customHeight="1" x14ac:dyDescent="0.3">
      <c r="A589" s="1" t="s">
        <v>27</v>
      </c>
      <c r="B589" s="1" t="s">
        <v>1198</v>
      </c>
      <c r="C589" s="1" t="s">
        <v>1199</v>
      </c>
      <c r="D589" s="1">
        <f t="shared" si="112"/>
        <v>28</v>
      </c>
      <c r="E589" s="1">
        <f t="shared" si="113"/>
        <v>0.96980324074074076</v>
      </c>
      <c r="F589" s="2">
        <f t="shared" si="114"/>
        <v>177.03267302110578</v>
      </c>
      <c r="G589" s="1">
        <v>2080</v>
      </c>
      <c r="H589" s="1">
        <v>3744</v>
      </c>
      <c r="I589" s="1">
        <v>0</v>
      </c>
      <c r="J589" s="1">
        <v>180</v>
      </c>
      <c r="K589" s="1">
        <f t="shared" si="115"/>
        <v>0</v>
      </c>
      <c r="L589" s="1">
        <f t="shared" si="116"/>
        <v>1.5706730769230768</v>
      </c>
      <c r="M589" s="1">
        <f t="shared" si="117"/>
        <v>1.5706730769230768</v>
      </c>
      <c r="N589" s="2">
        <f t="shared" si="123"/>
        <v>10.696051423324151</v>
      </c>
      <c r="O589" s="1">
        <v>1263</v>
      </c>
      <c r="P589" s="1">
        <f t="shared" si="118"/>
        <v>609</v>
      </c>
      <c r="Q589" s="1">
        <f t="shared" si="119"/>
        <v>4.1594669133366606</v>
      </c>
      <c r="R589" s="1">
        <f t="shared" si="120"/>
        <v>1.353159909306638</v>
      </c>
      <c r="S589" s="2">
        <f t="shared" si="121"/>
        <v>7.2101989439654117</v>
      </c>
      <c r="T589" s="2">
        <f t="shared" si="122"/>
        <v>0.12584171129601457</v>
      </c>
      <c r="U589" s="1" t="s">
        <v>2507</v>
      </c>
      <c r="V589" s="6" t="s">
        <v>2505</v>
      </c>
    </row>
    <row r="590" spans="1:22" ht="14.25" customHeight="1" x14ac:dyDescent="0.3">
      <c r="A590" s="1" t="s">
        <v>27</v>
      </c>
      <c r="B590" s="1" t="s">
        <v>1200</v>
      </c>
      <c r="C590" s="1" t="s">
        <v>1201</v>
      </c>
      <c r="D590" s="1">
        <f t="shared" si="112"/>
        <v>38</v>
      </c>
      <c r="E590" s="1">
        <f t="shared" si="113"/>
        <v>0.36636574074074074</v>
      </c>
      <c r="F590" s="2">
        <f t="shared" si="114"/>
        <v>236.07301645910044</v>
      </c>
      <c r="G590" s="1">
        <v>2080</v>
      </c>
      <c r="H590" s="1">
        <v>3744</v>
      </c>
      <c r="I590" s="1">
        <v>0</v>
      </c>
      <c r="J590" s="1">
        <v>205</v>
      </c>
      <c r="K590" s="1">
        <f t="shared" si="115"/>
        <v>0</v>
      </c>
      <c r="L590" s="1">
        <f t="shared" si="116"/>
        <v>1.7888221153846151</v>
      </c>
      <c r="M590" s="1">
        <f t="shared" si="117"/>
        <v>1.7888221153846151</v>
      </c>
      <c r="N590" s="2">
        <f t="shared" si="123"/>
        <v>9.3916549082846217</v>
      </c>
      <c r="O590" s="1">
        <v>1261</v>
      </c>
      <c r="P590" s="1">
        <f t="shared" si="118"/>
        <v>611</v>
      </c>
      <c r="Q590" s="1">
        <f t="shared" si="119"/>
        <v>3.6522148507346297</v>
      </c>
      <c r="R590" s="1">
        <f t="shared" si="120"/>
        <v>1.192042347114775</v>
      </c>
      <c r="S590" s="2">
        <f t="shared" si="121"/>
        <v>7.2336273481890005</v>
      </c>
      <c r="T590" s="2">
        <f t="shared" si="122"/>
        <v>0.12625061408820434</v>
      </c>
      <c r="U590" s="1" t="s">
        <v>2507</v>
      </c>
      <c r="V590" s="6" t="s">
        <v>2505</v>
      </c>
    </row>
    <row r="591" spans="1:22" ht="14.25" customHeight="1" x14ac:dyDescent="0.3">
      <c r="A591" s="1" t="s">
        <v>27</v>
      </c>
      <c r="B591" s="1" t="s">
        <v>1202</v>
      </c>
      <c r="C591" s="1" t="s">
        <v>1203</v>
      </c>
      <c r="D591" s="1">
        <f t="shared" si="112"/>
        <v>20</v>
      </c>
      <c r="E591" s="1">
        <f t="shared" si="113"/>
        <v>0.82843750000000005</v>
      </c>
      <c r="F591" s="2">
        <f t="shared" si="114"/>
        <v>125.87896341850832</v>
      </c>
      <c r="G591" s="1">
        <v>2080</v>
      </c>
      <c r="H591" s="1">
        <v>3744</v>
      </c>
      <c r="I591" s="1">
        <v>0</v>
      </c>
      <c r="J591" s="1">
        <v>197</v>
      </c>
      <c r="K591" s="1">
        <f t="shared" si="115"/>
        <v>0</v>
      </c>
      <c r="L591" s="1">
        <f t="shared" si="116"/>
        <v>1.7190144230769229</v>
      </c>
      <c r="M591" s="1">
        <f t="shared" si="117"/>
        <v>1.7190144230769229</v>
      </c>
      <c r="N591" s="2">
        <f t="shared" si="123"/>
        <v>9.7730419096362819</v>
      </c>
      <c r="O591" s="1">
        <v>1258</v>
      </c>
      <c r="P591" s="1">
        <f t="shared" si="118"/>
        <v>614</v>
      </c>
      <c r="Q591" s="1">
        <f t="shared" si="119"/>
        <v>3.8005281441654777</v>
      </c>
      <c r="R591" s="1">
        <f t="shared" si="120"/>
        <v>1.2465407481397452</v>
      </c>
      <c r="S591" s="2">
        <f t="shared" si="121"/>
        <v>7.2687653928917886</v>
      </c>
      <c r="T591" s="2">
        <f t="shared" si="122"/>
        <v>0.12686388866098094</v>
      </c>
      <c r="U591" s="1" t="s">
        <v>2507</v>
      </c>
      <c r="V591" s="6" t="s">
        <v>2505</v>
      </c>
    </row>
    <row r="592" spans="1:22" ht="14.25" customHeight="1" x14ac:dyDescent="0.3">
      <c r="A592" s="1" t="s">
        <v>27</v>
      </c>
      <c r="B592" s="1" t="s">
        <v>1204</v>
      </c>
      <c r="C592" s="1" t="s">
        <v>1205</v>
      </c>
      <c r="D592" s="1">
        <f t="shared" si="112"/>
        <v>38</v>
      </c>
      <c r="E592" s="1">
        <f t="shared" si="113"/>
        <v>0.74447916666666669</v>
      </c>
      <c r="F592" s="2">
        <f t="shared" si="114"/>
        <v>238.44877318132555</v>
      </c>
      <c r="G592" s="1">
        <v>2080</v>
      </c>
      <c r="H592" s="1">
        <v>3744</v>
      </c>
      <c r="I592" s="1">
        <v>0</v>
      </c>
      <c r="J592" s="1">
        <v>219</v>
      </c>
      <c r="K592" s="1">
        <f t="shared" si="115"/>
        <v>0</v>
      </c>
      <c r="L592" s="1">
        <f t="shared" si="116"/>
        <v>1.9109855769230768</v>
      </c>
      <c r="M592" s="1">
        <f t="shared" si="117"/>
        <v>1.9109855769230768</v>
      </c>
      <c r="N592" s="2">
        <f t="shared" si="123"/>
        <v>8.7912751424582076</v>
      </c>
      <c r="O592" s="1">
        <v>1258</v>
      </c>
      <c r="P592" s="1">
        <f t="shared" si="118"/>
        <v>614</v>
      </c>
      <c r="Q592" s="1">
        <f t="shared" si="119"/>
        <v>3.4187399287698588</v>
      </c>
      <c r="R592" s="1">
        <f t="shared" si="120"/>
        <v>1.1213174766371226</v>
      </c>
      <c r="S592" s="2">
        <f t="shared" si="121"/>
        <v>7.2687653928917904</v>
      </c>
      <c r="T592" s="2">
        <f t="shared" si="122"/>
        <v>0.12686388866098097</v>
      </c>
      <c r="U592" s="1" t="s">
        <v>2507</v>
      </c>
      <c r="V592" s="6" t="s">
        <v>2505</v>
      </c>
    </row>
    <row r="593" spans="1:22" ht="14.25" customHeight="1" x14ac:dyDescent="0.3">
      <c r="A593" s="1" t="s">
        <v>27</v>
      </c>
      <c r="B593" s="1" t="s">
        <v>1206</v>
      </c>
      <c r="C593" s="1" t="s">
        <v>1207</v>
      </c>
      <c r="D593" s="1">
        <f t="shared" si="112"/>
        <v>53</v>
      </c>
      <c r="E593" s="1">
        <f t="shared" si="113"/>
        <v>0.29386574074074073</v>
      </c>
      <c r="F593" s="2">
        <f t="shared" si="114"/>
        <v>329.86526513202375</v>
      </c>
      <c r="G593" s="1">
        <v>2080</v>
      </c>
      <c r="H593" s="1">
        <v>3744</v>
      </c>
      <c r="I593" s="1">
        <v>0</v>
      </c>
      <c r="J593" s="1">
        <v>227</v>
      </c>
      <c r="K593" s="1">
        <f t="shared" si="115"/>
        <v>0</v>
      </c>
      <c r="L593" s="1">
        <f t="shared" si="116"/>
        <v>1.9807932692307688</v>
      </c>
      <c r="M593" s="1">
        <f t="shared" si="117"/>
        <v>1.9807932692307688</v>
      </c>
      <c r="N593" s="2">
        <f>42*0.11/M593</f>
        <v>2.3323988786543857</v>
      </c>
      <c r="O593" s="1">
        <v>1257</v>
      </c>
      <c r="P593" s="1">
        <f t="shared" si="118"/>
        <v>615</v>
      </c>
      <c r="Q593" s="1">
        <f t="shared" si="119"/>
        <v>0.90702031810645256</v>
      </c>
      <c r="R593" s="1">
        <f t="shared" si="120"/>
        <v>0.29797943142920319</v>
      </c>
      <c r="S593" s="2">
        <f t="shared" si="121"/>
        <v>7.2804768542981702</v>
      </c>
      <c r="T593" s="2">
        <f t="shared" si="122"/>
        <v>0.12706829222274255</v>
      </c>
      <c r="U593" s="1" t="s">
        <v>2508</v>
      </c>
      <c r="V593" s="6" t="s">
        <v>2505</v>
      </c>
    </row>
    <row r="594" spans="1:22" ht="14.25" customHeight="1" x14ac:dyDescent="0.3">
      <c r="A594" s="1" t="s">
        <v>177</v>
      </c>
      <c r="B594" s="1" t="s">
        <v>1208</v>
      </c>
      <c r="C594" s="1" t="s">
        <v>1209</v>
      </c>
      <c r="D594" s="1">
        <f t="shared" si="112"/>
        <v>36</v>
      </c>
      <c r="E594" s="1">
        <f t="shared" si="113"/>
        <v>0.75381944444444438</v>
      </c>
      <c r="F594" s="2">
        <f t="shared" si="114"/>
        <v>225.94108926306473</v>
      </c>
      <c r="G594" s="1">
        <v>2080</v>
      </c>
      <c r="H594" s="1">
        <v>3744</v>
      </c>
      <c r="I594" s="1">
        <v>0</v>
      </c>
      <c r="J594" s="1">
        <v>325</v>
      </c>
      <c r="K594" s="1">
        <f t="shared" si="115"/>
        <v>0</v>
      </c>
      <c r="L594" s="1">
        <f t="shared" si="116"/>
        <v>2.8359374999999996</v>
      </c>
      <c r="M594" s="1">
        <f t="shared" si="117"/>
        <v>2.8359374999999996</v>
      </c>
      <c r="N594" s="2">
        <f t="shared" ref="N594:N600" si="124">42*0.4/M594</f>
        <v>5.9239669421487617</v>
      </c>
      <c r="O594" s="1">
        <v>1254</v>
      </c>
      <c r="P594" s="1">
        <f t="shared" si="118"/>
        <v>618</v>
      </c>
      <c r="Q594" s="1">
        <f t="shared" si="119"/>
        <v>2.3037047520018432</v>
      </c>
      <c r="R594" s="1">
        <f t="shared" si="120"/>
        <v>0.76051791492368537</v>
      </c>
      <c r="S594" s="2">
        <f t="shared" si="121"/>
        <v>7.3156075650026251</v>
      </c>
      <c r="T594" s="2">
        <f t="shared" si="122"/>
        <v>0.1276814387931009</v>
      </c>
      <c r="U594" s="1" t="s">
        <v>2507</v>
      </c>
      <c r="V594" s="6" t="s">
        <v>2505</v>
      </c>
    </row>
    <row r="595" spans="1:22" ht="14.25" customHeight="1" x14ac:dyDescent="0.3">
      <c r="A595" s="1" t="s">
        <v>27</v>
      </c>
      <c r="B595" s="1" t="s">
        <v>1210</v>
      </c>
      <c r="C595" s="1" t="s">
        <v>1211</v>
      </c>
      <c r="D595" s="1">
        <f t="shared" si="112"/>
        <v>40</v>
      </c>
      <c r="E595" s="1">
        <f t="shared" si="113"/>
        <v>0.90927083333333336</v>
      </c>
      <c r="F595" s="2">
        <f t="shared" si="114"/>
        <v>252.05056037443038</v>
      </c>
      <c r="G595" s="1">
        <v>2080</v>
      </c>
      <c r="H595" s="1">
        <v>3744</v>
      </c>
      <c r="I595" s="1">
        <v>0</v>
      </c>
      <c r="J595" s="1">
        <v>186</v>
      </c>
      <c r="K595" s="1">
        <f t="shared" si="115"/>
        <v>0</v>
      </c>
      <c r="L595" s="1">
        <f t="shared" si="116"/>
        <v>1.623028846153846</v>
      </c>
      <c r="M595" s="1">
        <f t="shared" si="117"/>
        <v>1.623028846153846</v>
      </c>
      <c r="N595" s="2">
        <f t="shared" si="124"/>
        <v>10.351017506442728</v>
      </c>
      <c r="O595" s="1">
        <v>1253</v>
      </c>
      <c r="P595" s="1">
        <f t="shared" si="118"/>
        <v>619</v>
      </c>
      <c r="Q595" s="1">
        <f t="shared" si="119"/>
        <v>4.0252905612935432</v>
      </c>
      <c r="R595" s="1">
        <f t="shared" si="120"/>
        <v>1.3310122101713158</v>
      </c>
      <c r="S595" s="2">
        <f t="shared" si="121"/>
        <v>7.3273165742986039</v>
      </c>
      <c r="T595" s="2">
        <f t="shared" si="122"/>
        <v>0.12788579955746235</v>
      </c>
      <c r="U595" s="1" t="s">
        <v>2507</v>
      </c>
      <c r="V595" s="6" t="s">
        <v>2505</v>
      </c>
    </row>
    <row r="596" spans="1:22" ht="14.25" customHeight="1" x14ac:dyDescent="0.3">
      <c r="A596" s="1" t="s">
        <v>40</v>
      </c>
      <c r="B596" s="1" t="s">
        <v>1212</v>
      </c>
      <c r="C596" s="1" t="s">
        <v>1213</v>
      </c>
      <c r="D596" s="1">
        <f t="shared" si="112"/>
        <v>76</v>
      </c>
      <c r="E596" s="1">
        <f t="shared" si="113"/>
        <v>0.98870370370370375</v>
      </c>
      <c r="F596" s="2">
        <f t="shared" si="114"/>
        <v>478.74432287691371</v>
      </c>
      <c r="G596" s="1">
        <v>2080</v>
      </c>
      <c r="H596" s="1">
        <v>3744</v>
      </c>
      <c r="I596" s="1">
        <v>0</v>
      </c>
      <c r="J596" s="1">
        <v>156</v>
      </c>
      <c r="K596" s="1">
        <f t="shared" si="115"/>
        <v>0</v>
      </c>
      <c r="L596" s="1">
        <f t="shared" si="116"/>
        <v>1.3612499999999998</v>
      </c>
      <c r="M596" s="1">
        <f t="shared" si="117"/>
        <v>1.3612499999999998</v>
      </c>
      <c r="N596" s="2">
        <f t="shared" si="124"/>
        <v>12.341597796143253</v>
      </c>
      <c r="O596" s="1">
        <v>1252</v>
      </c>
      <c r="P596" s="1">
        <f t="shared" si="118"/>
        <v>620</v>
      </c>
      <c r="Q596" s="1">
        <f t="shared" si="119"/>
        <v>4.7993849000038402</v>
      </c>
      <c r="R596" s="1">
        <f t="shared" si="120"/>
        <v>1.5895398707277675</v>
      </c>
      <c r="S596" s="2">
        <f t="shared" si="121"/>
        <v>7.3390249682422803</v>
      </c>
      <c r="T596" s="2">
        <f t="shared" si="122"/>
        <v>0.12809014958190007</v>
      </c>
      <c r="U596" s="1" t="s">
        <v>2507</v>
      </c>
      <c r="V596" s="6" t="s">
        <v>2505</v>
      </c>
    </row>
    <row r="597" spans="1:22" ht="14.25" customHeight="1" x14ac:dyDescent="0.3">
      <c r="A597" s="1" t="s">
        <v>17</v>
      </c>
      <c r="B597" s="1" t="s">
        <v>1214</v>
      </c>
      <c r="C597" s="1" t="s">
        <v>1215</v>
      </c>
      <c r="D597" s="1">
        <f t="shared" si="112"/>
        <v>84</v>
      </c>
      <c r="E597" s="1">
        <f t="shared" si="113"/>
        <v>5.3009259259259256E-2</v>
      </c>
      <c r="F597" s="2">
        <f t="shared" si="114"/>
        <v>523.13066374900745</v>
      </c>
      <c r="G597" s="1">
        <v>2080</v>
      </c>
      <c r="H597" s="1">
        <v>3744</v>
      </c>
      <c r="I597" s="1">
        <v>0</v>
      </c>
      <c r="J597" s="1">
        <v>171</v>
      </c>
      <c r="K597" s="1">
        <f t="shared" si="115"/>
        <v>0</v>
      </c>
      <c r="L597" s="1">
        <f t="shared" si="116"/>
        <v>1.4921394230769229</v>
      </c>
      <c r="M597" s="1">
        <f t="shared" si="117"/>
        <v>1.4921394230769229</v>
      </c>
      <c r="N597" s="2">
        <f t="shared" si="124"/>
        <v>11.25900149823595</v>
      </c>
      <c r="O597" s="1">
        <v>1251</v>
      </c>
      <c r="P597" s="1">
        <f t="shared" si="118"/>
        <v>621</v>
      </c>
      <c r="Q597" s="1">
        <f t="shared" si="119"/>
        <v>4.378386224564907</v>
      </c>
      <c r="R597" s="1">
        <f t="shared" si="120"/>
        <v>1.4524454302643202</v>
      </c>
      <c r="S597" s="2">
        <f t="shared" si="121"/>
        <v>7.3507327459043745</v>
      </c>
      <c r="T597" s="2">
        <f t="shared" si="122"/>
        <v>0.12829448885019507</v>
      </c>
      <c r="U597" s="1" t="s">
        <v>2507</v>
      </c>
      <c r="V597" s="6" t="s">
        <v>2505</v>
      </c>
    </row>
    <row r="598" spans="1:22" ht="14.25" customHeight="1" x14ac:dyDescent="0.3">
      <c r="A598" s="1" t="s">
        <v>27</v>
      </c>
      <c r="B598" s="1" t="s">
        <v>1216</v>
      </c>
      <c r="C598" s="1" t="s">
        <v>1217</v>
      </c>
      <c r="D598" s="1">
        <f t="shared" si="112"/>
        <v>37</v>
      </c>
      <c r="E598" s="1">
        <f t="shared" si="113"/>
        <v>0.83337962962962964</v>
      </c>
      <c r="F598" s="2">
        <f t="shared" si="114"/>
        <v>232.72416595683634</v>
      </c>
      <c r="G598" s="1">
        <v>2080</v>
      </c>
      <c r="H598" s="1">
        <v>3744</v>
      </c>
      <c r="I598" s="1">
        <v>0</v>
      </c>
      <c r="J598" s="1">
        <v>249</v>
      </c>
      <c r="K598" s="1">
        <f t="shared" si="115"/>
        <v>0</v>
      </c>
      <c r="L598" s="1">
        <f t="shared" si="116"/>
        <v>2.1727644230769227</v>
      </c>
      <c r="M598" s="1">
        <f t="shared" si="117"/>
        <v>2.1727644230769227</v>
      </c>
      <c r="N598" s="2">
        <f t="shared" si="124"/>
        <v>7.7320853662584232</v>
      </c>
      <c r="O598" s="1">
        <v>1250</v>
      </c>
      <c r="P598" s="1">
        <f t="shared" si="118"/>
        <v>622</v>
      </c>
      <c r="Q598" s="1">
        <f t="shared" si="119"/>
        <v>3.0068435518096348</v>
      </c>
      <c r="R598" s="1">
        <f t="shared" si="120"/>
        <v>0.99906874424444059</v>
      </c>
      <c r="S598" s="2">
        <f t="shared" si="121"/>
        <v>7.3624399063559203</v>
      </c>
      <c r="T598" s="2">
        <f t="shared" si="122"/>
        <v>0.1284988173461338</v>
      </c>
      <c r="U598" s="1" t="s">
        <v>2507</v>
      </c>
      <c r="V598" s="6" t="s">
        <v>2505</v>
      </c>
    </row>
    <row r="599" spans="1:22" ht="14.25" customHeight="1" x14ac:dyDescent="0.3">
      <c r="A599" s="1" t="s">
        <v>17</v>
      </c>
      <c r="B599" s="1" t="s">
        <v>51</v>
      </c>
      <c r="C599" s="1" t="s">
        <v>52</v>
      </c>
      <c r="D599" s="1">
        <f t="shared" si="112"/>
        <v>29</v>
      </c>
      <c r="E599" s="1">
        <f t="shared" si="113"/>
        <v>0.24878472222222223</v>
      </c>
      <c r="F599" s="2">
        <f t="shared" si="114"/>
        <v>178.78556536652542</v>
      </c>
      <c r="G599" s="1">
        <v>2080</v>
      </c>
      <c r="H599" s="1">
        <v>3744</v>
      </c>
      <c r="I599" s="1">
        <v>0</v>
      </c>
      <c r="J599" s="1">
        <v>189</v>
      </c>
      <c r="K599" s="1">
        <f t="shared" si="115"/>
        <v>0</v>
      </c>
      <c r="L599" s="1">
        <f t="shared" si="116"/>
        <v>1.6492067307692306</v>
      </c>
      <c r="M599" s="1">
        <f t="shared" si="117"/>
        <v>1.6492067307692306</v>
      </c>
      <c r="N599" s="2">
        <f t="shared" si="124"/>
        <v>10.186715641261097</v>
      </c>
      <c r="O599" s="1">
        <v>1249</v>
      </c>
      <c r="P599" s="1">
        <f t="shared" si="118"/>
        <v>623</v>
      </c>
      <c r="Q599" s="1">
        <f t="shared" si="119"/>
        <v>3.9613970603206297</v>
      </c>
      <c r="R599" s="1">
        <f t="shared" si="120"/>
        <v>1.3183495558652523</v>
      </c>
      <c r="S599" s="2">
        <f t="shared" si="121"/>
        <v>7.3741464486682444</v>
      </c>
      <c r="T599" s="2">
        <f t="shared" si="122"/>
        <v>0.12870313505350789</v>
      </c>
      <c r="U599" s="1" t="s">
        <v>2507</v>
      </c>
      <c r="V599" s="6" t="s">
        <v>2505</v>
      </c>
    </row>
    <row r="600" spans="1:22" ht="14.25" customHeight="1" x14ac:dyDescent="0.3">
      <c r="A600" s="1" t="s">
        <v>40</v>
      </c>
      <c r="B600" s="1" t="s">
        <v>1218</v>
      </c>
      <c r="C600" s="1" t="s">
        <v>1219</v>
      </c>
      <c r="D600" s="1">
        <f t="shared" si="112"/>
        <v>29</v>
      </c>
      <c r="E600" s="1">
        <f t="shared" si="113"/>
        <v>0.70989583333333339</v>
      </c>
      <c r="F600" s="2">
        <f t="shared" si="114"/>
        <v>181.68281192483602</v>
      </c>
      <c r="G600" s="1">
        <v>2080</v>
      </c>
      <c r="H600" s="1">
        <v>3744</v>
      </c>
      <c r="I600" s="1">
        <v>0</v>
      </c>
      <c r="J600" s="1">
        <v>237</v>
      </c>
      <c r="K600" s="1">
        <f t="shared" si="115"/>
        <v>0</v>
      </c>
      <c r="L600" s="1">
        <f t="shared" si="116"/>
        <v>2.0680528846153843</v>
      </c>
      <c r="M600" s="1">
        <f t="shared" si="117"/>
        <v>2.0680528846153843</v>
      </c>
      <c r="N600" s="2">
        <f t="shared" si="124"/>
        <v>8.1235833594866982</v>
      </c>
      <c r="O600" s="1">
        <v>1249</v>
      </c>
      <c r="P600" s="1">
        <f t="shared" si="118"/>
        <v>623</v>
      </c>
      <c r="Q600" s="1">
        <f t="shared" si="119"/>
        <v>3.1590887949392368</v>
      </c>
      <c r="R600" s="1">
        <f t="shared" si="120"/>
        <v>1.0513420508798847</v>
      </c>
      <c r="S600" s="2">
        <f t="shared" si="121"/>
        <v>7.3741464486682444</v>
      </c>
      <c r="T600" s="2">
        <f t="shared" si="122"/>
        <v>0.12870313505350789</v>
      </c>
      <c r="U600" s="1" t="s">
        <v>2507</v>
      </c>
      <c r="V600" s="6" t="s">
        <v>2505</v>
      </c>
    </row>
    <row r="601" spans="1:22" ht="14.25" customHeight="1" x14ac:dyDescent="0.3">
      <c r="A601" s="1" t="s">
        <v>27</v>
      </c>
      <c r="B601" s="1" t="s">
        <v>1220</v>
      </c>
      <c r="C601" s="1" t="s">
        <v>1221</v>
      </c>
      <c r="D601" s="1">
        <f t="shared" si="112"/>
        <v>57</v>
      </c>
      <c r="E601" s="1">
        <f t="shared" si="113"/>
        <v>0.15197916666666667</v>
      </c>
      <c r="F601" s="2">
        <f t="shared" si="114"/>
        <v>354.10650672323379</v>
      </c>
      <c r="G601" s="1">
        <v>2080</v>
      </c>
      <c r="H601" s="1">
        <v>3744</v>
      </c>
      <c r="I601" s="1">
        <v>342</v>
      </c>
      <c r="J601" s="1">
        <v>531</v>
      </c>
      <c r="K601" s="1">
        <f t="shared" si="115"/>
        <v>2.9842788461538463</v>
      </c>
      <c r="L601" s="1">
        <f t="shared" si="116"/>
        <v>4.6334855769230767</v>
      </c>
      <c r="M601" s="1">
        <f t="shared" si="117"/>
        <v>5.5113617938904635</v>
      </c>
      <c r="N601" s="2">
        <f>42*0.14/M601</f>
        <v>1.0668869546031592</v>
      </c>
      <c r="O601" s="1">
        <v>1248</v>
      </c>
      <c r="P601" s="1">
        <f t="shared" si="118"/>
        <v>624</v>
      </c>
      <c r="Q601" s="1">
        <f t="shared" si="119"/>
        <v>0.41488964593657468</v>
      </c>
      <c r="R601" s="1">
        <f t="shared" si="120"/>
        <v>0.13829654864552487</v>
      </c>
      <c r="S601" s="2">
        <f t="shared" si="121"/>
        <v>7.3858523719129874</v>
      </c>
      <c r="T601" s="2">
        <f t="shared" si="122"/>
        <v>0.12890744195611439</v>
      </c>
      <c r="U601" s="1" t="s">
        <v>2507</v>
      </c>
      <c r="V601" s="6" t="s">
        <v>2505</v>
      </c>
    </row>
    <row r="602" spans="1:22" ht="14.25" customHeight="1" x14ac:dyDescent="0.3">
      <c r="A602" s="1" t="s">
        <v>286</v>
      </c>
      <c r="B602" s="1" t="s">
        <v>1222</v>
      </c>
      <c r="C602" s="1" t="s">
        <v>1223</v>
      </c>
      <c r="D602" s="1">
        <f t="shared" si="112"/>
        <v>75</v>
      </c>
      <c r="E602" s="1">
        <f t="shared" si="113"/>
        <v>3.2245370370370369E-2</v>
      </c>
      <c r="F602" s="2">
        <f t="shared" si="114"/>
        <v>466.45153262280468</v>
      </c>
      <c r="G602" s="1">
        <v>2080</v>
      </c>
      <c r="H602" s="1">
        <v>3744</v>
      </c>
      <c r="I602" s="1">
        <v>0</v>
      </c>
      <c r="J602" s="1">
        <v>351</v>
      </c>
      <c r="K602" s="1">
        <f t="shared" si="115"/>
        <v>0</v>
      </c>
      <c r="L602" s="1">
        <f t="shared" si="116"/>
        <v>3.0628124999999997</v>
      </c>
      <c r="M602" s="1">
        <f t="shared" si="117"/>
        <v>3.0628124999999997</v>
      </c>
      <c r="N602" s="2">
        <f t="shared" ref="N602:N638" si="125">42*0.4/M602</f>
        <v>5.4851545760636675</v>
      </c>
      <c r="O602" s="1">
        <v>1248</v>
      </c>
      <c r="P602" s="1">
        <f t="shared" si="118"/>
        <v>624</v>
      </c>
      <c r="Q602" s="1">
        <f t="shared" si="119"/>
        <v>2.133059955557262</v>
      </c>
      <c r="R602" s="1">
        <f t="shared" si="120"/>
        <v>0.71101998518575393</v>
      </c>
      <c r="S602" s="2">
        <f t="shared" si="121"/>
        <v>7.3858523719129874</v>
      </c>
      <c r="T602" s="2">
        <f t="shared" si="122"/>
        <v>0.12890744195611439</v>
      </c>
      <c r="U602" s="1" t="s">
        <v>2507</v>
      </c>
      <c r="V602" s="6" t="s">
        <v>2505</v>
      </c>
    </row>
    <row r="603" spans="1:22" ht="14.25" customHeight="1" x14ac:dyDescent="0.3">
      <c r="A603" s="1" t="s">
        <v>20</v>
      </c>
      <c r="B603" s="1" t="s">
        <v>1224</v>
      </c>
      <c r="C603" s="1" t="s">
        <v>1225</v>
      </c>
      <c r="D603" s="1">
        <f t="shared" si="112"/>
        <v>81</v>
      </c>
      <c r="E603" s="1">
        <f t="shared" si="113"/>
        <v>0.14228009259259258</v>
      </c>
      <c r="F603" s="2">
        <f t="shared" si="114"/>
        <v>504.8420130158284</v>
      </c>
      <c r="G603" s="1">
        <v>2080</v>
      </c>
      <c r="H603" s="1">
        <v>3744</v>
      </c>
      <c r="I603" s="1">
        <v>0</v>
      </c>
      <c r="J603" s="1">
        <v>402</v>
      </c>
      <c r="K603" s="1">
        <f t="shared" si="115"/>
        <v>0</v>
      </c>
      <c r="L603" s="1">
        <f t="shared" si="116"/>
        <v>3.5078365384615382</v>
      </c>
      <c r="M603" s="1">
        <f t="shared" si="117"/>
        <v>3.5078365384615382</v>
      </c>
      <c r="N603" s="2">
        <f t="shared" si="125"/>
        <v>4.7892767567123071</v>
      </c>
      <c r="O603" s="1">
        <v>1248</v>
      </c>
      <c r="P603" s="1">
        <f t="shared" si="118"/>
        <v>624</v>
      </c>
      <c r="Q603" s="1">
        <f t="shared" si="119"/>
        <v>1.8624478716432813</v>
      </c>
      <c r="R603" s="1">
        <f t="shared" si="120"/>
        <v>0.62081595721442706</v>
      </c>
      <c r="S603" s="2">
        <f t="shared" si="121"/>
        <v>7.3858523719129874</v>
      </c>
      <c r="T603" s="2">
        <f t="shared" si="122"/>
        <v>0.12890744195611439</v>
      </c>
      <c r="U603" s="1" t="s">
        <v>2507</v>
      </c>
      <c r="V603" s="6" t="s">
        <v>2505</v>
      </c>
    </row>
    <row r="604" spans="1:22" ht="14.25" customHeight="1" x14ac:dyDescent="0.3">
      <c r="A604" s="1" t="s">
        <v>27</v>
      </c>
      <c r="B604" s="1" t="s">
        <v>1226</v>
      </c>
      <c r="C604" s="1" t="s">
        <v>1227</v>
      </c>
      <c r="D604" s="1">
        <f t="shared" si="112"/>
        <v>56</v>
      </c>
      <c r="E604" s="1">
        <f t="shared" si="113"/>
        <v>0.3218287037037037</v>
      </c>
      <c r="F604" s="2">
        <f t="shared" si="114"/>
        <v>348.89051753159657</v>
      </c>
      <c r="G604" s="1">
        <v>2080</v>
      </c>
      <c r="H604" s="1">
        <v>3744</v>
      </c>
      <c r="I604" s="1">
        <v>0</v>
      </c>
      <c r="J604" s="1">
        <v>220</v>
      </c>
      <c r="K604" s="1">
        <f t="shared" si="115"/>
        <v>0</v>
      </c>
      <c r="L604" s="1">
        <f t="shared" si="116"/>
        <v>1.9197115384615382</v>
      </c>
      <c r="M604" s="1">
        <f t="shared" si="117"/>
        <v>1.9197115384615382</v>
      </c>
      <c r="N604" s="2">
        <f t="shared" si="125"/>
        <v>8.7513148009015786</v>
      </c>
      <c r="O604" s="1">
        <v>1247</v>
      </c>
      <c r="P604" s="1">
        <f t="shared" si="118"/>
        <v>625</v>
      </c>
      <c r="Q604" s="1">
        <f t="shared" si="119"/>
        <v>3.4032002018209044</v>
      </c>
      <c r="R604" s="1">
        <f t="shared" si="120"/>
        <v>1.1362180160993938</v>
      </c>
      <c r="S604" s="2">
        <f t="shared" si="121"/>
        <v>7.3975576751620906</v>
      </c>
      <c r="T604" s="2">
        <f t="shared" si="122"/>
        <v>0.12911173803775564</v>
      </c>
      <c r="U604" s="1" t="s">
        <v>2507</v>
      </c>
      <c r="V604" s="6" t="s">
        <v>2505</v>
      </c>
    </row>
    <row r="605" spans="1:22" ht="14.25" customHeight="1" x14ac:dyDescent="0.3">
      <c r="A605" s="1" t="s">
        <v>27</v>
      </c>
      <c r="B605" s="1" t="s">
        <v>1228</v>
      </c>
      <c r="C605" s="1" t="s">
        <v>1229</v>
      </c>
      <c r="D605" s="1">
        <f t="shared" si="112"/>
        <v>34</v>
      </c>
      <c r="E605" s="1">
        <f t="shared" si="113"/>
        <v>0.76940972222222215</v>
      </c>
      <c r="F605" s="2">
        <f t="shared" si="114"/>
        <v>213.47267525297372</v>
      </c>
      <c r="G605" s="1">
        <v>2080</v>
      </c>
      <c r="H605" s="1">
        <v>3744</v>
      </c>
      <c r="I605" s="1">
        <v>0</v>
      </c>
      <c r="J605" s="1">
        <v>231</v>
      </c>
      <c r="K605" s="1">
        <f t="shared" si="115"/>
        <v>0</v>
      </c>
      <c r="L605" s="1">
        <f t="shared" si="116"/>
        <v>2.015697115384615</v>
      </c>
      <c r="M605" s="1">
        <f t="shared" si="117"/>
        <v>2.015697115384615</v>
      </c>
      <c r="N605" s="2">
        <f t="shared" si="125"/>
        <v>8.3345855246681708</v>
      </c>
      <c r="O605" s="1">
        <v>1245</v>
      </c>
      <c r="P605" s="1">
        <f t="shared" si="118"/>
        <v>627</v>
      </c>
      <c r="Q605" s="1">
        <f t="shared" si="119"/>
        <v>3.2411430493532425</v>
      </c>
      <c r="R605" s="1">
        <f t="shared" si="120"/>
        <v>1.0855751559532494</v>
      </c>
      <c r="S605" s="2">
        <f t="shared" si="121"/>
        <v>7.420966417962668</v>
      </c>
      <c r="T605" s="2">
        <f t="shared" si="122"/>
        <v>0.12952029767337822</v>
      </c>
      <c r="U605" s="1" t="s">
        <v>2507</v>
      </c>
      <c r="V605" s="6" t="s">
        <v>2505</v>
      </c>
    </row>
    <row r="606" spans="1:22" ht="14.25" customHeight="1" x14ac:dyDescent="0.3">
      <c r="A606" s="1" t="s">
        <v>65</v>
      </c>
      <c r="B606" s="1" t="s">
        <v>1230</v>
      </c>
      <c r="C606" s="1" t="s">
        <v>1231</v>
      </c>
      <c r="D606" s="1">
        <f t="shared" si="112"/>
        <v>47</v>
      </c>
      <c r="E606" s="1">
        <f t="shared" si="113"/>
        <v>0.15883101851851852</v>
      </c>
      <c r="F606" s="2">
        <f t="shared" si="114"/>
        <v>291.31770510632049</v>
      </c>
      <c r="G606" s="1">
        <v>2080</v>
      </c>
      <c r="H606" s="1">
        <v>3744</v>
      </c>
      <c r="I606" s="1">
        <v>0</v>
      </c>
      <c r="J606" s="1">
        <v>594</v>
      </c>
      <c r="K606" s="1">
        <f t="shared" si="115"/>
        <v>0</v>
      </c>
      <c r="L606" s="1">
        <f t="shared" si="116"/>
        <v>5.1832211538461532</v>
      </c>
      <c r="M606" s="1">
        <f t="shared" si="117"/>
        <v>5.1832211538461532</v>
      </c>
      <c r="N606" s="2">
        <f t="shared" si="125"/>
        <v>3.2412277040376218</v>
      </c>
      <c r="O606" s="1">
        <v>1245</v>
      </c>
      <c r="P606" s="1">
        <f t="shared" si="118"/>
        <v>627</v>
      </c>
      <c r="Q606" s="1">
        <f t="shared" si="119"/>
        <v>1.2604445191929277</v>
      </c>
      <c r="R606" s="1">
        <f t="shared" si="120"/>
        <v>0.42216811620404143</v>
      </c>
      <c r="S606" s="2">
        <f t="shared" si="121"/>
        <v>7.420966417962668</v>
      </c>
      <c r="T606" s="2">
        <f t="shared" si="122"/>
        <v>0.12952029767337822</v>
      </c>
      <c r="U606" s="1" t="s">
        <v>2507</v>
      </c>
      <c r="V606" s="6" t="s">
        <v>2505</v>
      </c>
    </row>
    <row r="607" spans="1:22" ht="14.25" customHeight="1" x14ac:dyDescent="0.3">
      <c r="A607" s="1" t="s">
        <v>17</v>
      </c>
      <c r="B607" s="1" t="s">
        <v>1232</v>
      </c>
      <c r="C607" s="1" t="s">
        <v>1233</v>
      </c>
      <c r="D607" s="1">
        <f t="shared" si="112"/>
        <v>36</v>
      </c>
      <c r="E607" s="1">
        <f t="shared" si="113"/>
        <v>0.18104166666666666</v>
      </c>
      <c r="F607" s="2">
        <f t="shared" si="114"/>
        <v>222.3422203454524</v>
      </c>
      <c r="G607" s="1">
        <v>2080</v>
      </c>
      <c r="H607" s="1">
        <v>3744</v>
      </c>
      <c r="I607" s="1">
        <v>0</v>
      </c>
      <c r="J607" s="1">
        <v>234</v>
      </c>
      <c r="K607" s="1">
        <f t="shared" si="115"/>
        <v>0</v>
      </c>
      <c r="L607" s="1">
        <f t="shared" si="116"/>
        <v>2.0418749999999997</v>
      </c>
      <c r="M607" s="1">
        <f t="shared" si="117"/>
        <v>2.0418749999999997</v>
      </c>
      <c r="N607" s="2">
        <f t="shared" si="125"/>
        <v>8.2277318640955013</v>
      </c>
      <c r="O607" s="1">
        <v>1244</v>
      </c>
      <c r="P607" s="1">
        <f t="shared" si="118"/>
        <v>628</v>
      </c>
      <c r="Q607" s="1">
        <f t="shared" si="119"/>
        <v>3.199589933335893</v>
      </c>
      <c r="R607" s="1">
        <f t="shared" si="120"/>
        <v>1.073366708405417</v>
      </c>
      <c r="S607" s="2">
        <f t="shared" si="121"/>
        <v>7.4326698556595536</v>
      </c>
      <c r="T607" s="2">
        <f t="shared" si="122"/>
        <v>0.1297245611949909</v>
      </c>
      <c r="U607" s="1" t="s">
        <v>2507</v>
      </c>
      <c r="V607" s="6" t="s">
        <v>2505</v>
      </c>
    </row>
    <row r="608" spans="1:22" ht="14.25" customHeight="1" x14ac:dyDescent="0.3">
      <c r="A608" s="1" t="s">
        <v>17</v>
      </c>
      <c r="B608" s="1" t="s">
        <v>1234</v>
      </c>
      <c r="C608" s="1" t="s">
        <v>1235</v>
      </c>
      <c r="D608" s="1">
        <f t="shared" si="112"/>
        <v>53</v>
      </c>
      <c r="E608" s="1">
        <f t="shared" si="113"/>
        <v>0.22006944444444443</v>
      </c>
      <c r="F608" s="2">
        <f t="shared" si="114"/>
        <v>329.40158932741059</v>
      </c>
      <c r="G608" s="1">
        <v>2080</v>
      </c>
      <c r="H608" s="1">
        <v>3744</v>
      </c>
      <c r="I608" s="1">
        <v>0</v>
      </c>
      <c r="J608" s="1">
        <v>178</v>
      </c>
      <c r="K608" s="1">
        <f t="shared" si="115"/>
        <v>0</v>
      </c>
      <c r="L608" s="1">
        <f t="shared" si="116"/>
        <v>1.5532211538461538</v>
      </c>
      <c r="M608" s="1">
        <f t="shared" si="117"/>
        <v>1.5532211538461538</v>
      </c>
      <c r="N608" s="2">
        <f t="shared" si="125"/>
        <v>10.81623177639521</v>
      </c>
      <c r="O608" s="1">
        <v>1244</v>
      </c>
      <c r="P608" s="1">
        <f t="shared" si="118"/>
        <v>628</v>
      </c>
      <c r="Q608" s="1">
        <f t="shared" si="119"/>
        <v>4.2062024966325788</v>
      </c>
      <c r="R608" s="1">
        <f t="shared" si="120"/>
        <v>1.411055111049818</v>
      </c>
      <c r="S608" s="2">
        <f t="shared" si="121"/>
        <v>7.4326698556595536</v>
      </c>
      <c r="T608" s="2">
        <f t="shared" si="122"/>
        <v>0.1297245611949909</v>
      </c>
      <c r="U608" s="1" t="s">
        <v>2507</v>
      </c>
      <c r="V608" s="6" t="s">
        <v>2505</v>
      </c>
    </row>
    <row r="609" spans="1:24" ht="14.25" customHeight="1" x14ac:dyDescent="0.3">
      <c r="A609" s="1" t="s">
        <v>27</v>
      </c>
      <c r="B609" s="1" t="s">
        <v>1236</v>
      </c>
      <c r="C609" s="1" t="s">
        <v>1237</v>
      </c>
      <c r="D609" s="1">
        <f t="shared" si="112"/>
        <v>43</v>
      </c>
      <c r="E609" s="1">
        <f t="shared" si="113"/>
        <v>0.22025462962962963</v>
      </c>
      <c r="F609" s="2">
        <f t="shared" si="114"/>
        <v>266.57089980844938</v>
      </c>
      <c r="G609" s="1">
        <v>2080</v>
      </c>
      <c r="H609" s="1">
        <v>3744</v>
      </c>
      <c r="I609" s="1">
        <v>0</v>
      </c>
      <c r="J609" s="1">
        <v>127</v>
      </c>
      <c r="K609" s="1">
        <f t="shared" si="115"/>
        <v>0</v>
      </c>
      <c r="L609" s="1">
        <f t="shared" si="116"/>
        <v>1.1081971153846153</v>
      </c>
      <c r="M609" s="1">
        <f t="shared" si="117"/>
        <v>1.1081971153846153</v>
      </c>
      <c r="N609" s="2">
        <f t="shared" si="125"/>
        <v>15.159757922821633</v>
      </c>
      <c r="O609" s="1">
        <v>1243</v>
      </c>
      <c r="P609" s="1">
        <f t="shared" si="118"/>
        <v>629</v>
      </c>
      <c r="Q609" s="1">
        <f t="shared" si="119"/>
        <v>5.8953074362251892</v>
      </c>
      <c r="R609" s="1">
        <f t="shared" si="120"/>
        <v>1.9808484921931861</v>
      </c>
      <c r="S609" s="2">
        <f t="shared" si="121"/>
        <v>7.4443726696516244</v>
      </c>
      <c r="T609" s="2">
        <f t="shared" si="122"/>
        <v>0.12992881383090099</v>
      </c>
      <c r="U609" s="1" t="s">
        <v>2507</v>
      </c>
      <c r="V609" s="6" t="s">
        <v>2505</v>
      </c>
      <c r="W609" s="1"/>
      <c r="X609" s="1"/>
    </row>
    <row r="610" spans="1:24" ht="14.25" customHeight="1" x14ac:dyDescent="0.3">
      <c r="A610" s="1" t="s">
        <v>27</v>
      </c>
      <c r="B610" s="1" t="s">
        <v>1238</v>
      </c>
      <c r="C610" s="1" t="s">
        <v>1239</v>
      </c>
      <c r="D610" s="1">
        <f t="shared" si="112"/>
        <v>90</v>
      </c>
      <c r="E610" s="1">
        <f t="shared" si="113"/>
        <v>0.78898148148148151</v>
      </c>
      <c r="F610" s="2">
        <f t="shared" si="114"/>
        <v>565.45402544524404</v>
      </c>
      <c r="G610" s="1">
        <v>2080</v>
      </c>
      <c r="H610" s="1">
        <v>3744</v>
      </c>
      <c r="I610" s="1">
        <v>0</v>
      </c>
      <c r="J610" s="1">
        <v>219</v>
      </c>
      <c r="K610" s="1">
        <f t="shared" si="115"/>
        <v>0</v>
      </c>
      <c r="L610" s="1">
        <f t="shared" si="116"/>
        <v>1.9109855769230768</v>
      </c>
      <c r="M610" s="1">
        <f t="shared" si="117"/>
        <v>1.9109855769230768</v>
      </c>
      <c r="N610" s="2">
        <f t="shared" si="125"/>
        <v>8.7912751424582076</v>
      </c>
      <c r="O610" s="1">
        <v>1243</v>
      </c>
      <c r="P610" s="1">
        <f t="shared" si="118"/>
        <v>629</v>
      </c>
      <c r="Q610" s="1">
        <f t="shared" si="119"/>
        <v>3.4187399287698588</v>
      </c>
      <c r="R610" s="1">
        <f t="shared" si="120"/>
        <v>1.1487112260663683</v>
      </c>
      <c r="S610" s="2">
        <f t="shared" si="121"/>
        <v>7.4443726696516261</v>
      </c>
      <c r="T610" s="2">
        <f t="shared" si="122"/>
        <v>0.12992881383090102</v>
      </c>
      <c r="U610" s="1" t="s">
        <v>2507</v>
      </c>
      <c r="V610" s="6" t="s">
        <v>2505</v>
      </c>
    </row>
    <row r="611" spans="1:24" ht="14.25" customHeight="1" x14ac:dyDescent="0.3">
      <c r="A611" s="1" t="s">
        <v>27</v>
      </c>
      <c r="B611" s="1" t="s">
        <v>1086</v>
      </c>
      <c r="C611" s="1" t="s">
        <v>638</v>
      </c>
      <c r="D611" s="1">
        <f t="shared" si="112"/>
        <v>41</v>
      </c>
      <c r="E611" s="1">
        <f t="shared" si="113"/>
        <v>0.80893518518518526</v>
      </c>
      <c r="F611" s="2">
        <f t="shared" si="114"/>
        <v>257.70331821137921</v>
      </c>
      <c r="G611" s="1">
        <v>2080</v>
      </c>
      <c r="H611" s="1">
        <v>3744</v>
      </c>
      <c r="I611" s="1">
        <v>0</v>
      </c>
      <c r="J611" s="1">
        <v>136</v>
      </c>
      <c r="K611" s="1">
        <f t="shared" si="115"/>
        <v>0</v>
      </c>
      <c r="L611" s="1">
        <f t="shared" si="116"/>
        <v>1.1867307692307691</v>
      </c>
      <c r="M611" s="1">
        <f t="shared" si="117"/>
        <v>1.1867307692307691</v>
      </c>
      <c r="N611" s="2">
        <f t="shared" si="125"/>
        <v>14.156538648517261</v>
      </c>
      <c r="O611" s="1">
        <v>1242</v>
      </c>
      <c r="P611" s="1">
        <f t="shared" si="118"/>
        <v>630</v>
      </c>
      <c r="Q611" s="1">
        <f t="shared" si="119"/>
        <v>5.5051767970632284</v>
      </c>
      <c r="R611" s="1">
        <f t="shared" si="120"/>
        <v>1.8527037297808944</v>
      </c>
      <c r="S611" s="2">
        <f t="shared" si="121"/>
        <v>7.4560748590123467</v>
      </c>
      <c r="T611" s="2">
        <f t="shared" si="122"/>
        <v>0.13013305556493746</v>
      </c>
      <c r="U611" s="1" t="s">
        <v>2507</v>
      </c>
      <c r="V611" s="6" t="s">
        <v>2505</v>
      </c>
    </row>
    <row r="612" spans="1:24" ht="14.25" customHeight="1" x14ac:dyDescent="0.3">
      <c r="A612" s="1" t="s">
        <v>27</v>
      </c>
      <c r="B612" s="1" t="s">
        <v>1240</v>
      </c>
      <c r="C612" s="1" t="s">
        <v>1241</v>
      </c>
      <c r="D612" s="1">
        <f t="shared" si="112"/>
        <v>51</v>
      </c>
      <c r="E612" s="1">
        <f t="shared" si="113"/>
        <v>0.83126157407407408</v>
      </c>
      <c r="F612" s="2">
        <f t="shared" si="114"/>
        <v>320.67545212180414</v>
      </c>
      <c r="G612" s="1">
        <v>2080</v>
      </c>
      <c r="H612" s="1">
        <v>3744</v>
      </c>
      <c r="I612" s="1">
        <v>0</v>
      </c>
      <c r="J612" s="1">
        <v>208</v>
      </c>
      <c r="K612" s="1">
        <f t="shared" si="115"/>
        <v>0</v>
      </c>
      <c r="L612" s="1">
        <f t="shared" si="116"/>
        <v>1.8149999999999999</v>
      </c>
      <c r="M612" s="1">
        <f t="shared" si="117"/>
        <v>1.8149999999999999</v>
      </c>
      <c r="N612" s="2">
        <f t="shared" si="125"/>
        <v>9.2561983471074392</v>
      </c>
      <c r="O612" s="1">
        <v>1242</v>
      </c>
      <c r="P612" s="1">
        <f t="shared" si="118"/>
        <v>630</v>
      </c>
      <c r="Q612" s="1">
        <f t="shared" si="119"/>
        <v>3.5995386750028797</v>
      </c>
      <c r="R612" s="1">
        <f t="shared" si="120"/>
        <v>1.2113832079336615</v>
      </c>
      <c r="S612" s="2">
        <f t="shared" si="121"/>
        <v>7.4560748590123467</v>
      </c>
      <c r="T612" s="2">
        <f t="shared" si="122"/>
        <v>0.13013305556493746</v>
      </c>
      <c r="U612" s="1" t="s">
        <v>2507</v>
      </c>
      <c r="V612" s="6" t="s">
        <v>2505</v>
      </c>
    </row>
    <row r="613" spans="1:24" ht="14.25" customHeight="1" x14ac:dyDescent="0.3">
      <c r="A613" s="1" t="s">
        <v>20</v>
      </c>
      <c r="B613" s="1" t="s">
        <v>1242</v>
      </c>
      <c r="C613" s="1" t="s">
        <v>1243</v>
      </c>
      <c r="D613" s="1">
        <f t="shared" si="112"/>
        <v>21</v>
      </c>
      <c r="E613" s="1">
        <f t="shared" si="113"/>
        <v>0.10089120370370371</v>
      </c>
      <c r="F613" s="2">
        <f t="shared" si="114"/>
        <v>127.59084052650608</v>
      </c>
      <c r="G613" s="1">
        <v>2080</v>
      </c>
      <c r="H613" s="1">
        <v>3744</v>
      </c>
      <c r="I613" s="1">
        <v>0</v>
      </c>
      <c r="J613" s="1">
        <v>94</v>
      </c>
      <c r="K613" s="1">
        <f t="shared" si="115"/>
        <v>0</v>
      </c>
      <c r="L613" s="1">
        <f t="shared" si="116"/>
        <v>0.82024038461538462</v>
      </c>
      <c r="M613" s="1">
        <f t="shared" si="117"/>
        <v>0.82024038461538462</v>
      </c>
      <c r="N613" s="2">
        <f t="shared" si="125"/>
        <v>20.481800597854757</v>
      </c>
      <c r="O613" s="1">
        <v>1242</v>
      </c>
      <c r="P613" s="1">
        <f t="shared" si="118"/>
        <v>630</v>
      </c>
      <c r="Q613" s="1">
        <f t="shared" si="119"/>
        <v>7.9649366425595636</v>
      </c>
      <c r="R613" s="1">
        <f t="shared" si="120"/>
        <v>2.6805075239383149</v>
      </c>
      <c r="S613" s="2">
        <f t="shared" si="121"/>
        <v>7.4560748590123485</v>
      </c>
      <c r="T613" s="2">
        <f t="shared" si="122"/>
        <v>0.13013305556493748</v>
      </c>
      <c r="U613" s="1" t="s">
        <v>2507</v>
      </c>
      <c r="V613" s="6" t="s">
        <v>2505</v>
      </c>
    </row>
    <row r="614" spans="1:24" ht="14.25" customHeight="1" x14ac:dyDescent="0.3">
      <c r="A614" s="1" t="s">
        <v>40</v>
      </c>
      <c r="B614" s="1" t="s">
        <v>1244</v>
      </c>
      <c r="C614" s="1" t="s">
        <v>1245</v>
      </c>
      <c r="D614" s="1">
        <f t="shared" si="112"/>
        <v>75</v>
      </c>
      <c r="E614" s="1">
        <f t="shared" si="113"/>
        <v>0.88216435185185194</v>
      </c>
      <c r="F614" s="2">
        <f t="shared" si="114"/>
        <v>471.79173107954216</v>
      </c>
      <c r="G614" s="1">
        <v>2080</v>
      </c>
      <c r="H614" s="1">
        <v>3744</v>
      </c>
      <c r="I614" s="1">
        <v>0</v>
      </c>
      <c r="J614" s="1">
        <v>287</v>
      </c>
      <c r="K614" s="1">
        <f t="shared" si="115"/>
        <v>0</v>
      </c>
      <c r="L614" s="1">
        <f t="shared" si="116"/>
        <v>2.5043509615384614</v>
      </c>
      <c r="M614" s="1">
        <f t="shared" si="117"/>
        <v>2.5043509615384614</v>
      </c>
      <c r="N614" s="2">
        <f t="shared" si="125"/>
        <v>6.7083249344890152</v>
      </c>
      <c r="O614" s="1">
        <v>1242</v>
      </c>
      <c r="P614" s="1">
        <f t="shared" si="118"/>
        <v>630</v>
      </c>
      <c r="Q614" s="1">
        <f t="shared" si="119"/>
        <v>2.6087248933818783</v>
      </c>
      <c r="R614" s="1">
        <f t="shared" si="120"/>
        <v>0.87793626219582455</v>
      </c>
      <c r="S614" s="2">
        <f t="shared" si="121"/>
        <v>7.4560748590123485</v>
      </c>
      <c r="T614" s="2">
        <f t="shared" si="122"/>
        <v>0.13013305556493748</v>
      </c>
      <c r="U614" s="1" t="s">
        <v>2507</v>
      </c>
      <c r="V614" s="6" t="s">
        <v>2505</v>
      </c>
    </row>
    <row r="615" spans="1:24" ht="15" customHeight="1" x14ac:dyDescent="0.3">
      <c r="A615" s="1" t="s">
        <v>27</v>
      </c>
      <c r="B615" s="1" t="s">
        <v>1246</v>
      </c>
      <c r="C615" s="1" t="s">
        <v>1247</v>
      </c>
      <c r="D615" s="1">
        <f t="shared" si="112"/>
        <v>79</v>
      </c>
      <c r="E615" s="1">
        <f t="shared" si="113"/>
        <v>2.4039351851851853E-2</v>
      </c>
      <c r="F615" s="2">
        <f t="shared" si="114"/>
        <v>491.53271391653703</v>
      </c>
      <c r="G615" s="1">
        <v>2080</v>
      </c>
      <c r="H615" s="1">
        <v>3744</v>
      </c>
      <c r="I615" s="1">
        <v>0</v>
      </c>
      <c r="J615" s="1">
        <v>165</v>
      </c>
      <c r="K615" s="1">
        <f t="shared" si="115"/>
        <v>0</v>
      </c>
      <c r="L615" s="1">
        <f t="shared" si="116"/>
        <v>1.4397836538461537</v>
      </c>
      <c r="M615" s="1">
        <f t="shared" si="117"/>
        <v>1.4397836538461537</v>
      </c>
      <c r="N615" s="2">
        <f t="shared" si="125"/>
        <v>11.668419734535439</v>
      </c>
      <c r="O615" s="1">
        <v>1242</v>
      </c>
      <c r="P615" s="1">
        <f t="shared" si="118"/>
        <v>630</v>
      </c>
      <c r="Q615" s="1">
        <f t="shared" si="119"/>
        <v>4.5376002690945398</v>
      </c>
      <c r="R615" s="1">
        <f t="shared" si="120"/>
        <v>1.5270770136375857</v>
      </c>
      <c r="S615" s="2">
        <f t="shared" si="121"/>
        <v>7.4560748590123485</v>
      </c>
      <c r="T615" s="2">
        <f t="shared" si="122"/>
        <v>0.13013305556493748</v>
      </c>
      <c r="U615" s="1" t="s">
        <v>2507</v>
      </c>
      <c r="V615" s="6" t="s">
        <v>2505</v>
      </c>
    </row>
    <row r="616" spans="1:24" ht="14.25" customHeight="1" x14ac:dyDescent="0.3">
      <c r="A616" s="1" t="s">
        <v>40</v>
      </c>
      <c r="B616" s="1" t="s">
        <v>1248</v>
      </c>
      <c r="C616" s="1" t="s">
        <v>1249</v>
      </c>
      <c r="D616" s="1">
        <f t="shared" si="112"/>
        <v>29</v>
      </c>
      <c r="E616" s="1">
        <f t="shared" si="113"/>
        <v>0.70988425925925924</v>
      </c>
      <c r="F616" s="2">
        <f t="shared" si="114"/>
        <v>181.68273920278384</v>
      </c>
      <c r="G616" s="1">
        <v>2080</v>
      </c>
      <c r="H616" s="1">
        <v>3744</v>
      </c>
      <c r="I616" s="1">
        <v>0</v>
      </c>
      <c r="J616" s="1">
        <v>237</v>
      </c>
      <c r="K616" s="1">
        <f t="shared" si="115"/>
        <v>0</v>
      </c>
      <c r="L616" s="1">
        <f t="shared" si="116"/>
        <v>2.0680528846153843</v>
      </c>
      <c r="M616" s="1">
        <f t="shared" si="117"/>
        <v>2.0680528846153843</v>
      </c>
      <c r="N616" s="2">
        <f t="shared" si="125"/>
        <v>8.1235833594866982</v>
      </c>
      <c r="O616" s="1">
        <v>1240</v>
      </c>
      <c r="P616" s="1">
        <f t="shared" si="118"/>
        <v>632</v>
      </c>
      <c r="Q616" s="1">
        <f t="shared" si="119"/>
        <v>3.1590887949392368</v>
      </c>
      <c r="R616" s="1">
        <f t="shared" si="120"/>
        <v>1.0665299777786312</v>
      </c>
      <c r="S616" s="2">
        <f t="shared" si="121"/>
        <v>7.4794773601351876</v>
      </c>
      <c r="T616" s="2">
        <f t="shared" si="122"/>
        <v>0.1305415062627327</v>
      </c>
      <c r="U616" s="1" t="s">
        <v>2507</v>
      </c>
      <c r="V616" s="6" t="s">
        <v>2505</v>
      </c>
    </row>
    <row r="617" spans="1:24" ht="14.25" customHeight="1" x14ac:dyDescent="0.3">
      <c r="A617" s="1" t="s">
        <v>177</v>
      </c>
      <c r="B617" s="1" t="s">
        <v>1250</v>
      </c>
      <c r="C617" s="1" t="s">
        <v>1251</v>
      </c>
      <c r="D617" s="1">
        <f t="shared" si="112"/>
        <v>36</v>
      </c>
      <c r="E617" s="1">
        <f t="shared" si="113"/>
        <v>0.75384259259259256</v>
      </c>
      <c r="F617" s="2">
        <f t="shared" si="114"/>
        <v>225.94123470716903</v>
      </c>
      <c r="G617" s="1">
        <v>2080</v>
      </c>
      <c r="H617" s="1">
        <v>3744</v>
      </c>
      <c r="I617" s="1">
        <v>0</v>
      </c>
      <c r="J617" s="1">
        <v>370</v>
      </c>
      <c r="K617" s="1">
        <f t="shared" si="115"/>
        <v>0</v>
      </c>
      <c r="L617" s="1">
        <f t="shared" si="116"/>
        <v>3.2286057692307688</v>
      </c>
      <c r="M617" s="1">
        <f t="shared" si="117"/>
        <v>3.2286057692307688</v>
      </c>
      <c r="N617" s="2">
        <f t="shared" si="125"/>
        <v>5.2034844762117496</v>
      </c>
      <c r="O617" s="1">
        <v>1239</v>
      </c>
      <c r="P617" s="1">
        <f t="shared" si="118"/>
        <v>633</v>
      </c>
      <c r="Q617" s="1">
        <f t="shared" si="119"/>
        <v>2.0235244443259433</v>
      </c>
      <c r="R617" s="1">
        <f t="shared" si="120"/>
        <v>0.68423663101406096</v>
      </c>
      <c r="S617" s="2">
        <f t="shared" si="121"/>
        <v>7.4911776700457873</v>
      </c>
      <c r="T617" s="2">
        <f t="shared" si="122"/>
        <v>0.13074571519417638</v>
      </c>
      <c r="U617" s="1" t="s">
        <v>2507</v>
      </c>
      <c r="V617" s="6" t="s">
        <v>2505</v>
      </c>
    </row>
    <row r="618" spans="1:24" ht="14.25" customHeight="1" x14ac:dyDescent="0.3">
      <c r="A618" s="1" t="s">
        <v>40</v>
      </c>
      <c r="B618" s="1" t="s">
        <v>1252</v>
      </c>
      <c r="C618" s="1" t="s">
        <v>1253</v>
      </c>
      <c r="D618" s="1">
        <f t="shared" si="112"/>
        <v>92</v>
      </c>
      <c r="E618" s="1">
        <f t="shared" si="113"/>
        <v>0.28671296296296295</v>
      </c>
      <c r="F618" s="2">
        <f t="shared" si="114"/>
        <v>574.86454988378875</v>
      </c>
      <c r="G618" s="1">
        <v>2080</v>
      </c>
      <c r="H618" s="1">
        <v>3744</v>
      </c>
      <c r="I618" s="1">
        <v>0</v>
      </c>
      <c r="J618" s="1">
        <v>146</v>
      </c>
      <c r="K618" s="1">
        <f t="shared" si="115"/>
        <v>0</v>
      </c>
      <c r="L618" s="1">
        <f t="shared" si="116"/>
        <v>1.2739903846153844</v>
      </c>
      <c r="M618" s="1">
        <f t="shared" si="117"/>
        <v>1.2739903846153844</v>
      </c>
      <c r="N618" s="2">
        <f t="shared" si="125"/>
        <v>13.186912713687311</v>
      </c>
      <c r="O618" s="1">
        <v>1237</v>
      </c>
      <c r="P618" s="1">
        <f t="shared" si="118"/>
        <v>635</v>
      </c>
      <c r="Q618" s="1">
        <f t="shared" si="119"/>
        <v>5.1281098931547877</v>
      </c>
      <c r="R618" s="1">
        <f t="shared" si="120"/>
        <v>1.7395030887570995</v>
      </c>
      <c r="S618" s="2">
        <f t="shared" si="121"/>
        <v>7.5145764039388645</v>
      </c>
      <c r="T618" s="2">
        <f t="shared" si="122"/>
        <v>0.13115410014140857</v>
      </c>
      <c r="U618" s="1" t="s">
        <v>2507</v>
      </c>
      <c r="V618" s="6" t="s">
        <v>2505</v>
      </c>
    </row>
    <row r="619" spans="1:24" ht="14.25" customHeight="1" x14ac:dyDescent="0.3">
      <c r="A619" s="1" t="s">
        <v>177</v>
      </c>
      <c r="B619" s="1" t="s">
        <v>1254</v>
      </c>
      <c r="C619" s="1" t="s">
        <v>1255</v>
      </c>
      <c r="D619" s="1">
        <f t="shared" si="112"/>
        <v>36</v>
      </c>
      <c r="E619" s="1">
        <f t="shared" si="113"/>
        <v>0.75383101851851853</v>
      </c>
      <c r="F619" s="2">
        <f t="shared" si="114"/>
        <v>225.94116198511688</v>
      </c>
      <c r="G619" s="1">
        <v>2080</v>
      </c>
      <c r="H619" s="1">
        <v>3744</v>
      </c>
      <c r="I619" s="1">
        <v>0</v>
      </c>
      <c r="J619" s="1">
        <v>360</v>
      </c>
      <c r="K619" s="1">
        <f t="shared" si="115"/>
        <v>0</v>
      </c>
      <c r="L619" s="1">
        <f t="shared" si="116"/>
        <v>3.1413461538461536</v>
      </c>
      <c r="M619" s="1">
        <f t="shared" si="117"/>
        <v>3.1413461538461536</v>
      </c>
      <c r="N619" s="2">
        <f t="shared" si="125"/>
        <v>5.3480257116620757</v>
      </c>
      <c r="O619" s="1">
        <v>1236</v>
      </c>
      <c r="P619" s="1">
        <f t="shared" si="118"/>
        <v>636</v>
      </c>
      <c r="Q619" s="1">
        <f t="shared" si="119"/>
        <v>2.0797334566683303</v>
      </c>
      <c r="R619" s="1">
        <f t="shared" si="120"/>
        <v>0.70657611027834299</v>
      </c>
      <c r="S619" s="2">
        <f t="shared" si="121"/>
        <v>7.5262748260716785</v>
      </c>
      <c r="T619" s="2">
        <f t="shared" si="122"/>
        <v>0.13135827612491435</v>
      </c>
      <c r="U619" s="1" t="s">
        <v>2507</v>
      </c>
      <c r="V619" s="6" t="s">
        <v>2505</v>
      </c>
    </row>
    <row r="620" spans="1:24" ht="14.25" customHeight="1" x14ac:dyDescent="0.3">
      <c r="A620" s="1" t="s">
        <v>65</v>
      </c>
      <c r="B620" s="1" t="s">
        <v>1256</v>
      </c>
      <c r="C620" s="1" t="s">
        <v>1257</v>
      </c>
      <c r="D620" s="1">
        <f t="shared" si="112"/>
        <v>43</v>
      </c>
      <c r="E620" s="1">
        <f t="shared" si="113"/>
        <v>0.74444444444444446</v>
      </c>
      <c r="F620" s="2">
        <f t="shared" si="114"/>
        <v>269.86448155106706</v>
      </c>
      <c r="G620" s="1">
        <v>2080</v>
      </c>
      <c r="H620" s="1">
        <v>3744</v>
      </c>
      <c r="I620" s="1">
        <v>0</v>
      </c>
      <c r="J620" s="1">
        <v>693</v>
      </c>
      <c r="K620" s="1">
        <f t="shared" si="115"/>
        <v>0</v>
      </c>
      <c r="L620" s="1">
        <f t="shared" si="116"/>
        <v>6.047091346153846</v>
      </c>
      <c r="M620" s="1">
        <f t="shared" si="117"/>
        <v>6.047091346153846</v>
      </c>
      <c r="N620" s="2">
        <f t="shared" si="125"/>
        <v>2.7781951748893898</v>
      </c>
      <c r="O620" s="1">
        <v>1236</v>
      </c>
      <c r="P620" s="1">
        <f t="shared" si="118"/>
        <v>636</v>
      </c>
      <c r="Q620" s="1">
        <f t="shared" si="119"/>
        <v>1.0803810164510808</v>
      </c>
      <c r="R620" s="1">
        <f t="shared" si="120"/>
        <v>0.36705252481991846</v>
      </c>
      <c r="S620" s="2">
        <f t="shared" si="121"/>
        <v>7.5262748260716785</v>
      </c>
      <c r="T620" s="2">
        <f t="shared" si="122"/>
        <v>0.13135827612491435</v>
      </c>
      <c r="U620" s="1" t="s">
        <v>2507</v>
      </c>
      <c r="V620" s="6" t="s">
        <v>2505</v>
      </c>
    </row>
    <row r="621" spans="1:24" ht="14.25" customHeight="1" x14ac:dyDescent="0.3">
      <c r="A621" s="1" t="s">
        <v>17</v>
      </c>
      <c r="B621" s="1" t="s">
        <v>1258</v>
      </c>
      <c r="C621" s="1" t="s">
        <v>1259</v>
      </c>
      <c r="D621" s="1">
        <f t="shared" si="112"/>
        <v>36</v>
      </c>
      <c r="E621" s="1">
        <f t="shared" si="113"/>
        <v>0.98607638888888882</v>
      </c>
      <c r="F621" s="2">
        <f t="shared" si="114"/>
        <v>227.40040268388847</v>
      </c>
      <c r="G621" s="1">
        <v>2080</v>
      </c>
      <c r="H621" s="1">
        <v>3744</v>
      </c>
      <c r="I621" s="1">
        <v>0</v>
      </c>
      <c r="J621" s="1">
        <v>318</v>
      </c>
      <c r="K621" s="1">
        <v>0</v>
      </c>
      <c r="L621" s="1">
        <f t="shared" si="116"/>
        <v>2.7748557692307689</v>
      </c>
      <c r="M621" s="1">
        <f t="shared" si="117"/>
        <v>2.7748557692307689</v>
      </c>
      <c r="N621" s="2">
        <f t="shared" si="125"/>
        <v>6.0543687301834828</v>
      </c>
      <c r="O621" s="1">
        <v>1235</v>
      </c>
      <c r="P621" s="1">
        <f t="shared" si="118"/>
        <v>637</v>
      </c>
      <c r="Q621" s="1">
        <f t="shared" si="119"/>
        <v>2.354415233964148</v>
      </c>
      <c r="R621" s="1">
        <f t="shared" si="120"/>
        <v>0.80115518377946704</v>
      </c>
      <c r="S621" s="2">
        <f t="shared" si="121"/>
        <v>7.5379726170960817</v>
      </c>
      <c r="T621" s="2">
        <f t="shared" si="122"/>
        <v>0.13156244109350043</v>
      </c>
      <c r="U621" s="1" t="s">
        <v>2507</v>
      </c>
      <c r="V621" s="6" t="s">
        <v>2505</v>
      </c>
    </row>
    <row r="622" spans="1:24" ht="14.25" customHeight="1" x14ac:dyDescent="0.3">
      <c r="A622" s="1" t="s">
        <v>40</v>
      </c>
      <c r="B622" s="1" t="s">
        <v>1260</v>
      </c>
      <c r="C622" s="1" t="s">
        <v>1261</v>
      </c>
      <c r="D622" s="1">
        <f t="shared" si="112"/>
        <v>10</v>
      </c>
      <c r="E622" s="1">
        <f t="shared" si="113"/>
        <v>0.83398148148148143</v>
      </c>
      <c r="F622" s="2">
        <f t="shared" si="114"/>
        <v>63.081944209700175</v>
      </c>
      <c r="G622" s="1">
        <v>2080</v>
      </c>
      <c r="H622" s="1">
        <v>3744</v>
      </c>
      <c r="I622" s="1">
        <v>0</v>
      </c>
      <c r="J622" s="1">
        <v>208</v>
      </c>
      <c r="K622" s="1">
        <f t="shared" ref="K622:K685" si="126">(32.67*I622)/H622</f>
        <v>0</v>
      </c>
      <c r="L622" s="1">
        <f t="shared" si="116"/>
        <v>1.8149999999999999</v>
      </c>
      <c r="M622" s="1">
        <f t="shared" si="117"/>
        <v>1.8149999999999999</v>
      </c>
      <c r="N622" s="2">
        <f t="shared" si="125"/>
        <v>9.2561983471074392</v>
      </c>
      <c r="O622" s="1">
        <v>1233</v>
      </c>
      <c r="P622" s="1">
        <f t="shared" si="118"/>
        <v>639</v>
      </c>
      <c r="Q622" s="1">
        <f t="shared" si="119"/>
        <v>3.5995386750028797</v>
      </c>
      <c r="R622" s="1">
        <f t="shared" si="120"/>
        <v>1.2286886823327139</v>
      </c>
      <c r="S622" s="2">
        <f t="shared" si="121"/>
        <v>7.5613663021237416</v>
      </c>
      <c r="T622" s="2">
        <f t="shared" si="122"/>
        <v>0.13197073792140759</v>
      </c>
      <c r="U622" s="1" t="s">
        <v>2507</v>
      </c>
      <c r="V622" s="6" t="s">
        <v>2505</v>
      </c>
    </row>
    <row r="623" spans="1:24" ht="14.25" customHeight="1" x14ac:dyDescent="0.3">
      <c r="A623" s="1" t="s">
        <v>17</v>
      </c>
      <c r="B623" s="1" t="s">
        <v>1262</v>
      </c>
      <c r="C623" s="1" t="s">
        <v>1263</v>
      </c>
      <c r="D623" s="1">
        <f t="shared" si="112"/>
        <v>45</v>
      </c>
      <c r="E623" s="1">
        <f t="shared" si="113"/>
        <v>0.18871527777777777</v>
      </c>
      <c r="F623" s="2">
        <f t="shared" si="114"/>
        <v>278.93910283065503</v>
      </c>
      <c r="G623" s="1">
        <v>2080</v>
      </c>
      <c r="H623" s="1">
        <v>3744</v>
      </c>
      <c r="I623" s="1">
        <v>0</v>
      </c>
      <c r="J623" s="1">
        <v>226</v>
      </c>
      <c r="K623" s="1">
        <f t="shared" si="126"/>
        <v>0</v>
      </c>
      <c r="L623" s="1">
        <f t="shared" si="116"/>
        <v>1.9720673076923074</v>
      </c>
      <c r="M623" s="1">
        <f t="shared" si="117"/>
        <v>1.9720673076923074</v>
      </c>
      <c r="N623" s="2">
        <f t="shared" si="125"/>
        <v>8.5189790097272002</v>
      </c>
      <c r="O623" s="1">
        <v>1233</v>
      </c>
      <c r="P623" s="1">
        <f t="shared" si="118"/>
        <v>639</v>
      </c>
      <c r="Q623" s="1">
        <f t="shared" si="119"/>
        <v>3.3128497539849513</v>
      </c>
      <c r="R623" s="1">
        <f t="shared" si="120"/>
        <v>1.1308285217929401</v>
      </c>
      <c r="S623" s="2">
        <f t="shared" si="121"/>
        <v>7.5613663021237416</v>
      </c>
      <c r="T623" s="2">
        <f t="shared" si="122"/>
        <v>0.13197073792140759</v>
      </c>
      <c r="U623" s="1" t="s">
        <v>2507</v>
      </c>
      <c r="V623" s="6" t="s">
        <v>2505</v>
      </c>
    </row>
    <row r="624" spans="1:24" ht="14.25" customHeight="1" x14ac:dyDescent="0.3">
      <c r="A624" s="1" t="s">
        <v>177</v>
      </c>
      <c r="B624" s="1" t="s">
        <v>1264</v>
      </c>
      <c r="C624" s="1" t="s">
        <v>1265</v>
      </c>
      <c r="D624" s="1">
        <f t="shared" si="112"/>
        <v>46</v>
      </c>
      <c r="E624" s="1">
        <f t="shared" si="113"/>
        <v>0.32306712962962963</v>
      </c>
      <c r="F624" s="2">
        <f t="shared" si="114"/>
        <v>286.06644571938256</v>
      </c>
      <c r="G624" s="1">
        <v>2080</v>
      </c>
      <c r="H624" s="1">
        <v>3744</v>
      </c>
      <c r="I624" s="1">
        <v>0</v>
      </c>
      <c r="J624" s="1">
        <v>309</v>
      </c>
      <c r="K624" s="1">
        <f t="shared" si="126"/>
        <v>0</v>
      </c>
      <c r="L624" s="1">
        <f t="shared" si="116"/>
        <v>2.6963221153846151</v>
      </c>
      <c r="M624" s="1">
        <f t="shared" si="117"/>
        <v>2.6963221153846151</v>
      </c>
      <c r="N624" s="2">
        <f t="shared" si="125"/>
        <v>6.2307095669849435</v>
      </c>
      <c r="O624" s="1">
        <v>1233</v>
      </c>
      <c r="P624" s="1">
        <f t="shared" si="118"/>
        <v>639</v>
      </c>
      <c r="Q624" s="1">
        <f t="shared" si="119"/>
        <v>2.4229904349533951</v>
      </c>
      <c r="R624" s="1">
        <f t="shared" si="120"/>
        <v>0.82707846577736088</v>
      </c>
      <c r="S624" s="2">
        <f t="shared" si="121"/>
        <v>7.5613663021237416</v>
      </c>
      <c r="T624" s="2">
        <f t="shared" si="122"/>
        <v>0.13197073792140759</v>
      </c>
      <c r="U624" s="1" t="s">
        <v>2507</v>
      </c>
      <c r="V624" s="6" t="s">
        <v>2505</v>
      </c>
    </row>
    <row r="625" spans="1:22" ht="14.25" customHeight="1" x14ac:dyDescent="0.3">
      <c r="A625" s="1" t="s">
        <v>27</v>
      </c>
      <c r="B625" s="1" t="s">
        <v>1266</v>
      </c>
      <c r="C625" s="1" t="s">
        <v>1267</v>
      </c>
      <c r="D625" s="1">
        <f t="shared" si="112"/>
        <v>51</v>
      </c>
      <c r="E625" s="1">
        <f t="shared" si="113"/>
        <v>0.92282407407407396</v>
      </c>
      <c r="F625" s="2">
        <f t="shared" si="114"/>
        <v>321.25075627649272</v>
      </c>
      <c r="G625" s="1">
        <v>2080</v>
      </c>
      <c r="H625" s="1">
        <v>3744</v>
      </c>
      <c r="I625" s="1">
        <v>0</v>
      </c>
      <c r="J625" s="1">
        <v>219</v>
      </c>
      <c r="K625" s="1">
        <f t="shared" si="126"/>
        <v>0</v>
      </c>
      <c r="L625" s="1">
        <f t="shared" si="116"/>
        <v>1.9109855769230768</v>
      </c>
      <c r="M625" s="1">
        <f t="shared" si="117"/>
        <v>1.9109855769230768</v>
      </c>
      <c r="N625" s="2">
        <f t="shared" si="125"/>
        <v>8.7912751424582076</v>
      </c>
      <c r="O625" s="1">
        <v>1233</v>
      </c>
      <c r="P625" s="1">
        <f t="shared" si="118"/>
        <v>639</v>
      </c>
      <c r="Q625" s="1">
        <f t="shared" si="119"/>
        <v>3.4187399287698588</v>
      </c>
      <c r="R625" s="1">
        <f t="shared" si="120"/>
        <v>1.1669737256858652</v>
      </c>
      <c r="S625" s="2">
        <f t="shared" si="121"/>
        <v>7.5613663021237416</v>
      </c>
      <c r="T625" s="2">
        <f t="shared" si="122"/>
        <v>0.13197073792140759</v>
      </c>
      <c r="U625" s="1" t="s">
        <v>2507</v>
      </c>
      <c r="V625" s="6" t="s">
        <v>2505</v>
      </c>
    </row>
    <row r="626" spans="1:22" ht="14.25" customHeight="1" x14ac:dyDescent="0.3">
      <c r="A626" s="1" t="s">
        <v>40</v>
      </c>
      <c r="B626" s="1" t="s">
        <v>1268</v>
      </c>
      <c r="C626" s="1" t="s">
        <v>1269</v>
      </c>
      <c r="D626" s="1">
        <f t="shared" si="112"/>
        <v>76</v>
      </c>
      <c r="E626" s="1">
        <f t="shared" si="113"/>
        <v>0.98996527777777776</v>
      </c>
      <c r="F626" s="2">
        <f t="shared" si="114"/>
        <v>478.75224958059988</v>
      </c>
      <c r="G626" s="1">
        <v>2080</v>
      </c>
      <c r="H626" s="1">
        <v>3744</v>
      </c>
      <c r="I626" s="1">
        <v>0</v>
      </c>
      <c r="J626" s="1">
        <v>189</v>
      </c>
      <c r="K626" s="1">
        <f t="shared" si="126"/>
        <v>0</v>
      </c>
      <c r="L626" s="1">
        <f t="shared" si="116"/>
        <v>1.6492067307692306</v>
      </c>
      <c r="M626" s="1">
        <f t="shared" si="117"/>
        <v>1.6492067307692306</v>
      </c>
      <c r="N626" s="2">
        <f t="shared" si="125"/>
        <v>10.186715641261097</v>
      </c>
      <c r="O626" s="1">
        <v>1232</v>
      </c>
      <c r="P626" s="1">
        <f t="shared" si="118"/>
        <v>640</v>
      </c>
      <c r="Q626" s="1">
        <f t="shared" si="119"/>
        <v>3.9613970603206297</v>
      </c>
      <c r="R626" s="1">
        <f t="shared" si="120"/>
        <v>1.3543237813061981</v>
      </c>
      <c r="S626" s="2">
        <f t="shared" si="121"/>
        <v>7.5730621942798129</v>
      </c>
      <c r="T626" s="2">
        <f t="shared" si="122"/>
        <v>0.13217486974848922</v>
      </c>
      <c r="U626" s="1" t="s">
        <v>2507</v>
      </c>
      <c r="V626" s="6" t="s">
        <v>2505</v>
      </c>
    </row>
    <row r="627" spans="1:22" ht="14.25" customHeight="1" x14ac:dyDescent="0.3">
      <c r="A627" s="1" t="s">
        <v>27</v>
      </c>
      <c r="B627" s="1" t="s">
        <v>1270</v>
      </c>
      <c r="C627" s="1" t="s">
        <v>1271</v>
      </c>
      <c r="D627" s="1">
        <f t="shared" si="112"/>
        <v>34</v>
      </c>
      <c r="E627" s="1">
        <f t="shared" si="113"/>
        <v>0.10135416666666668</v>
      </c>
      <c r="F627" s="2">
        <f t="shared" si="114"/>
        <v>209.27515840192734</v>
      </c>
      <c r="G627" s="1">
        <v>2080</v>
      </c>
      <c r="H627" s="1">
        <v>3744</v>
      </c>
      <c r="I627" s="1">
        <v>0</v>
      </c>
      <c r="J627" s="1">
        <v>222</v>
      </c>
      <c r="K627" s="1">
        <f t="shared" si="126"/>
        <v>0</v>
      </c>
      <c r="L627" s="1">
        <f t="shared" si="116"/>
        <v>1.9371634615384614</v>
      </c>
      <c r="M627" s="1">
        <f t="shared" si="117"/>
        <v>1.9371634615384614</v>
      </c>
      <c r="N627" s="2">
        <f t="shared" si="125"/>
        <v>8.6724741270195818</v>
      </c>
      <c r="O627" s="1">
        <v>1230</v>
      </c>
      <c r="P627" s="1">
        <f t="shared" si="118"/>
        <v>642</v>
      </c>
      <c r="Q627" s="1">
        <f t="shared" si="119"/>
        <v>3.3725407405432386</v>
      </c>
      <c r="R627" s="1">
        <f t="shared" si="120"/>
        <v>1.1566085231991234</v>
      </c>
      <c r="S627" s="2">
        <f t="shared" si="121"/>
        <v>7.5964520732608189</v>
      </c>
      <c r="T627" s="2">
        <f t="shared" si="122"/>
        <v>0.13258310014835079</v>
      </c>
      <c r="U627" s="1" t="s">
        <v>2507</v>
      </c>
      <c r="V627" s="6" t="s">
        <v>2505</v>
      </c>
    </row>
    <row r="628" spans="1:22" ht="14.25" customHeight="1" x14ac:dyDescent="0.3">
      <c r="A628" s="1" t="s">
        <v>177</v>
      </c>
      <c r="B628" s="1" t="s">
        <v>1272</v>
      </c>
      <c r="C628" s="1" t="s">
        <v>1273</v>
      </c>
      <c r="D628" s="1">
        <f t="shared" si="112"/>
        <v>36</v>
      </c>
      <c r="E628" s="1">
        <f t="shared" si="113"/>
        <v>0.75407407407407412</v>
      </c>
      <c r="F628" s="2">
        <f t="shared" si="114"/>
        <v>225.94268914821237</v>
      </c>
      <c r="G628" s="1">
        <v>2080</v>
      </c>
      <c r="H628" s="1">
        <v>3744</v>
      </c>
      <c r="I628" s="1">
        <v>0</v>
      </c>
      <c r="J628" s="1">
        <v>376</v>
      </c>
      <c r="K628" s="1">
        <f t="shared" si="126"/>
        <v>0</v>
      </c>
      <c r="L628" s="1">
        <f t="shared" si="116"/>
        <v>3.2809615384615385</v>
      </c>
      <c r="M628" s="1">
        <f t="shared" si="117"/>
        <v>3.2809615384615385</v>
      </c>
      <c r="N628" s="2">
        <f t="shared" si="125"/>
        <v>5.1204501494636894</v>
      </c>
      <c r="O628" s="1">
        <v>1230</v>
      </c>
      <c r="P628" s="1">
        <f t="shared" si="118"/>
        <v>642</v>
      </c>
      <c r="Q628" s="1">
        <f t="shared" si="119"/>
        <v>1.9912341606398909</v>
      </c>
      <c r="R628" s="1">
        <f t="shared" si="120"/>
        <v>0.68289120252714208</v>
      </c>
      <c r="S628" s="2">
        <f t="shared" si="121"/>
        <v>7.5964520732608189</v>
      </c>
      <c r="T628" s="2">
        <f t="shared" si="122"/>
        <v>0.13258310014835079</v>
      </c>
      <c r="U628" s="1" t="s">
        <v>2507</v>
      </c>
      <c r="V628" s="6" t="s">
        <v>2505</v>
      </c>
    </row>
    <row r="629" spans="1:22" ht="14.25" customHeight="1" x14ac:dyDescent="0.3">
      <c r="A629" s="1" t="s">
        <v>40</v>
      </c>
      <c r="B629" s="1" t="s">
        <v>1274</v>
      </c>
      <c r="C629" s="1" t="s">
        <v>1275</v>
      </c>
      <c r="D629" s="1">
        <f t="shared" si="112"/>
        <v>72</v>
      </c>
      <c r="E629" s="1">
        <f t="shared" si="113"/>
        <v>0.94793981481481471</v>
      </c>
      <c r="F629" s="2">
        <f t="shared" si="114"/>
        <v>453.35545458046522</v>
      </c>
      <c r="G629" s="1">
        <v>2080</v>
      </c>
      <c r="H629" s="1">
        <v>3744</v>
      </c>
      <c r="I629" s="1">
        <v>0</v>
      </c>
      <c r="J629" s="1">
        <v>112</v>
      </c>
      <c r="K629" s="1">
        <f t="shared" si="126"/>
        <v>0</v>
      </c>
      <c r="L629" s="1">
        <f t="shared" si="116"/>
        <v>0.97730769230769221</v>
      </c>
      <c r="M629" s="1">
        <f t="shared" si="117"/>
        <v>0.97730769230769221</v>
      </c>
      <c r="N629" s="2">
        <f t="shared" si="125"/>
        <v>17.190082644628102</v>
      </c>
      <c r="O629" s="1">
        <v>1230</v>
      </c>
      <c r="P629" s="1">
        <f t="shared" si="118"/>
        <v>642</v>
      </c>
      <c r="Q629" s="1">
        <f t="shared" si="119"/>
        <v>6.6848575392910634</v>
      </c>
      <c r="R629" s="1">
        <f t="shared" si="120"/>
        <v>2.2925633227696918</v>
      </c>
      <c r="S629" s="2">
        <f t="shared" si="121"/>
        <v>7.5964520732608189</v>
      </c>
      <c r="T629" s="2">
        <f t="shared" si="122"/>
        <v>0.13258310014835079</v>
      </c>
      <c r="U629" s="1" t="s">
        <v>2507</v>
      </c>
      <c r="V629" s="6" t="s">
        <v>2505</v>
      </c>
    </row>
    <row r="630" spans="1:22" ht="14.25" customHeight="1" x14ac:dyDescent="0.3">
      <c r="A630" s="1" t="s">
        <v>286</v>
      </c>
      <c r="B630" s="1" t="s">
        <v>1276</v>
      </c>
      <c r="C630" s="1" t="s">
        <v>1277</v>
      </c>
      <c r="D630" s="1">
        <f t="shared" si="112"/>
        <v>75</v>
      </c>
      <c r="E630" s="1">
        <f t="shared" si="113"/>
        <v>3.2256944444444442E-2</v>
      </c>
      <c r="F630" s="2">
        <f t="shared" si="114"/>
        <v>466.45160534485683</v>
      </c>
      <c r="G630" s="1">
        <v>2080</v>
      </c>
      <c r="H630" s="1">
        <v>3744</v>
      </c>
      <c r="I630" s="1">
        <v>0</v>
      </c>
      <c r="J630" s="1">
        <v>357</v>
      </c>
      <c r="K630" s="1">
        <f t="shared" si="126"/>
        <v>0</v>
      </c>
      <c r="L630" s="1">
        <f t="shared" si="116"/>
        <v>3.1151682692307689</v>
      </c>
      <c r="M630" s="1">
        <f t="shared" si="117"/>
        <v>3.1151682692307689</v>
      </c>
      <c r="N630" s="2">
        <f t="shared" si="125"/>
        <v>5.3929671041970515</v>
      </c>
      <c r="O630" s="1">
        <v>1230</v>
      </c>
      <c r="P630" s="1">
        <f t="shared" si="118"/>
        <v>642</v>
      </c>
      <c r="Q630" s="1">
        <f t="shared" si="119"/>
        <v>2.0972102084050395</v>
      </c>
      <c r="R630" s="1">
        <f t="shared" si="120"/>
        <v>0.71923555224147184</v>
      </c>
      <c r="S630" s="2">
        <f t="shared" si="121"/>
        <v>7.5964520732608189</v>
      </c>
      <c r="T630" s="2">
        <f t="shared" si="122"/>
        <v>0.13258310014835079</v>
      </c>
      <c r="U630" s="1" t="s">
        <v>2507</v>
      </c>
      <c r="V630" s="6" t="s">
        <v>2505</v>
      </c>
    </row>
    <row r="631" spans="1:22" ht="14.25" customHeight="1" x14ac:dyDescent="0.3">
      <c r="A631" s="1" t="s">
        <v>27</v>
      </c>
      <c r="B631" s="1" t="s">
        <v>1278</v>
      </c>
      <c r="C631" s="1" t="s">
        <v>1279</v>
      </c>
      <c r="D631" s="1">
        <f t="shared" si="112"/>
        <v>38</v>
      </c>
      <c r="E631" s="1">
        <f t="shared" si="113"/>
        <v>0.74422453703703706</v>
      </c>
      <c r="F631" s="2">
        <f t="shared" si="114"/>
        <v>238.44717329617788</v>
      </c>
      <c r="G631" s="1">
        <v>2080</v>
      </c>
      <c r="H631" s="1">
        <v>3744</v>
      </c>
      <c r="I631" s="1">
        <v>0</v>
      </c>
      <c r="J631" s="1">
        <v>255</v>
      </c>
      <c r="K631" s="1">
        <f t="shared" si="126"/>
        <v>0</v>
      </c>
      <c r="L631" s="1">
        <f t="shared" si="116"/>
        <v>2.2251201923076924</v>
      </c>
      <c r="M631" s="1">
        <f t="shared" si="117"/>
        <v>2.2251201923076924</v>
      </c>
      <c r="N631" s="2">
        <f t="shared" si="125"/>
        <v>7.5501539458758709</v>
      </c>
      <c r="O631" s="1">
        <v>1229</v>
      </c>
      <c r="P631" s="1">
        <f t="shared" si="118"/>
        <v>643</v>
      </c>
      <c r="Q631" s="1">
        <f t="shared" si="119"/>
        <v>2.9360942917670547</v>
      </c>
      <c r="R631" s="1">
        <f t="shared" si="120"/>
        <v>1.0084981995759701</v>
      </c>
      <c r="S631" s="2">
        <f t="shared" si="121"/>
        <v>7.6081460582404388</v>
      </c>
      <c r="T631" s="2">
        <f t="shared" si="122"/>
        <v>0.13278719868892391</v>
      </c>
      <c r="U631" s="1" t="s">
        <v>2507</v>
      </c>
      <c r="V631" s="6" t="s">
        <v>2505</v>
      </c>
    </row>
    <row r="632" spans="1:22" ht="14.25" customHeight="1" x14ac:dyDescent="0.3">
      <c r="A632" s="1" t="s">
        <v>40</v>
      </c>
      <c r="B632" s="1" t="s">
        <v>1280</v>
      </c>
      <c r="C632" s="1" t="s">
        <v>1281</v>
      </c>
      <c r="D632" s="1">
        <f t="shared" si="112"/>
        <v>41</v>
      </c>
      <c r="E632" s="1">
        <f t="shared" si="113"/>
        <v>0.94240740740740747</v>
      </c>
      <c r="F632" s="2">
        <f t="shared" si="114"/>
        <v>258.5419489169625</v>
      </c>
      <c r="G632" s="1">
        <v>2080</v>
      </c>
      <c r="H632" s="1">
        <v>3744</v>
      </c>
      <c r="I632" s="1">
        <v>0</v>
      </c>
      <c r="J632" s="1">
        <v>110</v>
      </c>
      <c r="K632" s="1">
        <f t="shared" si="126"/>
        <v>0</v>
      </c>
      <c r="L632" s="1">
        <f t="shared" si="116"/>
        <v>0.9598557692307691</v>
      </c>
      <c r="M632" s="1">
        <f t="shared" si="117"/>
        <v>0.9598557692307691</v>
      </c>
      <c r="N632" s="2">
        <f t="shared" si="125"/>
        <v>17.502629601803157</v>
      </c>
      <c r="O632" s="1">
        <v>1228</v>
      </c>
      <c r="P632" s="1">
        <f t="shared" si="118"/>
        <v>644</v>
      </c>
      <c r="Q632" s="1">
        <f t="shared" si="119"/>
        <v>6.8064004036418089</v>
      </c>
      <c r="R632" s="1">
        <f t="shared" si="120"/>
        <v>2.3415180875776307</v>
      </c>
      <c r="S632" s="2">
        <f t="shared" si="121"/>
        <v>7.619839405649782</v>
      </c>
      <c r="T632" s="2">
        <f t="shared" si="122"/>
        <v>0.1329912861017965</v>
      </c>
      <c r="U632" s="1" t="s">
        <v>2507</v>
      </c>
      <c r="V632" s="6" t="s">
        <v>2505</v>
      </c>
    </row>
    <row r="633" spans="1:22" ht="14.25" customHeight="1" x14ac:dyDescent="0.3">
      <c r="A633" s="1" t="s">
        <v>17</v>
      </c>
      <c r="B633" s="1" t="s">
        <v>1282</v>
      </c>
      <c r="C633" s="1" t="s">
        <v>1283</v>
      </c>
      <c r="D633" s="1">
        <f t="shared" si="112"/>
        <v>71</v>
      </c>
      <c r="E633" s="1">
        <f t="shared" si="113"/>
        <v>7.767361111111111E-2</v>
      </c>
      <c r="F633" s="2">
        <f t="shared" si="114"/>
        <v>441.60422544883954</v>
      </c>
      <c r="G633" s="1">
        <v>2080</v>
      </c>
      <c r="H633" s="1">
        <v>3744</v>
      </c>
      <c r="I633" s="1">
        <v>0</v>
      </c>
      <c r="J633" s="1">
        <v>213</v>
      </c>
      <c r="K633" s="1">
        <f t="shared" si="126"/>
        <v>0</v>
      </c>
      <c r="L633" s="1">
        <f t="shared" si="116"/>
        <v>1.8586298076923076</v>
      </c>
      <c r="M633" s="1">
        <f t="shared" si="117"/>
        <v>1.8586298076923076</v>
      </c>
      <c r="N633" s="2">
        <f t="shared" si="125"/>
        <v>9.0389166957668881</v>
      </c>
      <c r="O633" s="1">
        <v>1228</v>
      </c>
      <c r="P633" s="1">
        <f t="shared" si="118"/>
        <v>644</v>
      </c>
      <c r="Q633" s="1">
        <f t="shared" si="119"/>
        <v>3.5150424619746428</v>
      </c>
      <c r="R633" s="1">
        <f t="shared" si="120"/>
        <v>1.2092346931152083</v>
      </c>
      <c r="S633" s="2">
        <f t="shared" si="121"/>
        <v>7.619839405649782</v>
      </c>
      <c r="T633" s="2">
        <f t="shared" si="122"/>
        <v>0.1329912861017965</v>
      </c>
      <c r="U633" s="1" t="s">
        <v>2507</v>
      </c>
      <c r="V633" s="6" t="s">
        <v>2505</v>
      </c>
    </row>
    <row r="634" spans="1:22" ht="14.25" customHeight="1" x14ac:dyDescent="0.3">
      <c r="A634" s="1" t="s">
        <v>27</v>
      </c>
      <c r="B634" s="1" t="s">
        <v>1284</v>
      </c>
      <c r="C634" s="1" t="s">
        <v>1285</v>
      </c>
      <c r="D634" s="1">
        <f t="shared" si="112"/>
        <v>30</v>
      </c>
      <c r="E634" s="1">
        <f t="shared" si="113"/>
        <v>1.736111111111111E-3</v>
      </c>
      <c r="F634" s="2">
        <f t="shared" si="114"/>
        <v>183.51649847021253</v>
      </c>
      <c r="G634" s="1">
        <v>2080</v>
      </c>
      <c r="H634" s="1">
        <v>3744</v>
      </c>
      <c r="I634" s="1">
        <v>0</v>
      </c>
      <c r="J634" s="1">
        <v>198</v>
      </c>
      <c r="K634" s="1">
        <f t="shared" si="126"/>
        <v>0</v>
      </c>
      <c r="L634" s="1">
        <f t="shared" si="116"/>
        <v>1.7277403846153845</v>
      </c>
      <c r="M634" s="1">
        <f t="shared" si="117"/>
        <v>1.7277403846153845</v>
      </c>
      <c r="N634" s="2">
        <f t="shared" si="125"/>
        <v>9.723683112112866</v>
      </c>
      <c r="O634" s="1">
        <v>1224</v>
      </c>
      <c r="P634" s="1">
        <f t="shared" si="118"/>
        <v>648</v>
      </c>
      <c r="Q634" s="1">
        <f t="shared" si="119"/>
        <v>3.7813335575787832</v>
      </c>
      <c r="R634" s="1">
        <f t="shared" si="120"/>
        <v>1.3089231545465019</v>
      </c>
      <c r="S634" s="2">
        <f t="shared" si="121"/>
        <v>7.666606401151598</v>
      </c>
      <c r="T634" s="2">
        <f t="shared" si="122"/>
        <v>0.13380752415456856</v>
      </c>
      <c r="U634" s="1" t="s">
        <v>2507</v>
      </c>
      <c r="V634" s="6" t="s">
        <v>2505</v>
      </c>
    </row>
    <row r="635" spans="1:22" ht="14.25" customHeight="1" x14ac:dyDescent="0.3">
      <c r="A635" s="1" t="s">
        <v>27</v>
      </c>
      <c r="B635" s="1" t="s">
        <v>1286</v>
      </c>
      <c r="C635" s="1" t="s">
        <v>1287</v>
      </c>
      <c r="D635" s="1">
        <f t="shared" si="112"/>
        <v>41</v>
      </c>
      <c r="E635" s="1">
        <f t="shared" si="113"/>
        <v>0.72173611111111102</v>
      </c>
      <c r="F635" s="2">
        <f t="shared" si="114"/>
        <v>257.15543027035733</v>
      </c>
      <c r="G635" s="1">
        <v>2080</v>
      </c>
      <c r="H635" s="1">
        <v>3744</v>
      </c>
      <c r="I635" s="1">
        <v>0</v>
      </c>
      <c r="J635" s="1">
        <v>101</v>
      </c>
      <c r="K635" s="1">
        <f t="shared" si="126"/>
        <v>0</v>
      </c>
      <c r="L635" s="1">
        <f t="shared" si="116"/>
        <v>0.88132211538461536</v>
      </c>
      <c r="M635" s="1">
        <f t="shared" si="117"/>
        <v>0.88132211538461536</v>
      </c>
      <c r="N635" s="2">
        <f t="shared" si="125"/>
        <v>19.062269863349972</v>
      </c>
      <c r="O635" s="1">
        <v>1222</v>
      </c>
      <c r="P635" s="1">
        <f t="shared" si="118"/>
        <v>650</v>
      </c>
      <c r="Q635" s="1">
        <f t="shared" si="119"/>
        <v>7.4129113306989991</v>
      </c>
      <c r="R635" s="1">
        <f t="shared" si="120"/>
        <v>2.5739275453815966</v>
      </c>
      <c r="S635" s="2">
        <f t="shared" si="121"/>
        <v>7.6899860495270014</v>
      </c>
      <c r="T635" s="2">
        <f t="shared" si="122"/>
        <v>0.13421557599667791</v>
      </c>
      <c r="U635" s="1" t="s">
        <v>2507</v>
      </c>
      <c r="V635" s="6" t="s">
        <v>2505</v>
      </c>
    </row>
    <row r="636" spans="1:22" ht="14.25" customHeight="1" x14ac:dyDescent="0.3">
      <c r="A636" s="1" t="s">
        <v>40</v>
      </c>
      <c r="B636" s="1" t="s">
        <v>1288</v>
      </c>
      <c r="C636" s="1" t="s">
        <v>1289</v>
      </c>
      <c r="D636" s="1">
        <f t="shared" si="112"/>
        <v>33</v>
      </c>
      <c r="E636" s="1">
        <f t="shared" si="113"/>
        <v>3.1689814814814816E-2</v>
      </c>
      <c r="F636" s="2">
        <f t="shared" si="114"/>
        <v>202.55425906275804</v>
      </c>
      <c r="G636" s="1">
        <v>2080</v>
      </c>
      <c r="H636" s="1">
        <v>3744</v>
      </c>
      <c r="I636" s="1">
        <v>0</v>
      </c>
      <c r="J636" s="1">
        <v>115</v>
      </c>
      <c r="K636" s="1">
        <f t="shared" si="126"/>
        <v>0</v>
      </c>
      <c r="L636" s="1">
        <f t="shared" si="116"/>
        <v>1.0034855769230768</v>
      </c>
      <c r="M636" s="1">
        <f t="shared" si="117"/>
        <v>1.0034855769230768</v>
      </c>
      <c r="N636" s="2">
        <f t="shared" si="125"/>
        <v>16.741645706072585</v>
      </c>
      <c r="O636" s="1">
        <v>1222</v>
      </c>
      <c r="P636" s="1">
        <f t="shared" si="118"/>
        <v>650</v>
      </c>
      <c r="Q636" s="1">
        <f t="shared" si="119"/>
        <v>6.510469951309557</v>
      </c>
      <c r="R636" s="1">
        <f t="shared" si="120"/>
        <v>2.2605798442047074</v>
      </c>
      <c r="S636" s="2">
        <f t="shared" si="121"/>
        <v>7.6899860495270032</v>
      </c>
      <c r="T636" s="2">
        <f t="shared" si="122"/>
        <v>0.13421557599667794</v>
      </c>
      <c r="U636" s="1" t="s">
        <v>2507</v>
      </c>
      <c r="V636" s="6" t="s">
        <v>2505</v>
      </c>
    </row>
    <row r="637" spans="1:22" ht="14.25" customHeight="1" x14ac:dyDescent="0.3">
      <c r="A637" s="1" t="s">
        <v>27</v>
      </c>
      <c r="B637" s="1" t="s">
        <v>1290</v>
      </c>
      <c r="C637" s="1" t="s">
        <v>1291</v>
      </c>
      <c r="D637" s="1">
        <f t="shared" si="112"/>
        <v>84</v>
      </c>
      <c r="E637" s="1">
        <f t="shared" si="113"/>
        <v>0.30682870370370369</v>
      </c>
      <c r="F637" s="2">
        <f t="shared" si="114"/>
        <v>524.7254583530173</v>
      </c>
      <c r="G637" s="1">
        <v>2080</v>
      </c>
      <c r="H637" s="1">
        <v>3744</v>
      </c>
      <c r="I637" s="1">
        <v>0</v>
      </c>
      <c r="J637" s="1">
        <v>127</v>
      </c>
      <c r="K637" s="1">
        <f t="shared" si="126"/>
        <v>0</v>
      </c>
      <c r="L637" s="1">
        <f t="shared" si="116"/>
        <v>1.1081971153846153</v>
      </c>
      <c r="M637" s="1">
        <f t="shared" si="117"/>
        <v>1.1081971153846153</v>
      </c>
      <c r="N637" s="2">
        <f t="shared" si="125"/>
        <v>15.159757922821633</v>
      </c>
      <c r="O637" s="1">
        <v>1221</v>
      </c>
      <c r="P637" s="1">
        <f t="shared" si="118"/>
        <v>651</v>
      </c>
      <c r="Q637" s="1">
        <f t="shared" si="119"/>
        <v>5.8953074362251892</v>
      </c>
      <c r="R637" s="1">
        <f t="shared" si="120"/>
        <v>2.0501309513795931</v>
      </c>
      <c r="S637" s="2">
        <f t="shared" si="121"/>
        <v>7.7016749081494904</v>
      </c>
      <c r="T637" s="2">
        <f t="shared" si="122"/>
        <v>0.13441958506544047</v>
      </c>
      <c r="U637" s="1" t="s">
        <v>2507</v>
      </c>
      <c r="V637" s="6" t="s">
        <v>2505</v>
      </c>
    </row>
    <row r="638" spans="1:22" ht="14.25" customHeight="1" x14ac:dyDescent="0.3">
      <c r="A638" s="1" t="s">
        <v>177</v>
      </c>
      <c r="B638" s="1" t="s">
        <v>1292</v>
      </c>
      <c r="C638" s="1" t="s">
        <v>1293</v>
      </c>
      <c r="D638" s="1">
        <f t="shared" si="112"/>
        <v>15</v>
      </c>
      <c r="E638" s="1">
        <f t="shared" si="113"/>
        <v>0.1905324074074074</v>
      </c>
      <c r="F638" s="2">
        <f t="shared" si="114"/>
        <v>90.454960977457574</v>
      </c>
      <c r="G638" s="1">
        <v>2080</v>
      </c>
      <c r="H638" s="1">
        <v>3744</v>
      </c>
      <c r="I638" s="1">
        <v>0</v>
      </c>
      <c r="J638" s="1">
        <v>252</v>
      </c>
      <c r="K638" s="1">
        <f t="shared" si="126"/>
        <v>0</v>
      </c>
      <c r="L638" s="1">
        <f t="shared" si="116"/>
        <v>2.1989423076923074</v>
      </c>
      <c r="M638" s="1">
        <f t="shared" si="117"/>
        <v>2.1989423076923074</v>
      </c>
      <c r="N638" s="2">
        <f t="shared" si="125"/>
        <v>7.6400367309458233</v>
      </c>
      <c r="O638" s="1">
        <v>1218</v>
      </c>
      <c r="P638" s="1">
        <f t="shared" si="118"/>
        <v>654</v>
      </c>
      <c r="Q638" s="1">
        <f t="shared" si="119"/>
        <v>2.9710477952404726</v>
      </c>
      <c r="R638" s="1">
        <f t="shared" si="120"/>
        <v>1.0379622105167035</v>
      </c>
      <c r="S638" s="2">
        <f t="shared" si="121"/>
        <v>7.736737610720974</v>
      </c>
      <c r="T638" s="2">
        <f t="shared" si="122"/>
        <v>0.13503154466996034</v>
      </c>
      <c r="U638" s="1" t="s">
        <v>2507</v>
      </c>
      <c r="V638" s="6" t="s">
        <v>2505</v>
      </c>
    </row>
    <row r="639" spans="1:22" ht="14.25" customHeight="1" x14ac:dyDescent="0.3">
      <c r="A639" s="1" t="s">
        <v>17</v>
      </c>
      <c r="B639" s="1" t="s">
        <v>1294</v>
      </c>
      <c r="C639" s="1" t="s">
        <v>1295</v>
      </c>
      <c r="D639" s="1">
        <f t="shared" si="112"/>
        <v>29</v>
      </c>
      <c r="E639" s="1">
        <f t="shared" si="113"/>
        <v>0.29792824074074076</v>
      </c>
      <c r="F639" s="2">
        <f t="shared" si="114"/>
        <v>179.09434320002407</v>
      </c>
      <c r="G639" s="1">
        <v>2080</v>
      </c>
      <c r="H639" s="1">
        <v>3744</v>
      </c>
      <c r="I639" s="1">
        <v>147</v>
      </c>
      <c r="J639" s="1">
        <v>295</v>
      </c>
      <c r="K639" s="1">
        <f t="shared" si="126"/>
        <v>1.2827163461538464</v>
      </c>
      <c r="L639" s="1">
        <f t="shared" si="116"/>
        <v>2.5741586538461538</v>
      </c>
      <c r="M639" s="1">
        <f t="shared" si="117"/>
        <v>2.8760483305850961</v>
      </c>
      <c r="N639" s="2">
        <f>42*0.11/M639</f>
        <v>1.6063707799583877</v>
      </c>
      <c r="O639" s="1">
        <v>1218</v>
      </c>
      <c r="P639" s="1">
        <f t="shared" si="118"/>
        <v>654</v>
      </c>
      <c r="Q639" s="1">
        <f t="shared" si="119"/>
        <v>0.62468343179591568</v>
      </c>
      <c r="R639" s="1">
        <f t="shared" si="120"/>
        <v>0.21823876303126541</v>
      </c>
      <c r="S639" s="2">
        <f t="shared" si="121"/>
        <v>7.736737610720974</v>
      </c>
      <c r="T639" s="2">
        <f t="shared" si="122"/>
        <v>0.13503154466996034</v>
      </c>
      <c r="U639" s="1" t="s">
        <v>2508</v>
      </c>
      <c r="V639" s="6" t="s">
        <v>2505</v>
      </c>
    </row>
    <row r="640" spans="1:22" ht="14.25" customHeight="1" x14ac:dyDescent="0.3">
      <c r="A640" s="1" t="s">
        <v>27</v>
      </c>
      <c r="B640" s="1" t="s">
        <v>1296</v>
      </c>
      <c r="C640" s="1" t="s">
        <v>1297</v>
      </c>
      <c r="D640" s="1">
        <f t="shared" si="112"/>
        <v>54</v>
      </c>
      <c r="E640" s="1">
        <f t="shared" si="113"/>
        <v>0.18305555555555555</v>
      </c>
      <c r="F640" s="2">
        <f t="shared" si="114"/>
        <v>335.45220951176191</v>
      </c>
      <c r="G640" s="1">
        <v>2080</v>
      </c>
      <c r="H640" s="1">
        <v>3744</v>
      </c>
      <c r="I640" s="1">
        <v>0</v>
      </c>
      <c r="J640" s="1">
        <v>117</v>
      </c>
      <c r="K640" s="1">
        <f t="shared" si="126"/>
        <v>0</v>
      </c>
      <c r="L640" s="1">
        <f t="shared" si="116"/>
        <v>1.0209374999999998</v>
      </c>
      <c r="M640" s="1">
        <f t="shared" si="117"/>
        <v>1.0209374999999998</v>
      </c>
      <c r="N640" s="2">
        <f t="shared" ref="N640:N671" si="127">42*0.4/M640</f>
        <v>16.455463728191003</v>
      </c>
      <c r="O640" s="1">
        <v>1218</v>
      </c>
      <c r="P640" s="1">
        <f t="shared" si="118"/>
        <v>654</v>
      </c>
      <c r="Q640" s="1">
        <f t="shared" si="119"/>
        <v>6.3991798666717861</v>
      </c>
      <c r="R640" s="1">
        <f t="shared" si="120"/>
        <v>2.2356109149590533</v>
      </c>
      <c r="S640" s="2">
        <f t="shared" si="121"/>
        <v>7.736737610720974</v>
      </c>
      <c r="T640" s="2">
        <f t="shared" si="122"/>
        <v>0.13503154466996034</v>
      </c>
      <c r="U640" s="1" t="s">
        <v>2507</v>
      </c>
      <c r="V640" s="6" t="s">
        <v>2505</v>
      </c>
    </row>
    <row r="641" spans="1:22" ht="14.25" customHeight="1" x14ac:dyDescent="0.3">
      <c r="A641" s="1" t="s">
        <v>27</v>
      </c>
      <c r="B641" s="1" t="s">
        <v>1298</v>
      </c>
      <c r="C641" s="1" t="s">
        <v>1299</v>
      </c>
      <c r="D641" s="1">
        <f t="shared" si="112"/>
        <v>88</v>
      </c>
      <c r="E641" s="1">
        <f t="shared" si="113"/>
        <v>0.33770833333333333</v>
      </c>
      <c r="F641" s="2">
        <f t="shared" si="114"/>
        <v>550.05222201691572</v>
      </c>
      <c r="G641" s="1">
        <v>2080</v>
      </c>
      <c r="H641" s="1">
        <v>3744</v>
      </c>
      <c r="I641" s="1">
        <v>0</v>
      </c>
      <c r="J641" s="1">
        <v>268</v>
      </c>
      <c r="K641" s="1">
        <f t="shared" si="126"/>
        <v>0</v>
      </c>
      <c r="L641" s="1">
        <f t="shared" si="116"/>
        <v>2.3385576923076923</v>
      </c>
      <c r="M641" s="1">
        <f t="shared" si="117"/>
        <v>2.3385576923076923</v>
      </c>
      <c r="N641" s="2">
        <f t="shared" si="127"/>
        <v>7.1839151350684594</v>
      </c>
      <c r="O641" s="1">
        <v>1218</v>
      </c>
      <c r="P641" s="1">
        <f t="shared" si="118"/>
        <v>654</v>
      </c>
      <c r="Q641" s="1">
        <f t="shared" si="119"/>
        <v>2.7936718074649214</v>
      </c>
      <c r="R641" s="1">
        <f t="shared" si="120"/>
        <v>0.97599431735152697</v>
      </c>
      <c r="S641" s="2">
        <f t="shared" si="121"/>
        <v>7.736737610720974</v>
      </c>
      <c r="T641" s="2">
        <f t="shared" si="122"/>
        <v>0.13503154466996034</v>
      </c>
      <c r="U641" s="1" t="s">
        <v>2507</v>
      </c>
      <c r="V641" s="6" t="s">
        <v>2505</v>
      </c>
    </row>
    <row r="642" spans="1:22" ht="14.25" customHeight="1" x14ac:dyDescent="0.3">
      <c r="A642" s="1" t="s">
        <v>14</v>
      </c>
      <c r="B642" s="1" t="s">
        <v>1300</v>
      </c>
      <c r="C642" s="1" t="s">
        <v>1301</v>
      </c>
      <c r="D642" s="1">
        <f t="shared" ref="D642:D705" si="128">(LEFT(C642,4)&amp;"-"&amp;MID(C642,6,2)&amp;"-"&amp;MID(C642,9,2))-(2019&amp;"-"&amp;5&amp;"-"&amp;28)</f>
        <v>74</v>
      </c>
      <c r="E642" s="1">
        <f t="shared" ref="E642:E705" si="129">TIMEVALUE(RIGHT(C642,8))</f>
        <v>0.34564814814814815</v>
      </c>
      <c r="F642" s="2">
        <f t="shared" ref="F642:F705" si="130">(D642+E642)*2*PI()-4.989969053</f>
        <v>462.13751504418764</v>
      </c>
      <c r="G642" s="1">
        <v>2080</v>
      </c>
      <c r="H642" s="1">
        <v>3744</v>
      </c>
      <c r="I642" s="1">
        <v>0</v>
      </c>
      <c r="J642" s="1">
        <v>243</v>
      </c>
      <c r="K642" s="1">
        <f t="shared" si="126"/>
        <v>0</v>
      </c>
      <c r="L642" s="1">
        <f t="shared" ref="L642:L705" si="131">(18.15*J642)/G642</f>
        <v>2.120408653846154</v>
      </c>
      <c r="M642" s="1">
        <f t="shared" ref="M642:M705" si="132">SQRT(K642*K642+L642*L642)</f>
        <v>2.120408653846154</v>
      </c>
      <c r="N642" s="2">
        <f t="shared" si="127"/>
        <v>7.9230010543141853</v>
      </c>
      <c r="O642" s="1">
        <v>1218</v>
      </c>
      <c r="P642" s="1">
        <f t="shared" ref="P642:P705" si="133">H642/2-O642</f>
        <v>654</v>
      </c>
      <c r="Q642" s="1">
        <f t="shared" ref="Q642:Q705" si="134">TAN(RADIANS(21.25))*N642</f>
        <v>3.0810866024716006</v>
      </c>
      <c r="R642" s="1">
        <f t="shared" ref="R642:R705" si="135">Q642*(P642/(H642/2))</f>
        <v>1.0764052553506553</v>
      </c>
      <c r="S642" s="2">
        <f t="shared" ref="S642:S705" si="136">DEGREES(ATAN(R642/N642))</f>
        <v>7.7367376107209758</v>
      </c>
      <c r="T642" s="2">
        <f t="shared" ref="T642:T705" si="137">RADIANS(S642)</f>
        <v>0.13503154466996037</v>
      </c>
      <c r="U642" s="1" t="s">
        <v>2507</v>
      </c>
      <c r="V642" s="6" t="s">
        <v>2505</v>
      </c>
    </row>
    <row r="643" spans="1:22" ht="14.25" customHeight="1" x14ac:dyDescent="0.3">
      <c r="A643" s="1" t="s">
        <v>14</v>
      </c>
      <c r="B643" s="1" t="s">
        <v>1302</v>
      </c>
      <c r="C643" s="1" t="s">
        <v>1303</v>
      </c>
      <c r="D643" s="1">
        <f t="shared" si="128"/>
        <v>45</v>
      </c>
      <c r="E643" s="1">
        <f t="shared" si="129"/>
        <v>0.78760416666666666</v>
      </c>
      <c r="F643" s="2">
        <f t="shared" si="130"/>
        <v>282.70203269795485</v>
      </c>
      <c r="G643" s="1">
        <v>2080</v>
      </c>
      <c r="H643" s="1">
        <v>3744</v>
      </c>
      <c r="I643" s="1">
        <v>0</v>
      </c>
      <c r="J643" s="1">
        <v>237</v>
      </c>
      <c r="K643" s="1">
        <f t="shared" si="126"/>
        <v>0</v>
      </c>
      <c r="L643" s="1">
        <f t="shared" si="131"/>
        <v>2.0680528846153843</v>
      </c>
      <c r="M643" s="1">
        <f t="shared" si="132"/>
        <v>2.0680528846153843</v>
      </c>
      <c r="N643" s="2">
        <f t="shared" si="127"/>
        <v>8.1235833594866982</v>
      </c>
      <c r="O643" s="1">
        <v>1215</v>
      </c>
      <c r="P643" s="1">
        <f t="shared" si="133"/>
        <v>657</v>
      </c>
      <c r="Q643" s="1">
        <f t="shared" si="134"/>
        <v>3.1590887949392368</v>
      </c>
      <c r="R643" s="1">
        <f t="shared" si="135"/>
        <v>1.108718663608482</v>
      </c>
      <c r="S643" s="2">
        <f t="shared" si="136"/>
        <v>7.7717944840519833</v>
      </c>
      <c r="T643" s="2">
        <f t="shared" si="137"/>
        <v>0.13564340253504104</v>
      </c>
      <c r="U643" s="1" t="s">
        <v>2507</v>
      </c>
      <c r="V643" s="6" t="s">
        <v>2505</v>
      </c>
    </row>
    <row r="644" spans="1:22" ht="14.25" customHeight="1" x14ac:dyDescent="0.3">
      <c r="A644" s="1" t="s">
        <v>40</v>
      </c>
      <c r="B644" s="1" t="s">
        <v>1304</v>
      </c>
      <c r="C644" s="1" t="s">
        <v>1305</v>
      </c>
      <c r="D644" s="1">
        <f t="shared" si="128"/>
        <v>32</v>
      </c>
      <c r="E644" s="1">
        <f t="shared" si="129"/>
        <v>2.6620370370370372E-4</v>
      </c>
      <c r="F644" s="2">
        <f t="shared" si="130"/>
        <v>196.07363338394657</v>
      </c>
      <c r="G644" s="1">
        <v>2080</v>
      </c>
      <c r="H644" s="1">
        <v>3744</v>
      </c>
      <c r="I644" s="1">
        <v>0</v>
      </c>
      <c r="J644" s="1">
        <v>110</v>
      </c>
      <c r="K644" s="1">
        <f t="shared" si="126"/>
        <v>0</v>
      </c>
      <c r="L644" s="1">
        <f t="shared" si="131"/>
        <v>0.9598557692307691</v>
      </c>
      <c r="M644" s="1">
        <f t="shared" si="132"/>
        <v>0.9598557692307691</v>
      </c>
      <c r="N644" s="2">
        <f t="shared" si="127"/>
        <v>17.502629601803157</v>
      </c>
      <c r="O644" s="1">
        <v>1212</v>
      </c>
      <c r="P644" s="1">
        <f t="shared" si="133"/>
        <v>660</v>
      </c>
      <c r="Q644" s="1">
        <f t="shared" si="134"/>
        <v>6.8064004036418089</v>
      </c>
      <c r="R644" s="1">
        <f t="shared" si="135"/>
        <v>2.3996924500019201</v>
      </c>
      <c r="S644" s="2">
        <f t="shared" si="136"/>
        <v>7.8068455033541531</v>
      </c>
      <c r="T644" s="2">
        <f t="shared" si="137"/>
        <v>0.13625515822804399</v>
      </c>
      <c r="U644" s="1" t="s">
        <v>2507</v>
      </c>
      <c r="V644" s="6" t="s">
        <v>2505</v>
      </c>
    </row>
    <row r="645" spans="1:22" ht="14.25" customHeight="1" x14ac:dyDescent="0.3">
      <c r="A645" s="1" t="s">
        <v>82</v>
      </c>
      <c r="B645" s="1" t="s">
        <v>1306</v>
      </c>
      <c r="C645" s="1" t="s">
        <v>1307</v>
      </c>
      <c r="D645" s="1">
        <f t="shared" si="128"/>
        <v>44</v>
      </c>
      <c r="E645" s="1">
        <f t="shared" si="129"/>
        <v>0.98165509259259265</v>
      </c>
      <c r="F645" s="2">
        <f t="shared" si="130"/>
        <v>277.63810531739756</v>
      </c>
      <c r="G645" s="1">
        <v>2080</v>
      </c>
      <c r="H645" s="1">
        <v>3744</v>
      </c>
      <c r="I645" s="1">
        <v>0</v>
      </c>
      <c r="J645" s="1">
        <v>118</v>
      </c>
      <c r="K645" s="1">
        <f t="shared" si="126"/>
        <v>0</v>
      </c>
      <c r="L645" s="1">
        <f t="shared" si="131"/>
        <v>1.0296634615384614</v>
      </c>
      <c r="M645" s="1">
        <f t="shared" si="132"/>
        <v>1.0296634615384614</v>
      </c>
      <c r="N645" s="2">
        <f t="shared" si="127"/>
        <v>16.316010645748708</v>
      </c>
      <c r="O645" s="1">
        <v>1212</v>
      </c>
      <c r="P645" s="1">
        <f t="shared" si="133"/>
        <v>660</v>
      </c>
      <c r="Q645" s="1">
        <f t="shared" si="134"/>
        <v>6.3449495288186366</v>
      </c>
      <c r="R645" s="1">
        <f t="shared" si="135"/>
        <v>2.2370014364424682</v>
      </c>
      <c r="S645" s="2">
        <f t="shared" si="136"/>
        <v>7.8068455033541531</v>
      </c>
      <c r="T645" s="2">
        <f t="shared" si="137"/>
        <v>0.13625515822804399</v>
      </c>
      <c r="U645" s="1" t="s">
        <v>2507</v>
      </c>
      <c r="V645" s="6" t="s">
        <v>2505</v>
      </c>
    </row>
    <row r="646" spans="1:22" ht="14.25" customHeight="1" x14ac:dyDescent="0.3">
      <c r="A646" s="1" t="s">
        <v>40</v>
      </c>
      <c r="B646" s="1" t="s">
        <v>1308</v>
      </c>
      <c r="C646" s="1" t="s">
        <v>1309</v>
      </c>
      <c r="D646" s="1">
        <f t="shared" si="128"/>
        <v>92</v>
      </c>
      <c r="E646" s="1">
        <f t="shared" si="129"/>
        <v>3.7152777777777778E-2</v>
      </c>
      <c r="F646" s="2">
        <f t="shared" si="130"/>
        <v>573.29651699497617</v>
      </c>
      <c r="G646" s="1">
        <v>2080</v>
      </c>
      <c r="H646" s="1">
        <v>3744</v>
      </c>
      <c r="I646" s="1">
        <v>0</v>
      </c>
      <c r="J646" s="1">
        <v>113</v>
      </c>
      <c r="K646" s="1">
        <f t="shared" si="126"/>
        <v>0</v>
      </c>
      <c r="L646" s="1">
        <f t="shared" si="131"/>
        <v>0.98603365384615371</v>
      </c>
      <c r="M646" s="1">
        <f t="shared" si="132"/>
        <v>0.98603365384615371</v>
      </c>
      <c r="N646" s="2">
        <f t="shared" si="127"/>
        <v>17.0379580194544</v>
      </c>
      <c r="O646" s="1">
        <v>1209</v>
      </c>
      <c r="P646" s="1">
        <f t="shared" si="133"/>
        <v>663</v>
      </c>
      <c r="Q646" s="1">
        <f t="shared" si="134"/>
        <v>6.6256995079699026</v>
      </c>
      <c r="R646" s="1">
        <f t="shared" si="135"/>
        <v>2.3466019090726737</v>
      </c>
      <c r="S646" s="2">
        <f t="shared" si="136"/>
        <v>7.8418906438649287</v>
      </c>
      <c r="T646" s="2">
        <f t="shared" si="137"/>
        <v>0.13686681131678108</v>
      </c>
      <c r="U646" s="1" t="s">
        <v>2507</v>
      </c>
      <c r="V646" s="6" t="s">
        <v>2505</v>
      </c>
    </row>
    <row r="647" spans="1:22" ht="14.25" customHeight="1" x14ac:dyDescent="0.3">
      <c r="A647" s="1" t="s">
        <v>40</v>
      </c>
      <c r="B647" s="1" t="s">
        <v>186</v>
      </c>
      <c r="C647" s="1" t="s">
        <v>187</v>
      </c>
      <c r="D647" s="1">
        <f t="shared" si="128"/>
        <v>76</v>
      </c>
      <c r="E647" s="1">
        <f t="shared" si="129"/>
        <v>0.74685185185185177</v>
      </c>
      <c r="F647" s="2">
        <f t="shared" si="130"/>
        <v>477.22472287484402</v>
      </c>
      <c r="G647" s="1">
        <v>2080</v>
      </c>
      <c r="H647" s="1">
        <v>3744</v>
      </c>
      <c r="I647" s="1">
        <v>0</v>
      </c>
      <c r="J647" s="1">
        <v>121</v>
      </c>
      <c r="K647" s="1">
        <f t="shared" si="126"/>
        <v>0</v>
      </c>
      <c r="L647" s="1">
        <f t="shared" si="131"/>
        <v>1.0558413461538461</v>
      </c>
      <c r="M647" s="1">
        <f t="shared" si="132"/>
        <v>1.0558413461538461</v>
      </c>
      <c r="N647" s="2">
        <f t="shared" si="127"/>
        <v>15.911481456184688</v>
      </c>
      <c r="O647" s="1">
        <v>1209</v>
      </c>
      <c r="P647" s="1">
        <f t="shared" si="133"/>
        <v>663</v>
      </c>
      <c r="Q647" s="1">
        <f t="shared" si="134"/>
        <v>6.1876367305834625</v>
      </c>
      <c r="R647" s="1">
        <f t="shared" si="135"/>
        <v>2.1914546754149766</v>
      </c>
      <c r="S647" s="2">
        <f t="shared" si="136"/>
        <v>7.8418906438649305</v>
      </c>
      <c r="T647" s="2">
        <f t="shared" si="137"/>
        <v>0.13686681131678111</v>
      </c>
      <c r="U647" s="1" t="s">
        <v>2507</v>
      </c>
      <c r="V647" s="6" t="s">
        <v>2505</v>
      </c>
    </row>
    <row r="648" spans="1:22" ht="14.25" customHeight="1" x14ac:dyDescent="0.3">
      <c r="A648" s="1" t="s">
        <v>435</v>
      </c>
      <c r="B648" s="1" t="s">
        <v>1310</v>
      </c>
      <c r="C648" s="1" t="s">
        <v>1311</v>
      </c>
      <c r="D648" s="1">
        <f t="shared" si="128"/>
        <v>28</v>
      </c>
      <c r="E648" s="1">
        <f t="shared" si="129"/>
        <v>0.28938657407407409</v>
      </c>
      <c r="F648" s="2">
        <f t="shared" si="130"/>
        <v>172.75748901834567</v>
      </c>
      <c r="G648" s="1">
        <v>2080</v>
      </c>
      <c r="H648" s="1">
        <v>3744</v>
      </c>
      <c r="I648" s="1">
        <v>0</v>
      </c>
      <c r="J648" s="1">
        <v>196</v>
      </c>
      <c r="K648" s="1">
        <f t="shared" si="126"/>
        <v>0</v>
      </c>
      <c r="L648" s="1">
        <f t="shared" si="131"/>
        <v>1.7102884615384613</v>
      </c>
      <c r="M648" s="1">
        <f t="shared" si="132"/>
        <v>1.7102884615384613</v>
      </c>
      <c r="N648" s="2">
        <f t="shared" si="127"/>
        <v>9.8229043683589161</v>
      </c>
      <c r="O648" s="1">
        <v>1207</v>
      </c>
      <c r="P648" s="1">
        <f t="shared" si="133"/>
        <v>665</v>
      </c>
      <c r="Q648" s="1">
        <f t="shared" si="134"/>
        <v>3.8199185938806077</v>
      </c>
      <c r="R648" s="1">
        <f t="shared" si="135"/>
        <v>1.3569689449415621</v>
      </c>
      <c r="S648" s="2">
        <f t="shared" si="136"/>
        <v>7.8652507926601958</v>
      </c>
      <c r="T648" s="2">
        <f t="shared" si="137"/>
        <v>0.13727452282701427</v>
      </c>
      <c r="U648" s="1" t="s">
        <v>2507</v>
      </c>
      <c r="V648" s="6" t="s">
        <v>2505</v>
      </c>
    </row>
    <row r="649" spans="1:22" ht="14.25" customHeight="1" x14ac:dyDescent="0.3">
      <c r="A649" s="1" t="s">
        <v>27</v>
      </c>
      <c r="B649" s="1" t="s">
        <v>1312</v>
      </c>
      <c r="C649" s="1" t="s">
        <v>1313</v>
      </c>
      <c r="D649" s="1">
        <f t="shared" si="128"/>
        <v>41</v>
      </c>
      <c r="E649" s="1">
        <f t="shared" si="129"/>
        <v>0.9857407407407407</v>
      </c>
      <c r="F649" s="2">
        <f t="shared" si="130"/>
        <v>258.81422028027356</v>
      </c>
      <c r="G649" s="1">
        <v>2080</v>
      </c>
      <c r="H649" s="1">
        <v>3744</v>
      </c>
      <c r="I649" s="1">
        <v>0</v>
      </c>
      <c r="J649" s="1">
        <v>213</v>
      </c>
      <c r="K649" s="1">
        <f t="shared" si="126"/>
        <v>0</v>
      </c>
      <c r="L649" s="1">
        <f t="shared" si="131"/>
        <v>1.8586298076923076</v>
      </c>
      <c r="M649" s="1">
        <f t="shared" si="132"/>
        <v>1.8586298076923076</v>
      </c>
      <c r="N649" s="2">
        <f t="shared" si="127"/>
        <v>9.0389166957668881</v>
      </c>
      <c r="O649" s="1">
        <v>1207</v>
      </c>
      <c r="P649" s="1">
        <f t="shared" si="133"/>
        <v>665</v>
      </c>
      <c r="Q649" s="1">
        <f t="shared" si="134"/>
        <v>3.5150424619746428</v>
      </c>
      <c r="R649" s="1">
        <f t="shared" si="135"/>
        <v>1.2486662591950521</v>
      </c>
      <c r="S649" s="2">
        <f t="shared" si="136"/>
        <v>7.8652507926601958</v>
      </c>
      <c r="T649" s="2">
        <f t="shared" si="137"/>
        <v>0.13727452282701427</v>
      </c>
      <c r="U649" s="1" t="s">
        <v>2507</v>
      </c>
      <c r="V649" s="6" t="s">
        <v>2505</v>
      </c>
    </row>
    <row r="650" spans="1:22" ht="14.25" customHeight="1" x14ac:dyDescent="0.3">
      <c r="A650" s="1" t="s">
        <v>27</v>
      </c>
      <c r="B650" s="1" t="s">
        <v>1314</v>
      </c>
      <c r="C650" s="1" t="s">
        <v>1315</v>
      </c>
      <c r="D650" s="1">
        <f t="shared" si="128"/>
        <v>88</v>
      </c>
      <c r="E650" s="1">
        <f t="shared" si="129"/>
        <v>0.33769675925925924</v>
      </c>
      <c r="F650" s="2">
        <f t="shared" si="130"/>
        <v>550.05214929486351</v>
      </c>
      <c r="G650" s="1">
        <v>2080</v>
      </c>
      <c r="H650" s="1">
        <v>3744</v>
      </c>
      <c r="I650" s="1">
        <v>0</v>
      </c>
      <c r="J650" s="1">
        <v>183</v>
      </c>
      <c r="K650" s="1">
        <f t="shared" si="126"/>
        <v>0</v>
      </c>
      <c r="L650" s="1">
        <f t="shared" si="131"/>
        <v>1.5968509615384614</v>
      </c>
      <c r="M650" s="1">
        <f t="shared" si="132"/>
        <v>1.5968509615384614</v>
      </c>
      <c r="N650" s="2">
        <f t="shared" si="127"/>
        <v>10.520706318023755</v>
      </c>
      <c r="O650" s="1">
        <v>1206</v>
      </c>
      <c r="P650" s="1">
        <f t="shared" si="133"/>
        <v>666</v>
      </c>
      <c r="Q650" s="1">
        <f t="shared" si="134"/>
        <v>4.0912789311508142</v>
      </c>
      <c r="R650" s="1">
        <f t="shared" si="135"/>
        <v>1.4555511581978859</v>
      </c>
      <c r="S650" s="2">
        <f t="shared" si="136"/>
        <v>7.8769298808476602</v>
      </c>
      <c r="T650" s="2">
        <f t="shared" si="137"/>
        <v>0.1374783613695163</v>
      </c>
      <c r="U650" s="1" t="s">
        <v>2507</v>
      </c>
      <c r="V650" s="6" t="s">
        <v>2505</v>
      </c>
    </row>
    <row r="651" spans="1:22" ht="14.25" customHeight="1" x14ac:dyDescent="0.3">
      <c r="A651" s="1" t="s">
        <v>17</v>
      </c>
      <c r="B651" s="1" t="s">
        <v>1316</v>
      </c>
      <c r="C651" s="1" t="s">
        <v>1317</v>
      </c>
      <c r="D651" s="1">
        <f t="shared" si="128"/>
        <v>36</v>
      </c>
      <c r="E651" s="1">
        <f t="shared" si="129"/>
        <v>0.45740740740740743</v>
      </c>
      <c r="F651" s="2">
        <f t="shared" si="130"/>
        <v>224.07867750708243</v>
      </c>
      <c r="G651" s="1">
        <v>2080</v>
      </c>
      <c r="H651" s="1">
        <v>3744</v>
      </c>
      <c r="I651" s="1">
        <v>0</v>
      </c>
      <c r="J651" s="1">
        <v>202</v>
      </c>
      <c r="K651" s="1">
        <f t="shared" si="126"/>
        <v>0</v>
      </c>
      <c r="L651" s="1">
        <f t="shared" si="131"/>
        <v>1.7626442307692307</v>
      </c>
      <c r="M651" s="1">
        <f t="shared" si="132"/>
        <v>1.7626442307692307</v>
      </c>
      <c r="N651" s="2">
        <f t="shared" si="127"/>
        <v>9.5311349316749858</v>
      </c>
      <c r="O651" s="1">
        <v>1204</v>
      </c>
      <c r="P651" s="1">
        <f t="shared" si="133"/>
        <v>668</v>
      </c>
      <c r="Q651" s="1">
        <f t="shared" si="134"/>
        <v>3.7064556653494996</v>
      </c>
      <c r="R651" s="1">
        <f t="shared" si="135"/>
        <v>1.3226027694730051</v>
      </c>
      <c r="S651" s="2">
        <f t="shared" si="136"/>
        <v>7.9002860802278079</v>
      </c>
      <c r="T651" s="2">
        <f t="shared" si="137"/>
        <v>0.13788600394945214</v>
      </c>
      <c r="U651" s="1" t="s">
        <v>2507</v>
      </c>
      <c r="V651" s="6" t="s">
        <v>2505</v>
      </c>
    </row>
    <row r="652" spans="1:22" ht="14.25" customHeight="1" x14ac:dyDescent="0.3">
      <c r="A652" s="1" t="s">
        <v>27</v>
      </c>
      <c r="B652" s="1" t="s">
        <v>1318</v>
      </c>
      <c r="C652" s="1" t="s">
        <v>1319</v>
      </c>
      <c r="D652" s="1">
        <f t="shared" si="128"/>
        <v>83</v>
      </c>
      <c r="E652" s="1">
        <f t="shared" si="129"/>
        <v>0.26960648148148147</v>
      </c>
      <c r="F652" s="2">
        <f t="shared" si="130"/>
        <v>518.20839892607046</v>
      </c>
      <c r="G652" s="1">
        <v>2080</v>
      </c>
      <c r="H652" s="1">
        <v>3744</v>
      </c>
      <c r="I652" s="1">
        <v>0</v>
      </c>
      <c r="J652" s="1">
        <v>129</v>
      </c>
      <c r="K652" s="1">
        <f t="shared" si="126"/>
        <v>0</v>
      </c>
      <c r="L652" s="1">
        <f t="shared" si="131"/>
        <v>1.1256490384615385</v>
      </c>
      <c r="M652" s="1">
        <f t="shared" si="132"/>
        <v>1.1256490384615385</v>
      </c>
      <c r="N652" s="2">
        <f t="shared" si="127"/>
        <v>14.924722916266257</v>
      </c>
      <c r="O652" s="1">
        <v>1203</v>
      </c>
      <c r="P652" s="1">
        <f t="shared" si="133"/>
        <v>669</v>
      </c>
      <c r="Q652" s="1">
        <f t="shared" si="134"/>
        <v>5.8039073209348757</v>
      </c>
      <c r="R652" s="1">
        <f t="shared" si="135"/>
        <v>2.0741527765520469</v>
      </c>
      <c r="S652" s="2">
        <f t="shared" si="136"/>
        <v>7.9119631895916855</v>
      </c>
      <c r="T652" s="2">
        <f t="shared" si="137"/>
        <v>0.13808980795496725</v>
      </c>
      <c r="U652" s="1" t="s">
        <v>2507</v>
      </c>
      <c r="V652" s="6" t="s">
        <v>2505</v>
      </c>
    </row>
    <row r="653" spans="1:22" ht="14.25" customHeight="1" x14ac:dyDescent="0.3">
      <c r="A653" s="1" t="s">
        <v>40</v>
      </c>
      <c r="B653" s="1" t="s">
        <v>1320</v>
      </c>
      <c r="C653" s="1" t="s">
        <v>1321</v>
      </c>
      <c r="D653" s="1">
        <f t="shared" si="128"/>
        <v>93</v>
      </c>
      <c r="E653" s="1">
        <f t="shared" si="129"/>
        <v>0.95594907407407403</v>
      </c>
      <c r="F653" s="2">
        <f t="shared" si="130"/>
        <v>585.35266969133568</v>
      </c>
      <c r="G653" s="1">
        <v>2080</v>
      </c>
      <c r="H653" s="1">
        <v>3744</v>
      </c>
      <c r="I653" s="1">
        <v>0</v>
      </c>
      <c r="J653" s="1">
        <v>120</v>
      </c>
      <c r="K653" s="1">
        <f t="shared" si="126"/>
        <v>0</v>
      </c>
      <c r="L653" s="1">
        <f t="shared" si="131"/>
        <v>1.0471153846153847</v>
      </c>
      <c r="M653" s="1">
        <f t="shared" si="132"/>
        <v>1.0471153846153847</v>
      </c>
      <c r="N653" s="2">
        <f t="shared" si="127"/>
        <v>16.044077134986225</v>
      </c>
      <c r="O653" s="1">
        <v>1202</v>
      </c>
      <c r="P653" s="1">
        <f t="shared" si="133"/>
        <v>670</v>
      </c>
      <c r="Q653" s="1">
        <f t="shared" si="134"/>
        <v>6.2392003700049905</v>
      </c>
      <c r="R653" s="1">
        <f t="shared" si="135"/>
        <v>2.2330471409740085</v>
      </c>
      <c r="S653" s="2">
        <f t="shared" si="136"/>
        <v>7.9236396375194245</v>
      </c>
      <c r="T653" s="2">
        <f t="shared" si="137"/>
        <v>0.13829360041624397</v>
      </c>
      <c r="U653" s="1" t="s">
        <v>2507</v>
      </c>
      <c r="V653" s="6" t="s">
        <v>2505</v>
      </c>
    </row>
    <row r="654" spans="1:22" ht="14.25" customHeight="1" x14ac:dyDescent="0.3">
      <c r="A654" s="1" t="s">
        <v>40</v>
      </c>
      <c r="B654" s="1" t="s">
        <v>1322</v>
      </c>
      <c r="C654" s="1" t="s">
        <v>1323</v>
      </c>
      <c r="D654" s="1">
        <f t="shared" si="128"/>
        <v>59</v>
      </c>
      <c r="E654" s="1">
        <f t="shared" si="129"/>
        <v>0.22269675925925925</v>
      </c>
      <c r="F654" s="2">
        <f t="shared" si="130"/>
        <v>367.11720907632986</v>
      </c>
      <c r="G654" s="1">
        <v>2080</v>
      </c>
      <c r="H654" s="1">
        <v>3744</v>
      </c>
      <c r="I654" s="1">
        <v>0</v>
      </c>
      <c r="J654" s="1">
        <v>233</v>
      </c>
      <c r="K654" s="1">
        <f t="shared" si="126"/>
        <v>0</v>
      </c>
      <c r="L654" s="1">
        <f t="shared" si="131"/>
        <v>2.0331490384615383</v>
      </c>
      <c r="M654" s="1">
        <f t="shared" si="132"/>
        <v>2.0331490384615383</v>
      </c>
      <c r="N654" s="2">
        <f t="shared" si="127"/>
        <v>8.2630440180186575</v>
      </c>
      <c r="O654" s="1">
        <v>1201</v>
      </c>
      <c r="P654" s="1">
        <f t="shared" si="133"/>
        <v>671</v>
      </c>
      <c r="Q654" s="1">
        <f t="shared" si="134"/>
        <v>3.2133220789725279</v>
      </c>
      <c r="R654" s="1">
        <f t="shared" si="135"/>
        <v>1.1517837152727384</v>
      </c>
      <c r="S654" s="2">
        <f t="shared" si="136"/>
        <v>7.9353154230974337</v>
      </c>
      <c r="T654" s="2">
        <f t="shared" si="137"/>
        <v>0.1384973813173371</v>
      </c>
      <c r="U654" s="1" t="s">
        <v>2507</v>
      </c>
      <c r="V654" s="6" t="s">
        <v>2505</v>
      </c>
    </row>
    <row r="655" spans="1:22" ht="14.25" customHeight="1" x14ac:dyDescent="0.3">
      <c r="A655" s="1" t="s">
        <v>17</v>
      </c>
      <c r="B655" s="1" t="s">
        <v>1324</v>
      </c>
      <c r="C655" s="1" t="s">
        <v>1325</v>
      </c>
      <c r="D655" s="1">
        <f t="shared" si="128"/>
        <v>72</v>
      </c>
      <c r="E655" s="1">
        <f t="shared" si="129"/>
        <v>0.33777777777777779</v>
      </c>
      <c r="F655" s="2">
        <f t="shared" si="130"/>
        <v>449.52169343435531</v>
      </c>
      <c r="G655" s="1">
        <v>2080</v>
      </c>
      <c r="H655" s="1">
        <v>3744</v>
      </c>
      <c r="I655" s="1">
        <v>0</v>
      </c>
      <c r="J655" s="1">
        <v>216</v>
      </c>
      <c r="K655" s="1">
        <f t="shared" si="126"/>
        <v>0</v>
      </c>
      <c r="L655" s="1">
        <f t="shared" si="131"/>
        <v>1.8848076923076922</v>
      </c>
      <c r="M655" s="1">
        <f t="shared" si="132"/>
        <v>1.8848076923076922</v>
      </c>
      <c r="N655" s="2">
        <f t="shared" si="127"/>
        <v>8.9133761861034593</v>
      </c>
      <c r="O655" s="1">
        <v>1201</v>
      </c>
      <c r="P655" s="1">
        <f t="shared" si="133"/>
        <v>671</v>
      </c>
      <c r="Q655" s="1">
        <f t="shared" si="134"/>
        <v>3.4662224277805507</v>
      </c>
      <c r="R655" s="1">
        <f t="shared" si="135"/>
        <v>1.242433359530315</v>
      </c>
      <c r="S655" s="2">
        <f t="shared" si="136"/>
        <v>7.9353154230974337</v>
      </c>
      <c r="T655" s="2">
        <f t="shared" si="137"/>
        <v>0.1384973813173371</v>
      </c>
      <c r="U655" s="1" t="s">
        <v>2507</v>
      </c>
      <c r="V655" s="6" t="s">
        <v>2505</v>
      </c>
    </row>
    <row r="656" spans="1:22" ht="14.25" customHeight="1" x14ac:dyDescent="0.3">
      <c r="A656" s="1" t="s">
        <v>450</v>
      </c>
      <c r="B656" s="1" t="s">
        <v>1326</v>
      </c>
      <c r="C656" s="1" t="s">
        <v>1327</v>
      </c>
      <c r="D656" s="1">
        <f t="shared" si="128"/>
        <v>81</v>
      </c>
      <c r="E656" s="1">
        <f t="shared" si="129"/>
        <v>0.31912037037037039</v>
      </c>
      <c r="F656" s="2">
        <f t="shared" si="130"/>
        <v>505.95313325087932</v>
      </c>
      <c r="G656" s="1">
        <v>2080</v>
      </c>
      <c r="H656" s="1">
        <v>3744</v>
      </c>
      <c r="I656" s="1">
        <v>0</v>
      </c>
      <c r="J656" s="1">
        <v>345</v>
      </c>
      <c r="K656" s="1">
        <f t="shared" si="126"/>
        <v>0</v>
      </c>
      <c r="L656" s="1">
        <f t="shared" si="131"/>
        <v>3.0104567307692305</v>
      </c>
      <c r="M656" s="1">
        <f t="shared" si="132"/>
        <v>3.0104567307692305</v>
      </c>
      <c r="N656" s="2">
        <f t="shared" si="127"/>
        <v>5.5805485686908618</v>
      </c>
      <c r="O656" s="1">
        <v>1201</v>
      </c>
      <c r="P656" s="1">
        <f t="shared" si="133"/>
        <v>671</v>
      </c>
      <c r="Q656" s="1">
        <f t="shared" si="134"/>
        <v>2.1701566504365188</v>
      </c>
      <c r="R656" s="1">
        <f t="shared" si="135"/>
        <v>0.77787132074941456</v>
      </c>
      <c r="S656" s="2">
        <f t="shared" si="136"/>
        <v>7.9353154230974337</v>
      </c>
      <c r="T656" s="2">
        <f t="shared" si="137"/>
        <v>0.1384973813173371</v>
      </c>
      <c r="U656" s="1" t="s">
        <v>2507</v>
      </c>
      <c r="V656" s="6" t="s">
        <v>2505</v>
      </c>
    </row>
    <row r="657" spans="1:22" ht="14.25" customHeight="1" x14ac:dyDescent="0.3">
      <c r="A657" s="1" t="s">
        <v>27</v>
      </c>
      <c r="B657" s="1" t="s">
        <v>1328</v>
      </c>
      <c r="C657" s="1" t="s">
        <v>1329</v>
      </c>
      <c r="D657" s="1">
        <f t="shared" si="128"/>
        <v>45</v>
      </c>
      <c r="E657" s="1">
        <f t="shared" si="129"/>
        <v>0.2673611111111111</v>
      </c>
      <c r="F657" s="2">
        <f t="shared" si="130"/>
        <v>279.43324917512598</v>
      </c>
      <c r="G657" s="1">
        <v>2080</v>
      </c>
      <c r="H657" s="1">
        <v>3744</v>
      </c>
      <c r="I657" s="1">
        <v>0</v>
      </c>
      <c r="J657" s="1">
        <v>237</v>
      </c>
      <c r="K657" s="1">
        <f t="shared" si="126"/>
        <v>0</v>
      </c>
      <c r="L657" s="1">
        <f t="shared" si="131"/>
        <v>2.0680528846153843</v>
      </c>
      <c r="M657" s="1">
        <f t="shared" si="132"/>
        <v>2.0680528846153843</v>
      </c>
      <c r="N657" s="2">
        <f t="shared" si="127"/>
        <v>8.1235833594866982</v>
      </c>
      <c r="O657" s="1">
        <v>1200</v>
      </c>
      <c r="P657" s="1">
        <f t="shared" si="133"/>
        <v>672</v>
      </c>
      <c r="Q657" s="1">
        <f t="shared" si="134"/>
        <v>3.1590887949392368</v>
      </c>
      <c r="R657" s="1">
        <f t="shared" si="135"/>
        <v>1.1340318751063927</v>
      </c>
      <c r="S657" s="2">
        <f t="shared" si="136"/>
        <v>7.9469905454124374</v>
      </c>
      <c r="T657" s="2">
        <f t="shared" si="137"/>
        <v>0.13870115064230698</v>
      </c>
      <c r="U657" s="1" t="s">
        <v>2507</v>
      </c>
      <c r="V657" s="6" t="s">
        <v>2505</v>
      </c>
    </row>
    <row r="658" spans="1:22" ht="14.25" customHeight="1" x14ac:dyDescent="0.3">
      <c r="A658" s="1" t="s">
        <v>40</v>
      </c>
      <c r="B658" s="1" t="s">
        <v>239</v>
      </c>
      <c r="C658" s="1" t="s">
        <v>240</v>
      </c>
      <c r="D658" s="1">
        <f t="shared" si="128"/>
        <v>11</v>
      </c>
      <c r="E658" s="1">
        <f t="shared" si="129"/>
        <v>0.29046296296296298</v>
      </c>
      <c r="F658" s="2">
        <f t="shared" si="130"/>
        <v>65.950101947144191</v>
      </c>
      <c r="G658" s="1">
        <v>2080</v>
      </c>
      <c r="H658" s="1">
        <v>3744</v>
      </c>
      <c r="I658" s="1">
        <v>0</v>
      </c>
      <c r="J658" s="1">
        <v>102</v>
      </c>
      <c r="K658" s="1">
        <f t="shared" si="126"/>
        <v>0</v>
      </c>
      <c r="L658" s="1">
        <f t="shared" si="131"/>
        <v>0.89004807692307686</v>
      </c>
      <c r="M658" s="1">
        <f t="shared" si="132"/>
        <v>0.89004807692307686</v>
      </c>
      <c r="N658" s="2">
        <f t="shared" si="127"/>
        <v>18.875384864689678</v>
      </c>
      <c r="O658" s="1">
        <v>1199</v>
      </c>
      <c r="P658" s="1">
        <f t="shared" si="133"/>
        <v>673</v>
      </c>
      <c r="Q658" s="1">
        <f t="shared" si="134"/>
        <v>7.3402357294176372</v>
      </c>
      <c r="R658" s="1">
        <f t="shared" si="135"/>
        <v>2.6388774817831568</v>
      </c>
      <c r="S658" s="2">
        <f t="shared" si="136"/>
        <v>7.9586650035514825</v>
      </c>
      <c r="T658" s="2">
        <f t="shared" si="137"/>
        <v>0.13890490837521957</v>
      </c>
      <c r="U658" s="1" t="s">
        <v>2507</v>
      </c>
      <c r="V658" s="6" t="s">
        <v>2505</v>
      </c>
    </row>
    <row r="659" spans="1:22" ht="14.25" customHeight="1" x14ac:dyDescent="0.3">
      <c r="A659" s="1" t="s">
        <v>177</v>
      </c>
      <c r="B659" s="1" t="s">
        <v>1330</v>
      </c>
      <c r="C659" s="1" t="s">
        <v>1331</v>
      </c>
      <c r="D659" s="1">
        <f t="shared" si="128"/>
        <v>15</v>
      </c>
      <c r="E659" s="1">
        <f t="shared" si="129"/>
        <v>0.19054398148148147</v>
      </c>
      <c r="F659" s="2">
        <f t="shared" si="130"/>
        <v>90.455033699509741</v>
      </c>
      <c r="G659" s="1">
        <v>2080</v>
      </c>
      <c r="H659" s="1">
        <v>3744</v>
      </c>
      <c r="I659" s="1">
        <v>0</v>
      </c>
      <c r="J659" s="1">
        <v>321</v>
      </c>
      <c r="K659" s="1">
        <f t="shared" si="126"/>
        <v>0</v>
      </c>
      <c r="L659" s="1">
        <f t="shared" si="131"/>
        <v>2.8010336538461535</v>
      </c>
      <c r="M659" s="1">
        <f t="shared" si="132"/>
        <v>2.8010336538461535</v>
      </c>
      <c r="N659" s="2">
        <f t="shared" si="127"/>
        <v>5.9977858448546648</v>
      </c>
      <c r="O659" s="1">
        <v>1198</v>
      </c>
      <c r="P659" s="1">
        <f t="shared" si="133"/>
        <v>674</v>
      </c>
      <c r="Q659" s="1">
        <f t="shared" si="134"/>
        <v>2.3324113532728941</v>
      </c>
      <c r="R659" s="1">
        <f t="shared" si="135"/>
        <v>0.83976776287709964</v>
      </c>
      <c r="S659" s="2">
        <f t="shared" si="136"/>
        <v>7.9703387966019488</v>
      </c>
      <c r="T659" s="2">
        <f t="shared" si="137"/>
        <v>0.13910865450014664</v>
      </c>
      <c r="U659" s="1" t="s">
        <v>2507</v>
      </c>
      <c r="V659" s="6" t="s">
        <v>2505</v>
      </c>
    </row>
    <row r="660" spans="1:22" ht="14.25" customHeight="1" x14ac:dyDescent="0.3">
      <c r="A660" s="1" t="s">
        <v>357</v>
      </c>
      <c r="B660" s="1" t="s">
        <v>1332</v>
      </c>
      <c r="C660" s="1" t="s">
        <v>1333</v>
      </c>
      <c r="D660" s="1">
        <f t="shared" si="128"/>
        <v>16</v>
      </c>
      <c r="E660" s="1">
        <f t="shared" si="129"/>
        <v>0.76228009259259266</v>
      </c>
      <c r="F660" s="2">
        <f t="shared" si="130"/>
        <v>100.33054293960666</v>
      </c>
      <c r="G660" s="1">
        <v>2080</v>
      </c>
      <c r="H660" s="1">
        <v>3744</v>
      </c>
      <c r="I660" s="1">
        <v>0</v>
      </c>
      <c r="J660" s="1">
        <v>264</v>
      </c>
      <c r="K660" s="1">
        <f t="shared" si="126"/>
        <v>0</v>
      </c>
      <c r="L660" s="1">
        <f t="shared" si="131"/>
        <v>2.3036538461538458</v>
      </c>
      <c r="M660" s="1">
        <f t="shared" si="132"/>
        <v>2.3036538461538458</v>
      </c>
      <c r="N660" s="2">
        <f t="shared" si="127"/>
        <v>7.2927623340846495</v>
      </c>
      <c r="O660" s="1">
        <v>1198</v>
      </c>
      <c r="P660" s="1">
        <f t="shared" si="133"/>
        <v>674</v>
      </c>
      <c r="Q660" s="1">
        <f t="shared" si="134"/>
        <v>2.8360001681840874</v>
      </c>
      <c r="R660" s="1">
        <f t="shared" si="135"/>
        <v>1.0210812571346555</v>
      </c>
      <c r="S660" s="2">
        <f t="shared" si="136"/>
        <v>7.9703387966019505</v>
      </c>
      <c r="T660" s="2">
        <f t="shared" si="137"/>
        <v>0.13910865450014667</v>
      </c>
      <c r="U660" s="1" t="s">
        <v>2507</v>
      </c>
      <c r="V660" s="6" t="s">
        <v>2505</v>
      </c>
    </row>
    <row r="661" spans="1:22" ht="14.25" customHeight="1" x14ac:dyDescent="0.3">
      <c r="A661" s="1" t="s">
        <v>40</v>
      </c>
      <c r="B661" s="1" t="s">
        <v>1334</v>
      </c>
      <c r="C661" s="1" t="s">
        <v>1335</v>
      </c>
      <c r="D661" s="1">
        <f t="shared" si="128"/>
        <v>29</v>
      </c>
      <c r="E661" s="1">
        <f t="shared" si="129"/>
        <v>9.5347222222222208E-2</v>
      </c>
      <c r="F661" s="2">
        <f t="shared" si="130"/>
        <v>177.82148912095505</v>
      </c>
      <c r="G661" s="1">
        <v>2080</v>
      </c>
      <c r="H661" s="1">
        <v>3744</v>
      </c>
      <c r="I661" s="1">
        <v>0</v>
      </c>
      <c r="J661" s="1">
        <v>85</v>
      </c>
      <c r="K661" s="1">
        <f t="shared" si="126"/>
        <v>0</v>
      </c>
      <c r="L661" s="1">
        <f t="shared" si="131"/>
        <v>0.74170673076923066</v>
      </c>
      <c r="M661" s="1">
        <f t="shared" si="132"/>
        <v>0.74170673076923066</v>
      </c>
      <c r="N661" s="2">
        <f t="shared" si="127"/>
        <v>22.650461837627617</v>
      </c>
      <c r="O661" s="1">
        <v>1193</v>
      </c>
      <c r="P661" s="1">
        <f t="shared" si="133"/>
        <v>679</v>
      </c>
      <c r="Q661" s="1">
        <f t="shared" si="134"/>
        <v>8.808282875301165</v>
      </c>
      <c r="R661" s="1">
        <f t="shared" si="135"/>
        <v>3.194884654022164</v>
      </c>
      <c r="S661" s="2">
        <f t="shared" si="136"/>
        <v>8.0286977536064583</v>
      </c>
      <c r="T661" s="2">
        <f t="shared" si="137"/>
        <v>0.14012721044790513</v>
      </c>
      <c r="U661" s="1" t="s">
        <v>2507</v>
      </c>
      <c r="V661" s="6" t="s">
        <v>2505</v>
      </c>
    </row>
    <row r="662" spans="1:22" ht="14.25" customHeight="1" x14ac:dyDescent="0.3">
      <c r="A662" s="1" t="s">
        <v>40</v>
      </c>
      <c r="B662" s="1" t="s">
        <v>904</v>
      </c>
      <c r="C662" s="1" t="s">
        <v>905</v>
      </c>
      <c r="D662" s="1">
        <f t="shared" si="128"/>
        <v>93</v>
      </c>
      <c r="E662" s="1">
        <f t="shared" si="129"/>
        <v>0.27930555555555553</v>
      </c>
      <c r="F662" s="2">
        <f t="shared" si="130"/>
        <v>581.1011930775818</v>
      </c>
      <c r="G662" s="1">
        <v>2080</v>
      </c>
      <c r="H662" s="1">
        <v>3744</v>
      </c>
      <c r="I662" s="1">
        <v>0</v>
      </c>
      <c r="J662" s="1">
        <v>107</v>
      </c>
      <c r="K662" s="1">
        <f t="shared" si="126"/>
        <v>0</v>
      </c>
      <c r="L662" s="1">
        <f t="shared" si="131"/>
        <v>0.93367788461538459</v>
      </c>
      <c r="M662" s="1">
        <f t="shared" si="132"/>
        <v>0.93367788461538459</v>
      </c>
      <c r="N662" s="2">
        <f t="shared" si="127"/>
        <v>17.993357534563994</v>
      </c>
      <c r="O662" s="1">
        <v>1190</v>
      </c>
      <c r="P662" s="1">
        <f t="shared" si="133"/>
        <v>682</v>
      </c>
      <c r="Q662" s="1">
        <f t="shared" si="134"/>
        <v>6.9972340598186831</v>
      </c>
      <c r="R662" s="1">
        <f t="shared" si="135"/>
        <v>2.5492059982886439</v>
      </c>
      <c r="S662" s="2">
        <f t="shared" si="136"/>
        <v>8.0637050884091472</v>
      </c>
      <c r="T662" s="2">
        <f t="shared" si="137"/>
        <v>0.14073820370256007</v>
      </c>
      <c r="U662" s="1" t="s">
        <v>2507</v>
      </c>
      <c r="V662" s="6" t="s">
        <v>2505</v>
      </c>
    </row>
    <row r="663" spans="1:22" ht="14.25" customHeight="1" x14ac:dyDescent="0.3">
      <c r="A663" s="1" t="s">
        <v>27</v>
      </c>
      <c r="B663" s="1" t="s">
        <v>1336</v>
      </c>
      <c r="C663" s="1" t="s">
        <v>1337</v>
      </c>
      <c r="D663" s="1">
        <f t="shared" si="128"/>
        <v>34</v>
      </c>
      <c r="E663" s="1">
        <f t="shared" si="129"/>
        <v>0.1653125</v>
      </c>
      <c r="F663" s="2">
        <f t="shared" si="130"/>
        <v>209.67702046219904</v>
      </c>
      <c r="G663" s="1">
        <v>2080</v>
      </c>
      <c r="H663" s="1">
        <v>3744</v>
      </c>
      <c r="I663" s="1">
        <v>0</v>
      </c>
      <c r="J663" s="1">
        <v>93</v>
      </c>
      <c r="K663" s="1">
        <f t="shared" si="126"/>
        <v>0</v>
      </c>
      <c r="L663" s="1">
        <f t="shared" si="131"/>
        <v>0.81151442307692301</v>
      </c>
      <c r="M663" s="1">
        <f t="shared" si="132"/>
        <v>0.81151442307692301</v>
      </c>
      <c r="N663" s="2">
        <f t="shared" si="127"/>
        <v>20.702035012885457</v>
      </c>
      <c r="O663" s="1">
        <v>1188</v>
      </c>
      <c r="P663" s="1">
        <f t="shared" si="133"/>
        <v>684</v>
      </c>
      <c r="Q663" s="1">
        <f t="shared" si="134"/>
        <v>8.0505811225870865</v>
      </c>
      <c r="R663" s="1">
        <f t="shared" si="135"/>
        <v>2.9415584870991274</v>
      </c>
      <c r="S663" s="2">
        <f t="shared" si="136"/>
        <v>8.0870399466899254</v>
      </c>
      <c r="T663" s="2">
        <f t="shared" si="137"/>
        <v>0.14114547381004591</v>
      </c>
      <c r="U663" s="1" t="s">
        <v>2507</v>
      </c>
      <c r="V663" s="6" t="s">
        <v>2505</v>
      </c>
    </row>
    <row r="664" spans="1:22" ht="14.25" customHeight="1" x14ac:dyDescent="0.3">
      <c r="A664" s="1" t="s">
        <v>17</v>
      </c>
      <c r="B664" s="1" t="s">
        <v>1338</v>
      </c>
      <c r="C664" s="1" t="s">
        <v>1339</v>
      </c>
      <c r="D664" s="1">
        <f t="shared" si="128"/>
        <v>34</v>
      </c>
      <c r="E664" s="1">
        <f t="shared" si="129"/>
        <v>0.33956018518518521</v>
      </c>
      <c r="F664" s="2">
        <f t="shared" si="130"/>
        <v>210.77185095756465</v>
      </c>
      <c r="G664" s="1">
        <v>2080</v>
      </c>
      <c r="H664" s="1">
        <v>3744</v>
      </c>
      <c r="I664" s="1">
        <v>0</v>
      </c>
      <c r="J664" s="1">
        <v>251</v>
      </c>
      <c r="K664" s="1">
        <f t="shared" si="126"/>
        <v>0</v>
      </c>
      <c r="L664" s="1">
        <f t="shared" si="131"/>
        <v>2.190216346153846</v>
      </c>
      <c r="M664" s="1">
        <f t="shared" si="132"/>
        <v>2.190216346153846</v>
      </c>
      <c r="N664" s="2">
        <f t="shared" si="127"/>
        <v>7.6704751242962042</v>
      </c>
      <c r="O664" s="1">
        <v>1188</v>
      </c>
      <c r="P664" s="1">
        <f t="shared" si="133"/>
        <v>684</v>
      </c>
      <c r="Q664" s="1">
        <f t="shared" si="134"/>
        <v>2.9828846390462109</v>
      </c>
      <c r="R664" s="1">
        <f t="shared" si="135"/>
        <v>1.089900156574577</v>
      </c>
      <c r="S664" s="2">
        <f t="shared" si="136"/>
        <v>8.0870399466899254</v>
      </c>
      <c r="T664" s="2">
        <f t="shared" si="137"/>
        <v>0.14114547381004591</v>
      </c>
      <c r="U664" s="1" t="s">
        <v>2507</v>
      </c>
      <c r="V664" s="6" t="s">
        <v>2505</v>
      </c>
    </row>
    <row r="665" spans="1:22" ht="14.25" customHeight="1" x14ac:dyDescent="0.3">
      <c r="A665" s="1" t="s">
        <v>27</v>
      </c>
      <c r="B665" s="1" t="s">
        <v>1340</v>
      </c>
      <c r="C665" s="1" t="s">
        <v>1341</v>
      </c>
      <c r="D665" s="1">
        <f t="shared" si="128"/>
        <v>34</v>
      </c>
      <c r="E665" s="1">
        <f t="shared" si="129"/>
        <v>0.76846064814814818</v>
      </c>
      <c r="F665" s="2">
        <f t="shared" si="130"/>
        <v>213.46671204469607</v>
      </c>
      <c r="G665" s="1">
        <v>2080</v>
      </c>
      <c r="H665" s="1">
        <v>3744</v>
      </c>
      <c r="I665" s="1">
        <v>0</v>
      </c>
      <c r="J665" s="1">
        <v>258</v>
      </c>
      <c r="K665" s="1">
        <f t="shared" si="126"/>
        <v>0</v>
      </c>
      <c r="L665" s="1">
        <f t="shared" si="131"/>
        <v>2.251298076923077</v>
      </c>
      <c r="M665" s="1">
        <f t="shared" si="132"/>
        <v>2.251298076923077</v>
      </c>
      <c r="N665" s="2">
        <f t="shared" si="127"/>
        <v>7.4623614581331283</v>
      </c>
      <c r="O665" s="1">
        <v>1188</v>
      </c>
      <c r="P665" s="1">
        <f t="shared" si="133"/>
        <v>684</v>
      </c>
      <c r="Q665" s="1">
        <f t="shared" si="134"/>
        <v>2.9019536604674379</v>
      </c>
      <c r="R665" s="1">
        <f t="shared" si="135"/>
        <v>1.0603292220938714</v>
      </c>
      <c r="S665" s="2">
        <f t="shared" si="136"/>
        <v>8.0870399466899254</v>
      </c>
      <c r="T665" s="2">
        <f t="shared" si="137"/>
        <v>0.14114547381004591</v>
      </c>
      <c r="U665" s="1" t="s">
        <v>2507</v>
      </c>
      <c r="V665" s="6" t="s">
        <v>2505</v>
      </c>
    </row>
    <row r="666" spans="1:22" ht="14.25" customHeight="1" x14ac:dyDescent="0.3">
      <c r="A666" s="1" t="s">
        <v>40</v>
      </c>
      <c r="B666" s="1" t="s">
        <v>1342</v>
      </c>
      <c r="C666" s="1" t="s">
        <v>1343</v>
      </c>
      <c r="D666" s="1">
        <f t="shared" si="128"/>
        <v>34</v>
      </c>
      <c r="E666" s="1">
        <f t="shared" si="129"/>
        <v>0.27974537037037034</v>
      </c>
      <c r="F666" s="2">
        <f t="shared" si="130"/>
        <v>210.39602339196855</v>
      </c>
      <c r="G666" s="1">
        <v>2080</v>
      </c>
      <c r="H666" s="1">
        <v>3744</v>
      </c>
      <c r="I666" s="1">
        <v>0</v>
      </c>
      <c r="J666" s="1">
        <v>106</v>
      </c>
      <c r="K666" s="1">
        <f t="shared" si="126"/>
        <v>0</v>
      </c>
      <c r="L666" s="1">
        <f t="shared" si="131"/>
        <v>0.92495192307692298</v>
      </c>
      <c r="M666" s="1">
        <f t="shared" si="132"/>
        <v>0.92495192307692298</v>
      </c>
      <c r="N666" s="2">
        <f t="shared" si="127"/>
        <v>18.163106190550447</v>
      </c>
      <c r="O666" s="1">
        <v>1182</v>
      </c>
      <c r="P666" s="1">
        <f t="shared" si="133"/>
        <v>690</v>
      </c>
      <c r="Q666" s="1">
        <f t="shared" si="134"/>
        <v>7.0632457018924439</v>
      </c>
      <c r="R666" s="1">
        <f t="shared" si="135"/>
        <v>2.6034399221718947</v>
      </c>
      <c r="S666" s="2">
        <f t="shared" si="136"/>
        <v>8.157028289923991</v>
      </c>
      <c r="T666" s="2">
        <f t="shared" si="137"/>
        <v>0.14236700083749623</v>
      </c>
      <c r="U666" s="1" t="s">
        <v>2507</v>
      </c>
      <c r="V666" s="6" t="s">
        <v>2505</v>
      </c>
    </row>
    <row r="667" spans="1:22" ht="14.25" customHeight="1" x14ac:dyDescent="0.3">
      <c r="A667" s="1" t="s">
        <v>40</v>
      </c>
      <c r="B667" s="1" t="s">
        <v>1344</v>
      </c>
      <c r="C667" s="1" t="s">
        <v>1345</v>
      </c>
      <c r="D667" s="1">
        <f t="shared" si="128"/>
        <v>78</v>
      </c>
      <c r="E667" s="1">
        <f t="shared" si="129"/>
        <v>0.1444212962962963</v>
      </c>
      <c r="F667" s="2">
        <f t="shared" si="130"/>
        <v>486.00591067394049</v>
      </c>
      <c r="G667" s="1">
        <v>2080</v>
      </c>
      <c r="H667" s="1">
        <v>3744</v>
      </c>
      <c r="I667" s="1">
        <v>0</v>
      </c>
      <c r="J667" s="1">
        <v>111</v>
      </c>
      <c r="K667" s="1">
        <f t="shared" si="126"/>
        <v>0</v>
      </c>
      <c r="L667" s="1">
        <f t="shared" si="131"/>
        <v>0.96858173076923071</v>
      </c>
      <c r="M667" s="1">
        <f t="shared" si="132"/>
        <v>0.96858173076923071</v>
      </c>
      <c r="N667" s="2">
        <f t="shared" si="127"/>
        <v>17.344948254039164</v>
      </c>
      <c r="O667" s="1">
        <v>1182</v>
      </c>
      <c r="P667" s="1">
        <f t="shared" si="133"/>
        <v>690</v>
      </c>
      <c r="Q667" s="1">
        <f t="shared" si="134"/>
        <v>6.7450814810864772</v>
      </c>
      <c r="R667" s="1">
        <f t="shared" si="135"/>
        <v>2.4861678536055929</v>
      </c>
      <c r="S667" s="2">
        <f t="shared" si="136"/>
        <v>8.157028289923991</v>
      </c>
      <c r="T667" s="2">
        <f t="shared" si="137"/>
        <v>0.14236700083749623</v>
      </c>
      <c r="U667" s="1" t="s">
        <v>2507</v>
      </c>
      <c r="V667" s="6" t="s">
        <v>2505</v>
      </c>
    </row>
    <row r="668" spans="1:22" ht="14.25" customHeight="1" x14ac:dyDescent="0.3">
      <c r="A668" s="1" t="s">
        <v>17</v>
      </c>
      <c r="B668" s="1" t="s">
        <v>1346</v>
      </c>
      <c r="C668" s="1" t="s">
        <v>1347</v>
      </c>
      <c r="D668" s="1">
        <f t="shared" si="128"/>
        <v>6</v>
      </c>
      <c r="E668" s="1">
        <f t="shared" si="129"/>
        <v>0.7694212962962963</v>
      </c>
      <c r="F668" s="2">
        <f t="shared" si="130"/>
        <v>37.543559373997475</v>
      </c>
      <c r="G668" s="1">
        <v>2080</v>
      </c>
      <c r="H668" s="1">
        <v>3744</v>
      </c>
      <c r="I668" s="1">
        <v>0</v>
      </c>
      <c r="J668" s="1">
        <v>171</v>
      </c>
      <c r="K668" s="1">
        <f t="shared" si="126"/>
        <v>0</v>
      </c>
      <c r="L668" s="1">
        <f t="shared" si="131"/>
        <v>1.4921394230769229</v>
      </c>
      <c r="M668" s="1">
        <f t="shared" si="132"/>
        <v>1.4921394230769229</v>
      </c>
      <c r="N668" s="2">
        <f t="shared" si="127"/>
        <v>11.25900149823595</v>
      </c>
      <c r="O668" s="1">
        <v>1180</v>
      </c>
      <c r="P668" s="1">
        <f t="shared" si="133"/>
        <v>692</v>
      </c>
      <c r="Q668" s="1">
        <f t="shared" si="134"/>
        <v>4.378386224564907</v>
      </c>
      <c r="R668" s="1">
        <f t="shared" si="135"/>
        <v>1.6185060189096772</v>
      </c>
      <c r="S668" s="2">
        <f t="shared" si="136"/>
        <v>8.1803523029225556</v>
      </c>
      <c r="T668" s="2">
        <f t="shared" si="137"/>
        <v>0.14277408165909916</v>
      </c>
      <c r="U668" s="1" t="s">
        <v>2507</v>
      </c>
      <c r="V668" s="6" t="s">
        <v>2505</v>
      </c>
    </row>
    <row r="669" spans="1:22" ht="14.25" customHeight="1" x14ac:dyDescent="0.3">
      <c r="A669" s="1" t="s">
        <v>27</v>
      </c>
      <c r="B669" s="1" t="s">
        <v>1348</v>
      </c>
      <c r="C669" s="1" t="s">
        <v>1349</v>
      </c>
      <c r="D669" s="1">
        <f t="shared" si="128"/>
        <v>38</v>
      </c>
      <c r="E669" s="1">
        <f t="shared" si="129"/>
        <v>0.74298611111111112</v>
      </c>
      <c r="F669" s="2">
        <f t="shared" si="130"/>
        <v>238.43939203659608</v>
      </c>
      <c r="G669" s="1">
        <v>2080</v>
      </c>
      <c r="H669" s="1">
        <v>3744</v>
      </c>
      <c r="I669" s="1">
        <v>0</v>
      </c>
      <c r="J669" s="1">
        <v>92</v>
      </c>
      <c r="K669" s="1">
        <f t="shared" si="126"/>
        <v>0</v>
      </c>
      <c r="L669" s="1">
        <f t="shared" si="131"/>
        <v>0.80278846153846151</v>
      </c>
      <c r="M669" s="1">
        <f t="shared" si="132"/>
        <v>0.80278846153846151</v>
      </c>
      <c r="N669" s="2">
        <f t="shared" si="127"/>
        <v>20.927057132590733</v>
      </c>
      <c r="O669" s="1">
        <v>1180</v>
      </c>
      <c r="P669" s="1">
        <f t="shared" si="133"/>
        <v>692</v>
      </c>
      <c r="Q669" s="1">
        <f t="shared" si="134"/>
        <v>8.138087439136946</v>
      </c>
      <c r="R669" s="1">
        <f t="shared" si="135"/>
        <v>3.0083101003647261</v>
      </c>
      <c r="S669" s="2">
        <f t="shared" si="136"/>
        <v>8.1803523029225556</v>
      </c>
      <c r="T669" s="2">
        <f t="shared" si="137"/>
        <v>0.14277408165909916</v>
      </c>
      <c r="U669" s="1" t="s">
        <v>2507</v>
      </c>
      <c r="V669" s="6" t="s">
        <v>2505</v>
      </c>
    </row>
    <row r="670" spans="1:22" ht="14.25" customHeight="1" x14ac:dyDescent="0.3">
      <c r="A670" s="1" t="s">
        <v>27</v>
      </c>
      <c r="B670" s="1" t="s">
        <v>1350</v>
      </c>
      <c r="C670" s="1" t="s">
        <v>1351</v>
      </c>
      <c r="D670" s="1">
        <f t="shared" si="128"/>
        <v>40</v>
      </c>
      <c r="E670" s="1">
        <f t="shared" si="129"/>
        <v>0.84136574074074078</v>
      </c>
      <c r="F670" s="2">
        <f t="shared" si="130"/>
        <v>251.62390009436993</v>
      </c>
      <c r="G670" s="1">
        <v>2080</v>
      </c>
      <c r="H670" s="1">
        <v>3744</v>
      </c>
      <c r="I670" s="1">
        <v>0</v>
      </c>
      <c r="J670" s="1">
        <v>196</v>
      </c>
      <c r="K670" s="1">
        <f t="shared" si="126"/>
        <v>0</v>
      </c>
      <c r="L670" s="1">
        <f t="shared" si="131"/>
        <v>1.7102884615384613</v>
      </c>
      <c r="M670" s="1">
        <f t="shared" si="132"/>
        <v>1.7102884615384613</v>
      </c>
      <c r="N670" s="2">
        <f t="shared" si="127"/>
        <v>9.8229043683589161</v>
      </c>
      <c r="O670" s="1">
        <v>1180</v>
      </c>
      <c r="P670" s="1">
        <f t="shared" si="133"/>
        <v>692</v>
      </c>
      <c r="Q670" s="1">
        <f t="shared" si="134"/>
        <v>3.8199185938806077</v>
      </c>
      <c r="R670" s="1">
        <f t="shared" si="135"/>
        <v>1.4120639246609941</v>
      </c>
      <c r="S670" s="2">
        <f t="shared" si="136"/>
        <v>8.1803523029225556</v>
      </c>
      <c r="T670" s="2">
        <f t="shared" si="137"/>
        <v>0.14277408165909916</v>
      </c>
      <c r="U670" s="1" t="s">
        <v>2507</v>
      </c>
      <c r="V670" s="6" t="s">
        <v>2505</v>
      </c>
    </row>
    <row r="671" spans="1:22" ht="14.25" customHeight="1" x14ac:dyDescent="0.3">
      <c r="A671" s="1" t="s">
        <v>286</v>
      </c>
      <c r="B671" s="1" t="s">
        <v>1352</v>
      </c>
      <c r="C671" s="1" t="s">
        <v>1353</v>
      </c>
      <c r="D671" s="1">
        <f t="shared" si="128"/>
        <v>45</v>
      </c>
      <c r="E671" s="1">
        <f t="shared" si="129"/>
        <v>0.82291666666666663</v>
      </c>
      <c r="F671" s="2">
        <f t="shared" si="130"/>
        <v>282.92390767911456</v>
      </c>
      <c r="G671" s="1">
        <v>2080</v>
      </c>
      <c r="H671" s="1">
        <v>3744</v>
      </c>
      <c r="I671" s="1">
        <v>0</v>
      </c>
      <c r="J671" s="1">
        <v>200</v>
      </c>
      <c r="K671" s="1">
        <f t="shared" si="126"/>
        <v>0</v>
      </c>
      <c r="L671" s="1">
        <f t="shared" si="131"/>
        <v>1.7451923076923075</v>
      </c>
      <c r="M671" s="1">
        <f t="shared" si="132"/>
        <v>1.7451923076923075</v>
      </c>
      <c r="N671" s="2">
        <f t="shared" si="127"/>
        <v>9.6264462809917379</v>
      </c>
      <c r="O671" s="1">
        <v>1180</v>
      </c>
      <c r="P671" s="1">
        <f t="shared" si="133"/>
        <v>692</v>
      </c>
      <c r="Q671" s="1">
        <f t="shared" si="134"/>
        <v>3.7435202220029957</v>
      </c>
      <c r="R671" s="1">
        <f t="shared" si="135"/>
        <v>1.3838226461677741</v>
      </c>
      <c r="S671" s="2">
        <f t="shared" si="136"/>
        <v>8.1803523029225556</v>
      </c>
      <c r="T671" s="2">
        <f t="shared" si="137"/>
        <v>0.14277408165909916</v>
      </c>
      <c r="U671" s="1" t="s">
        <v>2507</v>
      </c>
      <c r="V671" s="6" t="s">
        <v>2505</v>
      </c>
    </row>
    <row r="672" spans="1:22" ht="14.25" customHeight="1" x14ac:dyDescent="0.3">
      <c r="A672" s="1" t="s">
        <v>40</v>
      </c>
      <c r="B672" s="1" t="s">
        <v>1354</v>
      </c>
      <c r="C672" s="1" t="s">
        <v>1355</v>
      </c>
      <c r="D672" s="1">
        <f t="shared" si="128"/>
        <v>11</v>
      </c>
      <c r="E672" s="1">
        <f t="shared" si="129"/>
        <v>0.27648148148148149</v>
      </c>
      <c r="F672" s="2">
        <f t="shared" si="130"/>
        <v>65.862253708127142</v>
      </c>
      <c r="G672" s="1">
        <v>2080</v>
      </c>
      <c r="H672" s="1">
        <v>3744</v>
      </c>
      <c r="I672" s="1">
        <v>0</v>
      </c>
      <c r="J672" s="1">
        <v>102</v>
      </c>
      <c r="K672" s="1">
        <f t="shared" si="126"/>
        <v>0</v>
      </c>
      <c r="L672" s="1">
        <f t="shared" si="131"/>
        <v>0.89004807692307686</v>
      </c>
      <c r="M672" s="1">
        <f t="shared" si="132"/>
        <v>0.89004807692307686</v>
      </c>
      <c r="N672" s="2">
        <f t="shared" ref="N672:N703" si="138">42*0.4/M672</f>
        <v>18.875384864689678</v>
      </c>
      <c r="O672" s="1">
        <v>1177</v>
      </c>
      <c r="P672" s="1">
        <f t="shared" si="133"/>
        <v>695</v>
      </c>
      <c r="Q672" s="1">
        <f t="shared" si="134"/>
        <v>7.3402357294176372</v>
      </c>
      <c r="R672" s="1">
        <f t="shared" si="135"/>
        <v>2.7251409358681933</v>
      </c>
      <c r="S672" s="2">
        <f t="shared" si="136"/>
        <v>8.2153332024088943</v>
      </c>
      <c r="T672" s="2">
        <f t="shared" si="137"/>
        <v>0.14338461353044496</v>
      </c>
      <c r="U672" s="1" t="s">
        <v>2507</v>
      </c>
      <c r="V672" s="6" t="s">
        <v>2505</v>
      </c>
    </row>
    <row r="673" spans="1:24" ht="14.25" customHeight="1" x14ac:dyDescent="0.3">
      <c r="A673" s="1" t="s">
        <v>40</v>
      </c>
      <c r="B673" s="1" t="s">
        <v>1356</v>
      </c>
      <c r="C673" s="1" t="s">
        <v>1357</v>
      </c>
      <c r="D673" s="1">
        <f t="shared" si="128"/>
        <v>60</v>
      </c>
      <c r="E673" s="1">
        <f t="shared" si="129"/>
        <v>0.19162037037037036</v>
      </c>
      <c r="F673" s="2">
        <f t="shared" si="130"/>
        <v>373.20513567344261</v>
      </c>
      <c r="G673" s="1">
        <v>2080</v>
      </c>
      <c r="H673" s="1">
        <v>3744</v>
      </c>
      <c r="I673" s="1">
        <v>0</v>
      </c>
      <c r="J673" s="1">
        <v>192</v>
      </c>
      <c r="K673" s="1">
        <f t="shared" si="126"/>
        <v>0</v>
      </c>
      <c r="L673" s="1">
        <f t="shared" si="131"/>
        <v>1.6753846153846153</v>
      </c>
      <c r="M673" s="1">
        <f t="shared" si="132"/>
        <v>1.6753846153846153</v>
      </c>
      <c r="N673" s="2">
        <f t="shared" si="138"/>
        <v>10.027548209366392</v>
      </c>
      <c r="O673" s="1">
        <v>1177</v>
      </c>
      <c r="P673" s="1">
        <f t="shared" si="133"/>
        <v>695</v>
      </c>
      <c r="Q673" s="1">
        <f t="shared" si="134"/>
        <v>3.89950023125312</v>
      </c>
      <c r="R673" s="1">
        <f t="shared" si="135"/>
        <v>1.4477311221799778</v>
      </c>
      <c r="S673" s="2">
        <f t="shared" si="136"/>
        <v>8.2153332024088961</v>
      </c>
      <c r="T673" s="2">
        <f t="shared" si="137"/>
        <v>0.14338461353044499</v>
      </c>
      <c r="U673" s="1" t="s">
        <v>2507</v>
      </c>
      <c r="V673" s="6" t="s">
        <v>2505</v>
      </c>
    </row>
    <row r="674" spans="1:24" ht="14.25" customHeight="1" x14ac:dyDescent="0.3">
      <c r="A674" s="1" t="s">
        <v>40</v>
      </c>
      <c r="B674" s="1" t="s">
        <v>1358</v>
      </c>
      <c r="C674" s="1" t="s">
        <v>1359</v>
      </c>
      <c r="D674" s="1">
        <f t="shared" si="128"/>
        <v>10</v>
      </c>
      <c r="E674" s="1">
        <f t="shared" si="129"/>
        <v>0.28024305555555556</v>
      </c>
      <c r="F674" s="2">
        <f t="shared" si="130"/>
        <v>59.602703067901636</v>
      </c>
      <c r="G674" s="1">
        <v>2080</v>
      </c>
      <c r="H674" s="1">
        <v>3744</v>
      </c>
      <c r="I674" s="1">
        <v>0</v>
      </c>
      <c r="J674" s="1">
        <v>117</v>
      </c>
      <c r="K674" s="1">
        <f t="shared" si="126"/>
        <v>0</v>
      </c>
      <c r="L674" s="1">
        <f t="shared" si="131"/>
        <v>1.0209374999999998</v>
      </c>
      <c r="M674" s="1">
        <f t="shared" si="132"/>
        <v>1.0209374999999998</v>
      </c>
      <c r="N674" s="2">
        <f t="shared" si="138"/>
        <v>16.455463728191003</v>
      </c>
      <c r="O674" s="1">
        <v>1176</v>
      </c>
      <c r="P674" s="1">
        <f t="shared" si="133"/>
        <v>696</v>
      </c>
      <c r="Q674" s="1">
        <f t="shared" si="134"/>
        <v>6.3991798666717861</v>
      </c>
      <c r="R674" s="1">
        <f t="shared" si="135"/>
        <v>2.3791822581215616</v>
      </c>
      <c r="S674" s="2">
        <f t="shared" si="136"/>
        <v>8.2269921332780509</v>
      </c>
      <c r="T674" s="2">
        <f t="shared" si="137"/>
        <v>0.14358810026137414</v>
      </c>
      <c r="U674" s="1" t="s">
        <v>2507</v>
      </c>
      <c r="V674" s="6" t="s">
        <v>2505</v>
      </c>
    </row>
    <row r="675" spans="1:24" ht="14.25" customHeight="1" x14ac:dyDescent="0.3">
      <c r="A675" s="1" t="s">
        <v>40</v>
      </c>
      <c r="B675" s="1" t="s">
        <v>1360</v>
      </c>
      <c r="C675" s="1" t="s">
        <v>1361</v>
      </c>
      <c r="D675" s="1">
        <f t="shared" si="128"/>
        <v>6</v>
      </c>
      <c r="E675" s="1">
        <f t="shared" si="129"/>
        <v>0.23016203703703705</v>
      </c>
      <c r="F675" s="2">
        <f t="shared" si="130"/>
        <v>34.15529351945915</v>
      </c>
      <c r="G675" s="1">
        <v>2080</v>
      </c>
      <c r="H675" s="1">
        <v>3744</v>
      </c>
      <c r="I675" s="1">
        <v>0</v>
      </c>
      <c r="J675" s="1">
        <v>171</v>
      </c>
      <c r="K675" s="1">
        <f t="shared" si="126"/>
        <v>0</v>
      </c>
      <c r="L675" s="1">
        <f t="shared" si="131"/>
        <v>1.4921394230769229</v>
      </c>
      <c r="M675" s="1">
        <f t="shared" si="132"/>
        <v>1.4921394230769229</v>
      </c>
      <c r="N675" s="2">
        <f t="shared" si="138"/>
        <v>11.25900149823595</v>
      </c>
      <c r="O675" s="1">
        <v>1175</v>
      </c>
      <c r="P675" s="1">
        <f t="shared" si="133"/>
        <v>697</v>
      </c>
      <c r="Q675" s="1">
        <f t="shared" si="134"/>
        <v>4.378386224564907</v>
      </c>
      <c r="R675" s="1">
        <f t="shared" si="135"/>
        <v>1.6302004265607586</v>
      </c>
      <c r="S675" s="2">
        <f t="shared" si="136"/>
        <v>8.2386503781586935</v>
      </c>
      <c r="T675" s="2">
        <f t="shared" si="137"/>
        <v>0.14379157501954512</v>
      </c>
      <c r="U675" s="1" t="s">
        <v>2507</v>
      </c>
      <c r="V675" s="6" t="s">
        <v>2505</v>
      </c>
    </row>
    <row r="676" spans="1:24" ht="14.25" customHeight="1" x14ac:dyDescent="0.3">
      <c r="A676" s="1" t="s">
        <v>17</v>
      </c>
      <c r="B676" s="1" t="s">
        <v>1362</v>
      </c>
      <c r="C676" s="1" t="s">
        <v>1363</v>
      </c>
      <c r="D676" s="1">
        <f t="shared" si="128"/>
        <v>37</v>
      </c>
      <c r="E676" s="1">
        <f t="shared" si="129"/>
        <v>0.14824074074074076</v>
      </c>
      <c r="F676" s="2">
        <f t="shared" si="130"/>
        <v>228.41931135679232</v>
      </c>
      <c r="G676" s="1">
        <v>2080</v>
      </c>
      <c r="H676" s="1">
        <v>3744</v>
      </c>
      <c r="I676" s="1">
        <v>0</v>
      </c>
      <c r="J676" s="1">
        <v>267</v>
      </c>
      <c r="K676" s="1">
        <f t="shared" si="126"/>
        <v>0</v>
      </c>
      <c r="L676" s="1">
        <f t="shared" si="131"/>
        <v>2.3298317307692304</v>
      </c>
      <c r="M676" s="1">
        <f t="shared" si="132"/>
        <v>2.3298317307692304</v>
      </c>
      <c r="N676" s="2">
        <f t="shared" si="138"/>
        <v>7.210821184263474</v>
      </c>
      <c r="O676" s="1">
        <v>1174</v>
      </c>
      <c r="P676" s="1">
        <f t="shared" si="133"/>
        <v>698</v>
      </c>
      <c r="Q676" s="1">
        <f t="shared" si="134"/>
        <v>2.8041349977550527</v>
      </c>
      <c r="R676" s="1">
        <f t="shared" si="135"/>
        <v>1.0455588827099502</v>
      </c>
      <c r="S676" s="2">
        <f t="shared" si="136"/>
        <v>8.2503079361460969</v>
      </c>
      <c r="T676" s="2">
        <f t="shared" si="137"/>
        <v>0.14399503778916747</v>
      </c>
      <c r="U676" s="1" t="s">
        <v>2507</v>
      </c>
      <c r="V676" s="6" t="s">
        <v>2505</v>
      </c>
    </row>
    <row r="677" spans="1:24" ht="14.25" customHeight="1" x14ac:dyDescent="0.3">
      <c r="A677" s="1" t="s">
        <v>27</v>
      </c>
      <c r="B677" s="1" t="s">
        <v>1364</v>
      </c>
      <c r="C677" s="1" t="s">
        <v>1365</v>
      </c>
      <c r="D677" s="1">
        <f t="shared" si="128"/>
        <v>45</v>
      </c>
      <c r="E677" s="1">
        <f t="shared" si="129"/>
        <v>0.1007986111111111</v>
      </c>
      <c r="F677" s="2">
        <f t="shared" si="130"/>
        <v>278.38670612239883</v>
      </c>
      <c r="G677" s="1">
        <v>2080</v>
      </c>
      <c r="H677" s="1">
        <v>3744</v>
      </c>
      <c r="I677" s="1">
        <v>0</v>
      </c>
      <c r="J677" s="1">
        <v>297</v>
      </c>
      <c r="K677" s="1">
        <f t="shared" si="126"/>
        <v>0</v>
      </c>
      <c r="L677" s="1">
        <f t="shared" si="131"/>
        <v>2.5916105769230766</v>
      </c>
      <c r="M677" s="1">
        <f t="shared" si="132"/>
        <v>2.5916105769230766</v>
      </c>
      <c r="N677" s="2">
        <f t="shared" si="138"/>
        <v>6.4824554080752437</v>
      </c>
      <c r="O677" s="1">
        <v>1173</v>
      </c>
      <c r="P677" s="1">
        <f t="shared" si="133"/>
        <v>699</v>
      </c>
      <c r="Q677" s="1">
        <f t="shared" si="134"/>
        <v>2.5208890383858553</v>
      </c>
      <c r="R677" s="1">
        <f t="shared" si="135"/>
        <v>0.9412935031152313</v>
      </c>
      <c r="S677" s="2">
        <f t="shared" si="136"/>
        <v>8.2619648063358753</v>
      </c>
      <c r="T677" s="2">
        <f t="shared" si="137"/>
        <v>0.14419848855445669</v>
      </c>
      <c r="U677" s="1" t="s">
        <v>2507</v>
      </c>
      <c r="V677" s="6" t="s">
        <v>2505</v>
      </c>
    </row>
    <row r="678" spans="1:24" ht="14.25" customHeight="1" x14ac:dyDescent="0.3">
      <c r="A678" s="1" t="s">
        <v>27</v>
      </c>
      <c r="B678" s="1" t="s">
        <v>1366</v>
      </c>
      <c r="C678" s="1" t="s">
        <v>1367</v>
      </c>
      <c r="D678" s="1">
        <f t="shared" si="128"/>
        <v>17</v>
      </c>
      <c r="E678" s="1">
        <f t="shared" si="129"/>
        <v>0.85293981481481485</v>
      </c>
      <c r="F678" s="2">
        <f t="shared" si="130"/>
        <v>107.18336008140588</v>
      </c>
      <c r="G678" s="1">
        <v>2080</v>
      </c>
      <c r="H678" s="1">
        <v>3744</v>
      </c>
      <c r="I678" s="1">
        <v>0</v>
      </c>
      <c r="J678" s="1">
        <v>197</v>
      </c>
      <c r="K678" s="1">
        <f t="shared" si="126"/>
        <v>0</v>
      </c>
      <c r="L678" s="1">
        <f t="shared" si="131"/>
        <v>1.7190144230769229</v>
      </c>
      <c r="M678" s="1">
        <f t="shared" si="132"/>
        <v>1.7190144230769229</v>
      </c>
      <c r="N678" s="2">
        <f t="shared" si="138"/>
        <v>9.7730419096362819</v>
      </c>
      <c r="O678" s="1">
        <v>1172</v>
      </c>
      <c r="P678" s="1">
        <f t="shared" si="133"/>
        <v>700</v>
      </c>
      <c r="Q678" s="1">
        <f t="shared" si="134"/>
        <v>3.8005281441654777</v>
      </c>
      <c r="R678" s="1">
        <f t="shared" si="135"/>
        <v>1.4211376607456381</v>
      </c>
      <c r="S678" s="2">
        <f t="shared" si="136"/>
        <v>8.2736209878239766</v>
      </c>
      <c r="T678" s="2">
        <f t="shared" si="137"/>
        <v>0.14440192729963408</v>
      </c>
      <c r="U678" s="1" t="s">
        <v>2507</v>
      </c>
      <c r="V678" s="6" t="s">
        <v>2505</v>
      </c>
    </row>
    <row r="679" spans="1:24" ht="14.25" customHeight="1" x14ac:dyDescent="0.3">
      <c r="A679" s="1" t="s">
        <v>17</v>
      </c>
      <c r="B679" s="1" t="s">
        <v>1368</v>
      </c>
      <c r="C679" s="1" t="s">
        <v>1369</v>
      </c>
      <c r="D679" s="1">
        <f t="shared" si="128"/>
        <v>32</v>
      </c>
      <c r="E679" s="1">
        <f t="shared" si="129"/>
        <v>0.79120370370370363</v>
      </c>
      <c r="F679" s="2">
        <f t="shared" si="130"/>
        <v>201.04324026284391</v>
      </c>
      <c r="G679" s="1">
        <v>2080</v>
      </c>
      <c r="H679" s="1">
        <v>3744</v>
      </c>
      <c r="I679" s="1">
        <v>0</v>
      </c>
      <c r="J679" s="1">
        <v>298</v>
      </c>
      <c r="K679" s="1">
        <f t="shared" si="126"/>
        <v>0</v>
      </c>
      <c r="L679" s="1">
        <f t="shared" si="131"/>
        <v>2.6003365384615384</v>
      </c>
      <c r="M679" s="1">
        <f t="shared" si="132"/>
        <v>2.6003365384615384</v>
      </c>
      <c r="N679" s="2">
        <f t="shared" si="138"/>
        <v>6.4607022020078766</v>
      </c>
      <c r="O679" s="1">
        <v>1172</v>
      </c>
      <c r="P679" s="1">
        <f t="shared" si="133"/>
        <v>700</v>
      </c>
      <c r="Q679" s="1">
        <f t="shared" si="134"/>
        <v>2.5124296791966407</v>
      </c>
      <c r="R679" s="1">
        <f t="shared" si="135"/>
        <v>0.93947690995600885</v>
      </c>
      <c r="S679" s="2">
        <f t="shared" si="136"/>
        <v>8.2736209878239766</v>
      </c>
      <c r="T679" s="2">
        <f t="shared" si="137"/>
        <v>0.14440192729963408</v>
      </c>
      <c r="U679" s="1" t="s">
        <v>2507</v>
      </c>
      <c r="V679" s="6" t="s">
        <v>2505</v>
      </c>
    </row>
    <row r="680" spans="1:24" ht="14.25" customHeight="1" x14ac:dyDescent="0.3">
      <c r="A680" s="1" t="s">
        <v>27</v>
      </c>
      <c r="B680" s="1" t="s">
        <v>1370</v>
      </c>
      <c r="C680" s="1" t="s">
        <v>1371</v>
      </c>
      <c r="D680" s="1">
        <f t="shared" si="128"/>
        <v>33</v>
      </c>
      <c r="E680" s="1">
        <f t="shared" si="129"/>
        <v>0.27087962962962964</v>
      </c>
      <c r="F680" s="2">
        <f t="shared" si="130"/>
        <v>204.05713299282948</v>
      </c>
      <c r="G680" s="1">
        <v>2080</v>
      </c>
      <c r="H680" s="1">
        <v>3744</v>
      </c>
      <c r="I680" s="1">
        <v>0</v>
      </c>
      <c r="J680" s="1">
        <v>97</v>
      </c>
      <c r="K680" s="1">
        <f t="shared" si="126"/>
        <v>0</v>
      </c>
      <c r="L680" s="1">
        <f t="shared" si="131"/>
        <v>0.84641826923076924</v>
      </c>
      <c r="M680" s="1">
        <f t="shared" si="132"/>
        <v>0.84641826923076924</v>
      </c>
      <c r="N680" s="2">
        <f t="shared" si="138"/>
        <v>19.84834284740564</v>
      </c>
      <c r="O680" s="1">
        <v>1170</v>
      </c>
      <c r="P680" s="1">
        <f t="shared" si="133"/>
        <v>702</v>
      </c>
      <c r="Q680" s="1">
        <f t="shared" si="134"/>
        <v>7.7185983958824629</v>
      </c>
      <c r="R680" s="1">
        <f t="shared" si="135"/>
        <v>2.8944743984559236</v>
      </c>
      <c r="S680" s="2">
        <f t="shared" si="136"/>
        <v>8.2969312810806031</v>
      </c>
      <c r="T680" s="2">
        <f t="shared" si="137"/>
        <v>0.14480876866656764</v>
      </c>
      <c r="U680" s="1" t="s">
        <v>2507</v>
      </c>
      <c r="V680" s="6" t="s">
        <v>2505</v>
      </c>
    </row>
    <row r="681" spans="1:24" ht="14.25" customHeight="1" x14ac:dyDescent="0.3">
      <c r="A681" s="1" t="s">
        <v>27</v>
      </c>
      <c r="B681" s="1" t="s">
        <v>1372</v>
      </c>
      <c r="C681" s="1" t="s">
        <v>1373</v>
      </c>
      <c r="D681" s="1">
        <f t="shared" si="128"/>
        <v>77</v>
      </c>
      <c r="E681" s="1">
        <f t="shared" si="129"/>
        <v>0.78700231481481486</v>
      </c>
      <c r="F681" s="2">
        <f t="shared" si="130"/>
        <v>483.76018098098893</v>
      </c>
      <c r="G681" s="1">
        <v>2080</v>
      </c>
      <c r="H681" s="1">
        <v>3744</v>
      </c>
      <c r="I681" s="1">
        <v>0</v>
      </c>
      <c r="J681" s="1">
        <v>178</v>
      </c>
      <c r="K681" s="1">
        <f t="shared" si="126"/>
        <v>0</v>
      </c>
      <c r="L681" s="1">
        <f t="shared" si="131"/>
        <v>1.5532211538461538</v>
      </c>
      <c r="M681" s="1">
        <f t="shared" si="132"/>
        <v>1.5532211538461538</v>
      </c>
      <c r="N681" s="2">
        <f t="shared" si="138"/>
        <v>10.81623177639521</v>
      </c>
      <c r="O681" s="1">
        <v>1170</v>
      </c>
      <c r="P681" s="1">
        <f t="shared" si="133"/>
        <v>702</v>
      </c>
      <c r="Q681" s="1">
        <f t="shared" si="134"/>
        <v>4.2062024966325788</v>
      </c>
      <c r="R681" s="1">
        <f t="shared" si="135"/>
        <v>1.5773259362372172</v>
      </c>
      <c r="S681" s="2">
        <f t="shared" si="136"/>
        <v>8.2969312810806031</v>
      </c>
      <c r="T681" s="2">
        <f t="shared" si="137"/>
        <v>0.14480876866656764</v>
      </c>
      <c r="U681" s="1" t="s">
        <v>2507</v>
      </c>
      <c r="V681" s="6" t="s">
        <v>2505</v>
      </c>
    </row>
    <row r="682" spans="1:24" ht="14.25" customHeight="1" x14ac:dyDescent="0.3">
      <c r="A682" s="1" t="s">
        <v>17</v>
      </c>
      <c r="B682" s="1" t="s">
        <v>229</v>
      </c>
      <c r="C682" s="1" t="s">
        <v>230</v>
      </c>
      <c r="D682" s="1">
        <f t="shared" si="128"/>
        <v>29</v>
      </c>
      <c r="E682" s="1">
        <f t="shared" si="129"/>
        <v>0.24877314814814813</v>
      </c>
      <c r="F682" s="2">
        <f t="shared" si="130"/>
        <v>178.78549264447327</v>
      </c>
      <c r="G682" s="1">
        <v>2080</v>
      </c>
      <c r="H682" s="1">
        <v>3744</v>
      </c>
      <c r="I682" s="1">
        <v>0</v>
      </c>
      <c r="J682" s="1">
        <v>182</v>
      </c>
      <c r="K682" s="1">
        <f t="shared" si="126"/>
        <v>0</v>
      </c>
      <c r="L682" s="1">
        <f t="shared" si="131"/>
        <v>1.5881249999999998</v>
      </c>
      <c r="M682" s="1">
        <f t="shared" si="132"/>
        <v>1.5881249999999998</v>
      </c>
      <c r="N682" s="2">
        <f t="shared" si="138"/>
        <v>10.578512396694217</v>
      </c>
      <c r="O682" s="1">
        <v>1169</v>
      </c>
      <c r="P682" s="1">
        <f t="shared" si="133"/>
        <v>703</v>
      </c>
      <c r="Q682" s="1">
        <f t="shared" si="134"/>
        <v>4.1137584857175771</v>
      </c>
      <c r="R682" s="1">
        <f t="shared" si="135"/>
        <v>1.5448569527027012</v>
      </c>
      <c r="S682" s="2">
        <f t="shared" si="136"/>
        <v>8.3085853910426959</v>
      </c>
      <c r="T682" s="2">
        <f t="shared" si="137"/>
        <v>0.14501217125679564</v>
      </c>
      <c r="U682" s="1" t="s">
        <v>2507</v>
      </c>
      <c r="V682" s="6" t="s">
        <v>2505</v>
      </c>
    </row>
    <row r="683" spans="1:24" ht="14.25" customHeight="1" x14ac:dyDescent="0.3">
      <c r="A683" s="1" t="s">
        <v>40</v>
      </c>
      <c r="B683" s="1" t="s">
        <v>1374</v>
      </c>
      <c r="C683" s="1" t="s">
        <v>1375</v>
      </c>
      <c r="D683" s="1">
        <f t="shared" si="128"/>
        <v>8</v>
      </c>
      <c r="E683" s="1">
        <f t="shared" si="129"/>
        <v>0.86722222222222223</v>
      </c>
      <c r="F683" s="2">
        <f t="shared" si="130"/>
        <v>50.724431329162989</v>
      </c>
      <c r="G683" s="1">
        <v>2080</v>
      </c>
      <c r="H683" s="1">
        <v>3744</v>
      </c>
      <c r="I683" s="1">
        <v>0</v>
      </c>
      <c r="J683" s="1">
        <v>162</v>
      </c>
      <c r="K683" s="1">
        <f t="shared" si="126"/>
        <v>0</v>
      </c>
      <c r="L683" s="1">
        <f t="shared" si="131"/>
        <v>1.4136057692307691</v>
      </c>
      <c r="M683" s="1">
        <f t="shared" si="132"/>
        <v>1.4136057692307691</v>
      </c>
      <c r="N683" s="2">
        <f t="shared" si="138"/>
        <v>11.88450158147128</v>
      </c>
      <c r="O683" s="1">
        <v>1168</v>
      </c>
      <c r="P683" s="1">
        <f t="shared" si="133"/>
        <v>704</v>
      </c>
      <c r="Q683" s="1">
        <f t="shared" si="134"/>
        <v>4.6216299037074018</v>
      </c>
      <c r="R683" s="1">
        <f t="shared" si="135"/>
        <v>1.7380488526762878</v>
      </c>
      <c r="S683" s="2">
        <f t="shared" si="136"/>
        <v>8.3202388086902506</v>
      </c>
      <c r="T683" s="2">
        <f t="shared" si="137"/>
        <v>0.14521556176385547</v>
      </c>
      <c r="U683" s="1" t="s">
        <v>2507</v>
      </c>
      <c r="V683" s="6" t="s">
        <v>2505</v>
      </c>
      <c r="W683" s="1"/>
      <c r="X683" s="1"/>
    </row>
    <row r="684" spans="1:24" ht="14.25" customHeight="1" x14ac:dyDescent="0.3">
      <c r="A684" s="1" t="s">
        <v>177</v>
      </c>
      <c r="B684" s="1" t="s">
        <v>1376</v>
      </c>
      <c r="C684" s="1" t="s">
        <v>1377</v>
      </c>
      <c r="D684" s="1">
        <f t="shared" si="128"/>
        <v>45</v>
      </c>
      <c r="E684" s="1">
        <f t="shared" si="129"/>
        <v>0.9305092592592592</v>
      </c>
      <c r="F684" s="2">
        <f t="shared" si="130"/>
        <v>283.59993187605374</v>
      </c>
      <c r="G684" s="1">
        <v>2080</v>
      </c>
      <c r="H684" s="1">
        <v>3744</v>
      </c>
      <c r="I684" s="1">
        <v>0</v>
      </c>
      <c r="J684" s="1">
        <v>219</v>
      </c>
      <c r="K684" s="1">
        <f t="shared" si="126"/>
        <v>0</v>
      </c>
      <c r="L684" s="1">
        <f t="shared" si="131"/>
        <v>1.9109855769230768</v>
      </c>
      <c r="M684" s="1">
        <f t="shared" si="132"/>
        <v>1.9109855769230768</v>
      </c>
      <c r="N684" s="2">
        <f t="shared" si="138"/>
        <v>8.7912751424582076</v>
      </c>
      <c r="O684" s="1">
        <v>1168</v>
      </c>
      <c r="P684" s="1">
        <f t="shared" si="133"/>
        <v>704</v>
      </c>
      <c r="Q684" s="1">
        <f t="shared" si="134"/>
        <v>3.4187399287698588</v>
      </c>
      <c r="R684" s="1">
        <f t="shared" si="135"/>
        <v>1.2856799732125965</v>
      </c>
      <c r="S684" s="2">
        <f t="shared" si="136"/>
        <v>8.3202388086902506</v>
      </c>
      <c r="T684" s="2">
        <f t="shared" si="137"/>
        <v>0.14521556176385547</v>
      </c>
      <c r="U684" s="1" t="s">
        <v>2507</v>
      </c>
      <c r="V684" s="6" t="s">
        <v>2505</v>
      </c>
    </row>
    <row r="685" spans="1:24" ht="14.25" customHeight="1" x14ac:dyDescent="0.3">
      <c r="A685" s="1" t="s">
        <v>40</v>
      </c>
      <c r="B685" s="1" t="s">
        <v>1378</v>
      </c>
      <c r="C685" s="1" t="s">
        <v>1379</v>
      </c>
      <c r="D685" s="1">
        <f t="shared" si="128"/>
        <v>59</v>
      </c>
      <c r="E685" s="1">
        <f t="shared" si="129"/>
        <v>0.21968750000000001</v>
      </c>
      <c r="F685" s="2">
        <f t="shared" si="130"/>
        <v>367.0983013427666</v>
      </c>
      <c r="G685" s="1">
        <v>2080</v>
      </c>
      <c r="H685" s="1">
        <v>3744</v>
      </c>
      <c r="I685" s="1">
        <v>0</v>
      </c>
      <c r="J685" s="1">
        <v>137</v>
      </c>
      <c r="K685" s="1">
        <f t="shared" si="126"/>
        <v>0</v>
      </c>
      <c r="L685" s="1">
        <f t="shared" si="131"/>
        <v>1.1954567307692305</v>
      </c>
      <c r="M685" s="1">
        <f t="shared" si="132"/>
        <v>1.1954567307692305</v>
      </c>
      <c r="N685" s="2">
        <f t="shared" si="138"/>
        <v>14.053206249622974</v>
      </c>
      <c r="O685" s="1">
        <v>1167</v>
      </c>
      <c r="P685" s="1">
        <f t="shared" si="133"/>
        <v>705</v>
      </c>
      <c r="Q685" s="1">
        <f t="shared" si="134"/>
        <v>5.464993024821891</v>
      </c>
      <c r="R685" s="1">
        <f t="shared" si="135"/>
        <v>2.0581303859505518</v>
      </c>
      <c r="S685" s="2">
        <f t="shared" si="136"/>
        <v>8.3318915331208903</v>
      </c>
      <c r="T685" s="2">
        <f t="shared" si="137"/>
        <v>0.14541894017199772</v>
      </c>
      <c r="U685" s="1" t="s">
        <v>2507</v>
      </c>
      <c r="V685" s="6" t="s">
        <v>2505</v>
      </c>
    </row>
    <row r="686" spans="1:24" ht="14.25" customHeight="1" x14ac:dyDescent="0.3">
      <c r="A686" s="1" t="s">
        <v>40</v>
      </c>
      <c r="B686" s="1" t="s">
        <v>1380</v>
      </c>
      <c r="C686" s="1" t="s">
        <v>1381</v>
      </c>
      <c r="D686" s="1">
        <f t="shared" si="128"/>
        <v>61</v>
      </c>
      <c r="E686" s="1">
        <f t="shared" si="129"/>
        <v>0.88459490740740743</v>
      </c>
      <c r="F686" s="2">
        <f t="shared" si="130"/>
        <v>383.84240840998285</v>
      </c>
      <c r="G686" s="1">
        <v>2080</v>
      </c>
      <c r="H686" s="1">
        <v>3744</v>
      </c>
      <c r="I686" s="1">
        <v>0</v>
      </c>
      <c r="J686" s="1">
        <v>143</v>
      </c>
      <c r="K686" s="1">
        <f t="shared" ref="K686:K749" si="139">(32.67*I686)/H686</f>
        <v>0</v>
      </c>
      <c r="L686" s="1">
        <f t="shared" si="131"/>
        <v>1.2478125</v>
      </c>
      <c r="M686" s="1">
        <f t="shared" si="132"/>
        <v>1.2478125</v>
      </c>
      <c r="N686" s="2">
        <f t="shared" si="138"/>
        <v>13.463561232156275</v>
      </c>
      <c r="O686" s="1">
        <v>1167</v>
      </c>
      <c r="P686" s="1">
        <f t="shared" si="133"/>
        <v>705</v>
      </c>
      <c r="Q686" s="1">
        <f t="shared" si="134"/>
        <v>5.2356926181860075</v>
      </c>
      <c r="R686" s="1">
        <f t="shared" si="135"/>
        <v>1.9717752648617175</v>
      </c>
      <c r="S686" s="2">
        <f t="shared" si="136"/>
        <v>8.331891533120892</v>
      </c>
      <c r="T686" s="2">
        <f t="shared" si="137"/>
        <v>0.14541894017199775</v>
      </c>
      <c r="U686" s="1" t="s">
        <v>2507</v>
      </c>
      <c r="V686" s="6" t="s">
        <v>2505</v>
      </c>
    </row>
    <row r="687" spans="1:24" ht="14.25" customHeight="1" x14ac:dyDescent="0.3">
      <c r="A687" s="1" t="s">
        <v>17</v>
      </c>
      <c r="B687" s="1" t="s">
        <v>1382</v>
      </c>
      <c r="C687" s="1" t="s">
        <v>1383</v>
      </c>
      <c r="D687" s="1">
        <f t="shared" si="128"/>
        <v>69</v>
      </c>
      <c r="E687" s="1">
        <f t="shared" si="129"/>
        <v>0.75314814814814823</v>
      </c>
      <c r="F687" s="2">
        <f t="shared" si="130"/>
        <v>433.2819865209654</v>
      </c>
      <c r="G687" s="1">
        <v>2080</v>
      </c>
      <c r="H687" s="1">
        <v>3744</v>
      </c>
      <c r="I687" s="1">
        <v>0</v>
      </c>
      <c r="J687" s="1">
        <v>178</v>
      </c>
      <c r="K687" s="1">
        <f t="shared" si="139"/>
        <v>0</v>
      </c>
      <c r="L687" s="1">
        <f t="shared" si="131"/>
        <v>1.5532211538461538</v>
      </c>
      <c r="M687" s="1">
        <f t="shared" si="132"/>
        <v>1.5532211538461538</v>
      </c>
      <c r="N687" s="2">
        <f t="shared" si="138"/>
        <v>10.81623177639521</v>
      </c>
      <c r="O687" s="1">
        <v>1165</v>
      </c>
      <c r="P687" s="1">
        <f t="shared" si="133"/>
        <v>707</v>
      </c>
      <c r="Q687" s="1">
        <f t="shared" si="134"/>
        <v>4.2062024966325788</v>
      </c>
      <c r="R687" s="1">
        <f t="shared" si="135"/>
        <v>1.5885604514525817</v>
      </c>
      <c r="S687" s="2">
        <f t="shared" si="136"/>
        <v>8.3551948987236067</v>
      </c>
      <c r="T687" s="2">
        <f t="shared" si="137"/>
        <v>0.14582566062856112</v>
      </c>
      <c r="U687" s="1" t="s">
        <v>2507</v>
      </c>
      <c r="V687" s="6" t="s">
        <v>2505</v>
      </c>
    </row>
    <row r="688" spans="1:24" ht="14.25" customHeight="1" x14ac:dyDescent="0.3">
      <c r="A688" s="1" t="s">
        <v>27</v>
      </c>
      <c r="B688" s="1" t="s">
        <v>1384</v>
      </c>
      <c r="C688" s="1" t="s">
        <v>1385</v>
      </c>
      <c r="D688" s="1">
        <f t="shared" si="128"/>
        <v>25</v>
      </c>
      <c r="E688" s="1">
        <f t="shared" si="129"/>
        <v>0.30996527777777777</v>
      </c>
      <c r="F688" s="2">
        <f t="shared" si="130"/>
        <v>154.03723290555882</v>
      </c>
      <c r="G688" s="1">
        <v>2080</v>
      </c>
      <c r="H688" s="1">
        <v>3744</v>
      </c>
      <c r="I688" s="1">
        <v>0</v>
      </c>
      <c r="J688" s="1">
        <v>256</v>
      </c>
      <c r="K688" s="1">
        <f t="shared" si="139"/>
        <v>0</v>
      </c>
      <c r="L688" s="1">
        <f t="shared" si="131"/>
        <v>2.2338461538461538</v>
      </c>
      <c r="M688" s="1">
        <f t="shared" si="132"/>
        <v>2.2338461538461538</v>
      </c>
      <c r="N688" s="2">
        <f t="shared" si="138"/>
        <v>7.5206611570247937</v>
      </c>
      <c r="O688" s="1">
        <v>1164</v>
      </c>
      <c r="P688" s="1">
        <f t="shared" si="133"/>
        <v>708</v>
      </c>
      <c r="Q688" s="1">
        <f t="shared" si="134"/>
        <v>2.9246251734398396</v>
      </c>
      <c r="R688" s="1">
        <f t="shared" si="135"/>
        <v>1.1061082386727599</v>
      </c>
      <c r="S688" s="2">
        <f t="shared" si="136"/>
        <v>8.366845538092619</v>
      </c>
      <c r="T688" s="2">
        <f t="shared" si="137"/>
        <v>0.14602900264551286</v>
      </c>
      <c r="U688" s="1" t="s">
        <v>2507</v>
      </c>
      <c r="V688" s="6" t="s">
        <v>2505</v>
      </c>
    </row>
    <row r="689" spans="1:24" ht="14.25" customHeight="1" x14ac:dyDescent="0.3">
      <c r="A689" s="1" t="s">
        <v>14</v>
      </c>
      <c r="B689" s="1" t="s">
        <v>1386</v>
      </c>
      <c r="C689" s="1" t="s">
        <v>1387</v>
      </c>
      <c r="D689" s="1">
        <f t="shared" si="128"/>
        <v>47</v>
      </c>
      <c r="E689" s="1">
        <f t="shared" si="129"/>
        <v>0.93295138888888884</v>
      </c>
      <c r="F689" s="2">
        <f t="shared" si="130"/>
        <v>296.18164684342003</v>
      </c>
      <c r="G689" s="1">
        <v>2080</v>
      </c>
      <c r="H689" s="1">
        <v>3744</v>
      </c>
      <c r="I689" s="1">
        <v>0</v>
      </c>
      <c r="J689" s="1">
        <v>166</v>
      </c>
      <c r="K689" s="1">
        <f t="shared" si="139"/>
        <v>0</v>
      </c>
      <c r="L689" s="1">
        <f t="shared" si="131"/>
        <v>1.4485096153846153</v>
      </c>
      <c r="M689" s="1">
        <f t="shared" si="132"/>
        <v>1.4485096153846153</v>
      </c>
      <c r="N689" s="2">
        <f t="shared" si="138"/>
        <v>11.598128049387634</v>
      </c>
      <c r="O689" s="1">
        <v>1161</v>
      </c>
      <c r="P689" s="1">
        <f t="shared" si="133"/>
        <v>711</v>
      </c>
      <c r="Q689" s="1">
        <f t="shared" si="134"/>
        <v>4.5102653277144515</v>
      </c>
      <c r="R689" s="1">
        <f t="shared" si="135"/>
        <v>1.7130334658146233</v>
      </c>
      <c r="S689" s="2">
        <f t="shared" si="136"/>
        <v>8.4017932716589634</v>
      </c>
      <c r="T689" s="2">
        <f t="shared" si="137"/>
        <v>0.1466389556623553</v>
      </c>
      <c r="U689" s="1" t="s">
        <v>2507</v>
      </c>
      <c r="V689" s="6" t="s">
        <v>2505</v>
      </c>
    </row>
    <row r="690" spans="1:24" ht="14.25" customHeight="1" x14ac:dyDescent="0.3">
      <c r="A690" s="1" t="s">
        <v>27</v>
      </c>
      <c r="B690" s="1" t="s">
        <v>1388</v>
      </c>
      <c r="C690" s="1" t="s">
        <v>1389</v>
      </c>
      <c r="D690" s="1">
        <f t="shared" si="128"/>
        <v>88</v>
      </c>
      <c r="E690" s="1">
        <f t="shared" si="129"/>
        <v>0.3376851851851852</v>
      </c>
      <c r="F690" s="2">
        <f t="shared" si="130"/>
        <v>550.0520765728113</v>
      </c>
      <c r="G690" s="1">
        <v>2080</v>
      </c>
      <c r="H690" s="1">
        <v>3744</v>
      </c>
      <c r="I690" s="1">
        <v>0</v>
      </c>
      <c r="J690" s="1">
        <v>268</v>
      </c>
      <c r="K690" s="1">
        <f t="shared" si="139"/>
        <v>0</v>
      </c>
      <c r="L690" s="1">
        <f t="shared" si="131"/>
        <v>2.3385576923076923</v>
      </c>
      <c r="M690" s="1">
        <f t="shared" si="132"/>
        <v>2.3385576923076923</v>
      </c>
      <c r="N690" s="2">
        <f t="shared" si="138"/>
        <v>7.1839151350684594</v>
      </c>
      <c r="O690" s="1">
        <v>1161</v>
      </c>
      <c r="P690" s="1">
        <f t="shared" si="133"/>
        <v>711</v>
      </c>
      <c r="Q690" s="1">
        <f t="shared" si="134"/>
        <v>2.7936718074649214</v>
      </c>
      <c r="R690" s="1">
        <f t="shared" si="135"/>
        <v>1.0610580422583114</v>
      </c>
      <c r="S690" s="2">
        <f t="shared" si="136"/>
        <v>8.4017932716589634</v>
      </c>
      <c r="T690" s="2">
        <f t="shared" si="137"/>
        <v>0.1466389556623553</v>
      </c>
      <c r="U690" s="1" t="s">
        <v>2507</v>
      </c>
      <c r="V690" s="6" t="s">
        <v>2505</v>
      </c>
    </row>
    <row r="691" spans="1:24" ht="14.25" customHeight="1" x14ac:dyDescent="0.3">
      <c r="A691" s="1" t="s">
        <v>17</v>
      </c>
      <c r="B691" s="1" t="s">
        <v>1390</v>
      </c>
      <c r="C691" s="1" t="s">
        <v>1391</v>
      </c>
      <c r="D691" s="1">
        <f t="shared" si="128"/>
        <v>69</v>
      </c>
      <c r="E691" s="1">
        <f t="shared" si="129"/>
        <v>0.75315972222222216</v>
      </c>
      <c r="F691" s="2">
        <f t="shared" si="130"/>
        <v>433.28205924301761</v>
      </c>
      <c r="G691" s="1">
        <v>2080</v>
      </c>
      <c r="H691" s="1">
        <v>3744</v>
      </c>
      <c r="I691" s="1">
        <v>0</v>
      </c>
      <c r="J691" s="1">
        <v>178</v>
      </c>
      <c r="K691" s="1">
        <f t="shared" si="139"/>
        <v>0</v>
      </c>
      <c r="L691" s="1">
        <f t="shared" si="131"/>
        <v>1.5532211538461538</v>
      </c>
      <c r="M691" s="1">
        <f t="shared" si="132"/>
        <v>1.5532211538461538</v>
      </c>
      <c r="N691" s="2">
        <f t="shared" si="138"/>
        <v>10.81623177639521</v>
      </c>
      <c r="O691" s="1">
        <v>1158</v>
      </c>
      <c r="P691" s="1">
        <f t="shared" si="133"/>
        <v>714</v>
      </c>
      <c r="Q691" s="1">
        <f t="shared" si="134"/>
        <v>4.2062024966325788</v>
      </c>
      <c r="R691" s="1">
        <f t="shared" si="135"/>
        <v>1.6042887727540924</v>
      </c>
      <c r="S691" s="2">
        <f t="shared" si="136"/>
        <v>8.4367347095105103</v>
      </c>
      <c r="T691" s="2">
        <f t="shared" si="137"/>
        <v>0.14724879879824576</v>
      </c>
      <c r="U691" s="1" t="s">
        <v>2507</v>
      </c>
      <c r="V691" s="6" t="s">
        <v>2505</v>
      </c>
    </row>
    <row r="692" spans="1:24" ht="14.25" customHeight="1" x14ac:dyDescent="0.3">
      <c r="A692" s="1" t="s">
        <v>17</v>
      </c>
      <c r="B692" s="1" t="s">
        <v>1392</v>
      </c>
      <c r="C692" s="1" t="s">
        <v>1393</v>
      </c>
      <c r="D692" s="1">
        <f t="shared" si="128"/>
        <v>69</v>
      </c>
      <c r="E692" s="1">
        <f t="shared" si="129"/>
        <v>0.75317129629629631</v>
      </c>
      <c r="F692" s="2">
        <f t="shared" si="130"/>
        <v>433.28213196506977</v>
      </c>
      <c r="G692" s="1">
        <v>2080</v>
      </c>
      <c r="H692" s="1">
        <v>3744</v>
      </c>
      <c r="I692" s="1">
        <v>0</v>
      </c>
      <c r="J692" s="1">
        <v>178</v>
      </c>
      <c r="K692" s="1">
        <f t="shared" si="139"/>
        <v>0</v>
      </c>
      <c r="L692" s="1">
        <f t="shared" si="131"/>
        <v>1.5532211538461538</v>
      </c>
      <c r="M692" s="1">
        <f t="shared" si="132"/>
        <v>1.5532211538461538</v>
      </c>
      <c r="N692" s="2">
        <f t="shared" si="138"/>
        <v>10.81623177639521</v>
      </c>
      <c r="O692" s="1">
        <v>1158</v>
      </c>
      <c r="P692" s="1">
        <f t="shared" si="133"/>
        <v>714</v>
      </c>
      <c r="Q692" s="1">
        <f t="shared" si="134"/>
        <v>4.2062024966325788</v>
      </c>
      <c r="R692" s="1">
        <f t="shared" si="135"/>
        <v>1.6042887727540924</v>
      </c>
      <c r="S692" s="2">
        <f t="shared" si="136"/>
        <v>8.4367347095105103</v>
      </c>
      <c r="T692" s="2">
        <f t="shared" si="137"/>
        <v>0.14724879879824576</v>
      </c>
      <c r="U692" s="1" t="s">
        <v>2507</v>
      </c>
      <c r="V692" s="6" t="s">
        <v>2505</v>
      </c>
    </row>
    <row r="693" spans="1:24" ht="14.25" customHeight="1" x14ac:dyDescent="0.3">
      <c r="A693" s="1" t="s">
        <v>40</v>
      </c>
      <c r="B693" s="1" t="s">
        <v>1394</v>
      </c>
      <c r="C693" s="1" t="s">
        <v>1395</v>
      </c>
      <c r="D693" s="1">
        <f t="shared" si="128"/>
        <v>42</v>
      </c>
      <c r="E693" s="1">
        <f t="shared" si="129"/>
        <v>0.13285879629629629</v>
      </c>
      <c r="F693" s="2">
        <f t="shared" si="130"/>
        <v>259.73859028536111</v>
      </c>
      <c r="G693" s="1">
        <v>2080</v>
      </c>
      <c r="H693" s="1">
        <v>3744</v>
      </c>
      <c r="I693" s="1">
        <v>0</v>
      </c>
      <c r="J693" s="1">
        <v>226</v>
      </c>
      <c r="K693" s="1">
        <f t="shared" si="139"/>
        <v>0</v>
      </c>
      <c r="L693" s="1">
        <f t="shared" si="131"/>
        <v>1.9720673076923074</v>
      </c>
      <c r="M693" s="1">
        <f t="shared" si="132"/>
        <v>1.9720673076923074</v>
      </c>
      <c r="N693" s="2">
        <f t="shared" si="138"/>
        <v>8.5189790097272002</v>
      </c>
      <c r="O693" s="1">
        <v>1157</v>
      </c>
      <c r="P693" s="1">
        <f t="shared" si="133"/>
        <v>715</v>
      </c>
      <c r="Q693" s="1">
        <f t="shared" si="134"/>
        <v>3.3128497539849513</v>
      </c>
      <c r="R693" s="1">
        <f t="shared" si="135"/>
        <v>1.2653245588136965</v>
      </c>
      <c r="S693" s="2">
        <f t="shared" si="136"/>
        <v>8.4483804522156216</v>
      </c>
      <c r="T693" s="2">
        <f t="shared" si="137"/>
        <v>0.14745205535229006</v>
      </c>
      <c r="U693" s="1" t="s">
        <v>2507</v>
      </c>
      <c r="V693" s="6" t="s">
        <v>2505</v>
      </c>
      <c r="W693" s="1"/>
      <c r="X693" s="1"/>
    </row>
    <row r="694" spans="1:24" ht="14.25" customHeight="1" x14ac:dyDescent="0.3">
      <c r="A694" s="1" t="s">
        <v>40</v>
      </c>
      <c r="B694" s="1" t="s">
        <v>1396</v>
      </c>
      <c r="C694" s="1" t="s">
        <v>1397</v>
      </c>
      <c r="D694" s="1">
        <f t="shared" si="128"/>
        <v>72</v>
      </c>
      <c r="E694" s="1">
        <f t="shared" si="129"/>
        <v>0.77282407407407405</v>
      </c>
      <c r="F694" s="2">
        <f t="shared" si="130"/>
        <v>452.25516993118714</v>
      </c>
      <c r="G694" s="1">
        <v>2080</v>
      </c>
      <c r="H694" s="1">
        <v>3744</v>
      </c>
      <c r="I694" s="1">
        <v>0</v>
      </c>
      <c r="J694" s="1">
        <v>102</v>
      </c>
      <c r="K694" s="1">
        <f t="shared" si="139"/>
        <v>0</v>
      </c>
      <c r="L694" s="1">
        <f t="shared" si="131"/>
        <v>0.89004807692307686</v>
      </c>
      <c r="M694" s="1">
        <f t="shared" si="132"/>
        <v>0.89004807692307686</v>
      </c>
      <c r="N694" s="2">
        <f t="shared" si="138"/>
        <v>18.875384864689678</v>
      </c>
      <c r="O694" s="1">
        <v>1157</v>
      </c>
      <c r="P694" s="1">
        <f t="shared" si="133"/>
        <v>715</v>
      </c>
      <c r="Q694" s="1">
        <f t="shared" si="134"/>
        <v>7.3402357294176372</v>
      </c>
      <c r="R694" s="1">
        <f t="shared" si="135"/>
        <v>2.8035622577636805</v>
      </c>
      <c r="S694" s="2">
        <f t="shared" si="136"/>
        <v>8.4483804522156216</v>
      </c>
      <c r="T694" s="2">
        <f t="shared" si="137"/>
        <v>0.14745205535229006</v>
      </c>
      <c r="U694" s="1" t="s">
        <v>2507</v>
      </c>
      <c r="V694" s="6" t="s">
        <v>2505</v>
      </c>
    </row>
    <row r="695" spans="1:24" ht="14.25" customHeight="1" x14ac:dyDescent="0.3">
      <c r="A695" s="1" t="s">
        <v>40</v>
      </c>
      <c r="B695" s="1" t="s">
        <v>1398</v>
      </c>
      <c r="C695" s="1" t="s">
        <v>1399</v>
      </c>
      <c r="D695" s="1">
        <f t="shared" si="128"/>
        <v>93</v>
      </c>
      <c r="E695" s="1">
        <f t="shared" si="129"/>
        <v>0.27769675925925924</v>
      </c>
      <c r="F695" s="2">
        <f t="shared" si="130"/>
        <v>581.09108471233071</v>
      </c>
      <c r="G695" s="1">
        <v>2080</v>
      </c>
      <c r="H695" s="1">
        <v>3744</v>
      </c>
      <c r="I695" s="1">
        <v>0</v>
      </c>
      <c r="J695" s="1">
        <v>105</v>
      </c>
      <c r="K695" s="1">
        <f t="shared" si="139"/>
        <v>0</v>
      </c>
      <c r="L695" s="1">
        <f t="shared" si="131"/>
        <v>0.91622596153846148</v>
      </c>
      <c r="M695" s="1">
        <f t="shared" si="132"/>
        <v>0.91622596153846148</v>
      </c>
      <c r="N695" s="2">
        <f t="shared" si="138"/>
        <v>18.336088154269973</v>
      </c>
      <c r="O695" s="1">
        <v>1155</v>
      </c>
      <c r="P695" s="1">
        <f t="shared" si="133"/>
        <v>717</v>
      </c>
      <c r="Q695" s="1">
        <f t="shared" si="134"/>
        <v>7.1305147085771328</v>
      </c>
      <c r="R695" s="1">
        <f t="shared" si="135"/>
        <v>2.7310785502402801</v>
      </c>
      <c r="S695" s="2">
        <f t="shared" si="136"/>
        <v>8.471669827365325</v>
      </c>
      <c r="T695" s="2">
        <f t="shared" si="137"/>
        <v>0.14785853162938453</v>
      </c>
      <c r="U695" s="1" t="s">
        <v>2507</v>
      </c>
      <c r="V695" s="6" t="s">
        <v>2505</v>
      </c>
    </row>
    <row r="696" spans="1:24" ht="14.25" customHeight="1" x14ac:dyDescent="0.3">
      <c r="A696" s="1" t="s">
        <v>27</v>
      </c>
      <c r="B696" s="1" t="s">
        <v>1400</v>
      </c>
      <c r="C696" s="1" t="s">
        <v>1401</v>
      </c>
      <c r="D696" s="1">
        <f t="shared" si="128"/>
        <v>24</v>
      </c>
      <c r="E696" s="1">
        <f t="shared" si="129"/>
        <v>2.5462962962962961E-3</v>
      </c>
      <c r="F696" s="2">
        <f t="shared" si="130"/>
        <v>145.82247717078667</v>
      </c>
      <c r="G696" s="1">
        <v>2080</v>
      </c>
      <c r="H696" s="1">
        <v>3744</v>
      </c>
      <c r="I696" s="1">
        <v>0</v>
      </c>
      <c r="J696" s="1">
        <v>193</v>
      </c>
      <c r="K696" s="1">
        <f t="shared" si="139"/>
        <v>0</v>
      </c>
      <c r="L696" s="1">
        <f t="shared" si="131"/>
        <v>1.6841105769230769</v>
      </c>
      <c r="M696" s="1">
        <f t="shared" si="132"/>
        <v>1.6841105769230769</v>
      </c>
      <c r="N696" s="2">
        <f t="shared" si="138"/>
        <v>9.9755920010277066</v>
      </c>
      <c r="O696" s="1">
        <v>1153</v>
      </c>
      <c r="P696" s="1">
        <f t="shared" si="133"/>
        <v>719</v>
      </c>
      <c r="Q696" s="1">
        <f t="shared" si="134"/>
        <v>3.8792955668424822</v>
      </c>
      <c r="R696" s="1">
        <f t="shared" si="135"/>
        <v>1.4899644832049919</v>
      </c>
      <c r="S696" s="2">
        <f t="shared" si="136"/>
        <v>8.4949563828473131</v>
      </c>
      <c r="T696" s="2">
        <f t="shared" si="137"/>
        <v>0.14826495869399356</v>
      </c>
      <c r="U696" s="1" t="s">
        <v>2507</v>
      </c>
      <c r="V696" s="6" t="s">
        <v>2505</v>
      </c>
    </row>
    <row r="697" spans="1:24" ht="14.25" customHeight="1" x14ac:dyDescent="0.3">
      <c r="A697" s="1" t="s">
        <v>357</v>
      </c>
      <c r="B697" s="1" t="s">
        <v>1402</v>
      </c>
      <c r="C697" s="1" t="s">
        <v>1403</v>
      </c>
      <c r="D697" s="1">
        <f t="shared" si="128"/>
        <v>17</v>
      </c>
      <c r="E697" s="1">
        <f t="shared" si="129"/>
        <v>0.87373842592592599</v>
      </c>
      <c r="F697" s="2">
        <f t="shared" si="130"/>
        <v>107.31404160914896</v>
      </c>
      <c r="G697" s="1">
        <v>2080</v>
      </c>
      <c r="H697" s="1">
        <v>3744</v>
      </c>
      <c r="I697" s="1">
        <v>0</v>
      </c>
      <c r="J697" s="1">
        <v>606</v>
      </c>
      <c r="K697" s="1">
        <f t="shared" si="139"/>
        <v>0</v>
      </c>
      <c r="L697" s="1">
        <f t="shared" si="131"/>
        <v>5.2879326923076917</v>
      </c>
      <c r="M697" s="1">
        <f t="shared" si="132"/>
        <v>5.2879326923076917</v>
      </c>
      <c r="N697" s="2">
        <f t="shared" si="138"/>
        <v>3.1770449772249956</v>
      </c>
      <c r="O697" s="1">
        <v>1152</v>
      </c>
      <c r="P697" s="1">
        <f t="shared" si="133"/>
        <v>720</v>
      </c>
      <c r="Q697" s="1">
        <f t="shared" si="134"/>
        <v>1.2354852217831667</v>
      </c>
      <c r="R697" s="1">
        <f t="shared" si="135"/>
        <v>0.47518662376275644</v>
      </c>
      <c r="S697" s="2">
        <f t="shared" si="136"/>
        <v>8.506598600969058</v>
      </c>
      <c r="T697" s="2">
        <f t="shared" si="137"/>
        <v>0.14846815373245337</v>
      </c>
      <c r="U697" s="1" t="s">
        <v>2507</v>
      </c>
      <c r="V697" s="6" t="s">
        <v>2505</v>
      </c>
    </row>
    <row r="698" spans="1:24" ht="14.25" customHeight="1" x14ac:dyDescent="0.3">
      <c r="A698" s="1" t="s">
        <v>286</v>
      </c>
      <c r="B698" s="1" t="s">
        <v>1404</v>
      </c>
      <c r="C698" s="1" t="s">
        <v>1405</v>
      </c>
      <c r="D698" s="1">
        <f t="shared" si="128"/>
        <v>29</v>
      </c>
      <c r="E698" s="1">
        <f t="shared" si="129"/>
        <v>0.19519675925925925</v>
      </c>
      <c r="F698" s="2">
        <f t="shared" si="130"/>
        <v>178.44886226499486</v>
      </c>
      <c r="G698" s="1">
        <v>2080</v>
      </c>
      <c r="H698" s="1">
        <v>3744</v>
      </c>
      <c r="I698" s="1">
        <v>0</v>
      </c>
      <c r="J698" s="1">
        <v>447</v>
      </c>
      <c r="K698" s="1">
        <f t="shared" si="139"/>
        <v>0</v>
      </c>
      <c r="L698" s="1">
        <f t="shared" si="131"/>
        <v>3.9005048076923075</v>
      </c>
      <c r="M698" s="1">
        <f t="shared" si="132"/>
        <v>3.9005048076923075</v>
      </c>
      <c r="N698" s="2">
        <f t="shared" si="138"/>
        <v>4.3071348013385844</v>
      </c>
      <c r="O698" s="1">
        <v>1152</v>
      </c>
      <c r="P698" s="1">
        <f t="shared" si="133"/>
        <v>720</v>
      </c>
      <c r="Q698" s="1">
        <f t="shared" si="134"/>
        <v>1.6749531194644272</v>
      </c>
      <c r="R698" s="1">
        <f t="shared" si="135"/>
        <v>0.64421273825554892</v>
      </c>
      <c r="S698" s="2">
        <f t="shared" si="136"/>
        <v>8.506598600969058</v>
      </c>
      <c r="T698" s="2">
        <f t="shared" si="137"/>
        <v>0.14846815373245337</v>
      </c>
      <c r="U698" s="1" t="s">
        <v>2507</v>
      </c>
      <c r="V698" s="6" t="s">
        <v>2505</v>
      </c>
    </row>
    <row r="699" spans="1:24" ht="14.25" customHeight="1" x14ac:dyDescent="0.3">
      <c r="A699" s="1" t="s">
        <v>40</v>
      </c>
      <c r="B699" s="1" t="s">
        <v>1406</v>
      </c>
      <c r="C699" s="1" t="s">
        <v>706</v>
      </c>
      <c r="D699" s="1">
        <f t="shared" si="128"/>
        <v>8</v>
      </c>
      <c r="E699" s="1">
        <f t="shared" si="129"/>
        <v>0.96442129629629625</v>
      </c>
      <c r="F699" s="2">
        <f t="shared" si="130"/>
        <v>51.335151123256665</v>
      </c>
      <c r="G699" s="1">
        <v>2080</v>
      </c>
      <c r="H699" s="1">
        <v>3744</v>
      </c>
      <c r="I699" s="1">
        <v>0</v>
      </c>
      <c r="J699" s="1">
        <v>215</v>
      </c>
      <c r="K699" s="1">
        <f t="shared" si="139"/>
        <v>0</v>
      </c>
      <c r="L699" s="1">
        <f t="shared" si="131"/>
        <v>1.8760817307692306</v>
      </c>
      <c r="M699" s="1">
        <f t="shared" si="132"/>
        <v>1.8760817307692306</v>
      </c>
      <c r="N699" s="2">
        <f t="shared" si="138"/>
        <v>8.9548337497597554</v>
      </c>
      <c r="O699" s="1">
        <v>1151</v>
      </c>
      <c r="P699" s="1">
        <f t="shared" si="133"/>
        <v>721</v>
      </c>
      <c r="Q699" s="1">
        <f t="shared" si="134"/>
        <v>3.4823443925609259</v>
      </c>
      <c r="R699" s="1">
        <f t="shared" si="135"/>
        <v>1.3412234546134763</v>
      </c>
      <c r="S699" s="2">
        <f t="shared" si="136"/>
        <v>8.5182401114819353</v>
      </c>
      <c r="T699" s="2">
        <f t="shared" si="137"/>
        <v>0.1486713364208086</v>
      </c>
      <c r="U699" s="1" t="s">
        <v>2507</v>
      </c>
      <c r="V699" s="6" t="s">
        <v>2505</v>
      </c>
    </row>
    <row r="700" spans="1:24" ht="14.25" customHeight="1" x14ac:dyDescent="0.3">
      <c r="A700" s="1" t="s">
        <v>27</v>
      </c>
      <c r="B700" s="1" t="s">
        <v>1407</v>
      </c>
      <c r="C700" s="1" t="s">
        <v>1408</v>
      </c>
      <c r="D700" s="1">
        <f t="shared" si="128"/>
        <v>51</v>
      </c>
      <c r="E700" s="1">
        <f t="shared" si="129"/>
        <v>0.83114583333333336</v>
      </c>
      <c r="F700" s="2">
        <f t="shared" si="130"/>
        <v>320.67472490128245</v>
      </c>
      <c r="G700" s="1">
        <v>2080</v>
      </c>
      <c r="H700" s="1">
        <v>3744</v>
      </c>
      <c r="I700" s="1">
        <v>0</v>
      </c>
      <c r="J700" s="1">
        <v>218</v>
      </c>
      <c r="K700" s="1">
        <f t="shared" si="139"/>
        <v>0</v>
      </c>
      <c r="L700" s="1">
        <f t="shared" si="131"/>
        <v>1.9022596153846152</v>
      </c>
      <c r="M700" s="1">
        <f t="shared" si="132"/>
        <v>1.9022596153846152</v>
      </c>
      <c r="N700" s="2">
        <f t="shared" si="138"/>
        <v>8.8316020926529699</v>
      </c>
      <c r="O700" s="1">
        <v>1151</v>
      </c>
      <c r="P700" s="1">
        <f t="shared" si="133"/>
        <v>721</v>
      </c>
      <c r="Q700" s="1">
        <f t="shared" si="134"/>
        <v>3.4344222220210967</v>
      </c>
      <c r="R700" s="1">
        <f t="shared" si="135"/>
        <v>1.3227662511096212</v>
      </c>
      <c r="S700" s="2">
        <f t="shared" si="136"/>
        <v>8.5182401114819353</v>
      </c>
      <c r="T700" s="2">
        <f t="shared" si="137"/>
        <v>0.1486713364208086</v>
      </c>
      <c r="U700" s="1" t="s">
        <v>2507</v>
      </c>
      <c r="V700" s="6" t="s">
        <v>2505</v>
      </c>
    </row>
    <row r="701" spans="1:24" ht="14.25" customHeight="1" x14ac:dyDescent="0.3">
      <c r="A701" s="1" t="s">
        <v>27</v>
      </c>
      <c r="B701" s="1" t="s">
        <v>1409</v>
      </c>
      <c r="C701" s="1" t="s">
        <v>1410</v>
      </c>
      <c r="D701" s="1">
        <f t="shared" si="128"/>
        <v>32</v>
      </c>
      <c r="E701" s="1">
        <f t="shared" si="129"/>
        <v>0.93532407407407403</v>
      </c>
      <c r="F701" s="2">
        <f t="shared" si="130"/>
        <v>201.94877525642033</v>
      </c>
      <c r="G701" s="1">
        <v>2080</v>
      </c>
      <c r="H701" s="1">
        <v>3744</v>
      </c>
      <c r="I701" s="1">
        <v>0</v>
      </c>
      <c r="J701" s="1">
        <v>168</v>
      </c>
      <c r="K701" s="1">
        <f t="shared" si="139"/>
        <v>0</v>
      </c>
      <c r="L701" s="1">
        <f t="shared" si="131"/>
        <v>1.4659615384615383</v>
      </c>
      <c r="M701" s="1">
        <f t="shared" si="132"/>
        <v>1.4659615384615383</v>
      </c>
      <c r="N701" s="2">
        <f t="shared" si="138"/>
        <v>11.460055096418735</v>
      </c>
      <c r="O701" s="1">
        <v>1150</v>
      </c>
      <c r="P701" s="1">
        <f t="shared" si="133"/>
        <v>722</v>
      </c>
      <c r="Q701" s="1">
        <f t="shared" si="134"/>
        <v>4.4565716928607086</v>
      </c>
      <c r="R701" s="1">
        <f t="shared" si="135"/>
        <v>1.7188273302593118</v>
      </c>
      <c r="S701" s="2">
        <f t="shared" si="136"/>
        <v>8.5298809134893432</v>
      </c>
      <c r="T701" s="2">
        <f t="shared" si="137"/>
        <v>0.14887450674341063</v>
      </c>
      <c r="U701" s="1" t="s">
        <v>2507</v>
      </c>
      <c r="V701" s="6" t="s">
        <v>2505</v>
      </c>
    </row>
    <row r="702" spans="1:24" ht="14.25" customHeight="1" x14ac:dyDescent="0.3">
      <c r="A702" s="1" t="s">
        <v>27</v>
      </c>
      <c r="B702" s="1" t="s">
        <v>1411</v>
      </c>
      <c r="C702" s="1" t="s">
        <v>1412</v>
      </c>
      <c r="D702" s="1">
        <f t="shared" si="128"/>
        <v>4</v>
      </c>
      <c r="E702" s="1">
        <f t="shared" si="129"/>
        <v>0.1474074074074074</v>
      </c>
      <c r="F702" s="2">
        <f t="shared" si="130"/>
        <v>21.068960232110005</v>
      </c>
      <c r="G702" s="1">
        <v>2080</v>
      </c>
      <c r="H702" s="1">
        <v>3744</v>
      </c>
      <c r="I702" s="1">
        <v>0</v>
      </c>
      <c r="J702" s="1">
        <v>226</v>
      </c>
      <c r="K702" s="1">
        <f t="shared" si="139"/>
        <v>0</v>
      </c>
      <c r="L702" s="1">
        <f t="shared" si="131"/>
        <v>1.9720673076923074</v>
      </c>
      <c r="M702" s="1">
        <f t="shared" si="132"/>
        <v>1.9720673076923074</v>
      </c>
      <c r="N702" s="2">
        <f t="shared" si="138"/>
        <v>8.5189790097272002</v>
      </c>
      <c r="O702" s="1">
        <v>1149</v>
      </c>
      <c r="P702" s="1">
        <f t="shared" si="133"/>
        <v>723</v>
      </c>
      <c r="Q702" s="1">
        <f t="shared" si="134"/>
        <v>3.3128497539849513</v>
      </c>
      <c r="R702" s="1">
        <f t="shared" si="135"/>
        <v>1.2794820363948289</v>
      </c>
      <c r="S702" s="2">
        <f t="shared" si="136"/>
        <v>8.5415210060950262</v>
      </c>
      <c r="T702" s="2">
        <f t="shared" si="137"/>
        <v>0.14907766468461686</v>
      </c>
      <c r="U702" s="1" t="s">
        <v>2507</v>
      </c>
      <c r="V702" s="6" t="s">
        <v>2505</v>
      </c>
    </row>
    <row r="703" spans="1:24" ht="14.25" customHeight="1" x14ac:dyDescent="0.3">
      <c r="A703" s="1" t="s">
        <v>27</v>
      </c>
      <c r="B703" s="1" t="s">
        <v>1413</v>
      </c>
      <c r="C703" s="1" t="s">
        <v>1414</v>
      </c>
      <c r="D703" s="1">
        <f t="shared" si="128"/>
        <v>34</v>
      </c>
      <c r="E703" s="1">
        <f t="shared" si="129"/>
        <v>0.76847222222222233</v>
      </c>
      <c r="F703" s="2">
        <f t="shared" si="130"/>
        <v>213.46678476674822</v>
      </c>
      <c r="G703" s="1">
        <v>2080</v>
      </c>
      <c r="H703" s="1">
        <v>3744</v>
      </c>
      <c r="I703" s="1">
        <v>0</v>
      </c>
      <c r="J703" s="1">
        <v>237</v>
      </c>
      <c r="K703" s="1">
        <f t="shared" si="139"/>
        <v>0</v>
      </c>
      <c r="L703" s="1">
        <f t="shared" si="131"/>
        <v>2.0680528846153843</v>
      </c>
      <c r="M703" s="1">
        <f t="shared" si="132"/>
        <v>2.0680528846153843</v>
      </c>
      <c r="N703" s="2">
        <f t="shared" si="138"/>
        <v>8.1235833594866982</v>
      </c>
      <c r="O703" s="1">
        <v>1149</v>
      </c>
      <c r="P703" s="1">
        <f t="shared" si="133"/>
        <v>723</v>
      </c>
      <c r="Q703" s="1">
        <f t="shared" si="134"/>
        <v>3.1590887949392368</v>
      </c>
      <c r="R703" s="1">
        <f t="shared" si="135"/>
        <v>1.2200967941992886</v>
      </c>
      <c r="S703" s="2">
        <f t="shared" si="136"/>
        <v>8.5415210060950262</v>
      </c>
      <c r="T703" s="2">
        <f t="shared" si="137"/>
        <v>0.14907766468461686</v>
      </c>
      <c r="U703" s="1" t="s">
        <v>2507</v>
      </c>
      <c r="V703" s="6" t="s">
        <v>2505</v>
      </c>
    </row>
    <row r="704" spans="1:24" ht="14.25" customHeight="1" x14ac:dyDescent="0.3">
      <c r="A704" s="1" t="s">
        <v>27</v>
      </c>
      <c r="B704" s="1" t="s">
        <v>1415</v>
      </c>
      <c r="C704" s="1" t="s">
        <v>1416</v>
      </c>
      <c r="D704" s="1">
        <f t="shared" si="128"/>
        <v>25</v>
      </c>
      <c r="E704" s="1">
        <f t="shared" si="129"/>
        <v>0.16059027777777776</v>
      </c>
      <c r="F704" s="2">
        <f t="shared" si="130"/>
        <v>153.09868210029887</v>
      </c>
      <c r="G704" s="1">
        <v>2080</v>
      </c>
      <c r="H704" s="1">
        <v>3744</v>
      </c>
      <c r="I704" s="1">
        <v>0</v>
      </c>
      <c r="J704" s="1">
        <v>252</v>
      </c>
      <c r="K704" s="1">
        <f t="shared" si="139"/>
        <v>0</v>
      </c>
      <c r="L704" s="1">
        <f t="shared" si="131"/>
        <v>2.1989423076923074</v>
      </c>
      <c r="M704" s="1">
        <f t="shared" si="132"/>
        <v>2.1989423076923074</v>
      </c>
      <c r="N704" s="2">
        <f t="shared" ref="N704:N735" si="140">42*0.4/M704</f>
        <v>7.6400367309458233</v>
      </c>
      <c r="O704" s="1">
        <v>1148</v>
      </c>
      <c r="P704" s="1">
        <f t="shared" si="133"/>
        <v>724</v>
      </c>
      <c r="Q704" s="1">
        <f t="shared" si="134"/>
        <v>2.9710477952404726</v>
      </c>
      <c r="R704" s="1">
        <f t="shared" si="135"/>
        <v>1.1490590832019776</v>
      </c>
      <c r="S704" s="2">
        <f t="shared" si="136"/>
        <v>8.5531603884030698</v>
      </c>
      <c r="T704" s="2">
        <f t="shared" si="137"/>
        <v>0.14928081022879058</v>
      </c>
      <c r="U704" s="1" t="s">
        <v>2507</v>
      </c>
      <c r="V704" s="6" t="s">
        <v>2505</v>
      </c>
    </row>
    <row r="705" spans="1:22" ht="14.25" customHeight="1" x14ac:dyDescent="0.3">
      <c r="A705" s="1" t="s">
        <v>40</v>
      </c>
      <c r="B705" s="1" t="s">
        <v>1417</v>
      </c>
      <c r="C705" s="1" t="s">
        <v>1418</v>
      </c>
      <c r="D705" s="1">
        <f t="shared" si="128"/>
        <v>55</v>
      </c>
      <c r="E705" s="1">
        <f t="shared" si="129"/>
        <v>0.92158564814814825</v>
      </c>
      <c r="F705" s="2">
        <f t="shared" si="130"/>
        <v>346.37571624562923</v>
      </c>
      <c r="G705" s="1">
        <v>2080</v>
      </c>
      <c r="H705" s="1">
        <v>3744</v>
      </c>
      <c r="I705" s="1">
        <v>0</v>
      </c>
      <c r="J705" s="1">
        <v>99</v>
      </c>
      <c r="K705" s="1">
        <f t="shared" si="139"/>
        <v>0</v>
      </c>
      <c r="L705" s="1">
        <f t="shared" si="131"/>
        <v>0.86387019230769224</v>
      </c>
      <c r="M705" s="1">
        <f t="shared" si="132"/>
        <v>0.86387019230769224</v>
      </c>
      <c r="N705" s="2">
        <f t="shared" si="140"/>
        <v>19.447366224225732</v>
      </c>
      <c r="O705" s="1">
        <v>1147</v>
      </c>
      <c r="P705" s="1">
        <f t="shared" si="133"/>
        <v>725</v>
      </c>
      <c r="Q705" s="1">
        <f t="shared" si="134"/>
        <v>7.5626671151575664</v>
      </c>
      <c r="R705" s="1">
        <f t="shared" si="135"/>
        <v>2.9289175526117712</v>
      </c>
      <c r="S705" s="2">
        <f t="shared" si="136"/>
        <v>8.5647990595179078</v>
      </c>
      <c r="T705" s="2">
        <f t="shared" si="137"/>
        <v>0.14948394336030127</v>
      </c>
      <c r="U705" s="1" t="s">
        <v>2507</v>
      </c>
      <c r="V705" s="6" t="s">
        <v>2505</v>
      </c>
    </row>
    <row r="706" spans="1:22" ht="14.25" customHeight="1" x14ac:dyDescent="0.3">
      <c r="A706" s="1" t="s">
        <v>247</v>
      </c>
      <c r="B706" s="1" t="s">
        <v>1419</v>
      </c>
      <c r="C706" s="1" t="s">
        <v>1420</v>
      </c>
      <c r="D706" s="1">
        <f t="shared" ref="D706:D769" si="141">(LEFT(C706,4)&amp;"-"&amp;MID(C706,6,2)&amp;"-"&amp;MID(C706,9,2))-(2019&amp;"-"&amp;5&amp;"-"&amp;28)</f>
        <v>86</v>
      </c>
      <c r="E706" s="1">
        <f t="shared" ref="E706:E769" si="142">TIMEVALUE(RIGHT(C706,8))</f>
        <v>0.15940972222222222</v>
      </c>
      <c r="F706" s="2">
        <f t="shared" ref="F706:F769" si="143">(D706+E706)*2*PI()-4.989969053</f>
        <v>536.36556818893268</v>
      </c>
      <c r="G706" s="1">
        <v>2080</v>
      </c>
      <c r="H706" s="1">
        <v>3744</v>
      </c>
      <c r="I706" s="1">
        <v>0</v>
      </c>
      <c r="J706" s="1">
        <v>279</v>
      </c>
      <c r="K706" s="1">
        <f t="shared" si="139"/>
        <v>0</v>
      </c>
      <c r="L706" s="1">
        <f t="shared" ref="L706:L769" si="144">(18.15*J706)/G706</f>
        <v>2.4345432692307689</v>
      </c>
      <c r="M706" s="1">
        <f t="shared" ref="M706:M769" si="145">SQRT(K706*K706+L706*L706)</f>
        <v>2.4345432692307689</v>
      </c>
      <c r="N706" s="2">
        <f t="shared" si="140"/>
        <v>6.9006783376284853</v>
      </c>
      <c r="O706" s="1">
        <v>1147</v>
      </c>
      <c r="P706" s="1">
        <f t="shared" ref="P706:P769" si="146">H706/2-O706</f>
        <v>725</v>
      </c>
      <c r="Q706" s="1">
        <f t="shared" ref="Q706:Q769" si="147">TAN(RADIANS(21.25))*N706</f>
        <v>2.6835270408623622</v>
      </c>
      <c r="R706" s="1">
        <f t="shared" ref="R706:R769" si="148">Q706*(P706/(H706/2))</f>
        <v>1.0392933251203058</v>
      </c>
      <c r="S706" s="2">
        <f t="shared" ref="S706:S769" si="149">DEGREES(ATAN(R706/N706))</f>
        <v>8.5647990595179078</v>
      </c>
      <c r="T706" s="2">
        <f t="shared" ref="T706:T769" si="150">RADIANS(S706)</f>
        <v>0.14948394336030127</v>
      </c>
      <c r="U706" s="1" t="s">
        <v>2507</v>
      </c>
      <c r="V706" s="6" t="s">
        <v>2505</v>
      </c>
    </row>
    <row r="707" spans="1:22" ht="14.25" customHeight="1" x14ac:dyDescent="0.3">
      <c r="A707" s="1" t="s">
        <v>27</v>
      </c>
      <c r="B707" s="1" t="s">
        <v>1421</v>
      </c>
      <c r="C707" s="1" t="s">
        <v>1422</v>
      </c>
      <c r="D707" s="1">
        <f t="shared" si="141"/>
        <v>57</v>
      </c>
      <c r="E707" s="1">
        <f t="shared" si="142"/>
        <v>0.15214120370370371</v>
      </c>
      <c r="F707" s="2">
        <f t="shared" si="143"/>
        <v>354.10752483196416</v>
      </c>
      <c r="G707" s="1">
        <v>2080</v>
      </c>
      <c r="H707" s="1">
        <v>3744</v>
      </c>
      <c r="I707" s="1">
        <v>324</v>
      </c>
      <c r="J707" s="1">
        <v>807</v>
      </c>
      <c r="K707" s="1">
        <f t="shared" si="139"/>
        <v>2.8272115384615386</v>
      </c>
      <c r="L707" s="1">
        <f t="shared" si="144"/>
        <v>7.0418509615384615</v>
      </c>
      <c r="M707" s="1">
        <f t="shared" si="145"/>
        <v>7.5882007121405408</v>
      </c>
      <c r="N707" s="2">
        <f t="shared" si="140"/>
        <v>2.2139635781011018</v>
      </c>
      <c r="O707" s="1">
        <v>1147</v>
      </c>
      <c r="P707" s="1">
        <f t="shared" si="146"/>
        <v>725</v>
      </c>
      <c r="Q707" s="1">
        <f t="shared" si="147"/>
        <v>0.86096334862066393</v>
      </c>
      <c r="R707" s="1">
        <f t="shared" si="148"/>
        <v>0.33343933106302426</v>
      </c>
      <c r="S707" s="2">
        <f t="shared" si="149"/>
        <v>8.5647990595179095</v>
      </c>
      <c r="T707" s="2">
        <f t="shared" si="150"/>
        <v>0.1494839433603013</v>
      </c>
      <c r="U707" s="1" t="s">
        <v>2507</v>
      </c>
      <c r="V707" s="6" t="s">
        <v>2505</v>
      </c>
    </row>
    <row r="708" spans="1:22" ht="14.25" customHeight="1" x14ac:dyDescent="0.3">
      <c r="A708" s="1" t="s">
        <v>286</v>
      </c>
      <c r="B708" s="1" t="s">
        <v>1423</v>
      </c>
      <c r="C708" s="1" t="s">
        <v>1424</v>
      </c>
      <c r="D708" s="1">
        <f t="shared" si="141"/>
        <v>45</v>
      </c>
      <c r="E708" s="1">
        <f t="shared" si="142"/>
        <v>0.82268518518518519</v>
      </c>
      <c r="F708" s="2">
        <f t="shared" si="143"/>
        <v>282.92245323807128</v>
      </c>
      <c r="G708" s="1">
        <v>2080</v>
      </c>
      <c r="H708" s="1">
        <v>3744</v>
      </c>
      <c r="I708" s="1">
        <v>0</v>
      </c>
      <c r="J708" s="1">
        <v>348</v>
      </c>
      <c r="K708" s="1">
        <f t="shared" si="139"/>
        <v>0</v>
      </c>
      <c r="L708" s="1">
        <f t="shared" si="144"/>
        <v>3.0366346153846151</v>
      </c>
      <c r="M708" s="1">
        <f t="shared" si="145"/>
        <v>3.0366346153846151</v>
      </c>
      <c r="N708" s="2">
        <f t="shared" si="140"/>
        <v>5.5324403913745615</v>
      </c>
      <c r="O708" s="1">
        <v>1146</v>
      </c>
      <c r="P708" s="1">
        <f t="shared" si="146"/>
        <v>726</v>
      </c>
      <c r="Q708" s="1">
        <f t="shared" si="147"/>
        <v>2.1514484034499972</v>
      </c>
      <c r="R708" s="1">
        <f t="shared" si="148"/>
        <v>0.83437582313285152</v>
      </c>
      <c r="S708" s="2">
        <f t="shared" si="149"/>
        <v>8.5764370185443113</v>
      </c>
      <c r="T708" s="2">
        <f t="shared" si="150"/>
        <v>0.14968706406352419</v>
      </c>
      <c r="U708" s="1" t="s">
        <v>2507</v>
      </c>
      <c r="V708" s="6" t="s">
        <v>2505</v>
      </c>
    </row>
    <row r="709" spans="1:22" ht="14.25" customHeight="1" x14ac:dyDescent="0.3">
      <c r="A709" s="1" t="s">
        <v>30</v>
      </c>
      <c r="B709" s="1" t="s">
        <v>1425</v>
      </c>
      <c r="C709" s="1" t="s">
        <v>1426</v>
      </c>
      <c r="D709" s="1">
        <f t="shared" si="141"/>
        <v>76</v>
      </c>
      <c r="E709" s="1">
        <f t="shared" si="142"/>
        <v>0.11351851851851852</v>
      </c>
      <c r="F709" s="2">
        <f t="shared" si="143"/>
        <v>473.2453721802969</v>
      </c>
      <c r="G709" s="1">
        <v>2080</v>
      </c>
      <c r="H709" s="1">
        <v>3744</v>
      </c>
      <c r="I709" s="1">
        <v>0</v>
      </c>
      <c r="J709" s="1">
        <v>162</v>
      </c>
      <c r="K709" s="1">
        <f t="shared" si="139"/>
        <v>0</v>
      </c>
      <c r="L709" s="1">
        <f t="shared" si="144"/>
        <v>1.4136057692307691</v>
      </c>
      <c r="M709" s="1">
        <f t="shared" si="145"/>
        <v>1.4136057692307691</v>
      </c>
      <c r="N709" s="2">
        <f t="shared" si="140"/>
        <v>11.88450158147128</v>
      </c>
      <c r="O709" s="1">
        <v>1146</v>
      </c>
      <c r="P709" s="1">
        <f t="shared" si="146"/>
        <v>726</v>
      </c>
      <c r="Q709" s="1">
        <f t="shared" si="147"/>
        <v>4.6216299037074018</v>
      </c>
      <c r="R709" s="1">
        <f t="shared" si="148"/>
        <v>1.792362879322422</v>
      </c>
      <c r="S709" s="2">
        <f t="shared" si="149"/>
        <v>8.5764370185443131</v>
      </c>
      <c r="T709" s="2">
        <f t="shared" si="150"/>
        <v>0.14968706406352425</v>
      </c>
      <c r="U709" s="1" t="s">
        <v>2507</v>
      </c>
      <c r="V709" s="6" t="s">
        <v>2505</v>
      </c>
    </row>
    <row r="710" spans="1:22" ht="14.25" customHeight="1" x14ac:dyDescent="0.3">
      <c r="A710" s="1" t="s">
        <v>17</v>
      </c>
      <c r="B710" s="1" t="s">
        <v>1427</v>
      </c>
      <c r="C710" s="1" t="s">
        <v>1428</v>
      </c>
      <c r="D710" s="1">
        <f t="shared" si="141"/>
        <v>5</v>
      </c>
      <c r="E710" s="1">
        <f t="shared" si="142"/>
        <v>0.35420138888888886</v>
      </c>
      <c r="F710" s="2">
        <f t="shared" si="143"/>
        <v>28.651470445347204</v>
      </c>
      <c r="G710" s="1">
        <v>2080</v>
      </c>
      <c r="H710" s="1">
        <v>3744</v>
      </c>
      <c r="I710" s="1">
        <v>0</v>
      </c>
      <c r="J710" s="1">
        <v>188</v>
      </c>
      <c r="K710" s="1">
        <f t="shared" si="139"/>
        <v>0</v>
      </c>
      <c r="L710" s="1">
        <f t="shared" si="144"/>
        <v>1.6404807692307692</v>
      </c>
      <c r="M710" s="1">
        <f t="shared" si="145"/>
        <v>1.6404807692307692</v>
      </c>
      <c r="N710" s="2">
        <f t="shared" si="140"/>
        <v>10.240900298927379</v>
      </c>
      <c r="O710" s="1">
        <v>1145</v>
      </c>
      <c r="P710" s="1">
        <f t="shared" si="146"/>
        <v>727</v>
      </c>
      <c r="Q710" s="1">
        <f t="shared" si="147"/>
        <v>3.9824683212797818</v>
      </c>
      <c r="R710" s="1">
        <f t="shared" si="148"/>
        <v>1.5466102935739323</v>
      </c>
      <c r="S710" s="2">
        <f t="shared" si="149"/>
        <v>8.5880742645874015</v>
      </c>
      <c r="T710" s="2">
        <f t="shared" si="150"/>
        <v>0.14989017232284083</v>
      </c>
      <c r="U710" s="1" t="s">
        <v>2507</v>
      </c>
      <c r="V710" s="6" t="s">
        <v>2505</v>
      </c>
    </row>
    <row r="711" spans="1:22" ht="14.25" customHeight="1" x14ac:dyDescent="0.3">
      <c r="A711" s="1" t="s">
        <v>20</v>
      </c>
      <c r="B711" s="1" t="s">
        <v>1429</v>
      </c>
      <c r="C711" s="1" t="s">
        <v>1430</v>
      </c>
      <c r="D711" s="1">
        <f t="shared" si="141"/>
        <v>21</v>
      </c>
      <c r="E711" s="1">
        <f t="shared" si="142"/>
        <v>9.6354166666666671E-2</v>
      </c>
      <c r="F711" s="2">
        <f t="shared" si="143"/>
        <v>127.56233348205684</v>
      </c>
      <c r="G711" s="1">
        <v>2080</v>
      </c>
      <c r="H711" s="1">
        <v>3744</v>
      </c>
      <c r="I711" s="1">
        <v>0</v>
      </c>
      <c r="J711" s="1">
        <v>289</v>
      </c>
      <c r="K711" s="1">
        <f t="shared" si="139"/>
        <v>0</v>
      </c>
      <c r="L711" s="1">
        <f t="shared" si="144"/>
        <v>2.5218028846153842</v>
      </c>
      <c r="M711" s="1">
        <f t="shared" si="145"/>
        <v>2.5218028846153842</v>
      </c>
      <c r="N711" s="2">
        <f t="shared" si="140"/>
        <v>6.6619005404787108</v>
      </c>
      <c r="O711" s="1">
        <v>1145</v>
      </c>
      <c r="P711" s="1">
        <f t="shared" si="146"/>
        <v>727</v>
      </c>
      <c r="Q711" s="1">
        <f t="shared" si="147"/>
        <v>2.5906714339121075</v>
      </c>
      <c r="R711" s="1">
        <f t="shared" si="148"/>
        <v>1.0060994297297554</v>
      </c>
      <c r="S711" s="2">
        <f t="shared" si="149"/>
        <v>8.5880742645874015</v>
      </c>
      <c r="T711" s="2">
        <f t="shared" si="150"/>
        <v>0.14989017232284083</v>
      </c>
      <c r="U711" s="1" t="s">
        <v>2507</v>
      </c>
      <c r="V711" s="6" t="s">
        <v>2505</v>
      </c>
    </row>
    <row r="712" spans="1:22" ht="14.25" customHeight="1" x14ac:dyDescent="0.3">
      <c r="A712" s="1" t="s">
        <v>17</v>
      </c>
      <c r="B712" s="1" t="s">
        <v>1431</v>
      </c>
      <c r="C712" s="1" t="s">
        <v>1432</v>
      </c>
      <c r="D712" s="1">
        <f t="shared" si="141"/>
        <v>80</v>
      </c>
      <c r="E712" s="1">
        <f t="shared" si="142"/>
        <v>0.92824074074074081</v>
      </c>
      <c r="F712" s="2">
        <f t="shared" si="143"/>
        <v>503.49716410511468</v>
      </c>
      <c r="G712" s="1">
        <v>2080</v>
      </c>
      <c r="H712" s="1">
        <v>3744</v>
      </c>
      <c r="I712" s="1">
        <v>0</v>
      </c>
      <c r="J712" s="1">
        <v>226</v>
      </c>
      <c r="K712" s="1">
        <f t="shared" si="139"/>
        <v>0</v>
      </c>
      <c r="L712" s="1">
        <f t="shared" si="144"/>
        <v>1.9720673076923074</v>
      </c>
      <c r="M712" s="1">
        <f t="shared" si="145"/>
        <v>1.9720673076923074</v>
      </c>
      <c r="N712" s="2">
        <f t="shared" si="140"/>
        <v>8.5189790097272002</v>
      </c>
      <c r="O712" s="1">
        <v>1145</v>
      </c>
      <c r="P712" s="1">
        <f t="shared" si="146"/>
        <v>727</v>
      </c>
      <c r="Q712" s="1">
        <f t="shared" si="147"/>
        <v>3.3128497539849513</v>
      </c>
      <c r="R712" s="1">
        <f t="shared" si="148"/>
        <v>1.2865607751853951</v>
      </c>
      <c r="S712" s="2">
        <f t="shared" si="149"/>
        <v>8.5880742645874015</v>
      </c>
      <c r="T712" s="2">
        <f t="shared" si="150"/>
        <v>0.14989017232284083</v>
      </c>
      <c r="U712" s="1" t="s">
        <v>2507</v>
      </c>
      <c r="V712" s="6" t="s">
        <v>2505</v>
      </c>
    </row>
    <row r="713" spans="1:22" ht="14.25" customHeight="1" x14ac:dyDescent="0.3">
      <c r="A713" s="1" t="s">
        <v>17</v>
      </c>
      <c r="B713" s="1" t="s">
        <v>1433</v>
      </c>
      <c r="C713" s="1" t="s">
        <v>1434</v>
      </c>
      <c r="D713" s="1">
        <f t="shared" si="141"/>
        <v>47</v>
      </c>
      <c r="E713" s="1">
        <f t="shared" si="142"/>
        <v>0.8822916666666667</v>
      </c>
      <c r="F713" s="2">
        <f t="shared" si="143"/>
        <v>295.86334242108757</v>
      </c>
      <c r="G713" s="1">
        <v>2080</v>
      </c>
      <c r="H713" s="1">
        <v>3744</v>
      </c>
      <c r="I713" s="1">
        <v>0</v>
      </c>
      <c r="J713" s="1">
        <v>205</v>
      </c>
      <c r="K713" s="1">
        <f t="shared" si="139"/>
        <v>0</v>
      </c>
      <c r="L713" s="1">
        <f t="shared" si="144"/>
        <v>1.7888221153846151</v>
      </c>
      <c r="M713" s="1">
        <f t="shared" si="145"/>
        <v>1.7888221153846151</v>
      </c>
      <c r="N713" s="2">
        <f t="shared" si="140"/>
        <v>9.3916549082846217</v>
      </c>
      <c r="O713" s="1">
        <v>1143</v>
      </c>
      <c r="P713" s="1">
        <f t="shared" si="146"/>
        <v>729</v>
      </c>
      <c r="Q713" s="1">
        <f t="shared" si="147"/>
        <v>3.6522148507346297</v>
      </c>
      <c r="R713" s="1">
        <f t="shared" si="148"/>
        <v>1.4222567447572356</v>
      </c>
      <c r="S713" s="2">
        <f t="shared" si="149"/>
        <v>8.6113466141458463</v>
      </c>
      <c r="T713" s="2">
        <f t="shared" si="150"/>
        <v>0.15029635144731071</v>
      </c>
      <c r="U713" s="1" t="s">
        <v>2507</v>
      </c>
      <c r="V713" s="6" t="s">
        <v>2505</v>
      </c>
    </row>
    <row r="714" spans="1:22" ht="14.25" customHeight="1" x14ac:dyDescent="0.3">
      <c r="A714" s="1" t="s">
        <v>40</v>
      </c>
      <c r="B714" s="1" t="s">
        <v>1435</v>
      </c>
      <c r="C714" s="1" t="s">
        <v>1436</v>
      </c>
      <c r="D714" s="1">
        <f t="shared" si="141"/>
        <v>93</v>
      </c>
      <c r="E714" s="1">
        <f t="shared" si="142"/>
        <v>0.9709374999999999</v>
      </c>
      <c r="F714" s="2">
        <f t="shared" si="143"/>
        <v>585.44684474889129</v>
      </c>
      <c r="G714" s="1">
        <v>2080</v>
      </c>
      <c r="H714" s="1">
        <v>3744</v>
      </c>
      <c r="I714" s="1">
        <v>0</v>
      </c>
      <c r="J714" s="1">
        <v>129</v>
      </c>
      <c r="K714" s="1">
        <f t="shared" si="139"/>
        <v>0</v>
      </c>
      <c r="L714" s="1">
        <f t="shared" si="144"/>
        <v>1.1256490384615385</v>
      </c>
      <c r="M714" s="1">
        <f t="shared" si="145"/>
        <v>1.1256490384615385</v>
      </c>
      <c r="N714" s="2">
        <f t="shared" si="140"/>
        <v>14.924722916266257</v>
      </c>
      <c r="O714" s="1">
        <v>1143</v>
      </c>
      <c r="P714" s="1">
        <f t="shared" si="146"/>
        <v>729</v>
      </c>
      <c r="Q714" s="1">
        <f t="shared" si="147"/>
        <v>5.8039073209348757</v>
      </c>
      <c r="R714" s="1">
        <f t="shared" si="148"/>
        <v>2.2601754470948316</v>
      </c>
      <c r="S714" s="2">
        <f t="shared" si="149"/>
        <v>8.6113466141458481</v>
      </c>
      <c r="T714" s="2">
        <f t="shared" si="150"/>
        <v>0.15029635144731077</v>
      </c>
      <c r="U714" s="1" t="s">
        <v>2507</v>
      </c>
      <c r="V714" s="6" t="s">
        <v>2505</v>
      </c>
    </row>
    <row r="715" spans="1:22" ht="14.25" customHeight="1" x14ac:dyDescent="0.3">
      <c r="A715" s="1" t="s">
        <v>40</v>
      </c>
      <c r="B715" s="1" t="s">
        <v>1437</v>
      </c>
      <c r="C715" s="1" t="s">
        <v>1438</v>
      </c>
      <c r="D715" s="1">
        <f t="shared" si="141"/>
        <v>31</v>
      </c>
      <c r="E715" s="1">
        <f t="shared" si="142"/>
        <v>7.1307870370370369E-2</v>
      </c>
      <c r="F715" s="2">
        <f t="shared" si="143"/>
        <v>190.23681603296453</v>
      </c>
      <c r="G715" s="1">
        <v>2080</v>
      </c>
      <c r="H715" s="1">
        <v>3744</v>
      </c>
      <c r="I715" s="1">
        <v>0</v>
      </c>
      <c r="J715" s="1">
        <v>144</v>
      </c>
      <c r="K715" s="1">
        <f t="shared" si="139"/>
        <v>0</v>
      </c>
      <c r="L715" s="1">
        <f t="shared" si="144"/>
        <v>1.2565384615384616</v>
      </c>
      <c r="M715" s="1">
        <f t="shared" si="145"/>
        <v>1.2565384615384616</v>
      </c>
      <c r="N715" s="2">
        <f t="shared" si="140"/>
        <v>13.370064279155189</v>
      </c>
      <c r="O715" s="1">
        <v>1140</v>
      </c>
      <c r="P715" s="1">
        <f t="shared" si="146"/>
        <v>732</v>
      </c>
      <c r="Q715" s="1">
        <f t="shared" si="147"/>
        <v>5.199333641670826</v>
      </c>
      <c r="R715" s="1">
        <f t="shared" si="148"/>
        <v>2.0330727701405151</v>
      </c>
      <c r="S715" s="2">
        <f t="shared" si="149"/>
        <v>8.6462497687564976</v>
      </c>
      <c r="T715" s="2">
        <f t="shared" si="150"/>
        <v>0.15090552641459923</v>
      </c>
      <c r="U715" s="1" t="s">
        <v>2507</v>
      </c>
      <c r="V715" s="6" t="s">
        <v>2505</v>
      </c>
    </row>
    <row r="716" spans="1:22" ht="14.25" customHeight="1" x14ac:dyDescent="0.3">
      <c r="A716" s="1" t="s">
        <v>40</v>
      </c>
      <c r="B716" s="1" t="s">
        <v>1439</v>
      </c>
      <c r="C716" s="1" t="s">
        <v>1440</v>
      </c>
      <c r="D716" s="1">
        <f t="shared" si="141"/>
        <v>78</v>
      </c>
      <c r="E716" s="1">
        <f t="shared" si="142"/>
        <v>0.10153935185185185</v>
      </c>
      <c r="F716" s="2">
        <f t="shared" si="143"/>
        <v>485.73647547066383</v>
      </c>
      <c r="G716" s="1">
        <v>2080</v>
      </c>
      <c r="H716" s="1">
        <v>3744</v>
      </c>
      <c r="I716" s="1">
        <v>0</v>
      </c>
      <c r="J716" s="1">
        <v>222</v>
      </c>
      <c r="K716" s="1">
        <f t="shared" si="139"/>
        <v>0</v>
      </c>
      <c r="L716" s="1">
        <f t="shared" si="144"/>
        <v>1.9371634615384614</v>
      </c>
      <c r="M716" s="1">
        <f t="shared" si="145"/>
        <v>1.9371634615384614</v>
      </c>
      <c r="N716" s="2">
        <f t="shared" si="140"/>
        <v>8.6724741270195818</v>
      </c>
      <c r="O716" s="1">
        <v>1140</v>
      </c>
      <c r="P716" s="1">
        <f t="shared" si="146"/>
        <v>732</v>
      </c>
      <c r="Q716" s="1">
        <f t="shared" si="147"/>
        <v>3.3725407405432386</v>
      </c>
      <c r="R716" s="1">
        <f t="shared" si="148"/>
        <v>1.3187499049560099</v>
      </c>
      <c r="S716" s="2">
        <f t="shared" si="149"/>
        <v>8.6462497687564976</v>
      </c>
      <c r="T716" s="2">
        <f t="shared" si="150"/>
        <v>0.15090552641459923</v>
      </c>
      <c r="U716" s="1" t="s">
        <v>2507</v>
      </c>
      <c r="V716" s="6" t="s">
        <v>2505</v>
      </c>
    </row>
    <row r="717" spans="1:22" ht="14.25" customHeight="1" x14ac:dyDescent="0.3">
      <c r="A717" s="1" t="s">
        <v>17</v>
      </c>
      <c r="B717" s="1" t="s">
        <v>1441</v>
      </c>
      <c r="C717" s="1" t="s">
        <v>1442</v>
      </c>
      <c r="D717" s="1">
        <f t="shared" si="141"/>
        <v>73</v>
      </c>
      <c r="E717" s="1">
        <f t="shared" si="142"/>
        <v>1.6203703703703703E-4</v>
      </c>
      <c r="F717" s="2">
        <f t="shared" si="143"/>
        <v>453.68357647984016</v>
      </c>
      <c r="G717" s="1">
        <v>2080</v>
      </c>
      <c r="H717" s="1">
        <v>3744</v>
      </c>
      <c r="I717" s="1">
        <v>0</v>
      </c>
      <c r="J717" s="1">
        <v>234</v>
      </c>
      <c r="K717" s="1">
        <f t="shared" si="139"/>
        <v>0</v>
      </c>
      <c r="L717" s="1">
        <f t="shared" si="144"/>
        <v>2.0418749999999997</v>
      </c>
      <c r="M717" s="1">
        <f t="shared" si="145"/>
        <v>2.0418749999999997</v>
      </c>
      <c r="N717" s="2">
        <f t="shared" si="140"/>
        <v>8.2277318640955013</v>
      </c>
      <c r="O717" s="1">
        <v>1138</v>
      </c>
      <c r="P717" s="1">
        <f t="shared" si="146"/>
        <v>734</v>
      </c>
      <c r="Q717" s="1">
        <f t="shared" si="147"/>
        <v>3.199589933335893</v>
      </c>
      <c r="R717" s="1">
        <f t="shared" si="148"/>
        <v>1.2545400700152487</v>
      </c>
      <c r="S717" s="2">
        <f t="shared" si="149"/>
        <v>8.6695149482588203</v>
      </c>
      <c r="T717" s="2">
        <f t="shared" si="150"/>
        <v>0.15131158039798226</v>
      </c>
      <c r="U717" s="1" t="s">
        <v>2507</v>
      </c>
      <c r="V717" s="6" t="s">
        <v>2505</v>
      </c>
    </row>
    <row r="718" spans="1:22" ht="14.25" customHeight="1" x14ac:dyDescent="0.3">
      <c r="A718" s="1" t="s">
        <v>30</v>
      </c>
      <c r="B718" s="1" t="s">
        <v>1443</v>
      </c>
      <c r="C718" s="1" t="s">
        <v>1444</v>
      </c>
      <c r="D718" s="1">
        <f t="shared" si="141"/>
        <v>47</v>
      </c>
      <c r="E718" s="1">
        <f t="shared" si="142"/>
        <v>0.25158564814814816</v>
      </c>
      <c r="F718" s="2">
        <f t="shared" si="143"/>
        <v>291.90049963238226</v>
      </c>
      <c r="G718" s="1">
        <v>2080</v>
      </c>
      <c r="H718" s="1">
        <v>3744</v>
      </c>
      <c r="I718" s="1">
        <v>0</v>
      </c>
      <c r="J718" s="1">
        <v>89</v>
      </c>
      <c r="K718" s="1">
        <f t="shared" si="139"/>
        <v>0</v>
      </c>
      <c r="L718" s="1">
        <f t="shared" si="144"/>
        <v>0.77661057692307689</v>
      </c>
      <c r="M718" s="1">
        <f t="shared" si="145"/>
        <v>0.77661057692307689</v>
      </c>
      <c r="N718" s="2">
        <f t="shared" si="140"/>
        <v>21.632463552790419</v>
      </c>
      <c r="O718" s="1">
        <v>1137</v>
      </c>
      <c r="P718" s="1">
        <f t="shared" si="146"/>
        <v>735</v>
      </c>
      <c r="Q718" s="1">
        <f t="shared" si="147"/>
        <v>8.4124049932651577</v>
      </c>
      <c r="R718" s="1">
        <f t="shared" si="148"/>
        <v>3.3029474733172495</v>
      </c>
      <c r="S718" s="2">
        <f t="shared" si="149"/>
        <v>8.6811464582611748</v>
      </c>
      <c r="T718" s="2">
        <f t="shared" si="150"/>
        <v>0.151514588544502</v>
      </c>
      <c r="U718" s="1" t="s">
        <v>2507</v>
      </c>
      <c r="V718" s="6" t="s">
        <v>2505</v>
      </c>
    </row>
    <row r="719" spans="1:22" ht="14.25" customHeight="1" x14ac:dyDescent="0.3">
      <c r="A719" s="1" t="s">
        <v>17</v>
      </c>
      <c r="B719" s="1" t="s">
        <v>1445</v>
      </c>
      <c r="C719" s="1" t="s">
        <v>1446</v>
      </c>
      <c r="D719" s="1">
        <f t="shared" si="141"/>
        <v>6</v>
      </c>
      <c r="E719" s="1">
        <f t="shared" si="142"/>
        <v>0.87878472222222215</v>
      </c>
      <c r="F719" s="2">
        <f t="shared" si="143"/>
        <v>38.230710044918077</v>
      </c>
      <c r="G719" s="1">
        <v>2080</v>
      </c>
      <c r="H719" s="1">
        <v>3744</v>
      </c>
      <c r="I719" s="1">
        <v>0</v>
      </c>
      <c r="J719" s="1">
        <v>242</v>
      </c>
      <c r="K719" s="1">
        <f t="shared" si="139"/>
        <v>0</v>
      </c>
      <c r="L719" s="1">
        <f t="shared" si="144"/>
        <v>2.1116826923076921</v>
      </c>
      <c r="M719" s="1">
        <f t="shared" si="145"/>
        <v>2.1116826923076921</v>
      </c>
      <c r="N719" s="2">
        <f t="shared" si="140"/>
        <v>7.9557407280923442</v>
      </c>
      <c r="O719" s="1">
        <v>1136</v>
      </c>
      <c r="P719" s="1">
        <f t="shared" si="146"/>
        <v>736</v>
      </c>
      <c r="Q719" s="1">
        <f t="shared" si="147"/>
        <v>3.0938183652917313</v>
      </c>
      <c r="R719" s="1">
        <f t="shared" si="148"/>
        <v>1.2163730325078601</v>
      </c>
      <c r="S719" s="2">
        <f t="shared" si="149"/>
        <v>8.692777247241855</v>
      </c>
      <c r="T719" s="2">
        <f t="shared" si="150"/>
        <v>0.15171758410681954</v>
      </c>
      <c r="U719" s="1" t="s">
        <v>2507</v>
      </c>
      <c r="V719" s="6" t="s">
        <v>2505</v>
      </c>
    </row>
    <row r="720" spans="1:22" ht="14.25" customHeight="1" x14ac:dyDescent="0.3">
      <c r="A720" s="1" t="s">
        <v>40</v>
      </c>
      <c r="B720" s="1" t="s">
        <v>1447</v>
      </c>
      <c r="C720" s="1" t="s">
        <v>1448</v>
      </c>
      <c r="D720" s="1">
        <f t="shared" si="141"/>
        <v>42</v>
      </c>
      <c r="E720" s="1">
        <f t="shared" si="142"/>
        <v>0.13284722222222223</v>
      </c>
      <c r="F720" s="2">
        <f t="shared" si="143"/>
        <v>259.73851756330896</v>
      </c>
      <c r="G720" s="1">
        <v>2080</v>
      </c>
      <c r="H720" s="1">
        <v>3744</v>
      </c>
      <c r="I720" s="1">
        <v>0</v>
      </c>
      <c r="J720" s="1">
        <v>246</v>
      </c>
      <c r="K720" s="1">
        <f t="shared" si="139"/>
        <v>0</v>
      </c>
      <c r="L720" s="1">
        <f t="shared" si="144"/>
        <v>2.1465865384615381</v>
      </c>
      <c r="M720" s="1">
        <f t="shared" si="145"/>
        <v>2.1465865384615381</v>
      </c>
      <c r="N720" s="2">
        <f t="shared" si="140"/>
        <v>7.826379090237185</v>
      </c>
      <c r="O720" s="1">
        <v>1134</v>
      </c>
      <c r="P720" s="1">
        <f t="shared" si="146"/>
        <v>738</v>
      </c>
      <c r="Q720" s="1">
        <f t="shared" si="147"/>
        <v>3.0435123756121913</v>
      </c>
      <c r="R720" s="1">
        <f t="shared" si="148"/>
        <v>1.1998462250009601</v>
      </c>
      <c r="S720" s="2">
        <f t="shared" si="149"/>
        <v>8.716036658572893</v>
      </c>
      <c r="T720" s="2">
        <f t="shared" si="150"/>
        <v>0.15212353741662182</v>
      </c>
      <c r="U720" s="1" t="s">
        <v>2507</v>
      </c>
      <c r="V720" s="6" t="s">
        <v>2505</v>
      </c>
    </row>
    <row r="721" spans="1:24" ht="14.25" customHeight="1" x14ac:dyDescent="0.3">
      <c r="A721" s="1" t="s">
        <v>40</v>
      </c>
      <c r="B721" s="1" t="s">
        <v>1449</v>
      </c>
      <c r="C721" s="1" t="s">
        <v>1450</v>
      </c>
      <c r="D721" s="1">
        <f t="shared" si="141"/>
        <v>74</v>
      </c>
      <c r="E721" s="1">
        <f t="shared" si="142"/>
        <v>9.0162037037037034E-3</v>
      </c>
      <c r="F721" s="2">
        <f t="shared" si="143"/>
        <v>460.02239415692708</v>
      </c>
      <c r="G721" s="1">
        <v>2080</v>
      </c>
      <c r="H721" s="1">
        <v>3744</v>
      </c>
      <c r="I721" s="1">
        <v>0</v>
      </c>
      <c r="J721" s="1">
        <v>102</v>
      </c>
      <c r="K721" s="1">
        <f t="shared" si="139"/>
        <v>0</v>
      </c>
      <c r="L721" s="1">
        <f t="shared" si="144"/>
        <v>0.89004807692307686</v>
      </c>
      <c r="M721" s="1">
        <f t="shared" si="145"/>
        <v>0.89004807692307686</v>
      </c>
      <c r="N721" s="2">
        <f t="shared" si="140"/>
        <v>18.875384864689678</v>
      </c>
      <c r="O721" s="1">
        <v>1134</v>
      </c>
      <c r="P721" s="1">
        <f t="shared" si="146"/>
        <v>738</v>
      </c>
      <c r="Q721" s="1">
        <f t="shared" si="147"/>
        <v>7.3402357294176372</v>
      </c>
      <c r="R721" s="1">
        <f t="shared" si="148"/>
        <v>2.8937467779434916</v>
      </c>
      <c r="S721" s="2">
        <f t="shared" si="149"/>
        <v>8.716036658572893</v>
      </c>
      <c r="T721" s="2">
        <f t="shared" si="150"/>
        <v>0.15212353741662182</v>
      </c>
      <c r="U721" s="1" t="s">
        <v>2507</v>
      </c>
      <c r="V721" s="6" t="s">
        <v>2505</v>
      </c>
    </row>
    <row r="722" spans="1:24" ht="14.25" customHeight="1" x14ac:dyDescent="0.3">
      <c r="A722" s="1" t="s">
        <v>27</v>
      </c>
      <c r="B722" s="1" t="s">
        <v>1451</v>
      </c>
      <c r="C722" s="1" t="s">
        <v>1452</v>
      </c>
      <c r="D722" s="1">
        <f t="shared" si="141"/>
        <v>57</v>
      </c>
      <c r="E722" s="1">
        <f t="shared" si="142"/>
        <v>0.15212962962962964</v>
      </c>
      <c r="F722" s="2">
        <f t="shared" si="143"/>
        <v>354.107452109912</v>
      </c>
      <c r="G722" s="1">
        <v>2080</v>
      </c>
      <c r="H722" s="1">
        <v>3744</v>
      </c>
      <c r="I722" s="1">
        <v>394</v>
      </c>
      <c r="J722" s="1">
        <v>813</v>
      </c>
      <c r="K722" s="1">
        <f t="shared" si="139"/>
        <v>3.4380288461538466</v>
      </c>
      <c r="L722" s="1">
        <f t="shared" si="144"/>
        <v>7.0942067307692298</v>
      </c>
      <c r="M722" s="1">
        <f t="shared" si="145"/>
        <v>7.8833883251985872</v>
      </c>
      <c r="N722" s="2">
        <f t="shared" si="140"/>
        <v>2.1310633584166108</v>
      </c>
      <c r="O722" s="1">
        <v>1132</v>
      </c>
      <c r="P722" s="1">
        <f t="shared" si="146"/>
        <v>740</v>
      </c>
      <c r="Q722" s="1">
        <f t="shared" si="147"/>
        <v>0.82872521631942475</v>
      </c>
      <c r="R722" s="1">
        <f t="shared" si="148"/>
        <v>0.32759436969891786</v>
      </c>
      <c r="S722" s="2">
        <f t="shared" si="149"/>
        <v>8.7392931751247982</v>
      </c>
      <c r="T722" s="2">
        <f t="shared" si="150"/>
        <v>0.15252944020299714</v>
      </c>
      <c r="U722" s="1" t="s">
        <v>2507</v>
      </c>
      <c r="V722" s="6" t="s">
        <v>2505</v>
      </c>
    </row>
    <row r="723" spans="1:24" ht="14.25" customHeight="1" x14ac:dyDescent="0.3">
      <c r="A723" s="1" t="s">
        <v>27</v>
      </c>
      <c r="B723" s="1" t="s">
        <v>1453</v>
      </c>
      <c r="C723" s="1" t="s">
        <v>1454</v>
      </c>
      <c r="D723" s="1">
        <f t="shared" si="141"/>
        <v>44</v>
      </c>
      <c r="E723" s="1">
        <f t="shared" si="142"/>
        <v>0.32304398148148145</v>
      </c>
      <c r="F723" s="2">
        <f t="shared" si="143"/>
        <v>273.49992966091907</v>
      </c>
      <c r="G723" s="1">
        <v>2080</v>
      </c>
      <c r="H723" s="1">
        <v>3744</v>
      </c>
      <c r="I723" s="1">
        <v>0</v>
      </c>
      <c r="J723" s="1">
        <v>103</v>
      </c>
      <c r="K723" s="1">
        <f t="shared" si="139"/>
        <v>0</v>
      </c>
      <c r="L723" s="1">
        <f t="shared" si="144"/>
        <v>0.89877403846153836</v>
      </c>
      <c r="M723" s="1">
        <f t="shared" si="145"/>
        <v>0.89877403846153836</v>
      </c>
      <c r="N723" s="2">
        <f t="shared" si="140"/>
        <v>18.692128700954829</v>
      </c>
      <c r="O723" s="1">
        <v>1131</v>
      </c>
      <c r="P723" s="1">
        <f t="shared" si="146"/>
        <v>741</v>
      </c>
      <c r="Q723" s="1">
        <f t="shared" si="147"/>
        <v>7.2689713048601847</v>
      </c>
      <c r="R723" s="1">
        <f t="shared" si="148"/>
        <v>2.8773011415071563</v>
      </c>
      <c r="S723" s="2">
        <f t="shared" si="149"/>
        <v>8.7509203456328795</v>
      </c>
      <c r="T723" s="2">
        <f t="shared" si="150"/>
        <v>0.15273237261105393</v>
      </c>
      <c r="U723" s="1" t="s">
        <v>2507</v>
      </c>
      <c r="V723" s="6" t="s">
        <v>2505</v>
      </c>
    </row>
    <row r="724" spans="1:24" ht="14.25" customHeight="1" x14ac:dyDescent="0.3">
      <c r="A724" s="1" t="s">
        <v>14</v>
      </c>
      <c r="B724" s="1" t="s">
        <v>1455</v>
      </c>
      <c r="C724" s="1" t="s">
        <v>1456</v>
      </c>
      <c r="D724" s="1">
        <f t="shared" si="141"/>
        <v>47</v>
      </c>
      <c r="E724" s="1">
        <f t="shared" si="142"/>
        <v>0.93305555555555564</v>
      </c>
      <c r="F724" s="2">
        <f t="shared" si="143"/>
        <v>296.18230134188951</v>
      </c>
      <c r="G724" s="1">
        <v>2080</v>
      </c>
      <c r="H724" s="1">
        <v>3744</v>
      </c>
      <c r="I724" s="1">
        <v>0</v>
      </c>
      <c r="J724" s="1">
        <v>207</v>
      </c>
      <c r="K724" s="1">
        <f t="shared" si="139"/>
        <v>0</v>
      </c>
      <c r="L724" s="1">
        <f t="shared" si="144"/>
        <v>1.8062740384615383</v>
      </c>
      <c r="M724" s="1">
        <f t="shared" si="145"/>
        <v>1.8062740384615383</v>
      </c>
      <c r="N724" s="2">
        <f t="shared" si="140"/>
        <v>9.3009142811514369</v>
      </c>
      <c r="O724" s="1">
        <v>1131</v>
      </c>
      <c r="P724" s="1">
        <f t="shared" si="146"/>
        <v>741</v>
      </c>
      <c r="Q724" s="1">
        <f t="shared" si="147"/>
        <v>3.6169277507275317</v>
      </c>
      <c r="R724" s="1">
        <f t="shared" si="148"/>
        <v>1.4317005679963146</v>
      </c>
      <c r="S724" s="2">
        <f t="shared" si="149"/>
        <v>8.7509203456328795</v>
      </c>
      <c r="T724" s="2">
        <f t="shared" si="150"/>
        <v>0.15273237261105393</v>
      </c>
      <c r="U724" s="1" t="s">
        <v>2507</v>
      </c>
      <c r="V724" s="6" t="s">
        <v>2505</v>
      </c>
    </row>
    <row r="725" spans="1:24" ht="14.25" customHeight="1" x14ac:dyDescent="0.3">
      <c r="A725" s="1" t="s">
        <v>286</v>
      </c>
      <c r="B725" s="1" t="s">
        <v>1457</v>
      </c>
      <c r="C725" s="1" t="s">
        <v>1458</v>
      </c>
      <c r="D725" s="1">
        <f t="shared" si="141"/>
        <v>44</v>
      </c>
      <c r="E725" s="1">
        <f t="shared" si="142"/>
        <v>0.80077546296296298</v>
      </c>
      <c r="F725" s="2">
        <f t="shared" si="143"/>
        <v>276.50160508614061</v>
      </c>
      <c r="G725" s="1">
        <v>2080</v>
      </c>
      <c r="H725" s="1">
        <v>3744</v>
      </c>
      <c r="I725" s="1">
        <v>0</v>
      </c>
      <c r="J725" s="1">
        <v>178</v>
      </c>
      <c r="K725" s="1">
        <f t="shared" si="139"/>
        <v>0</v>
      </c>
      <c r="L725" s="1">
        <f t="shared" si="144"/>
        <v>1.5532211538461538</v>
      </c>
      <c r="M725" s="1">
        <f t="shared" si="145"/>
        <v>1.5532211538461538</v>
      </c>
      <c r="N725" s="2">
        <f t="shared" si="140"/>
        <v>10.81623177639521</v>
      </c>
      <c r="O725" s="1">
        <v>1131</v>
      </c>
      <c r="P725" s="1">
        <f t="shared" si="146"/>
        <v>741</v>
      </c>
      <c r="Q725" s="1">
        <f t="shared" si="147"/>
        <v>4.2062024966325788</v>
      </c>
      <c r="R725" s="1">
        <f t="shared" si="148"/>
        <v>1.6649551549170625</v>
      </c>
      <c r="S725" s="2">
        <f t="shared" si="149"/>
        <v>8.7509203456328812</v>
      </c>
      <c r="T725" s="2">
        <f t="shared" si="150"/>
        <v>0.15273237261105396</v>
      </c>
      <c r="U725" s="1" t="s">
        <v>2507</v>
      </c>
      <c r="V725" s="6" t="s">
        <v>2505</v>
      </c>
    </row>
    <row r="726" spans="1:24" ht="14.25" customHeight="1" x14ac:dyDescent="0.3">
      <c r="A726" s="1" t="s">
        <v>17</v>
      </c>
      <c r="B726" s="1" t="s">
        <v>1459</v>
      </c>
      <c r="C726" s="1" t="s">
        <v>1460</v>
      </c>
      <c r="D726" s="1">
        <f t="shared" si="141"/>
        <v>36</v>
      </c>
      <c r="E726" s="1">
        <f t="shared" si="142"/>
        <v>0.71702546296296299</v>
      </c>
      <c r="F726" s="2">
        <f t="shared" si="143"/>
        <v>225.70990585922763</v>
      </c>
      <c r="G726" s="1">
        <v>2080</v>
      </c>
      <c r="H726" s="1">
        <v>3744</v>
      </c>
      <c r="I726" s="1">
        <v>0</v>
      </c>
      <c r="J726" s="1">
        <v>258</v>
      </c>
      <c r="K726" s="1">
        <f t="shared" si="139"/>
        <v>0</v>
      </c>
      <c r="L726" s="1">
        <f t="shared" si="144"/>
        <v>2.251298076923077</v>
      </c>
      <c r="M726" s="1">
        <f t="shared" si="145"/>
        <v>2.251298076923077</v>
      </c>
      <c r="N726" s="2">
        <f t="shared" si="140"/>
        <v>7.4623614581331283</v>
      </c>
      <c r="O726" s="1">
        <v>1130</v>
      </c>
      <c r="P726" s="1">
        <f t="shared" si="146"/>
        <v>742</v>
      </c>
      <c r="Q726" s="1">
        <f t="shared" si="147"/>
        <v>2.9019536604674379</v>
      </c>
      <c r="R726" s="1">
        <f t="shared" si="148"/>
        <v>1.150240179522884</v>
      </c>
      <c r="S726" s="2">
        <f t="shared" si="149"/>
        <v>8.7625467897760387</v>
      </c>
      <c r="T726" s="2">
        <f t="shared" si="150"/>
        <v>0.15293529234165126</v>
      </c>
      <c r="U726" s="1" t="s">
        <v>2507</v>
      </c>
      <c r="V726" s="6" t="s">
        <v>2505</v>
      </c>
    </row>
    <row r="727" spans="1:24" ht="14.25" customHeight="1" x14ac:dyDescent="0.3">
      <c r="A727" s="1" t="s">
        <v>27</v>
      </c>
      <c r="B727" s="1" t="s">
        <v>1461</v>
      </c>
      <c r="C727" s="1" t="s">
        <v>1462</v>
      </c>
      <c r="D727" s="1">
        <f t="shared" si="141"/>
        <v>52</v>
      </c>
      <c r="E727" s="1">
        <f t="shared" si="142"/>
        <v>0.19300925925925927</v>
      </c>
      <c r="F727" s="2">
        <f t="shared" si="143"/>
        <v>322.94837986226588</v>
      </c>
      <c r="G727" s="1">
        <v>2080</v>
      </c>
      <c r="H727" s="1">
        <v>3744</v>
      </c>
      <c r="I727" s="1">
        <v>0</v>
      </c>
      <c r="J727" s="1">
        <v>205</v>
      </c>
      <c r="K727" s="1">
        <f t="shared" si="139"/>
        <v>0</v>
      </c>
      <c r="L727" s="1">
        <f t="shared" si="144"/>
        <v>1.7888221153846151</v>
      </c>
      <c r="M727" s="1">
        <f t="shared" si="145"/>
        <v>1.7888221153846151</v>
      </c>
      <c r="N727" s="2">
        <f t="shared" si="140"/>
        <v>9.3916549082846217</v>
      </c>
      <c r="O727" s="1">
        <v>1130</v>
      </c>
      <c r="P727" s="1">
        <f t="shared" si="146"/>
        <v>742</v>
      </c>
      <c r="Q727" s="1">
        <f t="shared" si="147"/>
        <v>3.6522148507346297</v>
      </c>
      <c r="R727" s="1">
        <f t="shared" si="148"/>
        <v>1.4476193478873371</v>
      </c>
      <c r="S727" s="2">
        <f t="shared" si="149"/>
        <v>8.7625467897760387</v>
      </c>
      <c r="T727" s="2">
        <f t="shared" si="150"/>
        <v>0.15293529234165126</v>
      </c>
      <c r="U727" s="1" t="s">
        <v>2507</v>
      </c>
      <c r="V727" s="6" t="s">
        <v>2505</v>
      </c>
    </row>
    <row r="728" spans="1:24" ht="14.25" customHeight="1" x14ac:dyDescent="0.3">
      <c r="A728" s="1" t="s">
        <v>286</v>
      </c>
      <c r="B728" s="1" t="s">
        <v>1463</v>
      </c>
      <c r="C728" s="1" t="s">
        <v>1464</v>
      </c>
      <c r="D728" s="1">
        <f t="shared" si="141"/>
        <v>44</v>
      </c>
      <c r="E728" s="1">
        <f t="shared" si="142"/>
        <v>0.80085648148148147</v>
      </c>
      <c r="F728" s="2">
        <f t="shared" si="143"/>
        <v>276.5021141405058</v>
      </c>
      <c r="G728" s="1">
        <v>2080</v>
      </c>
      <c r="H728" s="1">
        <v>3744</v>
      </c>
      <c r="I728" s="1">
        <v>0</v>
      </c>
      <c r="J728" s="1">
        <v>246</v>
      </c>
      <c r="K728" s="1">
        <f t="shared" si="139"/>
        <v>0</v>
      </c>
      <c r="L728" s="1">
        <f t="shared" si="144"/>
        <v>2.1465865384615381</v>
      </c>
      <c r="M728" s="1">
        <f t="shared" si="145"/>
        <v>2.1465865384615381</v>
      </c>
      <c r="N728" s="2">
        <f t="shared" si="140"/>
        <v>7.826379090237185</v>
      </c>
      <c r="O728" s="1">
        <v>1128</v>
      </c>
      <c r="P728" s="1">
        <f t="shared" si="146"/>
        <v>744</v>
      </c>
      <c r="Q728" s="1">
        <f t="shared" si="147"/>
        <v>3.0435123756121913</v>
      </c>
      <c r="R728" s="1">
        <f t="shared" si="148"/>
        <v>1.2096010723586914</v>
      </c>
      <c r="S728" s="2">
        <f t="shared" si="149"/>
        <v>8.7857974954106659</v>
      </c>
      <c r="T728" s="2">
        <f t="shared" si="150"/>
        <v>0.15334109370838753</v>
      </c>
      <c r="U728" s="1" t="s">
        <v>2507</v>
      </c>
      <c r="V728" s="6" t="s">
        <v>2505</v>
      </c>
      <c r="W728" s="1"/>
      <c r="X728" s="1"/>
    </row>
    <row r="729" spans="1:24" ht="14.25" customHeight="1" x14ac:dyDescent="0.3">
      <c r="A729" s="1" t="s">
        <v>40</v>
      </c>
      <c r="B729" s="1" t="s">
        <v>1465</v>
      </c>
      <c r="C729" s="1" t="s">
        <v>1466</v>
      </c>
      <c r="D729" s="1">
        <f t="shared" si="141"/>
        <v>32</v>
      </c>
      <c r="E729" s="1">
        <f t="shared" si="142"/>
        <v>0.72927083333333342</v>
      </c>
      <c r="F729" s="2">
        <f t="shared" si="143"/>
        <v>200.65410456170136</v>
      </c>
      <c r="G729" s="1">
        <v>2080</v>
      </c>
      <c r="H729" s="1">
        <v>3744</v>
      </c>
      <c r="I729" s="1">
        <v>0</v>
      </c>
      <c r="J729" s="1">
        <v>150</v>
      </c>
      <c r="K729" s="1">
        <f t="shared" si="139"/>
        <v>0</v>
      </c>
      <c r="L729" s="1">
        <f t="shared" si="144"/>
        <v>1.3088942307692308</v>
      </c>
      <c r="M729" s="1">
        <f t="shared" si="145"/>
        <v>1.3088942307692308</v>
      </c>
      <c r="N729" s="2">
        <f t="shared" si="140"/>
        <v>12.83526170798898</v>
      </c>
      <c r="O729" s="1">
        <v>1127</v>
      </c>
      <c r="P729" s="1">
        <f t="shared" si="146"/>
        <v>745</v>
      </c>
      <c r="Q729" s="1">
        <f t="shared" si="147"/>
        <v>4.9913602960039931</v>
      </c>
      <c r="R729" s="1">
        <f t="shared" si="148"/>
        <v>1.9864120836127002</v>
      </c>
      <c r="S729" s="2">
        <f t="shared" si="149"/>
        <v>8.7974217551245513</v>
      </c>
      <c r="T729" s="2">
        <f t="shared" si="150"/>
        <v>0.15354397531350175</v>
      </c>
      <c r="U729" s="1" t="s">
        <v>2507</v>
      </c>
      <c r="V729" s="6" t="s">
        <v>2505</v>
      </c>
    </row>
    <row r="730" spans="1:24" ht="14.25" customHeight="1" x14ac:dyDescent="0.3">
      <c r="A730" s="1" t="s">
        <v>14</v>
      </c>
      <c r="B730" s="1" t="s">
        <v>15</v>
      </c>
      <c r="C730" s="1" t="s">
        <v>16</v>
      </c>
      <c r="D730" s="1">
        <f t="shared" si="141"/>
        <v>35</v>
      </c>
      <c r="E730" s="1">
        <f t="shared" si="142"/>
        <v>0.96208333333333329</v>
      </c>
      <c r="F730" s="2">
        <f t="shared" si="143"/>
        <v>220.96646456256786</v>
      </c>
      <c r="G730" s="1">
        <v>2080</v>
      </c>
      <c r="H730" s="1">
        <v>3744</v>
      </c>
      <c r="I730" s="1">
        <v>0</v>
      </c>
      <c r="J730" s="1">
        <v>98</v>
      </c>
      <c r="K730" s="1">
        <f t="shared" si="139"/>
        <v>0</v>
      </c>
      <c r="L730" s="1">
        <f t="shared" si="144"/>
        <v>0.85514423076923063</v>
      </c>
      <c r="M730" s="1">
        <f t="shared" si="145"/>
        <v>0.85514423076923063</v>
      </c>
      <c r="N730" s="2">
        <f t="shared" si="140"/>
        <v>19.645808736717832</v>
      </c>
      <c r="O730" s="1">
        <v>1127</v>
      </c>
      <c r="P730" s="1">
        <f t="shared" si="146"/>
        <v>745</v>
      </c>
      <c r="Q730" s="1">
        <f t="shared" si="147"/>
        <v>7.6398371877612155</v>
      </c>
      <c r="R730" s="1">
        <f t="shared" si="148"/>
        <v>3.0404266585908681</v>
      </c>
      <c r="S730" s="2">
        <f t="shared" si="149"/>
        <v>8.7974217551245513</v>
      </c>
      <c r="T730" s="2">
        <f t="shared" si="150"/>
        <v>0.15354397531350175</v>
      </c>
      <c r="U730" s="1" t="s">
        <v>2507</v>
      </c>
      <c r="V730" s="6" t="s">
        <v>2505</v>
      </c>
    </row>
    <row r="731" spans="1:24" ht="14.25" customHeight="1" x14ac:dyDescent="0.3">
      <c r="A731" s="1" t="s">
        <v>27</v>
      </c>
      <c r="B731" s="1" t="s">
        <v>1467</v>
      </c>
      <c r="C731" s="1" t="s">
        <v>1468</v>
      </c>
      <c r="D731" s="1">
        <f t="shared" si="141"/>
        <v>41</v>
      </c>
      <c r="E731" s="1">
        <f t="shared" si="142"/>
        <v>0.80884259259259261</v>
      </c>
      <c r="F731" s="2">
        <f t="shared" si="143"/>
        <v>257.70273643496188</v>
      </c>
      <c r="G731" s="1">
        <v>2080</v>
      </c>
      <c r="H731" s="1">
        <v>3744</v>
      </c>
      <c r="I731" s="1">
        <v>0</v>
      </c>
      <c r="J731" s="1">
        <v>189</v>
      </c>
      <c r="K731" s="1">
        <f t="shared" si="139"/>
        <v>0</v>
      </c>
      <c r="L731" s="1">
        <f t="shared" si="144"/>
        <v>1.6492067307692306</v>
      </c>
      <c r="M731" s="1">
        <f t="shared" si="145"/>
        <v>1.6492067307692306</v>
      </c>
      <c r="N731" s="2">
        <f t="shared" si="140"/>
        <v>10.186715641261097</v>
      </c>
      <c r="O731" s="1">
        <v>1123</v>
      </c>
      <c r="P731" s="1">
        <f t="shared" si="146"/>
        <v>749</v>
      </c>
      <c r="Q731" s="1">
        <f t="shared" si="147"/>
        <v>3.9613970603206297</v>
      </c>
      <c r="R731" s="1">
        <f t="shared" si="148"/>
        <v>1.5849820503099101</v>
      </c>
      <c r="S731" s="2">
        <f t="shared" si="149"/>
        <v>8.8439114859018719</v>
      </c>
      <c r="T731" s="2">
        <f t="shared" si="150"/>
        <v>0.15435537418393175</v>
      </c>
      <c r="U731" s="1" t="s">
        <v>2507</v>
      </c>
      <c r="V731" s="6" t="s">
        <v>2505</v>
      </c>
    </row>
    <row r="732" spans="1:24" ht="14.25" customHeight="1" x14ac:dyDescent="0.3">
      <c r="A732" s="1" t="s">
        <v>40</v>
      </c>
      <c r="B732" s="1" t="s">
        <v>1469</v>
      </c>
      <c r="C732" s="1" t="s">
        <v>1470</v>
      </c>
      <c r="D732" s="1">
        <f t="shared" si="141"/>
        <v>73</v>
      </c>
      <c r="E732" s="1">
        <f t="shared" si="142"/>
        <v>0.91811342592592593</v>
      </c>
      <c r="F732" s="2">
        <f t="shared" si="143"/>
        <v>459.45123515921188</v>
      </c>
      <c r="G732" s="1">
        <v>2080</v>
      </c>
      <c r="H732" s="1">
        <v>3744</v>
      </c>
      <c r="I732" s="1">
        <v>0</v>
      </c>
      <c r="J732" s="1">
        <v>112</v>
      </c>
      <c r="K732" s="1">
        <f t="shared" si="139"/>
        <v>0</v>
      </c>
      <c r="L732" s="1">
        <f t="shared" si="144"/>
        <v>0.97730769230769221</v>
      </c>
      <c r="M732" s="1">
        <f t="shared" si="145"/>
        <v>0.97730769230769221</v>
      </c>
      <c r="N732" s="2">
        <f t="shared" si="140"/>
        <v>17.190082644628102</v>
      </c>
      <c r="O732" s="1">
        <v>1120</v>
      </c>
      <c r="P732" s="1">
        <f t="shared" si="146"/>
        <v>752</v>
      </c>
      <c r="Q732" s="1">
        <f t="shared" si="147"/>
        <v>6.6848575392910634</v>
      </c>
      <c r="R732" s="1">
        <f t="shared" si="148"/>
        <v>2.6853701226211966</v>
      </c>
      <c r="S732" s="2">
        <f t="shared" si="149"/>
        <v>8.8787710856609294</v>
      </c>
      <c r="T732" s="2">
        <f t="shared" si="150"/>
        <v>0.15496378897565471</v>
      </c>
      <c r="U732" s="1" t="s">
        <v>2507</v>
      </c>
      <c r="V732" s="6" t="s">
        <v>2505</v>
      </c>
    </row>
    <row r="733" spans="1:24" ht="14.25" customHeight="1" x14ac:dyDescent="0.3">
      <c r="A733" s="1" t="s">
        <v>40</v>
      </c>
      <c r="B733" s="1" t="s">
        <v>1471</v>
      </c>
      <c r="C733" s="1" t="s">
        <v>1472</v>
      </c>
      <c r="D733" s="1">
        <f t="shared" si="141"/>
        <v>76</v>
      </c>
      <c r="E733" s="1">
        <f t="shared" si="142"/>
        <v>0.25327546296296294</v>
      </c>
      <c r="F733" s="2">
        <f t="shared" si="143"/>
        <v>474.12349096020654</v>
      </c>
      <c r="G733" s="1">
        <v>2080</v>
      </c>
      <c r="H733" s="1">
        <v>3744</v>
      </c>
      <c r="I733" s="1">
        <v>0</v>
      </c>
      <c r="J733" s="1">
        <v>130</v>
      </c>
      <c r="K733" s="1">
        <f t="shared" si="139"/>
        <v>0</v>
      </c>
      <c r="L733" s="1">
        <f t="shared" si="144"/>
        <v>1.1343749999999999</v>
      </c>
      <c r="M733" s="1">
        <f t="shared" si="145"/>
        <v>1.1343749999999999</v>
      </c>
      <c r="N733" s="2">
        <f t="shared" si="140"/>
        <v>14.809917355371903</v>
      </c>
      <c r="O733" s="1">
        <v>1120</v>
      </c>
      <c r="P733" s="1">
        <f t="shared" si="146"/>
        <v>752</v>
      </c>
      <c r="Q733" s="1">
        <f t="shared" si="147"/>
        <v>5.7592618800046083</v>
      </c>
      <c r="R733" s="1">
        <f t="shared" si="148"/>
        <v>2.3135496441044152</v>
      </c>
      <c r="S733" s="2">
        <f t="shared" si="149"/>
        <v>8.8787710856609294</v>
      </c>
      <c r="T733" s="2">
        <f t="shared" si="150"/>
        <v>0.15496378897565471</v>
      </c>
      <c r="U733" s="1" t="s">
        <v>2507</v>
      </c>
      <c r="V733" s="6" t="s">
        <v>2505</v>
      </c>
    </row>
    <row r="734" spans="1:24" ht="14.25" customHeight="1" x14ac:dyDescent="0.3">
      <c r="A734" s="1" t="s">
        <v>27</v>
      </c>
      <c r="B734" s="1" t="s">
        <v>1473</v>
      </c>
      <c r="C734" s="1" t="s">
        <v>1474</v>
      </c>
      <c r="D734" s="1">
        <f t="shared" si="141"/>
        <v>79</v>
      </c>
      <c r="E734" s="1">
        <f t="shared" si="142"/>
        <v>2.4027777777777776E-2</v>
      </c>
      <c r="F734" s="2">
        <f t="shared" si="143"/>
        <v>491.53264119448482</v>
      </c>
      <c r="G734" s="1">
        <v>2080</v>
      </c>
      <c r="H734" s="1">
        <v>3744</v>
      </c>
      <c r="I734" s="1">
        <v>0</v>
      </c>
      <c r="J734" s="1">
        <v>185</v>
      </c>
      <c r="K734" s="1">
        <f t="shared" si="139"/>
        <v>0</v>
      </c>
      <c r="L734" s="1">
        <f t="shared" si="144"/>
        <v>1.6143028846153844</v>
      </c>
      <c r="M734" s="1">
        <f t="shared" si="145"/>
        <v>1.6143028846153844</v>
      </c>
      <c r="N734" s="2">
        <f t="shared" si="140"/>
        <v>10.406968952423499</v>
      </c>
      <c r="O734" s="1">
        <v>1118</v>
      </c>
      <c r="P734" s="1">
        <f t="shared" si="146"/>
        <v>754</v>
      </c>
      <c r="Q734" s="1">
        <f t="shared" si="147"/>
        <v>4.0470488886518865</v>
      </c>
      <c r="R734" s="1">
        <f t="shared" si="148"/>
        <v>1.630061357929232</v>
      </c>
      <c r="S734" s="2">
        <f t="shared" si="149"/>
        <v>8.9020071396702338</v>
      </c>
      <c r="T734" s="2">
        <f t="shared" si="150"/>
        <v>0.15536933462328831</v>
      </c>
      <c r="U734" s="1" t="s">
        <v>2507</v>
      </c>
      <c r="V734" s="6" t="s">
        <v>2505</v>
      </c>
    </row>
    <row r="735" spans="1:24" ht="14.25" customHeight="1" x14ac:dyDescent="0.3">
      <c r="A735" s="1" t="s">
        <v>40</v>
      </c>
      <c r="B735" s="1" t="s">
        <v>1475</v>
      </c>
      <c r="C735" s="1" t="s">
        <v>1476</v>
      </c>
      <c r="D735" s="1">
        <f t="shared" si="141"/>
        <v>75</v>
      </c>
      <c r="E735" s="1">
        <f t="shared" si="142"/>
        <v>0.83885416666666668</v>
      </c>
      <c r="F735" s="2">
        <f t="shared" si="143"/>
        <v>471.51960516033535</v>
      </c>
      <c r="G735" s="1">
        <v>2080</v>
      </c>
      <c r="H735" s="1">
        <v>3744</v>
      </c>
      <c r="I735" s="1">
        <v>0</v>
      </c>
      <c r="J735" s="1">
        <v>218</v>
      </c>
      <c r="K735" s="1">
        <f t="shared" si="139"/>
        <v>0</v>
      </c>
      <c r="L735" s="1">
        <f t="shared" si="144"/>
        <v>1.9022596153846152</v>
      </c>
      <c r="M735" s="1">
        <f t="shared" si="145"/>
        <v>1.9022596153846152</v>
      </c>
      <c r="N735" s="2">
        <f t="shared" si="140"/>
        <v>8.8316020926529699</v>
      </c>
      <c r="O735" s="1">
        <v>1117</v>
      </c>
      <c r="P735" s="1">
        <f t="shared" si="146"/>
        <v>755</v>
      </c>
      <c r="Q735" s="1">
        <f t="shared" si="147"/>
        <v>3.4344222220210967</v>
      </c>
      <c r="R735" s="1">
        <f t="shared" si="148"/>
        <v>1.3851435777916283</v>
      </c>
      <c r="S735" s="2">
        <f t="shared" si="149"/>
        <v>8.9136240602695516</v>
      </c>
      <c r="T735" s="2">
        <f t="shared" si="150"/>
        <v>0.15557208813668916</v>
      </c>
      <c r="U735" s="1" t="s">
        <v>2507</v>
      </c>
      <c r="V735" s="6" t="s">
        <v>2505</v>
      </c>
    </row>
    <row r="736" spans="1:24" ht="14.25" customHeight="1" x14ac:dyDescent="0.3">
      <c r="A736" s="1" t="s">
        <v>40</v>
      </c>
      <c r="B736" s="1" t="s">
        <v>1477</v>
      </c>
      <c r="C736" s="1" t="s">
        <v>1478</v>
      </c>
      <c r="D736" s="1">
        <f t="shared" si="141"/>
        <v>32</v>
      </c>
      <c r="E736" s="1">
        <f t="shared" si="142"/>
        <v>0.72995370370370372</v>
      </c>
      <c r="F736" s="2">
        <f t="shared" si="143"/>
        <v>200.65839516277921</v>
      </c>
      <c r="G736" s="1">
        <v>2080</v>
      </c>
      <c r="H736" s="1">
        <v>3744</v>
      </c>
      <c r="I736" s="1">
        <v>0</v>
      </c>
      <c r="J736" s="1">
        <v>138</v>
      </c>
      <c r="K736" s="1">
        <f t="shared" si="139"/>
        <v>0</v>
      </c>
      <c r="L736" s="1">
        <f t="shared" si="144"/>
        <v>1.2041826923076921</v>
      </c>
      <c r="M736" s="1">
        <f t="shared" si="145"/>
        <v>1.2041826923076921</v>
      </c>
      <c r="N736" s="2">
        <f t="shared" ref="N736:N767" si="151">42*0.4/M736</f>
        <v>13.951371421727156</v>
      </c>
      <c r="O736" s="1">
        <v>1116</v>
      </c>
      <c r="P736" s="1">
        <f t="shared" si="146"/>
        <v>756</v>
      </c>
      <c r="Q736" s="1">
        <f t="shared" si="147"/>
        <v>5.4253916260912982</v>
      </c>
      <c r="R736" s="1">
        <f t="shared" si="148"/>
        <v>2.1910235413061012</v>
      </c>
      <c r="S736" s="2">
        <f t="shared" si="149"/>
        <v>8.9252402420855539</v>
      </c>
      <c r="T736" s="2">
        <f t="shared" si="150"/>
        <v>0.15577482875588869</v>
      </c>
      <c r="U736" s="1" t="s">
        <v>2507</v>
      </c>
      <c r="V736" s="6" t="s">
        <v>2505</v>
      </c>
    </row>
    <row r="737" spans="1:22" ht="14.25" customHeight="1" x14ac:dyDescent="0.3">
      <c r="A737" s="1" t="s">
        <v>27</v>
      </c>
      <c r="B737" s="1" t="s">
        <v>1479</v>
      </c>
      <c r="C737" s="1" t="s">
        <v>1480</v>
      </c>
      <c r="D737" s="1">
        <f t="shared" si="141"/>
        <v>37</v>
      </c>
      <c r="E737" s="1">
        <f t="shared" si="142"/>
        <v>0.27461805555555557</v>
      </c>
      <c r="F737" s="2">
        <f t="shared" si="143"/>
        <v>229.21336344439757</v>
      </c>
      <c r="G737" s="1">
        <v>2080</v>
      </c>
      <c r="H737" s="1">
        <v>3744</v>
      </c>
      <c r="I737" s="1">
        <v>0</v>
      </c>
      <c r="J737" s="1">
        <v>107</v>
      </c>
      <c r="K737" s="1">
        <f t="shared" si="139"/>
        <v>0</v>
      </c>
      <c r="L737" s="1">
        <f t="shared" si="144"/>
        <v>0.93367788461538459</v>
      </c>
      <c r="M737" s="1">
        <f t="shared" si="145"/>
        <v>0.93367788461538459</v>
      </c>
      <c r="N737" s="2">
        <f t="shared" si="151"/>
        <v>17.993357534563994</v>
      </c>
      <c r="O737" s="1">
        <v>1116</v>
      </c>
      <c r="P737" s="1">
        <f t="shared" si="146"/>
        <v>756</v>
      </c>
      <c r="Q737" s="1">
        <f t="shared" si="147"/>
        <v>6.9972340598186831</v>
      </c>
      <c r="R737" s="1">
        <f t="shared" si="148"/>
        <v>2.8258060626190837</v>
      </c>
      <c r="S737" s="2">
        <f t="shared" si="149"/>
        <v>8.9252402420855539</v>
      </c>
      <c r="T737" s="2">
        <f t="shared" si="150"/>
        <v>0.15577482875588869</v>
      </c>
      <c r="U737" s="1" t="s">
        <v>2507</v>
      </c>
      <c r="V737" s="6" t="s">
        <v>2505</v>
      </c>
    </row>
    <row r="738" spans="1:22" ht="14.25" customHeight="1" x14ac:dyDescent="0.3">
      <c r="A738" s="1" t="s">
        <v>27</v>
      </c>
      <c r="B738" s="1" t="s">
        <v>1481</v>
      </c>
      <c r="C738" s="1" t="s">
        <v>1482</v>
      </c>
      <c r="D738" s="1">
        <f t="shared" si="141"/>
        <v>43</v>
      </c>
      <c r="E738" s="1">
        <f t="shared" si="142"/>
        <v>0.32567129629629626</v>
      </c>
      <c r="F738" s="2">
        <f t="shared" si="143"/>
        <v>267.23325225958126</v>
      </c>
      <c r="G738" s="1">
        <v>2080</v>
      </c>
      <c r="H738" s="1">
        <v>3744</v>
      </c>
      <c r="I738" s="1">
        <v>0</v>
      </c>
      <c r="J738" s="1">
        <v>745</v>
      </c>
      <c r="K738" s="1">
        <f t="shared" si="139"/>
        <v>0</v>
      </c>
      <c r="L738" s="1">
        <f t="shared" si="144"/>
        <v>6.5008413461538455</v>
      </c>
      <c r="M738" s="1">
        <f t="shared" si="145"/>
        <v>6.5008413461538455</v>
      </c>
      <c r="N738" s="2">
        <f t="shared" si="151"/>
        <v>2.584280880803151</v>
      </c>
      <c r="O738" s="1">
        <v>1116</v>
      </c>
      <c r="P738" s="1">
        <f t="shared" si="146"/>
        <v>756</v>
      </c>
      <c r="Q738" s="1">
        <f t="shared" si="147"/>
        <v>1.0049718716786564</v>
      </c>
      <c r="R738" s="1">
        <f t="shared" si="148"/>
        <v>0.40585402510099589</v>
      </c>
      <c r="S738" s="2">
        <f t="shared" si="149"/>
        <v>8.9252402420855539</v>
      </c>
      <c r="T738" s="2">
        <f t="shared" si="150"/>
        <v>0.15577482875588869</v>
      </c>
      <c r="U738" s="1" t="s">
        <v>2507</v>
      </c>
      <c r="V738" s="6" t="s">
        <v>2505</v>
      </c>
    </row>
    <row r="739" spans="1:22" ht="14.25" customHeight="1" x14ac:dyDescent="0.3">
      <c r="A739" s="1" t="s">
        <v>14</v>
      </c>
      <c r="B739" s="1" t="s">
        <v>1483</v>
      </c>
      <c r="C739" s="1" t="s">
        <v>1484</v>
      </c>
      <c r="D739" s="1">
        <f t="shared" si="141"/>
        <v>19</v>
      </c>
      <c r="E739" s="1">
        <f t="shared" si="142"/>
        <v>2.3738425925925923E-2</v>
      </c>
      <c r="F739" s="2">
        <f t="shared" si="143"/>
        <v>114.5397047124055</v>
      </c>
      <c r="G739" s="1">
        <v>2080</v>
      </c>
      <c r="H739" s="1">
        <v>3744</v>
      </c>
      <c r="I739" s="1">
        <v>0</v>
      </c>
      <c r="J739" s="1">
        <v>158</v>
      </c>
      <c r="K739" s="1">
        <f t="shared" si="139"/>
        <v>0</v>
      </c>
      <c r="L739" s="1">
        <f t="shared" si="144"/>
        <v>1.3787019230769231</v>
      </c>
      <c r="M739" s="1">
        <f t="shared" si="145"/>
        <v>1.3787019230769231</v>
      </c>
      <c r="N739" s="2">
        <f t="shared" si="151"/>
        <v>12.185375039230046</v>
      </c>
      <c r="O739" s="1">
        <v>1113</v>
      </c>
      <c r="P739" s="1">
        <f t="shared" si="146"/>
        <v>759</v>
      </c>
      <c r="Q739" s="1">
        <f t="shared" si="147"/>
        <v>4.7386331924088543</v>
      </c>
      <c r="R739" s="1">
        <f t="shared" si="148"/>
        <v>1.9212727526914104</v>
      </c>
      <c r="S739" s="2">
        <f t="shared" si="149"/>
        <v>8.9600843459917172</v>
      </c>
      <c r="T739" s="2">
        <f t="shared" si="150"/>
        <v>0.15638297309395827</v>
      </c>
      <c r="U739" s="1" t="s">
        <v>2507</v>
      </c>
      <c r="V739" s="6" t="s">
        <v>2505</v>
      </c>
    </row>
    <row r="740" spans="1:22" ht="14.25" customHeight="1" x14ac:dyDescent="0.3">
      <c r="A740" s="1" t="s">
        <v>40</v>
      </c>
      <c r="B740" s="1" t="s">
        <v>1485</v>
      </c>
      <c r="C740" s="1" t="s">
        <v>1486</v>
      </c>
      <c r="D740" s="1">
        <f t="shared" si="141"/>
        <v>28</v>
      </c>
      <c r="E740" s="1">
        <f t="shared" si="142"/>
        <v>0.80202546296296295</v>
      </c>
      <c r="F740" s="2">
        <f t="shared" si="143"/>
        <v>175.97849415290119</v>
      </c>
      <c r="G740" s="1">
        <v>2080</v>
      </c>
      <c r="H740" s="1">
        <v>3744</v>
      </c>
      <c r="I740" s="1">
        <v>0</v>
      </c>
      <c r="J740" s="1">
        <v>178</v>
      </c>
      <c r="K740" s="1">
        <f t="shared" si="139"/>
        <v>0</v>
      </c>
      <c r="L740" s="1">
        <f t="shared" si="144"/>
        <v>1.5532211538461538</v>
      </c>
      <c r="M740" s="1">
        <f t="shared" si="145"/>
        <v>1.5532211538461538</v>
      </c>
      <c r="N740" s="2">
        <f t="shared" si="151"/>
        <v>10.81623177639521</v>
      </c>
      <c r="O740" s="1">
        <v>1113</v>
      </c>
      <c r="P740" s="1">
        <f t="shared" si="146"/>
        <v>759</v>
      </c>
      <c r="Q740" s="1">
        <f t="shared" si="147"/>
        <v>4.2062024966325788</v>
      </c>
      <c r="R740" s="1">
        <f t="shared" si="148"/>
        <v>1.7053994096923757</v>
      </c>
      <c r="S740" s="2">
        <f t="shared" si="149"/>
        <v>8.9600843459917172</v>
      </c>
      <c r="T740" s="2">
        <f t="shared" si="150"/>
        <v>0.15638297309395827</v>
      </c>
      <c r="U740" s="1" t="s">
        <v>2507</v>
      </c>
      <c r="V740" s="6" t="s">
        <v>2505</v>
      </c>
    </row>
    <row r="741" spans="1:22" ht="14.25" customHeight="1" x14ac:dyDescent="0.3">
      <c r="A741" s="1" t="s">
        <v>82</v>
      </c>
      <c r="B741" s="1" t="s">
        <v>1487</v>
      </c>
      <c r="C741" s="1" t="s">
        <v>1488</v>
      </c>
      <c r="D741" s="1">
        <f t="shared" si="141"/>
        <v>62</v>
      </c>
      <c r="E741" s="1">
        <f t="shared" si="142"/>
        <v>0.6972222222222223</v>
      </c>
      <c r="F741" s="2">
        <f t="shared" si="143"/>
        <v>388.94829641464014</v>
      </c>
      <c r="G741" s="1">
        <v>2080</v>
      </c>
      <c r="H741" s="1">
        <v>3744</v>
      </c>
      <c r="I741" s="1">
        <v>0</v>
      </c>
      <c r="J741" s="1">
        <v>312</v>
      </c>
      <c r="K741" s="1">
        <f t="shared" si="139"/>
        <v>0</v>
      </c>
      <c r="L741" s="1">
        <f t="shared" si="144"/>
        <v>2.7224999999999997</v>
      </c>
      <c r="M741" s="1">
        <f t="shared" si="145"/>
        <v>2.7224999999999997</v>
      </c>
      <c r="N741" s="2">
        <f t="shared" si="151"/>
        <v>6.1707988980716264</v>
      </c>
      <c r="O741" s="1">
        <v>1113</v>
      </c>
      <c r="P741" s="1">
        <f t="shared" si="146"/>
        <v>759</v>
      </c>
      <c r="Q741" s="1">
        <f t="shared" si="147"/>
        <v>2.3996924500019201</v>
      </c>
      <c r="R741" s="1">
        <f t="shared" si="148"/>
        <v>0.97295222732449649</v>
      </c>
      <c r="S741" s="2">
        <f t="shared" si="149"/>
        <v>8.960084345991719</v>
      </c>
      <c r="T741" s="2">
        <f t="shared" si="150"/>
        <v>0.15638297309395829</v>
      </c>
      <c r="U741" s="1" t="s">
        <v>2507</v>
      </c>
      <c r="V741" s="6" t="s">
        <v>2505</v>
      </c>
    </row>
    <row r="742" spans="1:22" ht="14.25" customHeight="1" x14ac:dyDescent="0.3">
      <c r="A742" s="1" t="s">
        <v>40</v>
      </c>
      <c r="B742" s="1" t="s">
        <v>1489</v>
      </c>
      <c r="C742" s="1" t="s">
        <v>1490</v>
      </c>
      <c r="D742" s="1">
        <f t="shared" si="141"/>
        <v>73</v>
      </c>
      <c r="E742" s="1">
        <f t="shared" si="142"/>
        <v>0.26574074074074078</v>
      </c>
      <c r="F742" s="2">
        <f t="shared" si="143"/>
        <v>455.35225668885107</v>
      </c>
      <c r="G742" s="1">
        <v>2080</v>
      </c>
      <c r="H742" s="1">
        <v>3744</v>
      </c>
      <c r="I742" s="1">
        <v>0</v>
      </c>
      <c r="J742" s="1">
        <v>243</v>
      </c>
      <c r="K742" s="1">
        <f t="shared" si="139"/>
        <v>0</v>
      </c>
      <c r="L742" s="1">
        <f t="shared" si="144"/>
        <v>2.120408653846154</v>
      </c>
      <c r="M742" s="1">
        <f t="shared" si="145"/>
        <v>2.120408653846154</v>
      </c>
      <c r="N742" s="2">
        <f t="shared" si="151"/>
        <v>7.9230010543141853</v>
      </c>
      <c r="O742" s="1">
        <v>1113</v>
      </c>
      <c r="P742" s="1">
        <f t="shared" si="146"/>
        <v>759</v>
      </c>
      <c r="Q742" s="1">
        <f t="shared" si="147"/>
        <v>3.0810866024716006</v>
      </c>
      <c r="R742" s="1">
        <f t="shared" si="148"/>
        <v>1.2492226128610817</v>
      </c>
      <c r="S742" s="2">
        <f t="shared" si="149"/>
        <v>8.960084345991719</v>
      </c>
      <c r="T742" s="2">
        <f t="shared" si="150"/>
        <v>0.15638297309395829</v>
      </c>
      <c r="U742" s="1" t="s">
        <v>2507</v>
      </c>
      <c r="V742" s="6" t="s">
        <v>2505</v>
      </c>
    </row>
    <row r="743" spans="1:22" ht="14.25" customHeight="1" x14ac:dyDescent="0.3">
      <c r="A743" s="1" t="s">
        <v>40</v>
      </c>
      <c r="B743" s="1" t="s">
        <v>1491</v>
      </c>
      <c r="C743" s="1" t="s">
        <v>1492</v>
      </c>
      <c r="D743" s="1">
        <f t="shared" si="141"/>
        <v>6</v>
      </c>
      <c r="E743" s="1">
        <f t="shared" si="142"/>
        <v>0.98958333333333337</v>
      </c>
      <c r="F743" s="2">
        <f t="shared" si="143"/>
        <v>38.926878250307311</v>
      </c>
      <c r="G743" s="1">
        <v>2080</v>
      </c>
      <c r="H743" s="1">
        <v>3744</v>
      </c>
      <c r="I743" s="1">
        <v>0</v>
      </c>
      <c r="J743" s="1">
        <v>117</v>
      </c>
      <c r="K743" s="1">
        <f t="shared" si="139"/>
        <v>0</v>
      </c>
      <c r="L743" s="1">
        <f t="shared" si="144"/>
        <v>1.0209374999999998</v>
      </c>
      <c r="M743" s="1">
        <f t="shared" si="145"/>
        <v>1.0209374999999998</v>
      </c>
      <c r="N743" s="2">
        <f t="shared" si="151"/>
        <v>16.455463728191003</v>
      </c>
      <c r="O743" s="1">
        <v>1111</v>
      </c>
      <c r="P743" s="1">
        <f t="shared" si="146"/>
        <v>761</v>
      </c>
      <c r="Q743" s="1">
        <f t="shared" si="147"/>
        <v>6.3991798666717861</v>
      </c>
      <c r="R743" s="1">
        <f t="shared" si="148"/>
        <v>2.6013760034921094</v>
      </c>
      <c r="S743" s="2">
        <f t="shared" si="149"/>
        <v>8.9833100384752296</v>
      </c>
      <c r="T743" s="2">
        <f t="shared" si="150"/>
        <v>0.15678833789885124</v>
      </c>
      <c r="U743" s="1" t="s">
        <v>2507</v>
      </c>
      <c r="V743" s="6" t="s">
        <v>2505</v>
      </c>
    </row>
    <row r="744" spans="1:22" ht="14.25" customHeight="1" x14ac:dyDescent="0.3">
      <c r="A744" s="1" t="s">
        <v>17</v>
      </c>
      <c r="B744" s="1" t="s">
        <v>1493</v>
      </c>
      <c r="C744" s="1" t="s">
        <v>1494</v>
      </c>
      <c r="D744" s="1">
        <f t="shared" si="141"/>
        <v>15</v>
      </c>
      <c r="E744" s="1">
        <f t="shared" si="142"/>
        <v>0.23722222222222222</v>
      </c>
      <c r="F744" s="2">
        <f t="shared" si="143"/>
        <v>90.748321735896951</v>
      </c>
      <c r="G744" s="1">
        <v>2080</v>
      </c>
      <c r="H744" s="1">
        <v>3744</v>
      </c>
      <c r="I744" s="1">
        <v>0</v>
      </c>
      <c r="J744" s="1">
        <v>184</v>
      </c>
      <c r="K744" s="1">
        <f t="shared" si="139"/>
        <v>0</v>
      </c>
      <c r="L744" s="1">
        <f t="shared" si="144"/>
        <v>1.605576923076923</v>
      </c>
      <c r="M744" s="1">
        <f t="shared" si="145"/>
        <v>1.605576923076923</v>
      </c>
      <c r="N744" s="2">
        <f t="shared" si="151"/>
        <v>10.463528566295366</v>
      </c>
      <c r="O744" s="1">
        <v>1111</v>
      </c>
      <c r="P744" s="1">
        <f t="shared" si="146"/>
        <v>761</v>
      </c>
      <c r="Q744" s="1">
        <f t="shared" si="147"/>
        <v>4.069043719568473</v>
      </c>
      <c r="R744" s="1">
        <f t="shared" si="148"/>
        <v>1.654135828307483</v>
      </c>
      <c r="S744" s="2">
        <f t="shared" si="149"/>
        <v>8.9833100384752314</v>
      </c>
      <c r="T744" s="2">
        <f t="shared" si="150"/>
        <v>0.15678833789885127</v>
      </c>
      <c r="U744" s="1" t="s">
        <v>2507</v>
      </c>
      <c r="V744" s="6" t="s">
        <v>2505</v>
      </c>
    </row>
    <row r="745" spans="1:22" ht="14.25" customHeight="1" x14ac:dyDescent="0.3">
      <c r="A745" s="1" t="s">
        <v>40</v>
      </c>
      <c r="B745" s="1" t="s">
        <v>1495</v>
      </c>
      <c r="C745" s="1" t="s">
        <v>1496</v>
      </c>
      <c r="D745" s="1">
        <f t="shared" si="141"/>
        <v>61</v>
      </c>
      <c r="E745" s="1">
        <f t="shared" si="142"/>
        <v>0.90237268518518521</v>
      </c>
      <c r="F745" s="2">
        <f t="shared" si="143"/>
        <v>383.95410948211054</v>
      </c>
      <c r="G745" s="1">
        <v>2080</v>
      </c>
      <c r="H745" s="1">
        <v>3744</v>
      </c>
      <c r="I745" s="1">
        <v>0</v>
      </c>
      <c r="J745" s="1">
        <v>114</v>
      </c>
      <c r="K745" s="1">
        <f t="shared" si="139"/>
        <v>0</v>
      </c>
      <c r="L745" s="1">
        <f t="shared" si="144"/>
        <v>0.99475961538461533</v>
      </c>
      <c r="M745" s="1">
        <f t="shared" si="145"/>
        <v>0.99475961538461533</v>
      </c>
      <c r="N745" s="2">
        <f t="shared" si="151"/>
        <v>16.888502247353923</v>
      </c>
      <c r="O745" s="1">
        <v>1110</v>
      </c>
      <c r="P745" s="1">
        <f t="shared" si="146"/>
        <v>762</v>
      </c>
      <c r="Q745" s="1">
        <f t="shared" si="147"/>
        <v>6.5675793368473592</v>
      </c>
      <c r="R745" s="1">
        <f t="shared" si="148"/>
        <v>2.6733415890372263</v>
      </c>
      <c r="S745" s="2">
        <f t="shared" si="149"/>
        <v>8.9949217690319649</v>
      </c>
      <c r="T745" s="2">
        <f t="shared" si="150"/>
        <v>0.1569910008289207</v>
      </c>
      <c r="U745" s="1" t="s">
        <v>2507</v>
      </c>
      <c r="V745" s="6" t="s">
        <v>2505</v>
      </c>
    </row>
    <row r="746" spans="1:22" ht="14.25" customHeight="1" x14ac:dyDescent="0.3">
      <c r="A746" s="1" t="s">
        <v>450</v>
      </c>
      <c r="B746" s="1" t="s">
        <v>1497</v>
      </c>
      <c r="C746" s="1" t="s">
        <v>1498</v>
      </c>
      <c r="D746" s="1">
        <f t="shared" si="141"/>
        <v>30</v>
      </c>
      <c r="E746" s="1">
        <f t="shared" si="142"/>
        <v>4.5243055555555557E-2</v>
      </c>
      <c r="F746" s="2">
        <f t="shared" si="143"/>
        <v>183.78986066430616</v>
      </c>
      <c r="G746" s="1">
        <v>2080</v>
      </c>
      <c r="H746" s="1">
        <v>3744</v>
      </c>
      <c r="I746" s="1">
        <v>0</v>
      </c>
      <c r="J746" s="1">
        <v>244</v>
      </c>
      <c r="K746" s="1">
        <f t="shared" si="139"/>
        <v>0</v>
      </c>
      <c r="L746" s="1">
        <f t="shared" si="144"/>
        <v>2.1291346153846149</v>
      </c>
      <c r="M746" s="1">
        <f t="shared" si="145"/>
        <v>2.1291346153846149</v>
      </c>
      <c r="N746" s="2">
        <f t="shared" si="151"/>
        <v>7.8905297385178184</v>
      </c>
      <c r="O746" s="1">
        <v>1107</v>
      </c>
      <c r="P746" s="1">
        <f t="shared" si="146"/>
        <v>765</v>
      </c>
      <c r="Q746" s="1">
        <f t="shared" si="147"/>
        <v>3.0684591983631111</v>
      </c>
      <c r="R746" s="1">
        <f t="shared" si="148"/>
        <v>1.2539376531772328</v>
      </c>
      <c r="S746" s="2">
        <f t="shared" si="149"/>
        <v>9.0297524873763511</v>
      </c>
      <c r="T746" s="2">
        <f t="shared" si="150"/>
        <v>0.15759891154486502</v>
      </c>
      <c r="U746" s="1" t="s">
        <v>2507</v>
      </c>
      <c r="V746" s="6" t="s">
        <v>2505</v>
      </c>
    </row>
    <row r="747" spans="1:22" ht="14.25" customHeight="1" x14ac:dyDescent="0.3">
      <c r="A747" s="1" t="s">
        <v>27</v>
      </c>
      <c r="B747" s="1" t="s">
        <v>1499</v>
      </c>
      <c r="C747" s="1" t="s">
        <v>1500</v>
      </c>
      <c r="D747" s="1">
        <f t="shared" si="141"/>
        <v>51</v>
      </c>
      <c r="E747" s="1">
        <f t="shared" si="142"/>
        <v>0.28012731481481484</v>
      </c>
      <c r="F747" s="2">
        <f t="shared" si="143"/>
        <v>317.21257344174302</v>
      </c>
      <c r="G747" s="1">
        <v>2080</v>
      </c>
      <c r="H747" s="1">
        <v>3744</v>
      </c>
      <c r="I747" s="1">
        <v>0</v>
      </c>
      <c r="J747" s="1">
        <v>110</v>
      </c>
      <c r="K747" s="1">
        <f t="shared" si="139"/>
        <v>0</v>
      </c>
      <c r="L747" s="1">
        <f t="shared" si="144"/>
        <v>0.9598557692307691</v>
      </c>
      <c r="M747" s="1">
        <f t="shared" si="145"/>
        <v>0.9598557692307691</v>
      </c>
      <c r="N747" s="2">
        <f t="shared" si="151"/>
        <v>17.502629601803157</v>
      </c>
      <c r="O747" s="1">
        <v>1107</v>
      </c>
      <c r="P747" s="1">
        <f t="shared" si="146"/>
        <v>765</v>
      </c>
      <c r="Q747" s="1">
        <f t="shared" si="147"/>
        <v>6.8064004036418089</v>
      </c>
      <c r="R747" s="1">
        <f t="shared" si="148"/>
        <v>2.781461703411316</v>
      </c>
      <c r="S747" s="2">
        <f t="shared" si="149"/>
        <v>9.0297524873763511</v>
      </c>
      <c r="T747" s="2">
        <f t="shared" si="150"/>
        <v>0.15759891154486502</v>
      </c>
      <c r="U747" s="1" t="s">
        <v>2507</v>
      </c>
      <c r="V747" s="6" t="s">
        <v>2505</v>
      </c>
    </row>
    <row r="748" spans="1:22" ht="14.25" customHeight="1" x14ac:dyDescent="0.3">
      <c r="A748" s="1" t="s">
        <v>40</v>
      </c>
      <c r="B748" s="1" t="s">
        <v>1501</v>
      </c>
      <c r="C748" s="1" t="s">
        <v>69</v>
      </c>
      <c r="D748" s="1">
        <f t="shared" si="141"/>
        <v>8</v>
      </c>
      <c r="E748" s="1">
        <f t="shared" si="142"/>
        <v>0.90759259259259262</v>
      </c>
      <c r="F748" s="2">
        <f t="shared" si="143"/>
        <v>50.978085847119495</v>
      </c>
      <c r="G748" s="1">
        <v>2080</v>
      </c>
      <c r="H748" s="1">
        <v>3744</v>
      </c>
      <c r="I748" s="1">
        <v>0</v>
      </c>
      <c r="J748" s="1">
        <v>256</v>
      </c>
      <c r="K748" s="1">
        <f t="shared" si="139"/>
        <v>0</v>
      </c>
      <c r="L748" s="1">
        <f t="shared" si="144"/>
        <v>2.2338461538461538</v>
      </c>
      <c r="M748" s="1">
        <f t="shared" si="145"/>
        <v>2.2338461538461538</v>
      </c>
      <c r="N748" s="2">
        <f t="shared" si="151"/>
        <v>7.5206611570247937</v>
      </c>
      <c r="O748" s="1">
        <v>1106</v>
      </c>
      <c r="P748" s="1">
        <f t="shared" si="146"/>
        <v>766</v>
      </c>
      <c r="Q748" s="1">
        <f t="shared" si="147"/>
        <v>2.9246251734398396</v>
      </c>
      <c r="R748" s="1">
        <f t="shared" si="148"/>
        <v>1.1967216254566866</v>
      </c>
      <c r="S748" s="2">
        <f t="shared" si="149"/>
        <v>9.0413612327774846</v>
      </c>
      <c r="T748" s="2">
        <f t="shared" si="150"/>
        <v>0.15780152237414055</v>
      </c>
      <c r="U748" s="1" t="s">
        <v>2507</v>
      </c>
      <c r="V748" s="6" t="s">
        <v>2505</v>
      </c>
    </row>
    <row r="749" spans="1:22" ht="14.25" customHeight="1" x14ac:dyDescent="0.3">
      <c r="A749" s="1" t="s">
        <v>40</v>
      </c>
      <c r="B749" s="1" t="s">
        <v>1502</v>
      </c>
      <c r="C749" s="1" t="s">
        <v>1503</v>
      </c>
      <c r="D749" s="1">
        <f t="shared" si="141"/>
        <v>36</v>
      </c>
      <c r="E749" s="1">
        <f t="shared" si="142"/>
        <v>1.3680555555555555E-2</v>
      </c>
      <c r="F749" s="2">
        <f t="shared" si="143"/>
        <v>221.29065947112579</v>
      </c>
      <c r="G749" s="1">
        <v>2080</v>
      </c>
      <c r="H749" s="1">
        <v>3744</v>
      </c>
      <c r="I749" s="1">
        <v>0</v>
      </c>
      <c r="J749" s="1">
        <v>131</v>
      </c>
      <c r="K749" s="1">
        <f t="shared" si="139"/>
        <v>0</v>
      </c>
      <c r="L749" s="1">
        <f t="shared" si="144"/>
        <v>1.1431009615384613</v>
      </c>
      <c r="M749" s="1">
        <f t="shared" si="145"/>
        <v>1.1431009615384613</v>
      </c>
      <c r="N749" s="2">
        <f t="shared" si="151"/>
        <v>14.696864551132425</v>
      </c>
      <c r="O749" s="1">
        <v>1106</v>
      </c>
      <c r="P749" s="1">
        <f t="shared" si="146"/>
        <v>766</v>
      </c>
      <c r="Q749" s="1">
        <f t="shared" si="147"/>
        <v>5.7152980488595357</v>
      </c>
      <c r="R749" s="1">
        <f t="shared" si="148"/>
        <v>2.3386315734115408</v>
      </c>
      <c r="S749" s="2">
        <f t="shared" si="149"/>
        <v>9.0413612327774846</v>
      </c>
      <c r="T749" s="2">
        <f t="shared" si="150"/>
        <v>0.15780152237414055</v>
      </c>
      <c r="U749" s="1" t="s">
        <v>2507</v>
      </c>
      <c r="V749" s="6" t="s">
        <v>2505</v>
      </c>
    </row>
    <row r="750" spans="1:22" ht="14.25" customHeight="1" x14ac:dyDescent="0.3">
      <c r="A750" s="1" t="s">
        <v>17</v>
      </c>
      <c r="B750" s="1" t="s">
        <v>1504</v>
      </c>
      <c r="C750" s="1" t="s">
        <v>1505</v>
      </c>
      <c r="D750" s="1">
        <f t="shared" si="141"/>
        <v>38</v>
      </c>
      <c r="E750" s="1">
        <f t="shared" si="142"/>
        <v>0.77292824074074085</v>
      </c>
      <c r="F750" s="2">
        <f t="shared" si="143"/>
        <v>238.62752398555065</v>
      </c>
      <c r="G750" s="1">
        <v>2080</v>
      </c>
      <c r="H750" s="1">
        <v>3744</v>
      </c>
      <c r="I750" s="1">
        <v>0</v>
      </c>
      <c r="J750" s="1">
        <v>254</v>
      </c>
      <c r="K750" s="1">
        <f t="shared" ref="K750:K813" si="152">(32.67*I750)/H750</f>
        <v>0</v>
      </c>
      <c r="L750" s="1">
        <f t="shared" si="144"/>
        <v>2.2163942307692306</v>
      </c>
      <c r="M750" s="1">
        <f t="shared" si="145"/>
        <v>2.2163942307692306</v>
      </c>
      <c r="N750" s="2">
        <f t="shared" si="151"/>
        <v>7.5798789614108166</v>
      </c>
      <c r="O750" s="1">
        <v>1105</v>
      </c>
      <c r="P750" s="1">
        <f t="shared" si="146"/>
        <v>767</v>
      </c>
      <c r="Q750" s="1">
        <f t="shared" si="147"/>
        <v>2.9476537181125946</v>
      </c>
      <c r="R750" s="1">
        <f t="shared" si="148"/>
        <v>1.207719231726688</v>
      </c>
      <c r="S750" s="2">
        <f t="shared" si="149"/>
        <v>9.0529692296868216</v>
      </c>
      <c r="T750" s="2">
        <f t="shared" si="150"/>
        <v>0.15800412013976983</v>
      </c>
      <c r="U750" s="1" t="s">
        <v>2507</v>
      </c>
      <c r="V750" s="6" t="s">
        <v>2505</v>
      </c>
    </row>
    <row r="751" spans="1:22" ht="14.25" customHeight="1" x14ac:dyDescent="0.3">
      <c r="A751" s="1" t="s">
        <v>40</v>
      </c>
      <c r="B751" s="1" t="s">
        <v>496</v>
      </c>
      <c r="C751" s="1" t="s">
        <v>497</v>
      </c>
      <c r="D751" s="1">
        <f t="shared" si="141"/>
        <v>93</v>
      </c>
      <c r="E751" s="1">
        <f t="shared" si="142"/>
        <v>0.27929398148148149</v>
      </c>
      <c r="F751" s="2">
        <f t="shared" si="143"/>
        <v>581.1011203555297</v>
      </c>
      <c r="G751" s="1">
        <v>2080</v>
      </c>
      <c r="H751" s="1">
        <v>3744</v>
      </c>
      <c r="I751" s="1">
        <v>0</v>
      </c>
      <c r="J751" s="1">
        <v>115</v>
      </c>
      <c r="K751" s="1">
        <f t="shared" si="152"/>
        <v>0</v>
      </c>
      <c r="L751" s="1">
        <f t="shared" si="144"/>
        <v>1.0034855769230768</v>
      </c>
      <c r="M751" s="1">
        <f t="shared" si="145"/>
        <v>1.0034855769230768</v>
      </c>
      <c r="N751" s="2">
        <f t="shared" si="151"/>
        <v>16.741645706072585</v>
      </c>
      <c r="O751" s="1">
        <v>1103</v>
      </c>
      <c r="P751" s="1">
        <f t="shared" si="146"/>
        <v>769</v>
      </c>
      <c r="Q751" s="1">
        <f t="shared" si="147"/>
        <v>6.510469951309557</v>
      </c>
      <c r="R751" s="1">
        <f t="shared" si="148"/>
        <v>2.6744398464514152</v>
      </c>
      <c r="S751" s="2">
        <f t="shared" si="149"/>
        <v>9.0761829745087041</v>
      </c>
      <c r="T751" s="2">
        <f t="shared" si="150"/>
        <v>0.15840927641862945</v>
      </c>
      <c r="U751" s="1" t="s">
        <v>2507</v>
      </c>
      <c r="V751" s="6" t="s">
        <v>2505</v>
      </c>
    </row>
    <row r="752" spans="1:22" ht="14.25" customHeight="1" x14ac:dyDescent="0.3">
      <c r="A752" s="1" t="s">
        <v>17</v>
      </c>
      <c r="B752" s="1" t="s">
        <v>1506</v>
      </c>
      <c r="C752" s="1" t="s">
        <v>1507</v>
      </c>
      <c r="D752" s="1">
        <f t="shared" si="141"/>
        <v>70</v>
      </c>
      <c r="E752" s="1">
        <f t="shared" si="142"/>
        <v>0.80811342592592583</v>
      </c>
      <c r="F752" s="2">
        <f t="shared" si="143"/>
        <v>439.91052885388336</v>
      </c>
      <c r="G752" s="1">
        <v>2080</v>
      </c>
      <c r="H752" s="1">
        <v>3744</v>
      </c>
      <c r="I752" s="1">
        <v>0</v>
      </c>
      <c r="J752" s="1">
        <v>237</v>
      </c>
      <c r="K752" s="1">
        <f t="shared" si="152"/>
        <v>0</v>
      </c>
      <c r="L752" s="1">
        <f t="shared" si="144"/>
        <v>2.0680528846153843</v>
      </c>
      <c r="M752" s="1">
        <f t="shared" si="145"/>
        <v>2.0680528846153843</v>
      </c>
      <c r="N752" s="2">
        <f t="shared" si="151"/>
        <v>8.1235833594866982</v>
      </c>
      <c r="O752" s="1">
        <v>1102</v>
      </c>
      <c r="P752" s="1">
        <f t="shared" si="146"/>
        <v>770</v>
      </c>
      <c r="Q752" s="1">
        <f t="shared" si="147"/>
        <v>3.1590887949392368</v>
      </c>
      <c r="R752" s="1">
        <f t="shared" si="148"/>
        <v>1.2994115235594081</v>
      </c>
      <c r="S752" s="2">
        <f t="shared" si="149"/>
        <v>9.0877887206614485</v>
      </c>
      <c r="T752" s="2">
        <f t="shared" si="150"/>
        <v>0.1586118349011455</v>
      </c>
      <c r="U752" s="1" t="s">
        <v>2507</v>
      </c>
      <c r="V752" s="6" t="s">
        <v>2505</v>
      </c>
    </row>
    <row r="753" spans="1:24" ht="14.25" customHeight="1" x14ac:dyDescent="0.3">
      <c r="A753" s="1" t="s">
        <v>27</v>
      </c>
      <c r="B753" s="1" t="s">
        <v>1508</v>
      </c>
      <c r="C753" s="1" t="s">
        <v>1509</v>
      </c>
      <c r="D753" s="1">
        <f t="shared" si="141"/>
        <v>76</v>
      </c>
      <c r="E753" s="1">
        <f t="shared" si="142"/>
        <v>0.8481481481481481</v>
      </c>
      <c r="F753" s="2">
        <f t="shared" si="143"/>
        <v>477.86118627540452</v>
      </c>
      <c r="G753" s="1">
        <v>2080</v>
      </c>
      <c r="H753" s="1">
        <v>3744</v>
      </c>
      <c r="I753" s="1">
        <v>0</v>
      </c>
      <c r="J753" s="1">
        <v>164</v>
      </c>
      <c r="K753" s="1">
        <f t="shared" si="152"/>
        <v>0</v>
      </c>
      <c r="L753" s="1">
        <f t="shared" si="144"/>
        <v>1.4310576923076923</v>
      </c>
      <c r="M753" s="1">
        <f t="shared" si="145"/>
        <v>1.4310576923076923</v>
      </c>
      <c r="N753" s="2">
        <f t="shared" si="151"/>
        <v>11.739568635355775</v>
      </c>
      <c r="O753" s="1">
        <v>1102</v>
      </c>
      <c r="P753" s="1">
        <f t="shared" si="146"/>
        <v>770</v>
      </c>
      <c r="Q753" s="1">
        <f t="shared" si="147"/>
        <v>4.5652685634182859</v>
      </c>
      <c r="R753" s="1">
        <f t="shared" si="148"/>
        <v>1.8778081163632907</v>
      </c>
      <c r="S753" s="2">
        <f t="shared" si="149"/>
        <v>9.0877887206614485</v>
      </c>
      <c r="T753" s="2">
        <f t="shared" si="150"/>
        <v>0.1586118349011455</v>
      </c>
      <c r="U753" s="1" t="s">
        <v>2507</v>
      </c>
      <c r="V753" s="6" t="s">
        <v>2505</v>
      </c>
    </row>
    <row r="754" spans="1:24" ht="14.25" customHeight="1" x14ac:dyDescent="0.3">
      <c r="A754" s="1" t="s">
        <v>450</v>
      </c>
      <c r="B754" s="1" t="s">
        <v>1510</v>
      </c>
      <c r="C754" s="1" t="s">
        <v>1511</v>
      </c>
      <c r="D754" s="1">
        <f t="shared" si="141"/>
        <v>30</v>
      </c>
      <c r="E754" s="1">
        <f t="shared" si="142"/>
        <v>4.5254629629629624E-2</v>
      </c>
      <c r="F754" s="2">
        <f t="shared" si="143"/>
        <v>183.78993338635831</v>
      </c>
      <c r="G754" s="1">
        <v>2080</v>
      </c>
      <c r="H754" s="1">
        <v>3744</v>
      </c>
      <c r="I754" s="1">
        <v>0</v>
      </c>
      <c r="J754" s="1">
        <v>259</v>
      </c>
      <c r="K754" s="1">
        <f t="shared" si="152"/>
        <v>0</v>
      </c>
      <c r="L754" s="1">
        <f t="shared" si="144"/>
        <v>2.260024038461538</v>
      </c>
      <c r="M754" s="1">
        <f t="shared" si="145"/>
        <v>2.260024038461538</v>
      </c>
      <c r="N754" s="2">
        <f t="shared" si="151"/>
        <v>7.4335492517310717</v>
      </c>
      <c r="O754" s="1">
        <v>1101</v>
      </c>
      <c r="P754" s="1">
        <f t="shared" si="146"/>
        <v>771</v>
      </c>
      <c r="Q754" s="1">
        <f t="shared" si="147"/>
        <v>2.8907492061799194</v>
      </c>
      <c r="R754" s="1">
        <f t="shared" si="148"/>
        <v>1.1905810031862809</v>
      </c>
      <c r="S754" s="2">
        <f t="shared" si="149"/>
        <v>9.0993937148027975</v>
      </c>
      <c r="T754" s="2">
        <f t="shared" si="150"/>
        <v>0.15881438025858671</v>
      </c>
      <c r="U754" s="1" t="s">
        <v>2507</v>
      </c>
      <c r="V754" s="6" t="s">
        <v>2505</v>
      </c>
    </row>
    <row r="755" spans="1:24" ht="14.25" customHeight="1" x14ac:dyDescent="0.3">
      <c r="A755" s="1" t="s">
        <v>17</v>
      </c>
      <c r="B755" s="1" t="s">
        <v>1512</v>
      </c>
      <c r="C755" s="1" t="s">
        <v>1513</v>
      </c>
      <c r="D755" s="1">
        <f t="shared" si="141"/>
        <v>43</v>
      </c>
      <c r="E755" s="1">
        <f t="shared" si="142"/>
        <v>0.93714120370370368</v>
      </c>
      <c r="F755" s="2">
        <f t="shared" si="143"/>
        <v>271.07523099758595</v>
      </c>
      <c r="G755" s="1">
        <v>2080</v>
      </c>
      <c r="H755" s="1">
        <v>3744</v>
      </c>
      <c r="I755" s="1">
        <v>0</v>
      </c>
      <c r="J755" s="1">
        <v>469</v>
      </c>
      <c r="K755" s="1">
        <f t="shared" si="152"/>
        <v>0</v>
      </c>
      <c r="L755" s="1">
        <f t="shared" si="144"/>
        <v>4.0924759615384607</v>
      </c>
      <c r="M755" s="1">
        <f t="shared" si="145"/>
        <v>4.0924759615384607</v>
      </c>
      <c r="N755" s="2">
        <f t="shared" si="151"/>
        <v>4.1050943628962635</v>
      </c>
      <c r="O755" s="1">
        <v>1096</v>
      </c>
      <c r="P755" s="1">
        <f t="shared" si="146"/>
        <v>776</v>
      </c>
      <c r="Q755" s="1">
        <f t="shared" si="147"/>
        <v>1.5963838899799554</v>
      </c>
      <c r="R755" s="1">
        <f t="shared" si="148"/>
        <v>0.6617488774703234</v>
      </c>
      <c r="S755" s="2">
        <f t="shared" si="149"/>
        <v>9.1574073745862581</v>
      </c>
      <c r="T755" s="2">
        <f t="shared" si="150"/>
        <v>0.15982690963293991</v>
      </c>
      <c r="U755" s="1" t="s">
        <v>2507</v>
      </c>
      <c r="V755" s="6" t="s">
        <v>2505</v>
      </c>
    </row>
    <row r="756" spans="1:24" ht="14.25" customHeight="1" x14ac:dyDescent="0.3">
      <c r="A756" s="1" t="s">
        <v>40</v>
      </c>
      <c r="B756" s="1" t="s">
        <v>1514</v>
      </c>
      <c r="C756" s="1" t="s">
        <v>1515</v>
      </c>
      <c r="D756" s="1">
        <f t="shared" si="141"/>
        <v>73</v>
      </c>
      <c r="E756" s="1">
        <f t="shared" si="142"/>
        <v>0.91810185185185178</v>
      </c>
      <c r="F756" s="2">
        <f t="shared" si="143"/>
        <v>459.45116243715978</v>
      </c>
      <c r="G756" s="1">
        <v>2080</v>
      </c>
      <c r="H756" s="1">
        <v>3744</v>
      </c>
      <c r="I756" s="1">
        <v>0</v>
      </c>
      <c r="J756" s="1">
        <v>111</v>
      </c>
      <c r="K756" s="1">
        <f t="shared" si="152"/>
        <v>0</v>
      </c>
      <c r="L756" s="1">
        <f t="shared" si="144"/>
        <v>0.96858173076923071</v>
      </c>
      <c r="M756" s="1">
        <f t="shared" si="145"/>
        <v>0.96858173076923071</v>
      </c>
      <c r="N756" s="2">
        <f t="shared" si="151"/>
        <v>17.344948254039164</v>
      </c>
      <c r="O756" s="1">
        <v>1095</v>
      </c>
      <c r="P756" s="1">
        <f t="shared" si="146"/>
        <v>777</v>
      </c>
      <c r="Q756" s="1">
        <f t="shared" si="147"/>
        <v>6.7450814810864772</v>
      </c>
      <c r="R756" s="1">
        <f t="shared" si="148"/>
        <v>2.7996411916689063</v>
      </c>
      <c r="S756" s="2">
        <f t="shared" si="149"/>
        <v>9.1690078382128917</v>
      </c>
      <c r="T756" s="2">
        <f t="shared" si="150"/>
        <v>0.1600293759179825</v>
      </c>
      <c r="U756" s="1" t="s">
        <v>2507</v>
      </c>
      <c r="V756" s="6" t="s">
        <v>2505</v>
      </c>
    </row>
    <row r="757" spans="1:24" ht="14.25" customHeight="1" x14ac:dyDescent="0.3">
      <c r="A757" s="1" t="s">
        <v>27</v>
      </c>
      <c r="B757" s="1" t="s">
        <v>1516</v>
      </c>
      <c r="C757" s="1" t="s">
        <v>1517</v>
      </c>
      <c r="D757" s="1">
        <f t="shared" si="141"/>
        <v>50</v>
      </c>
      <c r="E757" s="1">
        <f t="shared" si="142"/>
        <v>0.86843750000000008</v>
      </c>
      <c r="F757" s="2">
        <f t="shared" si="143"/>
        <v>314.62585004618307</v>
      </c>
      <c r="G757" s="1">
        <v>2080</v>
      </c>
      <c r="H757" s="1">
        <v>3744</v>
      </c>
      <c r="I757" s="1">
        <v>0</v>
      </c>
      <c r="J757" s="1">
        <v>206</v>
      </c>
      <c r="K757" s="1">
        <f t="shared" si="152"/>
        <v>0</v>
      </c>
      <c r="L757" s="1">
        <f t="shared" si="144"/>
        <v>1.7975480769230767</v>
      </c>
      <c r="M757" s="1">
        <f t="shared" si="145"/>
        <v>1.7975480769230767</v>
      </c>
      <c r="N757" s="2">
        <f t="shared" si="151"/>
        <v>9.3460643504774144</v>
      </c>
      <c r="O757" s="1">
        <v>1094</v>
      </c>
      <c r="P757" s="1">
        <f t="shared" si="146"/>
        <v>778</v>
      </c>
      <c r="Q757" s="1">
        <f t="shared" si="147"/>
        <v>3.6344856524300924</v>
      </c>
      <c r="R757" s="1">
        <f t="shared" si="148"/>
        <v>1.5104860243539595</v>
      </c>
      <c r="S757" s="2">
        <f t="shared" si="149"/>
        <v>9.1806075436827292</v>
      </c>
      <c r="T757" s="2">
        <f t="shared" si="150"/>
        <v>0.16023182897069277</v>
      </c>
      <c r="U757" s="1" t="s">
        <v>2507</v>
      </c>
      <c r="V757" s="6" t="s">
        <v>2505</v>
      </c>
    </row>
    <row r="758" spans="1:24" ht="14.25" customHeight="1" x14ac:dyDescent="0.3">
      <c r="A758" s="1" t="s">
        <v>27</v>
      </c>
      <c r="B758" s="1" t="s">
        <v>1518</v>
      </c>
      <c r="C758" s="1" t="s">
        <v>1519</v>
      </c>
      <c r="D758" s="1">
        <f t="shared" si="141"/>
        <v>15</v>
      </c>
      <c r="E758" s="1">
        <f t="shared" si="142"/>
        <v>0.34686342592592595</v>
      </c>
      <c r="F758" s="2">
        <f t="shared" si="143"/>
        <v>91.437217736069556</v>
      </c>
      <c r="G758" s="1">
        <v>2080</v>
      </c>
      <c r="H758" s="1">
        <v>3744</v>
      </c>
      <c r="I758" s="1">
        <v>0</v>
      </c>
      <c r="J758" s="1">
        <v>228</v>
      </c>
      <c r="K758" s="1">
        <f t="shared" si="152"/>
        <v>0</v>
      </c>
      <c r="L758" s="1">
        <f t="shared" si="144"/>
        <v>1.9895192307692307</v>
      </c>
      <c r="M758" s="1">
        <f t="shared" si="145"/>
        <v>1.9895192307692307</v>
      </c>
      <c r="N758" s="2">
        <f t="shared" si="151"/>
        <v>8.4442511236769615</v>
      </c>
      <c r="O758" s="1">
        <v>1093</v>
      </c>
      <c r="P758" s="1">
        <f t="shared" si="146"/>
        <v>779</v>
      </c>
      <c r="Q758" s="1">
        <f t="shared" si="147"/>
        <v>3.2837896684236796</v>
      </c>
      <c r="R758" s="1">
        <f t="shared" si="148"/>
        <v>1.366491534028871</v>
      </c>
      <c r="S758" s="2">
        <f t="shared" si="149"/>
        <v>9.1922064901193057</v>
      </c>
      <c r="T758" s="2">
        <f t="shared" si="150"/>
        <v>0.16043426877577349</v>
      </c>
      <c r="U758" s="1" t="s">
        <v>2507</v>
      </c>
      <c r="V758" s="6" t="s">
        <v>2505</v>
      </c>
      <c r="W758" s="1"/>
      <c r="X758" s="1"/>
    </row>
    <row r="759" spans="1:24" ht="14.25" customHeight="1" x14ac:dyDescent="0.3">
      <c r="A759" s="1" t="s">
        <v>27</v>
      </c>
      <c r="B759" s="1" t="s">
        <v>1520</v>
      </c>
      <c r="C759" s="1" t="s">
        <v>1521</v>
      </c>
      <c r="D759" s="1">
        <f t="shared" si="141"/>
        <v>43</v>
      </c>
      <c r="E759" s="1">
        <f t="shared" si="142"/>
        <v>0.22024305555555557</v>
      </c>
      <c r="F759" s="2">
        <f t="shared" si="143"/>
        <v>266.57082708639723</v>
      </c>
      <c r="G759" s="1">
        <v>2080</v>
      </c>
      <c r="H759" s="1">
        <v>3744</v>
      </c>
      <c r="I759" s="1">
        <v>0</v>
      </c>
      <c r="J759" s="1">
        <v>112</v>
      </c>
      <c r="K759" s="1">
        <f t="shared" si="152"/>
        <v>0</v>
      </c>
      <c r="L759" s="1">
        <f t="shared" si="144"/>
        <v>0.97730769230769221</v>
      </c>
      <c r="M759" s="1">
        <f t="shared" si="145"/>
        <v>0.97730769230769221</v>
      </c>
      <c r="N759" s="2">
        <f t="shared" si="151"/>
        <v>17.190082644628102</v>
      </c>
      <c r="O759" s="1">
        <v>1093</v>
      </c>
      <c r="P759" s="1">
        <f t="shared" si="146"/>
        <v>779</v>
      </c>
      <c r="Q759" s="1">
        <f t="shared" si="147"/>
        <v>6.6848575392910634</v>
      </c>
      <c r="R759" s="1">
        <f t="shared" si="148"/>
        <v>2.7817863371302023</v>
      </c>
      <c r="S759" s="2">
        <f t="shared" si="149"/>
        <v>9.1922064901193057</v>
      </c>
      <c r="T759" s="2">
        <f t="shared" si="150"/>
        <v>0.16043426877577349</v>
      </c>
      <c r="U759" s="1" t="s">
        <v>2507</v>
      </c>
      <c r="V759" s="6" t="s">
        <v>2505</v>
      </c>
    </row>
    <row r="760" spans="1:24" ht="14.25" customHeight="1" x14ac:dyDescent="0.3">
      <c r="A760" s="1" t="s">
        <v>17</v>
      </c>
      <c r="B760" s="1" t="s">
        <v>1522</v>
      </c>
      <c r="C760" s="1" t="s">
        <v>1523</v>
      </c>
      <c r="D760" s="1">
        <f t="shared" si="141"/>
        <v>6</v>
      </c>
      <c r="E760" s="1">
        <f t="shared" si="142"/>
        <v>0.77704861111111112</v>
      </c>
      <c r="F760" s="2">
        <f t="shared" si="143"/>
        <v>37.591483206375152</v>
      </c>
      <c r="G760" s="1">
        <v>2080</v>
      </c>
      <c r="H760" s="1">
        <v>3744</v>
      </c>
      <c r="I760" s="1">
        <v>0</v>
      </c>
      <c r="J760" s="1">
        <v>250</v>
      </c>
      <c r="K760" s="1">
        <f t="shared" si="152"/>
        <v>0</v>
      </c>
      <c r="L760" s="1">
        <f t="shared" si="144"/>
        <v>2.1814903846153846</v>
      </c>
      <c r="M760" s="1">
        <f t="shared" si="145"/>
        <v>2.1814903846153846</v>
      </c>
      <c r="N760" s="2">
        <f t="shared" si="151"/>
        <v>7.7011570247933889</v>
      </c>
      <c r="O760" s="1">
        <v>1093</v>
      </c>
      <c r="P760" s="1">
        <f t="shared" si="146"/>
        <v>779</v>
      </c>
      <c r="Q760" s="1">
        <f t="shared" si="147"/>
        <v>2.994816177602396</v>
      </c>
      <c r="R760" s="1">
        <f t="shared" si="148"/>
        <v>1.2462402790343305</v>
      </c>
      <c r="S760" s="2">
        <f t="shared" si="149"/>
        <v>9.1922064901193075</v>
      </c>
      <c r="T760" s="2">
        <f t="shared" si="150"/>
        <v>0.16043426877577352</v>
      </c>
      <c r="U760" s="1" t="s">
        <v>2507</v>
      </c>
      <c r="V760" s="6" t="s">
        <v>2505</v>
      </c>
    </row>
    <row r="761" spans="1:24" ht="14.25" customHeight="1" x14ac:dyDescent="0.3">
      <c r="A761" s="1" t="s">
        <v>17</v>
      </c>
      <c r="B761" s="1" t="s">
        <v>1524</v>
      </c>
      <c r="C761" s="1" t="s">
        <v>1525</v>
      </c>
      <c r="D761" s="1">
        <f t="shared" si="141"/>
        <v>83</v>
      </c>
      <c r="E761" s="1">
        <f t="shared" si="142"/>
        <v>4.6527777777777774E-3</v>
      </c>
      <c r="F761" s="2">
        <f t="shared" si="143"/>
        <v>516.54364570787664</v>
      </c>
      <c r="G761" s="1">
        <v>2080</v>
      </c>
      <c r="H761" s="1">
        <v>3744</v>
      </c>
      <c r="I761" s="1">
        <v>0</v>
      </c>
      <c r="J761" s="1">
        <v>210</v>
      </c>
      <c r="K761" s="1">
        <f t="shared" si="152"/>
        <v>0</v>
      </c>
      <c r="L761" s="1">
        <f t="shared" si="144"/>
        <v>1.832451923076923</v>
      </c>
      <c r="M761" s="1">
        <f t="shared" si="145"/>
        <v>1.832451923076923</v>
      </c>
      <c r="N761" s="2">
        <f t="shared" si="151"/>
        <v>9.1680440771349865</v>
      </c>
      <c r="O761" s="1">
        <v>1092</v>
      </c>
      <c r="P761" s="1">
        <f t="shared" si="146"/>
        <v>780</v>
      </c>
      <c r="Q761" s="1">
        <f t="shared" si="147"/>
        <v>3.5652573542885664</v>
      </c>
      <c r="R761" s="1">
        <f t="shared" si="148"/>
        <v>1.4855238976202361</v>
      </c>
      <c r="S761" s="2">
        <f t="shared" si="149"/>
        <v>9.2038046766465218</v>
      </c>
      <c r="T761" s="2">
        <f t="shared" si="150"/>
        <v>0.16063669531793387</v>
      </c>
      <c r="U761" s="1" t="s">
        <v>2507</v>
      </c>
      <c r="V761" s="6" t="s">
        <v>2505</v>
      </c>
    </row>
    <row r="762" spans="1:24" ht="14.25" customHeight="1" x14ac:dyDescent="0.3">
      <c r="A762" s="1" t="s">
        <v>27</v>
      </c>
      <c r="B762" s="1" t="s">
        <v>1526</v>
      </c>
      <c r="C762" s="1" t="s">
        <v>1527</v>
      </c>
      <c r="D762" s="1">
        <f t="shared" si="141"/>
        <v>43</v>
      </c>
      <c r="E762" s="1">
        <f t="shared" si="142"/>
        <v>0.22384259259259257</v>
      </c>
      <c r="F762" s="2">
        <f t="shared" si="143"/>
        <v>266.59344364462095</v>
      </c>
      <c r="G762" s="1">
        <v>2080</v>
      </c>
      <c r="H762" s="1">
        <v>3744</v>
      </c>
      <c r="I762" s="1">
        <v>0</v>
      </c>
      <c r="J762" s="1">
        <v>118</v>
      </c>
      <c r="K762" s="1">
        <f t="shared" si="152"/>
        <v>0</v>
      </c>
      <c r="L762" s="1">
        <f t="shared" si="144"/>
        <v>1.0296634615384614</v>
      </c>
      <c r="M762" s="1">
        <f t="shared" si="145"/>
        <v>1.0296634615384614</v>
      </c>
      <c r="N762" s="2">
        <f t="shared" si="151"/>
        <v>16.316010645748708</v>
      </c>
      <c r="O762" s="1">
        <v>1090</v>
      </c>
      <c r="P762" s="1">
        <f t="shared" si="146"/>
        <v>782</v>
      </c>
      <c r="Q762" s="1">
        <f t="shared" si="147"/>
        <v>6.3449495288186366</v>
      </c>
      <c r="R762" s="1">
        <f t="shared" si="148"/>
        <v>2.6505077625727425</v>
      </c>
      <c r="S762" s="2">
        <f t="shared" si="149"/>
        <v>9.2269987664702882</v>
      </c>
      <c r="T762" s="2">
        <f t="shared" si="150"/>
        <v>0.16104150855236191</v>
      </c>
      <c r="U762" s="1" t="s">
        <v>2507</v>
      </c>
      <c r="V762" s="6" t="s">
        <v>2505</v>
      </c>
    </row>
    <row r="763" spans="1:24" ht="14.25" customHeight="1" x14ac:dyDescent="0.3">
      <c r="A763" s="1" t="s">
        <v>30</v>
      </c>
      <c r="B763" s="1" t="s">
        <v>1528</v>
      </c>
      <c r="C763" s="1" t="s">
        <v>1529</v>
      </c>
      <c r="D763" s="1">
        <f t="shared" si="141"/>
        <v>41</v>
      </c>
      <c r="E763" s="1">
        <f t="shared" si="142"/>
        <v>0.12869212962962964</v>
      </c>
      <c r="F763" s="2">
        <f t="shared" si="143"/>
        <v>253.42922503940153</v>
      </c>
      <c r="G763" s="1">
        <v>2080</v>
      </c>
      <c r="H763" s="1">
        <v>3744</v>
      </c>
      <c r="I763" s="1">
        <v>0</v>
      </c>
      <c r="J763" s="1">
        <v>155</v>
      </c>
      <c r="K763" s="1">
        <f t="shared" si="152"/>
        <v>0</v>
      </c>
      <c r="L763" s="1">
        <f t="shared" si="144"/>
        <v>1.3525240384615385</v>
      </c>
      <c r="M763" s="1">
        <f t="shared" si="145"/>
        <v>1.3525240384615385</v>
      </c>
      <c r="N763" s="2">
        <f t="shared" si="151"/>
        <v>12.421221007731273</v>
      </c>
      <c r="O763" s="1">
        <v>1089</v>
      </c>
      <c r="P763" s="1">
        <f t="shared" si="146"/>
        <v>783</v>
      </c>
      <c r="Q763" s="1">
        <f t="shared" si="147"/>
        <v>4.8303486735522512</v>
      </c>
      <c r="R763" s="1">
        <f t="shared" si="148"/>
        <v>2.0203862240338744</v>
      </c>
      <c r="S763" s="2">
        <f t="shared" si="149"/>
        <v>9.2385946680164608</v>
      </c>
      <c r="T763" s="2">
        <f t="shared" si="150"/>
        <v>0.1612438952140797</v>
      </c>
      <c r="U763" s="1" t="s">
        <v>2507</v>
      </c>
      <c r="V763" s="6" t="s">
        <v>2505</v>
      </c>
    </row>
    <row r="764" spans="1:24" ht="14.25" customHeight="1" x14ac:dyDescent="0.3">
      <c r="A764" s="1" t="s">
        <v>27</v>
      </c>
      <c r="B764" s="1" t="s">
        <v>1530</v>
      </c>
      <c r="C764" s="1" t="s">
        <v>1531</v>
      </c>
      <c r="D764" s="1">
        <f t="shared" si="141"/>
        <v>48</v>
      </c>
      <c r="E764" s="1">
        <f t="shared" si="142"/>
        <v>0.29387731481481483</v>
      </c>
      <c r="F764" s="2">
        <f t="shared" si="143"/>
        <v>298.44941131817797</v>
      </c>
      <c r="G764" s="1">
        <v>2080</v>
      </c>
      <c r="H764" s="1">
        <v>3744</v>
      </c>
      <c r="I764" s="1">
        <v>0</v>
      </c>
      <c r="J764" s="1">
        <v>111</v>
      </c>
      <c r="K764" s="1">
        <f t="shared" si="152"/>
        <v>0</v>
      </c>
      <c r="L764" s="1">
        <f t="shared" si="144"/>
        <v>0.96858173076923071</v>
      </c>
      <c r="M764" s="1">
        <f t="shared" si="145"/>
        <v>0.96858173076923071</v>
      </c>
      <c r="N764" s="2">
        <f t="shared" si="151"/>
        <v>17.344948254039164</v>
      </c>
      <c r="O764" s="1">
        <v>1089</v>
      </c>
      <c r="P764" s="1">
        <f t="shared" si="146"/>
        <v>783</v>
      </c>
      <c r="Q764" s="1">
        <f t="shared" si="147"/>
        <v>6.7450814810864772</v>
      </c>
      <c r="R764" s="1">
        <f t="shared" si="148"/>
        <v>2.8212600425698247</v>
      </c>
      <c r="S764" s="2">
        <f t="shared" si="149"/>
        <v>9.2385946680164626</v>
      </c>
      <c r="T764" s="2">
        <f t="shared" si="150"/>
        <v>0.16124389521407975</v>
      </c>
      <c r="U764" s="1" t="s">
        <v>2507</v>
      </c>
      <c r="V764" s="6" t="s">
        <v>2505</v>
      </c>
    </row>
    <row r="765" spans="1:24" ht="14.25" customHeight="1" x14ac:dyDescent="0.3">
      <c r="A765" s="1" t="s">
        <v>1532</v>
      </c>
      <c r="B765" s="1" t="s">
        <v>1533</v>
      </c>
      <c r="C765" s="1" t="s">
        <v>1534</v>
      </c>
      <c r="D765" s="1">
        <f t="shared" si="141"/>
        <v>48</v>
      </c>
      <c r="E765" s="1">
        <f t="shared" si="142"/>
        <v>0.19098379629629628</v>
      </c>
      <c r="F765" s="2">
        <f t="shared" si="143"/>
        <v>297.80291227441842</v>
      </c>
      <c r="G765" s="1">
        <v>2080</v>
      </c>
      <c r="H765" s="1">
        <v>3744</v>
      </c>
      <c r="I765" s="1">
        <v>0</v>
      </c>
      <c r="J765" s="1">
        <v>321</v>
      </c>
      <c r="K765" s="1">
        <f t="shared" si="152"/>
        <v>0</v>
      </c>
      <c r="L765" s="1">
        <f t="shared" si="144"/>
        <v>2.8010336538461535</v>
      </c>
      <c r="M765" s="1">
        <f t="shared" si="145"/>
        <v>2.8010336538461535</v>
      </c>
      <c r="N765" s="2">
        <f t="shared" si="151"/>
        <v>5.9977858448546648</v>
      </c>
      <c r="O765" s="1">
        <v>1087</v>
      </c>
      <c r="P765" s="1">
        <f t="shared" si="146"/>
        <v>785</v>
      </c>
      <c r="Q765" s="1">
        <f t="shared" si="147"/>
        <v>2.3324113532728941</v>
      </c>
      <c r="R765" s="1">
        <f t="shared" si="148"/>
        <v>0.97806779504231933</v>
      </c>
      <c r="S765" s="2">
        <f t="shared" si="149"/>
        <v>9.2617841800041649</v>
      </c>
      <c r="T765" s="2">
        <f t="shared" si="150"/>
        <v>0.16164862855019585</v>
      </c>
      <c r="U765" s="1" t="s">
        <v>2507</v>
      </c>
      <c r="V765" s="6" t="s">
        <v>2505</v>
      </c>
    </row>
    <row r="766" spans="1:24" ht="14.25" customHeight="1" x14ac:dyDescent="0.3">
      <c r="A766" s="1" t="s">
        <v>20</v>
      </c>
      <c r="B766" s="1" t="s">
        <v>1535</v>
      </c>
      <c r="C766" s="1" t="s">
        <v>1536</v>
      </c>
      <c r="D766" s="1">
        <f t="shared" si="141"/>
        <v>36</v>
      </c>
      <c r="E766" s="1">
        <f t="shared" si="142"/>
        <v>0.71368055555555554</v>
      </c>
      <c r="F766" s="2">
        <f t="shared" si="143"/>
        <v>225.68888918615153</v>
      </c>
      <c r="G766" s="1">
        <v>2080</v>
      </c>
      <c r="H766" s="1">
        <v>3744</v>
      </c>
      <c r="I766" s="1">
        <v>0</v>
      </c>
      <c r="J766" s="1">
        <v>519</v>
      </c>
      <c r="K766" s="1">
        <f t="shared" si="152"/>
        <v>0</v>
      </c>
      <c r="L766" s="1">
        <f t="shared" si="144"/>
        <v>4.5287740384615374</v>
      </c>
      <c r="M766" s="1">
        <f t="shared" si="145"/>
        <v>4.5287740384615374</v>
      </c>
      <c r="N766" s="2">
        <f t="shared" si="151"/>
        <v>3.7096132104014408</v>
      </c>
      <c r="O766" s="1">
        <v>1086</v>
      </c>
      <c r="P766" s="1">
        <f t="shared" si="146"/>
        <v>786</v>
      </c>
      <c r="Q766" s="1">
        <f t="shared" si="147"/>
        <v>1.4425896809260099</v>
      </c>
      <c r="R766" s="1">
        <f t="shared" si="148"/>
        <v>0.60570271859393365</v>
      </c>
      <c r="S766" s="2">
        <f t="shared" si="149"/>
        <v>9.2733777886975073</v>
      </c>
      <c r="T766" s="2">
        <f t="shared" si="150"/>
        <v>0.16185097519408251</v>
      </c>
      <c r="U766" s="1" t="s">
        <v>2507</v>
      </c>
      <c r="V766" s="6" t="s">
        <v>2505</v>
      </c>
    </row>
    <row r="767" spans="1:24" ht="14.25" customHeight="1" x14ac:dyDescent="0.3">
      <c r="A767" s="1" t="s">
        <v>27</v>
      </c>
      <c r="B767" s="1" t="s">
        <v>1537</v>
      </c>
      <c r="C767" s="1" t="s">
        <v>1538</v>
      </c>
      <c r="D767" s="1">
        <f t="shared" si="141"/>
        <v>48</v>
      </c>
      <c r="E767" s="1">
        <f t="shared" si="142"/>
        <v>3.8645833333333331E-2</v>
      </c>
      <c r="F767" s="2">
        <f t="shared" si="143"/>
        <v>296.84574462380385</v>
      </c>
      <c r="G767" s="1">
        <v>2080</v>
      </c>
      <c r="H767" s="1">
        <v>3744</v>
      </c>
      <c r="I767" s="1">
        <v>0</v>
      </c>
      <c r="J767" s="1">
        <v>202</v>
      </c>
      <c r="K767" s="1">
        <f t="shared" si="152"/>
        <v>0</v>
      </c>
      <c r="L767" s="1">
        <f t="shared" si="144"/>
        <v>1.7626442307692307</v>
      </c>
      <c r="M767" s="1">
        <f t="shared" si="145"/>
        <v>1.7626442307692307</v>
      </c>
      <c r="N767" s="2">
        <f t="shared" si="151"/>
        <v>9.5311349316749858</v>
      </c>
      <c r="O767" s="1">
        <v>1085</v>
      </c>
      <c r="P767" s="1">
        <f t="shared" si="146"/>
        <v>787</v>
      </c>
      <c r="Q767" s="1">
        <f t="shared" si="147"/>
        <v>3.7064556653494996</v>
      </c>
      <c r="R767" s="1">
        <f t="shared" si="148"/>
        <v>1.5582161370887053</v>
      </c>
      <c r="S767" s="2">
        <f t="shared" si="149"/>
        <v>9.2849706313589966</v>
      </c>
      <c r="T767" s="2">
        <f t="shared" si="150"/>
        <v>0.16205330846819116</v>
      </c>
      <c r="U767" s="1" t="s">
        <v>2507</v>
      </c>
      <c r="V767" s="6" t="s">
        <v>2505</v>
      </c>
    </row>
    <row r="768" spans="1:24" ht="14.25" customHeight="1" x14ac:dyDescent="0.3">
      <c r="A768" s="1" t="s">
        <v>286</v>
      </c>
      <c r="B768" s="1" t="s">
        <v>1539</v>
      </c>
      <c r="C768" s="1" t="s">
        <v>1540</v>
      </c>
      <c r="D768" s="1">
        <f t="shared" si="141"/>
        <v>75</v>
      </c>
      <c r="E768" s="1">
        <f t="shared" si="142"/>
        <v>0.98871527777777779</v>
      </c>
      <c r="F768" s="2">
        <f t="shared" si="143"/>
        <v>472.46121029178624</v>
      </c>
      <c r="G768" s="1">
        <v>2080</v>
      </c>
      <c r="H768" s="1">
        <v>3744</v>
      </c>
      <c r="I768" s="1">
        <v>0</v>
      </c>
      <c r="J768" s="1">
        <v>243</v>
      </c>
      <c r="K768" s="1">
        <f t="shared" si="152"/>
        <v>0</v>
      </c>
      <c r="L768" s="1">
        <f t="shared" si="144"/>
        <v>2.120408653846154</v>
      </c>
      <c r="M768" s="1">
        <f t="shared" si="145"/>
        <v>2.120408653846154</v>
      </c>
      <c r="N768" s="2">
        <f t="shared" ref="N768:N799" si="153">42*0.4/M768</f>
        <v>7.9230010543141853</v>
      </c>
      <c r="O768" s="1">
        <v>1083</v>
      </c>
      <c r="P768" s="1">
        <f t="shared" si="146"/>
        <v>789</v>
      </c>
      <c r="Q768" s="1">
        <f t="shared" si="147"/>
        <v>3.0810866024716006</v>
      </c>
      <c r="R768" s="1">
        <f t="shared" si="148"/>
        <v>1.2985990007212034</v>
      </c>
      <c r="S768" s="2">
        <f t="shared" si="149"/>
        <v>9.3081540150940505</v>
      </c>
      <c r="T768" s="2">
        <f t="shared" si="150"/>
        <v>0.16245793484612114</v>
      </c>
      <c r="U768" s="1" t="s">
        <v>2507</v>
      </c>
      <c r="V768" s="6" t="s">
        <v>2505</v>
      </c>
    </row>
    <row r="769" spans="1:22" ht="14.25" customHeight="1" x14ac:dyDescent="0.3">
      <c r="A769" s="1" t="s">
        <v>17</v>
      </c>
      <c r="B769" s="1" t="s">
        <v>1541</v>
      </c>
      <c r="C769" s="1" t="s">
        <v>1542</v>
      </c>
      <c r="D769" s="1">
        <f t="shared" si="141"/>
        <v>43</v>
      </c>
      <c r="E769" s="1">
        <f t="shared" si="142"/>
        <v>0.93712962962962953</v>
      </c>
      <c r="F769" s="2">
        <f t="shared" si="143"/>
        <v>271.07515827553379</v>
      </c>
      <c r="G769" s="1">
        <v>2080</v>
      </c>
      <c r="H769" s="1">
        <v>3744</v>
      </c>
      <c r="I769" s="1">
        <v>0</v>
      </c>
      <c r="J769" s="1">
        <v>478</v>
      </c>
      <c r="K769" s="1">
        <f t="shared" si="152"/>
        <v>0</v>
      </c>
      <c r="L769" s="1">
        <f t="shared" si="144"/>
        <v>4.171009615384615</v>
      </c>
      <c r="M769" s="1">
        <f t="shared" si="145"/>
        <v>4.171009615384615</v>
      </c>
      <c r="N769" s="2">
        <f t="shared" si="153"/>
        <v>4.0278017912099315</v>
      </c>
      <c r="O769" s="1">
        <v>1078</v>
      </c>
      <c r="P769" s="1">
        <f t="shared" si="146"/>
        <v>794</v>
      </c>
      <c r="Q769" s="1">
        <f t="shared" si="147"/>
        <v>1.5663264527209184</v>
      </c>
      <c r="R769" s="1">
        <f t="shared" si="148"/>
        <v>0.66435000184850923</v>
      </c>
      <c r="S769" s="2">
        <f t="shared" si="149"/>
        <v>9.3660990077965902</v>
      </c>
      <c r="T769" s="2">
        <f t="shared" si="150"/>
        <v>0.16346926575382456</v>
      </c>
      <c r="U769" s="1" t="s">
        <v>2507</v>
      </c>
      <c r="V769" s="6" t="s">
        <v>2505</v>
      </c>
    </row>
    <row r="770" spans="1:22" ht="14.25" customHeight="1" x14ac:dyDescent="0.3">
      <c r="A770" s="1" t="s">
        <v>40</v>
      </c>
      <c r="B770" s="1" t="s">
        <v>1543</v>
      </c>
      <c r="C770" s="1" t="s">
        <v>1544</v>
      </c>
      <c r="D770" s="1">
        <f t="shared" ref="D770:D833" si="154">(LEFT(C770,4)&amp;"-"&amp;MID(C770,6,2)&amp;"-"&amp;MID(C770,9,2))-(2019&amp;"-"&amp;5&amp;"-"&amp;28)</f>
        <v>76</v>
      </c>
      <c r="E770" s="1">
        <f t="shared" ref="E770:E833" si="155">TIMEVALUE(RIGHT(C770,8))</f>
        <v>0.98871527777777779</v>
      </c>
      <c r="F770" s="2">
        <f t="shared" ref="F770:F833" si="156">(D770+E770)*2*PI()-4.989969053</f>
        <v>478.74439559896587</v>
      </c>
      <c r="G770" s="1">
        <v>2080</v>
      </c>
      <c r="H770" s="1">
        <v>3744</v>
      </c>
      <c r="I770" s="1">
        <v>0</v>
      </c>
      <c r="J770" s="1">
        <v>159</v>
      </c>
      <c r="K770" s="1">
        <f t="shared" si="152"/>
        <v>0</v>
      </c>
      <c r="L770" s="1">
        <f t="shared" ref="L770:L833" si="157">(18.15*J770)/G770</f>
        <v>1.3874278846153845</v>
      </c>
      <c r="M770" s="1">
        <f t="shared" ref="M770:M833" si="158">SQRT(K770*K770+L770*L770)</f>
        <v>1.3874278846153845</v>
      </c>
      <c r="N770" s="2">
        <f t="shared" si="153"/>
        <v>12.108737460366966</v>
      </c>
      <c r="O770" s="1">
        <v>1078</v>
      </c>
      <c r="P770" s="1">
        <f t="shared" ref="P770:P833" si="159">H770/2-O770</f>
        <v>794</v>
      </c>
      <c r="Q770" s="1">
        <f t="shared" ref="Q770:Q833" si="160">TAN(RADIANS(21.25))*N770</f>
        <v>4.708830467928296</v>
      </c>
      <c r="R770" s="1">
        <f t="shared" ref="R770:R833" si="161">Q770*(P770/(H770/2))</f>
        <v>1.9972283074439461</v>
      </c>
      <c r="S770" s="2">
        <f t="shared" ref="S770:S833" si="162">DEGREES(ATAN(R770/N770))</f>
        <v>9.3660990077965902</v>
      </c>
      <c r="T770" s="2">
        <f t="shared" ref="T770:T833" si="163">RADIANS(S770)</f>
        <v>0.16346926575382456</v>
      </c>
      <c r="U770" s="1" t="s">
        <v>2507</v>
      </c>
      <c r="V770" s="6" t="s">
        <v>2505</v>
      </c>
    </row>
    <row r="771" spans="1:22" ht="14.25" customHeight="1" x14ac:dyDescent="0.3">
      <c r="A771" s="1" t="s">
        <v>27</v>
      </c>
      <c r="B771" s="1" t="s">
        <v>1545</v>
      </c>
      <c r="C771" s="1" t="s">
        <v>1546</v>
      </c>
      <c r="D771" s="1">
        <f t="shared" si="154"/>
        <v>24</v>
      </c>
      <c r="E771" s="1">
        <f t="shared" si="155"/>
        <v>0.72012731481481485</v>
      </c>
      <c r="F771" s="2">
        <f t="shared" si="156"/>
        <v>150.33117168305319</v>
      </c>
      <c r="G771" s="1">
        <v>2080</v>
      </c>
      <c r="H771" s="1">
        <v>3744</v>
      </c>
      <c r="I771" s="1">
        <v>0</v>
      </c>
      <c r="J771" s="1">
        <v>192</v>
      </c>
      <c r="K771" s="1">
        <f t="shared" si="152"/>
        <v>0</v>
      </c>
      <c r="L771" s="1">
        <f t="shared" si="157"/>
        <v>1.6753846153846153</v>
      </c>
      <c r="M771" s="1">
        <f t="shared" si="158"/>
        <v>1.6753846153846153</v>
      </c>
      <c r="N771" s="2">
        <f t="shared" si="153"/>
        <v>10.027548209366392</v>
      </c>
      <c r="O771" s="1">
        <v>1075</v>
      </c>
      <c r="P771" s="1">
        <f t="shared" si="159"/>
        <v>797</v>
      </c>
      <c r="Q771" s="1">
        <f t="shared" si="160"/>
        <v>3.89950023125312</v>
      </c>
      <c r="R771" s="1">
        <f t="shared" si="161"/>
        <v>1.6602038911905643</v>
      </c>
      <c r="S771" s="2">
        <f t="shared" si="162"/>
        <v>9.4008567343040319</v>
      </c>
      <c r="T771" s="2">
        <f t="shared" si="163"/>
        <v>0.16407590252188711</v>
      </c>
      <c r="U771" s="1" t="s">
        <v>2507</v>
      </c>
      <c r="V771" s="6" t="s">
        <v>2505</v>
      </c>
    </row>
    <row r="772" spans="1:22" ht="14.25" customHeight="1" x14ac:dyDescent="0.3">
      <c r="A772" s="1" t="s">
        <v>40</v>
      </c>
      <c r="B772" s="1" t="s">
        <v>1547</v>
      </c>
      <c r="C772" s="1" t="s">
        <v>1548</v>
      </c>
      <c r="D772" s="1">
        <f t="shared" si="154"/>
        <v>28</v>
      </c>
      <c r="E772" s="1">
        <f t="shared" si="155"/>
        <v>0.80201388888888892</v>
      </c>
      <c r="F772" s="2">
        <f t="shared" si="156"/>
        <v>175.97842143084904</v>
      </c>
      <c r="G772" s="1">
        <v>2080</v>
      </c>
      <c r="H772" s="1">
        <v>3744</v>
      </c>
      <c r="I772" s="1">
        <v>0</v>
      </c>
      <c r="J772" s="1">
        <v>178</v>
      </c>
      <c r="K772" s="1">
        <f t="shared" si="152"/>
        <v>0</v>
      </c>
      <c r="L772" s="1">
        <f t="shared" si="157"/>
        <v>1.5532211538461538</v>
      </c>
      <c r="M772" s="1">
        <f t="shared" si="158"/>
        <v>1.5532211538461538</v>
      </c>
      <c r="N772" s="2">
        <f t="shared" si="153"/>
        <v>10.81623177639521</v>
      </c>
      <c r="O772" s="1">
        <v>1075</v>
      </c>
      <c r="P772" s="1">
        <f t="shared" si="159"/>
        <v>797</v>
      </c>
      <c r="Q772" s="1">
        <f t="shared" si="160"/>
        <v>4.2062024966325788</v>
      </c>
      <c r="R772" s="1">
        <f t="shared" si="161"/>
        <v>1.790781725329148</v>
      </c>
      <c r="S772" s="2">
        <f t="shared" si="162"/>
        <v>9.4008567343040319</v>
      </c>
      <c r="T772" s="2">
        <f t="shared" si="163"/>
        <v>0.16407590252188711</v>
      </c>
      <c r="U772" s="1" t="s">
        <v>2507</v>
      </c>
      <c r="V772" s="6" t="s">
        <v>2505</v>
      </c>
    </row>
    <row r="773" spans="1:22" ht="14.25" customHeight="1" x14ac:dyDescent="0.3">
      <c r="A773" s="1" t="s">
        <v>247</v>
      </c>
      <c r="B773" s="1" t="s">
        <v>1549</v>
      </c>
      <c r="C773" s="1" t="s">
        <v>1550</v>
      </c>
      <c r="D773" s="1">
        <f t="shared" si="154"/>
        <v>61</v>
      </c>
      <c r="E773" s="1">
        <f t="shared" si="155"/>
        <v>0.21724537037037037</v>
      </c>
      <c r="F773" s="2">
        <f t="shared" si="156"/>
        <v>379.6493276041187</v>
      </c>
      <c r="G773" s="1">
        <v>2080</v>
      </c>
      <c r="H773" s="1">
        <v>3744</v>
      </c>
      <c r="I773" s="1">
        <v>0</v>
      </c>
      <c r="J773" s="1">
        <v>172</v>
      </c>
      <c r="K773" s="1">
        <f t="shared" si="152"/>
        <v>0</v>
      </c>
      <c r="L773" s="1">
        <f t="shared" si="157"/>
        <v>1.5008653846153845</v>
      </c>
      <c r="M773" s="1">
        <f t="shared" si="158"/>
        <v>1.5008653846153845</v>
      </c>
      <c r="N773" s="2">
        <f t="shared" si="153"/>
        <v>11.193542187199693</v>
      </c>
      <c r="O773" s="1">
        <v>1075</v>
      </c>
      <c r="P773" s="1">
        <f t="shared" si="159"/>
        <v>797</v>
      </c>
      <c r="Q773" s="1">
        <f t="shared" si="160"/>
        <v>4.3529304907011568</v>
      </c>
      <c r="R773" s="1">
        <f t="shared" si="161"/>
        <v>1.8532508552824902</v>
      </c>
      <c r="S773" s="2">
        <f t="shared" si="162"/>
        <v>9.4008567343040319</v>
      </c>
      <c r="T773" s="2">
        <f t="shared" si="163"/>
        <v>0.16407590252188711</v>
      </c>
      <c r="U773" s="1" t="s">
        <v>2507</v>
      </c>
      <c r="V773" s="6" t="s">
        <v>2505</v>
      </c>
    </row>
    <row r="774" spans="1:22" ht="14.25" customHeight="1" x14ac:dyDescent="0.3">
      <c r="A774" s="1" t="s">
        <v>17</v>
      </c>
      <c r="B774" s="1" t="s">
        <v>1551</v>
      </c>
      <c r="C774" s="1" t="s">
        <v>1552</v>
      </c>
      <c r="D774" s="1">
        <f t="shared" si="154"/>
        <v>29</v>
      </c>
      <c r="E774" s="1">
        <f t="shared" si="155"/>
        <v>0.24876157407407407</v>
      </c>
      <c r="F774" s="2">
        <f t="shared" si="156"/>
        <v>178.78541992242108</v>
      </c>
      <c r="G774" s="1">
        <v>2080</v>
      </c>
      <c r="H774" s="1">
        <v>3744</v>
      </c>
      <c r="I774" s="1">
        <v>0</v>
      </c>
      <c r="J774" s="1">
        <v>282</v>
      </c>
      <c r="K774" s="1">
        <f t="shared" si="152"/>
        <v>0</v>
      </c>
      <c r="L774" s="1">
        <f t="shared" si="157"/>
        <v>2.4607211538461535</v>
      </c>
      <c r="M774" s="1">
        <f t="shared" si="158"/>
        <v>2.4607211538461535</v>
      </c>
      <c r="N774" s="2">
        <f t="shared" si="153"/>
        <v>6.8272668659515867</v>
      </c>
      <c r="O774" s="1">
        <v>1074</v>
      </c>
      <c r="P774" s="1">
        <f t="shared" si="159"/>
        <v>798</v>
      </c>
      <c r="Q774" s="1">
        <f t="shared" si="160"/>
        <v>2.654978880853188</v>
      </c>
      <c r="R774" s="1">
        <f t="shared" si="161"/>
        <v>1.1317698434406218</v>
      </c>
      <c r="S774" s="2">
        <f t="shared" si="162"/>
        <v>9.4124410930660787</v>
      </c>
      <c r="T774" s="2">
        <f t="shared" si="163"/>
        <v>0.16427808772401709</v>
      </c>
      <c r="U774" s="1" t="s">
        <v>2507</v>
      </c>
      <c r="V774" s="6" t="s">
        <v>2505</v>
      </c>
    </row>
    <row r="775" spans="1:22" ht="14.25" customHeight="1" x14ac:dyDescent="0.3">
      <c r="A775" s="1" t="s">
        <v>20</v>
      </c>
      <c r="B775" s="1" t="s">
        <v>1553</v>
      </c>
      <c r="C775" s="1" t="s">
        <v>1554</v>
      </c>
      <c r="D775" s="1">
        <f t="shared" si="154"/>
        <v>77</v>
      </c>
      <c r="E775" s="1">
        <f t="shared" si="155"/>
        <v>0.27893518518518517</v>
      </c>
      <c r="F775" s="2">
        <f t="shared" si="156"/>
        <v>480.56790105703914</v>
      </c>
      <c r="G775" s="1">
        <v>2080</v>
      </c>
      <c r="H775" s="1">
        <v>3744</v>
      </c>
      <c r="I775" s="1">
        <v>0</v>
      </c>
      <c r="J775" s="1">
        <v>122</v>
      </c>
      <c r="K775" s="1">
        <f t="shared" si="152"/>
        <v>0</v>
      </c>
      <c r="L775" s="1">
        <f t="shared" si="157"/>
        <v>1.0645673076923075</v>
      </c>
      <c r="M775" s="1">
        <f t="shared" si="158"/>
        <v>1.0645673076923075</v>
      </c>
      <c r="N775" s="2">
        <f t="shared" si="153"/>
        <v>15.781059477035637</v>
      </c>
      <c r="O775" s="1">
        <v>1074</v>
      </c>
      <c r="P775" s="1">
        <f t="shared" si="159"/>
        <v>798</v>
      </c>
      <c r="Q775" s="1">
        <f t="shared" si="160"/>
        <v>6.1369183967262222</v>
      </c>
      <c r="R775" s="1">
        <f t="shared" si="161"/>
        <v>2.6160581627070112</v>
      </c>
      <c r="S775" s="2">
        <f t="shared" si="162"/>
        <v>9.4124410930660787</v>
      </c>
      <c r="T775" s="2">
        <f t="shared" si="163"/>
        <v>0.16427808772401709</v>
      </c>
      <c r="U775" s="1" t="s">
        <v>2507</v>
      </c>
      <c r="V775" s="6" t="s">
        <v>2505</v>
      </c>
    </row>
    <row r="776" spans="1:22" ht="14.25" customHeight="1" x14ac:dyDescent="0.3">
      <c r="A776" s="1" t="s">
        <v>27</v>
      </c>
      <c r="B776" s="1" t="s">
        <v>1555</v>
      </c>
      <c r="C776" s="1" t="s">
        <v>1556</v>
      </c>
      <c r="D776" s="1">
        <f t="shared" si="154"/>
        <v>55</v>
      </c>
      <c r="E776" s="1">
        <f t="shared" si="155"/>
        <v>0.72039351851851852</v>
      </c>
      <c r="F776" s="2">
        <f t="shared" si="156"/>
        <v>345.11158881282023</v>
      </c>
      <c r="G776" s="1">
        <v>2080</v>
      </c>
      <c r="H776" s="1">
        <v>3744</v>
      </c>
      <c r="I776" s="1">
        <v>0</v>
      </c>
      <c r="J776" s="1">
        <v>273</v>
      </c>
      <c r="K776" s="1">
        <f t="shared" si="152"/>
        <v>0</v>
      </c>
      <c r="L776" s="1">
        <f t="shared" si="157"/>
        <v>2.3821875000000001</v>
      </c>
      <c r="M776" s="1">
        <f t="shared" si="158"/>
        <v>2.3821875000000001</v>
      </c>
      <c r="N776" s="2">
        <f t="shared" si="153"/>
        <v>7.0523415977961434</v>
      </c>
      <c r="O776" s="1">
        <v>1074</v>
      </c>
      <c r="P776" s="1">
        <f t="shared" si="159"/>
        <v>798</v>
      </c>
      <c r="Q776" s="1">
        <f t="shared" si="160"/>
        <v>2.7425056571450512</v>
      </c>
      <c r="R776" s="1">
        <f t="shared" si="161"/>
        <v>1.1690809371804225</v>
      </c>
      <c r="S776" s="2">
        <f t="shared" si="162"/>
        <v>9.4124410930660805</v>
      </c>
      <c r="T776" s="2">
        <f t="shared" si="163"/>
        <v>0.16427808772401711</v>
      </c>
      <c r="U776" s="1" t="s">
        <v>2507</v>
      </c>
      <c r="V776" s="6" t="s">
        <v>2505</v>
      </c>
    </row>
    <row r="777" spans="1:22" ht="14.25" customHeight="1" x14ac:dyDescent="0.3">
      <c r="A777" s="1" t="s">
        <v>459</v>
      </c>
      <c r="B777" s="1" t="s">
        <v>1557</v>
      </c>
      <c r="C777" s="1" t="s">
        <v>1558</v>
      </c>
      <c r="D777" s="1">
        <f t="shared" si="154"/>
        <v>81</v>
      </c>
      <c r="E777" s="1">
        <f t="shared" si="155"/>
        <v>4.4930555555555557E-2</v>
      </c>
      <c r="F777" s="2">
        <f t="shared" si="156"/>
        <v>504.23034783505659</v>
      </c>
      <c r="G777" s="1">
        <v>2080</v>
      </c>
      <c r="H777" s="1">
        <v>3744</v>
      </c>
      <c r="I777" s="1">
        <v>0</v>
      </c>
      <c r="J777" s="1">
        <v>334</v>
      </c>
      <c r="K777" s="1">
        <f t="shared" si="152"/>
        <v>0</v>
      </c>
      <c r="L777" s="1">
        <f t="shared" si="157"/>
        <v>2.9144711538461534</v>
      </c>
      <c r="M777" s="1">
        <f t="shared" si="158"/>
        <v>2.9144711538461534</v>
      </c>
      <c r="N777" s="2">
        <f t="shared" si="153"/>
        <v>5.7643390904142144</v>
      </c>
      <c r="O777" s="1">
        <v>1074</v>
      </c>
      <c r="P777" s="1">
        <f t="shared" si="159"/>
        <v>798</v>
      </c>
      <c r="Q777" s="1">
        <f t="shared" si="160"/>
        <v>2.2416288754508957</v>
      </c>
      <c r="R777" s="1">
        <f t="shared" si="161"/>
        <v>0.95556615524028565</v>
      </c>
      <c r="S777" s="2">
        <f t="shared" si="162"/>
        <v>9.4124410930660805</v>
      </c>
      <c r="T777" s="2">
        <f t="shared" si="163"/>
        <v>0.16427808772401711</v>
      </c>
      <c r="U777" s="1" t="s">
        <v>2507</v>
      </c>
      <c r="V777" s="6" t="s">
        <v>2505</v>
      </c>
    </row>
    <row r="778" spans="1:22" ht="14.25" customHeight="1" x14ac:dyDescent="0.3">
      <c r="A778" s="1" t="s">
        <v>40</v>
      </c>
      <c r="B778" s="1" t="s">
        <v>578</v>
      </c>
      <c r="C778" s="1" t="s">
        <v>579</v>
      </c>
      <c r="D778" s="1">
        <f t="shared" si="154"/>
        <v>76</v>
      </c>
      <c r="E778" s="1">
        <f t="shared" si="155"/>
        <v>0.74684027777777784</v>
      </c>
      <c r="F778" s="2">
        <f t="shared" si="156"/>
        <v>477.22465015279181</v>
      </c>
      <c r="G778" s="1">
        <v>2080</v>
      </c>
      <c r="H778" s="1">
        <v>3744</v>
      </c>
      <c r="I778" s="1">
        <v>0</v>
      </c>
      <c r="J778" s="1">
        <v>124</v>
      </c>
      <c r="K778" s="1">
        <f t="shared" si="152"/>
        <v>0</v>
      </c>
      <c r="L778" s="1">
        <f t="shared" si="157"/>
        <v>1.0820192307692307</v>
      </c>
      <c r="M778" s="1">
        <f t="shared" si="158"/>
        <v>1.0820192307692307</v>
      </c>
      <c r="N778" s="2">
        <f t="shared" si="153"/>
        <v>15.526526259664092</v>
      </c>
      <c r="O778" s="1">
        <v>1073</v>
      </c>
      <c r="P778" s="1">
        <f t="shared" si="159"/>
        <v>799</v>
      </c>
      <c r="Q778" s="1">
        <f t="shared" si="160"/>
        <v>6.0379358419403149</v>
      </c>
      <c r="R778" s="1">
        <f t="shared" si="161"/>
        <v>2.5770890692896962</v>
      </c>
      <c r="S778" s="2">
        <f t="shared" si="162"/>
        <v>9.4240246753423929</v>
      </c>
      <c r="T778" s="2">
        <f t="shared" si="163"/>
        <v>0.16448025937391442</v>
      </c>
      <c r="U778" s="1" t="s">
        <v>2507</v>
      </c>
      <c r="V778" s="6" t="s">
        <v>2505</v>
      </c>
    </row>
    <row r="779" spans="1:22" ht="14.25" customHeight="1" x14ac:dyDescent="0.3">
      <c r="A779" s="1" t="s">
        <v>40</v>
      </c>
      <c r="B779" s="1" t="s">
        <v>1559</v>
      </c>
      <c r="C779" s="1" t="s">
        <v>1560</v>
      </c>
      <c r="D779" s="1">
        <f t="shared" si="154"/>
        <v>10</v>
      </c>
      <c r="E779" s="1">
        <f t="shared" si="155"/>
        <v>0.28023148148148147</v>
      </c>
      <c r="F779" s="2">
        <f t="shared" si="156"/>
        <v>59.60263034584947</v>
      </c>
      <c r="G779" s="1">
        <v>2080</v>
      </c>
      <c r="H779" s="1">
        <v>3744</v>
      </c>
      <c r="I779" s="1">
        <v>0</v>
      </c>
      <c r="J779" s="1">
        <v>56</v>
      </c>
      <c r="K779" s="1">
        <f t="shared" si="152"/>
        <v>0</v>
      </c>
      <c r="L779" s="1">
        <f t="shared" si="157"/>
        <v>0.48865384615384611</v>
      </c>
      <c r="M779" s="1">
        <f t="shared" si="158"/>
        <v>0.48865384615384611</v>
      </c>
      <c r="N779" s="2">
        <f t="shared" si="153"/>
        <v>34.380165289256205</v>
      </c>
      <c r="O779" s="1">
        <v>1069</v>
      </c>
      <c r="P779" s="1">
        <f t="shared" si="159"/>
        <v>803</v>
      </c>
      <c r="Q779" s="1">
        <f t="shared" si="160"/>
        <v>13.369715078582127</v>
      </c>
      <c r="R779" s="1">
        <f t="shared" si="161"/>
        <v>5.7349792778319699</v>
      </c>
      <c r="S779" s="2">
        <f t="shared" si="162"/>
        <v>9.4703512222206854</v>
      </c>
      <c r="T779" s="2">
        <f t="shared" si="163"/>
        <v>0.16528881014802013</v>
      </c>
      <c r="U779" s="1" t="s">
        <v>2507</v>
      </c>
      <c r="V779" s="6" t="s">
        <v>2505</v>
      </c>
    </row>
    <row r="780" spans="1:22" ht="14.25" customHeight="1" x14ac:dyDescent="0.3">
      <c r="A780" s="1" t="s">
        <v>40</v>
      </c>
      <c r="B780" s="1" t="s">
        <v>1561</v>
      </c>
      <c r="C780" s="1" t="s">
        <v>1562</v>
      </c>
      <c r="D780" s="1">
        <f t="shared" si="154"/>
        <v>60</v>
      </c>
      <c r="E780" s="1">
        <f t="shared" si="155"/>
        <v>0.19160879629629632</v>
      </c>
      <c r="F780" s="2">
        <f t="shared" si="156"/>
        <v>373.2050629513904</v>
      </c>
      <c r="G780" s="1">
        <v>2080</v>
      </c>
      <c r="H780" s="1">
        <v>3744</v>
      </c>
      <c r="I780" s="1">
        <v>0</v>
      </c>
      <c r="J780" s="1">
        <v>245</v>
      </c>
      <c r="K780" s="1">
        <f t="shared" si="152"/>
        <v>0</v>
      </c>
      <c r="L780" s="1">
        <f t="shared" si="157"/>
        <v>2.1378605769230767</v>
      </c>
      <c r="M780" s="1">
        <f t="shared" si="158"/>
        <v>2.1378605769230767</v>
      </c>
      <c r="N780" s="2">
        <f t="shared" si="153"/>
        <v>7.8583234946871316</v>
      </c>
      <c r="O780" s="1">
        <v>1068</v>
      </c>
      <c r="P780" s="1">
        <f t="shared" si="159"/>
        <v>804</v>
      </c>
      <c r="Q780" s="1">
        <f t="shared" si="160"/>
        <v>3.0559348751044855</v>
      </c>
      <c r="R780" s="1">
        <f t="shared" si="161"/>
        <v>1.3124848502051314</v>
      </c>
      <c r="S780" s="2">
        <f t="shared" si="162"/>
        <v>9.4819309090443706</v>
      </c>
      <c r="T780" s="2">
        <f t="shared" si="163"/>
        <v>0.16549091380944325</v>
      </c>
      <c r="U780" s="1" t="s">
        <v>2507</v>
      </c>
      <c r="V780" s="6" t="s">
        <v>2505</v>
      </c>
    </row>
    <row r="781" spans="1:22" ht="14.25" customHeight="1" x14ac:dyDescent="0.3">
      <c r="A781" s="1" t="s">
        <v>17</v>
      </c>
      <c r="B781" s="1" t="s">
        <v>1563</v>
      </c>
      <c r="C781" s="1" t="s">
        <v>1564</v>
      </c>
      <c r="D781" s="1">
        <f t="shared" si="154"/>
        <v>68</v>
      </c>
      <c r="E781" s="1">
        <f t="shared" si="155"/>
        <v>4.9108796296296296E-2</v>
      </c>
      <c r="F781" s="2">
        <f t="shared" si="156"/>
        <v>422.57519150255405</v>
      </c>
      <c r="G781" s="1">
        <v>2080</v>
      </c>
      <c r="H781" s="1">
        <v>3744</v>
      </c>
      <c r="I781" s="1">
        <v>0</v>
      </c>
      <c r="J781" s="1">
        <v>199</v>
      </c>
      <c r="K781" s="1">
        <f t="shared" si="152"/>
        <v>0</v>
      </c>
      <c r="L781" s="1">
        <f t="shared" si="157"/>
        <v>1.7364663461538461</v>
      </c>
      <c r="M781" s="1">
        <f t="shared" si="158"/>
        <v>1.7364663461538461</v>
      </c>
      <c r="N781" s="2">
        <f t="shared" si="153"/>
        <v>9.6748203829062671</v>
      </c>
      <c r="O781" s="1">
        <v>1066</v>
      </c>
      <c r="P781" s="1">
        <f t="shared" si="159"/>
        <v>806</v>
      </c>
      <c r="Q781" s="1">
        <f t="shared" si="160"/>
        <v>3.762331881410045</v>
      </c>
      <c r="R781" s="1">
        <f t="shared" si="161"/>
        <v>1.6198928933848806</v>
      </c>
      <c r="S781" s="2">
        <f t="shared" si="162"/>
        <v>9.5050879367470849</v>
      </c>
      <c r="T781" s="2">
        <f t="shared" si="163"/>
        <v>0.16589508018783114</v>
      </c>
      <c r="U781" s="1" t="s">
        <v>2507</v>
      </c>
      <c r="V781" s="6" t="s">
        <v>2505</v>
      </c>
    </row>
    <row r="782" spans="1:22" ht="14.25" customHeight="1" x14ac:dyDescent="0.3">
      <c r="A782" s="1" t="s">
        <v>40</v>
      </c>
      <c r="B782" s="1" t="s">
        <v>1565</v>
      </c>
      <c r="C782" s="1" t="s">
        <v>1566</v>
      </c>
      <c r="D782" s="1">
        <f t="shared" si="154"/>
        <v>59</v>
      </c>
      <c r="E782" s="1">
        <f t="shared" si="155"/>
        <v>0.17814814814814817</v>
      </c>
      <c r="F782" s="2">
        <f t="shared" si="156"/>
        <v>366.83730189754129</v>
      </c>
      <c r="G782" s="1">
        <v>2080</v>
      </c>
      <c r="H782" s="1">
        <v>3744</v>
      </c>
      <c r="I782" s="1">
        <v>0</v>
      </c>
      <c r="J782" s="1">
        <v>103</v>
      </c>
      <c r="K782" s="1">
        <f t="shared" si="152"/>
        <v>0</v>
      </c>
      <c r="L782" s="1">
        <f t="shared" si="157"/>
        <v>0.89877403846153836</v>
      </c>
      <c r="M782" s="1">
        <f t="shared" si="158"/>
        <v>0.89877403846153836</v>
      </c>
      <c r="N782" s="2">
        <f t="shared" si="153"/>
        <v>18.692128700954829</v>
      </c>
      <c r="O782" s="1">
        <v>1064</v>
      </c>
      <c r="P782" s="1">
        <f t="shared" si="159"/>
        <v>808</v>
      </c>
      <c r="Q782" s="1">
        <f t="shared" si="160"/>
        <v>7.2689713048601847</v>
      </c>
      <c r="R782" s="1">
        <f t="shared" si="161"/>
        <v>3.1374619734652938</v>
      </c>
      <c r="S782" s="2">
        <f t="shared" si="162"/>
        <v>9.5282418307485912</v>
      </c>
      <c r="T782" s="2">
        <f t="shared" si="163"/>
        <v>0.16629919187281519</v>
      </c>
      <c r="U782" s="1" t="s">
        <v>2507</v>
      </c>
      <c r="V782" s="6" t="s">
        <v>2505</v>
      </c>
    </row>
    <row r="783" spans="1:22" ht="14.25" customHeight="1" x14ac:dyDescent="0.3">
      <c r="A783" s="1" t="s">
        <v>30</v>
      </c>
      <c r="B783" s="1" t="s">
        <v>1567</v>
      </c>
      <c r="C783" s="1" t="s">
        <v>1568</v>
      </c>
      <c r="D783" s="1">
        <f t="shared" si="154"/>
        <v>47</v>
      </c>
      <c r="E783" s="1">
        <f t="shared" si="155"/>
        <v>0.25159722222222219</v>
      </c>
      <c r="F783" s="2">
        <f t="shared" si="156"/>
        <v>291.90057235443442</v>
      </c>
      <c r="G783" s="1">
        <v>2080</v>
      </c>
      <c r="H783" s="1">
        <v>3744</v>
      </c>
      <c r="I783" s="1">
        <v>0</v>
      </c>
      <c r="J783" s="1">
        <v>74</v>
      </c>
      <c r="K783" s="1">
        <f t="shared" si="152"/>
        <v>0</v>
      </c>
      <c r="L783" s="1">
        <f t="shared" si="157"/>
        <v>0.64572115384615381</v>
      </c>
      <c r="M783" s="1">
        <f t="shared" si="158"/>
        <v>0.64572115384615381</v>
      </c>
      <c r="N783" s="2">
        <f t="shared" si="153"/>
        <v>26.017422381058747</v>
      </c>
      <c r="O783" s="1">
        <v>1063</v>
      </c>
      <c r="P783" s="1">
        <f t="shared" si="159"/>
        <v>809</v>
      </c>
      <c r="Q783" s="1">
        <f t="shared" si="160"/>
        <v>10.117622221629716</v>
      </c>
      <c r="R783" s="1">
        <f t="shared" si="161"/>
        <v>4.3724125947107053</v>
      </c>
      <c r="S783" s="2">
        <f t="shared" si="162"/>
        <v>9.5398176004471686</v>
      </c>
      <c r="T783" s="2">
        <f t="shared" si="163"/>
        <v>0.16650122716750795</v>
      </c>
      <c r="U783" s="1" t="s">
        <v>2507</v>
      </c>
      <c r="V783" s="6" t="s">
        <v>2505</v>
      </c>
    </row>
    <row r="784" spans="1:22" ht="14.25" customHeight="1" x14ac:dyDescent="0.3">
      <c r="A784" s="1" t="s">
        <v>27</v>
      </c>
      <c r="B784" s="1" t="s">
        <v>1569</v>
      </c>
      <c r="C784" s="1" t="s">
        <v>1570</v>
      </c>
      <c r="D784" s="1">
        <f t="shared" si="154"/>
        <v>51</v>
      </c>
      <c r="E784" s="1">
        <f t="shared" si="155"/>
        <v>0.92229166666666673</v>
      </c>
      <c r="F784" s="2">
        <f t="shared" si="156"/>
        <v>321.24741106209308</v>
      </c>
      <c r="G784" s="1">
        <v>2080</v>
      </c>
      <c r="H784" s="1">
        <v>3744</v>
      </c>
      <c r="I784" s="1">
        <v>0</v>
      </c>
      <c r="J784" s="1">
        <v>190</v>
      </c>
      <c r="K784" s="1">
        <f t="shared" si="152"/>
        <v>0</v>
      </c>
      <c r="L784" s="1">
        <f t="shared" si="157"/>
        <v>1.657932692307692</v>
      </c>
      <c r="M784" s="1">
        <f t="shared" si="158"/>
        <v>1.657932692307692</v>
      </c>
      <c r="N784" s="2">
        <f t="shared" si="153"/>
        <v>10.133101348412355</v>
      </c>
      <c r="O784" s="1">
        <v>1063</v>
      </c>
      <c r="P784" s="1">
        <f t="shared" si="159"/>
        <v>809</v>
      </c>
      <c r="Q784" s="1">
        <f t="shared" si="160"/>
        <v>3.940547602108416</v>
      </c>
      <c r="R784" s="1">
        <f t="shared" si="161"/>
        <v>1.7029396421504854</v>
      </c>
      <c r="S784" s="2">
        <f t="shared" si="162"/>
        <v>9.5398176004471686</v>
      </c>
      <c r="T784" s="2">
        <f t="shared" si="163"/>
        <v>0.16650122716750795</v>
      </c>
      <c r="U784" s="1" t="s">
        <v>2507</v>
      </c>
      <c r="V784" s="6" t="s">
        <v>2505</v>
      </c>
    </row>
    <row r="785" spans="1:24" ht="14.25" customHeight="1" x14ac:dyDescent="0.3">
      <c r="A785" s="1" t="s">
        <v>27</v>
      </c>
      <c r="B785" s="1" t="s">
        <v>1571</v>
      </c>
      <c r="C785" s="1" t="s">
        <v>1572</v>
      </c>
      <c r="D785" s="1">
        <f t="shared" si="154"/>
        <v>54</v>
      </c>
      <c r="E785" s="1">
        <f t="shared" si="155"/>
        <v>0.18306712962962965</v>
      </c>
      <c r="F785" s="2">
        <f t="shared" si="156"/>
        <v>335.45228223381412</v>
      </c>
      <c r="G785" s="1">
        <v>2080</v>
      </c>
      <c r="H785" s="1">
        <v>3744</v>
      </c>
      <c r="I785" s="1">
        <v>0</v>
      </c>
      <c r="J785" s="1">
        <v>113</v>
      </c>
      <c r="K785" s="1">
        <f t="shared" si="152"/>
        <v>0</v>
      </c>
      <c r="L785" s="1">
        <f t="shared" si="157"/>
        <v>0.98603365384615371</v>
      </c>
      <c r="M785" s="1">
        <f t="shared" si="158"/>
        <v>0.98603365384615371</v>
      </c>
      <c r="N785" s="2">
        <f t="shared" si="153"/>
        <v>17.0379580194544</v>
      </c>
      <c r="O785" s="1">
        <v>1063</v>
      </c>
      <c r="P785" s="1">
        <f t="shared" si="159"/>
        <v>809</v>
      </c>
      <c r="Q785" s="1">
        <f t="shared" si="160"/>
        <v>6.6256995079699026</v>
      </c>
      <c r="R785" s="1">
        <f t="shared" si="161"/>
        <v>2.8633498407840019</v>
      </c>
      <c r="S785" s="2">
        <f t="shared" si="162"/>
        <v>9.5398176004471704</v>
      </c>
      <c r="T785" s="2">
        <f t="shared" si="163"/>
        <v>0.16650122716750801</v>
      </c>
      <c r="U785" s="1" t="s">
        <v>2507</v>
      </c>
      <c r="V785" s="6" t="s">
        <v>2505</v>
      </c>
    </row>
    <row r="786" spans="1:24" ht="14.25" customHeight="1" x14ac:dyDescent="0.3">
      <c r="A786" s="1" t="s">
        <v>40</v>
      </c>
      <c r="B786" s="1" t="s">
        <v>1573</v>
      </c>
      <c r="C786" s="1" t="s">
        <v>1574</v>
      </c>
      <c r="D786" s="1">
        <f t="shared" si="154"/>
        <v>93</v>
      </c>
      <c r="E786" s="1">
        <f t="shared" si="155"/>
        <v>0.17129629629629628</v>
      </c>
      <c r="F786" s="2">
        <f t="shared" si="156"/>
        <v>580.42255088676472</v>
      </c>
      <c r="G786" s="1">
        <v>2080</v>
      </c>
      <c r="H786" s="1">
        <v>3744</v>
      </c>
      <c r="I786" s="1">
        <v>0</v>
      </c>
      <c r="J786" s="1">
        <v>116</v>
      </c>
      <c r="K786" s="1">
        <f t="shared" si="152"/>
        <v>0</v>
      </c>
      <c r="L786" s="1">
        <f t="shared" si="157"/>
        <v>1.0122115384615382</v>
      </c>
      <c r="M786" s="1">
        <f t="shared" si="158"/>
        <v>1.0122115384615382</v>
      </c>
      <c r="N786" s="2">
        <f t="shared" si="153"/>
        <v>16.597321174123685</v>
      </c>
      <c r="O786" s="1">
        <v>1062</v>
      </c>
      <c r="P786" s="1">
        <f t="shared" si="159"/>
        <v>810</v>
      </c>
      <c r="Q786" s="1">
        <f t="shared" si="160"/>
        <v>6.4543452103499916</v>
      </c>
      <c r="R786" s="1">
        <f t="shared" si="161"/>
        <v>2.7927455237091312</v>
      </c>
      <c r="S786" s="2">
        <f t="shared" si="162"/>
        <v>9.5513925841241267</v>
      </c>
      <c r="T786" s="2">
        <f t="shared" si="163"/>
        <v>0.16670324874353548</v>
      </c>
      <c r="U786" s="1" t="s">
        <v>2507</v>
      </c>
      <c r="V786" s="6" t="s">
        <v>2505</v>
      </c>
    </row>
    <row r="787" spans="1:24" ht="14.25" customHeight="1" x14ac:dyDescent="0.3">
      <c r="A787" s="1" t="s">
        <v>27</v>
      </c>
      <c r="B787" s="1" t="s">
        <v>1575</v>
      </c>
      <c r="C787" s="1" t="s">
        <v>1576</v>
      </c>
      <c r="D787" s="1">
        <f t="shared" si="154"/>
        <v>55</v>
      </c>
      <c r="E787" s="1">
        <f t="shared" si="155"/>
        <v>0.71895833333333325</v>
      </c>
      <c r="F787" s="2">
        <f t="shared" si="156"/>
        <v>345.1025712783516</v>
      </c>
      <c r="G787" s="1">
        <v>2080</v>
      </c>
      <c r="H787" s="1">
        <v>3744</v>
      </c>
      <c r="I787" s="1">
        <v>0</v>
      </c>
      <c r="J787" s="1">
        <v>108</v>
      </c>
      <c r="K787" s="1">
        <f t="shared" si="152"/>
        <v>0</v>
      </c>
      <c r="L787" s="1">
        <f t="shared" si="157"/>
        <v>0.94240384615384609</v>
      </c>
      <c r="M787" s="1">
        <f t="shared" si="158"/>
        <v>0.94240384615384609</v>
      </c>
      <c r="N787" s="2">
        <f t="shared" si="153"/>
        <v>17.826752372206919</v>
      </c>
      <c r="O787" s="1">
        <v>1060</v>
      </c>
      <c r="P787" s="1">
        <f t="shared" si="159"/>
        <v>812</v>
      </c>
      <c r="Q787" s="1">
        <f t="shared" si="160"/>
        <v>6.9324448555611013</v>
      </c>
      <c r="R787" s="1">
        <f t="shared" si="161"/>
        <v>3.007022020681418</v>
      </c>
      <c r="S787" s="2">
        <f t="shared" si="162"/>
        <v>9.5745401899549218</v>
      </c>
      <c r="T787" s="2">
        <f t="shared" si="163"/>
        <v>0.16710725067923671</v>
      </c>
      <c r="U787" s="1" t="s">
        <v>2507</v>
      </c>
      <c r="V787" s="6" t="s">
        <v>2505</v>
      </c>
    </row>
    <row r="788" spans="1:24" ht="14.25" customHeight="1" x14ac:dyDescent="0.3">
      <c r="A788" s="1" t="s">
        <v>40</v>
      </c>
      <c r="B788" s="1" t="s">
        <v>1577</v>
      </c>
      <c r="C788" s="1" t="s">
        <v>1578</v>
      </c>
      <c r="D788" s="1">
        <f t="shared" si="154"/>
        <v>72</v>
      </c>
      <c r="E788" s="1">
        <f t="shared" si="155"/>
        <v>0.76983796296296303</v>
      </c>
      <c r="F788" s="2">
        <f t="shared" si="156"/>
        <v>452.23640764172819</v>
      </c>
      <c r="G788" s="1">
        <v>2080</v>
      </c>
      <c r="H788" s="1">
        <v>3744</v>
      </c>
      <c r="I788" s="1">
        <v>0</v>
      </c>
      <c r="J788" s="1">
        <v>153</v>
      </c>
      <c r="K788" s="1">
        <f t="shared" si="152"/>
        <v>0</v>
      </c>
      <c r="L788" s="1">
        <f t="shared" si="157"/>
        <v>1.3350721153846152</v>
      </c>
      <c r="M788" s="1">
        <f t="shared" si="158"/>
        <v>1.3350721153846152</v>
      </c>
      <c r="N788" s="2">
        <f t="shared" si="153"/>
        <v>12.583589909793121</v>
      </c>
      <c r="O788" s="1">
        <v>1060</v>
      </c>
      <c r="P788" s="1">
        <f t="shared" si="159"/>
        <v>812</v>
      </c>
      <c r="Q788" s="1">
        <f t="shared" si="160"/>
        <v>4.8934904862784254</v>
      </c>
      <c r="R788" s="1">
        <f t="shared" si="161"/>
        <v>2.1226037793045309</v>
      </c>
      <c r="S788" s="2">
        <f t="shared" si="162"/>
        <v>9.5745401899549218</v>
      </c>
      <c r="T788" s="2">
        <f t="shared" si="163"/>
        <v>0.16710725067923671</v>
      </c>
      <c r="U788" s="1" t="s">
        <v>2507</v>
      </c>
      <c r="V788" s="6" t="s">
        <v>2505</v>
      </c>
    </row>
    <row r="789" spans="1:24" ht="14.25" customHeight="1" x14ac:dyDescent="0.3">
      <c r="A789" s="1" t="s">
        <v>17</v>
      </c>
      <c r="B789" s="1" t="s">
        <v>1579</v>
      </c>
      <c r="C789" s="1" t="s">
        <v>1580</v>
      </c>
      <c r="D789" s="1">
        <f t="shared" si="154"/>
        <v>37</v>
      </c>
      <c r="E789" s="1">
        <f t="shared" si="155"/>
        <v>0.28468749999999998</v>
      </c>
      <c r="F789" s="2">
        <f t="shared" si="156"/>
        <v>229.27663162978234</v>
      </c>
      <c r="G789" s="1">
        <v>2080</v>
      </c>
      <c r="H789" s="1">
        <v>3744</v>
      </c>
      <c r="I789" s="1">
        <v>0</v>
      </c>
      <c r="J789" s="1">
        <v>250</v>
      </c>
      <c r="K789" s="1">
        <f t="shared" si="152"/>
        <v>0</v>
      </c>
      <c r="L789" s="1">
        <f t="shared" si="157"/>
        <v>2.1814903846153846</v>
      </c>
      <c r="M789" s="1">
        <f t="shared" si="158"/>
        <v>2.1814903846153846</v>
      </c>
      <c r="N789" s="2">
        <f t="shared" si="153"/>
        <v>7.7011570247933889</v>
      </c>
      <c r="O789" s="1">
        <v>1059</v>
      </c>
      <c r="P789" s="1">
        <f t="shared" si="159"/>
        <v>813</v>
      </c>
      <c r="Q789" s="1">
        <f t="shared" si="160"/>
        <v>2.994816177602396</v>
      </c>
      <c r="R789" s="1">
        <f t="shared" si="161"/>
        <v>1.3006333079010406</v>
      </c>
      <c r="S789" s="2">
        <f t="shared" si="162"/>
        <v>9.5861128103805573</v>
      </c>
      <c r="T789" s="2">
        <f t="shared" si="163"/>
        <v>0.16730923100874759</v>
      </c>
      <c r="U789" s="1" t="s">
        <v>2507</v>
      </c>
      <c r="V789" s="6" t="s">
        <v>2505</v>
      </c>
    </row>
    <row r="790" spans="1:24" ht="14.25" customHeight="1" x14ac:dyDescent="0.3">
      <c r="A790" s="1" t="s">
        <v>40</v>
      </c>
      <c r="B790" s="1" t="s">
        <v>1581</v>
      </c>
      <c r="C790" s="1" t="s">
        <v>1582</v>
      </c>
      <c r="D790" s="1">
        <f t="shared" si="154"/>
        <v>72</v>
      </c>
      <c r="E790" s="1">
        <f t="shared" si="155"/>
        <v>0.77315972222222218</v>
      </c>
      <c r="F790" s="2">
        <f t="shared" si="156"/>
        <v>452.25727887069991</v>
      </c>
      <c r="G790" s="1">
        <v>2080</v>
      </c>
      <c r="H790" s="1">
        <v>3744</v>
      </c>
      <c r="I790" s="1">
        <v>0</v>
      </c>
      <c r="J790" s="1">
        <v>92</v>
      </c>
      <c r="K790" s="1">
        <f t="shared" si="152"/>
        <v>0</v>
      </c>
      <c r="L790" s="1">
        <f t="shared" si="157"/>
        <v>0.80278846153846151</v>
      </c>
      <c r="M790" s="1">
        <f t="shared" si="158"/>
        <v>0.80278846153846151</v>
      </c>
      <c r="N790" s="2">
        <f t="shared" si="153"/>
        <v>20.927057132590733</v>
      </c>
      <c r="O790" s="1">
        <v>1059</v>
      </c>
      <c r="P790" s="1">
        <f t="shared" si="159"/>
        <v>813</v>
      </c>
      <c r="Q790" s="1">
        <f t="shared" si="160"/>
        <v>8.138087439136946</v>
      </c>
      <c r="R790" s="1">
        <f t="shared" si="161"/>
        <v>3.5343296410354368</v>
      </c>
      <c r="S790" s="2">
        <f t="shared" si="162"/>
        <v>9.5861128103805573</v>
      </c>
      <c r="T790" s="2">
        <f t="shared" si="163"/>
        <v>0.16730923100874759</v>
      </c>
      <c r="U790" s="1" t="s">
        <v>2507</v>
      </c>
      <c r="V790" s="6" t="s">
        <v>2505</v>
      </c>
    </row>
    <row r="791" spans="1:24" ht="14.25" customHeight="1" x14ac:dyDescent="0.3">
      <c r="A791" s="1" t="s">
        <v>286</v>
      </c>
      <c r="B791" s="1" t="s">
        <v>1583</v>
      </c>
      <c r="C791" s="1" t="s">
        <v>1584</v>
      </c>
      <c r="D791" s="1">
        <f t="shared" si="154"/>
        <v>75</v>
      </c>
      <c r="E791" s="1">
        <f t="shared" si="155"/>
        <v>3.2233796296296295E-2</v>
      </c>
      <c r="F791" s="2">
        <f t="shared" si="156"/>
        <v>466.45145990075247</v>
      </c>
      <c r="G791" s="1">
        <v>2080</v>
      </c>
      <c r="H791" s="1">
        <v>3744</v>
      </c>
      <c r="I791" s="1">
        <v>0</v>
      </c>
      <c r="J791" s="1">
        <v>339</v>
      </c>
      <c r="K791" s="1">
        <f t="shared" si="152"/>
        <v>0</v>
      </c>
      <c r="L791" s="1">
        <f t="shared" si="157"/>
        <v>2.9581009615384612</v>
      </c>
      <c r="M791" s="1">
        <f t="shared" si="158"/>
        <v>2.9581009615384612</v>
      </c>
      <c r="N791" s="2">
        <f t="shared" si="153"/>
        <v>5.6793193398181341</v>
      </c>
      <c r="O791" s="1">
        <v>1056</v>
      </c>
      <c r="P791" s="1">
        <f t="shared" si="159"/>
        <v>816</v>
      </c>
      <c r="Q791" s="1">
        <f t="shared" si="160"/>
        <v>2.2085665026566343</v>
      </c>
      <c r="R791" s="1">
        <f t="shared" si="161"/>
        <v>0.96270847551699446</v>
      </c>
      <c r="S791" s="2">
        <f t="shared" si="162"/>
        <v>9.6208259313371194</v>
      </c>
      <c r="T791" s="2">
        <f t="shared" si="163"/>
        <v>0.16791508926308263</v>
      </c>
      <c r="U791" s="1" t="s">
        <v>2507</v>
      </c>
      <c r="V791" s="6" t="s">
        <v>2505</v>
      </c>
    </row>
    <row r="792" spans="1:24" ht="14.25" customHeight="1" x14ac:dyDescent="0.3">
      <c r="A792" s="1" t="s">
        <v>27</v>
      </c>
      <c r="B792" s="1" t="s">
        <v>1585</v>
      </c>
      <c r="C792" s="1" t="s">
        <v>1586</v>
      </c>
      <c r="D792" s="1">
        <f t="shared" si="154"/>
        <v>76</v>
      </c>
      <c r="E792" s="1">
        <f t="shared" si="155"/>
        <v>0.80263888888888879</v>
      </c>
      <c r="F792" s="2">
        <f t="shared" si="156"/>
        <v>477.57524316628621</v>
      </c>
      <c r="G792" s="1">
        <v>2080</v>
      </c>
      <c r="H792" s="1">
        <v>3744</v>
      </c>
      <c r="I792" s="1">
        <v>0</v>
      </c>
      <c r="J792" s="1">
        <v>197</v>
      </c>
      <c r="K792" s="1">
        <f t="shared" si="152"/>
        <v>0</v>
      </c>
      <c r="L792" s="1">
        <f t="shared" si="157"/>
        <v>1.7190144230769229</v>
      </c>
      <c r="M792" s="1">
        <f t="shared" si="158"/>
        <v>1.7190144230769229</v>
      </c>
      <c r="N792" s="2">
        <f t="shared" si="153"/>
        <v>9.7730419096362819</v>
      </c>
      <c r="O792" s="1">
        <v>1055</v>
      </c>
      <c r="P792" s="1">
        <f t="shared" si="159"/>
        <v>817</v>
      </c>
      <c r="Q792" s="1">
        <f t="shared" si="160"/>
        <v>3.8005281441654777</v>
      </c>
      <c r="R792" s="1">
        <f t="shared" si="161"/>
        <v>1.6586706697559803</v>
      </c>
      <c r="S792" s="2">
        <f t="shared" si="162"/>
        <v>9.6323953886732419</v>
      </c>
      <c r="T792" s="2">
        <f t="shared" si="163"/>
        <v>0.16811701438626697</v>
      </c>
      <c r="U792" s="1" t="s">
        <v>2507</v>
      </c>
      <c r="V792" s="6" t="s">
        <v>2505</v>
      </c>
    </row>
    <row r="793" spans="1:24" ht="14.25" customHeight="1" x14ac:dyDescent="0.3">
      <c r="A793" s="1" t="s">
        <v>27</v>
      </c>
      <c r="B793" s="1" t="s">
        <v>1587</v>
      </c>
      <c r="C793" s="1" t="s">
        <v>1588</v>
      </c>
      <c r="D793" s="1">
        <f t="shared" si="154"/>
        <v>48</v>
      </c>
      <c r="E793" s="1">
        <f t="shared" si="155"/>
        <v>0.74935185185185194</v>
      </c>
      <c r="F793" s="2">
        <f t="shared" si="156"/>
        <v>301.31124223708349</v>
      </c>
      <c r="G793" s="1">
        <v>2080</v>
      </c>
      <c r="H793" s="1">
        <v>3744</v>
      </c>
      <c r="I793" s="1">
        <v>0</v>
      </c>
      <c r="J793" s="1">
        <v>226</v>
      </c>
      <c r="K793" s="1">
        <f t="shared" si="152"/>
        <v>0</v>
      </c>
      <c r="L793" s="1">
        <f t="shared" si="157"/>
        <v>1.9720673076923074</v>
      </c>
      <c r="M793" s="1">
        <f t="shared" si="158"/>
        <v>1.9720673076923074</v>
      </c>
      <c r="N793" s="2">
        <f t="shared" si="153"/>
        <v>8.5189790097272002</v>
      </c>
      <c r="O793" s="1">
        <v>1054</v>
      </c>
      <c r="P793" s="1">
        <f t="shared" si="159"/>
        <v>818</v>
      </c>
      <c r="Q793" s="1">
        <f t="shared" si="160"/>
        <v>3.3128497539849513</v>
      </c>
      <c r="R793" s="1">
        <f t="shared" si="161"/>
        <v>1.4476020826707747</v>
      </c>
      <c r="S793" s="2">
        <f t="shared" si="162"/>
        <v>9.6439640530809658</v>
      </c>
      <c r="T793" s="2">
        <f t="shared" si="163"/>
        <v>0.16831892567024004</v>
      </c>
      <c r="U793" s="1" t="s">
        <v>2507</v>
      </c>
      <c r="V793" s="6" t="s">
        <v>2505</v>
      </c>
      <c r="W793" s="1"/>
      <c r="X793" s="1"/>
    </row>
    <row r="794" spans="1:24" ht="14.25" customHeight="1" x14ac:dyDescent="0.3">
      <c r="A794" s="1" t="s">
        <v>40</v>
      </c>
      <c r="B794" s="1" t="s">
        <v>1589</v>
      </c>
      <c r="C794" s="1" t="s">
        <v>1590</v>
      </c>
      <c r="D794" s="1">
        <f t="shared" si="154"/>
        <v>29</v>
      </c>
      <c r="E794" s="1">
        <f t="shared" si="155"/>
        <v>0.21832175925925926</v>
      </c>
      <c r="F794" s="2">
        <f t="shared" si="156"/>
        <v>178.59416092522335</v>
      </c>
      <c r="G794" s="1">
        <v>2080</v>
      </c>
      <c r="H794" s="1">
        <v>3744</v>
      </c>
      <c r="I794" s="1">
        <v>0</v>
      </c>
      <c r="J794" s="1">
        <v>185</v>
      </c>
      <c r="K794" s="1">
        <f t="shared" si="152"/>
        <v>0</v>
      </c>
      <c r="L794" s="1">
        <f t="shared" si="157"/>
        <v>1.6143028846153844</v>
      </c>
      <c r="M794" s="1">
        <f t="shared" si="158"/>
        <v>1.6143028846153844</v>
      </c>
      <c r="N794" s="2">
        <f t="shared" si="153"/>
        <v>10.406968952423499</v>
      </c>
      <c r="O794" s="1">
        <v>1053</v>
      </c>
      <c r="P794" s="1">
        <f t="shared" si="159"/>
        <v>819</v>
      </c>
      <c r="Q794" s="1">
        <f t="shared" si="160"/>
        <v>4.0470488886518865</v>
      </c>
      <c r="R794" s="1">
        <f t="shared" si="161"/>
        <v>1.7705838887852003</v>
      </c>
      <c r="S794" s="2">
        <f t="shared" si="162"/>
        <v>9.6555319236986303</v>
      </c>
      <c r="T794" s="2">
        <f t="shared" si="163"/>
        <v>0.168520823099963</v>
      </c>
      <c r="U794" s="1" t="s">
        <v>2507</v>
      </c>
      <c r="V794" s="6" t="s">
        <v>2505</v>
      </c>
    </row>
    <row r="795" spans="1:24" ht="14.25" customHeight="1" x14ac:dyDescent="0.3">
      <c r="A795" s="1" t="s">
        <v>40</v>
      </c>
      <c r="B795" s="1" t="s">
        <v>1591</v>
      </c>
      <c r="C795" s="1" t="s">
        <v>1592</v>
      </c>
      <c r="D795" s="1">
        <f t="shared" si="154"/>
        <v>78</v>
      </c>
      <c r="E795" s="1">
        <f t="shared" si="155"/>
        <v>0.14537037037037037</v>
      </c>
      <c r="F795" s="2">
        <f t="shared" si="156"/>
        <v>486.01187388221814</v>
      </c>
      <c r="G795" s="1">
        <v>2080</v>
      </c>
      <c r="H795" s="1">
        <v>3744</v>
      </c>
      <c r="I795" s="1">
        <v>0</v>
      </c>
      <c r="J795" s="1">
        <v>119</v>
      </c>
      <c r="K795" s="1">
        <f t="shared" si="152"/>
        <v>0</v>
      </c>
      <c r="L795" s="1">
        <f t="shared" si="157"/>
        <v>1.0383894230769231</v>
      </c>
      <c r="M795" s="1">
        <f t="shared" si="158"/>
        <v>1.0383894230769231</v>
      </c>
      <c r="N795" s="2">
        <f t="shared" si="153"/>
        <v>16.178901312591154</v>
      </c>
      <c r="O795" s="1">
        <v>1053</v>
      </c>
      <c r="P795" s="1">
        <f t="shared" si="159"/>
        <v>819</v>
      </c>
      <c r="Q795" s="1">
        <f t="shared" si="160"/>
        <v>6.2916306252151175</v>
      </c>
      <c r="R795" s="1">
        <f t="shared" si="161"/>
        <v>2.7525883985316137</v>
      </c>
      <c r="S795" s="2">
        <f t="shared" si="162"/>
        <v>9.6555319236986303</v>
      </c>
      <c r="T795" s="2">
        <f t="shared" si="163"/>
        <v>0.168520823099963</v>
      </c>
      <c r="U795" s="1" t="s">
        <v>2507</v>
      </c>
      <c r="V795" s="6" t="s">
        <v>2505</v>
      </c>
    </row>
    <row r="796" spans="1:24" ht="14.25" customHeight="1" x14ac:dyDescent="0.3">
      <c r="A796" s="1" t="s">
        <v>17</v>
      </c>
      <c r="B796" s="1" t="s">
        <v>1593</v>
      </c>
      <c r="C796" s="1" t="s">
        <v>1594</v>
      </c>
      <c r="D796" s="1">
        <f t="shared" si="154"/>
        <v>9</v>
      </c>
      <c r="E796" s="1">
        <f t="shared" si="155"/>
        <v>0.7439930555555555</v>
      </c>
      <c r="F796" s="2">
        <f t="shared" si="156"/>
        <v>56.233344946926593</v>
      </c>
      <c r="G796" s="1">
        <v>2080</v>
      </c>
      <c r="H796" s="1">
        <v>3744</v>
      </c>
      <c r="I796" s="1">
        <v>0</v>
      </c>
      <c r="J796" s="1">
        <v>410</v>
      </c>
      <c r="K796" s="1">
        <f t="shared" si="152"/>
        <v>0</v>
      </c>
      <c r="L796" s="1">
        <f t="shared" si="157"/>
        <v>3.5776442307692302</v>
      </c>
      <c r="M796" s="1">
        <f t="shared" si="158"/>
        <v>3.5776442307692302</v>
      </c>
      <c r="N796" s="2">
        <f t="shared" si="153"/>
        <v>4.6958274541423108</v>
      </c>
      <c r="O796" s="1">
        <v>1053</v>
      </c>
      <c r="P796" s="1">
        <f t="shared" si="159"/>
        <v>819</v>
      </c>
      <c r="Q796" s="1">
        <f t="shared" si="160"/>
        <v>1.8261074253673149</v>
      </c>
      <c r="R796" s="1">
        <f t="shared" si="161"/>
        <v>0.79892199859820023</v>
      </c>
      <c r="S796" s="2">
        <f t="shared" si="162"/>
        <v>9.6555319236986321</v>
      </c>
      <c r="T796" s="2">
        <f t="shared" si="163"/>
        <v>0.16852082309996302</v>
      </c>
      <c r="U796" s="1" t="s">
        <v>2507</v>
      </c>
      <c r="V796" s="6" t="s">
        <v>2505</v>
      </c>
      <c r="W796" s="1"/>
      <c r="X796" s="1"/>
    </row>
    <row r="797" spans="1:24" ht="14.25" customHeight="1" x14ac:dyDescent="0.3">
      <c r="A797" s="1" t="s">
        <v>40</v>
      </c>
      <c r="B797" s="1" t="s">
        <v>1595</v>
      </c>
      <c r="C797" s="1" t="s">
        <v>1596</v>
      </c>
      <c r="D797" s="1">
        <f t="shared" si="154"/>
        <v>91</v>
      </c>
      <c r="E797" s="1">
        <f t="shared" si="155"/>
        <v>1.462962962962963E-2</v>
      </c>
      <c r="F797" s="2">
        <f t="shared" si="156"/>
        <v>566.87181457428073</v>
      </c>
      <c r="G797" s="1">
        <v>2080</v>
      </c>
      <c r="H797" s="1">
        <v>3744</v>
      </c>
      <c r="I797" s="1">
        <v>0</v>
      </c>
      <c r="J797" s="1">
        <v>141</v>
      </c>
      <c r="K797" s="1">
        <f t="shared" si="152"/>
        <v>0</v>
      </c>
      <c r="L797" s="1">
        <f t="shared" si="157"/>
        <v>1.2303605769230768</v>
      </c>
      <c r="M797" s="1">
        <f t="shared" si="158"/>
        <v>1.2303605769230768</v>
      </c>
      <c r="N797" s="2">
        <f t="shared" si="153"/>
        <v>13.654533731903173</v>
      </c>
      <c r="O797" s="1">
        <v>1052</v>
      </c>
      <c r="P797" s="1">
        <f t="shared" si="159"/>
        <v>820</v>
      </c>
      <c r="Q797" s="1">
        <f t="shared" si="160"/>
        <v>5.309957761706376</v>
      </c>
      <c r="R797" s="1">
        <f t="shared" si="161"/>
        <v>2.3259430366448868</v>
      </c>
      <c r="S797" s="2">
        <f t="shared" si="162"/>
        <v>9.6670989996649617</v>
      </c>
      <c r="T797" s="2">
        <f t="shared" si="163"/>
        <v>0.16872270666040379</v>
      </c>
      <c r="U797" s="1" t="s">
        <v>2507</v>
      </c>
      <c r="V797" s="6" t="s">
        <v>2505</v>
      </c>
    </row>
    <row r="798" spans="1:24" ht="14.25" customHeight="1" x14ac:dyDescent="0.3">
      <c r="A798" s="1" t="s">
        <v>40</v>
      </c>
      <c r="B798" s="1" t="s">
        <v>1597</v>
      </c>
      <c r="C798" s="1" t="s">
        <v>1598</v>
      </c>
      <c r="D798" s="1">
        <f t="shared" si="154"/>
        <v>33</v>
      </c>
      <c r="E798" s="1">
        <f t="shared" si="155"/>
        <v>3.1678240740740743E-2</v>
      </c>
      <c r="F798" s="2">
        <f t="shared" si="156"/>
        <v>202.55418634070585</v>
      </c>
      <c r="G798" s="1">
        <v>2080</v>
      </c>
      <c r="H798" s="1">
        <v>3744</v>
      </c>
      <c r="I798" s="1">
        <v>0</v>
      </c>
      <c r="J798" s="1">
        <v>120</v>
      </c>
      <c r="K798" s="1">
        <f t="shared" si="152"/>
        <v>0</v>
      </c>
      <c r="L798" s="1">
        <f t="shared" si="157"/>
        <v>1.0471153846153847</v>
      </c>
      <c r="M798" s="1">
        <f t="shared" si="158"/>
        <v>1.0471153846153847</v>
      </c>
      <c r="N798" s="2">
        <f t="shared" si="153"/>
        <v>16.044077134986225</v>
      </c>
      <c r="O798" s="1">
        <v>1051</v>
      </c>
      <c r="P798" s="1">
        <f t="shared" si="159"/>
        <v>821</v>
      </c>
      <c r="Q798" s="1">
        <f t="shared" si="160"/>
        <v>6.2392003700049905</v>
      </c>
      <c r="R798" s="1">
        <f t="shared" si="161"/>
        <v>2.7363159742382996</v>
      </c>
      <c r="S798" s="2">
        <f t="shared" si="162"/>
        <v>9.6786652801190591</v>
      </c>
      <c r="T798" s="2">
        <f t="shared" si="163"/>
        <v>0.16892457633653685</v>
      </c>
      <c r="U798" s="1" t="s">
        <v>2507</v>
      </c>
      <c r="V798" s="6" t="s">
        <v>2505</v>
      </c>
    </row>
    <row r="799" spans="1:24" ht="14.25" customHeight="1" x14ac:dyDescent="0.3">
      <c r="A799" s="1" t="s">
        <v>40</v>
      </c>
      <c r="B799" s="1" t="s">
        <v>1599</v>
      </c>
      <c r="C799" s="1" t="s">
        <v>1600</v>
      </c>
      <c r="D799" s="1">
        <f t="shared" si="154"/>
        <v>10</v>
      </c>
      <c r="E799" s="1">
        <f t="shared" si="155"/>
        <v>0.83399305555555558</v>
      </c>
      <c r="F799" s="2">
        <f t="shared" si="156"/>
        <v>63.082016931752342</v>
      </c>
      <c r="G799" s="1">
        <v>2080</v>
      </c>
      <c r="H799" s="1">
        <v>3744</v>
      </c>
      <c r="I799" s="1">
        <v>0</v>
      </c>
      <c r="J799" s="1">
        <v>199</v>
      </c>
      <c r="K799" s="1">
        <f t="shared" si="152"/>
        <v>0</v>
      </c>
      <c r="L799" s="1">
        <f t="shared" si="157"/>
        <v>1.7364663461538461</v>
      </c>
      <c r="M799" s="1">
        <f t="shared" si="158"/>
        <v>1.7364663461538461</v>
      </c>
      <c r="N799" s="2">
        <f t="shared" si="153"/>
        <v>9.6748203829062671</v>
      </c>
      <c r="O799" s="1">
        <v>1049</v>
      </c>
      <c r="P799" s="1">
        <f t="shared" si="159"/>
        <v>823</v>
      </c>
      <c r="Q799" s="1">
        <f t="shared" si="160"/>
        <v>3.762331881410045</v>
      </c>
      <c r="R799" s="1">
        <f t="shared" si="161"/>
        <v>1.6540593688036682</v>
      </c>
      <c r="S799" s="2">
        <f t="shared" si="162"/>
        <v>9.7017954510488327</v>
      </c>
      <c r="T799" s="2">
        <f t="shared" si="163"/>
        <v>0.16932827397581049</v>
      </c>
      <c r="U799" s="1" t="s">
        <v>2507</v>
      </c>
      <c r="V799" s="6" t="s">
        <v>2505</v>
      </c>
    </row>
    <row r="800" spans="1:24" ht="14.25" customHeight="1" x14ac:dyDescent="0.3">
      <c r="A800" s="1" t="s">
        <v>40</v>
      </c>
      <c r="B800" s="1" t="s">
        <v>1358</v>
      </c>
      <c r="C800" s="1" t="s">
        <v>1359</v>
      </c>
      <c r="D800" s="1">
        <f t="shared" si="154"/>
        <v>10</v>
      </c>
      <c r="E800" s="1">
        <f t="shared" si="155"/>
        <v>0.28024305555555556</v>
      </c>
      <c r="F800" s="2">
        <f t="shared" si="156"/>
        <v>59.602703067901636</v>
      </c>
      <c r="G800" s="1">
        <v>2080</v>
      </c>
      <c r="H800" s="1">
        <v>3744</v>
      </c>
      <c r="I800" s="1">
        <v>0</v>
      </c>
      <c r="J800" s="1">
        <v>53</v>
      </c>
      <c r="K800" s="1">
        <f t="shared" si="152"/>
        <v>0</v>
      </c>
      <c r="L800" s="1">
        <f t="shared" si="157"/>
        <v>0.46247596153846149</v>
      </c>
      <c r="M800" s="1">
        <f t="shared" si="158"/>
        <v>0.46247596153846149</v>
      </c>
      <c r="N800" s="2">
        <f t="shared" ref="N800:N831" si="164">42*0.4/M800</f>
        <v>36.326212381100895</v>
      </c>
      <c r="O800" s="1">
        <v>1048</v>
      </c>
      <c r="P800" s="1">
        <f t="shared" si="159"/>
        <v>824</v>
      </c>
      <c r="Q800" s="1">
        <f t="shared" si="160"/>
        <v>14.126491403784888</v>
      </c>
      <c r="R800" s="1">
        <f t="shared" si="161"/>
        <v>6.2180710025206984</v>
      </c>
      <c r="S800" s="2">
        <f t="shared" si="162"/>
        <v>9.7133593398045974</v>
      </c>
      <c r="T800" s="2">
        <f t="shared" si="163"/>
        <v>0.16953010190893292</v>
      </c>
      <c r="U800" s="1" t="s">
        <v>2507</v>
      </c>
      <c r="V800" s="6" t="s">
        <v>2505</v>
      </c>
    </row>
    <row r="801" spans="1:22" ht="14.25" customHeight="1" x14ac:dyDescent="0.3">
      <c r="A801" s="1" t="s">
        <v>27</v>
      </c>
      <c r="B801" s="1" t="s">
        <v>1601</v>
      </c>
      <c r="C801" s="1" t="s">
        <v>1602</v>
      </c>
      <c r="D801" s="1">
        <f t="shared" si="154"/>
        <v>36</v>
      </c>
      <c r="E801" s="1">
        <f t="shared" si="155"/>
        <v>0.27357638888888891</v>
      </c>
      <c r="F801" s="2">
        <f t="shared" si="156"/>
        <v>222.92363315252302</v>
      </c>
      <c r="G801" s="1">
        <v>2080</v>
      </c>
      <c r="H801" s="1">
        <v>3744</v>
      </c>
      <c r="I801" s="1">
        <v>0</v>
      </c>
      <c r="J801" s="1">
        <v>153</v>
      </c>
      <c r="K801" s="1">
        <f t="shared" si="152"/>
        <v>0</v>
      </c>
      <c r="L801" s="1">
        <f t="shared" si="157"/>
        <v>1.3350721153846152</v>
      </c>
      <c r="M801" s="1">
        <f t="shared" si="158"/>
        <v>1.3350721153846152</v>
      </c>
      <c r="N801" s="2">
        <f t="shared" si="164"/>
        <v>12.583589909793121</v>
      </c>
      <c r="O801" s="1">
        <v>1048</v>
      </c>
      <c r="P801" s="1">
        <f t="shared" si="159"/>
        <v>824</v>
      </c>
      <c r="Q801" s="1">
        <f t="shared" si="160"/>
        <v>4.8934904862784254</v>
      </c>
      <c r="R801" s="1">
        <f t="shared" si="161"/>
        <v>2.1539723080627255</v>
      </c>
      <c r="S801" s="2">
        <f t="shared" si="162"/>
        <v>9.7133593398045974</v>
      </c>
      <c r="T801" s="2">
        <f t="shared" si="163"/>
        <v>0.16953010190893292</v>
      </c>
      <c r="U801" s="1" t="s">
        <v>2507</v>
      </c>
      <c r="V801" s="6" t="s">
        <v>2505</v>
      </c>
    </row>
    <row r="802" spans="1:22" ht="14.25" customHeight="1" x14ac:dyDescent="0.3">
      <c r="A802" s="1" t="s">
        <v>27</v>
      </c>
      <c r="B802" s="1" t="s">
        <v>1603</v>
      </c>
      <c r="C802" s="1" t="s">
        <v>1604</v>
      </c>
      <c r="D802" s="1">
        <f t="shared" si="154"/>
        <v>34</v>
      </c>
      <c r="E802" s="1">
        <f t="shared" si="155"/>
        <v>0.11646990740740741</v>
      </c>
      <c r="F802" s="2">
        <f t="shared" si="156"/>
        <v>209.37013340205669</v>
      </c>
      <c r="G802" s="1">
        <v>2080</v>
      </c>
      <c r="H802" s="1">
        <v>3744</v>
      </c>
      <c r="I802" s="1">
        <v>0</v>
      </c>
      <c r="J802" s="1">
        <v>177</v>
      </c>
      <c r="K802" s="1">
        <f t="shared" si="152"/>
        <v>0</v>
      </c>
      <c r="L802" s="1">
        <f t="shared" si="157"/>
        <v>1.5444951923076922</v>
      </c>
      <c r="M802" s="1">
        <f t="shared" si="158"/>
        <v>1.5444951923076922</v>
      </c>
      <c r="N802" s="2">
        <f t="shared" si="164"/>
        <v>10.877340430499137</v>
      </c>
      <c r="O802" s="1">
        <v>1048</v>
      </c>
      <c r="P802" s="1">
        <f t="shared" si="159"/>
        <v>824</v>
      </c>
      <c r="Q802" s="1">
        <f t="shared" si="160"/>
        <v>4.2299663525457571</v>
      </c>
      <c r="R802" s="1">
        <f t="shared" si="161"/>
        <v>1.8619082662915085</v>
      </c>
      <c r="S802" s="2">
        <f t="shared" si="162"/>
        <v>9.7133593398045992</v>
      </c>
      <c r="T802" s="2">
        <f t="shared" si="163"/>
        <v>0.16953010190893295</v>
      </c>
      <c r="U802" s="1" t="s">
        <v>2507</v>
      </c>
      <c r="V802" s="6" t="s">
        <v>2505</v>
      </c>
    </row>
    <row r="803" spans="1:22" ht="14.25" customHeight="1" x14ac:dyDescent="0.3">
      <c r="A803" s="1" t="s">
        <v>17</v>
      </c>
      <c r="B803" s="1" t="s">
        <v>1605</v>
      </c>
      <c r="C803" s="1" t="s">
        <v>1606</v>
      </c>
      <c r="D803" s="1">
        <f t="shared" si="154"/>
        <v>36</v>
      </c>
      <c r="E803" s="1">
        <f t="shared" si="155"/>
        <v>0.98591435185185183</v>
      </c>
      <c r="F803" s="2">
        <f t="shared" si="156"/>
        <v>227.39938457515814</v>
      </c>
      <c r="G803" s="1">
        <v>2080</v>
      </c>
      <c r="H803" s="1">
        <v>3744</v>
      </c>
      <c r="I803" s="1">
        <v>0</v>
      </c>
      <c r="J803" s="1">
        <v>233</v>
      </c>
      <c r="K803" s="1">
        <f t="shared" si="152"/>
        <v>0</v>
      </c>
      <c r="L803" s="1">
        <f t="shared" si="157"/>
        <v>2.0331490384615383</v>
      </c>
      <c r="M803" s="1">
        <f t="shared" si="158"/>
        <v>2.0331490384615383</v>
      </c>
      <c r="N803" s="2">
        <f t="shared" si="164"/>
        <v>8.2630440180186575</v>
      </c>
      <c r="O803" s="1">
        <v>1048</v>
      </c>
      <c r="P803" s="1">
        <f t="shared" si="159"/>
        <v>824</v>
      </c>
      <c r="Q803" s="1">
        <f t="shared" si="160"/>
        <v>3.2133220789725279</v>
      </c>
      <c r="R803" s="1">
        <f t="shared" si="161"/>
        <v>1.4144110005733777</v>
      </c>
      <c r="S803" s="2">
        <f t="shared" si="162"/>
        <v>9.7133593398045992</v>
      </c>
      <c r="T803" s="2">
        <f t="shared" si="163"/>
        <v>0.16953010190893295</v>
      </c>
      <c r="U803" s="1" t="s">
        <v>2507</v>
      </c>
      <c r="V803" s="6" t="s">
        <v>2505</v>
      </c>
    </row>
    <row r="804" spans="1:22" ht="14.25" customHeight="1" x14ac:dyDescent="0.3">
      <c r="A804" s="1" t="s">
        <v>27</v>
      </c>
      <c r="B804" s="1" t="s">
        <v>1607</v>
      </c>
      <c r="C804" s="1" t="s">
        <v>1608</v>
      </c>
      <c r="D804" s="1">
        <f t="shared" si="154"/>
        <v>48</v>
      </c>
      <c r="E804" s="1">
        <f t="shared" si="155"/>
        <v>0.74932870370370364</v>
      </c>
      <c r="F804" s="2">
        <f t="shared" si="156"/>
        <v>301.31109679297919</v>
      </c>
      <c r="G804" s="1">
        <v>2080</v>
      </c>
      <c r="H804" s="1">
        <v>3744</v>
      </c>
      <c r="I804" s="1">
        <v>0</v>
      </c>
      <c r="J804" s="1">
        <v>247</v>
      </c>
      <c r="K804" s="1">
        <f t="shared" si="152"/>
        <v>0</v>
      </c>
      <c r="L804" s="1">
        <f t="shared" si="157"/>
        <v>2.1553124999999995</v>
      </c>
      <c r="M804" s="1">
        <f t="shared" si="158"/>
        <v>2.1553124999999995</v>
      </c>
      <c r="N804" s="2">
        <f t="shared" si="164"/>
        <v>7.7946933449325817</v>
      </c>
      <c r="O804" s="1">
        <v>1047</v>
      </c>
      <c r="P804" s="1">
        <f t="shared" si="159"/>
        <v>825</v>
      </c>
      <c r="Q804" s="1">
        <f t="shared" si="160"/>
        <v>3.0311904631603204</v>
      </c>
      <c r="R804" s="1">
        <f t="shared" si="161"/>
        <v>1.3358611816812309</v>
      </c>
      <c r="S804" s="2">
        <f t="shared" si="162"/>
        <v>9.7249224296083003</v>
      </c>
      <c r="T804" s="2">
        <f t="shared" si="163"/>
        <v>0.16973191589771133</v>
      </c>
      <c r="U804" s="1" t="s">
        <v>2507</v>
      </c>
      <c r="V804" s="6" t="s">
        <v>2505</v>
      </c>
    </row>
    <row r="805" spans="1:22" ht="14.25" customHeight="1" x14ac:dyDescent="0.3">
      <c r="A805" s="1" t="s">
        <v>27</v>
      </c>
      <c r="B805" s="1" t="s">
        <v>1609</v>
      </c>
      <c r="C805" s="1" t="s">
        <v>1610</v>
      </c>
      <c r="D805" s="1">
        <f t="shared" si="154"/>
        <v>57</v>
      </c>
      <c r="E805" s="1">
        <f t="shared" si="155"/>
        <v>0.15206018518518519</v>
      </c>
      <c r="F805" s="2">
        <f t="shared" si="156"/>
        <v>354.10701577759897</v>
      </c>
      <c r="G805" s="1">
        <v>2080</v>
      </c>
      <c r="H805" s="1">
        <v>3744</v>
      </c>
      <c r="I805" s="1">
        <v>447</v>
      </c>
      <c r="J805" s="1">
        <v>393</v>
      </c>
      <c r="K805" s="1">
        <f t="shared" si="152"/>
        <v>3.9005048076923083</v>
      </c>
      <c r="L805" s="1">
        <f t="shared" si="157"/>
        <v>3.4293028846153844</v>
      </c>
      <c r="M805" s="1">
        <f t="shared" si="158"/>
        <v>5.1936553629656839</v>
      </c>
      <c r="N805" s="2">
        <f>42*0.11/M805</f>
        <v>0.88954689464837444</v>
      </c>
      <c r="O805" s="1">
        <v>1047</v>
      </c>
      <c r="P805" s="1">
        <f t="shared" si="159"/>
        <v>825</v>
      </c>
      <c r="Q805" s="1">
        <f t="shared" si="160"/>
        <v>0.34592586831462485</v>
      </c>
      <c r="R805" s="1">
        <f t="shared" si="161"/>
        <v>0.15245130414506705</v>
      </c>
      <c r="S805" s="2">
        <f t="shared" si="162"/>
        <v>9.7249224296083021</v>
      </c>
      <c r="T805" s="2">
        <f t="shared" si="163"/>
        <v>0.16973191589771136</v>
      </c>
      <c r="U805" s="1" t="s">
        <v>2508</v>
      </c>
      <c r="V805" s="6" t="s">
        <v>2505</v>
      </c>
    </row>
    <row r="806" spans="1:22" ht="14.25" customHeight="1" x14ac:dyDescent="0.3">
      <c r="A806" s="1" t="s">
        <v>40</v>
      </c>
      <c r="B806" s="1" t="s">
        <v>1611</v>
      </c>
      <c r="C806" s="1" t="s">
        <v>1612</v>
      </c>
      <c r="D806" s="1">
        <f t="shared" si="154"/>
        <v>42</v>
      </c>
      <c r="E806" s="1">
        <f t="shared" si="155"/>
        <v>0.13283564814814816</v>
      </c>
      <c r="F806" s="2">
        <f t="shared" si="156"/>
        <v>259.73844484125675</v>
      </c>
      <c r="G806" s="1">
        <v>2080</v>
      </c>
      <c r="H806" s="1">
        <v>3744</v>
      </c>
      <c r="I806" s="1">
        <v>0</v>
      </c>
      <c r="J806" s="1">
        <v>241</v>
      </c>
      <c r="K806" s="1">
        <f t="shared" si="152"/>
        <v>0</v>
      </c>
      <c r="L806" s="1">
        <f t="shared" si="157"/>
        <v>2.1029567307692307</v>
      </c>
      <c r="M806" s="1">
        <f t="shared" si="158"/>
        <v>2.1029567307692307</v>
      </c>
      <c r="N806" s="2">
        <f t="shared" ref="N806:N837" si="165">42*0.4/M806</f>
        <v>7.9887521004080799</v>
      </c>
      <c r="O806" s="1">
        <v>1046</v>
      </c>
      <c r="P806" s="1">
        <f t="shared" si="159"/>
        <v>826</v>
      </c>
      <c r="Q806" s="1">
        <f t="shared" si="160"/>
        <v>3.1066557858946018</v>
      </c>
      <c r="R806" s="1">
        <f t="shared" si="161"/>
        <v>1.3707786747590496</v>
      </c>
      <c r="S806" s="2">
        <f t="shared" si="162"/>
        <v>9.7364847196009396</v>
      </c>
      <c r="T806" s="2">
        <f t="shared" si="163"/>
        <v>0.16993371592715328</v>
      </c>
      <c r="U806" s="1" t="s">
        <v>2507</v>
      </c>
      <c r="V806" s="6" t="s">
        <v>2505</v>
      </c>
    </row>
    <row r="807" spans="1:22" ht="14.25" customHeight="1" x14ac:dyDescent="0.3">
      <c r="A807" s="1" t="s">
        <v>27</v>
      </c>
      <c r="B807" s="1" t="s">
        <v>1613</v>
      </c>
      <c r="C807" s="1" t="s">
        <v>1614</v>
      </c>
      <c r="D807" s="1">
        <f t="shared" si="154"/>
        <v>54</v>
      </c>
      <c r="E807" s="1">
        <f t="shared" si="155"/>
        <v>0.18672453703703704</v>
      </c>
      <c r="F807" s="2">
        <f t="shared" si="156"/>
        <v>335.47526240229871</v>
      </c>
      <c r="G807" s="1">
        <v>2080</v>
      </c>
      <c r="H807" s="1">
        <v>3744</v>
      </c>
      <c r="I807" s="1">
        <v>0</v>
      </c>
      <c r="J807" s="1">
        <v>204</v>
      </c>
      <c r="K807" s="1">
        <f t="shared" si="152"/>
        <v>0</v>
      </c>
      <c r="L807" s="1">
        <f t="shared" si="157"/>
        <v>1.7800961538461537</v>
      </c>
      <c r="M807" s="1">
        <f t="shared" si="158"/>
        <v>1.7800961538461537</v>
      </c>
      <c r="N807" s="2">
        <f t="shared" si="165"/>
        <v>9.4376924323448392</v>
      </c>
      <c r="O807" s="1">
        <v>1046</v>
      </c>
      <c r="P807" s="1">
        <f t="shared" si="159"/>
        <v>826</v>
      </c>
      <c r="Q807" s="1">
        <f t="shared" si="160"/>
        <v>3.6701178647088186</v>
      </c>
      <c r="R807" s="1">
        <f t="shared" si="161"/>
        <v>1.6194002971418184</v>
      </c>
      <c r="S807" s="2">
        <f t="shared" si="162"/>
        <v>9.7364847196009396</v>
      </c>
      <c r="T807" s="2">
        <f t="shared" si="163"/>
        <v>0.16993371592715328</v>
      </c>
      <c r="U807" s="1" t="s">
        <v>2507</v>
      </c>
      <c r="V807" s="6" t="s">
        <v>2505</v>
      </c>
    </row>
    <row r="808" spans="1:22" ht="14.25" customHeight="1" x14ac:dyDescent="0.3">
      <c r="A808" s="1" t="s">
        <v>40</v>
      </c>
      <c r="B808" s="1" t="s">
        <v>1615</v>
      </c>
      <c r="C808" s="1" t="s">
        <v>1616</v>
      </c>
      <c r="D808" s="1">
        <f t="shared" si="154"/>
        <v>59</v>
      </c>
      <c r="E808" s="1">
        <f t="shared" si="155"/>
        <v>0.11398148148148148</v>
      </c>
      <c r="F808" s="2">
        <f t="shared" si="156"/>
        <v>366.43413084033062</v>
      </c>
      <c r="G808" s="1">
        <v>2080</v>
      </c>
      <c r="H808" s="1">
        <v>3744</v>
      </c>
      <c r="I808" s="1">
        <v>0</v>
      </c>
      <c r="J808" s="1">
        <v>150</v>
      </c>
      <c r="K808" s="1">
        <f t="shared" si="152"/>
        <v>0</v>
      </c>
      <c r="L808" s="1">
        <f t="shared" si="157"/>
        <v>1.3088942307692308</v>
      </c>
      <c r="M808" s="1">
        <f t="shared" si="158"/>
        <v>1.3088942307692308</v>
      </c>
      <c r="N808" s="2">
        <f t="shared" si="165"/>
        <v>12.83526170798898</v>
      </c>
      <c r="O808" s="1">
        <v>1046</v>
      </c>
      <c r="P808" s="1">
        <f t="shared" si="159"/>
        <v>826</v>
      </c>
      <c r="Q808" s="1">
        <f t="shared" si="160"/>
        <v>4.9913602960039931</v>
      </c>
      <c r="R808" s="1">
        <f t="shared" si="161"/>
        <v>2.2023844041128728</v>
      </c>
      <c r="S808" s="2">
        <f t="shared" si="162"/>
        <v>9.7364847196009396</v>
      </c>
      <c r="T808" s="2">
        <f t="shared" si="163"/>
        <v>0.16993371592715328</v>
      </c>
      <c r="U808" s="1" t="s">
        <v>2507</v>
      </c>
      <c r="V808" s="6" t="s">
        <v>2505</v>
      </c>
    </row>
    <row r="809" spans="1:22" ht="14.25" customHeight="1" x14ac:dyDescent="0.3">
      <c r="A809" s="1" t="s">
        <v>27</v>
      </c>
      <c r="B809" s="1" t="s">
        <v>1617</v>
      </c>
      <c r="C809" s="1" t="s">
        <v>1618</v>
      </c>
      <c r="D809" s="1">
        <f t="shared" si="154"/>
        <v>43</v>
      </c>
      <c r="E809" s="1">
        <f t="shared" si="155"/>
        <v>0.32559027777777777</v>
      </c>
      <c r="F809" s="2">
        <f t="shared" si="156"/>
        <v>267.23274320521608</v>
      </c>
      <c r="G809" s="1">
        <v>2080</v>
      </c>
      <c r="H809" s="1">
        <v>3744</v>
      </c>
      <c r="I809" s="1">
        <v>0</v>
      </c>
      <c r="J809" s="1">
        <v>445</v>
      </c>
      <c r="K809" s="1">
        <f t="shared" si="152"/>
        <v>0</v>
      </c>
      <c r="L809" s="1">
        <f t="shared" si="157"/>
        <v>3.8830528846153842</v>
      </c>
      <c r="M809" s="1">
        <f t="shared" si="158"/>
        <v>3.8830528846153842</v>
      </c>
      <c r="N809" s="2">
        <f t="shared" si="165"/>
        <v>4.3264927105580844</v>
      </c>
      <c r="O809" s="1">
        <v>1045</v>
      </c>
      <c r="P809" s="1">
        <f t="shared" si="159"/>
        <v>827</v>
      </c>
      <c r="Q809" s="1">
        <f t="shared" si="160"/>
        <v>1.6824809986530316</v>
      </c>
      <c r="R809" s="1">
        <f t="shared" si="161"/>
        <v>0.7432755266485348</v>
      </c>
      <c r="S809" s="2">
        <f t="shared" si="162"/>
        <v>9.7480462089238795</v>
      </c>
      <c r="T809" s="2">
        <f t="shared" si="163"/>
        <v>0.17013550198227276</v>
      </c>
      <c r="U809" s="1" t="s">
        <v>2507</v>
      </c>
      <c r="V809" s="6" t="s">
        <v>2505</v>
      </c>
    </row>
    <row r="810" spans="1:22" ht="14.25" customHeight="1" x14ac:dyDescent="0.3">
      <c r="A810" s="1" t="s">
        <v>27</v>
      </c>
      <c r="B810" s="1" t="s">
        <v>1619</v>
      </c>
      <c r="C810" s="1" t="s">
        <v>1620</v>
      </c>
      <c r="D810" s="1">
        <f t="shared" si="154"/>
        <v>14</v>
      </c>
      <c r="E810" s="1">
        <f t="shared" si="155"/>
        <v>0.84303240740740737</v>
      </c>
      <c r="F810" s="2">
        <f t="shared" si="156"/>
        <v>88.271554083212663</v>
      </c>
      <c r="G810" s="1">
        <v>2080</v>
      </c>
      <c r="H810" s="1">
        <v>3744</v>
      </c>
      <c r="I810" s="1">
        <v>0</v>
      </c>
      <c r="J810" s="1">
        <v>231</v>
      </c>
      <c r="K810" s="1">
        <f t="shared" si="152"/>
        <v>0</v>
      </c>
      <c r="L810" s="1">
        <f t="shared" si="157"/>
        <v>2.015697115384615</v>
      </c>
      <c r="M810" s="1">
        <f t="shared" si="158"/>
        <v>2.015697115384615</v>
      </c>
      <c r="N810" s="2">
        <f t="shared" si="165"/>
        <v>8.3345855246681708</v>
      </c>
      <c r="O810" s="1">
        <v>1044</v>
      </c>
      <c r="P810" s="1">
        <f t="shared" si="159"/>
        <v>828</v>
      </c>
      <c r="Q810" s="1">
        <f t="shared" si="160"/>
        <v>3.2411430493532425</v>
      </c>
      <c r="R810" s="1">
        <f t="shared" si="161"/>
        <v>1.4335825025985496</v>
      </c>
      <c r="S810" s="2">
        <f t="shared" si="162"/>
        <v>9.7596068967188732</v>
      </c>
      <c r="T810" s="2">
        <f t="shared" si="163"/>
        <v>0.17033727404809051</v>
      </c>
      <c r="U810" s="1" t="s">
        <v>2507</v>
      </c>
      <c r="V810" s="6" t="s">
        <v>2505</v>
      </c>
    </row>
    <row r="811" spans="1:22" ht="14.25" customHeight="1" x14ac:dyDescent="0.3">
      <c r="A811" s="1" t="s">
        <v>40</v>
      </c>
      <c r="B811" s="1" t="s">
        <v>1621</v>
      </c>
      <c r="C811" s="1" t="s">
        <v>1622</v>
      </c>
      <c r="D811" s="1">
        <f t="shared" si="154"/>
        <v>29</v>
      </c>
      <c r="E811" s="1">
        <f t="shared" si="155"/>
        <v>9.5243055555555553E-2</v>
      </c>
      <c r="F811" s="2">
        <f t="shared" si="156"/>
        <v>177.82083462248556</v>
      </c>
      <c r="G811" s="1">
        <v>2080</v>
      </c>
      <c r="H811" s="1">
        <v>3744</v>
      </c>
      <c r="I811" s="1">
        <v>0</v>
      </c>
      <c r="J811" s="1">
        <v>115</v>
      </c>
      <c r="K811" s="1">
        <f t="shared" si="152"/>
        <v>0</v>
      </c>
      <c r="L811" s="1">
        <f t="shared" si="157"/>
        <v>1.0034855769230768</v>
      </c>
      <c r="M811" s="1">
        <f t="shared" si="158"/>
        <v>1.0034855769230768</v>
      </c>
      <c r="N811" s="2">
        <f t="shared" si="165"/>
        <v>16.741645706072585</v>
      </c>
      <c r="O811" s="1">
        <v>1043</v>
      </c>
      <c r="P811" s="1">
        <f t="shared" si="159"/>
        <v>829</v>
      </c>
      <c r="Q811" s="1">
        <f t="shared" si="160"/>
        <v>6.510469951309557</v>
      </c>
      <c r="R811" s="1">
        <f t="shared" si="161"/>
        <v>2.8831087551472341</v>
      </c>
      <c r="S811" s="2">
        <f t="shared" si="162"/>
        <v>9.7711667821280486</v>
      </c>
      <c r="T811" s="2">
        <f t="shared" si="163"/>
        <v>0.17053903210963386</v>
      </c>
      <c r="U811" s="1" t="s">
        <v>2507</v>
      </c>
      <c r="V811" s="6" t="s">
        <v>2505</v>
      </c>
    </row>
    <row r="812" spans="1:22" ht="14.25" customHeight="1" x14ac:dyDescent="0.3">
      <c r="A812" s="1" t="s">
        <v>40</v>
      </c>
      <c r="B812" s="1" t="s">
        <v>1623</v>
      </c>
      <c r="C812" s="1" t="s">
        <v>1624</v>
      </c>
      <c r="D812" s="1">
        <f t="shared" si="154"/>
        <v>61</v>
      </c>
      <c r="E812" s="1">
        <f t="shared" si="155"/>
        <v>0.78890046296296301</v>
      </c>
      <c r="F812" s="2">
        <f t="shared" si="156"/>
        <v>383.24114248267085</v>
      </c>
      <c r="G812" s="1">
        <v>2080</v>
      </c>
      <c r="H812" s="1">
        <v>3744</v>
      </c>
      <c r="I812" s="1">
        <v>0</v>
      </c>
      <c r="J812" s="1">
        <v>136</v>
      </c>
      <c r="K812" s="1">
        <f t="shared" si="152"/>
        <v>0</v>
      </c>
      <c r="L812" s="1">
        <f t="shared" si="157"/>
        <v>1.1867307692307691</v>
      </c>
      <c r="M812" s="1">
        <f t="shared" si="158"/>
        <v>1.1867307692307691</v>
      </c>
      <c r="N812" s="2">
        <f t="shared" si="165"/>
        <v>14.156538648517261</v>
      </c>
      <c r="O812" s="1">
        <v>1043</v>
      </c>
      <c r="P812" s="1">
        <f t="shared" si="159"/>
        <v>829</v>
      </c>
      <c r="Q812" s="1">
        <f t="shared" si="160"/>
        <v>5.5051767970632284</v>
      </c>
      <c r="R812" s="1">
        <f t="shared" si="161"/>
        <v>2.43792284442597</v>
      </c>
      <c r="S812" s="2">
        <f t="shared" si="162"/>
        <v>9.7711667821280486</v>
      </c>
      <c r="T812" s="2">
        <f t="shared" si="163"/>
        <v>0.17053903210963386</v>
      </c>
      <c r="U812" s="1" t="s">
        <v>2507</v>
      </c>
      <c r="V812" s="6" t="s">
        <v>2505</v>
      </c>
    </row>
    <row r="813" spans="1:22" ht="14.25" customHeight="1" x14ac:dyDescent="0.3">
      <c r="A813" s="1" t="s">
        <v>247</v>
      </c>
      <c r="B813" s="1" t="s">
        <v>1625</v>
      </c>
      <c r="C813" s="1" t="s">
        <v>1626</v>
      </c>
      <c r="D813" s="1">
        <f t="shared" si="154"/>
        <v>17</v>
      </c>
      <c r="E813" s="1">
        <f t="shared" si="155"/>
        <v>0.28094907407407405</v>
      </c>
      <c r="F813" s="2">
        <f t="shared" si="156"/>
        <v>103.5894362633409</v>
      </c>
      <c r="G813" s="1">
        <v>2080</v>
      </c>
      <c r="H813" s="1">
        <v>3744</v>
      </c>
      <c r="I813" s="1">
        <v>0</v>
      </c>
      <c r="J813" s="1">
        <v>202</v>
      </c>
      <c r="K813" s="1">
        <f t="shared" si="152"/>
        <v>0</v>
      </c>
      <c r="L813" s="1">
        <f t="shared" si="157"/>
        <v>1.7626442307692307</v>
      </c>
      <c r="M813" s="1">
        <f t="shared" si="158"/>
        <v>1.7626442307692307</v>
      </c>
      <c r="N813" s="2">
        <f t="shared" si="165"/>
        <v>9.5311349316749858</v>
      </c>
      <c r="O813" s="1">
        <v>1041</v>
      </c>
      <c r="P813" s="1">
        <f t="shared" si="159"/>
        <v>831</v>
      </c>
      <c r="Q813" s="1">
        <f t="shared" si="160"/>
        <v>3.7064556653494996</v>
      </c>
      <c r="R813" s="1">
        <f t="shared" si="161"/>
        <v>1.6453336847785438</v>
      </c>
      <c r="S813" s="2">
        <f t="shared" si="162"/>
        <v>9.7942841423593716</v>
      </c>
      <c r="T813" s="2">
        <f t="shared" si="163"/>
        <v>0.17094250616004006</v>
      </c>
      <c r="U813" s="1" t="s">
        <v>2507</v>
      </c>
      <c r="V813" s="6" t="s">
        <v>2505</v>
      </c>
    </row>
    <row r="814" spans="1:22" ht="14.25" customHeight="1" x14ac:dyDescent="0.3">
      <c r="A814" s="1" t="s">
        <v>40</v>
      </c>
      <c r="B814" s="1" t="s">
        <v>1627</v>
      </c>
      <c r="C814" s="1" t="s">
        <v>1628</v>
      </c>
      <c r="D814" s="1">
        <f t="shared" si="154"/>
        <v>30</v>
      </c>
      <c r="E814" s="1">
        <f t="shared" si="155"/>
        <v>2.9490740740740744E-2</v>
      </c>
      <c r="F814" s="2">
        <f t="shared" si="156"/>
        <v>183.69088595130765</v>
      </c>
      <c r="G814" s="1">
        <v>2080</v>
      </c>
      <c r="H814" s="1">
        <v>3744</v>
      </c>
      <c r="I814" s="1">
        <v>0</v>
      </c>
      <c r="J814" s="1">
        <v>179</v>
      </c>
      <c r="K814" s="1">
        <f t="shared" ref="K814:K877" si="166">(32.67*I814)/H814</f>
        <v>0</v>
      </c>
      <c r="L814" s="1">
        <f t="shared" si="157"/>
        <v>1.5619471153846154</v>
      </c>
      <c r="M814" s="1">
        <f t="shared" si="158"/>
        <v>1.5619471153846154</v>
      </c>
      <c r="N814" s="2">
        <f t="shared" si="165"/>
        <v>10.755805900549426</v>
      </c>
      <c r="O814" s="1">
        <v>1041</v>
      </c>
      <c r="P814" s="1">
        <f t="shared" si="159"/>
        <v>831</v>
      </c>
      <c r="Q814" s="1">
        <f t="shared" si="160"/>
        <v>4.1827041586625642</v>
      </c>
      <c r="R814" s="1">
        <f t="shared" si="161"/>
        <v>1.8567452755601446</v>
      </c>
      <c r="S814" s="2">
        <f t="shared" si="162"/>
        <v>9.7942841423593734</v>
      </c>
      <c r="T814" s="2">
        <f t="shared" si="163"/>
        <v>0.17094250616004009</v>
      </c>
      <c r="U814" s="1" t="s">
        <v>2507</v>
      </c>
      <c r="V814" s="6" t="s">
        <v>2505</v>
      </c>
    </row>
    <row r="815" spans="1:22" ht="14.25" customHeight="1" x14ac:dyDescent="0.3">
      <c r="A815" s="1" t="s">
        <v>17</v>
      </c>
      <c r="B815" s="1" t="s">
        <v>1629</v>
      </c>
      <c r="C815" s="1" t="s">
        <v>1630</v>
      </c>
      <c r="D815" s="1">
        <f t="shared" si="154"/>
        <v>6</v>
      </c>
      <c r="E815" s="1">
        <f t="shared" si="155"/>
        <v>0.79741898148148149</v>
      </c>
      <c r="F815" s="2">
        <f t="shared" si="156"/>
        <v>37.719474018188066</v>
      </c>
      <c r="G815" s="1">
        <v>2080</v>
      </c>
      <c r="H815" s="1">
        <v>3744</v>
      </c>
      <c r="I815" s="1">
        <v>0</v>
      </c>
      <c r="J815" s="1">
        <v>172</v>
      </c>
      <c r="K815" s="1">
        <f t="shared" si="166"/>
        <v>0</v>
      </c>
      <c r="L815" s="1">
        <f t="shared" si="157"/>
        <v>1.5008653846153845</v>
      </c>
      <c r="M815" s="1">
        <f t="shared" si="158"/>
        <v>1.5008653846153845</v>
      </c>
      <c r="N815" s="2">
        <f t="shared" si="165"/>
        <v>11.193542187199693</v>
      </c>
      <c r="O815" s="1">
        <v>1039</v>
      </c>
      <c r="P815" s="1">
        <f t="shared" si="159"/>
        <v>833</v>
      </c>
      <c r="Q815" s="1">
        <f t="shared" si="160"/>
        <v>4.3529304907011568</v>
      </c>
      <c r="R815" s="1">
        <f t="shared" si="161"/>
        <v>1.9369610570267433</v>
      </c>
      <c r="S815" s="2">
        <f t="shared" si="162"/>
        <v>9.8173982827625075</v>
      </c>
      <c r="T815" s="2">
        <f t="shared" si="163"/>
        <v>0.17134592401384302</v>
      </c>
      <c r="U815" s="1" t="s">
        <v>2507</v>
      </c>
      <c r="V815" s="6" t="s">
        <v>2505</v>
      </c>
    </row>
    <row r="816" spans="1:22" ht="14.25" customHeight="1" x14ac:dyDescent="0.3">
      <c r="A816" s="1" t="s">
        <v>40</v>
      </c>
      <c r="B816" s="1" t="s">
        <v>1631</v>
      </c>
      <c r="C816" s="1" t="s">
        <v>1632</v>
      </c>
      <c r="D816" s="1">
        <f t="shared" si="154"/>
        <v>78</v>
      </c>
      <c r="E816" s="1">
        <f t="shared" si="155"/>
        <v>0.10152777777777777</v>
      </c>
      <c r="F816" s="2">
        <f t="shared" si="156"/>
        <v>485.73640274861168</v>
      </c>
      <c r="G816" s="1">
        <v>2080</v>
      </c>
      <c r="H816" s="1">
        <v>3744</v>
      </c>
      <c r="I816" s="1">
        <v>0</v>
      </c>
      <c r="J816" s="1">
        <v>228</v>
      </c>
      <c r="K816" s="1">
        <f t="shared" si="166"/>
        <v>0</v>
      </c>
      <c r="L816" s="1">
        <f t="shared" si="157"/>
        <v>1.9895192307692307</v>
      </c>
      <c r="M816" s="1">
        <f t="shared" si="158"/>
        <v>1.9895192307692307</v>
      </c>
      <c r="N816" s="2">
        <f t="shared" si="165"/>
        <v>8.4442511236769615</v>
      </c>
      <c r="O816" s="1">
        <v>1039</v>
      </c>
      <c r="P816" s="1">
        <f t="shared" si="159"/>
        <v>833</v>
      </c>
      <c r="Q816" s="1">
        <f t="shared" si="160"/>
        <v>3.2837896684236796</v>
      </c>
      <c r="R816" s="1">
        <f t="shared" si="161"/>
        <v>1.4612162360026308</v>
      </c>
      <c r="S816" s="2">
        <f t="shared" si="162"/>
        <v>9.8173982827625075</v>
      </c>
      <c r="T816" s="2">
        <f t="shared" si="163"/>
        <v>0.17134592401384302</v>
      </c>
      <c r="U816" s="1" t="s">
        <v>2507</v>
      </c>
      <c r="V816" s="6" t="s">
        <v>2505</v>
      </c>
    </row>
    <row r="817" spans="1:22" ht="14.25" customHeight="1" x14ac:dyDescent="0.3">
      <c r="A817" s="1" t="s">
        <v>27</v>
      </c>
      <c r="B817" s="1" t="s">
        <v>1633</v>
      </c>
      <c r="C817" s="1" t="s">
        <v>1634</v>
      </c>
      <c r="D817" s="1">
        <f t="shared" si="154"/>
        <v>30</v>
      </c>
      <c r="E817" s="1">
        <f t="shared" si="155"/>
        <v>0.91515046296296287</v>
      </c>
      <c r="F817" s="2">
        <f t="shared" si="156"/>
        <v>189.25565010513506</v>
      </c>
      <c r="G817" s="1">
        <v>2080</v>
      </c>
      <c r="H817" s="1">
        <v>3744</v>
      </c>
      <c r="I817" s="1">
        <v>0</v>
      </c>
      <c r="J817" s="1">
        <v>216</v>
      </c>
      <c r="K817" s="1">
        <f t="shared" si="166"/>
        <v>0</v>
      </c>
      <c r="L817" s="1">
        <f t="shared" si="157"/>
        <v>1.8848076923076922</v>
      </c>
      <c r="M817" s="1">
        <f t="shared" si="158"/>
        <v>1.8848076923076922</v>
      </c>
      <c r="N817" s="2">
        <f t="shared" si="165"/>
        <v>8.9133761861034593</v>
      </c>
      <c r="O817" s="1">
        <v>1038</v>
      </c>
      <c r="P817" s="1">
        <f t="shared" si="159"/>
        <v>834</v>
      </c>
      <c r="Q817" s="1">
        <f t="shared" si="160"/>
        <v>3.4662224277805507</v>
      </c>
      <c r="R817" s="1">
        <f t="shared" si="161"/>
        <v>1.5442465303253095</v>
      </c>
      <c r="S817" s="2">
        <f t="shared" si="162"/>
        <v>9.8289541433878753</v>
      </c>
      <c r="T817" s="2">
        <f t="shared" si="163"/>
        <v>0.17154761182965728</v>
      </c>
      <c r="U817" s="1" t="s">
        <v>2507</v>
      </c>
      <c r="V817" s="6" t="s">
        <v>2505</v>
      </c>
    </row>
    <row r="818" spans="1:22" ht="14.25" customHeight="1" x14ac:dyDescent="0.3">
      <c r="A818" s="1" t="s">
        <v>357</v>
      </c>
      <c r="B818" s="1" t="s">
        <v>1635</v>
      </c>
      <c r="C818" s="1" t="s">
        <v>1636</v>
      </c>
      <c r="D818" s="1">
        <f t="shared" si="154"/>
        <v>72</v>
      </c>
      <c r="E818" s="1">
        <f t="shared" si="155"/>
        <v>0.33981481481481479</v>
      </c>
      <c r="F818" s="2">
        <f t="shared" si="156"/>
        <v>449.53449251553661</v>
      </c>
      <c r="G818" s="1">
        <v>2080</v>
      </c>
      <c r="H818" s="1">
        <v>3744</v>
      </c>
      <c r="I818" s="1">
        <v>0</v>
      </c>
      <c r="J818" s="1">
        <v>474</v>
      </c>
      <c r="K818" s="1">
        <f t="shared" si="166"/>
        <v>0</v>
      </c>
      <c r="L818" s="1">
        <f t="shared" si="157"/>
        <v>4.1361057692307686</v>
      </c>
      <c r="M818" s="1">
        <f t="shared" si="158"/>
        <v>4.1361057692307686</v>
      </c>
      <c r="N818" s="2">
        <f t="shared" si="165"/>
        <v>4.0617916797433491</v>
      </c>
      <c r="O818" s="1">
        <v>1038</v>
      </c>
      <c r="P818" s="1">
        <f t="shared" si="159"/>
        <v>834</v>
      </c>
      <c r="Q818" s="1">
        <f t="shared" si="160"/>
        <v>1.5795443974696184</v>
      </c>
      <c r="R818" s="1">
        <f t="shared" si="161"/>
        <v>0.70370727964191337</v>
      </c>
      <c r="S818" s="2">
        <f t="shared" si="162"/>
        <v>9.8289541433878771</v>
      </c>
      <c r="T818" s="2">
        <f t="shared" si="163"/>
        <v>0.1715476118296573</v>
      </c>
      <c r="U818" s="1" t="s">
        <v>2507</v>
      </c>
      <c r="V818" s="6" t="s">
        <v>2505</v>
      </c>
    </row>
    <row r="819" spans="1:22" ht="14.25" customHeight="1" x14ac:dyDescent="0.3">
      <c r="A819" s="1" t="s">
        <v>14</v>
      </c>
      <c r="B819" s="1" t="s">
        <v>1637</v>
      </c>
      <c r="C819" s="1" t="s">
        <v>1638</v>
      </c>
      <c r="D819" s="1">
        <f t="shared" si="154"/>
        <v>19</v>
      </c>
      <c r="E819" s="1">
        <f t="shared" si="155"/>
        <v>2.34375E-2</v>
      </c>
      <c r="F819" s="2">
        <f t="shared" si="156"/>
        <v>114.53781393904916</v>
      </c>
      <c r="G819" s="1">
        <v>2080</v>
      </c>
      <c r="H819" s="1">
        <v>3744</v>
      </c>
      <c r="I819" s="1">
        <v>0</v>
      </c>
      <c r="J819" s="1">
        <v>128</v>
      </c>
      <c r="K819" s="1">
        <f t="shared" si="166"/>
        <v>0</v>
      </c>
      <c r="L819" s="1">
        <f t="shared" si="157"/>
        <v>1.1169230769230769</v>
      </c>
      <c r="M819" s="1">
        <f t="shared" si="158"/>
        <v>1.1169230769230769</v>
      </c>
      <c r="N819" s="2">
        <f t="shared" si="165"/>
        <v>15.041322314049587</v>
      </c>
      <c r="O819" s="1">
        <v>1037</v>
      </c>
      <c r="P819" s="1">
        <f t="shared" si="159"/>
        <v>835</v>
      </c>
      <c r="Q819" s="1">
        <f t="shared" si="160"/>
        <v>5.8492503468796793</v>
      </c>
      <c r="R819" s="1">
        <f t="shared" si="161"/>
        <v>2.609040619468233</v>
      </c>
      <c r="S819" s="2">
        <f t="shared" si="162"/>
        <v>9.8405091964882061</v>
      </c>
      <c r="T819" s="2">
        <f t="shared" si="163"/>
        <v>0.17174928555150082</v>
      </c>
      <c r="U819" s="1" t="s">
        <v>2507</v>
      </c>
      <c r="V819" s="6" t="s">
        <v>2505</v>
      </c>
    </row>
    <row r="820" spans="1:22" ht="14.25" customHeight="1" x14ac:dyDescent="0.3">
      <c r="A820" s="1" t="s">
        <v>40</v>
      </c>
      <c r="B820" s="1" t="s">
        <v>1639</v>
      </c>
      <c r="C820" s="1" t="s">
        <v>1640</v>
      </c>
      <c r="D820" s="1">
        <f t="shared" si="154"/>
        <v>30</v>
      </c>
      <c r="E820" s="1">
        <f t="shared" si="155"/>
        <v>2.6770833333333331E-2</v>
      </c>
      <c r="F820" s="2">
        <f t="shared" si="156"/>
        <v>183.67379626904852</v>
      </c>
      <c r="G820" s="1">
        <v>2080</v>
      </c>
      <c r="H820" s="1">
        <v>3744</v>
      </c>
      <c r="I820" s="1">
        <v>0</v>
      </c>
      <c r="J820" s="1">
        <v>232</v>
      </c>
      <c r="K820" s="1">
        <f t="shared" si="166"/>
        <v>0</v>
      </c>
      <c r="L820" s="1">
        <f t="shared" si="157"/>
        <v>2.0244230769230764</v>
      </c>
      <c r="M820" s="1">
        <f t="shared" si="158"/>
        <v>2.0244230769230764</v>
      </c>
      <c r="N820" s="2">
        <f t="shared" si="165"/>
        <v>8.2986605870618426</v>
      </c>
      <c r="O820" s="1">
        <v>1037</v>
      </c>
      <c r="P820" s="1">
        <f t="shared" si="159"/>
        <v>835</v>
      </c>
      <c r="Q820" s="1">
        <f t="shared" si="160"/>
        <v>3.2271726051749958</v>
      </c>
      <c r="R820" s="1">
        <f t="shared" si="161"/>
        <v>1.4394706866031632</v>
      </c>
      <c r="S820" s="2">
        <f t="shared" si="162"/>
        <v>9.8405091964882061</v>
      </c>
      <c r="T820" s="2">
        <f t="shared" si="163"/>
        <v>0.17174928555150082</v>
      </c>
      <c r="U820" s="1" t="s">
        <v>2507</v>
      </c>
      <c r="V820" s="6" t="s">
        <v>2505</v>
      </c>
    </row>
    <row r="821" spans="1:22" ht="14.25" customHeight="1" x14ac:dyDescent="0.3">
      <c r="A821" s="1" t="s">
        <v>40</v>
      </c>
      <c r="B821" s="1" t="s">
        <v>1641</v>
      </c>
      <c r="C821" s="1" t="s">
        <v>1642</v>
      </c>
      <c r="D821" s="1">
        <f t="shared" si="154"/>
        <v>75</v>
      </c>
      <c r="E821" s="1">
        <f t="shared" si="155"/>
        <v>0.84045138888888893</v>
      </c>
      <c r="F821" s="2">
        <f t="shared" si="156"/>
        <v>471.52964080353433</v>
      </c>
      <c r="G821" s="1">
        <v>2080</v>
      </c>
      <c r="H821" s="1">
        <v>3744</v>
      </c>
      <c r="I821" s="1">
        <v>0</v>
      </c>
      <c r="J821" s="1">
        <v>108</v>
      </c>
      <c r="K821" s="1">
        <f t="shared" si="166"/>
        <v>0</v>
      </c>
      <c r="L821" s="1">
        <f t="shared" si="157"/>
        <v>0.94240384615384609</v>
      </c>
      <c r="M821" s="1">
        <f t="shared" si="158"/>
        <v>0.94240384615384609</v>
      </c>
      <c r="N821" s="2">
        <f t="shared" si="165"/>
        <v>17.826752372206919</v>
      </c>
      <c r="O821" s="1">
        <v>1036</v>
      </c>
      <c r="P821" s="1">
        <f t="shared" si="159"/>
        <v>836</v>
      </c>
      <c r="Q821" s="1">
        <f t="shared" si="160"/>
        <v>6.9324448555611013</v>
      </c>
      <c r="R821" s="1">
        <f t="shared" si="161"/>
        <v>3.0958995188296372</v>
      </c>
      <c r="S821" s="2">
        <f t="shared" si="162"/>
        <v>9.8520634412083012</v>
      </c>
      <c r="T821" s="2">
        <f t="shared" si="163"/>
        <v>0.17195094516444764</v>
      </c>
      <c r="U821" s="1" t="s">
        <v>2507</v>
      </c>
      <c r="V821" s="6" t="s">
        <v>2505</v>
      </c>
    </row>
    <row r="822" spans="1:22" ht="14.25" customHeight="1" x14ac:dyDescent="0.3">
      <c r="A822" s="1" t="s">
        <v>40</v>
      </c>
      <c r="B822" s="1" t="s">
        <v>1643</v>
      </c>
      <c r="C822" s="1" t="s">
        <v>1644</v>
      </c>
      <c r="D822" s="1">
        <f t="shared" si="154"/>
        <v>59</v>
      </c>
      <c r="E822" s="1">
        <f t="shared" si="155"/>
        <v>0.11396990740740741</v>
      </c>
      <c r="F822" s="2">
        <f t="shared" si="156"/>
        <v>366.43405811827847</v>
      </c>
      <c r="G822" s="1">
        <v>2080</v>
      </c>
      <c r="H822" s="1">
        <v>3744</v>
      </c>
      <c r="I822" s="1">
        <v>0</v>
      </c>
      <c r="J822" s="1">
        <v>136</v>
      </c>
      <c r="K822" s="1">
        <f t="shared" si="166"/>
        <v>0</v>
      </c>
      <c r="L822" s="1">
        <f t="shared" si="157"/>
        <v>1.1867307692307691</v>
      </c>
      <c r="M822" s="1">
        <f t="shared" si="158"/>
        <v>1.1867307692307691</v>
      </c>
      <c r="N822" s="2">
        <f t="shared" si="165"/>
        <v>14.156538648517261</v>
      </c>
      <c r="O822" s="1">
        <v>1035</v>
      </c>
      <c r="P822" s="1">
        <f t="shared" si="159"/>
        <v>837</v>
      </c>
      <c r="Q822" s="1">
        <f t="shared" si="160"/>
        <v>5.5051767970632284</v>
      </c>
      <c r="R822" s="1">
        <f t="shared" si="161"/>
        <v>2.4614492409946167</v>
      </c>
      <c r="S822" s="2">
        <f t="shared" si="162"/>
        <v>9.8636168766933423</v>
      </c>
      <c r="T822" s="2">
        <f t="shared" si="163"/>
        <v>0.17215259065357835</v>
      </c>
      <c r="U822" s="1" t="s">
        <v>2507</v>
      </c>
      <c r="V822" s="6" t="s">
        <v>2505</v>
      </c>
    </row>
    <row r="823" spans="1:22" ht="14.25" customHeight="1" x14ac:dyDescent="0.3">
      <c r="A823" s="1" t="s">
        <v>40</v>
      </c>
      <c r="B823" s="1" t="s">
        <v>1645</v>
      </c>
      <c r="C823" s="1" t="s">
        <v>1646</v>
      </c>
      <c r="D823" s="1">
        <f t="shared" si="154"/>
        <v>59</v>
      </c>
      <c r="E823" s="1">
        <f t="shared" si="155"/>
        <v>0.11399305555555556</v>
      </c>
      <c r="F823" s="2">
        <f t="shared" si="156"/>
        <v>366.43420356238278</v>
      </c>
      <c r="G823" s="1">
        <v>2080</v>
      </c>
      <c r="H823" s="1">
        <v>3744</v>
      </c>
      <c r="I823" s="1">
        <v>0</v>
      </c>
      <c r="J823" s="1">
        <v>152</v>
      </c>
      <c r="K823" s="1">
        <f t="shared" si="166"/>
        <v>0</v>
      </c>
      <c r="L823" s="1">
        <f t="shared" si="157"/>
        <v>1.3263461538461536</v>
      </c>
      <c r="M823" s="1">
        <f t="shared" si="158"/>
        <v>1.3263461538461536</v>
      </c>
      <c r="N823" s="2">
        <f t="shared" si="165"/>
        <v>12.666376685515445</v>
      </c>
      <c r="O823" s="1">
        <v>1034</v>
      </c>
      <c r="P823" s="1">
        <f t="shared" si="159"/>
        <v>838</v>
      </c>
      <c r="Q823" s="1">
        <f t="shared" si="160"/>
        <v>4.9256845026355203</v>
      </c>
      <c r="R823" s="1">
        <f t="shared" si="161"/>
        <v>2.2049805626114134</v>
      </c>
      <c r="S823" s="2">
        <f t="shared" si="162"/>
        <v>9.8751695020888892</v>
      </c>
      <c r="T823" s="2">
        <f t="shared" si="163"/>
        <v>0.17235422200398018</v>
      </c>
      <c r="U823" s="1" t="s">
        <v>2507</v>
      </c>
      <c r="V823" s="6" t="s">
        <v>2505</v>
      </c>
    </row>
    <row r="824" spans="1:22" ht="14.25" customHeight="1" x14ac:dyDescent="0.3">
      <c r="A824" s="1" t="s">
        <v>17</v>
      </c>
      <c r="B824" s="1" t="s">
        <v>1647</v>
      </c>
      <c r="C824" s="1" t="s">
        <v>1648</v>
      </c>
      <c r="D824" s="1">
        <f t="shared" si="154"/>
        <v>78</v>
      </c>
      <c r="E824" s="1">
        <f t="shared" si="155"/>
        <v>7.8773148148148148E-2</v>
      </c>
      <c r="F824" s="2">
        <f t="shared" si="156"/>
        <v>485.59343119405247</v>
      </c>
      <c r="G824" s="1">
        <v>2080</v>
      </c>
      <c r="H824" s="1">
        <v>3744</v>
      </c>
      <c r="I824" s="1">
        <v>0</v>
      </c>
      <c r="J824" s="1">
        <v>257</v>
      </c>
      <c r="K824" s="1">
        <f t="shared" si="166"/>
        <v>0</v>
      </c>
      <c r="L824" s="1">
        <f t="shared" si="157"/>
        <v>2.2425721153846152</v>
      </c>
      <c r="M824" s="1">
        <f t="shared" si="158"/>
        <v>2.2425721153846152</v>
      </c>
      <c r="N824" s="2">
        <f t="shared" si="165"/>
        <v>7.4913978840402624</v>
      </c>
      <c r="O824" s="1">
        <v>1034</v>
      </c>
      <c r="P824" s="1">
        <f t="shared" si="159"/>
        <v>838</v>
      </c>
      <c r="Q824" s="1">
        <f t="shared" si="160"/>
        <v>2.9132453089517472</v>
      </c>
      <c r="R824" s="1">
        <f t="shared" si="161"/>
        <v>1.3041130175756219</v>
      </c>
      <c r="S824" s="2">
        <f t="shared" si="162"/>
        <v>9.8751695020888892</v>
      </c>
      <c r="T824" s="2">
        <f t="shared" si="163"/>
        <v>0.17235422200398018</v>
      </c>
      <c r="U824" s="1" t="s">
        <v>2507</v>
      </c>
      <c r="V824" s="6" t="s">
        <v>2505</v>
      </c>
    </row>
    <row r="825" spans="1:22" ht="14.25" customHeight="1" x14ac:dyDescent="0.3">
      <c r="A825" s="1" t="s">
        <v>17</v>
      </c>
      <c r="B825" s="1" t="s">
        <v>1649</v>
      </c>
      <c r="C825" s="1" t="s">
        <v>1650</v>
      </c>
      <c r="D825" s="1">
        <f t="shared" si="154"/>
        <v>16</v>
      </c>
      <c r="E825" s="1">
        <f t="shared" si="155"/>
        <v>0.25976851851851851</v>
      </c>
      <c r="F825" s="2">
        <f t="shared" si="156"/>
        <v>97.173169600696752</v>
      </c>
      <c r="G825" s="1">
        <v>2080</v>
      </c>
      <c r="H825" s="1">
        <v>3744</v>
      </c>
      <c r="I825" s="1">
        <v>0</v>
      </c>
      <c r="J825" s="1">
        <v>201</v>
      </c>
      <c r="K825" s="1">
        <f t="shared" si="166"/>
        <v>0</v>
      </c>
      <c r="L825" s="1">
        <f t="shared" si="157"/>
        <v>1.7539182692307691</v>
      </c>
      <c r="M825" s="1">
        <f t="shared" si="158"/>
        <v>1.7539182692307691</v>
      </c>
      <c r="N825" s="2">
        <f t="shared" si="165"/>
        <v>9.5785535134246143</v>
      </c>
      <c r="O825" s="1">
        <v>1033</v>
      </c>
      <c r="P825" s="1">
        <f t="shared" si="159"/>
        <v>839</v>
      </c>
      <c r="Q825" s="1">
        <f t="shared" si="160"/>
        <v>3.7248957432865626</v>
      </c>
      <c r="R825" s="1">
        <f t="shared" si="161"/>
        <v>1.6694377823811037</v>
      </c>
      <c r="S825" s="2">
        <f t="shared" si="162"/>
        <v>9.8867213165408998</v>
      </c>
      <c r="T825" s="2">
        <f t="shared" si="163"/>
        <v>0.17255583920074721</v>
      </c>
      <c r="U825" s="1" t="s">
        <v>2507</v>
      </c>
      <c r="V825" s="6" t="s">
        <v>2505</v>
      </c>
    </row>
    <row r="826" spans="1:22" ht="14.25" customHeight="1" x14ac:dyDescent="0.3">
      <c r="A826" s="1" t="s">
        <v>27</v>
      </c>
      <c r="B826" s="1" t="s">
        <v>1651</v>
      </c>
      <c r="C826" s="1" t="s">
        <v>1652</v>
      </c>
      <c r="D826" s="1">
        <f t="shared" si="154"/>
        <v>24</v>
      </c>
      <c r="E826" s="1">
        <f t="shared" si="155"/>
        <v>0.2354050925925926</v>
      </c>
      <c r="F826" s="2">
        <f t="shared" si="156"/>
        <v>147.28557213832309</v>
      </c>
      <c r="G826" s="1">
        <v>2080</v>
      </c>
      <c r="H826" s="1">
        <v>3744</v>
      </c>
      <c r="I826" s="1">
        <v>0</v>
      </c>
      <c r="J826" s="1">
        <v>203</v>
      </c>
      <c r="K826" s="1">
        <f t="shared" si="166"/>
        <v>0</v>
      </c>
      <c r="L826" s="1">
        <f t="shared" si="157"/>
        <v>1.7713701923076923</v>
      </c>
      <c r="M826" s="1">
        <f t="shared" si="158"/>
        <v>1.7713701923076923</v>
      </c>
      <c r="N826" s="2">
        <f t="shared" si="165"/>
        <v>9.484183528070675</v>
      </c>
      <c r="O826" s="1">
        <v>1033</v>
      </c>
      <c r="P826" s="1">
        <f t="shared" si="159"/>
        <v>839</v>
      </c>
      <c r="Q826" s="1">
        <f t="shared" si="160"/>
        <v>3.6881972630571376</v>
      </c>
      <c r="R826" s="1">
        <f t="shared" si="161"/>
        <v>1.6529901195005015</v>
      </c>
      <c r="S826" s="2">
        <f t="shared" si="162"/>
        <v>9.8867213165408998</v>
      </c>
      <c r="T826" s="2">
        <f t="shared" si="163"/>
        <v>0.17255583920074721</v>
      </c>
      <c r="U826" s="1" t="s">
        <v>2507</v>
      </c>
      <c r="V826" s="6" t="s">
        <v>2505</v>
      </c>
    </row>
    <row r="827" spans="1:22" ht="14.25" customHeight="1" x14ac:dyDescent="0.3">
      <c r="A827" s="1" t="s">
        <v>450</v>
      </c>
      <c r="B827" s="1" t="s">
        <v>1653</v>
      </c>
      <c r="C827" s="1" t="s">
        <v>1654</v>
      </c>
      <c r="D827" s="1">
        <f t="shared" si="154"/>
        <v>63</v>
      </c>
      <c r="E827" s="1">
        <f t="shared" si="155"/>
        <v>0.27635416666666668</v>
      </c>
      <c r="F827" s="2">
        <f t="shared" si="156"/>
        <v>392.58708973889179</v>
      </c>
      <c r="G827" s="1">
        <v>2080</v>
      </c>
      <c r="H827" s="1">
        <v>3744</v>
      </c>
      <c r="I827" s="1">
        <v>0</v>
      </c>
      <c r="J827" s="1">
        <v>360</v>
      </c>
      <c r="K827" s="1">
        <f t="shared" si="166"/>
        <v>0</v>
      </c>
      <c r="L827" s="1">
        <f t="shared" si="157"/>
        <v>3.1413461538461536</v>
      </c>
      <c r="M827" s="1">
        <f t="shared" si="158"/>
        <v>3.1413461538461536</v>
      </c>
      <c r="N827" s="2">
        <f t="shared" si="165"/>
        <v>5.3480257116620757</v>
      </c>
      <c r="O827" s="1">
        <v>1033</v>
      </c>
      <c r="P827" s="1">
        <f t="shared" si="159"/>
        <v>839</v>
      </c>
      <c r="Q827" s="1">
        <f t="shared" si="160"/>
        <v>2.0797334566683303</v>
      </c>
      <c r="R827" s="1">
        <f t="shared" si="161"/>
        <v>0.9321027618294494</v>
      </c>
      <c r="S827" s="2">
        <f t="shared" si="162"/>
        <v>9.8867213165408998</v>
      </c>
      <c r="T827" s="2">
        <f t="shared" si="163"/>
        <v>0.17255583920074721</v>
      </c>
      <c r="U827" s="1" t="s">
        <v>2507</v>
      </c>
      <c r="V827" s="6" t="s">
        <v>2505</v>
      </c>
    </row>
    <row r="828" spans="1:22" ht="14.25" customHeight="1" x14ac:dyDescent="0.3">
      <c r="A828" s="1" t="s">
        <v>30</v>
      </c>
      <c r="B828" s="1" t="s">
        <v>1655</v>
      </c>
      <c r="C828" s="1" t="s">
        <v>1656</v>
      </c>
      <c r="D828" s="1">
        <f t="shared" si="154"/>
        <v>85</v>
      </c>
      <c r="E828" s="1">
        <f t="shared" si="155"/>
        <v>1.1481481481481483E-2</v>
      </c>
      <c r="F828" s="2">
        <f t="shared" si="156"/>
        <v>529.15292233301398</v>
      </c>
      <c r="G828" s="1">
        <v>2080</v>
      </c>
      <c r="H828" s="1">
        <v>3744</v>
      </c>
      <c r="I828" s="1">
        <v>0</v>
      </c>
      <c r="J828" s="1">
        <v>155</v>
      </c>
      <c r="K828" s="1">
        <f t="shared" si="166"/>
        <v>0</v>
      </c>
      <c r="L828" s="1">
        <f t="shared" si="157"/>
        <v>1.3525240384615385</v>
      </c>
      <c r="M828" s="1">
        <f t="shared" si="158"/>
        <v>1.3525240384615385</v>
      </c>
      <c r="N828" s="2">
        <f t="shared" si="165"/>
        <v>12.421221007731273</v>
      </c>
      <c r="O828" s="1">
        <v>1030</v>
      </c>
      <c r="P828" s="1">
        <f t="shared" si="159"/>
        <v>842</v>
      </c>
      <c r="Q828" s="1">
        <f t="shared" si="160"/>
        <v>4.8303486735522512</v>
      </c>
      <c r="R828" s="1">
        <f t="shared" si="161"/>
        <v>2.1726247773135658</v>
      </c>
      <c r="S828" s="2">
        <f t="shared" si="162"/>
        <v>9.9213718857009194</v>
      </c>
      <c r="T828" s="2">
        <f t="shared" si="163"/>
        <v>0.17316060572027955</v>
      </c>
      <c r="U828" s="1" t="s">
        <v>2507</v>
      </c>
      <c r="V828" s="6" t="s">
        <v>2505</v>
      </c>
    </row>
    <row r="829" spans="1:22" ht="14.25" customHeight="1" x14ac:dyDescent="0.3">
      <c r="A829" s="1" t="s">
        <v>40</v>
      </c>
      <c r="B829" s="1" t="s">
        <v>1657</v>
      </c>
      <c r="C829" s="1" t="s">
        <v>1658</v>
      </c>
      <c r="D829" s="1">
        <f t="shared" si="154"/>
        <v>56</v>
      </c>
      <c r="E829" s="1">
        <f t="shared" si="155"/>
        <v>7.5057870370370372E-2</v>
      </c>
      <c r="F829" s="2">
        <f t="shared" si="156"/>
        <v>347.34001065735617</v>
      </c>
      <c r="G829" s="1">
        <v>2080</v>
      </c>
      <c r="H829" s="1">
        <v>3744</v>
      </c>
      <c r="I829" s="1">
        <v>0</v>
      </c>
      <c r="J829" s="1">
        <v>226</v>
      </c>
      <c r="K829" s="1">
        <f t="shared" si="166"/>
        <v>0</v>
      </c>
      <c r="L829" s="1">
        <f t="shared" si="157"/>
        <v>1.9720673076923074</v>
      </c>
      <c r="M829" s="1">
        <f t="shared" si="158"/>
        <v>1.9720673076923074</v>
      </c>
      <c r="N829" s="2">
        <f t="shared" si="165"/>
        <v>8.5189790097272002</v>
      </c>
      <c r="O829" s="1">
        <v>1027</v>
      </c>
      <c r="P829" s="1">
        <f t="shared" si="159"/>
        <v>845</v>
      </c>
      <c r="Q829" s="1">
        <f t="shared" si="160"/>
        <v>3.3128497539849513</v>
      </c>
      <c r="R829" s="1">
        <f t="shared" si="161"/>
        <v>1.4953835695070961</v>
      </c>
      <c r="S829" s="2">
        <f t="shared" si="162"/>
        <v>9.9560151256600804</v>
      </c>
      <c r="T829" s="2">
        <f t="shared" si="163"/>
        <v>0.17376524432112539</v>
      </c>
      <c r="U829" s="1" t="s">
        <v>2507</v>
      </c>
      <c r="V829" s="6" t="s">
        <v>2505</v>
      </c>
    </row>
    <row r="830" spans="1:22" ht="14.25" customHeight="1" x14ac:dyDescent="0.3">
      <c r="A830" s="1" t="s">
        <v>27</v>
      </c>
      <c r="B830" s="1" t="s">
        <v>1659</v>
      </c>
      <c r="C830" s="1" t="s">
        <v>1660</v>
      </c>
      <c r="D830" s="1">
        <f t="shared" si="154"/>
        <v>84</v>
      </c>
      <c r="E830" s="1">
        <f t="shared" si="155"/>
        <v>0.30681712962962965</v>
      </c>
      <c r="F830" s="2">
        <f t="shared" si="156"/>
        <v>524.72538563096521</v>
      </c>
      <c r="G830" s="1">
        <v>2080</v>
      </c>
      <c r="H830" s="1">
        <v>3744</v>
      </c>
      <c r="I830" s="1">
        <v>0</v>
      </c>
      <c r="J830" s="1">
        <v>124</v>
      </c>
      <c r="K830" s="1">
        <f t="shared" si="166"/>
        <v>0</v>
      </c>
      <c r="L830" s="1">
        <f t="shared" si="157"/>
        <v>1.0820192307692307</v>
      </c>
      <c r="M830" s="1">
        <f t="shared" si="158"/>
        <v>1.0820192307692307</v>
      </c>
      <c r="N830" s="2">
        <f t="shared" si="165"/>
        <v>15.526526259664092</v>
      </c>
      <c r="O830" s="1">
        <v>1027</v>
      </c>
      <c r="P830" s="1">
        <f t="shared" si="159"/>
        <v>845</v>
      </c>
      <c r="Q830" s="1">
        <f t="shared" si="160"/>
        <v>6.0379358419403149</v>
      </c>
      <c r="R830" s="1">
        <f t="shared" si="161"/>
        <v>2.7254571508758367</v>
      </c>
      <c r="S830" s="2">
        <f t="shared" si="162"/>
        <v>9.9560151256600822</v>
      </c>
      <c r="T830" s="2">
        <f t="shared" si="163"/>
        <v>0.17376524432112542</v>
      </c>
      <c r="U830" s="1" t="s">
        <v>2507</v>
      </c>
      <c r="V830" s="6" t="s">
        <v>2505</v>
      </c>
    </row>
    <row r="831" spans="1:22" ht="14.25" customHeight="1" x14ac:dyDescent="0.3">
      <c r="A831" s="1" t="s">
        <v>40</v>
      </c>
      <c r="B831" s="1" t="s">
        <v>1661</v>
      </c>
      <c r="C831" s="1" t="s">
        <v>1662</v>
      </c>
      <c r="D831" s="1">
        <f t="shared" si="154"/>
        <v>78</v>
      </c>
      <c r="E831" s="1">
        <f t="shared" si="155"/>
        <v>0.14535879629629631</v>
      </c>
      <c r="F831" s="2">
        <f t="shared" si="156"/>
        <v>486.01180116016593</v>
      </c>
      <c r="G831" s="1">
        <v>2080</v>
      </c>
      <c r="H831" s="1">
        <v>3744</v>
      </c>
      <c r="I831" s="1">
        <v>0</v>
      </c>
      <c r="J831" s="1">
        <v>128</v>
      </c>
      <c r="K831" s="1">
        <f t="shared" si="166"/>
        <v>0</v>
      </c>
      <c r="L831" s="1">
        <f t="shared" si="157"/>
        <v>1.1169230769230769</v>
      </c>
      <c r="M831" s="1">
        <f t="shared" si="158"/>
        <v>1.1169230769230769</v>
      </c>
      <c r="N831" s="2">
        <f t="shared" si="165"/>
        <v>15.041322314049587</v>
      </c>
      <c r="O831" s="1">
        <v>1026</v>
      </c>
      <c r="P831" s="1">
        <f t="shared" si="159"/>
        <v>846</v>
      </c>
      <c r="Q831" s="1">
        <f t="shared" si="160"/>
        <v>5.8492503468796793</v>
      </c>
      <c r="R831" s="1">
        <f t="shared" si="161"/>
        <v>2.6434112144552397</v>
      </c>
      <c r="S831" s="2">
        <f t="shared" si="162"/>
        <v>9.9675612396261233</v>
      </c>
      <c r="T831" s="2">
        <f t="shared" si="163"/>
        <v>0.17396676202564335</v>
      </c>
      <c r="U831" s="1" t="s">
        <v>2507</v>
      </c>
      <c r="V831" s="6" t="s">
        <v>2505</v>
      </c>
    </row>
    <row r="832" spans="1:22" ht="14.25" customHeight="1" x14ac:dyDescent="0.3">
      <c r="A832" s="1" t="s">
        <v>40</v>
      </c>
      <c r="B832" s="1" t="s">
        <v>1663</v>
      </c>
      <c r="C832" s="1" t="s">
        <v>1664</v>
      </c>
      <c r="D832" s="1">
        <f t="shared" si="154"/>
        <v>29</v>
      </c>
      <c r="E832" s="1">
        <f t="shared" si="155"/>
        <v>9.5358796296296289E-2</v>
      </c>
      <c r="F832" s="2">
        <f t="shared" si="156"/>
        <v>177.8215618430072</v>
      </c>
      <c r="G832" s="1">
        <v>2080</v>
      </c>
      <c r="H832" s="1">
        <v>3744</v>
      </c>
      <c r="I832" s="1">
        <v>0</v>
      </c>
      <c r="J832" s="1">
        <v>64</v>
      </c>
      <c r="K832" s="1">
        <f t="shared" si="166"/>
        <v>0</v>
      </c>
      <c r="L832" s="1">
        <f t="shared" si="157"/>
        <v>0.55846153846153845</v>
      </c>
      <c r="M832" s="1">
        <f t="shared" si="158"/>
        <v>0.55846153846153845</v>
      </c>
      <c r="N832" s="2">
        <f t="shared" si="165"/>
        <v>30.082644628099175</v>
      </c>
      <c r="O832" s="1">
        <v>1023</v>
      </c>
      <c r="P832" s="1">
        <f t="shared" si="159"/>
        <v>849</v>
      </c>
      <c r="Q832" s="1">
        <f t="shared" si="160"/>
        <v>11.698500693759359</v>
      </c>
      <c r="R832" s="1">
        <f t="shared" si="161"/>
        <v>5.3055700261761194</v>
      </c>
      <c r="S832" s="2">
        <f t="shared" si="162"/>
        <v>10.002194671549598</v>
      </c>
      <c r="T832" s="2">
        <f t="shared" si="163"/>
        <v>0.17457122944397327</v>
      </c>
      <c r="U832" s="1" t="s">
        <v>2507</v>
      </c>
      <c r="V832" s="6" t="s">
        <v>2505</v>
      </c>
    </row>
    <row r="833" spans="1:22" ht="14.25" customHeight="1" x14ac:dyDescent="0.3">
      <c r="A833" s="1" t="s">
        <v>27</v>
      </c>
      <c r="B833" s="1" t="s">
        <v>1665</v>
      </c>
      <c r="C833" s="1" t="s">
        <v>1666</v>
      </c>
      <c r="D833" s="1">
        <f t="shared" si="154"/>
        <v>93</v>
      </c>
      <c r="E833" s="1">
        <f t="shared" si="155"/>
        <v>6.582175925925926E-2</v>
      </c>
      <c r="F833" s="2">
        <f t="shared" si="156"/>
        <v>579.75983482537208</v>
      </c>
      <c r="G833" s="1">
        <v>2080</v>
      </c>
      <c r="H833" s="1">
        <v>3744</v>
      </c>
      <c r="I833" s="1">
        <v>0</v>
      </c>
      <c r="J833" s="1">
        <v>181</v>
      </c>
      <c r="K833" s="1">
        <f t="shared" si="166"/>
        <v>0</v>
      </c>
      <c r="L833" s="1">
        <f t="shared" si="157"/>
        <v>1.5793990384615384</v>
      </c>
      <c r="M833" s="1">
        <f t="shared" si="158"/>
        <v>1.5793990384615384</v>
      </c>
      <c r="N833" s="2">
        <f t="shared" si="165"/>
        <v>10.636957216565454</v>
      </c>
      <c r="O833" s="1">
        <v>1023</v>
      </c>
      <c r="P833" s="1">
        <f t="shared" si="159"/>
        <v>849</v>
      </c>
      <c r="Q833" s="1">
        <f t="shared" si="160"/>
        <v>4.1364864331524807</v>
      </c>
      <c r="R833" s="1">
        <f t="shared" si="161"/>
        <v>1.8760026611893461</v>
      </c>
      <c r="S833" s="2">
        <f t="shared" si="162"/>
        <v>10.002194671549598</v>
      </c>
      <c r="T833" s="2">
        <f t="shared" si="163"/>
        <v>0.17457122944397327</v>
      </c>
      <c r="U833" s="1" t="s">
        <v>2507</v>
      </c>
      <c r="V833" s="6" t="s">
        <v>2505</v>
      </c>
    </row>
    <row r="834" spans="1:22" ht="14.25" customHeight="1" x14ac:dyDescent="0.3">
      <c r="A834" s="1" t="s">
        <v>27</v>
      </c>
      <c r="B834" s="1" t="s">
        <v>1667</v>
      </c>
      <c r="C834" s="1" t="s">
        <v>1668</v>
      </c>
      <c r="D834" s="1">
        <f t="shared" ref="D834:D897" si="167">(LEFT(C834,4)&amp;"-"&amp;MID(C834,6,2)&amp;"-"&amp;MID(C834,9,2))-(2019&amp;"-"&amp;5&amp;"-"&amp;28)</f>
        <v>70</v>
      </c>
      <c r="E834" s="1">
        <f t="shared" ref="E834:E897" si="168">TIMEVALUE(RIGHT(C834,8))</f>
        <v>0.18694444444444444</v>
      </c>
      <c r="F834" s="2">
        <f t="shared" ref="F834:F897" si="169">(D834+E834)*2*PI()-4.989969053</f>
        <v>436.00760903616327</v>
      </c>
      <c r="G834" s="1">
        <v>2080</v>
      </c>
      <c r="H834" s="1">
        <v>3744</v>
      </c>
      <c r="I834" s="1">
        <v>0</v>
      </c>
      <c r="J834" s="1">
        <v>157</v>
      </c>
      <c r="K834" s="1">
        <f t="shared" si="166"/>
        <v>0</v>
      </c>
      <c r="L834" s="1">
        <f t="shared" ref="L834:L897" si="170">(18.15*J834)/G834</f>
        <v>1.3699759615384615</v>
      </c>
      <c r="M834" s="1">
        <f t="shared" ref="M834:M897" si="171">SQRT(K834*K834+L834*L834)</f>
        <v>1.3699759615384615</v>
      </c>
      <c r="N834" s="2">
        <f t="shared" si="165"/>
        <v>12.262988892983104</v>
      </c>
      <c r="O834" s="1">
        <v>1022</v>
      </c>
      <c r="P834" s="1">
        <f t="shared" ref="P834:P897" si="172">H834/2-O834</f>
        <v>850</v>
      </c>
      <c r="Q834" s="1">
        <f t="shared" ref="Q834:Q897" si="173">TAN(RADIANS(21.25))*N834</f>
        <v>4.7688155694305667</v>
      </c>
      <c r="R834" s="1">
        <f t="shared" ref="R834:R897" si="174">Q834*(P834/(H834/2))</f>
        <v>2.1653275822734943</v>
      </c>
      <c r="S834" s="2">
        <f t="shared" ref="S834:S897" si="175">DEGREES(ATAN(R834/N834))</f>
        <v>10.013737509365198</v>
      </c>
      <c r="T834" s="2">
        <f t="shared" ref="T834:T897" si="176">RADIANS(S834)</f>
        <v>0.17477268996887921</v>
      </c>
      <c r="U834" s="1" t="s">
        <v>2507</v>
      </c>
      <c r="V834" s="6" t="s">
        <v>2505</v>
      </c>
    </row>
    <row r="835" spans="1:22" ht="14.25" customHeight="1" x14ac:dyDescent="0.3">
      <c r="A835" s="1" t="s">
        <v>40</v>
      </c>
      <c r="B835" s="1" t="s">
        <v>1669</v>
      </c>
      <c r="C835" s="1" t="s">
        <v>1670</v>
      </c>
      <c r="D835" s="1">
        <f t="shared" si="167"/>
        <v>75</v>
      </c>
      <c r="E835" s="1">
        <f t="shared" si="168"/>
        <v>0.83884259259259253</v>
      </c>
      <c r="F835" s="2">
        <f t="shared" si="169"/>
        <v>471.51953243828325</v>
      </c>
      <c r="G835" s="1">
        <v>2080</v>
      </c>
      <c r="H835" s="1">
        <v>3744</v>
      </c>
      <c r="I835" s="1">
        <v>0</v>
      </c>
      <c r="J835" s="1">
        <v>234</v>
      </c>
      <c r="K835" s="1">
        <f t="shared" si="166"/>
        <v>0</v>
      </c>
      <c r="L835" s="1">
        <f t="shared" si="170"/>
        <v>2.0418749999999997</v>
      </c>
      <c r="M835" s="1">
        <f t="shared" si="171"/>
        <v>2.0418749999999997</v>
      </c>
      <c r="N835" s="2">
        <f t="shared" si="165"/>
        <v>8.2277318640955013</v>
      </c>
      <c r="O835" s="1">
        <v>1022</v>
      </c>
      <c r="P835" s="1">
        <f t="shared" si="172"/>
        <v>850</v>
      </c>
      <c r="Q835" s="1">
        <f t="shared" si="173"/>
        <v>3.199589933335893</v>
      </c>
      <c r="R835" s="1">
        <f t="shared" si="174"/>
        <v>1.4528052581920454</v>
      </c>
      <c r="S835" s="2">
        <f t="shared" si="175"/>
        <v>10.0137375093652</v>
      </c>
      <c r="T835" s="2">
        <f t="shared" si="176"/>
        <v>0.17477268996887924</v>
      </c>
      <c r="U835" s="1" t="s">
        <v>2507</v>
      </c>
      <c r="V835" s="6" t="s">
        <v>2505</v>
      </c>
    </row>
    <row r="836" spans="1:22" ht="14.25" customHeight="1" x14ac:dyDescent="0.3">
      <c r="A836" s="1" t="s">
        <v>27</v>
      </c>
      <c r="B836" s="1" t="s">
        <v>1671</v>
      </c>
      <c r="C836" s="1" t="s">
        <v>1672</v>
      </c>
      <c r="D836" s="1">
        <f t="shared" si="167"/>
        <v>88</v>
      </c>
      <c r="E836" s="1">
        <f t="shared" si="168"/>
        <v>0.25165509259259261</v>
      </c>
      <c r="F836" s="2">
        <f t="shared" si="169"/>
        <v>549.51153355905831</v>
      </c>
      <c r="G836" s="1">
        <v>2080</v>
      </c>
      <c r="H836" s="1">
        <v>3744</v>
      </c>
      <c r="I836" s="1">
        <v>0</v>
      </c>
      <c r="J836" s="1">
        <v>113</v>
      </c>
      <c r="K836" s="1">
        <f t="shared" si="166"/>
        <v>0</v>
      </c>
      <c r="L836" s="1">
        <f t="shared" si="170"/>
        <v>0.98603365384615371</v>
      </c>
      <c r="M836" s="1">
        <f t="shared" si="171"/>
        <v>0.98603365384615371</v>
      </c>
      <c r="N836" s="2">
        <f t="shared" si="165"/>
        <v>17.0379580194544</v>
      </c>
      <c r="O836" s="1">
        <v>1021</v>
      </c>
      <c r="P836" s="1">
        <f t="shared" si="172"/>
        <v>851</v>
      </c>
      <c r="Q836" s="1">
        <f t="shared" si="173"/>
        <v>6.6256995079699026</v>
      </c>
      <c r="R836" s="1">
        <f t="shared" si="174"/>
        <v>3.0120033553858905</v>
      </c>
      <c r="S836" s="2">
        <f t="shared" si="175"/>
        <v>10.025279526018654</v>
      </c>
      <c r="T836" s="2">
        <f t="shared" si="176"/>
        <v>0.17497413616180205</v>
      </c>
      <c r="U836" s="1" t="s">
        <v>2507</v>
      </c>
      <c r="V836" s="6" t="s">
        <v>2505</v>
      </c>
    </row>
    <row r="837" spans="1:22" ht="14.25" customHeight="1" x14ac:dyDescent="0.3">
      <c r="A837" s="1" t="s">
        <v>40</v>
      </c>
      <c r="B837" s="1" t="s">
        <v>665</v>
      </c>
      <c r="C837" s="1" t="s">
        <v>666</v>
      </c>
      <c r="D837" s="1">
        <f t="shared" si="167"/>
        <v>10</v>
      </c>
      <c r="E837" s="1">
        <f t="shared" si="168"/>
        <v>0.2802546296296296</v>
      </c>
      <c r="F837" s="2">
        <f t="shared" si="169"/>
        <v>59.602775789953803</v>
      </c>
      <c r="G837" s="1">
        <v>2080</v>
      </c>
      <c r="H837" s="1">
        <v>3744</v>
      </c>
      <c r="I837" s="1">
        <v>0</v>
      </c>
      <c r="J837" s="1">
        <v>59</v>
      </c>
      <c r="K837" s="1">
        <f t="shared" si="166"/>
        <v>0</v>
      </c>
      <c r="L837" s="1">
        <f t="shared" si="170"/>
        <v>0.51483173076923072</v>
      </c>
      <c r="M837" s="1">
        <f t="shared" si="171"/>
        <v>0.51483173076923072</v>
      </c>
      <c r="N837" s="2">
        <f t="shared" si="165"/>
        <v>32.632021291497416</v>
      </c>
      <c r="O837" s="1">
        <v>1019</v>
      </c>
      <c r="P837" s="1">
        <f t="shared" si="172"/>
        <v>853</v>
      </c>
      <c r="Q837" s="1">
        <f t="shared" si="173"/>
        <v>12.689899057637273</v>
      </c>
      <c r="R837" s="1">
        <f t="shared" si="174"/>
        <v>5.782309773592198</v>
      </c>
      <c r="S837" s="2">
        <f t="shared" si="175"/>
        <v>10.048361092443361</v>
      </c>
      <c r="T837" s="2">
        <f t="shared" si="176"/>
        <v>0.17537698549243097</v>
      </c>
      <c r="U837" s="1" t="s">
        <v>2507</v>
      </c>
      <c r="V837" s="6" t="s">
        <v>2505</v>
      </c>
    </row>
    <row r="838" spans="1:22" ht="14.25" customHeight="1" x14ac:dyDescent="0.3">
      <c r="A838" s="1" t="s">
        <v>27</v>
      </c>
      <c r="B838" s="1" t="s">
        <v>1673</v>
      </c>
      <c r="C838" s="1" t="s">
        <v>1674</v>
      </c>
      <c r="D838" s="1">
        <f t="shared" si="167"/>
        <v>34</v>
      </c>
      <c r="E838" s="1">
        <f t="shared" si="168"/>
        <v>2.0960648148148148E-2</v>
      </c>
      <c r="F838" s="2">
        <f t="shared" si="169"/>
        <v>208.77003102757934</v>
      </c>
      <c r="G838" s="1">
        <v>2080</v>
      </c>
      <c r="H838" s="1">
        <v>3744</v>
      </c>
      <c r="I838" s="1">
        <v>0</v>
      </c>
      <c r="J838" s="1">
        <v>213</v>
      </c>
      <c r="K838" s="1">
        <f t="shared" si="166"/>
        <v>0</v>
      </c>
      <c r="L838" s="1">
        <f t="shared" si="170"/>
        <v>1.8586298076923076</v>
      </c>
      <c r="M838" s="1">
        <f t="shared" si="171"/>
        <v>1.8586298076923076</v>
      </c>
      <c r="N838" s="2">
        <f t="shared" ref="N838:N869" si="177">42*0.4/M838</f>
        <v>9.0389166957668881</v>
      </c>
      <c r="O838" s="1">
        <v>1017</v>
      </c>
      <c r="P838" s="1">
        <f t="shared" si="172"/>
        <v>855</v>
      </c>
      <c r="Q838" s="1">
        <f t="shared" si="173"/>
        <v>3.5150424619746428</v>
      </c>
      <c r="R838" s="1">
        <f t="shared" si="174"/>
        <v>1.6054280475364955</v>
      </c>
      <c r="S838" s="2">
        <f t="shared" si="175"/>
        <v>10.071439364036056</v>
      </c>
      <c r="T838" s="2">
        <f t="shared" si="176"/>
        <v>0.17577977731739297</v>
      </c>
      <c r="U838" s="1" t="s">
        <v>2507</v>
      </c>
      <c r="V838" s="6" t="s">
        <v>2505</v>
      </c>
    </row>
    <row r="839" spans="1:22" ht="14.25" customHeight="1" x14ac:dyDescent="0.3">
      <c r="A839" s="1" t="s">
        <v>82</v>
      </c>
      <c r="B839" s="1" t="s">
        <v>1675</v>
      </c>
      <c r="C839" s="1" t="s">
        <v>1676</v>
      </c>
      <c r="D839" s="1">
        <f t="shared" si="167"/>
        <v>36</v>
      </c>
      <c r="E839" s="1">
        <f t="shared" si="168"/>
        <v>0.75408564814814805</v>
      </c>
      <c r="F839" s="2">
        <f t="shared" si="169"/>
        <v>225.94276187026455</v>
      </c>
      <c r="G839" s="1">
        <v>2080</v>
      </c>
      <c r="H839" s="1">
        <v>3744</v>
      </c>
      <c r="I839" s="1">
        <v>0</v>
      </c>
      <c r="J839" s="1">
        <v>388</v>
      </c>
      <c r="K839" s="1">
        <f t="shared" si="166"/>
        <v>0</v>
      </c>
      <c r="L839" s="1">
        <f t="shared" si="170"/>
        <v>3.385673076923077</v>
      </c>
      <c r="M839" s="1">
        <f t="shared" si="171"/>
        <v>3.385673076923077</v>
      </c>
      <c r="N839" s="2">
        <f t="shared" si="177"/>
        <v>4.9620857118514099</v>
      </c>
      <c r="O839" s="1">
        <v>1017</v>
      </c>
      <c r="P839" s="1">
        <f t="shared" si="172"/>
        <v>855</v>
      </c>
      <c r="Q839" s="1">
        <f t="shared" si="173"/>
        <v>1.9296495989706157</v>
      </c>
      <c r="R839" s="1">
        <f t="shared" si="174"/>
        <v>0.88133034568369462</v>
      </c>
      <c r="S839" s="2">
        <f t="shared" si="175"/>
        <v>10.071439364036056</v>
      </c>
      <c r="T839" s="2">
        <f t="shared" si="176"/>
        <v>0.17577977731739297</v>
      </c>
      <c r="U839" s="1" t="s">
        <v>2507</v>
      </c>
      <c r="V839" s="6" t="s">
        <v>2505</v>
      </c>
    </row>
    <row r="840" spans="1:22" ht="14.25" customHeight="1" x14ac:dyDescent="0.3">
      <c r="A840" s="1" t="s">
        <v>40</v>
      </c>
      <c r="B840" s="1" t="s">
        <v>1677</v>
      </c>
      <c r="C840" s="1" t="s">
        <v>1678</v>
      </c>
      <c r="D840" s="1">
        <f t="shared" si="167"/>
        <v>30</v>
      </c>
      <c r="E840" s="1">
        <f t="shared" si="168"/>
        <v>2.6759259259259257E-2</v>
      </c>
      <c r="F840" s="2">
        <f t="shared" si="169"/>
        <v>183.67372354699634</v>
      </c>
      <c r="G840" s="1">
        <v>2080</v>
      </c>
      <c r="H840" s="1">
        <v>3744</v>
      </c>
      <c r="I840" s="1">
        <v>0</v>
      </c>
      <c r="J840" s="1">
        <v>225</v>
      </c>
      <c r="K840" s="1">
        <f t="shared" si="166"/>
        <v>0</v>
      </c>
      <c r="L840" s="1">
        <f t="shared" si="170"/>
        <v>1.963341346153846</v>
      </c>
      <c r="M840" s="1">
        <f t="shared" si="171"/>
        <v>1.963341346153846</v>
      </c>
      <c r="N840" s="2">
        <f t="shared" si="177"/>
        <v>8.5568411386593208</v>
      </c>
      <c r="O840" s="1">
        <v>1016</v>
      </c>
      <c r="P840" s="1">
        <f t="shared" si="172"/>
        <v>856</v>
      </c>
      <c r="Q840" s="1">
        <f t="shared" si="173"/>
        <v>3.3275735306693286</v>
      </c>
      <c r="R840" s="1">
        <f t="shared" si="174"/>
        <v>1.5215827682975134</v>
      </c>
      <c r="S840" s="2">
        <f t="shared" si="175"/>
        <v>10.082977262150949</v>
      </c>
      <c r="T840" s="2">
        <f t="shared" si="176"/>
        <v>0.1759811516282575</v>
      </c>
      <c r="U840" s="1" t="s">
        <v>2507</v>
      </c>
      <c r="V840" s="6" t="s">
        <v>2505</v>
      </c>
    </row>
    <row r="841" spans="1:22" ht="14.25" customHeight="1" x14ac:dyDescent="0.3">
      <c r="A841" s="1" t="s">
        <v>17</v>
      </c>
      <c r="B841" s="1" t="s">
        <v>1679</v>
      </c>
      <c r="C841" s="1" t="s">
        <v>1680</v>
      </c>
      <c r="D841" s="1">
        <f t="shared" si="167"/>
        <v>64</v>
      </c>
      <c r="E841" s="1">
        <f t="shared" si="168"/>
        <v>0.31164351851851851</v>
      </c>
      <c r="F841" s="2">
        <f t="shared" si="169"/>
        <v>399.09200458312688</v>
      </c>
      <c r="G841" s="1">
        <v>2080</v>
      </c>
      <c r="H841" s="1">
        <v>3744</v>
      </c>
      <c r="I841" s="1">
        <v>0</v>
      </c>
      <c r="J841" s="1">
        <v>155</v>
      </c>
      <c r="K841" s="1">
        <f t="shared" si="166"/>
        <v>0</v>
      </c>
      <c r="L841" s="1">
        <f t="shared" si="170"/>
        <v>1.3525240384615385</v>
      </c>
      <c r="M841" s="1">
        <f t="shared" si="171"/>
        <v>1.3525240384615385</v>
      </c>
      <c r="N841" s="2">
        <f t="shared" si="177"/>
        <v>12.421221007731273</v>
      </c>
      <c r="O841" s="1">
        <v>1016</v>
      </c>
      <c r="P841" s="1">
        <f t="shared" si="172"/>
        <v>856</v>
      </c>
      <c r="Q841" s="1">
        <f t="shared" si="173"/>
        <v>4.8303486735522512</v>
      </c>
      <c r="R841" s="1">
        <f t="shared" si="174"/>
        <v>2.2087491797867131</v>
      </c>
      <c r="S841" s="2">
        <f t="shared" si="175"/>
        <v>10.082977262150949</v>
      </c>
      <c r="T841" s="2">
        <f t="shared" si="176"/>
        <v>0.1759811516282575</v>
      </c>
      <c r="U841" s="1" t="s">
        <v>2507</v>
      </c>
      <c r="V841" s="6" t="s">
        <v>2505</v>
      </c>
    </row>
    <row r="842" spans="1:22" ht="14.25" customHeight="1" x14ac:dyDescent="0.3">
      <c r="A842" s="1" t="s">
        <v>27</v>
      </c>
      <c r="B842" s="1" t="s">
        <v>1681</v>
      </c>
      <c r="C842" s="1" t="s">
        <v>1682</v>
      </c>
      <c r="D842" s="1">
        <f t="shared" si="167"/>
        <v>90</v>
      </c>
      <c r="E842" s="1">
        <f t="shared" si="168"/>
        <v>0.81134259259259256</v>
      </c>
      <c r="F842" s="2">
        <f t="shared" si="169"/>
        <v>565.59452445002955</v>
      </c>
      <c r="G842" s="1">
        <v>2080</v>
      </c>
      <c r="H842" s="1">
        <v>3744</v>
      </c>
      <c r="I842" s="1">
        <v>0</v>
      </c>
      <c r="J842" s="1">
        <v>189</v>
      </c>
      <c r="K842" s="1">
        <f t="shared" si="166"/>
        <v>0</v>
      </c>
      <c r="L842" s="1">
        <f t="shared" si="170"/>
        <v>1.6492067307692306</v>
      </c>
      <c r="M842" s="1">
        <f t="shared" si="171"/>
        <v>1.6492067307692306</v>
      </c>
      <c r="N842" s="2">
        <f t="shared" si="177"/>
        <v>10.186715641261097</v>
      </c>
      <c r="O842" s="1">
        <v>1015</v>
      </c>
      <c r="P842" s="1">
        <f t="shared" si="172"/>
        <v>857</v>
      </c>
      <c r="Q842" s="1">
        <f t="shared" si="173"/>
        <v>3.9613970603206297</v>
      </c>
      <c r="R842" s="1">
        <f t="shared" si="174"/>
        <v>1.813524188405331</v>
      </c>
      <c r="S842" s="2">
        <f t="shared" si="175"/>
        <v>10.094514334015287</v>
      </c>
      <c r="T842" s="2">
        <f t="shared" si="176"/>
        <v>0.17618251151832939</v>
      </c>
      <c r="U842" s="1" t="s">
        <v>2507</v>
      </c>
      <c r="V842" s="6" t="s">
        <v>2505</v>
      </c>
    </row>
    <row r="843" spans="1:22" ht="14.25" customHeight="1" x14ac:dyDescent="0.3">
      <c r="A843" s="1" t="s">
        <v>40</v>
      </c>
      <c r="B843" s="1" t="s">
        <v>1683</v>
      </c>
      <c r="C843" s="1" t="s">
        <v>1684</v>
      </c>
      <c r="D843" s="1">
        <f t="shared" si="167"/>
        <v>92</v>
      </c>
      <c r="E843" s="1">
        <f t="shared" si="168"/>
        <v>4.6412037037037036E-2</v>
      </c>
      <c r="F843" s="2">
        <f t="shared" si="169"/>
        <v>573.35469463670938</v>
      </c>
      <c r="G843" s="1">
        <v>2080</v>
      </c>
      <c r="H843" s="1">
        <v>3744</v>
      </c>
      <c r="I843" s="1">
        <v>0</v>
      </c>
      <c r="J843" s="1">
        <v>269</v>
      </c>
      <c r="K843" s="1">
        <f t="shared" si="166"/>
        <v>0</v>
      </c>
      <c r="L843" s="1">
        <f t="shared" si="170"/>
        <v>2.3472836538461537</v>
      </c>
      <c r="M843" s="1">
        <f t="shared" si="171"/>
        <v>2.3472836538461537</v>
      </c>
      <c r="N843" s="2">
        <f t="shared" si="177"/>
        <v>7.1572091308488748</v>
      </c>
      <c r="O843" s="1">
        <v>1015</v>
      </c>
      <c r="P843" s="1">
        <f t="shared" si="172"/>
        <v>857</v>
      </c>
      <c r="Q843" s="1">
        <f t="shared" si="173"/>
        <v>2.7832864104111485</v>
      </c>
      <c r="R843" s="1">
        <f t="shared" si="174"/>
        <v>1.27418613980895</v>
      </c>
      <c r="S843" s="2">
        <f t="shared" si="175"/>
        <v>10.094514334015287</v>
      </c>
      <c r="T843" s="2">
        <f t="shared" si="176"/>
        <v>0.17618251151832939</v>
      </c>
      <c r="U843" s="1" t="s">
        <v>2507</v>
      </c>
      <c r="V843" s="6" t="s">
        <v>2505</v>
      </c>
    </row>
    <row r="844" spans="1:22" ht="14.25" customHeight="1" x14ac:dyDescent="0.3">
      <c r="A844" s="1" t="s">
        <v>40</v>
      </c>
      <c r="B844" s="1" t="s">
        <v>1685</v>
      </c>
      <c r="C844" s="1" t="s">
        <v>1686</v>
      </c>
      <c r="D844" s="1">
        <f t="shared" si="167"/>
        <v>6</v>
      </c>
      <c r="E844" s="1">
        <f t="shared" si="168"/>
        <v>0.22686342592592593</v>
      </c>
      <c r="F844" s="2">
        <f t="shared" si="169"/>
        <v>34.13456773459172</v>
      </c>
      <c r="G844" s="1">
        <v>2080</v>
      </c>
      <c r="H844" s="1">
        <v>3744</v>
      </c>
      <c r="I844" s="1">
        <v>0</v>
      </c>
      <c r="J844" s="1">
        <v>189</v>
      </c>
      <c r="K844" s="1">
        <f t="shared" si="166"/>
        <v>0</v>
      </c>
      <c r="L844" s="1">
        <f t="shared" si="170"/>
        <v>1.6492067307692306</v>
      </c>
      <c r="M844" s="1">
        <f t="shared" si="171"/>
        <v>1.6492067307692306</v>
      </c>
      <c r="N844" s="2">
        <f t="shared" si="177"/>
        <v>10.186715641261097</v>
      </c>
      <c r="O844" s="1">
        <v>1012</v>
      </c>
      <c r="P844" s="1">
        <f t="shared" si="172"/>
        <v>860</v>
      </c>
      <c r="Q844" s="1">
        <f t="shared" si="173"/>
        <v>3.9613970603206297</v>
      </c>
      <c r="R844" s="1">
        <f t="shared" si="174"/>
        <v>1.8198725811302037</v>
      </c>
      <c r="S844" s="2">
        <f t="shared" si="175"/>
        <v>10.129120583639796</v>
      </c>
      <c r="T844" s="2">
        <f t="shared" si="176"/>
        <v>0.17678650451604414</v>
      </c>
      <c r="U844" s="1" t="s">
        <v>2507</v>
      </c>
      <c r="V844" s="6" t="s">
        <v>2505</v>
      </c>
    </row>
    <row r="845" spans="1:22" ht="14.25" customHeight="1" x14ac:dyDescent="0.3">
      <c r="A845" s="1" t="s">
        <v>40</v>
      </c>
      <c r="B845" s="1" t="s">
        <v>1687</v>
      </c>
      <c r="C845" s="1" t="s">
        <v>1688</v>
      </c>
      <c r="D845" s="1">
        <f t="shared" si="167"/>
        <v>78</v>
      </c>
      <c r="E845" s="1">
        <f t="shared" si="168"/>
        <v>0.10224537037037036</v>
      </c>
      <c r="F845" s="2">
        <f t="shared" si="169"/>
        <v>485.74091151584599</v>
      </c>
      <c r="G845" s="1">
        <v>2080</v>
      </c>
      <c r="H845" s="1">
        <v>3744</v>
      </c>
      <c r="I845" s="1">
        <v>0</v>
      </c>
      <c r="J845" s="1">
        <v>250</v>
      </c>
      <c r="K845" s="1">
        <f t="shared" si="166"/>
        <v>0</v>
      </c>
      <c r="L845" s="1">
        <f t="shared" si="170"/>
        <v>2.1814903846153846</v>
      </c>
      <c r="M845" s="1">
        <f t="shared" si="171"/>
        <v>2.1814903846153846</v>
      </c>
      <c r="N845" s="2">
        <f t="shared" si="177"/>
        <v>7.7011570247933889</v>
      </c>
      <c r="O845" s="1">
        <v>1012</v>
      </c>
      <c r="P845" s="1">
        <f t="shared" si="172"/>
        <v>860</v>
      </c>
      <c r="Q845" s="1">
        <f t="shared" si="173"/>
        <v>2.994816177602396</v>
      </c>
      <c r="R845" s="1">
        <f t="shared" si="174"/>
        <v>1.3758236713344341</v>
      </c>
      <c r="S845" s="2">
        <f t="shared" si="175"/>
        <v>10.129120583639798</v>
      </c>
      <c r="T845" s="2">
        <f t="shared" si="176"/>
        <v>0.17678650451604416</v>
      </c>
      <c r="U845" s="1" t="s">
        <v>2507</v>
      </c>
      <c r="V845" s="6" t="s">
        <v>2505</v>
      </c>
    </row>
    <row r="846" spans="1:22" ht="14.25" customHeight="1" x14ac:dyDescent="0.3">
      <c r="A846" s="1" t="s">
        <v>40</v>
      </c>
      <c r="B846" s="1" t="s">
        <v>1689</v>
      </c>
      <c r="C846" s="1" t="s">
        <v>1690</v>
      </c>
      <c r="D846" s="1">
        <f t="shared" si="167"/>
        <v>28</v>
      </c>
      <c r="E846" s="1">
        <f t="shared" si="168"/>
        <v>0.20795138888888889</v>
      </c>
      <c r="F846" s="2">
        <f t="shared" si="169"/>
        <v>172.24581665930268</v>
      </c>
      <c r="G846" s="1">
        <v>2080</v>
      </c>
      <c r="H846" s="1">
        <v>3744</v>
      </c>
      <c r="I846" s="1">
        <v>0</v>
      </c>
      <c r="J846" s="1">
        <v>115</v>
      </c>
      <c r="K846" s="1">
        <f t="shared" si="166"/>
        <v>0</v>
      </c>
      <c r="L846" s="1">
        <f t="shared" si="170"/>
        <v>1.0034855769230768</v>
      </c>
      <c r="M846" s="1">
        <f t="shared" si="171"/>
        <v>1.0034855769230768</v>
      </c>
      <c r="N846" s="2">
        <f t="shared" si="177"/>
        <v>16.741645706072585</v>
      </c>
      <c r="O846" s="1">
        <v>1011</v>
      </c>
      <c r="P846" s="1">
        <f t="shared" si="172"/>
        <v>861</v>
      </c>
      <c r="Q846" s="1">
        <f t="shared" si="173"/>
        <v>6.510469951309557</v>
      </c>
      <c r="R846" s="1">
        <f t="shared" si="174"/>
        <v>2.9943988397850045</v>
      </c>
      <c r="S846" s="2">
        <f t="shared" si="175"/>
        <v>10.140654342038708</v>
      </c>
      <c r="T846" s="2">
        <f t="shared" si="176"/>
        <v>0.17698780657523469</v>
      </c>
      <c r="U846" s="1" t="s">
        <v>2507</v>
      </c>
      <c r="V846" s="6" t="s">
        <v>2505</v>
      </c>
    </row>
    <row r="847" spans="1:22" ht="14.25" customHeight="1" x14ac:dyDescent="0.3">
      <c r="A847" s="1" t="s">
        <v>27</v>
      </c>
      <c r="B847" s="1" t="s">
        <v>1691</v>
      </c>
      <c r="C847" s="1" t="s">
        <v>1692</v>
      </c>
      <c r="D847" s="1">
        <f t="shared" si="167"/>
        <v>86</v>
      </c>
      <c r="E847" s="1">
        <f t="shared" si="168"/>
        <v>0.93233796296296301</v>
      </c>
      <c r="F847" s="2">
        <f t="shared" si="169"/>
        <v>541.22201955465903</v>
      </c>
      <c r="G847" s="1">
        <v>2080</v>
      </c>
      <c r="H847" s="1">
        <v>3744</v>
      </c>
      <c r="I847" s="1">
        <v>0</v>
      </c>
      <c r="J847" s="1">
        <v>178</v>
      </c>
      <c r="K847" s="1">
        <f t="shared" si="166"/>
        <v>0</v>
      </c>
      <c r="L847" s="1">
        <f t="shared" si="170"/>
        <v>1.5532211538461538</v>
      </c>
      <c r="M847" s="1">
        <f t="shared" si="171"/>
        <v>1.5532211538461538</v>
      </c>
      <c r="N847" s="2">
        <f t="shared" si="177"/>
        <v>10.81623177639521</v>
      </c>
      <c r="O847" s="1">
        <v>1011</v>
      </c>
      <c r="P847" s="1">
        <f t="shared" si="172"/>
        <v>861</v>
      </c>
      <c r="Q847" s="1">
        <f t="shared" si="173"/>
        <v>4.2062024966325788</v>
      </c>
      <c r="R847" s="1">
        <f t="shared" si="174"/>
        <v>1.9345835200858175</v>
      </c>
      <c r="S847" s="2">
        <f t="shared" si="175"/>
        <v>10.140654342038708</v>
      </c>
      <c r="T847" s="2">
        <f t="shared" si="176"/>
        <v>0.17698780657523469</v>
      </c>
      <c r="U847" s="1" t="s">
        <v>2507</v>
      </c>
      <c r="V847" s="6" t="s">
        <v>2505</v>
      </c>
    </row>
    <row r="848" spans="1:22" ht="14.25" customHeight="1" x14ac:dyDescent="0.3">
      <c r="A848" s="1" t="s">
        <v>40</v>
      </c>
      <c r="B848" s="1" t="s">
        <v>1693</v>
      </c>
      <c r="C848" s="1" t="s">
        <v>1694</v>
      </c>
      <c r="D848" s="1">
        <f t="shared" si="167"/>
        <v>90</v>
      </c>
      <c r="E848" s="1">
        <f t="shared" si="168"/>
        <v>0.77270833333333344</v>
      </c>
      <c r="F848" s="2">
        <f t="shared" si="169"/>
        <v>565.35177823989795</v>
      </c>
      <c r="G848" s="1">
        <v>2080</v>
      </c>
      <c r="H848" s="1">
        <v>3744</v>
      </c>
      <c r="I848" s="1">
        <v>0</v>
      </c>
      <c r="J848" s="1">
        <v>98</v>
      </c>
      <c r="K848" s="1">
        <f t="shared" si="166"/>
        <v>0</v>
      </c>
      <c r="L848" s="1">
        <f t="shared" si="170"/>
        <v>0.85514423076923063</v>
      </c>
      <c r="M848" s="1">
        <f t="shared" si="171"/>
        <v>0.85514423076923063</v>
      </c>
      <c r="N848" s="2">
        <f t="shared" si="177"/>
        <v>19.645808736717832</v>
      </c>
      <c r="O848" s="1">
        <v>1011</v>
      </c>
      <c r="P848" s="1">
        <f t="shared" si="172"/>
        <v>861</v>
      </c>
      <c r="Q848" s="1">
        <f t="shared" si="173"/>
        <v>7.6398371877612155</v>
      </c>
      <c r="R848" s="1">
        <f t="shared" si="174"/>
        <v>3.5138353732170975</v>
      </c>
      <c r="S848" s="2">
        <f t="shared" si="175"/>
        <v>10.140654342038708</v>
      </c>
      <c r="T848" s="2">
        <f t="shared" si="176"/>
        <v>0.17698780657523469</v>
      </c>
      <c r="U848" s="1" t="s">
        <v>2507</v>
      </c>
      <c r="V848" s="6" t="s">
        <v>2505</v>
      </c>
    </row>
    <row r="849" spans="1:22" ht="14.25" customHeight="1" x14ac:dyDescent="0.3">
      <c r="A849" s="1" t="s">
        <v>40</v>
      </c>
      <c r="B849" s="1" t="s">
        <v>1695</v>
      </c>
      <c r="C849" s="1" t="s">
        <v>1696</v>
      </c>
      <c r="D849" s="1">
        <f t="shared" si="167"/>
        <v>74</v>
      </c>
      <c r="E849" s="1">
        <f t="shared" si="168"/>
        <v>8.6458333333333335E-3</v>
      </c>
      <c r="F849" s="2">
        <f t="shared" si="169"/>
        <v>460.02006705125774</v>
      </c>
      <c r="G849" s="1">
        <v>2080</v>
      </c>
      <c r="H849" s="1">
        <v>3744</v>
      </c>
      <c r="I849" s="1">
        <v>0</v>
      </c>
      <c r="J849" s="1">
        <v>107</v>
      </c>
      <c r="K849" s="1">
        <f t="shared" si="166"/>
        <v>0</v>
      </c>
      <c r="L849" s="1">
        <f t="shared" si="170"/>
        <v>0.93367788461538459</v>
      </c>
      <c r="M849" s="1">
        <f t="shared" si="171"/>
        <v>0.93367788461538459</v>
      </c>
      <c r="N849" s="2">
        <f t="shared" si="177"/>
        <v>17.993357534563994</v>
      </c>
      <c r="O849" s="1">
        <v>1009</v>
      </c>
      <c r="P849" s="1">
        <f t="shared" si="172"/>
        <v>863</v>
      </c>
      <c r="Q849" s="1">
        <f t="shared" si="173"/>
        <v>6.9972340598186831</v>
      </c>
      <c r="R849" s="1">
        <f t="shared" si="174"/>
        <v>3.2257548042860704</v>
      </c>
      <c r="S849" s="2">
        <f t="shared" si="175"/>
        <v>10.163719366551163</v>
      </c>
      <c r="T849" s="2">
        <f t="shared" si="176"/>
        <v>0.17739036719503024</v>
      </c>
      <c r="U849" s="1" t="s">
        <v>2507</v>
      </c>
      <c r="V849" s="6" t="s">
        <v>2505</v>
      </c>
    </row>
    <row r="850" spans="1:22" ht="14.25" customHeight="1" x14ac:dyDescent="0.3">
      <c r="A850" s="1" t="s">
        <v>82</v>
      </c>
      <c r="B850" s="1" t="s">
        <v>1697</v>
      </c>
      <c r="C850" s="1" t="s">
        <v>1698</v>
      </c>
      <c r="D850" s="1">
        <f t="shared" si="167"/>
        <v>80</v>
      </c>
      <c r="E850" s="1">
        <f t="shared" si="168"/>
        <v>0.25162037037037038</v>
      </c>
      <c r="F850" s="2">
        <f t="shared" si="169"/>
        <v>499.24583293546516</v>
      </c>
      <c r="G850" s="1">
        <v>2080</v>
      </c>
      <c r="H850" s="1">
        <v>3744</v>
      </c>
      <c r="I850" s="1">
        <v>0</v>
      </c>
      <c r="J850" s="1">
        <v>261</v>
      </c>
      <c r="K850" s="1">
        <f t="shared" si="166"/>
        <v>0</v>
      </c>
      <c r="L850" s="1">
        <f t="shared" si="170"/>
        <v>2.2774759615384612</v>
      </c>
      <c r="M850" s="1">
        <f t="shared" si="171"/>
        <v>2.2774759615384612</v>
      </c>
      <c r="N850" s="2">
        <f t="shared" si="177"/>
        <v>7.3765871884994159</v>
      </c>
      <c r="O850" s="1">
        <v>1009</v>
      </c>
      <c r="P850" s="1">
        <f t="shared" si="172"/>
        <v>863</v>
      </c>
      <c r="Q850" s="1">
        <f t="shared" si="173"/>
        <v>2.8685978712666631</v>
      </c>
      <c r="R850" s="1">
        <f t="shared" si="174"/>
        <v>1.3224358776191936</v>
      </c>
      <c r="S850" s="2">
        <f t="shared" si="175"/>
        <v>10.163719366551163</v>
      </c>
      <c r="T850" s="2">
        <f t="shared" si="176"/>
        <v>0.17739036719503024</v>
      </c>
      <c r="U850" s="1" t="s">
        <v>2507</v>
      </c>
      <c r="V850" s="6" t="s">
        <v>2505</v>
      </c>
    </row>
    <row r="851" spans="1:22" ht="14.25" customHeight="1" x14ac:dyDescent="0.3">
      <c r="A851" s="1" t="s">
        <v>17</v>
      </c>
      <c r="B851" s="1" t="s">
        <v>1699</v>
      </c>
      <c r="C851" s="1" t="s">
        <v>1700</v>
      </c>
      <c r="D851" s="1">
        <f t="shared" si="167"/>
        <v>29</v>
      </c>
      <c r="E851" s="1">
        <f t="shared" si="168"/>
        <v>0.35094907407407411</v>
      </c>
      <c r="F851" s="2">
        <f t="shared" si="169"/>
        <v>179.4274829209985</v>
      </c>
      <c r="G851" s="1">
        <v>2080</v>
      </c>
      <c r="H851" s="1">
        <v>3744</v>
      </c>
      <c r="I851" s="1">
        <v>0</v>
      </c>
      <c r="J851" s="1">
        <v>171</v>
      </c>
      <c r="K851" s="1">
        <f t="shared" si="166"/>
        <v>0</v>
      </c>
      <c r="L851" s="1">
        <f t="shared" si="170"/>
        <v>1.4921394230769229</v>
      </c>
      <c r="M851" s="1">
        <f t="shared" si="171"/>
        <v>1.4921394230769229</v>
      </c>
      <c r="N851" s="2">
        <f t="shared" si="177"/>
        <v>11.25900149823595</v>
      </c>
      <c r="O851" s="1">
        <v>1008</v>
      </c>
      <c r="P851" s="1">
        <f t="shared" si="172"/>
        <v>864</v>
      </c>
      <c r="Q851" s="1">
        <f t="shared" si="173"/>
        <v>4.378386224564907</v>
      </c>
      <c r="R851" s="1">
        <f t="shared" si="174"/>
        <v>2.0207936421068804</v>
      </c>
      <c r="S851" s="2">
        <f t="shared" si="175"/>
        <v>10.175250630975587</v>
      </c>
      <c r="T851" s="2">
        <f t="shared" si="176"/>
        <v>0.1775916257261545</v>
      </c>
      <c r="U851" s="1" t="s">
        <v>2507</v>
      </c>
      <c r="V851" s="6" t="s">
        <v>2505</v>
      </c>
    </row>
    <row r="852" spans="1:22" ht="14.25" customHeight="1" x14ac:dyDescent="0.3">
      <c r="A852" s="1" t="s">
        <v>286</v>
      </c>
      <c r="B852" s="1" t="s">
        <v>1701</v>
      </c>
      <c r="C852" s="1" t="s">
        <v>1702</v>
      </c>
      <c r="D852" s="1">
        <f t="shared" si="167"/>
        <v>44</v>
      </c>
      <c r="E852" s="1">
        <f t="shared" si="168"/>
        <v>0.8005902777777778</v>
      </c>
      <c r="F852" s="2">
        <f t="shared" si="169"/>
        <v>276.500441533306</v>
      </c>
      <c r="G852" s="1">
        <v>2080</v>
      </c>
      <c r="H852" s="1">
        <v>3744</v>
      </c>
      <c r="I852" s="1">
        <v>0</v>
      </c>
      <c r="J852" s="1">
        <v>202</v>
      </c>
      <c r="K852" s="1">
        <f t="shared" si="166"/>
        <v>0</v>
      </c>
      <c r="L852" s="1">
        <f t="shared" si="170"/>
        <v>1.7626442307692307</v>
      </c>
      <c r="M852" s="1">
        <f t="shared" si="171"/>
        <v>1.7626442307692307</v>
      </c>
      <c r="N852" s="2">
        <f t="shared" si="177"/>
        <v>9.5311349316749858</v>
      </c>
      <c r="O852" s="1">
        <v>1008</v>
      </c>
      <c r="P852" s="1">
        <f t="shared" si="172"/>
        <v>864</v>
      </c>
      <c r="Q852" s="1">
        <f t="shared" si="173"/>
        <v>3.7064556653494996</v>
      </c>
      <c r="R852" s="1">
        <f t="shared" si="174"/>
        <v>1.7106718455459229</v>
      </c>
      <c r="S852" s="2">
        <f t="shared" si="175"/>
        <v>10.175250630975587</v>
      </c>
      <c r="T852" s="2">
        <f t="shared" si="176"/>
        <v>0.1775916257261545</v>
      </c>
      <c r="U852" s="1" t="s">
        <v>2507</v>
      </c>
      <c r="V852" s="6" t="s">
        <v>2505</v>
      </c>
    </row>
    <row r="853" spans="1:22" ht="14.25" customHeight="1" x14ac:dyDescent="0.3">
      <c r="A853" s="1" t="s">
        <v>82</v>
      </c>
      <c r="B853" s="1" t="s">
        <v>1703</v>
      </c>
      <c r="C853" s="1" t="s">
        <v>1704</v>
      </c>
      <c r="D853" s="1">
        <f t="shared" si="167"/>
        <v>59</v>
      </c>
      <c r="E853" s="1">
        <f t="shared" si="168"/>
        <v>0.25665509259259262</v>
      </c>
      <c r="F853" s="2">
        <f t="shared" si="169"/>
        <v>367.33057557738624</v>
      </c>
      <c r="G853" s="1">
        <v>2080</v>
      </c>
      <c r="H853" s="1">
        <v>3744</v>
      </c>
      <c r="I853" s="1">
        <v>0</v>
      </c>
      <c r="J853" s="1">
        <v>508</v>
      </c>
      <c r="K853" s="1">
        <f t="shared" si="166"/>
        <v>0</v>
      </c>
      <c r="L853" s="1">
        <f t="shared" si="170"/>
        <v>4.4327884615384612</v>
      </c>
      <c r="M853" s="1">
        <f t="shared" si="171"/>
        <v>4.4327884615384612</v>
      </c>
      <c r="N853" s="2">
        <f t="shared" si="177"/>
        <v>3.7899394807054083</v>
      </c>
      <c r="O853" s="1">
        <v>1006</v>
      </c>
      <c r="P853" s="1">
        <f t="shared" si="172"/>
        <v>866</v>
      </c>
      <c r="Q853" s="1">
        <f t="shared" si="173"/>
        <v>1.4738268590562973</v>
      </c>
      <c r="R853" s="1">
        <f t="shared" si="174"/>
        <v>0.68180238244805214</v>
      </c>
      <c r="S853" s="2">
        <f t="shared" si="175"/>
        <v>10.198310659940953</v>
      </c>
      <c r="T853" s="2">
        <f t="shared" si="176"/>
        <v>0.1779940991572054</v>
      </c>
      <c r="U853" s="1" t="s">
        <v>2507</v>
      </c>
      <c r="V853" s="6" t="s">
        <v>2505</v>
      </c>
    </row>
    <row r="854" spans="1:22" ht="14.25" customHeight="1" x14ac:dyDescent="0.3">
      <c r="A854" s="1" t="s">
        <v>40</v>
      </c>
      <c r="B854" s="1" t="s">
        <v>1122</v>
      </c>
      <c r="C854" s="1" t="s">
        <v>1123</v>
      </c>
      <c r="D854" s="1">
        <f t="shared" si="167"/>
        <v>28</v>
      </c>
      <c r="E854" s="1">
        <f t="shared" si="168"/>
        <v>0.22896990740740741</v>
      </c>
      <c r="F854" s="2">
        <f t="shared" si="169"/>
        <v>172.3778799060369</v>
      </c>
      <c r="G854" s="1">
        <v>2080</v>
      </c>
      <c r="H854" s="1">
        <v>3744</v>
      </c>
      <c r="I854" s="1">
        <v>0</v>
      </c>
      <c r="J854" s="1">
        <v>104</v>
      </c>
      <c r="K854" s="1">
        <f t="shared" si="166"/>
        <v>0</v>
      </c>
      <c r="L854" s="1">
        <f t="shared" si="170"/>
        <v>0.90749999999999997</v>
      </c>
      <c r="M854" s="1">
        <f t="shared" si="171"/>
        <v>0.90749999999999997</v>
      </c>
      <c r="N854" s="2">
        <f t="shared" si="177"/>
        <v>18.512396694214878</v>
      </c>
      <c r="O854" s="1">
        <v>1005</v>
      </c>
      <c r="P854" s="1">
        <f t="shared" si="172"/>
        <v>867</v>
      </c>
      <c r="Q854" s="1">
        <f t="shared" si="173"/>
        <v>7.1990773500057594</v>
      </c>
      <c r="R854" s="1">
        <f t="shared" si="174"/>
        <v>3.3341880675507447</v>
      </c>
      <c r="S854" s="2">
        <f t="shared" si="175"/>
        <v>10.209839422795122</v>
      </c>
      <c r="T854" s="2">
        <f t="shared" si="176"/>
        <v>0.17819531402769229</v>
      </c>
      <c r="U854" s="1" t="s">
        <v>2507</v>
      </c>
      <c r="V854" s="6" t="s">
        <v>2505</v>
      </c>
    </row>
    <row r="855" spans="1:22" ht="14.25" customHeight="1" x14ac:dyDescent="0.3">
      <c r="A855" s="1" t="s">
        <v>17</v>
      </c>
      <c r="B855" s="1" t="s">
        <v>1705</v>
      </c>
      <c r="C855" s="1" t="s">
        <v>1706</v>
      </c>
      <c r="D855" s="1">
        <f t="shared" si="167"/>
        <v>29</v>
      </c>
      <c r="E855" s="1">
        <f t="shared" si="168"/>
        <v>0.29802083333333335</v>
      </c>
      <c r="F855" s="2">
        <f t="shared" si="169"/>
        <v>179.0949249764414</v>
      </c>
      <c r="G855" s="1">
        <v>2080</v>
      </c>
      <c r="H855" s="1">
        <v>3744</v>
      </c>
      <c r="I855" s="1">
        <v>237</v>
      </c>
      <c r="J855" s="1">
        <v>627</v>
      </c>
      <c r="K855" s="1">
        <f t="shared" si="166"/>
        <v>2.0680528846153847</v>
      </c>
      <c r="L855" s="1">
        <f t="shared" si="170"/>
        <v>5.4711778846153845</v>
      </c>
      <c r="M855" s="1">
        <f t="shared" si="171"/>
        <v>5.8489853973719654</v>
      </c>
      <c r="N855" s="2">
        <f>42*0.32/M855</f>
        <v>2.2978344254439049</v>
      </c>
      <c r="O855" s="1">
        <v>1005</v>
      </c>
      <c r="P855" s="1">
        <f t="shared" si="172"/>
        <v>867</v>
      </c>
      <c r="Q855" s="1">
        <f t="shared" si="173"/>
        <v>0.8935789373747689</v>
      </c>
      <c r="R855" s="1">
        <f t="shared" si="174"/>
        <v>0.41385306554696832</v>
      </c>
      <c r="S855" s="2">
        <f t="shared" si="175"/>
        <v>10.209839422795122</v>
      </c>
      <c r="T855" s="2">
        <f t="shared" si="176"/>
        <v>0.17819531402769229</v>
      </c>
      <c r="U855" s="1" t="s">
        <v>2264</v>
      </c>
      <c r="V855" s="6" t="s">
        <v>2505</v>
      </c>
    </row>
    <row r="856" spans="1:22" ht="14.25" customHeight="1" x14ac:dyDescent="0.3">
      <c r="A856" s="1" t="s">
        <v>27</v>
      </c>
      <c r="B856" s="1" t="s">
        <v>1707</v>
      </c>
      <c r="C856" s="1" t="s">
        <v>1708</v>
      </c>
      <c r="D856" s="1">
        <f t="shared" si="167"/>
        <v>89</v>
      </c>
      <c r="E856" s="1">
        <f t="shared" si="168"/>
        <v>0.8681712962962963</v>
      </c>
      <c r="F856" s="2">
        <f t="shared" si="169"/>
        <v>559.66840441898717</v>
      </c>
      <c r="G856" s="1">
        <v>2080</v>
      </c>
      <c r="H856" s="1">
        <v>3744</v>
      </c>
      <c r="I856" s="1">
        <v>0</v>
      </c>
      <c r="J856" s="1">
        <v>93</v>
      </c>
      <c r="K856" s="1">
        <f t="shared" si="166"/>
        <v>0</v>
      </c>
      <c r="L856" s="1">
        <f t="shared" si="170"/>
        <v>0.81151442307692301</v>
      </c>
      <c r="M856" s="1">
        <f t="shared" si="171"/>
        <v>0.81151442307692301</v>
      </c>
      <c r="N856" s="2">
        <f>42*0.4/M856</f>
        <v>20.702035012885457</v>
      </c>
      <c r="O856" s="1">
        <v>1005</v>
      </c>
      <c r="P856" s="1">
        <f t="shared" si="172"/>
        <v>867</v>
      </c>
      <c r="Q856" s="1">
        <f t="shared" si="173"/>
        <v>8.0505811225870865</v>
      </c>
      <c r="R856" s="1">
        <f t="shared" si="174"/>
        <v>3.728554398121263</v>
      </c>
      <c r="S856" s="2">
        <f t="shared" si="175"/>
        <v>10.209839422795122</v>
      </c>
      <c r="T856" s="2">
        <f t="shared" si="176"/>
        <v>0.17819531402769229</v>
      </c>
      <c r="U856" s="1" t="s">
        <v>2507</v>
      </c>
      <c r="V856" s="6" t="s">
        <v>2505</v>
      </c>
    </row>
    <row r="857" spans="1:22" ht="14.25" customHeight="1" x14ac:dyDescent="0.3">
      <c r="A857" s="1" t="s">
        <v>1532</v>
      </c>
      <c r="B857" s="1" t="s">
        <v>1709</v>
      </c>
      <c r="C857" s="1" t="s">
        <v>1710</v>
      </c>
      <c r="D857" s="1">
        <f t="shared" si="167"/>
        <v>48</v>
      </c>
      <c r="E857" s="1">
        <f t="shared" si="168"/>
        <v>0.19097222222222221</v>
      </c>
      <c r="F857" s="2">
        <f t="shared" si="169"/>
        <v>297.80283955236627</v>
      </c>
      <c r="G857" s="1">
        <v>2080</v>
      </c>
      <c r="H857" s="1">
        <v>3744</v>
      </c>
      <c r="I857" s="1">
        <v>0</v>
      </c>
      <c r="J857" s="1">
        <v>288</v>
      </c>
      <c r="K857" s="1">
        <f t="shared" si="166"/>
        <v>0</v>
      </c>
      <c r="L857" s="1">
        <f t="shared" si="170"/>
        <v>2.5130769230769232</v>
      </c>
      <c r="M857" s="1">
        <f t="shared" si="171"/>
        <v>2.5130769230769232</v>
      </c>
      <c r="N857" s="2">
        <f>42*0.4/M857</f>
        <v>6.6850321395775945</v>
      </c>
      <c r="O857" s="1">
        <v>1004</v>
      </c>
      <c r="P857" s="1">
        <f t="shared" si="172"/>
        <v>868</v>
      </c>
      <c r="Q857" s="1">
        <f t="shared" si="173"/>
        <v>2.599666820835413</v>
      </c>
      <c r="R857" s="1">
        <f t="shared" si="174"/>
        <v>1.2054010686352237</v>
      </c>
      <c r="S857" s="2">
        <f t="shared" si="175"/>
        <v>10.221367350106423</v>
      </c>
      <c r="T857" s="2">
        <f t="shared" si="176"/>
        <v>0.17839651431520506</v>
      </c>
      <c r="U857" s="1" t="s">
        <v>2507</v>
      </c>
      <c r="V857" s="6" t="s">
        <v>2505</v>
      </c>
    </row>
    <row r="858" spans="1:22" ht="14.25" customHeight="1" x14ac:dyDescent="0.3">
      <c r="A858" s="1" t="s">
        <v>27</v>
      </c>
      <c r="B858" s="1" t="s">
        <v>1711</v>
      </c>
      <c r="C858" s="1" t="s">
        <v>1712</v>
      </c>
      <c r="D858" s="1">
        <f t="shared" si="167"/>
        <v>45</v>
      </c>
      <c r="E858" s="1">
        <f t="shared" si="168"/>
        <v>0.80107638888888888</v>
      </c>
      <c r="F858" s="2">
        <f t="shared" si="169"/>
        <v>282.78668116667654</v>
      </c>
      <c r="G858" s="1">
        <v>2080</v>
      </c>
      <c r="H858" s="1">
        <v>3744</v>
      </c>
      <c r="I858" s="1">
        <v>0</v>
      </c>
      <c r="J858" s="1">
        <v>213</v>
      </c>
      <c r="K858" s="1">
        <f t="shared" si="166"/>
        <v>0</v>
      </c>
      <c r="L858" s="1">
        <f t="shared" si="170"/>
        <v>1.8586298076923076</v>
      </c>
      <c r="M858" s="1">
        <f t="shared" si="171"/>
        <v>1.8586298076923076</v>
      </c>
      <c r="N858" s="2">
        <f>42*0.4/M858</f>
        <v>9.0389166957668881</v>
      </c>
      <c r="O858" s="1">
        <v>1002</v>
      </c>
      <c r="P858" s="1">
        <f t="shared" si="172"/>
        <v>870</v>
      </c>
      <c r="Q858" s="1">
        <f t="shared" si="173"/>
        <v>3.5150424619746428</v>
      </c>
      <c r="R858" s="1">
        <f t="shared" si="174"/>
        <v>1.633593451879241</v>
      </c>
      <c r="S858" s="2">
        <f t="shared" si="175"/>
        <v>10.244420694731183</v>
      </c>
      <c r="T858" s="2">
        <f t="shared" si="176"/>
        <v>0.17879887108250406</v>
      </c>
      <c r="U858" s="1" t="s">
        <v>2507</v>
      </c>
      <c r="V858" s="6" t="s">
        <v>2505</v>
      </c>
    </row>
    <row r="859" spans="1:22" ht="14.25" customHeight="1" x14ac:dyDescent="0.3">
      <c r="A859" s="1" t="s">
        <v>27</v>
      </c>
      <c r="B859" s="1" t="s">
        <v>1713</v>
      </c>
      <c r="C859" s="1" t="s">
        <v>1714</v>
      </c>
      <c r="D859" s="1">
        <f t="shared" si="167"/>
        <v>88</v>
      </c>
      <c r="E859" s="1">
        <f t="shared" si="168"/>
        <v>0.2518171296296296</v>
      </c>
      <c r="F859" s="2">
        <f t="shared" si="169"/>
        <v>549.51255166778867</v>
      </c>
      <c r="G859" s="1">
        <v>2080</v>
      </c>
      <c r="H859" s="1">
        <v>3744</v>
      </c>
      <c r="I859" s="1">
        <v>0</v>
      </c>
      <c r="J859" s="1">
        <v>146</v>
      </c>
      <c r="K859" s="1">
        <f t="shared" si="166"/>
        <v>0</v>
      </c>
      <c r="L859" s="1">
        <f t="shared" si="170"/>
        <v>1.2739903846153844</v>
      </c>
      <c r="M859" s="1">
        <f t="shared" si="171"/>
        <v>1.2739903846153844</v>
      </c>
      <c r="N859" s="2">
        <f>42*0.4/M859</f>
        <v>13.186912713687311</v>
      </c>
      <c r="O859" s="1">
        <v>1002</v>
      </c>
      <c r="P859" s="1">
        <f t="shared" si="172"/>
        <v>870</v>
      </c>
      <c r="Q859" s="1">
        <f t="shared" si="173"/>
        <v>5.1281098931547877</v>
      </c>
      <c r="R859" s="1">
        <f t="shared" si="174"/>
        <v>2.3832562003443725</v>
      </c>
      <c r="S859" s="2">
        <f t="shared" si="175"/>
        <v>10.244420694731183</v>
      </c>
      <c r="T859" s="2">
        <f t="shared" si="176"/>
        <v>0.17879887108250406</v>
      </c>
      <c r="U859" s="1" t="s">
        <v>2507</v>
      </c>
      <c r="V859" s="6" t="s">
        <v>2505</v>
      </c>
    </row>
    <row r="860" spans="1:22" ht="14.25" customHeight="1" x14ac:dyDescent="0.3">
      <c r="A860" s="1" t="s">
        <v>27</v>
      </c>
      <c r="B860" s="1" t="s">
        <v>1715</v>
      </c>
      <c r="C860" s="1" t="s">
        <v>1716</v>
      </c>
      <c r="D860" s="1">
        <f t="shared" si="167"/>
        <v>57</v>
      </c>
      <c r="E860" s="1">
        <f t="shared" si="168"/>
        <v>0.15204861111111112</v>
      </c>
      <c r="F860" s="2">
        <f t="shared" si="169"/>
        <v>354.10694305554682</v>
      </c>
      <c r="G860" s="1">
        <v>2080</v>
      </c>
      <c r="H860" s="1">
        <v>3744</v>
      </c>
      <c r="I860" s="1">
        <v>0</v>
      </c>
      <c r="J860" s="1">
        <v>541</v>
      </c>
      <c r="K860" s="1">
        <f t="shared" si="166"/>
        <v>0</v>
      </c>
      <c r="L860" s="1">
        <f t="shared" si="170"/>
        <v>4.7207451923076924</v>
      </c>
      <c r="M860" s="1">
        <f t="shared" si="171"/>
        <v>4.7207451923076924</v>
      </c>
      <c r="N860" s="2">
        <f>42*0.11/M860</f>
        <v>0.97865904889934463</v>
      </c>
      <c r="O860" s="1">
        <v>1002</v>
      </c>
      <c r="P860" s="1">
        <f t="shared" si="172"/>
        <v>870</v>
      </c>
      <c r="Q860" s="1">
        <f t="shared" si="173"/>
        <v>0.38057968985243013</v>
      </c>
      <c r="R860" s="1">
        <f t="shared" si="174"/>
        <v>0.17687197124552043</v>
      </c>
      <c r="S860" s="2">
        <f t="shared" si="175"/>
        <v>10.244420694731184</v>
      </c>
      <c r="T860" s="2">
        <f t="shared" si="176"/>
        <v>0.17879887108250409</v>
      </c>
      <c r="U860" s="1" t="s">
        <v>2508</v>
      </c>
      <c r="V860" s="6" t="s">
        <v>2505</v>
      </c>
    </row>
    <row r="861" spans="1:22" ht="14.25" customHeight="1" x14ac:dyDescent="0.3">
      <c r="A861" s="1" t="s">
        <v>27</v>
      </c>
      <c r="B861" s="1" t="s">
        <v>1717</v>
      </c>
      <c r="C861" s="1" t="s">
        <v>1718</v>
      </c>
      <c r="D861" s="1">
        <f t="shared" si="167"/>
        <v>86</v>
      </c>
      <c r="E861" s="1">
        <f t="shared" si="168"/>
        <v>0.96179398148148154</v>
      </c>
      <c r="F861" s="2">
        <f t="shared" si="169"/>
        <v>541.40709717742266</v>
      </c>
      <c r="G861" s="1">
        <v>2080</v>
      </c>
      <c r="H861" s="1">
        <v>3744</v>
      </c>
      <c r="I861" s="1">
        <v>0</v>
      </c>
      <c r="J861" s="1">
        <v>208</v>
      </c>
      <c r="K861" s="1">
        <f t="shared" si="166"/>
        <v>0</v>
      </c>
      <c r="L861" s="1">
        <f t="shared" si="170"/>
        <v>1.8149999999999999</v>
      </c>
      <c r="M861" s="1">
        <f t="shared" si="171"/>
        <v>1.8149999999999999</v>
      </c>
      <c r="N861" s="2">
        <f t="shared" ref="N861:N890" si="178">42*0.4/M861</f>
        <v>9.2561983471074392</v>
      </c>
      <c r="O861" s="1">
        <v>1001</v>
      </c>
      <c r="P861" s="1">
        <f t="shared" si="172"/>
        <v>871</v>
      </c>
      <c r="Q861" s="1">
        <f t="shared" si="173"/>
        <v>3.5995386750028797</v>
      </c>
      <c r="R861" s="1">
        <f t="shared" si="174"/>
        <v>1.6747853557305066</v>
      </c>
      <c r="S861" s="2">
        <f t="shared" si="175"/>
        <v>10.255946110361016</v>
      </c>
      <c r="T861" s="2">
        <f t="shared" si="176"/>
        <v>0.17900002753290545</v>
      </c>
      <c r="U861" s="1" t="s">
        <v>2507</v>
      </c>
      <c r="V861" s="6" t="s">
        <v>2505</v>
      </c>
    </row>
    <row r="862" spans="1:22" ht="14.25" customHeight="1" x14ac:dyDescent="0.3">
      <c r="A862" s="1" t="s">
        <v>17</v>
      </c>
      <c r="B862" s="1" t="s">
        <v>1719</v>
      </c>
      <c r="C862" s="1" t="s">
        <v>1720</v>
      </c>
      <c r="D862" s="1">
        <f t="shared" si="167"/>
        <v>15</v>
      </c>
      <c r="E862" s="1">
        <f t="shared" si="168"/>
        <v>5.9513888888888887E-2</v>
      </c>
      <c r="F862" s="2">
        <f t="shared" si="169"/>
        <v>89.631747346933579</v>
      </c>
      <c r="G862" s="1">
        <v>2080</v>
      </c>
      <c r="H862" s="1">
        <v>3744</v>
      </c>
      <c r="I862" s="1">
        <v>0</v>
      </c>
      <c r="J862" s="1">
        <v>273</v>
      </c>
      <c r="K862" s="1">
        <f t="shared" si="166"/>
        <v>0</v>
      </c>
      <c r="L862" s="1">
        <f t="shared" si="170"/>
        <v>2.3821875000000001</v>
      </c>
      <c r="M862" s="1">
        <f t="shared" si="171"/>
        <v>2.3821875000000001</v>
      </c>
      <c r="N862" s="2">
        <f t="shared" si="178"/>
        <v>7.0523415977961434</v>
      </c>
      <c r="O862" s="1">
        <v>996</v>
      </c>
      <c r="P862" s="1">
        <f t="shared" si="172"/>
        <v>876</v>
      </c>
      <c r="Q862" s="1">
        <f t="shared" si="173"/>
        <v>2.7425056571450512</v>
      </c>
      <c r="R862" s="1">
        <f t="shared" si="174"/>
        <v>1.2833520062281329</v>
      </c>
      <c r="S862" s="2">
        <f t="shared" si="175"/>
        <v>10.313560588047508</v>
      </c>
      <c r="T862" s="2">
        <f t="shared" si="176"/>
        <v>0.18000558986535156</v>
      </c>
      <c r="U862" s="1" t="s">
        <v>2507</v>
      </c>
      <c r="V862" s="6" t="s">
        <v>2505</v>
      </c>
    </row>
    <row r="863" spans="1:22" ht="14.25" customHeight="1" x14ac:dyDescent="0.3">
      <c r="A863" s="1" t="s">
        <v>17</v>
      </c>
      <c r="B863" s="1" t="s">
        <v>1721</v>
      </c>
      <c r="C863" s="1" t="s">
        <v>1722</v>
      </c>
      <c r="D863" s="1">
        <f t="shared" si="167"/>
        <v>33</v>
      </c>
      <c r="E863" s="1">
        <f t="shared" si="168"/>
        <v>5.3125000000000004E-3</v>
      </c>
      <c r="F863" s="2">
        <f t="shared" si="169"/>
        <v>202.38852550587075</v>
      </c>
      <c r="G863" s="1">
        <v>2080</v>
      </c>
      <c r="H863" s="1">
        <v>3744</v>
      </c>
      <c r="I863" s="1">
        <v>0</v>
      </c>
      <c r="J863" s="1">
        <v>275</v>
      </c>
      <c r="K863" s="1">
        <f t="shared" si="166"/>
        <v>0</v>
      </c>
      <c r="L863" s="1">
        <f t="shared" si="170"/>
        <v>2.3996394230769229</v>
      </c>
      <c r="M863" s="1">
        <f t="shared" si="171"/>
        <v>2.3996394230769229</v>
      </c>
      <c r="N863" s="2">
        <f t="shared" si="178"/>
        <v>7.0010518407212627</v>
      </c>
      <c r="O863" s="1">
        <v>996</v>
      </c>
      <c r="P863" s="1">
        <f t="shared" si="172"/>
        <v>876</v>
      </c>
      <c r="Q863" s="1">
        <f t="shared" si="173"/>
        <v>2.7225601614567236</v>
      </c>
      <c r="R863" s="1">
        <f t="shared" si="174"/>
        <v>1.2740185370919284</v>
      </c>
      <c r="S863" s="2">
        <f t="shared" si="175"/>
        <v>10.313560588047508</v>
      </c>
      <c r="T863" s="2">
        <f t="shared" si="176"/>
        <v>0.18000558986535156</v>
      </c>
      <c r="U863" s="1" t="s">
        <v>2507</v>
      </c>
      <c r="V863" s="6" t="s">
        <v>2505</v>
      </c>
    </row>
    <row r="864" spans="1:22" ht="14.25" customHeight="1" x14ac:dyDescent="0.3">
      <c r="A864" s="1" t="s">
        <v>27</v>
      </c>
      <c r="B864" s="1" t="s">
        <v>924</v>
      </c>
      <c r="C864" s="1" t="s">
        <v>925</v>
      </c>
      <c r="D864" s="1">
        <f t="shared" si="167"/>
        <v>36</v>
      </c>
      <c r="E864" s="1">
        <f t="shared" si="168"/>
        <v>0.27359953703703704</v>
      </c>
      <c r="F864" s="2">
        <f t="shared" si="169"/>
        <v>222.92377859662733</v>
      </c>
      <c r="G864" s="1">
        <v>2080</v>
      </c>
      <c r="H864" s="1">
        <v>3744</v>
      </c>
      <c r="I864" s="1">
        <v>0</v>
      </c>
      <c r="J864" s="1">
        <v>129</v>
      </c>
      <c r="K864" s="1">
        <f t="shared" si="166"/>
        <v>0</v>
      </c>
      <c r="L864" s="1">
        <f t="shared" si="170"/>
        <v>1.1256490384615385</v>
      </c>
      <c r="M864" s="1">
        <f t="shared" si="171"/>
        <v>1.1256490384615385</v>
      </c>
      <c r="N864" s="2">
        <f t="shared" si="178"/>
        <v>14.924722916266257</v>
      </c>
      <c r="O864" s="1">
        <v>996</v>
      </c>
      <c r="P864" s="1">
        <f t="shared" si="172"/>
        <v>876</v>
      </c>
      <c r="Q864" s="1">
        <f t="shared" si="173"/>
        <v>5.8039073209348757</v>
      </c>
      <c r="R864" s="1">
        <f t="shared" si="174"/>
        <v>2.7159309899246535</v>
      </c>
      <c r="S864" s="2">
        <f t="shared" si="175"/>
        <v>10.313560588047508</v>
      </c>
      <c r="T864" s="2">
        <f t="shared" si="176"/>
        <v>0.18000558986535156</v>
      </c>
      <c r="U864" s="1" t="s">
        <v>2507</v>
      </c>
      <c r="V864" s="6" t="s">
        <v>2505</v>
      </c>
    </row>
    <row r="865" spans="1:22" ht="14.25" customHeight="1" x14ac:dyDescent="0.3">
      <c r="A865" s="1" t="s">
        <v>82</v>
      </c>
      <c r="B865" s="1" t="s">
        <v>1723</v>
      </c>
      <c r="C865" s="1" t="s">
        <v>1724</v>
      </c>
      <c r="D865" s="1">
        <f t="shared" si="167"/>
        <v>44</v>
      </c>
      <c r="E865" s="1">
        <f t="shared" si="168"/>
        <v>0.98166666666666658</v>
      </c>
      <c r="F865" s="2">
        <f t="shared" si="169"/>
        <v>277.63817803944977</v>
      </c>
      <c r="G865" s="1">
        <v>2080</v>
      </c>
      <c r="H865" s="1">
        <v>3744</v>
      </c>
      <c r="I865" s="1">
        <v>0</v>
      </c>
      <c r="J865" s="1">
        <v>138</v>
      </c>
      <c r="K865" s="1">
        <f t="shared" si="166"/>
        <v>0</v>
      </c>
      <c r="L865" s="1">
        <f t="shared" si="170"/>
        <v>1.2041826923076921</v>
      </c>
      <c r="M865" s="1">
        <f t="shared" si="171"/>
        <v>1.2041826923076921</v>
      </c>
      <c r="N865" s="2">
        <f t="shared" si="178"/>
        <v>13.951371421727156</v>
      </c>
      <c r="O865" s="1">
        <v>993</v>
      </c>
      <c r="P865" s="1">
        <f t="shared" si="172"/>
        <v>879</v>
      </c>
      <c r="Q865" s="1">
        <f t="shared" si="173"/>
        <v>5.4253916260912982</v>
      </c>
      <c r="R865" s="1">
        <f t="shared" si="174"/>
        <v>2.5474995936614588</v>
      </c>
      <c r="S865" s="2">
        <f t="shared" si="175"/>
        <v>10.34811916405487</v>
      </c>
      <c r="T865" s="2">
        <f t="shared" si="176"/>
        <v>0.18060875080148073</v>
      </c>
      <c r="U865" s="1" t="s">
        <v>2507</v>
      </c>
      <c r="V865" s="6" t="s">
        <v>2505</v>
      </c>
    </row>
    <row r="866" spans="1:22" ht="14.25" customHeight="1" x14ac:dyDescent="0.3">
      <c r="A866" s="1" t="s">
        <v>27</v>
      </c>
      <c r="B866" s="1" t="s">
        <v>1725</v>
      </c>
      <c r="C866" s="1" t="s">
        <v>1726</v>
      </c>
      <c r="D866" s="1">
        <f t="shared" si="167"/>
        <v>34</v>
      </c>
      <c r="E866" s="1">
        <f t="shared" si="168"/>
        <v>0.10114583333333334</v>
      </c>
      <c r="F866" s="2">
        <f t="shared" si="169"/>
        <v>209.27384940498837</v>
      </c>
      <c r="G866" s="1">
        <v>2080</v>
      </c>
      <c r="H866" s="1">
        <v>3744</v>
      </c>
      <c r="I866" s="1">
        <v>0</v>
      </c>
      <c r="J866" s="1">
        <v>191</v>
      </c>
      <c r="K866" s="1">
        <f t="shared" si="166"/>
        <v>0</v>
      </c>
      <c r="L866" s="1">
        <f t="shared" si="170"/>
        <v>1.6666586538461536</v>
      </c>
      <c r="M866" s="1">
        <f t="shared" si="171"/>
        <v>1.6666586538461536</v>
      </c>
      <c r="N866" s="2">
        <f t="shared" si="178"/>
        <v>10.080048461771453</v>
      </c>
      <c r="O866" s="1">
        <v>992</v>
      </c>
      <c r="P866" s="1">
        <f t="shared" si="172"/>
        <v>880</v>
      </c>
      <c r="Q866" s="1">
        <f t="shared" si="173"/>
        <v>3.9199164628303618</v>
      </c>
      <c r="R866" s="1">
        <f t="shared" si="174"/>
        <v>1.8426957731253837</v>
      </c>
      <c r="S866" s="2">
        <f t="shared" si="175"/>
        <v>10.359636999256765</v>
      </c>
      <c r="T866" s="2">
        <f t="shared" si="176"/>
        <v>0.1808097749484559</v>
      </c>
      <c r="U866" s="1" t="s">
        <v>2507</v>
      </c>
      <c r="V866" s="6" t="s">
        <v>2505</v>
      </c>
    </row>
    <row r="867" spans="1:22" ht="14.25" customHeight="1" x14ac:dyDescent="0.3">
      <c r="A867" s="1" t="s">
        <v>40</v>
      </c>
      <c r="B867" s="1" t="s">
        <v>1727</v>
      </c>
      <c r="C867" s="1" t="s">
        <v>1728</v>
      </c>
      <c r="D867" s="1">
        <f t="shared" si="167"/>
        <v>93</v>
      </c>
      <c r="E867" s="1">
        <f t="shared" si="168"/>
        <v>0.95596064814814818</v>
      </c>
      <c r="F867" s="2">
        <f t="shared" si="169"/>
        <v>585.35274241338789</v>
      </c>
      <c r="G867" s="1">
        <v>2080</v>
      </c>
      <c r="H867" s="1">
        <v>3744</v>
      </c>
      <c r="I867" s="1">
        <v>0</v>
      </c>
      <c r="J867" s="1">
        <v>117</v>
      </c>
      <c r="K867" s="1">
        <f t="shared" si="166"/>
        <v>0</v>
      </c>
      <c r="L867" s="1">
        <f t="shared" si="170"/>
        <v>1.0209374999999998</v>
      </c>
      <c r="M867" s="1">
        <f t="shared" si="171"/>
        <v>1.0209374999999998</v>
      </c>
      <c r="N867" s="2">
        <f t="shared" si="178"/>
        <v>16.455463728191003</v>
      </c>
      <c r="O867" s="1">
        <v>990</v>
      </c>
      <c r="P867" s="1">
        <f t="shared" si="172"/>
        <v>882</v>
      </c>
      <c r="Q867" s="1">
        <f t="shared" si="173"/>
        <v>6.3991798666717861</v>
      </c>
      <c r="R867" s="1">
        <f t="shared" si="174"/>
        <v>3.0149982064126686</v>
      </c>
      <c r="S867" s="2">
        <f t="shared" si="175"/>
        <v>10.382670129433112</v>
      </c>
      <c r="T867" s="2">
        <f t="shared" si="176"/>
        <v>0.18121177890707363</v>
      </c>
      <c r="U867" s="1" t="s">
        <v>2507</v>
      </c>
      <c r="V867" s="6" t="s">
        <v>2505</v>
      </c>
    </row>
    <row r="868" spans="1:22" ht="14.25" customHeight="1" x14ac:dyDescent="0.3">
      <c r="A868" s="1" t="s">
        <v>357</v>
      </c>
      <c r="B868" s="1" t="s">
        <v>1729</v>
      </c>
      <c r="C868" s="1" t="s">
        <v>1730</v>
      </c>
      <c r="D868" s="1">
        <f t="shared" si="167"/>
        <v>17</v>
      </c>
      <c r="E868" s="1">
        <f t="shared" si="168"/>
        <v>0.87374999999999992</v>
      </c>
      <c r="F868" s="2">
        <f t="shared" si="169"/>
        <v>107.31411433120114</v>
      </c>
      <c r="G868" s="1">
        <v>2080</v>
      </c>
      <c r="H868" s="1">
        <v>3744</v>
      </c>
      <c r="I868" s="1">
        <v>0</v>
      </c>
      <c r="J868" s="1">
        <v>591</v>
      </c>
      <c r="K868" s="1">
        <f t="shared" si="166"/>
        <v>0</v>
      </c>
      <c r="L868" s="1">
        <f t="shared" si="170"/>
        <v>5.1570432692307691</v>
      </c>
      <c r="M868" s="1">
        <f t="shared" si="171"/>
        <v>5.1570432692307691</v>
      </c>
      <c r="N868" s="2">
        <f t="shared" si="178"/>
        <v>3.2576806365454267</v>
      </c>
      <c r="O868" s="1">
        <v>990</v>
      </c>
      <c r="P868" s="1">
        <f t="shared" si="172"/>
        <v>882</v>
      </c>
      <c r="Q868" s="1">
        <f t="shared" si="173"/>
        <v>1.2668427147218257</v>
      </c>
      <c r="R868" s="1">
        <f t="shared" si="174"/>
        <v>0.59687781751316793</v>
      </c>
      <c r="S868" s="2">
        <f t="shared" si="175"/>
        <v>10.382670129433114</v>
      </c>
      <c r="T868" s="2">
        <f t="shared" si="176"/>
        <v>0.18121177890707366</v>
      </c>
      <c r="U868" s="1" t="s">
        <v>2507</v>
      </c>
      <c r="V868" s="6" t="s">
        <v>2505</v>
      </c>
    </row>
    <row r="869" spans="1:22" ht="14.25" customHeight="1" x14ac:dyDescent="0.3">
      <c r="A869" s="1" t="s">
        <v>82</v>
      </c>
      <c r="B869" s="1" t="s">
        <v>1731</v>
      </c>
      <c r="C869" s="1" t="s">
        <v>1732</v>
      </c>
      <c r="D869" s="1">
        <f t="shared" si="167"/>
        <v>14</v>
      </c>
      <c r="E869" s="1">
        <f t="shared" si="168"/>
        <v>0.3963888888888889</v>
      </c>
      <c r="F869" s="2">
        <f t="shared" si="169"/>
        <v>85.465210090110119</v>
      </c>
      <c r="G869" s="1">
        <v>2080</v>
      </c>
      <c r="H869" s="1">
        <v>3744</v>
      </c>
      <c r="I869" s="1">
        <v>0</v>
      </c>
      <c r="J869" s="1">
        <v>580</v>
      </c>
      <c r="K869" s="1">
        <f t="shared" si="166"/>
        <v>0</v>
      </c>
      <c r="L869" s="1">
        <f t="shared" si="170"/>
        <v>5.061057692307692</v>
      </c>
      <c r="M869" s="1">
        <f t="shared" si="171"/>
        <v>5.061057692307692</v>
      </c>
      <c r="N869" s="2">
        <f t="shared" si="178"/>
        <v>3.319464234824737</v>
      </c>
      <c r="O869" s="1">
        <v>988</v>
      </c>
      <c r="P869" s="1">
        <f t="shared" si="172"/>
        <v>884</v>
      </c>
      <c r="Q869" s="1">
        <f t="shared" si="173"/>
        <v>1.2908690420699984</v>
      </c>
      <c r="R869" s="1">
        <f t="shared" si="174"/>
        <v>0.60957704764416587</v>
      </c>
      <c r="S869" s="2">
        <f t="shared" si="175"/>
        <v>10.405699867059713</v>
      </c>
      <c r="T869" s="2">
        <f t="shared" si="176"/>
        <v>0.18161372365452824</v>
      </c>
      <c r="U869" s="1" t="s">
        <v>2507</v>
      </c>
      <c r="V869" s="6" t="s">
        <v>2505</v>
      </c>
    </row>
    <row r="870" spans="1:22" ht="14.25" customHeight="1" x14ac:dyDescent="0.3">
      <c r="A870" s="1" t="s">
        <v>17</v>
      </c>
      <c r="B870" s="1" t="s">
        <v>1733</v>
      </c>
      <c r="C870" s="1" t="s">
        <v>1734</v>
      </c>
      <c r="D870" s="1">
        <f t="shared" si="167"/>
        <v>16</v>
      </c>
      <c r="E870" s="1">
        <f t="shared" si="168"/>
        <v>0.23020833333333335</v>
      </c>
      <c r="F870" s="2">
        <f t="shared" si="169"/>
        <v>96.987437479463679</v>
      </c>
      <c r="G870" s="1">
        <v>2080</v>
      </c>
      <c r="H870" s="1">
        <v>3744</v>
      </c>
      <c r="I870" s="1">
        <v>0</v>
      </c>
      <c r="J870" s="1">
        <v>175</v>
      </c>
      <c r="K870" s="1">
        <f t="shared" si="166"/>
        <v>0</v>
      </c>
      <c r="L870" s="1">
        <f t="shared" si="170"/>
        <v>1.5270432692307689</v>
      </c>
      <c r="M870" s="1">
        <f t="shared" si="171"/>
        <v>1.5270432692307689</v>
      </c>
      <c r="N870" s="2">
        <f t="shared" si="178"/>
        <v>11.001652892561985</v>
      </c>
      <c r="O870" s="1">
        <v>988</v>
      </c>
      <c r="P870" s="1">
        <f t="shared" si="172"/>
        <v>884</v>
      </c>
      <c r="Q870" s="1">
        <f t="shared" si="173"/>
        <v>4.2783088251462802</v>
      </c>
      <c r="R870" s="1">
        <f t="shared" si="174"/>
        <v>2.020312500763521</v>
      </c>
      <c r="S870" s="2">
        <f t="shared" si="175"/>
        <v>10.405699867059713</v>
      </c>
      <c r="T870" s="2">
        <f t="shared" si="176"/>
        <v>0.18161372365452824</v>
      </c>
      <c r="U870" s="1" t="s">
        <v>2507</v>
      </c>
      <c r="V870" s="6" t="s">
        <v>2505</v>
      </c>
    </row>
    <row r="871" spans="1:22" ht="14.25" customHeight="1" x14ac:dyDescent="0.3">
      <c r="A871" s="1" t="s">
        <v>27</v>
      </c>
      <c r="B871" s="1" t="s">
        <v>1735</v>
      </c>
      <c r="C871" s="1" t="s">
        <v>1736</v>
      </c>
      <c r="D871" s="1">
        <f t="shared" si="167"/>
        <v>86</v>
      </c>
      <c r="E871" s="1">
        <f t="shared" si="168"/>
        <v>0.28734953703703703</v>
      </c>
      <c r="F871" s="2">
        <f t="shared" si="169"/>
        <v>537.16943775358038</v>
      </c>
      <c r="G871" s="1">
        <v>2080</v>
      </c>
      <c r="H871" s="1">
        <v>3744</v>
      </c>
      <c r="I871" s="1">
        <v>0</v>
      </c>
      <c r="J871" s="1">
        <v>210</v>
      </c>
      <c r="K871" s="1">
        <f t="shared" si="166"/>
        <v>0</v>
      </c>
      <c r="L871" s="1">
        <f t="shared" si="170"/>
        <v>1.832451923076923</v>
      </c>
      <c r="M871" s="1">
        <f t="shared" si="171"/>
        <v>1.832451923076923</v>
      </c>
      <c r="N871" s="2">
        <f t="shared" si="178"/>
        <v>9.1680440771349865</v>
      </c>
      <c r="O871" s="1">
        <v>988</v>
      </c>
      <c r="P871" s="1">
        <f t="shared" si="172"/>
        <v>884</v>
      </c>
      <c r="Q871" s="1">
        <f t="shared" si="173"/>
        <v>3.5652573542885664</v>
      </c>
      <c r="R871" s="1">
        <f t="shared" si="174"/>
        <v>1.6835937506362675</v>
      </c>
      <c r="S871" s="2">
        <f t="shared" si="175"/>
        <v>10.405699867059715</v>
      </c>
      <c r="T871" s="2">
        <f t="shared" si="176"/>
        <v>0.18161372365452827</v>
      </c>
      <c r="U871" s="1" t="s">
        <v>2507</v>
      </c>
      <c r="V871" s="6" t="s">
        <v>2505</v>
      </c>
    </row>
    <row r="872" spans="1:22" ht="14.25" customHeight="1" x14ac:dyDescent="0.3">
      <c r="A872" s="1" t="s">
        <v>27</v>
      </c>
      <c r="B872" s="1" t="s">
        <v>1737</v>
      </c>
      <c r="C872" s="1" t="s">
        <v>1738</v>
      </c>
      <c r="D872" s="1">
        <f t="shared" si="167"/>
        <v>83</v>
      </c>
      <c r="E872" s="1">
        <f t="shared" si="168"/>
        <v>0.26959490740740738</v>
      </c>
      <c r="F872" s="2">
        <f t="shared" si="169"/>
        <v>518.20832620401836</v>
      </c>
      <c r="G872" s="1">
        <v>2080</v>
      </c>
      <c r="H872" s="1">
        <v>3744</v>
      </c>
      <c r="I872" s="1">
        <v>0</v>
      </c>
      <c r="J872" s="1">
        <v>126</v>
      </c>
      <c r="K872" s="1">
        <f t="shared" si="166"/>
        <v>0</v>
      </c>
      <c r="L872" s="1">
        <f t="shared" si="170"/>
        <v>1.0994711538461537</v>
      </c>
      <c r="M872" s="1">
        <f t="shared" si="171"/>
        <v>1.0994711538461537</v>
      </c>
      <c r="N872" s="2">
        <f t="shared" si="178"/>
        <v>15.280073461891647</v>
      </c>
      <c r="O872" s="1">
        <v>987</v>
      </c>
      <c r="P872" s="1">
        <f t="shared" si="172"/>
        <v>885</v>
      </c>
      <c r="Q872" s="1">
        <f t="shared" si="173"/>
        <v>5.9420955904809452</v>
      </c>
      <c r="R872" s="1">
        <f t="shared" si="174"/>
        <v>2.809163780756216</v>
      </c>
      <c r="S872" s="2">
        <f t="shared" si="175"/>
        <v>10.417213461575916</v>
      </c>
      <c r="T872" s="2">
        <f t="shared" si="176"/>
        <v>0.18181467378757554</v>
      </c>
      <c r="U872" s="1" t="s">
        <v>2507</v>
      </c>
      <c r="V872" s="6" t="s">
        <v>2505</v>
      </c>
    </row>
    <row r="873" spans="1:22" ht="14.25" customHeight="1" x14ac:dyDescent="0.3">
      <c r="A873" s="1" t="s">
        <v>27</v>
      </c>
      <c r="B873" s="1" t="s">
        <v>1739</v>
      </c>
      <c r="C873" s="1" t="s">
        <v>1740</v>
      </c>
      <c r="D873" s="1">
        <f t="shared" si="167"/>
        <v>48</v>
      </c>
      <c r="E873" s="1">
        <f t="shared" si="168"/>
        <v>0.2942939814814815</v>
      </c>
      <c r="F873" s="2">
        <f t="shared" si="169"/>
        <v>298.45202931205597</v>
      </c>
      <c r="G873" s="1">
        <v>2080</v>
      </c>
      <c r="H873" s="1">
        <v>3744</v>
      </c>
      <c r="I873" s="1">
        <v>0</v>
      </c>
      <c r="J873" s="1">
        <v>121</v>
      </c>
      <c r="K873" s="1">
        <f t="shared" si="166"/>
        <v>0</v>
      </c>
      <c r="L873" s="1">
        <f t="shared" si="170"/>
        <v>1.0558413461538461</v>
      </c>
      <c r="M873" s="1">
        <f t="shared" si="171"/>
        <v>1.0558413461538461</v>
      </c>
      <c r="N873" s="2">
        <f t="shared" si="178"/>
        <v>15.911481456184688</v>
      </c>
      <c r="O873" s="1">
        <v>986</v>
      </c>
      <c r="P873" s="1">
        <f t="shared" si="172"/>
        <v>886</v>
      </c>
      <c r="Q873" s="1">
        <f t="shared" si="173"/>
        <v>6.1876367305834625</v>
      </c>
      <c r="R873" s="1">
        <f t="shared" si="174"/>
        <v>2.9285502902227285</v>
      </c>
      <c r="S873" s="2">
        <f t="shared" si="175"/>
        <v>10.428726205446344</v>
      </c>
      <c r="T873" s="2">
        <f t="shared" si="176"/>
        <v>0.18201560907405329</v>
      </c>
      <c r="U873" s="1" t="s">
        <v>2507</v>
      </c>
      <c r="V873" s="6" t="s">
        <v>2505</v>
      </c>
    </row>
    <row r="874" spans="1:22" ht="14.25" customHeight="1" x14ac:dyDescent="0.3">
      <c r="A874" s="1" t="s">
        <v>286</v>
      </c>
      <c r="B874" s="1" t="s">
        <v>1741</v>
      </c>
      <c r="C874" s="1" t="s">
        <v>1742</v>
      </c>
      <c r="D874" s="1">
        <f t="shared" si="167"/>
        <v>44</v>
      </c>
      <c r="E874" s="1">
        <f t="shared" si="168"/>
        <v>0.80076388888888894</v>
      </c>
      <c r="F874" s="2">
        <f t="shared" si="169"/>
        <v>276.50153236408846</v>
      </c>
      <c r="G874" s="1">
        <v>2080</v>
      </c>
      <c r="H874" s="1">
        <v>3744</v>
      </c>
      <c r="I874" s="1">
        <v>0</v>
      </c>
      <c r="J874" s="1">
        <v>193</v>
      </c>
      <c r="K874" s="1">
        <f t="shared" si="166"/>
        <v>0</v>
      </c>
      <c r="L874" s="1">
        <f t="shared" si="170"/>
        <v>1.6841105769230769</v>
      </c>
      <c r="M874" s="1">
        <f t="shared" si="171"/>
        <v>1.6841105769230769</v>
      </c>
      <c r="N874" s="2">
        <f t="shared" si="178"/>
        <v>9.9755920010277066</v>
      </c>
      <c r="O874" s="1">
        <v>984</v>
      </c>
      <c r="P874" s="1">
        <f t="shared" si="172"/>
        <v>888</v>
      </c>
      <c r="Q874" s="1">
        <f t="shared" si="173"/>
        <v>3.8792955668424822</v>
      </c>
      <c r="R874" s="1">
        <f t="shared" si="174"/>
        <v>1.8401786663227158</v>
      </c>
      <c r="S874" s="2">
        <f t="shared" si="175"/>
        <v>10.45174913790914</v>
      </c>
      <c r="T874" s="2">
        <f t="shared" si="176"/>
        <v>0.18241743504899338</v>
      </c>
      <c r="U874" s="1" t="s">
        <v>2507</v>
      </c>
      <c r="V874" s="6" t="s">
        <v>2505</v>
      </c>
    </row>
    <row r="875" spans="1:22" ht="14.25" customHeight="1" x14ac:dyDescent="0.3">
      <c r="A875" s="1" t="s">
        <v>27</v>
      </c>
      <c r="B875" s="1" t="s">
        <v>1743</v>
      </c>
      <c r="C875" s="1" t="s">
        <v>1744</v>
      </c>
      <c r="D875" s="1">
        <f t="shared" si="167"/>
        <v>48</v>
      </c>
      <c r="E875" s="1">
        <f t="shared" si="168"/>
        <v>0.29353009259259261</v>
      </c>
      <c r="F875" s="2">
        <f t="shared" si="169"/>
        <v>298.44722965661299</v>
      </c>
      <c r="G875" s="1">
        <v>2080</v>
      </c>
      <c r="H875" s="1">
        <v>3744</v>
      </c>
      <c r="I875" s="1">
        <v>0</v>
      </c>
      <c r="J875" s="1">
        <v>108</v>
      </c>
      <c r="K875" s="1">
        <f t="shared" si="166"/>
        <v>0</v>
      </c>
      <c r="L875" s="1">
        <f t="shared" si="170"/>
        <v>0.94240384615384609</v>
      </c>
      <c r="M875" s="1">
        <f t="shared" si="171"/>
        <v>0.94240384615384609</v>
      </c>
      <c r="N875" s="2">
        <f t="shared" si="178"/>
        <v>17.826752372206919</v>
      </c>
      <c r="O875" s="1">
        <v>983</v>
      </c>
      <c r="P875" s="1">
        <f t="shared" si="172"/>
        <v>889</v>
      </c>
      <c r="Q875" s="1">
        <f t="shared" si="173"/>
        <v>6.9324448555611013</v>
      </c>
      <c r="R875" s="1">
        <f t="shared" si="174"/>
        <v>3.2921706605736212</v>
      </c>
      <c r="S875" s="2">
        <f t="shared" si="175"/>
        <v>10.463259324832141</v>
      </c>
      <c r="T875" s="2">
        <f t="shared" si="176"/>
        <v>0.18261832570831973</v>
      </c>
      <c r="U875" s="1" t="s">
        <v>2507</v>
      </c>
      <c r="V875" s="6" t="s">
        <v>2505</v>
      </c>
    </row>
    <row r="876" spans="1:22" ht="14.25" customHeight="1" x14ac:dyDescent="0.3">
      <c r="A876" s="1" t="s">
        <v>40</v>
      </c>
      <c r="B876" s="1" t="s">
        <v>1745</v>
      </c>
      <c r="C876" s="1" t="s">
        <v>1746</v>
      </c>
      <c r="D876" s="1">
        <f t="shared" si="167"/>
        <v>75</v>
      </c>
      <c r="E876" s="1">
        <f t="shared" si="168"/>
        <v>0.88215277777777779</v>
      </c>
      <c r="F876" s="2">
        <f t="shared" si="169"/>
        <v>471.79165835748995</v>
      </c>
      <c r="G876" s="1">
        <v>2080</v>
      </c>
      <c r="H876" s="1">
        <v>3744</v>
      </c>
      <c r="I876" s="1">
        <v>0</v>
      </c>
      <c r="J876" s="1">
        <v>291</v>
      </c>
      <c r="K876" s="1">
        <f t="shared" si="166"/>
        <v>0</v>
      </c>
      <c r="L876" s="1">
        <f t="shared" si="170"/>
        <v>2.5392548076923074</v>
      </c>
      <c r="M876" s="1">
        <f t="shared" si="171"/>
        <v>2.5392548076923074</v>
      </c>
      <c r="N876" s="2">
        <f t="shared" si="178"/>
        <v>6.6161142824685477</v>
      </c>
      <c r="O876" s="1">
        <v>983</v>
      </c>
      <c r="P876" s="1">
        <f t="shared" si="172"/>
        <v>889</v>
      </c>
      <c r="Q876" s="1">
        <f t="shared" si="173"/>
        <v>2.5728661319608213</v>
      </c>
      <c r="R876" s="1">
        <f t="shared" si="174"/>
        <v>1.2218365338211379</v>
      </c>
      <c r="S876" s="2">
        <f t="shared" si="175"/>
        <v>10.463259324832141</v>
      </c>
      <c r="T876" s="2">
        <f t="shared" si="176"/>
        <v>0.18261832570831973</v>
      </c>
      <c r="U876" s="1" t="s">
        <v>2507</v>
      </c>
      <c r="V876" s="6" t="s">
        <v>2505</v>
      </c>
    </row>
    <row r="877" spans="1:22" ht="14.25" customHeight="1" x14ac:dyDescent="0.3">
      <c r="A877" s="1" t="s">
        <v>27</v>
      </c>
      <c r="B877" s="1" t="s">
        <v>1747</v>
      </c>
      <c r="C877" s="1" t="s">
        <v>1748</v>
      </c>
      <c r="D877" s="1">
        <f t="shared" si="167"/>
        <v>38</v>
      </c>
      <c r="E877" s="1">
        <f t="shared" si="168"/>
        <v>0.74309027777777781</v>
      </c>
      <c r="F877" s="2">
        <f t="shared" si="169"/>
        <v>238.44004653506559</v>
      </c>
      <c r="G877" s="1">
        <v>2080</v>
      </c>
      <c r="H877" s="1">
        <v>3744</v>
      </c>
      <c r="I877" s="1">
        <v>0</v>
      </c>
      <c r="J877" s="1">
        <v>94</v>
      </c>
      <c r="K877" s="1">
        <f t="shared" si="166"/>
        <v>0</v>
      </c>
      <c r="L877" s="1">
        <f t="shared" si="170"/>
        <v>0.82024038461538462</v>
      </c>
      <c r="M877" s="1">
        <f t="shared" si="171"/>
        <v>0.82024038461538462</v>
      </c>
      <c r="N877" s="2">
        <f t="shared" si="178"/>
        <v>20.481800597854757</v>
      </c>
      <c r="O877" s="1">
        <v>983</v>
      </c>
      <c r="P877" s="1">
        <f t="shared" si="172"/>
        <v>889</v>
      </c>
      <c r="Q877" s="1">
        <f t="shared" si="173"/>
        <v>7.9649366425595636</v>
      </c>
      <c r="R877" s="1">
        <f t="shared" si="174"/>
        <v>3.7824939504462884</v>
      </c>
      <c r="S877" s="2">
        <f t="shared" si="175"/>
        <v>10.463259324832142</v>
      </c>
      <c r="T877" s="2">
        <f t="shared" si="176"/>
        <v>0.18261832570831976</v>
      </c>
      <c r="U877" s="1" t="s">
        <v>2507</v>
      </c>
      <c r="V877" s="6" t="s">
        <v>2505</v>
      </c>
    </row>
    <row r="878" spans="1:22" ht="14.25" customHeight="1" x14ac:dyDescent="0.3">
      <c r="A878" s="1" t="s">
        <v>27</v>
      </c>
      <c r="B878" s="1" t="s">
        <v>1749</v>
      </c>
      <c r="C878" s="1" t="s">
        <v>1750</v>
      </c>
      <c r="D878" s="1">
        <f t="shared" si="167"/>
        <v>71</v>
      </c>
      <c r="E878" s="1">
        <f t="shared" si="168"/>
        <v>0.75122685185185178</v>
      </c>
      <c r="F878" s="2">
        <f t="shared" si="169"/>
        <v>445.83628527466499</v>
      </c>
      <c r="G878" s="1">
        <v>2080</v>
      </c>
      <c r="H878" s="1">
        <v>3744</v>
      </c>
      <c r="I878" s="1">
        <v>0</v>
      </c>
      <c r="J878" s="1">
        <v>319</v>
      </c>
      <c r="K878" s="1">
        <f t="shared" ref="K878:K941" si="179">(32.67*I878)/H878</f>
        <v>0</v>
      </c>
      <c r="L878" s="1">
        <f t="shared" si="170"/>
        <v>2.7835817307692303</v>
      </c>
      <c r="M878" s="1">
        <f t="shared" si="171"/>
        <v>2.7835817307692303</v>
      </c>
      <c r="N878" s="2">
        <f t="shared" si="178"/>
        <v>6.035389517863158</v>
      </c>
      <c r="O878" s="1">
        <v>981</v>
      </c>
      <c r="P878" s="1">
        <f t="shared" si="172"/>
        <v>891</v>
      </c>
      <c r="Q878" s="1">
        <f t="shared" si="173"/>
        <v>2.3470346219454514</v>
      </c>
      <c r="R878" s="1">
        <f t="shared" si="174"/>
        <v>1.1170982094836523</v>
      </c>
      <c r="S878" s="2">
        <f t="shared" si="175"/>
        <v>10.48627713589091</v>
      </c>
      <c r="T878" s="2">
        <f t="shared" si="176"/>
        <v>0.18302006229789722</v>
      </c>
      <c r="U878" s="1" t="s">
        <v>2507</v>
      </c>
      <c r="V878" s="6" t="s">
        <v>2505</v>
      </c>
    </row>
    <row r="879" spans="1:22" ht="14.25" customHeight="1" x14ac:dyDescent="0.3">
      <c r="A879" s="1" t="s">
        <v>17</v>
      </c>
      <c r="B879" s="1" t="s">
        <v>1751</v>
      </c>
      <c r="C879" s="1" t="s">
        <v>1752</v>
      </c>
      <c r="D879" s="1">
        <f t="shared" si="167"/>
        <v>10</v>
      </c>
      <c r="E879" s="1">
        <f t="shared" si="168"/>
        <v>0.25364583333333335</v>
      </c>
      <c r="F879" s="2">
        <f t="shared" si="169"/>
        <v>59.435587792023178</v>
      </c>
      <c r="G879" s="1">
        <v>2080</v>
      </c>
      <c r="H879" s="1">
        <v>3744</v>
      </c>
      <c r="I879" s="1">
        <v>0</v>
      </c>
      <c r="J879" s="1">
        <v>198</v>
      </c>
      <c r="K879" s="1">
        <f t="shared" si="179"/>
        <v>0</v>
      </c>
      <c r="L879" s="1">
        <f t="shared" si="170"/>
        <v>1.7277403846153845</v>
      </c>
      <c r="M879" s="1">
        <f t="shared" si="171"/>
        <v>1.7277403846153845</v>
      </c>
      <c r="N879" s="2">
        <f t="shared" si="178"/>
        <v>9.723683112112866</v>
      </c>
      <c r="O879" s="1">
        <v>976</v>
      </c>
      <c r="P879" s="1">
        <f t="shared" si="172"/>
        <v>896</v>
      </c>
      <c r="Q879" s="1">
        <f t="shared" si="173"/>
        <v>3.7813335575787832</v>
      </c>
      <c r="R879" s="1">
        <f t="shared" si="174"/>
        <v>1.8098690532001014</v>
      </c>
      <c r="S879" s="2">
        <f t="shared" si="175"/>
        <v>10.543806675068236</v>
      </c>
      <c r="T879" s="2">
        <f t="shared" si="176"/>
        <v>0.18402414217369664</v>
      </c>
      <c r="U879" s="1" t="s">
        <v>2507</v>
      </c>
      <c r="V879" s="6" t="s">
        <v>2505</v>
      </c>
    </row>
    <row r="880" spans="1:22" ht="14.25" customHeight="1" x14ac:dyDescent="0.3">
      <c r="A880" s="1" t="s">
        <v>40</v>
      </c>
      <c r="B880" s="1" t="s">
        <v>1753</v>
      </c>
      <c r="C880" s="1" t="s">
        <v>1754</v>
      </c>
      <c r="D880" s="1">
        <f t="shared" si="167"/>
        <v>41</v>
      </c>
      <c r="E880" s="1">
        <f t="shared" si="168"/>
        <v>0.94241898148148151</v>
      </c>
      <c r="F880" s="2">
        <f t="shared" si="169"/>
        <v>258.54202163901465</v>
      </c>
      <c r="G880" s="1">
        <v>2080</v>
      </c>
      <c r="H880" s="1">
        <v>3744</v>
      </c>
      <c r="I880" s="1">
        <v>0</v>
      </c>
      <c r="J880" s="1">
        <v>108</v>
      </c>
      <c r="K880" s="1">
        <f t="shared" si="179"/>
        <v>0</v>
      </c>
      <c r="L880" s="1">
        <f t="shared" si="170"/>
        <v>0.94240384615384609</v>
      </c>
      <c r="M880" s="1">
        <f t="shared" si="171"/>
        <v>0.94240384615384609</v>
      </c>
      <c r="N880" s="2">
        <f t="shared" si="178"/>
        <v>17.826752372206919</v>
      </c>
      <c r="O880" s="1">
        <v>976</v>
      </c>
      <c r="P880" s="1">
        <f t="shared" si="172"/>
        <v>896</v>
      </c>
      <c r="Q880" s="1">
        <f t="shared" si="173"/>
        <v>6.9324448555611013</v>
      </c>
      <c r="R880" s="1">
        <f t="shared" si="174"/>
        <v>3.3180932642001855</v>
      </c>
      <c r="S880" s="2">
        <f t="shared" si="175"/>
        <v>10.543806675068236</v>
      </c>
      <c r="T880" s="2">
        <f t="shared" si="176"/>
        <v>0.18402414217369664</v>
      </c>
      <c r="U880" s="1" t="s">
        <v>2507</v>
      </c>
      <c r="V880" s="6" t="s">
        <v>2505</v>
      </c>
    </row>
    <row r="881" spans="1:24" ht="14.25" customHeight="1" x14ac:dyDescent="0.3">
      <c r="A881" s="1" t="s">
        <v>27</v>
      </c>
      <c r="B881" s="1" t="s">
        <v>1755</v>
      </c>
      <c r="C881" s="1" t="s">
        <v>1756</v>
      </c>
      <c r="D881" s="1">
        <f t="shared" si="167"/>
        <v>25</v>
      </c>
      <c r="E881" s="1">
        <f t="shared" si="168"/>
        <v>4.9490740740740745E-2</v>
      </c>
      <c r="F881" s="2">
        <f t="shared" si="169"/>
        <v>152.40062312155331</v>
      </c>
      <c r="G881" s="1">
        <v>2080</v>
      </c>
      <c r="H881" s="1">
        <v>3744</v>
      </c>
      <c r="I881" s="1">
        <v>0</v>
      </c>
      <c r="J881" s="1">
        <v>210</v>
      </c>
      <c r="K881" s="1">
        <f t="shared" si="179"/>
        <v>0</v>
      </c>
      <c r="L881" s="1">
        <f t="shared" si="170"/>
        <v>1.832451923076923</v>
      </c>
      <c r="M881" s="1">
        <f t="shared" si="171"/>
        <v>1.832451923076923</v>
      </c>
      <c r="N881" s="2">
        <f t="shared" si="178"/>
        <v>9.1680440771349865</v>
      </c>
      <c r="O881" s="1">
        <v>975</v>
      </c>
      <c r="P881" s="1">
        <f t="shared" si="172"/>
        <v>897</v>
      </c>
      <c r="Q881" s="1">
        <f t="shared" si="173"/>
        <v>3.5652573542885664</v>
      </c>
      <c r="R881" s="1">
        <f t="shared" si="174"/>
        <v>1.7083524822632714</v>
      </c>
      <c r="S881" s="2">
        <f t="shared" si="175"/>
        <v>10.555310006794279</v>
      </c>
      <c r="T881" s="2">
        <f t="shared" si="176"/>
        <v>0.18422491318726522</v>
      </c>
      <c r="U881" s="1" t="s">
        <v>2507</v>
      </c>
      <c r="V881" s="6" t="s">
        <v>2505</v>
      </c>
    </row>
    <row r="882" spans="1:24" ht="14.25" customHeight="1" x14ac:dyDescent="0.3">
      <c r="A882" s="1" t="s">
        <v>40</v>
      </c>
      <c r="B882" s="1" t="s">
        <v>1757</v>
      </c>
      <c r="C882" s="1" t="s">
        <v>1758</v>
      </c>
      <c r="D882" s="1">
        <f t="shared" si="167"/>
        <v>29</v>
      </c>
      <c r="E882" s="1">
        <f t="shared" si="168"/>
        <v>0.21831018518518519</v>
      </c>
      <c r="F882" s="2">
        <f t="shared" si="169"/>
        <v>178.5940882031712</v>
      </c>
      <c r="G882" s="1">
        <v>2080</v>
      </c>
      <c r="H882" s="1">
        <v>3744</v>
      </c>
      <c r="I882" s="1">
        <v>0</v>
      </c>
      <c r="J882" s="1">
        <v>216</v>
      </c>
      <c r="K882" s="1">
        <f t="shared" si="179"/>
        <v>0</v>
      </c>
      <c r="L882" s="1">
        <f t="shared" si="170"/>
        <v>1.8848076923076922</v>
      </c>
      <c r="M882" s="1">
        <f t="shared" si="171"/>
        <v>1.8848076923076922</v>
      </c>
      <c r="N882" s="2">
        <f t="shared" si="178"/>
        <v>8.9133761861034593</v>
      </c>
      <c r="O882" s="1">
        <v>972</v>
      </c>
      <c r="P882" s="1">
        <f t="shared" si="172"/>
        <v>900</v>
      </c>
      <c r="Q882" s="1">
        <f t="shared" si="173"/>
        <v>3.4662224277805507</v>
      </c>
      <c r="R882" s="1">
        <f t="shared" si="174"/>
        <v>1.666453090279111</v>
      </c>
      <c r="S882" s="2">
        <f t="shared" si="175"/>
        <v>10.589814834794062</v>
      </c>
      <c r="T882" s="2">
        <f t="shared" si="176"/>
        <v>0.18482713604369574</v>
      </c>
      <c r="U882" s="1" t="s">
        <v>2507</v>
      </c>
      <c r="V882" s="6" t="s">
        <v>2505</v>
      </c>
    </row>
    <row r="883" spans="1:24" ht="14.25" customHeight="1" x14ac:dyDescent="0.3">
      <c r="A883" s="1" t="s">
        <v>27</v>
      </c>
      <c r="B883" s="1" t="s">
        <v>1156</v>
      </c>
      <c r="C883" s="1" t="s">
        <v>1157</v>
      </c>
      <c r="D883" s="1">
        <f t="shared" si="167"/>
        <v>48</v>
      </c>
      <c r="E883" s="1">
        <f t="shared" si="168"/>
        <v>0.29428240740740741</v>
      </c>
      <c r="F883" s="2">
        <f t="shared" si="169"/>
        <v>298.45195659000382</v>
      </c>
      <c r="G883" s="1">
        <v>2080</v>
      </c>
      <c r="H883" s="1">
        <v>3744</v>
      </c>
      <c r="I883" s="1">
        <v>0</v>
      </c>
      <c r="J883" s="1">
        <v>141</v>
      </c>
      <c r="K883" s="1">
        <f t="shared" si="179"/>
        <v>0</v>
      </c>
      <c r="L883" s="1">
        <f t="shared" si="170"/>
        <v>1.2303605769230768</v>
      </c>
      <c r="M883" s="1">
        <f t="shared" si="171"/>
        <v>1.2303605769230768</v>
      </c>
      <c r="N883" s="2">
        <f t="shared" si="178"/>
        <v>13.654533731903173</v>
      </c>
      <c r="O883" s="1">
        <v>971</v>
      </c>
      <c r="P883" s="1">
        <f t="shared" si="172"/>
        <v>901</v>
      </c>
      <c r="Q883" s="1">
        <f t="shared" si="173"/>
        <v>5.309957761706376</v>
      </c>
      <c r="R883" s="1">
        <f t="shared" si="174"/>
        <v>2.5557008244110282</v>
      </c>
      <c r="S883" s="2">
        <f t="shared" si="175"/>
        <v>10.601314718967611</v>
      </c>
      <c r="T883" s="2">
        <f t="shared" si="176"/>
        <v>0.18502784688612217</v>
      </c>
      <c r="U883" s="1" t="s">
        <v>2507</v>
      </c>
      <c r="V883" s="6" t="s">
        <v>2505</v>
      </c>
    </row>
    <row r="884" spans="1:24" ht="14.25" customHeight="1" x14ac:dyDescent="0.3">
      <c r="A884" s="1" t="s">
        <v>40</v>
      </c>
      <c r="B884" s="1" t="s">
        <v>1759</v>
      </c>
      <c r="C884" s="1" t="s">
        <v>1760</v>
      </c>
      <c r="D884" s="1">
        <f t="shared" si="167"/>
        <v>29</v>
      </c>
      <c r="E884" s="1">
        <f t="shared" si="168"/>
        <v>0.7098726851851852</v>
      </c>
      <c r="F884" s="2">
        <f t="shared" si="169"/>
        <v>181.68266648073168</v>
      </c>
      <c r="G884" s="1">
        <v>2080</v>
      </c>
      <c r="H884" s="1">
        <v>3744</v>
      </c>
      <c r="I884" s="1">
        <v>0</v>
      </c>
      <c r="J884" s="1">
        <v>245</v>
      </c>
      <c r="K884" s="1">
        <f t="shared" si="179"/>
        <v>0</v>
      </c>
      <c r="L884" s="1">
        <f t="shared" si="170"/>
        <v>2.1378605769230767</v>
      </c>
      <c r="M884" s="1">
        <f t="shared" si="171"/>
        <v>2.1378605769230767</v>
      </c>
      <c r="N884" s="2">
        <f t="shared" si="178"/>
        <v>7.8583234946871316</v>
      </c>
      <c r="O884" s="1">
        <v>970</v>
      </c>
      <c r="P884" s="1">
        <f t="shared" si="172"/>
        <v>902</v>
      </c>
      <c r="Q884" s="1">
        <f t="shared" si="173"/>
        <v>3.0559348751044855</v>
      </c>
      <c r="R884" s="1">
        <f t="shared" si="174"/>
        <v>1.4724643468719263</v>
      </c>
      <c r="S884" s="2">
        <f t="shared" si="175"/>
        <v>10.612813739178845</v>
      </c>
      <c r="T884" s="2">
        <f t="shared" si="176"/>
        <v>0.18522854264956157</v>
      </c>
      <c r="U884" s="1" t="s">
        <v>2507</v>
      </c>
      <c r="V884" s="6" t="s">
        <v>2505</v>
      </c>
    </row>
    <row r="885" spans="1:24" ht="14.25" customHeight="1" x14ac:dyDescent="0.3">
      <c r="A885" s="1" t="s">
        <v>27</v>
      </c>
      <c r="B885" s="1" t="s">
        <v>1761</v>
      </c>
      <c r="C885" s="1" t="s">
        <v>1762</v>
      </c>
      <c r="D885" s="1">
        <f t="shared" si="167"/>
        <v>71</v>
      </c>
      <c r="E885" s="1">
        <f t="shared" si="168"/>
        <v>0.75123842592592593</v>
      </c>
      <c r="F885" s="2">
        <f t="shared" si="169"/>
        <v>445.83635799671708</v>
      </c>
      <c r="G885" s="1">
        <v>2080</v>
      </c>
      <c r="H885" s="1">
        <v>3744</v>
      </c>
      <c r="I885" s="1">
        <v>0</v>
      </c>
      <c r="J885" s="1">
        <v>331</v>
      </c>
      <c r="K885" s="1">
        <f t="shared" si="179"/>
        <v>0</v>
      </c>
      <c r="L885" s="1">
        <f t="shared" si="170"/>
        <v>2.8882932692307692</v>
      </c>
      <c r="M885" s="1">
        <f t="shared" si="171"/>
        <v>2.8882932692307692</v>
      </c>
      <c r="N885" s="2">
        <f t="shared" si="178"/>
        <v>5.8165838555841303</v>
      </c>
      <c r="O885" s="1">
        <v>969</v>
      </c>
      <c r="P885" s="1">
        <f t="shared" si="172"/>
        <v>903</v>
      </c>
      <c r="Q885" s="1">
        <f t="shared" si="173"/>
        <v>2.2619457534761298</v>
      </c>
      <c r="R885" s="1">
        <f t="shared" si="174"/>
        <v>1.0910988330069151</v>
      </c>
      <c r="S885" s="2">
        <f t="shared" si="175"/>
        <v>10.624311894598895</v>
      </c>
      <c r="T885" s="2">
        <f t="shared" si="176"/>
        <v>0.18542922331954748</v>
      </c>
      <c r="U885" s="1" t="s">
        <v>2507</v>
      </c>
      <c r="V885" s="6" t="s">
        <v>2505</v>
      </c>
    </row>
    <row r="886" spans="1:24" ht="14.25" customHeight="1" x14ac:dyDescent="0.3">
      <c r="A886" s="1" t="s">
        <v>17</v>
      </c>
      <c r="B886" s="1" t="s">
        <v>1763</v>
      </c>
      <c r="C886" s="1" t="s">
        <v>1764</v>
      </c>
      <c r="D886" s="1">
        <f t="shared" si="167"/>
        <v>34</v>
      </c>
      <c r="E886" s="1">
        <f t="shared" si="168"/>
        <v>0.34975694444444444</v>
      </c>
      <c r="F886" s="2">
        <f t="shared" si="169"/>
        <v>210.83591908552327</v>
      </c>
      <c r="G886" s="1">
        <v>2080</v>
      </c>
      <c r="H886" s="1">
        <v>3744</v>
      </c>
      <c r="I886" s="1">
        <v>0</v>
      </c>
      <c r="J886" s="1">
        <v>255</v>
      </c>
      <c r="K886" s="1">
        <f t="shared" si="179"/>
        <v>0</v>
      </c>
      <c r="L886" s="1">
        <f t="shared" si="170"/>
        <v>2.2251201923076924</v>
      </c>
      <c r="M886" s="1">
        <f t="shared" si="171"/>
        <v>2.2251201923076924</v>
      </c>
      <c r="N886" s="2">
        <f t="shared" si="178"/>
        <v>7.5501539458758709</v>
      </c>
      <c r="O886" s="1">
        <v>968</v>
      </c>
      <c r="P886" s="1">
        <f t="shared" si="172"/>
        <v>904</v>
      </c>
      <c r="Q886" s="1">
        <f t="shared" si="173"/>
        <v>2.9360942917670547</v>
      </c>
      <c r="R886" s="1">
        <f t="shared" si="174"/>
        <v>1.4178574998704154</v>
      </c>
      <c r="S886" s="2">
        <f t="shared" si="175"/>
        <v>10.635809184399292</v>
      </c>
      <c r="T886" s="2">
        <f t="shared" si="176"/>
        <v>0.18562988888162038</v>
      </c>
      <c r="U886" s="1" t="s">
        <v>2507</v>
      </c>
      <c r="V886" s="6" t="s">
        <v>2505</v>
      </c>
    </row>
    <row r="887" spans="1:24" ht="14.25" customHeight="1" x14ac:dyDescent="0.3">
      <c r="A887" s="1" t="s">
        <v>27</v>
      </c>
      <c r="B887" s="1" t="s">
        <v>1765</v>
      </c>
      <c r="C887" s="1" t="s">
        <v>1766</v>
      </c>
      <c r="D887" s="1">
        <f t="shared" si="167"/>
        <v>38</v>
      </c>
      <c r="E887" s="1">
        <f t="shared" si="168"/>
        <v>0.36634259259259255</v>
      </c>
      <c r="F887" s="2">
        <f t="shared" si="169"/>
        <v>236.07287101499614</v>
      </c>
      <c r="G887" s="1">
        <v>2080</v>
      </c>
      <c r="H887" s="1">
        <v>3744</v>
      </c>
      <c r="I887" s="1">
        <v>0</v>
      </c>
      <c r="J887" s="1">
        <v>176</v>
      </c>
      <c r="K887" s="1">
        <f t="shared" si="179"/>
        <v>0</v>
      </c>
      <c r="L887" s="1">
        <f t="shared" si="170"/>
        <v>1.5357692307692306</v>
      </c>
      <c r="M887" s="1">
        <f t="shared" si="171"/>
        <v>1.5357692307692306</v>
      </c>
      <c r="N887" s="2">
        <f t="shared" si="178"/>
        <v>10.939143501126974</v>
      </c>
      <c r="O887" s="1">
        <v>966</v>
      </c>
      <c r="P887" s="1">
        <f t="shared" si="172"/>
        <v>906</v>
      </c>
      <c r="Q887" s="1">
        <f t="shared" si="173"/>
        <v>4.2540002522761311</v>
      </c>
      <c r="R887" s="1">
        <f t="shared" si="174"/>
        <v>2.058827045172102</v>
      </c>
      <c r="S887" s="2">
        <f t="shared" si="175"/>
        <v>10.658801163829271</v>
      </c>
      <c r="T887" s="2">
        <f t="shared" si="176"/>
        <v>0.1860311746242243</v>
      </c>
      <c r="U887" s="1" t="s">
        <v>2507</v>
      </c>
      <c r="V887" s="6" t="s">
        <v>2505</v>
      </c>
    </row>
    <row r="888" spans="1:24" ht="14.25" customHeight="1" x14ac:dyDescent="0.3">
      <c r="A888" s="1" t="s">
        <v>40</v>
      </c>
      <c r="B888" s="1" t="s">
        <v>1767</v>
      </c>
      <c r="C888" s="1" t="s">
        <v>1768</v>
      </c>
      <c r="D888" s="1">
        <f t="shared" si="167"/>
        <v>34</v>
      </c>
      <c r="E888" s="1">
        <f t="shared" si="168"/>
        <v>0.27960648148148148</v>
      </c>
      <c r="F888" s="2">
        <f t="shared" si="169"/>
        <v>210.39515072734252</v>
      </c>
      <c r="G888" s="1">
        <v>2080</v>
      </c>
      <c r="H888" s="1">
        <v>3744</v>
      </c>
      <c r="I888" s="1">
        <v>0</v>
      </c>
      <c r="J888" s="1">
        <v>76</v>
      </c>
      <c r="K888" s="1">
        <f t="shared" si="179"/>
        <v>0</v>
      </c>
      <c r="L888" s="1">
        <f t="shared" si="170"/>
        <v>0.66317307692307681</v>
      </c>
      <c r="M888" s="1">
        <f t="shared" si="171"/>
        <v>0.66317307692307681</v>
      </c>
      <c r="N888" s="2">
        <f t="shared" si="178"/>
        <v>25.33275337103089</v>
      </c>
      <c r="O888" s="1">
        <v>965</v>
      </c>
      <c r="P888" s="1">
        <f t="shared" si="172"/>
        <v>907</v>
      </c>
      <c r="Q888" s="1">
        <f t="shared" si="173"/>
        <v>9.8513690052710405</v>
      </c>
      <c r="R888" s="1">
        <f t="shared" si="174"/>
        <v>4.7730724827889066</v>
      </c>
      <c r="S888" s="2">
        <f t="shared" si="175"/>
        <v>10.670295851803937</v>
      </c>
      <c r="T888" s="2">
        <f t="shared" si="176"/>
        <v>0.18623179477587162</v>
      </c>
      <c r="U888" s="1" t="s">
        <v>2507</v>
      </c>
      <c r="V888" s="6" t="s">
        <v>2505</v>
      </c>
    </row>
    <row r="889" spans="1:24" ht="14.25" customHeight="1" x14ac:dyDescent="0.3">
      <c r="A889" s="1" t="s">
        <v>40</v>
      </c>
      <c r="B889" s="1" t="s">
        <v>1769</v>
      </c>
      <c r="C889" s="1" t="s">
        <v>1770</v>
      </c>
      <c r="D889" s="1">
        <f t="shared" si="167"/>
        <v>7</v>
      </c>
      <c r="E889" s="1">
        <f t="shared" si="168"/>
        <v>0.28878472222222223</v>
      </c>
      <c r="F889" s="2">
        <f t="shared" si="169"/>
        <v>40.806816020861703</v>
      </c>
      <c r="G889" s="1">
        <v>2080</v>
      </c>
      <c r="H889" s="1">
        <v>3744</v>
      </c>
      <c r="I889" s="1">
        <v>0</v>
      </c>
      <c r="J889" s="1">
        <v>109</v>
      </c>
      <c r="K889" s="1">
        <f t="shared" si="179"/>
        <v>0</v>
      </c>
      <c r="L889" s="1">
        <f t="shared" si="170"/>
        <v>0.95112980769230759</v>
      </c>
      <c r="M889" s="1">
        <f t="shared" si="171"/>
        <v>0.95112980769230759</v>
      </c>
      <c r="N889" s="2">
        <f t="shared" si="178"/>
        <v>17.66320418530594</v>
      </c>
      <c r="O889" s="1">
        <v>965</v>
      </c>
      <c r="P889" s="1">
        <f t="shared" si="172"/>
        <v>907</v>
      </c>
      <c r="Q889" s="1">
        <f t="shared" si="173"/>
        <v>6.8688444440421934</v>
      </c>
      <c r="R889" s="1">
        <f t="shared" si="174"/>
        <v>3.3280138412106139</v>
      </c>
      <c r="S889" s="2">
        <f t="shared" si="175"/>
        <v>10.670295851803939</v>
      </c>
      <c r="T889" s="2">
        <f t="shared" si="176"/>
        <v>0.18623179477587165</v>
      </c>
      <c r="U889" s="1" t="s">
        <v>2507</v>
      </c>
      <c r="V889" s="6" t="s">
        <v>2505</v>
      </c>
    </row>
    <row r="890" spans="1:24" ht="14.25" customHeight="1" x14ac:dyDescent="0.3">
      <c r="A890" s="1" t="s">
        <v>40</v>
      </c>
      <c r="B890" s="1" t="s">
        <v>799</v>
      </c>
      <c r="C890" s="1" t="s">
        <v>800</v>
      </c>
      <c r="D890" s="1">
        <f t="shared" si="167"/>
        <v>8</v>
      </c>
      <c r="E890" s="1">
        <f t="shared" si="168"/>
        <v>9.0995370370370365E-2</v>
      </c>
      <c r="F890" s="2">
        <f t="shared" si="169"/>
        <v>45.847254178569159</v>
      </c>
      <c r="G890" s="1">
        <v>2080</v>
      </c>
      <c r="H890" s="1">
        <v>3744</v>
      </c>
      <c r="I890" s="1">
        <v>0</v>
      </c>
      <c r="J890" s="1">
        <v>195</v>
      </c>
      <c r="K890" s="1">
        <f t="shared" si="179"/>
        <v>0</v>
      </c>
      <c r="L890" s="1">
        <f t="shared" si="170"/>
        <v>1.7015624999999999</v>
      </c>
      <c r="M890" s="1">
        <f t="shared" si="171"/>
        <v>1.7015624999999999</v>
      </c>
      <c r="N890" s="2">
        <f t="shared" si="178"/>
        <v>9.8732782369146026</v>
      </c>
      <c r="O890" s="1">
        <v>965</v>
      </c>
      <c r="P890" s="1">
        <f t="shared" si="172"/>
        <v>907</v>
      </c>
      <c r="Q890" s="1">
        <f t="shared" si="173"/>
        <v>3.8395079200030722</v>
      </c>
      <c r="R890" s="1">
        <f t="shared" si="174"/>
        <v>1.860274403548497</v>
      </c>
      <c r="S890" s="2">
        <f t="shared" si="175"/>
        <v>10.670295851803939</v>
      </c>
      <c r="T890" s="2">
        <f t="shared" si="176"/>
        <v>0.18623179477587165</v>
      </c>
      <c r="U890" s="1" t="s">
        <v>2507</v>
      </c>
      <c r="V890" s="6" t="s">
        <v>2505</v>
      </c>
      <c r="W890" s="1"/>
      <c r="X890" s="1"/>
    </row>
    <row r="891" spans="1:24" ht="14.25" customHeight="1" x14ac:dyDescent="0.3">
      <c r="A891" s="1" t="s">
        <v>17</v>
      </c>
      <c r="B891" s="1" t="s">
        <v>1771</v>
      </c>
      <c r="C891" s="1" t="s">
        <v>1772</v>
      </c>
      <c r="D891" s="1">
        <f t="shared" si="167"/>
        <v>29</v>
      </c>
      <c r="E891" s="1">
        <f t="shared" si="168"/>
        <v>0.29778935185185185</v>
      </c>
      <c r="F891" s="2">
        <f t="shared" si="169"/>
        <v>179.09347053539807</v>
      </c>
      <c r="G891" s="1">
        <v>2080</v>
      </c>
      <c r="H891" s="1">
        <v>3744</v>
      </c>
      <c r="I891" s="1">
        <v>154</v>
      </c>
      <c r="J891" s="1">
        <v>244</v>
      </c>
      <c r="K891" s="1">
        <f t="shared" si="179"/>
        <v>1.3437980769230771</v>
      </c>
      <c r="L891" s="1">
        <f t="shared" si="170"/>
        <v>2.1291346153846149</v>
      </c>
      <c r="M891" s="1">
        <f t="shared" si="171"/>
        <v>2.5177385650561797</v>
      </c>
      <c r="N891" s="2">
        <f>42*0.11/M891</f>
        <v>1.8349800349095862</v>
      </c>
      <c r="O891" s="1">
        <v>961</v>
      </c>
      <c r="P891" s="1">
        <f t="shared" si="172"/>
        <v>911</v>
      </c>
      <c r="Q891" s="1">
        <f t="shared" si="173"/>
        <v>0.71358470895119452</v>
      </c>
      <c r="R891" s="1">
        <f t="shared" si="174"/>
        <v>0.34726264415306529</v>
      </c>
      <c r="S891" s="2">
        <f t="shared" si="175"/>
        <v>10.716265906145317</v>
      </c>
      <c r="T891" s="2">
        <f t="shared" si="176"/>
        <v>0.18703412358144941</v>
      </c>
      <c r="U891" s="1" t="s">
        <v>2508</v>
      </c>
      <c r="V891" s="6" t="s">
        <v>2505</v>
      </c>
    </row>
    <row r="892" spans="1:24" ht="14.25" customHeight="1" x14ac:dyDescent="0.3">
      <c r="A892" s="1" t="s">
        <v>40</v>
      </c>
      <c r="B892" s="1" t="s">
        <v>1773</v>
      </c>
      <c r="C892" s="1" t="s">
        <v>1774</v>
      </c>
      <c r="D892" s="1">
        <f t="shared" si="167"/>
        <v>34</v>
      </c>
      <c r="E892" s="1">
        <f t="shared" si="168"/>
        <v>0.27961805555555558</v>
      </c>
      <c r="F892" s="2">
        <f t="shared" si="169"/>
        <v>210.39522344939471</v>
      </c>
      <c r="G892" s="1">
        <v>2080</v>
      </c>
      <c r="H892" s="1">
        <v>3744</v>
      </c>
      <c r="I892" s="1">
        <v>0</v>
      </c>
      <c r="J892" s="1">
        <v>79</v>
      </c>
      <c r="K892" s="1">
        <f t="shared" si="179"/>
        <v>0</v>
      </c>
      <c r="L892" s="1">
        <f t="shared" si="170"/>
        <v>0.68935096153846154</v>
      </c>
      <c r="M892" s="1">
        <f t="shared" si="171"/>
        <v>0.68935096153846154</v>
      </c>
      <c r="N892" s="2">
        <f t="shared" ref="N892:N931" si="180">42*0.4/M892</f>
        <v>24.370750078460091</v>
      </c>
      <c r="O892" s="1">
        <v>961</v>
      </c>
      <c r="P892" s="1">
        <f t="shared" si="172"/>
        <v>911</v>
      </c>
      <c r="Q892" s="1">
        <f t="shared" si="173"/>
        <v>9.4772663848177086</v>
      </c>
      <c r="R892" s="1">
        <f t="shared" si="174"/>
        <v>4.6120671349193012</v>
      </c>
      <c r="S892" s="2">
        <f t="shared" si="175"/>
        <v>10.716265906145317</v>
      </c>
      <c r="T892" s="2">
        <f t="shared" si="176"/>
        <v>0.18703412358144941</v>
      </c>
      <c r="U892" s="1" t="s">
        <v>2507</v>
      </c>
      <c r="V892" s="6" t="s">
        <v>2505</v>
      </c>
      <c r="W892" s="1"/>
      <c r="X892" s="1"/>
    </row>
    <row r="893" spans="1:24" ht="14.25" customHeight="1" x14ac:dyDescent="0.3">
      <c r="A893" s="1" t="s">
        <v>17</v>
      </c>
      <c r="B893" s="1" t="s">
        <v>1775</v>
      </c>
      <c r="C893" s="1" t="s">
        <v>1776</v>
      </c>
      <c r="D893" s="1">
        <f t="shared" si="167"/>
        <v>12</v>
      </c>
      <c r="E893" s="1">
        <f t="shared" si="168"/>
        <v>0.77208333333333334</v>
      </c>
      <c r="F893" s="2">
        <f t="shared" si="169"/>
        <v>75.259397289073277</v>
      </c>
      <c r="G893" s="1">
        <v>2080</v>
      </c>
      <c r="H893" s="1">
        <v>3744</v>
      </c>
      <c r="I893" s="1">
        <v>0</v>
      </c>
      <c r="J893" s="1">
        <v>160</v>
      </c>
      <c r="K893" s="1">
        <f t="shared" si="179"/>
        <v>0</v>
      </c>
      <c r="L893" s="1">
        <f t="shared" si="170"/>
        <v>1.3961538461538461</v>
      </c>
      <c r="M893" s="1">
        <f t="shared" si="171"/>
        <v>1.3961538461538461</v>
      </c>
      <c r="N893" s="2">
        <f t="shared" si="180"/>
        <v>12.03305785123967</v>
      </c>
      <c r="O893" s="1">
        <v>961</v>
      </c>
      <c r="P893" s="1">
        <f t="shared" si="172"/>
        <v>911</v>
      </c>
      <c r="Q893" s="1">
        <f t="shared" si="173"/>
        <v>4.6794002775037438</v>
      </c>
      <c r="R893" s="1">
        <f t="shared" si="174"/>
        <v>2.2772081478664052</v>
      </c>
      <c r="S893" s="2">
        <f t="shared" si="175"/>
        <v>10.716265906145319</v>
      </c>
      <c r="T893" s="2">
        <f t="shared" si="176"/>
        <v>0.18703412358144944</v>
      </c>
      <c r="U893" s="1" t="s">
        <v>2507</v>
      </c>
      <c r="V893" s="6" t="s">
        <v>2505</v>
      </c>
    </row>
    <row r="894" spans="1:24" ht="14.25" customHeight="1" x14ac:dyDescent="0.3">
      <c r="A894" s="1" t="s">
        <v>17</v>
      </c>
      <c r="B894" s="1" t="s">
        <v>1777</v>
      </c>
      <c r="C894" s="1" t="s">
        <v>1778</v>
      </c>
      <c r="D894" s="1">
        <f t="shared" si="167"/>
        <v>5</v>
      </c>
      <c r="E894" s="1">
        <f t="shared" si="168"/>
        <v>0.96861111111111109</v>
      </c>
      <c r="F894" s="2">
        <f t="shared" si="169"/>
        <v>32.511920584602152</v>
      </c>
      <c r="G894" s="1">
        <v>2080</v>
      </c>
      <c r="H894" s="1">
        <v>3744</v>
      </c>
      <c r="I894" s="1">
        <v>0</v>
      </c>
      <c r="J894" s="1">
        <v>248</v>
      </c>
      <c r="K894" s="1">
        <f t="shared" si="179"/>
        <v>0</v>
      </c>
      <c r="L894" s="1">
        <f t="shared" si="170"/>
        <v>2.1640384615384614</v>
      </c>
      <c r="M894" s="1">
        <f t="shared" si="171"/>
        <v>2.1640384615384614</v>
      </c>
      <c r="N894" s="2">
        <f t="shared" si="180"/>
        <v>7.7632631298320458</v>
      </c>
      <c r="O894" s="1">
        <v>959</v>
      </c>
      <c r="P894" s="1">
        <f t="shared" si="172"/>
        <v>913</v>
      </c>
      <c r="Q894" s="1">
        <f t="shared" si="173"/>
        <v>3.0189679209701574</v>
      </c>
      <c r="R894" s="1">
        <f t="shared" si="174"/>
        <v>1.4723919400885437</v>
      </c>
      <c r="S894" s="2">
        <f t="shared" si="175"/>
        <v>10.739245703221307</v>
      </c>
      <c r="T894" s="2">
        <f t="shared" si="176"/>
        <v>0.18743519670186562</v>
      </c>
      <c r="U894" s="1" t="s">
        <v>2507</v>
      </c>
      <c r="V894" s="6" t="s">
        <v>2505</v>
      </c>
    </row>
    <row r="895" spans="1:24" ht="14.25" customHeight="1" x14ac:dyDescent="0.3">
      <c r="A895" s="1" t="s">
        <v>27</v>
      </c>
      <c r="B895" s="1" t="s">
        <v>1779</v>
      </c>
      <c r="C895" s="1" t="s">
        <v>1780</v>
      </c>
      <c r="D895" s="1">
        <f t="shared" si="167"/>
        <v>34</v>
      </c>
      <c r="E895" s="1">
        <f t="shared" si="168"/>
        <v>0.16530092592592593</v>
      </c>
      <c r="F895" s="2">
        <f t="shared" si="169"/>
        <v>209.67694774014689</v>
      </c>
      <c r="G895" s="1">
        <v>2080</v>
      </c>
      <c r="H895" s="1">
        <v>3744</v>
      </c>
      <c r="I895" s="1">
        <v>0</v>
      </c>
      <c r="J895" s="1">
        <v>88</v>
      </c>
      <c r="K895" s="1">
        <f t="shared" si="179"/>
        <v>0</v>
      </c>
      <c r="L895" s="1">
        <f t="shared" si="170"/>
        <v>0.76788461538461528</v>
      </c>
      <c r="M895" s="1">
        <f t="shared" si="171"/>
        <v>0.76788461538461528</v>
      </c>
      <c r="N895" s="2">
        <f t="shared" si="180"/>
        <v>21.878287002253948</v>
      </c>
      <c r="O895" s="1">
        <v>959</v>
      </c>
      <c r="P895" s="1">
        <f t="shared" si="172"/>
        <v>913</v>
      </c>
      <c r="Q895" s="1">
        <f t="shared" si="173"/>
        <v>8.5080005045522622</v>
      </c>
      <c r="R895" s="1">
        <f t="shared" si="174"/>
        <v>4.149468194794987</v>
      </c>
      <c r="S895" s="2">
        <f t="shared" si="175"/>
        <v>10.739245703221307</v>
      </c>
      <c r="T895" s="2">
        <f t="shared" si="176"/>
        <v>0.18743519670186562</v>
      </c>
      <c r="U895" s="1" t="s">
        <v>2507</v>
      </c>
      <c r="V895" s="6" t="s">
        <v>2505</v>
      </c>
    </row>
    <row r="896" spans="1:24" ht="14.25" customHeight="1" x14ac:dyDescent="0.3">
      <c r="A896" s="1" t="s">
        <v>17</v>
      </c>
      <c r="B896" s="1" t="s">
        <v>1781</v>
      </c>
      <c r="C896" s="1" t="s">
        <v>1782</v>
      </c>
      <c r="D896" s="1">
        <f t="shared" si="167"/>
        <v>30</v>
      </c>
      <c r="E896" s="1">
        <f t="shared" si="168"/>
        <v>3.4965277777777783E-2</v>
      </c>
      <c r="F896" s="2">
        <f t="shared" si="169"/>
        <v>183.72528348198236</v>
      </c>
      <c r="G896" s="1">
        <v>2080</v>
      </c>
      <c r="H896" s="1">
        <v>3744</v>
      </c>
      <c r="I896" s="1">
        <v>0</v>
      </c>
      <c r="J896" s="1">
        <v>337</v>
      </c>
      <c r="K896" s="1">
        <f t="shared" si="179"/>
        <v>0</v>
      </c>
      <c r="L896" s="1">
        <f t="shared" si="170"/>
        <v>2.940649038461538</v>
      </c>
      <c r="M896" s="1">
        <f t="shared" si="171"/>
        <v>2.940649038461538</v>
      </c>
      <c r="N896" s="2">
        <f t="shared" si="180"/>
        <v>5.7130244991048889</v>
      </c>
      <c r="O896" s="1">
        <v>957</v>
      </c>
      <c r="P896" s="1">
        <f t="shared" si="172"/>
        <v>915</v>
      </c>
      <c r="Q896" s="1">
        <f t="shared" si="173"/>
        <v>2.2216737222569707</v>
      </c>
      <c r="R896" s="1">
        <f t="shared" si="174"/>
        <v>1.0859142392441923</v>
      </c>
      <c r="S896" s="2">
        <f t="shared" si="175"/>
        <v>10.762222004769365</v>
      </c>
      <c r="T896" s="2">
        <f t="shared" si="176"/>
        <v>0.1878362088138103</v>
      </c>
      <c r="U896" s="1" t="s">
        <v>2507</v>
      </c>
      <c r="V896" s="6" t="s">
        <v>2505</v>
      </c>
    </row>
    <row r="897" spans="1:22" ht="14.25" customHeight="1" x14ac:dyDescent="0.3">
      <c r="A897" s="1" t="s">
        <v>40</v>
      </c>
      <c r="B897" s="1" t="s">
        <v>1783</v>
      </c>
      <c r="C897" s="1" t="s">
        <v>1784</v>
      </c>
      <c r="D897" s="1">
        <f t="shared" si="167"/>
        <v>28</v>
      </c>
      <c r="E897" s="1">
        <f t="shared" si="168"/>
        <v>0.80200231481481488</v>
      </c>
      <c r="F897" s="2">
        <f t="shared" si="169"/>
        <v>175.97834870879686</v>
      </c>
      <c r="G897" s="1">
        <v>2080</v>
      </c>
      <c r="H897" s="1">
        <v>3744</v>
      </c>
      <c r="I897" s="1">
        <v>0</v>
      </c>
      <c r="J897" s="1">
        <v>209</v>
      </c>
      <c r="K897" s="1">
        <f t="shared" si="179"/>
        <v>0</v>
      </c>
      <c r="L897" s="1">
        <f t="shared" si="170"/>
        <v>1.8237259615384616</v>
      </c>
      <c r="M897" s="1">
        <f t="shared" si="171"/>
        <v>1.8237259615384616</v>
      </c>
      <c r="N897" s="2">
        <f t="shared" si="180"/>
        <v>9.2119103167385035</v>
      </c>
      <c r="O897" s="1">
        <v>955</v>
      </c>
      <c r="P897" s="1">
        <f t="shared" si="172"/>
        <v>917</v>
      </c>
      <c r="Q897" s="1">
        <f t="shared" si="173"/>
        <v>3.5823160019167415</v>
      </c>
      <c r="R897" s="1">
        <f t="shared" si="174"/>
        <v>1.7547990244431901</v>
      </c>
      <c r="S897" s="2">
        <f t="shared" si="175"/>
        <v>10.785194804199023</v>
      </c>
      <c r="T897" s="2">
        <f t="shared" si="176"/>
        <v>0.18823715980225811</v>
      </c>
      <c r="U897" s="1" t="s">
        <v>2507</v>
      </c>
      <c r="V897" s="6" t="s">
        <v>2505</v>
      </c>
    </row>
    <row r="898" spans="1:22" ht="14.25" customHeight="1" x14ac:dyDescent="0.3">
      <c r="A898" s="1" t="s">
        <v>40</v>
      </c>
      <c r="B898" s="1" t="s">
        <v>1785</v>
      </c>
      <c r="C898" s="1" t="s">
        <v>1786</v>
      </c>
      <c r="D898" s="1">
        <f t="shared" ref="D898:D961" si="181">(LEFT(C898,4)&amp;"-"&amp;MID(C898,6,2)&amp;"-"&amp;MID(C898,9,2))-(2019&amp;"-"&amp;5&amp;"-"&amp;28)</f>
        <v>76</v>
      </c>
      <c r="E898" s="1">
        <f t="shared" ref="E898:E961" si="182">TIMEVALUE(RIGHT(C898,8))</f>
        <v>2.6006944444444447E-2</v>
      </c>
      <c r="F898" s="2">
        <f t="shared" ref="F898:F961" si="183">(D898+E898)*2*PI()-4.989969053</f>
        <v>472.69552074386655</v>
      </c>
      <c r="G898" s="1">
        <v>2080</v>
      </c>
      <c r="H898" s="1">
        <v>3744</v>
      </c>
      <c r="I898" s="1">
        <v>0</v>
      </c>
      <c r="J898" s="1">
        <v>200</v>
      </c>
      <c r="K898" s="1">
        <f t="shared" si="179"/>
        <v>0</v>
      </c>
      <c r="L898" s="1">
        <f t="shared" ref="L898:L961" si="184">(18.15*J898)/G898</f>
        <v>1.7451923076923075</v>
      </c>
      <c r="M898" s="1">
        <f t="shared" ref="M898:M961" si="185">SQRT(K898*K898+L898*L898)</f>
        <v>1.7451923076923075</v>
      </c>
      <c r="N898" s="2">
        <f t="shared" si="180"/>
        <v>9.6264462809917379</v>
      </c>
      <c r="O898" s="1">
        <v>952</v>
      </c>
      <c r="P898" s="1">
        <f t="shared" ref="P898:P961" si="186">H898/2-O898</f>
        <v>920</v>
      </c>
      <c r="Q898" s="1">
        <f t="shared" ref="Q898:Q961" si="187">TAN(RADIANS(21.25))*N898</f>
        <v>3.7435202220029957</v>
      </c>
      <c r="R898" s="1">
        <f t="shared" ref="R898:R961" si="188">Q898*(P898/(H898/2))</f>
        <v>1.8397642116681387</v>
      </c>
      <c r="S898" s="2">
        <f t="shared" ref="S898:S961" si="189">DEGREES(ATAN(R898/N898))</f>
        <v>10.819647422470885</v>
      </c>
      <c r="T898" s="2">
        <f t="shared" ref="T898:T961" si="190">RADIANS(S898)</f>
        <v>0.18883847142703486</v>
      </c>
      <c r="U898" s="1" t="s">
        <v>2507</v>
      </c>
      <c r="V898" s="6" t="s">
        <v>2505</v>
      </c>
    </row>
    <row r="899" spans="1:22" ht="14.25" customHeight="1" x14ac:dyDescent="0.3">
      <c r="A899" s="1" t="s">
        <v>27</v>
      </c>
      <c r="B899" s="1" t="s">
        <v>1787</v>
      </c>
      <c r="C899" s="1" t="s">
        <v>1788</v>
      </c>
      <c r="D899" s="1">
        <f t="shared" si="181"/>
        <v>32</v>
      </c>
      <c r="E899" s="1">
        <f t="shared" si="182"/>
        <v>0.12010416666666668</v>
      </c>
      <c r="F899" s="2">
        <f t="shared" si="183"/>
        <v>196.82659751207777</v>
      </c>
      <c r="G899" s="1">
        <v>2080</v>
      </c>
      <c r="H899" s="1">
        <v>3744</v>
      </c>
      <c r="I899" s="1">
        <v>0</v>
      </c>
      <c r="J899" s="1">
        <v>219</v>
      </c>
      <c r="K899" s="1">
        <f t="shared" si="179"/>
        <v>0</v>
      </c>
      <c r="L899" s="1">
        <f t="shared" si="184"/>
        <v>1.9109855769230768</v>
      </c>
      <c r="M899" s="1">
        <f t="shared" si="185"/>
        <v>1.9109855769230768</v>
      </c>
      <c r="N899" s="2">
        <f t="shared" si="180"/>
        <v>8.7912751424582076</v>
      </c>
      <c r="O899" s="1">
        <v>951</v>
      </c>
      <c r="P899" s="1">
        <f t="shared" si="186"/>
        <v>921</v>
      </c>
      <c r="Q899" s="1">
        <f t="shared" si="187"/>
        <v>3.4187399287698588</v>
      </c>
      <c r="R899" s="1">
        <f t="shared" si="188"/>
        <v>1.6819762149556836</v>
      </c>
      <c r="S899" s="2">
        <f t="shared" si="189"/>
        <v>10.831129870373831</v>
      </c>
      <c r="T899" s="2">
        <f t="shared" si="190"/>
        <v>0.18903887794912996</v>
      </c>
      <c r="U899" s="1" t="s">
        <v>2507</v>
      </c>
      <c r="V899" s="6" t="s">
        <v>2505</v>
      </c>
    </row>
    <row r="900" spans="1:22" ht="14.25" customHeight="1" x14ac:dyDescent="0.3">
      <c r="A900" s="1" t="s">
        <v>17</v>
      </c>
      <c r="B900" s="1" t="s">
        <v>1789</v>
      </c>
      <c r="C900" s="1" t="s">
        <v>1790</v>
      </c>
      <c r="D900" s="1">
        <f t="shared" si="181"/>
        <v>35</v>
      </c>
      <c r="E900" s="1">
        <f t="shared" si="182"/>
        <v>0.32172453703703702</v>
      </c>
      <c r="F900" s="2">
        <f t="shared" si="183"/>
        <v>216.94297158235577</v>
      </c>
      <c r="G900" s="1">
        <v>2080</v>
      </c>
      <c r="H900" s="1">
        <v>3744</v>
      </c>
      <c r="I900" s="1">
        <v>0</v>
      </c>
      <c r="J900" s="1">
        <v>261</v>
      </c>
      <c r="K900" s="1">
        <f t="shared" si="179"/>
        <v>0</v>
      </c>
      <c r="L900" s="1">
        <f t="shared" si="184"/>
        <v>2.2774759615384612</v>
      </c>
      <c r="M900" s="1">
        <f t="shared" si="185"/>
        <v>2.2774759615384612</v>
      </c>
      <c r="N900" s="2">
        <f t="shared" si="180"/>
        <v>7.3765871884994159</v>
      </c>
      <c r="O900" s="1">
        <v>950</v>
      </c>
      <c r="P900" s="1">
        <f t="shared" si="186"/>
        <v>922</v>
      </c>
      <c r="Q900" s="1">
        <f t="shared" si="187"/>
        <v>2.8685978712666631</v>
      </c>
      <c r="R900" s="1">
        <f t="shared" si="188"/>
        <v>1.4128457464251407</v>
      </c>
      <c r="S900" s="2">
        <f t="shared" si="189"/>
        <v>10.842611437814</v>
      </c>
      <c r="T900" s="2">
        <f t="shared" si="190"/>
        <v>0.18923926910425071</v>
      </c>
      <c r="U900" s="1" t="s">
        <v>2507</v>
      </c>
      <c r="V900" s="6" t="s">
        <v>2505</v>
      </c>
    </row>
    <row r="901" spans="1:22" ht="14.25" customHeight="1" x14ac:dyDescent="0.3">
      <c r="A901" s="1" t="s">
        <v>286</v>
      </c>
      <c r="B901" s="1" t="s">
        <v>1791</v>
      </c>
      <c r="C901" s="1" t="s">
        <v>1792</v>
      </c>
      <c r="D901" s="1">
        <f t="shared" si="181"/>
        <v>45</v>
      </c>
      <c r="E901" s="1">
        <f t="shared" si="182"/>
        <v>0.82290509259259259</v>
      </c>
      <c r="F901" s="2">
        <f t="shared" si="183"/>
        <v>282.92383495706241</v>
      </c>
      <c r="G901" s="1">
        <v>2080</v>
      </c>
      <c r="H901" s="1">
        <v>3744</v>
      </c>
      <c r="I901" s="1">
        <v>0</v>
      </c>
      <c r="J901" s="1">
        <v>199</v>
      </c>
      <c r="K901" s="1">
        <f t="shared" si="179"/>
        <v>0</v>
      </c>
      <c r="L901" s="1">
        <f t="shared" si="184"/>
        <v>1.7364663461538461</v>
      </c>
      <c r="M901" s="1">
        <f t="shared" si="185"/>
        <v>1.7364663461538461</v>
      </c>
      <c r="N901" s="2">
        <f t="shared" si="180"/>
        <v>9.6748203829062671</v>
      </c>
      <c r="O901" s="1">
        <v>950</v>
      </c>
      <c r="P901" s="1">
        <f t="shared" si="186"/>
        <v>922</v>
      </c>
      <c r="Q901" s="1">
        <f t="shared" si="187"/>
        <v>3.762331881410045</v>
      </c>
      <c r="R901" s="1">
        <f t="shared" si="188"/>
        <v>1.8530288433013151</v>
      </c>
      <c r="S901" s="2">
        <f t="shared" si="189"/>
        <v>10.842611437814002</v>
      </c>
      <c r="T901" s="2">
        <f t="shared" si="190"/>
        <v>0.18923926910425073</v>
      </c>
      <c r="U901" s="1" t="s">
        <v>2507</v>
      </c>
      <c r="V901" s="6" t="s">
        <v>2505</v>
      </c>
    </row>
    <row r="902" spans="1:22" ht="14.25" customHeight="1" x14ac:dyDescent="0.3">
      <c r="A902" s="1" t="s">
        <v>40</v>
      </c>
      <c r="B902" s="1" t="s">
        <v>1793</v>
      </c>
      <c r="C902" s="1" t="s">
        <v>1794</v>
      </c>
      <c r="D902" s="1">
        <f t="shared" si="181"/>
        <v>32</v>
      </c>
      <c r="E902" s="1">
        <f t="shared" si="182"/>
        <v>2.7777777777777778E-4</v>
      </c>
      <c r="F902" s="2">
        <f t="shared" si="183"/>
        <v>196.07370610599872</v>
      </c>
      <c r="G902" s="1">
        <v>2080</v>
      </c>
      <c r="H902" s="1">
        <v>3744</v>
      </c>
      <c r="I902" s="1">
        <v>0</v>
      </c>
      <c r="J902" s="1">
        <v>98</v>
      </c>
      <c r="K902" s="1">
        <f t="shared" si="179"/>
        <v>0</v>
      </c>
      <c r="L902" s="1">
        <f t="shared" si="184"/>
        <v>0.85514423076923063</v>
      </c>
      <c r="M902" s="1">
        <f t="shared" si="185"/>
        <v>0.85514423076923063</v>
      </c>
      <c r="N902" s="2">
        <f t="shared" si="180"/>
        <v>19.645808736717832</v>
      </c>
      <c r="O902" s="1">
        <v>949</v>
      </c>
      <c r="P902" s="1">
        <f t="shared" si="186"/>
        <v>923</v>
      </c>
      <c r="Q902" s="1">
        <f t="shared" si="187"/>
        <v>7.6398371877612155</v>
      </c>
      <c r="R902" s="1">
        <f t="shared" si="188"/>
        <v>3.7668641689655993</v>
      </c>
      <c r="S902" s="2">
        <f t="shared" si="189"/>
        <v>10.854092123970643</v>
      </c>
      <c r="T902" s="2">
        <f t="shared" si="190"/>
        <v>0.18943964487807227</v>
      </c>
      <c r="U902" s="1" t="s">
        <v>2507</v>
      </c>
      <c r="V902" s="6" t="s">
        <v>2505</v>
      </c>
    </row>
    <row r="903" spans="1:22" ht="14.25" customHeight="1" x14ac:dyDescent="0.3">
      <c r="A903" s="1" t="s">
        <v>17</v>
      </c>
      <c r="B903" s="1" t="s">
        <v>1795</v>
      </c>
      <c r="C903" s="1" t="s">
        <v>1796</v>
      </c>
      <c r="D903" s="1">
        <f t="shared" si="181"/>
        <v>39</v>
      </c>
      <c r="E903" s="1">
        <f t="shared" si="182"/>
        <v>0.26799768518518519</v>
      </c>
      <c r="F903" s="2">
        <f t="shared" si="183"/>
        <v>241.73813704491755</v>
      </c>
      <c r="G903" s="1">
        <v>2080</v>
      </c>
      <c r="H903" s="1">
        <v>3744</v>
      </c>
      <c r="I903" s="1">
        <v>0</v>
      </c>
      <c r="J903" s="1">
        <v>306</v>
      </c>
      <c r="K903" s="1">
        <f t="shared" si="179"/>
        <v>0</v>
      </c>
      <c r="L903" s="1">
        <f t="shared" si="184"/>
        <v>2.6701442307692305</v>
      </c>
      <c r="M903" s="1">
        <f t="shared" si="185"/>
        <v>2.6701442307692305</v>
      </c>
      <c r="N903" s="2">
        <f t="shared" si="180"/>
        <v>6.2917949548965604</v>
      </c>
      <c r="O903" s="1">
        <v>947</v>
      </c>
      <c r="P903" s="1">
        <f t="shared" si="186"/>
        <v>925</v>
      </c>
      <c r="Q903" s="1">
        <f t="shared" si="187"/>
        <v>2.4467452431392127</v>
      </c>
      <c r="R903" s="1">
        <f t="shared" si="188"/>
        <v>1.2089953792221004</v>
      </c>
      <c r="S903" s="2">
        <f t="shared" si="189"/>
        <v>10.877050849152397</v>
      </c>
      <c r="T903" s="2">
        <f t="shared" si="190"/>
        <v>0.18984035022455439</v>
      </c>
      <c r="U903" s="1" t="s">
        <v>2507</v>
      </c>
      <c r="V903" s="6" t="s">
        <v>2505</v>
      </c>
    </row>
    <row r="904" spans="1:22" ht="14.25" customHeight="1" x14ac:dyDescent="0.3">
      <c r="A904" s="1" t="s">
        <v>17</v>
      </c>
      <c r="B904" s="1" t="s">
        <v>1797</v>
      </c>
      <c r="C904" s="1" t="s">
        <v>1798</v>
      </c>
      <c r="D904" s="1">
        <f t="shared" si="181"/>
        <v>29</v>
      </c>
      <c r="E904" s="1">
        <f t="shared" si="182"/>
        <v>0.29777777777777775</v>
      </c>
      <c r="F904" s="2">
        <f t="shared" si="183"/>
        <v>179.09339781334592</v>
      </c>
      <c r="G904" s="1">
        <v>2080</v>
      </c>
      <c r="H904" s="1">
        <v>3744</v>
      </c>
      <c r="I904" s="1">
        <v>0</v>
      </c>
      <c r="J904" s="1">
        <v>954</v>
      </c>
      <c r="K904" s="1">
        <f t="shared" si="179"/>
        <v>0</v>
      </c>
      <c r="L904" s="1">
        <f t="shared" si="184"/>
        <v>8.3245673076923072</v>
      </c>
      <c r="M904" s="1">
        <f t="shared" si="185"/>
        <v>8.3245673076923072</v>
      </c>
      <c r="N904" s="2">
        <f t="shared" si="180"/>
        <v>2.0181229100611606</v>
      </c>
      <c r="O904" s="1">
        <v>946</v>
      </c>
      <c r="P904" s="1">
        <f t="shared" si="186"/>
        <v>926</v>
      </c>
      <c r="Q904" s="1">
        <f t="shared" si="187"/>
        <v>0.78480507798804922</v>
      </c>
      <c r="R904" s="1">
        <f t="shared" si="188"/>
        <v>0.38821020417571239</v>
      </c>
      <c r="S904" s="2">
        <f t="shared" si="189"/>
        <v>10.888528886538049</v>
      </c>
      <c r="T904" s="2">
        <f t="shared" si="190"/>
        <v>0.19004067976860103</v>
      </c>
      <c r="U904" s="1" t="s">
        <v>2507</v>
      </c>
      <c r="V904" s="6" t="s">
        <v>2505</v>
      </c>
    </row>
    <row r="905" spans="1:22" ht="14.25" customHeight="1" x14ac:dyDescent="0.3">
      <c r="A905" s="1" t="s">
        <v>40</v>
      </c>
      <c r="B905" s="1" t="s">
        <v>1799</v>
      </c>
      <c r="C905" s="1" t="s">
        <v>1800</v>
      </c>
      <c r="D905" s="1">
        <f t="shared" si="181"/>
        <v>92</v>
      </c>
      <c r="E905" s="1">
        <f t="shared" si="182"/>
        <v>3.5092592592592592E-2</v>
      </c>
      <c r="F905" s="2">
        <f t="shared" si="183"/>
        <v>573.28357246969051</v>
      </c>
      <c r="G905" s="1">
        <v>2080</v>
      </c>
      <c r="H905" s="1">
        <v>3744</v>
      </c>
      <c r="I905" s="1">
        <v>0</v>
      </c>
      <c r="J905" s="1">
        <v>183</v>
      </c>
      <c r="K905" s="1">
        <f t="shared" si="179"/>
        <v>0</v>
      </c>
      <c r="L905" s="1">
        <f t="shared" si="184"/>
        <v>1.5968509615384614</v>
      </c>
      <c r="M905" s="1">
        <f t="shared" si="185"/>
        <v>1.5968509615384614</v>
      </c>
      <c r="N905" s="2">
        <f t="shared" si="180"/>
        <v>10.520706318023755</v>
      </c>
      <c r="O905" s="1">
        <v>946</v>
      </c>
      <c r="P905" s="1">
        <f t="shared" si="186"/>
        <v>926</v>
      </c>
      <c r="Q905" s="1">
        <f t="shared" si="187"/>
        <v>4.0912789311508142</v>
      </c>
      <c r="R905" s="1">
        <f t="shared" si="188"/>
        <v>2.0237843430799436</v>
      </c>
      <c r="S905" s="2">
        <f t="shared" si="189"/>
        <v>10.888528886538051</v>
      </c>
      <c r="T905" s="2">
        <f t="shared" si="190"/>
        <v>0.19004067976860106</v>
      </c>
      <c r="U905" s="1" t="s">
        <v>2507</v>
      </c>
      <c r="V905" s="6" t="s">
        <v>2505</v>
      </c>
    </row>
    <row r="906" spans="1:22" ht="14.25" customHeight="1" x14ac:dyDescent="0.3">
      <c r="A906" s="1" t="s">
        <v>40</v>
      </c>
      <c r="B906" s="1" t="s">
        <v>1801</v>
      </c>
      <c r="C906" s="1" t="s">
        <v>1802</v>
      </c>
      <c r="D906" s="1">
        <f t="shared" si="181"/>
        <v>78</v>
      </c>
      <c r="E906" s="1">
        <f t="shared" si="182"/>
        <v>0.10258101851851852</v>
      </c>
      <c r="F906" s="2">
        <f t="shared" si="183"/>
        <v>485.74302045535882</v>
      </c>
      <c r="G906" s="1">
        <v>2080</v>
      </c>
      <c r="H906" s="1">
        <v>3744</v>
      </c>
      <c r="I906" s="1">
        <v>0</v>
      </c>
      <c r="J906" s="1">
        <v>147</v>
      </c>
      <c r="K906" s="1">
        <f t="shared" si="179"/>
        <v>0</v>
      </c>
      <c r="L906" s="1">
        <f t="shared" si="184"/>
        <v>1.282716346153846</v>
      </c>
      <c r="M906" s="1">
        <f t="shared" si="185"/>
        <v>1.282716346153846</v>
      </c>
      <c r="N906" s="2">
        <f t="shared" si="180"/>
        <v>13.097205824478554</v>
      </c>
      <c r="O906" s="1">
        <v>945</v>
      </c>
      <c r="P906" s="1">
        <f t="shared" si="186"/>
        <v>927</v>
      </c>
      <c r="Q906" s="1">
        <f t="shared" si="187"/>
        <v>5.09322479184081</v>
      </c>
      <c r="R906" s="1">
        <f t="shared" si="188"/>
        <v>2.5221257382673241</v>
      </c>
      <c r="S906" s="2">
        <f t="shared" si="189"/>
        <v>10.900006039361273</v>
      </c>
      <c r="T906" s="2">
        <f t="shared" si="190"/>
        <v>0.19024099387412086</v>
      </c>
      <c r="U906" s="1" t="s">
        <v>2507</v>
      </c>
      <c r="V906" s="6" t="s">
        <v>2505</v>
      </c>
    </row>
    <row r="907" spans="1:22" ht="14.25" customHeight="1" x14ac:dyDescent="0.3">
      <c r="A907" s="1" t="s">
        <v>40</v>
      </c>
      <c r="B907" s="1" t="s">
        <v>1803</v>
      </c>
      <c r="C907" s="1" t="s">
        <v>1804</v>
      </c>
      <c r="D907" s="1">
        <f t="shared" si="181"/>
        <v>93</v>
      </c>
      <c r="E907" s="1">
        <f t="shared" si="182"/>
        <v>0.17130787037037035</v>
      </c>
      <c r="F907" s="2">
        <f t="shared" si="183"/>
        <v>580.42262360881682</v>
      </c>
      <c r="G907" s="1">
        <v>2080</v>
      </c>
      <c r="H907" s="1">
        <v>3744</v>
      </c>
      <c r="I907" s="1">
        <v>0</v>
      </c>
      <c r="J907" s="1">
        <v>139</v>
      </c>
      <c r="K907" s="1">
        <f t="shared" si="179"/>
        <v>0</v>
      </c>
      <c r="L907" s="1">
        <f t="shared" si="184"/>
        <v>1.2129086538461538</v>
      </c>
      <c r="M907" s="1">
        <f t="shared" si="185"/>
        <v>1.2129086538461538</v>
      </c>
      <c r="N907" s="2">
        <f t="shared" si="180"/>
        <v>13.851001843153577</v>
      </c>
      <c r="O907" s="1">
        <v>944</v>
      </c>
      <c r="P907" s="1">
        <f t="shared" si="186"/>
        <v>928</v>
      </c>
      <c r="Q907" s="1">
        <f t="shared" si="187"/>
        <v>5.3863600316589855</v>
      </c>
      <c r="R907" s="1">
        <f t="shared" si="188"/>
        <v>2.6701613832155657</v>
      </c>
      <c r="S907" s="2">
        <f t="shared" si="189"/>
        <v>10.911482306803363</v>
      </c>
      <c r="T907" s="2">
        <f t="shared" si="190"/>
        <v>0.19044129252682473</v>
      </c>
      <c r="U907" s="1" t="s">
        <v>2507</v>
      </c>
      <c r="V907" s="6" t="s">
        <v>2505</v>
      </c>
    </row>
    <row r="908" spans="1:22" ht="14.25" customHeight="1" x14ac:dyDescent="0.3">
      <c r="A908" s="1" t="s">
        <v>17</v>
      </c>
      <c r="B908" s="1" t="s">
        <v>1805</v>
      </c>
      <c r="C908" s="1" t="s">
        <v>1806</v>
      </c>
      <c r="D908" s="1">
        <f t="shared" si="181"/>
        <v>53</v>
      </c>
      <c r="E908" s="1">
        <f t="shared" si="182"/>
        <v>0.22005787037037036</v>
      </c>
      <c r="F908" s="2">
        <f t="shared" si="183"/>
        <v>329.40151660535844</v>
      </c>
      <c r="G908" s="1">
        <v>2080</v>
      </c>
      <c r="H908" s="1">
        <v>3744</v>
      </c>
      <c r="I908" s="1">
        <v>0</v>
      </c>
      <c r="J908" s="1">
        <v>176</v>
      </c>
      <c r="K908" s="1">
        <f t="shared" si="179"/>
        <v>0</v>
      </c>
      <c r="L908" s="1">
        <f t="shared" si="184"/>
        <v>1.5357692307692306</v>
      </c>
      <c r="M908" s="1">
        <f t="shared" si="185"/>
        <v>1.5357692307692306</v>
      </c>
      <c r="N908" s="2">
        <f t="shared" si="180"/>
        <v>10.939143501126974</v>
      </c>
      <c r="O908" s="1">
        <v>943</v>
      </c>
      <c r="P908" s="1">
        <f t="shared" si="186"/>
        <v>929</v>
      </c>
      <c r="Q908" s="1">
        <f t="shared" si="187"/>
        <v>4.2540002522761311</v>
      </c>
      <c r="R908" s="1">
        <f t="shared" si="188"/>
        <v>2.1110930739126741</v>
      </c>
      <c r="S908" s="2">
        <f t="shared" si="189"/>
        <v>10.922957688046024</v>
      </c>
      <c r="T908" s="2">
        <f t="shared" si="190"/>
        <v>0.19064157571243079</v>
      </c>
      <c r="U908" s="1" t="s">
        <v>2507</v>
      </c>
      <c r="V908" s="6" t="s">
        <v>2505</v>
      </c>
    </row>
    <row r="909" spans="1:22" ht="14.25" customHeight="1" x14ac:dyDescent="0.3">
      <c r="A909" s="1" t="s">
        <v>27</v>
      </c>
      <c r="B909" s="1" t="s">
        <v>1807</v>
      </c>
      <c r="C909" s="1" t="s">
        <v>1808</v>
      </c>
      <c r="D909" s="1">
        <f t="shared" si="181"/>
        <v>34</v>
      </c>
      <c r="E909" s="1">
        <f t="shared" si="182"/>
        <v>0.11667824074074074</v>
      </c>
      <c r="F909" s="2">
        <f t="shared" si="183"/>
        <v>209.3714423989957</v>
      </c>
      <c r="G909" s="1">
        <v>2080</v>
      </c>
      <c r="H909" s="1">
        <v>3744</v>
      </c>
      <c r="I909" s="1">
        <v>0</v>
      </c>
      <c r="J909" s="1">
        <v>171</v>
      </c>
      <c r="K909" s="1">
        <f t="shared" si="179"/>
        <v>0</v>
      </c>
      <c r="L909" s="1">
        <f t="shared" si="184"/>
        <v>1.4921394230769229</v>
      </c>
      <c r="M909" s="1">
        <f t="shared" si="185"/>
        <v>1.4921394230769229</v>
      </c>
      <c r="N909" s="2">
        <f t="shared" si="180"/>
        <v>11.25900149823595</v>
      </c>
      <c r="O909" s="1">
        <v>943</v>
      </c>
      <c r="P909" s="1">
        <f t="shared" si="186"/>
        <v>929</v>
      </c>
      <c r="Q909" s="1">
        <f t="shared" si="187"/>
        <v>4.378386224564907</v>
      </c>
      <c r="R909" s="1">
        <f t="shared" si="188"/>
        <v>2.1728209415709396</v>
      </c>
      <c r="S909" s="2">
        <f t="shared" si="189"/>
        <v>10.922957688046026</v>
      </c>
      <c r="T909" s="2">
        <f t="shared" si="190"/>
        <v>0.19064157571243082</v>
      </c>
      <c r="U909" s="1" t="s">
        <v>2507</v>
      </c>
      <c r="V909" s="6" t="s">
        <v>2505</v>
      </c>
    </row>
    <row r="910" spans="1:22" ht="14.25" customHeight="1" x14ac:dyDescent="0.3">
      <c r="A910" s="1" t="s">
        <v>27</v>
      </c>
      <c r="B910" s="1" t="s">
        <v>1809</v>
      </c>
      <c r="C910" s="1" t="s">
        <v>1810</v>
      </c>
      <c r="D910" s="1">
        <f t="shared" si="181"/>
        <v>37</v>
      </c>
      <c r="E910" s="1">
        <f t="shared" si="182"/>
        <v>0.2744328703703704</v>
      </c>
      <c r="F910" s="2">
        <f t="shared" si="183"/>
        <v>229.2121998915629</v>
      </c>
      <c r="G910" s="1">
        <v>2080</v>
      </c>
      <c r="H910" s="1">
        <v>3744</v>
      </c>
      <c r="I910" s="1">
        <v>0</v>
      </c>
      <c r="J910" s="1">
        <v>121</v>
      </c>
      <c r="K910" s="1">
        <f t="shared" si="179"/>
        <v>0</v>
      </c>
      <c r="L910" s="1">
        <f t="shared" si="184"/>
        <v>1.0558413461538461</v>
      </c>
      <c r="M910" s="1">
        <f t="shared" si="185"/>
        <v>1.0558413461538461</v>
      </c>
      <c r="N910" s="2">
        <f t="shared" si="180"/>
        <v>15.911481456184688</v>
      </c>
      <c r="O910" s="1">
        <v>942</v>
      </c>
      <c r="P910" s="1">
        <f t="shared" si="186"/>
        <v>930</v>
      </c>
      <c r="Q910" s="1">
        <f t="shared" si="187"/>
        <v>6.1876367305834625</v>
      </c>
      <c r="R910" s="1">
        <f t="shared" si="188"/>
        <v>3.0739861962834509</v>
      </c>
      <c r="S910" s="2">
        <f t="shared" si="189"/>
        <v>10.934432182271379</v>
      </c>
      <c r="T910" s="2">
        <f t="shared" si="190"/>
        <v>0.19084184341666433</v>
      </c>
      <c r="U910" s="1" t="s">
        <v>2507</v>
      </c>
      <c r="V910" s="6" t="s">
        <v>2505</v>
      </c>
    </row>
    <row r="911" spans="1:22" ht="14.25" customHeight="1" x14ac:dyDescent="0.3">
      <c r="A911" s="1" t="s">
        <v>40</v>
      </c>
      <c r="B911" s="1" t="s">
        <v>1811</v>
      </c>
      <c r="C911" s="1" t="s">
        <v>1812</v>
      </c>
      <c r="D911" s="1">
        <f t="shared" si="181"/>
        <v>72</v>
      </c>
      <c r="E911" s="1">
        <f t="shared" si="182"/>
        <v>0.94792824074074078</v>
      </c>
      <c r="F911" s="2">
        <f t="shared" si="183"/>
        <v>453.35538185841301</v>
      </c>
      <c r="G911" s="1">
        <v>2080</v>
      </c>
      <c r="H911" s="1">
        <v>3744</v>
      </c>
      <c r="I911" s="1">
        <v>0</v>
      </c>
      <c r="J911" s="1">
        <v>116</v>
      </c>
      <c r="K911" s="1">
        <f t="shared" si="179"/>
        <v>0</v>
      </c>
      <c r="L911" s="1">
        <f t="shared" si="184"/>
        <v>1.0122115384615382</v>
      </c>
      <c r="M911" s="1">
        <f t="shared" si="185"/>
        <v>1.0122115384615382</v>
      </c>
      <c r="N911" s="2">
        <f t="shared" si="180"/>
        <v>16.597321174123685</v>
      </c>
      <c r="O911" s="1">
        <v>941</v>
      </c>
      <c r="P911" s="1">
        <f t="shared" si="186"/>
        <v>931</v>
      </c>
      <c r="Q911" s="1">
        <f t="shared" si="187"/>
        <v>6.4543452103499916</v>
      </c>
      <c r="R911" s="1">
        <f t="shared" si="188"/>
        <v>3.2099334352755569</v>
      </c>
      <c r="S911" s="2">
        <f t="shared" si="189"/>
        <v>10.945905788661959</v>
      </c>
      <c r="T911" s="2">
        <f t="shared" si="190"/>
        <v>0.19104209562525779</v>
      </c>
      <c r="U911" s="1" t="s">
        <v>2507</v>
      </c>
      <c r="V911" s="6" t="s">
        <v>2505</v>
      </c>
    </row>
    <row r="912" spans="1:22" ht="14.25" customHeight="1" x14ac:dyDescent="0.3">
      <c r="A912" s="1" t="s">
        <v>40</v>
      </c>
      <c r="B912" s="1" t="s">
        <v>1813</v>
      </c>
      <c r="C912" s="1" t="s">
        <v>1814</v>
      </c>
      <c r="D912" s="1">
        <f t="shared" si="181"/>
        <v>92</v>
      </c>
      <c r="E912" s="1">
        <f t="shared" si="182"/>
        <v>3.7141203703703704E-2</v>
      </c>
      <c r="F912" s="2">
        <f t="shared" si="183"/>
        <v>573.29644427292396</v>
      </c>
      <c r="G912" s="1">
        <v>2080</v>
      </c>
      <c r="H912" s="1">
        <v>3744</v>
      </c>
      <c r="I912" s="1">
        <v>0</v>
      </c>
      <c r="J912" s="1">
        <v>118</v>
      </c>
      <c r="K912" s="1">
        <f t="shared" si="179"/>
        <v>0</v>
      </c>
      <c r="L912" s="1">
        <f t="shared" si="184"/>
        <v>1.0296634615384614</v>
      </c>
      <c r="M912" s="1">
        <f t="shared" si="185"/>
        <v>1.0296634615384614</v>
      </c>
      <c r="N912" s="2">
        <f t="shared" si="180"/>
        <v>16.316010645748708</v>
      </c>
      <c r="O912" s="1">
        <v>940</v>
      </c>
      <c r="P912" s="1">
        <f t="shared" si="186"/>
        <v>932</v>
      </c>
      <c r="Q912" s="1">
        <f t="shared" si="187"/>
        <v>6.3449495288186366</v>
      </c>
      <c r="R912" s="1">
        <f t="shared" si="188"/>
        <v>3.1589171799460307</v>
      </c>
      <c r="S912" s="2">
        <f t="shared" si="189"/>
        <v>10.957378506400703</v>
      </c>
      <c r="T912" s="2">
        <f t="shared" si="190"/>
        <v>0.19124233232395083</v>
      </c>
      <c r="U912" s="1" t="s">
        <v>2507</v>
      </c>
      <c r="V912" s="6" t="s">
        <v>2505</v>
      </c>
    </row>
    <row r="913" spans="1:24" ht="14.25" customHeight="1" x14ac:dyDescent="0.3">
      <c r="A913" s="1" t="s">
        <v>40</v>
      </c>
      <c r="B913" s="1" t="s">
        <v>1815</v>
      </c>
      <c r="C913" s="1" t="s">
        <v>1816</v>
      </c>
      <c r="D913" s="1">
        <f t="shared" si="181"/>
        <v>92</v>
      </c>
      <c r="E913" s="1">
        <f t="shared" si="182"/>
        <v>4.6400462962962963E-2</v>
      </c>
      <c r="F913" s="2">
        <f t="shared" si="183"/>
        <v>573.35462191465717</v>
      </c>
      <c r="G913" s="1">
        <v>2080</v>
      </c>
      <c r="H913" s="1">
        <v>3744</v>
      </c>
      <c r="I913" s="1">
        <v>0</v>
      </c>
      <c r="J913" s="1">
        <v>288</v>
      </c>
      <c r="K913" s="1">
        <f t="shared" si="179"/>
        <v>0</v>
      </c>
      <c r="L913" s="1">
        <f t="shared" si="184"/>
        <v>2.5130769230769232</v>
      </c>
      <c r="M913" s="1">
        <f t="shared" si="185"/>
        <v>2.5130769230769232</v>
      </c>
      <c r="N913" s="2">
        <f t="shared" si="180"/>
        <v>6.6850321395775945</v>
      </c>
      <c r="O913" s="1">
        <v>938</v>
      </c>
      <c r="P913" s="1">
        <f t="shared" si="186"/>
        <v>934</v>
      </c>
      <c r="Q913" s="1">
        <f t="shared" si="187"/>
        <v>2.599666820835413</v>
      </c>
      <c r="R913" s="1">
        <f t="shared" si="188"/>
        <v>1.2970559886005746</v>
      </c>
      <c r="S913" s="2">
        <f t="shared" si="189"/>
        <v>10.980321272656514</v>
      </c>
      <c r="T913" s="2">
        <f t="shared" si="190"/>
        <v>0.19164275913463019</v>
      </c>
      <c r="U913" s="1" t="s">
        <v>2507</v>
      </c>
      <c r="V913" s="6" t="s">
        <v>2505</v>
      </c>
    </row>
    <row r="914" spans="1:24" ht="14.25" customHeight="1" x14ac:dyDescent="0.3">
      <c r="A914" s="1" t="s">
        <v>40</v>
      </c>
      <c r="B914" s="1" t="s">
        <v>1817</v>
      </c>
      <c r="C914" s="1" t="s">
        <v>1818</v>
      </c>
      <c r="D914" s="1">
        <f t="shared" si="181"/>
        <v>8</v>
      </c>
      <c r="E914" s="1">
        <f t="shared" si="182"/>
        <v>0.75173611111111116</v>
      </c>
      <c r="F914" s="2">
        <f t="shared" si="183"/>
        <v>49.998810692646337</v>
      </c>
      <c r="G914" s="1">
        <v>2080</v>
      </c>
      <c r="H914" s="1">
        <v>3744</v>
      </c>
      <c r="I914" s="1">
        <v>0</v>
      </c>
      <c r="J914" s="1">
        <v>214</v>
      </c>
      <c r="K914" s="1">
        <f t="shared" si="179"/>
        <v>0</v>
      </c>
      <c r="L914" s="1">
        <f t="shared" si="184"/>
        <v>1.8673557692307692</v>
      </c>
      <c r="M914" s="1">
        <f t="shared" si="185"/>
        <v>1.8673557692307692</v>
      </c>
      <c r="N914" s="2">
        <f t="shared" si="180"/>
        <v>8.9966787672819972</v>
      </c>
      <c r="O914" s="1">
        <v>937</v>
      </c>
      <c r="P914" s="1">
        <f t="shared" si="186"/>
        <v>935</v>
      </c>
      <c r="Q914" s="1">
        <f t="shared" si="187"/>
        <v>3.4986170299093415</v>
      </c>
      <c r="R914" s="1">
        <f t="shared" si="188"/>
        <v>1.7474395956010866</v>
      </c>
      <c r="S914" s="2">
        <f t="shared" si="189"/>
        <v>10.991791319541525</v>
      </c>
      <c r="T914" s="2">
        <f t="shared" si="190"/>
        <v>0.19184294921813175</v>
      </c>
      <c r="U914" s="1" t="s">
        <v>2507</v>
      </c>
      <c r="V914" s="6" t="s">
        <v>2505</v>
      </c>
    </row>
    <row r="915" spans="1:24" ht="14.25" customHeight="1" x14ac:dyDescent="0.3">
      <c r="A915" s="1" t="s">
        <v>27</v>
      </c>
      <c r="B915" s="1" t="s">
        <v>1819</v>
      </c>
      <c r="C915" s="1" t="s">
        <v>1820</v>
      </c>
      <c r="D915" s="1">
        <f t="shared" si="181"/>
        <v>71</v>
      </c>
      <c r="E915" s="1">
        <f t="shared" si="182"/>
        <v>0.75121527777777775</v>
      </c>
      <c r="F915" s="2">
        <f t="shared" si="183"/>
        <v>445.83621255261278</v>
      </c>
      <c r="G915" s="1">
        <v>2080</v>
      </c>
      <c r="H915" s="1">
        <v>3744</v>
      </c>
      <c r="I915" s="1">
        <v>0</v>
      </c>
      <c r="J915" s="1">
        <v>307</v>
      </c>
      <c r="K915" s="1">
        <f t="shared" si="179"/>
        <v>0</v>
      </c>
      <c r="L915" s="1">
        <f t="shared" si="184"/>
        <v>2.6788701923076919</v>
      </c>
      <c r="M915" s="1">
        <f t="shared" si="185"/>
        <v>2.6788701923076919</v>
      </c>
      <c r="N915" s="2">
        <f t="shared" si="180"/>
        <v>6.2713005087894054</v>
      </c>
      <c r="O915" s="1">
        <v>936</v>
      </c>
      <c r="P915" s="1">
        <f t="shared" si="186"/>
        <v>936</v>
      </c>
      <c r="Q915" s="1">
        <f t="shared" si="187"/>
        <v>2.4387753889270329</v>
      </c>
      <c r="R915" s="1">
        <f t="shared" si="188"/>
        <v>1.2193876944635165</v>
      </c>
      <c r="S915" s="2">
        <f t="shared" si="189"/>
        <v>11.003260474510586</v>
      </c>
      <c r="T915" s="2">
        <f t="shared" si="190"/>
        <v>0.19204312373476334</v>
      </c>
      <c r="U915" s="1" t="s">
        <v>2507</v>
      </c>
      <c r="V915" s="6" t="s">
        <v>2505</v>
      </c>
    </row>
    <row r="916" spans="1:24" ht="14.25" customHeight="1" x14ac:dyDescent="0.3">
      <c r="A916" s="1" t="s">
        <v>27</v>
      </c>
      <c r="B916" s="1" t="s">
        <v>1821</v>
      </c>
      <c r="C916" s="1" t="s">
        <v>1822</v>
      </c>
      <c r="D916" s="1">
        <f t="shared" si="181"/>
        <v>20</v>
      </c>
      <c r="E916" s="1">
        <f t="shared" si="182"/>
        <v>0.82861111111111108</v>
      </c>
      <c r="F916" s="2">
        <f t="shared" si="183"/>
        <v>125.88005424929081</v>
      </c>
      <c r="G916" s="1">
        <v>2080</v>
      </c>
      <c r="H916" s="1">
        <v>3744</v>
      </c>
      <c r="I916" s="1">
        <v>0</v>
      </c>
      <c r="J916" s="1">
        <v>189</v>
      </c>
      <c r="K916" s="1">
        <f t="shared" si="179"/>
        <v>0</v>
      </c>
      <c r="L916" s="1">
        <f t="shared" si="184"/>
        <v>1.6492067307692306</v>
      </c>
      <c r="M916" s="1">
        <f t="shared" si="185"/>
        <v>1.6492067307692306</v>
      </c>
      <c r="N916" s="2">
        <f t="shared" si="180"/>
        <v>10.186715641261097</v>
      </c>
      <c r="O916" s="1">
        <v>934</v>
      </c>
      <c r="P916" s="1">
        <f t="shared" si="186"/>
        <v>938</v>
      </c>
      <c r="Q916" s="1">
        <f t="shared" si="187"/>
        <v>3.9613970603206297</v>
      </c>
      <c r="R916" s="1">
        <f t="shared" si="188"/>
        <v>1.9849307919768966</v>
      </c>
      <c r="S916" s="2">
        <f t="shared" si="189"/>
        <v>11.026196105441285</v>
      </c>
      <c r="T916" s="2">
        <f t="shared" si="190"/>
        <v>0.19244342601052628</v>
      </c>
      <c r="U916" s="1" t="s">
        <v>2507</v>
      </c>
      <c r="V916" s="6" t="s">
        <v>2505</v>
      </c>
    </row>
    <row r="917" spans="1:24" ht="14.25" customHeight="1" x14ac:dyDescent="0.3">
      <c r="A917" s="1" t="s">
        <v>450</v>
      </c>
      <c r="B917" s="1" t="s">
        <v>1823</v>
      </c>
      <c r="C917" s="1" t="s">
        <v>1824</v>
      </c>
      <c r="D917" s="1">
        <f t="shared" si="181"/>
        <v>67</v>
      </c>
      <c r="E917" s="1">
        <f t="shared" si="182"/>
        <v>0.73343749999999996</v>
      </c>
      <c r="F917" s="2">
        <f t="shared" si="183"/>
        <v>420.59177025176677</v>
      </c>
      <c r="G917" s="1">
        <v>2080</v>
      </c>
      <c r="H917" s="1">
        <v>3744</v>
      </c>
      <c r="I917" s="1">
        <v>0</v>
      </c>
      <c r="J917" s="1">
        <v>281</v>
      </c>
      <c r="K917" s="1">
        <f t="shared" si="179"/>
        <v>0</v>
      </c>
      <c r="L917" s="1">
        <f t="shared" si="184"/>
        <v>2.4519951923076921</v>
      </c>
      <c r="M917" s="1">
        <f t="shared" si="185"/>
        <v>2.4519951923076921</v>
      </c>
      <c r="N917" s="2">
        <f t="shared" si="180"/>
        <v>6.8515631893179618</v>
      </c>
      <c r="O917" s="1">
        <v>933</v>
      </c>
      <c r="P917" s="1">
        <f t="shared" si="186"/>
        <v>939</v>
      </c>
      <c r="Q917" s="1">
        <f t="shared" si="187"/>
        <v>2.6644272042725943</v>
      </c>
      <c r="R917" s="1">
        <f t="shared" si="188"/>
        <v>1.3364835175277596</v>
      </c>
      <c r="S917" s="2">
        <f t="shared" si="189"/>
        <v>11.037662579774169</v>
      </c>
      <c r="T917" s="2">
        <f t="shared" si="190"/>
        <v>0.19264355374123052</v>
      </c>
      <c r="U917" s="1" t="s">
        <v>2507</v>
      </c>
      <c r="V917" s="6" t="s">
        <v>2505</v>
      </c>
    </row>
    <row r="918" spans="1:24" ht="14.25" customHeight="1" x14ac:dyDescent="0.3">
      <c r="A918" s="1" t="s">
        <v>27</v>
      </c>
      <c r="B918" s="1" t="s">
        <v>1825</v>
      </c>
      <c r="C918" s="1" t="s">
        <v>1826</v>
      </c>
      <c r="D918" s="1">
        <f t="shared" si="181"/>
        <v>33</v>
      </c>
      <c r="E918" s="1">
        <f t="shared" si="182"/>
        <v>0.27089120370370373</v>
      </c>
      <c r="F918" s="2">
        <f t="shared" si="183"/>
        <v>204.05720571488166</v>
      </c>
      <c r="G918" s="1">
        <v>2080</v>
      </c>
      <c r="H918" s="1">
        <v>3744</v>
      </c>
      <c r="I918" s="1">
        <v>0</v>
      </c>
      <c r="J918" s="1">
        <v>110</v>
      </c>
      <c r="K918" s="1">
        <f t="shared" si="179"/>
        <v>0</v>
      </c>
      <c r="L918" s="1">
        <f t="shared" si="184"/>
        <v>0.9598557692307691</v>
      </c>
      <c r="M918" s="1">
        <f t="shared" si="185"/>
        <v>0.9598557692307691</v>
      </c>
      <c r="N918" s="2">
        <f t="shared" si="180"/>
        <v>17.502629601803157</v>
      </c>
      <c r="O918" s="1">
        <v>929</v>
      </c>
      <c r="P918" s="1">
        <f t="shared" si="186"/>
        <v>943</v>
      </c>
      <c r="Q918" s="1">
        <f t="shared" si="187"/>
        <v>6.8064004036418089</v>
      </c>
      <c r="R918" s="1">
        <f t="shared" si="188"/>
        <v>3.4286514853815309</v>
      </c>
      <c r="S918" s="2">
        <f t="shared" si="189"/>
        <v>11.083519517239738</v>
      </c>
      <c r="T918" s="2">
        <f t="shared" si="190"/>
        <v>0.19344390828488583</v>
      </c>
      <c r="U918" s="1" t="s">
        <v>2507</v>
      </c>
      <c r="V918" s="6" t="s">
        <v>2505</v>
      </c>
    </row>
    <row r="919" spans="1:24" ht="14.25" customHeight="1" x14ac:dyDescent="0.3">
      <c r="A919" s="1" t="s">
        <v>40</v>
      </c>
      <c r="B919" s="1" t="s">
        <v>1827</v>
      </c>
      <c r="C919" s="1" t="s">
        <v>1828</v>
      </c>
      <c r="D919" s="1">
        <f t="shared" si="181"/>
        <v>31</v>
      </c>
      <c r="E919" s="1">
        <f t="shared" si="182"/>
        <v>7.1296296296296288E-2</v>
      </c>
      <c r="F919" s="2">
        <f t="shared" si="183"/>
        <v>190.23674331091237</v>
      </c>
      <c r="G919" s="1">
        <v>2080</v>
      </c>
      <c r="H919" s="1">
        <v>3744</v>
      </c>
      <c r="I919" s="1">
        <v>0</v>
      </c>
      <c r="J919" s="1">
        <v>122</v>
      </c>
      <c r="K919" s="1">
        <f t="shared" si="179"/>
        <v>0</v>
      </c>
      <c r="L919" s="1">
        <f t="shared" si="184"/>
        <v>1.0645673076923075</v>
      </c>
      <c r="M919" s="1">
        <f t="shared" si="185"/>
        <v>1.0645673076923075</v>
      </c>
      <c r="N919" s="2">
        <f t="shared" si="180"/>
        <v>15.781059477035637</v>
      </c>
      <c r="O919" s="1">
        <v>927</v>
      </c>
      <c r="P919" s="1">
        <f t="shared" si="186"/>
        <v>945</v>
      </c>
      <c r="Q919" s="1">
        <f t="shared" si="187"/>
        <v>6.1369183967262222</v>
      </c>
      <c r="R919" s="1">
        <f t="shared" si="188"/>
        <v>3.097963613731987</v>
      </c>
      <c r="S919" s="2">
        <f t="shared" si="189"/>
        <v>11.106442598676283</v>
      </c>
      <c r="T919" s="2">
        <f t="shared" si="190"/>
        <v>0.19384399153065635</v>
      </c>
      <c r="U919" s="1" t="s">
        <v>2507</v>
      </c>
      <c r="V919" s="6" t="s">
        <v>2505</v>
      </c>
    </row>
    <row r="920" spans="1:24" ht="14.25" customHeight="1" x14ac:dyDescent="0.3">
      <c r="A920" s="1" t="s">
        <v>27</v>
      </c>
      <c r="B920" s="1" t="s">
        <v>1829</v>
      </c>
      <c r="C920" s="1" t="s">
        <v>1830</v>
      </c>
      <c r="D920" s="1">
        <f t="shared" si="181"/>
        <v>54</v>
      </c>
      <c r="E920" s="1">
        <f t="shared" si="182"/>
        <v>0.17563657407407407</v>
      </c>
      <c r="F920" s="2">
        <f t="shared" si="183"/>
        <v>335.40559467632329</v>
      </c>
      <c r="G920" s="1">
        <v>2080</v>
      </c>
      <c r="H920" s="1">
        <v>3744</v>
      </c>
      <c r="I920" s="1">
        <v>0</v>
      </c>
      <c r="J920" s="1">
        <v>186</v>
      </c>
      <c r="K920" s="1">
        <f t="shared" si="179"/>
        <v>0</v>
      </c>
      <c r="L920" s="1">
        <f t="shared" si="184"/>
        <v>1.623028846153846</v>
      </c>
      <c r="M920" s="1">
        <f t="shared" si="185"/>
        <v>1.623028846153846</v>
      </c>
      <c r="N920" s="2">
        <f t="shared" si="180"/>
        <v>10.351017506442728</v>
      </c>
      <c r="O920" s="1">
        <v>926</v>
      </c>
      <c r="P920" s="1">
        <f t="shared" si="186"/>
        <v>946</v>
      </c>
      <c r="Q920" s="1">
        <f t="shared" si="187"/>
        <v>4.0252905612935432</v>
      </c>
      <c r="R920" s="1">
        <f t="shared" si="188"/>
        <v>2.0341479011665018</v>
      </c>
      <c r="S920" s="2">
        <f t="shared" si="189"/>
        <v>11.117902789729236</v>
      </c>
      <c r="T920" s="2">
        <f t="shared" si="190"/>
        <v>0.19404400959743798</v>
      </c>
      <c r="U920" s="1" t="s">
        <v>2507</v>
      </c>
      <c r="V920" s="6" t="s">
        <v>2505</v>
      </c>
    </row>
    <row r="921" spans="1:24" ht="14.25" customHeight="1" x14ac:dyDescent="0.3">
      <c r="A921" s="1" t="s">
        <v>40</v>
      </c>
      <c r="B921" s="1" t="s">
        <v>1831</v>
      </c>
      <c r="C921" s="1" t="s">
        <v>1832</v>
      </c>
      <c r="D921" s="1">
        <f t="shared" si="181"/>
        <v>31</v>
      </c>
      <c r="E921" s="1">
        <f t="shared" si="182"/>
        <v>0.72258101851851853</v>
      </c>
      <c r="F921" s="2">
        <f t="shared" si="183"/>
        <v>194.32888590836959</v>
      </c>
      <c r="G921" s="1">
        <v>2080</v>
      </c>
      <c r="H921" s="1">
        <v>3744</v>
      </c>
      <c r="I921" s="1">
        <v>0</v>
      </c>
      <c r="J921" s="1">
        <v>288</v>
      </c>
      <c r="K921" s="1">
        <f t="shared" si="179"/>
        <v>0</v>
      </c>
      <c r="L921" s="1">
        <f t="shared" si="184"/>
        <v>2.5130769230769232</v>
      </c>
      <c r="M921" s="1">
        <f t="shared" si="185"/>
        <v>2.5130769230769232</v>
      </c>
      <c r="N921" s="2">
        <f t="shared" si="180"/>
        <v>6.6850321395775945</v>
      </c>
      <c r="O921" s="1">
        <v>925</v>
      </c>
      <c r="P921" s="1">
        <f t="shared" si="186"/>
        <v>947</v>
      </c>
      <c r="Q921" s="1">
        <f t="shared" si="187"/>
        <v>2.599666820835413</v>
      </c>
      <c r="R921" s="1">
        <f t="shared" si="188"/>
        <v>1.3151092304119316</v>
      </c>
      <c r="S921" s="2">
        <f t="shared" si="189"/>
        <v>11.129362079924027</v>
      </c>
      <c r="T921" s="2">
        <f t="shared" si="190"/>
        <v>0.19424401194127858</v>
      </c>
      <c r="U921" s="1" t="s">
        <v>2507</v>
      </c>
      <c r="V921" s="6" t="s">
        <v>2505</v>
      </c>
    </row>
    <row r="922" spans="1:24" ht="14.25" customHeight="1" x14ac:dyDescent="0.3">
      <c r="A922" s="1" t="s">
        <v>27</v>
      </c>
      <c r="B922" s="1" t="s">
        <v>1833</v>
      </c>
      <c r="C922" s="1" t="s">
        <v>1834</v>
      </c>
      <c r="D922" s="1">
        <f t="shared" si="181"/>
        <v>54</v>
      </c>
      <c r="E922" s="1">
        <f t="shared" si="182"/>
        <v>0.18107638888888888</v>
      </c>
      <c r="F922" s="2">
        <f t="shared" si="183"/>
        <v>335.43977404084148</v>
      </c>
      <c r="G922" s="1">
        <v>2080</v>
      </c>
      <c r="H922" s="1">
        <v>3744</v>
      </c>
      <c r="I922" s="1">
        <v>0</v>
      </c>
      <c r="J922" s="1">
        <v>220</v>
      </c>
      <c r="K922" s="1">
        <f t="shared" si="179"/>
        <v>0</v>
      </c>
      <c r="L922" s="1">
        <f t="shared" si="184"/>
        <v>1.9197115384615382</v>
      </c>
      <c r="M922" s="1">
        <f t="shared" si="185"/>
        <v>1.9197115384615382</v>
      </c>
      <c r="N922" s="2">
        <f t="shared" si="180"/>
        <v>8.7513148009015786</v>
      </c>
      <c r="O922" s="1">
        <v>925</v>
      </c>
      <c r="P922" s="1">
        <f t="shared" si="186"/>
        <v>947</v>
      </c>
      <c r="Q922" s="1">
        <f t="shared" si="187"/>
        <v>3.4032002018209044</v>
      </c>
      <c r="R922" s="1">
        <f t="shared" si="188"/>
        <v>1.7215975379938016</v>
      </c>
      <c r="S922" s="2">
        <f t="shared" si="189"/>
        <v>11.129362079924027</v>
      </c>
      <c r="T922" s="2">
        <f t="shared" si="190"/>
        <v>0.19424401194127858</v>
      </c>
      <c r="U922" s="1" t="s">
        <v>2507</v>
      </c>
      <c r="V922" s="6" t="s">
        <v>2505</v>
      </c>
    </row>
    <row r="923" spans="1:24" ht="14.25" customHeight="1" x14ac:dyDescent="0.3">
      <c r="A923" s="1" t="s">
        <v>17</v>
      </c>
      <c r="B923" s="1" t="s">
        <v>1835</v>
      </c>
      <c r="C923" s="1" t="s">
        <v>1836</v>
      </c>
      <c r="D923" s="1">
        <f t="shared" si="181"/>
        <v>6</v>
      </c>
      <c r="E923" s="1">
        <f t="shared" si="182"/>
        <v>0.76940972222222215</v>
      </c>
      <c r="F923" s="2">
        <f t="shared" si="183"/>
        <v>37.543486651945308</v>
      </c>
      <c r="G923" s="1">
        <v>2080</v>
      </c>
      <c r="H923" s="1">
        <v>3744</v>
      </c>
      <c r="I923" s="1">
        <v>0</v>
      </c>
      <c r="J923" s="1">
        <v>162</v>
      </c>
      <c r="K923" s="1">
        <f t="shared" si="179"/>
        <v>0</v>
      </c>
      <c r="L923" s="1">
        <f t="shared" si="184"/>
        <v>1.4136057692307691</v>
      </c>
      <c r="M923" s="1">
        <f t="shared" si="185"/>
        <v>1.4136057692307691</v>
      </c>
      <c r="N923" s="2">
        <f t="shared" si="180"/>
        <v>11.88450158147128</v>
      </c>
      <c r="O923" s="1">
        <v>924</v>
      </c>
      <c r="P923" s="1">
        <f t="shared" si="186"/>
        <v>948</v>
      </c>
      <c r="Q923" s="1">
        <f t="shared" si="187"/>
        <v>4.6216299037074018</v>
      </c>
      <c r="R923" s="1">
        <f t="shared" si="188"/>
        <v>2.3404407845697737</v>
      </c>
      <c r="S923" s="2">
        <f t="shared" si="189"/>
        <v>11.140820468450219</v>
      </c>
      <c r="T923" s="2">
        <f t="shared" si="190"/>
        <v>0.19444399854803338</v>
      </c>
      <c r="U923" s="1" t="s">
        <v>2507</v>
      </c>
      <c r="V923" s="6" t="s">
        <v>2505</v>
      </c>
    </row>
    <row r="924" spans="1:24" ht="14.25" customHeight="1" x14ac:dyDescent="0.3">
      <c r="A924" s="1" t="s">
        <v>27</v>
      </c>
      <c r="B924" s="1" t="s">
        <v>1837</v>
      </c>
      <c r="C924" s="1" t="s">
        <v>1838</v>
      </c>
      <c r="D924" s="1">
        <f t="shared" si="181"/>
        <v>34</v>
      </c>
      <c r="E924" s="1">
        <f t="shared" si="182"/>
        <v>0.1650925925925926</v>
      </c>
      <c r="F924" s="2">
        <f t="shared" si="183"/>
        <v>209.67563874320788</v>
      </c>
      <c r="G924" s="1">
        <v>2080</v>
      </c>
      <c r="H924" s="1">
        <v>3744</v>
      </c>
      <c r="I924" s="1">
        <v>0</v>
      </c>
      <c r="J924" s="1">
        <v>123</v>
      </c>
      <c r="K924" s="1">
        <f t="shared" si="179"/>
        <v>0</v>
      </c>
      <c r="L924" s="1">
        <f t="shared" si="184"/>
        <v>1.0732932692307691</v>
      </c>
      <c r="M924" s="1">
        <f t="shared" si="185"/>
        <v>1.0732932692307691</v>
      </c>
      <c r="N924" s="2">
        <f t="shared" si="180"/>
        <v>15.65275818047437</v>
      </c>
      <c r="O924" s="1">
        <v>924</v>
      </c>
      <c r="P924" s="1">
        <f t="shared" si="186"/>
        <v>948</v>
      </c>
      <c r="Q924" s="1">
        <f t="shared" si="187"/>
        <v>6.0870247512243827</v>
      </c>
      <c r="R924" s="1">
        <f t="shared" si="188"/>
        <v>3.0825317650431168</v>
      </c>
      <c r="S924" s="2">
        <f t="shared" si="189"/>
        <v>11.140820468450219</v>
      </c>
      <c r="T924" s="2">
        <f t="shared" si="190"/>
        <v>0.19444399854803338</v>
      </c>
      <c r="U924" s="1" t="s">
        <v>2507</v>
      </c>
      <c r="V924" s="6" t="s">
        <v>2505</v>
      </c>
    </row>
    <row r="925" spans="1:24" ht="14.25" customHeight="1" x14ac:dyDescent="0.3">
      <c r="A925" s="1" t="s">
        <v>40</v>
      </c>
      <c r="B925" s="1" t="s">
        <v>769</v>
      </c>
      <c r="C925" s="1" t="s">
        <v>770</v>
      </c>
      <c r="D925" s="1">
        <f t="shared" si="181"/>
        <v>76</v>
      </c>
      <c r="E925" s="1">
        <f t="shared" si="182"/>
        <v>0.74682870370370369</v>
      </c>
      <c r="F925" s="2">
        <f t="shared" si="183"/>
        <v>477.2245774307396</v>
      </c>
      <c r="G925" s="1">
        <v>2080</v>
      </c>
      <c r="H925" s="1">
        <v>3744</v>
      </c>
      <c r="I925" s="1">
        <v>0</v>
      </c>
      <c r="J925" s="1">
        <v>131</v>
      </c>
      <c r="K925" s="1">
        <f t="shared" si="179"/>
        <v>0</v>
      </c>
      <c r="L925" s="1">
        <f t="shared" si="184"/>
        <v>1.1431009615384613</v>
      </c>
      <c r="M925" s="1">
        <f t="shared" si="185"/>
        <v>1.1431009615384613</v>
      </c>
      <c r="N925" s="2">
        <f t="shared" si="180"/>
        <v>14.696864551132425</v>
      </c>
      <c r="O925" s="1">
        <v>924</v>
      </c>
      <c r="P925" s="1">
        <f t="shared" si="186"/>
        <v>948</v>
      </c>
      <c r="Q925" s="1">
        <f t="shared" si="187"/>
        <v>5.7152980488595357</v>
      </c>
      <c r="R925" s="1">
        <f t="shared" si="188"/>
        <v>2.8942855503839957</v>
      </c>
      <c r="S925" s="2">
        <f t="shared" si="189"/>
        <v>11.140820468450219</v>
      </c>
      <c r="T925" s="2">
        <f t="shared" si="190"/>
        <v>0.19444399854803338</v>
      </c>
      <c r="U925" s="1" t="s">
        <v>2507</v>
      </c>
      <c r="V925" s="6" t="s">
        <v>2505</v>
      </c>
      <c r="W925" s="1"/>
      <c r="X925" s="1"/>
    </row>
    <row r="926" spans="1:24" ht="14.25" customHeight="1" x14ac:dyDescent="0.3">
      <c r="A926" s="1" t="s">
        <v>27</v>
      </c>
      <c r="B926" s="1" t="s">
        <v>1839</v>
      </c>
      <c r="C926" s="1" t="s">
        <v>1840</v>
      </c>
      <c r="D926" s="1">
        <f t="shared" si="181"/>
        <v>54</v>
      </c>
      <c r="E926" s="1">
        <f t="shared" si="182"/>
        <v>0.17598379629629632</v>
      </c>
      <c r="F926" s="2">
        <f t="shared" si="183"/>
        <v>335.40777633788821</v>
      </c>
      <c r="G926" s="1">
        <v>2080</v>
      </c>
      <c r="H926" s="1">
        <v>3744</v>
      </c>
      <c r="I926" s="1">
        <v>0</v>
      </c>
      <c r="J926" s="1">
        <v>169</v>
      </c>
      <c r="K926" s="1">
        <f t="shared" si="179"/>
        <v>0</v>
      </c>
      <c r="L926" s="1">
        <f t="shared" si="184"/>
        <v>1.4746874999999999</v>
      </c>
      <c r="M926" s="1">
        <f t="shared" si="185"/>
        <v>1.4746874999999999</v>
      </c>
      <c r="N926" s="2">
        <f t="shared" si="180"/>
        <v>11.392244119516848</v>
      </c>
      <c r="O926" s="1">
        <v>922</v>
      </c>
      <c r="P926" s="1">
        <f t="shared" si="186"/>
        <v>950</v>
      </c>
      <c r="Q926" s="1">
        <f t="shared" si="187"/>
        <v>4.4302014461573904</v>
      </c>
      <c r="R926" s="1">
        <f t="shared" si="188"/>
        <v>2.2482325715008122</v>
      </c>
      <c r="S926" s="2">
        <f t="shared" si="189"/>
        <v>11.163734537257127</v>
      </c>
      <c r="T926" s="2">
        <f t="shared" si="190"/>
        <v>0.19484392449374244</v>
      </c>
      <c r="U926" s="1" t="s">
        <v>2507</v>
      </c>
      <c r="V926" s="6" t="s">
        <v>2505</v>
      </c>
    </row>
    <row r="927" spans="1:24" ht="14.25" customHeight="1" x14ac:dyDescent="0.3">
      <c r="A927" s="1" t="s">
        <v>40</v>
      </c>
      <c r="B927" s="1" t="s">
        <v>1841</v>
      </c>
      <c r="C927" s="1" t="s">
        <v>1842</v>
      </c>
      <c r="D927" s="1">
        <f t="shared" si="181"/>
        <v>91</v>
      </c>
      <c r="E927" s="1">
        <f t="shared" si="182"/>
        <v>1.4641203703703703E-2</v>
      </c>
      <c r="F927" s="2">
        <f t="shared" si="183"/>
        <v>566.87188729633294</v>
      </c>
      <c r="G927" s="1">
        <v>2080</v>
      </c>
      <c r="H927" s="1">
        <v>3744</v>
      </c>
      <c r="I927" s="1">
        <v>0</v>
      </c>
      <c r="J927" s="1">
        <v>128</v>
      </c>
      <c r="K927" s="1">
        <f t="shared" si="179"/>
        <v>0</v>
      </c>
      <c r="L927" s="1">
        <f t="shared" si="184"/>
        <v>1.1169230769230769</v>
      </c>
      <c r="M927" s="1">
        <f t="shared" si="185"/>
        <v>1.1169230769230769</v>
      </c>
      <c r="N927" s="2">
        <f t="shared" si="180"/>
        <v>15.041322314049587</v>
      </c>
      <c r="O927" s="1">
        <v>921</v>
      </c>
      <c r="P927" s="1">
        <f t="shared" si="186"/>
        <v>951</v>
      </c>
      <c r="Q927" s="1">
        <f t="shared" si="187"/>
        <v>5.8492503468796793</v>
      </c>
      <c r="R927" s="1">
        <f t="shared" si="188"/>
        <v>2.9714941666039394</v>
      </c>
      <c r="S927" s="2">
        <f t="shared" si="189"/>
        <v>11.175190215919049</v>
      </c>
      <c r="T927" s="2">
        <f t="shared" si="190"/>
        <v>0.19504386380444344</v>
      </c>
      <c r="U927" s="1" t="s">
        <v>2507</v>
      </c>
      <c r="V927" s="6" t="s">
        <v>2505</v>
      </c>
    </row>
    <row r="928" spans="1:24" ht="14.25" customHeight="1" x14ac:dyDescent="0.3">
      <c r="A928" s="1" t="s">
        <v>40</v>
      </c>
      <c r="B928" s="1" t="s">
        <v>1843</v>
      </c>
      <c r="C928" s="1" t="s">
        <v>1844</v>
      </c>
      <c r="D928" s="1">
        <f t="shared" si="181"/>
        <v>73</v>
      </c>
      <c r="E928" s="1">
        <f t="shared" si="182"/>
        <v>0.28354166666666664</v>
      </c>
      <c r="F928" s="2">
        <f t="shared" si="183"/>
        <v>455.46410320508301</v>
      </c>
      <c r="G928" s="1">
        <v>2080</v>
      </c>
      <c r="H928" s="1">
        <v>3744</v>
      </c>
      <c r="I928" s="1">
        <v>0</v>
      </c>
      <c r="J928" s="1">
        <v>206</v>
      </c>
      <c r="K928" s="1">
        <f t="shared" si="179"/>
        <v>0</v>
      </c>
      <c r="L928" s="1">
        <f t="shared" si="184"/>
        <v>1.7975480769230767</v>
      </c>
      <c r="M928" s="1">
        <f t="shared" si="185"/>
        <v>1.7975480769230767</v>
      </c>
      <c r="N928" s="2">
        <f t="shared" si="180"/>
        <v>9.3460643504774144</v>
      </c>
      <c r="O928" s="1">
        <v>917</v>
      </c>
      <c r="P928" s="1">
        <f t="shared" si="186"/>
        <v>955</v>
      </c>
      <c r="Q928" s="1">
        <f t="shared" si="187"/>
        <v>3.6344856524300924</v>
      </c>
      <c r="R928" s="1">
        <f t="shared" si="188"/>
        <v>1.8541313023882147</v>
      </c>
      <c r="S928" s="2">
        <f t="shared" si="189"/>
        <v>11.221003873423319</v>
      </c>
      <c r="T928" s="2">
        <f t="shared" si="190"/>
        <v>0.19584346297027397</v>
      </c>
      <c r="U928" s="1" t="s">
        <v>2507</v>
      </c>
      <c r="V928" s="6" t="s">
        <v>2505</v>
      </c>
    </row>
    <row r="929" spans="1:22" ht="14.25" customHeight="1" x14ac:dyDescent="0.3">
      <c r="A929" s="1" t="s">
        <v>450</v>
      </c>
      <c r="B929" s="1" t="s">
        <v>1845</v>
      </c>
      <c r="C929" s="1" t="s">
        <v>1846</v>
      </c>
      <c r="D929" s="1">
        <f t="shared" si="181"/>
        <v>23</v>
      </c>
      <c r="E929" s="1">
        <f t="shared" si="182"/>
        <v>0.21552083333333336</v>
      </c>
      <c r="F929" s="2">
        <f t="shared" si="183"/>
        <v>140.87745034552157</v>
      </c>
      <c r="G929" s="1">
        <v>2080</v>
      </c>
      <c r="H929" s="1">
        <v>3744</v>
      </c>
      <c r="I929" s="1">
        <v>0</v>
      </c>
      <c r="J929" s="1">
        <v>295</v>
      </c>
      <c r="K929" s="1">
        <f t="shared" si="179"/>
        <v>0</v>
      </c>
      <c r="L929" s="1">
        <f t="shared" si="184"/>
        <v>2.5741586538461538</v>
      </c>
      <c r="M929" s="1">
        <f t="shared" si="185"/>
        <v>2.5741586538461538</v>
      </c>
      <c r="N929" s="2">
        <f t="shared" si="180"/>
        <v>6.5264042582994817</v>
      </c>
      <c r="O929" s="1">
        <v>916</v>
      </c>
      <c r="P929" s="1">
        <f t="shared" si="186"/>
        <v>956</v>
      </c>
      <c r="Q929" s="1">
        <f t="shared" si="187"/>
        <v>2.5379798115274541</v>
      </c>
      <c r="R929" s="1">
        <f t="shared" si="188"/>
        <v>1.2961050746903022</v>
      </c>
      <c r="S929" s="2">
        <f t="shared" si="189"/>
        <v>11.232455019474887</v>
      </c>
      <c r="T929" s="2">
        <f t="shared" si="190"/>
        <v>0.19604332317200057</v>
      </c>
      <c r="U929" s="1" t="s">
        <v>2507</v>
      </c>
      <c r="V929" s="6" t="s">
        <v>2505</v>
      </c>
    </row>
    <row r="930" spans="1:22" ht="14.25" customHeight="1" x14ac:dyDescent="0.3">
      <c r="A930" s="1" t="s">
        <v>27</v>
      </c>
      <c r="B930" s="1" t="s">
        <v>1847</v>
      </c>
      <c r="C930" s="1" t="s">
        <v>1848</v>
      </c>
      <c r="D930" s="1">
        <f t="shared" si="181"/>
        <v>17</v>
      </c>
      <c r="E930" s="1">
        <f t="shared" si="182"/>
        <v>0.85265046296296287</v>
      </c>
      <c r="F930" s="2">
        <f t="shared" si="183"/>
        <v>107.18154203010172</v>
      </c>
      <c r="G930" s="1">
        <v>2080</v>
      </c>
      <c r="H930" s="1">
        <v>3744</v>
      </c>
      <c r="I930" s="1">
        <v>0</v>
      </c>
      <c r="J930" s="1">
        <v>291</v>
      </c>
      <c r="K930" s="1">
        <f t="shared" si="179"/>
        <v>0</v>
      </c>
      <c r="L930" s="1">
        <f t="shared" si="184"/>
        <v>2.5392548076923074</v>
      </c>
      <c r="M930" s="1">
        <f t="shared" si="185"/>
        <v>2.5392548076923074</v>
      </c>
      <c r="N930" s="2">
        <f t="shared" si="180"/>
        <v>6.6161142824685477</v>
      </c>
      <c r="O930" s="1">
        <v>915</v>
      </c>
      <c r="P930" s="1">
        <f t="shared" si="186"/>
        <v>957</v>
      </c>
      <c r="Q930" s="1">
        <f t="shared" si="187"/>
        <v>2.5728661319608213</v>
      </c>
      <c r="R930" s="1">
        <f t="shared" si="188"/>
        <v>1.3152953463068942</v>
      </c>
      <c r="S930" s="2">
        <f t="shared" si="189"/>
        <v>11.243905256582654</v>
      </c>
      <c r="T930" s="2">
        <f t="shared" si="190"/>
        <v>0.19624316750966514</v>
      </c>
      <c r="U930" s="1" t="s">
        <v>2507</v>
      </c>
      <c r="V930" s="6" t="s">
        <v>2505</v>
      </c>
    </row>
    <row r="931" spans="1:22" ht="14.25" customHeight="1" x14ac:dyDescent="0.3">
      <c r="A931" s="1" t="s">
        <v>27</v>
      </c>
      <c r="B931" s="1" t="s">
        <v>1849</v>
      </c>
      <c r="C931" s="1" t="s">
        <v>1850</v>
      </c>
      <c r="D931" s="1">
        <f t="shared" si="181"/>
        <v>54</v>
      </c>
      <c r="E931" s="1">
        <f t="shared" si="182"/>
        <v>0.17506944444444442</v>
      </c>
      <c r="F931" s="2">
        <f t="shared" si="183"/>
        <v>335.40203129576713</v>
      </c>
      <c r="G931" s="1">
        <v>2080</v>
      </c>
      <c r="H931" s="1">
        <v>3744</v>
      </c>
      <c r="I931" s="1">
        <v>0</v>
      </c>
      <c r="J931" s="1">
        <v>197</v>
      </c>
      <c r="K931" s="1">
        <f t="shared" si="179"/>
        <v>0</v>
      </c>
      <c r="L931" s="1">
        <f t="shared" si="184"/>
        <v>1.7190144230769229</v>
      </c>
      <c r="M931" s="1">
        <f t="shared" si="185"/>
        <v>1.7190144230769229</v>
      </c>
      <c r="N931" s="2">
        <f t="shared" si="180"/>
        <v>9.7730419096362819</v>
      </c>
      <c r="O931" s="1">
        <v>914</v>
      </c>
      <c r="P931" s="1">
        <f t="shared" si="186"/>
        <v>958</v>
      </c>
      <c r="Q931" s="1">
        <f t="shared" si="187"/>
        <v>3.8005281441654777</v>
      </c>
      <c r="R931" s="1">
        <f t="shared" si="188"/>
        <v>1.9449283985633159</v>
      </c>
      <c r="S931" s="2">
        <f t="shared" si="189"/>
        <v>11.255354583940353</v>
      </c>
      <c r="T931" s="2">
        <f t="shared" si="190"/>
        <v>0.19644299596919565</v>
      </c>
      <c r="U931" s="1" t="s">
        <v>2507</v>
      </c>
      <c r="V931" s="6" t="s">
        <v>2505</v>
      </c>
    </row>
    <row r="932" spans="1:22" ht="14.25" customHeight="1" x14ac:dyDescent="0.3">
      <c r="A932" s="1" t="s">
        <v>40</v>
      </c>
      <c r="B932" s="1" t="s">
        <v>1851</v>
      </c>
      <c r="C932" s="1" t="s">
        <v>1852</v>
      </c>
      <c r="D932" s="1">
        <f t="shared" si="181"/>
        <v>73</v>
      </c>
      <c r="E932" s="1">
        <f t="shared" si="182"/>
        <v>0.91821759259259261</v>
      </c>
      <c r="F932" s="2">
        <f t="shared" si="183"/>
        <v>459.45188965768142</v>
      </c>
      <c r="G932" s="1">
        <v>2080</v>
      </c>
      <c r="H932" s="1">
        <v>3744</v>
      </c>
      <c r="I932" s="1">
        <v>319</v>
      </c>
      <c r="J932" s="1">
        <v>723</v>
      </c>
      <c r="K932" s="1">
        <f t="shared" si="179"/>
        <v>2.7835817307692312</v>
      </c>
      <c r="L932" s="1">
        <f t="shared" si="184"/>
        <v>6.3088701923076922</v>
      </c>
      <c r="M932" s="1">
        <f t="shared" si="185"/>
        <v>6.8956631555826977</v>
      </c>
      <c r="N932" s="2">
        <f>42*0.11/M932</f>
        <v>0.66998632267292069</v>
      </c>
      <c r="O932" s="1">
        <v>913</v>
      </c>
      <c r="P932" s="1">
        <f t="shared" si="186"/>
        <v>959</v>
      </c>
      <c r="Q932" s="1">
        <f t="shared" si="187"/>
        <v>0.26054343151989334</v>
      </c>
      <c r="R932" s="1">
        <f t="shared" si="188"/>
        <v>0.13347283698054363</v>
      </c>
      <c r="S932" s="2">
        <f t="shared" si="189"/>
        <v>11.266803000742142</v>
      </c>
      <c r="T932" s="2">
        <f t="shared" si="190"/>
        <v>0.19664280853652749</v>
      </c>
      <c r="U932" s="1" t="s">
        <v>2508</v>
      </c>
      <c r="V932" s="6" t="s">
        <v>2505</v>
      </c>
    </row>
    <row r="933" spans="1:22" ht="14.25" customHeight="1" x14ac:dyDescent="0.3">
      <c r="A933" s="1" t="s">
        <v>27</v>
      </c>
      <c r="B933" s="1" t="s">
        <v>1853</v>
      </c>
      <c r="C933" s="1" t="s">
        <v>1854</v>
      </c>
      <c r="D933" s="1">
        <f t="shared" si="181"/>
        <v>74</v>
      </c>
      <c r="E933" s="1">
        <f t="shared" si="182"/>
        <v>0.32998842592592592</v>
      </c>
      <c r="F933" s="2">
        <f t="shared" si="183"/>
        <v>462.03912210760654</v>
      </c>
      <c r="G933" s="1">
        <v>2080</v>
      </c>
      <c r="H933" s="1">
        <v>3744</v>
      </c>
      <c r="I933" s="1">
        <v>0</v>
      </c>
      <c r="J933" s="1">
        <v>198</v>
      </c>
      <c r="K933" s="1">
        <f t="shared" si="179"/>
        <v>0</v>
      </c>
      <c r="L933" s="1">
        <f t="shared" si="184"/>
        <v>1.7277403846153845</v>
      </c>
      <c r="M933" s="1">
        <f t="shared" si="185"/>
        <v>1.7277403846153845</v>
      </c>
      <c r="N933" s="2">
        <f t="shared" ref="N933:N964" si="191">42*0.4/M933</f>
        <v>9.723683112112866</v>
      </c>
      <c r="O933" s="1">
        <v>913</v>
      </c>
      <c r="P933" s="1">
        <f t="shared" si="186"/>
        <v>959</v>
      </c>
      <c r="Q933" s="1">
        <f t="shared" si="187"/>
        <v>3.7813335575787832</v>
      </c>
      <c r="R933" s="1">
        <f t="shared" si="188"/>
        <v>1.9371254710032333</v>
      </c>
      <c r="S933" s="2">
        <f t="shared" si="189"/>
        <v>11.266803000742142</v>
      </c>
      <c r="T933" s="2">
        <f t="shared" si="190"/>
        <v>0.19664280853652749</v>
      </c>
      <c r="U933" s="1" t="s">
        <v>2507</v>
      </c>
      <c r="V933" s="6" t="s">
        <v>2505</v>
      </c>
    </row>
    <row r="934" spans="1:22" ht="14.25" customHeight="1" x14ac:dyDescent="0.3">
      <c r="A934" s="1" t="s">
        <v>27</v>
      </c>
      <c r="B934" s="1" t="s">
        <v>1855</v>
      </c>
      <c r="C934" s="1" t="s">
        <v>1856</v>
      </c>
      <c r="D934" s="1">
        <f t="shared" si="181"/>
        <v>45</v>
      </c>
      <c r="E934" s="1">
        <f t="shared" si="182"/>
        <v>0.10092592592592592</v>
      </c>
      <c r="F934" s="2">
        <f t="shared" si="183"/>
        <v>278.38750606497268</v>
      </c>
      <c r="G934" s="1">
        <v>2080</v>
      </c>
      <c r="H934" s="1">
        <v>3744</v>
      </c>
      <c r="I934" s="1">
        <v>0</v>
      </c>
      <c r="J934" s="1">
        <v>228</v>
      </c>
      <c r="K934" s="1">
        <f t="shared" si="179"/>
        <v>0</v>
      </c>
      <c r="L934" s="1">
        <f t="shared" si="184"/>
        <v>1.9895192307692307</v>
      </c>
      <c r="M934" s="1">
        <f t="shared" si="185"/>
        <v>1.9895192307692307</v>
      </c>
      <c r="N934" s="2">
        <f t="shared" si="191"/>
        <v>8.4442511236769615</v>
      </c>
      <c r="O934" s="1">
        <v>912</v>
      </c>
      <c r="P934" s="1">
        <f t="shared" si="186"/>
        <v>960</v>
      </c>
      <c r="Q934" s="1">
        <f t="shared" si="187"/>
        <v>3.2837896684236796</v>
      </c>
      <c r="R934" s="1">
        <f t="shared" si="188"/>
        <v>1.6839947017557331</v>
      </c>
      <c r="S934" s="2">
        <f t="shared" si="189"/>
        <v>11.278250506182587</v>
      </c>
      <c r="T934" s="2">
        <f t="shared" si="190"/>
        <v>0.19684260519760324</v>
      </c>
      <c r="U934" s="1" t="s">
        <v>2507</v>
      </c>
      <c r="V934" s="6" t="s">
        <v>2505</v>
      </c>
    </row>
    <row r="935" spans="1:22" ht="14.25" customHeight="1" x14ac:dyDescent="0.3">
      <c r="A935" s="1" t="s">
        <v>40</v>
      </c>
      <c r="B935" s="1" t="s">
        <v>1857</v>
      </c>
      <c r="C935" s="1" t="s">
        <v>1858</v>
      </c>
      <c r="D935" s="1">
        <f t="shared" si="181"/>
        <v>61</v>
      </c>
      <c r="E935" s="1">
        <f t="shared" si="182"/>
        <v>0.78888888888888886</v>
      </c>
      <c r="F935" s="2">
        <f t="shared" si="183"/>
        <v>383.2410697606187</v>
      </c>
      <c r="G935" s="1">
        <v>2080</v>
      </c>
      <c r="H935" s="1">
        <v>3744</v>
      </c>
      <c r="I935" s="1">
        <v>0</v>
      </c>
      <c r="J935" s="1">
        <v>126</v>
      </c>
      <c r="K935" s="1">
        <f t="shared" si="179"/>
        <v>0</v>
      </c>
      <c r="L935" s="1">
        <f t="shared" si="184"/>
        <v>1.0994711538461537</v>
      </c>
      <c r="M935" s="1">
        <f t="shared" si="185"/>
        <v>1.0994711538461537</v>
      </c>
      <c r="N935" s="2">
        <f t="shared" si="191"/>
        <v>15.280073461891647</v>
      </c>
      <c r="O935" s="1">
        <v>912</v>
      </c>
      <c r="P935" s="1">
        <f t="shared" si="186"/>
        <v>960</v>
      </c>
      <c r="Q935" s="1">
        <f t="shared" si="187"/>
        <v>5.9420955904809452</v>
      </c>
      <c r="R935" s="1">
        <f t="shared" si="188"/>
        <v>3.0472285079389461</v>
      </c>
      <c r="S935" s="2">
        <f t="shared" si="189"/>
        <v>11.278250506182587</v>
      </c>
      <c r="T935" s="2">
        <f t="shared" si="190"/>
        <v>0.19684260519760324</v>
      </c>
      <c r="U935" s="1" t="s">
        <v>2507</v>
      </c>
      <c r="V935" s="6" t="s">
        <v>2505</v>
      </c>
    </row>
    <row r="936" spans="1:22" ht="14.25" customHeight="1" x14ac:dyDescent="0.3">
      <c r="A936" s="1" t="s">
        <v>27</v>
      </c>
      <c r="B936" s="1" t="s">
        <v>1859</v>
      </c>
      <c r="C936" s="1" t="s">
        <v>1860</v>
      </c>
      <c r="D936" s="1">
        <f t="shared" si="181"/>
        <v>23</v>
      </c>
      <c r="E936" s="1">
        <f t="shared" si="182"/>
        <v>0.87611111111111117</v>
      </c>
      <c r="F936" s="2">
        <f t="shared" si="183"/>
        <v>145.0280614729206</v>
      </c>
      <c r="G936" s="1">
        <v>2080</v>
      </c>
      <c r="H936" s="1">
        <v>3744</v>
      </c>
      <c r="I936" s="1">
        <v>0</v>
      </c>
      <c r="J936" s="1">
        <v>178</v>
      </c>
      <c r="K936" s="1">
        <f t="shared" si="179"/>
        <v>0</v>
      </c>
      <c r="L936" s="1">
        <f t="shared" si="184"/>
        <v>1.5532211538461538</v>
      </c>
      <c r="M936" s="1">
        <f t="shared" si="185"/>
        <v>1.5532211538461538</v>
      </c>
      <c r="N936" s="2">
        <f t="shared" si="191"/>
        <v>10.81623177639521</v>
      </c>
      <c r="O936" s="1">
        <v>911</v>
      </c>
      <c r="P936" s="1">
        <f t="shared" si="186"/>
        <v>961</v>
      </c>
      <c r="Q936" s="1">
        <f t="shared" si="187"/>
        <v>4.2062024966325788</v>
      </c>
      <c r="R936" s="1">
        <f t="shared" si="188"/>
        <v>2.1592738243931131</v>
      </c>
      <c r="S936" s="2">
        <f t="shared" si="189"/>
        <v>11.28969709945668</v>
      </c>
      <c r="T936" s="2">
        <f t="shared" si="190"/>
        <v>0.19704238593837278</v>
      </c>
      <c r="U936" s="1" t="s">
        <v>2507</v>
      </c>
      <c r="V936" s="6" t="s">
        <v>2505</v>
      </c>
    </row>
    <row r="937" spans="1:22" ht="14.25" customHeight="1" x14ac:dyDescent="0.3">
      <c r="A937" s="1" t="s">
        <v>27</v>
      </c>
      <c r="B937" s="1" t="s">
        <v>1861</v>
      </c>
      <c r="C937" s="1" t="s">
        <v>1862</v>
      </c>
      <c r="D937" s="1">
        <f t="shared" si="181"/>
        <v>44</v>
      </c>
      <c r="E937" s="1">
        <f t="shared" si="182"/>
        <v>0.32303240740740741</v>
      </c>
      <c r="F937" s="2">
        <f t="shared" si="183"/>
        <v>273.49985693886691</v>
      </c>
      <c r="G937" s="1">
        <v>2080</v>
      </c>
      <c r="H937" s="1">
        <v>3744</v>
      </c>
      <c r="I937" s="1">
        <v>0</v>
      </c>
      <c r="J937" s="1">
        <v>105</v>
      </c>
      <c r="K937" s="1">
        <f t="shared" si="179"/>
        <v>0</v>
      </c>
      <c r="L937" s="1">
        <f t="shared" si="184"/>
        <v>0.91622596153846148</v>
      </c>
      <c r="M937" s="1">
        <f t="shared" si="185"/>
        <v>0.91622596153846148</v>
      </c>
      <c r="N937" s="2">
        <f t="shared" si="191"/>
        <v>18.336088154269973</v>
      </c>
      <c r="O937" s="1">
        <v>910</v>
      </c>
      <c r="P937" s="1">
        <f t="shared" si="186"/>
        <v>962</v>
      </c>
      <c r="Q937" s="1">
        <f t="shared" si="187"/>
        <v>7.1305147085771328</v>
      </c>
      <c r="R937" s="1">
        <f t="shared" si="188"/>
        <v>3.6642922807965816</v>
      </c>
      <c r="S937" s="2">
        <f t="shared" si="189"/>
        <v>11.301142779759831</v>
      </c>
      <c r="T937" s="2">
        <f t="shared" si="190"/>
        <v>0.19724215074479343</v>
      </c>
      <c r="U937" s="1" t="s">
        <v>2507</v>
      </c>
      <c r="V937" s="6" t="s">
        <v>2505</v>
      </c>
    </row>
    <row r="938" spans="1:22" ht="14.25" customHeight="1" x14ac:dyDescent="0.3">
      <c r="A938" s="1" t="s">
        <v>17</v>
      </c>
      <c r="B938" s="1" t="s">
        <v>1863</v>
      </c>
      <c r="C938" s="1" t="s">
        <v>1864</v>
      </c>
      <c r="D938" s="1">
        <f t="shared" si="181"/>
        <v>71</v>
      </c>
      <c r="E938" s="1">
        <f t="shared" si="182"/>
        <v>7.7569444444444455E-2</v>
      </c>
      <c r="F938" s="2">
        <f t="shared" si="183"/>
        <v>441.60357095037011</v>
      </c>
      <c r="G938" s="1">
        <v>2080</v>
      </c>
      <c r="H938" s="1">
        <v>3744</v>
      </c>
      <c r="I938" s="1">
        <v>0</v>
      </c>
      <c r="J938" s="1">
        <v>297</v>
      </c>
      <c r="K938" s="1">
        <f t="shared" si="179"/>
        <v>0</v>
      </c>
      <c r="L938" s="1">
        <f t="shared" si="184"/>
        <v>2.5916105769230766</v>
      </c>
      <c r="M938" s="1">
        <f t="shared" si="185"/>
        <v>2.5916105769230766</v>
      </c>
      <c r="N938" s="2">
        <f t="shared" si="191"/>
        <v>6.4824554080752437</v>
      </c>
      <c r="O938" s="1">
        <v>910</v>
      </c>
      <c r="P938" s="1">
        <f t="shared" si="186"/>
        <v>962</v>
      </c>
      <c r="Q938" s="1">
        <f t="shared" si="187"/>
        <v>2.5208890383858553</v>
      </c>
      <c r="R938" s="1">
        <f t="shared" si="188"/>
        <v>1.2954568669482867</v>
      </c>
      <c r="S938" s="2">
        <f t="shared" si="189"/>
        <v>11.301142779759831</v>
      </c>
      <c r="T938" s="2">
        <f t="shared" si="190"/>
        <v>0.19724215074479343</v>
      </c>
      <c r="U938" s="1" t="s">
        <v>2507</v>
      </c>
      <c r="V938" s="6" t="s">
        <v>2505</v>
      </c>
    </row>
    <row r="939" spans="1:22" ht="14.25" customHeight="1" x14ac:dyDescent="0.3">
      <c r="A939" s="1" t="s">
        <v>286</v>
      </c>
      <c r="B939" s="1" t="s">
        <v>1865</v>
      </c>
      <c r="C939" s="1" t="s">
        <v>1866</v>
      </c>
      <c r="D939" s="1">
        <f t="shared" si="181"/>
        <v>44</v>
      </c>
      <c r="E939" s="1">
        <f t="shared" si="182"/>
        <v>0.80057870370370365</v>
      </c>
      <c r="F939" s="2">
        <f t="shared" si="183"/>
        <v>276.50036881125385</v>
      </c>
      <c r="G939" s="1">
        <v>2080</v>
      </c>
      <c r="H939" s="1">
        <v>3744</v>
      </c>
      <c r="I939" s="1">
        <v>0</v>
      </c>
      <c r="J939" s="1">
        <v>187</v>
      </c>
      <c r="K939" s="1">
        <f t="shared" si="179"/>
        <v>0</v>
      </c>
      <c r="L939" s="1">
        <f t="shared" si="184"/>
        <v>1.6317548076923076</v>
      </c>
      <c r="M939" s="1">
        <f t="shared" si="185"/>
        <v>1.6317548076923076</v>
      </c>
      <c r="N939" s="2">
        <f t="shared" si="191"/>
        <v>10.295664471648916</v>
      </c>
      <c r="O939" s="1">
        <v>909</v>
      </c>
      <c r="P939" s="1">
        <f t="shared" si="186"/>
        <v>963</v>
      </c>
      <c r="Q939" s="1">
        <f t="shared" si="187"/>
        <v>4.0037649433187115</v>
      </c>
      <c r="R939" s="1">
        <f t="shared" si="188"/>
        <v>2.0596290814187599</v>
      </c>
      <c r="S939" s="2">
        <f t="shared" si="189"/>
        <v>11.312587546287867</v>
      </c>
      <c r="T939" s="2">
        <f t="shared" si="190"/>
        <v>0.19744189960282971</v>
      </c>
      <c r="U939" s="1" t="s">
        <v>2507</v>
      </c>
      <c r="V939" s="6" t="s">
        <v>2505</v>
      </c>
    </row>
    <row r="940" spans="1:22" ht="14.25" customHeight="1" x14ac:dyDescent="0.3">
      <c r="A940" s="1" t="s">
        <v>40</v>
      </c>
      <c r="B940" s="1" t="s">
        <v>1008</v>
      </c>
      <c r="C940" s="1" t="s">
        <v>1009</v>
      </c>
      <c r="D940" s="1">
        <f t="shared" si="181"/>
        <v>6</v>
      </c>
      <c r="E940" s="1">
        <f t="shared" si="182"/>
        <v>0.22687500000000002</v>
      </c>
      <c r="F940" s="2">
        <f t="shared" si="183"/>
        <v>34.134640456643879</v>
      </c>
      <c r="G940" s="1">
        <v>2080</v>
      </c>
      <c r="H940" s="1">
        <v>3744</v>
      </c>
      <c r="I940" s="1">
        <v>0</v>
      </c>
      <c r="J940" s="1">
        <v>193</v>
      </c>
      <c r="K940" s="1">
        <f t="shared" si="179"/>
        <v>0</v>
      </c>
      <c r="L940" s="1">
        <f t="shared" si="184"/>
        <v>1.6841105769230769</v>
      </c>
      <c r="M940" s="1">
        <f t="shared" si="185"/>
        <v>1.6841105769230769</v>
      </c>
      <c r="N940" s="2">
        <f t="shared" si="191"/>
        <v>9.9755920010277066</v>
      </c>
      <c r="O940" s="1">
        <v>908</v>
      </c>
      <c r="P940" s="1">
        <f t="shared" si="186"/>
        <v>964</v>
      </c>
      <c r="Q940" s="1">
        <f t="shared" si="187"/>
        <v>3.8792955668424822</v>
      </c>
      <c r="R940" s="1">
        <f t="shared" si="188"/>
        <v>1.9976714350620473</v>
      </c>
      <c r="S940" s="2">
        <f t="shared" si="189"/>
        <v>11.324031398237043</v>
      </c>
      <c r="T940" s="2">
        <f t="shared" si="190"/>
        <v>0.1976416324984536</v>
      </c>
      <c r="U940" s="1" t="s">
        <v>2507</v>
      </c>
      <c r="V940" s="6" t="s">
        <v>2505</v>
      </c>
    </row>
    <row r="941" spans="1:22" ht="14.25" customHeight="1" x14ac:dyDescent="0.3">
      <c r="A941" s="1" t="s">
        <v>82</v>
      </c>
      <c r="B941" s="1" t="s">
        <v>1867</v>
      </c>
      <c r="C941" s="1" t="s">
        <v>1868</v>
      </c>
      <c r="D941" s="1">
        <f t="shared" si="181"/>
        <v>14</v>
      </c>
      <c r="E941" s="1">
        <f t="shared" si="182"/>
        <v>0.39636574074074077</v>
      </c>
      <c r="F941" s="2">
        <f t="shared" si="183"/>
        <v>85.465064646005786</v>
      </c>
      <c r="G941" s="1">
        <v>2080</v>
      </c>
      <c r="H941" s="1">
        <v>3744</v>
      </c>
      <c r="I941" s="1">
        <v>0</v>
      </c>
      <c r="J941" s="1">
        <v>490</v>
      </c>
      <c r="K941" s="1">
        <f t="shared" si="179"/>
        <v>0</v>
      </c>
      <c r="L941" s="1">
        <f t="shared" si="184"/>
        <v>4.2757211538461535</v>
      </c>
      <c r="M941" s="1">
        <f t="shared" si="185"/>
        <v>4.2757211538461535</v>
      </c>
      <c r="N941" s="2">
        <f t="shared" si="191"/>
        <v>3.9291617473435658</v>
      </c>
      <c r="O941" s="1">
        <v>907</v>
      </c>
      <c r="P941" s="1">
        <f t="shared" si="186"/>
        <v>965</v>
      </c>
      <c r="Q941" s="1">
        <f t="shared" si="187"/>
        <v>1.5279674375522427</v>
      </c>
      <c r="R941" s="1">
        <f t="shared" si="188"/>
        <v>0.7876541545074327</v>
      </c>
      <c r="S941" s="2">
        <f t="shared" si="189"/>
        <v>11.335474334804022</v>
      </c>
      <c r="T941" s="2">
        <f t="shared" si="190"/>
        <v>0.19784134941764425</v>
      </c>
      <c r="U941" s="1" t="s">
        <v>2507</v>
      </c>
      <c r="V941" s="6" t="s">
        <v>2505</v>
      </c>
    </row>
    <row r="942" spans="1:22" ht="14.25" customHeight="1" x14ac:dyDescent="0.3">
      <c r="A942" s="1" t="s">
        <v>20</v>
      </c>
      <c r="B942" s="1" t="s">
        <v>1869</v>
      </c>
      <c r="C942" s="1" t="s">
        <v>1870</v>
      </c>
      <c r="D942" s="1">
        <f t="shared" si="181"/>
        <v>45</v>
      </c>
      <c r="E942" s="1">
        <f t="shared" si="182"/>
        <v>0.72835648148148147</v>
      </c>
      <c r="F942" s="2">
        <f t="shared" si="183"/>
        <v>282.32976851291488</v>
      </c>
      <c r="G942" s="1">
        <v>2080</v>
      </c>
      <c r="H942" s="1">
        <v>3744</v>
      </c>
      <c r="I942" s="1">
        <v>0</v>
      </c>
      <c r="J942" s="1">
        <v>369</v>
      </c>
      <c r="K942" s="1">
        <f t="shared" ref="K942:K1005" si="192">(32.67*I942)/H942</f>
        <v>0</v>
      </c>
      <c r="L942" s="1">
        <f t="shared" si="184"/>
        <v>3.2198798076923074</v>
      </c>
      <c r="M942" s="1">
        <f t="shared" si="185"/>
        <v>3.2198798076923074</v>
      </c>
      <c r="N942" s="2">
        <f t="shared" si="191"/>
        <v>5.2175860601581228</v>
      </c>
      <c r="O942" s="1">
        <v>906</v>
      </c>
      <c r="P942" s="1">
        <f t="shared" si="186"/>
        <v>966</v>
      </c>
      <c r="Q942" s="1">
        <f t="shared" si="187"/>
        <v>2.0290082504081273</v>
      </c>
      <c r="R942" s="1">
        <f t="shared" si="188"/>
        <v>1.0470202830631683</v>
      </c>
      <c r="S942" s="2">
        <f t="shared" si="189"/>
        <v>11.346916355185904</v>
      </c>
      <c r="T942" s="2">
        <f t="shared" si="190"/>
        <v>0.19804105034638839</v>
      </c>
      <c r="U942" s="1" t="s">
        <v>2507</v>
      </c>
      <c r="V942" s="6" t="s">
        <v>2505</v>
      </c>
    </row>
    <row r="943" spans="1:22" ht="14.25" customHeight="1" x14ac:dyDescent="0.3">
      <c r="A943" s="1" t="s">
        <v>40</v>
      </c>
      <c r="B943" s="1" t="s">
        <v>1871</v>
      </c>
      <c r="C943" s="1" t="s">
        <v>1872</v>
      </c>
      <c r="D943" s="1">
        <f t="shared" si="181"/>
        <v>73</v>
      </c>
      <c r="E943" s="1">
        <f t="shared" si="182"/>
        <v>8.4768518518518521E-2</v>
      </c>
      <c r="F943" s="2">
        <f t="shared" si="183"/>
        <v>454.21517468117673</v>
      </c>
      <c r="G943" s="1">
        <v>2080</v>
      </c>
      <c r="H943" s="1">
        <v>3744</v>
      </c>
      <c r="I943" s="1">
        <v>0</v>
      </c>
      <c r="J943" s="1">
        <v>241</v>
      </c>
      <c r="K943" s="1">
        <f t="shared" si="192"/>
        <v>0</v>
      </c>
      <c r="L943" s="1">
        <f t="shared" si="184"/>
        <v>2.1029567307692307</v>
      </c>
      <c r="M943" s="1">
        <f t="shared" si="185"/>
        <v>2.1029567307692307</v>
      </c>
      <c r="N943" s="2">
        <f t="shared" si="191"/>
        <v>7.9887521004080799</v>
      </c>
      <c r="O943" s="1">
        <v>904</v>
      </c>
      <c r="P943" s="1">
        <f t="shared" si="186"/>
        <v>968</v>
      </c>
      <c r="Q943" s="1">
        <f t="shared" si="187"/>
        <v>3.1066557858946018</v>
      </c>
      <c r="R943" s="1">
        <f t="shared" si="188"/>
        <v>1.6064331200566104</v>
      </c>
      <c r="S943" s="2">
        <f t="shared" si="189"/>
        <v>11.369797644184821</v>
      </c>
      <c r="T943" s="2">
        <f t="shared" si="190"/>
        <v>0.19844040417651984</v>
      </c>
      <c r="U943" s="1" t="s">
        <v>2507</v>
      </c>
      <c r="V943" s="6" t="s">
        <v>2505</v>
      </c>
    </row>
    <row r="944" spans="1:22" ht="14.25" customHeight="1" x14ac:dyDescent="0.3">
      <c r="A944" s="1" t="s">
        <v>40</v>
      </c>
      <c r="B944" s="1" t="s">
        <v>1873</v>
      </c>
      <c r="C944" s="1" t="s">
        <v>1874</v>
      </c>
      <c r="D944" s="1">
        <f t="shared" si="181"/>
        <v>78</v>
      </c>
      <c r="E944" s="1">
        <f t="shared" si="182"/>
        <v>0.10223379629629629</v>
      </c>
      <c r="F944" s="2">
        <f t="shared" si="183"/>
        <v>485.74083879379378</v>
      </c>
      <c r="G944" s="1">
        <v>2080</v>
      </c>
      <c r="H944" s="1">
        <v>3744</v>
      </c>
      <c r="I944" s="1">
        <v>0</v>
      </c>
      <c r="J944" s="1">
        <v>271</v>
      </c>
      <c r="K944" s="1">
        <f t="shared" si="192"/>
        <v>0</v>
      </c>
      <c r="L944" s="1">
        <f t="shared" si="184"/>
        <v>2.3647355769230769</v>
      </c>
      <c r="M944" s="1">
        <f t="shared" si="185"/>
        <v>2.3647355769230769</v>
      </c>
      <c r="N944" s="2">
        <f t="shared" si="191"/>
        <v>7.1043883992558934</v>
      </c>
      <c r="O944" s="1">
        <v>902</v>
      </c>
      <c r="P944" s="1">
        <f t="shared" si="186"/>
        <v>970</v>
      </c>
      <c r="Q944" s="1">
        <f t="shared" si="187"/>
        <v>2.7627455512937229</v>
      </c>
      <c r="R944" s="1">
        <f t="shared" si="188"/>
        <v>1.4315508465571107</v>
      </c>
      <c r="S944" s="2">
        <f t="shared" si="189"/>
        <v>11.392675258818938</v>
      </c>
      <c r="T944" s="2">
        <f t="shared" si="190"/>
        <v>0.19883969387688763</v>
      </c>
      <c r="U944" s="1" t="s">
        <v>2507</v>
      </c>
      <c r="V944" s="6" t="s">
        <v>2505</v>
      </c>
    </row>
    <row r="945" spans="1:22" ht="14.25" customHeight="1" x14ac:dyDescent="0.3">
      <c r="A945" s="1" t="s">
        <v>27</v>
      </c>
      <c r="B945" s="1" t="s">
        <v>1875</v>
      </c>
      <c r="C945" s="1" t="s">
        <v>1876</v>
      </c>
      <c r="D945" s="1">
        <f t="shared" si="181"/>
        <v>41</v>
      </c>
      <c r="E945" s="1">
        <f t="shared" si="182"/>
        <v>0.72172453703703709</v>
      </c>
      <c r="F945" s="2">
        <f t="shared" si="183"/>
        <v>257.15535754830512</v>
      </c>
      <c r="G945" s="1">
        <v>2080</v>
      </c>
      <c r="H945" s="1">
        <v>3744</v>
      </c>
      <c r="I945" s="1">
        <v>0</v>
      </c>
      <c r="J945" s="1">
        <v>133</v>
      </c>
      <c r="K945" s="1">
        <f t="shared" si="192"/>
        <v>0</v>
      </c>
      <c r="L945" s="1">
        <f t="shared" si="184"/>
        <v>1.1605528846153845</v>
      </c>
      <c r="M945" s="1">
        <f t="shared" si="185"/>
        <v>1.1605528846153845</v>
      </c>
      <c r="N945" s="2">
        <f t="shared" si="191"/>
        <v>14.475859069160506</v>
      </c>
      <c r="O945" s="1">
        <v>901</v>
      </c>
      <c r="P945" s="1">
        <f t="shared" si="186"/>
        <v>971</v>
      </c>
      <c r="Q945" s="1">
        <f t="shared" si="187"/>
        <v>5.6293537172977368</v>
      </c>
      <c r="R945" s="1">
        <f t="shared" si="188"/>
        <v>2.9199265275086019</v>
      </c>
      <c r="S945" s="2">
        <f t="shared" si="189"/>
        <v>11.404112686246405</v>
      </c>
      <c r="T945" s="2">
        <f t="shared" si="190"/>
        <v>0.19903931464345481</v>
      </c>
      <c r="U945" s="1" t="s">
        <v>2507</v>
      </c>
      <c r="V945" s="6" t="s">
        <v>2505</v>
      </c>
    </row>
    <row r="946" spans="1:22" ht="14.25" customHeight="1" x14ac:dyDescent="0.3">
      <c r="A946" s="1" t="s">
        <v>286</v>
      </c>
      <c r="B946" s="1" t="s">
        <v>1877</v>
      </c>
      <c r="C946" s="1" t="s">
        <v>1878</v>
      </c>
      <c r="D946" s="1">
        <f t="shared" si="181"/>
        <v>45</v>
      </c>
      <c r="E946" s="1">
        <f t="shared" si="182"/>
        <v>0.82325231481481476</v>
      </c>
      <c r="F946" s="2">
        <f t="shared" si="183"/>
        <v>282.92601661862744</v>
      </c>
      <c r="G946" s="1">
        <v>2080</v>
      </c>
      <c r="H946" s="1">
        <v>3744</v>
      </c>
      <c r="I946" s="1">
        <v>0</v>
      </c>
      <c r="J946" s="1">
        <v>375</v>
      </c>
      <c r="K946" s="1">
        <f t="shared" si="192"/>
        <v>0</v>
      </c>
      <c r="L946" s="1">
        <f t="shared" si="184"/>
        <v>3.2722355769230766</v>
      </c>
      <c r="M946" s="1">
        <f t="shared" si="185"/>
        <v>3.2722355769230766</v>
      </c>
      <c r="N946" s="2">
        <f t="shared" si="191"/>
        <v>5.1341046831955932</v>
      </c>
      <c r="O946" s="1">
        <v>900</v>
      </c>
      <c r="P946" s="1">
        <f t="shared" si="186"/>
        <v>972</v>
      </c>
      <c r="Q946" s="1">
        <f t="shared" si="187"/>
        <v>1.9965441184015975</v>
      </c>
      <c r="R946" s="1">
        <f t="shared" si="188"/>
        <v>1.0366671384008295</v>
      </c>
      <c r="S946" s="2">
        <f t="shared" si="189"/>
        <v>11.415549192680157</v>
      </c>
      <c r="T946" s="2">
        <f t="shared" si="190"/>
        <v>0.1992389193356493</v>
      </c>
      <c r="U946" s="1" t="s">
        <v>2507</v>
      </c>
      <c r="V946" s="6" t="s">
        <v>2505</v>
      </c>
    </row>
    <row r="947" spans="1:22" ht="14.25" customHeight="1" x14ac:dyDescent="0.3">
      <c r="A947" s="1" t="s">
        <v>27</v>
      </c>
      <c r="B947" s="1" t="s">
        <v>1879</v>
      </c>
      <c r="C947" s="1" t="s">
        <v>1880</v>
      </c>
      <c r="D947" s="1">
        <f t="shared" si="181"/>
        <v>52</v>
      </c>
      <c r="E947" s="1">
        <f t="shared" si="182"/>
        <v>0.19289351851851852</v>
      </c>
      <c r="F947" s="2">
        <f t="shared" si="183"/>
        <v>322.94765264174424</v>
      </c>
      <c r="G947" s="1">
        <v>2080</v>
      </c>
      <c r="H947" s="1">
        <v>3744</v>
      </c>
      <c r="I947" s="1">
        <v>0</v>
      </c>
      <c r="J947" s="1">
        <v>194</v>
      </c>
      <c r="K947" s="1">
        <f t="shared" si="192"/>
        <v>0</v>
      </c>
      <c r="L947" s="1">
        <f t="shared" si="184"/>
        <v>1.6928365384615385</v>
      </c>
      <c r="M947" s="1">
        <f t="shared" si="185"/>
        <v>1.6928365384615385</v>
      </c>
      <c r="N947" s="2">
        <f t="shared" si="191"/>
        <v>9.9241714237028198</v>
      </c>
      <c r="O947" s="1">
        <v>900</v>
      </c>
      <c r="P947" s="1">
        <f t="shared" si="186"/>
        <v>972</v>
      </c>
      <c r="Q947" s="1">
        <f t="shared" si="187"/>
        <v>3.8592991979412314</v>
      </c>
      <c r="R947" s="1">
        <f t="shared" si="188"/>
        <v>2.0038668912387165</v>
      </c>
      <c r="S947" s="2">
        <f t="shared" si="189"/>
        <v>11.415549192680158</v>
      </c>
      <c r="T947" s="2">
        <f t="shared" si="190"/>
        <v>0.19923891933564933</v>
      </c>
      <c r="U947" s="1" t="s">
        <v>2507</v>
      </c>
      <c r="V947" s="6" t="s">
        <v>2505</v>
      </c>
    </row>
    <row r="948" spans="1:22" ht="14.25" customHeight="1" x14ac:dyDescent="0.3">
      <c r="A948" s="1" t="s">
        <v>27</v>
      </c>
      <c r="B948" s="1" t="s">
        <v>1881</v>
      </c>
      <c r="C948" s="1" t="s">
        <v>1882</v>
      </c>
      <c r="D948" s="1">
        <f t="shared" si="181"/>
        <v>54</v>
      </c>
      <c r="E948" s="1">
        <f t="shared" si="182"/>
        <v>0.18307870370370372</v>
      </c>
      <c r="F948" s="2">
        <f t="shared" si="183"/>
        <v>335.45235495586627</v>
      </c>
      <c r="G948" s="1">
        <v>2080</v>
      </c>
      <c r="H948" s="1">
        <v>3744</v>
      </c>
      <c r="I948" s="1">
        <v>0</v>
      </c>
      <c r="J948" s="1">
        <v>121</v>
      </c>
      <c r="K948" s="1">
        <f t="shared" si="192"/>
        <v>0</v>
      </c>
      <c r="L948" s="1">
        <f t="shared" si="184"/>
        <v>1.0558413461538461</v>
      </c>
      <c r="M948" s="1">
        <f t="shared" si="185"/>
        <v>1.0558413461538461</v>
      </c>
      <c r="N948" s="2">
        <f t="shared" si="191"/>
        <v>15.911481456184688</v>
      </c>
      <c r="O948" s="1">
        <v>900</v>
      </c>
      <c r="P948" s="1">
        <f t="shared" si="186"/>
        <v>972</v>
      </c>
      <c r="Q948" s="1">
        <f t="shared" si="187"/>
        <v>6.1876367305834625</v>
      </c>
      <c r="R948" s="1">
        <f t="shared" si="188"/>
        <v>3.2128113793414137</v>
      </c>
      <c r="S948" s="2">
        <f t="shared" si="189"/>
        <v>11.415549192680158</v>
      </c>
      <c r="T948" s="2">
        <f t="shared" si="190"/>
        <v>0.19923891933564933</v>
      </c>
      <c r="U948" s="1" t="s">
        <v>2507</v>
      </c>
      <c r="V948" s="6" t="s">
        <v>2505</v>
      </c>
    </row>
    <row r="949" spans="1:22" ht="14.25" customHeight="1" x14ac:dyDescent="0.3">
      <c r="A949" s="1" t="s">
        <v>40</v>
      </c>
      <c r="B949" s="1" t="s">
        <v>1883</v>
      </c>
      <c r="C949" s="1" t="s">
        <v>1884</v>
      </c>
      <c r="D949" s="1">
        <f t="shared" si="181"/>
        <v>29</v>
      </c>
      <c r="E949" s="1">
        <f t="shared" si="182"/>
        <v>0.71009259259259261</v>
      </c>
      <c r="F949" s="2">
        <f t="shared" si="183"/>
        <v>181.68404819972281</v>
      </c>
      <c r="G949" s="1">
        <v>2080</v>
      </c>
      <c r="H949" s="1">
        <v>3744</v>
      </c>
      <c r="I949" s="1">
        <v>0</v>
      </c>
      <c r="J949" s="1">
        <v>244</v>
      </c>
      <c r="K949" s="1">
        <f t="shared" si="192"/>
        <v>0</v>
      </c>
      <c r="L949" s="1">
        <f t="shared" si="184"/>
        <v>2.1291346153846149</v>
      </c>
      <c r="M949" s="1">
        <f t="shared" si="185"/>
        <v>2.1291346153846149</v>
      </c>
      <c r="N949" s="2">
        <f t="shared" si="191"/>
        <v>7.8905297385178184</v>
      </c>
      <c r="O949" s="1">
        <v>899</v>
      </c>
      <c r="P949" s="1">
        <f t="shared" si="186"/>
        <v>973</v>
      </c>
      <c r="Q949" s="1">
        <f t="shared" si="187"/>
        <v>3.0684591983631111</v>
      </c>
      <c r="R949" s="1">
        <f t="shared" si="188"/>
        <v>1.5948775641064676</v>
      </c>
      <c r="S949" s="2">
        <f t="shared" si="189"/>
        <v>11.426984777320241</v>
      </c>
      <c r="T949" s="2">
        <f t="shared" si="190"/>
        <v>0.19943850793950926</v>
      </c>
      <c r="U949" s="1" t="s">
        <v>2507</v>
      </c>
      <c r="V949" s="6" t="s">
        <v>2505</v>
      </c>
    </row>
    <row r="950" spans="1:22" ht="14.25" customHeight="1" x14ac:dyDescent="0.3">
      <c r="A950" s="1" t="s">
        <v>27</v>
      </c>
      <c r="B950" s="1" t="s">
        <v>1885</v>
      </c>
      <c r="C950" s="1" t="s">
        <v>1886</v>
      </c>
      <c r="D950" s="1">
        <f t="shared" si="181"/>
        <v>38</v>
      </c>
      <c r="E950" s="1">
        <f t="shared" si="182"/>
        <v>0.74472222222222229</v>
      </c>
      <c r="F950" s="2">
        <f t="shared" si="183"/>
        <v>238.45030034442107</v>
      </c>
      <c r="G950" s="1">
        <v>2080</v>
      </c>
      <c r="H950" s="1">
        <v>3744</v>
      </c>
      <c r="I950" s="1">
        <v>0</v>
      </c>
      <c r="J950" s="1">
        <v>250</v>
      </c>
      <c r="K950" s="1">
        <f t="shared" si="192"/>
        <v>0</v>
      </c>
      <c r="L950" s="1">
        <f t="shared" si="184"/>
        <v>2.1814903846153846</v>
      </c>
      <c r="M950" s="1">
        <f t="shared" si="185"/>
        <v>2.1814903846153846</v>
      </c>
      <c r="N950" s="2">
        <f t="shared" si="191"/>
        <v>7.7011570247933889</v>
      </c>
      <c r="O950" s="1">
        <v>898</v>
      </c>
      <c r="P950" s="1">
        <f t="shared" si="186"/>
        <v>974</v>
      </c>
      <c r="Q950" s="1">
        <f t="shared" si="187"/>
        <v>2.994816177602396</v>
      </c>
      <c r="R950" s="1">
        <f t="shared" si="188"/>
        <v>1.5582002975345801</v>
      </c>
      <c r="S950" s="2">
        <f t="shared" si="189"/>
        <v>11.438419439367122</v>
      </c>
      <c r="T950" s="2">
        <f t="shared" si="190"/>
        <v>0.19963808044108017</v>
      </c>
      <c r="U950" s="1" t="s">
        <v>2507</v>
      </c>
      <c r="V950" s="6" t="s">
        <v>2505</v>
      </c>
    </row>
    <row r="951" spans="1:22" ht="14.25" customHeight="1" x14ac:dyDescent="0.3">
      <c r="A951" s="1" t="s">
        <v>40</v>
      </c>
      <c r="B951" s="1" t="s">
        <v>1887</v>
      </c>
      <c r="C951" s="1" t="s">
        <v>1888</v>
      </c>
      <c r="D951" s="1">
        <f t="shared" si="181"/>
        <v>30</v>
      </c>
      <c r="E951" s="1">
        <f t="shared" si="182"/>
        <v>2.6747685185185183E-2</v>
      </c>
      <c r="F951" s="2">
        <f t="shared" si="183"/>
        <v>183.67365082494419</v>
      </c>
      <c r="G951" s="1">
        <v>2080</v>
      </c>
      <c r="H951" s="1">
        <v>3744</v>
      </c>
      <c r="I951" s="1">
        <v>0</v>
      </c>
      <c r="J951" s="1">
        <v>231</v>
      </c>
      <c r="K951" s="1">
        <f t="shared" si="192"/>
        <v>0</v>
      </c>
      <c r="L951" s="1">
        <f t="shared" si="184"/>
        <v>2.015697115384615</v>
      </c>
      <c r="M951" s="1">
        <f t="shared" si="185"/>
        <v>2.015697115384615</v>
      </c>
      <c r="N951" s="2">
        <f t="shared" si="191"/>
        <v>8.3345855246681708</v>
      </c>
      <c r="O951" s="1">
        <v>897</v>
      </c>
      <c r="P951" s="1">
        <f t="shared" si="186"/>
        <v>975</v>
      </c>
      <c r="Q951" s="1">
        <f t="shared" si="187"/>
        <v>3.2411430493532425</v>
      </c>
      <c r="R951" s="1">
        <f t="shared" si="188"/>
        <v>1.6880953382048138</v>
      </c>
      <c r="S951" s="2">
        <f t="shared" si="189"/>
        <v>11.449853178021682</v>
      </c>
      <c r="T951" s="2">
        <f t="shared" si="190"/>
        <v>0.19983763682641478</v>
      </c>
      <c r="U951" s="1" t="s">
        <v>2507</v>
      </c>
      <c r="V951" s="6" t="s">
        <v>2505</v>
      </c>
    </row>
    <row r="952" spans="1:22" ht="14.25" customHeight="1" x14ac:dyDescent="0.3">
      <c r="A952" s="1" t="s">
        <v>14</v>
      </c>
      <c r="B952" s="1" t="s">
        <v>1889</v>
      </c>
      <c r="C952" s="1" t="s">
        <v>1890</v>
      </c>
      <c r="D952" s="1">
        <f t="shared" si="181"/>
        <v>45</v>
      </c>
      <c r="E952" s="1">
        <f t="shared" si="182"/>
        <v>0.78759259259259251</v>
      </c>
      <c r="F952" s="2">
        <f t="shared" si="183"/>
        <v>282.7019599759027</v>
      </c>
      <c r="G952" s="1">
        <v>2080</v>
      </c>
      <c r="H952" s="1">
        <v>3744</v>
      </c>
      <c r="I952" s="1">
        <v>0</v>
      </c>
      <c r="J952" s="1">
        <v>210</v>
      </c>
      <c r="K952" s="1">
        <f t="shared" si="192"/>
        <v>0</v>
      </c>
      <c r="L952" s="1">
        <f t="shared" si="184"/>
        <v>1.832451923076923</v>
      </c>
      <c r="M952" s="1">
        <f t="shared" si="185"/>
        <v>1.832451923076923</v>
      </c>
      <c r="N952" s="2">
        <f t="shared" si="191"/>
        <v>9.1680440771349865</v>
      </c>
      <c r="O952" s="1">
        <v>897</v>
      </c>
      <c r="P952" s="1">
        <f t="shared" si="186"/>
        <v>975</v>
      </c>
      <c r="Q952" s="1">
        <f t="shared" si="187"/>
        <v>3.5652573542885664</v>
      </c>
      <c r="R952" s="1">
        <f t="shared" si="188"/>
        <v>1.8569048720252952</v>
      </c>
      <c r="S952" s="2">
        <f t="shared" si="189"/>
        <v>11.449853178021684</v>
      </c>
      <c r="T952" s="2">
        <f t="shared" si="190"/>
        <v>0.19983763682641481</v>
      </c>
      <c r="U952" s="1" t="s">
        <v>2507</v>
      </c>
      <c r="V952" s="6" t="s">
        <v>2505</v>
      </c>
    </row>
    <row r="953" spans="1:22" ht="14.25" customHeight="1" x14ac:dyDescent="0.3">
      <c r="A953" s="1" t="s">
        <v>17</v>
      </c>
      <c r="B953" s="1" t="s">
        <v>1891</v>
      </c>
      <c r="C953" s="1" t="s">
        <v>1892</v>
      </c>
      <c r="D953" s="1">
        <f t="shared" si="181"/>
        <v>50</v>
      </c>
      <c r="E953" s="1">
        <f t="shared" si="182"/>
        <v>6.1099537037037042E-2</v>
      </c>
      <c r="F953" s="2">
        <f t="shared" si="183"/>
        <v>309.55319601936594</v>
      </c>
      <c r="G953" s="1">
        <v>2080</v>
      </c>
      <c r="H953" s="1">
        <v>3744</v>
      </c>
      <c r="I953" s="1">
        <v>0</v>
      </c>
      <c r="J953" s="1">
        <v>197</v>
      </c>
      <c r="K953" s="1">
        <f t="shared" si="192"/>
        <v>0</v>
      </c>
      <c r="L953" s="1">
        <f t="shared" si="184"/>
        <v>1.7190144230769229</v>
      </c>
      <c r="M953" s="1">
        <f t="shared" si="185"/>
        <v>1.7190144230769229</v>
      </c>
      <c r="N953" s="2">
        <f t="shared" si="191"/>
        <v>9.7730419096362819</v>
      </c>
      <c r="O953" s="1">
        <v>897</v>
      </c>
      <c r="P953" s="1">
        <f t="shared" si="186"/>
        <v>975</v>
      </c>
      <c r="Q953" s="1">
        <f t="shared" si="187"/>
        <v>3.8005281441654777</v>
      </c>
      <c r="R953" s="1">
        <f t="shared" si="188"/>
        <v>1.9794417417528531</v>
      </c>
      <c r="S953" s="2">
        <f t="shared" si="189"/>
        <v>11.449853178021684</v>
      </c>
      <c r="T953" s="2">
        <f t="shared" si="190"/>
        <v>0.19983763682641481</v>
      </c>
      <c r="U953" s="1" t="s">
        <v>2507</v>
      </c>
      <c r="V953" s="6" t="s">
        <v>2505</v>
      </c>
    </row>
    <row r="954" spans="1:22" ht="14.25" customHeight="1" x14ac:dyDescent="0.3">
      <c r="A954" s="1" t="s">
        <v>20</v>
      </c>
      <c r="B954" s="1" t="s">
        <v>1893</v>
      </c>
      <c r="C954" s="1" t="s">
        <v>1894</v>
      </c>
      <c r="D954" s="1">
        <f t="shared" si="181"/>
        <v>59</v>
      </c>
      <c r="E954" s="1">
        <f t="shared" si="182"/>
        <v>3.6412037037037034E-2</v>
      </c>
      <c r="F954" s="2">
        <f t="shared" si="183"/>
        <v>365.94674764671123</v>
      </c>
      <c r="G954" s="1">
        <v>2080</v>
      </c>
      <c r="H954" s="1">
        <v>3744</v>
      </c>
      <c r="I954" s="1">
        <v>0</v>
      </c>
      <c r="J954" s="1">
        <v>246</v>
      </c>
      <c r="K954" s="1">
        <f t="shared" si="192"/>
        <v>0</v>
      </c>
      <c r="L954" s="1">
        <f t="shared" si="184"/>
        <v>2.1465865384615381</v>
      </c>
      <c r="M954" s="1">
        <f t="shared" si="185"/>
        <v>2.1465865384615381</v>
      </c>
      <c r="N954" s="2">
        <f t="shared" si="191"/>
        <v>7.826379090237185</v>
      </c>
      <c r="O954" s="1">
        <v>897</v>
      </c>
      <c r="P954" s="1">
        <f t="shared" si="186"/>
        <v>975</v>
      </c>
      <c r="Q954" s="1">
        <f t="shared" si="187"/>
        <v>3.0435123756121913</v>
      </c>
      <c r="R954" s="1">
        <f t="shared" si="188"/>
        <v>1.5851626956313498</v>
      </c>
      <c r="S954" s="2">
        <f t="shared" si="189"/>
        <v>11.449853178021684</v>
      </c>
      <c r="T954" s="2">
        <f t="shared" si="190"/>
        <v>0.19983763682641481</v>
      </c>
      <c r="U954" s="1" t="s">
        <v>2507</v>
      </c>
      <c r="V954" s="6" t="s">
        <v>2505</v>
      </c>
    </row>
    <row r="955" spans="1:22" ht="14.25" customHeight="1" x14ac:dyDescent="0.3">
      <c r="A955" s="1" t="s">
        <v>27</v>
      </c>
      <c r="B955" s="1" t="s">
        <v>1895</v>
      </c>
      <c r="C955" s="1" t="s">
        <v>1896</v>
      </c>
      <c r="D955" s="1">
        <f t="shared" si="181"/>
        <v>77</v>
      </c>
      <c r="E955" s="1">
        <f t="shared" si="182"/>
        <v>0.78701388888888879</v>
      </c>
      <c r="F955" s="2">
        <f t="shared" si="183"/>
        <v>483.76025370304114</v>
      </c>
      <c r="G955" s="1">
        <v>2080</v>
      </c>
      <c r="H955" s="1">
        <v>3744</v>
      </c>
      <c r="I955" s="1">
        <v>0</v>
      </c>
      <c r="J955" s="1">
        <v>187</v>
      </c>
      <c r="K955" s="1">
        <f t="shared" si="192"/>
        <v>0</v>
      </c>
      <c r="L955" s="1">
        <f t="shared" si="184"/>
        <v>1.6317548076923076</v>
      </c>
      <c r="M955" s="1">
        <f t="shared" si="185"/>
        <v>1.6317548076923076</v>
      </c>
      <c r="N955" s="2">
        <f t="shared" si="191"/>
        <v>10.295664471648916</v>
      </c>
      <c r="O955" s="1">
        <v>897</v>
      </c>
      <c r="P955" s="1">
        <f t="shared" si="186"/>
        <v>975</v>
      </c>
      <c r="Q955" s="1">
        <f t="shared" si="187"/>
        <v>4.0037649433187115</v>
      </c>
      <c r="R955" s="1">
        <f t="shared" si="188"/>
        <v>2.0852942413118289</v>
      </c>
      <c r="S955" s="2">
        <f t="shared" si="189"/>
        <v>11.449853178021684</v>
      </c>
      <c r="T955" s="2">
        <f t="shared" si="190"/>
        <v>0.19983763682641481</v>
      </c>
      <c r="U955" s="1" t="s">
        <v>2507</v>
      </c>
      <c r="V955" s="6" t="s">
        <v>2505</v>
      </c>
    </row>
    <row r="956" spans="1:22" ht="14.25" customHeight="1" x14ac:dyDescent="0.3">
      <c r="A956" s="1" t="s">
        <v>40</v>
      </c>
      <c r="B956" s="1" t="s">
        <v>1897</v>
      </c>
      <c r="C956" s="1" t="s">
        <v>1898</v>
      </c>
      <c r="D956" s="1">
        <f t="shared" si="181"/>
        <v>78</v>
      </c>
      <c r="E956" s="1">
        <f t="shared" si="182"/>
        <v>0.14534722222222221</v>
      </c>
      <c r="F956" s="2">
        <f t="shared" si="183"/>
        <v>486.01172843811383</v>
      </c>
      <c r="G956" s="1">
        <v>2080</v>
      </c>
      <c r="H956" s="1">
        <v>3744</v>
      </c>
      <c r="I956" s="1">
        <v>0</v>
      </c>
      <c r="J956" s="1">
        <v>130</v>
      </c>
      <c r="K956" s="1">
        <f t="shared" si="192"/>
        <v>0</v>
      </c>
      <c r="L956" s="1">
        <f t="shared" si="184"/>
        <v>1.1343749999999999</v>
      </c>
      <c r="M956" s="1">
        <f t="shared" si="185"/>
        <v>1.1343749999999999</v>
      </c>
      <c r="N956" s="2">
        <f t="shared" si="191"/>
        <v>14.809917355371903</v>
      </c>
      <c r="O956" s="1">
        <v>897</v>
      </c>
      <c r="P956" s="1">
        <f t="shared" si="186"/>
        <v>975</v>
      </c>
      <c r="Q956" s="1">
        <f t="shared" si="187"/>
        <v>5.7592618800046083</v>
      </c>
      <c r="R956" s="1">
        <f t="shared" si="188"/>
        <v>2.9996155625024001</v>
      </c>
      <c r="S956" s="2">
        <f t="shared" si="189"/>
        <v>11.449853178021684</v>
      </c>
      <c r="T956" s="2">
        <f t="shared" si="190"/>
        <v>0.19983763682641481</v>
      </c>
      <c r="U956" s="1" t="s">
        <v>2507</v>
      </c>
      <c r="V956" s="6" t="s">
        <v>2505</v>
      </c>
    </row>
    <row r="957" spans="1:22" ht="14.25" customHeight="1" x14ac:dyDescent="0.3">
      <c r="A957" s="1" t="s">
        <v>40</v>
      </c>
      <c r="B957" s="1" t="s">
        <v>1899</v>
      </c>
      <c r="C957" s="1" t="s">
        <v>1900</v>
      </c>
      <c r="D957" s="1">
        <f t="shared" si="181"/>
        <v>78</v>
      </c>
      <c r="E957" s="1">
        <f t="shared" si="182"/>
        <v>0.14270833333333333</v>
      </c>
      <c r="F957" s="2">
        <f t="shared" si="183"/>
        <v>485.99514781021981</v>
      </c>
      <c r="G957" s="1">
        <v>2080</v>
      </c>
      <c r="H957" s="1">
        <v>3744</v>
      </c>
      <c r="I957" s="1">
        <v>0</v>
      </c>
      <c r="J957" s="1">
        <v>148</v>
      </c>
      <c r="K957" s="1">
        <f t="shared" si="192"/>
        <v>0</v>
      </c>
      <c r="L957" s="1">
        <f t="shared" si="184"/>
        <v>1.2914423076923076</v>
      </c>
      <c r="M957" s="1">
        <f t="shared" si="185"/>
        <v>1.2914423076923076</v>
      </c>
      <c r="N957" s="2">
        <f t="shared" si="191"/>
        <v>13.008711190529374</v>
      </c>
      <c r="O957" s="1">
        <v>896</v>
      </c>
      <c r="P957" s="1">
        <f t="shared" si="186"/>
        <v>976</v>
      </c>
      <c r="Q957" s="1">
        <f t="shared" si="187"/>
        <v>5.0588111108148581</v>
      </c>
      <c r="R957" s="1">
        <f t="shared" si="188"/>
        <v>2.6374998099120202</v>
      </c>
      <c r="S957" s="2">
        <f t="shared" si="189"/>
        <v>11.461285992485243</v>
      </c>
      <c r="T957" s="2">
        <f t="shared" si="190"/>
        <v>0.20003717708157356</v>
      </c>
      <c r="U957" s="1" t="s">
        <v>2507</v>
      </c>
      <c r="V957" s="6" t="s">
        <v>2505</v>
      </c>
    </row>
    <row r="958" spans="1:22" ht="14.25" customHeight="1" x14ac:dyDescent="0.3">
      <c r="A958" s="1" t="s">
        <v>82</v>
      </c>
      <c r="B958" s="1" t="s">
        <v>1901</v>
      </c>
      <c r="C958" s="1" t="s">
        <v>1902</v>
      </c>
      <c r="D958" s="1">
        <f t="shared" si="181"/>
        <v>14</v>
      </c>
      <c r="E958" s="1">
        <f t="shared" si="182"/>
        <v>0.39637731481481481</v>
      </c>
      <c r="F958" s="2">
        <f t="shared" si="183"/>
        <v>85.465137368057952</v>
      </c>
      <c r="G958" s="1">
        <v>2080</v>
      </c>
      <c r="H958" s="1">
        <v>3744</v>
      </c>
      <c r="I958" s="1">
        <v>0</v>
      </c>
      <c r="J958" s="1">
        <v>451</v>
      </c>
      <c r="K958" s="1">
        <f t="shared" si="192"/>
        <v>0</v>
      </c>
      <c r="L958" s="1">
        <f t="shared" si="184"/>
        <v>3.9354086538461535</v>
      </c>
      <c r="M958" s="1">
        <f t="shared" si="185"/>
        <v>3.9354086538461535</v>
      </c>
      <c r="N958" s="2">
        <f t="shared" si="191"/>
        <v>4.2689340492202827</v>
      </c>
      <c r="O958" s="1">
        <v>895</v>
      </c>
      <c r="P958" s="1">
        <f t="shared" si="186"/>
        <v>977</v>
      </c>
      <c r="Q958" s="1">
        <f t="shared" si="187"/>
        <v>1.6600976594248318</v>
      </c>
      <c r="R958" s="1">
        <f t="shared" si="188"/>
        <v>0.86640780622759661</v>
      </c>
      <c r="S958" s="2">
        <f t="shared" si="189"/>
        <v>11.472717881959529</v>
      </c>
      <c r="T958" s="2">
        <f t="shared" si="190"/>
        <v>0.20023670119262393</v>
      </c>
      <c r="U958" s="1" t="s">
        <v>2507</v>
      </c>
      <c r="V958" s="6" t="s">
        <v>2505</v>
      </c>
    </row>
    <row r="959" spans="1:22" ht="14.25" customHeight="1" x14ac:dyDescent="0.3">
      <c r="A959" s="1" t="s">
        <v>450</v>
      </c>
      <c r="B959" s="1" t="s">
        <v>1903</v>
      </c>
      <c r="C959" s="1" t="s">
        <v>1904</v>
      </c>
      <c r="D959" s="1">
        <f t="shared" si="181"/>
        <v>81</v>
      </c>
      <c r="E959" s="1">
        <f t="shared" si="182"/>
        <v>0.31914351851851852</v>
      </c>
      <c r="F959" s="2">
        <f t="shared" si="183"/>
        <v>505.95327869498362</v>
      </c>
      <c r="G959" s="1">
        <v>2080</v>
      </c>
      <c r="H959" s="1">
        <v>3744</v>
      </c>
      <c r="I959" s="1">
        <v>0</v>
      </c>
      <c r="J959" s="1">
        <v>301</v>
      </c>
      <c r="K959" s="1">
        <f t="shared" si="192"/>
        <v>0</v>
      </c>
      <c r="L959" s="1">
        <f t="shared" si="184"/>
        <v>2.6265144230769231</v>
      </c>
      <c r="M959" s="1">
        <f t="shared" si="185"/>
        <v>2.6265144230769231</v>
      </c>
      <c r="N959" s="2">
        <f t="shared" si="191"/>
        <v>6.3963098212569678</v>
      </c>
      <c r="O959" s="1">
        <v>894</v>
      </c>
      <c r="P959" s="1">
        <f t="shared" si="186"/>
        <v>978</v>
      </c>
      <c r="Q959" s="1">
        <f t="shared" si="187"/>
        <v>2.4873888518292326</v>
      </c>
      <c r="R959" s="1">
        <f t="shared" si="188"/>
        <v>1.2995012270774517</v>
      </c>
      <c r="S959" s="2">
        <f t="shared" si="189"/>
        <v>11.484148845646704</v>
      </c>
      <c r="T959" s="2">
        <f t="shared" si="190"/>
        <v>0.20043620914564106</v>
      </c>
      <c r="U959" s="1" t="s">
        <v>2507</v>
      </c>
      <c r="V959" s="6" t="s">
        <v>2505</v>
      </c>
    </row>
    <row r="960" spans="1:22" ht="14.25" customHeight="1" x14ac:dyDescent="0.3">
      <c r="A960" s="1" t="s">
        <v>27</v>
      </c>
      <c r="B960" s="1" t="s">
        <v>1905</v>
      </c>
      <c r="C960" s="1" t="s">
        <v>1906</v>
      </c>
      <c r="D960" s="1">
        <f t="shared" si="181"/>
        <v>21</v>
      </c>
      <c r="E960" s="1">
        <f t="shared" si="182"/>
        <v>1.091435185185185E-2</v>
      </c>
      <c r="F960" s="2">
        <f t="shared" si="183"/>
        <v>127.02549929296426</v>
      </c>
      <c r="G960" s="1">
        <v>2080</v>
      </c>
      <c r="H960" s="1">
        <v>3744</v>
      </c>
      <c r="I960" s="1">
        <v>0</v>
      </c>
      <c r="J960" s="1">
        <v>240</v>
      </c>
      <c r="K960" s="1">
        <f t="shared" si="192"/>
        <v>0</v>
      </c>
      <c r="L960" s="1">
        <f t="shared" si="184"/>
        <v>2.0942307692307693</v>
      </c>
      <c r="M960" s="1">
        <f t="shared" si="185"/>
        <v>2.0942307692307693</v>
      </c>
      <c r="N960" s="2">
        <f t="shared" si="191"/>
        <v>8.0220385674931123</v>
      </c>
      <c r="O960" s="1">
        <v>892</v>
      </c>
      <c r="P960" s="1">
        <f t="shared" si="186"/>
        <v>980</v>
      </c>
      <c r="Q960" s="1">
        <f t="shared" si="187"/>
        <v>3.1196001850024953</v>
      </c>
      <c r="R960" s="1">
        <f t="shared" si="188"/>
        <v>1.6331240284735287</v>
      </c>
      <c r="S960" s="2">
        <f t="shared" si="189"/>
        <v>11.50700799247047</v>
      </c>
      <c r="T960" s="2">
        <f t="shared" si="190"/>
        <v>0.20083517652191257</v>
      </c>
      <c r="U960" s="1" t="s">
        <v>2507</v>
      </c>
      <c r="V960" s="6" t="s">
        <v>2505</v>
      </c>
    </row>
    <row r="961" spans="1:24" ht="14.25" customHeight="1" x14ac:dyDescent="0.3">
      <c r="A961" s="1" t="s">
        <v>17</v>
      </c>
      <c r="B961" s="1" t="s">
        <v>1907</v>
      </c>
      <c r="C961" s="1" t="s">
        <v>1908</v>
      </c>
      <c r="D961" s="1">
        <f t="shared" si="181"/>
        <v>30</v>
      </c>
      <c r="E961" s="1">
        <f t="shared" si="182"/>
        <v>2.0914351851851851E-2</v>
      </c>
      <c r="F961" s="2">
        <f t="shared" si="183"/>
        <v>183.6369989106523</v>
      </c>
      <c r="G961" s="1">
        <v>2080</v>
      </c>
      <c r="H961" s="1">
        <v>3744</v>
      </c>
      <c r="I961" s="1">
        <v>0</v>
      </c>
      <c r="J961" s="1">
        <v>271</v>
      </c>
      <c r="K961" s="1">
        <f t="shared" si="192"/>
        <v>0</v>
      </c>
      <c r="L961" s="1">
        <f t="shared" si="184"/>
        <v>2.3647355769230769</v>
      </c>
      <c r="M961" s="1">
        <f t="shared" si="185"/>
        <v>2.3647355769230769</v>
      </c>
      <c r="N961" s="2">
        <f t="shared" si="191"/>
        <v>7.1043883992558934</v>
      </c>
      <c r="O961" s="1">
        <v>892</v>
      </c>
      <c r="P961" s="1">
        <f t="shared" si="186"/>
        <v>980</v>
      </c>
      <c r="Q961" s="1">
        <f t="shared" si="187"/>
        <v>2.7627455512937229</v>
      </c>
      <c r="R961" s="1">
        <f t="shared" si="188"/>
        <v>1.4463091027071842</v>
      </c>
      <c r="S961" s="2">
        <f t="shared" si="189"/>
        <v>11.50700799247047</v>
      </c>
      <c r="T961" s="2">
        <f t="shared" si="190"/>
        <v>0.20083517652191257</v>
      </c>
      <c r="U961" s="1" t="s">
        <v>2507</v>
      </c>
      <c r="V961" s="6" t="s">
        <v>2505</v>
      </c>
    </row>
    <row r="962" spans="1:24" ht="14.25" customHeight="1" x14ac:dyDescent="0.3">
      <c r="A962" s="1" t="s">
        <v>286</v>
      </c>
      <c r="B962" s="1" t="s">
        <v>1909</v>
      </c>
      <c r="C962" s="1" t="s">
        <v>1910</v>
      </c>
      <c r="D962" s="1">
        <f t="shared" ref="D962:D1025" si="193">(LEFT(C962,4)&amp;"-"&amp;MID(C962,6,2)&amp;"-"&amp;MID(C962,9,2))-(2019&amp;"-"&amp;5&amp;"-"&amp;28)</f>
        <v>44</v>
      </c>
      <c r="E962" s="1">
        <f t="shared" ref="E962:E1025" si="194">TIMEVALUE(RIGHT(C962,8))</f>
        <v>0.80075231481481479</v>
      </c>
      <c r="F962" s="2">
        <f t="shared" ref="F962:F1025" si="195">(D962+E962)*2*PI()-4.989969053</f>
        <v>276.50145964203631</v>
      </c>
      <c r="G962" s="1">
        <v>2080</v>
      </c>
      <c r="H962" s="1">
        <v>3744</v>
      </c>
      <c r="I962" s="1">
        <v>0</v>
      </c>
      <c r="J962" s="1">
        <v>184</v>
      </c>
      <c r="K962" s="1">
        <f t="shared" si="192"/>
        <v>0</v>
      </c>
      <c r="L962" s="1">
        <f t="shared" ref="L962:L1025" si="196">(18.15*J962)/G962</f>
        <v>1.605576923076923</v>
      </c>
      <c r="M962" s="1">
        <f t="shared" ref="M962:M1025" si="197">SQRT(K962*K962+L962*L962)</f>
        <v>1.605576923076923</v>
      </c>
      <c r="N962" s="2">
        <f t="shared" si="191"/>
        <v>10.463528566295366</v>
      </c>
      <c r="O962" s="1">
        <v>891</v>
      </c>
      <c r="P962" s="1">
        <f t="shared" ref="P962:P1025" si="198">H962/2-O962</f>
        <v>981</v>
      </c>
      <c r="Q962" s="1">
        <f t="shared" ref="Q962:Q1025" si="199">TAN(RADIANS(21.25))*N962</f>
        <v>4.069043719568473</v>
      </c>
      <c r="R962" s="1">
        <f t="shared" ref="R962:R1025" si="200">Q962*(P962/(H962/2))</f>
        <v>2.132335410735402</v>
      </c>
      <c r="S962" s="2">
        <f t="shared" ref="S962:S1025" si="201">DEGREES(ATAN(R962/N962))</f>
        <v>11.518436174013502</v>
      </c>
      <c r="T962" s="2">
        <f t="shared" ref="T962:T1025" si="202">RADIANS(S962)</f>
        <v>0.20103463591735413</v>
      </c>
      <c r="U962" s="1" t="s">
        <v>2507</v>
      </c>
      <c r="V962" s="6" t="s">
        <v>2505</v>
      </c>
    </row>
    <row r="963" spans="1:24" ht="14.25" customHeight="1" x14ac:dyDescent="0.3">
      <c r="A963" s="1" t="s">
        <v>40</v>
      </c>
      <c r="B963" s="1" t="s">
        <v>1911</v>
      </c>
      <c r="C963" s="1" t="s">
        <v>1912</v>
      </c>
      <c r="D963" s="1">
        <f t="shared" si="193"/>
        <v>73</v>
      </c>
      <c r="E963" s="1">
        <f t="shared" si="194"/>
        <v>0.26572916666666668</v>
      </c>
      <c r="F963" s="2">
        <f t="shared" si="195"/>
        <v>455.35218396679892</v>
      </c>
      <c r="G963" s="1">
        <v>2080</v>
      </c>
      <c r="H963" s="1">
        <v>3744</v>
      </c>
      <c r="I963" s="1">
        <v>0</v>
      </c>
      <c r="J963" s="1">
        <v>245</v>
      </c>
      <c r="K963" s="1">
        <f t="shared" si="192"/>
        <v>0</v>
      </c>
      <c r="L963" s="1">
        <f t="shared" si="196"/>
        <v>2.1378605769230767</v>
      </c>
      <c r="M963" s="1">
        <f t="shared" si="197"/>
        <v>2.1378605769230767</v>
      </c>
      <c r="N963" s="2">
        <f t="shared" si="191"/>
        <v>7.8583234946871316</v>
      </c>
      <c r="O963" s="1">
        <v>888</v>
      </c>
      <c r="P963" s="1">
        <f t="shared" si="198"/>
        <v>984</v>
      </c>
      <c r="Q963" s="1">
        <f t="shared" si="199"/>
        <v>3.0559348751044855</v>
      </c>
      <c r="R963" s="1">
        <f t="shared" si="200"/>
        <v>1.6063247420421014</v>
      </c>
      <c r="S963" s="2">
        <f t="shared" si="201"/>
        <v>11.552715141614724</v>
      </c>
      <c r="T963" s="2">
        <f t="shared" si="202"/>
        <v>0.20163291676617992</v>
      </c>
      <c r="U963" s="1" t="s">
        <v>2507</v>
      </c>
      <c r="V963" s="6" t="s">
        <v>2505</v>
      </c>
    </row>
    <row r="964" spans="1:24" ht="14.25" customHeight="1" x14ac:dyDescent="0.3">
      <c r="A964" s="1" t="s">
        <v>14</v>
      </c>
      <c r="B964" s="1" t="s">
        <v>173</v>
      </c>
      <c r="C964" s="1" t="s">
        <v>174</v>
      </c>
      <c r="D964" s="1">
        <f t="shared" si="193"/>
        <v>35</v>
      </c>
      <c r="E964" s="1">
        <f t="shared" si="194"/>
        <v>0.96207175925925925</v>
      </c>
      <c r="F964" s="2">
        <f t="shared" si="195"/>
        <v>220.96639184051571</v>
      </c>
      <c r="G964" s="1">
        <v>2080</v>
      </c>
      <c r="H964" s="1">
        <v>3744</v>
      </c>
      <c r="I964" s="1">
        <v>0</v>
      </c>
      <c r="J964" s="1">
        <v>124</v>
      </c>
      <c r="K964" s="1">
        <f t="shared" si="192"/>
        <v>0</v>
      </c>
      <c r="L964" s="1">
        <f t="shared" si="196"/>
        <v>1.0820192307692307</v>
      </c>
      <c r="M964" s="1">
        <f t="shared" si="197"/>
        <v>1.0820192307692307</v>
      </c>
      <c r="N964" s="2">
        <f t="shared" si="191"/>
        <v>15.526526259664092</v>
      </c>
      <c r="O964" s="1">
        <v>887</v>
      </c>
      <c r="P964" s="1">
        <f t="shared" si="198"/>
        <v>985</v>
      </c>
      <c r="Q964" s="1">
        <f t="shared" si="199"/>
        <v>6.0379358419403149</v>
      </c>
      <c r="R964" s="1">
        <f t="shared" si="200"/>
        <v>3.1770121817901766</v>
      </c>
      <c r="S964" s="2">
        <f t="shared" si="201"/>
        <v>11.564139602488202</v>
      </c>
      <c r="T964" s="2">
        <f t="shared" si="202"/>
        <v>0.20183231122368739</v>
      </c>
      <c r="U964" s="1" t="s">
        <v>2507</v>
      </c>
      <c r="V964" s="6" t="s">
        <v>2505</v>
      </c>
    </row>
    <row r="965" spans="1:24" ht="14.25" customHeight="1" x14ac:dyDescent="0.3">
      <c r="A965" s="1" t="s">
        <v>40</v>
      </c>
      <c r="B965" s="1" t="s">
        <v>1913</v>
      </c>
      <c r="C965" s="1" t="s">
        <v>1914</v>
      </c>
      <c r="D965" s="1">
        <f t="shared" si="193"/>
        <v>76</v>
      </c>
      <c r="E965" s="1">
        <f t="shared" si="194"/>
        <v>0.2532638888888889</v>
      </c>
      <c r="F965" s="2">
        <f t="shared" si="195"/>
        <v>474.12341823815444</v>
      </c>
      <c r="G965" s="1">
        <v>2080</v>
      </c>
      <c r="H965" s="1">
        <v>3744</v>
      </c>
      <c r="I965" s="1">
        <v>0</v>
      </c>
      <c r="J965" s="1">
        <v>115</v>
      </c>
      <c r="K965" s="1">
        <f t="shared" si="192"/>
        <v>0</v>
      </c>
      <c r="L965" s="1">
        <f t="shared" si="196"/>
        <v>1.0034855769230768</v>
      </c>
      <c r="M965" s="1">
        <f t="shared" si="197"/>
        <v>1.0034855769230768</v>
      </c>
      <c r="N965" s="2">
        <f t="shared" ref="N965:N996" si="203">42*0.4/M965</f>
        <v>16.741645706072585</v>
      </c>
      <c r="O965" s="1">
        <v>887</v>
      </c>
      <c r="P965" s="1">
        <f t="shared" si="198"/>
        <v>985</v>
      </c>
      <c r="Q965" s="1">
        <f t="shared" si="199"/>
        <v>6.510469951309557</v>
      </c>
      <c r="R965" s="1">
        <f t="shared" si="200"/>
        <v>3.4256479177563643</v>
      </c>
      <c r="S965" s="2">
        <f t="shared" si="201"/>
        <v>11.564139602488202</v>
      </c>
      <c r="T965" s="2">
        <f t="shared" si="202"/>
        <v>0.20183231122368739</v>
      </c>
      <c r="U965" s="1" t="s">
        <v>2507</v>
      </c>
      <c r="V965" s="6" t="s">
        <v>2505</v>
      </c>
    </row>
    <row r="966" spans="1:24" ht="14.25" customHeight="1" x14ac:dyDescent="0.3">
      <c r="A966" s="1" t="s">
        <v>40</v>
      </c>
      <c r="B966" s="1" t="s">
        <v>1915</v>
      </c>
      <c r="C966" s="1" t="s">
        <v>1916</v>
      </c>
      <c r="D966" s="1">
        <f t="shared" si="193"/>
        <v>55</v>
      </c>
      <c r="E966" s="1">
        <f t="shared" si="194"/>
        <v>0.9215740740740741</v>
      </c>
      <c r="F966" s="2">
        <f t="shared" si="195"/>
        <v>346.37564352357708</v>
      </c>
      <c r="G966" s="1">
        <v>2080</v>
      </c>
      <c r="H966" s="1">
        <v>3744</v>
      </c>
      <c r="I966" s="1">
        <v>0</v>
      </c>
      <c r="J966" s="1">
        <v>90</v>
      </c>
      <c r="K966" s="1">
        <f t="shared" si="192"/>
        <v>0</v>
      </c>
      <c r="L966" s="1">
        <f t="shared" si="196"/>
        <v>0.78533653846153839</v>
      </c>
      <c r="M966" s="1">
        <f t="shared" si="197"/>
        <v>0.78533653846153839</v>
      </c>
      <c r="N966" s="2">
        <f t="shared" si="203"/>
        <v>21.392102846648303</v>
      </c>
      <c r="O966" s="1">
        <v>885</v>
      </c>
      <c r="P966" s="1">
        <f t="shared" si="198"/>
        <v>987</v>
      </c>
      <c r="Q966" s="1">
        <f t="shared" si="199"/>
        <v>8.3189338266733213</v>
      </c>
      <c r="R966" s="1">
        <f t="shared" si="200"/>
        <v>4.3861045336146196</v>
      </c>
      <c r="S966" s="2">
        <f t="shared" si="201"/>
        <v>11.586985726977453</v>
      </c>
      <c r="T966" s="2">
        <f t="shared" si="202"/>
        <v>0.20223105131734531</v>
      </c>
      <c r="U966" s="1" t="s">
        <v>2507</v>
      </c>
      <c r="V966" s="6" t="s">
        <v>2505</v>
      </c>
      <c r="W966" s="1"/>
      <c r="X966" s="1"/>
    </row>
    <row r="967" spans="1:24" ht="14.25" customHeight="1" x14ac:dyDescent="0.3">
      <c r="A967" s="1" t="s">
        <v>40</v>
      </c>
      <c r="B967" s="1" t="s">
        <v>1917</v>
      </c>
      <c r="C967" s="1" t="s">
        <v>1918</v>
      </c>
      <c r="D967" s="1">
        <f t="shared" si="193"/>
        <v>32</v>
      </c>
      <c r="E967" s="1">
        <f t="shared" si="194"/>
        <v>0.72994212962962957</v>
      </c>
      <c r="F967" s="2">
        <f t="shared" si="195"/>
        <v>200.65832244072701</v>
      </c>
      <c r="G967" s="1">
        <v>2080</v>
      </c>
      <c r="H967" s="1">
        <v>3744</v>
      </c>
      <c r="I967" s="1">
        <v>0</v>
      </c>
      <c r="J967" s="1">
        <v>132</v>
      </c>
      <c r="K967" s="1">
        <f t="shared" si="192"/>
        <v>0</v>
      </c>
      <c r="L967" s="1">
        <f t="shared" si="196"/>
        <v>1.1518269230769229</v>
      </c>
      <c r="M967" s="1">
        <f t="shared" si="197"/>
        <v>1.1518269230769229</v>
      </c>
      <c r="N967" s="2">
        <f t="shared" si="203"/>
        <v>14.585524668169299</v>
      </c>
      <c r="O967" s="1">
        <v>885</v>
      </c>
      <c r="P967" s="1">
        <f t="shared" si="198"/>
        <v>987</v>
      </c>
      <c r="Q967" s="1">
        <f t="shared" si="199"/>
        <v>5.6720003363681748</v>
      </c>
      <c r="R967" s="1">
        <f t="shared" si="200"/>
        <v>2.9905258183736052</v>
      </c>
      <c r="S967" s="2">
        <f t="shared" si="201"/>
        <v>11.586985726977456</v>
      </c>
      <c r="T967" s="2">
        <f t="shared" si="202"/>
        <v>0.20223105131734537</v>
      </c>
      <c r="U967" s="1" t="s">
        <v>2507</v>
      </c>
      <c r="V967" s="6" t="s">
        <v>2505</v>
      </c>
    </row>
    <row r="968" spans="1:24" ht="14.25" customHeight="1" x14ac:dyDescent="0.3">
      <c r="A968" s="1" t="s">
        <v>27</v>
      </c>
      <c r="B968" s="1" t="s">
        <v>1919</v>
      </c>
      <c r="C968" s="1" t="s">
        <v>1920</v>
      </c>
      <c r="D968" s="1">
        <f t="shared" si="193"/>
        <v>43</v>
      </c>
      <c r="E968" s="1">
        <f t="shared" si="194"/>
        <v>0.22383101851851853</v>
      </c>
      <c r="F968" s="2">
        <f t="shared" si="195"/>
        <v>266.59337092256879</v>
      </c>
      <c r="G968" s="1">
        <v>2080</v>
      </c>
      <c r="H968" s="1">
        <v>3744</v>
      </c>
      <c r="I968" s="1">
        <v>0</v>
      </c>
      <c r="J968" s="1">
        <v>152</v>
      </c>
      <c r="K968" s="1">
        <f t="shared" si="192"/>
        <v>0</v>
      </c>
      <c r="L968" s="1">
        <f t="shared" si="196"/>
        <v>1.3263461538461536</v>
      </c>
      <c r="M968" s="1">
        <f t="shared" si="197"/>
        <v>1.3263461538461536</v>
      </c>
      <c r="N968" s="2">
        <f t="shared" si="203"/>
        <v>12.666376685515445</v>
      </c>
      <c r="O968" s="1">
        <v>882</v>
      </c>
      <c r="P968" s="1">
        <f t="shared" si="198"/>
        <v>990</v>
      </c>
      <c r="Q968" s="1">
        <f t="shared" si="199"/>
        <v>4.9256845026355203</v>
      </c>
      <c r="R968" s="1">
        <f t="shared" si="200"/>
        <v>2.6049293042784001</v>
      </c>
      <c r="S968" s="2">
        <f t="shared" si="201"/>
        <v>11.621247908663261</v>
      </c>
      <c r="T968" s="2">
        <f t="shared" si="202"/>
        <v>0.20282903919667916</v>
      </c>
      <c r="U968" s="1" t="s">
        <v>2507</v>
      </c>
      <c r="V968" s="6" t="s">
        <v>2505</v>
      </c>
    </row>
    <row r="969" spans="1:24" ht="14.25" customHeight="1" x14ac:dyDescent="0.3">
      <c r="A969" s="1" t="s">
        <v>27</v>
      </c>
      <c r="B969" s="1" t="s">
        <v>1921</v>
      </c>
      <c r="C969" s="1" t="s">
        <v>1922</v>
      </c>
      <c r="D969" s="1">
        <f t="shared" si="193"/>
        <v>54</v>
      </c>
      <c r="E969" s="1">
        <f t="shared" si="194"/>
        <v>0.17483796296296297</v>
      </c>
      <c r="F969" s="2">
        <f t="shared" si="195"/>
        <v>335.40057685472374</v>
      </c>
      <c r="G969" s="1">
        <v>2080</v>
      </c>
      <c r="H969" s="1">
        <v>3744</v>
      </c>
      <c r="I969" s="1">
        <v>0</v>
      </c>
      <c r="J969" s="1">
        <v>183</v>
      </c>
      <c r="K969" s="1">
        <f t="shared" si="192"/>
        <v>0</v>
      </c>
      <c r="L969" s="1">
        <f t="shared" si="196"/>
        <v>1.5968509615384614</v>
      </c>
      <c r="M969" s="1">
        <f t="shared" si="197"/>
        <v>1.5968509615384614</v>
      </c>
      <c r="N969" s="2">
        <f t="shared" si="203"/>
        <v>10.520706318023755</v>
      </c>
      <c r="O969" s="1">
        <v>882</v>
      </c>
      <c r="P969" s="1">
        <f t="shared" si="198"/>
        <v>990</v>
      </c>
      <c r="Q969" s="1">
        <f t="shared" si="199"/>
        <v>4.0912789311508142</v>
      </c>
      <c r="R969" s="1">
        <f t="shared" si="200"/>
        <v>2.1636571270509113</v>
      </c>
      <c r="S969" s="2">
        <f t="shared" si="201"/>
        <v>11.621247908663261</v>
      </c>
      <c r="T969" s="2">
        <f t="shared" si="202"/>
        <v>0.20282903919667916</v>
      </c>
      <c r="U969" s="1" t="s">
        <v>2507</v>
      </c>
      <c r="V969" s="6" t="s">
        <v>2505</v>
      </c>
    </row>
    <row r="970" spans="1:24" ht="14.25" customHeight="1" x14ac:dyDescent="0.3">
      <c r="A970" s="1" t="s">
        <v>17</v>
      </c>
      <c r="B970" s="1" t="s">
        <v>1923</v>
      </c>
      <c r="C970" s="1" t="s">
        <v>1924</v>
      </c>
      <c r="D970" s="1">
        <f t="shared" si="193"/>
        <v>29</v>
      </c>
      <c r="E970" s="1">
        <f t="shared" si="194"/>
        <v>0.29766203703703703</v>
      </c>
      <c r="F970" s="2">
        <f t="shared" si="195"/>
        <v>179.09267059282425</v>
      </c>
      <c r="G970" s="1">
        <v>2080</v>
      </c>
      <c r="H970" s="1">
        <v>3744</v>
      </c>
      <c r="I970" s="1">
        <v>0</v>
      </c>
      <c r="J970" s="1">
        <v>853</v>
      </c>
      <c r="K970" s="1">
        <f t="shared" si="192"/>
        <v>0</v>
      </c>
      <c r="L970" s="1">
        <f t="shared" si="196"/>
        <v>7.4432451923076917</v>
      </c>
      <c r="M970" s="1">
        <f t="shared" si="197"/>
        <v>7.4432451923076917</v>
      </c>
      <c r="N970" s="2">
        <f t="shared" si="203"/>
        <v>2.2570800189898561</v>
      </c>
      <c r="O970" s="1">
        <v>880</v>
      </c>
      <c r="P970" s="1">
        <f t="shared" si="198"/>
        <v>992</v>
      </c>
      <c r="Q970" s="1">
        <f t="shared" si="199"/>
        <v>0.87773041547549702</v>
      </c>
      <c r="R970" s="1">
        <f t="shared" si="200"/>
        <v>0.46512210050838304</v>
      </c>
      <c r="S970" s="2">
        <f t="shared" si="201"/>
        <v>11.644084683839822</v>
      </c>
      <c r="T970" s="2">
        <f t="shared" si="202"/>
        <v>0.20322761611404785</v>
      </c>
      <c r="U970" s="1" t="s">
        <v>2507</v>
      </c>
      <c r="V970" s="6" t="s">
        <v>2505</v>
      </c>
    </row>
    <row r="971" spans="1:24" ht="14.25" customHeight="1" x14ac:dyDescent="0.3">
      <c r="A971" s="1" t="s">
        <v>40</v>
      </c>
      <c r="B971" s="1" t="s">
        <v>1925</v>
      </c>
      <c r="C971" s="1" t="s">
        <v>1926</v>
      </c>
      <c r="D971" s="1">
        <f t="shared" si="193"/>
        <v>72</v>
      </c>
      <c r="E971" s="1">
        <f t="shared" si="194"/>
        <v>0.7766319444444445</v>
      </c>
      <c r="F971" s="2">
        <f t="shared" si="195"/>
        <v>452.27909548634989</v>
      </c>
      <c r="G971" s="1">
        <v>2080</v>
      </c>
      <c r="H971" s="1">
        <v>3744</v>
      </c>
      <c r="I971" s="1">
        <v>0</v>
      </c>
      <c r="J971" s="1">
        <v>225</v>
      </c>
      <c r="K971" s="1">
        <f t="shared" si="192"/>
        <v>0</v>
      </c>
      <c r="L971" s="1">
        <f t="shared" si="196"/>
        <v>1.963341346153846</v>
      </c>
      <c r="M971" s="1">
        <f t="shared" si="197"/>
        <v>1.963341346153846</v>
      </c>
      <c r="N971" s="2">
        <f t="shared" si="203"/>
        <v>8.5568411386593208</v>
      </c>
      <c r="O971" s="1">
        <v>880</v>
      </c>
      <c r="P971" s="1">
        <f t="shared" si="198"/>
        <v>992</v>
      </c>
      <c r="Q971" s="1">
        <f t="shared" si="199"/>
        <v>3.3275735306693286</v>
      </c>
      <c r="R971" s="1">
        <f t="shared" si="200"/>
        <v>1.7633295632606698</v>
      </c>
      <c r="S971" s="2">
        <f t="shared" si="201"/>
        <v>11.644084683839822</v>
      </c>
      <c r="T971" s="2">
        <f t="shared" si="202"/>
        <v>0.20322761611404785</v>
      </c>
      <c r="U971" s="1" t="s">
        <v>2507</v>
      </c>
      <c r="V971" s="6" t="s">
        <v>2505</v>
      </c>
    </row>
    <row r="972" spans="1:24" ht="14.25" customHeight="1" x14ac:dyDescent="0.3">
      <c r="A972" s="1" t="s">
        <v>40</v>
      </c>
      <c r="B972" s="1" t="s">
        <v>1927</v>
      </c>
      <c r="C972" s="1" t="s">
        <v>1928</v>
      </c>
      <c r="D972" s="1">
        <f t="shared" si="193"/>
        <v>6</v>
      </c>
      <c r="E972" s="1">
        <f t="shared" si="194"/>
        <v>0.98957175925925922</v>
      </c>
      <c r="F972" s="2">
        <f t="shared" si="195"/>
        <v>38.926805528255152</v>
      </c>
      <c r="G972" s="1">
        <v>2080</v>
      </c>
      <c r="H972" s="1">
        <v>3744</v>
      </c>
      <c r="I972" s="1">
        <v>0</v>
      </c>
      <c r="J972" s="1">
        <v>127</v>
      </c>
      <c r="K972" s="1">
        <f t="shared" si="192"/>
        <v>0</v>
      </c>
      <c r="L972" s="1">
        <f t="shared" si="196"/>
        <v>1.1081971153846153</v>
      </c>
      <c r="M972" s="1">
        <f t="shared" si="197"/>
        <v>1.1081971153846153</v>
      </c>
      <c r="N972" s="2">
        <f t="shared" si="203"/>
        <v>15.159757922821633</v>
      </c>
      <c r="O972" s="1">
        <v>878</v>
      </c>
      <c r="P972" s="1">
        <f t="shared" si="198"/>
        <v>994</v>
      </c>
      <c r="Q972" s="1">
        <f t="shared" si="199"/>
        <v>5.8953074362251892</v>
      </c>
      <c r="R972" s="1">
        <f t="shared" si="200"/>
        <v>3.1303074741494861</v>
      </c>
      <c r="S972" s="2">
        <f t="shared" si="201"/>
        <v>11.66691770820197</v>
      </c>
      <c r="T972" s="2">
        <f t="shared" si="202"/>
        <v>0.2036261275673554</v>
      </c>
      <c r="U972" s="1" t="s">
        <v>2507</v>
      </c>
      <c r="V972" s="6" t="s">
        <v>2505</v>
      </c>
    </row>
    <row r="973" spans="1:24" ht="14.25" customHeight="1" x14ac:dyDescent="0.3">
      <c r="A973" s="1" t="s">
        <v>40</v>
      </c>
      <c r="B973" s="1" t="s">
        <v>1559</v>
      </c>
      <c r="C973" s="1" t="s">
        <v>1560</v>
      </c>
      <c r="D973" s="1">
        <f t="shared" si="193"/>
        <v>10</v>
      </c>
      <c r="E973" s="1">
        <f t="shared" si="194"/>
        <v>0.28023148148148147</v>
      </c>
      <c r="F973" s="2">
        <f t="shared" si="195"/>
        <v>59.60263034584947</v>
      </c>
      <c r="G973" s="1">
        <v>2080</v>
      </c>
      <c r="H973" s="1">
        <v>3744</v>
      </c>
      <c r="I973" s="1">
        <v>0</v>
      </c>
      <c r="J973" s="1">
        <v>117</v>
      </c>
      <c r="K973" s="1">
        <f t="shared" si="192"/>
        <v>0</v>
      </c>
      <c r="L973" s="1">
        <f t="shared" si="196"/>
        <v>1.0209374999999998</v>
      </c>
      <c r="M973" s="1">
        <f t="shared" si="197"/>
        <v>1.0209374999999998</v>
      </c>
      <c r="N973" s="2">
        <f t="shared" si="203"/>
        <v>16.455463728191003</v>
      </c>
      <c r="O973" s="1">
        <v>878</v>
      </c>
      <c r="P973" s="1">
        <f t="shared" si="198"/>
        <v>994</v>
      </c>
      <c r="Q973" s="1">
        <f t="shared" si="199"/>
        <v>6.3991798666717861</v>
      </c>
      <c r="R973" s="1">
        <f t="shared" si="200"/>
        <v>3.39785512151269</v>
      </c>
      <c r="S973" s="2">
        <f t="shared" si="201"/>
        <v>11.666917708201971</v>
      </c>
      <c r="T973" s="2">
        <f t="shared" si="202"/>
        <v>0.20362612756735546</v>
      </c>
      <c r="U973" s="1" t="s">
        <v>2507</v>
      </c>
      <c r="V973" s="6" t="s">
        <v>2505</v>
      </c>
    </row>
    <row r="974" spans="1:24" ht="14.25" customHeight="1" x14ac:dyDescent="0.3">
      <c r="A974" s="1" t="s">
        <v>40</v>
      </c>
      <c r="B974" s="1" t="s">
        <v>1929</v>
      </c>
      <c r="C974" s="1" t="s">
        <v>1930</v>
      </c>
      <c r="D974" s="1">
        <f t="shared" si="193"/>
        <v>76</v>
      </c>
      <c r="E974" s="1">
        <f t="shared" si="194"/>
        <v>0.25201388888888887</v>
      </c>
      <c r="F974" s="2">
        <f t="shared" si="195"/>
        <v>474.11556425652037</v>
      </c>
      <c r="G974" s="1">
        <v>2080</v>
      </c>
      <c r="H974" s="1">
        <v>3744</v>
      </c>
      <c r="I974" s="1">
        <v>0</v>
      </c>
      <c r="J974" s="1">
        <v>242</v>
      </c>
      <c r="K974" s="1">
        <f t="shared" si="192"/>
        <v>0</v>
      </c>
      <c r="L974" s="1">
        <f t="shared" si="196"/>
        <v>2.1116826923076921</v>
      </c>
      <c r="M974" s="1">
        <f t="shared" si="197"/>
        <v>2.1116826923076921</v>
      </c>
      <c r="N974" s="2">
        <f t="shared" si="203"/>
        <v>7.9557407280923442</v>
      </c>
      <c r="O974" s="1">
        <v>874</v>
      </c>
      <c r="P974" s="1">
        <f t="shared" si="198"/>
        <v>998</v>
      </c>
      <c r="Q974" s="1">
        <f t="shared" si="199"/>
        <v>3.0938183652917313</v>
      </c>
      <c r="R974" s="1">
        <f t="shared" si="200"/>
        <v>1.6493753891886473</v>
      </c>
      <c r="S974" s="2">
        <f t="shared" si="201"/>
        <v>11.71257247918388</v>
      </c>
      <c r="T974" s="2">
        <f t="shared" si="202"/>
        <v>0.20442295364023372</v>
      </c>
      <c r="U974" s="1" t="s">
        <v>2507</v>
      </c>
      <c r="V974" s="6" t="s">
        <v>2505</v>
      </c>
    </row>
    <row r="975" spans="1:24" ht="14.25" customHeight="1" x14ac:dyDescent="0.3">
      <c r="A975" s="1" t="s">
        <v>17</v>
      </c>
      <c r="B975" s="1" t="s">
        <v>1931</v>
      </c>
      <c r="C975" s="1" t="s">
        <v>1932</v>
      </c>
      <c r="D975" s="1">
        <f t="shared" si="193"/>
        <v>47</v>
      </c>
      <c r="E975" s="1">
        <f t="shared" si="194"/>
        <v>0.22958333333333333</v>
      </c>
      <c r="F975" s="2">
        <f t="shared" si="195"/>
        <v>291.76225501121388</v>
      </c>
      <c r="G975" s="1">
        <v>2080</v>
      </c>
      <c r="H975" s="1">
        <v>3744</v>
      </c>
      <c r="I975" s="1">
        <v>0</v>
      </c>
      <c r="J975" s="1">
        <v>171</v>
      </c>
      <c r="K975" s="1">
        <f t="shared" si="192"/>
        <v>0</v>
      </c>
      <c r="L975" s="1">
        <f t="shared" si="196"/>
        <v>1.4921394230769229</v>
      </c>
      <c r="M975" s="1">
        <f t="shared" si="197"/>
        <v>1.4921394230769229</v>
      </c>
      <c r="N975" s="2">
        <f t="shared" si="203"/>
        <v>11.25900149823595</v>
      </c>
      <c r="O975" s="1">
        <v>874</v>
      </c>
      <c r="P975" s="1">
        <f t="shared" si="198"/>
        <v>998</v>
      </c>
      <c r="Q975" s="1">
        <f t="shared" si="199"/>
        <v>4.378386224564907</v>
      </c>
      <c r="R975" s="1">
        <f t="shared" si="200"/>
        <v>2.3342037671558638</v>
      </c>
      <c r="S975" s="2">
        <f t="shared" si="201"/>
        <v>11.712572479183882</v>
      </c>
      <c r="T975" s="2">
        <f t="shared" si="202"/>
        <v>0.20442295364023375</v>
      </c>
      <c r="U975" s="1" t="s">
        <v>2507</v>
      </c>
      <c r="V975" s="6" t="s">
        <v>2505</v>
      </c>
    </row>
    <row r="976" spans="1:24" ht="14.25" customHeight="1" x14ac:dyDescent="0.3">
      <c r="A976" s="1" t="s">
        <v>40</v>
      </c>
      <c r="B976" s="1" t="s">
        <v>1933</v>
      </c>
      <c r="C976" s="1" t="s">
        <v>1934</v>
      </c>
      <c r="D976" s="1">
        <f t="shared" si="193"/>
        <v>61</v>
      </c>
      <c r="E976" s="1">
        <f t="shared" si="194"/>
        <v>0.88460648148148147</v>
      </c>
      <c r="F976" s="2">
        <f t="shared" si="195"/>
        <v>383.84248113203506</v>
      </c>
      <c r="G976" s="1">
        <v>2080</v>
      </c>
      <c r="H976" s="1">
        <v>3744</v>
      </c>
      <c r="I976" s="1">
        <v>0</v>
      </c>
      <c r="J976" s="1">
        <v>152</v>
      </c>
      <c r="K976" s="1">
        <f t="shared" si="192"/>
        <v>0</v>
      </c>
      <c r="L976" s="1">
        <f t="shared" si="196"/>
        <v>1.3263461538461536</v>
      </c>
      <c r="M976" s="1">
        <f t="shared" si="197"/>
        <v>1.3263461538461536</v>
      </c>
      <c r="N976" s="2">
        <f t="shared" si="203"/>
        <v>12.666376685515445</v>
      </c>
      <c r="O976" s="1">
        <v>873</v>
      </c>
      <c r="P976" s="1">
        <f t="shared" si="198"/>
        <v>999</v>
      </c>
      <c r="Q976" s="1">
        <f t="shared" si="199"/>
        <v>4.9256845026355203</v>
      </c>
      <c r="R976" s="1">
        <f t="shared" si="200"/>
        <v>2.6286104797718401</v>
      </c>
      <c r="S976" s="2">
        <f t="shared" si="201"/>
        <v>11.723983817793496</v>
      </c>
      <c r="T976" s="2">
        <f t="shared" si="202"/>
        <v>0.20462211907103145</v>
      </c>
      <c r="U976" s="1" t="s">
        <v>2507</v>
      </c>
      <c r="V976" s="6" t="s">
        <v>2505</v>
      </c>
    </row>
    <row r="977" spans="1:22" ht="14.25" customHeight="1" x14ac:dyDescent="0.3">
      <c r="A977" s="1" t="s">
        <v>40</v>
      </c>
      <c r="B977" s="1" t="s">
        <v>1935</v>
      </c>
      <c r="C977" s="1" t="s">
        <v>1936</v>
      </c>
      <c r="D977" s="1">
        <f t="shared" si="193"/>
        <v>93</v>
      </c>
      <c r="E977" s="1">
        <f t="shared" si="194"/>
        <v>0.27770833333333333</v>
      </c>
      <c r="F977" s="2">
        <f t="shared" si="195"/>
        <v>581.09115743438292</v>
      </c>
      <c r="G977" s="1">
        <v>2080</v>
      </c>
      <c r="H977" s="1">
        <v>3744</v>
      </c>
      <c r="I977" s="1">
        <v>0</v>
      </c>
      <c r="J977" s="1">
        <v>108</v>
      </c>
      <c r="K977" s="1">
        <f t="shared" si="192"/>
        <v>0</v>
      </c>
      <c r="L977" s="1">
        <f t="shared" si="196"/>
        <v>0.94240384615384609</v>
      </c>
      <c r="M977" s="1">
        <f t="shared" si="197"/>
        <v>0.94240384615384609</v>
      </c>
      <c r="N977" s="2">
        <f t="shared" si="203"/>
        <v>17.826752372206919</v>
      </c>
      <c r="O977" s="1">
        <v>873</v>
      </c>
      <c r="P977" s="1">
        <f t="shared" si="198"/>
        <v>999</v>
      </c>
      <c r="Q977" s="1">
        <f t="shared" si="199"/>
        <v>6.9324448555611013</v>
      </c>
      <c r="R977" s="1">
        <f t="shared" si="200"/>
        <v>3.6995258604196262</v>
      </c>
      <c r="S977" s="2">
        <f t="shared" si="201"/>
        <v>11.723983817793497</v>
      </c>
      <c r="T977" s="2">
        <f t="shared" si="202"/>
        <v>0.20462211907103148</v>
      </c>
      <c r="U977" s="1" t="s">
        <v>2507</v>
      </c>
      <c r="V977" s="6" t="s">
        <v>2505</v>
      </c>
    </row>
    <row r="978" spans="1:22" ht="14.25" customHeight="1" x14ac:dyDescent="0.3">
      <c r="A978" s="1" t="s">
        <v>20</v>
      </c>
      <c r="B978" s="1" t="s">
        <v>1937</v>
      </c>
      <c r="C978" s="1" t="s">
        <v>1938</v>
      </c>
      <c r="D978" s="1">
        <f t="shared" si="193"/>
        <v>21</v>
      </c>
      <c r="E978" s="1">
        <f t="shared" si="194"/>
        <v>0.10090277777777779</v>
      </c>
      <c r="F978" s="2">
        <f t="shared" si="195"/>
        <v>127.59091324855824</v>
      </c>
      <c r="G978" s="1">
        <v>2080</v>
      </c>
      <c r="H978" s="1">
        <v>3744</v>
      </c>
      <c r="I978" s="1">
        <v>0</v>
      </c>
      <c r="J978" s="1">
        <v>85</v>
      </c>
      <c r="K978" s="1">
        <f t="shared" si="192"/>
        <v>0</v>
      </c>
      <c r="L978" s="1">
        <f t="shared" si="196"/>
        <v>0.74170673076923066</v>
      </c>
      <c r="M978" s="1">
        <f t="shared" si="197"/>
        <v>0.74170673076923066</v>
      </c>
      <c r="N978" s="2">
        <f t="shared" si="203"/>
        <v>22.650461837627617</v>
      </c>
      <c r="O978" s="1">
        <v>872</v>
      </c>
      <c r="P978" s="1">
        <f t="shared" si="198"/>
        <v>1000</v>
      </c>
      <c r="Q978" s="1">
        <f t="shared" si="199"/>
        <v>8.808282875301165</v>
      </c>
      <c r="R978" s="1">
        <f t="shared" si="200"/>
        <v>4.705279313729255</v>
      </c>
      <c r="S978" s="2">
        <f t="shared" si="201"/>
        <v>11.735394213171213</v>
      </c>
      <c r="T978" s="2">
        <f t="shared" si="202"/>
        <v>0.20482126803932699</v>
      </c>
      <c r="U978" s="1" t="s">
        <v>2507</v>
      </c>
      <c r="V978" s="6" t="s">
        <v>2505</v>
      </c>
    </row>
    <row r="979" spans="1:22" ht="14.25" customHeight="1" x14ac:dyDescent="0.3">
      <c r="A979" s="1" t="s">
        <v>27</v>
      </c>
      <c r="B979" s="1" t="s">
        <v>1939</v>
      </c>
      <c r="C979" s="1" t="s">
        <v>1940</v>
      </c>
      <c r="D979" s="1">
        <f t="shared" si="193"/>
        <v>24</v>
      </c>
      <c r="E979" s="1">
        <f t="shared" si="194"/>
        <v>0.73165509259259265</v>
      </c>
      <c r="F979" s="2">
        <f t="shared" si="195"/>
        <v>150.40360284701097</v>
      </c>
      <c r="G979" s="1">
        <v>2080</v>
      </c>
      <c r="H979" s="1">
        <v>3744</v>
      </c>
      <c r="I979" s="1">
        <v>0</v>
      </c>
      <c r="J979" s="1">
        <v>206</v>
      </c>
      <c r="K979" s="1">
        <f t="shared" si="192"/>
        <v>0</v>
      </c>
      <c r="L979" s="1">
        <f t="shared" si="196"/>
        <v>1.7975480769230767</v>
      </c>
      <c r="M979" s="1">
        <f t="shared" si="197"/>
        <v>1.7975480769230767</v>
      </c>
      <c r="N979" s="2">
        <f t="shared" si="203"/>
        <v>9.3460643504774144</v>
      </c>
      <c r="O979" s="1">
        <v>872</v>
      </c>
      <c r="P979" s="1">
        <f t="shared" si="198"/>
        <v>1000</v>
      </c>
      <c r="Q979" s="1">
        <f t="shared" si="199"/>
        <v>3.6344856524300924</v>
      </c>
      <c r="R979" s="1">
        <f t="shared" si="200"/>
        <v>1.9414987459562458</v>
      </c>
      <c r="S979" s="2">
        <f t="shared" si="201"/>
        <v>11.735394213171213</v>
      </c>
      <c r="T979" s="2">
        <f t="shared" si="202"/>
        <v>0.20482126803932699</v>
      </c>
      <c r="U979" s="1" t="s">
        <v>2507</v>
      </c>
      <c r="V979" s="6" t="s">
        <v>2505</v>
      </c>
    </row>
    <row r="980" spans="1:22" ht="14.25" customHeight="1" x14ac:dyDescent="0.3">
      <c r="A980" s="1" t="s">
        <v>17</v>
      </c>
      <c r="B980" s="1" t="s">
        <v>1941</v>
      </c>
      <c r="C980" s="1" t="s">
        <v>1942</v>
      </c>
      <c r="D980" s="1">
        <f t="shared" si="193"/>
        <v>29</v>
      </c>
      <c r="E980" s="1">
        <f t="shared" si="194"/>
        <v>0.2600925925925926</v>
      </c>
      <c r="F980" s="2">
        <f t="shared" si="195"/>
        <v>178.85661481149202</v>
      </c>
      <c r="G980" s="1">
        <v>2080</v>
      </c>
      <c r="H980" s="1">
        <v>3744</v>
      </c>
      <c r="I980" s="1">
        <v>0</v>
      </c>
      <c r="J980" s="1">
        <v>194</v>
      </c>
      <c r="K980" s="1">
        <f t="shared" si="192"/>
        <v>0</v>
      </c>
      <c r="L980" s="1">
        <f t="shared" si="196"/>
        <v>1.6928365384615385</v>
      </c>
      <c r="M980" s="1">
        <f t="shared" si="197"/>
        <v>1.6928365384615385</v>
      </c>
      <c r="N980" s="2">
        <f t="shared" si="203"/>
        <v>9.9241714237028198</v>
      </c>
      <c r="O980" s="1">
        <v>872</v>
      </c>
      <c r="P980" s="1">
        <f t="shared" si="198"/>
        <v>1000</v>
      </c>
      <c r="Q980" s="1">
        <f t="shared" si="199"/>
        <v>3.8592991979412314</v>
      </c>
      <c r="R980" s="1">
        <f t="shared" si="200"/>
        <v>2.0615914518916836</v>
      </c>
      <c r="S980" s="2">
        <f t="shared" si="201"/>
        <v>11.735394213171213</v>
      </c>
      <c r="T980" s="2">
        <f t="shared" si="202"/>
        <v>0.20482126803932699</v>
      </c>
      <c r="U980" s="1" t="s">
        <v>2507</v>
      </c>
      <c r="V980" s="6" t="s">
        <v>2505</v>
      </c>
    </row>
    <row r="981" spans="1:22" ht="14.25" customHeight="1" x14ac:dyDescent="0.3">
      <c r="A981" s="1" t="s">
        <v>27</v>
      </c>
      <c r="B981" s="1" t="s">
        <v>1943</v>
      </c>
      <c r="C981" s="1" t="s">
        <v>1944</v>
      </c>
      <c r="D981" s="1">
        <f t="shared" si="193"/>
        <v>38</v>
      </c>
      <c r="E981" s="1">
        <f t="shared" si="194"/>
        <v>0.74297453703703698</v>
      </c>
      <c r="F981" s="2">
        <f t="shared" si="195"/>
        <v>238.43931931454392</v>
      </c>
      <c r="G981" s="1">
        <v>2080</v>
      </c>
      <c r="H981" s="1">
        <v>3744</v>
      </c>
      <c r="I981" s="1">
        <v>0</v>
      </c>
      <c r="J981" s="1">
        <v>108</v>
      </c>
      <c r="K981" s="1">
        <f t="shared" si="192"/>
        <v>0</v>
      </c>
      <c r="L981" s="1">
        <f t="shared" si="196"/>
        <v>0.94240384615384609</v>
      </c>
      <c r="M981" s="1">
        <f t="shared" si="197"/>
        <v>0.94240384615384609</v>
      </c>
      <c r="N981" s="2">
        <f t="shared" si="203"/>
        <v>17.826752372206919</v>
      </c>
      <c r="O981" s="1">
        <v>872</v>
      </c>
      <c r="P981" s="1">
        <f t="shared" si="198"/>
        <v>1000</v>
      </c>
      <c r="Q981" s="1">
        <f t="shared" si="199"/>
        <v>6.9324448555611013</v>
      </c>
      <c r="R981" s="1">
        <f t="shared" si="200"/>
        <v>3.7032290895091351</v>
      </c>
      <c r="S981" s="2">
        <f t="shared" si="201"/>
        <v>11.735394213171213</v>
      </c>
      <c r="T981" s="2">
        <f t="shared" si="202"/>
        <v>0.20482126803932699</v>
      </c>
      <c r="U981" s="1" t="s">
        <v>2507</v>
      </c>
      <c r="V981" s="6" t="s">
        <v>2505</v>
      </c>
    </row>
    <row r="982" spans="1:22" ht="14.25" customHeight="1" x14ac:dyDescent="0.3">
      <c r="A982" s="1" t="s">
        <v>40</v>
      </c>
      <c r="B982" s="1" t="s">
        <v>1945</v>
      </c>
      <c r="C982" s="1" t="s">
        <v>1946</v>
      </c>
      <c r="D982" s="1">
        <f t="shared" si="193"/>
        <v>76</v>
      </c>
      <c r="E982" s="1">
        <f t="shared" si="194"/>
        <v>0.98883101851851851</v>
      </c>
      <c r="F982" s="2">
        <f t="shared" si="195"/>
        <v>478.74512281948762</v>
      </c>
      <c r="G982" s="1">
        <v>2080</v>
      </c>
      <c r="H982" s="1">
        <v>3744</v>
      </c>
      <c r="I982" s="1">
        <v>0</v>
      </c>
      <c r="J982" s="1">
        <v>133</v>
      </c>
      <c r="K982" s="1">
        <f t="shared" si="192"/>
        <v>0</v>
      </c>
      <c r="L982" s="1">
        <f t="shared" si="196"/>
        <v>1.1605528846153845</v>
      </c>
      <c r="M982" s="1">
        <f t="shared" si="197"/>
        <v>1.1605528846153845</v>
      </c>
      <c r="N982" s="2">
        <f t="shared" si="203"/>
        <v>14.475859069160506</v>
      </c>
      <c r="O982" s="1">
        <v>872</v>
      </c>
      <c r="P982" s="1">
        <f t="shared" si="198"/>
        <v>1000</v>
      </c>
      <c r="Q982" s="1">
        <f t="shared" si="199"/>
        <v>5.6293537172977368</v>
      </c>
      <c r="R982" s="1">
        <f t="shared" si="200"/>
        <v>3.0071333959923807</v>
      </c>
      <c r="S982" s="2">
        <f t="shared" si="201"/>
        <v>11.735394213171213</v>
      </c>
      <c r="T982" s="2">
        <f t="shared" si="202"/>
        <v>0.20482126803932699</v>
      </c>
      <c r="U982" s="1" t="s">
        <v>2507</v>
      </c>
      <c r="V982" s="6" t="s">
        <v>2505</v>
      </c>
    </row>
    <row r="983" spans="1:22" ht="14.25" customHeight="1" x14ac:dyDescent="0.3">
      <c r="A983" s="1" t="s">
        <v>27</v>
      </c>
      <c r="B983" s="1" t="s">
        <v>1947</v>
      </c>
      <c r="C983" s="1" t="s">
        <v>1948</v>
      </c>
      <c r="D983" s="1">
        <f t="shared" si="193"/>
        <v>54</v>
      </c>
      <c r="E983" s="1">
        <f t="shared" si="194"/>
        <v>0.17805555555555555</v>
      </c>
      <c r="F983" s="2">
        <f t="shared" si="195"/>
        <v>335.42079358522602</v>
      </c>
      <c r="G983" s="1">
        <v>2080</v>
      </c>
      <c r="H983" s="1">
        <v>3744</v>
      </c>
      <c r="I983" s="1">
        <v>0</v>
      </c>
      <c r="J983" s="1">
        <v>147</v>
      </c>
      <c r="K983" s="1">
        <f t="shared" si="192"/>
        <v>0</v>
      </c>
      <c r="L983" s="1">
        <f t="shared" si="196"/>
        <v>1.282716346153846</v>
      </c>
      <c r="M983" s="1">
        <f t="shared" si="197"/>
        <v>1.282716346153846</v>
      </c>
      <c r="N983" s="2">
        <f t="shared" si="203"/>
        <v>13.097205824478554</v>
      </c>
      <c r="O983" s="1">
        <v>871</v>
      </c>
      <c r="P983" s="1">
        <f t="shared" si="198"/>
        <v>1001</v>
      </c>
      <c r="Q983" s="1">
        <f t="shared" si="199"/>
        <v>5.09322479184081</v>
      </c>
      <c r="R983" s="1">
        <f t="shared" si="200"/>
        <v>2.7234604789704329</v>
      </c>
      <c r="S983" s="2">
        <f t="shared" si="201"/>
        <v>11.746803664529009</v>
      </c>
      <c r="T983" s="2">
        <f t="shared" si="202"/>
        <v>0.20502040053136666</v>
      </c>
      <c r="U983" s="1" t="s">
        <v>2507</v>
      </c>
      <c r="V983" s="6" t="s">
        <v>2505</v>
      </c>
    </row>
    <row r="984" spans="1:22" ht="14.25" customHeight="1" x14ac:dyDescent="0.3">
      <c r="A984" s="1" t="s">
        <v>40</v>
      </c>
      <c r="B984" s="1" t="s">
        <v>1949</v>
      </c>
      <c r="C984" s="1" t="s">
        <v>1950</v>
      </c>
      <c r="D984" s="1">
        <f t="shared" si="193"/>
        <v>78</v>
      </c>
      <c r="E984" s="1">
        <f t="shared" si="194"/>
        <v>0.10256944444444445</v>
      </c>
      <c r="F984" s="2">
        <f t="shared" si="195"/>
        <v>485.74294773330661</v>
      </c>
      <c r="G984" s="1">
        <v>2080</v>
      </c>
      <c r="H984" s="1">
        <v>3744</v>
      </c>
      <c r="I984" s="1">
        <v>0</v>
      </c>
      <c r="J984" s="1">
        <v>166</v>
      </c>
      <c r="K984" s="1">
        <f t="shared" si="192"/>
        <v>0</v>
      </c>
      <c r="L984" s="1">
        <f t="shared" si="196"/>
        <v>1.4485096153846153</v>
      </c>
      <c r="M984" s="1">
        <f t="shared" si="197"/>
        <v>1.4485096153846153</v>
      </c>
      <c r="N984" s="2">
        <f t="shared" si="203"/>
        <v>11.598128049387634</v>
      </c>
      <c r="O984" s="1">
        <v>869</v>
      </c>
      <c r="P984" s="1">
        <f t="shared" si="198"/>
        <v>1003</v>
      </c>
      <c r="Q984" s="1">
        <f t="shared" si="199"/>
        <v>4.5102653277144515</v>
      </c>
      <c r="R984" s="1">
        <f t="shared" si="200"/>
        <v>2.4165577583854674</v>
      </c>
      <c r="S984" s="2">
        <f t="shared" si="201"/>
        <v>11.769619732034888</v>
      </c>
      <c r="T984" s="2">
        <f t="shared" si="202"/>
        <v>0.20541861603170153</v>
      </c>
      <c r="U984" s="1" t="s">
        <v>2507</v>
      </c>
      <c r="V984" s="6" t="s">
        <v>2505</v>
      </c>
    </row>
    <row r="985" spans="1:22" ht="14.25" customHeight="1" x14ac:dyDescent="0.3">
      <c r="A985" s="1" t="s">
        <v>27</v>
      </c>
      <c r="B985" s="1" t="s">
        <v>1951</v>
      </c>
      <c r="C985" s="1" t="s">
        <v>1952</v>
      </c>
      <c r="D985" s="1">
        <f t="shared" si="193"/>
        <v>90</v>
      </c>
      <c r="E985" s="1">
        <f t="shared" si="194"/>
        <v>0.81498842592592602</v>
      </c>
      <c r="F985" s="2">
        <f t="shared" si="195"/>
        <v>565.61743189646199</v>
      </c>
      <c r="G985" s="1">
        <v>2080</v>
      </c>
      <c r="H985" s="1">
        <v>3744</v>
      </c>
      <c r="I985" s="1">
        <v>0</v>
      </c>
      <c r="J985" s="1">
        <v>147</v>
      </c>
      <c r="K985" s="1">
        <f t="shared" si="192"/>
        <v>0</v>
      </c>
      <c r="L985" s="1">
        <f t="shared" si="196"/>
        <v>1.282716346153846</v>
      </c>
      <c r="M985" s="1">
        <f t="shared" si="197"/>
        <v>1.282716346153846</v>
      </c>
      <c r="N985" s="2">
        <f t="shared" si="203"/>
        <v>13.097205824478554</v>
      </c>
      <c r="O985" s="1">
        <v>869</v>
      </c>
      <c r="P985" s="1">
        <f t="shared" si="198"/>
        <v>1003</v>
      </c>
      <c r="Q985" s="1">
        <f t="shared" si="199"/>
        <v>5.09322479184081</v>
      </c>
      <c r="R985" s="1">
        <f t="shared" si="200"/>
        <v>2.7289019584488954</v>
      </c>
      <c r="S985" s="2">
        <f t="shared" si="201"/>
        <v>11.76961973203489</v>
      </c>
      <c r="T985" s="2">
        <f t="shared" si="202"/>
        <v>0.20541861603170156</v>
      </c>
      <c r="U985" s="1" t="s">
        <v>2507</v>
      </c>
      <c r="V985" s="6" t="s">
        <v>2505</v>
      </c>
    </row>
    <row r="986" spans="1:22" ht="14.25" customHeight="1" x14ac:dyDescent="0.3">
      <c r="A986" s="1" t="s">
        <v>17</v>
      </c>
      <c r="B986" s="1" t="s">
        <v>1953</v>
      </c>
      <c r="C986" s="1" t="s">
        <v>1954</v>
      </c>
      <c r="D986" s="1">
        <f t="shared" si="193"/>
        <v>29</v>
      </c>
      <c r="E986" s="1">
        <f t="shared" si="194"/>
        <v>0.29767361111111112</v>
      </c>
      <c r="F986" s="2">
        <f t="shared" si="195"/>
        <v>179.09274331487643</v>
      </c>
      <c r="G986" s="1">
        <v>2080</v>
      </c>
      <c r="H986" s="1">
        <v>3744</v>
      </c>
      <c r="I986" s="1">
        <v>0</v>
      </c>
      <c r="J986" s="1">
        <v>845</v>
      </c>
      <c r="K986" s="1">
        <f t="shared" si="192"/>
        <v>0</v>
      </c>
      <c r="L986" s="1">
        <f t="shared" si="196"/>
        <v>7.3734374999999988</v>
      </c>
      <c r="M986" s="1">
        <f t="shared" si="197"/>
        <v>7.3734374999999988</v>
      </c>
      <c r="N986" s="2">
        <f t="shared" si="203"/>
        <v>2.27844882390337</v>
      </c>
      <c r="O986" s="1">
        <v>868</v>
      </c>
      <c r="P986" s="1">
        <f t="shared" si="198"/>
        <v>1004</v>
      </c>
      <c r="Q986" s="1">
        <f t="shared" si="199"/>
        <v>0.88604028923147826</v>
      </c>
      <c r="R986" s="1">
        <f t="shared" si="200"/>
        <v>0.47520536879722441</v>
      </c>
      <c r="S986" s="2">
        <f t="shared" si="201"/>
        <v>11.781026346609071</v>
      </c>
      <c r="T986" s="2">
        <f t="shared" si="202"/>
        <v>0.20561769901252699</v>
      </c>
      <c r="U986" s="1" t="s">
        <v>2507</v>
      </c>
      <c r="V986" s="6" t="s">
        <v>2505</v>
      </c>
    </row>
    <row r="987" spans="1:22" ht="14.25" customHeight="1" x14ac:dyDescent="0.3">
      <c r="A987" s="1" t="s">
        <v>17</v>
      </c>
      <c r="B987" s="1" t="s">
        <v>1955</v>
      </c>
      <c r="C987" s="1" t="s">
        <v>1956</v>
      </c>
      <c r="D987" s="1">
        <f t="shared" si="193"/>
        <v>23</v>
      </c>
      <c r="E987" s="1">
        <f t="shared" si="194"/>
        <v>0.58564814814814814</v>
      </c>
      <c r="F987" s="2">
        <f t="shared" si="195"/>
        <v>143.20302885175187</v>
      </c>
      <c r="G987" s="1">
        <v>2080</v>
      </c>
      <c r="H987" s="1">
        <v>3744</v>
      </c>
      <c r="I987" s="1">
        <v>0</v>
      </c>
      <c r="J987" s="1">
        <v>276</v>
      </c>
      <c r="K987" s="1">
        <f t="shared" si="192"/>
        <v>0</v>
      </c>
      <c r="L987" s="1">
        <f t="shared" si="196"/>
        <v>2.4083653846153843</v>
      </c>
      <c r="M987" s="1">
        <f t="shared" si="197"/>
        <v>2.4083653846153843</v>
      </c>
      <c r="N987" s="2">
        <f t="shared" si="203"/>
        <v>6.9756857108635781</v>
      </c>
      <c r="O987" s="1">
        <v>867</v>
      </c>
      <c r="P987" s="1">
        <f t="shared" si="198"/>
        <v>1005</v>
      </c>
      <c r="Q987" s="1">
        <f t="shared" si="199"/>
        <v>2.7126958130456491</v>
      </c>
      <c r="R987" s="1">
        <f t="shared" si="200"/>
        <v>1.4563350919395712</v>
      </c>
      <c r="S987" s="2">
        <f t="shared" si="201"/>
        <v>11.792432014015539</v>
      </c>
      <c r="T987" s="2">
        <f t="shared" si="202"/>
        <v>0.20581676546215724</v>
      </c>
      <c r="U987" s="1" t="s">
        <v>2507</v>
      </c>
      <c r="V987" s="6" t="s">
        <v>2505</v>
      </c>
    </row>
    <row r="988" spans="1:22" ht="14.25" customHeight="1" x14ac:dyDescent="0.3">
      <c r="A988" s="1" t="s">
        <v>40</v>
      </c>
      <c r="B988" s="1" t="s">
        <v>1957</v>
      </c>
      <c r="C988" s="1" t="s">
        <v>1958</v>
      </c>
      <c r="D988" s="1">
        <f t="shared" si="193"/>
        <v>76</v>
      </c>
      <c r="E988" s="1">
        <f t="shared" si="194"/>
        <v>2.6018518518518521E-2</v>
      </c>
      <c r="F988" s="2">
        <f t="shared" si="195"/>
        <v>472.69559346591865</v>
      </c>
      <c r="G988" s="1">
        <v>2080</v>
      </c>
      <c r="H988" s="1">
        <v>3744</v>
      </c>
      <c r="I988" s="1">
        <v>0</v>
      </c>
      <c r="J988" s="1">
        <v>185</v>
      </c>
      <c r="K988" s="1">
        <f t="shared" si="192"/>
        <v>0</v>
      </c>
      <c r="L988" s="1">
        <f t="shared" si="196"/>
        <v>1.6143028846153844</v>
      </c>
      <c r="M988" s="1">
        <f t="shared" si="197"/>
        <v>1.6143028846153844</v>
      </c>
      <c r="N988" s="2">
        <f t="shared" si="203"/>
        <v>10.406968952423499</v>
      </c>
      <c r="O988" s="1">
        <v>866</v>
      </c>
      <c r="P988" s="1">
        <f t="shared" si="198"/>
        <v>1006</v>
      </c>
      <c r="Q988" s="1">
        <f t="shared" si="199"/>
        <v>4.0470488886518865</v>
      </c>
      <c r="R988" s="1">
        <f t="shared" si="200"/>
        <v>2.1748564006323705</v>
      </c>
      <c r="S988" s="2">
        <f t="shared" si="201"/>
        <v>11.803836733468408</v>
      </c>
      <c r="T988" s="2">
        <f t="shared" si="202"/>
        <v>0.20601581536687608</v>
      </c>
      <c r="U988" s="1" t="s">
        <v>2507</v>
      </c>
      <c r="V988" s="6" t="s">
        <v>2505</v>
      </c>
    </row>
    <row r="989" spans="1:22" ht="14.25" customHeight="1" x14ac:dyDescent="0.3">
      <c r="A989" s="1" t="s">
        <v>27</v>
      </c>
      <c r="B989" s="1" t="s">
        <v>1959</v>
      </c>
      <c r="C989" s="1" t="s">
        <v>1960</v>
      </c>
      <c r="D989" s="1">
        <f t="shared" si="193"/>
        <v>73</v>
      </c>
      <c r="E989" s="1">
        <f t="shared" si="194"/>
        <v>0.62877314814814811</v>
      </c>
      <c r="F989" s="2">
        <f t="shared" si="195"/>
        <v>457.63325657710328</v>
      </c>
      <c r="G989" s="1">
        <v>2080</v>
      </c>
      <c r="H989" s="1">
        <v>3744</v>
      </c>
      <c r="I989" s="1">
        <v>0</v>
      </c>
      <c r="J989" s="1">
        <v>255</v>
      </c>
      <c r="K989" s="1">
        <f t="shared" si="192"/>
        <v>0</v>
      </c>
      <c r="L989" s="1">
        <f t="shared" si="196"/>
        <v>2.2251201923076924</v>
      </c>
      <c r="M989" s="1">
        <f t="shared" si="197"/>
        <v>2.2251201923076924</v>
      </c>
      <c r="N989" s="2">
        <f t="shared" si="203"/>
        <v>7.5501539458758709</v>
      </c>
      <c r="O989" s="1">
        <v>865</v>
      </c>
      <c r="P989" s="1">
        <f t="shared" si="198"/>
        <v>1007</v>
      </c>
      <c r="Q989" s="1">
        <f t="shared" si="199"/>
        <v>2.9360942917670547</v>
      </c>
      <c r="R989" s="1">
        <f t="shared" si="200"/>
        <v>1.5794054229751195</v>
      </c>
      <c r="S989" s="2">
        <f t="shared" si="201"/>
        <v>11.815240504182249</v>
      </c>
      <c r="T989" s="2">
        <f t="shared" si="202"/>
        <v>0.2062148487129751</v>
      </c>
      <c r="U989" s="1" t="s">
        <v>2507</v>
      </c>
      <c r="V989" s="6" t="s">
        <v>2505</v>
      </c>
    </row>
    <row r="990" spans="1:22" ht="14.25" customHeight="1" x14ac:dyDescent="0.3">
      <c r="A990" s="1" t="s">
        <v>17</v>
      </c>
      <c r="B990" s="1" t="s">
        <v>1961</v>
      </c>
      <c r="C990" s="1" t="s">
        <v>1962</v>
      </c>
      <c r="D990" s="1">
        <f t="shared" si="193"/>
        <v>15</v>
      </c>
      <c r="E990" s="1">
        <f t="shared" si="194"/>
        <v>0.82374999999999998</v>
      </c>
      <c r="F990" s="2">
        <f t="shared" si="195"/>
        <v>94.433584451482986</v>
      </c>
      <c r="G990" s="1">
        <v>2080</v>
      </c>
      <c r="H990" s="1">
        <v>3744</v>
      </c>
      <c r="I990" s="1">
        <v>0</v>
      </c>
      <c r="J990" s="1">
        <v>285</v>
      </c>
      <c r="K990" s="1">
        <f t="shared" si="192"/>
        <v>0</v>
      </c>
      <c r="L990" s="1">
        <f t="shared" si="196"/>
        <v>2.4868990384615386</v>
      </c>
      <c r="M990" s="1">
        <f t="shared" si="197"/>
        <v>2.4868990384615386</v>
      </c>
      <c r="N990" s="2">
        <f t="shared" si="203"/>
        <v>6.755400898941569</v>
      </c>
      <c r="O990" s="1">
        <v>864</v>
      </c>
      <c r="P990" s="1">
        <f t="shared" si="198"/>
        <v>1008</v>
      </c>
      <c r="Q990" s="1">
        <f t="shared" si="199"/>
        <v>2.6270317347389436</v>
      </c>
      <c r="R990" s="1">
        <f t="shared" si="200"/>
        <v>1.4145555494748157</v>
      </c>
      <c r="S990" s="2">
        <f t="shared" si="201"/>
        <v>11.826643325372045</v>
      </c>
      <c r="T990" s="2">
        <f t="shared" si="202"/>
        <v>0.2064138654867532</v>
      </c>
      <c r="U990" s="1" t="s">
        <v>2507</v>
      </c>
      <c r="V990" s="6" t="s">
        <v>2505</v>
      </c>
    </row>
    <row r="991" spans="1:22" ht="14.25" customHeight="1" x14ac:dyDescent="0.3">
      <c r="A991" s="1" t="s">
        <v>40</v>
      </c>
      <c r="B991" s="1" t="s">
        <v>1963</v>
      </c>
      <c r="C991" s="1" t="s">
        <v>1964</v>
      </c>
      <c r="D991" s="1">
        <f t="shared" si="193"/>
        <v>92</v>
      </c>
      <c r="E991" s="1">
        <f t="shared" si="194"/>
        <v>4.6388888888888889E-2</v>
      </c>
      <c r="F991" s="2">
        <f t="shared" si="195"/>
        <v>573.35454919260496</v>
      </c>
      <c r="G991" s="1">
        <v>2080</v>
      </c>
      <c r="H991" s="1">
        <v>3744</v>
      </c>
      <c r="I991" s="1">
        <v>0</v>
      </c>
      <c r="J991" s="1">
        <v>343</v>
      </c>
      <c r="K991" s="1">
        <f t="shared" si="192"/>
        <v>0</v>
      </c>
      <c r="L991" s="1">
        <f t="shared" si="196"/>
        <v>2.9930048076923077</v>
      </c>
      <c r="M991" s="1">
        <f t="shared" si="197"/>
        <v>2.9930048076923077</v>
      </c>
      <c r="N991" s="2">
        <f t="shared" si="203"/>
        <v>5.6130882104908082</v>
      </c>
      <c r="O991" s="1">
        <v>861</v>
      </c>
      <c r="P991" s="1">
        <f t="shared" si="198"/>
        <v>1011</v>
      </c>
      <c r="Q991" s="1">
        <f t="shared" si="199"/>
        <v>2.1828106250746324</v>
      </c>
      <c r="R991" s="1">
        <f t="shared" si="200"/>
        <v>1.178857661298319</v>
      </c>
      <c r="S991" s="2">
        <f t="shared" si="201"/>
        <v>11.860846083953541</v>
      </c>
      <c r="T991" s="2">
        <f t="shared" si="202"/>
        <v>0.20701081623726508</v>
      </c>
      <c r="U991" s="1" t="s">
        <v>2507</v>
      </c>
      <c r="V991" s="6" t="s">
        <v>2505</v>
      </c>
    </row>
    <row r="992" spans="1:22" ht="14.25" customHeight="1" x14ac:dyDescent="0.3">
      <c r="A992" s="1" t="s">
        <v>27</v>
      </c>
      <c r="B992" s="1" t="s">
        <v>1965</v>
      </c>
      <c r="C992" s="1" t="s">
        <v>1966</v>
      </c>
      <c r="D992" s="1">
        <f t="shared" si="193"/>
        <v>34</v>
      </c>
      <c r="E992" s="1">
        <f t="shared" si="194"/>
        <v>0.16593749999999999</v>
      </c>
      <c r="F992" s="2">
        <f t="shared" si="195"/>
        <v>209.68094745301602</v>
      </c>
      <c r="G992" s="1">
        <v>2080</v>
      </c>
      <c r="H992" s="1">
        <v>3744</v>
      </c>
      <c r="I992" s="1">
        <v>0</v>
      </c>
      <c r="J992" s="1">
        <v>216</v>
      </c>
      <c r="K992" s="1">
        <f t="shared" si="192"/>
        <v>0</v>
      </c>
      <c r="L992" s="1">
        <f t="shared" si="196"/>
        <v>1.8848076923076922</v>
      </c>
      <c r="M992" s="1">
        <f t="shared" si="197"/>
        <v>1.8848076923076922</v>
      </c>
      <c r="N992" s="2">
        <f t="shared" si="203"/>
        <v>8.9133761861034593</v>
      </c>
      <c r="O992" s="1">
        <v>861</v>
      </c>
      <c r="P992" s="1">
        <f t="shared" si="198"/>
        <v>1011</v>
      </c>
      <c r="Q992" s="1">
        <f t="shared" si="199"/>
        <v>3.4662224277805507</v>
      </c>
      <c r="R992" s="1">
        <f t="shared" si="200"/>
        <v>1.8719823047468678</v>
      </c>
      <c r="S992" s="2">
        <f t="shared" si="201"/>
        <v>11.860846083953543</v>
      </c>
      <c r="T992" s="2">
        <f t="shared" si="202"/>
        <v>0.20701081623726511</v>
      </c>
      <c r="U992" s="1" t="s">
        <v>2507</v>
      </c>
      <c r="V992" s="6" t="s">
        <v>2505</v>
      </c>
    </row>
    <row r="993" spans="1:24" ht="14.25" customHeight="1" x14ac:dyDescent="0.3">
      <c r="A993" s="1" t="s">
        <v>27</v>
      </c>
      <c r="B993" s="1" t="s">
        <v>1967</v>
      </c>
      <c r="C993" s="1" t="s">
        <v>1968</v>
      </c>
      <c r="D993" s="1">
        <f t="shared" si="193"/>
        <v>34</v>
      </c>
      <c r="E993" s="1">
        <f t="shared" si="194"/>
        <v>0.77087962962962964</v>
      </c>
      <c r="F993" s="2">
        <f t="shared" si="195"/>
        <v>213.48191095359888</v>
      </c>
      <c r="G993" s="1">
        <v>2080</v>
      </c>
      <c r="H993" s="1">
        <v>3744</v>
      </c>
      <c r="I993" s="1">
        <v>0</v>
      </c>
      <c r="J993" s="1">
        <v>180</v>
      </c>
      <c r="K993" s="1">
        <f t="shared" si="192"/>
        <v>0</v>
      </c>
      <c r="L993" s="1">
        <f t="shared" si="196"/>
        <v>1.5706730769230768</v>
      </c>
      <c r="M993" s="1">
        <f t="shared" si="197"/>
        <v>1.5706730769230768</v>
      </c>
      <c r="N993" s="2">
        <f t="shared" si="203"/>
        <v>10.696051423324151</v>
      </c>
      <c r="O993" s="1">
        <v>860</v>
      </c>
      <c r="P993" s="1">
        <f t="shared" si="198"/>
        <v>1012</v>
      </c>
      <c r="Q993" s="1">
        <f t="shared" si="199"/>
        <v>4.1594669133366606</v>
      </c>
      <c r="R993" s="1">
        <f t="shared" si="200"/>
        <v>2.2486007031499469</v>
      </c>
      <c r="S993" s="2">
        <f t="shared" si="201"/>
        <v>11.872245099205697</v>
      </c>
      <c r="T993" s="2">
        <f t="shared" si="202"/>
        <v>0.20720976658490026</v>
      </c>
      <c r="U993" s="1" t="s">
        <v>2507</v>
      </c>
      <c r="V993" s="6" t="s">
        <v>2505</v>
      </c>
    </row>
    <row r="994" spans="1:24" ht="14.25" customHeight="1" x14ac:dyDescent="0.3">
      <c r="A994" s="1" t="s">
        <v>27</v>
      </c>
      <c r="B994" s="1" t="s">
        <v>1969</v>
      </c>
      <c r="C994" s="1" t="s">
        <v>1970</v>
      </c>
      <c r="D994" s="1">
        <f t="shared" si="193"/>
        <v>48</v>
      </c>
      <c r="E994" s="1">
        <f t="shared" si="194"/>
        <v>0.29386574074074073</v>
      </c>
      <c r="F994" s="2">
        <f t="shared" si="195"/>
        <v>298.44933859612581</v>
      </c>
      <c r="G994" s="1">
        <v>2080</v>
      </c>
      <c r="H994" s="1">
        <v>3744</v>
      </c>
      <c r="I994" s="1">
        <v>0</v>
      </c>
      <c r="J994" s="1">
        <v>119</v>
      </c>
      <c r="K994" s="1">
        <f t="shared" si="192"/>
        <v>0</v>
      </c>
      <c r="L994" s="1">
        <f t="shared" si="196"/>
        <v>1.0383894230769231</v>
      </c>
      <c r="M994" s="1">
        <f t="shared" si="197"/>
        <v>1.0383894230769231</v>
      </c>
      <c r="N994" s="2">
        <f t="shared" si="203"/>
        <v>16.178901312591154</v>
      </c>
      <c r="O994" s="1">
        <v>860</v>
      </c>
      <c r="P994" s="1">
        <f t="shared" si="198"/>
        <v>1012</v>
      </c>
      <c r="Q994" s="1">
        <f t="shared" si="199"/>
        <v>6.2916306252151175</v>
      </c>
      <c r="R994" s="1">
        <f t="shared" si="200"/>
        <v>3.4012447610671468</v>
      </c>
      <c r="S994" s="2">
        <f t="shared" si="201"/>
        <v>11.872245099205697</v>
      </c>
      <c r="T994" s="2">
        <f t="shared" si="202"/>
        <v>0.20720976658490026</v>
      </c>
      <c r="U994" s="1" t="s">
        <v>2507</v>
      </c>
      <c r="V994" s="6" t="s">
        <v>2505</v>
      </c>
    </row>
    <row r="995" spans="1:24" ht="14.25" customHeight="1" x14ac:dyDescent="0.3">
      <c r="A995" s="1" t="s">
        <v>40</v>
      </c>
      <c r="B995" s="1" t="s">
        <v>1971</v>
      </c>
      <c r="C995" s="1" t="s">
        <v>140</v>
      </c>
      <c r="D995" s="1">
        <f t="shared" si="193"/>
        <v>8</v>
      </c>
      <c r="E995" s="1">
        <f t="shared" si="194"/>
        <v>0.90760416666666666</v>
      </c>
      <c r="F995" s="2">
        <f t="shared" si="195"/>
        <v>50.978158569171661</v>
      </c>
      <c r="G995" s="1">
        <v>2080</v>
      </c>
      <c r="H995" s="1">
        <v>3744</v>
      </c>
      <c r="I995" s="1">
        <v>0</v>
      </c>
      <c r="J995" s="1">
        <v>270</v>
      </c>
      <c r="K995" s="1">
        <f t="shared" si="192"/>
        <v>0</v>
      </c>
      <c r="L995" s="1">
        <f t="shared" si="196"/>
        <v>2.3560096153846155</v>
      </c>
      <c r="M995" s="1">
        <f t="shared" si="197"/>
        <v>2.3560096153846155</v>
      </c>
      <c r="N995" s="2">
        <f t="shared" si="203"/>
        <v>7.1307009488827671</v>
      </c>
      <c r="O995" s="1">
        <v>859</v>
      </c>
      <c r="P995" s="1">
        <f t="shared" si="198"/>
        <v>1013</v>
      </c>
      <c r="Q995" s="1">
        <f t="shared" si="199"/>
        <v>2.7729779422244403</v>
      </c>
      <c r="R995" s="1">
        <f t="shared" si="200"/>
        <v>1.5005484270691014</v>
      </c>
      <c r="S995" s="2">
        <f t="shared" si="201"/>
        <v>11.883643161015232</v>
      </c>
      <c r="T995" s="2">
        <f t="shared" si="202"/>
        <v>0.20740870029182246</v>
      </c>
      <c r="U995" s="1" t="s">
        <v>2507</v>
      </c>
      <c r="V995" s="6" t="s">
        <v>2505</v>
      </c>
      <c r="W995" s="1"/>
      <c r="X995" s="1"/>
    </row>
    <row r="996" spans="1:24" ht="14.25" customHeight="1" x14ac:dyDescent="0.3">
      <c r="A996" s="1" t="s">
        <v>40</v>
      </c>
      <c r="B996" s="1" t="s">
        <v>1972</v>
      </c>
      <c r="C996" s="1" t="s">
        <v>1973</v>
      </c>
      <c r="D996" s="1">
        <f t="shared" si="193"/>
        <v>73</v>
      </c>
      <c r="E996" s="1">
        <f t="shared" si="194"/>
        <v>8.4780092592592601E-2</v>
      </c>
      <c r="F996" s="2">
        <f t="shared" si="195"/>
        <v>454.21524740322894</v>
      </c>
      <c r="G996" s="1">
        <v>2080</v>
      </c>
      <c r="H996" s="1">
        <v>3744</v>
      </c>
      <c r="I996" s="1">
        <v>0</v>
      </c>
      <c r="J996" s="1">
        <v>198</v>
      </c>
      <c r="K996" s="1">
        <f t="shared" si="192"/>
        <v>0</v>
      </c>
      <c r="L996" s="1">
        <f t="shared" si="196"/>
        <v>1.7277403846153845</v>
      </c>
      <c r="M996" s="1">
        <f t="shared" si="197"/>
        <v>1.7277403846153845</v>
      </c>
      <c r="N996" s="2">
        <f t="shared" si="203"/>
        <v>9.723683112112866</v>
      </c>
      <c r="O996" s="1">
        <v>857</v>
      </c>
      <c r="P996" s="1">
        <f t="shared" si="198"/>
        <v>1015</v>
      </c>
      <c r="Q996" s="1">
        <f t="shared" si="199"/>
        <v>3.7813335575787832</v>
      </c>
      <c r="R996" s="1">
        <f t="shared" si="200"/>
        <v>2.0502422868282397</v>
      </c>
      <c r="S996" s="2">
        <f t="shared" si="201"/>
        <v>11.906436421177222</v>
      </c>
      <c r="T996" s="2">
        <f t="shared" si="202"/>
        <v>0.20780651772891284</v>
      </c>
      <c r="U996" s="1" t="s">
        <v>2507</v>
      </c>
      <c r="V996" s="6" t="s">
        <v>2505</v>
      </c>
    </row>
    <row r="997" spans="1:24" ht="14.25" customHeight="1" x14ac:dyDescent="0.3">
      <c r="A997" s="1" t="s">
        <v>40</v>
      </c>
      <c r="B997" s="1" t="s">
        <v>1974</v>
      </c>
      <c r="C997" s="1" t="s">
        <v>1975</v>
      </c>
      <c r="D997" s="1">
        <f t="shared" si="193"/>
        <v>74</v>
      </c>
      <c r="E997" s="1">
        <f t="shared" si="194"/>
        <v>0.9490277777777778</v>
      </c>
      <c r="F997" s="2">
        <f t="shared" si="195"/>
        <v>465.928661067728</v>
      </c>
      <c r="G997" s="1">
        <v>2080</v>
      </c>
      <c r="H997" s="1">
        <v>3744</v>
      </c>
      <c r="I997" s="1">
        <v>0</v>
      </c>
      <c r="J997" s="1">
        <v>207</v>
      </c>
      <c r="K997" s="1">
        <f t="shared" si="192"/>
        <v>0</v>
      </c>
      <c r="L997" s="1">
        <f t="shared" si="196"/>
        <v>1.8062740384615383</v>
      </c>
      <c r="M997" s="1">
        <f t="shared" si="197"/>
        <v>1.8062740384615383</v>
      </c>
      <c r="N997" s="2">
        <f t="shared" ref="N997:N1028" si="204">42*0.4/M997</f>
        <v>9.3009142811514369</v>
      </c>
      <c r="O997" s="1">
        <v>857</v>
      </c>
      <c r="P997" s="1">
        <f t="shared" si="198"/>
        <v>1015</v>
      </c>
      <c r="Q997" s="1">
        <f t="shared" si="199"/>
        <v>3.6169277507275317</v>
      </c>
      <c r="R997" s="1">
        <f t="shared" si="200"/>
        <v>1.9611013178357075</v>
      </c>
      <c r="S997" s="2">
        <f t="shared" si="201"/>
        <v>11.906436421177222</v>
      </c>
      <c r="T997" s="2">
        <f t="shared" si="202"/>
        <v>0.20780651772891284</v>
      </c>
      <c r="U997" s="1" t="s">
        <v>2507</v>
      </c>
      <c r="V997" s="6" t="s">
        <v>2505</v>
      </c>
    </row>
    <row r="998" spans="1:24" ht="14.25" customHeight="1" x14ac:dyDescent="0.3">
      <c r="A998" s="1" t="s">
        <v>17</v>
      </c>
      <c r="B998" s="1" t="s">
        <v>1976</v>
      </c>
      <c r="C998" s="1" t="s">
        <v>1977</v>
      </c>
      <c r="D998" s="1">
        <f t="shared" si="193"/>
        <v>53</v>
      </c>
      <c r="E998" s="1">
        <f t="shared" si="194"/>
        <v>0.88401620370370371</v>
      </c>
      <c r="F998" s="2">
        <f t="shared" si="195"/>
        <v>333.57328984993785</v>
      </c>
      <c r="G998" s="1">
        <v>2080</v>
      </c>
      <c r="H998" s="1">
        <v>3744</v>
      </c>
      <c r="I998" s="1">
        <v>0</v>
      </c>
      <c r="J998" s="1">
        <v>309</v>
      </c>
      <c r="K998" s="1">
        <f t="shared" si="192"/>
        <v>0</v>
      </c>
      <c r="L998" s="1">
        <f t="shared" si="196"/>
        <v>2.6963221153846151</v>
      </c>
      <c r="M998" s="1">
        <f t="shared" si="197"/>
        <v>2.6963221153846151</v>
      </c>
      <c r="N998" s="2">
        <f t="shared" si="204"/>
        <v>6.2307095669849435</v>
      </c>
      <c r="O998" s="1">
        <v>854</v>
      </c>
      <c r="P998" s="1">
        <f t="shared" si="198"/>
        <v>1018</v>
      </c>
      <c r="Q998" s="1">
        <f t="shared" si="199"/>
        <v>2.4229904349533951</v>
      </c>
      <c r="R998" s="1">
        <f t="shared" si="200"/>
        <v>1.3176304822556388</v>
      </c>
      <c r="S998" s="2">
        <f t="shared" si="201"/>
        <v>11.940619141054231</v>
      </c>
      <c r="T998" s="2">
        <f t="shared" si="202"/>
        <v>0.20840311873805356</v>
      </c>
      <c r="U998" s="1" t="s">
        <v>2507</v>
      </c>
      <c r="V998" s="6" t="s">
        <v>2505</v>
      </c>
    </row>
    <row r="999" spans="1:24" ht="14.25" customHeight="1" x14ac:dyDescent="0.3">
      <c r="A999" s="1" t="s">
        <v>17</v>
      </c>
      <c r="B999" s="1" t="s">
        <v>1978</v>
      </c>
      <c r="C999" s="1" t="s">
        <v>1979</v>
      </c>
      <c r="D999" s="1">
        <f t="shared" si="193"/>
        <v>29</v>
      </c>
      <c r="E999" s="1">
        <f t="shared" si="194"/>
        <v>0.29768518518518522</v>
      </c>
      <c r="F999" s="2">
        <f t="shared" si="195"/>
        <v>179.09281603692858</v>
      </c>
      <c r="G999" s="1">
        <v>2080</v>
      </c>
      <c r="H999" s="1">
        <v>3744</v>
      </c>
      <c r="I999" s="1">
        <v>0</v>
      </c>
      <c r="J999" s="1">
        <v>841</v>
      </c>
      <c r="K999" s="1">
        <f t="shared" si="192"/>
        <v>0</v>
      </c>
      <c r="L999" s="1">
        <f t="shared" si="196"/>
        <v>7.3385336538461541</v>
      </c>
      <c r="M999" s="1">
        <f t="shared" si="197"/>
        <v>7.3385336538461541</v>
      </c>
      <c r="N999" s="2">
        <f t="shared" si="204"/>
        <v>2.2892856791894736</v>
      </c>
      <c r="O999" s="1">
        <v>853</v>
      </c>
      <c r="P999" s="1">
        <f t="shared" si="198"/>
        <v>1019</v>
      </c>
      <c r="Q999" s="1">
        <f t="shared" si="199"/>
        <v>0.89025451177241255</v>
      </c>
      <c r="R999" s="1">
        <f t="shared" si="200"/>
        <v>0.48459901041457709</v>
      </c>
      <c r="S999" s="2">
        <f t="shared" si="201"/>
        <v>11.952011465792474</v>
      </c>
      <c r="T999" s="2">
        <f t="shared" si="202"/>
        <v>0.20860195231419229</v>
      </c>
      <c r="U999" s="1" t="s">
        <v>2507</v>
      </c>
      <c r="V999" s="6" t="s">
        <v>2505</v>
      </c>
    </row>
    <row r="1000" spans="1:24" ht="14.25" customHeight="1" x14ac:dyDescent="0.3">
      <c r="A1000" s="1" t="s">
        <v>27</v>
      </c>
      <c r="B1000" s="1" t="s">
        <v>1980</v>
      </c>
      <c r="C1000" s="1" t="s">
        <v>1981</v>
      </c>
      <c r="D1000" s="1">
        <f t="shared" si="193"/>
        <v>89</v>
      </c>
      <c r="E1000" s="1">
        <f t="shared" si="194"/>
        <v>0.86815972222222226</v>
      </c>
      <c r="F1000" s="2">
        <f t="shared" si="195"/>
        <v>559.66833169693496</v>
      </c>
      <c r="G1000" s="1">
        <v>2080</v>
      </c>
      <c r="H1000" s="1">
        <v>3744</v>
      </c>
      <c r="I1000" s="1">
        <v>0</v>
      </c>
      <c r="J1000" s="1">
        <v>122</v>
      </c>
      <c r="K1000" s="1">
        <f t="shared" si="192"/>
        <v>0</v>
      </c>
      <c r="L1000" s="1">
        <f t="shared" si="196"/>
        <v>1.0645673076923075</v>
      </c>
      <c r="M1000" s="1">
        <f t="shared" si="197"/>
        <v>1.0645673076923075</v>
      </c>
      <c r="N1000" s="2">
        <f t="shared" si="204"/>
        <v>15.781059477035637</v>
      </c>
      <c r="O1000" s="1">
        <v>853</v>
      </c>
      <c r="P1000" s="1">
        <f t="shared" si="198"/>
        <v>1019</v>
      </c>
      <c r="Q1000" s="1">
        <f t="shared" si="199"/>
        <v>6.1369183967262222</v>
      </c>
      <c r="R1000" s="1">
        <f t="shared" si="200"/>
        <v>3.3405554734316345</v>
      </c>
      <c r="S1000" s="2">
        <f t="shared" si="201"/>
        <v>11.952011465792474</v>
      </c>
      <c r="T1000" s="2">
        <f t="shared" si="202"/>
        <v>0.20860195231419229</v>
      </c>
      <c r="U1000" s="1" t="s">
        <v>2507</v>
      </c>
      <c r="V1000" s="6" t="s">
        <v>2505</v>
      </c>
    </row>
    <row r="1001" spans="1:24" ht="14.25" customHeight="1" x14ac:dyDescent="0.3">
      <c r="A1001" s="1" t="s">
        <v>40</v>
      </c>
      <c r="B1001" s="1" t="s">
        <v>1982</v>
      </c>
      <c r="C1001" s="1" t="s">
        <v>1983</v>
      </c>
      <c r="D1001" s="1">
        <f t="shared" si="193"/>
        <v>78</v>
      </c>
      <c r="E1001" s="1">
        <f t="shared" si="194"/>
        <v>0.14310185185185184</v>
      </c>
      <c r="F1001" s="2">
        <f t="shared" si="195"/>
        <v>485.9976203599935</v>
      </c>
      <c r="G1001" s="1">
        <v>2080</v>
      </c>
      <c r="H1001" s="1">
        <v>3744</v>
      </c>
      <c r="I1001" s="1">
        <v>0</v>
      </c>
      <c r="J1001" s="1">
        <v>130</v>
      </c>
      <c r="K1001" s="1">
        <f t="shared" si="192"/>
        <v>0</v>
      </c>
      <c r="L1001" s="1">
        <f t="shared" si="196"/>
        <v>1.1343749999999999</v>
      </c>
      <c r="M1001" s="1">
        <f t="shared" si="197"/>
        <v>1.1343749999999999</v>
      </c>
      <c r="N1001" s="2">
        <f t="shared" si="204"/>
        <v>14.809917355371903</v>
      </c>
      <c r="O1001" s="1">
        <v>850</v>
      </c>
      <c r="P1001" s="1">
        <f t="shared" si="198"/>
        <v>1022</v>
      </c>
      <c r="Q1001" s="1">
        <f t="shared" si="199"/>
        <v>5.7592618800046083</v>
      </c>
      <c r="R1001" s="1">
        <f t="shared" si="200"/>
        <v>3.1442124152589259</v>
      </c>
      <c r="S1001" s="2">
        <f t="shared" si="201"/>
        <v>11.986182683427515</v>
      </c>
      <c r="T1001" s="2">
        <f t="shared" si="202"/>
        <v>0.20919835257133931</v>
      </c>
      <c r="U1001" s="1" t="s">
        <v>2507</v>
      </c>
      <c r="V1001" s="6" t="s">
        <v>2505</v>
      </c>
    </row>
    <row r="1002" spans="1:24" ht="14.25" customHeight="1" x14ac:dyDescent="0.3">
      <c r="A1002" s="1" t="s">
        <v>40</v>
      </c>
      <c r="B1002" s="1" t="s">
        <v>1984</v>
      </c>
      <c r="C1002" s="1" t="s">
        <v>1985</v>
      </c>
      <c r="D1002" s="1">
        <f t="shared" si="193"/>
        <v>92</v>
      </c>
      <c r="E1002" s="1">
        <f t="shared" si="194"/>
        <v>0.28670138888888891</v>
      </c>
      <c r="F1002" s="2">
        <f t="shared" si="195"/>
        <v>574.86447716173654</v>
      </c>
      <c r="G1002" s="1">
        <v>2080</v>
      </c>
      <c r="H1002" s="1">
        <v>3744</v>
      </c>
      <c r="I1002" s="1">
        <v>0</v>
      </c>
      <c r="J1002" s="1">
        <v>153</v>
      </c>
      <c r="K1002" s="1">
        <f t="shared" si="192"/>
        <v>0</v>
      </c>
      <c r="L1002" s="1">
        <f t="shared" si="196"/>
        <v>1.3350721153846152</v>
      </c>
      <c r="M1002" s="1">
        <f t="shared" si="197"/>
        <v>1.3350721153846152</v>
      </c>
      <c r="N1002" s="2">
        <f t="shared" si="204"/>
        <v>12.583589909793121</v>
      </c>
      <c r="O1002" s="1">
        <v>850</v>
      </c>
      <c r="P1002" s="1">
        <f t="shared" si="198"/>
        <v>1022</v>
      </c>
      <c r="Q1002" s="1">
        <f t="shared" si="199"/>
        <v>4.8934904862784254</v>
      </c>
      <c r="R1002" s="1">
        <f t="shared" si="200"/>
        <v>2.6715530325729437</v>
      </c>
      <c r="S1002" s="2">
        <f t="shared" si="201"/>
        <v>11.986182683427515</v>
      </c>
      <c r="T1002" s="2">
        <f t="shared" si="202"/>
        <v>0.20919835257133931</v>
      </c>
      <c r="U1002" s="1" t="s">
        <v>2507</v>
      </c>
      <c r="V1002" s="6" t="s">
        <v>2505</v>
      </c>
    </row>
    <row r="1003" spans="1:24" ht="14.25" customHeight="1" x14ac:dyDescent="0.3">
      <c r="A1003" s="1" t="s">
        <v>14</v>
      </c>
      <c r="B1003" s="1" t="s">
        <v>1986</v>
      </c>
      <c r="C1003" s="1" t="s">
        <v>1987</v>
      </c>
      <c r="D1003" s="1">
        <f t="shared" si="193"/>
        <v>59</v>
      </c>
      <c r="E1003" s="1">
        <f t="shared" si="194"/>
        <v>0.98061342592592593</v>
      </c>
      <c r="F1003" s="2">
        <f t="shared" si="195"/>
        <v>371.87933994039639</v>
      </c>
      <c r="G1003" s="1">
        <v>2080</v>
      </c>
      <c r="H1003" s="1">
        <v>3744</v>
      </c>
      <c r="I1003" s="1">
        <v>0</v>
      </c>
      <c r="J1003" s="1">
        <v>214</v>
      </c>
      <c r="K1003" s="1">
        <f t="shared" si="192"/>
        <v>0</v>
      </c>
      <c r="L1003" s="1">
        <f t="shared" si="196"/>
        <v>1.8673557692307692</v>
      </c>
      <c r="M1003" s="1">
        <f t="shared" si="197"/>
        <v>1.8673557692307692</v>
      </c>
      <c r="N1003" s="2">
        <f t="shared" si="204"/>
        <v>8.9966787672819972</v>
      </c>
      <c r="O1003" s="1">
        <v>849</v>
      </c>
      <c r="P1003" s="1">
        <f t="shared" si="198"/>
        <v>1023</v>
      </c>
      <c r="Q1003" s="1">
        <f t="shared" si="199"/>
        <v>3.4986170299093415</v>
      </c>
      <c r="R1003" s="1">
        <f t="shared" si="200"/>
        <v>1.9119044987164828</v>
      </c>
      <c r="S1003" s="2">
        <f t="shared" si="201"/>
        <v>11.997571167849475</v>
      </c>
      <c r="T1003" s="2">
        <f t="shared" si="202"/>
        <v>0.20939711912131459</v>
      </c>
      <c r="U1003" s="1" t="s">
        <v>2507</v>
      </c>
      <c r="V1003" s="6" t="s">
        <v>2505</v>
      </c>
    </row>
    <row r="1004" spans="1:24" ht="14.25" customHeight="1" x14ac:dyDescent="0.3">
      <c r="A1004" s="1" t="s">
        <v>40</v>
      </c>
      <c r="B1004" s="1" t="s">
        <v>1988</v>
      </c>
      <c r="C1004" s="1" t="s">
        <v>1989</v>
      </c>
      <c r="D1004" s="1">
        <f t="shared" si="193"/>
        <v>78</v>
      </c>
      <c r="E1004" s="1">
        <f t="shared" si="194"/>
        <v>0.31634259259259262</v>
      </c>
      <c r="F1004" s="2">
        <f t="shared" si="195"/>
        <v>487.08612403682059</v>
      </c>
      <c r="G1004" s="1">
        <v>2080</v>
      </c>
      <c r="H1004" s="1">
        <v>3744</v>
      </c>
      <c r="I1004" s="1">
        <v>0</v>
      </c>
      <c r="J1004" s="1">
        <v>80</v>
      </c>
      <c r="K1004" s="1">
        <f t="shared" si="192"/>
        <v>0</v>
      </c>
      <c r="L1004" s="1">
        <f t="shared" si="196"/>
        <v>0.69807692307692304</v>
      </c>
      <c r="M1004" s="1">
        <f t="shared" si="197"/>
        <v>0.69807692307692304</v>
      </c>
      <c r="N1004" s="2">
        <f t="shared" si="204"/>
        <v>24.06611570247934</v>
      </c>
      <c r="O1004" s="1">
        <v>847</v>
      </c>
      <c r="P1004" s="1">
        <f t="shared" si="198"/>
        <v>1025</v>
      </c>
      <c r="Q1004" s="1">
        <f t="shared" si="199"/>
        <v>9.3588005550074875</v>
      </c>
      <c r="R1004" s="1">
        <f t="shared" si="200"/>
        <v>5.1243432526082673</v>
      </c>
      <c r="S1004" s="2">
        <f t="shared" si="201"/>
        <v>12.020345249839721</v>
      </c>
      <c r="T1004" s="2">
        <f t="shared" si="202"/>
        <v>0.20979460183616352</v>
      </c>
      <c r="U1004" s="1" t="s">
        <v>2507</v>
      </c>
      <c r="V1004" s="6" t="s">
        <v>2505</v>
      </c>
    </row>
    <row r="1005" spans="1:24" ht="14.25" customHeight="1" x14ac:dyDescent="0.3">
      <c r="A1005" s="1" t="s">
        <v>27</v>
      </c>
      <c r="B1005" s="1" t="s">
        <v>1990</v>
      </c>
      <c r="C1005" s="1" t="s">
        <v>1991</v>
      </c>
      <c r="D1005" s="1">
        <f t="shared" si="193"/>
        <v>56</v>
      </c>
      <c r="E1005" s="1">
        <f t="shared" si="194"/>
        <v>0.32195601851851852</v>
      </c>
      <c r="F1005" s="2">
        <f t="shared" si="195"/>
        <v>348.89131747417048</v>
      </c>
      <c r="G1005" s="1">
        <v>2080</v>
      </c>
      <c r="H1005" s="1">
        <v>3744</v>
      </c>
      <c r="I1005" s="1">
        <v>0</v>
      </c>
      <c r="J1005" s="1">
        <v>202</v>
      </c>
      <c r="K1005" s="1">
        <f t="shared" si="192"/>
        <v>0</v>
      </c>
      <c r="L1005" s="1">
        <f t="shared" si="196"/>
        <v>1.7626442307692307</v>
      </c>
      <c r="M1005" s="1">
        <f t="shared" si="197"/>
        <v>1.7626442307692307</v>
      </c>
      <c r="N1005" s="2">
        <f t="shared" si="204"/>
        <v>9.5311349316749858</v>
      </c>
      <c r="O1005" s="1">
        <v>846</v>
      </c>
      <c r="P1005" s="1">
        <f t="shared" si="198"/>
        <v>1026</v>
      </c>
      <c r="Q1005" s="1">
        <f t="shared" si="199"/>
        <v>3.7064556653494996</v>
      </c>
      <c r="R1005" s="1">
        <f t="shared" si="200"/>
        <v>2.0314228165857835</v>
      </c>
      <c r="S1005" s="2">
        <f t="shared" si="201"/>
        <v>12.031730845853156</v>
      </c>
      <c r="T1005" s="2">
        <f t="shared" si="202"/>
        <v>0.20999331797389992</v>
      </c>
      <c r="U1005" s="1" t="s">
        <v>2507</v>
      </c>
      <c r="V1005" s="6" t="s">
        <v>2505</v>
      </c>
    </row>
    <row r="1006" spans="1:24" ht="14.25" customHeight="1" x14ac:dyDescent="0.3">
      <c r="A1006" s="1" t="s">
        <v>40</v>
      </c>
      <c r="B1006" s="1" t="s">
        <v>1992</v>
      </c>
      <c r="C1006" s="1" t="s">
        <v>1993</v>
      </c>
      <c r="D1006" s="1">
        <f t="shared" si="193"/>
        <v>34</v>
      </c>
      <c r="E1006" s="1">
        <f t="shared" si="194"/>
        <v>0.27975694444444443</v>
      </c>
      <c r="F1006" s="2">
        <f t="shared" si="195"/>
        <v>210.39609611402071</v>
      </c>
      <c r="G1006" s="1">
        <v>2080</v>
      </c>
      <c r="H1006" s="1">
        <v>3744</v>
      </c>
      <c r="I1006" s="1">
        <v>0</v>
      </c>
      <c r="J1006" s="1">
        <v>97</v>
      </c>
      <c r="K1006" s="1">
        <f t="shared" ref="K1006:K1069" si="205">(32.67*I1006)/H1006</f>
        <v>0</v>
      </c>
      <c r="L1006" s="1">
        <f t="shared" si="196"/>
        <v>0.84641826923076924</v>
      </c>
      <c r="M1006" s="1">
        <f t="shared" si="197"/>
        <v>0.84641826923076924</v>
      </c>
      <c r="N1006" s="2">
        <f t="shared" si="204"/>
        <v>19.84834284740564</v>
      </c>
      <c r="O1006" s="1">
        <v>845</v>
      </c>
      <c r="P1006" s="1">
        <f t="shared" si="198"/>
        <v>1027</v>
      </c>
      <c r="Q1006" s="1">
        <f t="shared" si="199"/>
        <v>7.7185983958824629</v>
      </c>
      <c r="R1006" s="1">
        <f t="shared" si="200"/>
        <v>4.2345088421855186</v>
      </c>
      <c r="S1006" s="2">
        <f t="shared" si="201"/>
        <v>12.043115477509632</v>
      </c>
      <c r="T1006" s="2">
        <f t="shared" si="202"/>
        <v>0.21019201728043219</v>
      </c>
      <c r="U1006" s="1" t="s">
        <v>2507</v>
      </c>
      <c r="V1006" s="6" t="s">
        <v>2505</v>
      </c>
      <c r="W1006" s="1"/>
      <c r="X1006" s="1"/>
    </row>
    <row r="1007" spans="1:24" ht="14.25" customHeight="1" x14ac:dyDescent="0.3">
      <c r="A1007" s="1" t="s">
        <v>82</v>
      </c>
      <c r="B1007" s="1" t="s">
        <v>1994</v>
      </c>
      <c r="C1007" s="1" t="s">
        <v>1995</v>
      </c>
      <c r="D1007" s="1">
        <f t="shared" si="193"/>
        <v>55</v>
      </c>
      <c r="E1007" s="1">
        <f t="shared" si="194"/>
        <v>0.19872685185185182</v>
      </c>
      <c r="F1007" s="2">
        <f t="shared" si="195"/>
        <v>341.83386047757489</v>
      </c>
      <c r="G1007" s="1">
        <v>2080</v>
      </c>
      <c r="H1007" s="1">
        <v>3744</v>
      </c>
      <c r="I1007" s="1">
        <v>0</v>
      </c>
      <c r="J1007" s="1">
        <v>245</v>
      </c>
      <c r="K1007" s="1">
        <f t="shared" si="205"/>
        <v>0</v>
      </c>
      <c r="L1007" s="1">
        <f t="shared" si="196"/>
        <v>2.1378605769230767</v>
      </c>
      <c r="M1007" s="1">
        <f t="shared" si="197"/>
        <v>2.1378605769230767</v>
      </c>
      <c r="N1007" s="2">
        <f t="shared" si="204"/>
        <v>7.8583234946871316</v>
      </c>
      <c r="O1007" s="1">
        <v>844</v>
      </c>
      <c r="P1007" s="1">
        <f t="shared" si="198"/>
        <v>1028</v>
      </c>
      <c r="Q1007" s="1">
        <f t="shared" si="199"/>
        <v>3.0559348751044855</v>
      </c>
      <c r="R1007" s="1">
        <f t="shared" si="200"/>
        <v>1.6781522711578052</v>
      </c>
      <c r="S1007" s="2">
        <f t="shared" si="201"/>
        <v>12.054499144032812</v>
      </c>
      <c r="T1007" s="2">
        <f t="shared" si="202"/>
        <v>0.21039069974221075</v>
      </c>
      <c r="U1007" s="1" t="s">
        <v>2507</v>
      </c>
      <c r="V1007" s="6" t="s">
        <v>2505</v>
      </c>
    </row>
    <row r="1008" spans="1:24" ht="14.25" customHeight="1" x14ac:dyDescent="0.3">
      <c r="A1008" s="1" t="s">
        <v>40</v>
      </c>
      <c r="B1008" s="1" t="s">
        <v>1996</v>
      </c>
      <c r="C1008" s="1" t="s">
        <v>1997</v>
      </c>
      <c r="D1008" s="1">
        <f t="shared" si="193"/>
        <v>74</v>
      </c>
      <c r="E1008" s="1">
        <f t="shared" si="194"/>
        <v>0.94901620370370365</v>
      </c>
      <c r="F1008" s="2">
        <f t="shared" si="195"/>
        <v>465.92858834567591</v>
      </c>
      <c r="G1008" s="1">
        <v>2080</v>
      </c>
      <c r="H1008" s="1">
        <v>3744</v>
      </c>
      <c r="I1008" s="1">
        <v>0</v>
      </c>
      <c r="J1008" s="1">
        <v>226</v>
      </c>
      <c r="K1008" s="1">
        <f t="shared" si="205"/>
        <v>0</v>
      </c>
      <c r="L1008" s="1">
        <f t="shared" si="196"/>
        <v>1.9720673076923074</v>
      </c>
      <c r="M1008" s="1">
        <f t="shared" si="197"/>
        <v>1.9720673076923074</v>
      </c>
      <c r="N1008" s="2">
        <f t="shared" si="204"/>
        <v>8.5189790097272002</v>
      </c>
      <c r="O1008" s="1">
        <v>844</v>
      </c>
      <c r="P1008" s="1">
        <f t="shared" si="198"/>
        <v>1028</v>
      </c>
      <c r="Q1008" s="1">
        <f t="shared" si="199"/>
        <v>3.3128497539849513</v>
      </c>
      <c r="R1008" s="1">
        <f t="shared" si="200"/>
        <v>1.8192358691754968</v>
      </c>
      <c r="S1008" s="2">
        <f t="shared" si="201"/>
        <v>12.054499144032814</v>
      </c>
      <c r="T1008" s="2">
        <f t="shared" si="202"/>
        <v>0.21039069974221078</v>
      </c>
      <c r="U1008" s="1" t="s">
        <v>2507</v>
      </c>
      <c r="V1008" s="6" t="s">
        <v>2505</v>
      </c>
    </row>
    <row r="1009" spans="1:24" ht="14.25" customHeight="1" x14ac:dyDescent="0.3">
      <c r="A1009" s="1" t="s">
        <v>17</v>
      </c>
      <c r="B1009" s="1" t="s">
        <v>1998</v>
      </c>
      <c r="C1009" s="1" t="s">
        <v>1999</v>
      </c>
      <c r="D1009" s="1">
        <f t="shared" si="193"/>
        <v>76</v>
      </c>
      <c r="E1009" s="1">
        <f t="shared" si="194"/>
        <v>0.17343749999999999</v>
      </c>
      <c r="F1009" s="2">
        <f t="shared" si="195"/>
        <v>473.62185424436257</v>
      </c>
      <c r="G1009" s="1">
        <v>2080</v>
      </c>
      <c r="H1009" s="1">
        <v>3744</v>
      </c>
      <c r="I1009" s="1">
        <v>0</v>
      </c>
      <c r="J1009" s="1">
        <v>186</v>
      </c>
      <c r="K1009" s="1">
        <f t="shared" si="205"/>
        <v>0</v>
      </c>
      <c r="L1009" s="1">
        <f t="shared" si="196"/>
        <v>1.623028846153846</v>
      </c>
      <c r="M1009" s="1">
        <f t="shared" si="197"/>
        <v>1.623028846153846</v>
      </c>
      <c r="N1009" s="2">
        <f t="shared" si="204"/>
        <v>10.351017506442728</v>
      </c>
      <c r="O1009" s="1">
        <v>841</v>
      </c>
      <c r="P1009" s="1">
        <f t="shared" si="198"/>
        <v>1031</v>
      </c>
      <c r="Q1009" s="1">
        <f t="shared" si="199"/>
        <v>4.0252905612935432</v>
      </c>
      <c r="R1009" s="1">
        <f t="shared" si="200"/>
        <v>2.2169201755842112</v>
      </c>
      <c r="S1009" s="2">
        <f t="shared" si="201"/>
        <v>12.088644345045822</v>
      </c>
      <c r="T1009" s="2">
        <f t="shared" si="202"/>
        <v>0.21098664592364305</v>
      </c>
      <c r="U1009" s="1" t="s">
        <v>2507</v>
      </c>
      <c r="V1009" s="6" t="s">
        <v>2505</v>
      </c>
    </row>
    <row r="1010" spans="1:24" ht="14.25" customHeight="1" x14ac:dyDescent="0.3">
      <c r="A1010" s="1" t="s">
        <v>40</v>
      </c>
      <c r="B1010" s="1" t="s">
        <v>2000</v>
      </c>
      <c r="C1010" s="1" t="s">
        <v>2001</v>
      </c>
      <c r="D1010" s="1">
        <f t="shared" si="193"/>
        <v>78</v>
      </c>
      <c r="E1010" s="1">
        <f t="shared" si="194"/>
        <v>0.31631944444444443</v>
      </c>
      <c r="F1010" s="2">
        <f t="shared" si="195"/>
        <v>487.08597859271629</v>
      </c>
      <c r="G1010" s="1">
        <v>2080</v>
      </c>
      <c r="H1010" s="1">
        <v>3744</v>
      </c>
      <c r="I1010" s="1">
        <v>0</v>
      </c>
      <c r="J1010" s="1">
        <v>104</v>
      </c>
      <c r="K1010" s="1">
        <f t="shared" si="205"/>
        <v>0</v>
      </c>
      <c r="L1010" s="1">
        <f t="shared" si="196"/>
        <v>0.90749999999999997</v>
      </c>
      <c r="M1010" s="1">
        <f t="shared" si="197"/>
        <v>0.90749999999999997</v>
      </c>
      <c r="N1010" s="2">
        <f t="shared" si="204"/>
        <v>18.512396694214878</v>
      </c>
      <c r="O1010" s="1">
        <v>841</v>
      </c>
      <c r="P1010" s="1">
        <f t="shared" si="198"/>
        <v>1031</v>
      </c>
      <c r="Q1010" s="1">
        <f t="shared" si="199"/>
        <v>7.1990773500057594</v>
      </c>
      <c r="R1010" s="1">
        <f t="shared" si="200"/>
        <v>3.9648764678717621</v>
      </c>
      <c r="S1010" s="2">
        <f t="shared" si="201"/>
        <v>12.088644345045822</v>
      </c>
      <c r="T1010" s="2">
        <f t="shared" si="202"/>
        <v>0.21098664592364305</v>
      </c>
      <c r="U1010" s="1" t="s">
        <v>2507</v>
      </c>
      <c r="V1010" s="6" t="s">
        <v>2505</v>
      </c>
    </row>
    <row r="1011" spans="1:24" ht="14.25" customHeight="1" x14ac:dyDescent="0.3">
      <c r="A1011" s="1" t="s">
        <v>17</v>
      </c>
      <c r="B1011" s="1" t="s">
        <v>2002</v>
      </c>
      <c r="C1011" s="1" t="s">
        <v>2003</v>
      </c>
      <c r="D1011" s="1">
        <f t="shared" si="193"/>
        <v>10</v>
      </c>
      <c r="E1011" s="1">
        <f t="shared" si="194"/>
        <v>0.24968749999999998</v>
      </c>
      <c r="F1011" s="2">
        <f t="shared" si="195"/>
        <v>59.410716850182261</v>
      </c>
      <c r="G1011" s="1">
        <v>2080</v>
      </c>
      <c r="H1011" s="1">
        <v>3744</v>
      </c>
      <c r="I1011" s="1">
        <v>0</v>
      </c>
      <c r="J1011" s="1">
        <v>265</v>
      </c>
      <c r="K1011" s="1">
        <f t="shared" si="205"/>
        <v>0</v>
      </c>
      <c r="L1011" s="1">
        <f t="shared" si="196"/>
        <v>2.3123798076923077</v>
      </c>
      <c r="M1011" s="1">
        <f t="shared" si="197"/>
        <v>2.3123798076923077</v>
      </c>
      <c r="N1011" s="2">
        <f t="shared" si="204"/>
        <v>7.2652424762201777</v>
      </c>
      <c r="O1011" s="1">
        <v>839</v>
      </c>
      <c r="P1011" s="1">
        <f t="shared" si="198"/>
        <v>1033</v>
      </c>
      <c r="Q1011" s="1">
        <f t="shared" si="199"/>
        <v>2.8252982807569769</v>
      </c>
      <c r="R1011" s="1">
        <f t="shared" si="200"/>
        <v>1.5590454722339515</v>
      </c>
      <c r="S1011" s="2">
        <f t="shared" si="201"/>
        <v>12.111402972508248</v>
      </c>
      <c r="T1011" s="2">
        <f t="shared" si="202"/>
        <v>0.21138385890609721</v>
      </c>
      <c r="U1011" s="1" t="s">
        <v>2507</v>
      </c>
      <c r="V1011" s="6" t="s">
        <v>2505</v>
      </c>
    </row>
    <row r="1012" spans="1:24" ht="14.25" customHeight="1" x14ac:dyDescent="0.3">
      <c r="A1012" s="1" t="s">
        <v>247</v>
      </c>
      <c r="B1012" s="1" t="s">
        <v>2004</v>
      </c>
      <c r="C1012" s="1" t="s">
        <v>2005</v>
      </c>
      <c r="D1012" s="1">
        <f t="shared" si="193"/>
        <v>23</v>
      </c>
      <c r="E1012" s="1">
        <f t="shared" si="194"/>
        <v>0.72064814814814815</v>
      </c>
      <c r="F1012" s="2">
        <f t="shared" si="195"/>
        <v>144.05125886822108</v>
      </c>
      <c r="G1012" s="1">
        <v>2080</v>
      </c>
      <c r="H1012" s="1">
        <v>3744</v>
      </c>
      <c r="I1012" s="1">
        <v>0</v>
      </c>
      <c r="J1012" s="1">
        <v>250</v>
      </c>
      <c r="K1012" s="1">
        <f t="shared" si="205"/>
        <v>0</v>
      </c>
      <c r="L1012" s="1">
        <f t="shared" si="196"/>
        <v>2.1814903846153846</v>
      </c>
      <c r="M1012" s="1">
        <f t="shared" si="197"/>
        <v>2.1814903846153846</v>
      </c>
      <c r="N1012" s="2">
        <f>42*0.14/M1012</f>
        <v>2.6954049586776865</v>
      </c>
      <c r="O1012" s="1">
        <v>835</v>
      </c>
      <c r="P1012" s="1">
        <f t="shared" si="198"/>
        <v>1037</v>
      </c>
      <c r="Q1012" s="1">
        <f t="shared" si="199"/>
        <v>1.0481856621608387</v>
      </c>
      <c r="R1012" s="1">
        <f t="shared" si="200"/>
        <v>0.58064558315213133</v>
      </c>
      <c r="S1012" s="2">
        <f t="shared" si="201"/>
        <v>12.15690858386461</v>
      </c>
      <c r="T1012" s="2">
        <f t="shared" si="202"/>
        <v>0.21217808165239863</v>
      </c>
      <c r="U1012" s="1" t="s">
        <v>2507</v>
      </c>
      <c r="V1012" s="6" t="s">
        <v>2505</v>
      </c>
    </row>
    <row r="1013" spans="1:24" ht="14.25" customHeight="1" x14ac:dyDescent="0.3">
      <c r="A1013" s="1" t="s">
        <v>40</v>
      </c>
      <c r="B1013" s="1" t="s">
        <v>2006</v>
      </c>
      <c r="C1013" s="1" t="s">
        <v>2007</v>
      </c>
      <c r="D1013" s="1">
        <f t="shared" si="193"/>
        <v>78</v>
      </c>
      <c r="E1013" s="1">
        <f t="shared" si="194"/>
        <v>0.31633101851851853</v>
      </c>
      <c r="F1013" s="2">
        <f t="shared" si="195"/>
        <v>487.0860513147685</v>
      </c>
      <c r="G1013" s="1">
        <v>2080</v>
      </c>
      <c r="H1013" s="1">
        <v>3744</v>
      </c>
      <c r="I1013" s="1">
        <v>0</v>
      </c>
      <c r="J1013" s="1">
        <v>99</v>
      </c>
      <c r="K1013" s="1">
        <f t="shared" si="205"/>
        <v>0</v>
      </c>
      <c r="L1013" s="1">
        <f t="shared" si="196"/>
        <v>0.86387019230769224</v>
      </c>
      <c r="M1013" s="1">
        <f t="shared" si="197"/>
        <v>0.86387019230769224</v>
      </c>
      <c r="N1013" s="2">
        <f t="shared" ref="N1013:N1044" si="206">42*0.4/M1013</f>
        <v>19.447366224225732</v>
      </c>
      <c r="O1013" s="1">
        <v>835</v>
      </c>
      <c r="P1013" s="1">
        <f t="shared" si="198"/>
        <v>1037</v>
      </c>
      <c r="Q1013" s="1">
        <f t="shared" si="199"/>
        <v>7.5626671151575664</v>
      </c>
      <c r="R1013" s="1">
        <f t="shared" si="200"/>
        <v>4.1893620718046991</v>
      </c>
      <c r="S1013" s="2">
        <f t="shared" si="201"/>
        <v>12.15690858386461</v>
      </c>
      <c r="T1013" s="2">
        <f t="shared" si="202"/>
        <v>0.21217808165239863</v>
      </c>
      <c r="U1013" s="1" t="s">
        <v>2507</v>
      </c>
      <c r="V1013" s="6" t="s">
        <v>2505</v>
      </c>
    </row>
    <row r="1014" spans="1:24" ht="14.25" customHeight="1" x14ac:dyDescent="0.3">
      <c r="A1014" s="1" t="s">
        <v>40</v>
      </c>
      <c r="B1014" s="1" t="s">
        <v>2008</v>
      </c>
      <c r="C1014" s="1" t="s">
        <v>2009</v>
      </c>
      <c r="D1014" s="1">
        <f t="shared" si="193"/>
        <v>59</v>
      </c>
      <c r="E1014" s="1">
        <f t="shared" si="194"/>
        <v>0.21969907407407407</v>
      </c>
      <c r="F1014" s="2">
        <f t="shared" si="195"/>
        <v>367.09837406481876</v>
      </c>
      <c r="G1014" s="1">
        <v>2080</v>
      </c>
      <c r="H1014" s="1">
        <v>3744</v>
      </c>
      <c r="I1014" s="1">
        <v>0</v>
      </c>
      <c r="J1014" s="1">
        <v>120</v>
      </c>
      <c r="K1014" s="1">
        <f t="shared" si="205"/>
        <v>0</v>
      </c>
      <c r="L1014" s="1">
        <f t="shared" si="196"/>
        <v>1.0471153846153847</v>
      </c>
      <c r="M1014" s="1">
        <f t="shared" si="197"/>
        <v>1.0471153846153847</v>
      </c>
      <c r="N1014" s="2">
        <f t="shared" si="206"/>
        <v>16.044077134986225</v>
      </c>
      <c r="O1014" s="1">
        <v>833</v>
      </c>
      <c r="P1014" s="1">
        <f t="shared" si="198"/>
        <v>1039</v>
      </c>
      <c r="Q1014" s="1">
        <f t="shared" si="199"/>
        <v>6.2392003700049905</v>
      </c>
      <c r="R1014" s="1">
        <f t="shared" si="200"/>
        <v>3.4628895215999922</v>
      </c>
      <c r="S1014" s="2">
        <f t="shared" si="201"/>
        <v>12.179655555396694</v>
      </c>
      <c r="T1014" s="2">
        <f t="shared" si="202"/>
        <v>0.21257509120049092</v>
      </c>
      <c r="U1014" s="1" t="s">
        <v>2507</v>
      </c>
      <c r="V1014" s="6" t="s">
        <v>2505</v>
      </c>
    </row>
    <row r="1015" spans="1:24" ht="14.25" customHeight="1" x14ac:dyDescent="0.3">
      <c r="A1015" s="1" t="s">
        <v>27</v>
      </c>
      <c r="B1015" s="1" t="s">
        <v>2010</v>
      </c>
      <c r="C1015" s="1" t="s">
        <v>2011</v>
      </c>
      <c r="D1015" s="1">
        <f t="shared" si="193"/>
        <v>56</v>
      </c>
      <c r="E1015" s="1">
        <f t="shared" si="194"/>
        <v>0.72787037037037028</v>
      </c>
      <c r="F1015" s="2">
        <f t="shared" si="195"/>
        <v>351.44175256569929</v>
      </c>
      <c r="G1015" s="1">
        <v>2080</v>
      </c>
      <c r="H1015" s="1">
        <v>3744</v>
      </c>
      <c r="I1015" s="1">
        <v>0</v>
      </c>
      <c r="J1015" s="1">
        <v>213</v>
      </c>
      <c r="K1015" s="1">
        <f t="shared" si="205"/>
        <v>0</v>
      </c>
      <c r="L1015" s="1">
        <f t="shared" si="196"/>
        <v>1.8586298076923076</v>
      </c>
      <c r="M1015" s="1">
        <f t="shared" si="197"/>
        <v>1.8586298076923076</v>
      </c>
      <c r="N1015" s="2">
        <f t="shared" si="206"/>
        <v>9.0389166957668881</v>
      </c>
      <c r="O1015" s="1">
        <v>831</v>
      </c>
      <c r="P1015" s="1">
        <f t="shared" si="198"/>
        <v>1041</v>
      </c>
      <c r="Q1015" s="1">
        <f t="shared" si="199"/>
        <v>3.5150424619746428</v>
      </c>
      <c r="R1015" s="1">
        <f t="shared" si="200"/>
        <v>1.9546790613865401</v>
      </c>
      <c r="S1015" s="2">
        <f t="shared" si="201"/>
        <v>12.202398629268517</v>
      </c>
      <c r="T1015" s="2">
        <f t="shared" si="202"/>
        <v>0.21297203272157852</v>
      </c>
      <c r="U1015" s="1" t="s">
        <v>2507</v>
      </c>
      <c r="V1015" s="6" t="s">
        <v>2505</v>
      </c>
      <c r="W1015" s="1"/>
      <c r="X1015" s="1"/>
    </row>
    <row r="1016" spans="1:24" ht="14.25" customHeight="1" x14ac:dyDescent="0.3">
      <c r="A1016" s="1" t="s">
        <v>40</v>
      </c>
      <c r="B1016" s="1" t="s">
        <v>2012</v>
      </c>
      <c r="C1016" s="1" t="s">
        <v>2013</v>
      </c>
      <c r="D1016" s="1">
        <f t="shared" si="193"/>
        <v>93</v>
      </c>
      <c r="E1016" s="1">
        <f t="shared" si="194"/>
        <v>0.95597222222222233</v>
      </c>
      <c r="F1016" s="2">
        <f t="shared" si="195"/>
        <v>585.3528151354401</v>
      </c>
      <c r="G1016" s="1">
        <v>2080</v>
      </c>
      <c r="H1016" s="1">
        <v>3744</v>
      </c>
      <c r="I1016" s="1">
        <v>0</v>
      </c>
      <c r="J1016" s="1">
        <v>125</v>
      </c>
      <c r="K1016" s="1">
        <f t="shared" si="205"/>
        <v>0</v>
      </c>
      <c r="L1016" s="1">
        <f t="shared" si="196"/>
        <v>1.0907451923076923</v>
      </c>
      <c r="M1016" s="1">
        <f t="shared" si="197"/>
        <v>1.0907451923076923</v>
      </c>
      <c r="N1016" s="2">
        <f t="shared" si="206"/>
        <v>15.402314049586778</v>
      </c>
      <c r="O1016" s="1">
        <v>831</v>
      </c>
      <c r="P1016" s="1">
        <f t="shared" si="198"/>
        <v>1041</v>
      </c>
      <c r="Q1016" s="1">
        <f t="shared" si="199"/>
        <v>5.9896323552047921</v>
      </c>
      <c r="R1016" s="1">
        <f t="shared" si="200"/>
        <v>3.3307731206026649</v>
      </c>
      <c r="S1016" s="2">
        <f t="shared" si="201"/>
        <v>12.202398629268519</v>
      </c>
      <c r="T1016" s="2">
        <f t="shared" si="202"/>
        <v>0.21297203272157855</v>
      </c>
      <c r="U1016" s="1" t="s">
        <v>2507</v>
      </c>
      <c r="V1016" s="6" t="s">
        <v>2505</v>
      </c>
    </row>
    <row r="1017" spans="1:24" ht="14.25" customHeight="1" x14ac:dyDescent="0.3">
      <c r="A1017" s="1" t="s">
        <v>27</v>
      </c>
      <c r="B1017" s="1" t="s">
        <v>2014</v>
      </c>
      <c r="C1017" s="1" t="s">
        <v>2015</v>
      </c>
      <c r="D1017" s="1">
        <f t="shared" si="193"/>
        <v>51</v>
      </c>
      <c r="E1017" s="1">
        <f t="shared" si="194"/>
        <v>0.28011574074074075</v>
      </c>
      <c r="F1017" s="2">
        <f t="shared" si="195"/>
        <v>317.21250071969087</v>
      </c>
      <c r="G1017" s="1">
        <v>2080</v>
      </c>
      <c r="H1017" s="1">
        <v>3744</v>
      </c>
      <c r="I1017" s="1">
        <v>0</v>
      </c>
      <c r="J1017" s="1">
        <v>155</v>
      </c>
      <c r="K1017" s="1">
        <f t="shared" si="205"/>
        <v>0</v>
      </c>
      <c r="L1017" s="1">
        <f t="shared" si="196"/>
        <v>1.3525240384615385</v>
      </c>
      <c r="M1017" s="1">
        <f t="shared" si="197"/>
        <v>1.3525240384615385</v>
      </c>
      <c r="N1017" s="2">
        <f t="shared" si="206"/>
        <v>12.421221007731273</v>
      </c>
      <c r="O1017" s="1">
        <v>830</v>
      </c>
      <c r="P1017" s="1">
        <f t="shared" si="198"/>
        <v>1042</v>
      </c>
      <c r="Q1017" s="1">
        <f t="shared" si="199"/>
        <v>4.8303486735522512</v>
      </c>
      <c r="R1017" s="1">
        <f t="shared" si="200"/>
        <v>2.6886876697870972</v>
      </c>
      <c r="S1017" s="2">
        <f t="shared" si="201"/>
        <v>12.213768702655502</v>
      </c>
      <c r="T1017" s="2">
        <f t="shared" si="202"/>
        <v>0.21317047793837479</v>
      </c>
      <c r="U1017" s="1" t="s">
        <v>2507</v>
      </c>
      <c r="V1017" s="6" t="s">
        <v>2505</v>
      </c>
    </row>
    <row r="1018" spans="1:24" ht="14.25" customHeight="1" x14ac:dyDescent="0.3">
      <c r="A1018" s="1" t="s">
        <v>286</v>
      </c>
      <c r="B1018" s="1" t="s">
        <v>2016</v>
      </c>
      <c r="C1018" s="1" t="s">
        <v>2017</v>
      </c>
      <c r="D1018" s="1">
        <f t="shared" si="193"/>
        <v>26</v>
      </c>
      <c r="E1018" s="1">
        <f t="shared" si="194"/>
        <v>9.329861111111111E-2</v>
      </c>
      <c r="F1018" s="2">
        <f t="shared" si="195"/>
        <v>158.95906139618285</v>
      </c>
      <c r="G1018" s="1">
        <v>2080</v>
      </c>
      <c r="H1018" s="1">
        <v>3744</v>
      </c>
      <c r="I1018" s="1">
        <v>0</v>
      </c>
      <c r="J1018" s="1">
        <v>161</v>
      </c>
      <c r="K1018" s="1">
        <f t="shared" si="205"/>
        <v>0</v>
      </c>
      <c r="L1018" s="1">
        <f t="shared" si="196"/>
        <v>1.4048798076923075</v>
      </c>
      <c r="M1018" s="1">
        <f t="shared" si="197"/>
        <v>1.4048798076923075</v>
      </c>
      <c r="N1018" s="2">
        <f t="shared" si="206"/>
        <v>11.958318361480419</v>
      </c>
      <c r="O1018" s="1">
        <v>828</v>
      </c>
      <c r="P1018" s="1">
        <f t="shared" si="198"/>
        <v>1044</v>
      </c>
      <c r="Q1018" s="1">
        <f t="shared" si="199"/>
        <v>4.6503356795068269</v>
      </c>
      <c r="R1018" s="1">
        <f t="shared" si="200"/>
        <v>2.5934564366480384</v>
      </c>
      <c r="S1018" s="2">
        <f t="shared" si="201"/>
        <v>12.236505918482813</v>
      </c>
      <c r="T1018" s="2">
        <f t="shared" si="202"/>
        <v>0.21356731721729794</v>
      </c>
      <c r="U1018" s="1" t="s">
        <v>2507</v>
      </c>
      <c r="V1018" s="6" t="s">
        <v>2505</v>
      </c>
    </row>
    <row r="1019" spans="1:24" ht="14.25" customHeight="1" x14ac:dyDescent="0.3">
      <c r="A1019" s="1" t="s">
        <v>27</v>
      </c>
      <c r="B1019" s="1" t="s">
        <v>2018</v>
      </c>
      <c r="C1019" s="1" t="s">
        <v>2019</v>
      </c>
      <c r="D1019" s="1">
        <f t="shared" si="193"/>
        <v>70</v>
      </c>
      <c r="E1019" s="1">
        <f t="shared" si="194"/>
        <v>0.18693287037037035</v>
      </c>
      <c r="F1019" s="2">
        <f t="shared" si="195"/>
        <v>436.00753631411106</v>
      </c>
      <c r="G1019" s="1">
        <v>2080</v>
      </c>
      <c r="H1019" s="1">
        <v>3744</v>
      </c>
      <c r="I1019" s="1">
        <v>0</v>
      </c>
      <c r="J1019" s="1">
        <v>179</v>
      </c>
      <c r="K1019" s="1">
        <f t="shared" si="205"/>
        <v>0</v>
      </c>
      <c r="L1019" s="1">
        <f t="shared" si="196"/>
        <v>1.5619471153846154</v>
      </c>
      <c r="M1019" s="1">
        <f t="shared" si="197"/>
        <v>1.5619471153846154</v>
      </c>
      <c r="N1019" s="2">
        <f t="shared" si="206"/>
        <v>10.755805900549426</v>
      </c>
      <c r="O1019" s="1">
        <v>827</v>
      </c>
      <c r="P1019" s="1">
        <f t="shared" si="198"/>
        <v>1045</v>
      </c>
      <c r="Q1019" s="1">
        <f t="shared" si="199"/>
        <v>4.1827041586625642</v>
      </c>
      <c r="R1019" s="1">
        <f t="shared" si="200"/>
        <v>2.3348962851508439</v>
      </c>
      <c r="S1019" s="2">
        <f t="shared" si="201"/>
        <v>12.247873059384931</v>
      </c>
      <c r="T1019" s="2">
        <f t="shared" si="202"/>
        <v>0.21376571125257801</v>
      </c>
      <c r="U1019" s="1" t="s">
        <v>2507</v>
      </c>
      <c r="V1019" s="6" t="s">
        <v>2505</v>
      </c>
    </row>
    <row r="1020" spans="1:24" ht="14.25" customHeight="1" x14ac:dyDescent="0.3">
      <c r="A1020" s="1" t="s">
        <v>27</v>
      </c>
      <c r="B1020" s="1" t="s">
        <v>2020</v>
      </c>
      <c r="C1020" s="1" t="s">
        <v>2021</v>
      </c>
      <c r="D1020" s="1">
        <f t="shared" si="193"/>
        <v>43</v>
      </c>
      <c r="E1020" s="1">
        <f t="shared" si="194"/>
        <v>0.2202314814814815</v>
      </c>
      <c r="F1020" s="2">
        <f t="shared" si="195"/>
        <v>266.57075436434508</v>
      </c>
      <c r="G1020" s="1">
        <v>2080</v>
      </c>
      <c r="H1020" s="1">
        <v>3744</v>
      </c>
      <c r="I1020" s="1">
        <v>0</v>
      </c>
      <c r="J1020" s="1">
        <v>137</v>
      </c>
      <c r="K1020" s="1">
        <f t="shared" si="205"/>
        <v>0</v>
      </c>
      <c r="L1020" s="1">
        <f t="shared" si="196"/>
        <v>1.1954567307692305</v>
      </c>
      <c r="M1020" s="1">
        <f t="shared" si="197"/>
        <v>1.1954567307692305</v>
      </c>
      <c r="N1020" s="2">
        <f t="shared" si="206"/>
        <v>14.053206249622974</v>
      </c>
      <c r="O1020" s="1">
        <v>825</v>
      </c>
      <c r="P1020" s="1">
        <f t="shared" si="198"/>
        <v>1047</v>
      </c>
      <c r="Q1020" s="1">
        <f t="shared" si="199"/>
        <v>5.464993024821891</v>
      </c>
      <c r="R1020" s="1">
        <f t="shared" si="200"/>
        <v>3.0565425731776283</v>
      </c>
      <c r="S1020" s="2">
        <f t="shared" si="201"/>
        <v>12.270604403323897</v>
      </c>
      <c r="T1020" s="2">
        <f t="shared" si="202"/>
        <v>0.21416244804771625</v>
      </c>
      <c r="U1020" s="1" t="s">
        <v>2507</v>
      </c>
      <c r="V1020" s="6" t="s">
        <v>2505</v>
      </c>
    </row>
    <row r="1021" spans="1:24" ht="14.25" customHeight="1" x14ac:dyDescent="0.3">
      <c r="A1021" s="1" t="s">
        <v>20</v>
      </c>
      <c r="B1021" s="1" t="s">
        <v>2022</v>
      </c>
      <c r="C1021" s="1" t="s">
        <v>2023</v>
      </c>
      <c r="D1021" s="1">
        <f t="shared" si="193"/>
        <v>45</v>
      </c>
      <c r="E1021" s="1">
        <f t="shared" si="194"/>
        <v>0.72834490740740743</v>
      </c>
      <c r="F1021" s="2">
        <f t="shared" si="195"/>
        <v>282.32969579086267</v>
      </c>
      <c r="G1021" s="1">
        <v>2080</v>
      </c>
      <c r="H1021" s="1">
        <v>3744</v>
      </c>
      <c r="I1021" s="1">
        <v>0</v>
      </c>
      <c r="J1021" s="1">
        <v>327</v>
      </c>
      <c r="K1021" s="1">
        <f t="shared" si="205"/>
        <v>0</v>
      </c>
      <c r="L1021" s="1">
        <f t="shared" si="196"/>
        <v>2.8533894230769228</v>
      </c>
      <c r="M1021" s="1">
        <f t="shared" si="197"/>
        <v>2.8533894230769228</v>
      </c>
      <c r="N1021" s="2">
        <f t="shared" si="206"/>
        <v>5.887734728435313</v>
      </c>
      <c r="O1021" s="1">
        <v>825</v>
      </c>
      <c r="P1021" s="1">
        <f t="shared" si="198"/>
        <v>1047</v>
      </c>
      <c r="Q1021" s="1">
        <f t="shared" si="199"/>
        <v>2.2896148146807311</v>
      </c>
      <c r="R1021" s="1">
        <f t="shared" si="200"/>
        <v>1.2805698242364987</v>
      </c>
      <c r="S1021" s="2">
        <f t="shared" si="201"/>
        <v>12.270604403323897</v>
      </c>
      <c r="T1021" s="2">
        <f t="shared" si="202"/>
        <v>0.21416244804771625</v>
      </c>
      <c r="U1021" s="1" t="s">
        <v>2507</v>
      </c>
      <c r="V1021" s="6" t="s">
        <v>2505</v>
      </c>
    </row>
    <row r="1022" spans="1:24" ht="14.25" customHeight="1" x14ac:dyDescent="0.3">
      <c r="A1022" s="1" t="s">
        <v>27</v>
      </c>
      <c r="B1022" s="1" t="s">
        <v>2024</v>
      </c>
      <c r="C1022" s="1" t="s">
        <v>2025</v>
      </c>
      <c r="D1022" s="1">
        <f t="shared" si="193"/>
        <v>54</v>
      </c>
      <c r="E1022" s="1">
        <f t="shared" si="194"/>
        <v>0.18106481481481482</v>
      </c>
      <c r="F1022" s="2">
        <f t="shared" si="195"/>
        <v>335.43970131878933</v>
      </c>
      <c r="G1022" s="1">
        <v>2080</v>
      </c>
      <c r="H1022" s="1">
        <v>3744</v>
      </c>
      <c r="I1022" s="1">
        <v>0</v>
      </c>
      <c r="J1022" s="1">
        <v>222</v>
      </c>
      <c r="K1022" s="1">
        <f t="shared" si="205"/>
        <v>0</v>
      </c>
      <c r="L1022" s="1">
        <f t="shared" si="196"/>
        <v>1.9371634615384614</v>
      </c>
      <c r="M1022" s="1">
        <f t="shared" si="197"/>
        <v>1.9371634615384614</v>
      </c>
      <c r="N1022" s="2">
        <f t="shared" si="206"/>
        <v>8.6724741270195818</v>
      </c>
      <c r="O1022" s="1">
        <v>822</v>
      </c>
      <c r="P1022" s="1">
        <f t="shared" si="198"/>
        <v>1050</v>
      </c>
      <c r="Q1022" s="1">
        <f t="shared" si="199"/>
        <v>3.3725407405432386</v>
      </c>
      <c r="R1022" s="1">
        <f t="shared" si="200"/>
        <v>1.8916494538303421</v>
      </c>
      <c r="S1022" s="2">
        <f t="shared" si="201"/>
        <v>12.304694063055761</v>
      </c>
      <c r="T1022" s="2">
        <f t="shared" si="202"/>
        <v>0.21475742485092178</v>
      </c>
      <c r="U1022" s="1" t="s">
        <v>2507</v>
      </c>
      <c r="V1022" s="6" t="s">
        <v>2505</v>
      </c>
    </row>
    <row r="1023" spans="1:24" ht="14.25" customHeight="1" x14ac:dyDescent="0.3">
      <c r="A1023" s="1" t="s">
        <v>27</v>
      </c>
      <c r="B1023" s="1" t="s">
        <v>2026</v>
      </c>
      <c r="C1023" s="1" t="s">
        <v>2027</v>
      </c>
      <c r="D1023" s="1">
        <f t="shared" si="193"/>
        <v>88</v>
      </c>
      <c r="E1023" s="1">
        <f t="shared" si="194"/>
        <v>0.25164351851851852</v>
      </c>
      <c r="F1023" s="2">
        <f t="shared" si="195"/>
        <v>549.5114608370061</v>
      </c>
      <c r="G1023" s="1">
        <v>2080</v>
      </c>
      <c r="H1023" s="1">
        <v>3744</v>
      </c>
      <c r="I1023" s="1">
        <v>0</v>
      </c>
      <c r="J1023" s="1">
        <v>97</v>
      </c>
      <c r="K1023" s="1">
        <f t="shared" si="205"/>
        <v>0</v>
      </c>
      <c r="L1023" s="1">
        <f t="shared" si="196"/>
        <v>0.84641826923076924</v>
      </c>
      <c r="M1023" s="1">
        <f t="shared" si="197"/>
        <v>0.84641826923076924</v>
      </c>
      <c r="N1023" s="2">
        <f t="shared" si="206"/>
        <v>19.84834284740564</v>
      </c>
      <c r="O1023" s="1">
        <v>820</v>
      </c>
      <c r="P1023" s="1">
        <f t="shared" si="198"/>
        <v>1052</v>
      </c>
      <c r="Q1023" s="1">
        <f t="shared" si="199"/>
        <v>7.7185983958824629</v>
      </c>
      <c r="R1023" s="1">
        <f t="shared" si="200"/>
        <v>4.337588414780102</v>
      </c>
      <c r="S1023" s="2">
        <f t="shared" si="201"/>
        <v>12.327415589814708</v>
      </c>
      <c r="T1023" s="2">
        <f t="shared" si="202"/>
        <v>0.21515399030394541</v>
      </c>
      <c r="U1023" s="1" t="s">
        <v>2507</v>
      </c>
      <c r="V1023" s="6" t="s">
        <v>2505</v>
      </c>
    </row>
    <row r="1024" spans="1:24" ht="14.25" customHeight="1" x14ac:dyDescent="0.3">
      <c r="A1024" s="1" t="s">
        <v>17</v>
      </c>
      <c r="B1024" s="1" t="s">
        <v>2028</v>
      </c>
      <c r="C1024" s="1" t="s">
        <v>2029</v>
      </c>
      <c r="D1024" s="1">
        <f t="shared" si="193"/>
        <v>6</v>
      </c>
      <c r="E1024" s="1">
        <f t="shared" si="194"/>
        <v>0.79740740740740745</v>
      </c>
      <c r="F1024" s="2">
        <f t="shared" si="195"/>
        <v>37.719401296135899</v>
      </c>
      <c r="G1024" s="1">
        <v>2080</v>
      </c>
      <c r="H1024" s="1">
        <v>3744</v>
      </c>
      <c r="I1024" s="1">
        <v>0</v>
      </c>
      <c r="J1024" s="1">
        <v>171</v>
      </c>
      <c r="K1024" s="1">
        <f t="shared" si="205"/>
        <v>0</v>
      </c>
      <c r="L1024" s="1">
        <f t="shared" si="196"/>
        <v>1.4921394230769229</v>
      </c>
      <c r="M1024" s="1">
        <f t="shared" si="197"/>
        <v>1.4921394230769229</v>
      </c>
      <c r="N1024" s="2">
        <f t="shared" si="206"/>
        <v>11.25900149823595</v>
      </c>
      <c r="O1024" s="1">
        <v>820</v>
      </c>
      <c r="P1024" s="1">
        <f t="shared" si="198"/>
        <v>1052</v>
      </c>
      <c r="Q1024" s="1">
        <f t="shared" si="199"/>
        <v>4.378386224564907</v>
      </c>
      <c r="R1024" s="1">
        <f t="shared" si="200"/>
        <v>2.4605033697875438</v>
      </c>
      <c r="S1024" s="2">
        <f t="shared" si="201"/>
        <v>12.327415589814709</v>
      </c>
      <c r="T1024" s="2">
        <f t="shared" si="202"/>
        <v>0.21515399030394544</v>
      </c>
      <c r="U1024" s="1" t="s">
        <v>2507</v>
      </c>
      <c r="V1024" s="6" t="s">
        <v>2505</v>
      </c>
    </row>
    <row r="1025" spans="1:24" ht="14.25" customHeight="1" x14ac:dyDescent="0.3">
      <c r="A1025" s="1" t="s">
        <v>17</v>
      </c>
      <c r="B1025" s="1" t="s">
        <v>2030</v>
      </c>
      <c r="C1025" s="1" t="s">
        <v>2031</v>
      </c>
      <c r="D1025" s="1">
        <f t="shared" si="193"/>
        <v>53</v>
      </c>
      <c r="E1025" s="1">
        <f t="shared" si="194"/>
        <v>0.88402777777777775</v>
      </c>
      <c r="F1025" s="2">
        <f t="shared" si="195"/>
        <v>333.57336257199</v>
      </c>
      <c r="G1025" s="1">
        <v>2080</v>
      </c>
      <c r="H1025" s="1">
        <v>3744</v>
      </c>
      <c r="I1025" s="1">
        <v>0</v>
      </c>
      <c r="J1025" s="1">
        <v>272</v>
      </c>
      <c r="K1025" s="1">
        <f t="shared" si="205"/>
        <v>0</v>
      </c>
      <c r="L1025" s="1">
        <f t="shared" si="196"/>
        <v>2.3734615384615383</v>
      </c>
      <c r="M1025" s="1">
        <f t="shared" si="197"/>
        <v>2.3734615384615383</v>
      </c>
      <c r="N1025" s="2">
        <f t="shared" si="206"/>
        <v>7.0782693242586303</v>
      </c>
      <c r="O1025" s="1">
        <v>820</v>
      </c>
      <c r="P1025" s="1">
        <f t="shared" si="198"/>
        <v>1052</v>
      </c>
      <c r="Q1025" s="1">
        <f t="shared" si="199"/>
        <v>2.7525883985316142</v>
      </c>
      <c r="R1025" s="1">
        <f t="shared" si="200"/>
        <v>1.5468605743884927</v>
      </c>
      <c r="S1025" s="2">
        <f t="shared" si="201"/>
        <v>12.327415589814709</v>
      </c>
      <c r="T1025" s="2">
        <f t="shared" si="202"/>
        <v>0.21515399030394544</v>
      </c>
      <c r="U1025" s="1" t="s">
        <v>2507</v>
      </c>
      <c r="V1025" s="6" t="s">
        <v>2505</v>
      </c>
    </row>
    <row r="1026" spans="1:24" ht="14.25" customHeight="1" x14ac:dyDescent="0.3">
      <c r="A1026" s="1" t="s">
        <v>27</v>
      </c>
      <c r="B1026" s="1" t="s">
        <v>2032</v>
      </c>
      <c r="C1026" s="1" t="s">
        <v>2033</v>
      </c>
      <c r="D1026" s="1">
        <f t="shared" ref="D1026:D1089" si="207">(LEFT(C1026,4)&amp;"-"&amp;MID(C1026,6,2)&amp;"-"&amp;MID(C1026,9,2))-(2019&amp;"-"&amp;5&amp;"-"&amp;28)</f>
        <v>41</v>
      </c>
      <c r="E1026" s="1">
        <f t="shared" ref="E1026:E1089" si="208">TIMEVALUE(RIGHT(C1026,8))</f>
        <v>0.98572916666666666</v>
      </c>
      <c r="F1026" s="2">
        <f t="shared" ref="F1026:F1089" si="209">(D1026+E1026)*2*PI()-4.989969053</f>
        <v>258.81414755822141</v>
      </c>
      <c r="G1026" s="1">
        <v>2080</v>
      </c>
      <c r="H1026" s="1">
        <v>3744</v>
      </c>
      <c r="I1026" s="1">
        <v>0</v>
      </c>
      <c r="J1026" s="1">
        <v>228</v>
      </c>
      <c r="K1026" s="1">
        <f t="shared" si="205"/>
        <v>0</v>
      </c>
      <c r="L1026" s="1">
        <f t="shared" ref="L1026:L1089" si="210">(18.15*J1026)/G1026</f>
        <v>1.9895192307692307</v>
      </c>
      <c r="M1026" s="1">
        <f t="shared" ref="M1026:M1089" si="211">SQRT(K1026*K1026+L1026*L1026)</f>
        <v>1.9895192307692307</v>
      </c>
      <c r="N1026" s="2">
        <f t="shared" si="206"/>
        <v>8.4442511236769615</v>
      </c>
      <c r="O1026" s="1">
        <v>817</v>
      </c>
      <c r="P1026" s="1">
        <f t="shared" ref="P1026:P1089" si="212">H1026/2-O1026</f>
        <v>1055</v>
      </c>
      <c r="Q1026" s="1">
        <f t="shared" ref="Q1026:Q1089" si="213">TAN(RADIANS(21.25))*N1026</f>
        <v>3.2837896684236796</v>
      </c>
      <c r="R1026" s="1">
        <f t="shared" ref="R1026:R1089" si="214">Q1026*(P1026/(H1026/2))</f>
        <v>1.8506400107836443</v>
      </c>
      <c r="S1026" s="2">
        <f t="shared" ref="S1026:S1089" si="215">DEGREES(ATAN(R1026/N1026))</f>
        <v>12.361490495048226</v>
      </c>
      <c r="T1026" s="2">
        <f t="shared" ref="T1026:T1089" si="216">RADIANS(S1026)</f>
        <v>0.21574870959257536</v>
      </c>
      <c r="U1026" s="1" t="s">
        <v>2507</v>
      </c>
      <c r="V1026" s="6" t="s">
        <v>2505</v>
      </c>
    </row>
    <row r="1027" spans="1:24" ht="14.25" customHeight="1" x14ac:dyDescent="0.3">
      <c r="A1027" s="1" t="s">
        <v>40</v>
      </c>
      <c r="B1027" s="1" t="s">
        <v>2034</v>
      </c>
      <c r="C1027" s="1" t="s">
        <v>2035</v>
      </c>
      <c r="D1027" s="1">
        <f t="shared" si="207"/>
        <v>59</v>
      </c>
      <c r="E1027" s="1">
        <f t="shared" si="208"/>
        <v>0.11385416666666666</v>
      </c>
      <c r="F1027" s="2">
        <f t="shared" si="209"/>
        <v>366.43333089775678</v>
      </c>
      <c r="G1027" s="1">
        <v>2080</v>
      </c>
      <c r="H1027" s="1">
        <v>3744</v>
      </c>
      <c r="I1027" s="1">
        <v>0</v>
      </c>
      <c r="J1027" s="1">
        <v>176</v>
      </c>
      <c r="K1027" s="1">
        <f t="shared" si="205"/>
        <v>0</v>
      </c>
      <c r="L1027" s="1">
        <f t="shared" si="210"/>
        <v>1.5357692307692306</v>
      </c>
      <c r="M1027" s="1">
        <f t="shared" si="211"/>
        <v>1.5357692307692306</v>
      </c>
      <c r="N1027" s="2">
        <f t="shared" si="206"/>
        <v>10.939143501126974</v>
      </c>
      <c r="O1027" s="1">
        <v>815</v>
      </c>
      <c r="P1027" s="1">
        <f t="shared" si="212"/>
        <v>1057</v>
      </c>
      <c r="Q1027" s="1">
        <f t="shared" si="213"/>
        <v>4.2540002522761311</v>
      </c>
      <c r="R1027" s="1">
        <f t="shared" si="214"/>
        <v>2.401964886034119</v>
      </c>
      <c r="S1027" s="2">
        <f t="shared" si="215"/>
        <v>12.38420216634851</v>
      </c>
      <c r="T1027" s="2">
        <f t="shared" si="216"/>
        <v>0.216145103035396</v>
      </c>
      <c r="U1027" s="1" t="s">
        <v>2507</v>
      </c>
      <c r="V1027" s="6" t="s">
        <v>2505</v>
      </c>
    </row>
    <row r="1028" spans="1:24" ht="14.25" customHeight="1" x14ac:dyDescent="0.3">
      <c r="A1028" s="1" t="s">
        <v>286</v>
      </c>
      <c r="B1028" s="1" t="s">
        <v>2036</v>
      </c>
      <c r="C1028" s="1" t="s">
        <v>2037</v>
      </c>
      <c r="D1028" s="1">
        <f t="shared" si="207"/>
        <v>44</v>
      </c>
      <c r="E1028" s="1">
        <f t="shared" si="208"/>
        <v>0.80086805555555562</v>
      </c>
      <c r="F1028" s="2">
        <f t="shared" si="209"/>
        <v>276.50218686255795</v>
      </c>
      <c r="G1028" s="1">
        <v>2080</v>
      </c>
      <c r="H1028" s="1">
        <v>3744</v>
      </c>
      <c r="I1028" s="1">
        <v>0</v>
      </c>
      <c r="J1028" s="1">
        <v>250</v>
      </c>
      <c r="K1028" s="1">
        <f t="shared" si="205"/>
        <v>0</v>
      </c>
      <c r="L1028" s="1">
        <f t="shared" si="210"/>
        <v>2.1814903846153846</v>
      </c>
      <c r="M1028" s="1">
        <f t="shared" si="211"/>
        <v>2.1814903846153846</v>
      </c>
      <c r="N1028" s="2">
        <f t="shared" si="206"/>
        <v>7.7011570247933889</v>
      </c>
      <c r="O1028" s="1">
        <v>805</v>
      </c>
      <c r="P1028" s="1">
        <f t="shared" si="212"/>
        <v>1067</v>
      </c>
      <c r="Q1028" s="1">
        <f t="shared" si="213"/>
        <v>2.994816177602396</v>
      </c>
      <c r="R1028" s="1">
        <f t="shared" si="214"/>
        <v>1.7069812294346989</v>
      </c>
      <c r="S1028" s="2">
        <f t="shared" si="215"/>
        <v>12.497701107809831</v>
      </c>
      <c r="T1028" s="2">
        <f t="shared" si="216"/>
        <v>0.21812603326142438</v>
      </c>
      <c r="U1028" s="1" t="s">
        <v>2507</v>
      </c>
      <c r="V1028" s="6" t="s">
        <v>2505</v>
      </c>
      <c r="W1028" s="1" t="s">
        <v>2038</v>
      </c>
      <c r="X1028" s="1">
        <v>40</v>
      </c>
    </row>
    <row r="1029" spans="1:24" ht="14.25" customHeight="1" x14ac:dyDescent="0.3">
      <c r="A1029" s="1" t="s">
        <v>27</v>
      </c>
      <c r="B1029" s="1" t="s">
        <v>2039</v>
      </c>
      <c r="C1029" s="1" t="s">
        <v>2040</v>
      </c>
      <c r="D1029" s="1">
        <f t="shared" si="207"/>
        <v>18</v>
      </c>
      <c r="E1029" s="1">
        <f t="shared" si="208"/>
        <v>0.86202546296296301</v>
      </c>
      <c r="F1029" s="2">
        <f t="shared" si="209"/>
        <v>113.52363219953611</v>
      </c>
      <c r="G1029" s="1">
        <v>2080</v>
      </c>
      <c r="H1029" s="1">
        <v>3744</v>
      </c>
      <c r="I1029" s="1">
        <v>0</v>
      </c>
      <c r="J1029" s="1">
        <v>205</v>
      </c>
      <c r="K1029" s="1">
        <f t="shared" si="205"/>
        <v>0</v>
      </c>
      <c r="L1029" s="1">
        <f t="shared" si="210"/>
        <v>1.7888221153846151</v>
      </c>
      <c r="M1029" s="1">
        <f t="shared" si="211"/>
        <v>1.7888221153846151</v>
      </c>
      <c r="N1029" s="2">
        <f t="shared" si="206"/>
        <v>9.3916549082846217</v>
      </c>
      <c r="O1029" s="1">
        <v>804</v>
      </c>
      <c r="P1029" s="1">
        <f t="shared" si="212"/>
        <v>1068</v>
      </c>
      <c r="Q1029" s="1">
        <f t="shared" si="213"/>
        <v>3.6522148507346297</v>
      </c>
      <c r="R1029" s="1">
        <f t="shared" si="214"/>
        <v>2.0836353956114233</v>
      </c>
      <c r="S1029" s="2">
        <f t="shared" si="215"/>
        <v>12.509045537444679</v>
      </c>
      <c r="T1029" s="2">
        <f t="shared" si="216"/>
        <v>0.21832403091031327</v>
      </c>
      <c r="U1029" s="1" t="s">
        <v>2507</v>
      </c>
      <c r="V1029" s="6" t="s">
        <v>2505</v>
      </c>
    </row>
    <row r="1030" spans="1:24" ht="14.25" customHeight="1" x14ac:dyDescent="0.3">
      <c r="A1030" s="1" t="s">
        <v>17</v>
      </c>
      <c r="B1030" s="1" t="s">
        <v>2041</v>
      </c>
      <c r="C1030" s="1" t="s">
        <v>2042</v>
      </c>
      <c r="D1030" s="1">
        <f t="shared" si="207"/>
        <v>32</v>
      </c>
      <c r="E1030" s="1">
        <f t="shared" si="208"/>
        <v>0.73555555555555552</v>
      </c>
      <c r="F1030" s="2">
        <f t="shared" si="209"/>
        <v>200.69359263602774</v>
      </c>
      <c r="G1030" s="1">
        <v>2080</v>
      </c>
      <c r="H1030" s="1">
        <v>3744</v>
      </c>
      <c r="I1030" s="1">
        <v>0</v>
      </c>
      <c r="J1030" s="1">
        <v>186</v>
      </c>
      <c r="K1030" s="1">
        <f t="shared" si="205"/>
        <v>0</v>
      </c>
      <c r="L1030" s="1">
        <f t="shared" si="210"/>
        <v>1.623028846153846</v>
      </c>
      <c r="M1030" s="1">
        <f t="shared" si="211"/>
        <v>1.623028846153846</v>
      </c>
      <c r="N1030" s="2">
        <f t="shared" si="206"/>
        <v>10.351017506442728</v>
      </c>
      <c r="O1030" s="1">
        <v>800</v>
      </c>
      <c r="P1030" s="1">
        <f t="shared" si="212"/>
        <v>1072</v>
      </c>
      <c r="Q1030" s="1">
        <f t="shared" si="213"/>
        <v>4.0252905612935432</v>
      </c>
      <c r="R1030" s="1">
        <f t="shared" si="214"/>
        <v>2.3050809197151056</v>
      </c>
      <c r="S1030" s="2">
        <f t="shared" si="215"/>
        <v>12.55441328256307</v>
      </c>
      <c r="T1030" s="2">
        <f t="shared" si="216"/>
        <v>0.21911584743683479</v>
      </c>
      <c r="U1030" s="1" t="s">
        <v>2507</v>
      </c>
      <c r="V1030" s="6" t="s">
        <v>2505</v>
      </c>
    </row>
    <row r="1031" spans="1:24" ht="14.25" customHeight="1" x14ac:dyDescent="0.3">
      <c r="A1031" s="1" t="s">
        <v>27</v>
      </c>
      <c r="B1031" s="1" t="s">
        <v>2043</v>
      </c>
      <c r="C1031" s="1" t="s">
        <v>2044</v>
      </c>
      <c r="D1031" s="1">
        <f t="shared" si="207"/>
        <v>38</v>
      </c>
      <c r="E1031" s="1">
        <f t="shared" si="208"/>
        <v>0.74421296296296291</v>
      </c>
      <c r="F1031" s="2">
        <f t="shared" si="209"/>
        <v>238.44710057412573</v>
      </c>
      <c r="G1031" s="1">
        <v>2080</v>
      </c>
      <c r="H1031" s="1">
        <v>3744</v>
      </c>
      <c r="I1031" s="1">
        <v>0</v>
      </c>
      <c r="J1031" s="1">
        <v>258</v>
      </c>
      <c r="K1031" s="1">
        <f t="shared" si="205"/>
        <v>0</v>
      </c>
      <c r="L1031" s="1">
        <f t="shared" si="210"/>
        <v>2.251298076923077</v>
      </c>
      <c r="M1031" s="1">
        <f t="shared" si="211"/>
        <v>2.251298076923077</v>
      </c>
      <c r="N1031" s="2">
        <f t="shared" si="206"/>
        <v>7.4623614581331283</v>
      </c>
      <c r="O1031" s="1">
        <v>799</v>
      </c>
      <c r="P1031" s="1">
        <f t="shared" si="212"/>
        <v>1073</v>
      </c>
      <c r="Q1031" s="1">
        <f t="shared" si="213"/>
        <v>2.9019536604674379</v>
      </c>
      <c r="R1031" s="1">
        <f t="shared" si="214"/>
        <v>1.6633527124367311</v>
      </c>
      <c r="S1031" s="2">
        <f t="shared" si="215"/>
        <v>12.565752721701744</v>
      </c>
      <c r="T1031" s="2">
        <f t="shared" si="216"/>
        <v>0.21931375798513414</v>
      </c>
      <c r="U1031" s="1" t="s">
        <v>2507</v>
      </c>
      <c r="V1031" s="6" t="s">
        <v>2505</v>
      </c>
    </row>
    <row r="1032" spans="1:24" ht="14.25" customHeight="1" x14ac:dyDescent="0.3">
      <c r="A1032" s="1" t="s">
        <v>17</v>
      </c>
      <c r="B1032" s="1" t="s">
        <v>2045</v>
      </c>
      <c r="C1032" s="1" t="s">
        <v>2046</v>
      </c>
      <c r="D1032" s="1">
        <f t="shared" si="207"/>
        <v>40</v>
      </c>
      <c r="E1032" s="1">
        <f t="shared" si="208"/>
        <v>7.5289351851851857E-2</v>
      </c>
      <c r="F1032" s="2">
        <f t="shared" si="209"/>
        <v>246.81050018352607</v>
      </c>
      <c r="G1032" s="1">
        <v>2080</v>
      </c>
      <c r="H1032" s="1">
        <v>3744</v>
      </c>
      <c r="I1032" s="1">
        <v>0</v>
      </c>
      <c r="J1032" s="1">
        <v>885</v>
      </c>
      <c r="K1032" s="1">
        <f t="shared" si="205"/>
        <v>0</v>
      </c>
      <c r="L1032" s="1">
        <f t="shared" si="210"/>
        <v>7.7224759615384606</v>
      </c>
      <c r="M1032" s="1">
        <f t="shared" si="211"/>
        <v>7.7224759615384606</v>
      </c>
      <c r="N1032" s="2">
        <f t="shared" si="206"/>
        <v>2.1754680860998277</v>
      </c>
      <c r="O1032" s="1">
        <v>798</v>
      </c>
      <c r="P1032" s="1">
        <f t="shared" si="212"/>
        <v>1074</v>
      </c>
      <c r="Q1032" s="1">
        <f t="shared" si="213"/>
        <v>0.84599327050915152</v>
      </c>
      <c r="R1032" s="1">
        <f t="shared" si="214"/>
        <v>0.48536152378569908</v>
      </c>
      <c r="S1032" s="2">
        <f t="shared" si="215"/>
        <v>12.577091160471332</v>
      </c>
      <c r="T1032" s="2">
        <f t="shared" si="216"/>
        <v>0.21951165107369924</v>
      </c>
      <c r="U1032" s="1" t="s">
        <v>2507</v>
      </c>
      <c r="V1032" s="6" t="s">
        <v>2505</v>
      </c>
    </row>
    <row r="1033" spans="1:24" ht="14.25" customHeight="1" x14ac:dyDescent="0.3">
      <c r="A1033" s="1" t="s">
        <v>17</v>
      </c>
      <c r="B1033" s="1" t="s">
        <v>2047</v>
      </c>
      <c r="C1033" s="1" t="s">
        <v>2048</v>
      </c>
      <c r="D1033" s="1">
        <f t="shared" si="207"/>
        <v>53</v>
      </c>
      <c r="E1033" s="1">
        <f t="shared" si="208"/>
        <v>0.88400462962962967</v>
      </c>
      <c r="F1033" s="2">
        <f t="shared" si="209"/>
        <v>333.5732171278857</v>
      </c>
      <c r="G1033" s="1">
        <v>2080</v>
      </c>
      <c r="H1033" s="1">
        <v>3744</v>
      </c>
      <c r="I1033" s="1">
        <v>0</v>
      </c>
      <c r="J1033" s="1">
        <v>338</v>
      </c>
      <c r="K1033" s="1">
        <f t="shared" si="205"/>
        <v>0</v>
      </c>
      <c r="L1033" s="1">
        <f t="shared" si="210"/>
        <v>2.9493749999999999</v>
      </c>
      <c r="M1033" s="1">
        <f t="shared" si="211"/>
        <v>2.9493749999999999</v>
      </c>
      <c r="N1033" s="2">
        <f t="shared" si="206"/>
        <v>5.6961220597584239</v>
      </c>
      <c r="O1033" s="1">
        <v>797</v>
      </c>
      <c r="P1033" s="1">
        <f t="shared" si="212"/>
        <v>1075</v>
      </c>
      <c r="Q1033" s="1">
        <f t="shared" si="213"/>
        <v>2.2151007230786952</v>
      </c>
      <c r="R1033" s="1">
        <f t="shared" si="214"/>
        <v>1.2720263233491438</v>
      </c>
      <c r="S1033" s="2">
        <f t="shared" si="215"/>
        <v>12.588428598116266</v>
      </c>
      <c r="T1033" s="2">
        <f t="shared" si="216"/>
        <v>0.2197095266893429</v>
      </c>
      <c r="U1033" s="1" t="s">
        <v>2507</v>
      </c>
      <c r="V1033" s="6" t="s">
        <v>2505</v>
      </c>
    </row>
    <row r="1034" spans="1:24" ht="14.25" customHeight="1" x14ac:dyDescent="0.3">
      <c r="A1034" s="1" t="s">
        <v>40</v>
      </c>
      <c r="B1034" s="1" t="s">
        <v>2049</v>
      </c>
      <c r="C1034" s="1" t="s">
        <v>2050</v>
      </c>
      <c r="D1034" s="1">
        <f t="shared" si="207"/>
        <v>76</v>
      </c>
      <c r="E1034" s="1">
        <f t="shared" si="208"/>
        <v>0.98995370370370372</v>
      </c>
      <c r="F1034" s="2">
        <f t="shared" si="209"/>
        <v>478.75217685854773</v>
      </c>
      <c r="G1034" s="1">
        <v>2080</v>
      </c>
      <c r="H1034" s="1">
        <v>3744</v>
      </c>
      <c r="I1034" s="1">
        <v>0</v>
      </c>
      <c r="J1034" s="1">
        <v>254</v>
      </c>
      <c r="K1034" s="1">
        <f t="shared" si="205"/>
        <v>0</v>
      </c>
      <c r="L1034" s="1">
        <f t="shared" si="210"/>
        <v>2.2163942307692306</v>
      </c>
      <c r="M1034" s="1">
        <f t="shared" si="211"/>
        <v>2.2163942307692306</v>
      </c>
      <c r="N1034" s="2">
        <f t="shared" si="206"/>
        <v>7.5798789614108166</v>
      </c>
      <c r="O1034" s="1">
        <v>797</v>
      </c>
      <c r="P1034" s="1">
        <f t="shared" si="212"/>
        <v>1075</v>
      </c>
      <c r="Q1034" s="1">
        <f t="shared" si="213"/>
        <v>2.9476537181125946</v>
      </c>
      <c r="R1034" s="1">
        <f t="shared" si="214"/>
        <v>1.6926964460315379</v>
      </c>
      <c r="S1034" s="2">
        <f t="shared" si="215"/>
        <v>12.588428598116266</v>
      </c>
      <c r="T1034" s="2">
        <f t="shared" si="216"/>
        <v>0.2197095266893429</v>
      </c>
      <c r="U1034" s="1" t="s">
        <v>2507</v>
      </c>
      <c r="V1034" s="6" t="s">
        <v>2505</v>
      </c>
    </row>
    <row r="1035" spans="1:24" ht="14.25" customHeight="1" x14ac:dyDescent="0.3">
      <c r="A1035" s="1" t="s">
        <v>17</v>
      </c>
      <c r="B1035" s="1" t="s">
        <v>2051</v>
      </c>
      <c r="C1035" s="1" t="s">
        <v>2052</v>
      </c>
      <c r="D1035" s="1">
        <f t="shared" si="207"/>
        <v>9</v>
      </c>
      <c r="E1035" s="1">
        <f t="shared" si="208"/>
        <v>0.74398148148148147</v>
      </c>
      <c r="F1035" s="2">
        <f t="shared" si="209"/>
        <v>56.233272224874419</v>
      </c>
      <c r="G1035" s="1">
        <v>2080</v>
      </c>
      <c r="H1035" s="1">
        <v>3744</v>
      </c>
      <c r="I1035" s="1">
        <v>0</v>
      </c>
      <c r="J1035" s="1">
        <v>378</v>
      </c>
      <c r="K1035" s="1">
        <f t="shared" si="205"/>
        <v>0</v>
      </c>
      <c r="L1035" s="1">
        <f t="shared" si="210"/>
        <v>3.2984134615384613</v>
      </c>
      <c r="M1035" s="1">
        <f t="shared" si="211"/>
        <v>3.2984134615384613</v>
      </c>
      <c r="N1035" s="2">
        <f t="shared" si="206"/>
        <v>5.0933578206305485</v>
      </c>
      <c r="O1035" s="1">
        <v>796</v>
      </c>
      <c r="P1035" s="1">
        <f t="shared" si="212"/>
        <v>1076</v>
      </c>
      <c r="Q1035" s="1">
        <f t="shared" si="213"/>
        <v>1.9806985301603148</v>
      </c>
      <c r="R1035" s="1">
        <f t="shared" si="214"/>
        <v>1.1384784286605227</v>
      </c>
      <c r="S1035" s="2">
        <f t="shared" si="215"/>
        <v>12.599765033881418</v>
      </c>
      <c r="T1035" s="2">
        <f t="shared" si="216"/>
        <v>0.21990738481888564</v>
      </c>
      <c r="U1035" s="1" t="s">
        <v>2507</v>
      </c>
      <c r="V1035" s="6" t="s">
        <v>2505</v>
      </c>
    </row>
    <row r="1036" spans="1:24" ht="14.25" customHeight="1" x14ac:dyDescent="0.3">
      <c r="A1036" s="1" t="s">
        <v>17</v>
      </c>
      <c r="B1036" s="1" t="s">
        <v>2053</v>
      </c>
      <c r="C1036" s="1" t="s">
        <v>2054</v>
      </c>
      <c r="D1036" s="1">
        <f t="shared" si="207"/>
        <v>76</v>
      </c>
      <c r="E1036" s="1">
        <f t="shared" si="208"/>
        <v>0.9776273148148148</v>
      </c>
      <c r="F1036" s="2">
        <f t="shared" si="209"/>
        <v>478.67472787299045</v>
      </c>
      <c r="G1036" s="1">
        <v>2080</v>
      </c>
      <c r="H1036" s="1">
        <v>3744</v>
      </c>
      <c r="I1036" s="1">
        <v>0</v>
      </c>
      <c r="J1036" s="1">
        <v>210</v>
      </c>
      <c r="K1036" s="1">
        <f t="shared" si="205"/>
        <v>0</v>
      </c>
      <c r="L1036" s="1">
        <f t="shared" si="210"/>
        <v>1.832451923076923</v>
      </c>
      <c r="M1036" s="1">
        <f t="shared" si="211"/>
        <v>1.832451923076923</v>
      </c>
      <c r="N1036" s="2">
        <f t="shared" si="206"/>
        <v>9.1680440771349865</v>
      </c>
      <c r="O1036" s="1">
        <v>796</v>
      </c>
      <c r="P1036" s="1">
        <f t="shared" si="212"/>
        <v>1076</v>
      </c>
      <c r="Q1036" s="1">
        <f t="shared" si="213"/>
        <v>3.5652573542885664</v>
      </c>
      <c r="R1036" s="1">
        <f t="shared" si="214"/>
        <v>2.0492611715889408</v>
      </c>
      <c r="S1036" s="2">
        <f t="shared" si="215"/>
        <v>12.599765033881418</v>
      </c>
      <c r="T1036" s="2">
        <f t="shared" si="216"/>
        <v>0.21990738481888564</v>
      </c>
      <c r="U1036" s="1" t="s">
        <v>2507</v>
      </c>
      <c r="V1036" s="6" t="s">
        <v>2505</v>
      </c>
    </row>
    <row r="1037" spans="1:24" ht="14.25" customHeight="1" x14ac:dyDescent="0.3">
      <c r="A1037" s="1" t="s">
        <v>82</v>
      </c>
      <c r="B1037" s="1" t="s">
        <v>2055</v>
      </c>
      <c r="C1037" s="1" t="s">
        <v>2056</v>
      </c>
      <c r="D1037" s="1">
        <f t="shared" si="207"/>
        <v>14</v>
      </c>
      <c r="E1037" s="1">
        <f t="shared" si="208"/>
        <v>0.39686342592592588</v>
      </c>
      <c r="F1037" s="2">
        <f t="shared" si="209"/>
        <v>85.468191694248944</v>
      </c>
      <c r="G1037" s="1">
        <v>2080</v>
      </c>
      <c r="H1037" s="1">
        <v>3744</v>
      </c>
      <c r="I1037" s="1">
        <v>0</v>
      </c>
      <c r="J1037" s="1">
        <v>261</v>
      </c>
      <c r="K1037" s="1">
        <f t="shared" si="205"/>
        <v>0</v>
      </c>
      <c r="L1037" s="1">
        <f t="shared" si="210"/>
        <v>2.2774759615384612</v>
      </c>
      <c r="M1037" s="1">
        <f t="shared" si="211"/>
        <v>2.2774759615384612</v>
      </c>
      <c r="N1037" s="2">
        <f t="shared" si="206"/>
        <v>7.3765871884994159</v>
      </c>
      <c r="O1037" s="1">
        <v>793</v>
      </c>
      <c r="P1037" s="1">
        <f t="shared" si="212"/>
        <v>1079</v>
      </c>
      <c r="Q1037" s="1">
        <f t="shared" si="213"/>
        <v>2.8685978712666631</v>
      </c>
      <c r="R1037" s="1">
        <f t="shared" si="214"/>
        <v>1.6534279396884237</v>
      </c>
      <c r="S1037" s="2">
        <f t="shared" si="215"/>
        <v>12.633768322353632</v>
      </c>
      <c r="T1037" s="2">
        <f t="shared" si="216"/>
        <v>0.22050085415923121</v>
      </c>
      <c r="U1037" s="1" t="s">
        <v>2507</v>
      </c>
      <c r="V1037" s="6" t="s">
        <v>2505</v>
      </c>
    </row>
    <row r="1038" spans="1:24" ht="14.25" customHeight="1" x14ac:dyDescent="0.3">
      <c r="A1038" s="1" t="s">
        <v>27</v>
      </c>
      <c r="B1038" s="1" t="s">
        <v>2057</v>
      </c>
      <c r="C1038" s="1" t="s">
        <v>2058</v>
      </c>
      <c r="D1038" s="1">
        <f t="shared" si="207"/>
        <v>37</v>
      </c>
      <c r="E1038" s="1">
        <f t="shared" si="208"/>
        <v>0.27546296296296297</v>
      </c>
      <c r="F1038" s="2">
        <f t="shared" si="209"/>
        <v>229.21867215420571</v>
      </c>
      <c r="G1038" s="1">
        <v>2080</v>
      </c>
      <c r="H1038" s="1">
        <v>3744</v>
      </c>
      <c r="I1038" s="1">
        <v>0</v>
      </c>
      <c r="J1038" s="1">
        <v>149</v>
      </c>
      <c r="K1038" s="1">
        <f t="shared" si="205"/>
        <v>0</v>
      </c>
      <c r="L1038" s="1">
        <f t="shared" si="210"/>
        <v>1.3001682692307692</v>
      </c>
      <c r="M1038" s="1">
        <f t="shared" si="211"/>
        <v>1.3001682692307692</v>
      </c>
      <c r="N1038" s="2">
        <f t="shared" si="206"/>
        <v>12.921404404015753</v>
      </c>
      <c r="O1038" s="1">
        <v>792</v>
      </c>
      <c r="P1038" s="1">
        <f t="shared" si="212"/>
        <v>1080</v>
      </c>
      <c r="Q1038" s="1">
        <f t="shared" si="213"/>
        <v>5.0248593583932815</v>
      </c>
      <c r="R1038" s="1">
        <f t="shared" si="214"/>
        <v>2.8989573221499696</v>
      </c>
      <c r="S1038" s="2">
        <f t="shared" si="215"/>
        <v>12.645100743057343</v>
      </c>
      <c r="T1038" s="2">
        <f t="shared" si="216"/>
        <v>0.22069864221273214</v>
      </c>
      <c r="U1038" s="1" t="s">
        <v>2507</v>
      </c>
      <c r="V1038" s="6" t="s">
        <v>2505</v>
      </c>
    </row>
    <row r="1039" spans="1:24" ht="14.25" customHeight="1" x14ac:dyDescent="0.3">
      <c r="A1039" s="1" t="s">
        <v>40</v>
      </c>
      <c r="B1039" s="1" t="s">
        <v>2059</v>
      </c>
      <c r="C1039" s="1" t="s">
        <v>2060</v>
      </c>
      <c r="D1039" s="1">
        <f t="shared" si="207"/>
        <v>60</v>
      </c>
      <c r="E1039" s="1">
        <f t="shared" si="208"/>
        <v>8.773148148148148E-2</v>
      </c>
      <c r="F1039" s="2">
        <f t="shared" si="209"/>
        <v>372.55238253319675</v>
      </c>
      <c r="G1039" s="1">
        <v>2080</v>
      </c>
      <c r="H1039" s="1">
        <v>3744</v>
      </c>
      <c r="I1039" s="1">
        <v>0</v>
      </c>
      <c r="J1039" s="1">
        <v>126</v>
      </c>
      <c r="K1039" s="1">
        <f t="shared" si="205"/>
        <v>0</v>
      </c>
      <c r="L1039" s="1">
        <f t="shared" si="210"/>
        <v>1.0994711538461537</v>
      </c>
      <c r="M1039" s="1">
        <f t="shared" si="211"/>
        <v>1.0994711538461537</v>
      </c>
      <c r="N1039" s="2">
        <f t="shared" si="206"/>
        <v>15.280073461891647</v>
      </c>
      <c r="O1039" s="1">
        <v>792</v>
      </c>
      <c r="P1039" s="1">
        <f t="shared" si="212"/>
        <v>1080</v>
      </c>
      <c r="Q1039" s="1">
        <f t="shared" si="213"/>
        <v>5.9420955904809452</v>
      </c>
      <c r="R1039" s="1">
        <f t="shared" si="214"/>
        <v>3.4281320714313144</v>
      </c>
      <c r="S1039" s="2">
        <f t="shared" si="215"/>
        <v>12.645100743057345</v>
      </c>
      <c r="T1039" s="2">
        <f t="shared" si="216"/>
        <v>0.22069864221273217</v>
      </c>
      <c r="U1039" s="1" t="s">
        <v>2507</v>
      </c>
      <c r="V1039" s="6" t="s">
        <v>2505</v>
      </c>
    </row>
    <row r="1040" spans="1:24" ht="14.25" customHeight="1" x14ac:dyDescent="0.3">
      <c r="A1040" s="1" t="s">
        <v>17</v>
      </c>
      <c r="B1040" s="1" t="s">
        <v>2061</v>
      </c>
      <c r="C1040" s="1" t="s">
        <v>2062</v>
      </c>
      <c r="D1040" s="1">
        <f t="shared" si="207"/>
        <v>45</v>
      </c>
      <c r="E1040" s="1">
        <f t="shared" si="208"/>
        <v>0.99331018518518521</v>
      </c>
      <c r="F1040" s="2">
        <f t="shared" si="209"/>
        <v>283.99452173110882</v>
      </c>
      <c r="G1040" s="1">
        <v>2080</v>
      </c>
      <c r="H1040" s="1">
        <v>3744</v>
      </c>
      <c r="I1040" s="1">
        <v>0</v>
      </c>
      <c r="J1040" s="1">
        <v>183</v>
      </c>
      <c r="K1040" s="1">
        <f t="shared" si="205"/>
        <v>0</v>
      </c>
      <c r="L1040" s="1">
        <f t="shared" si="210"/>
        <v>1.5968509615384614</v>
      </c>
      <c r="M1040" s="1">
        <f t="shared" si="211"/>
        <v>1.5968509615384614</v>
      </c>
      <c r="N1040" s="2">
        <f t="shared" si="206"/>
        <v>10.520706318023755</v>
      </c>
      <c r="O1040" s="1">
        <v>790</v>
      </c>
      <c r="P1040" s="1">
        <f t="shared" si="212"/>
        <v>1082</v>
      </c>
      <c r="Q1040" s="1">
        <f t="shared" si="213"/>
        <v>4.0912789311508142</v>
      </c>
      <c r="R1040" s="1">
        <f t="shared" si="214"/>
        <v>2.3647242540091775</v>
      </c>
      <c r="S1040" s="2">
        <f t="shared" si="215"/>
        <v>12.667762566766225</v>
      </c>
      <c r="T1040" s="2">
        <f t="shared" si="216"/>
        <v>0.22109416565095863</v>
      </c>
      <c r="U1040" s="1" t="s">
        <v>2507</v>
      </c>
      <c r="V1040" s="6" t="s">
        <v>2505</v>
      </c>
    </row>
    <row r="1041" spans="1:22" ht="14.25" customHeight="1" x14ac:dyDescent="0.3">
      <c r="A1041" s="1" t="s">
        <v>17</v>
      </c>
      <c r="B1041" s="1" t="s">
        <v>2063</v>
      </c>
      <c r="C1041" s="1" t="s">
        <v>2064</v>
      </c>
      <c r="D1041" s="1">
        <f t="shared" si="207"/>
        <v>23</v>
      </c>
      <c r="E1041" s="1">
        <f t="shared" si="208"/>
        <v>0.29678240740740741</v>
      </c>
      <c r="F1041" s="2">
        <f t="shared" si="209"/>
        <v>141.38803187378207</v>
      </c>
      <c r="G1041" s="1">
        <v>2080</v>
      </c>
      <c r="H1041" s="1">
        <v>3744</v>
      </c>
      <c r="I1041" s="1">
        <v>0</v>
      </c>
      <c r="J1041" s="1">
        <v>219</v>
      </c>
      <c r="K1041" s="1">
        <f t="shared" si="205"/>
        <v>0</v>
      </c>
      <c r="L1041" s="1">
        <f t="shared" si="210"/>
        <v>1.9109855769230768</v>
      </c>
      <c r="M1041" s="1">
        <f t="shared" si="211"/>
        <v>1.9109855769230768</v>
      </c>
      <c r="N1041" s="2">
        <f t="shared" si="206"/>
        <v>8.7912751424582076</v>
      </c>
      <c r="O1041" s="1">
        <v>789</v>
      </c>
      <c r="P1041" s="1">
        <f t="shared" si="212"/>
        <v>1083</v>
      </c>
      <c r="Q1041" s="1">
        <f t="shared" si="213"/>
        <v>3.4187399287698588</v>
      </c>
      <c r="R1041" s="1">
        <f t="shared" si="214"/>
        <v>1.9778287087915372</v>
      </c>
      <c r="S1041" s="2">
        <f t="shared" si="215"/>
        <v>12.679091968266965</v>
      </c>
      <c r="T1041" s="2">
        <f t="shared" si="216"/>
        <v>0.22129190100942694</v>
      </c>
      <c r="U1041" s="1" t="s">
        <v>2507</v>
      </c>
      <c r="V1041" s="6" t="s">
        <v>2505</v>
      </c>
    </row>
    <row r="1042" spans="1:22" ht="14.25" customHeight="1" x14ac:dyDescent="0.3">
      <c r="A1042" s="1" t="s">
        <v>27</v>
      </c>
      <c r="B1042" s="1" t="s">
        <v>2065</v>
      </c>
      <c r="C1042" s="1" t="s">
        <v>2066</v>
      </c>
      <c r="D1042" s="1">
        <f t="shared" si="207"/>
        <v>77</v>
      </c>
      <c r="E1042" s="1">
        <f t="shared" si="208"/>
        <v>0.7868750000000001</v>
      </c>
      <c r="F1042" s="2">
        <f t="shared" si="209"/>
        <v>483.75938103841509</v>
      </c>
      <c r="G1042" s="1">
        <v>2080</v>
      </c>
      <c r="H1042" s="1">
        <v>3744</v>
      </c>
      <c r="I1042" s="1">
        <v>0</v>
      </c>
      <c r="J1042" s="1">
        <v>199</v>
      </c>
      <c r="K1042" s="1">
        <f t="shared" si="205"/>
        <v>0</v>
      </c>
      <c r="L1042" s="1">
        <f t="shared" si="210"/>
        <v>1.7364663461538461</v>
      </c>
      <c r="M1042" s="1">
        <f t="shared" si="211"/>
        <v>1.7364663461538461</v>
      </c>
      <c r="N1042" s="2">
        <f t="shared" si="206"/>
        <v>9.6748203829062671</v>
      </c>
      <c r="O1042" s="1">
        <v>786</v>
      </c>
      <c r="P1042" s="1">
        <f t="shared" si="212"/>
        <v>1086</v>
      </c>
      <c r="Q1042" s="1">
        <f t="shared" si="213"/>
        <v>3.762331881410045</v>
      </c>
      <c r="R1042" s="1">
        <f t="shared" si="214"/>
        <v>2.1826348414590329</v>
      </c>
      <c r="S1042" s="2">
        <f t="shared" si="215"/>
        <v>12.713074122337206</v>
      </c>
      <c r="T1042" s="2">
        <f t="shared" si="216"/>
        <v>0.22188500148487264</v>
      </c>
      <c r="U1042" s="1" t="s">
        <v>2507</v>
      </c>
      <c r="V1042" s="6" t="s">
        <v>2505</v>
      </c>
    </row>
    <row r="1043" spans="1:22" ht="14.25" customHeight="1" x14ac:dyDescent="0.3">
      <c r="A1043" s="1" t="s">
        <v>40</v>
      </c>
      <c r="B1043" s="1" t="s">
        <v>2067</v>
      </c>
      <c r="C1043" s="1" t="s">
        <v>2068</v>
      </c>
      <c r="D1043" s="1">
        <f t="shared" si="207"/>
        <v>35</v>
      </c>
      <c r="E1043" s="1">
        <f t="shared" si="208"/>
        <v>0.27158564814814817</v>
      </c>
      <c r="F1043" s="2">
        <f t="shared" si="209"/>
        <v>216.6279396523708</v>
      </c>
      <c r="G1043" s="1">
        <v>2080</v>
      </c>
      <c r="H1043" s="1">
        <v>3744</v>
      </c>
      <c r="I1043" s="1">
        <v>0</v>
      </c>
      <c r="J1043" s="1">
        <v>212</v>
      </c>
      <c r="K1043" s="1">
        <f t="shared" si="205"/>
        <v>0</v>
      </c>
      <c r="L1043" s="1">
        <f t="shared" si="210"/>
        <v>1.849903846153846</v>
      </c>
      <c r="M1043" s="1">
        <f t="shared" si="211"/>
        <v>1.849903846153846</v>
      </c>
      <c r="N1043" s="2">
        <f t="shared" si="206"/>
        <v>9.0815530952752237</v>
      </c>
      <c r="O1043" s="1">
        <v>782</v>
      </c>
      <c r="P1043" s="1">
        <f t="shared" si="212"/>
        <v>1090</v>
      </c>
      <c r="Q1043" s="1">
        <f t="shared" si="213"/>
        <v>3.531622850946222</v>
      </c>
      <c r="R1043" s="1">
        <f t="shared" si="214"/>
        <v>2.0563402283821488</v>
      </c>
      <c r="S1043" s="2">
        <f t="shared" si="215"/>
        <v>12.758369515411447</v>
      </c>
      <c r="T1043" s="2">
        <f t="shared" si="216"/>
        <v>0.22267555523000318</v>
      </c>
      <c r="U1043" s="1" t="s">
        <v>2507</v>
      </c>
      <c r="V1043" s="6" t="s">
        <v>2505</v>
      </c>
    </row>
    <row r="1044" spans="1:22" ht="14.25" customHeight="1" x14ac:dyDescent="0.3">
      <c r="A1044" s="1" t="s">
        <v>27</v>
      </c>
      <c r="B1044" s="1" t="s">
        <v>2069</v>
      </c>
      <c r="C1044" s="1" t="s">
        <v>2070</v>
      </c>
      <c r="D1044" s="1">
        <f t="shared" si="207"/>
        <v>30</v>
      </c>
      <c r="E1044" s="1">
        <f t="shared" si="208"/>
        <v>1.7245370370370372E-3</v>
      </c>
      <c r="F1044" s="2">
        <f t="shared" si="209"/>
        <v>183.51642574816037</v>
      </c>
      <c r="G1044" s="1">
        <v>2080</v>
      </c>
      <c r="H1044" s="1">
        <v>3744</v>
      </c>
      <c r="I1044" s="1">
        <v>0</v>
      </c>
      <c r="J1044" s="1">
        <v>213</v>
      </c>
      <c r="K1044" s="1">
        <f t="shared" si="205"/>
        <v>0</v>
      </c>
      <c r="L1044" s="1">
        <f t="shared" si="210"/>
        <v>1.8586298076923076</v>
      </c>
      <c r="M1044" s="1">
        <f t="shared" si="211"/>
        <v>1.8586298076923076</v>
      </c>
      <c r="N1044" s="2">
        <f t="shared" si="206"/>
        <v>9.0389166957668881</v>
      </c>
      <c r="O1044" s="1">
        <v>780</v>
      </c>
      <c r="P1044" s="1">
        <f t="shared" si="212"/>
        <v>1092</v>
      </c>
      <c r="Q1044" s="1">
        <f t="shared" si="213"/>
        <v>3.5150424619746428</v>
      </c>
      <c r="R1044" s="1">
        <f t="shared" si="214"/>
        <v>2.0504414361518752</v>
      </c>
      <c r="S1044" s="2">
        <f t="shared" si="215"/>
        <v>12.781011136026377</v>
      </c>
      <c r="T1044" s="2">
        <f t="shared" si="216"/>
        <v>0.22307072605772113</v>
      </c>
      <c r="U1044" s="1" t="s">
        <v>2507</v>
      </c>
      <c r="V1044" s="6" t="s">
        <v>2505</v>
      </c>
    </row>
    <row r="1045" spans="1:22" ht="14.25" customHeight="1" x14ac:dyDescent="0.3">
      <c r="A1045" s="1" t="s">
        <v>27</v>
      </c>
      <c r="B1045" s="1" t="s">
        <v>2071</v>
      </c>
      <c r="C1045" s="1" t="s">
        <v>2072</v>
      </c>
      <c r="D1045" s="1">
        <f t="shared" si="207"/>
        <v>54</v>
      </c>
      <c r="E1045" s="1">
        <f t="shared" si="208"/>
        <v>0.175625</v>
      </c>
      <c r="F1045" s="2">
        <f t="shared" si="209"/>
        <v>335.40552195427108</v>
      </c>
      <c r="G1045" s="1">
        <v>2080</v>
      </c>
      <c r="H1045" s="1">
        <v>3744</v>
      </c>
      <c r="I1045" s="1">
        <v>0</v>
      </c>
      <c r="J1045" s="1">
        <v>173</v>
      </c>
      <c r="K1045" s="1">
        <f t="shared" si="205"/>
        <v>0</v>
      </c>
      <c r="L1045" s="1">
        <f t="shared" si="210"/>
        <v>1.5095913461538462</v>
      </c>
      <c r="M1045" s="1">
        <f t="shared" si="211"/>
        <v>1.5095913461538462</v>
      </c>
      <c r="N1045" s="2">
        <f t="shared" ref="N1045:N1076" si="217">42*0.4/M1045</f>
        <v>11.128839631204318</v>
      </c>
      <c r="O1045" s="1">
        <v>780</v>
      </c>
      <c r="P1045" s="1">
        <f t="shared" si="212"/>
        <v>1092</v>
      </c>
      <c r="Q1045" s="1">
        <f t="shared" si="213"/>
        <v>4.3277690427780282</v>
      </c>
      <c r="R1045" s="1">
        <f t="shared" si="214"/>
        <v>2.5245319416205168</v>
      </c>
      <c r="S1045" s="2">
        <f t="shared" si="215"/>
        <v>12.781011136026377</v>
      </c>
      <c r="T1045" s="2">
        <f t="shared" si="216"/>
        <v>0.22307072605772113</v>
      </c>
      <c r="U1045" s="1" t="s">
        <v>2507</v>
      </c>
      <c r="V1045" s="6" t="s">
        <v>2505</v>
      </c>
    </row>
    <row r="1046" spans="1:22" ht="14.25" customHeight="1" x14ac:dyDescent="0.3">
      <c r="A1046" s="1" t="s">
        <v>27</v>
      </c>
      <c r="B1046" s="1" t="s">
        <v>2073</v>
      </c>
      <c r="C1046" s="1" t="s">
        <v>2074</v>
      </c>
      <c r="D1046" s="1">
        <f t="shared" si="207"/>
        <v>55</v>
      </c>
      <c r="E1046" s="1">
        <f t="shared" si="208"/>
        <v>0.71971064814814811</v>
      </c>
      <c r="F1046" s="2">
        <f t="shared" si="209"/>
        <v>345.10729821174243</v>
      </c>
      <c r="G1046" s="1">
        <v>2080</v>
      </c>
      <c r="H1046" s="1">
        <v>3744</v>
      </c>
      <c r="I1046" s="1">
        <v>0</v>
      </c>
      <c r="J1046" s="1">
        <v>300</v>
      </c>
      <c r="K1046" s="1">
        <f t="shared" si="205"/>
        <v>0</v>
      </c>
      <c r="L1046" s="1">
        <f t="shared" si="210"/>
        <v>2.6177884615384617</v>
      </c>
      <c r="M1046" s="1">
        <f t="shared" si="211"/>
        <v>2.6177884615384617</v>
      </c>
      <c r="N1046" s="2">
        <f t="shared" si="217"/>
        <v>6.4176308539944902</v>
      </c>
      <c r="O1046" s="1">
        <v>780</v>
      </c>
      <c r="P1046" s="1">
        <f t="shared" si="212"/>
        <v>1092</v>
      </c>
      <c r="Q1046" s="1">
        <f t="shared" si="213"/>
        <v>2.4956801480019966</v>
      </c>
      <c r="R1046" s="1">
        <f t="shared" si="214"/>
        <v>1.4558134196678314</v>
      </c>
      <c r="S1046" s="2">
        <f t="shared" si="215"/>
        <v>12.781011136026377</v>
      </c>
      <c r="T1046" s="2">
        <f t="shared" si="216"/>
        <v>0.22307072605772113</v>
      </c>
      <c r="U1046" s="1" t="s">
        <v>2507</v>
      </c>
      <c r="V1046" s="6" t="s">
        <v>2505</v>
      </c>
    </row>
    <row r="1047" spans="1:22" ht="14.25" customHeight="1" x14ac:dyDescent="0.3">
      <c r="A1047" s="1" t="s">
        <v>27</v>
      </c>
      <c r="B1047" s="1" t="s">
        <v>2075</v>
      </c>
      <c r="C1047" s="1" t="s">
        <v>2076</v>
      </c>
      <c r="D1047" s="1">
        <f t="shared" si="207"/>
        <v>38</v>
      </c>
      <c r="E1047" s="1">
        <f t="shared" si="208"/>
        <v>0.74356481481481485</v>
      </c>
      <c r="F1047" s="2">
        <f t="shared" si="209"/>
        <v>238.44302813920444</v>
      </c>
      <c r="G1047" s="1">
        <v>2080</v>
      </c>
      <c r="H1047" s="1">
        <v>3744</v>
      </c>
      <c r="I1047" s="1">
        <v>0</v>
      </c>
      <c r="J1047" s="1">
        <v>200</v>
      </c>
      <c r="K1047" s="1">
        <f t="shared" si="205"/>
        <v>0</v>
      </c>
      <c r="L1047" s="1">
        <f t="shared" si="210"/>
        <v>1.7451923076923075</v>
      </c>
      <c r="M1047" s="1">
        <f t="shared" si="211"/>
        <v>1.7451923076923075</v>
      </c>
      <c r="N1047" s="2">
        <f t="shared" si="217"/>
        <v>9.6264462809917379</v>
      </c>
      <c r="O1047" s="1">
        <v>779</v>
      </c>
      <c r="P1047" s="1">
        <f t="shared" si="212"/>
        <v>1093</v>
      </c>
      <c r="Q1047" s="1">
        <f t="shared" si="213"/>
        <v>3.7435202220029957</v>
      </c>
      <c r="R1047" s="1">
        <f t="shared" si="214"/>
        <v>2.1857198732100827</v>
      </c>
      <c r="S1047" s="2">
        <f t="shared" si="215"/>
        <v>12.792330424735093</v>
      </c>
      <c r="T1047" s="2">
        <f t="shared" si="216"/>
        <v>0.22326828491467204</v>
      </c>
      <c r="U1047" s="1" t="s">
        <v>2507</v>
      </c>
      <c r="V1047" s="6" t="s">
        <v>2505</v>
      </c>
    </row>
    <row r="1048" spans="1:22" ht="14.25" customHeight="1" x14ac:dyDescent="0.3">
      <c r="A1048" s="1" t="s">
        <v>27</v>
      </c>
      <c r="B1048" s="1" t="s">
        <v>2077</v>
      </c>
      <c r="C1048" s="1" t="s">
        <v>2078</v>
      </c>
      <c r="D1048" s="1">
        <f t="shared" si="207"/>
        <v>55</v>
      </c>
      <c r="E1048" s="1">
        <f t="shared" si="208"/>
        <v>0.71972222222222226</v>
      </c>
      <c r="F1048" s="2">
        <f t="shared" si="209"/>
        <v>345.10737093379458</v>
      </c>
      <c r="G1048" s="1">
        <v>2080</v>
      </c>
      <c r="H1048" s="1">
        <v>3744</v>
      </c>
      <c r="I1048" s="1">
        <v>0</v>
      </c>
      <c r="J1048" s="1">
        <v>312</v>
      </c>
      <c r="K1048" s="1">
        <f t="shared" si="205"/>
        <v>0</v>
      </c>
      <c r="L1048" s="1">
        <f t="shared" si="210"/>
        <v>2.7224999999999997</v>
      </c>
      <c r="M1048" s="1">
        <f t="shared" si="211"/>
        <v>2.7224999999999997</v>
      </c>
      <c r="N1048" s="2">
        <f t="shared" si="217"/>
        <v>6.1707988980716264</v>
      </c>
      <c r="O1048" s="1">
        <v>777</v>
      </c>
      <c r="P1048" s="1">
        <f t="shared" si="212"/>
        <v>1095</v>
      </c>
      <c r="Q1048" s="1">
        <f t="shared" si="213"/>
        <v>2.3996924500019201</v>
      </c>
      <c r="R1048" s="1">
        <f t="shared" si="214"/>
        <v>1.4036662568120206</v>
      </c>
      <c r="S1048" s="2">
        <f t="shared" si="215"/>
        <v>12.814965955219803</v>
      </c>
      <c r="T1048" s="2">
        <f t="shared" si="216"/>
        <v>0.22366334944956578</v>
      </c>
      <c r="U1048" s="1" t="s">
        <v>2507</v>
      </c>
      <c r="V1048" s="6" t="s">
        <v>2505</v>
      </c>
    </row>
    <row r="1049" spans="1:22" ht="14.25" customHeight="1" x14ac:dyDescent="0.3">
      <c r="A1049" s="1" t="s">
        <v>286</v>
      </c>
      <c r="B1049" s="1" t="s">
        <v>2079</v>
      </c>
      <c r="C1049" s="1" t="s">
        <v>2080</v>
      </c>
      <c r="D1049" s="1">
        <f t="shared" si="207"/>
        <v>63</v>
      </c>
      <c r="E1049" s="1">
        <f t="shared" si="208"/>
        <v>0.96451388888888889</v>
      </c>
      <c r="F1049" s="2">
        <f t="shared" si="209"/>
        <v>396.91092479455125</v>
      </c>
      <c r="G1049" s="1">
        <v>2080</v>
      </c>
      <c r="H1049" s="1">
        <v>3744</v>
      </c>
      <c r="I1049" s="1">
        <v>0</v>
      </c>
      <c r="J1049" s="1">
        <v>351</v>
      </c>
      <c r="K1049" s="1">
        <f t="shared" si="205"/>
        <v>0</v>
      </c>
      <c r="L1049" s="1">
        <f t="shared" si="210"/>
        <v>3.0628124999999997</v>
      </c>
      <c r="M1049" s="1">
        <f t="shared" si="211"/>
        <v>3.0628124999999997</v>
      </c>
      <c r="N1049" s="2">
        <f t="shared" si="217"/>
        <v>5.4851545760636675</v>
      </c>
      <c r="O1049" s="1">
        <v>774</v>
      </c>
      <c r="P1049" s="1">
        <f t="shared" si="212"/>
        <v>1098</v>
      </c>
      <c r="Q1049" s="1">
        <f t="shared" si="213"/>
        <v>2.133059955557262</v>
      </c>
      <c r="R1049" s="1">
        <f t="shared" si="214"/>
        <v>1.2511217047018557</v>
      </c>
      <c r="S1049" s="2">
        <f t="shared" si="215"/>
        <v>12.848911622422943</v>
      </c>
      <c r="T1049" s="2">
        <f t="shared" si="216"/>
        <v>0.22425581310904683</v>
      </c>
      <c r="U1049" s="1" t="s">
        <v>2507</v>
      </c>
      <c r="V1049" s="6" t="s">
        <v>2505</v>
      </c>
    </row>
    <row r="1050" spans="1:22" ht="14.25" customHeight="1" x14ac:dyDescent="0.3">
      <c r="A1050" s="1" t="s">
        <v>40</v>
      </c>
      <c r="B1050" s="1" t="s">
        <v>2081</v>
      </c>
      <c r="C1050" s="1" t="s">
        <v>2082</v>
      </c>
      <c r="D1050" s="1">
        <f t="shared" si="207"/>
        <v>36</v>
      </c>
      <c r="E1050" s="1">
        <f t="shared" si="208"/>
        <v>1.3692129629629629E-2</v>
      </c>
      <c r="F1050" s="2">
        <f t="shared" si="209"/>
        <v>221.290732193178</v>
      </c>
      <c r="G1050" s="1">
        <v>2080</v>
      </c>
      <c r="H1050" s="1">
        <v>3744</v>
      </c>
      <c r="I1050" s="1">
        <v>0</v>
      </c>
      <c r="J1050" s="1">
        <v>113</v>
      </c>
      <c r="K1050" s="1">
        <f t="shared" si="205"/>
        <v>0</v>
      </c>
      <c r="L1050" s="1">
        <f t="shared" si="210"/>
        <v>0.98603365384615371</v>
      </c>
      <c r="M1050" s="1">
        <f t="shared" si="211"/>
        <v>0.98603365384615371</v>
      </c>
      <c r="N1050" s="2">
        <f t="shared" si="217"/>
        <v>17.0379580194544</v>
      </c>
      <c r="O1050" s="1">
        <v>773</v>
      </c>
      <c r="P1050" s="1">
        <f t="shared" si="212"/>
        <v>1099</v>
      </c>
      <c r="Q1050" s="1">
        <f t="shared" si="213"/>
        <v>6.6256995079699026</v>
      </c>
      <c r="R1050" s="1">
        <f t="shared" si="214"/>
        <v>3.8897669654160913</v>
      </c>
      <c r="S1050" s="2">
        <f t="shared" si="215"/>
        <v>12.860224807569537</v>
      </c>
      <c r="T1050" s="2">
        <f t="shared" si="216"/>
        <v>0.22445326543874261</v>
      </c>
      <c r="U1050" s="1" t="s">
        <v>2507</v>
      </c>
      <c r="V1050" s="6" t="s">
        <v>2505</v>
      </c>
    </row>
    <row r="1051" spans="1:22" ht="14.25" customHeight="1" x14ac:dyDescent="0.3">
      <c r="A1051" s="1" t="s">
        <v>27</v>
      </c>
      <c r="B1051" s="1" t="s">
        <v>2083</v>
      </c>
      <c r="C1051" s="1" t="s">
        <v>2084</v>
      </c>
      <c r="D1051" s="1">
        <f t="shared" si="207"/>
        <v>26</v>
      </c>
      <c r="E1051" s="1">
        <f t="shared" si="208"/>
        <v>0.18842592592592591</v>
      </c>
      <c r="F1051" s="2">
        <f t="shared" si="209"/>
        <v>159.55676394293872</v>
      </c>
      <c r="G1051" s="1">
        <v>2080</v>
      </c>
      <c r="H1051" s="1">
        <v>3744</v>
      </c>
      <c r="I1051" s="1">
        <v>0</v>
      </c>
      <c r="J1051" s="1">
        <v>290</v>
      </c>
      <c r="K1051" s="1">
        <f t="shared" si="205"/>
        <v>0</v>
      </c>
      <c r="L1051" s="1">
        <f t="shared" si="210"/>
        <v>2.530528846153846</v>
      </c>
      <c r="M1051" s="1">
        <f t="shared" si="211"/>
        <v>2.530528846153846</v>
      </c>
      <c r="N1051" s="2">
        <f t="shared" si="217"/>
        <v>6.6389284696494739</v>
      </c>
      <c r="O1051" s="1">
        <v>771</v>
      </c>
      <c r="P1051" s="1">
        <f t="shared" si="212"/>
        <v>1101</v>
      </c>
      <c r="Q1051" s="1">
        <f t="shared" si="213"/>
        <v>2.5817380841399968</v>
      </c>
      <c r="R1051" s="1">
        <f t="shared" si="214"/>
        <v>1.5184260847425943</v>
      </c>
      <c r="S1051" s="2">
        <f t="shared" si="215"/>
        <v>12.88284811751436</v>
      </c>
      <c r="T1051" s="2">
        <f t="shared" si="216"/>
        <v>0.22484811668497895</v>
      </c>
      <c r="U1051" s="1" t="s">
        <v>2507</v>
      </c>
      <c r="V1051" s="6" t="s">
        <v>2505</v>
      </c>
    </row>
    <row r="1052" spans="1:22" ht="14.25" customHeight="1" x14ac:dyDescent="0.3">
      <c r="A1052" s="1" t="s">
        <v>27</v>
      </c>
      <c r="B1052" s="1" t="s">
        <v>2085</v>
      </c>
      <c r="C1052" s="1" t="s">
        <v>2086</v>
      </c>
      <c r="D1052" s="1">
        <f t="shared" si="207"/>
        <v>90</v>
      </c>
      <c r="E1052" s="1">
        <f t="shared" si="208"/>
        <v>0.81497685185185187</v>
      </c>
      <c r="F1052" s="2">
        <f t="shared" si="209"/>
        <v>565.61735917440978</v>
      </c>
      <c r="G1052" s="1">
        <v>2080</v>
      </c>
      <c r="H1052" s="1">
        <v>3744</v>
      </c>
      <c r="I1052" s="1">
        <v>0</v>
      </c>
      <c r="J1052" s="1">
        <v>206</v>
      </c>
      <c r="K1052" s="1">
        <f t="shared" si="205"/>
        <v>0</v>
      </c>
      <c r="L1052" s="1">
        <f t="shared" si="210"/>
        <v>1.7975480769230767</v>
      </c>
      <c r="M1052" s="1">
        <f t="shared" si="211"/>
        <v>1.7975480769230767</v>
      </c>
      <c r="N1052" s="2">
        <f t="shared" si="217"/>
        <v>9.3460643504774144</v>
      </c>
      <c r="O1052" s="1">
        <v>769</v>
      </c>
      <c r="P1052" s="1">
        <f t="shared" si="212"/>
        <v>1103</v>
      </c>
      <c r="Q1052" s="1">
        <f t="shared" si="213"/>
        <v>3.6344856524300924</v>
      </c>
      <c r="R1052" s="1">
        <f t="shared" si="214"/>
        <v>2.1414731167897392</v>
      </c>
      <c r="S1052" s="2">
        <f t="shared" si="215"/>
        <v>12.905467342037738</v>
      </c>
      <c r="T1052" s="2">
        <f t="shared" si="216"/>
        <v>0.22524289662715974</v>
      </c>
      <c r="U1052" s="1" t="s">
        <v>2507</v>
      </c>
      <c r="V1052" s="6" t="s">
        <v>2505</v>
      </c>
    </row>
    <row r="1053" spans="1:22" ht="14.25" customHeight="1" x14ac:dyDescent="0.3">
      <c r="A1053" s="1" t="s">
        <v>40</v>
      </c>
      <c r="B1053" s="1" t="s">
        <v>2087</v>
      </c>
      <c r="C1053" s="1" t="s">
        <v>2088</v>
      </c>
      <c r="D1053" s="1">
        <f t="shared" si="207"/>
        <v>77</v>
      </c>
      <c r="E1053" s="1">
        <f t="shared" si="208"/>
        <v>0.29114583333333333</v>
      </c>
      <c r="F1053" s="2">
        <f t="shared" si="209"/>
        <v>480.64462282207472</v>
      </c>
      <c r="G1053" s="1">
        <v>2080</v>
      </c>
      <c r="H1053" s="1">
        <v>3744</v>
      </c>
      <c r="I1053" s="1">
        <v>0</v>
      </c>
      <c r="J1053" s="1">
        <v>319</v>
      </c>
      <c r="K1053" s="1">
        <f t="shared" si="205"/>
        <v>0</v>
      </c>
      <c r="L1053" s="1">
        <f t="shared" si="210"/>
        <v>2.7835817307692303</v>
      </c>
      <c r="M1053" s="1">
        <f t="shared" si="211"/>
        <v>2.7835817307692303</v>
      </c>
      <c r="N1053" s="2">
        <f t="shared" si="217"/>
        <v>6.035389517863158</v>
      </c>
      <c r="O1053" s="1">
        <v>768</v>
      </c>
      <c r="P1053" s="1">
        <f t="shared" si="212"/>
        <v>1104</v>
      </c>
      <c r="Q1053" s="1">
        <f t="shared" si="213"/>
        <v>2.3470346219454514</v>
      </c>
      <c r="R1053" s="1">
        <f t="shared" si="214"/>
        <v>1.3841486231985995</v>
      </c>
      <c r="S1053" s="2">
        <f t="shared" si="215"/>
        <v>12.916775420409225</v>
      </c>
      <c r="T1053" s="2">
        <f t="shared" si="216"/>
        <v>0.22544025982681573</v>
      </c>
      <c r="U1053" s="1" t="s">
        <v>2507</v>
      </c>
      <c r="V1053" s="6" t="s">
        <v>2505</v>
      </c>
    </row>
    <row r="1054" spans="1:22" ht="14.25" customHeight="1" x14ac:dyDescent="0.3">
      <c r="A1054" s="1" t="s">
        <v>17</v>
      </c>
      <c r="B1054" s="1" t="s">
        <v>914</v>
      </c>
      <c r="C1054" s="1" t="s">
        <v>915</v>
      </c>
      <c r="D1054" s="1">
        <f t="shared" si="207"/>
        <v>54</v>
      </c>
      <c r="E1054" s="1">
        <f t="shared" si="208"/>
        <v>1.4166666666666666E-2</v>
      </c>
      <c r="F1054" s="2">
        <f t="shared" si="209"/>
        <v>334.39104932654942</v>
      </c>
      <c r="G1054" s="1">
        <v>2080</v>
      </c>
      <c r="H1054" s="1">
        <v>3744</v>
      </c>
      <c r="I1054" s="1">
        <v>0</v>
      </c>
      <c r="J1054" s="1">
        <v>405</v>
      </c>
      <c r="K1054" s="1">
        <f t="shared" si="205"/>
        <v>0</v>
      </c>
      <c r="L1054" s="1">
        <f t="shared" si="210"/>
        <v>3.5340144230769228</v>
      </c>
      <c r="M1054" s="1">
        <f t="shared" si="211"/>
        <v>3.5340144230769228</v>
      </c>
      <c r="N1054" s="2">
        <f t="shared" si="217"/>
        <v>4.7538006325885123</v>
      </c>
      <c r="O1054" s="1">
        <v>768</v>
      </c>
      <c r="P1054" s="1">
        <f t="shared" si="212"/>
        <v>1104</v>
      </c>
      <c r="Q1054" s="1">
        <f t="shared" si="213"/>
        <v>1.8486519614829606</v>
      </c>
      <c r="R1054" s="1">
        <f t="shared" si="214"/>
        <v>1.0902306439514897</v>
      </c>
      <c r="S1054" s="2">
        <f t="shared" si="215"/>
        <v>12.916775420409227</v>
      </c>
      <c r="T1054" s="2">
        <f t="shared" si="216"/>
        <v>0.22544025982681579</v>
      </c>
      <c r="U1054" s="1" t="s">
        <v>2507</v>
      </c>
      <c r="V1054" s="6" t="s">
        <v>2505</v>
      </c>
    </row>
    <row r="1055" spans="1:22" ht="14.25" customHeight="1" x14ac:dyDescent="0.3">
      <c r="A1055" s="1" t="s">
        <v>27</v>
      </c>
      <c r="B1055" s="1" t="s">
        <v>2089</v>
      </c>
      <c r="C1055" s="1" t="s">
        <v>2090</v>
      </c>
      <c r="D1055" s="1">
        <f t="shared" si="207"/>
        <v>54</v>
      </c>
      <c r="E1055" s="1">
        <f t="shared" si="208"/>
        <v>0.17806712962962964</v>
      </c>
      <c r="F1055" s="2">
        <f t="shared" si="209"/>
        <v>335.42086630727823</v>
      </c>
      <c r="G1055" s="1">
        <v>2080</v>
      </c>
      <c r="H1055" s="1">
        <v>3744</v>
      </c>
      <c r="I1055" s="1">
        <v>0</v>
      </c>
      <c r="J1055" s="1">
        <v>170</v>
      </c>
      <c r="K1055" s="1">
        <f t="shared" si="205"/>
        <v>0</v>
      </c>
      <c r="L1055" s="1">
        <f t="shared" si="210"/>
        <v>1.4834134615384613</v>
      </c>
      <c r="M1055" s="1">
        <f t="shared" si="211"/>
        <v>1.4834134615384613</v>
      </c>
      <c r="N1055" s="2">
        <f t="shared" si="217"/>
        <v>11.325230918813809</v>
      </c>
      <c r="O1055" s="1">
        <v>768</v>
      </c>
      <c r="P1055" s="1">
        <f t="shared" si="212"/>
        <v>1104</v>
      </c>
      <c r="Q1055" s="1">
        <f t="shared" si="213"/>
        <v>4.4041414376505825</v>
      </c>
      <c r="R1055" s="1">
        <f t="shared" si="214"/>
        <v>2.5973141811785485</v>
      </c>
      <c r="S1055" s="2">
        <f t="shared" si="215"/>
        <v>12.916775420409225</v>
      </c>
      <c r="T1055" s="2">
        <f t="shared" si="216"/>
        <v>0.22544025982681573</v>
      </c>
      <c r="U1055" s="1" t="s">
        <v>2507</v>
      </c>
      <c r="V1055" s="6" t="s">
        <v>2505</v>
      </c>
    </row>
    <row r="1056" spans="1:22" ht="14.25" customHeight="1" x14ac:dyDescent="0.3">
      <c r="A1056" s="1" t="s">
        <v>881</v>
      </c>
      <c r="B1056" s="1" t="s">
        <v>2091</v>
      </c>
      <c r="C1056" s="1" t="s">
        <v>2092</v>
      </c>
      <c r="D1056" s="1">
        <f t="shared" si="207"/>
        <v>89</v>
      </c>
      <c r="E1056" s="1">
        <f t="shared" si="208"/>
        <v>0.72313657407407417</v>
      </c>
      <c r="F1056" s="2">
        <f t="shared" si="209"/>
        <v>558.75712438328958</v>
      </c>
      <c r="G1056" s="1">
        <v>2080</v>
      </c>
      <c r="H1056" s="1">
        <v>3744</v>
      </c>
      <c r="I1056" s="1">
        <v>0</v>
      </c>
      <c r="J1056" s="1">
        <v>340</v>
      </c>
      <c r="K1056" s="1">
        <f t="shared" si="205"/>
        <v>0</v>
      </c>
      <c r="L1056" s="1">
        <f t="shared" si="210"/>
        <v>2.9668269230769226</v>
      </c>
      <c r="M1056" s="1">
        <f t="shared" si="211"/>
        <v>2.9668269230769226</v>
      </c>
      <c r="N1056" s="2">
        <f t="shared" si="217"/>
        <v>5.6626154594069043</v>
      </c>
      <c r="O1056" s="1">
        <v>767</v>
      </c>
      <c r="P1056" s="1">
        <f t="shared" si="212"/>
        <v>1105</v>
      </c>
      <c r="Q1056" s="1">
        <f t="shared" si="213"/>
        <v>2.2020707188252913</v>
      </c>
      <c r="R1056" s="1">
        <f t="shared" si="214"/>
        <v>1.2998334104177067</v>
      </c>
      <c r="S1056" s="2">
        <f t="shared" si="215"/>
        <v>12.928082475197666</v>
      </c>
      <c r="T1056" s="2">
        <f t="shared" si="216"/>
        <v>0.22563760516157744</v>
      </c>
      <c r="U1056" s="1" t="s">
        <v>2507</v>
      </c>
      <c r="V1056" s="6" t="s">
        <v>2505</v>
      </c>
    </row>
    <row r="1057" spans="1:24" ht="14.25" customHeight="1" x14ac:dyDescent="0.3">
      <c r="A1057" s="1" t="s">
        <v>27</v>
      </c>
      <c r="B1057" s="1" t="s">
        <v>2093</v>
      </c>
      <c r="C1057" s="1" t="s">
        <v>2094</v>
      </c>
      <c r="D1057" s="1">
        <f t="shared" si="207"/>
        <v>24</v>
      </c>
      <c r="E1057" s="1">
        <f t="shared" si="208"/>
        <v>2.5347222222222221E-3</v>
      </c>
      <c r="F1057" s="2">
        <f t="shared" si="209"/>
        <v>145.82240444873452</v>
      </c>
      <c r="G1057" s="1">
        <v>2080</v>
      </c>
      <c r="H1057" s="1">
        <v>3744</v>
      </c>
      <c r="I1057" s="1">
        <v>0</v>
      </c>
      <c r="J1057" s="1">
        <v>177</v>
      </c>
      <c r="K1057" s="1">
        <f t="shared" si="205"/>
        <v>0</v>
      </c>
      <c r="L1057" s="1">
        <f t="shared" si="210"/>
        <v>1.5444951923076922</v>
      </c>
      <c r="M1057" s="1">
        <f t="shared" si="211"/>
        <v>1.5444951923076922</v>
      </c>
      <c r="N1057" s="2">
        <f t="shared" si="217"/>
        <v>10.877340430499137</v>
      </c>
      <c r="O1057" s="1">
        <v>766</v>
      </c>
      <c r="P1057" s="1">
        <f t="shared" si="212"/>
        <v>1106</v>
      </c>
      <c r="Q1057" s="1">
        <f t="shared" si="213"/>
        <v>4.2299663525457571</v>
      </c>
      <c r="R1057" s="1">
        <f t="shared" si="214"/>
        <v>2.4991147360660295</v>
      </c>
      <c r="S1057" s="2">
        <f t="shared" si="215"/>
        <v>12.939388505661439</v>
      </c>
      <c r="T1057" s="2">
        <f t="shared" si="216"/>
        <v>0.22583493261850104</v>
      </c>
      <c r="U1057" s="1" t="s">
        <v>2507</v>
      </c>
      <c r="V1057" s="6" t="s">
        <v>2505</v>
      </c>
    </row>
    <row r="1058" spans="1:24" ht="14.25" customHeight="1" x14ac:dyDescent="0.3">
      <c r="A1058" s="1" t="s">
        <v>450</v>
      </c>
      <c r="B1058" s="1" t="s">
        <v>2095</v>
      </c>
      <c r="C1058" s="1" t="s">
        <v>2096</v>
      </c>
      <c r="D1058" s="1">
        <f t="shared" si="207"/>
        <v>23</v>
      </c>
      <c r="E1058" s="1">
        <f t="shared" si="208"/>
        <v>0.21550925925925926</v>
      </c>
      <c r="F1058" s="2">
        <f t="shared" si="209"/>
        <v>140.87737762346941</v>
      </c>
      <c r="G1058" s="1">
        <v>2080</v>
      </c>
      <c r="H1058" s="1">
        <v>3744</v>
      </c>
      <c r="I1058" s="1">
        <v>0</v>
      </c>
      <c r="J1058" s="1">
        <v>272</v>
      </c>
      <c r="K1058" s="1">
        <f t="shared" si="205"/>
        <v>0</v>
      </c>
      <c r="L1058" s="1">
        <f t="shared" si="210"/>
        <v>2.3734615384615383</v>
      </c>
      <c r="M1058" s="1">
        <f t="shared" si="211"/>
        <v>2.3734615384615383</v>
      </c>
      <c r="N1058" s="2">
        <f t="shared" si="217"/>
        <v>7.0782693242586303</v>
      </c>
      <c r="O1058" s="1">
        <v>763</v>
      </c>
      <c r="P1058" s="1">
        <f t="shared" si="212"/>
        <v>1109</v>
      </c>
      <c r="Q1058" s="1">
        <f t="shared" si="213"/>
        <v>2.7525883985316142</v>
      </c>
      <c r="R1058" s="1">
        <f t="shared" si="214"/>
        <v>1.630673362164295</v>
      </c>
      <c r="S1058" s="2">
        <f t="shared" si="215"/>
        <v>12.973300443695377</v>
      </c>
      <c r="T1058" s="2">
        <f t="shared" si="216"/>
        <v>0.22642680759292558</v>
      </c>
      <c r="U1058" s="1" t="s">
        <v>2507</v>
      </c>
      <c r="V1058" s="6" t="s">
        <v>2505</v>
      </c>
    </row>
    <row r="1059" spans="1:24" ht="14.25" customHeight="1" x14ac:dyDescent="0.3">
      <c r="A1059" s="1" t="s">
        <v>17</v>
      </c>
      <c r="B1059" s="1" t="s">
        <v>2097</v>
      </c>
      <c r="C1059" s="1" t="s">
        <v>2098</v>
      </c>
      <c r="D1059" s="1">
        <f t="shared" si="207"/>
        <v>35</v>
      </c>
      <c r="E1059" s="1">
        <f t="shared" si="208"/>
        <v>0.74406250000000007</v>
      </c>
      <c r="F1059" s="2">
        <f t="shared" si="209"/>
        <v>219.59659926590882</v>
      </c>
      <c r="G1059" s="1">
        <v>2080</v>
      </c>
      <c r="H1059" s="1">
        <v>3744</v>
      </c>
      <c r="I1059" s="1">
        <v>0</v>
      </c>
      <c r="J1059" s="1">
        <v>260</v>
      </c>
      <c r="K1059" s="1">
        <f t="shared" si="205"/>
        <v>0</v>
      </c>
      <c r="L1059" s="1">
        <f t="shared" si="210"/>
        <v>2.2687499999999998</v>
      </c>
      <c r="M1059" s="1">
        <f t="shared" si="211"/>
        <v>2.2687499999999998</v>
      </c>
      <c r="N1059" s="2">
        <f t="shared" si="217"/>
        <v>7.4049586776859515</v>
      </c>
      <c r="O1059" s="1">
        <v>759</v>
      </c>
      <c r="P1059" s="1">
        <f t="shared" si="212"/>
        <v>1113</v>
      </c>
      <c r="Q1059" s="1">
        <f t="shared" si="213"/>
        <v>2.8796309400023041</v>
      </c>
      <c r="R1059" s="1">
        <f t="shared" si="214"/>
        <v>1.7120882672129083</v>
      </c>
      <c r="S1059" s="2">
        <f t="shared" si="215"/>
        <v>13.018501975616518</v>
      </c>
      <c r="T1059" s="2">
        <f t="shared" si="216"/>
        <v>0.22721572315189478</v>
      </c>
      <c r="U1059" s="1" t="s">
        <v>2507</v>
      </c>
      <c r="V1059" s="6" t="s">
        <v>2505</v>
      </c>
    </row>
    <row r="1060" spans="1:24" ht="14.25" customHeight="1" x14ac:dyDescent="0.3">
      <c r="A1060" s="1" t="s">
        <v>40</v>
      </c>
      <c r="B1060" s="1" t="s">
        <v>2099</v>
      </c>
      <c r="C1060" s="1" t="s">
        <v>2100</v>
      </c>
      <c r="D1060" s="1">
        <f t="shared" si="207"/>
        <v>78</v>
      </c>
      <c r="E1060" s="1">
        <f t="shared" si="208"/>
        <v>0.10255787037037038</v>
      </c>
      <c r="F1060" s="2">
        <f t="shared" si="209"/>
        <v>485.74287501125451</v>
      </c>
      <c r="G1060" s="1">
        <v>2080</v>
      </c>
      <c r="H1060" s="1">
        <v>3744</v>
      </c>
      <c r="I1060" s="1">
        <v>0</v>
      </c>
      <c r="J1060" s="1">
        <v>185</v>
      </c>
      <c r="K1060" s="1">
        <f t="shared" si="205"/>
        <v>0</v>
      </c>
      <c r="L1060" s="1">
        <f t="shared" si="210"/>
        <v>1.6143028846153844</v>
      </c>
      <c r="M1060" s="1">
        <f t="shared" si="211"/>
        <v>1.6143028846153844</v>
      </c>
      <c r="N1060" s="2">
        <f t="shared" si="217"/>
        <v>10.406968952423499</v>
      </c>
      <c r="O1060" s="1">
        <v>757</v>
      </c>
      <c r="P1060" s="1">
        <f t="shared" si="212"/>
        <v>1115</v>
      </c>
      <c r="Q1060" s="1">
        <f t="shared" si="213"/>
        <v>4.0470488886518865</v>
      </c>
      <c r="R1060" s="1">
        <f t="shared" si="214"/>
        <v>2.410501875452379</v>
      </c>
      <c r="S1060" s="2">
        <f t="shared" si="215"/>
        <v>13.041096563082982</v>
      </c>
      <c r="T1060" s="2">
        <f t="shared" si="216"/>
        <v>0.22761007309631442</v>
      </c>
      <c r="U1060" s="1" t="s">
        <v>2507</v>
      </c>
      <c r="V1060" s="6" t="s">
        <v>2505</v>
      </c>
    </row>
    <row r="1061" spans="1:24" ht="14.25" customHeight="1" x14ac:dyDescent="0.3">
      <c r="A1061" s="1" t="s">
        <v>27</v>
      </c>
      <c r="B1061" s="1" t="s">
        <v>2101</v>
      </c>
      <c r="C1061" s="1" t="s">
        <v>2102</v>
      </c>
      <c r="D1061" s="1">
        <f t="shared" si="207"/>
        <v>79</v>
      </c>
      <c r="E1061" s="1">
        <f t="shared" si="208"/>
        <v>2.4016203703703706E-2</v>
      </c>
      <c r="F1061" s="2">
        <f t="shared" si="209"/>
        <v>491.53256847243273</v>
      </c>
      <c r="G1061" s="1">
        <v>2080</v>
      </c>
      <c r="H1061" s="1">
        <v>3744</v>
      </c>
      <c r="I1061" s="1">
        <v>0</v>
      </c>
      <c r="J1061" s="1">
        <v>194</v>
      </c>
      <c r="K1061" s="1">
        <f t="shared" si="205"/>
        <v>0</v>
      </c>
      <c r="L1061" s="1">
        <f t="shared" si="210"/>
        <v>1.6928365384615385</v>
      </c>
      <c r="M1061" s="1">
        <f t="shared" si="211"/>
        <v>1.6928365384615385</v>
      </c>
      <c r="N1061" s="2">
        <f t="shared" si="217"/>
        <v>9.9241714237028198</v>
      </c>
      <c r="O1061" s="1">
        <v>745</v>
      </c>
      <c r="P1061" s="1">
        <f t="shared" si="212"/>
        <v>1127</v>
      </c>
      <c r="Q1061" s="1">
        <f t="shared" si="213"/>
        <v>3.8592991979412314</v>
      </c>
      <c r="R1061" s="1">
        <f t="shared" si="214"/>
        <v>2.3234135662819271</v>
      </c>
      <c r="S1061" s="2">
        <f t="shared" si="215"/>
        <v>13.176577217823253</v>
      </c>
      <c r="T1061" s="2">
        <f t="shared" si="216"/>
        <v>0.22997465659428981</v>
      </c>
      <c r="U1061" s="1" t="s">
        <v>2507</v>
      </c>
      <c r="V1061" s="6" t="s">
        <v>2505</v>
      </c>
    </row>
    <row r="1062" spans="1:24" ht="14.25" customHeight="1" x14ac:dyDescent="0.3">
      <c r="A1062" s="1" t="s">
        <v>27</v>
      </c>
      <c r="B1062" s="1" t="s">
        <v>2103</v>
      </c>
      <c r="C1062" s="1" t="s">
        <v>2104</v>
      </c>
      <c r="D1062" s="1">
        <f t="shared" si="207"/>
        <v>56</v>
      </c>
      <c r="E1062" s="1">
        <f t="shared" si="208"/>
        <v>0.29829861111111111</v>
      </c>
      <c r="F1062" s="2">
        <f t="shared" si="209"/>
        <v>348.74267359954229</v>
      </c>
      <c r="G1062" s="1">
        <v>2080</v>
      </c>
      <c r="H1062" s="1">
        <v>3744</v>
      </c>
      <c r="I1062" s="1">
        <v>0</v>
      </c>
      <c r="J1062" s="1">
        <v>279</v>
      </c>
      <c r="K1062" s="1">
        <f t="shared" si="205"/>
        <v>0</v>
      </c>
      <c r="L1062" s="1">
        <f t="shared" si="210"/>
        <v>2.4345432692307689</v>
      </c>
      <c r="M1062" s="1">
        <f t="shared" si="211"/>
        <v>2.4345432692307689</v>
      </c>
      <c r="N1062" s="2">
        <f t="shared" si="217"/>
        <v>6.9006783376284853</v>
      </c>
      <c r="O1062" s="1">
        <v>741</v>
      </c>
      <c r="P1062" s="1">
        <f t="shared" si="212"/>
        <v>1131</v>
      </c>
      <c r="Q1062" s="1">
        <f t="shared" si="213"/>
        <v>2.6835270408623622</v>
      </c>
      <c r="R1062" s="1">
        <f t="shared" si="214"/>
        <v>1.6212975871876771</v>
      </c>
      <c r="S1062" s="2">
        <f t="shared" si="215"/>
        <v>13.221704201809072</v>
      </c>
      <c r="T1062" s="2">
        <f t="shared" si="216"/>
        <v>0.23076227104633712</v>
      </c>
      <c r="U1062" s="1" t="s">
        <v>2507</v>
      </c>
      <c r="V1062" s="6" t="s">
        <v>2505</v>
      </c>
    </row>
    <row r="1063" spans="1:24" ht="14.25" customHeight="1" x14ac:dyDescent="0.3">
      <c r="A1063" s="1" t="s">
        <v>40</v>
      </c>
      <c r="B1063" s="1" t="s">
        <v>2105</v>
      </c>
      <c r="C1063" s="1" t="s">
        <v>2106</v>
      </c>
      <c r="D1063" s="1">
        <f t="shared" si="207"/>
        <v>78</v>
      </c>
      <c r="E1063" s="1">
        <f t="shared" si="208"/>
        <v>0.10239583333333334</v>
      </c>
      <c r="F1063" s="2">
        <f t="shared" si="209"/>
        <v>485.74185690252415</v>
      </c>
      <c r="G1063" s="1">
        <v>2080</v>
      </c>
      <c r="H1063" s="1">
        <v>3744</v>
      </c>
      <c r="I1063" s="1">
        <v>0</v>
      </c>
      <c r="J1063" s="1">
        <v>215</v>
      </c>
      <c r="K1063" s="1">
        <f t="shared" si="205"/>
        <v>0</v>
      </c>
      <c r="L1063" s="1">
        <f t="shared" si="210"/>
        <v>1.8760817307692306</v>
      </c>
      <c r="M1063" s="1">
        <f t="shared" si="211"/>
        <v>1.8760817307692306</v>
      </c>
      <c r="N1063" s="2">
        <f t="shared" si="217"/>
        <v>8.9548337497597554</v>
      </c>
      <c r="O1063" s="1">
        <v>741</v>
      </c>
      <c r="P1063" s="1">
        <f t="shared" si="212"/>
        <v>1131</v>
      </c>
      <c r="Q1063" s="1">
        <f t="shared" si="213"/>
        <v>3.4823443925609259</v>
      </c>
      <c r="R1063" s="1">
        <f t="shared" si="214"/>
        <v>2.1039164038388924</v>
      </c>
      <c r="S1063" s="2">
        <f t="shared" si="215"/>
        <v>13.221704201809072</v>
      </c>
      <c r="T1063" s="2">
        <f t="shared" si="216"/>
        <v>0.23076227104633712</v>
      </c>
      <c r="U1063" s="1" t="s">
        <v>2507</v>
      </c>
      <c r="V1063" s="6" t="s">
        <v>2505</v>
      </c>
    </row>
    <row r="1064" spans="1:24" ht="14.25" customHeight="1" x14ac:dyDescent="0.3">
      <c r="A1064" s="1" t="s">
        <v>247</v>
      </c>
      <c r="B1064" s="1" t="s">
        <v>2107</v>
      </c>
      <c r="C1064" s="1" t="s">
        <v>2108</v>
      </c>
      <c r="D1064" s="1">
        <f t="shared" si="207"/>
        <v>19</v>
      </c>
      <c r="E1064" s="1">
        <f t="shared" si="208"/>
        <v>0.93304398148148149</v>
      </c>
      <c r="F1064" s="2">
        <f t="shared" si="209"/>
        <v>120.25304001880893</v>
      </c>
      <c r="G1064" s="1">
        <v>2080</v>
      </c>
      <c r="H1064" s="1">
        <v>3744</v>
      </c>
      <c r="I1064" s="1">
        <v>0</v>
      </c>
      <c r="J1064" s="1">
        <v>223</v>
      </c>
      <c r="K1064" s="1">
        <f t="shared" si="205"/>
        <v>0</v>
      </c>
      <c r="L1064" s="1">
        <f t="shared" si="210"/>
        <v>1.945889423076923</v>
      </c>
      <c r="M1064" s="1">
        <f t="shared" si="211"/>
        <v>1.945889423076923</v>
      </c>
      <c r="N1064" s="2">
        <f t="shared" si="217"/>
        <v>8.6335841085127676</v>
      </c>
      <c r="O1064" s="1">
        <v>739</v>
      </c>
      <c r="P1064" s="1">
        <f t="shared" si="212"/>
        <v>1133</v>
      </c>
      <c r="Q1064" s="1">
        <f t="shared" si="213"/>
        <v>3.3574172394645694</v>
      </c>
      <c r="R1064" s="1">
        <f t="shared" si="214"/>
        <v>2.0320265664067079</v>
      </c>
      <c r="S1064" s="2">
        <f t="shared" si="215"/>
        <v>13.244261436040592</v>
      </c>
      <c r="T1064" s="2">
        <f t="shared" si="216"/>
        <v>0.23115596905382071</v>
      </c>
      <c r="U1064" s="1" t="s">
        <v>2507</v>
      </c>
      <c r="V1064" s="6" t="s">
        <v>2505</v>
      </c>
    </row>
    <row r="1065" spans="1:24" ht="14.25" customHeight="1" x14ac:dyDescent="0.3">
      <c r="A1065" s="1" t="s">
        <v>27</v>
      </c>
      <c r="B1065" s="1" t="s">
        <v>2109</v>
      </c>
      <c r="C1065" s="1" t="s">
        <v>2110</v>
      </c>
      <c r="D1065" s="1">
        <f t="shared" si="207"/>
        <v>40</v>
      </c>
      <c r="E1065" s="1">
        <f t="shared" si="208"/>
        <v>0.90902777777777777</v>
      </c>
      <c r="F1065" s="2">
        <f t="shared" si="209"/>
        <v>252.04903321133489</v>
      </c>
      <c r="G1065" s="1">
        <v>2080</v>
      </c>
      <c r="H1065" s="1">
        <v>3744</v>
      </c>
      <c r="I1065" s="1">
        <v>0</v>
      </c>
      <c r="J1065" s="1">
        <v>202</v>
      </c>
      <c r="K1065" s="1">
        <f t="shared" si="205"/>
        <v>0</v>
      </c>
      <c r="L1065" s="1">
        <f t="shared" si="210"/>
        <v>1.7626442307692307</v>
      </c>
      <c r="M1065" s="1">
        <f t="shared" si="211"/>
        <v>1.7626442307692307</v>
      </c>
      <c r="N1065" s="2">
        <f t="shared" si="217"/>
        <v>9.5311349316749858</v>
      </c>
      <c r="O1065" s="1">
        <v>736</v>
      </c>
      <c r="P1065" s="1">
        <f t="shared" si="212"/>
        <v>1136</v>
      </c>
      <c r="Q1065" s="1">
        <f t="shared" si="213"/>
        <v>3.7064556653494996</v>
      </c>
      <c r="R1065" s="1">
        <f t="shared" si="214"/>
        <v>2.2492166858103797</v>
      </c>
      <c r="S1065" s="2">
        <f t="shared" si="215"/>
        <v>13.278089448779317</v>
      </c>
      <c r="T1065" s="2">
        <f t="shared" si="216"/>
        <v>0.23174637925551805</v>
      </c>
      <c r="U1065" s="1" t="s">
        <v>2507</v>
      </c>
      <c r="V1065" s="6" t="s">
        <v>2505</v>
      </c>
    </row>
    <row r="1066" spans="1:24" ht="14.25" customHeight="1" x14ac:dyDescent="0.3">
      <c r="A1066" s="1" t="s">
        <v>40</v>
      </c>
      <c r="B1066" s="1" t="s">
        <v>1685</v>
      </c>
      <c r="C1066" s="1" t="s">
        <v>1686</v>
      </c>
      <c r="D1066" s="1">
        <f t="shared" si="207"/>
        <v>6</v>
      </c>
      <c r="E1066" s="1">
        <f t="shared" si="208"/>
        <v>0.22686342592592593</v>
      </c>
      <c r="F1066" s="2">
        <f t="shared" si="209"/>
        <v>34.13456773459172</v>
      </c>
      <c r="G1066" s="1">
        <v>2080</v>
      </c>
      <c r="H1066" s="1">
        <v>3744</v>
      </c>
      <c r="I1066" s="1">
        <v>0</v>
      </c>
      <c r="J1066" s="1">
        <v>206</v>
      </c>
      <c r="K1066" s="1">
        <f t="shared" si="205"/>
        <v>0</v>
      </c>
      <c r="L1066" s="1">
        <f t="shared" si="210"/>
        <v>1.7975480769230767</v>
      </c>
      <c r="M1066" s="1">
        <f t="shared" si="211"/>
        <v>1.7975480769230767</v>
      </c>
      <c r="N1066" s="2">
        <f t="shared" si="217"/>
        <v>9.3460643504774144</v>
      </c>
      <c r="O1066" s="1">
        <v>728</v>
      </c>
      <c r="P1066" s="1">
        <f t="shared" si="212"/>
        <v>1144</v>
      </c>
      <c r="Q1066" s="1">
        <f t="shared" si="213"/>
        <v>3.6344856524300924</v>
      </c>
      <c r="R1066" s="1">
        <f t="shared" si="214"/>
        <v>2.2210745653739457</v>
      </c>
      <c r="S1066" s="2">
        <f t="shared" si="215"/>
        <v>13.368251357585249</v>
      </c>
      <c r="T1066" s="2">
        <f t="shared" si="216"/>
        <v>0.23332000142406445</v>
      </c>
      <c r="U1066" s="1" t="s">
        <v>2507</v>
      </c>
      <c r="V1066" s="6" t="s">
        <v>2505</v>
      </c>
    </row>
    <row r="1067" spans="1:24" ht="14.25" customHeight="1" x14ac:dyDescent="0.3">
      <c r="A1067" s="1" t="s">
        <v>40</v>
      </c>
      <c r="B1067" s="1" t="s">
        <v>932</v>
      </c>
      <c r="C1067" s="1" t="s">
        <v>933</v>
      </c>
      <c r="D1067" s="1">
        <f t="shared" si="207"/>
        <v>11</v>
      </c>
      <c r="E1067" s="1">
        <f t="shared" si="208"/>
        <v>0.29045138888888888</v>
      </c>
      <c r="F1067" s="2">
        <f t="shared" si="209"/>
        <v>65.950029225092024</v>
      </c>
      <c r="G1067" s="1">
        <v>2080</v>
      </c>
      <c r="H1067" s="1">
        <v>3744</v>
      </c>
      <c r="I1067" s="1">
        <v>0</v>
      </c>
      <c r="J1067" s="1">
        <v>103</v>
      </c>
      <c r="K1067" s="1">
        <f t="shared" si="205"/>
        <v>0</v>
      </c>
      <c r="L1067" s="1">
        <f t="shared" si="210"/>
        <v>0.89877403846153836</v>
      </c>
      <c r="M1067" s="1">
        <f t="shared" si="211"/>
        <v>0.89877403846153836</v>
      </c>
      <c r="N1067" s="2">
        <f t="shared" si="217"/>
        <v>18.692128700954829</v>
      </c>
      <c r="O1067" s="1">
        <v>727</v>
      </c>
      <c r="P1067" s="1">
        <f t="shared" si="212"/>
        <v>1145</v>
      </c>
      <c r="Q1067" s="1">
        <f t="shared" si="213"/>
        <v>7.2689713048601847</v>
      </c>
      <c r="R1067" s="1">
        <f t="shared" si="214"/>
        <v>4.4460321282398034</v>
      </c>
      <c r="S1067" s="2">
        <f t="shared" si="215"/>
        <v>13.379516865778303</v>
      </c>
      <c r="T1067" s="2">
        <f t="shared" si="216"/>
        <v>0.23351662163394363</v>
      </c>
      <c r="U1067" s="1" t="s">
        <v>2507</v>
      </c>
      <c r="V1067" s="6" t="s">
        <v>2505</v>
      </c>
      <c r="W1067" s="1"/>
      <c r="X1067" s="1"/>
    </row>
    <row r="1068" spans="1:24" ht="14.25" customHeight="1" x14ac:dyDescent="0.3">
      <c r="A1068" s="1" t="s">
        <v>450</v>
      </c>
      <c r="B1068" s="1" t="s">
        <v>2111</v>
      </c>
      <c r="C1068" s="1" t="s">
        <v>2112</v>
      </c>
      <c r="D1068" s="1">
        <f t="shared" si="207"/>
        <v>30</v>
      </c>
      <c r="E1068" s="1">
        <f t="shared" si="208"/>
        <v>4.5347222222222226E-2</v>
      </c>
      <c r="F1068" s="2">
        <f t="shared" si="209"/>
        <v>183.79051516277565</v>
      </c>
      <c r="G1068" s="1">
        <v>2080</v>
      </c>
      <c r="H1068" s="1">
        <v>3744</v>
      </c>
      <c r="I1068" s="1">
        <v>0</v>
      </c>
      <c r="J1068" s="1">
        <v>345</v>
      </c>
      <c r="K1068" s="1">
        <f t="shared" si="205"/>
        <v>0</v>
      </c>
      <c r="L1068" s="1">
        <f t="shared" si="210"/>
        <v>3.0104567307692305</v>
      </c>
      <c r="M1068" s="1">
        <f t="shared" si="211"/>
        <v>3.0104567307692305</v>
      </c>
      <c r="N1068" s="2">
        <f t="shared" si="217"/>
        <v>5.5805485686908618</v>
      </c>
      <c r="O1068" s="1">
        <v>727</v>
      </c>
      <c r="P1068" s="1">
        <f t="shared" si="212"/>
        <v>1145</v>
      </c>
      <c r="Q1068" s="1">
        <f t="shared" si="213"/>
        <v>2.1701566504365188</v>
      </c>
      <c r="R1068" s="1">
        <f t="shared" si="214"/>
        <v>1.327366113648405</v>
      </c>
      <c r="S1068" s="2">
        <f t="shared" si="215"/>
        <v>13.379516865778303</v>
      </c>
      <c r="T1068" s="2">
        <f t="shared" si="216"/>
        <v>0.23351662163394363</v>
      </c>
      <c r="U1068" s="1" t="s">
        <v>2507</v>
      </c>
      <c r="V1068" s="6" t="s">
        <v>2505</v>
      </c>
    </row>
    <row r="1069" spans="1:24" ht="14.25" customHeight="1" x14ac:dyDescent="0.3">
      <c r="A1069" s="1" t="s">
        <v>14</v>
      </c>
      <c r="B1069" s="1" t="s">
        <v>390</v>
      </c>
      <c r="C1069" s="1" t="s">
        <v>391</v>
      </c>
      <c r="D1069" s="1">
        <f t="shared" si="207"/>
        <v>35</v>
      </c>
      <c r="E1069" s="1">
        <f t="shared" si="208"/>
        <v>0.96206018518518521</v>
      </c>
      <c r="F1069" s="2">
        <f t="shared" si="209"/>
        <v>220.96631911846356</v>
      </c>
      <c r="G1069" s="1">
        <v>2080</v>
      </c>
      <c r="H1069" s="1">
        <v>3744</v>
      </c>
      <c r="I1069" s="1">
        <v>0</v>
      </c>
      <c r="J1069" s="1">
        <v>134</v>
      </c>
      <c r="K1069" s="1">
        <f t="shared" si="205"/>
        <v>0</v>
      </c>
      <c r="L1069" s="1">
        <f t="shared" si="210"/>
        <v>1.1692788461538461</v>
      </c>
      <c r="M1069" s="1">
        <f t="shared" si="211"/>
        <v>1.1692788461538461</v>
      </c>
      <c r="N1069" s="2">
        <f t="shared" si="217"/>
        <v>14.367830270136919</v>
      </c>
      <c r="O1069" s="1">
        <v>727</v>
      </c>
      <c r="P1069" s="1">
        <f t="shared" si="212"/>
        <v>1145</v>
      </c>
      <c r="Q1069" s="1">
        <f t="shared" si="213"/>
        <v>5.5873436149298428</v>
      </c>
      <c r="R1069" s="1">
        <f t="shared" si="214"/>
        <v>3.4174724567813413</v>
      </c>
      <c r="S1069" s="2">
        <f t="shared" si="215"/>
        <v>13.379516865778305</v>
      </c>
      <c r="T1069" s="2">
        <f t="shared" si="216"/>
        <v>0.23351662163394366</v>
      </c>
      <c r="U1069" s="1" t="s">
        <v>2507</v>
      </c>
      <c r="V1069" s="6" t="s">
        <v>2505</v>
      </c>
    </row>
    <row r="1070" spans="1:24" ht="14.25" customHeight="1" x14ac:dyDescent="0.3">
      <c r="A1070" s="1" t="s">
        <v>27</v>
      </c>
      <c r="B1070" s="1" t="s">
        <v>2113</v>
      </c>
      <c r="C1070" s="1" t="s">
        <v>2114</v>
      </c>
      <c r="D1070" s="1">
        <f t="shared" si="207"/>
        <v>37</v>
      </c>
      <c r="E1070" s="1">
        <f t="shared" si="208"/>
        <v>0.27460648148148148</v>
      </c>
      <c r="F1070" s="2">
        <f t="shared" si="209"/>
        <v>229.21329072234542</v>
      </c>
      <c r="G1070" s="1">
        <v>2080</v>
      </c>
      <c r="H1070" s="1">
        <v>3744</v>
      </c>
      <c r="I1070" s="1">
        <v>0</v>
      </c>
      <c r="J1070" s="1">
        <v>154</v>
      </c>
      <c r="K1070" s="1">
        <f t="shared" ref="K1070:K1133" si="218">(32.67*I1070)/H1070</f>
        <v>0</v>
      </c>
      <c r="L1070" s="1">
        <f t="shared" si="210"/>
        <v>1.3437980769230768</v>
      </c>
      <c r="M1070" s="1">
        <f t="shared" si="211"/>
        <v>1.3437980769230768</v>
      </c>
      <c r="N1070" s="2">
        <f t="shared" si="217"/>
        <v>12.501878287002254</v>
      </c>
      <c r="O1070" s="1">
        <v>727</v>
      </c>
      <c r="P1070" s="1">
        <f t="shared" si="212"/>
        <v>1145</v>
      </c>
      <c r="Q1070" s="1">
        <f t="shared" si="213"/>
        <v>4.8617145740298637</v>
      </c>
      <c r="R1070" s="1">
        <f t="shared" si="214"/>
        <v>2.9736448649915568</v>
      </c>
      <c r="S1070" s="2">
        <f t="shared" si="215"/>
        <v>13.379516865778305</v>
      </c>
      <c r="T1070" s="2">
        <f t="shared" si="216"/>
        <v>0.23351662163394366</v>
      </c>
      <c r="U1070" s="1" t="s">
        <v>2507</v>
      </c>
      <c r="V1070" s="6" t="s">
        <v>2505</v>
      </c>
    </row>
    <row r="1071" spans="1:24" ht="14.25" customHeight="1" x14ac:dyDescent="0.3">
      <c r="A1071" s="1" t="s">
        <v>27</v>
      </c>
      <c r="B1071" s="1" t="s">
        <v>2115</v>
      </c>
      <c r="C1071" s="1" t="s">
        <v>2116</v>
      </c>
      <c r="D1071" s="1">
        <f t="shared" si="207"/>
        <v>40</v>
      </c>
      <c r="E1071" s="1">
        <f t="shared" si="208"/>
        <v>0.90901620370370362</v>
      </c>
      <c r="F1071" s="2">
        <f t="shared" si="209"/>
        <v>252.04896048928268</v>
      </c>
      <c r="G1071" s="1">
        <v>2080</v>
      </c>
      <c r="H1071" s="1">
        <v>3744</v>
      </c>
      <c r="I1071" s="1">
        <v>0</v>
      </c>
      <c r="J1071" s="1">
        <v>181</v>
      </c>
      <c r="K1071" s="1">
        <f t="shared" si="218"/>
        <v>0</v>
      </c>
      <c r="L1071" s="1">
        <f t="shared" si="210"/>
        <v>1.5793990384615384</v>
      </c>
      <c r="M1071" s="1">
        <f t="shared" si="211"/>
        <v>1.5793990384615384</v>
      </c>
      <c r="N1071" s="2">
        <f t="shared" si="217"/>
        <v>10.636957216565454</v>
      </c>
      <c r="O1071" s="1">
        <v>725</v>
      </c>
      <c r="P1071" s="1">
        <f t="shared" si="212"/>
        <v>1147</v>
      </c>
      <c r="Q1071" s="1">
        <f t="shared" si="213"/>
        <v>4.1364864331524807</v>
      </c>
      <c r="R1071" s="1">
        <f t="shared" si="214"/>
        <v>2.5344818049283631</v>
      </c>
      <c r="S1071" s="2">
        <f t="shared" si="215"/>
        <v>13.402044720595075</v>
      </c>
      <c r="T1071" s="2">
        <f t="shared" si="216"/>
        <v>0.23390980687390756</v>
      </c>
      <c r="U1071" s="1" t="s">
        <v>2507</v>
      </c>
      <c r="V1071" s="6" t="s">
        <v>2505</v>
      </c>
    </row>
    <row r="1072" spans="1:24" ht="14.25" customHeight="1" x14ac:dyDescent="0.3">
      <c r="A1072" s="1" t="s">
        <v>65</v>
      </c>
      <c r="B1072" s="1" t="s">
        <v>2117</v>
      </c>
      <c r="C1072" s="1" t="s">
        <v>2118</v>
      </c>
      <c r="D1072" s="1">
        <f t="shared" si="207"/>
        <v>43</v>
      </c>
      <c r="E1072" s="1">
        <f t="shared" si="208"/>
        <v>0.7445949074074073</v>
      </c>
      <c r="F1072" s="2">
        <f t="shared" si="209"/>
        <v>269.86542693774521</v>
      </c>
      <c r="G1072" s="1">
        <v>2080</v>
      </c>
      <c r="H1072" s="1">
        <v>3744</v>
      </c>
      <c r="I1072" s="1">
        <v>0</v>
      </c>
      <c r="J1072" s="1">
        <v>495</v>
      </c>
      <c r="K1072" s="1">
        <f t="shared" si="218"/>
        <v>0</v>
      </c>
      <c r="L1072" s="1">
        <f t="shared" si="210"/>
        <v>4.3193509615384613</v>
      </c>
      <c r="M1072" s="1">
        <f t="shared" si="211"/>
        <v>4.3193509615384613</v>
      </c>
      <c r="N1072" s="2">
        <f t="shared" si="217"/>
        <v>3.8894732448451461</v>
      </c>
      <c r="O1072" s="1">
        <v>717</v>
      </c>
      <c r="P1072" s="1">
        <f t="shared" si="212"/>
        <v>1155</v>
      </c>
      <c r="Q1072" s="1">
        <f t="shared" si="213"/>
        <v>1.5125334230315131</v>
      </c>
      <c r="R1072" s="1">
        <f t="shared" si="214"/>
        <v>0.93321373055630219</v>
      </c>
      <c r="S1072" s="2">
        <f t="shared" si="215"/>
        <v>13.492113879735911</v>
      </c>
      <c r="T1072" s="2">
        <f t="shared" si="216"/>
        <v>0.23548181025541789</v>
      </c>
      <c r="U1072" s="1" t="s">
        <v>2507</v>
      </c>
      <c r="V1072" s="6" t="s">
        <v>2505</v>
      </c>
    </row>
    <row r="1073" spans="1:24" ht="14.25" customHeight="1" x14ac:dyDescent="0.3">
      <c r="A1073" s="1" t="s">
        <v>17</v>
      </c>
      <c r="B1073" s="1" t="s">
        <v>2119</v>
      </c>
      <c r="C1073" s="1" t="s">
        <v>2120</v>
      </c>
      <c r="D1073" s="1">
        <f t="shared" si="207"/>
        <v>53</v>
      </c>
      <c r="E1073" s="1">
        <f t="shared" si="208"/>
        <v>0.88362268518518527</v>
      </c>
      <c r="F1073" s="2">
        <f t="shared" si="209"/>
        <v>333.57081730016421</v>
      </c>
      <c r="G1073" s="1">
        <v>2080</v>
      </c>
      <c r="H1073" s="1">
        <v>3744</v>
      </c>
      <c r="I1073" s="1">
        <v>0</v>
      </c>
      <c r="J1073" s="1">
        <v>204</v>
      </c>
      <c r="K1073" s="1">
        <f t="shared" si="218"/>
        <v>0</v>
      </c>
      <c r="L1073" s="1">
        <f t="shared" si="210"/>
        <v>1.7800961538461537</v>
      </c>
      <c r="M1073" s="1">
        <f t="shared" si="211"/>
        <v>1.7800961538461537</v>
      </c>
      <c r="N1073" s="2">
        <f t="shared" si="217"/>
        <v>9.4376924323448392</v>
      </c>
      <c r="O1073" s="1">
        <v>713</v>
      </c>
      <c r="P1073" s="1">
        <f t="shared" si="212"/>
        <v>1159</v>
      </c>
      <c r="Q1073" s="1">
        <f t="shared" si="213"/>
        <v>3.6701178647088186</v>
      </c>
      <c r="R1073" s="1">
        <f t="shared" si="214"/>
        <v>2.2722578019217528</v>
      </c>
      <c r="S1073" s="2">
        <f t="shared" si="215"/>
        <v>13.537123022579708</v>
      </c>
      <c r="T1073" s="2">
        <f t="shared" si="216"/>
        <v>0.2362673679915426</v>
      </c>
      <c r="U1073" s="1" t="s">
        <v>2507</v>
      </c>
      <c r="V1073" s="6" t="s">
        <v>2505</v>
      </c>
    </row>
    <row r="1074" spans="1:24" ht="14.25" customHeight="1" x14ac:dyDescent="0.3">
      <c r="A1074" s="1" t="s">
        <v>27</v>
      </c>
      <c r="B1074" s="1" t="s">
        <v>2121</v>
      </c>
      <c r="C1074" s="1" t="s">
        <v>2122</v>
      </c>
      <c r="D1074" s="1">
        <f t="shared" si="207"/>
        <v>56</v>
      </c>
      <c r="E1074" s="1">
        <f t="shared" si="208"/>
        <v>0.30626157407407406</v>
      </c>
      <c r="F1074" s="2">
        <f t="shared" si="209"/>
        <v>348.79270637143276</v>
      </c>
      <c r="G1074" s="1">
        <v>2080</v>
      </c>
      <c r="H1074" s="1">
        <v>3744</v>
      </c>
      <c r="I1074" s="1">
        <v>0</v>
      </c>
      <c r="J1074" s="1">
        <v>193</v>
      </c>
      <c r="K1074" s="1">
        <f t="shared" si="218"/>
        <v>0</v>
      </c>
      <c r="L1074" s="1">
        <f t="shared" si="210"/>
        <v>1.6841105769230769</v>
      </c>
      <c r="M1074" s="1">
        <f t="shared" si="211"/>
        <v>1.6841105769230769</v>
      </c>
      <c r="N1074" s="2">
        <f t="shared" si="217"/>
        <v>9.9755920010277066</v>
      </c>
      <c r="O1074" s="1">
        <v>711</v>
      </c>
      <c r="P1074" s="1">
        <f t="shared" si="212"/>
        <v>1161</v>
      </c>
      <c r="Q1074" s="1">
        <f t="shared" si="213"/>
        <v>3.8792955668424822</v>
      </c>
      <c r="R1074" s="1">
        <f t="shared" si="214"/>
        <v>2.4059092698205782</v>
      </c>
      <c r="S1074" s="2">
        <f t="shared" si="215"/>
        <v>13.559621214709045</v>
      </c>
      <c r="T1074" s="2">
        <f t="shared" si="216"/>
        <v>0.2366600355199458</v>
      </c>
      <c r="U1074" s="1" t="s">
        <v>2507</v>
      </c>
      <c r="V1074" s="6" t="s">
        <v>2505</v>
      </c>
    </row>
    <row r="1075" spans="1:24" ht="14.25" customHeight="1" x14ac:dyDescent="0.3">
      <c r="A1075" s="1" t="s">
        <v>17</v>
      </c>
      <c r="B1075" s="1" t="s">
        <v>2123</v>
      </c>
      <c r="C1075" s="1" t="s">
        <v>2124</v>
      </c>
      <c r="D1075" s="1">
        <f t="shared" si="207"/>
        <v>65</v>
      </c>
      <c r="E1075" s="1">
        <f t="shared" si="208"/>
        <v>0.25942129629629629</v>
      </c>
      <c r="F1075" s="2">
        <f t="shared" si="209"/>
        <v>405.04706799093151</v>
      </c>
      <c r="G1075" s="1">
        <v>2080</v>
      </c>
      <c r="H1075" s="1">
        <v>3744</v>
      </c>
      <c r="I1075" s="1">
        <v>0</v>
      </c>
      <c r="J1075" s="1">
        <v>144</v>
      </c>
      <c r="K1075" s="1">
        <f t="shared" si="218"/>
        <v>0</v>
      </c>
      <c r="L1075" s="1">
        <f t="shared" si="210"/>
        <v>1.2565384615384616</v>
      </c>
      <c r="M1075" s="1">
        <f t="shared" si="211"/>
        <v>1.2565384615384616</v>
      </c>
      <c r="N1075" s="2">
        <f t="shared" si="217"/>
        <v>13.370064279155189</v>
      </c>
      <c r="O1075" s="1">
        <v>704</v>
      </c>
      <c r="P1075" s="1">
        <f t="shared" si="212"/>
        <v>1168</v>
      </c>
      <c r="Q1075" s="1">
        <f t="shared" si="213"/>
        <v>5.199333641670826</v>
      </c>
      <c r="R1075" s="1">
        <f t="shared" si="214"/>
        <v>3.2440286824100024</v>
      </c>
      <c r="S1075" s="2">
        <f t="shared" si="215"/>
        <v>13.638331298167191</v>
      </c>
      <c r="T1075" s="2">
        <f t="shared" si="216"/>
        <v>0.23803378563080999</v>
      </c>
      <c r="U1075" s="1" t="s">
        <v>2507</v>
      </c>
      <c r="V1075" s="6" t="s">
        <v>2505</v>
      </c>
    </row>
    <row r="1076" spans="1:24" ht="14.25" customHeight="1" x14ac:dyDescent="0.3">
      <c r="A1076" s="1" t="s">
        <v>20</v>
      </c>
      <c r="B1076" s="1" t="s">
        <v>2125</v>
      </c>
      <c r="C1076" s="1" t="s">
        <v>2126</v>
      </c>
      <c r="D1076" s="1">
        <f t="shared" si="207"/>
        <v>45</v>
      </c>
      <c r="E1076" s="1">
        <f t="shared" si="208"/>
        <v>0.728449074074074</v>
      </c>
      <c r="F1076" s="2">
        <f t="shared" si="209"/>
        <v>282.33035028933216</v>
      </c>
      <c r="G1076" s="1">
        <v>2080</v>
      </c>
      <c r="H1076" s="1">
        <v>3744</v>
      </c>
      <c r="I1076" s="1">
        <v>0</v>
      </c>
      <c r="J1076" s="1">
        <v>498</v>
      </c>
      <c r="K1076" s="1">
        <f t="shared" si="218"/>
        <v>0</v>
      </c>
      <c r="L1076" s="1">
        <f t="shared" si="210"/>
        <v>4.3455288461538455</v>
      </c>
      <c r="M1076" s="1">
        <f t="shared" si="211"/>
        <v>4.3455288461538455</v>
      </c>
      <c r="N1076" s="2">
        <f t="shared" si="217"/>
        <v>3.8660426831292116</v>
      </c>
      <c r="O1076" s="1">
        <v>699</v>
      </c>
      <c r="P1076" s="1">
        <f t="shared" si="212"/>
        <v>1173</v>
      </c>
      <c r="Q1076" s="1">
        <f t="shared" si="213"/>
        <v>1.5034217759048174</v>
      </c>
      <c r="R1076" s="1">
        <f t="shared" si="214"/>
        <v>0.94204793970958911</v>
      </c>
      <c r="S1076" s="2">
        <f t="shared" si="215"/>
        <v>13.694520696911585</v>
      </c>
      <c r="T1076" s="2">
        <f t="shared" si="216"/>
        <v>0.23901447564361561</v>
      </c>
      <c r="U1076" s="1" t="s">
        <v>2507</v>
      </c>
      <c r="V1076" s="6" t="s">
        <v>2505</v>
      </c>
    </row>
    <row r="1077" spans="1:24" ht="14.25" customHeight="1" x14ac:dyDescent="0.3">
      <c r="A1077" s="1" t="s">
        <v>27</v>
      </c>
      <c r="B1077" s="1" t="s">
        <v>2127</v>
      </c>
      <c r="C1077" s="1" t="s">
        <v>2128</v>
      </c>
      <c r="D1077" s="1">
        <f t="shared" si="207"/>
        <v>56</v>
      </c>
      <c r="E1077" s="1">
        <f t="shared" si="208"/>
        <v>0.72778935185185178</v>
      </c>
      <c r="F1077" s="2">
        <f t="shared" si="209"/>
        <v>351.44124351133416</v>
      </c>
      <c r="G1077" s="1">
        <v>2080</v>
      </c>
      <c r="H1077" s="1">
        <v>3744</v>
      </c>
      <c r="I1077" s="1">
        <v>0</v>
      </c>
      <c r="J1077" s="1">
        <v>201</v>
      </c>
      <c r="K1077" s="1">
        <f t="shared" si="218"/>
        <v>0</v>
      </c>
      <c r="L1077" s="1">
        <f t="shared" si="210"/>
        <v>1.7539182692307691</v>
      </c>
      <c r="M1077" s="1">
        <f t="shared" si="211"/>
        <v>1.7539182692307691</v>
      </c>
      <c r="N1077" s="2">
        <f t="shared" ref="N1077:N1108" si="219">42*0.4/M1077</f>
        <v>9.5785535134246143</v>
      </c>
      <c r="O1077" s="1">
        <v>697</v>
      </c>
      <c r="P1077" s="1">
        <f t="shared" si="212"/>
        <v>1175</v>
      </c>
      <c r="Q1077" s="1">
        <f t="shared" si="213"/>
        <v>3.7248957432865626</v>
      </c>
      <c r="R1077" s="1">
        <f t="shared" si="214"/>
        <v>2.3380088132274097</v>
      </c>
      <c r="S1077" s="2">
        <f t="shared" si="215"/>
        <v>13.716988945619109</v>
      </c>
      <c r="T1077" s="2">
        <f t="shared" si="216"/>
        <v>0.23940662056071887</v>
      </c>
      <c r="U1077" s="1" t="s">
        <v>2507</v>
      </c>
      <c r="V1077" s="6" t="s">
        <v>2505</v>
      </c>
    </row>
    <row r="1078" spans="1:24" ht="14.25" customHeight="1" x14ac:dyDescent="0.3">
      <c r="A1078" s="1" t="s">
        <v>65</v>
      </c>
      <c r="B1078" s="1" t="s">
        <v>2129</v>
      </c>
      <c r="C1078" s="1" t="s">
        <v>2130</v>
      </c>
      <c r="D1078" s="1">
        <f t="shared" si="207"/>
        <v>16</v>
      </c>
      <c r="E1078" s="1">
        <f t="shared" si="208"/>
        <v>0.27657407407407408</v>
      </c>
      <c r="F1078" s="2">
        <f t="shared" si="209"/>
        <v>97.2787620204424</v>
      </c>
      <c r="G1078" s="1">
        <v>2080</v>
      </c>
      <c r="H1078" s="1">
        <v>3744</v>
      </c>
      <c r="I1078" s="1">
        <v>0</v>
      </c>
      <c r="J1078" s="1">
        <v>534</v>
      </c>
      <c r="K1078" s="1">
        <f t="shared" si="218"/>
        <v>0</v>
      </c>
      <c r="L1078" s="1">
        <f t="shared" si="210"/>
        <v>4.6596634615384609</v>
      </c>
      <c r="M1078" s="1">
        <f t="shared" si="211"/>
        <v>4.6596634615384609</v>
      </c>
      <c r="N1078" s="2">
        <f t="shared" si="219"/>
        <v>3.605410592131737</v>
      </c>
      <c r="O1078" s="1">
        <v>693</v>
      </c>
      <c r="P1078" s="1">
        <f t="shared" si="212"/>
        <v>1179</v>
      </c>
      <c r="Q1078" s="1">
        <f t="shared" si="213"/>
        <v>1.4020674988775264</v>
      </c>
      <c r="R1078" s="1">
        <f t="shared" si="214"/>
        <v>0.88303289592767287</v>
      </c>
      <c r="S1078" s="2">
        <f t="shared" si="215"/>
        <v>13.761912536163944</v>
      </c>
      <c r="T1078" s="2">
        <f t="shared" si="216"/>
        <v>0.24019068512754402</v>
      </c>
      <c r="U1078" s="1" t="s">
        <v>2507</v>
      </c>
      <c r="V1078" s="6" t="s">
        <v>2505</v>
      </c>
    </row>
    <row r="1079" spans="1:24" ht="14.25" customHeight="1" x14ac:dyDescent="0.3">
      <c r="A1079" s="1" t="s">
        <v>27</v>
      </c>
      <c r="B1079" s="1" t="s">
        <v>2131</v>
      </c>
      <c r="C1079" s="1" t="s">
        <v>2132</v>
      </c>
      <c r="D1079" s="1">
        <f t="shared" si="207"/>
        <v>56</v>
      </c>
      <c r="E1079" s="1">
        <f t="shared" si="208"/>
        <v>0.72780092592592593</v>
      </c>
      <c r="F1079" s="2">
        <f t="shared" si="209"/>
        <v>351.44131623338632</v>
      </c>
      <c r="G1079" s="1">
        <v>2080</v>
      </c>
      <c r="H1079" s="1">
        <v>3744</v>
      </c>
      <c r="I1079" s="1">
        <v>0</v>
      </c>
      <c r="J1079" s="1">
        <v>180</v>
      </c>
      <c r="K1079" s="1">
        <f t="shared" si="218"/>
        <v>0</v>
      </c>
      <c r="L1079" s="1">
        <f t="shared" si="210"/>
        <v>1.5706730769230768</v>
      </c>
      <c r="M1079" s="1">
        <f t="shared" si="211"/>
        <v>1.5706730769230768</v>
      </c>
      <c r="N1079" s="2">
        <f t="shared" si="219"/>
        <v>10.696051423324151</v>
      </c>
      <c r="O1079" s="1">
        <v>691</v>
      </c>
      <c r="P1079" s="1">
        <f t="shared" si="212"/>
        <v>1181</v>
      </c>
      <c r="Q1079" s="1">
        <f t="shared" si="213"/>
        <v>4.1594669133366606</v>
      </c>
      <c r="R1079" s="1">
        <f t="shared" si="214"/>
        <v>2.6241081328261733</v>
      </c>
      <c r="S1079" s="2">
        <f t="shared" si="215"/>
        <v>13.784367866669205</v>
      </c>
      <c r="T1079" s="2">
        <f t="shared" si="216"/>
        <v>0.24058260457948435</v>
      </c>
      <c r="U1079" s="1" t="s">
        <v>2507</v>
      </c>
      <c r="V1079" s="6" t="s">
        <v>2505</v>
      </c>
    </row>
    <row r="1080" spans="1:24" ht="14.25" customHeight="1" x14ac:dyDescent="0.3">
      <c r="A1080" s="1" t="s">
        <v>17</v>
      </c>
      <c r="B1080" s="1" t="s">
        <v>2133</v>
      </c>
      <c r="C1080" s="1" t="s">
        <v>2134</v>
      </c>
      <c r="D1080" s="1">
        <f t="shared" si="207"/>
        <v>72</v>
      </c>
      <c r="E1080" s="1">
        <f t="shared" si="208"/>
        <v>0.33776620370370369</v>
      </c>
      <c r="F1080" s="2">
        <f t="shared" si="209"/>
        <v>449.52162071230322</v>
      </c>
      <c r="G1080" s="1">
        <v>2080</v>
      </c>
      <c r="H1080" s="1">
        <v>3744</v>
      </c>
      <c r="I1080" s="1">
        <v>0</v>
      </c>
      <c r="J1080" s="1">
        <v>183</v>
      </c>
      <c r="K1080" s="1">
        <f t="shared" si="218"/>
        <v>0</v>
      </c>
      <c r="L1080" s="1">
        <f t="shared" si="210"/>
        <v>1.5968509615384614</v>
      </c>
      <c r="M1080" s="1">
        <f t="shared" si="211"/>
        <v>1.5968509615384614</v>
      </c>
      <c r="N1080" s="2">
        <f t="shared" si="219"/>
        <v>10.520706318023755</v>
      </c>
      <c r="O1080" s="1">
        <v>691</v>
      </c>
      <c r="P1080" s="1">
        <f t="shared" si="212"/>
        <v>1181</v>
      </c>
      <c r="Q1080" s="1">
        <f t="shared" si="213"/>
        <v>4.0912789311508142</v>
      </c>
      <c r="R1080" s="1">
        <f t="shared" si="214"/>
        <v>2.581089966714269</v>
      </c>
      <c r="S1080" s="2">
        <f t="shared" si="215"/>
        <v>13.784367866669207</v>
      </c>
      <c r="T1080" s="2">
        <f t="shared" si="216"/>
        <v>0.24058260457948438</v>
      </c>
      <c r="U1080" s="1" t="s">
        <v>2507</v>
      </c>
      <c r="V1080" s="6" t="s">
        <v>2505</v>
      </c>
    </row>
    <row r="1081" spans="1:24" ht="14.25" customHeight="1" x14ac:dyDescent="0.3">
      <c r="A1081" s="1" t="s">
        <v>27</v>
      </c>
      <c r="B1081" s="1" t="s">
        <v>2135</v>
      </c>
      <c r="C1081" s="1" t="s">
        <v>2136</v>
      </c>
      <c r="D1081" s="1">
        <f t="shared" si="207"/>
        <v>25</v>
      </c>
      <c r="E1081" s="1">
        <f t="shared" si="208"/>
        <v>0.16057870370370372</v>
      </c>
      <c r="F1081" s="2">
        <f t="shared" si="209"/>
        <v>153.09860937824669</v>
      </c>
      <c r="G1081" s="1">
        <v>2080</v>
      </c>
      <c r="H1081" s="1">
        <v>3744</v>
      </c>
      <c r="I1081" s="1">
        <v>0</v>
      </c>
      <c r="J1081" s="1">
        <v>260</v>
      </c>
      <c r="K1081" s="1">
        <f t="shared" si="218"/>
        <v>0</v>
      </c>
      <c r="L1081" s="1">
        <f t="shared" si="210"/>
        <v>2.2687499999999998</v>
      </c>
      <c r="M1081" s="1">
        <f t="shared" si="211"/>
        <v>2.2687499999999998</v>
      </c>
      <c r="N1081" s="2">
        <f t="shared" si="219"/>
        <v>7.4049586776859515</v>
      </c>
      <c r="O1081" s="1">
        <v>690</v>
      </c>
      <c r="P1081" s="1">
        <f t="shared" si="212"/>
        <v>1182</v>
      </c>
      <c r="Q1081" s="1">
        <f t="shared" si="213"/>
        <v>2.8796309400023041</v>
      </c>
      <c r="R1081" s="1">
        <f t="shared" si="214"/>
        <v>1.8182285101937625</v>
      </c>
      <c r="S1081" s="2">
        <f t="shared" si="215"/>
        <v>13.795593913254841</v>
      </c>
      <c r="T1081" s="2">
        <f t="shared" si="216"/>
        <v>0.24077853605438598</v>
      </c>
      <c r="U1081" s="1" t="s">
        <v>2507</v>
      </c>
      <c r="V1081" s="6" t="s">
        <v>2505</v>
      </c>
    </row>
    <row r="1082" spans="1:24" ht="14.25" customHeight="1" x14ac:dyDescent="0.3">
      <c r="A1082" s="1" t="s">
        <v>27</v>
      </c>
      <c r="B1082" s="1" t="s">
        <v>2137</v>
      </c>
      <c r="C1082" s="1" t="s">
        <v>2138</v>
      </c>
      <c r="D1082" s="1">
        <f t="shared" si="207"/>
        <v>34</v>
      </c>
      <c r="E1082" s="1">
        <f t="shared" si="208"/>
        <v>0.16508101851851853</v>
      </c>
      <c r="F1082" s="2">
        <f t="shared" si="209"/>
        <v>209.67556602115573</v>
      </c>
      <c r="G1082" s="1">
        <v>2080</v>
      </c>
      <c r="H1082" s="1">
        <v>3744</v>
      </c>
      <c r="I1082" s="1">
        <v>0</v>
      </c>
      <c r="J1082" s="1">
        <v>148</v>
      </c>
      <c r="K1082" s="1">
        <f t="shared" si="218"/>
        <v>0</v>
      </c>
      <c r="L1082" s="1">
        <f t="shared" si="210"/>
        <v>1.2914423076923076</v>
      </c>
      <c r="M1082" s="1">
        <f t="shared" si="211"/>
        <v>1.2914423076923076</v>
      </c>
      <c r="N1082" s="2">
        <f t="shared" si="219"/>
        <v>13.008711190529374</v>
      </c>
      <c r="O1082" s="1">
        <v>688</v>
      </c>
      <c r="P1082" s="1">
        <f t="shared" si="212"/>
        <v>1184</v>
      </c>
      <c r="Q1082" s="1">
        <f t="shared" si="213"/>
        <v>5.0588111108148581</v>
      </c>
      <c r="R1082" s="1">
        <f t="shared" si="214"/>
        <v>3.199589933335893</v>
      </c>
      <c r="S1082" s="2">
        <f t="shared" si="215"/>
        <v>13.818042765561357</v>
      </c>
      <c r="T1082" s="2">
        <f t="shared" si="216"/>
        <v>0.24117034244042859</v>
      </c>
      <c r="U1082" s="1" t="s">
        <v>2507</v>
      </c>
      <c r="V1082" s="6" t="s">
        <v>2505</v>
      </c>
    </row>
    <row r="1083" spans="1:24" ht="14.25" customHeight="1" x14ac:dyDescent="0.3">
      <c r="A1083" s="1" t="s">
        <v>40</v>
      </c>
      <c r="B1083" s="1" t="s">
        <v>396</v>
      </c>
      <c r="C1083" s="1" t="s">
        <v>397</v>
      </c>
      <c r="D1083" s="1">
        <f t="shared" si="207"/>
        <v>8</v>
      </c>
      <c r="E1083" s="1">
        <f t="shared" si="208"/>
        <v>9.4502314814814817E-2</v>
      </c>
      <c r="F1083" s="2">
        <f t="shared" si="209"/>
        <v>45.869288960375592</v>
      </c>
      <c r="G1083" s="1">
        <v>2080</v>
      </c>
      <c r="H1083" s="1">
        <v>3744</v>
      </c>
      <c r="I1083" s="1">
        <v>0</v>
      </c>
      <c r="J1083" s="1">
        <v>180</v>
      </c>
      <c r="K1083" s="1">
        <f t="shared" si="218"/>
        <v>0</v>
      </c>
      <c r="L1083" s="1">
        <f t="shared" si="210"/>
        <v>1.5706730769230768</v>
      </c>
      <c r="M1083" s="1">
        <f t="shared" si="211"/>
        <v>1.5706730769230768</v>
      </c>
      <c r="N1083" s="2">
        <f t="shared" si="219"/>
        <v>10.696051423324151</v>
      </c>
      <c r="O1083" s="1">
        <v>686</v>
      </c>
      <c r="P1083" s="1">
        <f t="shared" si="212"/>
        <v>1186</v>
      </c>
      <c r="Q1083" s="1">
        <f t="shared" si="213"/>
        <v>4.1594669133366606</v>
      </c>
      <c r="R1083" s="1">
        <f t="shared" si="214"/>
        <v>2.6352178200947005</v>
      </c>
      <c r="S1083" s="2">
        <f t="shared" si="215"/>
        <v>13.84048729201265</v>
      </c>
      <c r="T1083" s="2">
        <f t="shared" si="216"/>
        <v>0.24156207332605462</v>
      </c>
      <c r="U1083" s="1" t="s">
        <v>2507</v>
      </c>
      <c r="V1083" s="6" t="s">
        <v>2505</v>
      </c>
    </row>
    <row r="1084" spans="1:24" ht="14.25" customHeight="1" x14ac:dyDescent="0.3">
      <c r="A1084" s="1" t="s">
        <v>27</v>
      </c>
      <c r="B1084" s="1" t="s">
        <v>2139</v>
      </c>
      <c r="C1084" s="1" t="s">
        <v>2140</v>
      </c>
      <c r="D1084" s="1">
        <f t="shared" si="207"/>
        <v>24</v>
      </c>
      <c r="E1084" s="1">
        <f t="shared" si="208"/>
        <v>0.23539351851851853</v>
      </c>
      <c r="F1084" s="2">
        <f t="shared" si="209"/>
        <v>147.28549941627091</v>
      </c>
      <c r="G1084" s="1">
        <v>2080</v>
      </c>
      <c r="H1084" s="1">
        <v>3744</v>
      </c>
      <c r="I1084" s="1">
        <v>0</v>
      </c>
      <c r="J1084" s="1">
        <v>220</v>
      </c>
      <c r="K1084" s="1">
        <f t="shared" si="218"/>
        <v>0</v>
      </c>
      <c r="L1084" s="1">
        <f t="shared" si="210"/>
        <v>1.9197115384615382</v>
      </c>
      <c r="M1084" s="1">
        <f t="shared" si="211"/>
        <v>1.9197115384615382</v>
      </c>
      <c r="N1084" s="2">
        <f t="shared" si="219"/>
        <v>8.7513148009015786</v>
      </c>
      <c r="O1084" s="1">
        <v>680</v>
      </c>
      <c r="P1084" s="1">
        <f t="shared" si="212"/>
        <v>1192</v>
      </c>
      <c r="Q1084" s="1">
        <f t="shared" si="213"/>
        <v>3.4032002018209044</v>
      </c>
      <c r="R1084" s="1">
        <f t="shared" si="214"/>
        <v>2.1669950003047638</v>
      </c>
      <c r="S1084" s="2">
        <f t="shared" si="215"/>
        <v>13.907794859911519</v>
      </c>
      <c r="T1084" s="2">
        <f t="shared" si="216"/>
        <v>0.24273681199739952</v>
      </c>
      <c r="U1084" s="1" t="s">
        <v>2507</v>
      </c>
      <c r="V1084" s="6" t="s">
        <v>2505</v>
      </c>
    </row>
    <row r="1085" spans="1:24" ht="14.25" customHeight="1" x14ac:dyDescent="0.3">
      <c r="A1085" s="1" t="s">
        <v>27</v>
      </c>
      <c r="B1085" s="1" t="s">
        <v>2141</v>
      </c>
      <c r="C1085" s="1" t="s">
        <v>2142</v>
      </c>
      <c r="D1085" s="1">
        <f t="shared" si="207"/>
        <v>56</v>
      </c>
      <c r="E1085" s="1">
        <f t="shared" si="208"/>
        <v>0.72777777777777775</v>
      </c>
      <c r="F1085" s="2">
        <f t="shared" si="209"/>
        <v>351.44117078928195</v>
      </c>
      <c r="G1085" s="1">
        <v>2080</v>
      </c>
      <c r="H1085" s="1">
        <v>3744</v>
      </c>
      <c r="I1085" s="1">
        <v>0</v>
      </c>
      <c r="J1085" s="1">
        <v>198</v>
      </c>
      <c r="K1085" s="1">
        <f t="shared" si="218"/>
        <v>0</v>
      </c>
      <c r="L1085" s="1">
        <f t="shared" si="210"/>
        <v>1.7277403846153845</v>
      </c>
      <c r="M1085" s="1">
        <f t="shared" si="211"/>
        <v>1.7277403846153845</v>
      </c>
      <c r="N1085" s="2">
        <f t="shared" si="219"/>
        <v>9.723683112112866</v>
      </c>
      <c r="O1085" s="1">
        <v>679</v>
      </c>
      <c r="P1085" s="1">
        <f t="shared" si="212"/>
        <v>1193</v>
      </c>
      <c r="Q1085" s="1">
        <f t="shared" si="213"/>
        <v>3.7813335575787832</v>
      </c>
      <c r="R1085" s="1">
        <f t="shared" si="214"/>
        <v>2.4097921657005812</v>
      </c>
      <c r="S1085" s="2">
        <f t="shared" si="215"/>
        <v>13.919008987178517</v>
      </c>
      <c r="T1085" s="2">
        <f t="shared" si="216"/>
        <v>0.24293253544094631</v>
      </c>
      <c r="U1085" s="1" t="s">
        <v>2507</v>
      </c>
      <c r="V1085" s="6" t="s">
        <v>2505</v>
      </c>
      <c r="W1085" s="1"/>
      <c r="X1085" s="1"/>
    </row>
    <row r="1086" spans="1:24" ht="14.25" customHeight="1" x14ac:dyDescent="0.3">
      <c r="A1086" s="1" t="s">
        <v>27</v>
      </c>
      <c r="B1086" s="1" t="s">
        <v>2143</v>
      </c>
      <c r="C1086" s="1" t="s">
        <v>2144</v>
      </c>
      <c r="D1086" s="1">
        <f t="shared" si="207"/>
        <v>85</v>
      </c>
      <c r="E1086" s="1">
        <f t="shared" si="208"/>
        <v>0.74564814814814817</v>
      </c>
      <c r="F1086" s="2">
        <f t="shared" si="209"/>
        <v>533.76582754603498</v>
      </c>
      <c r="G1086" s="1">
        <v>2080</v>
      </c>
      <c r="H1086" s="1">
        <v>3744</v>
      </c>
      <c r="I1086" s="1">
        <v>0</v>
      </c>
      <c r="J1086" s="1">
        <v>208</v>
      </c>
      <c r="K1086" s="1">
        <f t="shared" si="218"/>
        <v>0</v>
      </c>
      <c r="L1086" s="1">
        <f t="shared" si="210"/>
        <v>1.8149999999999999</v>
      </c>
      <c r="M1086" s="1">
        <f t="shared" si="211"/>
        <v>1.8149999999999999</v>
      </c>
      <c r="N1086" s="2">
        <f t="shared" si="219"/>
        <v>9.2561983471074392</v>
      </c>
      <c r="O1086" s="1">
        <v>674</v>
      </c>
      <c r="P1086" s="1">
        <f t="shared" si="212"/>
        <v>1198</v>
      </c>
      <c r="Q1086" s="1">
        <f t="shared" si="213"/>
        <v>3.5995386750028797</v>
      </c>
      <c r="R1086" s="1">
        <f t="shared" si="214"/>
        <v>2.3035509255627402</v>
      </c>
      <c r="S1086" s="2">
        <f t="shared" si="215"/>
        <v>13.975063292662995</v>
      </c>
      <c r="T1086" s="2">
        <f t="shared" si="216"/>
        <v>0.24391086763156916</v>
      </c>
      <c r="U1086" s="1" t="s">
        <v>2507</v>
      </c>
      <c r="V1086" s="6" t="s">
        <v>2505</v>
      </c>
    </row>
    <row r="1087" spans="1:24" ht="14.25" customHeight="1" x14ac:dyDescent="0.3">
      <c r="A1087" s="1" t="s">
        <v>30</v>
      </c>
      <c r="B1087" s="1" t="s">
        <v>2145</v>
      </c>
      <c r="C1087" s="1" t="s">
        <v>2146</v>
      </c>
      <c r="D1087" s="1">
        <f t="shared" si="207"/>
        <v>82</v>
      </c>
      <c r="E1087" s="1">
        <f t="shared" si="208"/>
        <v>0.13833333333333334</v>
      </c>
      <c r="F1087" s="2">
        <f t="shared" si="209"/>
        <v>511.10040010321927</v>
      </c>
      <c r="G1087" s="1">
        <v>2080</v>
      </c>
      <c r="H1087" s="1">
        <v>3744</v>
      </c>
      <c r="I1087" s="1">
        <v>0</v>
      </c>
      <c r="J1087" s="1">
        <v>97</v>
      </c>
      <c r="K1087" s="1">
        <f t="shared" si="218"/>
        <v>0</v>
      </c>
      <c r="L1087" s="1">
        <f t="shared" si="210"/>
        <v>0.84641826923076924</v>
      </c>
      <c r="M1087" s="1">
        <f t="shared" si="211"/>
        <v>0.84641826923076924</v>
      </c>
      <c r="N1087" s="2">
        <f t="shared" si="219"/>
        <v>19.84834284740564</v>
      </c>
      <c r="O1087" s="1">
        <v>669</v>
      </c>
      <c r="P1087" s="1">
        <f t="shared" si="212"/>
        <v>1203</v>
      </c>
      <c r="Q1087" s="1">
        <f t="shared" si="213"/>
        <v>7.7185983958824629</v>
      </c>
      <c r="R1087" s="1">
        <f t="shared" si="214"/>
        <v>4.9601890332513907</v>
      </c>
      <c r="S1087" s="2">
        <f t="shared" si="215"/>
        <v>14.031090315977179</v>
      </c>
      <c r="T1087" s="2">
        <f t="shared" si="216"/>
        <v>0.24488872365849332</v>
      </c>
      <c r="U1087" s="1" t="s">
        <v>2507</v>
      </c>
      <c r="V1087" s="6" t="s">
        <v>2505</v>
      </c>
      <c r="W1087" s="3"/>
      <c r="X1087" s="3"/>
    </row>
    <row r="1088" spans="1:24" ht="14.25" customHeight="1" x14ac:dyDescent="0.3">
      <c r="A1088" s="1" t="s">
        <v>27</v>
      </c>
      <c r="B1088" s="1" t="s">
        <v>2147</v>
      </c>
      <c r="C1088" s="1" t="s">
        <v>2148</v>
      </c>
      <c r="D1088" s="1">
        <f t="shared" si="207"/>
        <v>55</v>
      </c>
      <c r="E1088" s="1">
        <f t="shared" si="208"/>
        <v>0.71969907407407396</v>
      </c>
      <c r="F1088" s="2">
        <f t="shared" si="209"/>
        <v>345.10722548969022</v>
      </c>
      <c r="G1088" s="1">
        <v>2080</v>
      </c>
      <c r="H1088" s="1">
        <v>3744</v>
      </c>
      <c r="I1088" s="1">
        <v>0</v>
      </c>
      <c r="J1088" s="1">
        <v>300</v>
      </c>
      <c r="K1088" s="1">
        <f t="shared" si="218"/>
        <v>0</v>
      </c>
      <c r="L1088" s="1">
        <f t="shared" si="210"/>
        <v>2.6177884615384617</v>
      </c>
      <c r="M1088" s="1">
        <f t="shared" si="211"/>
        <v>2.6177884615384617</v>
      </c>
      <c r="N1088" s="2">
        <f t="shared" si="219"/>
        <v>6.4176308539944902</v>
      </c>
      <c r="O1088" s="1">
        <v>669</v>
      </c>
      <c r="P1088" s="1">
        <f t="shared" si="212"/>
        <v>1203</v>
      </c>
      <c r="Q1088" s="1">
        <f t="shared" si="213"/>
        <v>2.4956801480019966</v>
      </c>
      <c r="R1088" s="1">
        <f t="shared" si="214"/>
        <v>1.6037944540846165</v>
      </c>
      <c r="S1088" s="2">
        <f t="shared" si="215"/>
        <v>14.031090315977181</v>
      </c>
      <c r="T1088" s="2">
        <f t="shared" si="216"/>
        <v>0.24488872365849335</v>
      </c>
      <c r="U1088" s="1" t="s">
        <v>2507</v>
      </c>
      <c r="V1088" s="6" t="s">
        <v>2505</v>
      </c>
    </row>
    <row r="1089" spans="1:24" ht="14.25" customHeight="1" x14ac:dyDescent="0.3">
      <c r="A1089" s="1" t="s">
        <v>27</v>
      </c>
      <c r="B1089" s="1" t="s">
        <v>2149</v>
      </c>
      <c r="C1089" s="1" t="s">
        <v>2150</v>
      </c>
      <c r="D1089" s="1">
        <f t="shared" si="207"/>
        <v>55</v>
      </c>
      <c r="E1089" s="1">
        <f t="shared" si="208"/>
        <v>0.71990740740740744</v>
      </c>
      <c r="F1089" s="2">
        <f t="shared" si="209"/>
        <v>345.1085344866292</v>
      </c>
      <c r="G1089" s="1">
        <v>2080</v>
      </c>
      <c r="H1089" s="1">
        <v>3744</v>
      </c>
      <c r="I1089" s="1">
        <v>0</v>
      </c>
      <c r="J1089" s="1">
        <v>309</v>
      </c>
      <c r="K1089" s="1">
        <f t="shared" si="218"/>
        <v>0</v>
      </c>
      <c r="L1089" s="1">
        <f t="shared" si="210"/>
        <v>2.6963221153846151</v>
      </c>
      <c r="M1089" s="1">
        <f t="shared" si="211"/>
        <v>2.6963221153846151</v>
      </c>
      <c r="N1089" s="2">
        <f t="shared" si="219"/>
        <v>6.2307095669849435</v>
      </c>
      <c r="O1089" s="1">
        <v>666</v>
      </c>
      <c r="P1089" s="1">
        <f t="shared" si="212"/>
        <v>1206</v>
      </c>
      <c r="Q1089" s="1">
        <f t="shared" si="213"/>
        <v>2.4229904349533951</v>
      </c>
      <c r="R1089" s="1">
        <f t="shared" si="214"/>
        <v>1.560964991748822</v>
      </c>
      <c r="S1089" s="2">
        <f t="shared" si="215"/>
        <v>14.0646933982552</v>
      </c>
      <c r="T1089" s="2">
        <f t="shared" si="216"/>
        <v>0.24547520808306333</v>
      </c>
      <c r="U1089" s="1" t="s">
        <v>2507</v>
      </c>
      <c r="V1089" s="6" t="s">
        <v>2505</v>
      </c>
    </row>
    <row r="1090" spans="1:24" ht="14.25" customHeight="1" x14ac:dyDescent="0.3">
      <c r="A1090" s="1" t="s">
        <v>17</v>
      </c>
      <c r="B1090" s="1" t="s">
        <v>2151</v>
      </c>
      <c r="C1090" s="1" t="s">
        <v>2152</v>
      </c>
      <c r="D1090" s="1">
        <f t="shared" ref="D1090:D1153" si="220">(LEFT(C1090,4)&amp;"-"&amp;MID(C1090,6,2)&amp;"-"&amp;MID(C1090,9,2))-(2019&amp;"-"&amp;5&amp;"-"&amp;28)</f>
        <v>36</v>
      </c>
      <c r="E1090" s="1">
        <f t="shared" ref="E1090:E1153" si="221">TIMEVALUE(RIGHT(C1090,8))</f>
        <v>0.45741898148148147</v>
      </c>
      <c r="F1090" s="2">
        <f t="shared" ref="F1090:F1153" si="222">(D1090+E1090)*2*PI()-4.989969053</f>
        <v>224.07875022913458</v>
      </c>
      <c r="G1090" s="1">
        <v>2080</v>
      </c>
      <c r="H1090" s="1">
        <v>3744</v>
      </c>
      <c r="I1090" s="1">
        <v>0</v>
      </c>
      <c r="J1090" s="1">
        <v>166</v>
      </c>
      <c r="K1090" s="1">
        <f t="shared" si="218"/>
        <v>0</v>
      </c>
      <c r="L1090" s="1">
        <f t="shared" ref="L1090:L1153" si="223">(18.15*J1090)/G1090</f>
        <v>1.4485096153846153</v>
      </c>
      <c r="M1090" s="1">
        <f t="shared" ref="M1090:M1153" si="224">SQRT(K1090*K1090+L1090*L1090)</f>
        <v>1.4485096153846153</v>
      </c>
      <c r="N1090" s="2">
        <f t="shared" si="219"/>
        <v>11.598128049387634</v>
      </c>
      <c r="O1090" s="1">
        <v>664</v>
      </c>
      <c r="P1090" s="1">
        <f t="shared" ref="P1090:P1153" si="225">H1090/2-O1090</f>
        <v>1208</v>
      </c>
      <c r="Q1090" s="1">
        <f t="shared" ref="Q1090:Q1153" si="226">TAN(RADIANS(21.25))*N1090</f>
        <v>4.5102653277144515</v>
      </c>
      <c r="R1090" s="1">
        <f t="shared" ref="R1090:R1153" si="227">Q1090*(P1090/(H1090/2))</f>
        <v>2.9104703610465052</v>
      </c>
      <c r="S1090" s="2">
        <f t="shared" ref="S1090:S1153" si="228">DEGREES(ATAN(R1090/N1090))</f>
        <v>14.087089969965996</v>
      </c>
      <c r="T1090" s="2">
        <f t="shared" ref="T1090:T1153" si="229">RADIANS(S1090)</f>
        <v>0.24586610200057574</v>
      </c>
      <c r="U1090" s="1" t="s">
        <v>2507</v>
      </c>
      <c r="V1090" s="6" t="s">
        <v>2505</v>
      </c>
    </row>
    <row r="1091" spans="1:24" ht="14.25" customHeight="1" x14ac:dyDescent="0.3">
      <c r="A1091" s="1" t="s">
        <v>27</v>
      </c>
      <c r="B1091" s="1" t="s">
        <v>2153</v>
      </c>
      <c r="C1091" s="1" t="s">
        <v>2154</v>
      </c>
      <c r="D1091" s="1">
        <f t="shared" si="220"/>
        <v>55</v>
      </c>
      <c r="E1091" s="1">
        <f t="shared" si="221"/>
        <v>0.71991898148148159</v>
      </c>
      <c r="F1091" s="2">
        <f t="shared" si="222"/>
        <v>345.10860720868141</v>
      </c>
      <c r="G1091" s="1">
        <v>2080</v>
      </c>
      <c r="H1091" s="1">
        <v>3744</v>
      </c>
      <c r="I1091" s="1">
        <v>0</v>
      </c>
      <c r="J1091" s="1">
        <v>300</v>
      </c>
      <c r="K1091" s="1">
        <f t="shared" si="218"/>
        <v>0</v>
      </c>
      <c r="L1091" s="1">
        <f t="shared" si="223"/>
        <v>2.6177884615384617</v>
      </c>
      <c r="M1091" s="1">
        <f t="shared" si="224"/>
        <v>2.6177884615384617</v>
      </c>
      <c r="N1091" s="2">
        <f t="shared" si="219"/>
        <v>6.4176308539944902</v>
      </c>
      <c r="O1091" s="1">
        <v>663</v>
      </c>
      <c r="P1091" s="1">
        <f t="shared" si="225"/>
        <v>1209</v>
      </c>
      <c r="Q1091" s="1">
        <f t="shared" si="226"/>
        <v>2.4956801480019966</v>
      </c>
      <c r="R1091" s="1">
        <f t="shared" si="227"/>
        <v>1.6117934289179563</v>
      </c>
      <c r="S1091" s="2">
        <f t="shared" si="228"/>
        <v>14.098286608795783</v>
      </c>
      <c r="T1091" s="2">
        <f t="shared" si="229"/>
        <v>0.24606152021331218</v>
      </c>
      <c r="U1091" s="1" t="s">
        <v>2507</v>
      </c>
      <c r="V1091" s="6" t="s">
        <v>2505</v>
      </c>
    </row>
    <row r="1092" spans="1:24" ht="14.25" customHeight="1" x14ac:dyDescent="0.3">
      <c r="A1092" s="1" t="s">
        <v>65</v>
      </c>
      <c r="B1092" s="1" t="s">
        <v>757</v>
      </c>
      <c r="C1092" s="1" t="s">
        <v>758</v>
      </c>
      <c r="D1092" s="1">
        <f t="shared" si="220"/>
        <v>43</v>
      </c>
      <c r="E1092" s="1">
        <f t="shared" si="221"/>
        <v>0.74707175925925917</v>
      </c>
      <c r="F1092" s="2">
        <f t="shared" si="222"/>
        <v>269.88098945690876</v>
      </c>
      <c r="G1092" s="1">
        <v>2080</v>
      </c>
      <c r="H1092" s="1">
        <v>3744</v>
      </c>
      <c r="I1092" s="1">
        <v>0</v>
      </c>
      <c r="J1092" s="1">
        <v>1086</v>
      </c>
      <c r="K1092" s="1">
        <f t="shared" si="218"/>
        <v>0</v>
      </c>
      <c r="L1092" s="1">
        <f t="shared" si="223"/>
        <v>9.4763942307692304</v>
      </c>
      <c r="M1092" s="1">
        <f t="shared" si="224"/>
        <v>9.4763942307692304</v>
      </c>
      <c r="N1092" s="2">
        <f t="shared" si="219"/>
        <v>1.7728262027609092</v>
      </c>
      <c r="O1092" s="1">
        <v>660</v>
      </c>
      <c r="P1092" s="1">
        <f t="shared" si="225"/>
        <v>1212</v>
      </c>
      <c r="Q1092" s="1">
        <f t="shared" si="226"/>
        <v>0.68941440552541344</v>
      </c>
      <c r="R1092" s="1">
        <f t="shared" si="227"/>
        <v>0.44635163434658182</v>
      </c>
      <c r="S1092" s="2">
        <f t="shared" si="228"/>
        <v>14.131869928862443</v>
      </c>
      <c r="T1092" s="2">
        <f t="shared" si="229"/>
        <v>0.24664765972222646</v>
      </c>
      <c r="U1092" s="1" t="s">
        <v>2507</v>
      </c>
      <c r="V1092" s="6" t="s">
        <v>2505</v>
      </c>
    </row>
    <row r="1093" spans="1:24" ht="14.25" customHeight="1" x14ac:dyDescent="0.3">
      <c r="A1093" s="1" t="s">
        <v>40</v>
      </c>
      <c r="B1093" s="1" t="s">
        <v>2155</v>
      </c>
      <c r="C1093" s="1" t="s">
        <v>2156</v>
      </c>
      <c r="D1093" s="1">
        <f t="shared" si="220"/>
        <v>29</v>
      </c>
      <c r="E1093" s="1">
        <f t="shared" si="221"/>
        <v>0.71021990740740737</v>
      </c>
      <c r="F1093" s="2">
        <f t="shared" si="222"/>
        <v>181.68484814229666</v>
      </c>
      <c r="G1093" s="1">
        <v>2080</v>
      </c>
      <c r="H1093" s="1">
        <v>3744</v>
      </c>
      <c r="I1093" s="1">
        <v>0</v>
      </c>
      <c r="J1093" s="1">
        <v>171</v>
      </c>
      <c r="K1093" s="1">
        <f t="shared" si="218"/>
        <v>0</v>
      </c>
      <c r="L1093" s="1">
        <f t="shared" si="223"/>
        <v>1.4921394230769229</v>
      </c>
      <c r="M1093" s="1">
        <f t="shared" si="224"/>
        <v>1.4921394230769229</v>
      </c>
      <c r="N1093" s="2">
        <f t="shared" si="219"/>
        <v>11.25900149823595</v>
      </c>
      <c r="O1093" s="1">
        <v>657</v>
      </c>
      <c r="P1093" s="1">
        <f t="shared" si="225"/>
        <v>1215</v>
      </c>
      <c r="Q1093" s="1">
        <f t="shared" si="226"/>
        <v>4.378386224564907</v>
      </c>
      <c r="R1093" s="1">
        <f t="shared" si="227"/>
        <v>2.8417410592128003</v>
      </c>
      <c r="S1093" s="2">
        <f t="shared" si="228"/>
        <v>14.165443339756916</v>
      </c>
      <c r="T1093" s="2">
        <f t="shared" si="229"/>
        <v>0.24723362628345996</v>
      </c>
      <c r="U1093" s="1" t="s">
        <v>2507</v>
      </c>
      <c r="V1093" s="6" t="s">
        <v>2505</v>
      </c>
    </row>
    <row r="1094" spans="1:24" ht="14.25" customHeight="1" x14ac:dyDescent="0.3">
      <c r="A1094" s="1" t="s">
        <v>450</v>
      </c>
      <c r="B1094" s="1" t="s">
        <v>2157</v>
      </c>
      <c r="C1094" s="1" t="s">
        <v>2158</v>
      </c>
      <c r="D1094" s="1">
        <f t="shared" si="220"/>
        <v>81</v>
      </c>
      <c r="E1094" s="1">
        <f t="shared" si="221"/>
        <v>0.30949074074074073</v>
      </c>
      <c r="F1094" s="2">
        <f t="shared" si="222"/>
        <v>505.89262850347689</v>
      </c>
      <c r="G1094" s="1">
        <v>2080</v>
      </c>
      <c r="H1094" s="1">
        <v>3744</v>
      </c>
      <c r="I1094" s="1">
        <v>0</v>
      </c>
      <c r="J1094" s="1">
        <v>232</v>
      </c>
      <c r="K1094" s="1">
        <f t="shared" si="218"/>
        <v>0</v>
      </c>
      <c r="L1094" s="1">
        <f t="shared" si="223"/>
        <v>2.0244230769230764</v>
      </c>
      <c r="M1094" s="1">
        <f t="shared" si="224"/>
        <v>2.0244230769230764</v>
      </c>
      <c r="N1094" s="2">
        <f t="shared" si="219"/>
        <v>8.2986605870618426</v>
      </c>
      <c r="O1094" s="1">
        <v>652</v>
      </c>
      <c r="P1094" s="1">
        <f t="shared" si="225"/>
        <v>1220</v>
      </c>
      <c r="Q1094" s="1">
        <f t="shared" si="226"/>
        <v>3.2271726051749958</v>
      </c>
      <c r="R1094" s="1">
        <f t="shared" si="227"/>
        <v>2.1031787277315677</v>
      </c>
      <c r="S1094" s="2">
        <f t="shared" si="228"/>
        <v>14.221376953534211</v>
      </c>
      <c r="T1094" s="2">
        <f t="shared" si="229"/>
        <v>0.2482098520064126</v>
      </c>
      <c r="U1094" s="1" t="s">
        <v>2507</v>
      </c>
      <c r="V1094" s="6" t="s">
        <v>2505</v>
      </c>
    </row>
    <row r="1095" spans="1:24" ht="14.25" customHeight="1" x14ac:dyDescent="0.3">
      <c r="A1095" s="1" t="s">
        <v>40</v>
      </c>
      <c r="B1095" s="1" t="s">
        <v>2159</v>
      </c>
      <c r="C1095" s="1" t="s">
        <v>2160</v>
      </c>
      <c r="D1095" s="1">
        <f t="shared" si="220"/>
        <v>73</v>
      </c>
      <c r="E1095" s="1">
        <f t="shared" si="221"/>
        <v>0.40932870370370367</v>
      </c>
      <c r="F1095" s="2">
        <f t="shared" si="222"/>
        <v>456.25444646802782</v>
      </c>
      <c r="G1095" s="1">
        <v>2080</v>
      </c>
      <c r="H1095" s="1">
        <v>3744</v>
      </c>
      <c r="I1095" s="1">
        <v>0</v>
      </c>
      <c r="J1095" s="1">
        <v>343</v>
      </c>
      <c r="K1095" s="1">
        <f t="shared" si="218"/>
        <v>0</v>
      </c>
      <c r="L1095" s="1">
        <f t="shared" si="223"/>
        <v>2.9930048076923077</v>
      </c>
      <c r="M1095" s="1">
        <f t="shared" si="224"/>
        <v>2.9930048076923077</v>
      </c>
      <c r="N1095" s="2">
        <f t="shared" si="219"/>
        <v>5.6130882104908082</v>
      </c>
      <c r="O1095" s="1">
        <v>649</v>
      </c>
      <c r="P1095" s="1">
        <f t="shared" si="225"/>
        <v>1223</v>
      </c>
      <c r="Q1095" s="1">
        <f t="shared" si="226"/>
        <v>2.1828106250746324</v>
      </c>
      <c r="R1095" s="1">
        <f t="shared" si="227"/>
        <v>1.426056300462754</v>
      </c>
      <c r="S1095" s="2">
        <f t="shared" si="228"/>
        <v>14.254923848846795</v>
      </c>
      <c r="T1095" s="2">
        <f t="shared" si="229"/>
        <v>0.24879535578343906</v>
      </c>
      <c r="U1095" s="1" t="s">
        <v>2507</v>
      </c>
      <c r="V1095" s="6" t="s">
        <v>2505</v>
      </c>
    </row>
    <row r="1096" spans="1:24" ht="14.25" customHeight="1" x14ac:dyDescent="0.3">
      <c r="A1096" s="1" t="s">
        <v>27</v>
      </c>
      <c r="B1096" s="1" t="s">
        <v>2161</v>
      </c>
      <c r="C1096" s="1" t="s">
        <v>2162</v>
      </c>
      <c r="D1096" s="1">
        <f t="shared" si="220"/>
        <v>55</v>
      </c>
      <c r="E1096" s="1">
        <f t="shared" si="221"/>
        <v>0.71989583333333329</v>
      </c>
      <c r="F1096" s="2">
        <f t="shared" si="222"/>
        <v>345.10846176457704</v>
      </c>
      <c r="G1096" s="1">
        <v>2080</v>
      </c>
      <c r="H1096" s="1">
        <v>3744</v>
      </c>
      <c r="I1096" s="1">
        <v>0</v>
      </c>
      <c r="J1096" s="1">
        <v>315</v>
      </c>
      <c r="K1096" s="1">
        <f t="shared" si="218"/>
        <v>0</v>
      </c>
      <c r="L1096" s="1">
        <f t="shared" si="223"/>
        <v>2.7486778846153848</v>
      </c>
      <c r="M1096" s="1">
        <f t="shared" si="224"/>
        <v>2.7486778846153848</v>
      </c>
      <c r="N1096" s="2">
        <f t="shared" si="219"/>
        <v>6.1120293847566574</v>
      </c>
      <c r="O1096" s="1">
        <v>648</v>
      </c>
      <c r="P1096" s="1">
        <f t="shared" si="225"/>
        <v>1224</v>
      </c>
      <c r="Q1096" s="1">
        <f t="shared" si="226"/>
        <v>2.3768382361923774</v>
      </c>
      <c r="R1096" s="1">
        <f t="shared" si="227"/>
        <v>1.5540865390488623</v>
      </c>
      <c r="S1096" s="2">
        <f t="shared" si="228"/>
        <v>14.266103930998552</v>
      </c>
      <c r="T1096" s="2">
        <f t="shared" si="229"/>
        <v>0.24899048502763069</v>
      </c>
      <c r="U1096" s="1" t="s">
        <v>2507</v>
      </c>
      <c r="V1096" s="6" t="s">
        <v>2505</v>
      </c>
    </row>
    <row r="1097" spans="1:24" ht="14.25" customHeight="1" x14ac:dyDescent="0.3">
      <c r="A1097" s="1" t="s">
        <v>14</v>
      </c>
      <c r="B1097" s="1" t="s">
        <v>2163</v>
      </c>
      <c r="C1097" s="1" t="s">
        <v>2164</v>
      </c>
      <c r="D1097" s="1">
        <f t="shared" si="220"/>
        <v>76</v>
      </c>
      <c r="E1097" s="1">
        <f t="shared" si="221"/>
        <v>0.32533564814814814</v>
      </c>
      <c r="F1097" s="2">
        <f t="shared" si="222"/>
        <v>474.57625845699482</v>
      </c>
      <c r="G1097" s="1">
        <v>2080</v>
      </c>
      <c r="H1097" s="1">
        <v>3744</v>
      </c>
      <c r="I1097" s="1">
        <v>0</v>
      </c>
      <c r="J1097" s="1">
        <v>124</v>
      </c>
      <c r="K1097" s="1">
        <f t="shared" si="218"/>
        <v>0</v>
      </c>
      <c r="L1097" s="1">
        <f t="shared" si="223"/>
        <v>1.0820192307692307</v>
      </c>
      <c r="M1097" s="1">
        <f t="shared" si="224"/>
        <v>1.0820192307692307</v>
      </c>
      <c r="N1097" s="2">
        <f t="shared" si="219"/>
        <v>15.526526259664092</v>
      </c>
      <c r="O1097" s="1">
        <v>643</v>
      </c>
      <c r="P1097" s="1">
        <f t="shared" si="225"/>
        <v>1229</v>
      </c>
      <c r="Q1097" s="1">
        <f t="shared" si="226"/>
        <v>6.0379358419403149</v>
      </c>
      <c r="R1097" s="1">
        <f t="shared" si="227"/>
        <v>3.9640080928123114</v>
      </c>
      <c r="S1097" s="2">
        <f t="shared" si="228"/>
        <v>14.321987688737652</v>
      </c>
      <c r="T1097" s="2">
        <f t="shared" si="229"/>
        <v>0.24996584059856483</v>
      </c>
      <c r="U1097" s="1" t="s">
        <v>2507</v>
      </c>
      <c r="V1097" s="6" t="s">
        <v>2505</v>
      </c>
    </row>
    <row r="1098" spans="1:24" ht="14.25" customHeight="1" x14ac:dyDescent="0.3">
      <c r="A1098" s="1" t="s">
        <v>17</v>
      </c>
      <c r="B1098" s="1" t="s">
        <v>2165</v>
      </c>
      <c r="C1098" s="1" t="s">
        <v>2166</v>
      </c>
      <c r="D1098" s="1">
        <f t="shared" si="220"/>
        <v>69</v>
      </c>
      <c r="E1098" s="1">
        <f t="shared" si="221"/>
        <v>0.29730324074074072</v>
      </c>
      <c r="F1098" s="2">
        <f t="shared" si="222"/>
        <v>430.4178284963906</v>
      </c>
      <c r="G1098" s="1">
        <v>2080</v>
      </c>
      <c r="H1098" s="1">
        <v>3744</v>
      </c>
      <c r="I1098" s="1">
        <v>0</v>
      </c>
      <c r="J1098" s="1">
        <v>229</v>
      </c>
      <c r="K1098" s="1">
        <f t="shared" si="218"/>
        <v>0</v>
      </c>
      <c r="L1098" s="1">
        <f t="shared" si="223"/>
        <v>1.998245192307692</v>
      </c>
      <c r="M1098" s="1">
        <f t="shared" si="224"/>
        <v>1.998245192307692</v>
      </c>
      <c r="N1098" s="2">
        <f t="shared" si="219"/>
        <v>8.407376664621605</v>
      </c>
      <c r="O1098" s="1">
        <v>640</v>
      </c>
      <c r="P1098" s="1">
        <f t="shared" si="225"/>
        <v>1232</v>
      </c>
      <c r="Q1098" s="1">
        <f t="shared" si="226"/>
        <v>3.2694499755484676</v>
      </c>
      <c r="R1098" s="1">
        <f t="shared" si="227"/>
        <v>2.1516893001472819</v>
      </c>
      <c r="S1098" s="2">
        <f t="shared" si="228"/>
        <v>14.355504596315445</v>
      </c>
      <c r="T1098" s="2">
        <f t="shared" si="229"/>
        <v>0.25055082099088394</v>
      </c>
      <c r="U1098" s="1" t="s">
        <v>2507</v>
      </c>
      <c r="V1098" s="6" t="s">
        <v>2505</v>
      </c>
      <c r="W1098" s="1" t="s">
        <v>2167</v>
      </c>
      <c r="X1098" s="1">
        <v>11</v>
      </c>
    </row>
    <row r="1099" spans="1:24" ht="14.25" customHeight="1" x14ac:dyDescent="0.3">
      <c r="A1099" s="1" t="s">
        <v>27</v>
      </c>
      <c r="B1099" s="1" t="s">
        <v>2168</v>
      </c>
      <c r="C1099" s="1" t="s">
        <v>2169</v>
      </c>
      <c r="D1099" s="1">
        <f t="shared" si="220"/>
        <v>34</v>
      </c>
      <c r="E1099" s="1">
        <f t="shared" si="221"/>
        <v>0.77009259259259266</v>
      </c>
      <c r="F1099" s="2">
        <f t="shared" si="222"/>
        <v>213.47696585405151</v>
      </c>
      <c r="G1099" s="1">
        <v>2080</v>
      </c>
      <c r="H1099" s="1">
        <v>3744</v>
      </c>
      <c r="I1099" s="1">
        <v>0</v>
      </c>
      <c r="J1099" s="1">
        <v>203</v>
      </c>
      <c r="K1099" s="1">
        <f t="shared" si="218"/>
        <v>0</v>
      </c>
      <c r="L1099" s="1">
        <f t="shared" si="223"/>
        <v>1.7713701923076923</v>
      </c>
      <c r="M1099" s="1">
        <f t="shared" si="224"/>
        <v>1.7713701923076923</v>
      </c>
      <c r="N1099" s="2">
        <f t="shared" si="219"/>
        <v>9.484183528070675</v>
      </c>
      <c r="O1099" s="1">
        <v>640</v>
      </c>
      <c r="P1099" s="1">
        <f t="shared" si="225"/>
        <v>1232</v>
      </c>
      <c r="Q1099" s="1">
        <f t="shared" si="226"/>
        <v>3.6881972630571376</v>
      </c>
      <c r="R1099" s="1">
        <f t="shared" si="227"/>
        <v>2.427275121841022</v>
      </c>
      <c r="S1099" s="2">
        <f t="shared" si="228"/>
        <v>14.355504596315448</v>
      </c>
      <c r="T1099" s="2">
        <f t="shared" si="229"/>
        <v>0.25055082099088399</v>
      </c>
      <c r="U1099" s="1" t="s">
        <v>2507</v>
      </c>
      <c r="V1099" s="6" t="s">
        <v>2505</v>
      </c>
    </row>
    <row r="1100" spans="1:24" ht="14.25" customHeight="1" x14ac:dyDescent="0.3">
      <c r="A1100" s="1" t="s">
        <v>17</v>
      </c>
      <c r="B1100" s="1" t="s">
        <v>2170</v>
      </c>
      <c r="C1100" s="1" t="s">
        <v>2171</v>
      </c>
      <c r="D1100" s="1">
        <f t="shared" si="220"/>
        <v>71</v>
      </c>
      <c r="E1100" s="1">
        <f t="shared" si="221"/>
        <v>7.768518518518519E-2</v>
      </c>
      <c r="F1100" s="2">
        <f t="shared" si="222"/>
        <v>441.60429817089175</v>
      </c>
      <c r="G1100" s="1">
        <v>2080</v>
      </c>
      <c r="H1100" s="1">
        <v>3744</v>
      </c>
      <c r="I1100" s="1">
        <v>0</v>
      </c>
      <c r="J1100" s="1">
        <v>213</v>
      </c>
      <c r="K1100" s="1">
        <f t="shared" si="218"/>
        <v>0</v>
      </c>
      <c r="L1100" s="1">
        <f t="shared" si="223"/>
        <v>1.8586298076923076</v>
      </c>
      <c r="M1100" s="1">
        <f t="shared" si="224"/>
        <v>1.8586298076923076</v>
      </c>
      <c r="N1100" s="2">
        <f t="shared" si="219"/>
        <v>9.0389166957668881</v>
      </c>
      <c r="O1100" s="1">
        <v>640</v>
      </c>
      <c r="P1100" s="1">
        <f t="shared" si="225"/>
        <v>1232</v>
      </c>
      <c r="Q1100" s="1">
        <f t="shared" si="226"/>
        <v>3.5150424619746428</v>
      </c>
      <c r="R1100" s="1">
        <f t="shared" si="227"/>
        <v>2.3133185433508334</v>
      </c>
      <c r="S1100" s="2">
        <f t="shared" si="228"/>
        <v>14.355504596315448</v>
      </c>
      <c r="T1100" s="2">
        <f t="shared" si="229"/>
        <v>0.25055082099088399</v>
      </c>
      <c r="U1100" s="1" t="s">
        <v>2507</v>
      </c>
      <c r="V1100" s="6" t="s">
        <v>2505</v>
      </c>
    </row>
    <row r="1101" spans="1:24" ht="14.25" customHeight="1" x14ac:dyDescent="0.3">
      <c r="A1101" s="1" t="s">
        <v>40</v>
      </c>
      <c r="B1101" s="1" t="s">
        <v>2172</v>
      </c>
      <c r="C1101" s="1" t="s">
        <v>2173</v>
      </c>
      <c r="D1101" s="1">
        <f t="shared" si="220"/>
        <v>74</v>
      </c>
      <c r="E1101" s="1">
        <f t="shared" si="221"/>
        <v>7.5000000000000006E-3</v>
      </c>
      <c r="F1101" s="2">
        <f t="shared" si="222"/>
        <v>460.01286756809321</v>
      </c>
      <c r="G1101" s="1">
        <v>2080</v>
      </c>
      <c r="H1101" s="1">
        <v>3744</v>
      </c>
      <c r="I1101" s="1">
        <v>0</v>
      </c>
      <c r="J1101" s="1">
        <v>622</v>
      </c>
      <c r="K1101" s="1">
        <f t="shared" si="218"/>
        <v>0</v>
      </c>
      <c r="L1101" s="1">
        <f t="shared" si="223"/>
        <v>5.4275480769230766</v>
      </c>
      <c r="M1101" s="1">
        <f t="shared" si="224"/>
        <v>5.4275480769230766</v>
      </c>
      <c r="N1101" s="2">
        <f t="shared" si="219"/>
        <v>3.0953203475857674</v>
      </c>
      <c r="O1101" s="1">
        <v>639</v>
      </c>
      <c r="P1101" s="1">
        <f t="shared" si="225"/>
        <v>1233</v>
      </c>
      <c r="Q1101" s="1">
        <f t="shared" si="226"/>
        <v>1.2037042514479084</v>
      </c>
      <c r="R1101" s="1">
        <f t="shared" si="227"/>
        <v>0.79282443484790122</v>
      </c>
      <c r="S1101" s="2">
        <f t="shared" si="228"/>
        <v>14.366674670229237</v>
      </c>
      <c r="T1101" s="2">
        <f t="shared" si="229"/>
        <v>0.25074577555837074</v>
      </c>
      <c r="U1101" s="1" t="s">
        <v>2507</v>
      </c>
      <c r="V1101" s="6" t="s">
        <v>2505</v>
      </c>
    </row>
    <row r="1102" spans="1:24" ht="14.25" customHeight="1" x14ac:dyDescent="0.3">
      <c r="A1102" s="1" t="s">
        <v>27</v>
      </c>
      <c r="B1102" s="1" t="s">
        <v>2174</v>
      </c>
      <c r="C1102" s="1" t="s">
        <v>2175</v>
      </c>
      <c r="D1102" s="1">
        <f t="shared" si="220"/>
        <v>56</v>
      </c>
      <c r="E1102" s="1">
        <f t="shared" si="221"/>
        <v>0.30616898148148147</v>
      </c>
      <c r="F1102" s="2">
        <f t="shared" si="222"/>
        <v>348.79212459501542</v>
      </c>
      <c r="G1102" s="1">
        <v>2080</v>
      </c>
      <c r="H1102" s="1">
        <v>3744</v>
      </c>
      <c r="I1102" s="1">
        <v>0</v>
      </c>
      <c r="J1102" s="1">
        <v>174</v>
      </c>
      <c r="K1102" s="1">
        <f t="shared" si="218"/>
        <v>0</v>
      </c>
      <c r="L1102" s="1">
        <f t="shared" si="223"/>
        <v>1.5183173076923075</v>
      </c>
      <c r="M1102" s="1">
        <f t="shared" si="224"/>
        <v>1.5183173076923075</v>
      </c>
      <c r="N1102" s="2">
        <f t="shared" si="219"/>
        <v>11.064880782749123</v>
      </c>
      <c r="O1102" s="1">
        <v>636</v>
      </c>
      <c r="P1102" s="1">
        <f t="shared" si="225"/>
        <v>1236</v>
      </c>
      <c r="Q1102" s="1">
        <f t="shared" si="226"/>
        <v>4.3028968068999944</v>
      </c>
      <c r="R1102" s="1">
        <f t="shared" si="227"/>
        <v>2.8410151994275603</v>
      </c>
      <c r="S1102" s="2">
        <f t="shared" si="228"/>
        <v>14.400178196584664</v>
      </c>
      <c r="T1102" s="2">
        <f t="shared" si="229"/>
        <v>0.25133052240430165</v>
      </c>
      <c r="U1102" s="1" t="s">
        <v>2507</v>
      </c>
      <c r="V1102" s="6" t="s">
        <v>2505</v>
      </c>
    </row>
    <row r="1103" spans="1:24" ht="14.25" customHeight="1" x14ac:dyDescent="0.3">
      <c r="A1103" s="1" t="s">
        <v>27</v>
      </c>
      <c r="B1103" s="1" t="s">
        <v>2176</v>
      </c>
      <c r="C1103" s="1" t="s">
        <v>2177</v>
      </c>
      <c r="D1103" s="1">
        <f t="shared" si="220"/>
        <v>17</v>
      </c>
      <c r="E1103" s="1">
        <f t="shared" si="221"/>
        <v>0.85263888888888895</v>
      </c>
      <c r="F1103" s="2">
        <f t="shared" si="222"/>
        <v>107.18146930804957</v>
      </c>
      <c r="G1103" s="1">
        <v>2080</v>
      </c>
      <c r="H1103" s="1">
        <v>3744</v>
      </c>
      <c r="I1103" s="1">
        <v>0</v>
      </c>
      <c r="J1103" s="1">
        <v>276</v>
      </c>
      <c r="K1103" s="1">
        <f t="shared" si="218"/>
        <v>0</v>
      </c>
      <c r="L1103" s="1">
        <f t="shared" si="223"/>
        <v>2.4083653846153843</v>
      </c>
      <c r="M1103" s="1">
        <f t="shared" si="224"/>
        <v>2.4083653846153843</v>
      </c>
      <c r="N1103" s="2">
        <f t="shared" si="219"/>
        <v>6.9756857108635781</v>
      </c>
      <c r="O1103" s="1">
        <v>636</v>
      </c>
      <c r="P1103" s="1">
        <f t="shared" si="225"/>
        <v>1236</v>
      </c>
      <c r="Q1103" s="1">
        <f t="shared" si="226"/>
        <v>2.7126958130456491</v>
      </c>
      <c r="R1103" s="1">
        <f t="shared" si="227"/>
        <v>1.7910747996391145</v>
      </c>
      <c r="S1103" s="2">
        <f t="shared" si="228"/>
        <v>14.400178196584667</v>
      </c>
      <c r="T1103" s="2">
        <f t="shared" si="229"/>
        <v>0.2513305224043017</v>
      </c>
      <c r="U1103" s="1" t="s">
        <v>2507</v>
      </c>
      <c r="V1103" s="6" t="s">
        <v>2505</v>
      </c>
    </row>
    <row r="1104" spans="1:24" ht="14.25" customHeight="1" x14ac:dyDescent="0.3">
      <c r="A1104" s="1" t="s">
        <v>27</v>
      </c>
      <c r="B1104" s="1" t="s">
        <v>2178</v>
      </c>
      <c r="C1104" s="1" t="s">
        <v>2179</v>
      </c>
      <c r="D1104" s="1">
        <f t="shared" si="220"/>
        <v>33</v>
      </c>
      <c r="E1104" s="1">
        <f t="shared" si="221"/>
        <v>0.27053240740740742</v>
      </c>
      <c r="F1104" s="2">
        <f t="shared" si="222"/>
        <v>204.05495133126448</v>
      </c>
      <c r="G1104" s="1">
        <v>2080</v>
      </c>
      <c r="H1104" s="1">
        <v>3744</v>
      </c>
      <c r="I1104" s="1">
        <v>0</v>
      </c>
      <c r="J1104" s="1">
        <v>211</v>
      </c>
      <c r="K1104" s="1">
        <f t="shared" si="218"/>
        <v>0</v>
      </c>
      <c r="L1104" s="1">
        <f t="shared" si="223"/>
        <v>1.8411778846153843</v>
      </c>
      <c r="M1104" s="1">
        <f t="shared" si="224"/>
        <v>1.8411778846153843</v>
      </c>
      <c r="N1104" s="2">
        <f t="shared" si="219"/>
        <v>9.1245936312717895</v>
      </c>
      <c r="O1104" s="1">
        <v>636</v>
      </c>
      <c r="P1104" s="1">
        <f t="shared" si="225"/>
        <v>1236</v>
      </c>
      <c r="Q1104" s="1">
        <f t="shared" si="226"/>
        <v>3.5483604000028395</v>
      </c>
      <c r="R1104" s="1">
        <f t="shared" si="227"/>
        <v>2.3428277000018749</v>
      </c>
      <c r="S1104" s="2">
        <f t="shared" si="228"/>
        <v>14.400178196584667</v>
      </c>
      <c r="T1104" s="2">
        <f t="shared" si="229"/>
        <v>0.2513305224043017</v>
      </c>
      <c r="U1104" s="1" t="s">
        <v>2507</v>
      </c>
      <c r="V1104" s="6" t="s">
        <v>2505</v>
      </c>
    </row>
    <row r="1105" spans="1:24" ht="14.25" customHeight="1" x14ac:dyDescent="0.3">
      <c r="A1105" s="1" t="s">
        <v>27</v>
      </c>
      <c r="B1105" s="1" t="s">
        <v>2180</v>
      </c>
      <c r="C1105" s="1" t="s">
        <v>2181</v>
      </c>
      <c r="D1105" s="1">
        <f t="shared" si="220"/>
        <v>56</v>
      </c>
      <c r="E1105" s="1">
        <f t="shared" si="221"/>
        <v>0.30618055555555557</v>
      </c>
      <c r="F1105" s="2">
        <f t="shared" si="222"/>
        <v>348.79219731706758</v>
      </c>
      <c r="G1105" s="1">
        <v>2080</v>
      </c>
      <c r="H1105" s="1">
        <v>3744</v>
      </c>
      <c r="I1105" s="1">
        <v>0</v>
      </c>
      <c r="J1105" s="1">
        <v>174</v>
      </c>
      <c r="K1105" s="1">
        <f t="shared" si="218"/>
        <v>0</v>
      </c>
      <c r="L1105" s="1">
        <f t="shared" si="223"/>
        <v>1.5183173076923075</v>
      </c>
      <c r="M1105" s="1">
        <f t="shared" si="224"/>
        <v>1.5183173076923075</v>
      </c>
      <c r="N1105" s="2">
        <f t="shared" si="219"/>
        <v>11.064880782749123</v>
      </c>
      <c r="O1105" s="1">
        <v>631</v>
      </c>
      <c r="P1105" s="1">
        <f t="shared" si="225"/>
        <v>1241</v>
      </c>
      <c r="Q1105" s="1">
        <f t="shared" si="226"/>
        <v>4.3028968068999944</v>
      </c>
      <c r="R1105" s="1">
        <f t="shared" si="227"/>
        <v>2.8525079793605199</v>
      </c>
      <c r="S1105" s="2">
        <f t="shared" si="228"/>
        <v>14.455995048383002</v>
      </c>
      <c r="T1105" s="2">
        <f t="shared" si="229"/>
        <v>0.25230471024628037</v>
      </c>
      <c r="U1105" s="1" t="s">
        <v>2507</v>
      </c>
      <c r="V1105" s="6" t="s">
        <v>2505</v>
      </c>
    </row>
    <row r="1106" spans="1:24" ht="14.25" customHeight="1" x14ac:dyDescent="0.3">
      <c r="A1106" s="1" t="s">
        <v>40</v>
      </c>
      <c r="B1106" s="1" t="s">
        <v>1014</v>
      </c>
      <c r="C1106" s="1" t="s">
        <v>1015</v>
      </c>
      <c r="D1106" s="1">
        <f t="shared" si="220"/>
        <v>93</v>
      </c>
      <c r="E1106" s="1">
        <f t="shared" si="221"/>
        <v>0.2792824074074074</v>
      </c>
      <c r="F1106" s="2">
        <f t="shared" si="222"/>
        <v>581.10104763347749</v>
      </c>
      <c r="G1106" s="1">
        <v>2080</v>
      </c>
      <c r="H1106" s="1">
        <v>3744</v>
      </c>
      <c r="I1106" s="1">
        <v>0</v>
      </c>
      <c r="J1106" s="1">
        <v>113</v>
      </c>
      <c r="K1106" s="1">
        <f t="shared" si="218"/>
        <v>0</v>
      </c>
      <c r="L1106" s="1">
        <f t="shared" si="223"/>
        <v>0.98603365384615371</v>
      </c>
      <c r="M1106" s="1">
        <f t="shared" si="224"/>
        <v>0.98603365384615371</v>
      </c>
      <c r="N1106" s="2">
        <f t="shared" si="219"/>
        <v>17.0379580194544</v>
      </c>
      <c r="O1106" s="1">
        <v>630</v>
      </c>
      <c r="P1106" s="1">
        <f t="shared" si="225"/>
        <v>1242</v>
      </c>
      <c r="Q1106" s="1">
        <f t="shared" si="226"/>
        <v>6.6256995079699026</v>
      </c>
      <c r="R1106" s="1">
        <f t="shared" si="227"/>
        <v>4.3958967889415694</v>
      </c>
      <c r="S1106" s="2">
        <f t="shared" si="228"/>
        <v>14.467155058808132</v>
      </c>
      <c r="T1106" s="2">
        <f t="shared" si="229"/>
        <v>0.25249948917275578</v>
      </c>
      <c r="U1106" s="1" t="s">
        <v>2507</v>
      </c>
      <c r="V1106" s="6" t="s">
        <v>2505</v>
      </c>
    </row>
    <row r="1107" spans="1:24" ht="14.25" customHeight="1" x14ac:dyDescent="0.3">
      <c r="A1107" s="1" t="s">
        <v>82</v>
      </c>
      <c r="B1107" s="1" t="s">
        <v>2182</v>
      </c>
      <c r="C1107" s="1" t="s">
        <v>2183</v>
      </c>
      <c r="D1107" s="1">
        <f t="shared" si="220"/>
        <v>80</v>
      </c>
      <c r="E1107" s="1">
        <f t="shared" si="221"/>
        <v>0.25160879629629629</v>
      </c>
      <c r="F1107" s="2">
        <f t="shared" si="222"/>
        <v>499.24576021341295</v>
      </c>
      <c r="G1107" s="1">
        <v>2080</v>
      </c>
      <c r="H1107" s="1">
        <v>3744</v>
      </c>
      <c r="I1107" s="1">
        <v>0</v>
      </c>
      <c r="J1107" s="1">
        <v>279</v>
      </c>
      <c r="K1107" s="1">
        <f t="shared" si="218"/>
        <v>0</v>
      </c>
      <c r="L1107" s="1">
        <f t="shared" si="223"/>
        <v>2.4345432692307689</v>
      </c>
      <c r="M1107" s="1">
        <f t="shared" si="224"/>
        <v>2.4345432692307689</v>
      </c>
      <c r="N1107" s="2">
        <f t="shared" si="219"/>
        <v>6.9006783376284853</v>
      </c>
      <c r="O1107" s="1">
        <v>628</v>
      </c>
      <c r="P1107" s="1">
        <f t="shared" si="225"/>
        <v>1244</v>
      </c>
      <c r="Q1107" s="1">
        <f t="shared" si="226"/>
        <v>2.6835270408623622</v>
      </c>
      <c r="R1107" s="1">
        <f t="shared" si="227"/>
        <v>1.78328399510298</v>
      </c>
      <c r="S1107" s="2">
        <f t="shared" si="228"/>
        <v>14.489471714298404</v>
      </c>
      <c r="T1107" s="2">
        <f t="shared" si="229"/>
        <v>0.25288898828909429</v>
      </c>
      <c r="U1107" s="1" t="s">
        <v>2507</v>
      </c>
      <c r="V1107" s="6" t="s">
        <v>2505</v>
      </c>
    </row>
    <row r="1108" spans="1:24" ht="14.25" customHeight="1" x14ac:dyDescent="0.3">
      <c r="A1108" s="1" t="s">
        <v>247</v>
      </c>
      <c r="B1108" s="1" t="s">
        <v>2184</v>
      </c>
      <c r="C1108" s="1" t="s">
        <v>2185</v>
      </c>
      <c r="D1108" s="1">
        <f t="shared" si="220"/>
        <v>27</v>
      </c>
      <c r="E1108" s="1">
        <f t="shared" si="221"/>
        <v>0.22627314814814814</v>
      </c>
      <c r="F1108" s="2">
        <f t="shared" si="222"/>
        <v>166.07775036070254</v>
      </c>
      <c r="G1108" s="1">
        <v>2080</v>
      </c>
      <c r="H1108" s="1">
        <v>3744</v>
      </c>
      <c r="I1108" s="1">
        <v>0</v>
      </c>
      <c r="J1108" s="1">
        <v>181</v>
      </c>
      <c r="K1108" s="1">
        <f t="shared" si="218"/>
        <v>0</v>
      </c>
      <c r="L1108" s="1">
        <f t="shared" si="223"/>
        <v>1.5793990384615384</v>
      </c>
      <c r="M1108" s="1">
        <f t="shared" si="224"/>
        <v>1.5793990384615384</v>
      </c>
      <c r="N1108" s="2">
        <f t="shared" si="219"/>
        <v>10.636957216565454</v>
      </c>
      <c r="O1108" s="1">
        <v>622</v>
      </c>
      <c r="P1108" s="1">
        <f t="shared" si="225"/>
        <v>1250</v>
      </c>
      <c r="Q1108" s="1">
        <f t="shared" si="226"/>
        <v>4.1364864331524807</v>
      </c>
      <c r="R1108" s="1">
        <f t="shared" si="227"/>
        <v>2.7620769452139959</v>
      </c>
      <c r="S1108" s="2">
        <f t="shared" si="228"/>
        <v>14.556394709180214</v>
      </c>
      <c r="T1108" s="2">
        <f t="shared" si="229"/>
        <v>0.2540570148950772</v>
      </c>
      <c r="U1108" s="1" t="s">
        <v>2507</v>
      </c>
      <c r="V1108" s="6" t="s">
        <v>2505</v>
      </c>
    </row>
    <row r="1109" spans="1:24" ht="14.25" customHeight="1" x14ac:dyDescent="0.3">
      <c r="A1109" s="1" t="s">
        <v>17</v>
      </c>
      <c r="B1109" s="1" t="s">
        <v>2186</v>
      </c>
      <c r="C1109" s="1" t="s">
        <v>2187</v>
      </c>
      <c r="D1109" s="1">
        <f t="shared" si="220"/>
        <v>29</v>
      </c>
      <c r="E1109" s="1">
        <f t="shared" si="221"/>
        <v>0.29780092592592594</v>
      </c>
      <c r="F1109" s="2">
        <f t="shared" si="222"/>
        <v>179.09354325745025</v>
      </c>
      <c r="G1109" s="1">
        <v>2080</v>
      </c>
      <c r="H1109" s="1">
        <v>3744</v>
      </c>
      <c r="I1109" s="1">
        <v>97</v>
      </c>
      <c r="J1109" s="1">
        <v>298</v>
      </c>
      <c r="K1109" s="1">
        <f t="shared" si="218"/>
        <v>0.84641826923076935</v>
      </c>
      <c r="L1109" s="1">
        <f t="shared" si="223"/>
        <v>2.6003365384615384</v>
      </c>
      <c r="M1109" s="1">
        <f t="shared" si="224"/>
        <v>2.7346250199516837</v>
      </c>
      <c r="N1109" s="2">
        <f>42*0.11/M1109</f>
        <v>1.6894455240819919</v>
      </c>
      <c r="O1109" s="1">
        <v>616</v>
      </c>
      <c r="P1109" s="1">
        <f t="shared" si="225"/>
        <v>1256</v>
      </c>
      <c r="Q1109" s="1">
        <f t="shared" si="226"/>
        <v>0.65698943293971446</v>
      </c>
      <c r="R1109" s="1">
        <f t="shared" si="227"/>
        <v>0.44080060244245794</v>
      </c>
      <c r="S1109" s="2">
        <f t="shared" si="228"/>
        <v>14.623277133324764</v>
      </c>
      <c r="T1109" s="2">
        <f t="shared" si="229"/>
        <v>0.25522433340811496</v>
      </c>
      <c r="U1109" s="1" t="s">
        <v>2508</v>
      </c>
      <c r="V1109" s="6" t="s">
        <v>2505</v>
      </c>
      <c r="W1109" s="2"/>
      <c r="X1109" s="2"/>
    </row>
    <row r="1110" spans="1:24" ht="14.25" customHeight="1" x14ac:dyDescent="0.3">
      <c r="A1110" s="1" t="s">
        <v>14</v>
      </c>
      <c r="B1110" s="1" t="s">
        <v>2188</v>
      </c>
      <c r="C1110" s="1" t="s">
        <v>2189</v>
      </c>
      <c r="D1110" s="1">
        <f t="shared" si="220"/>
        <v>74</v>
      </c>
      <c r="E1110" s="1">
        <f t="shared" si="221"/>
        <v>0.34565972222222219</v>
      </c>
      <c r="F1110" s="2">
        <f t="shared" si="222"/>
        <v>462.13758776623985</v>
      </c>
      <c r="G1110" s="1">
        <v>2080</v>
      </c>
      <c r="H1110" s="1">
        <v>3744</v>
      </c>
      <c r="I1110" s="1">
        <v>0</v>
      </c>
      <c r="J1110" s="1">
        <v>190</v>
      </c>
      <c r="K1110" s="1">
        <f t="shared" si="218"/>
        <v>0</v>
      </c>
      <c r="L1110" s="1">
        <f t="shared" si="223"/>
        <v>1.657932692307692</v>
      </c>
      <c r="M1110" s="1">
        <f t="shared" si="224"/>
        <v>1.657932692307692</v>
      </c>
      <c r="N1110" s="2">
        <f t="shared" ref="N1110:N1120" si="230">42*0.4/M1110</f>
        <v>10.133101348412355</v>
      </c>
      <c r="O1110" s="1">
        <v>612</v>
      </c>
      <c r="P1110" s="1">
        <f t="shared" si="225"/>
        <v>1260</v>
      </c>
      <c r="Q1110" s="1">
        <f t="shared" si="226"/>
        <v>3.940547602108416</v>
      </c>
      <c r="R1110" s="1">
        <f t="shared" si="227"/>
        <v>2.6522916552652802</v>
      </c>
      <c r="S1110" s="2">
        <f t="shared" si="228"/>
        <v>14.667842805047975</v>
      </c>
      <c r="T1110" s="2">
        <f t="shared" si="229"/>
        <v>0.25600215111304792</v>
      </c>
      <c r="U1110" s="1" t="s">
        <v>2507</v>
      </c>
      <c r="V1110" s="6" t="s">
        <v>2505</v>
      </c>
    </row>
    <row r="1111" spans="1:24" ht="14.25" customHeight="1" x14ac:dyDescent="0.3">
      <c r="A1111" s="1" t="s">
        <v>286</v>
      </c>
      <c r="B1111" s="1" t="s">
        <v>2190</v>
      </c>
      <c r="C1111" s="1" t="s">
        <v>2191</v>
      </c>
      <c r="D1111" s="1">
        <f t="shared" si="220"/>
        <v>45</v>
      </c>
      <c r="E1111" s="1">
        <f t="shared" si="221"/>
        <v>0.82267361111111104</v>
      </c>
      <c r="F1111" s="2">
        <f t="shared" si="222"/>
        <v>282.92238051601913</v>
      </c>
      <c r="G1111" s="1">
        <v>2080</v>
      </c>
      <c r="H1111" s="1">
        <v>3744</v>
      </c>
      <c r="I1111" s="1">
        <v>0</v>
      </c>
      <c r="J1111" s="1">
        <v>345</v>
      </c>
      <c r="K1111" s="1">
        <f t="shared" si="218"/>
        <v>0</v>
      </c>
      <c r="L1111" s="1">
        <f t="shared" si="223"/>
        <v>3.0104567307692305</v>
      </c>
      <c r="M1111" s="1">
        <f t="shared" si="224"/>
        <v>3.0104567307692305</v>
      </c>
      <c r="N1111" s="2">
        <f t="shared" si="230"/>
        <v>5.5805485686908618</v>
      </c>
      <c r="O1111" s="1">
        <v>609</v>
      </c>
      <c r="P1111" s="1">
        <f t="shared" si="225"/>
        <v>1263</v>
      </c>
      <c r="Q1111" s="1">
        <f t="shared" si="226"/>
        <v>2.1701566504365188</v>
      </c>
      <c r="R1111" s="1">
        <f t="shared" si="227"/>
        <v>1.4641601760156642</v>
      </c>
      <c r="S1111" s="2">
        <f t="shared" si="228"/>
        <v>14.70125515754567</v>
      </c>
      <c r="T1111" s="2">
        <f t="shared" si="229"/>
        <v>0.25658530667496965</v>
      </c>
      <c r="U1111" s="1" t="s">
        <v>2507</v>
      </c>
      <c r="V1111" s="6" t="s">
        <v>2505</v>
      </c>
    </row>
    <row r="1112" spans="1:24" ht="14.25" customHeight="1" x14ac:dyDescent="0.3">
      <c r="A1112" s="1" t="s">
        <v>30</v>
      </c>
      <c r="B1112" s="1" t="s">
        <v>2192</v>
      </c>
      <c r="C1112" s="1" t="s">
        <v>2193</v>
      </c>
      <c r="D1112" s="1">
        <f t="shared" si="220"/>
        <v>82</v>
      </c>
      <c r="E1112" s="1">
        <f t="shared" si="221"/>
        <v>0.1383449074074074</v>
      </c>
      <c r="F1112" s="2">
        <f t="shared" si="222"/>
        <v>511.10047282527137</v>
      </c>
      <c r="G1112" s="1">
        <v>2080</v>
      </c>
      <c r="H1112" s="1">
        <v>3744</v>
      </c>
      <c r="I1112" s="1">
        <v>0</v>
      </c>
      <c r="J1112" s="1">
        <v>97</v>
      </c>
      <c r="K1112" s="1">
        <f t="shared" si="218"/>
        <v>0</v>
      </c>
      <c r="L1112" s="1">
        <f t="shared" si="223"/>
        <v>0.84641826923076924</v>
      </c>
      <c r="M1112" s="1">
        <f t="shared" si="224"/>
        <v>0.84641826923076924</v>
      </c>
      <c r="N1112" s="2">
        <f t="shared" si="230"/>
        <v>19.84834284740564</v>
      </c>
      <c r="O1112" s="1">
        <v>609</v>
      </c>
      <c r="P1112" s="1">
        <f t="shared" si="225"/>
        <v>1263</v>
      </c>
      <c r="Q1112" s="1">
        <f t="shared" si="226"/>
        <v>7.7185983958824629</v>
      </c>
      <c r="R1112" s="1">
        <f t="shared" si="227"/>
        <v>5.2075800074783931</v>
      </c>
      <c r="S1112" s="2">
        <f t="shared" si="228"/>
        <v>14.701255157545674</v>
      </c>
      <c r="T1112" s="2">
        <f t="shared" si="229"/>
        <v>0.2565853066749697</v>
      </c>
      <c r="U1112" s="1" t="s">
        <v>2507</v>
      </c>
      <c r="V1112" s="6" t="s">
        <v>2505</v>
      </c>
      <c r="W1112" s="3"/>
      <c r="X1112" s="3"/>
    </row>
    <row r="1113" spans="1:24" ht="14.25" customHeight="1" x14ac:dyDescent="0.3">
      <c r="A1113" s="1" t="s">
        <v>40</v>
      </c>
      <c r="B1113" s="1" t="s">
        <v>2194</v>
      </c>
      <c r="C1113" s="1" t="s">
        <v>2195</v>
      </c>
      <c r="D1113" s="1">
        <f t="shared" si="220"/>
        <v>11</v>
      </c>
      <c r="E1113" s="1">
        <f t="shared" si="221"/>
        <v>0.29121527777777778</v>
      </c>
      <c r="F1113" s="2">
        <f t="shared" si="222"/>
        <v>65.954828880535004</v>
      </c>
      <c r="G1113" s="1">
        <v>2080</v>
      </c>
      <c r="H1113" s="1">
        <v>3744</v>
      </c>
      <c r="I1113" s="1">
        <v>0</v>
      </c>
      <c r="J1113" s="1">
        <v>187</v>
      </c>
      <c r="K1113" s="1">
        <f t="shared" si="218"/>
        <v>0</v>
      </c>
      <c r="L1113" s="1">
        <f t="shared" si="223"/>
        <v>1.6317548076923076</v>
      </c>
      <c r="M1113" s="1">
        <f t="shared" si="224"/>
        <v>1.6317548076923076</v>
      </c>
      <c r="N1113" s="2">
        <f t="shared" si="230"/>
        <v>10.295664471648916</v>
      </c>
      <c r="O1113" s="1">
        <v>608</v>
      </c>
      <c r="P1113" s="1">
        <f t="shared" si="225"/>
        <v>1264</v>
      </c>
      <c r="Q1113" s="1">
        <f t="shared" si="226"/>
        <v>4.0037649433187115</v>
      </c>
      <c r="R1113" s="1">
        <f t="shared" si="227"/>
        <v>2.7033968420698993</v>
      </c>
      <c r="S1113" s="2">
        <f t="shared" si="228"/>
        <v>14.712390337898947</v>
      </c>
      <c r="T1113" s="2">
        <f t="shared" si="229"/>
        <v>0.25677965223493771</v>
      </c>
      <c r="U1113" s="1" t="s">
        <v>2507</v>
      </c>
      <c r="V1113" s="6" t="s">
        <v>2505</v>
      </c>
    </row>
    <row r="1114" spans="1:24" ht="14.25" customHeight="1" x14ac:dyDescent="0.3">
      <c r="A1114" s="1" t="s">
        <v>17</v>
      </c>
      <c r="B1114" s="1" t="s">
        <v>2196</v>
      </c>
      <c r="C1114" s="1" t="s">
        <v>2197</v>
      </c>
      <c r="D1114" s="1">
        <f t="shared" si="220"/>
        <v>32</v>
      </c>
      <c r="E1114" s="1">
        <f t="shared" si="221"/>
        <v>0.73556712962962967</v>
      </c>
      <c r="F1114" s="2">
        <f t="shared" si="222"/>
        <v>200.6936653580799</v>
      </c>
      <c r="G1114" s="1">
        <v>2080</v>
      </c>
      <c r="H1114" s="1">
        <v>3744</v>
      </c>
      <c r="I1114" s="1">
        <v>0</v>
      </c>
      <c r="J1114" s="1">
        <v>192</v>
      </c>
      <c r="K1114" s="1">
        <f t="shared" si="218"/>
        <v>0</v>
      </c>
      <c r="L1114" s="1">
        <f t="shared" si="223"/>
        <v>1.6753846153846153</v>
      </c>
      <c r="M1114" s="1">
        <f t="shared" si="224"/>
        <v>1.6753846153846153</v>
      </c>
      <c r="N1114" s="2">
        <f t="shared" si="230"/>
        <v>10.027548209366392</v>
      </c>
      <c r="O1114" s="1">
        <v>607</v>
      </c>
      <c r="P1114" s="1">
        <f t="shared" si="225"/>
        <v>1265</v>
      </c>
      <c r="Q1114" s="1">
        <f t="shared" si="226"/>
        <v>3.89950023125312</v>
      </c>
      <c r="R1114" s="1">
        <f t="shared" si="227"/>
        <v>2.6350789490038444</v>
      </c>
      <c r="S1114" s="2">
        <f t="shared" si="228"/>
        <v>14.72352438189999</v>
      </c>
      <c r="T1114" s="2">
        <f t="shared" si="229"/>
        <v>0.25697397796181781</v>
      </c>
      <c r="U1114" s="1" t="s">
        <v>2507</v>
      </c>
      <c r="V1114" s="6" t="s">
        <v>2505</v>
      </c>
    </row>
    <row r="1115" spans="1:24" ht="14.25" customHeight="1" x14ac:dyDescent="0.3">
      <c r="A1115" s="1" t="s">
        <v>27</v>
      </c>
      <c r="B1115" s="1" t="s">
        <v>2198</v>
      </c>
      <c r="C1115" s="1" t="s">
        <v>2199</v>
      </c>
      <c r="D1115" s="1">
        <f t="shared" si="220"/>
        <v>80</v>
      </c>
      <c r="E1115" s="1">
        <f t="shared" si="221"/>
        <v>0.8407175925925926</v>
      </c>
      <c r="F1115" s="2">
        <f t="shared" si="222"/>
        <v>502.94723994663212</v>
      </c>
      <c r="G1115" s="1">
        <v>2080</v>
      </c>
      <c r="H1115" s="1">
        <v>3744</v>
      </c>
      <c r="I1115" s="1">
        <v>0</v>
      </c>
      <c r="J1115" s="1">
        <v>183</v>
      </c>
      <c r="K1115" s="1">
        <f t="shared" si="218"/>
        <v>0</v>
      </c>
      <c r="L1115" s="1">
        <f t="shared" si="223"/>
        <v>1.5968509615384614</v>
      </c>
      <c r="M1115" s="1">
        <f t="shared" si="224"/>
        <v>1.5968509615384614</v>
      </c>
      <c r="N1115" s="2">
        <f t="shared" si="230"/>
        <v>10.520706318023755</v>
      </c>
      <c r="O1115" s="1">
        <v>603</v>
      </c>
      <c r="P1115" s="1">
        <f t="shared" si="225"/>
        <v>1269</v>
      </c>
      <c r="Q1115" s="1">
        <f t="shared" si="226"/>
        <v>4.0912789311508142</v>
      </c>
      <c r="R1115" s="1">
        <f t="shared" si="227"/>
        <v>2.77341504467435</v>
      </c>
      <c r="S1115" s="2">
        <f t="shared" si="228"/>
        <v>14.76804918105247</v>
      </c>
      <c r="T1115" s="2">
        <f t="shared" si="229"/>
        <v>0.25775108230581778</v>
      </c>
      <c r="U1115" s="1" t="s">
        <v>2507</v>
      </c>
      <c r="V1115" s="6" t="s">
        <v>2505</v>
      </c>
    </row>
    <row r="1116" spans="1:24" ht="14.25" customHeight="1" x14ac:dyDescent="0.3">
      <c r="A1116" s="1" t="s">
        <v>17</v>
      </c>
      <c r="B1116" s="1" t="s">
        <v>2200</v>
      </c>
      <c r="C1116" s="1" t="s">
        <v>2201</v>
      </c>
      <c r="D1116" s="1">
        <f t="shared" si="220"/>
        <v>38</v>
      </c>
      <c r="E1116" s="1">
        <f t="shared" si="221"/>
        <v>0.1469560185185185</v>
      </c>
      <c r="F1116" s="2">
        <f t="shared" si="222"/>
        <v>234.69442451618141</v>
      </c>
      <c r="G1116" s="1">
        <v>2080</v>
      </c>
      <c r="H1116" s="1">
        <v>3744</v>
      </c>
      <c r="I1116" s="1">
        <v>0</v>
      </c>
      <c r="J1116" s="1">
        <v>245</v>
      </c>
      <c r="K1116" s="1">
        <f t="shared" si="218"/>
        <v>0</v>
      </c>
      <c r="L1116" s="1">
        <f t="shared" si="223"/>
        <v>2.1378605769230767</v>
      </c>
      <c r="M1116" s="1">
        <f t="shared" si="224"/>
        <v>2.1378605769230767</v>
      </c>
      <c r="N1116" s="2">
        <f t="shared" si="230"/>
        <v>7.8583234946871316</v>
      </c>
      <c r="O1116" s="1">
        <v>595</v>
      </c>
      <c r="P1116" s="1">
        <f t="shared" si="225"/>
        <v>1277</v>
      </c>
      <c r="Q1116" s="1">
        <f t="shared" si="226"/>
        <v>3.0559348751044855</v>
      </c>
      <c r="R1116" s="1">
        <f t="shared" si="227"/>
        <v>2.0846307881989468</v>
      </c>
      <c r="S1116" s="2">
        <f t="shared" si="228"/>
        <v>14.857044032192807</v>
      </c>
      <c r="T1116" s="2">
        <f t="shared" si="229"/>
        <v>0.25930433547553888</v>
      </c>
      <c r="U1116" s="1" t="s">
        <v>2507</v>
      </c>
      <c r="V1116" s="6" t="s">
        <v>2505</v>
      </c>
    </row>
    <row r="1117" spans="1:24" ht="14.25" customHeight="1" x14ac:dyDescent="0.3">
      <c r="A1117" s="1" t="s">
        <v>27</v>
      </c>
      <c r="B1117" s="1" t="s">
        <v>2202</v>
      </c>
      <c r="C1117" s="1" t="s">
        <v>2203</v>
      </c>
      <c r="D1117" s="1">
        <f t="shared" si="220"/>
        <v>77</v>
      </c>
      <c r="E1117" s="1">
        <f t="shared" si="221"/>
        <v>0.78686342592592595</v>
      </c>
      <c r="F1117" s="2">
        <f t="shared" si="222"/>
        <v>483.75930831636293</v>
      </c>
      <c r="G1117" s="1">
        <v>2080</v>
      </c>
      <c r="H1117" s="1">
        <v>3744</v>
      </c>
      <c r="I1117" s="1">
        <v>0</v>
      </c>
      <c r="J1117" s="1">
        <v>205</v>
      </c>
      <c r="K1117" s="1">
        <f t="shared" si="218"/>
        <v>0</v>
      </c>
      <c r="L1117" s="1">
        <f t="shared" si="223"/>
        <v>1.7888221153846151</v>
      </c>
      <c r="M1117" s="1">
        <f t="shared" si="224"/>
        <v>1.7888221153846151</v>
      </c>
      <c r="N1117" s="2">
        <f t="shared" si="230"/>
        <v>9.3916549082846217</v>
      </c>
      <c r="O1117" s="1">
        <v>593</v>
      </c>
      <c r="P1117" s="1">
        <f t="shared" si="225"/>
        <v>1279</v>
      </c>
      <c r="Q1117" s="1">
        <f t="shared" si="226"/>
        <v>3.6522148507346297</v>
      </c>
      <c r="R1117" s="1">
        <f t="shared" si="227"/>
        <v>2.4952899541076876</v>
      </c>
      <c r="S1117" s="2">
        <f t="shared" si="228"/>
        <v>14.879281308379083</v>
      </c>
      <c r="T1117" s="2">
        <f t="shared" si="229"/>
        <v>0.25969244916166473</v>
      </c>
      <c r="U1117" s="1" t="s">
        <v>2507</v>
      </c>
      <c r="V1117" s="6" t="s">
        <v>2505</v>
      </c>
    </row>
    <row r="1118" spans="1:24" ht="14.25" customHeight="1" x14ac:dyDescent="0.3">
      <c r="A1118" s="1" t="s">
        <v>27</v>
      </c>
      <c r="B1118" s="1" t="s">
        <v>2204</v>
      </c>
      <c r="C1118" s="1" t="s">
        <v>2205</v>
      </c>
      <c r="D1118" s="1">
        <f t="shared" si="220"/>
        <v>90</v>
      </c>
      <c r="E1118" s="1">
        <f t="shared" si="221"/>
        <v>0.78899305555555566</v>
      </c>
      <c r="F1118" s="2">
        <f t="shared" si="222"/>
        <v>565.45409816729614</v>
      </c>
      <c r="G1118" s="1">
        <v>2080</v>
      </c>
      <c r="H1118" s="1">
        <v>3744</v>
      </c>
      <c r="I1118" s="1">
        <v>0</v>
      </c>
      <c r="J1118" s="1">
        <v>184</v>
      </c>
      <c r="K1118" s="1">
        <f t="shared" si="218"/>
        <v>0</v>
      </c>
      <c r="L1118" s="1">
        <f t="shared" si="223"/>
        <v>1.605576923076923</v>
      </c>
      <c r="M1118" s="1">
        <f t="shared" si="224"/>
        <v>1.605576923076923</v>
      </c>
      <c r="N1118" s="2">
        <f t="shared" si="230"/>
        <v>10.463528566295366</v>
      </c>
      <c r="O1118" s="1">
        <v>588</v>
      </c>
      <c r="P1118" s="1">
        <f t="shared" si="225"/>
        <v>1284</v>
      </c>
      <c r="Q1118" s="1">
        <f t="shared" si="226"/>
        <v>4.069043719568473</v>
      </c>
      <c r="R1118" s="1">
        <f t="shared" si="227"/>
        <v>2.7909466538065808</v>
      </c>
      <c r="S1118" s="2">
        <f t="shared" si="228"/>
        <v>14.934854426985119</v>
      </c>
      <c r="T1118" s="2">
        <f t="shared" si="229"/>
        <v>0.26066238305694139</v>
      </c>
      <c r="U1118" s="1" t="s">
        <v>2507</v>
      </c>
      <c r="V1118" s="6" t="s">
        <v>2505</v>
      </c>
    </row>
    <row r="1119" spans="1:24" ht="14.25" customHeight="1" x14ac:dyDescent="0.3">
      <c r="A1119" s="1" t="s">
        <v>17</v>
      </c>
      <c r="B1119" s="1" t="s">
        <v>2206</v>
      </c>
      <c r="C1119" s="1" t="s">
        <v>2207</v>
      </c>
      <c r="D1119" s="1">
        <f t="shared" si="220"/>
        <v>54</v>
      </c>
      <c r="E1119" s="1">
        <f t="shared" si="221"/>
        <v>1.4178240740740741E-2</v>
      </c>
      <c r="F1119" s="2">
        <f t="shared" si="222"/>
        <v>334.39112204860157</v>
      </c>
      <c r="G1119" s="1">
        <v>2080</v>
      </c>
      <c r="H1119" s="1">
        <v>3744</v>
      </c>
      <c r="I1119" s="1">
        <v>0</v>
      </c>
      <c r="J1119" s="1">
        <v>204</v>
      </c>
      <c r="K1119" s="1">
        <f t="shared" si="218"/>
        <v>0</v>
      </c>
      <c r="L1119" s="1">
        <f t="shared" si="223"/>
        <v>1.7800961538461537</v>
      </c>
      <c r="M1119" s="1">
        <f t="shared" si="224"/>
        <v>1.7800961538461537</v>
      </c>
      <c r="N1119" s="2">
        <f t="shared" si="230"/>
        <v>9.4376924323448392</v>
      </c>
      <c r="O1119" s="1">
        <v>587</v>
      </c>
      <c r="P1119" s="1">
        <f t="shared" si="225"/>
        <v>1285</v>
      </c>
      <c r="Q1119" s="1">
        <f t="shared" si="226"/>
        <v>3.6701178647088186</v>
      </c>
      <c r="R1119" s="1">
        <f t="shared" si="227"/>
        <v>2.5192849658925383</v>
      </c>
      <c r="S1119" s="2">
        <f t="shared" si="228"/>
        <v>14.94596560454586</v>
      </c>
      <c r="T1119" s="2">
        <f t="shared" si="229"/>
        <v>0.26085630968915002</v>
      </c>
      <c r="U1119" s="1" t="s">
        <v>2507</v>
      </c>
      <c r="V1119" s="6" t="s">
        <v>2505</v>
      </c>
    </row>
    <row r="1120" spans="1:24" ht="14.25" customHeight="1" x14ac:dyDescent="0.3">
      <c r="A1120" s="1" t="s">
        <v>40</v>
      </c>
      <c r="B1120" s="1" t="s">
        <v>2208</v>
      </c>
      <c r="C1120" s="1" t="s">
        <v>2209</v>
      </c>
      <c r="D1120" s="1">
        <f t="shared" si="220"/>
        <v>78</v>
      </c>
      <c r="E1120" s="1">
        <f t="shared" si="221"/>
        <v>0.14269675925925926</v>
      </c>
      <c r="F1120" s="2">
        <f t="shared" si="222"/>
        <v>485.99507508816771</v>
      </c>
      <c r="G1120" s="1">
        <v>2080</v>
      </c>
      <c r="H1120" s="1">
        <v>3744</v>
      </c>
      <c r="I1120" s="1">
        <v>0</v>
      </c>
      <c r="J1120" s="1">
        <v>179</v>
      </c>
      <c r="K1120" s="1">
        <f t="shared" si="218"/>
        <v>0</v>
      </c>
      <c r="L1120" s="1">
        <f t="shared" si="223"/>
        <v>1.5619471153846154</v>
      </c>
      <c r="M1120" s="1">
        <f t="shared" si="224"/>
        <v>1.5619471153846154</v>
      </c>
      <c r="N1120" s="2">
        <f t="shared" si="230"/>
        <v>10.755805900549426</v>
      </c>
      <c r="O1120" s="1">
        <v>586</v>
      </c>
      <c r="P1120" s="1">
        <f t="shared" si="225"/>
        <v>1286</v>
      </c>
      <c r="Q1120" s="1">
        <f t="shared" si="226"/>
        <v>4.1827041586625642</v>
      </c>
      <c r="R1120" s="1">
        <f t="shared" si="227"/>
        <v>2.8733747585684069</v>
      </c>
      <c r="S1120" s="2">
        <f t="shared" si="228"/>
        <v>14.957075631851819</v>
      </c>
      <c r="T1120" s="2">
        <f t="shared" si="229"/>
        <v>0.26105021624562547</v>
      </c>
      <c r="U1120" s="1" t="s">
        <v>2507</v>
      </c>
      <c r="V1120" s="6" t="s">
        <v>2505</v>
      </c>
    </row>
    <row r="1121" spans="1:24" ht="14.25" customHeight="1" x14ac:dyDescent="0.3">
      <c r="A1121" s="1" t="s">
        <v>27</v>
      </c>
      <c r="B1121" s="1" t="s">
        <v>2210</v>
      </c>
      <c r="C1121" s="1" t="s">
        <v>2211</v>
      </c>
      <c r="D1121" s="1">
        <f t="shared" si="220"/>
        <v>57</v>
      </c>
      <c r="E1121" s="1">
        <f t="shared" si="221"/>
        <v>0.1519560185185185</v>
      </c>
      <c r="F1121" s="2">
        <f t="shared" si="222"/>
        <v>354.10636127912949</v>
      </c>
      <c r="G1121" s="1">
        <v>2080</v>
      </c>
      <c r="H1121" s="1">
        <v>3744</v>
      </c>
      <c r="I1121" s="1">
        <v>223</v>
      </c>
      <c r="J1121" s="1">
        <v>658</v>
      </c>
      <c r="K1121" s="1">
        <f t="shared" si="218"/>
        <v>1.9458894230769233</v>
      </c>
      <c r="L1121" s="1">
        <f t="shared" si="223"/>
        <v>5.741682692307692</v>
      </c>
      <c r="M1121" s="1">
        <f t="shared" si="224"/>
        <v>6.0624587244770867</v>
      </c>
      <c r="N1121" s="2">
        <f>42*0.14/M1121</f>
        <v>0.96990351064322933</v>
      </c>
      <c r="O1121" s="1">
        <v>576</v>
      </c>
      <c r="P1121" s="1">
        <f t="shared" si="225"/>
        <v>1296</v>
      </c>
      <c r="Q1121" s="1">
        <f t="shared" si="226"/>
        <v>0.37717484723870165</v>
      </c>
      <c r="R1121" s="1">
        <f t="shared" si="227"/>
        <v>0.26112104808833192</v>
      </c>
      <c r="S1121" s="2">
        <f t="shared" si="228"/>
        <v>15.068112496656076</v>
      </c>
      <c r="T1121" s="2">
        <f t="shared" si="229"/>
        <v>0.26298817512755157</v>
      </c>
      <c r="U1121" s="1" t="s">
        <v>2507</v>
      </c>
      <c r="V1121" s="6" t="s">
        <v>2505</v>
      </c>
    </row>
    <row r="1122" spans="1:24" ht="14.25" customHeight="1" x14ac:dyDescent="0.3">
      <c r="A1122" s="1" t="s">
        <v>27</v>
      </c>
      <c r="B1122" s="1" t="s">
        <v>2212</v>
      </c>
      <c r="C1122" s="1" t="s">
        <v>2213</v>
      </c>
      <c r="D1122" s="1">
        <f t="shared" si="220"/>
        <v>88</v>
      </c>
      <c r="E1122" s="1">
        <f t="shared" si="221"/>
        <v>0.3374537037037037</v>
      </c>
      <c r="F1122" s="2">
        <f t="shared" si="222"/>
        <v>550.05062213176802</v>
      </c>
      <c r="G1122" s="1">
        <v>2080</v>
      </c>
      <c r="H1122" s="1">
        <v>3744</v>
      </c>
      <c r="I1122" s="1">
        <v>0</v>
      </c>
      <c r="J1122" s="1">
        <v>180</v>
      </c>
      <c r="K1122" s="1">
        <f t="shared" si="218"/>
        <v>0</v>
      </c>
      <c r="L1122" s="1">
        <f t="shared" si="223"/>
        <v>1.5706730769230768</v>
      </c>
      <c r="M1122" s="1">
        <f t="shared" si="224"/>
        <v>1.5706730769230768</v>
      </c>
      <c r="N1122" s="2">
        <f t="shared" ref="N1122:N1153" si="231">42*0.4/M1122</f>
        <v>10.696051423324151</v>
      </c>
      <c r="O1122" s="1">
        <v>574</v>
      </c>
      <c r="P1122" s="1">
        <f t="shared" si="225"/>
        <v>1298</v>
      </c>
      <c r="Q1122" s="1">
        <f t="shared" si="226"/>
        <v>4.1594669133366606</v>
      </c>
      <c r="R1122" s="1">
        <f t="shared" si="227"/>
        <v>2.8840748149097144</v>
      </c>
      <c r="S1122" s="2">
        <f t="shared" si="228"/>
        <v>15.090306001082675</v>
      </c>
      <c r="T1122" s="2">
        <f t="shared" si="229"/>
        <v>0.26337552485235166</v>
      </c>
      <c r="U1122" s="1" t="s">
        <v>2507</v>
      </c>
      <c r="V1122" s="6" t="s">
        <v>2505</v>
      </c>
    </row>
    <row r="1123" spans="1:24" ht="14.25" customHeight="1" x14ac:dyDescent="0.3">
      <c r="A1123" s="1" t="s">
        <v>40</v>
      </c>
      <c r="B1123" s="1" t="s">
        <v>974</v>
      </c>
      <c r="C1123" s="1" t="s">
        <v>975</v>
      </c>
      <c r="D1123" s="1">
        <f t="shared" si="220"/>
        <v>93</v>
      </c>
      <c r="E1123" s="1">
        <f t="shared" si="221"/>
        <v>0.28045138888888888</v>
      </c>
      <c r="F1123" s="2">
        <f t="shared" si="222"/>
        <v>581.10839256074632</v>
      </c>
      <c r="G1123" s="1">
        <v>2080</v>
      </c>
      <c r="H1123" s="1">
        <v>3744</v>
      </c>
      <c r="I1123" s="1">
        <v>0</v>
      </c>
      <c r="J1123" s="1">
        <v>86</v>
      </c>
      <c r="K1123" s="1">
        <f t="shared" si="218"/>
        <v>0</v>
      </c>
      <c r="L1123" s="1">
        <f t="shared" si="223"/>
        <v>0.75043269230769227</v>
      </c>
      <c r="M1123" s="1">
        <f t="shared" si="224"/>
        <v>0.75043269230769227</v>
      </c>
      <c r="N1123" s="2">
        <f t="shared" si="231"/>
        <v>22.387084374399386</v>
      </c>
      <c r="O1123" s="1">
        <v>569</v>
      </c>
      <c r="P1123" s="1">
        <f t="shared" si="225"/>
        <v>1303</v>
      </c>
      <c r="Q1123" s="1">
        <f t="shared" si="226"/>
        <v>8.7058609814023136</v>
      </c>
      <c r="R1123" s="1">
        <f t="shared" si="227"/>
        <v>6.0596884929312038</v>
      </c>
      <c r="S1123" s="2">
        <f t="shared" si="228"/>
        <v>15.145769472568125</v>
      </c>
      <c r="T1123" s="2">
        <f t="shared" si="229"/>
        <v>0.26434354504435875</v>
      </c>
      <c r="U1123" s="1" t="s">
        <v>2507</v>
      </c>
      <c r="V1123" s="6" t="s">
        <v>2505</v>
      </c>
      <c r="W1123" s="3"/>
      <c r="X1123" s="3"/>
    </row>
    <row r="1124" spans="1:24" ht="14.25" customHeight="1" x14ac:dyDescent="0.3">
      <c r="A1124" s="1" t="s">
        <v>40</v>
      </c>
      <c r="B1124" s="1" t="s">
        <v>2214</v>
      </c>
      <c r="C1124" s="1" t="s">
        <v>2215</v>
      </c>
      <c r="D1124" s="1">
        <f t="shared" si="220"/>
        <v>73</v>
      </c>
      <c r="E1124" s="1">
        <f t="shared" si="221"/>
        <v>8.458333333333333E-2</v>
      </c>
      <c r="F1124" s="2">
        <f t="shared" si="222"/>
        <v>454.21401112834207</v>
      </c>
      <c r="G1124" s="1">
        <v>2080</v>
      </c>
      <c r="H1124" s="1">
        <v>3744</v>
      </c>
      <c r="I1124" s="1">
        <v>0</v>
      </c>
      <c r="J1124" s="1">
        <v>128</v>
      </c>
      <c r="K1124" s="1">
        <f t="shared" si="218"/>
        <v>0</v>
      </c>
      <c r="L1124" s="1">
        <f t="shared" si="223"/>
        <v>1.1169230769230769</v>
      </c>
      <c r="M1124" s="1">
        <f t="shared" si="224"/>
        <v>1.1169230769230769</v>
      </c>
      <c r="N1124" s="2">
        <f t="shared" si="231"/>
        <v>15.041322314049587</v>
      </c>
      <c r="O1124" s="1">
        <v>567</v>
      </c>
      <c r="P1124" s="1">
        <f t="shared" si="225"/>
        <v>1305</v>
      </c>
      <c r="Q1124" s="1">
        <f t="shared" si="226"/>
        <v>5.8492503468796793</v>
      </c>
      <c r="R1124" s="1">
        <f t="shared" si="227"/>
        <v>4.077602405276699</v>
      </c>
      <c r="S1124" s="2">
        <f t="shared" si="228"/>
        <v>15.167946731690646</v>
      </c>
      <c r="T1124" s="2">
        <f t="shared" si="229"/>
        <v>0.26473061123511471</v>
      </c>
      <c r="U1124" s="1" t="s">
        <v>2507</v>
      </c>
      <c r="V1124" s="6" t="s">
        <v>2505</v>
      </c>
    </row>
    <row r="1125" spans="1:24" ht="14.25" customHeight="1" x14ac:dyDescent="0.3">
      <c r="A1125" s="1" t="s">
        <v>82</v>
      </c>
      <c r="B1125" s="1" t="s">
        <v>2216</v>
      </c>
      <c r="C1125" s="1" t="s">
        <v>2217</v>
      </c>
      <c r="D1125" s="1">
        <f t="shared" si="220"/>
        <v>44</v>
      </c>
      <c r="E1125" s="1">
        <f t="shared" si="221"/>
        <v>0.98167824074074073</v>
      </c>
      <c r="F1125" s="2">
        <f t="shared" si="222"/>
        <v>277.63825076150192</v>
      </c>
      <c r="G1125" s="1">
        <v>2080</v>
      </c>
      <c r="H1125" s="1">
        <v>3744</v>
      </c>
      <c r="I1125" s="1">
        <v>0</v>
      </c>
      <c r="J1125" s="1">
        <v>157</v>
      </c>
      <c r="K1125" s="1">
        <f t="shared" si="218"/>
        <v>0</v>
      </c>
      <c r="L1125" s="1">
        <f t="shared" si="223"/>
        <v>1.3699759615384615</v>
      </c>
      <c r="M1125" s="1">
        <f t="shared" si="224"/>
        <v>1.3699759615384615</v>
      </c>
      <c r="N1125" s="2">
        <f t="shared" si="231"/>
        <v>12.262988892983104</v>
      </c>
      <c r="O1125" s="1">
        <v>561</v>
      </c>
      <c r="P1125" s="1">
        <f t="shared" si="225"/>
        <v>1311</v>
      </c>
      <c r="Q1125" s="1">
        <f t="shared" si="226"/>
        <v>4.7688155694305667</v>
      </c>
      <c r="R1125" s="1">
        <f t="shared" si="227"/>
        <v>3.3396993651300599</v>
      </c>
      <c r="S1125" s="2">
        <f t="shared" si="228"/>
        <v>15.234450569226032</v>
      </c>
      <c r="T1125" s="2">
        <f t="shared" si="229"/>
        <v>0.26589132216531858</v>
      </c>
      <c r="U1125" s="1" t="s">
        <v>2507</v>
      </c>
      <c r="V1125" s="6" t="s">
        <v>2505</v>
      </c>
    </row>
    <row r="1126" spans="1:24" ht="14.25" customHeight="1" x14ac:dyDescent="0.3">
      <c r="A1126" s="1" t="s">
        <v>40</v>
      </c>
      <c r="B1126" s="1" t="s">
        <v>2218</v>
      </c>
      <c r="C1126" s="1" t="s">
        <v>2219</v>
      </c>
      <c r="D1126" s="1">
        <f t="shared" si="220"/>
        <v>78</v>
      </c>
      <c r="E1126" s="1">
        <f t="shared" si="221"/>
        <v>0.14311342592592594</v>
      </c>
      <c r="F1126" s="2">
        <f t="shared" si="222"/>
        <v>485.99769308204571</v>
      </c>
      <c r="G1126" s="1">
        <v>2080</v>
      </c>
      <c r="H1126" s="1">
        <v>3744</v>
      </c>
      <c r="I1126" s="1">
        <v>0</v>
      </c>
      <c r="J1126" s="1">
        <v>114</v>
      </c>
      <c r="K1126" s="1">
        <f t="shared" si="218"/>
        <v>0</v>
      </c>
      <c r="L1126" s="1">
        <f t="shared" si="223"/>
        <v>0.99475961538461533</v>
      </c>
      <c r="M1126" s="1">
        <f t="shared" si="224"/>
        <v>0.99475961538461533</v>
      </c>
      <c r="N1126" s="2">
        <f t="shared" si="231"/>
        <v>16.888502247353923</v>
      </c>
      <c r="O1126" s="1">
        <v>551</v>
      </c>
      <c r="P1126" s="1">
        <f t="shared" si="225"/>
        <v>1321</v>
      </c>
      <c r="Q1126" s="1">
        <f t="shared" si="226"/>
        <v>6.5675793368473592</v>
      </c>
      <c r="R1126" s="1">
        <f t="shared" si="227"/>
        <v>4.6344937521235909</v>
      </c>
      <c r="S1126" s="2">
        <f t="shared" si="228"/>
        <v>15.345196856132548</v>
      </c>
      <c r="T1126" s="2">
        <f t="shared" si="229"/>
        <v>0.26782420950619557</v>
      </c>
      <c r="U1126" s="1" t="s">
        <v>2507</v>
      </c>
      <c r="V1126" s="6" t="s">
        <v>2505</v>
      </c>
    </row>
    <row r="1127" spans="1:24" ht="14.25" customHeight="1" x14ac:dyDescent="0.3">
      <c r="A1127" s="1" t="s">
        <v>27</v>
      </c>
      <c r="B1127" s="1" t="s">
        <v>2220</v>
      </c>
      <c r="C1127" s="1" t="s">
        <v>2221</v>
      </c>
      <c r="D1127" s="1">
        <f t="shared" si="220"/>
        <v>87</v>
      </c>
      <c r="E1127" s="1">
        <f t="shared" si="221"/>
        <v>0.78120370370370373</v>
      </c>
      <c r="F1127" s="2">
        <f t="shared" si="222"/>
        <v>546.55560030464949</v>
      </c>
      <c r="G1127" s="1">
        <v>2080</v>
      </c>
      <c r="H1127" s="1">
        <v>3744</v>
      </c>
      <c r="I1127" s="1">
        <v>0</v>
      </c>
      <c r="J1127" s="1">
        <v>140</v>
      </c>
      <c r="K1127" s="1">
        <f t="shared" si="218"/>
        <v>0</v>
      </c>
      <c r="L1127" s="1">
        <f t="shared" si="223"/>
        <v>1.2216346153846154</v>
      </c>
      <c r="M1127" s="1">
        <f t="shared" si="224"/>
        <v>1.2216346153846154</v>
      </c>
      <c r="N1127" s="2">
        <f t="shared" si="231"/>
        <v>13.75206611570248</v>
      </c>
      <c r="O1127" s="1">
        <v>550</v>
      </c>
      <c r="P1127" s="1">
        <f t="shared" si="225"/>
        <v>1322</v>
      </c>
      <c r="Q1127" s="1">
        <f t="shared" si="226"/>
        <v>5.34788603143285</v>
      </c>
      <c r="R1127" s="1">
        <f t="shared" si="227"/>
        <v>3.7766588320268313</v>
      </c>
      <c r="S1127" s="2">
        <f t="shared" si="228"/>
        <v>15.356265040636634</v>
      </c>
      <c r="T1127" s="2">
        <f t="shared" si="229"/>
        <v>0.2680173857680101</v>
      </c>
      <c r="U1127" s="1" t="s">
        <v>2507</v>
      </c>
      <c r="V1127" s="6" t="s">
        <v>2505</v>
      </c>
    </row>
    <row r="1128" spans="1:24" ht="14.25" customHeight="1" x14ac:dyDescent="0.3">
      <c r="A1128" s="1" t="s">
        <v>27</v>
      </c>
      <c r="B1128" s="1" t="s">
        <v>2222</v>
      </c>
      <c r="C1128" s="1" t="s">
        <v>2223</v>
      </c>
      <c r="D1128" s="1">
        <f t="shared" si="220"/>
        <v>38</v>
      </c>
      <c r="E1128" s="1">
        <f t="shared" si="221"/>
        <v>0.74420138888888887</v>
      </c>
      <c r="F1128" s="2">
        <f t="shared" si="222"/>
        <v>238.44702785207357</v>
      </c>
      <c r="G1128" s="1">
        <v>2080</v>
      </c>
      <c r="H1128" s="1">
        <v>3744</v>
      </c>
      <c r="I1128" s="1">
        <v>0</v>
      </c>
      <c r="J1128" s="1">
        <v>264</v>
      </c>
      <c r="K1128" s="1">
        <f t="shared" si="218"/>
        <v>0</v>
      </c>
      <c r="L1128" s="1">
        <f t="shared" si="223"/>
        <v>2.3036538461538458</v>
      </c>
      <c r="M1128" s="1">
        <f t="shared" si="224"/>
        <v>2.3036538461538458</v>
      </c>
      <c r="N1128" s="2">
        <f t="shared" si="231"/>
        <v>7.2927623340846495</v>
      </c>
      <c r="O1128" s="1">
        <v>548</v>
      </c>
      <c r="P1128" s="1">
        <f t="shared" si="225"/>
        <v>1324</v>
      </c>
      <c r="Q1128" s="1">
        <f t="shared" si="226"/>
        <v>2.8360001681840874</v>
      </c>
      <c r="R1128" s="1">
        <f t="shared" si="227"/>
        <v>2.0058035377541303</v>
      </c>
      <c r="S1128" s="2">
        <f t="shared" si="228"/>
        <v>15.378397886310385</v>
      </c>
      <c r="T1128" s="2">
        <f t="shared" si="229"/>
        <v>0.26840367679785282</v>
      </c>
      <c r="U1128" s="1" t="s">
        <v>2507</v>
      </c>
      <c r="V1128" s="6" t="s">
        <v>2505</v>
      </c>
    </row>
    <row r="1129" spans="1:24" ht="14.25" customHeight="1" x14ac:dyDescent="0.3">
      <c r="A1129" s="1" t="s">
        <v>17</v>
      </c>
      <c r="B1129" s="1" t="s">
        <v>1459</v>
      </c>
      <c r="C1129" s="1" t="s">
        <v>1460</v>
      </c>
      <c r="D1129" s="1">
        <f t="shared" si="220"/>
        <v>36</v>
      </c>
      <c r="E1129" s="1">
        <f t="shared" si="221"/>
        <v>0.71702546296296299</v>
      </c>
      <c r="F1129" s="2">
        <f t="shared" si="222"/>
        <v>225.70990585922763</v>
      </c>
      <c r="G1129" s="1">
        <v>2080</v>
      </c>
      <c r="H1129" s="1">
        <v>3744</v>
      </c>
      <c r="I1129" s="1">
        <v>0</v>
      </c>
      <c r="J1129" s="1">
        <v>163</v>
      </c>
      <c r="K1129" s="1">
        <f t="shared" si="218"/>
        <v>0</v>
      </c>
      <c r="L1129" s="1">
        <f t="shared" si="223"/>
        <v>1.4223317307692307</v>
      </c>
      <c r="M1129" s="1">
        <f t="shared" si="224"/>
        <v>1.4223317307692307</v>
      </c>
      <c r="N1129" s="2">
        <f t="shared" si="231"/>
        <v>11.811590528824217</v>
      </c>
      <c r="O1129" s="1">
        <v>546</v>
      </c>
      <c r="P1129" s="1">
        <f t="shared" si="225"/>
        <v>1326</v>
      </c>
      <c r="Q1129" s="1">
        <f t="shared" si="226"/>
        <v>4.5932763460159451</v>
      </c>
      <c r="R1129" s="1">
        <f t="shared" si="227"/>
        <v>3.2535707450946281</v>
      </c>
      <c r="S1129" s="2">
        <f t="shared" si="228"/>
        <v>15.400526029948544</v>
      </c>
      <c r="T1129" s="2">
        <f t="shared" si="229"/>
        <v>0.26878988576169294</v>
      </c>
      <c r="U1129" s="1" t="s">
        <v>2507</v>
      </c>
      <c r="V1129" s="6" t="s">
        <v>2505</v>
      </c>
    </row>
    <row r="1130" spans="1:24" ht="14.25" customHeight="1" x14ac:dyDescent="0.3">
      <c r="A1130" s="1" t="s">
        <v>40</v>
      </c>
      <c r="B1130" s="1" t="s">
        <v>2224</v>
      </c>
      <c r="C1130" s="1" t="s">
        <v>2225</v>
      </c>
      <c r="D1130" s="1">
        <f t="shared" si="220"/>
        <v>78</v>
      </c>
      <c r="E1130" s="1">
        <f t="shared" si="221"/>
        <v>0.10240740740740741</v>
      </c>
      <c r="F1130" s="2">
        <f t="shared" si="222"/>
        <v>485.74192962457636</v>
      </c>
      <c r="G1130" s="1">
        <v>2080</v>
      </c>
      <c r="H1130" s="1">
        <v>3744</v>
      </c>
      <c r="I1130" s="1">
        <v>0</v>
      </c>
      <c r="J1130" s="1">
        <v>261</v>
      </c>
      <c r="K1130" s="1">
        <f t="shared" si="218"/>
        <v>0</v>
      </c>
      <c r="L1130" s="1">
        <f t="shared" si="223"/>
        <v>2.2774759615384612</v>
      </c>
      <c r="M1130" s="1">
        <f t="shared" si="224"/>
        <v>2.2774759615384612</v>
      </c>
      <c r="N1130" s="2">
        <f t="shared" si="231"/>
        <v>7.3765871884994159</v>
      </c>
      <c r="O1130" s="1">
        <v>542</v>
      </c>
      <c r="P1130" s="1">
        <f t="shared" si="225"/>
        <v>1330</v>
      </c>
      <c r="Q1130" s="1">
        <f t="shared" si="226"/>
        <v>2.8685978712666631</v>
      </c>
      <c r="R1130" s="1">
        <f t="shared" si="227"/>
        <v>2.0380529747781315</v>
      </c>
      <c r="S1130" s="2">
        <f t="shared" si="228"/>
        <v>15.444768190722634</v>
      </c>
      <c r="T1130" s="2">
        <f t="shared" si="229"/>
        <v>0.26956205713539749</v>
      </c>
      <c r="U1130" s="1" t="s">
        <v>2507</v>
      </c>
      <c r="V1130" s="6" t="s">
        <v>2505</v>
      </c>
    </row>
    <row r="1131" spans="1:24" ht="14.25" customHeight="1" x14ac:dyDescent="0.3">
      <c r="A1131" s="1" t="s">
        <v>27</v>
      </c>
      <c r="B1131" s="1" t="s">
        <v>2226</v>
      </c>
      <c r="C1131" s="1" t="s">
        <v>2227</v>
      </c>
      <c r="D1131" s="1">
        <f t="shared" si="220"/>
        <v>77</v>
      </c>
      <c r="E1131" s="1">
        <f t="shared" si="221"/>
        <v>0.78688657407407403</v>
      </c>
      <c r="F1131" s="2">
        <f t="shared" si="222"/>
        <v>483.75945376046724</v>
      </c>
      <c r="G1131" s="1">
        <v>2080</v>
      </c>
      <c r="H1131" s="1">
        <v>3744</v>
      </c>
      <c r="I1131" s="1">
        <v>0</v>
      </c>
      <c r="J1131" s="1">
        <v>197</v>
      </c>
      <c r="K1131" s="1">
        <f t="shared" si="218"/>
        <v>0</v>
      </c>
      <c r="L1131" s="1">
        <f t="shared" si="223"/>
        <v>1.7190144230769229</v>
      </c>
      <c r="M1131" s="1">
        <f t="shared" si="224"/>
        <v>1.7190144230769229</v>
      </c>
      <c r="N1131" s="2">
        <f t="shared" si="231"/>
        <v>9.7730419096362819</v>
      </c>
      <c r="O1131" s="1">
        <v>538</v>
      </c>
      <c r="P1131" s="1">
        <f t="shared" si="225"/>
        <v>1334</v>
      </c>
      <c r="Q1131" s="1">
        <f t="shared" si="226"/>
        <v>3.8005281441654777</v>
      </c>
      <c r="R1131" s="1">
        <f t="shared" si="227"/>
        <v>2.7082823420495443</v>
      </c>
      <c r="S1131" s="2">
        <f t="shared" si="228"/>
        <v>15.488991482245842</v>
      </c>
      <c r="T1131" s="2">
        <f t="shared" si="229"/>
        <v>0.27033389917854678</v>
      </c>
      <c r="U1131" s="1" t="s">
        <v>2507</v>
      </c>
      <c r="V1131" s="6" t="s">
        <v>2505</v>
      </c>
    </row>
    <row r="1132" spans="1:24" ht="14.25" customHeight="1" x14ac:dyDescent="0.3">
      <c r="A1132" s="1" t="s">
        <v>82</v>
      </c>
      <c r="B1132" s="1" t="s">
        <v>2228</v>
      </c>
      <c r="C1132" s="1" t="s">
        <v>2229</v>
      </c>
      <c r="D1132" s="1">
        <f t="shared" si="220"/>
        <v>14</v>
      </c>
      <c r="E1132" s="1">
        <f t="shared" si="221"/>
        <v>0.39685185185185184</v>
      </c>
      <c r="F1132" s="2">
        <f t="shared" si="222"/>
        <v>85.468118972196777</v>
      </c>
      <c r="G1132" s="1">
        <v>2080</v>
      </c>
      <c r="H1132" s="1">
        <v>3744</v>
      </c>
      <c r="I1132" s="1">
        <v>0</v>
      </c>
      <c r="J1132" s="1">
        <v>306</v>
      </c>
      <c r="K1132" s="1">
        <f t="shared" si="218"/>
        <v>0</v>
      </c>
      <c r="L1132" s="1">
        <f t="shared" si="223"/>
        <v>2.6701442307692305</v>
      </c>
      <c r="M1132" s="1">
        <f t="shared" si="224"/>
        <v>2.6701442307692305</v>
      </c>
      <c r="N1132" s="2">
        <f t="shared" si="231"/>
        <v>6.2917949548965604</v>
      </c>
      <c r="O1132" s="1">
        <v>535</v>
      </c>
      <c r="P1132" s="1">
        <f t="shared" si="225"/>
        <v>1337</v>
      </c>
      <c r="Q1132" s="1">
        <f t="shared" si="226"/>
        <v>2.4467452431392127</v>
      </c>
      <c r="R1132" s="1">
        <f t="shared" si="227"/>
        <v>1.7474884562377817</v>
      </c>
      <c r="S1132" s="2">
        <f t="shared" si="228"/>
        <v>15.522146543521202</v>
      </c>
      <c r="T1132" s="2">
        <f t="shared" si="229"/>
        <v>0.27091256416150228</v>
      </c>
      <c r="U1132" s="1" t="s">
        <v>2507</v>
      </c>
      <c r="V1132" s="6" t="s">
        <v>2505</v>
      </c>
    </row>
    <row r="1133" spans="1:24" ht="14.25" customHeight="1" x14ac:dyDescent="0.3">
      <c r="A1133" s="1" t="s">
        <v>286</v>
      </c>
      <c r="B1133" s="1" t="s">
        <v>2230</v>
      </c>
      <c r="C1133" s="1" t="s">
        <v>2231</v>
      </c>
      <c r="D1133" s="1">
        <f t="shared" si="220"/>
        <v>29</v>
      </c>
      <c r="E1133" s="1">
        <f t="shared" si="221"/>
        <v>0.19520833333333334</v>
      </c>
      <c r="F1133" s="2">
        <f t="shared" si="222"/>
        <v>178.44893498704701</v>
      </c>
      <c r="G1133" s="1">
        <v>2080</v>
      </c>
      <c r="H1133" s="1">
        <v>3744</v>
      </c>
      <c r="I1133" s="1">
        <v>0</v>
      </c>
      <c r="J1133" s="1">
        <v>385</v>
      </c>
      <c r="K1133" s="1">
        <f t="shared" si="218"/>
        <v>0</v>
      </c>
      <c r="L1133" s="1">
        <f t="shared" si="223"/>
        <v>3.3594951923076919</v>
      </c>
      <c r="M1133" s="1">
        <f t="shared" si="224"/>
        <v>3.3594951923076919</v>
      </c>
      <c r="N1133" s="2">
        <f t="shared" si="231"/>
        <v>5.0007513148009028</v>
      </c>
      <c r="O1133" s="1">
        <v>531</v>
      </c>
      <c r="P1133" s="1">
        <f t="shared" si="225"/>
        <v>1341</v>
      </c>
      <c r="Q1133" s="1">
        <f t="shared" si="226"/>
        <v>1.9446858296119458</v>
      </c>
      <c r="R1133" s="1">
        <f t="shared" si="227"/>
        <v>1.3930682144816342</v>
      </c>
      <c r="S1133" s="2">
        <f t="shared" si="228"/>
        <v>15.566336716264535</v>
      </c>
      <c r="T1133" s="2">
        <f t="shared" si="229"/>
        <v>0.27168382817289849</v>
      </c>
      <c r="U1133" s="1" t="s">
        <v>2507</v>
      </c>
      <c r="V1133" s="6" t="s">
        <v>2505</v>
      </c>
    </row>
    <row r="1134" spans="1:24" ht="14.25" customHeight="1" x14ac:dyDescent="0.3">
      <c r="A1134" s="1" t="s">
        <v>40</v>
      </c>
      <c r="B1134" s="1" t="s">
        <v>2232</v>
      </c>
      <c r="C1134" s="1" t="s">
        <v>2233</v>
      </c>
      <c r="D1134" s="1">
        <f t="shared" si="220"/>
        <v>92</v>
      </c>
      <c r="E1134" s="1">
        <f t="shared" si="221"/>
        <v>4.6689814814814816E-2</v>
      </c>
      <c r="F1134" s="2">
        <f t="shared" si="222"/>
        <v>573.35643996596127</v>
      </c>
      <c r="G1134" s="1">
        <v>2080</v>
      </c>
      <c r="H1134" s="1">
        <v>3744</v>
      </c>
      <c r="I1134" s="1">
        <v>0</v>
      </c>
      <c r="J1134" s="1">
        <v>148</v>
      </c>
      <c r="K1134" s="1">
        <f t="shared" ref="K1134:K1197" si="232">(32.67*I1134)/H1134</f>
        <v>0</v>
      </c>
      <c r="L1134" s="1">
        <f t="shared" si="223"/>
        <v>1.2914423076923076</v>
      </c>
      <c r="M1134" s="1">
        <f t="shared" si="224"/>
        <v>1.2914423076923076</v>
      </c>
      <c r="N1134" s="2">
        <f t="shared" si="231"/>
        <v>13.008711190529374</v>
      </c>
      <c r="O1134" s="1">
        <v>527</v>
      </c>
      <c r="P1134" s="1">
        <f t="shared" si="225"/>
        <v>1345</v>
      </c>
      <c r="Q1134" s="1">
        <f t="shared" si="226"/>
        <v>5.0588111108148581</v>
      </c>
      <c r="R1134" s="1">
        <f t="shared" si="227"/>
        <v>3.6346693077168717</v>
      </c>
      <c r="S1134" s="2">
        <f t="shared" si="228"/>
        <v>15.610507908439082</v>
      </c>
      <c r="T1134" s="2">
        <f t="shared" si="229"/>
        <v>0.2724547609108755</v>
      </c>
      <c r="U1134" s="1" t="s">
        <v>2507</v>
      </c>
      <c r="V1134" s="6" t="s">
        <v>2505</v>
      </c>
    </row>
    <row r="1135" spans="1:24" ht="14.25" customHeight="1" x14ac:dyDescent="0.3">
      <c r="A1135" s="1" t="s">
        <v>40</v>
      </c>
      <c r="B1135" s="1" t="s">
        <v>2234</v>
      </c>
      <c r="C1135" s="1" t="s">
        <v>2235</v>
      </c>
      <c r="D1135" s="1">
        <f t="shared" si="220"/>
        <v>72</v>
      </c>
      <c r="E1135" s="1">
        <f t="shared" si="221"/>
        <v>0.77673611111111107</v>
      </c>
      <c r="F1135" s="2">
        <f t="shared" si="222"/>
        <v>452.27974998481932</v>
      </c>
      <c r="G1135" s="1">
        <v>2080</v>
      </c>
      <c r="H1135" s="1">
        <v>3744</v>
      </c>
      <c r="I1135" s="1">
        <v>0</v>
      </c>
      <c r="J1135" s="1">
        <v>134</v>
      </c>
      <c r="K1135" s="1">
        <f t="shared" si="232"/>
        <v>0</v>
      </c>
      <c r="L1135" s="1">
        <f t="shared" si="223"/>
        <v>1.1692788461538461</v>
      </c>
      <c r="M1135" s="1">
        <f t="shared" si="224"/>
        <v>1.1692788461538461</v>
      </c>
      <c r="N1135" s="2">
        <f t="shared" si="231"/>
        <v>14.367830270136919</v>
      </c>
      <c r="O1135" s="1">
        <v>526</v>
      </c>
      <c r="P1135" s="1">
        <f t="shared" si="225"/>
        <v>1346</v>
      </c>
      <c r="Q1135" s="1">
        <f t="shared" si="226"/>
        <v>5.5873436149298428</v>
      </c>
      <c r="R1135" s="1">
        <f t="shared" si="227"/>
        <v>4.0173955692818204</v>
      </c>
      <c r="S1135" s="2">
        <f t="shared" si="228"/>
        <v>15.621547736049877</v>
      </c>
      <c r="T1135" s="2">
        <f t="shared" si="229"/>
        <v>0.27264744225153642</v>
      </c>
      <c r="U1135" s="1" t="s">
        <v>2507</v>
      </c>
      <c r="V1135" s="6" t="s">
        <v>2505</v>
      </c>
    </row>
    <row r="1136" spans="1:24" ht="14.25" customHeight="1" x14ac:dyDescent="0.3">
      <c r="A1136" s="1" t="s">
        <v>17</v>
      </c>
      <c r="B1136" s="1" t="s">
        <v>2236</v>
      </c>
      <c r="C1136" s="1" t="s">
        <v>2237</v>
      </c>
      <c r="D1136" s="1">
        <f t="shared" si="220"/>
        <v>75</v>
      </c>
      <c r="E1136" s="1">
        <f t="shared" si="221"/>
        <v>0.91089120370370369</v>
      </c>
      <c r="F1136" s="2">
        <f t="shared" si="222"/>
        <v>471.97222721301921</v>
      </c>
      <c r="G1136" s="1">
        <v>2080</v>
      </c>
      <c r="H1136" s="1">
        <v>3744</v>
      </c>
      <c r="I1136" s="1">
        <v>0</v>
      </c>
      <c r="J1136" s="1">
        <v>174</v>
      </c>
      <c r="K1136" s="1">
        <f t="shared" si="232"/>
        <v>0</v>
      </c>
      <c r="L1136" s="1">
        <f t="shared" si="223"/>
        <v>1.5183173076923075</v>
      </c>
      <c r="M1136" s="1">
        <f t="shared" si="224"/>
        <v>1.5183173076923075</v>
      </c>
      <c r="N1136" s="2">
        <f t="shared" si="231"/>
        <v>11.064880782749123</v>
      </c>
      <c r="O1136" s="1">
        <v>525</v>
      </c>
      <c r="P1136" s="1">
        <f t="shared" si="225"/>
        <v>1347</v>
      </c>
      <c r="Q1136" s="1">
        <f t="shared" si="226"/>
        <v>4.3028968068999944</v>
      </c>
      <c r="R1136" s="1">
        <f t="shared" si="227"/>
        <v>3.0961549139392588</v>
      </c>
      <c r="S1136" s="2">
        <f t="shared" si="228"/>
        <v>15.632586374231581</v>
      </c>
      <c r="T1136" s="2">
        <f t="shared" si="229"/>
        <v>0.27284010283274351</v>
      </c>
      <c r="U1136" s="1" t="s">
        <v>2507</v>
      </c>
      <c r="V1136" s="6" t="s">
        <v>2505</v>
      </c>
    </row>
    <row r="1137" spans="1:24" ht="14.25" customHeight="1" x14ac:dyDescent="0.3">
      <c r="A1137" s="1" t="s">
        <v>435</v>
      </c>
      <c r="B1137" s="1" t="s">
        <v>2238</v>
      </c>
      <c r="C1137" s="1" t="s">
        <v>2239</v>
      </c>
      <c r="D1137" s="1">
        <f t="shared" si="220"/>
        <v>92</v>
      </c>
      <c r="E1137" s="1">
        <f t="shared" si="221"/>
        <v>0.45341435185185186</v>
      </c>
      <c r="F1137" s="2">
        <f t="shared" si="222"/>
        <v>575.91196560114179</v>
      </c>
      <c r="G1137" s="1">
        <v>2080</v>
      </c>
      <c r="H1137" s="1">
        <v>3744</v>
      </c>
      <c r="I1137" s="1">
        <v>0</v>
      </c>
      <c r="J1137" s="1">
        <v>205</v>
      </c>
      <c r="K1137" s="1">
        <f t="shared" si="232"/>
        <v>0</v>
      </c>
      <c r="L1137" s="1">
        <f t="shared" si="223"/>
        <v>1.7888221153846151</v>
      </c>
      <c r="M1137" s="1">
        <f t="shared" si="224"/>
        <v>1.7888221153846151</v>
      </c>
      <c r="N1137" s="2">
        <f t="shared" si="231"/>
        <v>9.3916549082846217</v>
      </c>
      <c r="O1137" s="1">
        <v>525</v>
      </c>
      <c r="P1137" s="1">
        <f t="shared" si="225"/>
        <v>1347</v>
      </c>
      <c r="Q1137" s="1">
        <f t="shared" si="226"/>
        <v>3.6522148507346297</v>
      </c>
      <c r="R1137" s="1">
        <f t="shared" si="227"/>
        <v>2.6279558781728345</v>
      </c>
      <c r="S1137" s="2">
        <f t="shared" si="228"/>
        <v>15.632586374231582</v>
      </c>
      <c r="T1137" s="2">
        <f t="shared" si="229"/>
        <v>0.27284010283274357</v>
      </c>
      <c r="U1137" s="1" t="s">
        <v>2507</v>
      </c>
      <c r="V1137" s="6" t="s">
        <v>2505</v>
      </c>
    </row>
    <row r="1138" spans="1:24" ht="14.25" customHeight="1" x14ac:dyDescent="0.3">
      <c r="A1138" s="1" t="s">
        <v>286</v>
      </c>
      <c r="B1138" s="1" t="s">
        <v>2240</v>
      </c>
      <c r="C1138" s="1" t="s">
        <v>2241</v>
      </c>
      <c r="D1138" s="1">
        <f t="shared" si="220"/>
        <v>26</v>
      </c>
      <c r="E1138" s="1">
        <f t="shared" si="221"/>
        <v>9.331018518518519E-2</v>
      </c>
      <c r="F1138" s="2">
        <f t="shared" si="222"/>
        <v>158.959134118235</v>
      </c>
      <c r="G1138" s="1">
        <v>2080</v>
      </c>
      <c r="H1138" s="1">
        <v>3744</v>
      </c>
      <c r="I1138" s="1">
        <v>0</v>
      </c>
      <c r="J1138" s="1">
        <v>135</v>
      </c>
      <c r="K1138" s="1">
        <f t="shared" si="232"/>
        <v>0</v>
      </c>
      <c r="L1138" s="1">
        <f t="shared" si="223"/>
        <v>1.1780048076923078</v>
      </c>
      <c r="M1138" s="1">
        <f t="shared" si="224"/>
        <v>1.1780048076923078</v>
      </c>
      <c r="N1138" s="2">
        <f t="shared" si="231"/>
        <v>14.261401897765534</v>
      </c>
      <c r="O1138" s="1">
        <v>520</v>
      </c>
      <c r="P1138" s="1">
        <f t="shared" si="225"/>
        <v>1352</v>
      </c>
      <c r="Q1138" s="1">
        <f t="shared" si="226"/>
        <v>5.5459558844488805</v>
      </c>
      <c r="R1138" s="1">
        <f t="shared" si="227"/>
        <v>4.0054125832130802</v>
      </c>
      <c r="S1138" s="2">
        <f t="shared" si="228"/>
        <v>15.687761701771622</v>
      </c>
      <c r="T1138" s="2">
        <f t="shared" si="229"/>
        <v>0.27380309396418356</v>
      </c>
      <c r="U1138" s="1" t="s">
        <v>2507</v>
      </c>
      <c r="V1138" s="6" t="s">
        <v>2505</v>
      </c>
    </row>
    <row r="1139" spans="1:24" ht="14.25" customHeight="1" x14ac:dyDescent="0.3">
      <c r="A1139" s="1" t="s">
        <v>27</v>
      </c>
      <c r="B1139" s="1" t="s">
        <v>2242</v>
      </c>
      <c r="C1139" s="1" t="s">
        <v>2243</v>
      </c>
      <c r="D1139" s="1">
        <f t="shared" si="220"/>
        <v>54</v>
      </c>
      <c r="E1139" s="1">
        <f t="shared" si="221"/>
        <v>0.18126157407407406</v>
      </c>
      <c r="F1139" s="2">
        <f t="shared" si="222"/>
        <v>335.4409375936761</v>
      </c>
      <c r="G1139" s="1">
        <v>2080</v>
      </c>
      <c r="H1139" s="1">
        <v>3744</v>
      </c>
      <c r="I1139" s="1">
        <v>0</v>
      </c>
      <c r="J1139" s="1">
        <v>188</v>
      </c>
      <c r="K1139" s="1">
        <f t="shared" si="232"/>
        <v>0</v>
      </c>
      <c r="L1139" s="1">
        <f t="shared" si="223"/>
        <v>1.6404807692307692</v>
      </c>
      <c r="M1139" s="1">
        <f t="shared" si="224"/>
        <v>1.6404807692307692</v>
      </c>
      <c r="N1139" s="2">
        <f t="shared" si="231"/>
        <v>10.240900298927379</v>
      </c>
      <c r="O1139" s="1">
        <v>519</v>
      </c>
      <c r="P1139" s="1">
        <f t="shared" si="225"/>
        <v>1353</v>
      </c>
      <c r="Q1139" s="1">
        <f t="shared" si="226"/>
        <v>3.9824683212797818</v>
      </c>
      <c r="R1139" s="1">
        <f t="shared" si="227"/>
        <v>2.8783545078480475</v>
      </c>
      <c r="S1139" s="2">
        <f t="shared" si="228"/>
        <v>15.698793190226352</v>
      </c>
      <c r="T1139" s="2">
        <f t="shared" si="229"/>
        <v>0.27399562975911435</v>
      </c>
      <c r="U1139" s="1" t="s">
        <v>2507</v>
      </c>
      <c r="V1139" s="6" t="s">
        <v>2505</v>
      </c>
    </row>
    <row r="1140" spans="1:24" ht="14.25" customHeight="1" x14ac:dyDescent="0.3">
      <c r="A1140" s="1" t="s">
        <v>17</v>
      </c>
      <c r="B1140" s="1" t="s">
        <v>2244</v>
      </c>
      <c r="C1140" s="1" t="s">
        <v>2245</v>
      </c>
      <c r="D1140" s="1">
        <f t="shared" si="220"/>
        <v>83</v>
      </c>
      <c r="E1140" s="1">
        <f t="shared" si="221"/>
        <v>9.9456018518518527E-2</v>
      </c>
      <c r="F1140" s="2">
        <f t="shared" si="222"/>
        <v>517.13931203717186</v>
      </c>
      <c r="G1140" s="1">
        <v>2080</v>
      </c>
      <c r="H1140" s="1">
        <v>3744</v>
      </c>
      <c r="I1140" s="1">
        <v>0</v>
      </c>
      <c r="J1140" s="1">
        <v>210</v>
      </c>
      <c r="K1140" s="1">
        <f t="shared" si="232"/>
        <v>0</v>
      </c>
      <c r="L1140" s="1">
        <f t="shared" si="223"/>
        <v>1.832451923076923</v>
      </c>
      <c r="M1140" s="1">
        <f t="shared" si="224"/>
        <v>1.832451923076923</v>
      </c>
      <c r="N1140" s="2">
        <f t="shared" si="231"/>
        <v>9.1680440771349865</v>
      </c>
      <c r="O1140" s="1">
        <v>516</v>
      </c>
      <c r="P1140" s="1">
        <f t="shared" si="225"/>
        <v>1356</v>
      </c>
      <c r="Q1140" s="1">
        <f t="shared" si="226"/>
        <v>3.5652573542885664</v>
      </c>
      <c r="R1140" s="1">
        <f t="shared" si="227"/>
        <v>2.5825261604782566</v>
      </c>
      <c r="S1140" s="2">
        <f t="shared" si="228"/>
        <v>15.73188049024418</v>
      </c>
      <c r="T1140" s="2">
        <f t="shared" si="229"/>
        <v>0.27457311208502061</v>
      </c>
      <c r="U1140" s="1" t="s">
        <v>2507</v>
      </c>
      <c r="V1140" s="6" t="s">
        <v>2505</v>
      </c>
    </row>
    <row r="1141" spans="1:24" ht="14.25" customHeight="1" x14ac:dyDescent="0.3">
      <c r="A1141" s="1" t="s">
        <v>27</v>
      </c>
      <c r="B1141" s="1" t="s">
        <v>2246</v>
      </c>
      <c r="C1141" s="1" t="s">
        <v>2247</v>
      </c>
      <c r="D1141" s="1">
        <f t="shared" si="220"/>
        <v>76</v>
      </c>
      <c r="E1141" s="1">
        <f t="shared" si="221"/>
        <v>0.84815972222222225</v>
      </c>
      <c r="F1141" s="2">
        <f t="shared" si="222"/>
        <v>477.86125899745673</v>
      </c>
      <c r="G1141" s="1">
        <v>2080</v>
      </c>
      <c r="H1141" s="1">
        <v>3744</v>
      </c>
      <c r="I1141" s="1">
        <v>0</v>
      </c>
      <c r="J1141" s="1">
        <v>128</v>
      </c>
      <c r="K1141" s="1">
        <f t="shared" si="232"/>
        <v>0</v>
      </c>
      <c r="L1141" s="1">
        <f t="shared" si="223"/>
        <v>1.1169230769230769</v>
      </c>
      <c r="M1141" s="1">
        <f t="shared" si="224"/>
        <v>1.1169230769230769</v>
      </c>
      <c r="N1141" s="2">
        <f t="shared" si="231"/>
        <v>15.041322314049587</v>
      </c>
      <c r="O1141" s="1">
        <v>512</v>
      </c>
      <c r="P1141" s="1">
        <f t="shared" si="225"/>
        <v>1360</v>
      </c>
      <c r="Q1141" s="1">
        <f t="shared" si="226"/>
        <v>5.8492503468796793</v>
      </c>
      <c r="R1141" s="1">
        <f t="shared" si="227"/>
        <v>4.2494553802117325</v>
      </c>
      <c r="S1141" s="2">
        <f t="shared" si="228"/>
        <v>15.77598014787362</v>
      </c>
      <c r="T1141" s="2">
        <f t="shared" si="229"/>
        <v>0.27534279630965658</v>
      </c>
      <c r="U1141" s="1" t="s">
        <v>2507</v>
      </c>
      <c r="V1141" s="6" t="s">
        <v>2505</v>
      </c>
    </row>
    <row r="1142" spans="1:24" ht="14.25" customHeight="1" x14ac:dyDescent="0.3">
      <c r="A1142" s="1" t="s">
        <v>17</v>
      </c>
      <c r="B1142" s="1" t="s">
        <v>1551</v>
      </c>
      <c r="C1142" s="1" t="s">
        <v>1552</v>
      </c>
      <c r="D1142" s="1">
        <f t="shared" si="220"/>
        <v>29</v>
      </c>
      <c r="E1142" s="1">
        <f t="shared" si="221"/>
        <v>0.24876157407407407</v>
      </c>
      <c r="F1142" s="2">
        <f t="shared" si="222"/>
        <v>178.78541992242108</v>
      </c>
      <c r="G1142" s="1">
        <v>2080</v>
      </c>
      <c r="H1142" s="1">
        <v>3744</v>
      </c>
      <c r="I1142" s="1">
        <v>0</v>
      </c>
      <c r="J1142" s="1">
        <v>186</v>
      </c>
      <c r="K1142" s="1">
        <f t="shared" si="232"/>
        <v>0</v>
      </c>
      <c r="L1142" s="1">
        <f t="shared" si="223"/>
        <v>1.623028846153846</v>
      </c>
      <c r="M1142" s="1">
        <f t="shared" si="224"/>
        <v>1.623028846153846</v>
      </c>
      <c r="N1142" s="2">
        <f t="shared" si="231"/>
        <v>10.351017506442728</v>
      </c>
      <c r="O1142" s="1">
        <v>510</v>
      </c>
      <c r="P1142" s="1">
        <f t="shared" si="225"/>
        <v>1362</v>
      </c>
      <c r="Q1142" s="1">
        <f t="shared" si="226"/>
        <v>4.0252905612935432</v>
      </c>
      <c r="R1142" s="1">
        <f t="shared" si="227"/>
        <v>2.9286569147872892</v>
      </c>
      <c r="S1142" s="2">
        <f t="shared" si="228"/>
        <v>15.79802279018732</v>
      </c>
      <c r="T1142" s="2">
        <f t="shared" si="229"/>
        <v>0.27572751299387005</v>
      </c>
      <c r="U1142" s="1" t="s">
        <v>2507</v>
      </c>
      <c r="V1142" s="6" t="s">
        <v>2505</v>
      </c>
    </row>
    <row r="1143" spans="1:24" ht="14.25" customHeight="1" x14ac:dyDescent="0.3">
      <c r="A1143" s="1" t="s">
        <v>82</v>
      </c>
      <c r="B1143" s="1" t="s">
        <v>2248</v>
      </c>
      <c r="C1143" s="1" t="s">
        <v>2249</v>
      </c>
      <c r="D1143" s="1">
        <f t="shared" si="220"/>
        <v>80</v>
      </c>
      <c r="E1143" s="1">
        <f t="shared" si="221"/>
        <v>0.25159722222222219</v>
      </c>
      <c r="F1143" s="2">
        <f t="shared" si="222"/>
        <v>499.24568749136074</v>
      </c>
      <c r="G1143" s="1">
        <v>2080</v>
      </c>
      <c r="H1143" s="1">
        <v>3744</v>
      </c>
      <c r="I1143" s="1">
        <v>0</v>
      </c>
      <c r="J1143" s="1">
        <v>285</v>
      </c>
      <c r="K1143" s="1">
        <f t="shared" si="232"/>
        <v>0</v>
      </c>
      <c r="L1143" s="1">
        <f t="shared" si="223"/>
        <v>2.4868990384615386</v>
      </c>
      <c r="M1143" s="1">
        <f t="shared" si="224"/>
        <v>2.4868990384615386</v>
      </c>
      <c r="N1143" s="2">
        <f t="shared" si="231"/>
        <v>6.755400898941569</v>
      </c>
      <c r="O1143" s="1">
        <v>510</v>
      </c>
      <c r="P1143" s="1">
        <f t="shared" si="225"/>
        <v>1362</v>
      </c>
      <c r="Q1143" s="1">
        <f t="shared" si="226"/>
        <v>2.6270317347389436</v>
      </c>
      <c r="R1143" s="1">
        <f t="shared" si="227"/>
        <v>1.911333986492757</v>
      </c>
      <c r="S1143" s="2">
        <f t="shared" si="228"/>
        <v>15.798022790187323</v>
      </c>
      <c r="T1143" s="2">
        <f t="shared" si="229"/>
        <v>0.27572751299387011</v>
      </c>
      <c r="U1143" s="1" t="s">
        <v>2507</v>
      </c>
      <c r="V1143" s="6" t="s">
        <v>2505</v>
      </c>
    </row>
    <row r="1144" spans="1:24" ht="14.25" customHeight="1" x14ac:dyDescent="0.3">
      <c r="A1144" s="1" t="s">
        <v>17</v>
      </c>
      <c r="B1144" s="1" t="s">
        <v>2250</v>
      </c>
      <c r="C1144" s="1" t="s">
        <v>2251</v>
      </c>
      <c r="D1144" s="1">
        <f t="shared" si="220"/>
        <v>61</v>
      </c>
      <c r="E1144" s="1">
        <f t="shared" si="221"/>
        <v>0.91052083333333333</v>
      </c>
      <c r="F1144" s="2">
        <f t="shared" si="222"/>
        <v>384.00530580683574</v>
      </c>
      <c r="G1144" s="1">
        <v>2080</v>
      </c>
      <c r="H1144" s="1">
        <v>3744</v>
      </c>
      <c r="I1144" s="1">
        <v>0</v>
      </c>
      <c r="J1144" s="1">
        <v>181</v>
      </c>
      <c r="K1144" s="1">
        <f t="shared" si="232"/>
        <v>0</v>
      </c>
      <c r="L1144" s="1">
        <f t="shared" si="223"/>
        <v>1.5793990384615384</v>
      </c>
      <c r="M1144" s="1">
        <f t="shared" si="224"/>
        <v>1.5793990384615384</v>
      </c>
      <c r="N1144" s="2">
        <f t="shared" si="231"/>
        <v>10.636957216565454</v>
      </c>
      <c r="O1144" s="1">
        <v>509</v>
      </c>
      <c r="P1144" s="1">
        <f t="shared" si="225"/>
        <v>1363</v>
      </c>
      <c r="Q1144" s="1">
        <f t="shared" si="226"/>
        <v>4.1364864331524807</v>
      </c>
      <c r="R1144" s="1">
        <f t="shared" si="227"/>
        <v>3.0117687010613414</v>
      </c>
      <c r="S1144" s="2">
        <f t="shared" si="228"/>
        <v>15.809042312547536</v>
      </c>
      <c r="T1144" s="2">
        <f t="shared" si="229"/>
        <v>0.27591983994105296</v>
      </c>
      <c r="U1144" s="1" t="s">
        <v>2507</v>
      </c>
      <c r="V1144" s="6" t="s">
        <v>2505</v>
      </c>
    </row>
    <row r="1145" spans="1:24" ht="14.25" customHeight="1" x14ac:dyDescent="0.3">
      <c r="A1145" s="1" t="s">
        <v>27</v>
      </c>
      <c r="B1145" s="1" t="s">
        <v>1739</v>
      </c>
      <c r="C1145" s="1" t="s">
        <v>1740</v>
      </c>
      <c r="D1145" s="1">
        <f t="shared" si="220"/>
        <v>48</v>
      </c>
      <c r="E1145" s="1">
        <f t="shared" si="221"/>
        <v>0.2942939814814815</v>
      </c>
      <c r="F1145" s="2">
        <f t="shared" si="222"/>
        <v>298.45202931205597</v>
      </c>
      <c r="G1145" s="1">
        <v>2080</v>
      </c>
      <c r="H1145" s="1">
        <v>3744</v>
      </c>
      <c r="I1145" s="1">
        <v>0</v>
      </c>
      <c r="J1145" s="1">
        <v>146</v>
      </c>
      <c r="K1145" s="1">
        <f t="shared" si="232"/>
        <v>0</v>
      </c>
      <c r="L1145" s="1">
        <f t="shared" si="223"/>
        <v>1.2739903846153844</v>
      </c>
      <c r="M1145" s="1">
        <f t="shared" si="224"/>
        <v>1.2739903846153844</v>
      </c>
      <c r="N1145" s="2">
        <f t="shared" si="231"/>
        <v>13.186912713687311</v>
      </c>
      <c r="O1145" s="1">
        <v>502</v>
      </c>
      <c r="P1145" s="1">
        <f t="shared" si="225"/>
        <v>1370</v>
      </c>
      <c r="Q1145" s="1">
        <f t="shared" si="226"/>
        <v>5.1281098931547877</v>
      </c>
      <c r="R1145" s="1">
        <f t="shared" si="227"/>
        <v>3.7529436718066553</v>
      </c>
      <c r="S1145" s="2">
        <f t="shared" si="228"/>
        <v>15.886145333788088</v>
      </c>
      <c r="T1145" s="2">
        <f t="shared" si="229"/>
        <v>0.27726554152493571</v>
      </c>
      <c r="U1145" s="1" t="s">
        <v>2507</v>
      </c>
      <c r="V1145" s="6" t="s">
        <v>2505</v>
      </c>
    </row>
    <row r="1146" spans="1:24" ht="14.25" customHeight="1" x14ac:dyDescent="0.3">
      <c r="A1146" s="1" t="s">
        <v>435</v>
      </c>
      <c r="B1146" s="1" t="s">
        <v>2252</v>
      </c>
      <c r="C1146" s="1" t="s">
        <v>2253</v>
      </c>
      <c r="D1146" s="1">
        <f t="shared" si="220"/>
        <v>28</v>
      </c>
      <c r="E1146" s="1">
        <f t="shared" si="221"/>
        <v>0.28939814814814818</v>
      </c>
      <c r="F1146" s="2">
        <f t="shared" si="222"/>
        <v>172.75756174039782</v>
      </c>
      <c r="G1146" s="1">
        <v>2080</v>
      </c>
      <c r="H1146" s="1">
        <v>3744</v>
      </c>
      <c r="I1146" s="1">
        <v>0</v>
      </c>
      <c r="J1146" s="1">
        <v>181</v>
      </c>
      <c r="K1146" s="1">
        <f t="shared" si="232"/>
        <v>0</v>
      </c>
      <c r="L1146" s="1">
        <f t="shared" si="223"/>
        <v>1.5793990384615384</v>
      </c>
      <c r="M1146" s="1">
        <f t="shared" si="224"/>
        <v>1.5793990384615384</v>
      </c>
      <c r="N1146" s="2">
        <f t="shared" si="231"/>
        <v>10.636957216565454</v>
      </c>
      <c r="O1146" s="1">
        <v>499</v>
      </c>
      <c r="P1146" s="1">
        <f t="shared" si="225"/>
        <v>1373</v>
      </c>
      <c r="Q1146" s="1">
        <f t="shared" si="226"/>
        <v>4.1364864331524807</v>
      </c>
      <c r="R1146" s="1">
        <f t="shared" si="227"/>
        <v>3.0338653166230531</v>
      </c>
      <c r="S1146" s="2">
        <f t="shared" si="228"/>
        <v>15.919171432907945</v>
      </c>
      <c r="T1146" s="2">
        <f t="shared" si="229"/>
        <v>0.27784195569366721</v>
      </c>
      <c r="U1146" s="1" t="s">
        <v>2507</v>
      </c>
      <c r="V1146" s="6" t="s">
        <v>2505</v>
      </c>
    </row>
    <row r="1147" spans="1:24" ht="14.25" customHeight="1" x14ac:dyDescent="0.3">
      <c r="A1147" s="1" t="s">
        <v>40</v>
      </c>
      <c r="B1147" s="1" t="s">
        <v>2254</v>
      </c>
      <c r="C1147" s="1" t="s">
        <v>2255</v>
      </c>
      <c r="D1147" s="1">
        <f t="shared" si="220"/>
        <v>63</v>
      </c>
      <c r="E1147" s="1">
        <f t="shared" si="221"/>
        <v>0.33695601851851853</v>
      </c>
      <c r="F1147" s="2">
        <f t="shared" si="222"/>
        <v>392.96786240403526</v>
      </c>
      <c r="G1147" s="1">
        <v>2080</v>
      </c>
      <c r="H1147" s="1">
        <v>3744</v>
      </c>
      <c r="I1147" s="1">
        <v>0</v>
      </c>
      <c r="J1147" s="1">
        <v>117</v>
      </c>
      <c r="K1147" s="1">
        <f t="shared" si="232"/>
        <v>0</v>
      </c>
      <c r="L1147" s="1">
        <f t="shared" si="223"/>
        <v>1.0209374999999998</v>
      </c>
      <c r="M1147" s="1">
        <f t="shared" si="224"/>
        <v>1.0209374999999998</v>
      </c>
      <c r="N1147" s="2">
        <f t="shared" si="231"/>
        <v>16.455463728191003</v>
      </c>
      <c r="O1147" s="1">
        <v>498</v>
      </c>
      <c r="P1147" s="1">
        <f t="shared" si="225"/>
        <v>1374</v>
      </c>
      <c r="Q1147" s="1">
        <f t="shared" si="226"/>
        <v>6.3991798666717861</v>
      </c>
      <c r="R1147" s="1">
        <f t="shared" si="227"/>
        <v>4.6968339406020476</v>
      </c>
      <c r="S1147" s="2">
        <f t="shared" si="228"/>
        <v>15.930177721054648</v>
      </c>
      <c r="T1147" s="2">
        <f t="shared" si="229"/>
        <v>0.27803405166025041</v>
      </c>
      <c r="U1147" s="1" t="s">
        <v>2507</v>
      </c>
      <c r="V1147" s="6" t="s">
        <v>2505</v>
      </c>
    </row>
    <row r="1148" spans="1:24" ht="14.25" customHeight="1" x14ac:dyDescent="0.3">
      <c r="A1148" s="1" t="s">
        <v>27</v>
      </c>
      <c r="B1148" s="1" t="s">
        <v>2256</v>
      </c>
      <c r="C1148" s="1" t="s">
        <v>2257</v>
      </c>
      <c r="D1148" s="1">
        <f t="shared" si="220"/>
        <v>71</v>
      </c>
      <c r="E1148" s="1">
        <f t="shared" si="221"/>
        <v>0.75179398148148147</v>
      </c>
      <c r="F1148" s="2">
        <f t="shared" si="222"/>
        <v>445.83984865522115</v>
      </c>
      <c r="G1148" s="1">
        <v>2080</v>
      </c>
      <c r="H1148" s="1">
        <v>3744</v>
      </c>
      <c r="I1148" s="1">
        <v>0</v>
      </c>
      <c r="J1148" s="1">
        <v>270</v>
      </c>
      <c r="K1148" s="1">
        <f t="shared" si="232"/>
        <v>0</v>
      </c>
      <c r="L1148" s="1">
        <f t="shared" si="223"/>
        <v>2.3560096153846155</v>
      </c>
      <c r="M1148" s="1">
        <f t="shared" si="224"/>
        <v>2.3560096153846155</v>
      </c>
      <c r="N1148" s="2">
        <f t="shared" si="231"/>
        <v>7.1307009488827671</v>
      </c>
      <c r="O1148" s="1">
        <v>495</v>
      </c>
      <c r="P1148" s="1">
        <f t="shared" si="225"/>
        <v>1377</v>
      </c>
      <c r="Q1148" s="1">
        <f t="shared" si="226"/>
        <v>2.7729779422244403</v>
      </c>
      <c r="R1148" s="1">
        <f t="shared" si="227"/>
        <v>2.0397385825016316</v>
      </c>
      <c r="S1148" s="2">
        <f t="shared" si="228"/>
        <v>15.963189342220398</v>
      </c>
      <c r="T1148" s="2">
        <f t="shared" si="229"/>
        <v>0.27861021314101381</v>
      </c>
      <c r="U1148" s="1" t="s">
        <v>2507</v>
      </c>
      <c r="V1148" s="6" t="s">
        <v>2505</v>
      </c>
    </row>
    <row r="1149" spans="1:24" ht="14.25" customHeight="1" x14ac:dyDescent="0.3">
      <c r="A1149" s="1" t="s">
        <v>17</v>
      </c>
      <c r="B1149" s="1" t="s">
        <v>504</v>
      </c>
      <c r="C1149" s="1" t="s">
        <v>505</v>
      </c>
      <c r="D1149" s="1">
        <f t="shared" si="220"/>
        <v>36</v>
      </c>
      <c r="E1149" s="1">
        <f t="shared" si="221"/>
        <v>0.71701388888888884</v>
      </c>
      <c r="F1149" s="2">
        <f t="shared" si="222"/>
        <v>225.70983313717545</v>
      </c>
      <c r="G1149" s="1">
        <v>2080</v>
      </c>
      <c r="H1149" s="1">
        <v>3744</v>
      </c>
      <c r="I1149" s="1">
        <v>0</v>
      </c>
      <c r="J1149" s="1">
        <v>166</v>
      </c>
      <c r="K1149" s="1">
        <f t="shared" si="232"/>
        <v>0</v>
      </c>
      <c r="L1149" s="1">
        <f t="shared" si="223"/>
        <v>1.4485096153846153</v>
      </c>
      <c r="M1149" s="1">
        <f t="shared" si="224"/>
        <v>1.4485096153846153</v>
      </c>
      <c r="N1149" s="2">
        <f t="shared" si="231"/>
        <v>11.598128049387634</v>
      </c>
      <c r="O1149" s="1">
        <v>493</v>
      </c>
      <c r="P1149" s="1">
        <f t="shared" si="225"/>
        <v>1379</v>
      </c>
      <c r="Q1149" s="1">
        <f t="shared" si="226"/>
        <v>4.5102653277144515</v>
      </c>
      <c r="R1149" s="1">
        <f t="shared" si="227"/>
        <v>3.3224657515588829</v>
      </c>
      <c r="S1149" s="2">
        <f t="shared" si="228"/>
        <v>15.985191047474304</v>
      </c>
      <c r="T1149" s="2">
        <f t="shared" si="229"/>
        <v>0.2789942153387478</v>
      </c>
      <c r="U1149" s="1" t="s">
        <v>2507</v>
      </c>
      <c r="V1149" s="6" t="s">
        <v>2505</v>
      </c>
    </row>
    <row r="1150" spans="1:24" ht="14.25" customHeight="1" x14ac:dyDescent="0.3">
      <c r="A1150" s="1" t="s">
        <v>82</v>
      </c>
      <c r="B1150" s="1" t="s">
        <v>2258</v>
      </c>
      <c r="C1150" s="1" t="s">
        <v>2259</v>
      </c>
      <c r="D1150" s="1">
        <f t="shared" si="220"/>
        <v>14</v>
      </c>
      <c r="E1150" s="1">
        <f t="shared" si="221"/>
        <v>0.39666666666666667</v>
      </c>
      <c r="F1150" s="2">
        <f t="shared" si="222"/>
        <v>85.466955419362108</v>
      </c>
      <c r="G1150" s="1">
        <v>2080</v>
      </c>
      <c r="H1150" s="1">
        <v>3744</v>
      </c>
      <c r="I1150" s="1">
        <v>0</v>
      </c>
      <c r="J1150" s="1">
        <v>574</v>
      </c>
      <c r="K1150" s="1">
        <f t="shared" si="232"/>
        <v>0</v>
      </c>
      <c r="L1150" s="1">
        <f t="shared" si="223"/>
        <v>5.0087019230769227</v>
      </c>
      <c r="M1150" s="1">
        <f t="shared" si="224"/>
        <v>5.0087019230769227</v>
      </c>
      <c r="N1150" s="2">
        <f t="shared" si="231"/>
        <v>3.3541624672445076</v>
      </c>
      <c r="O1150" s="1">
        <v>493</v>
      </c>
      <c r="P1150" s="1">
        <f t="shared" si="225"/>
        <v>1379</v>
      </c>
      <c r="Q1150" s="1">
        <f t="shared" si="226"/>
        <v>1.3043624466909391</v>
      </c>
      <c r="R1150" s="1">
        <f t="shared" si="227"/>
        <v>0.96085246473654129</v>
      </c>
      <c r="S1150" s="2">
        <f t="shared" si="228"/>
        <v>15.985191047474308</v>
      </c>
      <c r="T1150" s="2">
        <f t="shared" si="229"/>
        <v>0.27899421533874785</v>
      </c>
      <c r="U1150" s="1" t="s">
        <v>2507</v>
      </c>
      <c r="V1150" s="6" t="s">
        <v>2505</v>
      </c>
    </row>
    <row r="1151" spans="1:24" ht="14.25" customHeight="1" x14ac:dyDescent="0.3">
      <c r="A1151" s="1" t="s">
        <v>40</v>
      </c>
      <c r="B1151" s="1" t="s">
        <v>2260</v>
      </c>
      <c r="C1151" s="1" t="s">
        <v>2261</v>
      </c>
      <c r="D1151" s="1">
        <f t="shared" si="220"/>
        <v>76</v>
      </c>
      <c r="E1151" s="1">
        <f t="shared" si="221"/>
        <v>0.98884259259259266</v>
      </c>
      <c r="F1151" s="2">
        <f t="shared" si="222"/>
        <v>478.74519554153972</v>
      </c>
      <c r="G1151" s="1">
        <v>2080</v>
      </c>
      <c r="H1151" s="1">
        <v>3744</v>
      </c>
      <c r="I1151" s="1">
        <v>0</v>
      </c>
      <c r="J1151" s="1">
        <v>125</v>
      </c>
      <c r="K1151" s="1">
        <f t="shared" si="232"/>
        <v>0</v>
      </c>
      <c r="L1151" s="1">
        <f t="shared" si="223"/>
        <v>1.0907451923076923</v>
      </c>
      <c r="M1151" s="1">
        <f t="shared" si="224"/>
        <v>1.0907451923076923</v>
      </c>
      <c r="N1151" s="2">
        <f t="shared" si="231"/>
        <v>15.402314049586778</v>
      </c>
      <c r="O1151" s="1">
        <v>490</v>
      </c>
      <c r="P1151" s="1">
        <f t="shared" si="225"/>
        <v>1382</v>
      </c>
      <c r="Q1151" s="1">
        <f t="shared" si="226"/>
        <v>5.9896323552047921</v>
      </c>
      <c r="R1151" s="1">
        <f t="shared" si="227"/>
        <v>4.4218332878702045</v>
      </c>
      <c r="S1151" s="2">
        <f t="shared" si="228"/>
        <v>16.018184529836439</v>
      </c>
      <c r="T1151" s="2">
        <f t="shared" si="229"/>
        <v>0.27957006023766573</v>
      </c>
      <c r="U1151" s="1" t="s">
        <v>2507</v>
      </c>
      <c r="V1151" s="6" t="s">
        <v>2505</v>
      </c>
    </row>
    <row r="1152" spans="1:24" ht="14.25" customHeight="1" x14ac:dyDescent="0.3">
      <c r="A1152" s="1" t="s">
        <v>286</v>
      </c>
      <c r="B1152" s="1" t="s">
        <v>2262</v>
      </c>
      <c r="C1152" s="1" t="s">
        <v>2263</v>
      </c>
      <c r="D1152" s="1">
        <f t="shared" si="220"/>
        <v>45</v>
      </c>
      <c r="E1152" s="1">
        <f t="shared" si="221"/>
        <v>0.82326388888888891</v>
      </c>
      <c r="F1152" s="2">
        <f t="shared" si="222"/>
        <v>282.9260893406796</v>
      </c>
      <c r="G1152" s="1">
        <v>2080</v>
      </c>
      <c r="H1152" s="1">
        <v>3744</v>
      </c>
      <c r="I1152" s="1">
        <v>0</v>
      </c>
      <c r="J1152" s="1">
        <v>384</v>
      </c>
      <c r="K1152" s="1">
        <f t="shared" si="232"/>
        <v>0</v>
      </c>
      <c r="L1152" s="1">
        <f t="shared" si="223"/>
        <v>3.3507692307692305</v>
      </c>
      <c r="M1152" s="1">
        <f t="shared" si="224"/>
        <v>3.3507692307692305</v>
      </c>
      <c r="N1152" s="2">
        <f t="shared" si="231"/>
        <v>5.0137741046831961</v>
      </c>
      <c r="O1152" s="1">
        <v>471</v>
      </c>
      <c r="P1152" s="1">
        <f t="shared" si="225"/>
        <v>1401</v>
      </c>
      <c r="Q1152" s="1">
        <f t="shared" si="226"/>
        <v>1.94975011562656</v>
      </c>
      <c r="R1152" s="1">
        <f t="shared" si="227"/>
        <v>1.4591879871756466</v>
      </c>
      <c r="S1152" s="2">
        <f t="shared" si="228"/>
        <v>16.226889329806376</v>
      </c>
      <c r="T1152" s="2">
        <f t="shared" si="229"/>
        <v>0.28321264616185732</v>
      </c>
      <c r="U1152" s="1" t="s">
        <v>2507</v>
      </c>
      <c r="V1152" s="6" t="s">
        <v>2505</v>
      </c>
      <c r="W1152" s="1" t="s">
        <v>2264</v>
      </c>
      <c r="X1152" s="1">
        <v>32</v>
      </c>
    </row>
    <row r="1153" spans="1:24" ht="14.25" customHeight="1" x14ac:dyDescent="0.3">
      <c r="A1153" s="1" t="s">
        <v>40</v>
      </c>
      <c r="B1153" s="1" t="s">
        <v>2265</v>
      </c>
      <c r="C1153" s="1" t="s">
        <v>2266</v>
      </c>
      <c r="D1153" s="1">
        <f t="shared" si="220"/>
        <v>60</v>
      </c>
      <c r="E1153" s="1">
        <f t="shared" si="221"/>
        <v>8.774305555555556E-2</v>
      </c>
      <c r="F1153" s="2">
        <f t="shared" si="222"/>
        <v>372.5524552552489</v>
      </c>
      <c r="G1153" s="1">
        <v>2080</v>
      </c>
      <c r="H1153" s="1">
        <v>3744</v>
      </c>
      <c r="I1153" s="1">
        <v>0</v>
      </c>
      <c r="J1153" s="1">
        <v>121</v>
      </c>
      <c r="K1153" s="1">
        <f t="shared" si="232"/>
        <v>0</v>
      </c>
      <c r="L1153" s="1">
        <f t="shared" si="223"/>
        <v>1.0558413461538461</v>
      </c>
      <c r="M1153" s="1">
        <f t="shared" si="224"/>
        <v>1.0558413461538461</v>
      </c>
      <c r="N1153" s="2">
        <f t="shared" si="231"/>
        <v>15.911481456184688</v>
      </c>
      <c r="O1153" s="1">
        <v>471</v>
      </c>
      <c r="P1153" s="1">
        <f t="shared" si="225"/>
        <v>1401</v>
      </c>
      <c r="Q1153" s="1">
        <f t="shared" si="226"/>
        <v>6.1876367305834625</v>
      </c>
      <c r="R1153" s="1">
        <f t="shared" si="227"/>
        <v>4.6308114634334565</v>
      </c>
      <c r="S1153" s="2">
        <f t="shared" si="228"/>
        <v>16.226889329806376</v>
      </c>
      <c r="T1153" s="2">
        <f t="shared" si="229"/>
        <v>0.28321264616185732</v>
      </c>
      <c r="U1153" s="1" t="s">
        <v>2507</v>
      </c>
      <c r="V1153" s="6" t="s">
        <v>2505</v>
      </c>
    </row>
    <row r="1154" spans="1:24" ht="14.25" customHeight="1" x14ac:dyDescent="0.3">
      <c r="A1154" s="1" t="s">
        <v>27</v>
      </c>
      <c r="B1154" s="1" t="s">
        <v>2267</v>
      </c>
      <c r="C1154" s="1" t="s">
        <v>2268</v>
      </c>
      <c r="D1154" s="1">
        <f t="shared" ref="D1154:D1217" si="233">(LEFT(C1154,4)&amp;"-"&amp;MID(C1154,6,2)&amp;"-"&amp;MID(C1154,9,2))-(2019&amp;"-"&amp;5&amp;"-"&amp;28)</f>
        <v>55</v>
      </c>
      <c r="E1154" s="1">
        <f t="shared" ref="E1154:E1217" si="234">TIMEVALUE(RIGHT(C1154,8))</f>
        <v>0.78332175925925929</v>
      </c>
      <c r="F1154" s="2">
        <f t="shared" ref="F1154:F1217" si="235">(D1154+E1154)*2*PI()-4.989969053</f>
        <v>345.5069786104491</v>
      </c>
      <c r="G1154" s="1">
        <v>2080</v>
      </c>
      <c r="H1154" s="1">
        <v>3744</v>
      </c>
      <c r="I1154" s="1">
        <v>0</v>
      </c>
      <c r="J1154" s="1">
        <v>137</v>
      </c>
      <c r="K1154" s="1">
        <f t="shared" si="232"/>
        <v>0</v>
      </c>
      <c r="L1154" s="1">
        <f t="shared" ref="L1154:L1217" si="236">(18.15*J1154)/G1154</f>
        <v>1.1954567307692305</v>
      </c>
      <c r="M1154" s="1">
        <f t="shared" ref="M1154:M1217" si="237">SQRT(K1154*K1154+L1154*L1154)</f>
        <v>1.1954567307692305</v>
      </c>
      <c r="N1154" s="2">
        <f t="shared" ref="N1154:N1185" si="238">42*0.4/M1154</f>
        <v>14.053206249622974</v>
      </c>
      <c r="O1154" s="1">
        <v>470</v>
      </c>
      <c r="P1154" s="1">
        <f t="shared" ref="P1154:P1217" si="239">H1154/2-O1154</f>
        <v>1402</v>
      </c>
      <c r="Q1154" s="1">
        <f t="shared" ref="Q1154:Q1217" si="240">TAN(RADIANS(21.25))*N1154</f>
        <v>5.464993024821891</v>
      </c>
      <c r="R1154" s="1">
        <f t="shared" ref="R1154:R1217" si="241">Q1154*(P1154/(H1154/2))</f>
        <v>4.0929061008548562</v>
      </c>
      <c r="S1154" s="2">
        <f t="shared" ref="S1154:S1217" si="242">DEGREES(ATAN(R1154/N1154))</f>
        <v>16.237861597194772</v>
      </c>
      <c r="T1154" s="2">
        <f t="shared" ref="T1154:T1217" si="243">RADIANS(S1154)</f>
        <v>0.28340414835419403</v>
      </c>
      <c r="U1154" s="1" t="s">
        <v>2507</v>
      </c>
      <c r="V1154" s="6" t="s">
        <v>2505</v>
      </c>
    </row>
    <row r="1155" spans="1:24" ht="14.25" customHeight="1" x14ac:dyDescent="0.3">
      <c r="A1155" s="1" t="s">
        <v>17</v>
      </c>
      <c r="B1155" s="1" t="s">
        <v>1593</v>
      </c>
      <c r="C1155" s="1" t="s">
        <v>1594</v>
      </c>
      <c r="D1155" s="1">
        <f t="shared" si="233"/>
        <v>9</v>
      </c>
      <c r="E1155" s="1">
        <f t="shared" si="234"/>
        <v>0.7439930555555555</v>
      </c>
      <c r="F1155" s="2">
        <f t="shared" si="235"/>
        <v>56.233344946926593</v>
      </c>
      <c r="G1155" s="1">
        <v>2080</v>
      </c>
      <c r="H1155" s="1">
        <v>3744</v>
      </c>
      <c r="I1155" s="1">
        <v>0</v>
      </c>
      <c r="J1155" s="1">
        <v>152</v>
      </c>
      <c r="K1155" s="1">
        <f t="shared" si="232"/>
        <v>0</v>
      </c>
      <c r="L1155" s="1">
        <f t="shared" si="236"/>
        <v>1.3263461538461536</v>
      </c>
      <c r="M1155" s="1">
        <f t="shared" si="237"/>
        <v>1.3263461538461536</v>
      </c>
      <c r="N1155" s="2">
        <f t="shared" si="238"/>
        <v>12.666376685515445</v>
      </c>
      <c r="O1155" s="1">
        <v>455</v>
      </c>
      <c r="P1155" s="1">
        <f t="shared" si="239"/>
        <v>1417</v>
      </c>
      <c r="Q1155" s="1">
        <f t="shared" si="240"/>
        <v>4.9256845026355203</v>
      </c>
      <c r="R1155" s="1">
        <f t="shared" si="241"/>
        <v>3.7284695193560533</v>
      </c>
      <c r="S1155" s="2">
        <f t="shared" si="242"/>
        <v>16.40229841793478</v>
      </c>
      <c r="T1155" s="2">
        <f t="shared" si="243"/>
        <v>0.28627411228761884</v>
      </c>
      <c r="U1155" s="1" t="s">
        <v>2507</v>
      </c>
      <c r="V1155" s="6" t="s">
        <v>2505</v>
      </c>
    </row>
    <row r="1156" spans="1:24" ht="14.25" customHeight="1" x14ac:dyDescent="0.3">
      <c r="A1156" s="1" t="s">
        <v>40</v>
      </c>
      <c r="B1156" s="1" t="s">
        <v>70</v>
      </c>
      <c r="C1156" s="1" t="s">
        <v>71</v>
      </c>
      <c r="D1156" s="1">
        <f t="shared" si="233"/>
        <v>8</v>
      </c>
      <c r="E1156" s="1">
        <f t="shared" si="234"/>
        <v>0.99253472222222217</v>
      </c>
      <c r="F1156" s="2">
        <f t="shared" si="235"/>
        <v>51.511792987968924</v>
      </c>
      <c r="G1156" s="1">
        <v>2080</v>
      </c>
      <c r="H1156" s="1">
        <v>3744</v>
      </c>
      <c r="I1156" s="1">
        <v>0</v>
      </c>
      <c r="J1156" s="1">
        <v>129</v>
      </c>
      <c r="K1156" s="1">
        <f t="shared" si="232"/>
        <v>0</v>
      </c>
      <c r="L1156" s="1">
        <f t="shared" si="236"/>
        <v>1.1256490384615385</v>
      </c>
      <c r="M1156" s="1">
        <f t="shared" si="237"/>
        <v>1.1256490384615385</v>
      </c>
      <c r="N1156" s="2">
        <f t="shared" si="238"/>
        <v>14.924722916266257</v>
      </c>
      <c r="O1156" s="1">
        <v>455</v>
      </c>
      <c r="P1156" s="1">
        <f t="shared" si="239"/>
        <v>1417</v>
      </c>
      <c r="Q1156" s="1">
        <f t="shared" si="240"/>
        <v>5.8039073209348757</v>
      </c>
      <c r="R1156" s="1">
        <f t="shared" si="241"/>
        <v>4.3932354026520937</v>
      </c>
      <c r="S1156" s="2">
        <f t="shared" si="242"/>
        <v>16.402298417934787</v>
      </c>
      <c r="T1156" s="2">
        <f t="shared" si="243"/>
        <v>0.28627411228761895</v>
      </c>
      <c r="U1156" s="1" t="s">
        <v>2507</v>
      </c>
      <c r="V1156" s="6" t="s">
        <v>2505</v>
      </c>
    </row>
    <row r="1157" spans="1:24" ht="14.25" customHeight="1" x14ac:dyDescent="0.3">
      <c r="A1157" s="1" t="s">
        <v>17</v>
      </c>
      <c r="B1157" s="1" t="s">
        <v>2269</v>
      </c>
      <c r="C1157" s="1" t="s">
        <v>2270</v>
      </c>
      <c r="D1157" s="1">
        <f t="shared" si="233"/>
        <v>36</v>
      </c>
      <c r="E1157" s="1">
        <f t="shared" si="234"/>
        <v>0.45743055555555556</v>
      </c>
      <c r="F1157" s="2">
        <f t="shared" si="235"/>
        <v>224.07882295118674</v>
      </c>
      <c r="G1157" s="1">
        <v>2080</v>
      </c>
      <c r="H1157" s="1">
        <v>3744</v>
      </c>
      <c r="I1157" s="1">
        <v>0</v>
      </c>
      <c r="J1157" s="1">
        <v>145</v>
      </c>
      <c r="K1157" s="1">
        <f t="shared" si="232"/>
        <v>0</v>
      </c>
      <c r="L1157" s="1">
        <f t="shared" si="236"/>
        <v>1.265264423076923</v>
      </c>
      <c r="M1157" s="1">
        <f t="shared" si="237"/>
        <v>1.265264423076923</v>
      </c>
      <c r="N1157" s="2">
        <f t="shared" si="238"/>
        <v>13.277856939298948</v>
      </c>
      <c r="O1157" s="1">
        <v>454</v>
      </c>
      <c r="P1157" s="1">
        <f t="shared" si="239"/>
        <v>1418</v>
      </c>
      <c r="Q1157" s="1">
        <f t="shared" si="240"/>
        <v>5.1634761682799937</v>
      </c>
      <c r="R1157" s="1">
        <f t="shared" si="241"/>
        <v>3.9112228667847386</v>
      </c>
      <c r="S1157" s="2">
        <f t="shared" si="242"/>
        <v>16.413251032951312</v>
      </c>
      <c r="T1157" s="2">
        <f t="shared" si="243"/>
        <v>0.28646527148136069</v>
      </c>
      <c r="U1157" s="1" t="s">
        <v>2507</v>
      </c>
      <c r="V1157" s="6" t="s">
        <v>2505</v>
      </c>
    </row>
    <row r="1158" spans="1:24" ht="14.25" customHeight="1" x14ac:dyDescent="0.3">
      <c r="A1158" s="1" t="s">
        <v>27</v>
      </c>
      <c r="B1158" s="1" t="s">
        <v>2271</v>
      </c>
      <c r="C1158" s="1" t="s">
        <v>2272</v>
      </c>
      <c r="D1158" s="1">
        <f t="shared" si="233"/>
        <v>34</v>
      </c>
      <c r="E1158" s="1">
        <f t="shared" si="234"/>
        <v>0.10115740740740742</v>
      </c>
      <c r="F1158" s="2">
        <f t="shared" si="235"/>
        <v>209.27392212704052</v>
      </c>
      <c r="G1158" s="1">
        <v>2080</v>
      </c>
      <c r="H1158" s="1">
        <v>3744</v>
      </c>
      <c r="I1158" s="1">
        <v>0</v>
      </c>
      <c r="J1158" s="1">
        <v>196</v>
      </c>
      <c r="K1158" s="1">
        <f t="shared" si="232"/>
        <v>0</v>
      </c>
      <c r="L1158" s="1">
        <f t="shared" si="236"/>
        <v>1.7102884615384613</v>
      </c>
      <c r="M1158" s="1">
        <f t="shared" si="237"/>
        <v>1.7102884615384613</v>
      </c>
      <c r="N1158" s="2">
        <f t="shared" si="238"/>
        <v>9.8229043683589161</v>
      </c>
      <c r="O1158" s="1">
        <v>448</v>
      </c>
      <c r="P1158" s="1">
        <f t="shared" si="239"/>
        <v>1424</v>
      </c>
      <c r="Q1158" s="1">
        <f t="shared" si="240"/>
        <v>3.8199185938806077</v>
      </c>
      <c r="R1158" s="1">
        <f t="shared" si="241"/>
        <v>2.9057500414989237</v>
      </c>
      <c r="S1158" s="2">
        <f t="shared" si="242"/>
        <v>16.478940802463793</v>
      </c>
      <c r="T1158" s="2">
        <f t="shared" si="243"/>
        <v>0.28761177424422968</v>
      </c>
      <c r="U1158" s="1" t="s">
        <v>2507</v>
      </c>
      <c r="V1158" s="6" t="s">
        <v>2505</v>
      </c>
    </row>
    <row r="1159" spans="1:24" ht="14.25" customHeight="1" x14ac:dyDescent="0.3">
      <c r="A1159" s="1" t="s">
        <v>17</v>
      </c>
      <c r="B1159" s="1" t="s">
        <v>2273</v>
      </c>
      <c r="C1159" s="1" t="s">
        <v>2274</v>
      </c>
      <c r="D1159" s="1">
        <f t="shared" si="233"/>
        <v>62</v>
      </c>
      <c r="E1159" s="1">
        <f t="shared" si="234"/>
        <v>0.36283564814814812</v>
      </c>
      <c r="F1159" s="2">
        <f t="shared" si="235"/>
        <v>386.8472836054998</v>
      </c>
      <c r="G1159" s="1">
        <v>2080</v>
      </c>
      <c r="H1159" s="1">
        <v>3744</v>
      </c>
      <c r="I1159" s="1">
        <v>0</v>
      </c>
      <c r="J1159" s="1">
        <v>190</v>
      </c>
      <c r="K1159" s="1">
        <f t="shared" si="232"/>
        <v>0</v>
      </c>
      <c r="L1159" s="1">
        <f t="shared" si="236"/>
        <v>1.657932692307692</v>
      </c>
      <c r="M1159" s="1">
        <f t="shared" si="237"/>
        <v>1.657932692307692</v>
      </c>
      <c r="N1159" s="2">
        <f t="shared" si="238"/>
        <v>10.133101348412355</v>
      </c>
      <c r="O1159" s="1">
        <v>442</v>
      </c>
      <c r="P1159" s="1">
        <f t="shared" si="239"/>
        <v>1430</v>
      </c>
      <c r="Q1159" s="1">
        <f t="shared" si="240"/>
        <v>3.940547602108416</v>
      </c>
      <c r="R1159" s="1">
        <f t="shared" si="241"/>
        <v>3.010140529388373</v>
      </c>
      <c r="S1159" s="2">
        <f t="shared" si="242"/>
        <v>16.544586044661791</v>
      </c>
      <c r="T1159" s="2">
        <f t="shared" si="243"/>
        <v>0.28875749985885385</v>
      </c>
      <c r="U1159" s="1" t="s">
        <v>2507</v>
      </c>
      <c r="V1159" s="6" t="s">
        <v>2505</v>
      </c>
    </row>
    <row r="1160" spans="1:24" ht="14.25" customHeight="1" x14ac:dyDescent="0.3">
      <c r="A1160" s="1" t="s">
        <v>17</v>
      </c>
      <c r="B1160" s="1" t="s">
        <v>2206</v>
      </c>
      <c r="C1160" s="1" t="s">
        <v>2207</v>
      </c>
      <c r="D1160" s="1">
        <f t="shared" si="233"/>
        <v>54</v>
      </c>
      <c r="E1160" s="1">
        <f t="shared" si="234"/>
        <v>1.4178240740740741E-2</v>
      </c>
      <c r="F1160" s="2">
        <f t="shared" si="235"/>
        <v>334.39112204860157</v>
      </c>
      <c r="G1160" s="1">
        <v>2080</v>
      </c>
      <c r="H1160" s="1">
        <v>3744</v>
      </c>
      <c r="I1160" s="1">
        <v>0</v>
      </c>
      <c r="J1160" s="1">
        <v>285</v>
      </c>
      <c r="K1160" s="1">
        <f t="shared" si="232"/>
        <v>0</v>
      </c>
      <c r="L1160" s="1">
        <f t="shared" si="236"/>
        <v>2.4868990384615386</v>
      </c>
      <c r="M1160" s="1">
        <f t="shared" si="237"/>
        <v>2.4868990384615386</v>
      </c>
      <c r="N1160" s="2">
        <f t="shared" si="238"/>
        <v>6.755400898941569</v>
      </c>
      <c r="O1160" s="1">
        <v>439</v>
      </c>
      <c r="P1160" s="1">
        <f t="shared" si="239"/>
        <v>1433</v>
      </c>
      <c r="Q1160" s="1">
        <f t="shared" si="240"/>
        <v>2.6270317347389436</v>
      </c>
      <c r="R1160" s="1">
        <f t="shared" si="241"/>
        <v>2.0109703396799712</v>
      </c>
      <c r="S1160" s="2">
        <f t="shared" si="242"/>
        <v>16.577391928333654</v>
      </c>
      <c r="T1160" s="2">
        <f t="shared" si="243"/>
        <v>0.28933007054295412</v>
      </c>
      <c r="U1160" s="1" t="s">
        <v>2507</v>
      </c>
      <c r="V1160" s="6" t="s">
        <v>2505</v>
      </c>
    </row>
    <row r="1161" spans="1:24" ht="14.25" customHeight="1" x14ac:dyDescent="0.3">
      <c r="A1161" s="1" t="s">
        <v>40</v>
      </c>
      <c r="B1161" s="1" t="s">
        <v>2275</v>
      </c>
      <c r="C1161" s="1" t="s">
        <v>2276</v>
      </c>
      <c r="D1161" s="1">
        <f t="shared" si="233"/>
        <v>72</v>
      </c>
      <c r="E1161" s="1">
        <f t="shared" si="234"/>
        <v>0.77547453703703706</v>
      </c>
      <c r="F1161" s="2">
        <f t="shared" si="235"/>
        <v>452.27182328113327</v>
      </c>
      <c r="G1161" s="1">
        <v>2080</v>
      </c>
      <c r="H1161" s="1">
        <v>3744</v>
      </c>
      <c r="I1161" s="1">
        <v>0</v>
      </c>
      <c r="J1161" s="1">
        <v>248</v>
      </c>
      <c r="K1161" s="1">
        <f t="shared" si="232"/>
        <v>0</v>
      </c>
      <c r="L1161" s="1">
        <f t="shared" si="236"/>
        <v>2.1640384615384614</v>
      </c>
      <c r="M1161" s="1">
        <f t="shared" si="237"/>
        <v>2.1640384615384614</v>
      </c>
      <c r="N1161" s="2">
        <f t="shared" si="238"/>
        <v>7.7632631298320458</v>
      </c>
      <c r="O1161" s="1">
        <v>433</v>
      </c>
      <c r="P1161" s="1">
        <f t="shared" si="239"/>
        <v>1439</v>
      </c>
      <c r="Q1161" s="1">
        <f t="shared" si="240"/>
        <v>3.0189679209701574</v>
      </c>
      <c r="R1161" s="1">
        <f t="shared" si="241"/>
        <v>2.3206703195919105</v>
      </c>
      <c r="S1161" s="2">
        <f t="shared" si="242"/>
        <v>16.642970141805126</v>
      </c>
      <c r="T1161" s="2">
        <f t="shared" si="243"/>
        <v>0.290474626285607</v>
      </c>
      <c r="U1161" s="1" t="s">
        <v>2507</v>
      </c>
      <c r="V1161" s="6" t="s">
        <v>2505</v>
      </c>
    </row>
    <row r="1162" spans="1:24" ht="14.25" customHeight="1" x14ac:dyDescent="0.3">
      <c r="A1162" s="1" t="s">
        <v>17</v>
      </c>
      <c r="B1162" s="1" t="s">
        <v>2277</v>
      </c>
      <c r="C1162" s="1" t="s">
        <v>2278</v>
      </c>
      <c r="D1162" s="1">
        <f t="shared" si="233"/>
        <v>75</v>
      </c>
      <c r="E1162" s="1">
        <f t="shared" si="234"/>
        <v>0.91065972222222225</v>
      </c>
      <c r="F1162" s="2">
        <f t="shared" si="235"/>
        <v>471.97077277197587</v>
      </c>
      <c r="G1162" s="1">
        <v>2080</v>
      </c>
      <c r="H1162" s="1">
        <v>3744</v>
      </c>
      <c r="I1162" s="1">
        <v>0</v>
      </c>
      <c r="J1162" s="1">
        <v>198</v>
      </c>
      <c r="K1162" s="1">
        <f t="shared" si="232"/>
        <v>0</v>
      </c>
      <c r="L1162" s="1">
        <f t="shared" si="236"/>
        <v>1.7277403846153845</v>
      </c>
      <c r="M1162" s="1">
        <f t="shared" si="237"/>
        <v>1.7277403846153845</v>
      </c>
      <c r="N1162" s="2">
        <f t="shared" si="238"/>
        <v>9.723683112112866</v>
      </c>
      <c r="O1162" s="1">
        <v>424</v>
      </c>
      <c r="P1162" s="1">
        <f t="shared" si="239"/>
        <v>1448</v>
      </c>
      <c r="Q1162" s="1">
        <f t="shared" si="240"/>
        <v>3.7813335575787832</v>
      </c>
      <c r="R1162" s="1">
        <f t="shared" si="241"/>
        <v>2.9248776663323066</v>
      </c>
      <c r="S1162" s="2">
        <f t="shared" si="242"/>
        <v>16.741253341480071</v>
      </c>
      <c r="T1162" s="2">
        <f t="shared" si="243"/>
        <v>0.29218999171932986</v>
      </c>
      <c r="U1162" s="1" t="s">
        <v>2507</v>
      </c>
      <c r="V1162" s="6" t="s">
        <v>2505</v>
      </c>
    </row>
    <row r="1163" spans="1:24" ht="14.25" customHeight="1" x14ac:dyDescent="0.3">
      <c r="A1163" s="1" t="s">
        <v>27</v>
      </c>
      <c r="B1163" s="1" t="s">
        <v>2279</v>
      </c>
      <c r="C1163" s="1" t="s">
        <v>2280</v>
      </c>
      <c r="D1163" s="1">
        <f t="shared" si="233"/>
        <v>76</v>
      </c>
      <c r="E1163" s="1">
        <f t="shared" si="234"/>
        <v>0.80262731481481486</v>
      </c>
      <c r="F1163" s="2">
        <f t="shared" si="235"/>
        <v>477.575170444234</v>
      </c>
      <c r="G1163" s="1">
        <v>2080</v>
      </c>
      <c r="H1163" s="1">
        <v>3744</v>
      </c>
      <c r="I1163" s="1">
        <v>0</v>
      </c>
      <c r="J1163" s="1">
        <v>192</v>
      </c>
      <c r="K1163" s="1">
        <f t="shared" si="232"/>
        <v>0</v>
      </c>
      <c r="L1163" s="1">
        <f t="shared" si="236"/>
        <v>1.6753846153846153</v>
      </c>
      <c r="M1163" s="1">
        <f t="shared" si="237"/>
        <v>1.6753846153846153</v>
      </c>
      <c r="N1163" s="2">
        <f t="shared" si="238"/>
        <v>10.027548209366392</v>
      </c>
      <c r="O1163" s="1">
        <v>1453</v>
      </c>
      <c r="P1163" s="1">
        <v>1448</v>
      </c>
      <c r="Q1163" s="1">
        <f t="shared" si="240"/>
        <v>3.89950023125312</v>
      </c>
      <c r="R1163" s="1">
        <f t="shared" si="241"/>
        <v>3.0162800934051912</v>
      </c>
      <c r="S1163" s="2">
        <f t="shared" si="242"/>
        <v>16.741253341480071</v>
      </c>
      <c r="T1163" s="2">
        <f t="shared" si="243"/>
        <v>0.29218999171932986</v>
      </c>
      <c r="U1163" s="1" t="s">
        <v>2507</v>
      </c>
      <c r="V1163" s="6" t="s">
        <v>2505</v>
      </c>
    </row>
    <row r="1164" spans="1:24" ht="14.25" customHeight="1" x14ac:dyDescent="0.3">
      <c r="A1164" s="1" t="s">
        <v>17</v>
      </c>
      <c r="B1164" s="1" t="s">
        <v>2281</v>
      </c>
      <c r="C1164" s="1" t="s">
        <v>2282</v>
      </c>
      <c r="D1164" s="1">
        <f t="shared" si="233"/>
        <v>53</v>
      </c>
      <c r="E1164" s="1">
        <f t="shared" si="234"/>
        <v>0.88372685185185185</v>
      </c>
      <c r="F1164" s="2">
        <f t="shared" si="235"/>
        <v>333.57147179863375</v>
      </c>
      <c r="G1164" s="1">
        <v>2080</v>
      </c>
      <c r="H1164" s="1">
        <v>3744</v>
      </c>
      <c r="I1164" s="1">
        <v>0</v>
      </c>
      <c r="J1164" s="1">
        <v>369</v>
      </c>
      <c r="K1164" s="1">
        <f t="shared" si="232"/>
        <v>0</v>
      </c>
      <c r="L1164" s="1">
        <f t="shared" si="236"/>
        <v>3.2198798076923074</v>
      </c>
      <c r="M1164" s="1">
        <f t="shared" si="237"/>
        <v>3.2198798076923074</v>
      </c>
      <c r="N1164" s="2">
        <f t="shared" si="238"/>
        <v>5.2175860601581228</v>
      </c>
      <c r="O1164" s="1">
        <v>411</v>
      </c>
      <c r="P1164" s="1">
        <f t="shared" ref="P1164:P1195" si="244">H1164/2-O1164</f>
        <v>1461</v>
      </c>
      <c r="Q1164" s="1">
        <f t="shared" si="240"/>
        <v>2.0290082504081273</v>
      </c>
      <c r="R1164" s="1">
        <f t="shared" si="241"/>
        <v>1.5835368877383942</v>
      </c>
      <c r="S1164" s="2">
        <f t="shared" si="242"/>
        <v>16.883038980206326</v>
      </c>
      <c r="T1164" s="2">
        <f t="shared" si="243"/>
        <v>0.29466461794714616</v>
      </c>
      <c r="U1164" s="1" t="s">
        <v>2507</v>
      </c>
      <c r="V1164" s="6" t="s">
        <v>2505</v>
      </c>
    </row>
    <row r="1165" spans="1:24" ht="14.25" customHeight="1" x14ac:dyDescent="0.3">
      <c r="A1165" s="1" t="s">
        <v>27</v>
      </c>
      <c r="B1165" s="1" t="s">
        <v>2283</v>
      </c>
      <c r="C1165" s="1" t="s">
        <v>2284</v>
      </c>
      <c r="D1165" s="1">
        <f t="shared" si="233"/>
        <v>36</v>
      </c>
      <c r="E1165" s="1">
        <f t="shared" si="234"/>
        <v>0.8741782407407408</v>
      </c>
      <c r="F1165" s="2">
        <f t="shared" si="235"/>
        <v>226.69732588354341</v>
      </c>
      <c r="G1165" s="1">
        <v>2080</v>
      </c>
      <c r="H1165" s="1">
        <v>3744</v>
      </c>
      <c r="I1165" s="1">
        <v>0</v>
      </c>
      <c r="J1165" s="1">
        <v>219</v>
      </c>
      <c r="K1165" s="1">
        <f t="shared" si="232"/>
        <v>0</v>
      </c>
      <c r="L1165" s="1">
        <f t="shared" si="236"/>
        <v>1.9109855769230768</v>
      </c>
      <c r="M1165" s="1">
        <f t="shared" si="237"/>
        <v>1.9109855769230768</v>
      </c>
      <c r="N1165" s="2">
        <f t="shared" si="238"/>
        <v>8.7912751424582076</v>
      </c>
      <c r="O1165" s="1">
        <v>405</v>
      </c>
      <c r="P1165" s="1">
        <f t="shared" si="244"/>
        <v>1467</v>
      </c>
      <c r="Q1165" s="1">
        <f t="shared" si="240"/>
        <v>3.4187399287698588</v>
      </c>
      <c r="R1165" s="1">
        <f t="shared" si="241"/>
        <v>2.679108694180226</v>
      </c>
      <c r="S1165" s="2">
        <f t="shared" si="242"/>
        <v>16.948406857359757</v>
      </c>
      <c r="T1165" s="2">
        <f t="shared" si="243"/>
        <v>0.29580550262851268</v>
      </c>
      <c r="U1165" s="1" t="s">
        <v>2507</v>
      </c>
      <c r="V1165" s="6" t="s">
        <v>2505</v>
      </c>
    </row>
    <row r="1166" spans="1:24" ht="14.25" customHeight="1" x14ac:dyDescent="0.3">
      <c r="A1166" s="1" t="s">
        <v>17</v>
      </c>
      <c r="B1166" s="1" t="s">
        <v>2285</v>
      </c>
      <c r="C1166" s="1" t="s">
        <v>2286</v>
      </c>
      <c r="D1166" s="1">
        <f t="shared" si="233"/>
        <v>71</v>
      </c>
      <c r="E1166" s="1">
        <f t="shared" si="234"/>
        <v>7.7581018518518521E-2</v>
      </c>
      <c r="F1166" s="2">
        <f t="shared" si="235"/>
        <v>441.60364367242221</v>
      </c>
      <c r="G1166" s="1">
        <v>2080</v>
      </c>
      <c r="H1166" s="1">
        <v>3744</v>
      </c>
      <c r="I1166" s="1">
        <v>0</v>
      </c>
      <c r="J1166" s="1">
        <v>261</v>
      </c>
      <c r="K1166" s="1">
        <f t="shared" si="232"/>
        <v>0</v>
      </c>
      <c r="L1166" s="1">
        <f t="shared" si="236"/>
        <v>2.2774759615384612</v>
      </c>
      <c r="M1166" s="1">
        <f t="shared" si="237"/>
        <v>2.2774759615384612</v>
      </c>
      <c r="N1166" s="2">
        <f t="shared" si="238"/>
        <v>7.3765871884994159</v>
      </c>
      <c r="O1166" s="1">
        <v>405</v>
      </c>
      <c r="P1166" s="1">
        <f t="shared" si="244"/>
        <v>1467</v>
      </c>
      <c r="Q1166" s="1">
        <f t="shared" si="240"/>
        <v>2.8685978712666631</v>
      </c>
      <c r="R1166" s="1">
        <f t="shared" si="241"/>
        <v>2.2479877548868563</v>
      </c>
      <c r="S1166" s="2">
        <f t="shared" si="242"/>
        <v>16.948406857359757</v>
      </c>
      <c r="T1166" s="2">
        <f t="shared" si="243"/>
        <v>0.29580550262851268</v>
      </c>
      <c r="U1166" s="1" t="s">
        <v>2507</v>
      </c>
      <c r="V1166" s="6" t="s">
        <v>2505</v>
      </c>
    </row>
    <row r="1167" spans="1:24" ht="14.25" customHeight="1" x14ac:dyDescent="0.3">
      <c r="A1167" s="1" t="s">
        <v>40</v>
      </c>
      <c r="B1167" s="1" t="s">
        <v>723</v>
      </c>
      <c r="C1167" s="1" t="s">
        <v>724</v>
      </c>
      <c r="D1167" s="1">
        <f t="shared" si="233"/>
        <v>93</v>
      </c>
      <c r="E1167" s="1">
        <f t="shared" si="234"/>
        <v>0.28043981481481484</v>
      </c>
      <c r="F1167" s="2">
        <f t="shared" si="235"/>
        <v>581.10831983869411</v>
      </c>
      <c r="G1167" s="1">
        <v>2080</v>
      </c>
      <c r="H1167" s="1">
        <v>3744</v>
      </c>
      <c r="I1167" s="1">
        <v>0</v>
      </c>
      <c r="J1167" s="1">
        <v>81</v>
      </c>
      <c r="K1167" s="1">
        <f t="shared" si="232"/>
        <v>0</v>
      </c>
      <c r="L1167" s="1">
        <f t="shared" si="236"/>
        <v>0.70680288461538454</v>
      </c>
      <c r="M1167" s="1">
        <f t="shared" si="237"/>
        <v>0.70680288461538454</v>
      </c>
      <c r="N1167" s="2">
        <f t="shared" si="238"/>
        <v>23.76900316294256</v>
      </c>
      <c r="O1167" s="1">
        <v>405</v>
      </c>
      <c r="P1167" s="1">
        <f t="shared" si="244"/>
        <v>1467</v>
      </c>
      <c r="Q1167" s="1">
        <f t="shared" si="240"/>
        <v>9.2432598074148036</v>
      </c>
      <c r="R1167" s="1">
        <f t="shared" si="241"/>
        <v>7.2435160990798702</v>
      </c>
      <c r="S1167" s="2">
        <f t="shared" si="242"/>
        <v>16.948406857359757</v>
      </c>
      <c r="T1167" s="2">
        <f t="shared" si="243"/>
        <v>0.29580550262851268</v>
      </c>
      <c r="U1167" s="1" t="s">
        <v>2507</v>
      </c>
      <c r="V1167" s="6" t="s">
        <v>2505</v>
      </c>
      <c r="W1167" s="3"/>
      <c r="X1167" s="3"/>
    </row>
    <row r="1168" spans="1:24" ht="14.25" customHeight="1" x14ac:dyDescent="0.3">
      <c r="A1168" s="1" t="s">
        <v>27</v>
      </c>
      <c r="B1168" s="1" t="s">
        <v>2287</v>
      </c>
      <c r="C1168" s="1" t="s">
        <v>2288</v>
      </c>
      <c r="D1168" s="1">
        <f t="shared" si="233"/>
        <v>54</v>
      </c>
      <c r="E1168" s="1">
        <f t="shared" si="234"/>
        <v>0.18127314814814813</v>
      </c>
      <c r="F1168" s="2">
        <f t="shared" si="235"/>
        <v>335.44101031572831</v>
      </c>
      <c r="G1168" s="1">
        <v>2080</v>
      </c>
      <c r="H1168" s="1">
        <v>3744</v>
      </c>
      <c r="I1168" s="1">
        <v>0</v>
      </c>
      <c r="J1168" s="1">
        <v>185</v>
      </c>
      <c r="K1168" s="1">
        <f t="shared" si="232"/>
        <v>0</v>
      </c>
      <c r="L1168" s="1">
        <f t="shared" si="236"/>
        <v>1.6143028846153844</v>
      </c>
      <c r="M1168" s="1">
        <f t="shared" si="237"/>
        <v>1.6143028846153844</v>
      </c>
      <c r="N1168" s="2">
        <f t="shared" si="238"/>
        <v>10.406968952423499</v>
      </c>
      <c r="O1168" s="1">
        <v>402</v>
      </c>
      <c r="P1168" s="1">
        <f t="shared" si="244"/>
        <v>1470</v>
      </c>
      <c r="Q1168" s="1">
        <f t="shared" si="240"/>
        <v>4.0470488886518865</v>
      </c>
      <c r="R1168" s="1">
        <f t="shared" si="241"/>
        <v>3.1779710824349747</v>
      </c>
      <c r="S1168" s="2">
        <f t="shared" si="242"/>
        <v>16.981073770100277</v>
      </c>
      <c r="T1168" s="2">
        <f t="shared" si="243"/>
        <v>0.29637564781229647</v>
      </c>
      <c r="U1168" s="1" t="s">
        <v>2507</v>
      </c>
      <c r="V1168" s="6" t="s">
        <v>2505</v>
      </c>
    </row>
    <row r="1169" spans="1:24" ht="14.25" customHeight="1" x14ac:dyDescent="0.3">
      <c r="A1169" s="1" t="s">
        <v>40</v>
      </c>
      <c r="B1169" s="1" t="s">
        <v>2289</v>
      </c>
      <c r="C1169" s="1" t="s">
        <v>2290</v>
      </c>
      <c r="D1169" s="1">
        <f t="shared" si="233"/>
        <v>92</v>
      </c>
      <c r="E1169" s="1">
        <f t="shared" si="234"/>
        <v>4.6678240740740735E-2</v>
      </c>
      <c r="F1169" s="2">
        <f t="shared" si="235"/>
        <v>573.35636724390918</v>
      </c>
      <c r="G1169" s="1">
        <v>2080</v>
      </c>
      <c r="H1169" s="1">
        <v>3744</v>
      </c>
      <c r="I1169" s="1">
        <v>0</v>
      </c>
      <c r="J1169" s="1">
        <v>139</v>
      </c>
      <c r="K1169" s="1">
        <f t="shared" si="232"/>
        <v>0</v>
      </c>
      <c r="L1169" s="1">
        <f t="shared" si="236"/>
        <v>1.2129086538461538</v>
      </c>
      <c r="M1169" s="1">
        <f t="shared" si="237"/>
        <v>1.2129086538461538</v>
      </c>
      <c r="N1169" s="2">
        <f t="shared" si="238"/>
        <v>13.851001843153577</v>
      </c>
      <c r="O1169" s="1">
        <v>397</v>
      </c>
      <c r="P1169" s="1">
        <f t="shared" si="244"/>
        <v>1475</v>
      </c>
      <c r="Q1169" s="1">
        <f t="shared" si="240"/>
        <v>5.3863600316589855</v>
      </c>
      <c r="R1169" s="1">
        <f t="shared" si="241"/>
        <v>4.2440603881928434</v>
      </c>
      <c r="S1169" s="2">
        <f t="shared" si="242"/>
        <v>17.035493348276642</v>
      </c>
      <c r="T1169" s="2">
        <f t="shared" si="243"/>
        <v>0.29732544862902049</v>
      </c>
      <c r="U1169" s="1" t="s">
        <v>2507</v>
      </c>
      <c r="V1169" s="6" t="s">
        <v>2505</v>
      </c>
    </row>
    <row r="1170" spans="1:24" ht="14.25" customHeight="1" x14ac:dyDescent="0.3">
      <c r="A1170" s="1" t="s">
        <v>27</v>
      </c>
      <c r="B1170" s="1" t="s">
        <v>2291</v>
      </c>
      <c r="C1170" s="1" t="s">
        <v>2292</v>
      </c>
      <c r="D1170" s="1">
        <f t="shared" si="233"/>
        <v>33</v>
      </c>
      <c r="E1170" s="1">
        <f t="shared" si="234"/>
        <v>0.27090277777777777</v>
      </c>
      <c r="F1170" s="2">
        <f t="shared" si="235"/>
        <v>204.05727843693381</v>
      </c>
      <c r="G1170" s="1">
        <v>2080</v>
      </c>
      <c r="H1170" s="1">
        <v>3744</v>
      </c>
      <c r="I1170" s="1">
        <v>0</v>
      </c>
      <c r="J1170" s="1">
        <v>168</v>
      </c>
      <c r="K1170" s="1">
        <f t="shared" si="232"/>
        <v>0</v>
      </c>
      <c r="L1170" s="1">
        <f t="shared" si="236"/>
        <v>1.4659615384615383</v>
      </c>
      <c r="M1170" s="1">
        <f t="shared" si="237"/>
        <v>1.4659615384615383</v>
      </c>
      <c r="N1170" s="2">
        <f t="shared" si="238"/>
        <v>11.460055096418735</v>
      </c>
      <c r="O1170" s="1">
        <v>393</v>
      </c>
      <c r="P1170" s="1">
        <f t="shared" si="244"/>
        <v>1479</v>
      </c>
      <c r="Q1170" s="1">
        <f t="shared" si="240"/>
        <v>4.4565716928607086</v>
      </c>
      <c r="R1170" s="1">
        <f t="shared" si="241"/>
        <v>3.5209773150325789</v>
      </c>
      <c r="S1170" s="2">
        <f t="shared" si="242"/>
        <v>17.079006221394661</v>
      </c>
      <c r="T1170" s="2">
        <f t="shared" si="243"/>
        <v>0.29808489153193246</v>
      </c>
      <c r="U1170" s="1" t="s">
        <v>2507</v>
      </c>
      <c r="V1170" s="6" t="s">
        <v>2505</v>
      </c>
    </row>
    <row r="1171" spans="1:24" ht="14.25" customHeight="1" x14ac:dyDescent="0.3">
      <c r="A1171" s="1" t="s">
        <v>82</v>
      </c>
      <c r="B1171" s="1" t="s">
        <v>1306</v>
      </c>
      <c r="C1171" s="4" t="s">
        <v>1307</v>
      </c>
      <c r="D1171" s="1">
        <f t="shared" si="233"/>
        <v>44</v>
      </c>
      <c r="E1171" s="1">
        <f t="shared" si="234"/>
        <v>0.98165509259259265</v>
      </c>
      <c r="F1171" s="2">
        <f t="shared" si="235"/>
        <v>277.63810531739756</v>
      </c>
      <c r="G1171" s="1">
        <v>2080</v>
      </c>
      <c r="H1171" s="1">
        <v>3744</v>
      </c>
      <c r="I1171" s="1">
        <v>0</v>
      </c>
      <c r="J1171" s="1">
        <v>154</v>
      </c>
      <c r="K1171" s="1">
        <f t="shared" si="232"/>
        <v>0</v>
      </c>
      <c r="L1171" s="1">
        <f t="shared" si="236"/>
        <v>1.3437980769230768</v>
      </c>
      <c r="M1171" s="1">
        <f t="shared" si="237"/>
        <v>1.3437980769230768</v>
      </c>
      <c r="N1171" s="2">
        <f t="shared" si="238"/>
        <v>12.501878287002254</v>
      </c>
      <c r="O1171" s="1">
        <v>387</v>
      </c>
      <c r="P1171" s="1">
        <f t="shared" si="244"/>
        <v>1485</v>
      </c>
      <c r="Q1171" s="1">
        <f t="shared" si="240"/>
        <v>4.8617145740298637</v>
      </c>
      <c r="R1171" s="1">
        <f t="shared" si="241"/>
        <v>3.8566485803602282</v>
      </c>
      <c r="S1171" s="2">
        <f t="shared" si="242"/>
        <v>17.144237464303796</v>
      </c>
      <c r="T1171" s="2">
        <f t="shared" si="243"/>
        <v>0.29922339149586508</v>
      </c>
      <c r="U1171" s="1" t="s">
        <v>2507</v>
      </c>
      <c r="V1171" s="6" t="s">
        <v>2505</v>
      </c>
      <c r="W1171" s="1" t="s">
        <v>2293</v>
      </c>
      <c r="X1171" s="1">
        <v>70</v>
      </c>
    </row>
    <row r="1172" spans="1:24" ht="13.5" customHeight="1" x14ac:dyDescent="0.3">
      <c r="A1172" s="1" t="s">
        <v>40</v>
      </c>
      <c r="B1172" s="1" t="s">
        <v>455</v>
      </c>
      <c r="C1172" s="1" t="s">
        <v>456</v>
      </c>
      <c r="D1172" s="1">
        <f t="shared" si="233"/>
        <v>93</v>
      </c>
      <c r="E1172" s="1">
        <f t="shared" si="234"/>
        <v>0.28042824074074074</v>
      </c>
      <c r="F1172" s="2">
        <f t="shared" si="235"/>
        <v>581.10824711664202</v>
      </c>
      <c r="G1172" s="1">
        <v>2080</v>
      </c>
      <c r="H1172" s="1">
        <v>3744</v>
      </c>
      <c r="I1172" s="1">
        <v>0</v>
      </c>
      <c r="J1172" s="1">
        <v>85</v>
      </c>
      <c r="K1172" s="1">
        <f t="shared" si="232"/>
        <v>0</v>
      </c>
      <c r="L1172" s="1">
        <f t="shared" si="236"/>
        <v>0.74170673076923066</v>
      </c>
      <c r="M1172" s="1">
        <f t="shared" si="237"/>
        <v>0.74170673076923066</v>
      </c>
      <c r="N1172" s="2">
        <f t="shared" si="238"/>
        <v>22.650461837627617</v>
      </c>
      <c r="O1172" s="1">
        <v>382</v>
      </c>
      <c r="P1172" s="1">
        <f t="shared" si="244"/>
        <v>1490</v>
      </c>
      <c r="Q1172" s="1">
        <f t="shared" si="240"/>
        <v>8.808282875301165</v>
      </c>
      <c r="R1172" s="1">
        <f t="shared" si="241"/>
        <v>7.010866177456589</v>
      </c>
      <c r="S1172" s="2">
        <f t="shared" si="242"/>
        <v>17.198561861835895</v>
      </c>
      <c r="T1172" s="2">
        <f t="shared" si="243"/>
        <v>0.30017153109696249</v>
      </c>
      <c r="U1172" s="1" t="s">
        <v>2507</v>
      </c>
      <c r="V1172" s="6" t="s">
        <v>2505</v>
      </c>
      <c r="W1172" s="3"/>
      <c r="X1172" s="3"/>
    </row>
    <row r="1173" spans="1:24" ht="13.5" customHeight="1" x14ac:dyDescent="0.3">
      <c r="A1173" s="1" t="s">
        <v>27</v>
      </c>
      <c r="B1173" s="1" t="s">
        <v>629</v>
      </c>
      <c r="C1173" s="1" t="s">
        <v>630</v>
      </c>
      <c r="D1173" s="1">
        <f t="shared" si="233"/>
        <v>36</v>
      </c>
      <c r="E1173" s="1">
        <f t="shared" si="234"/>
        <v>0.27358796296296295</v>
      </c>
      <c r="F1173" s="2">
        <f t="shared" si="235"/>
        <v>222.92370587457518</v>
      </c>
      <c r="G1173" s="1">
        <v>2080</v>
      </c>
      <c r="H1173" s="1">
        <v>3744</v>
      </c>
      <c r="I1173" s="1">
        <v>0</v>
      </c>
      <c r="J1173" s="1">
        <v>152</v>
      </c>
      <c r="K1173" s="1">
        <f t="shared" si="232"/>
        <v>0</v>
      </c>
      <c r="L1173" s="1">
        <f t="shared" si="236"/>
        <v>1.3263461538461536</v>
      </c>
      <c r="M1173" s="1">
        <f t="shared" si="237"/>
        <v>1.3263461538461536</v>
      </c>
      <c r="N1173" s="2">
        <f t="shared" si="238"/>
        <v>12.666376685515445</v>
      </c>
      <c r="O1173" s="1">
        <v>379</v>
      </c>
      <c r="P1173" s="1">
        <f t="shared" si="244"/>
        <v>1493</v>
      </c>
      <c r="Q1173" s="1">
        <f t="shared" si="240"/>
        <v>4.9256845026355203</v>
      </c>
      <c r="R1173" s="1">
        <f t="shared" si="241"/>
        <v>3.9284438901895471</v>
      </c>
      <c r="S1173" s="2">
        <f t="shared" si="242"/>
        <v>17.231141208794984</v>
      </c>
      <c r="T1173" s="2">
        <f t="shared" si="243"/>
        <v>0.30074014796954818</v>
      </c>
      <c r="U1173" s="1" t="s">
        <v>2507</v>
      </c>
      <c r="V1173" s="6" t="s">
        <v>2505</v>
      </c>
    </row>
    <row r="1174" spans="1:24" ht="13.5" customHeight="1" x14ac:dyDescent="0.3">
      <c r="A1174" s="1" t="s">
        <v>27</v>
      </c>
      <c r="B1174" s="1" t="s">
        <v>2294</v>
      </c>
      <c r="C1174" s="1" t="s">
        <v>2295</v>
      </c>
      <c r="D1174" s="1">
        <f t="shared" si="233"/>
        <v>55</v>
      </c>
      <c r="E1174" s="1">
        <f t="shared" si="234"/>
        <v>0.78284722222222225</v>
      </c>
      <c r="F1174" s="2">
        <f t="shared" si="235"/>
        <v>345.50399700631027</v>
      </c>
      <c r="G1174" s="1">
        <v>2080</v>
      </c>
      <c r="H1174" s="1">
        <v>3744</v>
      </c>
      <c r="I1174" s="1">
        <v>0</v>
      </c>
      <c r="J1174" s="1">
        <v>114</v>
      </c>
      <c r="K1174" s="1">
        <f t="shared" si="232"/>
        <v>0</v>
      </c>
      <c r="L1174" s="1">
        <f t="shared" si="236"/>
        <v>0.99475961538461533</v>
      </c>
      <c r="M1174" s="1">
        <f t="shared" si="237"/>
        <v>0.99475961538461533</v>
      </c>
      <c r="N1174" s="2">
        <f t="shared" si="238"/>
        <v>16.888502247353923</v>
      </c>
      <c r="O1174" s="1">
        <v>370</v>
      </c>
      <c r="P1174" s="1">
        <f t="shared" si="244"/>
        <v>1502</v>
      </c>
      <c r="Q1174" s="1">
        <f t="shared" si="240"/>
        <v>6.5675793368473592</v>
      </c>
      <c r="R1174" s="1">
        <f t="shared" si="241"/>
        <v>5.269500087577315</v>
      </c>
      <c r="S1174" s="2">
        <f t="shared" si="242"/>
        <v>17.328810267802115</v>
      </c>
      <c r="T1174" s="2">
        <f t="shared" si="243"/>
        <v>0.30244479462654722</v>
      </c>
      <c r="U1174" s="1" t="s">
        <v>2507</v>
      </c>
      <c r="V1174" s="6" t="s">
        <v>2505</v>
      </c>
    </row>
    <row r="1175" spans="1:24" ht="14.25" customHeight="1" x14ac:dyDescent="0.3">
      <c r="A1175" s="1" t="s">
        <v>40</v>
      </c>
      <c r="B1175" s="1" t="s">
        <v>2296</v>
      </c>
      <c r="C1175" s="1" t="s">
        <v>2297</v>
      </c>
      <c r="D1175" s="1">
        <f t="shared" si="233"/>
        <v>7</v>
      </c>
      <c r="E1175" s="1">
        <f t="shared" si="234"/>
        <v>0.28879629629629627</v>
      </c>
      <c r="F1175" s="2">
        <f t="shared" si="235"/>
        <v>40.80688874291387</v>
      </c>
      <c r="G1175" s="1">
        <v>2080</v>
      </c>
      <c r="H1175" s="1">
        <v>3744</v>
      </c>
      <c r="I1175" s="1">
        <v>0</v>
      </c>
      <c r="J1175" s="1">
        <v>120</v>
      </c>
      <c r="K1175" s="1">
        <f t="shared" si="232"/>
        <v>0</v>
      </c>
      <c r="L1175" s="1">
        <f t="shared" si="236"/>
        <v>1.0471153846153847</v>
      </c>
      <c r="M1175" s="1">
        <f t="shared" si="237"/>
        <v>1.0471153846153847</v>
      </c>
      <c r="N1175" s="2">
        <f t="shared" si="238"/>
        <v>16.044077134986225</v>
      </c>
      <c r="O1175" s="1">
        <v>369</v>
      </c>
      <c r="P1175" s="1">
        <f t="shared" si="244"/>
        <v>1503</v>
      </c>
      <c r="Q1175" s="1">
        <f t="shared" si="240"/>
        <v>6.2392003700049905</v>
      </c>
      <c r="R1175" s="1">
        <f t="shared" si="241"/>
        <v>5.0093579893790068</v>
      </c>
      <c r="S1175" s="2">
        <f t="shared" si="242"/>
        <v>17.339655986281478</v>
      </c>
      <c r="T1175" s="2">
        <f t="shared" si="243"/>
        <v>0.30263408812375653</v>
      </c>
      <c r="U1175" s="1" t="s">
        <v>2507</v>
      </c>
      <c r="V1175" s="6" t="s">
        <v>2505</v>
      </c>
    </row>
    <row r="1176" spans="1:24" ht="14.25" customHeight="1" x14ac:dyDescent="0.3">
      <c r="A1176" s="1" t="s">
        <v>27</v>
      </c>
      <c r="B1176" s="1" t="s">
        <v>2298</v>
      </c>
      <c r="C1176" s="1" t="s">
        <v>2299</v>
      </c>
      <c r="D1176" s="1">
        <f t="shared" si="233"/>
        <v>54</v>
      </c>
      <c r="E1176" s="1">
        <f t="shared" si="234"/>
        <v>0.18128472222222222</v>
      </c>
      <c r="F1176" s="2">
        <f t="shared" si="235"/>
        <v>335.44108303778046</v>
      </c>
      <c r="G1176" s="1">
        <v>2080</v>
      </c>
      <c r="H1176" s="1">
        <v>3744</v>
      </c>
      <c r="I1176" s="1">
        <v>0</v>
      </c>
      <c r="J1176" s="1">
        <v>162</v>
      </c>
      <c r="K1176" s="1">
        <f t="shared" si="232"/>
        <v>0</v>
      </c>
      <c r="L1176" s="1">
        <f t="shared" si="236"/>
        <v>1.4136057692307691</v>
      </c>
      <c r="M1176" s="1">
        <f t="shared" si="237"/>
        <v>1.4136057692307691</v>
      </c>
      <c r="N1176" s="2">
        <f t="shared" si="238"/>
        <v>11.88450158147128</v>
      </c>
      <c r="O1176" s="1">
        <v>366</v>
      </c>
      <c r="P1176" s="1">
        <f t="shared" si="244"/>
        <v>1506</v>
      </c>
      <c r="Q1176" s="1">
        <f t="shared" si="240"/>
        <v>4.6216299037074018</v>
      </c>
      <c r="R1176" s="1">
        <f t="shared" si="241"/>
        <v>3.7180420058671726</v>
      </c>
      <c r="S1176" s="2">
        <f t="shared" si="242"/>
        <v>17.372185448372097</v>
      </c>
      <c r="T1176" s="2">
        <f t="shared" si="243"/>
        <v>0.30320183434114051</v>
      </c>
      <c r="U1176" s="1" t="s">
        <v>2507</v>
      </c>
      <c r="V1176" s="6" t="s">
        <v>2505</v>
      </c>
    </row>
    <row r="1177" spans="1:24" ht="14.25" customHeight="1" x14ac:dyDescent="0.3">
      <c r="A1177" s="1" t="s">
        <v>40</v>
      </c>
      <c r="B1177" s="1" t="s">
        <v>415</v>
      </c>
      <c r="C1177" s="1" t="s">
        <v>416</v>
      </c>
      <c r="D1177" s="1">
        <f t="shared" si="233"/>
        <v>8</v>
      </c>
      <c r="E1177" s="1">
        <f t="shared" si="234"/>
        <v>9.4513888888888897E-2</v>
      </c>
      <c r="F1177" s="2">
        <f t="shared" si="235"/>
        <v>45.869361682427758</v>
      </c>
      <c r="G1177" s="1">
        <v>2080</v>
      </c>
      <c r="H1177" s="1">
        <v>3744</v>
      </c>
      <c r="I1177" s="1">
        <v>0</v>
      </c>
      <c r="J1177" s="1">
        <v>176</v>
      </c>
      <c r="K1177" s="1">
        <f t="shared" si="232"/>
        <v>0</v>
      </c>
      <c r="L1177" s="1">
        <f t="shared" si="236"/>
        <v>1.5357692307692306</v>
      </c>
      <c r="M1177" s="1">
        <f t="shared" si="237"/>
        <v>1.5357692307692306</v>
      </c>
      <c r="N1177" s="2">
        <f t="shared" si="238"/>
        <v>10.939143501126974</v>
      </c>
      <c r="O1177" s="1">
        <v>360</v>
      </c>
      <c r="P1177" s="1">
        <f t="shared" si="244"/>
        <v>1512</v>
      </c>
      <c r="Q1177" s="1">
        <f t="shared" si="240"/>
        <v>4.2540002522761311</v>
      </c>
      <c r="R1177" s="1">
        <f t="shared" si="241"/>
        <v>3.4359232806845674</v>
      </c>
      <c r="S1177" s="2">
        <f t="shared" si="242"/>
        <v>17.43720970312701</v>
      </c>
      <c r="T1177" s="2">
        <f t="shared" si="243"/>
        <v>0.30433672168026932</v>
      </c>
      <c r="U1177" s="1" t="s">
        <v>2507</v>
      </c>
      <c r="V1177" s="6" t="s">
        <v>2505</v>
      </c>
    </row>
    <row r="1178" spans="1:24" ht="14.25" customHeight="1" x14ac:dyDescent="0.3">
      <c r="A1178" s="1" t="s">
        <v>27</v>
      </c>
      <c r="B1178" s="1" t="s">
        <v>2300</v>
      </c>
      <c r="C1178" s="1" t="s">
        <v>2301</v>
      </c>
      <c r="D1178" s="1">
        <f t="shared" si="233"/>
        <v>28</v>
      </c>
      <c r="E1178" s="1">
        <f t="shared" si="234"/>
        <v>0.43033564814814818</v>
      </c>
      <c r="F1178" s="2">
        <f t="shared" si="235"/>
        <v>173.64309816962844</v>
      </c>
      <c r="G1178" s="1">
        <v>2080</v>
      </c>
      <c r="H1178" s="1">
        <v>3744</v>
      </c>
      <c r="I1178" s="1">
        <v>0</v>
      </c>
      <c r="J1178" s="1">
        <v>162</v>
      </c>
      <c r="K1178" s="1">
        <f t="shared" si="232"/>
        <v>0</v>
      </c>
      <c r="L1178" s="1">
        <f t="shared" si="236"/>
        <v>1.4136057692307691</v>
      </c>
      <c r="M1178" s="1">
        <f t="shared" si="237"/>
        <v>1.4136057692307691</v>
      </c>
      <c r="N1178" s="2">
        <f t="shared" si="238"/>
        <v>11.88450158147128</v>
      </c>
      <c r="O1178" s="1">
        <v>355</v>
      </c>
      <c r="P1178" s="1">
        <f t="shared" si="244"/>
        <v>1517</v>
      </c>
      <c r="Q1178" s="1">
        <f t="shared" si="240"/>
        <v>4.6216299037074018</v>
      </c>
      <c r="R1178" s="1">
        <f t="shared" si="241"/>
        <v>3.7451990191902396</v>
      </c>
      <c r="S1178" s="2">
        <f t="shared" si="242"/>
        <v>17.491361200488598</v>
      </c>
      <c r="T1178" s="2">
        <f t="shared" si="243"/>
        <v>0.30528184360411403</v>
      </c>
      <c r="U1178" s="1" t="s">
        <v>2507</v>
      </c>
      <c r="V1178" s="6" t="s">
        <v>2505</v>
      </c>
    </row>
    <row r="1179" spans="1:24" ht="14.25" customHeight="1" x14ac:dyDescent="0.3">
      <c r="A1179" s="1" t="s">
        <v>82</v>
      </c>
      <c r="B1179" s="1" t="s">
        <v>2302</v>
      </c>
      <c r="C1179" s="1" t="s">
        <v>2303</v>
      </c>
      <c r="D1179" s="1">
        <f t="shared" si="233"/>
        <v>14</v>
      </c>
      <c r="E1179" s="1">
        <f t="shared" si="234"/>
        <v>0.39684027777777775</v>
      </c>
      <c r="F1179" s="2">
        <f t="shared" si="235"/>
        <v>85.46804625014461</v>
      </c>
      <c r="G1179" s="1">
        <v>2080</v>
      </c>
      <c r="H1179" s="1">
        <v>3744</v>
      </c>
      <c r="I1179" s="1">
        <v>0</v>
      </c>
      <c r="J1179" s="1">
        <v>309</v>
      </c>
      <c r="K1179" s="1">
        <f t="shared" si="232"/>
        <v>0</v>
      </c>
      <c r="L1179" s="1">
        <f t="shared" si="236"/>
        <v>2.6963221153846151</v>
      </c>
      <c r="M1179" s="1">
        <f t="shared" si="237"/>
        <v>2.6963221153846151</v>
      </c>
      <c r="N1179" s="2">
        <f t="shared" si="238"/>
        <v>6.2307095669849435</v>
      </c>
      <c r="O1179" s="1">
        <v>352</v>
      </c>
      <c r="P1179" s="1">
        <f t="shared" si="244"/>
        <v>1520</v>
      </c>
      <c r="Q1179" s="1">
        <f t="shared" si="240"/>
        <v>2.4229904349533951</v>
      </c>
      <c r="R1179" s="1">
        <f t="shared" si="241"/>
        <v>1.9673853959023293</v>
      </c>
      <c r="S1179" s="2">
        <f t="shared" si="242"/>
        <v>17.523836629169889</v>
      </c>
      <c r="T1179" s="2">
        <f t="shared" si="243"/>
        <v>0.30584864676059914</v>
      </c>
      <c r="U1179" s="1" t="s">
        <v>2507</v>
      </c>
      <c r="V1179" s="6" t="s">
        <v>2505</v>
      </c>
    </row>
    <row r="1180" spans="1:24" ht="14.25" customHeight="1" x14ac:dyDescent="0.3">
      <c r="A1180" s="1" t="s">
        <v>27</v>
      </c>
      <c r="B1180" s="1" t="s">
        <v>2304</v>
      </c>
      <c r="C1180" s="1" t="s">
        <v>2305</v>
      </c>
      <c r="D1180" s="1">
        <f t="shared" si="233"/>
        <v>52</v>
      </c>
      <c r="E1180" s="1">
        <f t="shared" si="234"/>
        <v>0.19302083333333334</v>
      </c>
      <c r="F1180" s="2">
        <f t="shared" si="235"/>
        <v>322.94845258431809</v>
      </c>
      <c r="G1180" s="1">
        <v>2080</v>
      </c>
      <c r="H1180" s="1">
        <v>3744</v>
      </c>
      <c r="I1180" s="1">
        <v>0</v>
      </c>
      <c r="J1180" s="1">
        <v>206</v>
      </c>
      <c r="K1180" s="1">
        <f t="shared" si="232"/>
        <v>0</v>
      </c>
      <c r="L1180" s="1">
        <f t="shared" si="236"/>
        <v>1.7975480769230767</v>
      </c>
      <c r="M1180" s="1">
        <f t="shared" si="237"/>
        <v>1.7975480769230767</v>
      </c>
      <c r="N1180" s="2">
        <f t="shared" si="238"/>
        <v>9.3460643504774144</v>
      </c>
      <c r="O1180" s="1">
        <v>339</v>
      </c>
      <c r="P1180" s="1">
        <f t="shared" si="244"/>
        <v>1533</v>
      </c>
      <c r="Q1180" s="1">
        <f t="shared" si="240"/>
        <v>3.6344856524300924</v>
      </c>
      <c r="R1180" s="1">
        <f t="shared" si="241"/>
        <v>2.9763175775509247</v>
      </c>
      <c r="S1180" s="2">
        <f t="shared" si="242"/>
        <v>17.664429021800512</v>
      </c>
      <c r="T1180" s="2">
        <f t="shared" si="243"/>
        <v>0.30830244691526015</v>
      </c>
      <c r="U1180" s="1" t="s">
        <v>2507</v>
      </c>
      <c r="V1180" s="6" t="s">
        <v>2505</v>
      </c>
    </row>
    <row r="1181" spans="1:24" ht="14.25" customHeight="1" x14ac:dyDescent="0.3">
      <c r="A1181" s="1" t="s">
        <v>17</v>
      </c>
      <c r="B1181" s="1" t="s">
        <v>2306</v>
      </c>
      <c r="C1181" s="1" t="s">
        <v>2307</v>
      </c>
      <c r="D1181" s="1">
        <f t="shared" si="233"/>
        <v>35</v>
      </c>
      <c r="E1181" s="1">
        <f t="shared" si="234"/>
        <v>0.32174768518518521</v>
      </c>
      <c r="F1181" s="2">
        <f t="shared" si="235"/>
        <v>216.94311702646013</v>
      </c>
      <c r="G1181" s="1">
        <v>2080</v>
      </c>
      <c r="H1181" s="1">
        <v>3744</v>
      </c>
      <c r="I1181" s="1">
        <v>0</v>
      </c>
      <c r="J1181" s="1">
        <v>216</v>
      </c>
      <c r="K1181" s="1">
        <f t="shared" si="232"/>
        <v>0</v>
      </c>
      <c r="L1181" s="1">
        <f t="shared" si="236"/>
        <v>1.8848076923076922</v>
      </c>
      <c r="M1181" s="1">
        <f t="shared" si="237"/>
        <v>1.8848076923076922</v>
      </c>
      <c r="N1181" s="2">
        <f t="shared" si="238"/>
        <v>8.9133761861034593</v>
      </c>
      <c r="O1181" s="1">
        <v>337</v>
      </c>
      <c r="P1181" s="1">
        <f t="shared" si="244"/>
        <v>1535</v>
      </c>
      <c r="Q1181" s="1">
        <f t="shared" si="240"/>
        <v>3.4662224277805507</v>
      </c>
      <c r="R1181" s="1">
        <f t="shared" si="241"/>
        <v>2.8422283261982613</v>
      </c>
      <c r="S1181" s="2">
        <f t="shared" si="242"/>
        <v>17.686039178233578</v>
      </c>
      <c r="T1181" s="2">
        <f t="shared" si="243"/>
        <v>0.3086796152968882</v>
      </c>
      <c r="U1181" s="1" t="s">
        <v>2507</v>
      </c>
      <c r="V1181" s="6" t="s">
        <v>2505</v>
      </c>
      <c r="W1181" s="1"/>
      <c r="X1181" s="1"/>
    </row>
    <row r="1182" spans="1:24" ht="14.25" customHeight="1" x14ac:dyDescent="0.3">
      <c r="A1182" s="1" t="s">
        <v>40</v>
      </c>
      <c r="B1182" s="1" t="s">
        <v>2308</v>
      </c>
      <c r="C1182" s="1" t="s">
        <v>2309</v>
      </c>
      <c r="D1182" s="1">
        <f t="shared" si="233"/>
        <v>73</v>
      </c>
      <c r="E1182" s="1">
        <f t="shared" si="234"/>
        <v>8.4594907407407396E-2</v>
      </c>
      <c r="F1182" s="2">
        <f t="shared" si="235"/>
        <v>454.21408385039427</v>
      </c>
      <c r="G1182" s="1">
        <v>2080</v>
      </c>
      <c r="H1182" s="1">
        <v>3744</v>
      </c>
      <c r="I1182" s="1">
        <v>0</v>
      </c>
      <c r="J1182" s="1">
        <v>123</v>
      </c>
      <c r="K1182" s="1">
        <f t="shared" si="232"/>
        <v>0</v>
      </c>
      <c r="L1182" s="1">
        <f t="shared" si="236"/>
        <v>1.0732932692307691</v>
      </c>
      <c r="M1182" s="1">
        <f t="shared" si="237"/>
        <v>1.0732932692307691</v>
      </c>
      <c r="N1182" s="2">
        <f t="shared" si="238"/>
        <v>15.65275818047437</v>
      </c>
      <c r="O1182" s="1">
        <v>333</v>
      </c>
      <c r="P1182" s="1">
        <f t="shared" si="244"/>
        <v>1539</v>
      </c>
      <c r="Q1182" s="1">
        <f t="shared" si="240"/>
        <v>6.0870247512243827</v>
      </c>
      <c r="R1182" s="1">
        <f t="shared" si="241"/>
        <v>5.0042366945161989</v>
      </c>
      <c r="S1182" s="2">
        <f t="shared" si="242"/>
        <v>17.729243896452576</v>
      </c>
      <c r="T1182" s="2">
        <f t="shared" si="243"/>
        <v>0.3094336798822061</v>
      </c>
      <c r="U1182" s="1" t="s">
        <v>2507</v>
      </c>
      <c r="V1182" s="6" t="s">
        <v>2505</v>
      </c>
    </row>
    <row r="1183" spans="1:24" ht="14.25" customHeight="1" x14ac:dyDescent="0.3">
      <c r="A1183" s="1" t="s">
        <v>14</v>
      </c>
      <c r="B1183" s="1" t="s">
        <v>2310</v>
      </c>
      <c r="C1183" s="1" t="s">
        <v>2311</v>
      </c>
      <c r="D1183" s="1">
        <f t="shared" si="233"/>
        <v>74</v>
      </c>
      <c r="E1183" s="1">
        <f t="shared" si="234"/>
        <v>0.35446759259259258</v>
      </c>
      <c r="F1183" s="2">
        <f t="shared" si="235"/>
        <v>462.19292924793854</v>
      </c>
      <c r="G1183" s="1">
        <v>2080</v>
      </c>
      <c r="H1183" s="1">
        <v>3744</v>
      </c>
      <c r="I1183" s="1">
        <v>0</v>
      </c>
      <c r="J1183" s="1">
        <v>596</v>
      </c>
      <c r="K1183" s="1">
        <f t="shared" si="232"/>
        <v>0</v>
      </c>
      <c r="L1183" s="1">
        <f t="shared" si="236"/>
        <v>5.2006730769230769</v>
      </c>
      <c r="M1183" s="1">
        <f t="shared" si="237"/>
        <v>5.2006730769230769</v>
      </c>
      <c r="N1183" s="2">
        <f t="shared" si="238"/>
        <v>3.2303511010039383</v>
      </c>
      <c r="O1183" s="1">
        <v>333</v>
      </c>
      <c r="P1183" s="1">
        <f t="shared" si="244"/>
        <v>1539</v>
      </c>
      <c r="Q1183" s="1">
        <f t="shared" si="240"/>
        <v>1.2562148395983204</v>
      </c>
      <c r="R1183" s="1">
        <f t="shared" si="241"/>
        <v>1.0327535460159267</v>
      </c>
      <c r="S1183" s="2">
        <f t="shared" si="242"/>
        <v>17.729243896452576</v>
      </c>
      <c r="T1183" s="2">
        <f t="shared" si="243"/>
        <v>0.3094336798822061</v>
      </c>
      <c r="U1183" s="1" t="s">
        <v>2507</v>
      </c>
      <c r="V1183" s="6" t="s">
        <v>2505</v>
      </c>
    </row>
    <row r="1184" spans="1:24" ht="14.25" customHeight="1" x14ac:dyDescent="0.3">
      <c r="A1184" s="1" t="s">
        <v>40</v>
      </c>
      <c r="B1184" s="1" t="s">
        <v>996</v>
      </c>
      <c r="C1184" s="1" t="s">
        <v>997</v>
      </c>
      <c r="D1184" s="1">
        <f t="shared" si="233"/>
        <v>10</v>
      </c>
      <c r="E1184" s="1">
        <f t="shared" si="234"/>
        <v>0.83396990740740751</v>
      </c>
      <c r="F1184" s="2">
        <f t="shared" si="235"/>
        <v>63.081871487648009</v>
      </c>
      <c r="G1184" s="1">
        <v>2080</v>
      </c>
      <c r="H1184" s="1">
        <v>3744</v>
      </c>
      <c r="I1184" s="1">
        <v>0</v>
      </c>
      <c r="J1184" s="1">
        <v>187</v>
      </c>
      <c r="K1184" s="1">
        <f t="shared" si="232"/>
        <v>0</v>
      </c>
      <c r="L1184" s="1">
        <f t="shared" si="236"/>
        <v>1.6317548076923076</v>
      </c>
      <c r="M1184" s="1">
        <f t="shared" si="237"/>
        <v>1.6317548076923076</v>
      </c>
      <c r="N1184" s="2">
        <f t="shared" si="238"/>
        <v>10.295664471648916</v>
      </c>
      <c r="O1184" s="1">
        <v>332</v>
      </c>
      <c r="P1184" s="1">
        <f t="shared" si="244"/>
        <v>1540</v>
      </c>
      <c r="Q1184" s="1">
        <f t="shared" si="240"/>
        <v>4.0037649433187115</v>
      </c>
      <c r="R1184" s="1">
        <f t="shared" si="241"/>
        <v>3.2936955196104782</v>
      </c>
      <c r="S1184" s="2">
        <f t="shared" si="242"/>
        <v>17.74004182401309</v>
      </c>
      <c r="T1184" s="2">
        <f t="shared" si="243"/>
        <v>0.3096221392705289</v>
      </c>
      <c r="U1184" s="1" t="s">
        <v>2507</v>
      </c>
      <c r="V1184" s="6" t="s">
        <v>2505</v>
      </c>
    </row>
    <row r="1185" spans="1:24" ht="14.25" customHeight="1" x14ac:dyDescent="0.3">
      <c r="A1185" s="1" t="s">
        <v>17</v>
      </c>
      <c r="B1185" s="1" t="s">
        <v>2312</v>
      </c>
      <c r="C1185" s="1" t="s">
        <v>2313</v>
      </c>
      <c r="D1185" s="1">
        <f t="shared" si="233"/>
        <v>29</v>
      </c>
      <c r="E1185" s="1">
        <f t="shared" si="234"/>
        <v>0.29733796296296294</v>
      </c>
      <c r="F1185" s="2">
        <f t="shared" si="235"/>
        <v>179.09063437536358</v>
      </c>
      <c r="G1185" s="1">
        <v>2080</v>
      </c>
      <c r="H1185" s="1">
        <v>3744</v>
      </c>
      <c r="I1185" s="1">
        <v>0</v>
      </c>
      <c r="J1185" s="1">
        <v>603</v>
      </c>
      <c r="K1185" s="1">
        <f t="shared" si="232"/>
        <v>0</v>
      </c>
      <c r="L1185" s="1">
        <f t="shared" si="236"/>
        <v>5.2617548076923075</v>
      </c>
      <c r="M1185" s="1">
        <f t="shared" si="237"/>
        <v>5.2617548076923075</v>
      </c>
      <c r="N1185" s="2">
        <f t="shared" si="238"/>
        <v>3.1928511711415379</v>
      </c>
      <c r="O1185" s="1">
        <v>316</v>
      </c>
      <c r="P1185" s="1">
        <f t="shared" si="244"/>
        <v>1556</v>
      </c>
      <c r="Q1185" s="1">
        <f t="shared" si="240"/>
        <v>1.2416319144288541</v>
      </c>
      <c r="R1185" s="1">
        <f t="shared" si="241"/>
        <v>1.0320402023778297</v>
      </c>
      <c r="S1185" s="2">
        <f t="shared" si="242"/>
        <v>17.912631251762722</v>
      </c>
      <c r="T1185" s="2">
        <f t="shared" si="243"/>
        <v>0.31263439303889284</v>
      </c>
      <c r="U1185" s="1" t="s">
        <v>2507</v>
      </c>
      <c r="V1185" s="6" t="s">
        <v>2505</v>
      </c>
    </row>
    <row r="1186" spans="1:24" ht="14.25" customHeight="1" x14ac:dyDescent="0.3">
      <c r="A1186" s="1" t="s">
        <v>40</v>
      </c>
      <c r="B1186" s="1" t="s">
        <v>2314</v>
      </c>
      <c r="C1186" s="1" t="s">
        <v>2315</v>
      </c>
      <c r="D1186" s="1">
        <f t="shared" si="233"/>
        <v>72</v>
      </c>
      <c r="E1186" s="1">
        <f t="shared" si="234"/>
        <v>0.77546296296296291</v>
      </c>
      <c r="F1186" s="2">
        <f t="shared" si="235"/>
        <v>452.27175055908106</v>
      </c>
      <c r="G1186" s="1">
        <v>2080</v>
      </c>
      <c r="H1186" s="1">
        <v>3744</v>
      </c>
      <c r="I1186" s="1">
        <v>0</v>
      </c>
      <c r="J1186" s="1">
        <v>227</v>
      </c>
      <c r="K1186" s="1">
        <f t="shared" si="232"/>
        <v>0</v>
      </c>
      <c r="L1186" s="1">
        <f t="shared" si="236"/>
        <v>1.9807932692307688</v>
      </c>
      <c r="M1186" s="1">
        <f t="shared" si="237"/>
        <v>1.9807932692307688</v>
      </c>
      <c r="N1186" s="2">
        <f t="shared" ref="N1186:N1217" si="245">42*0.4/M1186</f>
        <v>8.4814504678341311</v>
      </c>
      <c r="O1186" s="1">
        <v>308</v>
      </c>
      <c r="P1186" s="1">
        <f t="shared" si="244"/>
        <v>1564</v>
      </c>
      <c r="Q1186" s="1">
        <f t="shared" si="240"/>
        <v>3.298255702205283</v>
      </c>
      <c r="R1186" s="1">
        <f t="shared" si="241"/>
        <v>2.7555939734236445</v>
      </c>
      <c r="S1186" s="2">
        <f t="shared" si="242"/>
        <v>17.998800311521755</v>
      </c>
      <c r="T1186" s="2">
        <f t="shared" si="243"/>
        <v>0.31413832684503573</v>
      </c>
      <c r="U1186" s="1" t="s">
        <v>2507</v>
      </c>
      <c r="V1186" s="6" t="s">
        <v>2505</v>
      </c>
    </row>
    <row r="1187" spans="1:24" ht="14.25" customHeight="1" x14ac:dyDescent="0.3">
      <c r="A1187" s="1" t="s">
        <v>40</v>
      </c>
      <c r="B1187" s="1" t="s">
        <v>2316</v>
      </c>
      <c r="C1187" s="1" t="s">
        <v>2317</v>
      </c>
      <c r="D1187" s="1">
        <f t="shared" si="233"/>
        <v>72</v>
      </c>
      <c r="E1187" s="1">
        <f t="shared" si="234"/>
        <v>0.77674768518518522</v>
      </c>
      <c r="F1187" s="2">
        <f t="shared" si="235"/>
        <v>452.27982270687153</v>
      </c>
      <c r="G1187" s="1">
        <v>2080</v>
      </c>
      <c r="H1187" s="1">
        <v>3744</v>
      </c>
      <c r="I1187" s="1">
        <v>0</v>
      </c>
      <c r="J1187" s="1">
        <v>130</v>
      </c>
      <c r="K1187" s="1">
        <f t="shared" si="232"/>
        <v>0</v>
      </c>
      <c r="L1187" s="1">
        <f t="shared" si="236"/>
        <v>1.1343749999999999</v>
      </c>
      <c r="M1187" s="1">
        <f t="shared" si="237"/>
        <v>1.1343749999999999</v>
      </c>
      <c r="N1187" s="2">
        <f t="shared" si="245"/>
        <v>14.809917355371903</v>
      </c>
      <c r="O1187" s="1">
        <v>300</v>
      </c>
      <c r="P1187" s="1">
        <f t="shared" si="244"/>
        <v>1572</v>
      </c>
      <c r="Q1187" s="1">
        <f t="shared" si="240"/>
        <v>5.7592618800046083</v>
      </c>
      <c r="R1187" s="1">
        <f t="shared" si="241"/>
        <v>4.8363032453884855</v>
      </c>
      <c r="S1187" s="2">
        <f t="shared" si="242"/>
        <v>18.084885245204092</v>
      </c>
      <c r="T1187" s="2">
        <f t="shared" si="243"/>
        <v>0.31564079237415343</v>
      </c>
      <c r="U1187" s="1" t="s">
        <v>2507</v>
      </c>
      <c r="V1187" s="6" t="s">
        <v>2505</v>
      </c>
    </row>
    <row r="1188" spans="1:24" ht="14.25" customHeight="1" x14ac:dyDescent="0.3">
      <c r="A1188" s="1" t="s">
        <v>40</v>
      </c>
      <c r="B1188" s="1" t="s">
        <v>2049</v>
      </c>
      <c r="C1188" s="1" t="s">
        <v>2050</v>
      </c>
      <c r="D1188" s="1">
        <f t="shared" si="233"/>
        <v>76</v>
      </c>
      <c r="E1188" s="1">
        <f t="shared" si="234"/>
        <v>0.98995370370370372</v>
      </c>
      <c r="F1188" s="2">
        <f t="shared" si="235"/>
        <v>478.75217685854773</v>
      </c>
      <c r="G1188" s="1">
        <v>2080</v>
      </c>
      <c r="H1188" s="1">
        <v>3744</v>
      </c>
      <c r="I1188" s="1">
        <v>0</v>
      </c>
      <c r="J1188" s="1">
        <v>218</v>
      </c>
      <c r="K1188" s="1">
        <f t="shared" si="232"/>
        <v>0</v>
      </c>
      <c r="L1188" s="1">
        <f t="shared" si="236"/>
        <v>1.9022596153846152</v>
      </c>
      <c r="M1188" s="1">
        <f t="shared" si="237"/>
        <v>1.9022596153846152</v>
      </c>
      <c r="N1188" s="2">
        <f t="shared" si="245"/>
        <v>8.8316020926529699</v>
      </c>
      <c r="O1188" s="1">
        <v>300</v>
      </c>
      <c r="P1188" s="1">
        <f t="shared" si="244"/>
        <v>1572</v>
      </c>
      <c r="Q1188" s="1">
        <f t="shared" si="240"/>
        <v>3.4344222220210967</v>
      </c>
      <c r="R1188" s="1">
        <f t="shared" si="241"/>
        <v>2.8840340454151518</v>
      </c>
      <c r="S1188" s="2">
        <f t="shared" si="242"/>
        <v>18.084885245204092</v>
      </c>
      <c r="T1188" s="2">
        <f t="shared" si="243"/>
        <v>0.31564079237415343</v>
      </c>
      <c r="U1188" s="1" t="s">
        <v>2507</v>
      </c>
      <c r="V1188" s="6" t="s">
        <v>2505</v>
      </c>
    </row>
    <row r="1189" spans="1:24" ht="14.25" customHeight="1" x14ac:dyDescent="0.3">
      <c r="A1189" s="1" t="s">
        <v>17</v>
      </c>
      <c r="B1189" s="1" t="s">
        <v>2318</v>
      </c>
      <c r="C1189" s="1" t="s">
        <v>2319</v>
      </c>
      <c r="D1189" s="1">
        <f t="shared" si="233"/>
        <v>34</v>
      </c>
      <c r="E1189" s="1">
        <f t="shared" si="234"/>
        <v>0.33957175925925925</v>
      </c>
      <c r="F1189" s="2">
        <f t="shared" si="235"/>
        <v>210.7719236796168</v>
      </c>
      <c r="G1189" s="1">
        <v>2080</v>
      </c>
      <c r="H1189" s="1">
        <v>3744</v>
      </c>
      <c r="I1189" s="1">
        <v>0</v>
      </c>
      <c r="J1189" s="1">
        <v>243</v>
      </c>
      <c r="K1189" s="1">
        <f t="shared" si="232"/>
        <v>0</v>
      </c>
      <c r="L1189" s="1">
        <f t="shared" si="236"/>
        <v>2.120408653846154</v>
      </c>
      <c r="M1189" s="1">
        <f t="shared" si="237"/>
        <v>2.120408653846154</v>
      </c>
      <c r="N1189" s="2">
        <f t="shared" si="245"/>
        <v>7.9230010543141853</v>
      </c>
      <c r="O1189" s="1">
        <v>298</v>
      </c>
      <c r="P1189" s="1">
        <f t="shared" si="244"/>
        <v>1574</v>
      </c>
      <c r="Q1189" s="1">
        <f t="shared" si="240"/>
        <v>3.0810866024716006</v>
      </c>
      <c r="R1189" s="1">
        <f t="shared" si="241"/>
        <v>2.5906144830610573</v>
      </c>
      <c r="S1189" s="2">
        <f t="shared" si="242"/>
        <v>18.106393302831616</v>
      </c>
      <c r="T1189" s="2">
        <f t="shared" si="243"/>
        <v>0.31601617879546245</v>
      </c>
      <c r="U1189" s="1" t="s">
        <v>2507</v>
      </c>
      <c r="V1189" s="6" t="s">
        <v>2505</v>
      </c>
    </row>
    <row r="1190" spans="1:24" ht="14.25" customHeight="1" x14ac:dyDescent="0.3">
      <c r="A1190" s="1" t="s">
        <v>40</v>
      </c>
      <c r="B1190" s="1" t="s">
        <v>1268</v>
      </c>
      <c r="C1190" s="1" t="s">
        <v>1269</v>
      </c>
      <c r="D1190" s="1">
        <f t="shared" si="233"/>
        <v>76</v>
      </c>
      <c r="E1190" s="1">
        <f t="shared" si="234"/>
        <v>0.98996527777777776</v>
      </c>
      <c r="F1190" s="2">
        <f t="shared" si="235"/>
        <v>478.75224958059988</v>
      </c>
      <c r="G1190" s="1">
        <v>2080</v>
      </c>
      <c r="H1190" s="1">
        <v>3744</v>
      </c>
      <c r="I1190" s="1">
        <v>0</v>
      </c>
      <c r="J1190" s="1">
        <v>232</v>
      </c>
      <c r="K1190" s="1">
        <f t="shared" si="232"/>
        <v>0</v>
      </c>
      <c r="L1190" s="1">
        <f t="shared" si="236"/>
        <v>2.0244230769230764</v>
      </c>
      <c r="M1190" s="1">
        <f t="shared" si="237"/>
        <v>2.0244230769230764</v>
      </c>
      <c r="N1190" s="2">
        <f t="shared" si="245"/>
        <v>8.2986605870618426</v>
      </c>
      <c r="O1190" s="1">
        <v>291</v>
      </c>
      <c r="P1190" s="1">
        <f t="shared" si="244"/>
        <v>1581</v>
      </c>
      <c r="Q1190" s="1">
        <f t="shared" si="240"/>
        <v>3.2271726051749958</v>
      </c>
      <c r="R1190" s="1">
        <f t="shared" si="241"/>
        <v>2.7255127611013186</v>
      </c>
      <c r="S1190" s="2">
        <f t="shared" si="242"/>
        <v>18.181629908832164</v>
      </c>
      <c r="T1190" s="2">
        <f t="shared" si="243"/>
        <v>0.31732930528819769</v>
      </c>
      <c r="U1190" s="1" t="s">
        <v>2507</v>
      </c>
      <c r="V1190" s="6" t="s">
        <v>2505</v>
      </c>
    </row>
    <row r="1191" spans="1:24" ht="14.25" customHeight="1" x14ac:dyDescent="0.3">
      <c r="A1191" s="1" t="s">
        <v>17</v>
      </c>
      <c r="B1191" s="1" t="s">
        <v>2320</v>
      </c>
      <c r="C1191" s="1" t="s">
        <v>2321</v>
      </c>
      <c r="D1191" s="1">
        <f t="shared" si="233"/>
        <v>29</v>
      </c>
      <c r="E1191" s="1">
        <f t="shared" si="234"/>
        <v>0.29724537037037035</v>
      </c>
      <c r="F1191" s="2">
        <f t="shared" si="235"/>
        <v>179.09005259894624</v>
      </c>
      <c r="G1191" s="1">
        <v>2080</v>
      </c>
      <c r="H1191" s="1">
        <v>3744</v>
      </c>
      <c r="I1191" s="1">
        <v>0</v>
      </c>
      <c r="J1191" s="1">
        <v>528</v>
      </c>
      <c r="K1191" s="1">
        <f t="shared" si="232"/>
        <v>0</v>
      </c>
      <c r="L1191" s="1">
        <f t="shared" si="236"/>
        <v>4.6073076923076917</v>
      </c>
      <c r="M1191" s="1">
        <f t="shared" si="237"/>
        <v>4.6073076923076917</v>
      </c>
      <c r="N1191" s="2">
        <f t="shared" si="245"/>
        <v>3.6463811670423247</v>
      </c>
      <c r="O1191" s="1">
        <v>288</v>
      </c>
      <c r="P1191" s="1">
        <f t="shared" si="244"/>
        <v>1584</v>
      </c>
      <c r="Q1191" s="1">
        <f t="shared" si="240"/>
        <v>1.4180000840920437</v>
      </c>
      <c r="R1191" s="1">
        <f t="shared" si="241"/>
        <v>1.1998462250009601</v>
      </c>
      <c r="S1191" s="2">
        <f t="shared" si="242"/>
        <v>18.213854330315151</v>
      </c>
      <c r="T1191" s="2">
        <f t="shared" si="243"/>
        <v>0.31789172754262623</v>
      </c>
      <c r="U1191" s="1" t="s">
        <v>2507</v>
      </c>
      <c r="V1191" s="6" t="s">
        <v>2505</v>
      </c>
      <c r="W1191" s="2"/>
      <c r="X1191" s="2"/>
    </row>
    <row r="1192" spans="1:24" ht="14.25" customHeight="1" x14ac:dyDescent="0.3">
      <c r="A1192" s="1" t="s">
        <v>17</v>
      </c>
      <c r="B1192" s="1" t="s">
        <v>2322</v>
      </c>
      <c r="C1192" s="1" t="s">
        <v>2323</v>
      </c>
      <c r="D1192" s="1">
        <f t="shared" si="233"/>
        <v>29</v>
      </c>
      <c r="E1192" s="1">
        <f t="shared" si="234"/>
        <v>0.29723379629629632</v>
      </c>
      <c r="F1192" s="2">
        <f t="shared" si="235"/>
        <v>179.08997987689409</v>
      </c>
      <c r="G1192" s="1">
        <v>2080</v>
      </c>
      <c r="H1192" s="1">
        <v>3744</v>
      </c>
      <c r="I1192" s="1">
        <v>0</v>
      </c>
      <c r="J1192" s="1">
        <v>525</v>
      </c>
      <c r="K1192" s="1">
        <f t="shared" si="232"/>
        <v>0</v>
      </c>
      <c r="L1192" s="1">
        <f t="shared" si="236"/>
        <v>4.5811298076923075</v>
      </c>
      <c r="M1192" s="1">
        <f t="shared" si="237"/>
        <v>4.5811298076923075</v>
      </c>
      <c r="N1192" s="2">
        <f t="shared" si="245"/>
        <v>3.6672176308539948</v>
      </c>
      <c r="O1192" s="1">
        <v>286</v>
      </c>
      <c r="P1192" s="1">
        <f t="shared" si="244"/>
        <v>1586</v>
      </c>
      <c r="Q1192" s="1">
        <f t="shared" si="240"/>
        <v>1.4261029417154267</v>
      </c>
      <c r="R1192" s="1">
        <f t="shared" si="241"/>
        <v>1.2082261033977921</v>
      </c>
      <c r="S1192" s="2">
        <f t="shared" si="242"/>
        <v>18.235330655009044</v>
      </c>
      <c r="T1192" s="2">
        <f t="shared" si="243"/>
        <v>0.31826656011976201</v>
      </c>
      <c r="U1192" s="1" t="s">
        <v>2507</v>
      </c>
      <c r="V1192" s="6" t="s">
        <v>2505</v>
      </c>
    </row>
    <row r="1193" spans="1:24" ht="14.25" customHeight="1" x14ac:dyDescent="0.3">
      <c r="A1193" s="1" t="s">
        <v>17</v>
      </c>
      <c r="B1193" s="1" t="s">
        <v>2324</v>
      </c>
      <c r="C1193" s="1" t="s">
        <v>2325</v>
      </c>
      <c r="D1193" s="1">
        <f t="shared" si="233"/>
        <v>29</v>
      </c>
      <c r="E1193" s="1">
        <f t="shared" si="234"/>
        <v>0.29725694444444445</v>
      </c>
      <c r="F1193" s="2">
        <f t="shared" si="235"/>
        <v>179.09012532099842</v>
      </c>
      <c r="G1193" s="1">
        <v>2080</v>
      </c>
      <c r="H1193" s="1">
        <v>3744</v>
      </c>
      <c r="I1193" s="1">
        <v>0</v>
      </c>
      <c r="J1193" s="1">
        <v>567</v>
      </c>
      <c r="K1193" s="1">
        <f t="shared" si="232"/>
        <v>0</v>
      </c>
      <c r="L1193" s="1">
        <f t="shared" si="236"/>
        <v>4.9476201923076921</v>
      </c>
      <c r="M1193" s="1">
        <f t="shared" si="237"/>
        <v>4.9476201923076921</v>
      </c>
      <c r="N1193" s="2">
        <f t="shared" si="245"/>
        <v>3.3955718804203654</v>
      </c>
      <c r="O1193" s="1">
        <v>282</v>
      </c>
      <c r="P1193" s="1">
        <f t="shared" si="244"/>
        <v>1590</v>
      </c>
      <c r="Q1193" s="1">
        <f t="shared" si="240"/>
        <v>1.3204656867735431</v>
      </c>
      <c r="R1193" s="1">
        <f t="shared" si="241"/>
        <v>1.1215493813941952</v>
      </c>
      <c r="S1193" s="2">
        <f t="shared" si="242"/>
        <v>18.278267390969468</v>
      </c>
      <c r="T1193" s="2">
        <f t="shared" si="243"/>
        <v>0.31901594753233087</v>
      </c>
      <c r="U1193" s="1" t="s">
        <v>2507</v>
      </c>
      <c r="V1193" s="6" t="s">
        <v>2505</v>
      </c>
    </row>
    <row r="1194" spans="1:24" ht="14.25" customHeight="1" x14ac:dyDescent="0.3">
      <c r="A1194" s="1" t="s">
        <v>40</v>
      </c>
      <c r="B1194" s="1" t="s">
        <v>2326</v>
      </c>
      <c r="C1194" s="1" t="s">
        <v>2327</v>
      </c>
      <c r="D1194" s="1">
        <f t="shared" si="233"/>
        <v>11</v>
      </c>
      <c r="E1194" s="1">
        <f t="shared" si="234"/>
        <v>0.29122685185185188</v>
      </c>
      <c r="F1194" s="2">
        <f t="shared" si="235"/>
        <v>65.954901602587171</v>
      </c>
      <c r="G1194" s="1">
        <v>2080</v>
      </c>
      <c r="H1194" s="1">
        <v>3744</v>
      </c>
      <c r="I1194" s="1">
        <v>0</v>
      </c>
      <c r="J1194" s="1">
        <v>181</v>
      </c>
      <c r="K1194" s="1">
        <f t="shared" si="232"/>
        <v>0</v>
      </c>
      <c r="L1194" s="1">
        <f t="shared" si="236"/>
        <v>1.5793990384615384</v>
      </c>
      <c r="M1194" s="1">
        <f t="shared" si="237"/>
        <v>1.5793990384615384</v>
      </c>
      <c r="N1194" s="2">
        <f t="shared" si="245"/>
        <v>10.636957216565454</v>
      </c>
      <c r="O1194" s="1">
        <v>279</v>
      </c>
      <c r="P1194" s="1">
        <f t="shared" si="244"/>
        <v>1593</v>
      </c>
      <c r="Q1194" s="1">
        <f t="shared" si="240"/>
        <v>4.1364864331524807</v>
      </c>
      <c r="R1194" s="1">
        <f t="shared" si="241"/>
        <v>3.5199908589807167</v>
      </c>
      <c r="S1194" s="2">
        <f t="shared" si="242"/>
        <v>18.310456002707973</v>
      </c>
      <c r="T1194" s="2">
        <f t="shared" si="243"/>
        <v>0.3195777447888139</v>
      </c>
      <c r="U1194" s="1" t="s">
        <v>2507</v>
      </c>
      <c r="V1194" s="6" t="s">
        <v>2505</v>
      </c>
    </row>
    <row r="1195" spans="1:24" ht="14.25" customHeight="1" x14ac:dyDescent="0.3">
      <c r="A1195" s="1" t="s">
        <v>435</v>
      </c>
      <c r="B1195" s="1" t="s">
        <v>2328</v>
      </c>
      <c r="C1195" s="1" t="s">
        <v>2329</v>
      </c>
      <c r="D1195" s="1">
        <f t="shared" si="233"/>
        <v>28</v>
      </c>
      <c r="E1195" s="1">
        <f t="shared" si="234"/>
        <v>0.28940972222222222</v>
      </c>
      <c r="F1195" s="2">
        <f t="shared" si="235"/>
        <v>172.75763446245</v>
      </c>
      <c r="G1195" s="1">
        <v>2080</v>
      </c>
      <c r="H1195" s="1">
        <v>3744</v>
      </c>
      <c r="I1195" s="1">
        <v>0</v>
      </c>
      <c r="J1195" s="1">
        <v>178</v>
      </c>
      <c r="K1195" s="1">
        <f t="shared" si="232"/>
        <v>0</v>
      </c>
      <c r="L1195" s="1">
        <f t="shared" si="236"/>
        <v>1.5532211538461538</v>
      </c>
      <c r="M1195" s="1">
        <f t="shared" si="237"/>
        <v>1.5532211538461538</v>
      </c>
      <c r="N1195" s="2">
        <f t="shared" si="245"/>
        <v>10.81623177639521</v>
      </c>
      <c r="O1195" s="1">
        <v>256</v>
      </c>
      <c r="P1195" s="1">
        <f t="shared" si="244"/>
        <v>1616</v>
      </c>
      <c r="Q1195" s="1">
        <f t="shared" si="240"/>
        <v>4.2062024966325788</v>
      </c>
      <c r="R1195" s="1">
        <f t="shared" si="241"/>
        <v>3.6309953176059016</v>
      </c>
      <c r="S1195" s="2">
        <f t="shared" si="242"/>
        <v>18.556836889479577</v>
      </c>
      <c r="T1195" s="2">
        <f t="shared" si="243"/>
        <v>0.32387790247696169</v>
      </c>
      <c r="U1195" s="1" t="s">
        <v>2507</v>
      </c>
      <c r="V1195" s="6" t="s">
        <v>2505</v>
      </c>
    </row>
    <row r="1196" spans="1:24" ht="14.25" customHeight="1" x14ac:dyDescent="0.3">
      <c r="A1196" s="1" t="s">
        <v>40</v>
      </c>
      <c r="B1196" s="1" t="s">
        <v>2330</v>
      </c>
      <c r="C1196" s="1" t="s">
        <v>2331</v>
      </c>
      <c r="D1196" s="1">
        <f t="shared" si="233"/>
        <v>29</v>
      </c>
      <c r="E1196" s="1">
        <f t="shared" si="234"/>
        <v>0.71023148148148152</v>
      </c>
      <c r="F1196" s="2">
        <f t="shared" si="235"/>
        <v>181.68492086434884</v>
      </c>
      <c r="G1196" s="1">
        <v>2080</v>
      </c>
      <c r="H1196" s="1">
        <v>3744</v>
      </c>
      <c r="I1196" s="1">
        <v>0</v>
      </c>
      <c r="J1196" s="1">
        <v>152</v>
      </c>
      <c r="K1196" s="1">
        <f t="shared" si="232"/>
        <v>0</v>
      </c>
      <c r="L1196" s="1">
        <f t="shared" si="236"/>
        <v>1.3263461538461536</v>
      </c>
      <c r="M1196" s="1">
        <f t="shared" si="237"/>
        <v>1.3263461538461536</v>
      </c>
      <c r="N1196" s="2">
        <f t="shared" si="245"/>
        <v>12.666376685515445</v>
      </c>
      <c r="O1196" s="1">
        <v>256</v>
      </c>
      <c r="P1196" s="1">
        <f t="shared" ref="P1196:P1227" si="246">H1196/2-O1196</f>
        <v>1616</v>
      </c>
      <c r="Q1196" s="1">
        <f t="shared" si="240"/>
        <v>4.9256845026355203</v>
      </c>
      <c r="R1196" s="1">
        <f t="shared" si="241"/>
        <v>4.252086621933227</v>
      </c>
      <c r="S1196" s="2">
        <f t="shared" si="242"/>
        <v>18.556836889479577</v>
      </c>
      <c r="T1196" s="2">
        <f t="shared" si="243"/>
        <v>0.32387790247696169</v>
      </c>
      <c r="U1196" s="1" t="s">
        <v>2507</v>
      </c>
      <c r="V1196" s="6" t="s">
        <v>2505</v>
      </c>
    </row>
    <row r="1197" spans="1:24" ht="14.25" customHeight="1" x14ac:dyDescent="0.3">
      <c r="A1197" s="1" t="s">
        <v>27</v>
      </c>
      <c r="B1197" s="1" t="s">
        <v>2332</v>
      </c>
      <c r="C1197" s="1" t="s">
        <v>2333</v>
      </c>
      <c r="D1197" s="1">
        <f t="shared" si="233"/>
        <v>73</v>
      </c>
      <c r="E1197" s="1">
        <f t="shared" si="234"/>
        <v>0.6289583333333334</v>
      </c>
      <c r="F1197" s="2">
        <f t="shared" si="235"/>
        <v>457.63442012993795</v>
      </c>
      <c r="G1197" s="1">
        <v>2080</v>
      </c>
      <c r="H1197" s="1">
        <v>3744</v>
      </c>
      <c r="I1197" s="1">
        <v>0</v>
      </c>
      <c r="J1197" s="1">
        <v>165</v>
      </c>
      <c r="K1197" s="1">
        <f t="shared" si="232"/>
        <v>0</v>
      </c>
      <c r="L1197" s="1">
        <f t="shared" si="236"/>
        <v>1.4397836538461537</v>
      </c>
      <c r="M1197" s="1">
        <f t="shared" si="237"/>
        <v>1.4397836538461537</v>
      </c>
      <c r="N1197" s="2">
        <f t="shared" si="245"/>
        <v>11.668419734535439</v>
      </c>
      <c r="O1197" s="1">
        <v>250</v>
      </c>
      <c r="P1197" s="1">
        <f t="shared" si="246"/>
        <v>1622</v>
      </c>
      <c r="Q1197" s="1">
        <f t="shared" si="240"/>
        <v>4.5376002690945398</v>
      </c>
      <c r="R1197" s="1">
        <f t="shared" si="241"/>
        <v>3.9316173271748633</v>
      </c>
      <c r="S1197" s="2">
        <f t="shared" si="242"/>
        <v>18.620993758539814</v>
      </c>
      <c r="T1197" s="2">
        <f t="shared" si="243"/>
        <v>0.32499765107983375</v>
      </c>
      <c r="U1197" s="1" t="s">
        <v>2507</v>
      </c>
      <c r="V1197" s="6" t="s">
        <v>2505</v>
      </c>
    </row>
    <row r="1198" spans="1:24" ht="14.25" customHeight="1" x14ac:dyDescent="0.3">
      <c r="A1198" s="1" t="s">
        <v>27</v>
      </c>
      <c r="B1198" s="1" t="s">
        <v>2334</v>
      </c>
      <c r="C1198" s="1" t="s">
        <v>2335</v>
      </c>
      <c r="D1198" s="1">
        <f t="shared" si="233"/>
        <v>45</v>
      </c>
      <c r="E1198" s="1">
        <f t="shared" si="234"/>
        <v>0.2673726851851852</v>
      </c>
      <c r="F1198" s="2">
        <f t="shared" si="235"/>
        <v>279.43332189717813</v>
      </c>
      <c r="G1198" s="1">
        <v>2080</v>
      </c>
      <c r="H1198" s="1">
        <v>3744</v>
      </c>
      <c r="I1198" s="1">
        <v>0</v>
      </c>
      <c r="J1198" s="1">
        <v>244</v>
      </c>
      <c r="K1198" s="1">
        <f t="shared" ref="K1198:K1261" si="247">(32.67*I1198)/H1198</f>
        <v>0</v>
      </c>
      <c r="L1198" s="1">
        <f t="shared" si="236"/>
        <v>2.1291346153846149</v>
      </c>
      <c r="M1198" s="1">
        <f t="shared" si="237"/>
        <v>2.1291346153846149</v>
      </c>
      <c r="N1198" s="2">
        <f t="shared" si="245"/>
        <v>7.8905297385178184</v>
      </c>
      <c r="O1198" s="1">
        <v>249</v>
      </c>
      <c r="P1198" s="1">
        <f t="shared" si="246"/>
        <v>1623</v>
      </c>
      <c r="Q1198" s="1">
        <f t="shared" si="240"/>
        <v>3.0684591983631111</v>
      </c>
      <c r="R1198" s="1">
        <f t="shared" si="241"/>
        <v>2.6603147857603258</v>
      </c>
      <c r="S1198" s="2">
        <f t="shared" si="242"/>
        <v>18.631681869741143</v>
      </c>
      <c r="T1198" s="2">
        <f t="shared" si="243"/>
        <v>0.32518419381111624</v>
      </c>
      <c r="U1198" s="1" t="s">
        <v>2507</v>
      </c>
      <c r="V1198" s="6" t="s">
        <v>2505</v>
      </c>
    </row>
    <row r="1199" spans="1:24" ht="14.25" customHeight="1" x14ac:dyDescent="0.3">
      <c r="A1199" s="1" t="s">
        <v>27</v>
      </c>
      <c r="B1199" s="1" t="s">
        <v>1587</v>
      </c>
      <c r="C1199" s="1" t="s">
        <v>1588</v>
      </c>
      <c r="D1199" s="1">
        <f t="shared" si="233"/>
        <v>48</v>
      </c>
      <c r="E1199" s="1">
        <f t="shared" si="234"/>
        <v>0.74935185185185194</v>
      </c>
      <c r="F1199" s="2">
        <f t="shared" si="235"/>
        <v>301.31124223708349</v>
      </c>
      <c r="G1199" s="1">
        <v>2080</v>
      </c>
      <c r="H1199" s="1">
        <v>3744</v>
      </c>
      <c r="I1199" s="1">
        <v>0</v>
      </c>
      <c r="J1199" s="1">
        <v>227</v>
      </c>
      <c r="K1199" s="1">
        <f t="shared" si="247"/>
        <v>0</v>
      </c>
      <c r="L1199" s="1">
        <f t="shared" si="236"/>
        <v>1.9807932692307688</v>
      </c>
      <c r="M1199" s="1">
        <f t="shared" si="237"/>
        <v>1.9807932692307688</v>
      </c>
      <c r="N1199" s="2">
        <f t="shared" si="245"/>
        <v>8.4814504678341311</v>
      </c>
      <c r="O1199" s="1">
        <v>246</v>
      </c>
      <c r="P1199" s="1">
        <f t="shared" si="246"/>
        <v>1626</v>
      </c>
      <c r="Q1199" s="1">
        <f t="shared" si="240"/>
        <v>3.298255702205283</v>
      </c>
      <c r="R1199" s="1">
        <f t="shared" si="241"/>
        <v>2.8648310746718963</v>
      </c>
      <c r="S1199" s="2">
        <f t="shared" si="242"/>
        <v>18.663738135858697</v>
      </c>
      <c r="T1199" s="2">
        <f t="shared" si="243"/>
        <v>0.32574368120076302</v>
      </c>
      <c r="U1199" s="1" t="s">
        <v>2507</v>
      </c>
      <c r="V1199" s="6" t="s">
        <v>2505</v>
      </c>
    </row>
    <row r="1200" spans="1:24" ht="14.25" customHeight="1" x14ac:dyDescent="0.3">
      <c r="A1200" s="1" t="s">
        <v>40</v>
      </c>
      <c r="B1200" s="1" t="s">
        <v>45</v>
      </c>
      <c r="C1200" s="1" t="s">
        <v>46</v>
      </c>
      <c r="D1200" s="1">
        <f t="shared" si="233"/>
        <v>8</v>
      </c>
      <c r="E1200" s="1">
        <f t="shared" si="234"/>
        <v>0.99254629629629632</v>
      </c>
      <c r="F1200" s="2">
        <f t="shared" si="235"/>
        <v>51.511865710021098</v>
      </c>
      <c r="G1200" s="1">
        <v>2080</v>
      </c>
      <c r="H1200" s="1">
        <v>3744</v>
      </c>
      <c r="I1200" s="1">
        <v>0</v>
      </c>
      <c r="J1200" s="1">
        <v>150</v>
      </c>
      <c r="K1200" s="1">
        <f t="shared" si="247"/>
        <v>0</v>
      </c>
      <c r="L1200" s="1">
        <f t="shared" si="236"/>
        <v>1.3088942307692308</v>
      </c>
      <c r="M1200" s="1">
        <f t="shared" si="237"/>
        <v>1.3088942307692308</v>
      </c>
      <c r="N1200" s="2">
        <f t="shared" si="245"/>
        <v>12.83526170798898</v>
      </c>
      <c r="O1200" s="1">
        <v>241</v>
      </c>
      <c r="P1200" s="1">
        <f t="shared" si="246"/>
        <v>1631</v>
      </c>
      <c r="Q1200" s="1">
        <f t="shared" si="240"/>
        <v>4.9913602960039931</v>
      </c>
      <c r="R1200" s="1">
        <f t="shared" si="241"/>
        <v>4.3487759843923683</v>
      </c>
      <c r="S1200" s="2">
        <f t="shared" si="242"/>
        <v>18.71713832510213</v>
      </c>
      <c r="T1200" s="2">
        <f t="shared" si="243"/>
        <v>0.32667569032424898</v>
      </c>
      <c r="U1200" s="1" t="s">
        <v>2507</v>
      </c>
      <c r="V1200" s="6" t="s">
        <v>2505</v>
      </c>
    </row>
    <row r="1201" spans="1:24" ht="14.25" customHeight="1" x14ac:dyDescent="0.3">
      <c r="A1201" s="1" t="s">
        <v>17</v>
      </c>
      <c r="B1201" s="1" t="s">
        <v>2336</v>
      </c>
      <c r="C1201" s="1" t="s">
        <v>2337</v>
      </c>
      <c r="D1201" s="1">
        <f t="shared" si="233"/>
        <v>29</v>
      </c>
      <c r="E1201" s="1">
        <f t="shared" si="234"/>
        <v>0.29704861111111108</v>
      </c>
      <c r="F1201" s="2">
        <f t="shared" si="235"/>
        <v>179.08881632405942</v>
      </c>
      <c r="G1201" s="1">
        <v>2080</v>
      </c>
      <c r="H1201" s="1">
        <v>3744</v>
      </c>
      <c r="I1201" s="1">
        <v>0</v>
      </c>
      <c r="J1201" s="1">
        <v>525</v>
      </c>
      <c r="K1201" s="1">
        <f t="shared" si="247"/>
        <v>0</v>
      </c>
      <c r="L1201" s="1">
        <f t="shared" si="236"/>
        <v>4.5811298076923075</v>
      </c>
      <c r="M1201" s="1">
        <f t="shared" si="237"/>
        <v>4.5811298076923075</v>
      </c>
      <c r="N1201" s="2">
        <f t="shared" si="245"/>
        <v>3.6672176308539948</v>
      </c>
      <c r="O1201" s="1">
        <v>238</v>
      </c>
      <c r="P1201" s="1">
        <f t="shared" si="246"/>
        <v>1634</v>
      </c>
      <c r="Q1201" s="1">
        <f t="shared" si="240"/>
        <v>1.4261029417154267</v>
      </c>
      <c r="R1201" s="1">
        <f t="shared" si="241"/>
        <v>1.2447928454930595</v>
      </c>
      <c r="S1201" s="2">
        <f t="shared" si="242"/>
        <v>18.749162264632862</v>
      </c>
      <c r="T1201" s="2">
        <f t="shared" si="243"/>
        <v>0.32723461350851984</v>
      </c>
      <c r="U1201" s="1" t="s">
        <v>2507</v>
      </c>
      <c r="V1201" s="6" t="s">
        <v>2505</v>
      </c>
    </row>
    <row r="1202" spans="1:24" ht="14.25" customHeight="1" x14ac:dyDescent="0.3">
      <c r="A1202" s="1" t="s">
        <v>40</v>
      </c>
      <c r="B1202" s="1" t="s">
        <v>2338</v>
      </c>
      <c r="C1202" s="1" t="s">
        <v>2339</v>
      </c>
      <c r="D1202" s="1">
        <f t="shared" si="233"/>
        <v>76</v>
      </c>
      <c r="E1202" s="1">
        <f t="shared" si="234"/>
        <v>0.98973379629629632</v>
      </c>
      <c r="F1202" s="2">
        <f t="shared" si="235"/>
        <v>478.75079513955649</v>
      </c>
      <c r="G1202" s="1">
        <v>2080</v>
      </c>
      <c r="H1202" s="1">
        <v>3744</v>
      </c>
      <c r="I1202" s="1">
        <v>0</v>
      </c>
      <c r="J1202" s="1">
        <v>105</v>
      </c>
      <c r="K1202" s="1">
        <f t="shared" si="247"/>
        <v>0</v>
      </c>
      <c r="L1202" s="1">
        <f t="shared" si="236"/>
        <v>0.91622596153846148</v>
      </c>
      <c r="M1202" s="1">
        <f t="shared" si="237"/>
        <v>0.91622596153846148</v>
      </c>
      <c r="N1202" s="2">
        <f t="shared" si="245"/>
        <v>18.336088154269973</v>
      </c>
      <c r="O1202" s="1">
        <v>232</v>
      </c>
      <c r="P1202" s="1">
        <f t="shared" si="246"/>
        <v>1640</v>
      </c>
      <c r="Q1202" s="1">
        <f t="shared" si="240"/>
        <v>7.1305147085771328</v>
      </c>
      <c r="R1202" s="1">
        <f t="shared" si="241"/>
        <v>6.2468184412748382</v>
      </c>
      <c r="S1202" s="2">
        <f t="shared" si="242"/>
        <v>18.81317369101885</v>
      </c>
      <c r="T1202" s="2">
        <f t="shared" si="243"/>
        <v>0.32835182365785331</v>
      </c>
      <c r="U1202" s="1" t="s">
        <v>2507</v>
      </c>
      <c r="V1202" s="6" t="s">
        <v>2505</v>
      </c>
    </row>
    <row r="1203" spans="1:24" ht="14.25" customHeight="1" x14ac:dyDescent="0.3">
      <c r="A1203" s="1" t="s">
        <v>17</v>
      </c>
      <c r="B1203" s="1" t="s">
        <v>2340</v>
      </c>
      <c r="C1203" s="1" t="s">
        <v>2341</v>
      </c>
      <c r="D1203" s="1">
        <f t="shared" si="233"/>
        <v>53</v>
      </c>
      <c r="E1203" s="1">
        <f t="shared" si="234"/>
        <v>0.88390046296296287</v>
      </c>
      <c r="F1203" s="2">
        <f t="shared" si="235"/>
        <v>333.57256262941621</v>
      </c>
      <c r="G1203" s="1">
        <v>2080</v>
      </c>
      <c r="H1203" s="1">
        <v>3744</v>
      </c>
      <c r="I1203" s="1">
        <v>0</v>
      </c>
      <c r="J1203" s="1">
        <v>411</v>
      </c>
      <c r="K1203" s="1">
        <f t="shared" si="247"/>
        <v>0</v>
      </c>
      <c r="L1203" s="1">
        <f t="shared" si="236"/>
        <v>3.5863701923076921</v>
      </c>
      <c r="M1203" s="1">
        <f t="shared" si="237"/>
        <v>3.5863701923076921</v>
      </c>
      <c r="N1203" s="2">
        <f t="shared" si="245"/>
        <v>4.6844020832076581</v>
      </c>
      <c r="O1203" s="1">
        <v>230</v>
      </c>
      <c r="P1203" s="1">
        <f t="shared" si="246"/>
        <v>1642</v>
      </c>
      <c r="Q1203" s="1">
        <f t="shared" si="240"/>
        <v>1.8216643416072971</v>
      </c>
      <c r="R1203" s="1">
        <f t="shared" si="241"/>
        <v>1.5978487440807594</v>
      </c>
      <c r="S1203" s="2">
        <f t="shared" si="242"/>
        <v>18.834500018179224</v>
      </c>
      <c r="T1203" s="2">
        <f t="shared" si="243"/>
        <v>0.3287240382841593</v>
      </c>
      <c r="U1203" s="1" t="s">
        <v>2507</v>
      </c>
      <c r="V1203" s="6" t="s">
        <v>2505</v>
      </c>
    </row>
    <row r="1204" spans="1:24" ht="14.25" customHeight="1" x14ac:dyDescent="0.3">
      <c r="A1204" s="1" t="s">
        <v>27</v>
      </c>
      <c r="B1204" s="1" t="s">
        <v>2342</v>
      </c>
      <c r="C1204" s="1" t="s">
        <v>2343</v>
      </c>
      <c r="D1204" s="1">
        <f t="shared" si="233"/>
        <v>73</v>
      </c>
      <c r="E1204" s="1">
        <f t="shared" si="234"/>
        <v>0.6287962962962963</v>
      </c>
      <c r="F1204" s="2">
        <f t="shared" si="235"/>
        <v>457.63340202120764</v>
      </c>
      <c r="G1204" s="1">
        <v>2080</v>
      </c>
      <c r="H1204" s="1">
        <v>3744</v>
      </c>
      <c r="I1204" s="1">
        <v>0</v>
      </c>
      <c r="J1204" s="1">
        <v>102</v>
      </c>
      <c r="K1204" s="1">
        <f t="shared" si="247"/>
        <v>0</v>
      </c>
      <c r="L1204" s="1">
        <f t="shared" si="236"/>
        <v>0.89004807692307686</v>
      </c>
      <c r="M1204" s="1">
        <f t="shared" si="237"/>
        <v>0.89004807692307686</v>
      </c>
      <c r="N1204" s="2">
        <f t="shared" si="245"/>
        <v>18.875384864689678</v>
      </c>
      <c r="O1204" s="1">
        <v>225</v>
      </c>
      <c r="P1204" s="1">
        <f t="shared" si="246"/>
        <v>1647</v>
      </c>
      <c r="Q1204" s="1">
        <f t="shared" si="240"/>
        <v>7.3402357294176372</v>
      </c>
      <c r="R1204" s="1">
        <f t="shared" si="241"/>
        <v>6.457995858093402</v>
      </c>
      <c r="S1204" s="2">
        <f t="shared" si="242"/>
        <v>18.88779214184078</v>
      </c>
      <c r="T1204" s="2">
        <f t="shared" si="243"/>
        <v>0.32965416130743347</v>
      </c>
      <c r="U1204" s="1" t="s">
        <v>2507</v>
      </c>
      <c r="V1204" s="6" t="s">
        <v>2505</v>
      </c>
    </row>
    <row r="1205" spans="1:24" ht="14.25" customHeight="1" x14ac:dyDescent="0.3">
      <c r="A1205" s="1" t="s">
        <v>17</v>
      </c>
      <c r="B1205" s="1" t="s">
        <v>2344</v>
      </c>
      <c r="C1205" s="1" t="s">
        <v>2345</v>
      </c>
      <c r="D1205" s="1">
        <f t="shared" si="233"/>
        <v>29</v>
      </c>
      <c r="E1205" s="1">
        <f t="shared" si="234"/>
        <v>0.29706018518518518</v>
      </c>
      <c r="F1205" s="2">
        <f t="shared" si="235"/>
        <v>179.0888890461116</v>
      </c>
      <c r="G1205" s="1">
        <v>2080</v>
      </c>
      <c r="H1205" s="1">
        <v>3744</v>
      </c>
      <c r="I1205" s="1">
        <v>0</v>
      </c>
      <c r="J1205" s="1">
        <v>522</v>
      </c>
      <c r="K1205" s="1">
        <f t="shared" si="247"/>
        <v>0</v>
      </c>
      <c r="L1205" s="1">
        <f t="shared" si="236"/>
        <v>4.5549519230769224</v>
      </c>
      <c r="M1205" s="1">
        <f t="shared" si="237"/>
        <v>4.5549519230769224</v>
      </c>
      <c r="N1205" s="2">
        <f t="shared" si="245"/>
        <v>3.6882935942497079</v>
      </c>
      <c r="O1205" s="1">
        <v>220</v>
      </c>
      <c r="P1205" s="1">
        <f t="shared" si="246"/>
        <v>1652</v>
      </c>
      <c r="Q1205" s="1">
        <f t="shared" si="240"/>
        <v>1.4342989356333316</v>
      </c>
      <c r="R1205" s="1">
        <f t="shared" si="241"/>
        <v>1.2657381632832605</v>
      </c>
      <c r="S1205" s="2">
        <f t="shared" si="242"/>
        <v>18.941050368685644</v>
      </c>
      <c r="T1205" s="2">
        <f t="shared" si="243"/>
        <v>0.33058369271965038</v>
      </c>
      <c r="U1205" s="1" t="s">
        <v>2507</v>
      </c>
      <c r="V1205" s="6" t="s">
        <v>2505</v>
      </c>
    </row>
    <row r="1206" spans="1:24" ht="14.25" customHeight="1" x14ac:dyDescent="0.3">
      <c r="A1206" s="1" t="s">
        <v>17</v>
      </c>
      <c r="B1206" s="1" t="s">
        <v>2346</v>
      </c>
      <c r="C1206" s="1" t="s">
        <v>2347</v>
      </c>
      <c r="D1206" s="1">
        <f t="shared" si="233"/>
        <v>53</v>
      </c>
      <c r="E1206" s="1">
        <f t="shared" si="234"/>
        <v>0.88388888888888895</v>
      </c>
      <c r="F1206" s="2">
        <f t="shared" si="235"/>
        <v>333.57248990736406</v>
      </c>
      <c r="G1206" s="1">
        <v>2080</v>
      </c>
      <c r="H1206" s="1">
        <v>3744</v>
      </c>
      <c r="I1206" s="1">
        <v>0</v>
      </c>
      <c r="J1206" s="1">
        <v>408</v>
      </c>
      <c r="K1206" s="1">
        <f t="shared" si="247"/>
        <v>0</v>
      </c>
      <c r="L1206" s="1">
        <f t="shared" si="236"/>
        <v>3.5601923076923074</v>
      </c>
      <c r="M1206" s="1">
        <f t="shared" si="237"/>
        <v>3.5601923076923074</v>
      </c>
      <c r="N1206" s="2">
        <f t="shared" si="245"/>
        <v>4.7188462161724196</v>
      </c>
      <c r="O1206" s="1">
        <v>220</v>
      </c>
      <c r="P1206" s="1">
        <f t="shared" si="246"/>
        <v>1652</v>
      </c>
      <c r="Q1206" s="1">
        <f t="shared" si="240"/>
        <v>1.8350589323544093</v>
      </c>
      <c r="R1206" s="1">
        <f t="shared" si="241"/>
        <v>1.6194002971418184</v>
      </c>
      <c r="S1206" s="2">
        <f t="shared" si="242"/>
        <v>18.941050368685644</v>
      </c>
      <c r="T1206" s="2">
        <f t="shared" si="243"/>
        <v>0.33058369271965038</v>
      </c>
      <c r="U1206" s="1" t="s">
        <v>2507</v>
      </c>
      <c r="V1206" s="6" t="s">
        <v>2505</v>
      </c>
    </row>
    <row r="1207" spans="1:24" ht="14.25" customHeight="1" x14ac:dyDescent="0.3">
      <c r="A1207" s="1" t="s">
        <v>17</v>
      </c>
      <c r="B1207" s="1" t="s">
        <v>2348</v>
      </c>
      <c r="C1207" s="1" t="s">
        <v>2349</v>
      </c>
      <c r="D1207" s="1">
        <f t="shared" si="233"/>
        <v>29</v>
      </c>
      <c r="E1207" s="1">
        <f t="shared" si="234"/>
        <v>0.29734953703703704</v>
      </c>
      <c r="F1207" s="2">
        <f t="shared" si="235"/>
        <v>179.09070709741576</v>
      </c>
      <c r="G1207" s="1">
        <v>2080</v>
      </c>
      <c r="H1207" s="1">
        <v>3744</v>
      </c>
      <c r="I1207" s="1">
        <v>0</v>
      </c>
      <c r="J1207" s="1">
        <v>576</v>
      </c>
      <c r="K1207" s="1">
        <f t="shared" si="247"/>
        <v>0</v>
      </c>
      <c r="L1207" s="1">
        <f t="shared" si="236"/>
        <v>5.0261538461538464</v>
      </c>
      <c r="M1207" s="1">
        <f t="shared" si="237"/>
        <v>5.0261538461538464</v>
      </c>
      <c r="N1207" s="2">
        <f t="shared" si="245"/>
        <v>3.3425160697887972</v>
      </c>
      <c r="O1207" s="1">
        <v>217</v>
      </c>
      <c r="P1207" s="1">
        <f t="shared" si="246"/>
        <v>1655</v>
      </c>
      <c r="Q1207" s="1">
        <f t="shared" si="240"/>
        <v>1.2998334104177065</v>
      </c>
      <c r="R1207" s="1">
        <f t="shared" si="241"/>
        <v>1.1491582768383035</v>
      </c>
      <c r="S1207" s="2">
        <f t="shared" si="242"/>
        <v>18.97298900950771</v>
      </c>
      <c r="T1207" s="2">
        <f t="shared" si="243"/>
        <v>0.33114112716060728</v>
      </c>
      <c r="U1207" s="1" t="s">
        <v>2507</v>
      </c>
      <c r="V1207" s="6" t="s">
        <v>2505</v>
      </c>
    </row>
    <row r="1208" spans="1:24" ht="14.25" customHeight="1" x14ac:dyDescent="0.3">
      <c r="A1208" s="1" t="s">
        <v>82</v>
      </c>
      <c r="B1208" s="1" t="s">
        <v>1723</v>
      </c>
      <c r="C1208" s="1" t="s">
        <v>1724</v>
      </c>
      <c r="D1208" s="1">
        <f t="shared" si="233"/>
        <v>44</v>
      </c>
      <c r="E1208" s="1">
        <f t="shared" si="234"/>
        <v>0.98166666666666658</v>
      </c>
      <c r="F1208" s="2">
        <f t="shared" si="235"/>
        <v>277.63817803944977</v>
      </c>
      <c r="G1208" s="1">
        <v>2080</v>
      </c>
      <c r="H1208" s="1">
        <v>3744</v>
      </c>
      <c r="I1208" s="1">
        <v>0</v>
      </c>
      <c r="J1208" s="1">
        <v>150</v>
      </c>
      <c r="K1208" s="1">
        <f t="shared" si="247"/>
        <v>0</v>
      </c>
      <c r="L1208" s="1">
        <f t="shared" si="236"/>
        <v>1.3088942307692308</v>
      </c>
      <c r="M1208" s="1">
        <f t="shared" si="237"/>
        <v>1.3088942307692308</v>
      </c>
      <c r="N1208" s="2">
        <f t="shared" si="245"/>
        <v>12.83526170798898</v>
      </c>
      <c r="O1208" s="1">
        <v>216</v>
      </c>
      <c r="P1208" s="1">
        <f t="shared" si="246"/>
        <v>1656</v>
      </c>
      <c r="Q1208" s="1">
        <f t="shared" si="240"/>
        <v>4.9913602960039931</v>
      </c>
      <c r="R1208" s="1">
        <f t="shared" si="241"/>
        <v>4.4154341080035326</v>
      </c>
      <c r="S1208" s="2">
        <f t="shared" si="242"/>
        <v>18.983632504381671</v>
      </c>
      <c r="T1208" s="2">
        <f t="shared" si="243"/>
        <v>0.33132689119007702</v>
      </c>
      <c r="U1208" s="1" t="s">
        <v>2507</v>
      </c>
      <c r="V1208" s="6" t="s">
        <v>2505</v>
      </c>
    </row>
    <row r="1209" spans="1:24" ht="14.25" customHeight="1" x14ac:dyDescent="0.3">
      <c r="A1209" s="1" t="s">
        <v>14</v>
      </c>
      <c r="B1209" s="1" t="s">
        <v>2350</v>
      </c>
      <c r="C1209" s="1" t="s">
        <v>2351</v>
      </c>
      <c r="D1209" s="1">
        <f t="shared" si="233"/>
        <v>79</v>
      </c>
      <c r="E1209" s="1">
        <f t="shared" si="234"/>
        <v>0.83590277777777777</v>
      </c>
      <c r="F1209" s="2">
        <f t="shared" si="235"/>
        <v>496.63380226575123</v>
      </c>
      <c r="G1209" s="1">
        <v>2080</v>
      </c>
      <c r="H1209" s="1">
        <v>3744</v>
      </c>
      <c r="I1209" s="1">
        <v>0</v>
      </c>
      <c r="J1209" s="1">
        <v>184</v>
      </c>
      <c r="K1209" s="1">
        <f t="shared" si="247"/>
        <v>0</v>
      </c>
      <c r="L1209" s="1">
        <f t="shared" si="236"/>
        <v>1.605576923076923</v>
      </c>
      <c r="M1209" s="1">
        <f t="shared" si="237"/>
        <v>1.605576923076923</v>
      </c>
      <c r="N1209" s="2">
        <f t="shared" si="245"/>
        <v>10.463528566295366</v>
      </c>
      <c r="O1209" s="1">
        <v>212</v>
      </c>
      <c r="P1209" s="1">
        <f t="shared" si="246"/>
        <v>1660</v>
      </c>
      <c r="Q1209" s="1">
        <f t="shared" si="240"/>
        <v>4.069043719568473</v>
      </c>
      <c r="R1209" s="1">
        <f t="shared" si="241"/>
        <v>3.6082332128652057</v>
      </c>
      <c r="S1209" s="2">
        <f t="shared" si="242"/>
        <v>19.026192877575387</v>
      </c>
      <c r="T1209" s="2">
        <f t="shared" si="243"/>
        <v>0.3320697098331849</v>
      </c>
      <c r="U1209" s="1" t="s">
        <v>2507</v>
      </c>
      <c r="V1209" s="6" t="s">
        <v>2505</v>
      </c>
    </row>
    <row r="1210" spans="1:24" ht="14.25" customHeight="1" x14ac:dyDescent="0.3">
      <c r="A1210" s="1" t="s">
        <v>17</v>
      </c>
      <c r="B1210" s="1" t="s">
        <v>2352</v>
      </c>
      <c r="C1210" s="1" t="s">
        <v>2353</v>
      </c>
      <c r="D1210" s="1">
        <f t="shared" si="233"/>
        <v>29</v>
      </c>
      <c r="E1210" s="1">
        <f t="shared" si="234"/>
        <v>0.29707175925925927</v>
      </c>
      <c r="F1210" s="2">
        <f t="shared" si="235"/>
        <v>179.08896176816376</v>
      </c>
      <c r="G1210" s="1">
        <v>2080</v>
      </c>
      <c r="H1210" s="1">
        <v>3744</v>
      </c>
      <c r="I1210" s="1">
        <v>0</v>
      </c>
      <c r="J1210" s="1">
        <v>516</v>
      </c>
      <c r="K1210" s="1">
        <f t="shared" si="247"/>
        <v>0</v>
      </c>
      <c r="L1210" s="1">
        <f t="shared" si="236"/>
        <v>4.5025961538461541</v>
      </c>
      <c r="M1210" s="1">
        <f t="shared" si="237"/>
        <v>4.5025961538461541</v>
      </c>
      <c r="N1210" s="2">
        <f t="shared" si="245"/>
        <v>3.7311807290665642</v>
      </c>
      <c r="O1210" s="1">
        <v>208</v>
      </c>
      <c r="P1210" s="1">
        <f t="shared" si="246"/>
        <v>1664</v>
      </c>
      <c r="Q1210" s="1">
        <f t="shared" si="240"/>
        <v>1.4509768302337189</v>
      </c>
      <c r="R1210" s="1">
        <f t="shared" si="241"/>
        <v>1.2897571824299723</v>
      </c>
      <c r="S1210" s="2">
        <f t="shared" si="242"/>
        <v>19.068731458013964</v>
      </c>
      <c r="T1210" s="2">
        <f t="shared" si="243"/>
        <v>0.33281214812096255</v>
      </c>
      <c r="U1210" s="1" t="s">
        <v>2507</v>
      </c>
      <c r="V1210" s="6" t="s">
        <v>2505</v>
      </c>
      <c r="W1210" s="1"/>
      <c r="X1210" s="1"/>
    </row>
    <row r="1211" spans="1:24" ht="14.25" customHeight="1" x14ac:dyDescent="0.3">
      <c r="A1211" s="1" t="s">
        <v>14</v>
      </c>
      <c r="B1211" s="1" t="s">
        <v>2354</v>
      </c>
      <c r="C1211" s="1" t="s">
        <v>2355</v>
      </c>
      <c r="D1211" s="1">
        <f t="shared" si="233"/>
        <v>76</v>
      </c>
      <c r="E1211" s="1">
        <f t="shared" si="234"/>
        <v>0.32534722222222223</v>
      </c>
      <c r="F1211" s="2">
        <f t="shared" si="235"/>
        <v>474.57633117904692</v>
      </c>
      <c r="G1211" s="1">
        <v>2080</v>
      </c>
      <c r="H1211" s="1">
        <v>3744</v>
      </c>
      <c r="I1211" s="1">
        <v>0</v>
      </c>
      <c r="J1211" s="1">
        <v>144</v>
      </c>
      <c r="K1211" s="1">
        <f t="shared" si="247"/>
        <v>0</v>
      </c>
      <c r="L1211" s="1">
        <f t="shared" si="236"/>
        <v>1.2565384615384616</v>
      </c>
      <c r="M1211" s="1">
        <f t="shared" si="237"/>
        <v>1.2565384615384616</v>
      </c>
      <c r="N1211" s="2">
        <f t="shared" si="245"/>
        <v>13.370064279155189</v>
      </c>
      <c r="O1211" s="1">
        <v>198</v>
      </c>
      <c r="P1211" s="1">
        <f t="shared" si="246"/>
        <v>1674</v>
      </c>
      <c r="Q1211" s="1">
        <f t="shared" si="240"/>
        <v>5.199333641670826</v>
      </c>
      <c r="R1211" s="1">
        <f t="shared" si="241"/>
        <v>4.6494041218787192</v>
      </c>
      <c r="S1211" s="2">
        <f t="shared" si="242"/>
        <v>19.174982368419005</v>
      </c>
      <c r="T1211" s="2">
        <f t="shared" si="243"/>
        <v>0.33466657634077202</v>
      </c>
      <c r="U1211" s="1" t="s">
        <v>2507</v>
      </c>
      <c r="V1211" s="6" t="s">
        <v>2505</v>
      </c>
    </row>
    <row r="1212" spans="1:24" ht="14.25" customHeight="1" x14ac:dyDescent="0.3">
      <c r="A1212" s="1" t="s">
        <v>40</v>
      </c>
      <c r="B1212" s="1" t="s">
        <v>2356</v>
      </c>
      <c r="C1212" s="1" t="s">
        <v>2357</v>
      </c>
      <c r="D1212" s="1">
        <f t="shared" si="233"/>
        <v>76</v>
      </c>
      <c r="E1212" s="1">
        <f t="shared" si="234"/>
        <v>0.98972222222222228</v>
      </c>
      <c r="F1212" s="2">
        <f t="shared" si="235"/>
        <v>478.75072241750439</v>
      </c>
      <c r="G1212" s="1">
        <v>2080</v>
      </c>
      <c r="H1212" s="1">
        <v>3744</v>
      </c>
      <c r="I1212" s="1">
        <v>0</v>
      </c>
      <c r="J1212" s="1">
        <v>269</v>
      </c>
      <c r="K1212" s="1">
        <f t="shared" si="247"/>
        <v>0</v>
      </c>
      <c r="L1212" s="1">
        <f t="shared" si="236"/>
        <v>2.3472836538461537</v>
      </c>
      <c r="M1212" s="1">
        <f t="shared" si="237"/>
        <v>2.3472836538461537</v>
      </c>
      <c r="N1212" s="2">
        <f t="shared" si="245"/>
        <v>7.1572091308488748</v>
      </c>
      <c r="O1212" s="1">
        <v>193</v>
      </c>
      <c r="P1212" s="1">
        <f t="shared" si="246"/>
        <v>1679</v>
      </c>
      <c r="Q1212" s="1">
        <f t="shared" si="240"/>
        <v>2.7832864104111485</v>
      </c>
      <c r="R1212" s="1">
        <f t="shared" si="241"/>
        <v>2.4963343392523067</v>
      </c>
      <c r="S1212" s="2">
        <f t="shared" si="242"/>
        <v>19.228056530167784</v>
      </c>
      <c r="T1212" s="2">
        <f t="shared" si="243"/>
        <v>0.3355928952110242</v>
      </c>
      <c r="U1212" s="1" t="s">
        <v>2507</v>
      </c>
      <c r="V1212" s="6" t="s">
        <v>2505</v>
      </c>
    </row>
    <row r="1213" spans="1:24" ht="14.25" customHeight="1" x14ac:dyDescent="0.3">
      <c r="A1213" s="1" t="s">
        <v>20</v>
      </c>
      <c r="B1213" s="1" t="s">
        <v>2358</v>
      </c>
      <c r="C1213" s="1" t="s">
        <v>2359</v>
      </c>
      <c r="D1213" s="1">
        <f t="shared" si="233"/>
        <v>45</v>
      </c>
      <c r="E1213" s="1">
        <f t="shared" si="234"/>
        <v>0.72846064814814815</v>
      </c>
      <c r="F1213" s="2">
        <f t="shared" si="235"/>
        <v>282.33042301138437</v>
      </c>
      <c r="G1213" s="1">
        <v>2080</v>
      </c>
      <c r="H1213" s="1">
        <v>3744</v>
      </c>
      <c r="I1213" s="1">
        <v>0</v>
      </c>
      <c r="J1213" s="1">
        <v>624</v>
      </c>
      <c r="K1213" s="1">
        <f t="shared" si="247"/>
        <v>0</v>
      </c>
      <c r="L1213" s="1">
        <f t="shared" si="236"/>
        <v>5.4449999999999994</v>
      </c>
      <c r="M1213" s="1">
        <f t="shared" si="237"/>
        <v>5.4449999999999994</v>
      </c>
      <c r="N1213" s="2">
        <f t="shared" si="245"/>
        <v>3.0853994490358132</v>
      </c>
      <c r="O1213" s="1">
        <v>186</v>
      </c>
      <c r="P1213" s="1">
        <f t="shared" si="246"/>
        <v>1686</v>
      </c>
      <c r="Q1213" s="1">
        <f t="shared" si="240"/>
        <v>1.1998462250009601</v>
      </c>
      <c r="R1213" s="1">
        <f t="shared" si="241"/>
        <v>1.0806307346963775</v>
      </c>
      <c r="S1213" s="2">
        <f t="shared" si="242"/>
        <v>19.302302765068376</v>
      </c>
      <c r="T1213" s="2">
        <f t="shared" si="243"/>
        <v>0.33688873646724865</v>
      </c>
      <c r="U1213" s="1" t="s">
        <v>2507</v>
      </c>
      <c r="V1213" s="6" t="s">
        <v>2505</v>
      </c>
    </row>
    <row r="1214" spans="1:24" ht="14.25" customHeight="1" x14ac:dyDescent="0.3">
      <c r="A1214" s="1" t="s">
        <v>40</v>
      </c>
      <c r="B1214" s="1" t="s">
        <v>2360</v>
      </c>
      <c r="C1214" s="1" t="s">
        <v>2361</v>
      </c>
      <c r="D1214" s="1">
        <f t="shared" si="233"/>
        <v>73</v>
      </c>
      <c r="E1214" s="1">
        <f t="shared" si="234"/>
        <v>0.91820601851851846</v>
      </c>
      <c r="F1214" s="2">
        <f t="shared" si="235"/>
        <v>459.45181693562921</v>
      </c>
      <c r="G1214" s="1">
        <v>2080</v>
      </c>
      <c r="H1214" s="1">
        <v>3744</v>
      </c>
      <c r="I1214" s="1">
        <v>0</v>
      </c>
      <c r="J1214" s="1">
        <v>244</v>
      </c>
      <c r="K1214" s="1">
        <f t="shared" si="247"/>
        <v>0</v>
      </c>
      <c r="L1214" s="1">
        <f t="shared" si="236"/>
        <v>2.1291346153846149</v>
      </c>
      <c r="M1214" s="1">
        <f t="shared" si="237"/>
        <v>2.1291346153846149</v>
      </c>
      <c r="N1214" s="2">
        <f>42*0.11/M1214</f>
        <v>2.1698956780923999</v>
      </c>
      <c r="O1214" s="1">
        <v>183</v>
      </c>
      <c r="P1214" s="1">
        <f t="shared" si="246"/>
        <v>1689</v>
      </c>
      <c r="Q1214" s="1">
        <f t="shared" si="240"/>
        <v>0.84382627954985556</v>
      </c>
      <c r="R1214" s="1">
        <f t="shared" si="241"/>
        <v>0.76133685158103959</v>
      </c>
      <c r="S1214" s="2">
        <f t="shared" si="242"/>
        <v>19.334101977056125</v>
      </c>
      <c r="T1214" s="2">
        <f t="shared" si="243"/>
        <v>0.33744373741597455</v>
      </c>
      <c r="U1214" s="1" t="s">
        <v>2508</v>
      </c>
      <c r="V1214" s="6" t="s">
        <v>2505</v>
      </c>
    </row>
    <row r="1215" spans="1:24" ht="14.25" customHeight="1" x14ac:dyDescent="0.3">
      <c r="A1215" s="1" t="s">
        <v>27</v>
      </c>
      <c r="B1215" s="1" t="s">
        <v>2362</v>
      </c>
      <c r="C1215" s="1" t="s">
        <v>2363</v>
      </c>
      <c r="D1215" s="1">
        <f t="shared" si="233"/>
        <v>41</v>
      </c>
      <c r="E1215" s="1">
        <f t="shared" si="234"/>
        <v>0.80903935185185183</v>
      </c>
      <c r="F1215" s="2">
        <f t="shared" si="235"/>
        <v>257.7039727098487</v>
      </c>
      <c r="G1215" s="1">
        <v>2080</v>
      </c>
      <c r="H1215" s="1">
        <v>3744</v>
      </c>
      <c r="I1215" s="1">
        <v>0</v>
      </c>
      <c r="J1215" s="1">
        <v>183</v>
      </c>
      <c r="K1215" s="1">
        <f t="shared" si="247"/>
        <v>0</v>
      </c>
      <c r="L1215" s="1">
        <f t="shared" si="236"/>
        <v>1.5968509615384614</v>
      </c>
      <c r="M1215" s="1">
        <f t="shared" si="237"/>
        <v>1.5968509615384614</v>
      </c>
      <c r="N1215" s="2">
        <f t="shared" ref="N1215:N1230" si="248">42*0.4/M1215</f>
        <v>10.520706318023755</v>
      </c>
      <c r="O1215" s="1">
        <v>181</v>
      </c>
      <c r="P1215" s="1">
        <f t="shared" si="246"/>
        <v>1691</v>
      </c>
      <c r="Q1215" s="1">
        <f t="shared" si="240"/>
        <v>4.0912789311508142</v>
      </c>
      <c r="R1215" s="1">
        <f t="shared" si="241"/>
        <v>3.6957012139829204</v>
      </c>
      <c r="S1215" s="2">
        <f t="shared" si="242"/>
        <v>19.355294574884258</v>
      </c>
      <c r="T1215" s="2">
        <f t="shared" si="243"/>
        <v>0.33781361802512649</v>
      </c>
      <c r="U1215" s="1" t="s">
        <v>2507</v>
      </c>
      <c r="V1215" s="6" t="s">
        <v>2505</v>
      </c>
    </row>
    <row r="1216" spans="1:24" ht="14.25" customHeight="1" x14ac:dyDescent="0.3">
      <c r="A1216" s="1" t="s">
        <v>27</v>
      </c>
      <c r="B1216" s="1" t="s">
        <v>2364</v>
      </c>
      <c r="C1216" s="1" t="s">
        <v>2365</v>
      </c>
      <c r="D1216" s="1">
        <f t="shared" si="233"/>
        <v>43</v>
      </c>
      <c r="E1216" s="1">
        <f t="shared" si="234"/>
        <v>0.22097222222222224</v>
      </c>
      <c r="F1216" s="2">
        <f t="shared" si="235"/>
        <v>266.5754085756837</v>
      </c>
      <c r="G1216" s="1">
        <v>2080</v>
      </c>
      <c r="H1216" s="1">
        <v>3744</v>
      </c>
      <c r="I1216" s="1">
        <v>0</v>
      </c>
      <c r="J1216" s="1">
        <v>143</v>
      </c>
      <c r="K1216" s="1">
        <f t="shared" si="247"/>
        <v>0</v>
      </c>
      <c r="L1216" s="1">
        <f t="shared" si="236"/>
        <v>1.2478125</v>
      </c>
      <c r="M1216" s="1">
        <f t="shared" si="237"/>
        <v>1.2478125</v>
      </c>
      <c r="N1216" s="2">
        <f t="shared" si="248"/>
        <v>13.463561232156275</v>
      </c>
      <c r="O1216" s="1">
        <v>181</v>
      </c>
      <c r="P1216" s="1">
        <f t="shared" si="246"/>
        <v>1691</v>
      </c>
      <c r="Q1216" s="1">
        <f t="shared" si="240"/>
        <v>5.2356926181860075</v>
      </c>
      <c r="R1216" s="1">
        <f t="shared" si="241"/>
        <v>4.7294637913208009</v>
      </c>
      <c r="S1216" s="2">
        <f t="shared" si="242"/>
        <v>19.355294574884258</v>
      </c>
      <c r="T1216" s="2">
        <f t="shared" si="243"/>
        <v>0.33781361802512649</v>
      </c>
      <c r="U1216" s="1" t="s">
        <v>2507</v>
      </c>
      <c r="V1216" s="6" t="s">
        <v>2505</v>
      </c>
    </row>
    <row r="1217" spans="1:24" ht="14.25" customHeight="1" x14ac:dyDescent="0.3">
      <c r="A1217" s="1" t="s">
        <v>17</v>
      </c>
      <c r="B1217" s="1" t="s">
        <v>2366</v>
      </c>
      <c r="C1217" s="1" t="s">
        <v>2367</v>
      </c>
      <c r="D1217" s="1">
        <f t="shared" si="233"/>
        <v>29</v>
      </c>
      <c r="E1217" s="1">
        <f t="shared" si="234"/>
        <v>0.29736111111111113</v>
      </c>
      <c r="F1217" s="2">
        <f t="shared" si="235"/>
        <v>179.09077981946791</v>
      </c>
      <c r="G1217" s="1">
        <v>2080</v>
      </c>
      <c r="H1217" s="1">
        <v>3744</v>
      </c>
      <c r="I1217" s="1">
        <v>0</v>
      </c>
      <c r="J1217" s="1">
        <v>561</v>
      </c>
      <c r="K1217" s="1">
        <f t="shared" si="247"/>
        <v>0</v>
      </c>
      <c r="L1217" s="1">
        <f t="shared" si="236"/>
        <v>4.8952644230769229</v>
      </c>
      <c r="M1217" s="1">
        <f t="shared" si="237"/>
        <v>4.8952644230769229</v>
      </c>
      <c r="N1217" s="2">
        <f t="shared" si="248"/>
        <v>3.4318881572163051</v>
      </c>
      <c r="O1217" s="1">
        <v>180</v>
      </c>
      <c r="P1217" s="1">
        <f t="shared" si="246"/>
        <v>1692</v>
      </c>
      <c r="Q1217" s="1">
        <f t="shared" si="240"/>
        <v>1.3345883144395703</v>
      </c>
      <c r="R1217" s="1">
        <f t="shared" si="241"/>
        <v>1.206262514974227</v>
      </c>
      <c r="S1217" s="2">
        <f t="shared" si="242"/>
        <v>19.365888809377967</v>
      </c>
      <c r="T1217" s="2">
        <f t="shared" si="243"/>
        <v>0.33799852229877003</v>
      </c>
      <c r="U1217" s="1" t="s">
        <v>2507</v>
      </c>
      <c r="V1217" s="6" t="s">
        <v>2505</v>
      </c>
    </row>
    <row r="1218" spans="1:24" ht="14.25" customHeight="1" x14ac:dyDescent="0.3">
      <c r="A1218" s="1" t="s">
        <v>40</v>
      </c>
      <c r="B1218" s="1" t="s">
        <v>339</v>
      </c>
      <c r="C1218" s="1" t="s">
        <v>340</v>
      </c>
      <c r="D1218" s="1">
        <f t="shared" ref="D1218:D1281" si="249">(LEFT(C1218,4)&amp;"-"&amp;MID(C1218,6,2)&amp;"-"&amp;MID(C1218,9,2))-(2019&amp;"-"&amp;5&amp;"-"&amp;28)</f>
        <v>8</v>
      </c>
      <c r="E1218" s="1">
        <f t="shared" ref="E1218:E1281" si="250">TIMEVALUE(RIGHT(C1218,8))</f>
        <v>0.75172453703703701</v>
      </c>
      <c r="F1218" s="2">
        <f t="shared" ref="F1218:F1281" si="251">(D1218+E1218)*2*PI()-4.989969053</f>
        <v>49.998737970594171</v>
      </c>
      <c r="G1218" s="1">
        <v>2080</v>
      </c>
      <c r="H1218" s="1">
        <v>3744</v>
      </c>
      <c r="I1218" s="1">
        <v>0</v>
      </c>
      <c r="J1218" s="1">
        <v>166</v>
      </c>
      <c r="K1218" s="1">
        <f t="shared" si="247"/>
        <v>0</v>
      </c>
      <c r="L1218" s="1">
        <f t="shared" ref="L1218:L1281" si="252">(18.15*J1218)/G1218</f>
        <v>1.4485096153846153</v>
      </c>
      <c r="M1218" s="1">
        <f t="shared" ref="M1218:M1281" si="253">SQRT(K1218*K1218+L1218*L1218)</f>
        <v>1.4485096153846153</v>
      </c>
      <c r="N1218" s="2">
        <f t="shared" si="248"/>
        <v>11.598128049387634</v>
      </c>
      <c r="O1218" s="1">
        <v>179</v>
      </c>
      <c r="P1218" s="1">
        <f t="shared" si="246"/>
        <v>1693</v>
      </c>
      <c r="Q1218" s="1">
        <f t="shared" ref="Q1218:Q1281" si="254">TAN(RADIANS(21.25))*N1218</f>
        <v>4.5102653277144515</v>
      </c>
      <c r="R1218" s="1">
        <f t="shared" ref="R1218:R1281" si="255">Q1218*(P1218/(H1218/2))</f>
        <v>4.0789952990494482</v>
      </c>
      <c r="S1218" s="2">
        <f t="shared" ref="S1218:S1281" si="256">DEGREES(ATAN(R1218/N1218))</f>
        <v>19.37648166698315</v>
      </c>
      <c r="T1218" s="2">
        <f t="shared" ref="T1218:T1281" si="257">RADIANS(S1218)</f>
        <v>0.3381834025411754</v>
      </c>
      <c r="U1218" s="1" t="s">
        <v>2507</v>
      </c>
      <c r="V1218" s="6" t="s">
        <v>2505</v>
      </c>
    </row>
    <row r="1219" spans="1:24" ht="14.25" customHeight="1" x14ac:dyDescent="0.3">
      <c r="A1219" s="1" t="s">
        <v>286</v>
      </c>
      <c r="B1219" s="1" t="s">
        <v>2368</v>
      </c>
      <c r="C1219" s="1" t="s">
        <v>2369</v>
      </c>
      <c r="D1219" s="1">
        <f t="shared" si="249"/>
        <v>26</v>
      </c>
      <c r="E1219" s="1">
        <f t="shared" si="250"/>
        <v>9.3321759259259271E-2</v>
      </c>
      <c r="F1219" s="2">
        <f t="shared" si="251"/>
        <v>158.95920684028715</v>
      </c>
      <c r="G1219" s="1">
        <v>2080</v>
      </c>
      <c r="H1219" s="1">
        <v>3744</v>
      </c>
      <c r="I1219" s="1">
        <v>0</v>
      </c>
      <c r="J1219" s="1">
        <v>145</v>
      </c>
      <c r="K1219" s="1">
        <f t="shared" si="247"/>
        <v>0</v>
      </c>
      <c r="L1219" s="1">
        <f t="shared" si="252"/>
        <v>1.265264423076923</v>
      </c>
      <c r="M1219" s="1">
        <f t="shared" si="253"/>
        <v>1.265264423076923</v>
      </c>
      <c r="N1219" s="2">
        <f t="shared" si="248"/>
        <v>13.277856939298948</v>
      </c>
      <c r="O1219" s="1">
        <v>179</v>
      </c>
      <c r="P1219" s="1">
        <f t="shared" si="246"/>
        <v>1693</v>
      </c>
      <c r="Q1219" s="1">
        <f t="shared" si="254"/>
        <v>5.1634761682799937</v>
      </c>
      <c r="R1219" s="1">
        <f t="shared" si="255"/>
        <v>4.6697463423600585</v>
      </c>
      <c r="S1219" s="2">
        <f t="shared" si="256"/>
        <v>19.376481666983153</v>
      </c>
      <c r="T1219" s="2">
        <f t="shared" si="257"/>
        <v>0.33818340254117546</v>
      </c>
      <c r="U1219" s="1" t="s">
        <v>2507</v>
      </c>
      <c r="V1219" s="6" t="s">
        <v>2505</v>
      </c>
    </row>
    <row r="1220" spans="1:24" ht="14.25" customHeight="1" x14ac:dyDescent="0.3">
      <c r="A1220" s="1" t="s">
        <v>17</v>
      </c>
      <c r="B1220" s="1" t="s">
        <v>2370</v>
      </c>
      <c r="C1220" s="1" t="s">
        <v>2371</v>
      </c>
      <c r="D1220" s="1">
        <f t="shared" si="249"/>
        <v>32</v>
      </c>
      <c r="E1220" s="1">
        <f t="shared" si="250"/>
        <v>0.26170138888888889</v>
      </c>
      <c r="F1220" s="2">
        <f t="shared" si="251"/>
        <v>197.71627909828189</v>
      </c>
      <c r="G1220" s="1">
        <v>2080</v>
      </c>
      <c r="H1220" s="1">
        <v>3744</v>
      </c>
      <c r="I1220" s="1">
        <v>0</v>
      </c>
      <c r="J1220" s="1">
        <v>230</v>
      </c>
      <c r="K1220" s="1">
        <f t="shared" si="247"/>
        <v>0</v>
      </c>
      <c r="L1220" s="1">
        <f t="shared" si="252"/>
        <v>2.0069711538461537</v>
      </c>
      <c r="M1220" s="1">
        <f t="shared" si="253"/>
        <v>2.0069711538461537</v>
      </c>
      <c r="N1220" s="2">
        <f t="shared" si="248"/>
        <v>8.3708228530362927</v>
      </c>
      <c r="O1220" s="1">
        <v>175</v>
      </c>
      <c r="P1220" s="1">
        <f t="shared" si="246"/>
        <v>1697</v>
      </c>
      <c r="Q1220" s="1">
        <f t="shared" si="254"/>
        <v>3.2552349756547785</v>
      </c>
      <c r="R1220" s="1">
        <f t="shared" si="255"/>
        <v>2.9509261504733755</v>
      </c>
      <c r="S1220" s="2">
        <f t="shared" si="256"/>
        <v>19.418839319414161</v>
      </c>
      <c r="T1220" s="2">
        <f t="shared" si="257"/>
        <v>0.33892268303951195</v>
      </c>
      <c r="U1220" s="1" t="s">
        <v>2507</v>
      </c>
      <c r="V1220" s="6" t="s">
        <v>2505</v>
      </c>
    </row>
    <row r="1221" spans="1:24" ht="14.25" customHeight="1" x14ac:dyDescent="0.3">
      <c r="A1221" s="1" t="s">
        <v>17</v>
      </c>
      <c r="B1221" s="1" t="s">
        <v>2372</v>
      </c>
      <c r="C1221" s="1" t="s">
        <v>2373</v>
      </c>
      <c r="D1221" s="1">
        <f t="shared" si="249"/>
        <v>49</v>
      </c>
      <c r="E1221" s="1">
        <f t="shared" si="250"/>
        <v>0.28472222222222221</v>
      </c>
      <c r="F1221" s="2">
        <f t="shared" si="251"/>
        <v>304.67507348209392</v>
      </c>
      <c r="G1221" s="1">
        <v>2080</v>
      </c>
      <c r="H1221" s="1">
        <v>3744</v>
      </c>
      <c r="I1221" s="1">
        <v>0</v>
      </c>
      <c r="J1221" s="1">
        <v>366</v>
      </c>
      <c r="K1221" s="1">
        <f t="shared" si="247"/>
        <v>0</v>
      </c>
      <c r="L1221" s="1">
        <f t="shared" si="252"/>
        <v>3.1937019230769228</v>
      </c>
      <c r="M1221" s="1">
        <f t="shared" si="253"/>
        <v>3.1937019230769228</v>
      </c>
      <c r="N1221" s="2">
        <f t="shared" si="248"/>
        <v>5.2603531590118777</v>
      </c>
      <c r="O1221" s="1">
        <v>175</v>
      </c>
      <c r="P1221" s="1">
        <f t="shared" si="246"/>
        <v>1697</v>
      </c>
      <c r="Q1221" s="1">
        <f t="shared" si="254"/>
        <v>2.0456394655754071</v>
      </c>
      <c r="R1221" s="1">
        <f t="shared" si="255"/>
        <v>1.8544071437400993</v>
      </c>
      <c r="S1221" s="2">
        <f t="shared" si="256"/>
        <v>19.418839319414161</v>
      </c>
      <c r="T1221" s="2">
        <f t="shared" si="257"/>
        <v>0.33892268303951195</v>
      </c>
      <c r="U1221" s="1" t="s">
        <v>2507</v>
      </c>
      <c r="V1221" s="6" t="s">
        <v>2505</v>
      </c>
    </row>
    <row r="1222" spans="1:24" ht="14.25" customHeight="1" x14ac:dyDescent="0.3">
      <c r="A1222" s="1" t="s">
        <v>27</v>
      </c>
      <c r="B1222" s="1" t="s">
        <v>2374</v>
      </c>
      <c r="C1222" s="1" t="s">
        <v>2375</v>
      </c>
      <c r="D1222" s="1">
        <f t="shared" si="249"/>
        <v>87</v>
      </c>
      <c r="E1222" s="1">
        <f t="shared" si="250"/>
        <v>0.78173611111111108</v>
      </c>
      <c r="F1222" s="2">
        <f t="shared" si="251"/>
        <v>546.55894551904908</v>
      </c>
      <c r="G1222" s="1">
        <v>2080</v>
      </c>
      <c r="H1222" s="1">
        <v>3744</v>
      </c>
      <c r="I1222" s="1">
        <v>0</v>
      </c>
      <c r="J1222" s="1">
        <v>117</v>
      </c>
      <c r="K1222" s="1">
        <f t="shared" si="247"/>
        <v>0</v>
      </c>
      <c r="L1222" s="1">
        <f t="shared" si="252"/>
        <v>1.0209374999999998</v>
      </c>
      <c r="M1222" s="1">
        <f t="shared" si="253"/>
        <v>1.0209374999999998</v>
      </c>
      <c r="N1222" s="2">
        <f t="shared" si="248"/>
        <v>16.455463728191003</v>
      </c>
      <c r="O1222" s="1">
        <v>173</v>
      </c>
      <c r="P1222" s="1">
        <f t="shared" si="246"/>
        <v>1699</v>
      </c>
      <c r="Q1222" s="1">
        <f t="shared" si="254"/>
        <v>6.3991798666717861</v>
      </c>
      <c r="R1222" s="1">
        <f t="shared" si="255"/>
        <v>5.8078026674547889</v>
      </c>
      <c r="S1222" s="2">
        <f t="shared" si="256"/>
        <v>19.44000987247653</v>
      </c>
      <c r="T1222" s="2">
        <f t="shared" si="257"/>
        <v>0.33929217889491842</v>
      </c>
      <c r="U1222" s="1" t="s">
        <v>2507</v>
      </c>
      <c r="V1222" s="6" t="s">
        <v>2505</v>
      </c>
    </row>
    <row r="1223" spans="1:24" ht="14.25" customHeight="1" x14ac:dyDescent="0.3">
      <c r="A1223" s="1" t="s">
        <v>40</v>
      </c>
      <c r="B1223" s="1" t="s">
        <v>667</v>
      </c>
      <c r="C1223" s="1" t="s">
        <v>668</v>
      </c>
      <c r="D1223" s="1">
        <f t="shared" si="249"/>
        <v>30</v>
      </c>
      <c r="E1223" s="1">
        <f t="shared" si="250"/>
        <v>2.9502314814814815E-2</v>
      </c>
      <c r="F1223" s="2">
        <f t="shared" si="251"/>
        <v>183.6909586733598</v>
      </c>
      <c r="G1223" s="1">
        <v>2080</v>
      </c>
      <c r="H1223" s="1">
        <v>3744</v>
      </c>
      <c r="I1223" s="1">
        <v>0</v>
      </c>
      <c r="J1223" s="1">
        <v>162</v>
      </c>
      <c r="K1223" s="1">
        <f t="shared" si="247"/>
        <v>0</v>
      </c>
      <c r="L1223" s="1">
        <f t="shared" si="252"/>
        <v>1.4136057692307691</v>
      </c>
      <c r="M1223" s="1">
        <f t="shared" si="253"/>
        <v>1.4136057692307691</v>
      </c>
      <c r="N1223" s="2">
        <f t="shared" si="248"/>
        <v>11.88450158147128</v>
      </c>
      <c r="O1223" s="1">
        <v>170</v>
      </c>
      <c r="P1223" s="1">
        <f t="shared" si="246"/>
        <v>1702</v>
      </c>
      <c r="Q1223" s="1">
        <f t="shared" si="254"/>
        <v>4.6216299037074018</v>
      </c>
      <c r="R1223" s="1">
        <f t="shared" si="255"/>
        <v>4.201930606896366</v>
      </c>
      <c r="S1223" s="2">
        <f t="shared" si="256"/>
        <v>19.471755350436208</v>
      </c>
      <c r="T1223" s="2">
        <f t="shared" si="257"/>
        <v>0.33984624200793412</v>
      </c>
      <c r="U1223" s="1" t="s">
        <v>2507</v>
      </c>
      <c r="V1223" s="6" t="s">
        <v>2505</v>
      </c>
    </row>
    <row r="1224" spans="1:24" ht="14.25" customHeight="1" x14ac:dyDescent="0.3">
      <c r="A1224" s="1" t="s">
        <v>17</v>
      </c>
      <c r="B1224" s="1" t="s">
        <v>2376</v>
      </c>
      <c r="C1224" s="1" t="s">
        <v>2377</v>
      </c>
      <c r="D1224" s="1">
        <f t="shared" si="249"/>
        <v>40</v>
      </c>
      <c r="E1224" s="1">
        <f t="shared" si="250"/>
        <v>7.5277777777777777E-2</v>
      </c>
      <c r="F1224" s="2">
        <f t="shared" si="251"/>
        <v>246.81042746147389</v>
      </c>
      <c r="G1224" s="1">
        <v>2080</v>
      </c>
      <c r="H1224" s="1">
        <v>3744</v>
      </c>
      <c r="I1224" s="1">
        <v>0</v>
      </c>
      <c r="J1224" s="1">
        <v>1118</v>
      </c>
      <c r="K1224" s="1">
        <f t="shared" si="247"/>
        <v>0</v>
      </c>
      <c r="L1224" s="1">
        <f t="shared" si="252"/>
        <v>9.7556249999999984</v>
      </c>
      <c r="M1224" s="1">
        <f t="shared" si="253"/>
        <v>9.7556249999999984</v>
      </c>
      <c r="N1224" s="2">
        <f t="shared" si="248"/>
        <v>1.7220834134153375</v>
      </c>
      <c r="O1224" s="1">
        <v>156</v>
      </c>
      <c r="P1224" s="1">
        <f t="shared" si="246"/>
        <v>1716</v>
      </c>
      <c r="Q1224" s="1">
        <f t="shared" si="254"/>
        <v>0.66968161395402415</v>
      </c>
      <c r="R1224" s="1">
        <f t="shared" si="255"/>
        <v>0.61387481279118883</v>
      </c>
      <c r="S1224" s="2">
        <f t="shared" si="256"/>
        <v>19.619736329057762</v>
      </c>
      <c r="T1224" s="2">
        <f t="shared" si="257"/>
        <v>0.34242899731520354</v>
      </c>
      <c r="U1224" s="1" t="s">
        <v>2507</v>
      </c>
      <c r="V1224" s="6" t="s">
        <v>2505</v>
      </c>
    </row>
    <row r="1225" spans="1:24" ht="14.25" customHeight="1" x14ac:dyDescent="0.3">
      <c r="A1225" s="1" t="s">
        <v>40</v>
      </c>
      <c r="B1225" s="1" t="s">
        <v>2378</v>
      </c>
      <c r="C1225" s="1" t="s">
        <v>2379</v>
      </c>
      <c r="D1225" s="1">
        <f t="shared" si="249"/>
        <v>72</v>
      </c>
      <c r="E1225" s="1">
        <f t="shared" si="250"/>
        <v>0.77545138888888887</v>
      </c>
      <c r="F1225" s="2">
        <f t="shared" si="251"/>
        <v>452.27167783702885</v>
      </c>
      <c r="G1225" s="1">
        <v>2080</v>
      </c>
      <c r="H1225" s="1">
        <v>3744</v>
      </c>
      <c r="I1225" s="1">
        <v>0</v>
      </c>
      <c r="J1225" s="1">
        <v>187</v>
      </c>
      <c r="K1225" s="1">
        <f t="shared" si="247"/>
        <v>0</v>
      </c>
      <c r="L1225" s="1">
        <f t="shared" si="252"/>
        <v>1.6317548076923076</v>
      </c>
      <c r="M1225" s="1">
        <f t="shared" si="253"/>
        <v>1.6317548076923076</v>
      </c>
      <c r="N1225" s="2">
        <f t="shared" si="248"/>
        <v>10.295664471648916</v>
      </c>
      <c r="O1225" s="1">
        <v>156</v>
      </c>
      <c r="P1225" s="1">
        <f t="shared" si="246"/>
        <v>1716</v>
      </c>
      <c r="Q1225" s="1">
        <f t="shared" si="254"/>
        <v>4.0037649433187115</v>
      </c>
      <c r="R1225" s="1">
        <f t="shared" si="255"/>
        <v>3.6701178647088186</v>
      </c>
      <c r="S1225" s="2">
        <f t="shared" si="256"/>
        <v>19.619736329057762</v>
      </c>
      <c r="T1225" s="2">
        <f t="shared" si="257"/>
        <v>0.34242899731520354</v>
      </c>
      <c r="U1225" s="1" t="s">
        <v>2507</v>
      </c>
      <c r="V1225" s="6" t="s">
        <v>2505</v>
      </c>
    </row>
    <row r="1226" spans="1:24" ht="14.25" customHeight="1" x14ac:dyDescent="0.3">
      <c r="A1226" s="1" t="s">
        <v>40</v>
      </c>
      <c r="B1226" s="1" t="s">
        <v>2380</v>
      </c>
      <c r="C1226" s="1" t="s">
        <v>2381</v>
      </c>
      <c r="D1226" s="1">
        <f t="shared" si="249"/>
        <v>78</v>
      </c>
      <c r="E1226" s="1">
        <f t="shared" si="250"/>
        <v>0.10210648148148149</v>
      </c>
      <c r="F1226" s="2">
        <f t="shared" si="251"/>
        <v>485.74003885121999</v>
      </c>
      <c r="G1226" s="1">
        <v>2080</v>
      </c>
      <c r="H1226" s="1">
        <v>3744</v>
      </c>
      <c r="I1226" s="1">
        <v>0</v>
      </c>
      <c r="J1226" s="1">
        <v>778</v>
      </c>
      <c r="K1226" s="1">
        <f t="shared" si="247"/>
        <v>0</v>
      </c>
      <c r="L1226" s="1">
        <f t="shared" si="252"/>
        <v>6.7887980769230767</v>
      </c>
      <c r="M1226" s="1">
        <f t="shared" si="253"/>
        <v>6.7887980769230767</v>
      </c>
      <c r="N1226" s="2">
        <f t="shared" si="248"/>
        <v>2.4746648537253821</v>
      </c>
      <c r="O1226" s="1">
        <v>150</v>
      </c>
      <c r="P1226" s="1">
        <f t="shared" si="246"/>
        <v>1722</v>
      </c>
      <c r="Q1226" s="1">
        <f t="shared" si="254"/>
        <v>0.96234453007789078</v>
      </c>
      <c r="R1226" s="1">
        <f t="shared" si="255"/>
        <v>0.88523359016780334</v>
      </c>
      <c r="S1226" s="2">
        <f t="shared" si="256"/>
        <v>19.6830735586876</v>
      </c>
      <c r="T1226" s="2">
        <f t="shared" si="257"/>
        <v>0.34353444051133597</v>
      </c>
      <c r="U1226" s="1" t="s">
        <v>2507</v>
      </c>
      <c r="V1226" s="6" t="s">
        <v>2505</v>
      </c>
    </row>
    <row r="1227" spans="1:24" ht="14.25" customHeight="1" x14ac:dyDescent="0.3">
      <c r="A1227" s="1" t="s">
        <v>286</v>
      </c>
      <c r="B1227" s="1" t="s">
        <v>2382</v>
      </c>
      <c r="C1227" s="1" t="s">
        <v>2383</v>
      </c>
      <c r="D1227" s="1">
        <f t="shared" si="249"/>
        <v>63</v>
      </c>
      <c r="E1227" s="1">
        <f t="shared" si="250"/>
        <v>0.96452546296296304</v>
      </c>
      <c r="F1227" s="2">
        <f t="shared" si="251"/>
        <v>396.9109975166034</v>
      </c>
      <c r="G1227" s="1">
        <v>2080</v>
      </c>
      <c r="H1227" s="1">
        <v>3744</v>
      </c>
      <c r="I1227" s="1">
        <v>0</v>
      </c>
      <c r="J1227" s="1">
        <v>354</v>
      </c>
      <c r="K1227" s="1">
        <f t="shared" si="247"/>
        <v>0</v>
      </c>
      <c r="L1227" s="1">
        <f t="shared" si="252"/>
        <v>3.0889903846153843</v>
      </c>
      <c r="M1227" s="1">
        <f t="shared" si="253"/>
        <v>3.0889903846153843</v>
      </c>
      <c r="N1227" s="2">
        <f t="shared" si="248"/>
        <v>5.4386702152495685</v>
      </c>
      <c r="O1227" s="1">
        <v>147</v>
      </c>
      <c r="P1227" s="1">
        <f t="shared" si="246"/>
        <v>1725</v>
      </c>
      <c r="Q1227" s="1">
        <f t="shared" si="254"/>
        <v>2.1149831762728786</v>
      </c>
      <c r="R1227" s="1">
        <f t="shared" si="255"/>
        <v>1.9489027665976044</v>
      </c>
      <c r="S1227" s="2">
        <f t="shared" si="256"/>
        <v>19.714723409863275</v>
      </c>
      <c r="T1227" s="2">
        <f t="shared" si="257"/>
        <v>0.3440868346221177</v>
      </c>
      <c r="U1227" s="1" t="s">
        <v>2507</v>
      </c>
      <c r="V1227" s="6" t="s">
        <v>2505</v>
      </c>
    </row>
    <row r="1228" spans="1:24" ht="14.25" customHeight="1" x14ac:dyDescent="0.3">
      <c r="A1228" s="1" t="s">
        <v>40</v>
      </c>
      <c r="B1228" s="1" t="s">
        <v>2384</v>
      </c>
      <c r="C1228" s="1" t="s">
        <v>2385</v>
      </c>
      <c r="D1228" s="1">
        <f t="shared" si="249"/>
        <v>78</v>
      </c>
      <c r="E1228" s="1">
        <f t="shared" si="250"/>
        <v>0.10209490740740741</v>
      </c>
      <c r="F1228" s="2">
        <f t="shared" si="251"/>
        <v>485.73996612916784</v>
      </c>
      <c r="G1228" s="1">
        <v>2080</v>
      </c>
      <c r="H1228" s="1">
        <v>3744</v>
      </c>
      <c r="I1228" s="1">
        <v>0</v>
      </c>
      <c r="J1228" s="1">
        <v>790</v>
      </c>
      <c r="K1228" s="1">
        <f t="shared" si="247"/>
        <v>0</v>
      </c>
      <c r="L1228" s="1">
        <f t="shared" si="252"/>
        <v>6.8935096153846143</v>
      </c>
      <c r="M1228" s="1">
        <f t="shared" si="253"/>
        <v>6.8935096153846143</v>
      </c>
      <c r="N1228" s="2">
        <f t="shared" si="248"/>
        <v>2.4370750078460093</v>
      </c>
      <c r="O1228" s="1">
        <v>132</v>
      </c>
      <c r="P1228" s="1">
        <f t="shared" ref="P1228:P1259" si="258">H1228/2-O1228</f>
        <v>1740</v>
      </c>
      <c r="Q1228" s="1">
        <f t="shared" si="254"/>
        <v>0.94772663848177086</v>
      </c>
      <c r="R1228" s="1">
        <f t="shared" si="255"/>
        <v>0.88089976012728699</v>
      </c>
      <c r="S1228" s="2">
        <f t="shared" si="256"/>
        <v>19.872784555050512</v>
      </c>
      <c r="T1228" s="2">
        <f t="shared" si="257"/>
        <v>0.34684552202510777</v>
      </c>
      <c r="U1228" s="1" t="s">
        <v>2507</v>
      </c>
      <c r="V1228" s="6" t="s">
        <v>2505</v>
      </c>
    </row>
    <row r="1229" spans="1:24" ht="14.25" customHeight="1" x14ac:dyDescent="0.3">
      <c r="A1229" s="1" t="s">
        <v>40</v>
      </c>
      <c r="B1229" s="1" t="s">
        <v>2386</v>
      </c>
      <c r="C1229" s="1" t="s">
        <v>2387</v>
      </c>
      <c r="D1229" s="1">
        <f t="shared" si="249"/>
        <v>63</v>
      </c>
      <c r="E1229" s="1">
        <f t="shared" si="250"/>
        <v>0.33696759259259257</v>
      </c>
      <c r="F1229" s="2">
        <f t="shared" si="251"/>
        <v>392.96793512608741</v>
      </c>
      <c r="G1229" s="1">
        <v>2080</v>
      </c>
      <c r="H1229" s="1">
        <v>3744</v>
      </c>
      <c r="I1229" s="1">
        <v>0</v>
      </c>
      <c r="J1229" s="1">
        <v>114</v>
      </c>
      <c r="K1229" s="1">
        <f t="shared" si="247"/>
        <v>0</v>
      </c>
      <c r="L1229" s="1">
        <f t="shared" si="252"/>
        <v>0.99475961538461533</v>
      </c>
      <c r="M1229" s="1">
        <f t="shared" si="253"/>
        <v>0.99475961538461533</v>
      </c>
      <c r="N1229" s="2">
        <f t="shared" si="248"/>
        <v>16.888502247353923</v>
      </c>
      <c r="O1229" s="1">
        <v>131</v>
      </c>
      <c r="P1229" s="1">
        <f t="shared" si="258"/>
        <v>1741</v>
      </c>
      <c r="Q1229" s="1">
        <f t="shared" si="254"/>
        <v>6.5675793368473592</v>
      </c>
      <c r="R1229" s="1">
        <f t="shared" si="255"/>
        <v>6.1079891161598576</v>
      </c>
      <c r="S1229" s="2">
        <f t="shared" si="256"/>
        <v>19.883310795334541</v>
      </c>
      <c r="T1229" s="2">
        <f t="shared" si="257"/>
        <v>0.34702923957592013</v>
      </c>
      <c r="U1229" s="1" t="s">
        <v>2507</v>
      </c>
      <c r="V1229" s="6" t="s">
        <v>2505</v>
      </c>
    </row>
    <row r="1230" spans="1:24" ht="14.25" customHeight="1" x14ac:dyDescent="0.3">
      <c r="A1230" s="1" t="s">
        <v>27</v>
      </c>
      <c r="B1230" s="1" t="s">
        <v>2388</v>
      </c>
      <c r="C1230" s="1" t="s">
        <v>2389</v>
      </c>
      <c r="D1230" s="1">
        <f t="shared" si="249"/>
        <v>43</v>
      </c>
      <c r="E1230" s="1">
        <f t="shared" si="250"/>
        <v>0.22420138888888888</v>
      </c>
      <c r="F1230" s="2">
        <f t="shared" si="251"/>
        <v>266.59569802823813</v>
      </c>
      <c r="G1230" s="1">
        <v>2080</v>
      </c>
      <c r="H1230" s="1">
        <v>3744</v>
      </c>
      <c r="I1230" s="1">
        <v>0</v>
      </c>
      <c r="J1230" s="1">
        <v>149</v>
      </c>
      <c r="K1230" s="1">
        <f t="shared" si="247"/>
        <v>0</v>
      </c>
      <c r="L1230" s="1">
        <f t="shared" si="252"/>
        <v>1.3001682692307692</v>
      </c>
      <c r="M1230" s="1">
        <f t="shared" si="253"/>
        <v>1.3001682692307692</v>
      </c>
      <c r="N1230" s="2">
        <f t="shared" si="248"/>
        <v>12.921404404015753</v>
      </c>
      <c r="O1230" s="1">
        <v>128</v>
      </c>
      <c r="P1230" s="1">
        <f t="shared" si="258"/>
        <v>1744</v>
      </c>
      <c r="Q1230" s="1">
        <f t="shared" si="254"/>
        <v>5.0248593583932815</v>
      </c>
      <c r="R1230" s="1">
        <f t="shared" si="255"/>
        <v>4.6812792313236553</v>
      </c>
      <c r="S1230" s="2">
        <f t="shared" si="256"/>
        <v>19.914881122672078</v>
      </c>
      <c r="T1230" s="2">
        <f t="shared" si="257"/>
        <v>0.34758024573389251</v>
      </c>
      <c r="U1230" s="1" t="s">
        <v>2507</v>
      </c>
      <c r="V1230" s="6" t="s">
        <v>2505</v>
      </c>
    </row>
    <row r="1231" spans="1:24" ht="14.25" customHeight="1" x14ac:dyDescent="0.3">
      <c r="A1231" s="1" t="s">
        <v>40</v>
      </c>
      <c r="B1231" s="1" t="s">
        <v>1851</v>
      </c>
      <c r="C1231" s="1" t="s">
        <v>1852</v>
      </c>
      <c r="D1231" s="1">
        <f t="shared" si="249"/>
        <v>73</v>
      </c>
      <c r="E1231" s="1">
        <f t="shared" si="250"/>
        <v>0.91821759259259261</v>
      </c>
      <c r="F1231" s="2">
        <f t="shared" si="251"/>
        <v>459.45188965768142</v>
      </c>
      <c r="G1231" s="1">
        <v>2080</v>
      </c>
      <c r="H1231" s="1">
        <v>3744</v>
      </c>
      <c r="I1231" s="1">
        <v>211</v>
      </c>
      <c r="J1231" s="1">
        <v>238</v>
      </c>
      <c r="K1231" s="1">
        <f t="shared" si="247"/>
        <v>1.8411778846153848</v>
      </c>
      <c r="L1231" s="1">
        <f t="shared" si="252"/>
        <v>2.0767788461538461</v>
      </c>
      <c r="M1231" s="1">
        <f t="shared" si="253"/>
        <v>2.7754182349024235</v>
      </c>
      <c r="N1231" s="2">
        <f>42*0.11/M1231</f>
        <v>1.6646139821022063</v>
      </c>
      <c r="O1231" s="1">
        <v>126</v>
      </c>
      <c r="P1231" s="1">
        <f t="shared" si="258"/>
        <v>1746</v>
      </c>
      <c r="Q1231" s="1">
        <f t="shared" si="254"/>
        <v>0.6473329743846612</v>
      </c>
      <c r="R1231" s="1">
        <f t="shared" si="255"/>
        <v>0.60376248572415514</v>
      </c>
      <c r="S1231" s="2">
        <f t="shared" si="256"/>
        <v>19.935921008660433</v>
      </c>
      <c r="T1231" s="2">
        <f t="shared" si="257"/>
        <v>0.34794746101863355</v>
      </c>
      <c r="U1231" s="1" t="s">
        <v>2508</v>
      </c>
      <c r="V1231" s="6" t="s">
        <v>2505</v>
      </c>
    </row>
    <row r="1232" spans="1:24" ht="14.25" customHeight="1" x14ac:dyDescent="0.3">
      <c r="A1232" s="1" t="s">
        <v>40</v>
      </c>
      <c r="B1232" s="1" t="s">
        <v>2390</v>
      </c>
      <c r="C1232" s="1" t="s">
        <v>389</v>
      </c>
      <c r="D1232" s="1">
        <f t="shared" si="249"/>
        <v>6</v>
      </c>
      <c r="E1232" s="1">
        <f t="shared" si="250"/>
        <v>0.23216435185185183</v>
      </c>
      <c r="F1232" s="2">
        <f t="shared" si="251"/>
        <v>34.167874434483942</v>
      </c>
      <c r="G1232" s="1">
        <v>2080</v>
      </c>
      <c r="H1232" s="1">
        <v>3744</v>
      </c>
      <c r="I1232" s="1">
        <v>0</v>
      </c>
      <c r="J1232" s="1">
        <v>183</v>
      </c>
      <c r="K1232" s="1">
        <f t="shared" si="247"/>
        <v>0</v>
      </c>
      <c r="L1232" s="1">
        <f t="shared" si="252"/>
        <v>1.5968509615384614</v>
      </c>
      <c r="M1232" s="1">
        <f t="shared" si="253"/>
        <v>1.5968509615384614</v>
      </c>
      <c r="N1232" s="2">
        <f t="shared" ref="N1232:N1258" si="259">42*0.4/M1232</f>
        <v>10.520706318023755</v>
      </c>
      <c r="O1232" s="1">
        <v>124</v>
      </c>
      <c r="P1232" s="1">
        <f t="shared" si="258"/>
        <v>1748</v>
      </c>
      <c r="Q1232" s="1">
        <f t="shared" si="254"/>
        <v>4.0912789311508142</v>
      </c>
      <c r="R1232" s="1">
        <f t="shared" si="255"/>
        <v>3.8202754122070637</v>
      </c>
      <c r="S1232" s="2">
        <f t="shared" si="256"/>
        <v>19.95695529151461</v>
      </c>
      <c r="T1232" s="2">
        <f t="shared" si="257"/>
        <v>0.34831457851023473</v>
      </c>
      <c r="U1232" s="1" t="s">
        <v>2507</v>
      </c>
      <c r="V1232" s="6" t="s">
        <v>2505</v>
      </c>
      <c r="W1232" s="1"/>
      <c r="X1232" s="1"/>
    </row>
    <row r="1233" spans="1:24" ht="14.25" customHeight="1" x14ac:dyDescent="0.3">
      <c r="A1233" s="1" t="s">
        <v>27</v>
      </c>
      <c r="B1233" s="1" t="s">
        <v>2391</v>
      </c>
      <c r="C1233" s="1" t="s">
        <v>2392</v>
      </c>
      <c r="D1233" s="1">
        <f t="shared" si="249"/>
        <v>84</v>
      </c>
      <c r="E1233" s="1">
        <f t="shared" si="250"/>
        <v>0.30813657407407408</v>
      </c>
      <c r="F1233" s="2">
        <f t="shared" si="251"/>
        <v>524.73367594491208</v>
      </c>
      <c r="G1233" s="1">
        <v>2080</v>
      </c>
      <c r="H1233" s="1">
        <v>3744</v>
      </c>
      <c r="I1233" s="1">
        <v>0</v>
      </c>
      <c r="J1233" s="1">
        <v>201</v>
      </c>
      <c r="K1233" s="1">
        <f t="shared" si="247"/>
        <v>0</v>
      </c>
      <c r="L1233" s="1">
        <f t="shared" si="252"/>
        <v>1.7539182692307691</v>
      </c>
      <c r="M1233" s="1">
        <f t="shared" si="253"/>
        <v>1.7539182692307691</v>
      </c>
      <c r="N1233" s="2">
        <f t="shared" si="259"/>
        <v>9.5785535134246143</v>
      </c>
      <c r="O1233" s="1">
        <v>120</v>
      </c>
      <c r="P1233" s="1">
        <f t="shared" si="258"/>
        <v>1752</v>
      </c>
      <c r="Q1233" s="1">
        <f t="shared" si="254"/>
        <v>3.7248957432865626</v>
      </c>
      <c r="R1233" s="1">
        <f t="shared" si="255"/>
        <v>3.4861203751271677</v>
      </c>
      <c r="S1233" s="2">
        <f t="shared" si="256"/>
        <v>19.999007034110008</v>
      </c>
      <c r="T1233" s="2">
        <f t="shared" si="257"/>
        <v>0.34904851987472557</v>
      </c>
      <c r="U1233" s="1" t="s">
        <v>2507</v>
      </c>
      <c r="V1233" s="6" t="s">
        <v>2505</v>
      </c>
    </row>
    <row r="1234" spans="1:24" ht="14.25" customHeight="1" x14ac:dyDescent="0.3">
      <c r="A1234" s="1" t="s">
        <v>27</v>
      </c>
      <c r="B1234" s="1" t="s">
        <v>2289</v>
      </c>
      <c r="C1234" s="1" t="s">
        <v>2393</v>
      </c>
      <c r="D1234" s="1">
        <f t="shared" si="249"/>
        <v>36</v>
      </c>
      <c r="E1234" s="1">
        <f t="shared" si="250"/>
        <v>0.87418981481481473</v>
      </c>
      <c r="F1234" s="2">
        <f t="shared" si="251"/>
        <v>226.69739860559557</v>
      </c>
      <c r="G1234" s="1">
        <v>2080</v>
      </c>
      <c r="H1234" s="1">
        <v>3744</v>
      </c>
      <c r="I1234" s="1">
        <v>0</v>
      </c>
      <c r="J1234" s="1">
        <v>202</v>
      </c>
      <c r="K1234" s="1">
        <f t="shared" si="247"/>
        <v>0</v>
      </c>
      <c r="L1234" s="1">
        <f t="shared" si="252"/>
        <v>1.7626442307692307</v>
      </c>
      <c r="M1234" s="1">
        <f t="shared" si="253"/>
        <v>1.7626442307692307</v>
      </c>
      <c r="N1234" s="2">
        <f t="shared" si="259"/>
        <v>9.5311349316749858</v>
      </c>
      <c r="O1234" s="1">
        <v>117</v>
      </c>
      <c r="P1234" s="1">
        <f t="shared" si="258"/>
        <v>1755</v>
      </c>
      <c r="Q1234" s="1">
        <f t="shared" si="254"/>
        <v>3.7064556653494996</v>
      </c>
      <c r="R1234" s="1">
        <f t="shared" si="255"/>
        <v>3.4748021862651557</v>
      </c>
      <c r="S1234" s="2">
        <f t="shared" si="256"/>
        <v>20.030531107379105</v>
      </c>
      <c r="T1234" s="2">
        <f t="shared" si="257"/>
        <v>0.34959871874691123</v>
      </c>
      <c r="U1234" s="1" t="s">
        <v>2507</v>
      </c>
      <c r="V1234" s="6" t="s">
        <v>2505</v>
      </c>
    </row>
    <row r="1235" spans="1:24" ht="14.25" customHeight="1" x14ac:dyDescent="0.3">
      <c r="A1235" s="1" t="s">
        <v>27</v>
      </c>
      <c r="B1235" s="1" t="s">
        <v>2394</v>
      </c>
      <c r="C1235" s="1" t="s">
        <v>2395</v>
      </c>
      <c r="D1235" s="1">
        <f t="shared" si="249"/>
        <v>54</v>
      </c>
      <c r="E1235" s="1">
        <f t="shared" si="250"/>
        <v>0.18148148148148147</v>
      </c>
      <c r="F1235" s="2">
        <f t="shared" si="251"/>
        <v>335.44231931266734</v>
      </c>
      <c r="G1235" s="1">
        <v>2080</v>
      </c>
      <c r="H1235" s="1">
        <v>3744</v>
      </c>
      <c r="I1235" s="1">
        <v>0</v>
      </c>
      <c r="J1235" s="1">
        <v>173</v>
      </c>
      <c r="K1235" s="1">
        <f t="shared" si="247"/>
        <v>0</v>
      </c>
      <c r="L1235" s="1">
        <f t="shared" si="252"/>
        <v>1.5095913461538462</v>
      </c>
      <c r="M1235" s="1">
        <f t="shared" si="253"/>
        <v>1.5095913461538462</v>
      </c>
      <c r="N1235" s="2">
        <f t="shared" si="259"/>
        <v>11.128839631204318</v>
      </c>
      <c r="O1235" s="1">
        <v>104</v>
      </c>
      <c r="P1235" s="1">
        <f t="shared" si="258"/>
        <v>1768</v>
      </c>
      <c r="Q1235" s="1">
        <f t="shared" si="254"/>
        <v>4.3277690427780282</v>
      </c>
      <c r="R1235" s="1">
        <f t="shared" si="255"/>
        <v>4.0873374292903595</v>
      </c>
      <c r="S1235" s="2">
        <f t="shared" si="256"/>
        <v>20.16698919706371</v>
      </c>
      <c r="T1235" s="2">
        <f t="shared" si="257"/>
        <v>0.35198036170288932</v>
      </c>
      <c r="U1235" s="1" t="s">
        <v>2507</v>
      </c>
      <c r="V1235" s="6" t="s">
        <v>2505</v>
      </c>
    </row>
    <row r="1236" spans="1:24" ht="14.25" customHeight="1" x14ac:dyDescent="0.3">
      <c r="A1236" s="1" t="s">
        <v>40</v>
      </c>
      <c r="B1236" s="1" t="s">
        <v>2396</v>
      </c>
      <c r="C1236" s="1" t="s">
        <v>2357</v>
      </c>
      <c r="D1236" s="1">
        <f t="shared" si="249"/>
        <v>76</v>
      </c>
      <c r="E1236" s="1">
        <f t="shared" si="250"/>
        <v>0.98972222222222228</v>
      </c>
      <c r="F1236" s="2">
        <f t="shared" si="251"/>
        <v>478.75072241750439</v>
      </c>
      <c r="G1236" s="1">
        <v>2080</v>
      </c>
      <c r="H1236" s="1">
        <v>3744</v>
      </c>
      <c r="I1236" s="1">
        <v>0</v>
      </c>
      <c r="J1236" s="1">
        <v>119</v>
      </c>
      <c r="K1236" s="1">
        <f t="shared" si="247"/>
        <v>0</v>
      </c>
      <c r="L1236" s="1">
        <f t="shared" si="252"/>
        <v>1.0383894230769231</v>
      </c>
      <c r="M1236" s="1">
        <f t="shared" si="253"/>
        <v>1.0383894230769231</v>
      </c>
      <c r="N1236" s="2">
        <f t="shared" si="259"/>
        <v>16.178901312591154</v>
      </c>
      <c r="O1236" s="1">
        <v>104</v>
      </c>
      <c r="P1236" s="1">
        <f t="shared" si="258"/>
        <v>1768</v>
      </c>
      <c r="Q1236" s="1">
        <f t="shared" si="254"/>
        <v>6.2916306252151175</v>
      </c>
      <c r="R1236" s="1">
        <f t="shared" si="255"/>
        <v>5.9420955904809443</v>
      </c>
      <c r="S1236" s="2">
        <f t="shared" si="256"/>
        <v>20.16698919706371</v>
      </c>
      <c r="T1236" s="2">
        <f t="shared" si="257"/>
        <v>0.35198036170288932</v>
      </c>
      <c r="U1236" s="1" t="s">
        <v>2507</v>
      </c>
      <c r="V1236" s="6" t="s">
        <v>2505</v>
      </c>
    </row>
    <row r="1237" spans="1:24" ht="14.25" customHeight="1" x14ac:dyDescent="0.3">
      <c r="A1237" s="1" t="s">
        <v>27</v>
      </c>
      <c r="B1237" s="1" t="s">
        <v>2391</v>
      </c>
      <c r="C1237" s="1" t="s">
        <v>2392</v>
      </c>
      <c r="D1237" s="1">
        <f t="shared" si="249"/>
        <v>84</v>
      </c>
      <c r="E1237" s="1">
        <f t="shared" si="250"/>
        <v>0.30813657407407408</v>
      </c>
      <c r="F1237" s="2">
        <f t="shared" si="251"/>
        <v>524.73367594491208</v>
      </c>
      <c r="G1237" s="1">
        <v>2080</v>
      </c>
      <c r="H1237" s="1">
        <v>3744</v>
      </c>
      <c r="I1237" s="1">
        <v>0</v>
      </c>
      <c r="J1237" s="1">
        <v>186</v>
      </c>
      <c r="K1237" s="1">
        <f t="shared" si="247"/>
        <v>0</v>
      </c>
      <c r="L1237" s="1">
        <f t="shared" si="252"/>
        <v>1.623028846153846</v>
      </c>
      <c r="M1237" s="1">
        <f t="shared" si="253"/>
        <v>1.623028846153846</v>
      </c>
      <c r="N1237" s="2">
        <f t="shared" si="259"/>
        <v>10.351017506442728</v>
      </c>
      <c r="O1237" s="1">
        <v>103</v>
      </c>
      <c r="P1237" s="1">
        <f t="shared" si="258"/>
        <v>1769</v>
      </c>
      <c r="Q1237" s="1">
        <f t="shared" si="254"/>
        <v>4.0252905612935432</v>
      </c>
      <c r="R1237" s="1">
        <f t="shared" si="255"/>
        <v>3.8038135699403193</v>
      </c>
      <c r="S1237" s="2">
        <f t="shared" si="256"/>
        <v>20.177476114204453</v>
      </c>
      <c r="T1237" s="2">
        <f t="shared" si="257"/>
        <v>0.35216339293537907</v>
      </c>
      <c r="U1237" s="1" t="s">
        <v>2507</v>
      </c>
      <c r="V1237" s="6" t="s">
        <v>2505</v>
      </c>
      <c r="W1237" s="1"/>
      <c r="X1237" s="1"/>
    </row>
    <row r="1238" spans="1:24" ht="14.25" customHeight="1" x14ac:dyDescent="0.3">
      <c r="A1238" s="1" t="s">
        <v>40</v>
      </c>
      <c r="B1238" s="1" t="s">
        <v>1260</v>
      </c>
      <c r="C1238" s="1" t="s">
        <v>1261</v>
      </c>
      <c r="D1238" s="1">
        <f t="shared" si="249"/>
        <v>10</v>
      </c>
      <c r="E1238" s="1">
        <f t="shared" si="250"/>
        <v>0.83398148148148143</v>
      </c>
      <c r="F1238" s="2">
        <f t="shared" si="251"/>
        <v>63.081944209700175</v>
      </c>
      <c r="G1238" s="1">
        <v>2080</v>
      </c>
      <c r="H1238" s="1">
        <v>3744</v>
      </c>
      <c r="I1238" s="1">
        <v>0</v>
      </c>
      <c r="J1238" s="1">
        <v>158</v>
      </c>
      <c r="K1238" s="1">
        <f t="shared" si="247"/>
        <v>0</v>
      </c>
      <c r="L1238" s="1">
        <f t="shared" si="252"/>
        <v>1.3787019230769231</v>
      </c>
      <c r="M1238" s="1">
        <f t="shared" si="253"/>
        <v>1.3787019230769231</v>
      </c>
      <c r="N1238" s="2">
        <f t="shared" si="259"/>
        <v>12.185375039230046</v>
      </c>
      <c r="O1238" s="1">
        <v>103</v>
      </c>
      <c r="P1238" s="1">
        <f t="shared" si="258"/>
        <v>1769</v>
      </c>
      <c r="Q1238" s="1">
        <f t="shared" si="254"/>
        <v>4.7386331924088543</v>
      </c>
      <c r="R1238" s="1">
        <f t="shared" si="255"/>
        <v>4.4779071139803754</v>
      </c>
      <c r="S1238" s="2">
        <f t="shared" si="256"/>
        <v>20.177476114204456</v>
      </c>
      <c r="T1238" s="2">
        <f t="shared" si="257"/>
        <v>0.35216339293537913</v>
      </c>
      <c r="U1238" s="1" t="s">
        <v>2507</v>
      </c>
      <c r="V1238" s="6" t="s">
        <v>2505</v>
      </c>
    </row>
    <row r="1239" spans="1:24" ht="14.25" customHeight="1" x14ac:dyDescent="0.3">
      <c r="A1239" s="1" t="s">
        <v>82</v>
      </c>
      <c r="B1239" s="1" t="s">
        <v>2397</v>
      </c>
      <c r="C1239" s="1" t="s">
        <v>2398</v>
      </c>
      <c r="D1239" s="1">
        <f t="shared" si="249"/>
        <v>55</v>
      </c>
      <c r="E1239" s="1">
        <f t="shared" si="250"/>
        <v>0.1988425925925926</v>
      </c>
      <c r="F1239" s="2">
        <f t="shared" si="251"/>
        <v>341.83458769809653</v>
      </c>
      <c r="G1239" s="1">
        <v>2080</v>
      </c>
      <c r="H1239" s="1">
        <v>3744</v>
      </c>
      <c r="I1239" s="1">
        <v>0</v>
      </c>
      <c r="J1239" s="1">
        <v>472</v>
      </c>
      <c r="K1239" s="1">
        <f t="shared" si="247"/>
        <v>0</v>
      </c>
      <c r="L1239" s="1">
        <f t="shared" si="252"/>
        <v>4.1186538461538458</v>
      </c>
      <c r="M1239" s="1">
        <f t="shared" si="253"/>
        <v>4.1186538461538458</v>
      </c>
      <c r="N1239" s="2">
        <f t="shared" si="259"/>
        <v>4.079002661437177</v>
      </c>
      <c r="O1239" s="1">
        <v>103</v>
      </c>
      <c r="P1239" s="1">
        <f t="shared" si="258"/>
        <v>1769</v>
      </c>
      <c r="Q1239" s="1">
        <f t="shared" si="254"/>
        <v>1.5862373822046592</v>
      </c>
      <c r="R1239" s="1">
        <f t="shared" si="255"/>
        <v>1.4989604322222447</v>
      </c>
      <c r="S1239" s="2">
        <f t="shared" si="256"/>
        <v>20.177476114204456</v>
      </c>
      <c r="T1239" s="2">
        <f t="shared" si="257"/>
        <v>0.35216339293537913</v>
      </c>
      <c r="U1239" s="1" t="s">
        <v>2507</v>
      </c>
      <c r="V1239" s="6" t="s">
        <v>2505</v>
      </c>
    </row>
    <row r="1240" spans="1:24" ht="14.25" customHeight="1" x14ac:dyDescent="0.3">
      <c r="A1240" s="1" t="s">
        <v>17</v>
      </c>
      <c r="B1240" s="1" t="s">
        <v>2399</v>
      </c>
      <c r="C1240" s="1" t="s">
        <v>2400</v>
      </c>
      <c r="D1240" s="1">
        <f t="shared" si="249"/>
        <v>61</v>
      </c>
      <c r="E1240" s="1">
        <f t="shared" si="250"/>
        <v>0.90861111111111104</v>
      </c>
      <c r="F1240" s="2">
        <f t="shared" si="251"/>
        <v>383.99330666822823</v>
      </c>
      <c r="G1240" s="1">
        <v>2080</v>
      </c>
      <c r="H1240" s="1">
        <v>3744</v>
      </c>
      <c r="I1240" s="1">
        <v>0</v>
      </c>
      <c r="J1240" s="1">
        <v>253</v>
      </c>
      <c r="K1240" s="1">
        <f t="shared" si="247"/>
        <v>0</v>
      </c>
      <c r="L1240" s="1">
        <f t="shared" si="252"/>
        <v>2.2076682692307692</v>
      </c>
      <c r="M1240" s="1">
        <f t="shared" si="253"/>
        <v>2.2076682692307692</v>
      </c>
      <c r="N1240" s="2">
        <f t="shared" si="259"/>
        <v>7.6098389573057199</v>
      </c>
      <c r="O1240" s="1">
        <v>99</v>
      </c>
      <c r="P1240" s="1">
        <f t="shared" si="258"/>
        <v>1773</v>
      </c>
      <c r="Q1240" s="1">
        <f t="shared" si="254"/>
        <v>2.9593045233225252</v>
      </c>
      <c r="R1240" s="1">
        <f t="shared" si="255"/>
        <v>2.802802841800661</v>
      </c>
      <c r="S1240" s="2">
        <f t="shared" si="256"/>
        <v>20.219409673343218</v>
      </c>
      <c r="T1240" s="2">
        <f t="shared" si="257"/>
        <v>0.35289527160943029</v>
      </c>
      <c r="U1240" s="1" t="s">
        <v>2507</v>
      </c>
      <c r="V1240" s="6" t="s">
        <v>2505</v>
      </c>
    </row>
    <row r="1241" spans="1:24" ht="14.25" customHeight="1" x14ac:dyDescent="0.3">
      <c r="A1241" s="1" t="s">
        <v>17</v>
      </c>
      <c r="B1241" s="1" t="s">
        <v>2401</v>
      </c>
      <c r="C1241" s="1" t="s">
        <v>2052</v>
      </c>
      <c r="D1241" s="1">
        <f t="shared" si="249"/>
        <v>9</v>
      </c>
      <c r="E1241" s="1">
        <f t="shared" si="250"/>
        <v>0.74398148148148147</v>
      </c>
      <c r="F1241" s="2">
        <f t="shared" si="251"/>
        <v>56.233272224874419</v>
      </c>
      <c r="G1241" s="1">
        <v>2080</v>
      </c>
      <c r="H1241" s="1">
        <v>3744</v>
      </c>
      <c r="I1241" s="1">
        <v>0</v>
      </c>
      <c r="J1241" s="1">
        <v>120</v>
      </c>
      <c r="K1241" s="1">
        <f t="shared" si="247"/>
        <v>0</v>
      </c>
      <c r="L1241" s="1">
        <f t="shared" si="252"/>
        <v>1.0471153846153847</v>
      </c>
      <c r="M1241" s="1">
        <f t="shared" si="253"/>
        <v>1.0471153846153847</v>
      </c>
      <c r="N1241" s="2">
        <f t="shared" si="259"/>
        <v>16.044077134986225</v>
      </c>
      <c r="O1241" s="1">
        <v>86</v>
      </c>
      <c r="P1241" s="1">
        <f t="shared" si="258"/>
        <v>1786</v>
      </c>
      <c r="Q1241" s="1">
        <f t="shared" si="254"/>
        <v>6.2392003700049905</v>
      </c>
      <c r="R1241" s="1">
        <f t="shared" si="255"/>
        <v>5.9525704384769842</v>
      </c>
      <c r="S1241" s="2">
        <f t="shared" si="256"/>
        <v>20.355537555969697</v>
      </c>
      <c r="T1241" s="2">
        <f t="shared" si="257"/>
        <v>0.35527115136503074</v>
      </c>
      <c r="U1241" s="1" t="s">
        <v>2507</v>
      </c>
      <c r="V1241" s="6" t="s">
        <v>2505</v>
      </c>
    </row>
    <row r="1242" spans="1:24" ht="14.25" customHeight="1" x14ac:dyDescent="0.3">
      <c r="A1242" s="1" t="s">
        <v>17</v>
      </c>
      <c r="B1242" s="1" t="s">
        <v>2402</v>
      </c>
      <c r="C1242" s="1" t="s">
        <v>2403</v>
      </c>
      <c r="D1242" s="1">
        <f t="shared" si="249"/>
        <v>53</v>
      </c>
      <c r="E1242" s="1">
        <f t="shared" si="250"/>
        <v>0.88373842592592589</v>
      </c>
      <c r="F1242" s="2">
        <f t="shared" si="251"/>
        <v>333.5715445206859</v>
      </c>
      <c r="G1242" s="1">
        <v>2080</v>
      </c>
      <c r="H1242" s="1">
        <v>3744</v>
      </c>
      <c r="I1242" s="1">
        <v>0</v>
      </c>
      <c r="J1242" s="1">
        <v>361</v>
      </c>
      <c r="K1242" s="1">
        <f t="shared" si="247"/>
        <v>0</v>
      </c>
      <c r="L1242" s="1">
        <f t="shared" si="252"/>
        <v>3.1500721153846154</v>
      </c>
      <c r="M1242" s="1">
        <f t="shared" si="253"/>
        <v>3.1500721153846154</v>
      </c>
      <c r="N1242" s="2">
        <f t="shared" si="259"/>
        <v>5.3332112360065018</v>
      </c>
      <c r="O1242" s="1">
        <v>84</v>
      </c>
      <c r="P1242" s="1">
        <f t="shared" si="258"/>
        <v>1788</v>
      </c>
      <c r="Q1242" s="1">
        <f t="shared" si="254"/>
        <v>2.0739724221623241</v>
      </c>
      <c r="R1242" s="1">
        <f t="shared" si="255"/>
        <v>1.9809095570652968</v>
      </c>
      <c r="S1242" s="2">
        <f t="shared" si="256"/>
        <v>20.376459066382864</v>
      </c>
      <c r="T1242" s="2">
        <f t="shared" si="257"/>
        <v>0.3556363006062308</v>
      </c>
      <c r="U1242" s="1" t="s">
        <v>2507</v>
      </c>
      <c r="V1242" s="6" t="s">
        <v>2505</v>
      </c>
    </row>
    <row r="1243" spans="1:24" ht="14.25" customHeight="1" x14ac:dyDescent="0.3">
      <c r="A1243" s="1" t="s">
        <v>27</v>
      </c>
      <c r="B1243" s="1" t="s">
        <v>2404</v>
      </c>
      <c r="C1243" s="1" t="s">
        <v>2405</v>
      </c>
      <c r="D1243" s="1">
        <f t="shared" si="249"/>
        <v>37</v>
      </c>
      <c r="E1243" s="1">
        <f t="shared" si="250"/>
        <v>0.275474537037037</v>
      </c>
      <c r="F1243" s="2">
        <f t="shared" si="251"/>
        <v>229.21874487625789</v>
      </c>
      <c r="G1243" s="1">
        <v>2080</v>
      </c>
      <c r="H1243" s="1">
        <v>3744</v>
      </c>
      <c r="I1243" s="1">
        <v>0</v>
      </c>
      <c r="J1243" s="1">
        <v>119</v>
      </c>
      <c r="K1243" s="1">
        <f t="shared" si="247"/>
        <v>0</v>
      </c>
      <c r="L1243" s="1">
        <f t="shared" si="252"/>
        <v>1.0383894230769231</v>
      </c>
      <c r="M1243" s="1">
        <f t="shared" si="253"/>
        <v>1.0383894230769231</v>
      </c>
      <c r="N1243" s="2">
        <f t="shared" si="259"/>
        <v>16.178901312591154</v>
      </c>
      <c r="O1243" s="1">
        <v>83</v>
      </c>
      <c r="P1243" s="1">
        <f t="shared" si="258"/>
        <v>1789</v>
      </c>
      <c r="Q1243" s="1">
        <f t="shared" si="254"/>
        <v>6.2916306252151175</v>
      </c>
      <c r="R1243" s="1">
        <f t="shared" si="255"/>
        <v>6.0126747801868836</v>
      </c>
      <c r="S1243" s="2">
        <f t="shared" si="256"/>
        <v>20.38691769422908</v>
      </c>
      <c r="T1243" s="2">
        <f t="shared" si="257"/>
        <v>0.35581883809738801</v>
      </c>
      <c r="U1243" s="1" t="s">
        <v>2507</v>
      </c>
      <c r="V1243" s="6" t="s">
        <v>2505</v>
      </c>
    </row>
    <row r="1244" spans="1:24" ht="14.25" customHeight="1" x14ac:dyDescent="0.3">
      <c r="A1244" s="1" t="s">
        <v>40</v>
      </c>
      <c r="B1244" s="1" t="s">
        <v>863</v>
      </c>
      <c r="C1244" s="1" t="s">
        <v>864</v>
      </c>
      <c r="D1244" s="1">
        <f t="shared" si="249"/>
        <v>8</v>
      </c>
      <c r="E1244" s="1">
        <f t="shared" si="250"/>
        <v>0.86723379629629627</v>
      </c>
      <c r="F1244" s="2">
        <f t="shared" si="251"/>
        <v>50.724504051215156</v>
      </c>
      <c r="G1244" s="1">
        <v>2080</v>
      </c>
      <c r="H1244" s="1">
        <v>3744</v>
      </c>
      <c r="I1244" s="1">
        <v>0</v>
      </c>
      <c r="J1244" s="1">
        <v>179</v>
      </c>
      <c r="K1244" s="1">
        <f t="shared" si="247"/>
        <v>0</v>
      </c>
      <c r="L1244" s="1">
        <f t="shared" si="252"/>
        <v>1.5619471153846154</v>
      </c>
      <c r="M1244" s="1">
        <f t="shared" si="253"/>
        <v>1.5619471153846154</v>
      </c>
      <c r="N1244" s="2">
        <f t="shared" si="259"/>
        <v>10.755805900549426</v>
      </c>
      <c r="O1244" s="1">
        <v>80</v>
      </c>
      <c r="P1244" s="1">
        <f t="shared" si="258"/>
        <v>1792</v>
      </c>
      <c r="Q1244" s="1">
        <f t="shared" si="254"/>
        <v>4.1827041586625642</v>
      </c>
      <c r="R1244" s="1">
        <f t="shared" si="255"/>
        <v>4.003956117694079</v>
      </c>
      <c r="S1244" s="2">
        <f t="shared" si="256"/>
        <v>20.418285063427629</v>
      </c>
      <c r="T1244" s="2">
        <f t="shared" si="257"/>
        <v>0.35636630196759134</v>
      </c>
      <c r="U1244" s="1" t="s">
        <v>2507</v>
      </c>
      <c r="V1244" s="6" t="s">
        <v>2505</v>
      </c>
    </row>
    <row r="1245" spans="1:24" ht="14.25" customHeight="1" x14ac:dyDescent="0.3">
      <c r="A1245" s="1" t="s">
        <v>27</v>
      </c>
      <c r="B1245" s="1" t="s">
        <v>544</v>
      </c>
      <c r="C1245" s="1" t="s">
        <v>545</v>
      </c>
      <c r="D1245" s="1">
        <f t="shared" si="249"/>
        <v>41</v>
      </c>
      <c r="E1245" s="1">
        <f t="shared" si="250"/>
        <v>0.72174768518518517</v>
      </c>
      <c r="F1245" s="2">
        <f t="shared" si="251"/>
        <v>257.15550299240948</v>
      </c>
      <c r="G1245" s="1">
        <v>2080</v>
      </c>
      <c r="H1245" s="1">
        <v>3744</v>
      </c>
      <c r="I1245" s="1">
        <v>0</v>
      </c>
      <c r="J1245" s="1">
        <v>166</v>
      </c>
      <c r="K1245" s="1">
        <f t="shared" si="247"/>
        <v>0</v>
      </c>
      <c r="L1245" s="1">
        <f t="shared" si="252"/>
        <v>1.4485096153846153</v>
      </c>
      <c r="M1245" s="1">
        <f t="shared" si="253"/>
        <v>1.4485096153846153</v>
      </c>
      <c r="N1245" s="2">
        <f t="shared" si="259"/>
        <v>11.598128049387634</v>
      </c>
      <c r="O1245" s="1">
        <v>71</v>
      </c>
      <c r="P1245" s="1">
        <f t="shared" si="258"/>
        <v>1801</v>
      </c>
      <c r="Q1245" s="1">
        <f t="shared" si="254"/>
        <v>4.5102653277144515</v>
      </c>
      <c r="R1245" s="1">
        <f t="shared" si="255"/>
        <v>4.3392029141098973</v>
      </c>
      <c r="S1245" s="2">
        <f t="shared" si="256"/>
        <v>20.512310446867488</v>
      </c>
      <c r="T1245" s="2">
        <f t="shared" si="257"/>
        <v>0.35800735448906706</v>
      </c>
      <c r="U1245" s="1" t="s">
        <v>2507</v>
      </c>
      <c r="V1245" s="6" t="s">
        <v>2505</v>
      </c>
    </row>
    <row r="1246" spans="1:24" ht="14.25" customHeight="1" x14ac:dyDescent="0.3">
      <c r="A1246" s="1" t="s">
        <v>17</v>
      </c>
      <c r="B1246" s="1" t="s">
        <v>2406</v>
      </c>
      <c r="C1246" s="1" t="s">
        <v>2407</v>
      </c>
      <c r="D1246" s="1">
        <f t="shared" si="249"/>
        <v>29</v>
      </c>
      <c r="E1246" s="1">
        <f t="shared" si="250"/>
        <v>0.29758101851851854</v>
      </c>
      <c r="F1246" s="2">
        <f t="shared" si="251"/>
        <v>179.09216153845907</v>
      </c>
      <c r="G1246" s="1">
        <v>2080</v>
      </c>
      <c r="H1246" s="1">
        <v>3744</v>
      </c>
      <c r="I1246" s="1">
        <v>0</v>
      </c>
      <c r="J1246" s="1">
        <v>867</v>
      </c>
      <c r="K1246" s="1">
        <f t="shared" si="247"/>
        <v>0</v>
      </c>
      <c r="L1246" s="1">
        <f t="shared" si="252"/>
        <v>7.5654086538461538</v>
      </c>
      <c r="M1246" s="1">
        <f t="shared" si="253"/>
        <v>7.5654086538461538</v>
      </c>
      <c r="N1246" s="2">
        <f t="shared" si="259"/>
        <v>2.2206335134929032</v>
      </c>
      <c r="O1246" s="1">
        <v>64</v>
      </c>
      <c r="P1246" s="1">
        <f t="shared" si="258"/>
        <v>1808</v>
      </c>
      <c r="Q1246" s="1">
        <f t="shared" si="254"/>
        <v>0.86355714463736899</v>
      </c>
      <c r="R1246" s="1">
        <f t="shared" si="255"/>
        <v>0.83403382345318544</v>
      </c>
      <c r="S1246" s="2">
        <f t="shared" si="256"/>
        <v>20.585361591596598</v>
      </c>
      <c r="T1246" s="2">
        <f t="shared" si="257"/>
        <v>0.35928233748694094</v>
      </c>
      <c r="U1246" s="1" t="s">
        <v>2507</v>
      </c>
      <c r="V1246" s="6" t="s">
        <v>2505</v>
      </c>
    </row>
    <row r="1247" spans="1:24" ht="14.25" customHeight="1" x14ac:dyDescent="0.3">
      <c r="A1247" s="1" t="s">
        <v>27</v>
      </c>
      <c r="B1247" s="1" t="s">
        <v>1184</v>
      </c>
      <c r="C1247" s="1" t="s">
        <v>1185</v>
      </c>
      <c r="D1247" s="1">
        <f t="shared" si="249"/>
        <v>33</v>
      </c>
      <c r="E1247" s="1">
        <f t="shared" si="250"/>
        <v>0.27097222222222223</v>
      </c>
      <c r="F1247" s="2">
        <f t="shared" si="251"/>
        <v>204.05771476924679</v>
      </c>
      <c r="G1247" s="1">
        <v>2080</v>
      </c>
      <c r="H1247" s="1">
        <v>3744</v>
      </c>
      <c r="I1247" s="1">
        <v>0</v>
      </c>
      <c r="J1247" s="1">
        <v>88</v>
      </c>
      <c r="K1247" s="1">
        <f t="shared" si="247"/>
        <v>0</v>
      </c>
      <c r="L1247" s="1">
        <f t="shared" si="252"/>
        <v>0.76788461538461528</v>
      </c>
      <c r="M1247" s="1">
        <f t="shared" si="253"/>
        <v>0.76788461538461528</v>
      </c>
      <c r="N1247" s="2">
        <f t="shared" si="259"/>
        <v>21.878287002253948</v>
      </c>
      <c r="O1247" s="1">
        <v>60</v>
      </c>
      <c r="P1247" s="1">
        <f t="shared" si="258"/>
        <v>1812</v>
      </c>
      <c r="Q1247" s="1">
        <f t="shared" si="254"/>
        <v>8.5080005045522622</v>
      </c>
      <c r="R1247" s="1">
        <f t="shared" si="255"/>
        <v>8.2353081806884081</v>
      </c>
      <c r="S1247" s="2">
        <f t="shared" si="256"/>
        <v>20.627073729763843</v>
      </c>
      <c r="T1247" s="2">
        <f t="shared" si="257"/>
        <v>0.36001035163600614</v>
      </c>
      <c r="U1247" s="1" t="s">
        <v>2507</v>
      </c>
      <c r="V1247" s="6" t="s">
        <v>2505</v>
      </c>
    </row>
    <row r="1248" spans="1:24" ht="14.25" customHeight="1" x14ac:dyDescent="0.3">
      <c r="A1248" s="1" t="s">
        <v>27</v>
      </c>
      <c r="B1248" s="1" t="s">
        <v>476</v>
      </c>
      <c r="C1248" s="1" t="s">
        <v>477</v>
      </c>
      <c r="D1248" s="1">
        <f t="shared" si="249"/>
        <v>24</v>
      </c>
      <c r="E1248" s="1">
        <f t="shared" si="250"/>
        <v>0.72013888888888899</v>
      </c>
      <c r="F1248" s="2">
        <f t="shared" si="251"/>
        <v>150.33124440510537</v>
      </c>
      <c r="G1248" s="1">
        <v>2080</v>
      </c>
      <c r="H1248" s="1">
        <v>3744</v>
      </c>
      <c r="I1248" s="1">
        <v>0</v>
      </c>
      <c r="J1248" s="1">
        <v>151</v>
      </c>
      <c r="K1248" s="1">
        <f t="shared" si="247"/>
        <v>0</v>
      </c>
      <c r="L1248" s="1">
        <f t="shared" si="252"/>
        <v>1.3176201923076922</v>
      </c>
      <c r="M1248" s="1">
        <f t="shared" si="253"/>
        <v>1.3176201923076922</v>
      </c>
      <c r="N1248" s="2">
        <f t="shared" si="259"/>
        <v>12.750259974823493</v>
      </c>
      <c r="O1248" s="1">
        <v>56</v>
      </c>
      <c r="P1248" s="1">
        <f t="shared" si="258"/>
        <v>1816</v>
      </c>
      <c r="Q1248" s="1">
        <f t="shared" si="254"/>
        <v>4.9583049298052915</v>
      </c>
      <c r="R1248" s="1">
        <f t="shared" si="255"/>
        <v>4.8099795686572699</v>
      </c>
      <c r="S1248" s="2">
        <f t="shared" si="256"/>
        <v>20.668763019269075</v>
      </c>
      <c r="T1248" s="2">
        <f t="shared" si="257"/>
        <v>0.36073796700068955</v>
      </c>
      <c r="U1248" s="1" t="s">
        <v>2507</v>
      </c>
      <c r="V1248" s="6" t="s">
        <v>2505</v>
      </c>
    </row>
    <row r="1249" spans="1:24" ht="14.25" customHeight="1" x14ac:dyDescent="0.3">
      <c r="A1249" s="1" t="s">
        <v>17</v>
      </c>
      <c r="B1249" s="1" t="s">
        <v>2408</v>
      </c>
      <c r="C1249" s="1" t="s">
        <v>2409</v>
      </c>
      <c r="D1249" s="1">
        <f t="shared" si="249"/>
        <v>49</v>
      </c>
      <c r="E1249" s="1">
        <f t="shared" si="250"/>
        <v>0.2847337962962963</v>
      </c>
      <c r="F1249" s="2">
        <f t="shared" si="251"/>
        <v>304.67514620414607</v>
      </c>
      <c r="G1249" s="1">
        <v>2080</v>
      </c>
      <c r="H1249" s="1">
        <v>3744</v>
      </c>
      <c r="I1249" s="1">
        <v>0</v>
      </c>
      <c r="J1249" s="1">
        <v>258</v>
      </c>
      <c r="K1249" s="1">
        <f t="shared" si="247"/>
        <v>0</v>
      </c>
      <c r="L1249" s="1">
        <f t="shared" si="252"/>
        <v>2.251298076923077</v>
      </c>
      <c r="M1249" s="1">
        <f t="shared" si="253"/>
        <v>2.251298076923077</v>
      </c>
      <c r="N1249" s="2">
        <f t="shared" si="259"/>
        <v>7.4623614581331283</v>
      </c>
      <c r="O1249" s="1">
        <v>55</v>
      </c>
      <c r="P1249" s="1">
        <f t="shared" si="258"/>
        <v>1817</v>
      </c>
      <c r="Q1249" s="1">
        <f t="shared" si="254"/>
        <v>2.9019536604674379</v>
      </c>
      <c r="R1249" s="1">
        <f t="shared" si="255"/>
        <v>2.8166932698019949</v>
      </c>
      <c r="S1249" s="2">
        <f t="shared" si="256"/>
        <v>20.67918176856994</v>
      </c>
      <c r="T1249" s="2">
        <f t="shared" si="257"/>
        <v>0.36091980847992949</v>
      </c>
      <c r="U1249" s="1" t="s">
        <v>2507</v>
      </c>
      <c r="V1249" s="6" t="s">
        <v>2505</v>
      </c>
    </row>
    <row r="1250" spans="1:24" ht="14.25" customHeight="1" x14ac:dyDescent="0.3">
      <c r="A1250" s="1" t="s">
        <v>14</v>
      </c>
      <c r="B1250" s="1" t="s">
        <v>2410</v>
      </c>
      <c r="C1250" s="1" t="s">
        <v>2411</v>
      </c>
      <c r="D1250" s="1">
        <f t="shared" si="249"/>
        <v>76</v>
      </c>
      <c r="E1250" s="1">
        <f t="shared" si="250"/>
        <v>0.32535879629629633</v>
      </c>
      <c r="F1250" s="2">
        <f t="shared" si="251"/>
        <v>474.57640390109913</v>
      </c>
      <c r="G1250" s="1">
        <v>2080</v>
      </c>
      <c r="H1250" s="1">
        <v>3744</v>
      </c>
      <c r="I1250" s="1">
        <v>0</v>
      </c>
      <c r="J1250" s="1">
        <v>144</v>
      </c>
      <c r="K1250" s="1">
        <f t="shared" si="247"/>
        <v>0</v>
      </c>
      <c r="L1250" s="1">
        <f t="shared" si="252"/>
        <v>1.2565384615384616</v>
      </c>
      <c r="M1250" s="1">
        <f t="shared" si="253"/>
        <v>1.2565384615384616</v>
      </c>
      <c r="N1250" s="2">
        <f t="shared" si="259"/>
        <v>13.370064279155189</v>
      </c>
      <c r="O1250" s="1">
        <v>52</v>
      </c>
      <c r="P1250" s="1">
        <f t="shared" si="258"/>
        <v>1820</v>
      </c>
      <c r="Q1250" s="1">
        <f t="shared" si="254"/>
        <v>5.199333641670826</v>
      </c>
      <c r="R1250" s="1">
        <f t="shared" si="255"/>
        <v>5.0549077071799697</v>
      </c>
      <c r="S1250" s="2">
        <f t="shared" si="256"/>
        <v>20.710429434774543</v>
      </c>
      <c r="T1250" s="2">
        <f t="shared" si="257"/>
        <v>0.36146518313876397</v>
      </c>
      <c r="U1250" s="1" t="s">
        <v>2507</v>
      </c>
      <c r="V1250" s="6" t="s">
        <v>2505</v>
      </c>
      <c r="W1250" s="1"/>
      <c r="X1250" s="1"/>
    </row>
    <row r="1251" spans="1:24" ht="15" customHeight="1" x14ac:dyDescent="0.3">
      <c r="A1251" s="1" t="s">
        <v>247</v>
      </c>
      <c r="B1251" s="1" t="s">
        <v>2412</v>
      </c>
      <c r="C1251" s="1" t="s">
        <v>2413</v>
      </c>
      <c r="D1251" s="1">
        <f t="shared" si="249"/>
        <v>86</v>
      </c>
      <c r="E1251" s="1">
        <f t="shared" si="250"/>
        <v>0.15942129629629628</v>
      </c>
      <c r="F1251" s="2">
        <f t="shared" si="251"/>
        <v>536.36564091098489</v>
      </c>
      <c r="G1251" s="1">
        <v>2080</v>
      </c>
      <c r="H1251" s="1">
        <v>3744</v>
      </c>
      <c r="I1251" s="1">
        <v>0</v>
      </c>
      <c r="J1251" s="1">
        <v>228</v>
      </c>
      <c r="K1251" s="1">
        <f t="shared" si="247"/>
        <v>0</v>
      </c>
      <c r="L1251" s="1">
        <f t="shared" si="252"/>
        <v>1.9895192307692307</v>
      </c>
      <c r="M1251" s="1">
        <f t="shared" si="253"/>
        <v>1.9895192307692307</v>
      </c>
      <c r="N1251" s="2">
        <f t="shared" si="259"/>
        <v>8.4442511236769615</v>
      </c>
      <c r="O1251" s="1">
        <v>50</v>
      </c>
      <c r="P1251" s="1">
        <f t="shared" si="258"/>
        <v>1822</v>
      </c>
      <c r="Q1251" s="1">
        <f t="shared" si="254"/>
        <v>3.2837896684236796</v>
      </c>
      <c r="R1251" s="1">
        <f t="shared" si="255"/>
        <v>3.1960816110405683</v>
      </c>
      <c r="S1251" s="2">
        <f t="shared" si="256"/>
        <v>20.731254056893381</v>
      </c>
      <c r="T1251" s="2">
        <f t="shared" si="257"/>
        <v>0.36182864136022136</v>
      </c>
      <c r="U1251" s="1" t="s">
        <v>2507</v>
      </c>
      <c r="V1251" s="6" t="s">
        <v>2505</v>
      </c>
    </row>
    <row r="1252" spans="1:24" ht="14.25" customHeight="1" x14ac:dyDescent="0.3">
      <c r="A1252" s="1" t="s">
        <v>17</v>
      </c>
      <c r="B1252" s="1" t="s">
        <v>2414</v>
      </c>
      <c r="C1252" s="1" t="s">
        <v>2415</v>
      </c>
      <c r="D1252" s="1">
        <f t="shared" si="249"/>
        <v>35</v>
      </c>
      <c r="E1252" s="1">
        <f t="shared" si="250"/>
        <v>0.74420138888888887</v>
      </c>
      <c r="F1252" s="2">
        <f t="shared" si="251"/>
        <v>219.59747193053482</v>
      </c>
      <c r="G1252" s="1">
        <v>2080</v>
      </c>
      <c r="H1252" s="1">
        <v>3744</v>
      </c>
      <c r="I1252" s="1">
        <v>0</v>
      </c>
      <c r="J1252" s="1">
        <v>255</v>
      </c>
      <c r="K1252" s="1">
        <f t="shared" si="247"/>
        <v>0</v>
      </c>
      <c r="L1252" s="1">
        <f t="shared" si="252"/>
        <v>2.2251201923076924</v>
      </c>
      <c r="M1252" s="1">
        <f t="shared" si="253"/>
        <v>2.2251201923076924</v>
      </c>
      <c r="N1252" s="2">
        <f t="shared" si="259"/>
        <v>7.5501539458758709</v>
      </c>
      <c r="O1252" s="1">
        <v>49</v>
      </c>
      <c r="P1252" s="1">
        <f t="shared" si="258"/>
        <v>1823</v>
      </c>
      <c r="Q1252" s="1">
        <f t="shared" si="254"/>
        <v>2.9360942917670547</v>
      </c>
      <c r="R1252" s="1">
        <f t="shared" si="255"/>
        <v>2.8592413963094767</v>
      </c>
      <c r="S1252" s="2">
        <f t="shared" si="256"/>
        <v>20.741664220169309</v>
      </c>
      <c r="T1252" s="2">
        <f t="shared" si="257"/>
        <v>0.36201033298505647</v>
      </c>
      <c r="U1252" s="1" t="s">
        <v>2507</v>
      </c>
      <c r="V1252" s="6" t="s">
        <v>2505</v>
      </c>
    </row>
    <row r="1253" spans="1:24" ht="14.25" customHeight="1" x14ac:dyDescent="0.3">
      <c r="A1253" s="1" t="s">
        <v>40</v>
      </c>
      <c r="B1253" s="1" t="s">
        <v>2416</v>
      </c>
      <c r="C1253" s="1" t="s">
        <v>2417</v>
      </c>
      <c r="D1253" s="1">
        <f t="shared" si="249"/>
        <v>76</v>
      </c>
      <c r="E1253" s="1">
        <f t="shared" si="250"/>
        <v>0.74603009259259256</v>
      </c>
      <c r="F1253" s="2">
        <f t="shared" si="251"/>
        <v>477.21955960914016</v>
      </c>
      <c r="G1253" s="1">
        <v>2080</v>
      </c>
      <c r="H1253" s="1">
        <v>3744</v>
      </c>
      <c r="I1253" s="1">
        <v>0</v>
      </c>
      <c r="J1253" s="1">
        <v>117</v>
      </c>
      <c r="K1253" s="1">
        <f t="shared" si="247"/>
        <v>0</v>
      </c>
      <c r="L1253" s="1">
        <f t="shared" si="252"/>
        <v>1.0209374999999998</v>
      </c>
      <c r="M1253" s="1">
        <f t="shared" si="253"/>
        <v>1.0209374999999998</v>
      </c>
      <c r="N1253" s="2">
        <f t="shared" si="259"/>
        <v>16.455463728191003</v>
      </c>
      <c r="O1253" s="1">
        <v>44</v>
      </c>
      <c r="P1253" s="1">
        <f t="shared" si="258"/>
        <v>1828</v>
      </c>
      <c r="Q1253" s="1">
        <f t="shared" si="254"/>
        <v>6.3991798666717861</v>
      </c>
      <c r="R1253" s="1">
        <f t="shared" si="255"/>
        <v>6.2487717928824917</v>
      </c>
      <c r="S1253" s="2">
        <f t="shared" si="256"/>
        <v>20.793693543057909</v>
      </c>
      <c r="T1253" s="2">
        <f t="shared" si="257"/>
        <v>0.36291841597704583</v>
      </c>
      <c r="U1253" s="1" t="s">
        <v>2507</v>
      </c>
      <c r="V1253" s="6" t="s">
        <v>2505</v>
      </c>
    </row>
    <row r="1254" spans="1:24" ht="14.25" customHeight="1" x14ac:dyDescent="0.3">
      <c r="A1254" s="1" t="s">
        <v>17</v>
      </c>
      <c r="B1254" s="1" t="s">
        <v>2418</v>
      </c>
      <c r="C1254" s="1" t="s">
        <v>2419</v>
      </c>
      <c r="D1254" s="1">
        <f t="shared" si="249"/>
        <v>29</v>
      </c>
      <c r="E1254" s="1">
        <f t="shared" si="250"/>
        <v>0.29755787037037035</v>
      </c>
      <c r="F1254" s="2">
        <f t="shared" si="251"/>
        <v>179.09201609435473</v>
      </c>
      <c r="G1254" s="1">
        <v>2080</v>
      </c>
      <c r="H1254" s="1">
        <v>3744</v>
      </c>
      <c r="I1254" s="1">
        <v>0</v>
      </c>
      <c r="J1254" s="1">
        <v>909</v>
      </c>
      <c r="K1254" s="1">
        <f t="shared" si="247"/>
        <v>0</v>
      </c>
      <c r="L1254" s="1">
        <f t="shared" si="252"/>
        <v>7.9318990384615375</v>
      </c>
      <c r="M1254" s="1">
        <f t="shared" si="253"/>
        <v>7.9318990384615375</v>
      </c>
      <c r="N1254" s="2">
        <f t="shared" si="259"/>
        <v>2.1180299848166637</v>
      </c>
      <c r="O1254" s="1">
        <v>37</v>
      </c>
      <c r="P1254" s="1">
        <f t="shared" si="258"/>
        <v>1835</v>
      </c>
      <c r="Q1254" s="1">
        <f t="shared" si="254"/>
        <v>0.82365681452211115</v>
      </c>
      <c r="R1254" s="1">
        <f t="shared" si="255"/>
        <v>0.8073772727820907</v>
      </c>
      <c r="S1254" s="2">
        <f t="shared" si="256"/>
        <v>20.866474342423157</v>
      </c>
      <c r="T1254" s="2">
        <f t="shared" si="257"/>
        <v>0.36418868055820275</v>
      </c>
      <c r="U1254" s="1" t="s">
        <v>2507</v>
      </c>
      <c r="V1254" s="6" t="s">
        <v>2505</v>
      </c>
    </row>
    <row r="1255" spans="1:24" ht="14.25" customHeight="1" x14ac:dyDescent="0.3">
      <c r="A1255" s="1" t="s">
        <v>40</v>
      </c>
      <c r="B1255" s="1" t="s">
        <v>2420</v>
      </c>
      <c r="C1255" s="1" t="s">
        <v>2421</v>
      </c>
      <c r="D1255" s="1">
        <f t="shared" si="249"/>
        <v>73</v>
      </c>
      <c r="E1255" s="1">
        <f t="shared" si="250"/>
        <v>0.40934027777777776</v>
      </c>
      <c r="F1255" s="2">
        <f t="shared" si="251"/>
        <v>456.25451919007992</v>
      </c>
      <c r="G1255" s="1">
        <v>2080</v>
      </c>
      <c r="H1255" s="1">
        <v>3744</v>
      </c>
      <c r="I1255" s="1">
        <v>0</v>
      </c>
      <c r="J1255" s="1">
        <v>364</v>
      </c>
      <c r="K1255" s="1">
        <f t="shared" si="247"/>
        <v>0</v>
      </c>
      <c r="L1255" s="1">
        <f t="shared" si="252"/>
        <v>3.1762499999999996</v>
      </c>
      <c r="M1255" s="1">
        <f t="shared" si="253"/>
        <v>3.1762499999999996</v>
      </c>
      <c r="N1255" s="2">
        <f t="shared" si="259"/>
        <v>5.2892561983471085</v>
      </c>
      <c r="O1255" s="1">
        <v>34</v>
      </c>
      <c r="P1255" s="1">
        <f t="shared" si="258"/>
        <v>1838</v>
      </c>
      <c r="Q1255" s="1">
        <f t="shared" si="254"/>
        <v>2.0568792428587885</v>
      </c>
      <c r="R1255" s="1">
        <f t="shared" si="255"/>
        <v>2.0195213933624214</v>
      </c>
      <c r="S1255" s="2">
        <f t="shared" si="256"/>
        <v>20.897644565692815</v>
      </c>
      <c r="T1255" s="2">
        <f t="shared" si="257"/>
        <v>0.36473270358284005</v>
      </c>
      <c r="U1255" s="1" t="s">
        <v>2507</v>
      </c>
      <c r="V1255" s="6" t="s">
        <v>2505</v>
      </c>
    </row>
    <row r="1256" spans="1:24" ht="14.25" customHeight="1" x14ac:dyDescent="0.3">
      <c r="A1256" s="1" t="s">
        <v>27</v>
      </c>
      <c r="B1256" s="1" t="s">
        <v>2422</v>
      </c>
      <c r="C1256" s="1" t="s">
        <v>2423</v>
      </c>
      <c r="D1256" s="1">
        <f t="shared" si="249"/>
        <v>73</v>
      </c>
      <c r="E1256" s="1">
        <f t="shared" si="250"/>
        <v>0.62896990740740744</v>
      </c>
      <c r="F1256" s="2">
        <f t="shared" si="251"/>
        <v>457.63449285199016</v>
      </c>
      <c r="G1256" s="1">
        <v>2080</v>
      </c>
      <c r="H1256" s="1">
        <v>3744</v>
      </c>
      <c r="I1256" s="1">
        <v>0</v>
      </c>
      <c r="J1256" s="1">
        <v>150</v>
      </c>
      <c r="K1256" s="1">
        <f t="shared" si="247"/>
        <v>0</v>
      </c>
      <c r="L1256" s="1">
        <f t="shared" si="252"/>
        <v>1.3088942307692308</v>
      </c>
      <c r="M1256" s="1">
        <f t="shared" si="253"/>
        <v>1.3088942307692308</v>
      </c>
      <c r="N1256" s="2">
        <f t="shared" si="259"/>
        <v>12.83526170798898</v>
      </c>
      <c r="O1256" s="1">
        <v>32</v>
      </c>
      <c r="P1256" s="1">
        <f t="shared" si="258"/>
        <v>1840</v>
      </c>
      <c r="Q1256" s="1">
        <f t="shared" si="254"/>
        <v>4.9913602960039931</v>
      </c>
      <c r="R1256" s="1">
        <f t="shared" si="255"/>
        <v>4.9060378977817027</v>
      </c>
      <c r="S1256" s="2">
        <f t="shared" si="256"/>
        <v>20.91841752419873</v>
      </c>
      <c r="T1256" s="2">
        <f t="shared" si="257"/>
        <v>0.36509526010414844</v>
      </c>
      <c r="U1256" s="1" t="s">
        <v>2507</v>
      </c>
      <c r="V1256" s="6" t="s">
        <v>2505</v>
      </c>
    </row>
    <row r="1257" spans="1:24" ht="14.25" customHeight="1" x14ac:dyDescent="0.3">
      <c r="A1257" s="1" t="s">
        <v>17</v>
      </c>
      <c r="B1257" s="1" t="s">
        <v>2424</v>
      </c>
      <c r="C1257" s="1" t="s">
        <v>2425</v>
      </c>
      <c r="D1257" s="1">
        <f t="shared" si="249"/>
        <v>29</v>
      </c>
      <c r="E1257" s="1">
        <f t="shared" si="250"/>
        <v>0.35096064814814815</v>
      </c>
      <c r="F1257" s="2">
        <f t="shared" si="251"/>
        <v>179.42755564305065</v>
      </c>
      <c r="G1257" s="1">
        <v>2080</v>
      </c>
      <c r="H1257" s="1">
        <v>3744</v>
      </c>
      <c r="I1257" s="1">
        <v>0</v>
      </c>
      <c r="J1257" s="1">
        <v>163</v>
      </c>
      <c r="K1257" s="1">
        <f t="shared" si="247"/>
        <v>0</v>
      </c>
      <c r="L1257" s="1">
        <f t="shared" si="252"/>
        <v>1.4223317307692307</v>
      </c>
      <c r="M1257" s="1">
        <f t="shared" si="253"/>
        <v>1.4223317307692307</v>
      </c>
      <c r="N1257" s="2">
        <f t="shared" si="259"/>
        <v>11.811590528824217</v>
      </c>
      <c r="O1257" s="1">
        <v>30</v>
      </c>
      <c r="P1257" s="1">
        <f t="shared" si="258"/>
        <v>1842</v>
      </c>
      <c r="Q1257" s="1">
        <f t="shared" si="254"/>
        <v>4.5932763460159451</v>
      </c>
      <c r="R1257" s="1">
        <f t="shared" si="255"/>
        <v>4.5196661481631253</v>
      </c>
      <c r="S1257" s="2">
        <f t="shared" si="256"/>
        <v>20.939184726849319</v>
      </c>
      <c r="T1257" s="2">
        <f t="shared" si="257"/>
        <v>0.36545771616683015</v>
      </c>
      <c r="U1257" s="1" t="s">
        <v>2507</v>
      </c>
      <c r="V1257" s="6" t="s">
        <v>2505</v>
      </c>
    </row>
    <row r="1258" spans="1:24" ht="14.25" customHeight="1" x14ac:dyDescent="0.3">
      <c r="A1258" s="1" t="s">
        <v>40</v>
      </c>
      <c r="B1258" s="1" t="s">
        <v>1374</v>
      </c>
      <c r="C1258" s="1" t="s">
        <v>1375</v>
      </c>
      <c r="D1258" s="1">
        <f t="shared" si="249"/>
        <v>8</v>
      </c>
      <c r="E1258" s="1">
        <f t="shared" si="250"/>
        <v>0.86722222222222223</v>
      </c>
      <c r="F1258" s="2">
        <f t="shared" si="251"/>
        <v>50.724431329162989</v>
      </c>
      <c r="G1258" s="1">
        <v>2080</v>
      </c>
      <c r="H1258" s="1">
        <v>3744</v>
      </c>
      <c r="I1258" s="1">
        <v>0</v>
      </c>
      <c r="J1258" s="1">
        <v>159</v>
      </c>
      <c r="K1258" s="1">
        <f t="shared" si="247"/>
        <v>0</v>
      </c>
      <c r="L1258" s="1">
        <f t="shared" si="252"/>
        <v>1.3874278846153845</v>
      </c>
      <c r="M1258" s="1">
        <f t="shared" si="253"/>
        <v>1.3874278846153845</v>
      </c>
      <c r="N1258" s="2">
        <f t="shared" si="259"/>
        <v>12.108737460366966</v>
      </c>
      <c r="O1258" s="1">
        <v>25</v>
      </c>
      <c r="P1258" s="1">
        <f t="shared" si="258"/>
        <v>1847</v>
      </c>
      <c r="Q1258" s="1">
        <f t="shared" si="254"/>
        <v>4.708830467928296</v>
      </c>
      <c r="R1258" s="1">
        <f t="shared" si="255"/>
        <v>4.6459454456536129</v>
      </c>
      <c r="S1258" s="2">
        <f t="shared" si="256"/>
        <v>20.991077531531232</v>
      </c>
      <c r="T1258" s="2">
        <f t="shared" si="257"/>
        <v>0.36636341646662385</v>
      </c>
      <c r="U1258" s="1" t="s">
        <v>2507</v>
      </c>
      <c r="V1258" s="6" t="s">
        <v>2505</v>
      </c>
      <c r="W1258" s="1"/>
      <c r="X1258" s="1"/>
    </row>
    <row r="1259" spans="1:24" ht="14.25" customHeight="1" x14ac:dyDescent="0.3">
      <c r="A1259" s="1" t="s">
        <v>17</v>
      </c>
      <c r="B1259" s="1" t="s">
        <v>2426</v>
      </c>
      <c r="C1259" s="1" t="s">
        <v>2427</v>
      </c>
      <c r="D1259" s="1">
        <f t="shared" si="249"/>
        <v>29</v>
      </c>
      <c r="E1259" s="1">
        <f t="shared" si="250"/>
        <v>0.29746527777777776</v>
      </c>
      <c r="F1259" s="2">
        <f t="shared" si="251"/>
        <v>179.09143431793743</v>
      </c>
      <c r="G1259" s="1">
        <v>2080</v>
      </c>
      <c r="H1259" s="1">
        <v>3744</v>
      </c>
      <c r="I1259" s="1">
        <v>66</v>
      </c>
      <c r="J1259" s="1">
        <v>72</v>
      </c>
      <c r="K1259" s="1">
        <f t="shared" si="247"/>
        <v>0.57591346153846157</v>
      </c>
      <c r="L1259" s="1">
        <f t="shared" si="252"/>
        <v>0.6282692307692308</v>
      </c>
      <c r="M1259" s="1">
        <f t="shared" si="253"/>
        <v>0.85229017447848943</v>
      </c>
      <c r="N1259" s="2">
        <f>42*0.11/M1259</f>
        <v>5.4206890309711087</v>
      </c>
      <c r="O1259" s="1">
        <v>0</v>
      </c>
      <c r="P1259" s="1">
        <f t="shared" si="258"/>
        <v>1872</v>
      </c>
      <c r="Q1259" s="1">
        <f t="shared" si="254"/>
        <v>2.1079906761334559</v>
      </c>
      <c r="R1259" s="1">
        <f t="shared" si="255"/>
        <v>2.1079906761334559</v>
      </c>
      <c r="S1259" s="2">
        <f t="shared" si="256"/>
        <v>21.249999999999996</v>
      </c>
      <c r="T1259" s="2">
        <f t="shared" si="257"/>
        <v>0.37088246604879499</v>
      </c>
      <c r="U1259" s="1" t="s">
        <v>2508</v>
      </c>
      <c r="V1259" s="6" t="s">
        <v>2505</v>
      </c>
    </row>
    <row r="1260" spans="1:24" ht="14.25" customHeight="1" x14ac:dyDescent="0.3">
      <c r="A1260" s="1" t="s">
        <v>40</v>
      </c>
      <c r="B1260" s="1" t="s">
        <v>2360</v>
      </c>
      <c r="C1260" s="1" t="s">
        <v>2361</v>
      </c>
      <c r="D1260" s="1">
        <f t="shared" si="249"/>
        <v>73</v>
      </c>
      <c r="E1260" s="1">
        <f t="shared" si="250"/>
        <v>0.91820601851851846</v>
      </c>
      <c r="F1260" s="2">
        <f t="shared" si="251"/>
        <v>459.45181693562921</v>
      </c>
      <c r="G1260" s="1">
        <v>2080</v>
      </c>
      <c r="H1260" s="1">
        <v>3744</v>
      </c>
      <c r="I1260" s="1">
        <v>598</v>
      </c>
      <c r="J1260" s="1">
        <v>538</v>
      </c>
      <c r="K1260" s="1">
        <f t="shared" si="247"/>
        <v>5.2181249999999997</v>
      </c>
      <c r="L1260" s="1">
        <f t="shared" si="252"/>
        <v>4.6945673076923073</v>
      </c>
      <c r="M1260" s="1">
        <f t="shared" si="253"/>
        <v>7.0191018458260306</v>
      </c>
      <c r="N1260" s="2">
        <f>42*0.11/M1260</f>
        <v>0.65820387016428927</v>
      </c>
      <c r="O1260" s="1">
        <v>0</v>
      </c>
      <c r="P1260" s="1">
        <f t="shared" ref="P1260:P1291" si="260">H1260/2-O1260</f>
        <v>1872</v>
      </c>
      <c r="Q1260" s="1">
        <f t="shared" si="254"/>
        <v>0.25596148633021865</v>
      </c>
      <c r="R1260" s="1">
        <f t="shared" si="255"/>
        <v>0.25596148633021865</v>
      </c>
      <c r="S1260" s="2">
        <f t="shared" si="256"/>
        <v>21.249999999999996</v>
      </c>
      <c r="T1260" s="2">
        <f t="shared" si="257"/>
        <v>0.37088246604879499</v>
      </c>
      <c r="U1260" s="1" t="s">
        <v>2508</v>
      </c>
      <c r="V1260" s="6" t="s">
        <v>2505</v>
      </c>
    </row>
    <row r="1261" spans="1:24" ht="14.25" customHeight="1" x14ac:dyDescent="0.3">
      <c r="A1261" s="1" t="s">
        <v>40</v>
      </c>
      <c r="B1261" s="1" t="s">
        <v>2428</v>
      </c>
      <c r="C1261" s="1" t="s">
        <v>2429</v>
      </c>
      <c r="D1261" s="1">
        <f t="shared" si="249"/>
        <v>8</v>
      </c>
      <c r="E1261" s="1">
        <f t="shared" si="250"/>
        <v>0.90781250000000002</v>
      </c>
      <c r="F1261" s="2">
        <f t="shared" si="251"/>
        <v>50.979467566110657</v>
      </c>
      <c r="G1261" s="1">
        <v>2080</v>
      </c>
      <c r="H1261" s="1">
        <v>3744</v>
      </c>
      <c r="I1261" s="1">
        <v>0</v>
      </c>
      <c r="J1261" s="1">
        <v>152</v>
      </c>
      <c r="K1261" s="1">
        <f t="shared" si="247"/>
        <v>0</v>
      </c>
      <c r="L1261" s="1">
        <f t="shared" si="252"/>
        <v>1.3263461538461536</v>
      </c>
      <c r="M1261" s="1">
        <f t="shared" si="253"/>
        <v>1.3263461538461536</v>
      </c>
      <c r="N1261" s="2">
        <f>42*0.4/M1261</f>
        <v>12.666376685515445</v>
      </c>
      <c r="O1261" s="1">
        <v>0</v>
      </c>
      <c r="P1261" s="1">
        <f t="shared" si="260"/>
        <v>1872</v>
      </c>
      <c r="Q1261" s="1">
        <f t="shared" si="254"/>
        <v>4.9256845026355203</v>
      </c>
      <c r="R1261" s="1">
        <f t="shared" si="255"/>
        <v>4.9256845026355203</v>
      </c>
      <c r="S1261" s="2">
        <f t="shared" si="256"/>
        <v>21.25</v>
      </c>
      <c r="T1261" s="2">
        <f t="shared" si="257"/>
        <v>0.37088246604879505</v>
      </c>
      <c r="U1261" s="1" t="s">
        <v>2507</v>
      </c>
      <c r="V1261" s="6" t="s">
        <v>2505</v>
      </c>
      <c r="W1261" s="1"/>
      <c r="X1261" s="1"/>
    </row>
    <row r="1262" spans="1:24" ht="14.25" customHeight="1" x14ac:dyDescent="0.3">
      <c r="A1262" s="1" t="s">
        <v>17</v>
      </c>
      <c r="B1262" s="1" t="s">
        <v>2430</v>
      </c>
      <c r="C1262" s="1" t="s">
        <v>525</v>
      </c>
      <c r="D1262" s="1">
        <f t="shared" si="249"/>
        <v>9</v>
      </c>
      <c r="E1262" s="1">
        <f t="shared" si="250"/>
        <v>0.74387731481481489</v>
      </c>
      <c r="F1262" s="2">
        <f t="shared" si="251"/>
        <v>56.232617726404925</v>
      </c>
      <c r="G1262" s="1">
        <v>2080</v>
      </c>
      <c r="H1262" s="1">
        <v>3744</v>
      </c>
      <c r="I1262" s="1">
        <v>0</v>
      </c>
      <c r="J1262" s="1">
        <v>121</v>
      </c>
      <c r="K1262" s="1">
        <f t="shared" ref="K1262:K1300" si="261">(32.67*I1262)/H1262</f>
        <v>0</v>
      </c>
      <c r="L1262" s="1">
        <f t="shared" si="252"/>
        <v>1.0558413461538461</v>
      </c>
      <c r="M1262" s="1">
        <f t="shared" si="253"/>
        <v>1.0558413461538461</v>
      </c>
      <c r="N1262" s="2">
        <f>42*0.4/M1262</f>
        <v>15.911481456184688</v>
      </c>
      <c r="O1262" s="1">
        <v>0</v>
      </c>
      <c r="P1262" s="1">
        <f t="shared" si="260"/>
        <v>1872</v>
      </c>
      <c r="Q1262" s="1">
        <f t="shared" si="254"/>
        <v>6.1876367305834625</v>
      </c>
      <c r="R1262" s="1">
        <f t="shared" si="255"/>
        <v>6.1876367305834625</v>
      </c>
      <c r="S1262" s="2">
        <f t="shared" si="256"/>
        <v>21.25</v>
      </c>
      <c r="T1262" s="2">
        <f t="shared" si="257"/>
        <v>0.37088246604879505</v>
      </c>
      <c r="U1262" s="1" t="s">
        <v>2507</v>
      </c>
      <c r="V1262" s="6" t="s">
        <v>2505</v>
      </c>
    </row>
    <row r="1263" spans="1:24" ht="14.25" customHeight="1" x14ac:dyDescent="0.3">
      <c r="A1263" s="1" t="s">
        <v>40</v>
      </c>
      <c r="B1263" s="1" t="s">
        <v>2431</v>
      </c>
      <c r="C1263" s="1" t="s">
        <v>2432</v>
      </c>
      <c r="D1263" s="1">
        <f t="shared" si="249"/>
        <v>10</v>
      </c>
      <c r="E1263" s="1">
        <f t="shared" si="250"/>
        <v>0.30383101851851851</v>
      </c>
      <c r="F1263" s="2">
        <f t="shared" si="251"/>
        <v>59.750910610216827</v>
      </c>
      <c r="G1263" s="1">
        <v>2080</v>
      </c>
      <c r="H1263" s="1">
        <v>3744</v>
      </c>
      <c r="I1263" s="1">
        <v>0</v>
      </c>
      <c r="J1263" s="1">
        <v>137</v>
      </c>
      <c r="K1263" s="1">
        <f t="shared" si="261"/>
        <v>0</v>
      </c>
      <c r="L1263" s="1">
        <f t="shared" si="252"/>
        <v>1.1954567307692305</v>
      </c>
      <c r="M1263" s="1">
        <f t="shared" si="253"/>
        <v>1.1954567307692305</v>
      </c>
      <c r="N1263" s="2">
        <f>42*0.4/M1263</f>
        <v>14.053206249622974</v>
      </c>
      <c r="O1263" s="1">
        <v>0</v>
      </c>
      <c r="P1263" s="1">
        <f t="shared" si="260"/>
        <v>1872</v>
      </c>
      <c r="Q1263" s="1">
        <f t="shared" si="254"/>
        <v>5.464993024821891</v>
      </c>
      <c r="R1263" s="1">
        <f t="shared" si="255"/>
        <v>5.464993024821891</v>
      </c>
      <c r="S1263" s="2">
        <f t="shared" si="256"/>
        <v>21.25</v>
      </c>
      <c r="T1263" s="2">
        <f t="shared" si="257"/>
        <v>0.37088246604879505</v>
      </c>
      <c r="U1263" s="1" t="s">
        <v>2507</v>
      </c>
      <c r="V1263" s="6" t="s">
        <v>2505</v>
      </c>
    </row>
    <row r="1264" spans="1:24" ht="14.25" customHeight="1" x14ac:dyDescent="0.3">
      <c r="A1264" s="1" t="s">
        <v>40</v>
      </c>
      <c r="B1264" s="1" t="s">
        <v>2433</v>
      </c>
      <c r="C1264" s="1" t="s">
        <v>2434</v>
      </c>
      <c r="D1264" s="1">
        <f t="shared" si="249"/>
        <v>11</v>
      </c>
      <c r="E1264" s="1">
        <f t="shared" si="250"/>
        <v>0.29123842592592591</v>
      </c>
      <c r="F1264" s="2">
        <f t="shared" si="251"/>
        <v>65.954974324639338</v>
      </c>
      <c r="G1264" s="1">
        <v>2080</v>
      </c>
      <c r="H1264" s="1">
        <v>3744</v>
      </c>
      <c r="I1264" s="1">
        <v>0</v>
      </c>
      <c r="J1264" s="1">
        <v>175</v>
      </c>
      <c r="K1264" s="1">
        <f t="shared" si="261"/>
        <v>0</v>
      </c>
      <c r="L1264" s="1">
        <f t="shared" si="252"/>
        <v>1.5270432692307689</v>
      </c>
      <c r="M1264" s="1">
        <f t="shared" si="253"/>
        <v>1.5270432692307689</v>
      </c>
      <c r="N1264" s="2">
        <f>42*0.4/M1264</f>
        <v>11.001652892561985</v>
      </c>
      <c r="O1264" s="1">
        <v>0</v>
      </c>
      <c r="P1264" s="1">
        <f t="shared" si="260"/>
        <v>1872</v>
      </c>
      <c r="Q1264" s="1">
        <f t="shared" si="254"/>
        <v>4.2783088251462802</v>
      </c>
      <c r="R1264" s="1">
        <f t="shared" si="255"/>
        <v>4.2783088251462802</v>
      </c>
      <c r="S1264" s="2">
        <f t="shared" si="256"/>
        <v>21.25</v>
      </c>
      <c r="T1264" s="2">
        <f t="shared" si="257"/>
        <v>0.37088246604879505</v>
      </c>
      <c r="U1264" s="1" t="s">
        <v>2507</v>
      </c>
      <c r="V1264" s="6" t="s">
        <v>2505</v>
      </c>
    </row>
    <row r="1265" spans="1:24" ht="14.25" customHeight="1" x14ac:dyDescent="0.3">
      <c r="A1265" s="1" t="s">
        <v>82</v>
      </c>
      <c r="B1265" s="1" t="s">
        <v>2435</v>
      </c>
      <c r="C1265" s="1" t="s">
        <v>2436</v>
      </c>
      <c r="D1265" s="1">
        <f t="shared" si="249"/>
        <v>14</v>
      </c>
      <c r="E1265" s="1">
        <f t="shared" si="250"/>
        <v>0.39667824074074076</v>
      </c>
      <c r="F1265" s="2">
        <f t="shared" si="251"/>
        <v>85.467028141414275</v>
      </c>
      <c r="G1265" s="1">
        <v>2080</v>
      </c>
      <c r="H1265" s="1">
        <v>3744</v>
      </c>
      <c r="I1265" s="1">
        <v>0</v>
      </c>
      <c r="J1265" s="1">
        <v>648</v>
      </c>
      <c r="K1265" s="1">
        <f t="shared" si="261"/>
        <v>0</v>
      </c>
      <c r="L1265" s="1">
        <f t="shared" si="252"/>
        <v>5.6544230769230763</v>
      </c>
      <c r="M1265" s="1">
        <f t="shared" si="253"/>
        <v>5.6544230769230763</v>
      </c>
      <c r="N1265" s="2">
        <f>42*0.4/M1265</f>
        <v>2.9711253953678201</v>
      </c>
      <c r="O1265" s="1">
        <v>0</v>
      </c>
      <c r="P1265" s="1">
        <f t="shared" si="260"/>
        <v>1872</v>
      </c>
      <c r="Q1265" s="1">
        <f t="shared" si="254"/>
        <v>1.1554074759268504</v>
      </c>
      <c r="R1265" s="1">
        <f t="shared" si="255"/>
        <v>1.1554074759268504</v>
      </c>
      <c r="S1265" s="2">
        <f t="shared" si="256"/>
        <v>21.25</v>
      </c>
      <c r="T1265" s="2">
        <f t="shared" si="257"/>
        <v>0.37088246604879505</v>
      </c>
      <c r="U1265" s="1" t="s">
        <v>2507</v>
      </c>
      <c r="V1265" s="6" t="s">
        <v>2505</v>
      </c>
    </row>
    <row r="1266" spans="1:24" ht="14.25" customHeight="1" x14ac:dyDescent="0.3">
      <c r="A1266" s="1" t="s">
        <v>65</v>
      </c>
      <c r="B1266" s="1" t="s">
        <v>2437</v>
      </c>
      <c r="C1266" s="1" t="s">
        <v>2438</v>
      </c>
      <c r="D1266" s="1">
        <f t="shared" si="249"/>
        <v>17</v>
      </c>
      <c r="E1266" s="1">
        <f t="shared" si="250"/>
        <v>0.10109953703703704</v>
      </c>
      <c r="F1266" s="2">
        <f t="shared" si="251"/>
        <v>102.45940829472674</v>
      </c>
      <c r="G1266" s="1">
        <v>2080</v>
      </c>
      <c r="H1266" s="1">
        <v>3744</v>
      </c>
      <c r="I1266" s="1">
        <v>541</v>
      </c>
      <c r="J1266" s="1">
        <v>610</v>
      </c>
      <c r="K1266" s="1">
        <f t="shared" si="261"/>
        <v>4.7207451923076924</v>
      </c>
      <c r="L1266" s="1">
        <f t="shared" si="252"/>
        <v>5.3228365384615381</v>
      </c>
      <c r="M1266" s="1">
        <f t="shared" si="253"/>
        <v>7.1146344941871327</v>
      </c>
      <c r="N1266" s="2">
        <f>42*0.32/M1266</f>
        <v>1.8890640145998896</v>
      </c>
      <c r="O1266" s="1">
        <v>0</v>
      </c>
      <c r="P1266" s="1">
        <f t="shared" si="260"/>
        <v>1872</v>
      </c>
      <c r="Q1266" s="1">
        <f t="shared" si="254"/>
        <v>0.73461681838672266</v>
      </c>
      <c r="R1266" s="1">
        <f t="shared" si="255"/>
        <v>0.73461681838672266</v>
      </c>
      <c r="S1266" s="2">
        <f t="shared" si="256"/>
        <v>21.25</v>
      </c>
      <c r="T1266" s="2">
        <f t="shared" si="257"/>
        <v>0.37088246604879505</v>
      </c>
      <c r="U1266" s="1" t="s">
        <v>2264</v>
      </c>
      <c r="V1266" s="6" t="s">
        <v>2505</v>
      </c>
    </row>
    <row r="1267" spans="1:24" ht="14.25" customHeight="1" x14ac:dyDescent="0.3">
      <c r="A1267" s="1" t="s">
        <v>17</v>
      </c>
      <c r="B1267" s="1" t="s">
        <v>2439</v>
      </c>
      <c r="C1267" s="1" t="s">
        <v>2440</v>
      </c>
      <c r="D1267" s="1">
        <f t="shared" si="249"/>
        <v>23</v>
      </c>
      <c r="E1267" s="1">
        <f t="shared" si="250"/>
        <v>0.58565972222222229</v>
      </c>
      <c r="F1267" s="2">
        <f t="shared" si="251"/>
        <v>143.20310157380402</v>
      </c>
      <c r="G1267" s="1">
        <v>2080</v>
      </c>
      <c r="H1267" s="1">
        <v>3744</v>
      </c>
      <c r="I1267" s="1">
        <v>0</v>
      </c>
      <c r="J1267" s="1">
        <v>252</v>
      </c>
      <c r="K1267" s="1">
        <f t="shared" si="261"/>
        <v>0</v>
      </c>
      <c r="L1267" s="1">
        <f t="shared" si="252"/>
        <v>2.1989423076923074</v>
      </c>
      <c r="M1267" s="1">
        <f t="shared" si="253"/>
        <v>2.1989423076923074</v>
      </c>
      <c r="N1267" s="2">
        <f>42*0.4/M1267</f>
        <v>7.6400367309458233</v>
      </c>
      <c r="O1267" s="1">
        <v>0</v>
      </c>
      <c r="P1267" s="1">
        <f t="shared" si="260"/>
        <v>1872</v>
      </c>
      <c r="Q1267" s="1">
        <f t="shared" si="254"/>
        <v>2.9710477952404726</v>
      </c>
      <c r="R1267" s="1">
        <f t="shared" si="255"/>
        <v>2.9710477952404726</v>
      </c>
      <c r="S1267" s="2">
        <f t="shared" si="256"/>
        <v>21.25</v>
      </c>
      <c r="T1267" s="2">
        <f t="shared" si="257"/>
        <v>0.37088246604879505</v>
      </c>
      <c r="U1267" s="1" t="s">
        <v>2507</v>
      </c>
      <c r="V1267" s="6" t="s">
        <v>2505</v>
      </c>
    </row>
    <row r="1268" spans="1:24" ht="14.25" customHeight="1" x14ac:dyDescent="0.3">
      <c r="A1268" s="1" t="s">
        <v>17</v>
      </c>
      <c r="B1268" s="1" t="s">
        <v>2441</v>
      </c>
      <c r="C1268" s="1" t="s">
        <v>2442</v>
      </c>
      <c r="D1268" s="1">
        <f t="shared" si="249"/>
        <v>29</v>
      </c>
      <c r="E1268" s="1">
        <f t="shared" si="250"/>
        <v>0.29745370370370372</v>
      </c>
      <c r="F1268" s="2">
        <f t="shared" si="251"/>
        <v>179.09136159588525</v>
      </c>
      <c r="G1268" s="1">
        <v>2080</v>
      </c>
      <c r="H1268" s="1">
        <v>3744</v>
      </c>
      <c r="I1268" s="1">
        <v>0</v>
      </c>
      <c r="J1268" s="1">
        <v>675</v>
      </c>
      <c r="K1268" s="1">
        <f t="shared" si="261"/>
        <v>0</v>
      </c>
      <c r="L1268" s="1">
        <f t="shared" si="252"/>
        <v>5.8900240384615374</v>
      </c>
      <c r="M1268" s="1">
        <f t="shared" si="253"/>
        <v>5.8900240384615374</v>
      </c>
      <c r="N1268" s="2">
        <f>42*0.4/M1268</f>
        <v>2.8522803795531075</v>
      </c>
      <c r="O1268" s="1">
        <v>0</v>
      </c>
      <c r="P1268" s="1">
        <f t="shared" si="260"/>
        <v>1872</v>
      </c>
      <c r="Q1268" s="1">
        <f t="shared" si="254"/>
        <v>1.1091911768897764</v>
      </c>
      <c r="R1268" s="1">
        <f t="shared" si="255"/>
        <v>1.1091911768897764</v>
      </c>
      <c r="S1268" s="2">
        <f t="shared" si="256"/>
        <v>21.25</v>
      </c>
      <c r="T1268" s="2">
        <f t="shared" si="257"/>
        <v>0.37088246604879505</v>
      </c>
      <c r="U1268" s="1" t="s">
        <v>2507</v>
      </c>
      <c r="V1268" s="6" t="s">
        <v>2505</v>
      </c>
    </row>
    <row r="1269" spans="1:24" ht="14.25" customHeight="1" x14ac:dyDescent="0.3">
      <c r="A1269" s="1" t="s">
        <v>17</v>
      </c>
      <c r="B1269" s="1" t="s">
        <v>2443</v>
      </c>
      <c r="C1269" s="1" t="s">
        <v>2444</v>
      </c>
      <c r="D1269" s="1">
        <f t="shared" si="249"/>
        <v>29</v>
      </c>
      <c r="E1269" s="1">
        <f t="shared" si="250"/>
        <v>0.29747685185185185</v>
      </c>
      <c r="F1269" s="2">
        <f t="shared" si="251"/>
        <v>179.09150703998958</v>
      </c>
      <c r="G1269" s="1">
        <v>2080</v>
      </c>
      <c r="H1269" s="1">
        <v>3744</v>
      </c>
      <c r="I1269" s="1">
        <v>157</v>
      </c>
      <c r="J1269" s="1">
        <v>256</v>
      </c>
      <c r="K1269" s="1">
        <f t="shared" si="261"/>
        <v>1.3699759615384617</v>
      </c>
      <c r="L1269" s="1">
        <f t="shared" si="252"/>
        <v>2.2338461538461538</v>
      </c>
      <c r="M1269" s="1">
        <f t="shared" si="253"/>
        <v>2.6204775851448314</v>
      </c>
      <c r="N1269" s="2">
        <f>42*0.11/M1269</f>
        <v>1.7630374043991897</v>
      </c>
      <c r="O1269" s="1">
        <v>0</v>
      </c>
      <c r="P1269" s="1">
        <f t="shared" si="260"/>
        <v>1872</v>
      </c>
      <c r="Q1269" s="1">
        <f t="shared" si="254"/>
        <v>0.68560775003214336</v>
      </c>
      <c r="R1269" s="1">
        <f t="shared" si="255"/>
        <v>0.68560775003214336</v>
      </c>
      <c r="S1269" s="2">
        <f t="shared" si="256"/>
        <v>21.25</v>
      </c>
      <c r="T1269" s="2">
        <f t="shared" si="257"/>
        <v>0.37088246604879505</v>
      </c>
      <c r="U1269" s="1" t="s">
        <v>2508</v>
      </c>
      <c r="V1269" s="6" t="s">
        <v>2505</v>
      </c>
    </row>
    <row r="1270" spans="1:24" ht="14.25" customHeight="1" x14ac:dyDescent="0.3">
      <c r="A1270" s="1" t="s">
        <v>17</v>
      </c>
      <c r="B1270" s="1" t="s">
        <v>2445</v>
      </c>
      <c r="C1270" s="1" t="s">
        <v>2446</v>
      </c>
      <c r="D1270" s="1">
        <f t="shared" si="249"/>
        <v>29</v>
      </c>
      <c r="E1270" s="1">
        <f t="shared" si="250"/>
        <v>0.29756944444444444</v>
      </c>
      <c r="F1270" s="2">
        <f t="shared" si="251"/>
        <v>179.09208881640691</v>
      </c>
      <c r="G1270" s="1">
        <v>2080</v>
      </c>
      <c r="H1270" s="1">
        <v>3744</v>
      </c>
      <c r="I1270" s="1">
        <v>0</v>
      </c>
      <c r="J1270" s="1">
        <v>891</v>
      </c>
      <c r="K1270" s="1">
        <f t="shared" si="261"/>
        <v>0</v>
      </c>
      <c r="L1270" s="1">
        <f t="shared" si="252"/>
        <v>7.7748317307692307</v>
      </c>
      <c r="M1270" s="1">
        <f t="shared" si="253"/>
        <v>7.7748317307692307</v>
      </c>
      <c r="N1270" s="2">
        <f>42*0.4/M1270</f>
        <v>2.1608184693584143</v>
      </c>
      <c r="O1270" s="1">
        <v>0</v>
      </c>
      <c r="P1270" s="1">
        <f t="shared" si="260"/>
        <v>1872</v>
      </c>
      <c r="Q1270" s="1">
        <f t="shared" si="254"/>
        <v>0.84029634612861837</v>
      </c>
      <c r="R1270" s="1">
        <f t="shared" si="255"/>
        <v>0.84029634612861837</v>
      </c>
      <c r="S1270" s="2">
        <f t="shared" si="256"/>
        <v>21.25</v>
      </c>
      <c r="T1270" s="2">
        <f t="shared" si="257"/>
        <v>0.37088246604879505</v>
      </c>
      <c r="U1270" s="1" t="s">
        <v>2507</v>
      </c>
      <c r="V1270" s="6" t="s">
        <v>2505</v>
      </c>
    </row>
    <row r="1271" spans="1:24" ht="14.25" customHeight="1" x14ac:dyDescent="0.3">
      <c r="A1271" s="1" t="s">
        <v>17</v>
      </c>
      <c r="B1271" s="1" t="s">
        <v>2447</v>
      </c>
      <c r="C1271" s="1" t="s">
        <v>2448</v>
      </c>
      <c r="D1271" s="1">
        <f t="shared" si="249"/>
        <v>29</v>
      </c>
      <c r="E1271" s="1">
        <f t="shared" si="250"/>
        <v>0.29791666666666666</v>
      </c>
      <c r="F1271" s="2">
        <f t="shared" si="251"/>
        <v>179.09427047797189</v>
      </c>
      <c r="G1271" s="1">
        <v>2080</v>
      </c>
      <c r="H1271" s="1">
        <v>3744</v>
      </c>
      <c r="I1271" s="1">
        <v>109</v>
      </c>
      <c r="J1271" s="1">
        <v>334</v>
      </c>
      <c r="K1271" s="1">
        <f t="shared" si="261"/>
        <v>0.9511298076923077</v>
      </c>
      <c r="L1271" s="1">
        <f t="shared" si="252"/>
        <v>2.9144711538461534</v>
      </c>
      <c r="M1271" s="1">
        <f t="shared" si="253"/>
        <v>3.0657446106422719</v>
      </c>
      <c r="N1271" s="2">
        <f>42*0.11/M1271</f>
        <v>1.5069748419233502</v>
      </c>
      <c r="O1271" s="1">
        <v>0</v>
      </c>
      <c r="P1271" s="1">
        <f t="shared" si="260"/>
        <v>1872</v>
      </c>
      <c r="Q1271" s="1">
        <f t="shared" si="254"/>
        <v>0.58603046546151194</v>
      </c>
      <c r="R1271" s="1">
        <f t="shared" si="255"/>
        <v>0.58603046546151194</v>
      </c>
      <c r="S1271" s="2">
        <f t="shared" si="256"/>
        <v>21.25</v>
      </c>
      <c r="T1271" s="2">
        <f t="shared" si="257"/>
        <v>0.37088246604879505</v>
      </c>
      <c r="U1271" s="1" t="s">
        <v>2508</v>
      </c>
      <c r="V1271" s="6" t="s">
        <v>2505</v>
      </c>
    </row>
    <row r="1272" spans="1:24" ht="14.25" customHeight="1" x14ac:dyDescent="0.3">
      <c r="A1272" s="1" t="s">
        <v>17</v>
      </c>
      <c r="B1272" s="1" t="s">
        <v>2306</v>
      </c>
      <c r="C1272" s="1" t="s">
        <v>2307</v>
      </c>
      <c r="D1272" s="1">
        <f t="shared" si="249"/>
        <v>35</v>
      </c>
      <c r="E1272" s="1">
        <f t="shared" si="250"/>
        <v>0.32174768518518521</v>
      </c>
      <c r="F1272" s="2">
        <f t="shared" si="251"/>
        <v>216.94311702646013</v>
      </c>
      <c r="G1272" s="1">
        <v>2080</v>
      </c>
      <c r="H1272" s="1">
        <v>3744</v>
      </c>
      <c r="I1272" s="1">
        <v>0</v>
      </c>
      <c r="J1272" s="1">
        <v>68</v>
      </c>
      <c r="K1272" s="1">
        <f t="shared" si="261"/>
        <v>0</v>
      </c>
      <c r="L1272" s="1">
        <f t="shared" si="252"/>
        <v>0.59336538461538457</v>
      </c>
      <c r="M1272" s="1">
        <f t="shared" si="253"/>
        <v>0.59336538461538457</v>
      </c>
      <c r="N1272" s="2">
        <f>42*0.11/M1272</f>
        <v>7.7860962566844929</v>
      </c>
      <c r="O1272" s="1">
        <v>0</v>
      </c>
      <c r="P1272" s="1">
        <f t="shared" si="260"/>
        <v>1872</v>
      </c>
      <c r="Q1272" s="1">
        <f t="shared" si="254"/>
        <v>3.0278472383847754</v>
      </c>
      <c r="R1272" s="1">
        <f t="shared" si="255"/>
        <v>3.0278472383847754</v>
      </c>
      <c r="S1272" s="2">
        <f t="shared" si="256"/>
        <v>21.25</v>
      </c>
      <c r="T1272" s="2">
        <f t="shared" si="257"/>
        <v>0.37088246604879505</v>
      </c>
      <c r="U1272" s="1" t="s">
        <v>2508</v>
      </c>
      <c r="V1272" s="6" t="s">
        <v>2505</v>
      </c>
    </row>
    <row r="1273" spans="1:24" ht="14.25" customHeight="1" x14ac:dyDescent="0.3">
      <c r="A1273" s="1" t="s">
        <v>17</v>
      </c>
      <c r="B1273" s="1" t="s">
        <v>2449</v>
      </c>
      <c r="C1273" s="1" t="s">
        <v>2450</v>
      </c>
      <c r="D1273" s="1">
        <f t="shared" si="249"/>
        <v>36</v>
      </c>
      <c r="E1273" s="1">
        <f t="shared" si="250"/>
        <v>0.18114583333333334</v>
      </c>
      <c r="F1273" s="2">
        <f t="shared" si="251"/>
        <v>222.34287484392189</v>
      </c>
      <c r="G1273" s="1">
        <v>2080</v>
      </c>
      <c r="H1273" s="1">
        <v>3744</v>
      </c>
      <c r="I1273" s="1">
        <v>150</v>
      </c>
      <c r="J1273" s="1">
        <v>393</v>
      </c>
      <c r="K1273" s="1">
        <f t="shared" si="261"/>
        <v>1.3088942307692308</v>
      </c>
      <c r="L1273" s="1">
        <f t="shared" si="252"/>
        <v>3.4293028846153844</v>
      </c>
      <c r="M1273" s="1">
        <f t="shared" si="253"/>
        <v>3.6706024548801754</v>
      </c>
      <c r="N1273" s="2">
        <f>42*0.32/M1273</f>
        <v>3.6615242770655043</v>
      </c>
      <c r="O1273" s="1">
        <v>0</v>
      </c>
      <c r="P1273" s="1">
        <f t="shared" si="260"/>
        <v>1872</v>
      </c>
      <c r="Q1273" s="1">
        <f t="shared" si="254"/>
        <v>1.423888917514168</v>
      </c>
      <c r="R1273" s="1">
        <f t="shared" si="255"/>
        <v>1.423888917514168</v>
      </c>
      <c r="S1273" s="2">
        <f t="shared" si="256"/>
        <v>21.25</v>
      </c>
      <c r="T1273" s="2">
        <f t="shared" si="257"/>
        <v>0.37088246604879505</v>
      </c>
      <c r="U1273" s="1" t="s">
        <v>2264</v>
      </c>
      <c r="V1273" s="6" t="s">
        <v>2505</v>
      </c>
    </row>
    <row r="1274" spans="1:24" ht="14.25" customHeight="1" x14ac:dyDescent="0.3">
      <c r="A1274" s="1" t="s">
        <v>17</v>
      </c>
      <c r="B1274" s="1" t="s">
        <v>2451</v>
      </c>
      <c r="C1274" s="1" t="s">
        <v>2452</v>
      </c>
      <c r="D1274" s="1">
        <f t="shared" si="249"/>
        <v>36</v>
      </c>
      <c r="E1274" s="1">
        <f t="shared" si="250"/>
        <v>0.22188657407407408</v>
      </c>
      <c r="F1274" s="2">
        <f t="shared" si="251"/>
        <v>222.59885646754776</v>
      </c>
      <c r="G1274" s="1">
        <v>2080</v>
      </c>
      <c r="H1274" s="1">
        <v>3744</v>
      </c>
      <c r="I1274" s="1">
        <v>0</v>
      </c>
      <c r="J1274" s="1">
        <v>280</v>
      </c>
      <c r="K1274" s="1">
        <f t="shared" si="261"/>
        <v>0</v>
      </c>
      <c r="L1274" s="1">
        <f t="shared" si="252"/>
        <v>2.4432692307692307</v>
      </c>
      <c r="M1274" s="1">
        <f t="shared" si="253"/>
        <v>2.4432692307692307</v>
      </c>
      <c r="N1274" s="2">
        <f t="shared" ref="N1274:N1284" si="262">42*0.4/M1274</f>
        <v>6.8760330578512399</v>
      </c>
      <c r="O1274" s="1">
        <v>0</v>
      </c>
      <c r="P1274" s="1">
        <f t="shared" si="260"/>
        <v>1872</v>
      </c>
      <c r="Q1274" s="1">
        <f t="shared" si="254"/>
        <v>2.673943015716425</v>
      </c>
      <c r="R1274" s="1">
        <f t="shared" si="255"/>
        <v>2.673943015716425</v>
      </c>
      <c r="S1274" s="2">
        <f t="shared" si="256"/>
        <v>21.25</v>
      </c>
      <c r="T1274" s="2">
        <f t="shared" si="257"/>
        <v>0.37088246604879505</v>
      </c>
      <c r="U1274" s="1" t="s">
        <v>2507</v>
      </c>
      <c r="V1274" s="6" t="s">
        <v>2505</v>
      </c>
      <c r="W1274" s="1"/>
      <c r="X1274" s="1"/>
    </row>
    <row r="1275" spans="1:24" ht="14.25" customHeight="1" x14ac:dyDescent="0.3">
      <c r="A1275" s="1" t="s">
        <v>27</v>
      </c>
      <c r="B1275" s="1" t="s">
        <v>1601</v>
      </c>
      <c r="C1275" s="1" t="s">
        <v>1602</v>
      </c>
      <c r="D1275" s="1">
        <f t="shared" si="249"/>
        <v>36</v>
      </c>
      <c r="E1275" s="1">
        <f t="shared" si="250"/>
        <v>0.27357638888888891</v>
      </c>
      <c r="F1275" s="2">
        <f t="shared" si="251"/>
        <v>222.92363315252302</v>
      </c>
      <c r="G1275" s="1">
        <v>2080</v>
      </c>
      <c r="H1275" s="1">
        <v>3744</v>
      </c>
      <c r="I1275" s="1">
        <v>0</v>
      </c>
      <c r="J1275" s="1">
        <v>181</v>
      </c>
      <c r="K1275" s="1">
        <f t="shared" si="261"/>
        <v>0</v>
      </c>
      <c r="L1275" s="1">
        <f t="shared" si="252"/>
        <v>1.5793990384615384</v>
      </c>
      <c r="M1275" s="1">
        <f t="shared" si="253"/>
        <v>1.5793990384615384</v>
      </c>
      <c r="N1275" s="2">
        <f t="shared" si="262"/>
        <v>10.636957216565454</v>
      </c>
      <c r="O1275" s="1">
        <v>0</v>
      </c>
      <c r="P1275" s="1">
        <f t="shared" si="260"/>
        <v>1872</v>
      </c>
      <c r="Q1275" s="1">
        <f t="shared" si="254"/>
        <v>4.1364864331524807</v>
      </c>
      <c r="R1275" s="1">
        <f t="shared" si="255"/>
        <v>4.1364864331524807</v>
      </c>
      <c r="S1275" s="2">
        <f t="shared" si="256"/>
        <v>21.25</v>
      </c>
      <c r="T1275" s="2">
        <f t="shared" si="257"/>
        <v>0.37088246604879505</v>
      </c>
      <c r="U1275" s="1" t="s">
        <v>2507</v>
      </c>
      <c r="V1275" s="6" t="s">
        <v>2505</v>
      </c>
    </row>
    <row r="1276" spans="1:24" ht="14.25" customHeight="1" x14ac:dyDescent="0.3">
      <c r="A1276" s="1" t="s">
        <v>17</v>
      </c>
      <c r="B1276" s="1" t="s">
        <v>2453</v>
      </c>
      <c r="C1276" s="1" t="s">
        <v>2454</v>
      </c>
      <c r="D1276" s="1">
        <f t="shared" si="249"/>
        <v>37</v>
      </c>
      <c r="E1276" s="1">
        <f t="shared" si="250"/>
        <v>0.28469907407407408</v>
      </c>
      <c r="F1276" s="2">
        <f t="shared" si="251"/>
        <v>229.27670435183455</v>
      </c>
      <c r="G1276" s="1">
        <v>2080</v>
      </c>
      <c r="H1276" s="1">
        <v>3744</v>
      </c>
      <c r="I1276" s="1">
        <v>0</v>
      </c>
      <c r="J1276" s="1">
        <v>224</v>
      </c>
      <c r="K1276" s="1">
        <f t="shared" si="261"/>
        <v>0</v>
      </c>
      <c r="L1276" s="1">
        <f t="shared" si="252"/>
        <v>1.9546153846153844</v>
      </c>
      <c r="M1276" s="1">
        <f t="shared" si="253"/>
        <v>1.9546153846153844</v>
      </c>
      <c r="N1276" s="2">
        <f t="shared" si="262"/>
        <v>8.5950413223140512</v>
      </c>
      <c r="O1276" s="1">
        <v>0</v>
      </c>
      <c r="P1276" s="1">
        <f t="shared" si="260"/>
        <v>1872</v>
      </c>
      <c r="Q1276" s="1">
        <f t="shared" si="254"/>
        <v>3.3424287696455317</v>
      </c>
      <c r="R1276" s="1">
        <f t="shared" si="255"/>
        <v>3.3424287696455317</v>
      </c>
      <c r="S1276" s="2">
        <f t="shared" si="256"/>
        <v>21.25</v>
      </c>
      <c r="T1276" s="2">
        <f t="shared" si="257"/>
        <v>0.37088246604879505</v>
      </c>
      <c r="U1276" s="1" t="s">
        <v>2507</v>
      </c>
      <c r="V1276" s="6" t="s">
        <v>2505</v>
      </c>
    </row>
    <row r="1277" spans="1:24" ht="14.25" customHeight="1" x14ac:dyDescent="0.3">
      <c r="A1277" s="1" t="s">
        <v>17</v>
      </c>
      <c r="B1277" s="1" t="s">
        <v>2455</v>
      </c>
      <c r="C1277" s="1" t="s">
        <v>2456</v>
      </c>
      <c r="D1277" s="1">
        <f t="shared" si="249"/>
        <v>38</v>
      </c>
      <c r="E1277" s="1">
        <f t="shared" si="250"/>
        <v>0.77310185185185187</v>
      </c>
      <c r="F1277" s="2">
        <f t="shared" si="251"/>
        <v>238.62861481633317</v>
      </c>
      <c r="G1277" s="1">
        <v>2080</v>
      </c>
      <c r="H1277" s="1">
        <v>3744</v>
      </c>
      <c r="I1277" s="1">
        <v>0</v>
      </c>
      <c r="J1277" s="1">
        <v>279</v>
      </c>
      <c r="K1277" s="1">
        <f t="shared" si="261"/>
        <v>0</v>
      </c>
      <c r="L1277" s="1">
        <f t="shared" si="252"/>
        <v>2.4345432692307689</v>
      </c>
      <c r="M1277" s="1">
        <f t="shared" si="253"/>
        <v>2.4345432692307689</v>
      </c>
      <c r="N1277" s="2">
        <f t="shared" si="262"/>
        <v>6.9006783376284853</v>
      </c>
      <c r="O1277" s="1">
        <v>0</v>
      </c>
      <c r="P1277" s="1">
        <f t="shared" si="260"/>
        <v>1872</v>
      </c>
      <c r="Q1277" s="1">
        <f t="shared" si="254"/>
        <v>2.6835270408623622</v>
      </c>
      <c r="R1277" s="1">
        <f t="shared" si="255"/>
        <v>2.6835270408623622</v>
      </c>
      <c r="S1277" s="2">
        <f t="shared" si="256"/>
        <v>21.25</v>
      </c>
      <c r="T1277" s="2">
        <f t="shared" si="257"/>
        <v>0.37088246604879505</v>
      </c>
      <c r="U1277" s="1" t="s">
        <v>2507</v>
      </c>
      <c r="V1277" s="6" t="s">
        <v>2505</v>
      </c>
    </row>
    <row r="1278" spans="1:24" ht="14.25" customHeight="1" x14ac:dyDescent="0.3">
      <c r="A1278" s="1" t="s">
        <v>27</v>
      </c>
      <c r="B1278" s="1" t="s">
        <v>2457</v>
      </c>
      <c r="C1278" s="1" t="s">
        <v>2458</v>
      </c>
      <c r="D1278" s="1">
        <f t="shared" si="249"/>
        <v>43</v>
      </c>
      <c r="E1278" s="1">
        <f t="shared" si="250"/>
        <v>0.2209837962962963</v>
      </c>
      <c r="F1278" s="2">
        <f t="shared" si="251"/>
        <v>266.57548129773585</v>
      </c>
      <c r="G1278" s="1">
        <v>2080</v>
      </c>
      <c r="H1278" s="1">
        <v>3744</v>
      </c>
      <c r="I1278" s="1">
        <v>0</v>
      </c>
      <c r="J1278" s="1">
        <v>114</v>
      </c>
      <c r="K1278" s="1">
        <f t="shared" si="261"/>
        <v>0</v>
      </c>
      <c r="L1278" s="1">
        <f t="shared" si="252"/>
        <v>0.99475961538461533</v>
      </c>
      <c r="M1278" s="1">
        <f t="shared" si="253"/>
        <v>0.99475961538461533</v>
      </c>
      <c r="N1278" s="2">
        <f t="shared" si="262"/>
        <v>16.888502247353923</v>
      </c>
      <c r="O1278" s="1">
        <v>0</v>
      </c>
      <c r="P1278" s="1">
        <f t="shared" si="260"/>
        <v>1872</v>
      </c>
      <c r="Q1278" s="1">
        <f t="shared" si="254"/>
        <v>6.5675793368473592</v>
      </c>
      <c r="R1278" s="1">
        <f t="shared" si="255"/>
        <v>6.5675793368473592</v>
      </c>
      <c r="S1278" s="2">
        <f t="shared" si="256"/>
        <v>21.25</v>
      </c>
      <c r="T1278" s="2">
        <f t="shared" si="257"/>
        <v>0.37088246604879505</v>
      </c>
      <c r="U1278" s="1" t="s">
        <v>2507</v>
      </c>
      <c r="V1278" s="6" t="s">
        <v>2505</v>
      </c>
    </row>
    <row r="1279" spans="1:24" ht="14.25" customHeight="1" x14ac:dyDescent="0.3">
      <c r="A1279" s="1" t="s">
        <v>65</v>
      </c>
      <c r="B1279" s="1" t="s">
        <v>2459</v>
      </c>
      <c r="C1279" s="1" t="s">
        <v>2460</v>
      </c>
      <c r="D1279" s="1">
        <f t="shared" si="249"/>
        <v>43</v>
      </c>
      <c r="E1279" s="1">
        <f t="shared" si="250"/>
        <v>0.74445601851851861</v>
      </c>
      <c r="F1279" s="2">
        <f t="shared" si="251"/>
        <v>269.86455427311921</v>
      </c>
      <c r="G1279" s="1">
        <v>2080</v>
      </c>
      <c r="H1279" s="1">
        <v>3744</v>
      </c>
      <c r="I1279" s="1">
        <v>0</v>
      </c>
      <c r="J1279" s="1">
        <v>795</v>
      </c>
      <c r="K1279" s="1">
        <f t="shared" si="261"/>
        <v>0</v>
      </c>
      <c r="L1279" s="1">
        <f t="shared" si="252"/>
        <v>6.9371394230769221</v>
      </c>
      <c r="M1279" s="1">
        <f t="shared" si="253"/>
        <v>6.9371394230769221</v>
      </c>
      <c r="N1279" s="2">
        <f t="shared" si="262"/>
        <v>2.421747492073393</v>
      </c>
      <c r="O1279" s="1">
        <v>0</v>
      </c>
      <c r="P1279" s="1">
        <f t="shared" si="260"/>
        <v>1872</v>
      </c>
      <c r="Q1279" s="1">
        <f t="shared" si="254"/>
        <v>0.94176609358565921</v>
      </c>
      <c r="R1279" s="1">
        <f t="shared" si="255"/>
        <v>0.94176609358565921</v>
      </c>
      <c r="S1279" s="2">
        <f t="shared" si="256"/>
        <v>21.25</v>
      </c>
      <c r="T1279" s="2">
        <f t="shared" si="257"/>
        <v>0.37088246604879505</v>
      </c>
      <c r="U1279" s="1" t="s">
        <v>2507</v>
      </c>
      <c r="V1279" s="6" t="s">
        <v>2505</v>
      </c>
    </row>
    <row r="1280" spans="1:24" ht="14.25" customHeight="1" x14ac:dyDescent="0.3">
      <c r="A1280" s="1" t="s">
        <v>65</v>
      </c>
      <c r="B1280" s="1" t="s">
        <v>2461</v>
      </c>
      <c r="C1280" s="1" t="s">
        <v>2462</v>
      </c>
      <c r="D1280" s="1">
        <f t="shared" si="249"/>
        <v>43</v>
      </c>
      <c r="E1280" s="1">
        <f t="shared" si="250"/>
        <v>0.74460648148148145</v>
      </c>
      <c r="F1280" s="2">
        <f t="shared" si="251"/>
        <v>269.86549965979736</v>
      </c>
      <c r="G1280" s="1">
        <v>2080</v>
      </c>
      <c r="H1280" s="1">
        <v>3744</v>
      </c>
      <c r="I1280" s="1">
        <v>0</v>
      </c>
      <c r="J1280" s="1">
        <v>483</v>
      </c>
      <c r="K1280" s="1">
        <f t="shared" si="261"/>
        <v>0</v>
      </c>
      <c r="L1280" s="1">
        <f t="shared" si="252"/>
        <v>4.2146394230769229</v>
      </c>
      <c r="M1280" s="1">
        <f t="shared" si="253"/>
        <v>4.2146394230769229</v>
      </c>
      <c r="N1280" s="2">
        <f t="shared" si="262"/>
        <v>3.9861061204934725</v>
      </c>
      <c r="O1280" s="1">
        <v>0</v>
      </c>
      <c r="P1280" s="1">
        <f t="shared" si="260"/>
        <v>1872</v>
      </c>
      <c r="Q1280" s="1">
        <f t="shared" si="254"/>
        <v>1.5501118931689419</v>
      </c>
      <c r="R1280" s="1">
        <f t="shared" si="255"/>
        <v>1.5501118931689419</v>
      </c>
      <c r="S1280" s="2">
        <f t="shared" si="256"/>
        <v>21.25</v>
      </c>
      <c r="T1280" s="2">
        <f t="shared" si="257"/>
        <v>0.37088246604879505</v>
      </c>
      <c r="U1280" s="1" t="s">
        <v>2507</v>
      </c>
      <c r="V1280" s="6" t="s">
        <v>2505</v>
      </c>
    </row>
    <row r="1281" spans="1:22" ht="14.25" customHeight="1" x14ac:dyDescent="0.3">
      <c r="A1281" s="1" t="s">
        <v>27</v>
      </c>
      <c r="B1281" s="1" t="s">
        <v>2463</v>
      </c>
      <c r="C1281" s="1" t="s">
        <v>2464</v>
      </c>
      <c r="D1281" s="1">
        <f t="shared" si="249"/>
        <v>50</v>
      </c>
      <c r="E1281" s="1">
        <f t="shared" si="250"/>
        <v>0.86854166666666666</v>
      </c>
      <c r="F1281" s="2">
        <f t="shared" si="251"/>
        <v>314.62650454465262</v>
      </c>
      <c r="G1281" s="1">
        <v>2080</v>
      </c>
      <c r="H1281" s="1">
        <v>3744</v>
      </c>
      <c r="I1281" s="1">
        <v>0</v>
      </c>
      <c r="J1281" s="1">
        <v>171</v>
      </c>
      <c r="K1281" s="1">
        <f t="shared" si="261"/>
        <v>0</v>
      </c>
      <c r="L1281" s="1">
        <f t="shared" si="252"/>
        <v>1.4921394230769229</v>
      </c>
      <c r="M1281" s="1">
        <f t="shared" si="253"/>
        <v>1.4921394230769229</v>
      </c>
      <c r="N1281" s="2">
        <f t="shared" si="262"/>
        <v>11.25900149823595</v>
      </c>
      <c r="O1281" s="1">
        <v>0</v>
      </c>
      <c r="P1281" s="1">
        <f t="shared" si="260"/>
        <v>1872</v>
      </c>
      <c r="Q1281" s="1">
        <f t="shared" si="254"/>
        <v>4.378386224564907</v>
      </c>
      <c r="R1281" s="1">
        <f t="shared" si="255"/>
        <v>4.378386224564907</v>
      </c>
      <c r="S1281" s="2">
        <f t="shared" si="256"/>
        <v>21.25</v>
      </c>
      <c r="T1281" s="2">
        <f t="shared" si="257"/>
        <v>0.37088246604879505</v>
      </c>
      <c r="U1281" s="1" t="s">
        <v>2507</v>
      </c>
      <c r="V1281" s="6" t="s">
        <v>2505</v>
      </c>
    </row>
    <row r="1282" spans="1:22" ht="14.25" customHeight="1" x14ac:dyDescent="0.3">
      <c r="A1282" s="1" t="s">
        <v>27</v>
      </c>
      <c r="B1282" s="1" t="s">
        <v>2465</v>
      </c>
      <c r="C1282" s="1" t="s">
        <v>1500</v>
      </c>
      <c r="D1282" s="1">
        <f t="shared" ref="D1282:D1345" si="263">(LEFT(C1282,4)&amp;"-"&amp;MID(C1282,6,2)&amp;"-"&amp;MID(C1282,9,2))-(2019&amp;"-"&amp;5&amp;"-"&amp;28)</f>
        <v>51</v>
      </c>
      <c r="E1282" s="1">
        <f t="shared" ref="E1282:E1300" si="264">TIMEVALUE(RIGHT(C1282,8))</f>
        <v>0.28012731481481484</v>
      </c>
      <c r="F1282" s="2">
        <f t="shared" ref="F1282:F1345" si="265">(D1282+E1282)*2*PI()-4.989969053</f>
        <v>317.21257344174302</v>
      </c>
      <c r="G1282" s="1">
        <v>2080</v>
      </c>
      <c r="H1282" s="1">
        <v>3744</v>
      </c>
      <c r="I1282" s="1">
        <v>0</v>
      </c>
      <c r="J1282" s="1">
        <v>123</v>
      </c>
      <c r="K1282" s="1">
        <f t="shared" si="261"/>
        <v>0</v>
      </c>
      <c r="L1282" s="1">
        <f t="shared" ref="L1282:L1300" si="266">(18.15*J1282)/G1282</f>
        <v>1.0732932692307691</v>
      </c>
      <c r="M1282" s="1">
        <f t="shared" ref="M1282:M1345" si="267">SQRT(K1282*K1282+L1282*L1282)</f>
        <v>1.0732932692307691</v>
      </c>
      <c r="N1282" s="2">
        <f t="shared" si="262"/>
        <v>15.65275818047437</v>
      </c>
      <c r="O1282" s="1">
        <v>0</v>
      </c>
      <c r="P1282" s="1">
        <f t="shared" si="260"/>
        <v>1872</v>
      </c>
      <c r="Q1282" s="1">
        <f t="shared" ref="Q1282:Q1300" si="268">TAN(RADIANS(21.25))*N1282</f>
        <v>6.0870247512243827</v>
      </c>
      <c r="R1282" s="1">
        <f t="shared" ref="R1282:R1345" si="269">Q1282*(P1282/(H1282/2))</f>
        <v>6.0870247512243827</v>
      </c>
      <c r="S1282" s="2">
        <f t="shared" ref="S1282:S1345" si="270">DEGREES(ATAN(R1282/N1282))</f>
        <v>21.25</v>
      </c>
      <c r="T1282" s="2">
        <f t="shared" ref="T1282:T1345" si="271">RADIANS(S1282)</f>
        <v>0.37088246604879505</v>
      </c>
      <c r="U1282" s="1" t="s">
        <v>2507</v>
      </c>
      <c r="V1282" s="6" t="s">
        <v>2505</v>
      </c>
    </row>
    <row r="1283" spans="1:22" ht="14.25" customHeight="1" x14ac:dyDescent="0.3">
      <c r="A1283" s="1" t="s">
        <v>27</v>
      </c>
      <c r="B1283" s="1" t="s">
        <v>2466</v>
      </c>
      <c r="C1283" s="1" t="s">
        <v>2467</v>
      </c>
      <c r="D1283" s="1">
        <f t="shared" si="263"/>
        <v>54</v>
      </c>
      <c r="E1283" s="1">
        <f t="shared" si="264"/>
        <v>0.18149305555555553</v>
      </c>
      <c r="F1283" s="2">
        <f t="shared" si="265"/>
        <v>335.44239203471949</v>
      </c>
      <c r="G1283" s="1">
        <v>2080</v>
      </c>
      <c r="H1283" s="1">
        <v>3744</v>
      </c>
      <c r="I1283" s="1">
        <v>0</v>
      </c>
      <c r="J1283" s="1">
        <v>223</v>
      </c>
      <c r="K1283" s="1">
        <f t="shared" si="261"/>
        <v>0</v>
      </c>
      <c r="L1283" s="1">
        <f t="shared" si="266"/>
        <v>1.945889423076923</v>
      </c>
      <c r="M1283" s="1">
        <f t="shared" si="267"/>
        <v>1.945889423076923</v>
      </c>
      <c r="N1283" s="2">
        <f t="shared" si="262"/>
        <v>8.6335841085127676</v>
      </c>
      <c r="O1283" s="1">
        <v>0</v>
      </c>
      <c r="P1283" s="1">
        <f t="shared" si="260"/>
        <v>1872</v>
      </c>
      <c r="Q1283" s="1">
        <f t="shared" si="268"/>
        <v>3.3574172394645694</v>
      </c>
      <c r="R1283" s="1">
        <f t="shared" si="269"/>
        <v>3.3574172394645694</v>
      </c>
      <c r="S1283" s="2">
        <f t="shared" si="270"/>
        <v>21.25</v>
      </c>
      <c r="T1283" s="2">
        <f t="shared" si="271"/>
        <v>0.37088246604879505</v>
      </c>
      <c r="U1283" s="1" t="s">
        <v>2507</v>
      </c>
      <c r="V1283" s="6" t="s">
        <v>2505</v>
      </c>
    </row>
    <row r="1284" spans="1:22" ht="14.25" customHeight="1" x14ac:dyDescent="0.3">
      <c r="A1284" s="1" t="s">
        <v>27</v>
      </c>
      <c r="B1284" s="1" t="s">
        <v>839</v>
      </c>
      <c r="C1284" s="1" t="s">
        <v>308</v>
      </c>
      <c r="D1284" s="1">
        <f t="shared" si="263"/>
        <v>56</v>
      </c>
      <c r="E1284" s="1">
        <f t="shared" si="264"/>
        <v>0.30624999999999997</v>
      </c>
      <c r="F1284" s="2">
        <f t="shared" si="265"/>
        <v>348.7926336493806</v>
      </c>
      <c r="G1284" s="1">
        <v>2080</v>
      </c>
      <c r="H1284" s="1">
        <v>3744</v>
      </c>
      <c r="I1284" s="1">
        <v>0</v>
      </c>
      <c r="J1284" s="1">
        <v>244</v>
      </c>
      <c r="K1284" s="1">
        <f t="shared" si="261"/>
        <v>0</v>
      </c>
      <c r="L1284" s="1">
        <f t="shared" si="266"/>
        <v>2.1291346153846149</v>
      </c>
      <c r="M1284" s="1">
        <f t="shared" si="267"/>
        <v>2.1291346153846149</v>
      </c>
      <c r="N1284" s="2">
        <f t="shared" si="262"/>
        <v>7.8905297385178184</v>
      </c>
      <c r="O1284" s="1">
        <v>0</v>
      </c>
      <c r="P1284" s="1">
        <f t="shared" si="260"/>
        <v>1872</v>
      </c>
      <c r="Q1284" s="1">
        <f t="shared" si="268"/>
        <v>3.0684591983631111</v>
      </c>
      <c r="R1284" s="1">
        <f t="shared" si="269"/>
        <v>3.0684591983631111</v>
      </c>
      <c r="S1284" s="2">
        <f t="shared" si="270"/>
        <v>21.25</v>
      </c>
      <c r="T1284" s="2">
        <f t="shared" si="271"/>
        <v>0.37088246604879505</v>
      </c>
      <c r="U1284" s="1" t="s">
        <v>2507</v>
      </c>
      <c r="V1284" s="6" t="s">
        <v>2505</v>
      </c>
    </row>
    <row r="1285" spans="1:22" ht="14.25" customHeight="1" x14ac:dyDescent="0.3">
      <c r="A1285" s="1" t="s">
        <v>27</v>
      </c>
      <c r="B1285" s="1" t="s">
        <v>2468</v>
      </c>
      <c r="C1285" s="1" t="s">
        <v>2469</v>
      </c>
      <c r="D1285" s="1">
        <f t="shared" si="263"/>
        <v>56</v>
      </c>
      <c r="E1285" s="1">
        <f t="shared" si="264"/>
        <v>0.72788194444444443</v>
      </c>
      <c r="F1285" s="2">
        <f t="shared" si="265"/>
        <v>351.4418252877515</v>
      </c>
      <c r="G1285" s="1">
        <v>2080</v>
      </c>
      <c r="H1285" s="1">
        <v>3744</v>
      </c>
      <c r="I1285" s="1">
        <v>105</v>
      </c>
      <c r="J1285" s="1">
        <v>100</v>
      </c>
      <c r="K1285" s="1">
        <f t="shared" si="261"/>
        <v>0.91622596153846159</v>
      </c>
      <c r="L1285" s="1">
        <f t="shared" si="266"/>
        <v>0.87259615384615374</v>
      </c>
      <c r="M1285" s="1">
        <f t="shared" si="267"/>
        <v>1.265264423076923</v>
      </c>
      <c r="N1285" s="2">
        <f>42*0.32/M1285</f>
        <v>10.622285551439157</v>
      </c>
      <c r="O1285" s="1">
        <v>0</v>
      </c>
      <c r="P1285" s="1">
        <f t="shared" si="260"/>
        <v>1872</v>
      </c>
      <c r="Q1285" s="1">
        <f t="shared" si="268"/>
        <v>4.1307809346239948</v>
      </c>
      <c r="R1285" s="1">
        <f t="shared" si="269"/>
        <v>4.1307809346239948</v>
      </c>
      <c r="S1285" s="2">
        <f t="shared" si="270"/>
        <v>21.25</v>
      </c>
      <c r="T1285" s="2">
        <f t="shared" si="271"/>
        <v>0.37088246604879505</v>
      </c>
      <c r="U1285" s="1" t="s">
        <v>2264</v>
      </c>
      <c r="V1285" s="6" t="s">
        <v>2505</v>
      </c>
    </row>
    <row r="1286" spans="1:22" ht="14.25" customHeight="1" x14ac:dyDescent="0.3">
      <c r="A1286" s="1" t="s">
        <v>65</v>
      </c>
      <c r="B1286" s="1" t="s">
        <v>2470</v>
      </c>
      <c r="C1286" s="1" t="s">
        <v>2471</v>
      </c>
      <c r="D1286" s="1">
        <f t="shared" si="263"/>
        <v>60</v>
      </c>
      <c r="E1286" s="1">
        <f t="shared" si="264"/>
        <v>0.26238425925925929</v>
      </c>
      <c r="F1286" s="2">
        <f t="shared" si="265"/>
        <v>373.64975830038816</v>
      </c>
      <c r="G1286" s="1">
        <v>2080</v>
      </c>
      <c r="H1286" s="1">
        <v>3744</v>
      </c>
      <c r="I1286" s="1">
        <v>595</v>
      </c>
      <c r="J1286" s="1">
        <v>619</v>
      </c>
      <c r="K1286" s="1">
        <f t="shared" si="261"/>
        <v>5.1919471153846155</v>
      </c>
      <c r="L1286" s="1">
        <f t="shared" si="266"/>
        <v>5.4013701923076916</v>
      </c>
      <c r="M1286" s="1">
        <f t="shared" si="267"/>
        <v>7.4920701280287458</v>
      </c>
      <c r="N1286" s="2">
        <f>42*0.32/M1286</f>
        <v>1.7938967161718526</v>
      </c>
      <c r="O1286" s="1">
        <v>0</v>
      </c>
      <c r="P1286" s="1">
        <f t="shared" si="260"/>
        <v>1872</v>
      </c>
      <c r="Q1286" s="1">
        <f t="shared" si="268"/>
        <v>0.69760828006015263</v>
      </c>
      <c r="R1286" s="1">
        <f t="shared" si="269"/>
        <v>0.69760828006015263</v>
      </c>
      <c r="S1286" s="2">
        <f t="shared" si="270"/>
        <v>21.25</v>
      </c>
      <c r="T1286" s="2">
        <f t="shared" si="271"/>
        <v>0.37088246604879505</v>
      </c>
      <c r="U1286" s="1" t="s">
        <v>2264</v>
      </c>
      <c r="V1286" s="6" t="s">
        <v>2505</v>
      </c>
    </row>
    <row r="1287" spans="1:22" ht="14.25" customHeight="1" x14ac:dyDescent="0.3">
      <c r="A1287" s="1" t="s">
        <v>357</v>
      </c>
      <c r="B1287" s="1" t="s">
        <v>2472</v>
      </c>
      <c r="C1287" s="1" t="s">
        <v>2473</v>
      </c>
      <c r="D1287" s="1">
        <f t="shared" si="263"/>
        <v>63</v>
      </c>
      <c r="E1287" s="1">
        <f t="shared" si="264"/>
        <v>0.69444444444444453</v>
      </c>
      <c r="F1287" s="2">
        <f t="shared" si="265"/>
        <v>395.21402842929979</v>
      </c>
      <c r="G1287" s="1">
        <v>2080</v>
      </c>
      <c r="H1287" s="1">
        <v>3744</v>
      </c>
      <c r="I1287" s="1">
        <v>0</v>
      </c>
      <c r="J1287" s="1">
        <v>524</v>
      </c>
      <c r="K1287" s="1">
        <f t="shared" si="261"/>
        <v>0</v>
      </c>
      <c r="L1287" s="1">
        <f t="shared" si="266"/>
        <v>4.5724038461538452</v>
      </c>
      <c r="M1287" s="1">
        <f t="shared" si="267"/>
        <v>4.5724038461538452</v>
      </c>
      <c r="N1287" s="2">
        <f t="shared" ref="N1287:N1294" si="272">42*0.4/M1287</f>
        <v>3.6742161377831062</v>
      </c>
      <c r="O1287" s="1">
        <v>0</v>
      </c>
      <c r="P1287" s="1">
        <f t="shared" si="260"/>
        <v>1872</v>
      </c>
      <c r="Q1287" s="1">
        <f t="shared" si="268"/>
        <v>1.4288245122148839</v>
      </c>
      <c r="R1287" s="1">
        <f t="shared" si="269"/>
        <v>1.4288245122148839</v>
      </c>
      <c r="S1287" s="2">
        <f t="shared" si="270"/>
        <v>21.25</v>
      </c>
      <c r="T1287" s="2">
        <f t="shared" si="271"/>
        <v>0.37088246604879505</v>
      </c>
      <c r="U1287" s="1" t="s">
        <v>2507</v>
      </c>
      <c r="V1287" s="6" t="s">
        <v>2505</v>
      </c>
    </row>
    <row r="1288" spans="1:22" ht="14.25" customHeight="1" x14ac:dyDescent="0.3">
      <c r="A1288" s="1" t="s">
        <v>27</v>
      </c>
      <c r="B1288" s="1" t="s">
        <v>2474</v>
      </c>
      <c r="C1288" s="1" t="s">
        <v>2475</v>
      </c>
      <c r="D1288" s="1">
        <f t="shared" si="263"/>
        <v>73</v>
      </c>
      <c r="E1288" s="1">
        <f t="shared" si="264"/>
        <v>0.62878472222222226</v>
      </c>
      <c r="F1288" s="2">
        <f t="shared" si="265"/>
        <v>457.63332929915549</v>
      </c>
      <c r="G1288" s="1">
        <v>2080</v>
      </c>
      <c r="H1288" s="1">
        <v>3744</v>
      </c>
      <c r="I1288" s="1">
        <v>0</v>
      </c>
      <c r="J1288" s="1">
        <v>268</v>
      </c>
      <c r="K1288" s="1">
        <f t="shared" si="261"/>
        <v>0</v>
      </c>
      <c r="L1288" s="1">
        <f t="shared" si="266"/>
        <v>2.3385576923076923</v>
      </c>
      <c r="M1288" s="1">
        <f t="shared" si="267"/>
        <v>2.3385576923076923</v>
      </c>
      <c r="N1288" s="2">
        <f t="shared" si="272"/>
        <v>7.1839151350684594</v>
      </c>
      <c r="O1288" s="1">
        <v>0</v>
      </c>
      <c r="P1288" s="1">
        <f t="shared" si="260"/>
        <v>1872</v>
      </c>
      <c r="Q1288" s="1">
        <f t="shared" si="268"/>
        <v>2.7936718074649214</v>
      </c>
      <c r="R1288" s="1">
        <f t="shared" si="269"/>
        <v>2.7936718074649214</v>
      </c>
      <c r="S1288" s="2">
        <f t="shared" si="270"/>
        <v>21.25</v>
      </c>
      <c r="T1288" s="2">
        <f t="shared" si="271"/>
        <v>0.37088246604879505</v>
      </c>
      <c r="U1288" s="1" t="s">
        <v>2507</v>
      </c>
      <c r="V1288" s="6" t="s">
        <v>2505</v>
      </c>
    </row>
    <row r="1289" spans="1:22" ht="14.25" customHeight="1" x14ac:dyDescent="0.3">
      <c r="A1289" s="1" t="s">
        <v>40</v>
      </c>
      <c r="B1289" s="1" t="s">
        <v>2338</v>
      </c>
      <c r="C1289" s="1" t="s">
        <v>2339</v>
      </c>
      <c r="D1289" s="1">
        <f t="shared" si="263"/>
        <v>76</v>
      </c>
      <c r="E1289" s="1">
        <f t="shared" si="264"/>
        <v>0.98973379629629632</v>
      </c>
      <c r="F1289" s="2">
        <f t="shared" si="265"/>
        <v>478.75079513955649</v>
      </c>
      <c r="G1289" s="1">
        <v>2080</v>
      </c>
      <c r="H1289" s="1">
        <v>3744</v>
      </c>
      <c r="I1289" s="1">
        <v>0</v>
      </c>
      <c r="J1289" s="1">
        <v>302</v>
      </c>
      <c r="K1289" s="1">
        <f t="shared" si="261"/>
        <v>0</v>
      </c>
      <c r="L1289" s="1">
        <f t="shared" si="266"/>
        <v>2.6352403846153845</v>
      </c>
      <c r="M1289" s="1">
        <f t="shared" si="267"/>
        <v>2.6352403846153845</v>
      </c>
      <c r="N1289" s="2">
        <f t="shared" si="272"/>
        <v>6.3751299874117464</v>
      </c>
      <c r="O1289" s="1">
        <v>0</v>
      </c>
      <c r="P1289" s="1">
        <f t="shared" si="260"/>
        <v>1872</v>
      </c>
      <c r="Q1289" s="1">
        <f t="shared" si="268"/>
        <v>2.4791524649026457</v>
      </c>
      <c r="R1289" s="1">
        <f t="shared" si="269"/>
        <v>2.4791524649026457</v>
      </c>
      <c r="S1289" s="2">
        <f t="shared" si="270"/>
        <v>21.25</v>
      </c>
      <c r="T1289" s="2">
        <f t="shared" si="271"/>
        <v>0.37088246604879505</v>
      </c>
      <c r="U1289" s="1" t="s">
        <v>2507</v>
      </c>
      <c r="V1289" s="6" t="s">
        <v>2505</v>
      </c>
    </row>
    <row r="1290" spans="1:22" ht="14.25" customHeight="1" x14ac:dyDescent="0.3">
      <c r="A1290" s="1" t="s">
        <v>357</v>
      </c>
      <c r="B1290" s="1" t="s">
        <v>2476</v>
      </c>
      <c r="C1290" s="1" t="s">
        <v>2477</v>
      </c>
      <c r="D1290" s="1">
        <f t="shared" si="263"/>
        <v>78</v>
      </c>
      <c r="E1290" s="1">
        <f t="shared" si="264"/>
        <v>6.4814814814814811E-2</v>
      </c>
      <c r="F1290" s="2">
        <f t="shared" si="265"/>
        <v>485.50572839913974</v>
      </c>
      <c r="G1290" s="1">
        <v>2080</v>
      </c>
      <c r="H1290" s="1">
        <v>3744</v>
      </c>
      <c r="I1290" s="1">
        <v>0</v>
      </c>
      <c r="J1290" s="1">
        <v>678</v>
      </c>
      <c r="K1290" s="1">
        <f t="shared" si="261"/>
        <v>0</v>
      </c>
      <c r="L1290" s="1">
        <f t="shared" si="266"/>
        <v>5.9162019230769225</v>
      </c>
      <c r="M1290" s="1">
        <f t="shared" si="267"/>
        <v>5.9162019230769225</v>
      </c>
      <c r="N1290" s="2">
        <f t="shared" si="272"/>
        <v>2.839659669909067</v>
      </c>
      <c r="O1290" s="1">
        <v>0</v>
      </c>
      <c r="P1290" s="1">
        <f t="shared" si="260"/>
        <v>1872</v>
      </c>
      <c r="Q1290" s="1">
        <f t="shared" si="268"/>
        <v>1.1042832513283172</v>
      </c>
      <c r="R1290" s="1">
        <f t="shared" si="269"/>
        <v>1.1042832513283172</v>
      </c>
      <c r="S1290" s="2">
        <f t="shared" si="270"/>
        <v>21.25</v>
      </c>
      <c r="T1290" s="2">
        <f t="shared" si="271"/>
        <v>0.37088246604879505</v>
      </c>
      <c r="U1290" s="1" t="s">
        <v>2507</v>
      </c>
      <c r="V1290" s="6" t="s">
        <v>2505</v>
      </c>
    </row>
    <row r="1291" spans="1:22" ht="14.25" customHeight="1" x14ac:dyDescent="0.3">
      <c r="A1291" s="1" t="s">
        <v>40</v>
      </c>
      <c r="B1291" s="1" t="s">
        <v>2478</v>
      </c>
      <c r="C1291" s="1" t="s">
        <v>2479</v>
      </c>
      <c r="D1291" s="1">
        <f t="shared" si="263"/>
        <v>78</v>
      </c>
      <c r="E1291" s="1">
        <f t="shared" si="264"/>
        <v>0.10195601851851853</v>
      </c>
      <c r="F1291" s="2">
        <f t="shared" si="265"/>
        <v>485.73909346454184</v>
      </c>
      <c r="G1291" s="1">
        <v>2080</v>
      </c>
      <c r="H1291" s="1">
        <v>3744</v>
      </c>
      <c r="I1291" s="1">
        <v>0</v>
      </c>
      <c r="J1291" s="1">
        <v>984</v>
      </c>
      <c r="K1291" s="1">
        <f t="shared" si="261"/>
        <v>0</v>
      </c>
      <c r="L1291" s="1">
        <f t="shared" si="266"/>
        <v>8.5863461538461525</v>
      </c>
      <c r="M1291" s="1">
        <f t="shared" si="267"/>
        <v>8.5863461538461525</v>
      </c>
      <c r="N1291" s="2">
        <f t="shared" si="272"/>
        <v>1.9565947725592963</v>
      </c>
      <c r="O1291" s="1">
        <v>0</v>
      </c>
      <c r="P1291" s="1">
        <f t="shared" si="260"/>
        <v>1872</v>
      </c>
      <c r="Q1291" s="1">
        <f t="shared" si="268"/>
        <v>0.76087809390304784</v>
      </c>
      <c r="R1291" s="1">
        <f t="shared" si="269"/>
        <v>0.76087809390304784</v>
      </c>
      <c r="S1291" s="2">
        <f t="shared" si="270"/>
        <v>21.25</v>
      </c>
      <c r="T1291" s="2">
        <f t="shared" si="271"/>
        <v>0.37088246604879505</v>
      </c>
      <c r="U1291" s="1" t="s">
        <v>2507</v>
      </c>
      <c r="V1291" s="6" t="s">
        <v>2505</v>
      </c>
    </row>
    <row r="1292" spans="1:22" ht="14.25" customHeight="1" x14ac:dyDescent="0.3">
      <c r="A1292" s="1" t="s">
        <v>40</v>
      </c>
      <c r="B1292" s="1" t="s">
        <v>2480</v>
      </c>
      <c r="C1292" s="1" t="s">
        <v>2481</v>
      </c>
      <c r="D1292" s="1">
        <f t="shared" si="263"/>
        <v>78</v>
      </c>
      <c r="E1292" s="1">
        <f t="shared" si="264"/>
        <v>0.10196759259259258</v>
      </c>
      <c r="F1292" s="2">
        <f t="shared" si="265"/>
        <v>485.73916618659393</v>
      </c>
      <c r="G1292" s="1">
        <v>2080</v>
      </c>
      <c r="H1292" s="1">
        <v>3744</v>
      </c>
      <c r="I1292" s="1">
        <v>0</v>
      </c>
      <c r="J1292" s="1">
        <v>960</v>
      </c>
      <c r="K1292" s="1">
        <f t="shared" si="261"/>
        <v>0</v>
      </c>
      <c r="L1292" s="1">
        <f t="shared" si="266"/>
        <v>8.3769230769230774</v>
      </c>
      <c r="M1292" s="1">
        <f t="shared" si="267"/>
        <v>8.3769230769230774</v>
      </c>
      <c r="N1292" s="2">
        <f t="shared" si="272"/>
        <v>2.0055096418732781</v>
      </c>
      <c r="O1292" s="1">
        <v>0</v>
      </c>
      <c r="P1292" s="1">
        <f t="shared" ref="P1292:P1323" si="273">H1292/2-O1292</f>
        <v>1872</v>
      </c>
      <c r="Q1292" s="1">
        <f t="shared" si="268"/>
        <v>0.77990004625062381</v>
      </c>
      <c r="R1292" s="1">
        <f t="shared" si="269"/>
        <v>0.77990004625062381</v>
      </c>
      <c r="S1292" s="2">
        <f t="shared" si="270"/>
        <v>21.25</v>
      </c>
      <c r="T1292" s="2">
        <f t="shared" si="271"/>
        <v>0.37088246604879505</v>
      </c>
      <c r="U1292" s="1" t="s">
        <v>2507</v>
      </c>
      <c r="V1292" s="6" t="s">
        <v>2505</v>
      </c>
    </row>
    <row r="1293" spans="1:22" ht="14.25" customHeight="1" x14ac:dyDescent="0.3">
      <c r="A1293" s="1" t="s">
        <v>40</v>
      </c>
      <c r="B1293" s="1" t="s">
        <v>2482</v>
      </c>
      <c r="C1293" s="1" t="s">
        <v>2483</v>
      </c>
      <c r="D1293" s="1">
        <f t="shared" si="263"/>
        <v>78</v>
      </c>
      <c r="E1293" s="1">
        <f t="shared" si="264"/>
        <v>0.10197916666666666</v>
      </c>
      <c r="F1293" s="2">
        <f t="shared" si="265"/>
        <v>485.73923890864614</v>
      </c>
      <c r="G1293" s="1">
        <v>2080</v>
      </c>
      <c r="H1293" s="1">
        <v>3744</v>
      </c>
      <c r="I1293" s="1">
        <v>0</v>
      </c>
      <c r="J1293" s="1">
        <v>948</v>
      </c>
      <c r="K1293" s="1">
        <f t="shared" si="261"/>
        <v>0</v>
      </c>
      <c r="L1293" s="1">
        <f t="shared" si="266"/>
        <v>8.2722115384615371</v>
      </c>
      <c r="M1293" s="1">
        <f t="shared" si="267"/>
        <v>8.2722115384615371</v>
      </c>
      <c r="N1293" s="2">
        <f t="shared" si="272"/>
        <v>2.0308958398716745</v>
      </c>
      <c r="O1293" s="1">
        <v>0</v>
      </c>
      <c r="P1293" s="1">
        <f t="shared" si="273"/>
        <v>1872</v>
      </c>
      <c r="Q1293" s="1">
        <f t="shared" si="268"/>
        <v>0.78977219873480919</v>
      </c>
      <c r="R1293" s="1">
        <f t="shared" si="269"/>
        <v>0.78977219873480919</v>
      </c>
      <c r="S1293" s="2">
        <f t="shared" si="270"/>
        <v>21.25</v>
      </c>
      <c r="T1293" s="2">
        <f t="shared" si="271"/>
        <v>0.37088246604879505</v>
      </c>
      <c r="U1293" s="1" t="s">
        <v>2507</v>
      </c>
      <c r="V1293" s="6" t="s">
        <v>2505</v>
      </c>
    </row>
    <row r="1294" spans="1:22" ht="14.25" customHeight="1" x14ac:dyDescent="0.3">
      <c r="A1294" s="1" t="s">
        <v>450</v>
      </c>
      <c r="B1294" s="1" t="s">
        <v>2484</v>
      </c>
      <c r="C1294" s="1" t="s">
        <v>2485</v>
      </c>
      <c r="D1294" s="1">
        <f t="shared" si="263"/>
        <v>81</v>
      </c>
      <c r="E1294" s="1">
        <f t="shared" si="264"/>
        <v>0.30950231481481483</v>
      </c>
      <c r="F1294" s="2">
        <f t="shared" si="265"/>
        <v>505.89270122552904</v>
      </c>
      <c r="G1294" s="1">
        <v>2080</v>
      </c>
      <c r="H1294" s="1">
        <v>3744</v>
      </c>
      <c r="I1294" s="1">
        <v>0</v>
      </c>
      <c r="J1294" s="1">
        <v>223</v>
      </c>
      <c r="K1294" s="1">
        <f t="shared" si="261"/>
        <v>0</v>
      </c>
      <c r="L1294" s="1">
        <f t="shared" si="266"/>
        <v>1.945889423076923</v>
      </c>
      <c r="M1294" s="1">
        <f t="shared" si="267"/>
        <v>1.945889423076923</v>
      </c>
      <c r="N1294" s="2">
        <f t="shared" si="272"/>
        <v>8.6335841085127676</v>
      </c>
      <c r="O1294" s="1">
        <v>0</v>
      </c>
      <c r="P1294" s="1">
        <f t="shared" si="273"/>
        <v>1872</v>
      </c>
      <c r="Q1294" s="1">
        <f t="shared" si="268"/>
        <v>3.3574172394645694</v>
      </c>
      <c r="R1294" s="1">
        <f t="shared" si="269"/>
        <v>3.3574172394645694</v>
      </c>
      <c r="S1294" s="2">
        <f t="shared" si="270"/>
        <v>21.25</v>
      </c>
      <c r="T1294" s="2">
        <f t="shared" si="271"/>
        <v>0.37088246604879505</v>
      </c>
      <c r="U1294" s="1" t="s">
        <v>2507</v>
      </c>
      <c r="V1294" s="6" t="s">
        <v>2505</v>
      </c>
    </row>
    <row r="1295" spans="1:22" ht="14.25" customHeight="1" x14ac:dyDescent="0.3">
      <c r="A1295" s="1" t="s">
        <v>27</v>
      </c>
      <c r="B1295" s="1" t="s">
        <v>2486</v>
      </c>
      <c r="C1295" s="1" t="s">
        <v>2487</v>
      </c>
      <c r="D1295" s="1">
        <f t="shared" si="263"/>
        <v>85</v>
      </c>
      <c r="E1295" s="1">
        <f t="shared" si="264"/>
        <v>0.74565972222222221</v>
      </c>
      <c r="F1295" s="2">
        <f t="shared" si="265"/>
        <v>533.76590026808719</v>
      </c>
      <c r="G1295" s="1">
        <v>2080</v>
      </c>
      <c r="H1295" s="1">
        <v>3744</v>
      </c>
      <c r="I1295" s="1">
        <v>106</v>
      </c>
      <c r="J1295" s="1">
        <v>115</v>
      </c>
      <c r="K1295" s="1">
        <f t="shared" si="261"/>
        <v>0.92495192307692309</v>
      </c>
      <c r="L1295" s="1">
        <f t="shared" si="266"/>
        <v>1.0034855769230768</v>
      </c>
      <c r="M1295" s="1">
        <f t="shared" si="267"/>
        <v>1.3647415004667875</v>
      </c>
      <c r="N1295" s="2">
        <f>42*0.32/M1295</f>
        <v>9.8480188338986299</v>
      </c>
      <c r="O1295" s="1">
        <v>0</v>
      </c>
      <c r="P1295" s="1">
        <f t="shared" si="273"/>
        <v>1872</v>
      </c>
      <c r="Q1295" s="1">
        <f t="shared" si="268"/>
        <v>3.8296850753908571</v>
      </c>
      <c r="R1295" s="1">
        <f t="shared" si="269"/>
        <v>3.8296850753908571</v>
      </c>
      <c r="S1295" s="2">
        <f t="shared" si="270"/>
        <v>21.25</v>
      </c>
      <c r="T1295" s="2">
        <f t="shared" si="271"/>
        <v>0.37088246604879505</v>
      </c>
      <c r="U1295" s="1" t="s">
        <v>2264</v>
      </c>
      <c r="V1295" s="6" t="s">
        <v>2505</v>
      </c>
    </row>
    <row r="1296" spans="1:22" ht="14.25" customHeight="1" x14ac:dyDescent="0.3">
      <c r="A1296" s="1" t="s">
        <v>27</v>
      </c>
      <c r="B1296" s="1" t="s">
        <v>2488</v>
      </c>
      <c r="C1296" s="1" t="s">
        <v>2489</v>
      </c>
      <c r="D1296" s="1">
        <f t="shared" si="263"/>
        <v>86</v>
      </c>
      <c r="E1296" s="1">
        <f t="shared" si="264"/>
        <v>0.93259259259259253</v>
      </c>
      <c r="F1296" s="2">
        <f t="shared" si="265"/>
        <v>541.22361943980673</v>
      </c>
      <c r="G1296" s="1">
        <v>2080</v>
      </c>
      <c r="H1296" s="1">
        <v>3744</v>
      </c>
      <c r="I1296" s="1">
        <v>0</v>
      </c>
      <c r="J1296" s="1">
        <v>243</v>
      </c>
      <c r="K1296" s="1">
        <f t="shared" si="261"/>
        <v>0</v>
      </c>
      <c r="L1296" s="1">
        <f t="shared" si="266"/>
        <v>2.120408653846154</v>
      </c>
      <c r="M1296" s="1">
        <f t="shared" si="267"/>
        <v>2.120408653846154</v>
      </c>
      <c r="N1296" s="2">
        <f>42*0.4/M1296</f>
        <v>7.9230010543141853</v>
      </c>
      <c r="O1296" s="1">
        <v>0</v>
      </c>
      <c r="P1296" s="1">
        <f t="shared" si="273"/>
        <v>1872</v>
      </c>
      <c r="Q1296" s="1">
        <f t="shared" si="268"/>
        <v>3.0810866024716006</v>
      </c>
      <c r="R1296" s="1">
        <f t="shared" si="269"/>
        <v>3.0810866024716006</v>
      </c>
      <c r="S1296" s="2">
        <f t="shared" si="270"/>
        <v>21.25</v>
      </c>
      <c r="T1296" s="2">
        <f t="shared" si="271"/>
        <v>0.37088246604879505</v>
      </c>
      <c r="U1296" s="1" t="s">
        <v>2507</v>
      </c>
      <c r="V1296" s="6" t="s">
        <v>2505</v>
      </c>
    </row>
    <row r="1297" spans="1:22" ht="14.25" customHeight="1" x14ac:dyDescent="0.3">
      <c r="A1297" s="1" t="s">
        <v>357</v>
      </c>
      <c r="B1297" s="1" t="s">
        <v>2490</v>
      </c>
      <c r="C1297" s="1" t="s">
        <v>2491</v>
      </c>
      <c r="D1297" s="1">
        <f t="shared" si="263"/>
        <v>89</v>
      </c>
      <c r="E1297" s="1">
        <f t="shared" si="264"/>
        <v>0.12527777777777779</v>
      </c>
      <c r="F1297" s="2">
        <f t="shared" si="265"/>
        <v>555.00066677863265</v>
      </c>
      <c r="G1297" s="1">
        <v>2080</v>
      </c>
      <c r="H1297" s="1">
        <v>3744</v>
      </c>
      <c r="I1297" s="1">
        <v>0</v>
      </c>
      <c r="J1297" s="1">
        <v>642</v>
      </c>
      <c r="K1297" s="1">
        <f t="shared" si="261"/>
        <v>0</v>
      </c>
      <c r="L1297" s="1">
        <f t="shared" si="266"/>
        <v>5.6020673076923071</v>
      </c>
      <c r="M1297" s="1">
        <f t="shared" si="267"/>
        <v>5.6020673076923071</v>
      </c>
      <c r="N1297" s="2">
        <f>42*0.4/M1297</f>
        <v>2.9988929224273324</v>
      </c>
      <c r="O1297" s="1">
        <v>0</v>
      </c>
      <c r="P1297" s="1">
        <f t="shared" si="273"/>
        <v>1872</v>
      </c>
      <c r="Q1297" s="1">
        <f t="shared" si="268"/>
        <v>1.166205676636447</v>
      </c>
      <c r="R1297" s="1">
        <f t="shared" si="269"/>
        <v>1.166205676636447</v>
      </c>
      <c r="S1297" s="2">
        <f t="shared" si="270"/>
        <v>21.25</v>
      </c>
      <c r="T1297" s="2">
        <f t="shared" si="271"/>
        <v>0.37088246604879505</v>
      </c>
      <c r="U1297" s="1" t="s">
        <v>2507</v>
      </c>
      <c r="V1297" s="6" t="s">
        <v>2505</v>
      </c>
    </row>
    <row r="1298" spans="1:22" ht="14.25" customHeight="1" x14ac:dyDescent="0.3">
      <c r="A1298" s="1" t="s">
        <v>881</v>
      </c>
      <c r="B1298" s="1" t="s">
        <v>2492</v>
      </c>
      <c r="C1298" s="1" t="s">
        <v>2493</v>
      </c>
      <c r="D1298" s="1">
        <f t="shared" si="263"/>
        <v>89</v>
      </c>
      <c r="E1298" s="1">
        <f t="shared" si="264"/>
        <v>0.7232291666666667</v>
      </c>
      <c r="F1298" s="2">
        <f t="shared" si="265"/>
        <v>558.75770615970691</v>
      </c>
      <c r="G1298" s="1">
        <v>2080</v>
      </c>
      <c r="H1298" s="1">
        <v>3744</v>
      </c>
      <c r="I1298" s="1">
        <v>117</v>
      </c>
      <c r="J1298" s="1">
        <v>152</v>
      </c>
      <c r="K1298" s="1">
        <f t="shared" si="261"/>
        <v>1.0209375000000001</v>
      </c>
      <c r="L1298" s="1">
        <f t="shared" si="266"/>
        <v>1.3263461538461536</v>
      </c>
      <c r="M1298" s="1">
        <f t="shared" si="267"/>
        <v>1.6737704438568435</v>
      </c>
      <c r="N1298" s="2">
        <f>42*0.32/M1298</f>
        <v>8.0297749606752618</v>
      </c>
      <c r="O1298" s="1">
        <v>0</v>
      </c>
      <c r="P1298" s="1">
        <f t="shared" si="273"/>
        <v>1872</v>
      </c>
      <c r="Q1298" s="1">
        <f t="shared" si="268"/>
        <v>3.1226087037722858</v>
      </c>
      <c r="R1298" s="1">
        <f t="shared" si="269"/>
        <v>3.1226087037722858</v>
      </c>
      <c r="S1298" s="2">
        <f t="shared" si="270"/>
        <v>21.25</v>
      </c>
      <c r="T1298" s="2">
        <f t="shared" si="271"/>
        <v>0.37088246604879505</v>
      </c>
      <c r="U1298" s="1" t="s">
        <v>2264</v>
      </c>
      <c r="V1298" s="6" t="s">
        <v>2505</v>
      </c>
    </row>
    <row r="1299" spans="1:22" ht="14.25" customHeight="1" x14ac:dyDescent="0.3">
      <c r="A1299" s="1" t="s">
        <v>82</v>
      </c>
      <c r="B1299" s="1" t="s">
        <v>2494</v>
      </c>
      <c r="C1299" s="1" t="s">
        <v>2495</v>
      </c>
      <c r="D1299" s="1">
        <f t="shared" si="263"/>
        <v>14</v>
      </c>
      <c r="E1299" s="1">
        <f t="shared" si="264"/>
        <v>0.3966898148148148</v>
      </c>
      <c r="F1299" s="2">
        <f t="shared" si="265"/>
        <v>85.467100863466442</v>
      </c>
      <c r="G1299" s="1">
        <v>2080</v>
      </c>
      <c r="H1299" s="1">
        <v>3744</v>
      </c>
      <c r="I1299" s="1">
        <v>0</v>
      </c>
      <c r="J1299" s="1"/>
      <c r="K1299" s="1">
        <f t="shared" si="261"/>
        <v>0</v>
      </c>
      <c r="L1299" s="1">
        <f t="shared" si="266"/>
        <v>0</v>
      </c>
      <c r="M1299" s="1">
        <f t="shared" si="267"/>
        <v>0</v>
      </c>
      <c r="N1299" s="2" t="e">
        <f>42*0.4/M1299</f>
        <v>#DIV/0!</v>
      </c>
      <c r="O1299" s="1"/>
      <c r="P1299" s="1">
        <f t="shared" si="273"/>
        <v>1872</v>
      </c>
      <c r="Q1299" s="1" t="e">
        <f t="shared" si="268"/>
        <v>#DIV/0!</v>
      </c>
      <c r="R1299" s="1" t="e">
        <f t="shared" si="269"/>
        <v>#DIV/0!</v>
      </c>
      <c r="S1299" s="2" t="e">
        <f t="shared" si="270"/>
        <v>#DIV/0!</v>
      </c>
      <c r="T1299" s="2" t="e">
        <f t="shared" si="271"/>
        <v>#DIV/0!</v>
      </c>
      <c r="U1299" s="1" t="s">
        <v>2507</v>
      </c>
      <c r="V1299" s="6" t="s">
        <v>2505</v>
      </c>
    </row>
    <row r="1300" spans="1:22" ht="14.25" customHeight="1" x14ac:dyDescent="0.3">
      <c r="A1300" s="1" t="s">
        <v>17</v>
      </c>
      <c r="B1300" s="1" t="s">
        <v>2496</v>
      </c>
      <c r="C1300" s="1" t="s">
        <v>2497</v>
      </c>
      <c r="D1300" s="1">
        <f t="shared" si="263"/>
        <v>39</v>
      </c>
      <c r="E1300" s="1">
        <f t="shared" si="264"/>
        <v>0.26800925925925928</v>
      </c>
      <c r="F1300" s="2">
        <f t="shared" si="265"/>
        <v>241.7382097669697</v>
      </c>
      <c r="G1300" s="1">
        <v>2080</v>
      </c>
      <c r="H1300" s="1">
        <v>3744</v>
      </c>
      <c r="I1300" s="1">
        <v>0</v>
      </c>
      <c r="J1300" s="1"/>
      <c r="K1300" s="1">
        <f t="shared" si="261"/>
        <v>0</v>
      </c>
      <c r="L1300" s="1">
        <f t="shared" si="266"/>
        <v>0</v>
      </c>
      <c r="M1300" s="1">
        <f t="shared" si="267"/>
        <v>0</v>
      </c>
      <c r="N1300" s="2" t="e">
        <f>42*0.4/M1300</f>
        <v>#DIV/0!</v>
      </c>
      <c r="O1300" s="1"/>
      <c r="P1300" s="1">
        <f t="shared" si="273"/>
        <v>1872</v>
      </c>
      <c r="Q1300" s="1" t="e">
        <f t="shared" si="268"/>
        <v>#DIV/0!</v>
      </c>
      <c r="R1300" s="1" t="e">
        <f t="shared" si="269"/>
        <v>#DIV/0!</v>
      </c>
      <c r="S1300" s="2" t="e">
        <f t="shared" si="270"/>
        <v>#DIV/0!</v>
      </c>
      <c r="T1300" s="2" t="e">
        <f t="shared" si="271"/>
        <v>#DIV/0!</v>
      </c>
      <c r="U1300" s="1" t="s">
        <v>2507</v>
      </c>
      <c r="V1300" s="6" t="s">
        <v>2505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2020-01-21T08:33:52Z</dcterms:created>
  <dcterms:modified xsi:type="dcterms:W3CDTF">2021-09-05T12:37:07Z</dcterms:modified>
</cp:coreProperties>
</file>