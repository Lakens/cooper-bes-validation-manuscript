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defaultThemeVersion="124226"/>
  <mc:AlternateContent xmlns:mc="http://schemas.openxmlformats.org/markup-compatibility/2006">
    <mc:Choice Requires="x15">
      <x15ac:absPath xmlns:x15ac="http://schemas.microsoft.com/office/spreadsheetml/2010/11/ac" url="/Users/llika/Desktop/Book/Manuscripts/FotC/"/>
    </mc:Choice>
  </mc:AlternateContent>
  <xr:revisionPtr revIDLastSave="0" documentId="13_ncr:1_{DD987601-6D65-D644-9108-F7EB95C94A9D}" xr6:coauthVersionLast="47" xr6:coauthVersionMax="47" xr10:uidLastSave="{00000000-0000-0000-0000-000000000000}"/>
  <bookViews>
    <workbookView xWindow="0" yWindow="500" windowWidth="28800" windowHeight="15820" activeTab="1" xr2:uid="{00000000-000D-0000-FFFF-FFFF00000000}"/>
  </bookViews>
  <sheets>
    <sheet name="Metadata" sheetId="18" r:id="rId1"/>
    <sheet name="Dataset" sheetId="7" r:id="rId2"/>
  </sheets>
  <definedNames>
    <definedName name="_xlnm._FilterDatabase" localSheetId="1" hidden="1">Dataset!$BL$1:$BL$89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83" i="7" l="1"/>
  <c r="BR82" i="7"/>
  <c r="E83" i="7"/>
  <c r="F83" i="7"/>
  <c r="E82" i="7"/>
  <c r="F82" i="7"/>
  <c r="D83" i="7"/>
  <c r="D82" i="7"/>
  <c r="BA82" i="7" l="1"/>
  <c r="AU82" i="7" l="1"/>
  <c r="AH83" i="7" l="1"/>
  <c r="AH82" i="7"/>
  <c r="W82" i="7" l="1"/>
  <c r="W83"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8" i="7"/>
  <c r="R59" i="7"/>
  <c r="R60" i="7"/>
  <c r="R61" i="7"/>
  <c r="R62" i="7"/>
  <c r="R63" i="7"/>
  <c r="R64" i="7"/>
  <c r="R65" i="7"/>
  <c r="R66" i="7"/>
  <c r="R67" i="7"/>
  <c r="R68" i="7"/>
  <c r="R70" i="7"/>
  <c r="R71" i="7"/>
  <c r="R72" i="7"/>
  <c r="R73" i="7"/>
  <c r="R74" i="7"/>
  <c r="R75" i="7"/>
  <c r="R76" i="7"/>
  <c r="R77" i="7"/>
  <c r="R79" i="7"/>
  <c r="R81" i="7"/>
  <c r="R2" i="7"/>
  <c r="R82" i="7" l="1"/>
  <c r="R8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Mallika</author>
  </authors>
  <commentList>
    <comment ref="AA15" authorId="0" shapeId="0" xr:uid="{00000000-0006-0000-0400-000001000000}">
      <text>
        <r>
          <rPr>
            <b/>
            <sz val="9"/>
            <color rgb="FF000000"/>
            <rFont val="Tahoma"/>
            <family val="2"/>
          </rPr>
          <t>Mallika:</t>
        </r>
        <r>
          <rPr>
            <sz val="9"/>
            <color rgb="FF000000"/>
            <rFont val="Tahoma"/>
            <family val="2"/>
          </rPr>
          <t xml:space="preserve">
</t>
        </r>
        <r>
          <rPr>
            <sz val="9"/>
            <color rgb="FF000000"/>
            <rFont val="Tahoma"/>
            <family val="2"/>
          </rPr>
          <t>Quote on communal lands?</t>
        </r>
      </text>
    </comment>
    <comment ref="AY17" authorId="0" shapeId="0" xr:uid="{00000000-0006-0000-0400-000002000000}">
      <text>
        <r>
          <rPr>
            <b/>
            <sz val="9"/>
            <color rgb="FF000000"/>
            <rFont val="Tahoma"/>
            <family val="2"/>
          </rPr>
          <t>Mallika:</t>
        </r>
        <r>
          <rPr>
            <sz val="9"/>
            <color rgb="FF000000"/>
            <rFont val="Tahoma"/>
            <family val="2"/>
          </rPr>
          <t xml:space="preserve">
</t>
        </r>
        <r>
          <rPr>
            <sz val="9"/>
            <color rgb="FF000000"/>
            <rFont val="Tahoma"/>
            <family val="2"/>
          </rPr>
          <t>Change</t>
        </r>
      </text>
    </comment>
    <comment ref="AA22" authorId="0" shapeId="0" xr:uid="{00000000-0006-0000-0400-000003000000}">
      <text>
        <r>
          <rPr>
            <b/>
            <sz val="9"/>
            <color rgb="FF000000"/>
            <rFont val="Tahoma"/>
            <family val="2"/>
          </rPr>
          <t>Mallika:</t>
        </r>
        <r>
          <rPr>
            <sz val="9"/>
            <color rgb="FF000000"/>
            <rFont val="Tahoma"/>
            <family val="2"/>
          </rPr>
          <t xml:space="preserve">
</t>
        </r>
        <r>
          <rPr>
            <sz val="9"/>
            <color rgb="FF000000"/>
            <rFont val="Tahoma"/>
            <family val="2"/>
          </rPr>
          <t>Quote on dev change?</t>
        </r>
      </text>
    </comment>
    <comment ref="AA26" authorId="0" shapeId="0" xr:uid="{00000000-0006-0000-0400-000004000000}">
      <text>
        <r>
          <rPr>
            <b/>
            <sz val="9"/>
            <color rgb="FF000000"/>
            <rFont val="Tahoma"/>
            <family val="2"/>
          </rPr>
          <t>Mallika:</t>
        </r>
        <r>
          <rPr>
            <sz val="9"/>
            <color rgb="FF000000"/>
            <rFont val="Tahoma"/>
            <family val="2"/>
          </rPr>
          <t xml:space="preserve">
</t>
        </r>
        <r>
          <rPr>
            <sz val="9"/>
            <color rgb="FF000000"/>
            <rFont val="Tahoma"/>
            <family val="2"/>
          </rPr>
          <t>Quote on change</t>
        </r>
      </text>
    </comment>
    <comment ref="AF38" authorId="0" shapeId="0" xr:uid="{00000000-0006-0000-0400-000005000000}">
      <text>
        <r>
          <rPr>
            <b/>
            <sz val="9"/>
            <color rgb="FF000000"/>
            <rFont val="Tahoma"/>
            <family val="2"/>
          </rPr>
          <t>Mallika:</t>
        </r>
        <r>
          <rPr>
            <sz val="9"/>
            <color rgb="FF000000"/>
            <rFont val="Tahoma"/>
            <family val="2"/>
          </rPr>
          <t xml:space="preserve">
</t>
        </r>
        <r>
          <rPr>
            <sz val="9"/>
            <color rgb="FF000000"/>
            <rFont val="Tahoma"/>
            <family val="2"/>
          </rPr>
          <t>Poetic</t>
        </r>
      </text>
    </comment>
    <comment ref="AR62" authorId="0" shapeId="0" xr:uid="{00000000-0006-0000-0400-000006000000}">
      <text>
        <r>
          <rPr>
            <b/>
            <sz val="9"/>
            <color indexed="81"/>
            <rFont val="Tahoma"/>
            <family val="2"/>
          </rPr>
          <t>Mallika:</t>
        </r>
        <r>
          <rPr>
            <sz val="9"/>
            <color indexed="81"/>
            <rFont val="Tahoma"/>
            <family val="2"/>
          </rPr>
          <t xml:space="preserve">
Demand</t>
        </r>
      </text>
    </comment>
    <comment ref="AD63" authorId="0" shapeId="0" xr:uid="{00000000-0006-0000-0400-000007000000}">
      <text>
        <r>
          <rPr>
            <b/>
            <sz val="9"/>
            <color rgb="FF000000"/>
            <rFont val="Tahoma"/>
            <family val="2"/>
          </rPr>
          <t>Mallika:</t>
        </r>
        <r>
          <rPr>
            <sz val="9"/>
            <color rgb="FF000000"/>
            <rFont val="Tahoma"/>
            <family val="2"/>
          </rPr>
          <t xml:space="preserve">
</t>
        </r>
        <r>
          <rPr>
            <sz val="9"/>
            <color rgb="FF000000"/>
            <rFont val="Tahoma"/>
            <family val="2"/>
          </rPr>
          <t>Quote on recreation and change</t>
        </r>
      </text>
    </comment>
    <comment ref="BN63" authorId="0" shapeId="0" xr:uid="{00000000-0006-0000-0400-000008000000}">
      <text>
        <r>
          <rPr>
            <b/>
            <sz val="9"/>
            <color indexed="81"/>
            <rFont val="Tahoma"/>
            <family val="2"/>
          </rPr>
          <t>Mallika:</t>
        </r>
        <r>
          <rPr>
            <sz val="9"/>
            <color indexed="81"/>
            <rFont val="Tahoma"/>
            <family val="2"/>
          </rPr>
          <t xml:space="preserve">
Comments on the future</t>
        </r>
      </text>
    </comment>
    <comment ref="BG78" authorId="0" shapeId="0" xr:uid="{00000000-0006-0000-0400-000009000000}">
      <text>
        <r>
          <rPr>
            <b/>
            <sz val="9"/>
            <color indexed="81"/>
            <rFont val="Tahoma"/>
            <family val="2"/>
          </rPr>
          <t>Mallika:</t>
        </r>
        <r>
          <rPr>
            <sz val="9"/>
            <color indexed="81"/>
            <rFont val="Tahoma"/>
            <family val="2"/>
          </rPr>
          <t xml:space="preserve">
Pro-foraging</t>
        </r>
      </text>
    </comment>
  </commentList>
</comments>
</file>

<file path=xl/sharedStrings.xml><?xml version="1.0" encoding="utf-8"?>
<sst xmlns="http://schemas.openxmlformats.org/spreadsheetml/2006/main" count="4316" uniqueCount="1406">
  <si>
    <t>Site</t>
  </si>
  <si>
    <t>Household Size</t>
  </si>
  <si>
    <t>Children under 15</t>
  </si>
  <si>
    <t>Employed Members</t>
  </si>
  <si>
    <t>Who Forages?</t>
  </si>
  <si>
    <t>Where do they forage?</t>
  </si>
  <si>
    <t>How far is this place?</t>
  </si>
  <si>
    <t>How do they get there?</t>
  </si>
  <si>
    <t>Does this place belong to anyone?</t>
  </si>
  <si>
    <t>Have they ever been told not to?</t>
  </si>
  <si>
    <t>How often do they forage?</t>
  </si>
  <si>
    <t>How long do they spend?</t>
  </si>
  <si>
    <t>Initiation into foraging</t>
  </si>
  <si>
    <t>Foraging company?</t>
  </si>
  <si>
    <t>Most recent forage</t>
  </si>
  <si>
    <t>Why did they stop?</t>
  </si>
  <si>
    <t>Would they resume?</t>
  </si>
  <si>
    <t>Sales?</t>
  </si>
  <si>
    <t>Associated biodiversity?</t>
  </si>
  <si>
    <t>Enjoy</t>
  </si>
  <si>
    <t>Dislike</t>
  </si>
  <si>
    <t>Should more people forage?</t>
  </si>
  <si>
    <t>Would they be interested in business?</t>
  </si>
  <si>
    <t>Which species are foraged?</t>
  </si>
  <si>
    <t>Extra notes</t>
  </si>
  <si>
    <t>KwaDukuza</t>
  </si>
  <si>
    <t>Respondent Mother Sister</t>
  </si>
  <si>
    <t>Ma orange, open space</t>
  </si>
  <si>
    <t>No</t>
  </si>
  <si>
    <t>Ten fruits, half a bag. Eat raw no processing</t>
  </si>
  <si>
    <t>Many years ago
Seven years ago</t>
  </si>
  <si>
    <t>Friends</t>
  </si>
  <si>
    <t>Sometimes with friends</t>
  </si>
  <si>
    <t>No, but people forage there</t>
  </si>
  <si>
    <t>Tasty delicious fruit</t>
  </si>
  <si>
    <t>Yes, (+tourism would be a good idea)</t>
  </si>
  <si>
    <t>Yes to tourism, no to products</t>
  </si>
  <si>
    <t>Rubus
Passiflora edulis
Osyris compressa
Ximenia caffra
Eugenia uniflora
Phoenix reclinata
Psidium guajava
Syzygium cumini</t>
  </si>
  <si>
    <t>Litter decreased, biodiversity not so much
Would pick fruits if there was a park</t>
  </si>
  <si>
    <t>Respondent Child(ren)</t>
  </si>
  <si>
    <t>Behind the house</t>
  </si>
  <si>
    <t>Behind the house, outside the school, occasional visit to Stanger</t>
  </si>
  <si>
    <t>Walk</t>
  </si>
  <si>
    <t>If they see the fruit if the fruit is ripe they just take it and eat. Sometimes they bring it at home. They don't sell, they eat. Guava, indoni, mango from these places in the bush. Amajigjolo, mulberries. There was a mulberry tree but I haven't got now. They pick them in the bush. The kids eat the isundu by the school. Pick Suriname cherries from Stanger. Ingwenya.</t>
  </si>
  <si>
    <t>When she goes home she eats amahlala, amaviyo, amathunduluka, amakhiwane, makes juice of amaviyo,</t>
  </si>
  <si>
    <t>It's been a long time but if she sees fruit she picks and eats fruit</t>
  </si>
  <si>
    <t>No they don't sell they only eat. Guava is cooked into a jam, is nice.</t>
  </si>
  <si>
    <t>If say people say they can go and pick fruit then she can go. (If it is clearly allowed) if they won't get arrested. I like fruit. I love fruit.</t>
  </si>
  <si>
    <t>Respondent</t>
  </si>
  <si>
    <t>North of Shakaskraal
There is a park by shop right. There is grass and trees and chairs there but no fruit trees.
If it were allowed she would pick fruits in hypothetical park</t>
  </si>
  <si>
    <t>North of Shakaskraal thirty minutes walk</t>
  </si>
  <si>
    <t>Walking thirty minutes</t>
  </si>
  <si>
    <t>Open to everyone. Other foragers seen</t>
  </si>
  <si>
    <t>Four times a month about a plastic bag full</t>
  </si>
  <si>
    <t>They leave around about ten o clock and then they will come back around about three o clock.</t>
  </si>
  <si>
    <t>8 years old
No one showed them, because they just know the fruits
No noticeable changes in surroundings overtime</t>
  </si>
  <si>
    <t>Monday (two days ago)</t>
  </si>
  <si>
    <t>They just eat there. No sale</t>
  </si>
  <si>
    <t>Yes, snakes included</t>
  </si>
  <si>
    <t>It's wrong and its right because sometimes if you go there there is a lot of snakes maybe then you will be bitten and it's alright because. Otherwise it's alright. (Tourism is a good idea.)</t>
  </si>
  <si>
    <t>Yes but she doesn't have time
(would be interested in products) If there is going to be money</t>
  </si>
  <si>
    <t>Vangueria infausta delicious
Osyris compressa
Harpephyllum caffrum from side of street by robot enroute home from school
Phoenix reclinata
Psidium guajava and cattleanium</t>
  </si>
  <si>
    <t>Umhlathuze</t>
  </si>
  <si>
    <t>Respondent Child(ren) Sister</t>
  </si>
  <si>
    <t>So when you pick imifino you pick it for health purpose. Even when you are sick you go to the doctor, doctor will tell you you must eat imifino so that you can be healthy. East, southeast, Ballito.</t>
  </si>
  <si>
    <t>20-40 minutes by taxi</t>
  </si>
  <si>
    <t>Taxi or walk</t>
  </si>
  <si>
    <t>Private and public lands</t>
  </si>
  <si>
    <t>Sometimes they get abused by some tsotsies who tell them not to pick imifino. They're picking imifino and stuff so that their children don't go and steal other people's stuff. So they just pick and eat at home.</t>
  </si>
  <si>
    <t>It depends. Maybe today they will pick guavas, tomorrow they will pick ijingjolo. Everyday they go out and if they see fruits they pick them.</t>
  </si>
  <si>
    <t>When you go and pick fruit it is because you love to pick fruit and you won't be in a hurry. You pick one and you pick one and it will take an hour to pick fruit. It takes less than two minutes to pick indoni because they are just hanging there. Even guavas take only five minutes.</t>
  </si>
  <si>
    <t>Whole family during holidays, respondents during school days.</t>
  </si>
  <si>
    <t>Today</t>
  </si>
  <si>
    <t>They get a plastic bag full and then each child will get one or two each. No mention of sales.</t>
  </si>
  <si>
    <t>There is no problem. Because if you want to pick fruit you can go pick fruit you don't have to have jealousy. Because we all have to eat fruit. Because God made that tree for us to eat that.</t>
  </si>
  <si>
    <t>Yes, but if they come in the season, they'll be happy to show tourists.
Yes because if they're going to be taught how to do jams and sweets, they will. And then because they want to take care of the children so that they can go to university and stuff so they won't become tsotsies.</t>
  </si>
  <si>
    <t>Respondent Brother</t>
  </si>
  <si>
    <t>Sometimes when the boyfriend is coming home from work, he will pick guavas and indoni on his way. She also picks guavas. Also picks imifino. Prefers it over spinach.</t>
  </si>
  <si>
    <t>Side of the street, walking distance between work and home.</t>
  </si>
  <si>
    <t>Walking between work and home.</t>
  </si>
  <si>
    <t>Once a week, see them, pick them.</t>
  </si>
  <si>
    <t>Pick a bagful</t>
  </si>
  <si>
    <t>Very young</t>
  </si>
  <si>
    <t>With friends</t>
  </si>
  <si>
    <t>Last year season</t>
  </si>
  <si>
    <t>No. Just pick and eat. No processing.</t>
  </si>
  <si>
    <t>Not much</t>
  </si>
  <si>
    <t>Chatting with friends for long
Prefers imifino over spinach</t>
  </si>
  <si>
    <t>Alone is boring</t>
  </si>
  <si>
    <t>Alright.
Would be fine to have tourists.
Would like a park.</t>
  </si>
  <si>
    <t>Yes to tourism</t>
  </si>
  <si>
    <t>Opuntia ficus-indica
Opuntia 
Eriobotrya japonica
Strychnos spinosa
Ximenia caffra
Annona senegalensis
Ficus
Phoenix reclinata
Psidium guajava
Syzygium cordatum (sour)
Syzygium cumini (sweet)</t>
  </si>
  <si>
    <t>Durban</t>
  </si>
  <si>
    <t>Child(ren) Mother</t>
  </si>
  <si>
    <t>Bush 60 yo lady and one other person
One kilo plastic of fruits in one forage</t>
  </si>
  <si>
    <t>No.</t>
  </si>
  <si>
    <t>Twice a month. Summer and winter.</t>
  </si>
  <si>
    <t>The whole day</t>
  </si>
  <si>
    <t>10 years old
Parents showed them
It's still the same, there's mangoes and bushes.</t>
  </si>
  <si>
    <t>Many humans foraging</t>
  </si>
  <si>
    <t>Fishing</t>
  </si>
  <si>
    <t>Snakes</t>
  </si>
  <si>
    <t>No problem.</t>
  </si>
  <si>
    <t>Sometimes when you go to the bush the fruit might not be ready. But he's alright to sell. The trees are going to be okay.</t>
  </si>
  <si>
    <t>Syzygium cordatum
Syzygium cumini
Rubus cuneifolius
Cucumis metuliferus
Opuntia engelmanii
Vangueria infausta
Passiflora edulis
Strychnos spinosa
Strychnos madagascarensis
Ximenia caffra (shaved head (X) eyes (z) of white man)
Eugenia uniflora
Ficus Sur
Phoenix reclinata
Parinari curatellifolia (has sugar)
Psidium guajava
Psidium cattleanium
Syzygium jambos
Tabernaemontana elegans</t>
  </si>
  <si>
    <t>Fuel wood collected
Hunt bushmeat
Go fishing</t>
  </si>
  <si>
    <t>Respondent Aunt</t>
  </si>
  <si>
    <t>Outside around the settlement, northeast. Been living here for five years. No noticeable change.
Previously in Clairmont.</t>
  </si>
  <si>
    <t>Approximately twenty minutes walk</t>
  </si>
  <si>
    <t>It do have their owners. Not definitely sure, but there's Indians there. Never spoken to them.
Clairmont was a municipality owned place</t>
  </si>
  <si>
    <t>Never</t>
  </si>
  <si>
    <t>Weekly or fortnightly</t>
  </si>
  <si>
    <t>2-3 hours
Fetched firewood and fruits
One plastic bag of fruits</t>
  </si>
  <si>
    <t>7 yo, it's a lifestyle. I've learned it from neighbours and friends.</t>
  </si>
  <si>
    <t>Aunt and friends</t>
  </si>
  <si>
    <t>2 ya</t>
  </si>
  <si>
    <t>No, it was just for enjoyment
No processing</t>
  </si>
  <si>
    <t>Fresh products</t>
  </si>
  <si>
    <t>Harmful animals like snakes</t>
  </si>
  <si>
    <t>Yes, that would be okay
But it would be risky because the land have their owners. They'd refuse.</t>
  </si>
  <si>
    <t>Yes I would like to do something like that. I don't think there will be a problem with the owners or people.</t>
  </si>
  <si>
    <t>Phoenix reclinata
Ficus Sur
Ximenia caffra
Rubus cuneifolius
Morus</t>
  </si>
  <si>
    <t>Respondent Child(ren) Grandmother</t>
  </si>
  <si>
    <t>3 plastic bags full of fruit. Just beyond the hills to the northeast. Uncle lives down there. Fish, imifino, wood.</t>
  </si>
  <si>
    <t>Five minutes walk</t>
  </si>
  <si>
    <t>Open to everyone</t>
  </si>
  <si>
    <t>Friday and Saturday every week throughout the year</t>
  </si>
  <si>
    <t>7-12</t>
  </si>
  <si>
    <t>Last year.
Sometimes when they sell fruits they have money, sometimes they don't.
No change.</t>
  </si>
  <si>
    <t>Children, 11, 13, grandmother</t>
  </si>
  <si>
    <t>Yes, imifino, sometimes fruits</t>
  </si>
  <si>
    <t>She loves fruits</t>
  </si>
  <si>
    <t>Nothing</t>
  </si>
  <si>
    <t>Alright. They get the fruit and sell the fruit.</t>
  </si>
  <si>
    <t>Would be interested.
No foreseeable problems.</t>
  </si>
  <si>
    <t>Diospyros lycoides
Cucumis metuliferus
Passiflora edulis
Eriobotrya japonica
Strychnos spinosa
Annona senegalensis
Phoenix reclinata (when we're going to church we use it for praying)
Psidium guajava
Syzygium cordatum</t>
  </si>
  <si>
    <t>Buy food from Pinetown fortnightly</t>
  </si>
  <si>
    <t>Mthatha</t>
  </si>
  <si>
    <t>There was no owner, it was just open space</t>
  </si>
  <si>
    <t>Every weekend
Small plastic bag of fruits</t>
  </si>
  <si>
    <t>The whole day. They were swimming, playing.</t>
  </si>
  <si>
    <t>16yo hunting with other boys. Group of guys, some older, some his age. They used to teach them. He did not know what was a guava. They showed him.</t>
  </si>
  <si>
    <t>See previous</t>
  </si>
  <si>
    <t>1989</t>
  </si>
  <si>
    <t>No. He's old. if it's a job, he can go. If there were people saying you can go there and pick fruit there, he can go.</t>
  </si>
  <si>
    <t>No. No processing.</t>
  </si>
  <si>
    <t>Hunted for bushmeat</t>
  </si>
  <si>
    <t>Swimming, playing</t>
  </si>
  <si>
    <t>Snakes like guava and banana</t>
  </si>
  <si>
    <t>Yes, in Mthatha. But he doesn't know where to pick fruits here in Durban. But if someone showed him he would.</t>
  </si>
  <si>
    <t>Rubus
Opuntia ficus-indica
Eriobotrya japonica
Ficus craterostoma (there's snakes in them)
Psidium guajava
Jackfruit in the forest</t>
  </si>
  <si>
    <t>Northeast of Inanda</t>
  </si>
  <si>
    <t>Belongs to the municipality now. First it belonged to the farmers.</t>
  </si>
  <si>
    <t>Used to forage every day after school because they had to go fetch water</t>
  </si>
  <si>
    <t>Used to spend from 3.30 to 5 pm.
A plastic bag full of fruits
Fuel wood was collected on weekends only, water daily, sugarcane is picked from the bush</t>
  </si>
  <si>
    <t>Born in Inanda
Started fetching water at seven, started foraging during the activity
Used to be indoni and guavas
Her siblings</t>
  </si>
  <si>
    <t>Used to go in groups of four or five friends and family members</t>
  </si>
  <si>
    <t>She doesn't go to the bush anymore
14 years ago</t>
  </si>
  <si>
    <t>These days they can't find fruit that's why they don't go there.</t>
  </si>
  <si>
    <t>Yes she will be happy!</t>
  </si>
  <si>
    <t>After school they would be hungry, that's why they would go there (far) to pick the fruit.
She was happy because she came first there to pick fruits. So it was like a game to them.
Now she buys fruit at the market. There the fruit was fresh but now it's not fresh. If you picked fruit, it would stay with you for five days.</t>
  </si>
  <si>
    <t>Snakes because snakes like indoni and guavas</t>
  </si>
  <si>
    <t>Yes
Yes it will be okay because people go pick fruits because they don't have a job so they sell the fruits to get money.</t>
  </si>
  <si>
    <t>Yes but now there are no fruits there. Because there was a TLB. An excavator. Took all the trees the fruit trees and now there is houses there and the bush is cut now. There's only mangoes there now.</t>
  </si>
  <si>
    <t>Rubus cuneifolius
Cucumis metuliferus
Cucumis africanus
Coccinia sessilifolia
Dovyalis caffra
Eriobotrya japonica
Strychnos madagascarensis
Eugenia uniflora
Ficus Sur (when they're going to the bush they first eat Amakhiwane)
Psidium guajava
Syzygium guinense
Syzygium cumini</t>
  </si>
  <si>
    <t>Ndwedwe. There's no fruits around here.</t>
  </si>
  <si>
    <t>So close, not too far.</t>
  </si>
  <si>
    <t>Walk ten minutes</t>
  </si>
  <si>
    <t>Open for all</t>
  </si>
  <si>
    <t>Nobody</t>
  </si>
  <si>
    <t>Even twice a week depends on how you feel like it.</t>
  </si>
  <si>
    <t>Depends how nice it is because you grab it and you eat it and you put it in your bag. So it can be an hour because you have to go back and do the house duties. What can be one and a half hour.</t>
  </si>
  <si>
    <t>Lived in Indanda for a long time. Born in Ndwedwe. From grade one to six. In the bush indoni, some strawberries, around the house guava. Showed by her dad.
No other ntfps only fruits</t>
  </si>
  <si>
    <t>Two years ago in Ndwedwe.</t>
  </si>
  <si>
    <t>Yes I can! laugh</t>
  </si>
  <si>
    <t>I try to make guava juice with guava cause you boil the water and put some guava and in it. I can't even it tastes horrible laughs.
We sell banana but from the house</t>
  </si>
  <si>
    <t>Because I never take money to buy it we just grab it and eat it</t>
  </si>
  <si>
    <t>I always enjoy the pick up the fruits cause you don't pay for it you enjoy something for free no bad experiences</t>
  </si>
  <si>
    <t>You make jam and sell to others but you can't sell the straight fruits to them because they know where you get it so they can go and get it but if you made a jam maybe they don't know how to make it so you know how to make it and you sell it to them that's better.
Would be interested.</t>
  </si>
  <si>
    <t>Psidium guajava
Syzygium
Rubus or M o r u s</t>
  </si>
  <si>
    <t>Down by the garage on the main road</t>
  </si>
  <si>
    <t>About five minutes from the house</t>
  </si>
  <si>
    <t>On the way to school and back</t>
  </si>
  <si>
    <t>Private houses</t>
  </si>
  <si>
    <t>the owners of the fruits tell them not to go and pick fruits but they wait for them to go and then they can pick fruits</t>
  </si>
  <si>
    <t>Respondent in the past
Children forage every day if there's fruits
Sasko bread bag full brought home</t>
  </si>
  <si>
    <t>No one showed them they just learn on their own
Been living Here in inanda since 1974</t>
  </si>
  <si>
    <t>Laughs because she is old now</t>
  </si>
  <si>
    <t>She enjoyed because they were groups and they would play and then go to the river and wash the fruits there</t>
  </si>
  <si>
    <t>Sometimes they used to fight</t>
  </si>
  <si>
    <t>Yes she wishes that she can have a job because she is not working and she will be keen if that can happen</t>
  </si>
  <si>
    <t>Rubus niveus
Mango
Pawpaw
Passiflora edulis
Ximenia americana? Carissa?
Eugenia uniflora
Psidium guajava
Syzygium cumini</t>
  </si>
  <si>
    <t>Child(ren)</t>
  </si>
  <si>
    <t>North of Memory</t>
  </si>
  <si>
    <t>It's not far about 15 minutes walk</t>
  </si>
  <si>
    <t>They walk the people are walking that side if they are going to</t>
  </si>
  <si>
    <t>I think it belongs to someone</t>
  </si>
  <si>
    <t>No no</t>
  </si>
  <si>
    <t>Kids you can't tell them when you can go because even they are playing outside every time they will go they saw the fruit in the bush they go maybe once a week or twice they bring back the fruits</t>
  </si>
  <si>
    <t>Came to Memory around 2000</t>
  </si>
  <si>
    <t>The granadilla I make some juice because they like granadilla
No sales no sales
They bring back firewood and some spinach which they plant in the yard</t>
  </si>
  <si>
    <t>Sometimes I think they love to eat fruits</t>
  </si>
  <si>
    <t>No they don't say anything</t>
  </si>
  <si>
    <t>No I won't be happy laughs because it's going to be finished if people come and pick the fruits laughs
Yeah my children and other children but not if they are coming from other place outside here</t>
  </si>
  <si>
    <t>Yeah that's a good idea (jam)
Yeah I would like that  (ecotourism)</t>
  </si>
  <si>
    <t>Passiflora edulis
Grapes
Psidium guajava
Syzygium cordatum
Eugenia uniflora
Jackfruit
Mango
Vangueria infausta
Carissa macrocarpa
Grewia bicolor (malquat)
Coccinia sessilifolia
Eriobotrya japonica
Strychnos spinosa
Annona senegalensis
Ficus Sur
Phoenix reclinata
Tabernaemontana elegant (balls of the monkey)</t>
  </si>
  <si>
    <t>If I see the fruit I just cut it and eat I wash it and eat it 
even jackfruit there is a tree of jackfruit here
He goes to the bushes he sees mango and pawpaw
Anywhere around the road or next to the river. The river is flowing like this next to the water it is coming up there it's a tree or something.</t>
  </si>
  <si>
    <t>No fruit here is belong to someone because we are together and we are the same like family. You see the house there it is Nxale's house but here is Msomi's house but that side is Naidu's house. But we are together if you cut fruit from the Naidu's house, Naidu's house can cut fruit from Nxale's house. They can cut fruit in this house.
That side of the road is lots of fruits and waterfall there is a river.</t>
  </si>
  <si>
    <t>The seasons keep on changing fruits are ripe in December guava is ripe in April orange maybe in may to June
If it's a lot I can pick it up with bags or a sack or something</t>
  </si>
  <si>
    <t>Maybe 30 minutes or 1 hour just from here to there just cut the mango fill the plastic or something then I come back</t>
  </si>
  <si>
    <t>I was born here and bought a place in Jaweni
where he was living with his children and wife
I was young I don't know</t>
  </si>
  <si>
    <t>When I was 17 or 20 years old even now when I am going this side or that side I am going to lot 14 that side if I see the fruit is ripe there I climb and cut it</t>
  </si>
  <si>
    <t>No sales
Yeah I make a juice with the lemon with the guava even alcohol I make with the mango when it's too much ripe I just put it in the bucket put sugar put warm water and the mold. Next day same like alcohol just like juice.
And the mushroom anywhere here you can see the mushroom. Looking for it because I don't know where is it mushroom maybe is here tomorrow is there just looking for it and then you pick it. In this season for it like now.
No I'm not selling alcohol I am not selling the fruit I am only cutting for myself and my child if he is visiting me.</t>
  </si>
  <si>
    <t>Likes to eat fruit and even carry seed inside I can plant mine here</t>
  </si>
  <si>
    <t>Snake and rumbo like a crocodile because it's dangerous that thing. And the snake it is staying there and chowing the fruit eating the fruit. You come there you disturb them you gonna (q). that's the only thing I don't want to go and cut in the trees because there is the bees. Once you put your hand you see the fruit is ripe and you want to put the hands next to the fruit there's the bees, they will stung you and then you will fall down.</t>
  </si>
  <si>
    <t>No I don't think so because they are coming from that side. You see this you know that place like John dolos, those houses, houses like this but they're near near near near, there is no space to go. They come with the packets abd the baskets and all and come to cut all our fruits here and take it to sell someone. but we plant these things for us so they come and steal these things and take it to sell it. I am not happy about that.
Yeah some after 2 years 3 years they fail to produce the fruit then you have to cut the tree and start afresh.
The way to stop them only to chase them.
Yeah if they thinking the seeds and plant the trees in their yards maybe after 5 years.
Lloyds, Jaweni, Shayamoya. There's a school there, a mosque, a clinic, another school on top. only the Indians stay there. It's called lot 14 to lot 16.</t>
  </si>
  <si>
    <t>Yes he can do this because he wants money. He can pick the fruits and maybe go to the factory and sell them if they are going to make jam or peanut butter and all that stuff.
I don't do that because I'm scared of when I'm taking them inside the bush there is a mamba and snake and all. If they are getting hurt or die there, what I must do. inside with me when they are going that way there is a hotel on the side if they park the vehicle and climb there the snake biting them I don't mind because I am not taking them back laughs.
You can contact me because I need to be in the business. When I am doing this I am on my own because I am not working.</t>
  </si>
  <si>
    <t>Rubus cuneifolius
Passiflora edulis
Vangueria infausta
Phoenix reclinata
Strychnos
Annona senegalensis
Eugenia uniflora (cherry berry)
Hyphaene coriacea
Psidium guajava
Sclerocarya birrea (ferment upto third day)
Syzygium cumini</t>
  </si>
  <si>
    <t>No it's just an open space</t>
  </si>
  <si>
    <t>No. No one else pics fruits here.</t>
  </si>
  <si>
    <t>During the harvest time. When it's ready. sometimes it's 3 months 6 months. During season it's 1ce a week. Just fruits.
It's about two litres</t>
  </si>
  <si>
    <t>It's about an hour when they go to school after school.</t>
  </si>
  <si>
    <t>When I was still young. I used to pick up guavas.</t>
  </si>
  <si>
    <t>With friends, both respondents and children.</t>
  </si>
  <si>
    <t>Last year</t>
  </si>
  <si>
    <t>Season. Sometimes I used to go to work, so don't have enough time to pick fruits.</t>
  </si>
  <si>
    <t>No, no.</t>
  </si>
  <si>
    <t>Only birds only saw the regular ones. It's been the same</t>
  </si>
  <si>
    <t>Laughs because when they are bringing it we can't just eat it, not a lot. Not so sure.</t>
  </si>
  <si>
    <t>Now there'll be a problem because these three houses it's my mother's house, my brother's house and that's my house. so they can't go through because we've got spinach all over. And all the plants they are someone's and they put the fence so no one could pick up damage the other plants.
yeah I can go pick it myself like imifino (from a park). Yeah they can start picking like imifino but the herbs are dangerous. that's the main problem you must know exactly what you want. You can't pick up any kind of herbs that are dangerous.</t>
  </si>
  <si>
    <t>Not really</t>
  </si>
  <si>
    <t>Passiflora edulis
Vangueria infausta
Eriobotrya japonica
Strychnos
Ximenia caffra
Eugenia uniflora
Harpephyllum caffrum
Phoenix reclinata
Psidium guajava
Syzygium cordatum (forest)
Syzygium cumini</t>
  </si>
  <si>
    <t>My neighbours, here in the street, and there by the bush sometimes.
She does pick firewood. some people go and pick firewood and sell. they go with trollies like this and pick firewood and sell the firewood. There was no electricity even yesterday so they're cooking with firewood.
Sometimes a bag full of fruit.</t>
  </si>
  <si>
    <t>That place where there was guavas by the stream. that side of the road where she is staying there is a river and their trees there.</t>
  </si>
  <si>
    <t>No one because even those people that have trees in their own yard pick fruit there and their give them also.</t>
  </si>
  <si>
    <t>When she is going to pick the kids from school she just picks guavas in eats. By the river and the bush plus or minus 30 minutes.</t>
  </si>
  <si>
    <t>Ever since she was young. There's maviyos at home where she used to live.
Grandmother showed.</t>
  </si>
  <si>
    <t>Sometimes alone sometimes with the kids</t>
  </si>
  <si>
    <t>This week Sunday these ijingjolo</t>
  </si>
  <si>
    <t>She doesn't make anything, her grandmother used to make the juice.</t>
  </si>
  <si>
    <t>The everything is the same. she is saying that the changes she has seen there are the trees have been cut by the municipality because they want to build houses.</t>
  </si>
  <si>
    <t>I love indony guava and mango and avocado. She likes fruits.</t>
  </si>
  <si>
    <t xml:space="preserve">She will be happy because they will get healthy too. Fruit makes us healthy. </t>
  </si>
  <si>
    <t>Yes to selling jam
Yes to ecotourism</t>
  </si>
  <si>
    <t>Rubus
Opuntia ficus-indica
Passiflora edulis
Vangueria infausta
Strychnos
Eugenia uniflora
Ficus Sur
Phoenix reclinata
Psidium guajava
Syzygium</t>
  </si>
  <si>
    <t>Bush around the house, east and west of Memory
Bring back, she and two siblings, pick maybe ten each 
They collect firewood
They don't go swimming because it's dangerous because of the snakes</t>
  </si>
  <si>
    <t>Walk the 10 minutes</t>
  </si>
  <si>
    <t>Maybe 5 minutes</t>
  </si>
  <si>
    <t>At the age of about ten</t>
  </si>
  <si>
    <t>Friends and siblings</t>
  </si>
  <si>
    <t>No. No we just eat it as it is</t>
  </si>
  <si>
    <t>Monkeys and snakes
There are people, most of them are kids</t>
  </si>
  <si>
    <t>Well the fruits have ripened so they are enjoyable</t>
  </si>
  <si>
    <t>Yeah, would definitely pick in a park.
I don't know if the municipality is going to build houses there by the bush. I don't mind if there will be any changes but I would love to stay it like this.
Sometimes even kids from the other townships that come and pick fruit from here so the kids here don't like that so I don't think that's nice.
Its ok if the township can control who picks the fruits.</t>
  </si>
  <si>
    <t>Ecotourism is a nice idea
No that's (selling fruits and products) going to cause problems because I think people from here would want to benefit also
If they make a profit then that's a good idea if the people from the township start selling these products
Don't know if our family will be interested.
I mean I'd like to do other things. Currently I'm not doing anything. Next year I'd like to study. And maybe take a part time job so I can take care of my family. Well so now because I want to study I would like to take these casual jobs in town like in restaurants.</t>
  </si>
  <si>
    <t>Psidium guajava
Amatulu (Carissa?)</t>
  </si>
  <si>
    <t>By the bush Northwest of memory and behind the house</t>
  </si>
  <si>
    <t>I'm not sure about the owner but it's just an open space</t>
  </si>
  <si>
    <t>They go everyday if it is the season of the fruit
They don't bring back any fruits, they eat it there
Firewood and fruits</t>
  </si>
  <si>
    <t>30 minutes</t>
  </si>
  <si>
    <t>She thinks that because they are a group then they making noise maybe that's why they like to go there</t>
  </si>
  <si>
    <t>Nothing. This no tsotsies and she never saw any snakes</t>
  </si>
  <si>
    <t>Wouldn't mind</t>
  </si>
  <si>
    <t>I don't think it will be a problem
Not sure about plants but I don't think for the children if people start picking fruits for business
We won't be interested
I don't think there is anything interesting here but then laughs</t>
  </si>
  <si>
    <t>Vangueria infausta
Psidium guajava
Mango
Eugenia uniflora</t>
  </si>
  <si>
    <t>Respondent and husband
Picks maybe four fruits</t>
  </si>
  <si>
    <t>Minutes walk away behind house</t>
  </si>
  <si>
    <t>A minutes walk away behind house</t>
  </si>
  <si>
    <t>It belongs to them</t>
  </si>
  <si>
    <t>The fruit is ready
When it's the season of the fruits she goes and picks
She picks and she loves imifino</t>
  </si>
  <si>
    <t>10 minutes because it's closed it's right here just one minute away walking</t>
  </si>
  <si>
    <t>Doesn't remember when she started and her parents showed her</t>
  </si>
  <si>
    <t>No sale no processing</t>
  </si>
  <si>
    <t>It's because the blood the body needs fruit that's why she picks fruits</t>
  </si>
  <si>
    <t>If they ask them then that's ok
No because you ask for that fruit to eat and now you want to sell it that is wrong</t>
  </si>
  <si>
    <t>Yes and no because it belongs to the family
Because it's a family place she may say yes but the other people might not like it</t>
  </si>
  <si>
    <t>Mango
Pineapple
Psidium guajava
Syzygium</t>
  </si>
  <si>
    <t xml:space="preserve">Respondent picks in homeland zululand
There's no guava trees around here we've got only mango trees
</t>
  </si>
  <si>
    <t>Its nearby maybe 5 minutes walk</t>
  </si>
  <si>
    <t>open space open to all</t>
  </si>
  <si>
    <t>Since I was a child. The adults they teach us that this fruit is eatable and this one is not eatable.</t>
  </si>
  <si>
    <t>With the family and the children</t>
  </si>
  <si>
    <t>Winter May 2018</t>
  </si>
  <si>
    <t>No processing, no sales. Mango and chilli achar
We do pick herbs we do fetch firewood from the Bush</t>
  </si>
  <si>
    <t>People do pick fruits there</t>
  </si>
  <si>
    <t>If you are picking fruits sometimes it's like part of exercise because you must pull it
And it's eatable and they are nice</t>
  </si>
  <si>
    <t>Sometimes I am afraid to because because there are snakes there are there are bees there I do enjoy but sometimes I am afraid</t>
  </si>
  <si>
    <t>Yes it would be ok because we have to share I don't have to be greedy</t>
  </si>
  <si>
    <t>If there is a lot the people should be able to pick and sell
Because there are people maybe they don't have in their places
Yes. I can do that if I can get maybe somebody who can teach me how to make the jam.</t>
  </si>
  <si>
    <t>Psidium guajava
Rubus
Carissa edulis
Passiflora edulis
Syzygium</t>
  </si>
  <si>
    <t>Respondent Father</t>
  </si>
  <si>
    <t>There is a section called D section there's lots of mangoes there
During December we used to go cut mangoes
Cause there was no one living there in the bush so we cut it for ourselves</t>
  </si>
  <si>
    <t>Maybe it's about 10 kilometres away there is a place called nonoti. We'd go fishing there do a little bit of hunting</t>
  </si>
  <si>
    <t>Drive</t>
  </si>
  <si>
    <t>Before it never used to belong to anyone because it was just a bush. then the government decided to make rdp houses there so they cut the trees and they made roads and houses.
Nonoti used to belong to the king. But you are allowed to do anything as long as it doesn't affect the natural environment there it was ok.</t>
  </si>
  <si>
    <t>No. Only the people that had fruit trees in the yard. because there were only three or four people there and we couldn't go inside their yard for the fruits but the other trees we just did as we pleased.</t>
  </si>
  <si>
    <t>He used to go often but not anymore maybe once a year
Used to go twice a month with friends or father
He used to go fishing in his van, sometimes pick up herbs bring them home and make some medicine</t>
  </si>
  <si>
    <t>8/9/10 at a very young age
We were boys so we used to go swimming in the river and that so through my friends because they were cutting the fruit so I also used to cut and go fishing and all that</t>
  </si>
  <si>
    <t>Friends and father</t>
  </si>
  <si>
    <t>25 yo</t>
  </si>
  <si>
    <t>My father used to make pickle with the green mangoes
Some people cut it to sell, some people cut it to eat it I cut it to eat it</t>
  </si>
  <si>
    <t>Laughs what can I say the only thing you like it's just that you know picking fruits is like the place there and here at home is not the same it's like doing an activity that's what's exciting cause you go out from your house maybe you come late you enjoy spending time with your friends on the trees</t>
  </si>
  <si>
    <t>Yeah bees so much bees on the trees</t>
  </si>
  <si>
    <t>Yeah as long as they know that the fruit that they're picking is a good fruit it's not going to harm them later
Laughs it depends now they can't go pick up all the fruits now there must be something left
They can't pick up all the fruits on the trees that's not fair</t>
  </si>
  <si>
    <t>Carissa near the beach.
Rubus used to grow before but not anymore. You're lucky to get them.
Opuntia next to the beach.
Cucumis africanus N2 offramp robots to the left next to Sappi.
Vangueria infausta
Strychnos next to the river by Shaka monument.
Eugenia uniflora
Psidium guajava
Syzygium next to the river, all over town.</t>
  </si>
  <si>
    <t>By the River</t>
  </si>
  <si>
    <t>Thrice a week
Bread bag full, four to five fruits</t>
  </si>
  <si>
    <t>Couple hours after school</t>
  </si>
  <si>
    <t>Friends told her</t>
  </si>
  <si>
    <t>Two other friends</t>
  </si>
  <si>
    <t>There are other people
A few birds and animals</t>
  </si>
  <si>
    <t>She likes the indoni and mango</t>
  </si>
  <si>
    <t>Diospyros mespiliformis
Rubus cuneifolius
Psidium guajava
Psidium cattleanium
Syzygium cordatum
Eugenia uniflora
Harpephyllum caffrum</t>
  </si>
  <si>
    <t>Opposite of d block behind the graveyard</t>
  </si>
  <si>
    <t>One hour each way</t>
  </si>
  <si>
    <t>Doesn't belong to anyone it's near the river</t>
  </si>
  <si>
    <t>Weekends
They also pick imifino
Pick n Pay plastic. So that other people can come and pick fruit too (doesn't pick too much).</t>
  </si>
  <si>
    <t>Two hours. Then he comes back to look after the goats.</t>
  </si>
  <si>
    <t>8 year old shown by parents</t>
  </si>
  <si>
    <t>Sometimes alone sometimes with the kids so that they can learn how to pick fruits</t>
  </si>
  <si>
    <t>Weekend</t>
  </si>
  <si>
    <t>Nothing has changed it still just the bush
There's birds lots of them</t>
  </si>
  <si>
    <t>he likes animals and then when he sees animals he is happy birds singing make him happy and when he goes there he forgets about everything his stress</t>
  </si>
  <si>
    <t>Snakes
He doesn't want to look at snakes because if the snake looks at him the snake will bite him so if he sees a snake he will just walk away and go</t>
  </si>
  <si>
    <t>Yes he will be happy</t>
  </si>
  <si>
    <t>It will be OK people can show them</t>
  </si>
  <si>
    <t>Mango
Syzygium
Psidium guajava</t>
  </si>
  <si>
    <t>Down here in this area and my mother stays in the farm in lot 16 Melville
We pick wood because I don't have a geyser, herbs too we cut
And we also planted green dal
We pick half a packet or less than that</t>
  </si>
  <si>
    <t>Two minute walk</t>
  </si>
  <si>
    <t>The sugar mill</t>
  </si>
  <si>
    <t>Yes sometimes they don't like us to go and cut in this garden
Neighbours
this area is no longer no go so they can weed and plant whatever they like
My father in law planted green beans
People are cleaning and weeding and planting there before it was a bush this mill ash was falling near the water so now they are planting
The plants they don't like people to pick
We come back, but we still go back when they are not around</t>
  </si>
  <si>
    <t>Not long about 5 minutes 1 hour depends</t>
  </si>
  <si>
    <t>We live here so every year we pick when it's bearing
Mango, lemons, strawberries, and granadilla
Maybe when we were small, but I don't remember, our parents maybe
Nobody told me we see at and we cut</t>
  </si>
  <si>
    <t>Sometimes I go with my daughter my son and sometimes we buy in town but we don't know from where the fruits are coming</t>
  </si>
  <si>
    <t>This year, whenever the fruits bear we see we ask them and they give us. You see the granadilla tree our friend she gives us, the owners of the house.</t>
  </si>
  <si>
    <t>Lots of people go and pick</t>
  </si>
  <si>
    <t>I don't like when it's rotten and it has worms in it</t>
  </si>
  <si>
    <t>It's a good idea because it just falls and gets rotten so it's nice to give people
It is good the soil is very nice
There's lot of goats and cats and cows and I see birds</t>
  </si>
  <si>
    <t>Yeah both are nice ideas</t>
  </si>
  <si>
    <t>Mango, lemon, coconut
Rubus cuneifolius
Rubus niveus
Morus
Opuntia ficus-indica
Passiflora edulis
Vangueria infausta when I was small when I wasn't married on the farm
Hylocereus undatus
Annona senegalensis
Berchemia discolor
Ficus Sur
Harpephyllum caffrum by the shop downhill
Psidium guajava
Syzygium</t>
  </si>
  <si>
    <t>No it doesn't really belong to anybody
Before there was a dam and now the people are just taking their own parts of the land and making these gardens over there
A couple good years now since there was water there</t>
  </si>
  <si>
    <t>No no because everybody is got their piece of garden they are owners</t>
  </si>
  <si>
    <t>When the fruits are ripe we see we got nothing to do we like eating johny uncle's house we just call aunty and ask her give us her mangoes and she gives us
we don't really go there unless we need lemons or mangoes and then we just ask and cut
When she needs anything from the garden when we are bored
When they know there's veggies ready and when they're bored they take a walk
A packet half a packet</t>
  </si>
  <si>
    <t>Like sometimes you can say 20 to 30 minutes to just check around</t>
  </si>
  <si>
    <t>They are all neighbours over here cross so sometimes my mother goes visits them when there is a function
I don't actually go to this house my mother went in last month
my mother when she is going to her own garden she checks as she passes by and when the fruits are ready she gives it to the children</t>
  </si>
  <si>
    <t>Last month</t>
  </si>
  <si>
    <t>Spinach and herbs</t>
  </si>
  <si>
    <t>There's plenty of birds around and you find the cows, the goats going to the garden and eating the veg</t>
  </si>
  <si>
    <t>I really don't go down there but when my mother goes we pop in and we just eat
she likes mangoes when it's ripe and when she goes to the garden the aunty keeps it for them when they passing by</t>
  </si>
  <si>
    <t>It's quite dangerous because they've got quicksand and all of a sudden you don't know which part of the quick sand will go down</t>
  </si>
  <si>
    <t>Rubus
Morus
Hylocereus undatus
Annona senegalensis
Psidium guajava
Psidium cattleanium
Syzygium</t>
  </si>
  <si>
    <t>Northwards towards Mandini</t>
  </si>
  <si>
    <t>Near the river 10 kilometres</t>
  </si>
  <si>
    <t>Open</t>
  </si>
  <si>
    <t>Three times a week because I am a housewife I love to garden myself
Now it's about once a year
Half a packet of checkers
Maybe 20 or more guavas</t>
  </si>
  <si>
    <t>3 to 4 hours</t>
  </si>
  <si>
    <t>Since I was young. Maybe I was 6 years.
My friend showed me and my grandmother.</t>
  </si>
  <si>
    <t>Last year June I picked guavas
Last time I went to the bush was 1998</t>
  </si>
  <si>
    <t>Made pickle from the mangoes no sales just eat</t>
  </si>
  <si>
    <t>I also pick herbs and wood
Only pigs sometimes if I saw pig because the pig is very</t>
  </si>
  <si>
    <t>I like fruit from the forest because it's very very healthy it's better than the one you get in the shop</t>
  </si>
  <si>
    <t>Not afraid of snakes she can beat a snake</t>
  </si>
  <si>
    <t>It's a good idea because you are not buying it just taking it
It's good for the plants and animals
Tourism is a good idea because you know that you don't know nothing as the children but us we learn and learn and learn</t>
  </si>
  <si>
    <t>I would have got no time</t>
  </si>
  <si>
    <t>Diospyros lycoides
Rubus niveus
Rubus cuneifolius
Passiflora edulis
Vangueria infausta (when we went to pick up wood)
Mango
Syzygium cumini</t>
  </si>
  <si>
    <t>Mtuba</t>
  </si>
  <si>
    <t>By the river.
I usually do that, fishing, hunting, and sometimes i dig just to get some earthworms because once you fish you have to get these things.
I usually use only that place because I don't know about other places</t>
  </si>
  <si>
    <t>Not too far 1 hour walk away</t>
  </si>
  <si>
    <t>Just walking on my foot</t>
  </si>
  <si>
    <t>No that place is open for anyone there is no one that can say that I am responsible for this place this is my place I am the one who is incharge
No municipal workers seen</t>
  </si>
  <si>
    <t>Twice a week</t>
  </si>
  <si>
    <t>Just 2 hours
Not the whole day because I have to do that and then after that I am going home
I am always busy I am not working but what makes me busy is during weekdays I have to wake up early in the morning to go and look for job so when I come back I relax that makes me busy
Or else I just go to help other people when they are doing their mechanics and they give me a small amount of money because if you are not working you can't say I am living in order to live nowadays you have to have money to do this and that if you don't have money you can't do things some people even do crime I don't want to do that I would rather try try try
Come back with about 10 fruits</t>
  </si>
  <si>
    <t>Since I was a child I usually was going with my friends to pick fruits. mango banana and sometimes some apples. At Empangeni on a Farm. We get mango Guava while eating sugarcane.</t>
  </si>
  <si>
    <t>Sometimes I'm going alone sometimes I'm going with my friends</t>
  </si>
  <si>
    <t>Last month I picked up the fruit from the river. We were swimming because the sun was hot so when we get out of the water we feel we are hungry now and we go to the guava tree and grab some fruit and eat. Last time I was going to Fish I saw that guava tree.</t>
  </si>
  <si>
    <t>I am eating them and some of them I am growing I am planting them
No processing or selling</t>
  </si>
  <si>
    <t>There are other people fishing and picking fruits by the river
Yes this place is changed because there is something coming inside the water like a big leaves earlier it was not there but now it is there</t>
  </si>
  <si>
    <t>Just to see different animals
Because sometimes people are using the catty to shoot the birds but I like to see different animals and beautiful flowers with some butterflies with different wings some of them like flowers</t>
  </si>
  <si>
    <t>I don't like to go to the bush when it is too hot because I know the big snakes so I just sit under the tree because of the heat of the sun and maybe a snake can climb down and bite me the</t>
  </si>
  <si>
    <t>Yes it can work because that place is for everyone if someone wants to go there he or she can go there and do whatever she or he likes
Yes but sometimes they can pick those fruits and then it is going to be finished
Don't know about control</t>
  </si>
  <si>
    <t>Yes would be happy to show people around because sometimes people don't know these places sometimes people like to go and visit just to see what is happening there</t>
  </si>
  <si>
    <t>Rubus niveus
Vangueria infausta
Strychnos spinosa
I know Ximenia caffra but it doesn't occur there
Ficus occurs but we don't pick it
Psidium guajava
Syzygium cumini lots of big ones and small ones</t>
  </si>
  <si>
    <t>Ngodibe</t>
  </si>
  <si>
    <t>4km from Msinsi</t>
  </si>
  <si>
    <t>Taxi and walk</t>
  </si>
  <si>
    <t>Open to all</t>
  </si>
  <si>
    <t xml:space="preserve">When I'm around because I'm not staying here anymore because I'm studying at the University of Zululand but when I'm around I make sure that I pick these guavas once or twice a year. </t>
  </si>
  <si>
    <t>Approximately one hour</t>
  </si>
  <si>
    <t>When I was young, growing up, I was eating them. With friends</t>
  </si>
  <si>
    <t>Used to be friends when little not anymore because they live far away now I go with other friends</t>
  </si>
  <si>
    <t xml:space="preserve">I last ate guava, maybe about two weeks back
Many fruits picked, depending on size. Come back with a bag full of fruits sometimes. </t>
  </si>
  <si>
    <t>No sales, no processing
Wild spinach and fish also collected</t>
  </si>
  <si>
    <t>I've seen birds and sometimes snakes
Children picking fruits</t>
  </si>
  <si>
    <t>I enjoy going with my friends when they are there and fruits are nice
And it makes your mind fresh just to do something else</t>
  </si>
  <si>
    <t>In trees there are snakes sometimes so you can be bitten It's Dangerous</t>
  </si>
  <si>
    <t>I don't think there's a problem</t>
  </si>
  <si>
    <t xml:space="preserve">Yes to tourism, not full time here, but open to future involvement (the ideal plan would be to work in a city) </t>
  </si>
  <si>
    <t>Carissa adults
Rubus cuneifolius
Rubus niveus
Mango
Ficus craterostoma
Psidium guajava
Syzigium cumini</t>
  </si>
  <si>
    <t>Somkhele, 1 hour by taxi from msinsi
Bush close to my house</t>
  </si>
  <si>
    <t>200m from house</t>
  </si>
  <si>
    <t>Not belonging to anyone</t>
  </si>
  <si>
    <t>Once a month</t>
  </si>
  <si>
    <t>30 minutes
Come back with about five fruits</t>
  </si>
  <si>
    <t>Last year, noticed fruit myself</t>
  </si>
  <si>
    <t>Alone</t>
  </si>
  <si>
    <t>This February</t>
  </si>
  <si>
    <t>No processing, no sales</t>
  </si>
  <si>
    <t>Only cows and birds</t>
  </si>
  <si>
    <t>I like to make my body Fresh</t>
  </si>
  <si>
    <t>It's all good</t>
  </si>
  <si>
    <t>Not interested in processing or business only like to eat
Not interested in tourism</t>
  </si>
  <si>
    <t>Dovyalis caffra
Strychnos
Ximenia caffra
Ficus sur
Psidium guajava
Psidium cattleanium
Syzygium</t>
  </si>
  <si>
    <t>Lots of fruit on farm in Mfekayi
Behind the mall
Enroute home</t>
  </si>
  <si>
    <t>Fifteen minute walk to mall</t>
  </si>
  <si>
    <t xml:space="preserve">Some places, trees are in people's yards overhanging walls, mostly open spaces bringing to Noone. </t>
  </si>
  <si>
    <t>Every day</t>
  </si>
  <si>
    <t>Enroute town and back etc, minutes</t>
  </si>
  <si>
    <t xml:space="preserve">As a 9 year old child. When they went looking after cattle they would see trees and pick fruits. Maybe the whole week we were eating fruits. We would make isishelo with ihlala. Juice turned to curd. Vanguaria infausta processed and eaten as a sweet. </t>
  </si>
  <si>
    <t>Today, guava</t>
  </si>
  <si>
    <t xml:space="preserve">No sales. Only making of sweets, curd, and wine. </t>
  </si>
  <si>
    <t>Sometimes picks imifino at Umfolozi</t>
  </si>
  <si>
    <t>If a guava has been eaten by a bird first, it tastes delicious! 
Fruit is healthy, it's not been kept inside a fridge</t>
  </si>
  <si>
    <t xml:space="preserve">Sometimes there are animals and worms at the bush but when he picks a guava he cleans it with the leaf of the tree. </t>
  </si>
  <si>
    <t>No to product sale (only a hobby) 
Yes to tourism, would be happy to show people around</t>
  </si>
  <si>
    <t>Hyphaene coriacea
Strychnos madagascarensis
Ximenia caffra and mango are friends, they grow around each other
Ficus sur
Phoenix reclinata
Psidium guajava
Sclerocarya birrea
Syzygium cumini
Vanguaria infausta</t>
  </si>
  <si>
    <t xml:space="preserve">Monthly visits to Mfekayi farm
A big tree of amarula is outside his house, he made about 40 litres of wine from 20 litres of amarula in 2016, and shared it with all his friends. </t>
  </si>
  <si>
    <t xml:space="preserve">Street, open spaces in Mtuba
Forest in Ulundi where I go to wash my clothes, before I get to the stream there are many fruit trees. Before I get to the river, I eat maybe four or five fruits. 
If i've gone to wash my clothes then i don't pick fruit for my family. But there's a time when i go to pick fruits and i come back with them to my family. 
Depends on the kind of fruit i have picked. When I pick thunduluka (X caffra), I pick like a plastic. If I pick mncaka, I pick them by the bowl or a five litre bucket. Ans when I pick guava (P guajava), the big one, I pick in a ten litre bucket. Because every time we go outside we make profit. Sometimes even twenty litre bucket. We have a lot of fruits. Amaviyo (V infausta) I pick them in plastic bags. </t>
  </si>
  <si>
    <t>5 minute walk in Mtuba
1 hour walk in Ulundi</t>
  </si>
  <si>
    <t>Walk in Mtuba
No road, just small path with stones, trees, to stream in Ulundi</t>
  </si>
  <si>
    <t xml:space="preserve">Five times a month in Ulundi
Firewood and water collected when foraging, also go fishing. Wash clothes. </t>
  </si>
  <si>
    <t>In Ulundi if there are fruits I go early in the morning and come back later before sunset,  five of clock</t>
  </si>
  <si>
    <t xml:space="preserve">Since I was young. With siblings. 
The stream is a place where our mothers were fetching water. It's the only place where we go and fetch water at. We don't have any tap water. </t>
  </si>
  <si>
    <t xml:space="preserve">Siblings earlier
Other people now, as its far, and it's the forest. Just other people, not friends or family. </t>
  </si>
  <si>
    <t xml:space="preserve">This Saturday (2 days ago) </t>
  </si>
  <si>
    <t xml:space="preserve">Sell guavas and mncaka
Small guava for 10c, big guava 20c, large guava 50c, mncaka plastic bag R5. About R100 of sales a week. Sell thrice a month around her home as others don't pick, she goes door to door. 
I don't know how to make it but I've seen my friend make juice, it was nice. </t>
  </si>
  <si>
    <t xml:space="preserve">Just the same. When i was young there were animals. But i usually don't see them now. 
There are quite a few other people going there. </t>
  </si>
  <si>
    <t xml:space="preserve">Fruits are nice, tasty, i like the taste. I like when i fetch them. And i don't know if i will ever stop fetching them. </t>
  </si>
  <si>
    <t xml:space="preserve">When you go to the forest there are trees that when it touches you you will maybe get some pimples. Some trees are making pain, and snakes. </t>
  </si>
  <si>
    <t xml:space="preserve">No because if more people started picking it i won't get any. </t>
  </si>
  <si>
    <t xml:space="preserve">Yes to products
Yes i'd like to take tourists. There wouldn't be a problem. </t>
  </si>
  <si>
    <t>Rubus ellipticus
Morus
Vanguaria infausta
Strychnos
Ficus sur
Passiflora edulis
Osyris compressa
Carissa macrocarpa
Hyphaene coriacea
Ximenia caffra
Phoenix reclinata
Psidium guajava
Psidium cattleanium
Syzygium cordatum
Syzygium cumini</t>
  </si>
  <si>
    <t>Bush by grandmother's house
Bag full of fruit</t>
  </si>
  <si>
    <t>200m bush from house</t>
  </si>
  <si>
    <t>Abandoned place</t>
  </si>
  <si>
    <t>Once or twice a year</t>
  </si>
  <si>
    <t>About under an hour</t>
  </si>
  <si>
    <t xml:space="preserve">Since I was very young. </t>
  </si>
  <si>
    <t>Years. Grandmother's house KwaMbonambi.</t>
  </si>
  <si>
    <t>No sale, no processing</t>
  </si>
  <si>
    <t xml:space="preserve">Not many others foraging. We'd see birds and some goats. </t>
  </si>
  <si>
    <t xml:space="preserve">Yes. It might be a problem for the animals because that is where they get their food. </t>
  </si>
  <si>
    <t xml:space="preserve">Tourism would not be interesting. </t>
  </si>
  <si>
    <t>Carissa bispinosa
Rubus cuneifolius
Passiflora edulis
Eugenia uniflora
Ficus sur
Psidium guajava
Syzygium cumini</t>
  </si>
  <si>
    <t>4 different places. Down by the water, west of KwaMsane, by the river, by the school, towards umfolozi. 
More than 10 fruits</t>
  </si>
  <si>
    <t>About an hour each way walking</t>
  </si>
  <si>
    <t>Don't know about the river, by the school belongs to a person, an old lady</t>
  </si>
  <si>
    <t>Respondent's mother advised against. Don't know why.</t>
  </si>
  <si>
    <t>Every day after school</t>
  </si>
  <si>
    <t>Half a day</t>
  </si>
  <si>
    <t>9 years old with friends</t>
  </si>
  <si>
    <t>2015</t>
  </si>
  <si>
    <t>I'm grown up now</t>
  </si>
  <si>
    <t>Yes. 
50c a guava, once a week. I wasn't so clever money was something that would just come. Sold just like that.</t>
  </si>
  <si>
    <t>Not many other foragers. Birds and animals sighted.</t>
  </si>
  <si>
    <t>We tricked each other playing around picking fruits</t>
  </si>
  <si>
    <t>We used to scare each other because there are so many things that are dangerous in the bush like. Snakes</t>
  </si>
  <si>
    <t>No. Because people are dying. I don't know why. Some of them die in the water, and some of them. Are killed down there. I don't know what's happening. There is a river pump there.</t>
  </si>
  <si>
    <t>Psidium guajava
Mango
Banana
Lemon
Diospyros lycoides
Grewia flavescens
Rubus niveus
Opuntia ficus-indica
Hyphaene coriacea
Strychnos spinosa
Ximenia caffra
Ficus sur
Syzygium cumini</t>
  </si>
  <si>
    <t xml:space="preserve">A river in Dukuduku. When they go swimming they pick bananas and granadillas. They also pick madumbis, sweet potato and indoni and make a fire there and eat it. They go fishing too. They hunt and eat birds as well. 
It was several different places some for granadillas, some for amahlala. </t>
  </si>
  <si>
    <t>About 50km from Mtuba, 30 minutes walk from home</t>
  </si>
  <si>
    <t>30 minute walk</t>
  </si>
  <si>
    <t>No, even you can go and pick fruits there</t>
  </si>
  <si>
    <t>Every day after school, and sometimes weekends</t>
  </si>
  <si>
    <t>Half or whole day</t>
  </si>
  <si>
    <t>Grew up in Dukuduku about 12 years of age with friends
Fruit is far here</t>
  </si>
  <si>
    <t>They used to sell fruits in plastic bags at St Lucia. 
They were selling granadilla because it's an unusual fruit. 
The would sell 1 bag for 5 rand because they wanted to buy vetkoeks. 
20 bags once a week. 
Makes granadilla and guava juice, and sells a popsicle packet for 50c.</t>
  </si>
  <si>
    <t>There are new houses there, but the fruits are still there
Birds crocodiles hippos snakes
Yes there's a lot of people</t>
  </si>
  <si>
    <t>Fruit is delicious and healthy</t>
  </si>
  <si>
    <t>Snakes. You won't behave if you see a snake. And crocodiles.</t>
  </si>
  <si>
    <t xml:space="preserve">Yes, tourism would work because people love to watch birds and animals, and there's lots of them there. Yes, I can show you too. </t>
  </si>
  <si>
    <t>Diospyros whyteana
Grewia flavescens
Grewia occidentalis
Rhoicissus tridentata
Rubus cuneifolius
Rubus ellipticus
Rubus niveus
Morus
Passiflora edulis
Vangueria infausta
Hyphaene coriacea
Strychnos madagascarensis
Strychnos spinosa
Ximenia caffra
Eugenia uniflora
Ficus sur
Phoenix reclinata
Psidium guajava
Syzygium cordatum
Syzygium cumini
Tabernaemontana elegans (?)</t>
  </si>
  <si>
    <t>Coccinia sessilifolia is the snake fruit,  they don't use it</t>
  </si>
  <si>
    <t>Half a bag of fruits
Next to Riverview</t>
  </si>
  <si>
    <t>30 minutes walk</t>
  </si>
  <si>
    <t>Abandoned</t>
  </si>
  <si>
    <t>Twice or thrice a week</t>
  </si>
  <si>
    <t>18-19 years of age with friends</t>
  </si>
  <si>
    <t>He's old now</t>
  </si>
  <si>
    <t>No sales, no processing</t>
  </si>
  <si>
    <t>Birds and animals seen
Other foragers seen</t>
  </si>
  <si>
    <t>Childhood memories</t>
  </si>
  <si>
    <t>None</t>
  </si>
  <si>
    <t xml:space="preserve">No. If there's a lot of people the fruit will be just gone like that and then there will be nothing for them. </t>
  </si>
  <si>
    <t xml:space="preserve">Tourism would be good, not interested in showing them around. </t>
  </si>
  <si>
    <t>Mango
Phoenix reclinata
Psidium guajava
Syzygium cumini</t>
  </si>
  <si>
    <t>Valley to the east
Also collect firewood and imifino</t>
  </si>
  <si>
    <t>30-40 minute walk</t>
  </si>
  <si>
    <t>Partly open, partly private</t>
  </si>
  <si>
    <t xml:space="preserve">No one. But sometimes they just steal the fruit. </t>
  </si>
  <si>
    <t>Twice a week during season
Often when they are working they pick guavas and eat
A bag full of fruits</t>
  </si>
  <si>
    <t>They leave around 7 in the morning and come back around 1 or 2 in the afternoon</t>
  </si>
  <si>
    <t>8-10 years of age with friends</t>
  </si>
  <si>
    <t>Sometimes familyand kids, sometimes friends</t>
  </si>
  <si>
    <t>December for mangos</t>
  </si>
  <si>
    <t>No sales, make juice</t>
  </si>
  <si>
    <t>Lots of birds
There are other foragers</t>
  </si>
  <si>
    <t>Like to eat mango</t>
  </si>
  <si>
    <t>Not really because it's not their place it belongs to someone else</t>
  </si>
  <si>
    <t>No to tourism. Why are you going to take other people's fruit?</t>
  </si>
  <si>
    <t>Phoenix reclinata
Psidium guajava
Syzygium
Mango</t>
  </si>
  <si>
    <t>Indoni by the river
Granadilla everywhere</t>
  </si>
  <si>
    <t>About an hour walk</t>
  </si>
  <si>
    <t>Walk or drive</t>
  </si>
  <si>
    <t>Couple times a year
Collect about two to five litres of Indoni and mncaka and guava
Sometimes collect firewood, used to go fishing as a child</t>
  </si>
  <si>
    <t xml:space="preserve">Sometimes he takes the cattle to the bush. Maybe he will spend the whole day there. He will become a bird, because he will eat fruits there. </t>
  </si>
  <si>
    <t>As a very young child
Family and friends</t>
  </si>
  <si>
    <t>Sometimes alone, sometimes with family and friends</t>
  </si>
  <si>
    <t>This year</t>
  </si>
  <si>
    <t>Why do they forage? Because fruit is healthy</t>
  </si>
  <si>
    <t>Birds, animals, snakes seen
Lots of other foragers</t>
  </si>
  <si>
    <t>Healthy, sweet fruit</t>
  </si>
  <si>
    <t xml:space="preserve">Others selling or conducting tourism is not a problem. Interested in employment opportunities. </t>
  </si>
  <si>
    <t>Rubus cuneifolius
Rubus ellipticus
Rubus niveus
Opuntia ficus-indica
Passiflora edulis
Vanguaria infausta
Osyris compressa
Hyphaene coriacea is delicious
Strychnos
Ximenia caffra
Ficus sur
Harpephyllum caffrum
Phoenix reclinata
Psidium guajava
Sclerocarya birrea
Syzygium cumini
Mncaka</t>
  </si>
  <si>
    <t>Towards the river</t>
  </si>
  <si>
    <t>Forty five minutes walk</t>
  </si>
  <si>
    <t>Yes. Don't know owners</t>
  </si>
  <si>
    <t>Twice a month
Collect about half a bag of fruits</t>
  </si>
  <si>
    <t>Thirty minutes</t>
  </si>
  <si>
    <t>Since I was young</t>
  </si>
  <si>
    <t>Other people, birds, animals seen</t>
  </si>
  <si>
    <t>Fruit is delicious</t>
  </si>
  <si>
    <t>Not okay
People might get injured</t>
  </si>
  <si>
    <t>Tourism would work, interested in business</t>
  </si>
  <si>
    <t>Rubus
Opuntia ficus-indica
Passiflora edulis everywhere
Vanguaria infausta
Strychnos madagascarensis
Ximenia caffra by the river
Psidium guajava
Psidium cattleanium
Syzygium cumini
Syzygium cordatum</t>
  </si>
  <si>
    <t>Riverview and by the river</t>
  </si>
  <si>
    <t>An hour walking</t>
  </si>
  <si>
    <t>Yes. Don't know who</t>
  </si>
  <si>
    <t>Security sometimes tells them not to</t>
  </si>
  <si>
    <t>Every weekend
Also pick sugarcane. There's trucks carrying sugarcane that might fall off. 
Also hunt and fish at times, and collect honey</t>
  </si>
  <si>
    <t>Since they were little</t>
  </si>
  <si>
    <t>Sometimes sell bags of mango and sugarcane for R2 at people's doors. Lots of guava in the neighborhood, so don't sell.</t>
  </si>
  <si>
    <t>They enjoy the fruits, honey, hunting</t>
  </si>
  <si>
    <t>They're not afraid of anything</t>
  </si>
  <si>
    <t>She would not be happy, as it is illegal to pick fruit at Riverview, and there are crocodiles by the river and children have died in the depth.</t>
  </si>
  <si>
    <t>Not sure</t>
  </si>
  <si>
    <t>Orange
Rubus
Mango
Opuntia ficus-indica
Passiflora edulis
Vanguaria infausta
Strychnos near the bridge
Ximenia caffra
Eugenia uniflora
Ficus sur
Phoenix reclinata
Psidium guajava
Syzygium cumini
Peach</t>
  </si>
  <si>
    <t>Towards the river
Their grandmother has a garden there
2 litres of fruits</t>
  </si>
  <si>
    <t>Various people</t>
  </si>
  <si>
    <t>Twice a month</t>
  </si>
  <si>
    <t>Half an hour</t>
  </si>
  <si>
    <t>2007</t>
  </si>
  <si>
    <t>Now i'm older and i'm also scared of the snakes</t>
  </si>
  <si>
    <t>No, no</t>
  </si>
  <si>
    <t>Other people who own gardens also forage
Birds seen</t>
  </si>
  <si>
    <t>Tourism would be a good idea
For example, there is a golf Club inside which there are lots of big indoni, guava
You can sell fruits to the tourists at the club</t>
  </si>
  <si>
    <t>Rubus
Passiflora edulis
Vanguaria infausta
Strychnos spinosa
Ximenia caffra
Psidium guajava
Syzygium cordatum
Syzygium cumini</t>
  </si>
  <si>
    <t>Riverview
Also picks imifino
Sometimes hunts and fishes</t>
  </si>
  <si>
    <t>Five minute walk across the road</t>
  </si>
  <si>
    <t>Almost every day</t>
  </si>
  <si>
    <t>One hour</t>
  </si>
  <si>
    <t>As a ten year old
Shown by parents</t>
  </si>
  <si>
    <t>Why do you pick fruits? Because it's delicious</t>
  </si>
  <si>
    <t xml:space="preserve">Would you forage inside a designated park? If I was allowed to, yes. </t>
  </si>
  <si>
    <t>No sales. If someone asks him to bring mangoes, he picks for them. 
Makes ihlala juice</t>
  </si>
  <si>
    <t>Lots of birds
Not much change</t>
  </si>
  <si>
    <t>Fruit is delicious and makes you healthy</t>
  </si>
  <si>
    <t xml:space="preserve">No problem. There's a lot of fruit there. </t>
  </si>
  <si>
    <t>Yes, can take people in and show them how to make their own alcohol</t>
  </si>
  <si>
    <t>Carissa bispinosa
Carissa edulis
Rubus cuneifolius
Opuntia ficus-indica
Passiflora edulis
Eriobotrya japonica
Hyphaene coriacea
Strychnos spinosa makes juice
Ximenia caffra is delicious! 
Ficus sur
Harpephyllum caffrum
Phoenix reclinata
Psidium guajava
Sclerocarya birrea makes alcohol
Solanum betaceum
Syzygium cordatum belongs to black guy
Syzygium cumini belongs to white guy</t>
  </si>
  <si>
    <t>Mukukhlu with sweet potato
Soak in water, sun it, eat it</t>
  </si>
  <si>
    <t>Close to town. Next to the mall. 
It is not a scary bush just a normal bush</t>
  </si>
  <si>
    <t>Thirty minute walk</t>
  </si>
  <si>
    <t>Open bush and trees. No owners to my knowledge</t>
  </si>
  <si>
    <t xml:space="preserve">Four to five times a season. Thrice a month. 
If I like it,  I sometimes pick imifino. I like fishing sometimes. </t>
  </si>
  <si>
    <t>15-20 minutes
&gt;20 guavas</t>
  </si>
  <si>
    <t>When I was young, with friends</t>
  </si>
  <si>
    <t>Earlier with friends, now alone</t>
  </si>
  <si>
    <t>This year May</t>
  </si>
  <si>
    <t>Why do they pick fruits? I like it</t>
  </si>
  <si>
    <t xml:space="preserve">If there was a designated garden, would forage there. </t>
  </si>
  <si>
    <t xml:space="preserve">No. I make juice, especially guava. </t>
  </si>
  <si>
    <t xml:space="preserve">Sometimes I see somebody picking fruits
Snakes, some animals that can be hunted, but I don't care for hunting. Birds seen. 2014-2018 no changes except a couple cut trees. No garbage problem. </t>
  </si>
  <si>
    <t>It reminds me of when i was younger because i like it</t>
  </si>
  <si>
    <t xml:space="preserve">No problem. Children between 15 and 20 especially boys pick fruits there. </t>
  </si>
  <si>
    <t xml:space="preserve">Tourism is not a good idea. It's not a big place. </t>
  </si>
  <si>
    <t>Passiflora edulis
Vanguaria infausta
Hylocereus undatus flower used, milk when there's lightning
Hyphaene coriacea
Phoenix reclinata
Psidium guajava
Syzygium cordatum
Syzygium cumini
Strychnos spinosa
Ximenia caffra
Ficus sur
Sclerocarya birrea</t>
  </si>
  <si>
    <t xml:space="preserve">Farm. Hunting, fishing, spinach, mushrooms. 
Neighborhood bush in Mtuba. 
Granadilla different types of mangoes fish Mango tree mango and the Bombay Mango. Avocados,  lots of crazy avocados. 
We've got the fever tree that people cut down for medicinal purposes, we've got elephant ear plants that can be boiled and used for chickenpox and we've got tons of curry leaves growing wild around here. </t>
  </si>
  <si>
    <t>Right outside the yard</t>
  </si>
  <si>
    <t>Minutes</t>
  </si>
  <si>
    <t xml:space="preserve">I grew up on the farm in the Eastern Cape. So from living there you learn a lot of things like I learnt how to identify the different fruits and mushrooms. Moved to Mtuba 10ya.
Started foraging at the age of 4 with grandparents. After thunderstorms we would go for the mushrooms. When the first rains came we went for lomboyi which is a wild spinach herb which you cook with chillies and potatoes. And prickly pears. I don't know how to pick them. My dad used to pick them and bring them home for us. </t>
  </si>
  <si>
    <t>Last year about this time</t>
  </si>
  <si>
    <t xml:space="preserve">Fruit season is starting now. 
Why did they pick fruits? because my grandparents liked to pick fruits and wanted us to get into this habit of eating healthy stuff. That all flew out the window as we got older laughs. 
I didn't really stop, just cut down. I like the softer fruits not the hard ones. No hunting or fishing anymore because my husband really doesn't believe in that. </t>
  </si>
  <si>
    <t xml:space="preserve">No we give it away rather. Because it goes to waste anyway. So if people come and ask they can climb the tree and take it themselves. 
We do get people that sell mangoes in the street we give it to them for free and they get an income. 
My kids eat the fruits before you can make anything. </t>
  </si>
  <si>
    <t xml:space="preserve">Birds and animals seen
1 day i opened my window and i saw a little bird a kingfisher but it had the most unusual colours. You had a bright orange beak with royal blue feathers and yellow head. We've got lots of woodpeckers. Lots of snakes, mongoose. </t>
  </si>
  <si>
    <t>The children get happy about eating different types of fruits. The enjoy the walk and picking flowers.</t>
  </si>
  <si>
    <t>Insects</t>
  </si>
  <si>
    <t xml:space="preserve">The people around here don't really like that because a few years ago,  people that were not from our area came foraging, they were looking for houses to break into. When we see people not from around here we get wary and anxious. </t>
  </si>
  <si>
    <t xml:space="preserve">Tourism I don't know. Neighborhood security is a concern. </t>
  </si>
  <si>
    <t>Passiflora edulis
Opuntia ficus-indica</t>
  </si>
  <si>
    <t>Right outside the house
1km away in town for mangoes</t>
  </si>
  <si>
    <t>If there's fruit on the tree</t>
  </si>
  <si>
    <t xml:space="preserve">Minutes adding up to half a day
You pick a mango, you enjoy it, you pick 2 or 3, sit for a while, you say hey that tasted nice. you go back. With avocados you pick a whole lot. 
The Mdonis, you gotta watch because snakes like them. Besides eating them you make alcohol with it. They say you put it in water and then it brews. 
Collect firewood. Cooking outside on the fire is the best it tastes much better than cooking inside. </t>
  </si>
  <si>
    <t>Since forever
Growing up on the farm you know the fruit because you've been living here for so many years
Respondent grew up in Stanger, foraged for guavas
Husband grew up in Durban, did not much</t>
  </si>
  <si>
    <t>Individual</t>
  </si>
  <si>
    <t xml:space="preserve">No
Nobody here to sell. Our grandkids are in Durban. When i used to work at the pharmacy i used to put it in a box and everybody used to help themselves. 
We make granadilla juice. </t>
  </si>
  <si>
    <t xml:space="preserve">You know littering has always been there but in town it's much worse. Through the window is the norm. It's worse now. 
And with the fruit especially the avocados and mangos sometimes you get a full season. But sometimes it's not bearing like it used to before. 
There's guys that sell honey in town they come and collect from here. They give us some and then sell the rest. They ask us, and they take the lion's share. 
Birds, mongoose, snakes, monkeys, buck. </t>
  </si>
  <si>
    <t>It's fresh coming off the tree it nice it's a good feeling you don't have to buy, just take it off the tree</t>
  </si>
  <si>
    <t xml:space="preserve">Well i can't climb a tree so i have to get somebody to climb. </t>
  </si>
  <si>
    <t xml:space="preserve">They already do. guys that come here to the industrial area they don't ask they just steal. I told them that it's good to ask you can't just take without asking. There's a tree by the road that they help themselves to and that's fine because that's no man's land. </t>
  </si>
  <si>
    <t xml:space="preserve">They won't actually enjoy themselves. But we won't mind. It's just about identifying yourself. We can show them around. It's a very small neighborhood so it won't take much time. 
There's not enough fruit for us to sell we've just got enough for us to eat and give to friends and family. 
We are actually trying to get the municipality to cut all this bush here. It's dangerous that's where they hide strangers. So if they can just keep it short for safety purposes. We're not saying cut the fruit trees though. </t>
  </si>
  <si>
    <t>Mango
Lemon
Passiflora edulis
Avocado
Syzygium</t>
  </si>
  <si>
    <t>Neighborhood, industrial area</t>
  </si>
  <si>
    <t>Right next to the house
Ten minute walk to industrial area</t>
  </si>
  <si>
    <t>Neighborhood no
Industrial area yes, you ask for permission</t>
  </si>
  <si>
    <t>Once a year mangoes
3-4 times a year granadilla</t>
  </si>
  <si>
    <t xml:space="preserve">Less than a minute, just pick four five and that's it. </t>
  </si>
  <si>
    <t xml:space="preserve">As early as I can remember. If I saw trees where something was growing i would climb. Growing up around small children basically you just climb the tree and pick it. </t>
  </si>
  <si>
    <t>Last month on my way home</t>
  </si>
  <si>
    <t>The expenses are paid for. If you're going to the shop if you want a mango you're paying 20 rand. It easier and healthier</t>
  </si>
  <si>
    <t xml:space="preserve">Getting permission is necessary. If you want something you ask not just walk into someone's house and make yourself at home. </t>
  </si>
  <si>
    <t xml:space="preserve">Not much of a problem. Certain individuals that stay in the area that might've their own opinion. </t>
  </si>
  <si>
    <t>Passiflora edulis
Mango
Syzygium</t>
  </si>
  <si>
    <t>Belongs to someone, but they don't have a problem because cows and goats go there</t>
  </si>
  <si>
    <t>Weekly
A bag full of fruits</t>
  </si>
  <si>
    <t>Less than an hour</t>
  </si>
  <si>
    <t>As a six year old child
Children learn from other children</t>
  </si>
  <si>
    <t>Thirty something
But the kids go even now</t>
  </si>
  <si>
    <t>Cause she's old now and cannot climb trees</t>
  </si>
  <si>
    <t>No processing
Sometimes sell indoni</t>
  </si>
  <si>
    <t>Little kids
Cows and goats
No change</t>
  </si>
  <si>
    <t>They like to play there and pick fruit</t>
  </si>
  <si>
    <t>No problem</t>
  </si>
  <si>
    <t xml:space="preserve">Tourists can come around January for the indoni. No fruits currently. 
Would be interested in product selling if we or the tourists can teach them how to make them. </t>
  </si>
  <si>
    <t>Psidium guajava
Psidium cattleanium
Sclerocarya birrea
Syzygium cordatum from the bush
Syzygium guinense
Vanguaria infausta
Strychnos
Ximenia caffra
Annona senegalensis
Eugenia uniflora
Phoenix reclinata</t>
  </si>
  <si>
    <t>90 minute drive from city</t>
  </si>
  <si>
    <t>Taxi</t>
  </si>
  <si>
    <t>Our own communal</t>
  </si>
  <si>
    <t>Weekly</t>
  </si>
  <si>
    <t>When I was young. It's our custom. With friends and parents.</t>
  </si>
  <si>
    <t>No, just give some to my boss.</t>
  </si>
  <si>
    <t>Other foragers, birds and animals</t>
  </si>
  <si>
    <t>Yeah, but not them all. There isn't enough for all.</t>
  </si>
  <si>
    <t>Tourism is a good idea, would be interested.</t>
  </si>
  <si>
    <t>Rubus
Vanguaria infausta
Passiflora edulis
Hyphaene coriacea
Strychnos
Mimusops zeyheri
Ximenia caffra
Ficus sur
Harpephyllum caffrum
Phoenix reclinata
Psidium guajava
Psidium cattleanium
Sclerocarya birrea
Syzygium cordatum
Syzygium cumini by the river
Tabernaemontana elegans</t>
  </si>
  <si>
    <t>If I pass by
Young ones in the forest</t>
  </si>
  <si>
    <t>Municipality bush</t>
  </si>
  <si>
    <t>Once or twice a week the young ones</t>
  </si>
  <si>
    <t>Half a day
Half a bag</t>
  </si>
  <si>
    <t xml:space="preserve">When I was young. Because we've grown up with it. The older friends. </t>
  </si>
  <si>
    <t>The problem is i don't have other people like me i used to go with friends</t>
  </si>
  <si>
    <t>No sales</t>
  </si>
  <si>
    <t>Don't know about people, but there are birds and animals
New buildings, the range of the forest is decreasing
Litter is not a big deal, the municipality is very strict</t>
  </si>
  <si>
    <t>We used to do a campfire because we used to fish</t>
  </si>
  <si>
    <t>It's alright</t>
  </si>
  <si>
    <t>Tourism is okay
I'm interested in selling fruits</t>
  </si>
  <si>
    <t>Lemon
Carissa bispinosa
Forest apple
Rubus cuneifoilus
Opuntia ficus-indica
Passiflora edulis
Ximenia caffra
Eugenia uniflora
Harpephyllum caffrum
Phoenix reclinata we make traditional beer with this one
Psidium guajava</t>
  </si>
  <si>
    <t>By the bush by the sea in Mtunzini and St Lucia</t>
  </si>
  <si>
    <t>Transport</t>
  </si>
  <si>
    <t>Just open space</t>
  </si>
  <si>
    <t xml:space="preserve">Not lately. We are not stopped from picking any fruits there as long as we are authorized to get in. Security guards the place. We have to pay an entry fee. </t>
  </si>
  <si>
    <t xml:space="preserve">Quarterly
25 litre bucket. So that we enjoy as we remember our outing! </t>
  </si>
  <si>
    <t>Whole day</t>
  </si>
  <si>
    <t>As young as two years old</t>
  </si>
  <si>
    <t>Guava juice
No, it's for family or friends to enjoy</t>
  </si>
  <si>
    <t>There are other foragers
Birds, crocodiles. 
Cleanliness has improved</t>
  </si>
  <si>
    <t xml:space="preserve">Just get together with family or friends, there is a braai, drinks. Swimming by the bushes by the sea! Fishing, we collect firewood. There are lots of things to do there. Birds, crocodiles, they are scary, but it's nice to see how they live. Fruits are healthy. </t>
  </si>
  <si>
    <t xml:space="preserve">I don't mind. As long as they don't pick green fruits which are not ripe. It has to be ripe, not justice it up and throw it away. The kids sometimes pick up green fruits just take a bite it's not good and throw it away. </t>
  </si>
  <si>
    <t xml:space="preserve">Would do tourism with a little support, because I like outings. </t>
  </si>
  <si>
    <t xml:space="preserve">Avocado
Mango
Orange
Rubus cuneifoilus
Passiflora edulis I love it! 
Opuntia ficus-indica
Ximenia caffra
Ficus sur must be careful, they can be rotten
Harpephyllum caffrum
Phoenix reclinata
Psidium guajava
Sclerocarya birrea
Syzygium clean them and put them in the fridge, nice! </t>
  </si>
  <si>
    <t>Bush by house, enroute anywhere</t>
  </si>
  <si>
    <t>Five minutes</t>
  </si>
  <si>
    <t>Once a week
Imifino
Three to a bagful</t>
  </si>
  <si>
    <t>Age of eight
Saw other people, friends</t>
  </si>
  <si>
    <t>2ya</t>
  </si>
  <si>
    <t xml:space="preserve">Sometimes see birds and animals
People are cutting down trees for firewood. Litter is a problem. </t>
  </si>
  <si>
    <t>I like the view</t>
  </si>
  <si>
    <t xml:space="preserve">It's okay. Anyone can pick fruits. </t>
  </si>
  <si>
    <t xml:space="preserve">Tourism is alright. Would be okay showing them around. Would also be happy to make and sell products if she was taught. </t>
  </si>
  <si>
    <t>Rubus
Opuntia ficus-indica
Ximenia caffra
Phoenix reclinata
Psidium guajava
Syzygium cumini one by the water
Syzygium cordatum</t>
  </si>
  <si>
    <t>Hlabisa at the bush</t>
  </si>
  <si>
    <t>Five minutes walk from home in Hlabisa</t>
  </si>
  <si>
    <t>Transport, then walk</t>
  </si>
  <si>
    <t>Twice or thrice a month
Also collects honey</t>
  </si>
  <si>
    <t>Depends on how delicious the fruit is
An hour to whole day
A bagful</t>
  </si>
  <si>
    <t>10-11 years of age</t>
  </si>
  <si>
    <t>Sometimes with children, sometimes alone</t>
  </si>
  <si>
    <t xml:space="preserve">Why doesn't he forage in Empangeni? He does pick guavas, but they're not as big, and the indonis are different, not as delicious. He saw a snake by the guava trees. </t>
  </si>
  <si>
    <t>Sells honey, not fruit
No</t>
  </si>
  <si>
    <t>Some of the trees don't fruit because of reduced rain
Some trees have been cut
There are birds by the Empangeni guavas, and a snake</t>
  </si>
  <si>
    <t>The taste of the fruit
Climbing onto the tree
When you are there you hear the noises of the birds and you feel that i am at home now</t>
  </si>
  <si>
    <t>Snakes. If he sees a snake he wouldn't go back to the tree</t>
  </si>
  <si>
    <t xml:space="preserve">Yes it's fine. If people can still together when picking fruits. </t>
  </si>
  <si>
    <t>No problem with tourism
Might be interested in showing around depending on pay
Would love to process and sell products, if someone can teach them how to</t>
  </si>
  <si>
    <t>Carissa bispinosa
Grewia occidentalis
Rubus niveus
Rubus cuneifolius
Opuntia ficus-indica
Opuntia engelmanii
Cucumis metuliferus
Passiflora edulis
Vanguaria infausta
Carissa macrocarpa
Hyphaene coriacea popular with birds
Strychnos gets rid of alcohol in the body
Annona senegalensis
Ximenia caffra
Eugenia uniflora
Ficus sur
Harpephyllum caffrum white folks' dress preferred by birds not humans
Phoenix reclinata
Psidium cattleanium
Psidium guajava
Sclerocarya birrea also popular with animals
Syzygium cordatum doesn't like much
Syzygium cumini</t>
  </si>
  <si>
    <t>Valley, open space</t>
  </si>
  <si>
    <t>Five minutes walk both places</t>
  </si>
  <si>
    <t>Valley free for all
Open space belongs to house owner who gives permission</t>
  </si>
  <si>
    <t>Twice a week
Bring back a handful</t>
  </si>
  <si>
    <t>20-30 minutes</t>
  </si>
  <si>
    <t>Age of five
Friends</t>
  </si>
  <si>
    <t xml:space="preserve">Only birds. Not many other people. </t>
  </si>
  <si>
    <t>We spend time with friends, we share stories while eating fruits</t>
  </si>
  <si>
    <t>Maybe it will be a good thing</t>
  </si>
  <si>
    <t>Would be happy to show people around, close to school</t>
  </si>
  <si>
    <t>Passiflora edulis
Opuntia ficus-indica
Harpephyllum caffrum
Phoenix reclinata
Psidium guajava
Syzygium</t>
  </si>
  <si>
    <t>Forest in the valley</t>
  </si>
  <si>
    <t>Seven minute walk</t>
  </si>
  <si>
    <t xml:space="preserve">Seven years old. When we were kids we used to go to the jungle. </t>
  </si>
  <si>
    <t>I'm an adult now</t>
  </si>
  <si>
    <t>Yes</t>
  </si>
  <si>
    <t xml:space="preserve">Friend sold it and made juice. </t>
  </si>
  <si>
    <t>Other people and birds
Still the same, hasn't changed</t>
  </si>
  <si>
    <t>Eating them</t>
  </si>
  <si>
    <t>Yes it's okay</t>
  </si>
  <si>
    <t xml:space="preserve">Tourism not a good idea. Tourists like fancy things I think. </t>
  </si>
  <si>
    <t>Carissa bispinosa
Rubus cuneifolius
Coccinia sessilifolia
Passiflora edulis
Vanguaria infausta
Ximenia caffra
Ficus sur
Harpephyllum caffrum
Phoenix reclinata
Syzygium cumini</t>
  </si>
  <si>
    <t>Bush an hour away, bush behind police station</t>
  </si>
  <si>
    <t>Bush an hour away, syzygium
Police station ten minutes away, guava</t>
  </si>
  <si>
    <t>Communal garden in the bush, open bush behind police station</t>
  </si>
  <si>
    <t>Four times a month
A bagful</t>
  </si>
  <si>
    <t>Two hours</t>
  </si>
  <si>
    <t>Why does she forage? It's delicious and she likes fruits</t>
  </si>
  <si>
    <t>No sales
Don't know how to process, but sometimes make guava jam</t>
  </si>
  <si>
    <t>Other children
Birds if there are fruits
No change</t>
  </si>
  <si>
    <t>It's delicious and I like it
She used to do that when younger, at home</t>
  </si>
  <si>
    <t xml:space="preserve">She will be happy to see more people foraging
If there was a designated garden, she would forage there. </t>
  </si>
  <si>
    <t>Tourism would be okay
Would be happy to process and sell products</t>
  </si>
  <si>
    <t>Rubus cuneifolius
Opuntia ficus-indica
Passiflora edulis
Vanguaria infausta
Ximenia caffra
Eugenia uniflora
Ficus sur is delicious
Harpephyllum caffrum
Phoenix reclinata is delicious
Psidium guajava
Syzygium cordatum is sticky white
Syzygium cumini number one black</t>
  </si>
  <si>
    <t>Bush
Street</t>
  </si>
  <si>
    <t>Every day
We hunted birds
Every day
Bring home a handful</t>
  </si>
  <si>
    <t>Few minutes</t>
  </si>
  <si>
    <t>Hearsay. you see others eating the fruit and then and becomes the norm, it's eatable and all. Sometimes i used to take some home but not to someone, it was just a group of boys picking fruits. 
Age of five. With friends</t>
  </si>
  <si>
    <t>1990</t>
  </si>
  <si>
    <t>I started high school and wasn't playing anymore</t>
  </si>
  <si>
    <t>No. Not in a designated park. Respondent: I'm just lazy now. 
Child: people step on the fruits, and I don't climb trees</t>
  </si>
  <si>
    <t>No special highlights
I like fruits</t>
  </si>
  <si>
    <t>Syzygium
Mango</t>
  </si>
  <si>
    <t>Neighborhood streets, police station</t>
  </si>
  <si>
    <t>Under thirty minutes</t>
  </si>
  <si>
    <t>Whenever i want fruits about once a week</t>
  </si>
  <si>
    <t>An hour
Collect honey
Bring back a handful</t>
  </si>
  <si>
    <t>Other people, birds</t>
  </si>
  <si>
    <t>Mango
Psidium guajava
Rubus cuneifolius
Syzygium</t>
  </si>
  <si>
    <t>15 minute walk</t>
  </si>
  <si>
    <t xml:space="preserve">No. Everyone can go. </t>
  </si>
  <si>
    <t>Twice a week
Bring back half a bag</t>
  </si>
  <si>
    <t>An hour</t>
  </si>
  <si>
    <t>I went last year</t>
  </si>
  <si>
    <t>Don't get the time. So busy</t>
  </si>
  <si>
    <t>Would they forage in a designated park? It might create problems of people fighting over fruit</t>
  </si>
  <si>
    <t>No sales
Guava juice</t>
  </si>
  <si>
    <t>Save money
Some fruits you can't buy at the store
Enjoy going with friends</t>
  </si>
  <si>
    <t>Going alone</t>
  </si>
  <si>
    <t>It's fine because everyone can go pick fruits there</t>
  </si>
  <si>
    <t>Tourism is not a problem, could show people around
Mother sells vegetables, can add products to portfolio</t>
  </si>
  <si>
    <t>Psidium guajava
Avocado
Syzygium
Sugarcane</t>
  </si>
  <si>
    <t>Need technology to process, find buyers</t>
  </si>
  <si>
    <t>Along the way to my place
Handful taken home</t>
  </si>
  <si>
    <t>Five minute walk from farm in Mangete</t>
  </si>
  <si>
    <t>Once a week or month</t>
  </si>
  <si>
    <t>Ten minutes</t>
  </si>
  <si>
    <t xml:space="preserve">Since I was young. We visited the farm in the holidays, so we used to go to the bush. </t>
  </si>
  <si>
    <t>Siblings when younger
Alone now</t>
  </si>
  <si>
    <t>No changes
Other people, birds
What kind of change would you like to see? For the place to be protected, not destroyed</t>
  </si>
  <si>
    <t>The taste of it, and being outdoors</t>
  </si>
  <si>
    <t>Designated park? Not sure
The fruits don't belong to me so i can't say no
There's no one putting fertilizer for the fruits to grow and the trees might be destroyed by people
Maybe the community can control this</t>
  </si>
  <si>
    <t xml:space="preserve">Tourists do visit, Tugela mouth. Might be a nice idea. Not interested in being in the business as people aren't really interested, and busy. </t>
  </si>
  <si>
    <t>Grewia bicolor
Strychnos
Eugenia uniflora
Psidium guajava
Syzygium</t>
  </si>
  <si>
    <t>Outside the school</t>
  </si>
  <si>
    <t>Ten minutes walk, near the school. 1.5km</t>
  </si>
  <si>
    <t>10-20 fruits</t>
  </si>
  <si>
    <t>Since 2012</t>
  </si>
  <si>
    <t>All four housemates</t>
  </si>
  <si>
    <t>No sales
Juice from itolofy</t>
  </si>
  <si>
    <t>Birds
Rubbish dumping
Some people cut wood there, destroy it</t>
  </si>
  <si>
    <t>Fruit has different flavours
No one wants to pick itolofy because it has thorns, so you can't get it in the shops</t>
  </si>
  <si>
    <t xml:space="preserve">It will be damaged. Because if a lot of people go there they will cut a lot of wood down. Other people when they come to fetch the wood, they cut the trees down. They're abusing the tree. They start by picking from the ground, when they don't find any there they cut the tree down. They'll come this week and take some, and say if I cut this one, next week it will be right. 
If the municipality makes a park, the people will still cut the trees, you know the people, they don't follow rules. </t>
  </si>
  <si>
    <t>Opuntia ficus-indica</t>
  </si>
  <si>
    <t>Mtunzini sister in law lives there
Children used to pick fruit when young
By the roadside</t>
  </si>
  <si>
    <t>Rubus
Psidium guajava
Mango</t>
  </si>
  <si>
    <t>Today's children should go pick fruits because they are nourishing
If there was a park, oh yes, I would just go</t>
  </si>
  <si>
    <t>35 years ago</t>
  </si>
  <si>
    <t xml:space="preserve">Because there is no fruit here in ethekwini. Moved here. Now she will eat fruit when she sees some because we spoke about it. If she sees any fruit in the neighborhood, she will eat it because it's been a long time since she ate some.
Would be good if the municipality planted more fruit trees. </t>
  </si>
  <si>
    <t xml:space="preserve">If you have 40 rand and you take a taxi to town and buy only two fruits. If there was a park you can go and pick those fruits. </t>
  </si>
  <si>
    <t>Life and health</t>
  </si>
  <si>
    <t xml:space="preserve">She would be interested in making desserts out of these fruits. </t>
  </si>
  <si>
    <t>Passiflora edulis</t>
  </si>
  <si>
    <t>If there was a park she would pick fruits here
She used to pick avocado, granadilla, bags full</t>
  </si>
  <si>
    <t xml:space="preserve">Just behind the flats where Umhlanga rocks starts. </t>
  </si>
  <si>
    <t>30-45 minutes walk</t>
  </si>
  <si>
    <t xml:space="preserve">Three or four times a year. I was lazy. It wasn't just picking fruits when I would go to pick fruits I was looking for something different. We grew up in an age where things like PlayStation crowded our minds. We just wanted something close to nature. 
Imifino, herbs, yes. Not necessarily honey, I didn't know how to do that. Sugarcane. Swimming in the dam. 
You have to eat some right there, and if it's good enough you bring some home. For your family and your sister and yourself too. </t>
  </si>
  <si>
    <t xml:space="preserve">A bag full. Because you wanted some to be left over to make some money. </t>
  </si>
  <si>
    <t xml:space="preserve">From a young age about six or seven that used to be one of my hobbies at the time
Umhlanga rocks used to be sugarcane. So inside the sugarcane [fields] you would find a mango tree or orange tree, and you had to know where to go inside. My friends showed me. </t>
  </si>
  <si>
    <t xml:space="preserve">My friends. At the time we were based at Newlands West. Three of my best friends and I used to go around and we used to do anaughty stuff. </t>
  </si>
  <si>
    <t>Five or six years ago</t>
  </si>
  <si>
    <t xml:space="preserve">None of us have the time now because we are all working and my sister is in matric
That and most of the fruits that we used to pick don't grow here anymore. People cut them down for different reasons. Most people used to have fruit trees right in front of their doors. Like we used to have one but we cut it as well. So people cut it because it looks untidy. And other reasons, I don't know why. </t>
  </si>
  <si>
    <t xml:space="preserve">It would depend on the kind of setting. I would like to. I wouldn't go picking fruits with my friends anymore. I only have one friend now so the setting would have to suit us both. Would use a designated aprk. </t>
  </si>
  <si>
    <t xml:space="preserve">Even though I was naughty I was very lazy so I sold them maybe three four times a year or something. 
No processing. They're not handy like that. </t>
  </si>
  <si>
    <t xml:space="preserve">Time out with friends. Climbing the trees. We used to meet a lot of other people there. A lot of other kids from other sections of KwaMashu. So we'd all start playing together. It was a lot of fun. And it was a time where we started noticing girls as well. It was fun. </t>
  </si>
  <si>
    <t>Fall, break your arm. You'd always get hurt.</t>
  </si>
  <si>
    <t xml:space="preserve">Tourism. Yes absolutely especially if you look at the reputation that KwaMashu has no one thinks about it as a place you can go and do things. Everyone knows about the hijackings and all the dangerous stuff. It would be great to have something that changes people's perspective of the place. I don't think I've ever seen a tourist here. It would be nice to have something like that with a community could just go and enjoy themselves. And to get back that part of themselves, picking fruits. No one has done that in a while. It'd be fun to have something like that. 
Products. Yes I think that shows a quality we would like to see, an entrepreneurial quality. I would be very impressed. I would buy stuff like that.
Extended family would be interested. We are a very modern family. </t>
  </si>
  <si>
    <t>Carissa
Morus
Rubus
Opuntia ficus-indica
Osyris compressa
Englerophytum
Eugenia uniflora
Harpephyllum caffrum
Phoenix reclinata (we used to come back with bucketloads) 
Psidium guajava
Syzygium cumini</t>
  </si>
  <si>
    <t xml:space="preserve">There's flats, roads, highways there now. 
Stealing might be a problem. It counts as stealing because you can't just take it whenever, you have to wait for it to bear. The tress have a certain process that they go through. I don't think that people around here know when to and not to pick, and you would end up where we are right now where we don't have any anymore because we had them and people didn't necessarily know when to pick them. The municipality can try. When they do open up a park like that, you invite everyone over for the opening and tell them the rules or an educational talk to tell them how to go about preserving everything. That would be helpful. </t>
  </si>
  <si>
    <t xml:space="preserve">Towards Umhlanga rocks. They built houses there. 
Child in open space by the street, by the school. </t>
  </si>
  <si>
    <t>Twenty minute walk</t>
  </si>
  <si>
    <t>Every day by children</t>
  </si>
  <si>
    <t>Child age of five, ten now</t>
  </si>
  <si>
    <t>Friends for both mother, child</t>
  </si>
  <si>
    <t>About fifteen years ago</t>
  </si>
  <si>
    <t>I am too old now
I send my children now</t>
  </si>
  <si>
    <t>I am old, but it was nice that time</t>
  </si>
  <si>
    <t>Birds
There's more garbage now, it's not safe</t>
  </si>
  <si>
    <t>Going with friends</t>
  </si>
  <si>
    <t xml:space="preserve">I could make juice. 
Garden would be good. Tourism Wouldn't be a problem. Would be interested in showing people around. </t>
  </si>
  <si>
    <t>Eugenia uniflora
Phoenix reclinata
Psidium guajava
Syzygium cordatum
Mango</t>
  </si>
  <si>
    <t>School has indoni
Bush has guavas</t>
  </si>
  <si>
    <t>School five minutes away
Fifteen minutes to the bush</t>
  </si>
  <si>
    <t>Community</t>
  </si>
  <si>
    <t>Just passing, pick and eat, don't bring home</t>
  </si>
  <si>
    <t>Just passing</t>
  </si>
  <si>
    <t>Not many people who pick fruit there
No dumping, no change
Animals graze there, not many birds</t>
  </si>
  <si>
    <t>It's nice</t>
  </si>
  <si>
    <t>People play soccer there
There aren't many trees there
It's not safe, theives pick a lot of the fruits</t>
  </si>
  <si>
    <t xml:space="preserve">Tourism would be fine there. Thieves might pose a threat to tourists and cleaners. </t>
  </si>
  <si>
    <t>Psidium guajava
Syzygium</t>
  </si>
  <si>
    <t xml:space="preserve">Would forage in designated park
How about we put fruit trees around the open space where people play soccer so that the audience can eat the fruits? </t>
  </si>
  <si>
    <t>Bush</t>
  </si>
  <si>
    <t>1km</t>
  </si>
  <si>
    <t>Twice a week
20 fruits</t>
  </si>
  <si>
    <t>As a ten year old</t>
  </si>
  <si>
    <t>Recent</t>
  </si>
  <si>
    <t>Juice
No sales</t>
  </si>
  <si>
    <t>No changes
Other people forage there
Birds and animals seen</t>
  </si>
  <si>
    <t>I love fruit</t>
  </si>
  <si>
    <t xml:space="preserve">Yes. </t>
  </si>
  <si>
    <t>Tourism would be fine
I didn't think about selling products, would be interested</t>
  </si>
  <si>
    <t>Ximenia caffra
Mango
Psidium guajava</t>
  </si>
  <si>
    <t xml:space="preserve">Bush in the valley. The problem is there is a snake there but children go and pick fruits. </t>
  </si>
  <si>
    <t>Twenty minutes walk</t>
  </si>
  <si>
    <t>Once a week</t>
  </si>
  <si>
    <t>Friend</t>
  </si>
  <si>
    <t>Children pick fruits</t>
  </si>
  <si>
    <t>I like to eat fruits</t>
  </si>
  <si>
    <t xml:space="preserve">Tourists would finish our fruits! 
Products business would be okay. 
Would do business. </t>
  </si>
  <si>
    <t>Mango
Syzygium</t>
  </si>
  <si>
    <t>It's sandy there, so they can't build there
It was a forest, some trees were cut, some are still there
There is a park here where people pick mangos and no 1 comes to say this is my mango
She wouldn't plant fruit trees in her garden because the roots of the trees wouldn't allow the vegetables to grow</t>
  </si>
  <si>
    <t>Back home</t>
  </si>
  <si>
    <t>1978 aged 17</t>
  </si>
  <si>
    <t>There's no bush with fruit trees here</t>
  </si>
  <si>
    <t>Firewood and water fetching coupled with fruit so they wouldn't be hungry</t>
  </si>
  <si>
    <t>Carissa edulis
Opuntia ficus-indica
Vanguaria infausta
Strychnos
Eugenia uniflora
Ficus sur
Syzygium cordatum</t>
  </si>
  <si>
    <t>She would love to pick here</t>
  </si>
  <si>
    <t>All family</t>
  </si>
  <si>
    <t>Bush valley outside house</t>
  </si>
  <si>
    <t>Five minute walk</t>
  </si>
  <si>
    <t>Mango season</t>
  </si>
  <si>
    <t>About an hour</t>
  </si>
  <si>
    <t>Family</t>
  </si>
  <si>
    <t>Wildlife exists</t>
  </si>
  <si>
    <t>Children make noise, pick up raw/rotten mangoes</t>
  </si>
  <si>
    <t>No problem within the community</t>
  </si>
  <si>
    <t>Maybe</t>
  </si>
  <si>
    <t>Mango</t>
  </si>
  <si>
    <t>Jawini location people forage in our gardens, steal our fruit; nothing can be done about it.</t>
  </si>
  <si>
    <t>When she was young, can't tell. No one showed her</t>
  </si>
  <si>
    <t>Siblings</t>
  </si>
  <si>
    <t>January</t>
  </si>
  <si>
    <t>Frequently in season, eaten on the spot</t>
  </si>
  <si>
    <t>Ten minutes, about three fruits a session</t>
  </si>
  <si>
    <t>No sales, no processing, cannot make anything out of fruits</t>
  </si>
  <si>
    <t>Has seen birds, lots of other children</t>
  </si>
  <si>
    <t>Bush behind house, Emajange</t>
  </si>
  <si>
    <t>Two minute walk, 1 hour walk</t>
  </si>
  <si>
    <t>Afraid of the bees. Bees are for men, not for women</t>
  </si>
  <si>
    <t>Nothing wrong with it, but there aren't enough fruits, only 2 or 3 trees, irregular fruiting</t>
  </si>
  <si>
    <t>Not keen on products or tourism. What will people say?</t>
  </si>
  <si>
    <t>Psidium guajava</t>
  </si>
  <si>
    <t>Private yard in the neighbourhood</t>
  </si>
  <si>
    <t>10 minute walk</t>
  </si>
  <si>
    <t>Private yard</t>
  </si>
  <si>
    <t>No, we ask for permission</t>
  </si>
  <si>
    <t>Twice a week, 1 fruit for self only</t>
  </si>
  <si>
    <t>A few minutes</t>
  </si>
  <si>
    <t>Don't remember</t>
  </si>
  <si>
    <t>Would be nice, would be interested in both</t>
  </si>
  <si>
    <t>Bush along highway</t>
  </si>
  <si>
    <t>As a ten year old, grandmother showed them what to pick where. Sold granadillas and guavas for lunch money for school, on the weekends.</t>
  </si>
  <si>
    <t>Ten years ago</t>
  </si>
  <si>
    <t>Ten years ago they started cutting down guava trees under the working for water programme. So there aren't many fruit trees around now.</t>
  </si>
  <si>
    <t>A bagful of guavas for twenty to fifty rand</t>
  </si>
  <si>
    <t>No one has the right to tell us not to</t>
  </si>
  <si>
    <t>I am going to pick berries there (across the road) now, since we are talking about them</t>
  </si>
  <si>
    <t>Not much has changed, the municipality keeps the area clean</t>
  </si>
  <si>
    <t>Passiflora edulis, Psidium guajava</t>
  </si>
  <si>
    <t>Four years old, rying out fruits as she played</t>
  </si>
  <si>
    <t>Day long, swim in the dam</t>
  </si>
  <si>
    <t>Avocado, Orange, peach sold from home occasionally</t>
  </si>
  <si>
    <r>
      <t>Englerophytum natalense</t>
    </r>
    <r>
      <rPr>
        <sz val="11"/>
        <color theme="1"/>
        <rFont val="Calibri"/>
        <family val="2"/>
        <scheme val="minor"/>
      </rPr>
      <t xml:space="preserve">, </t>
    </r>
    <r>
      <rPr>
        <i/>
        <sz val="11"/>
        <color theme="1"/>
        <rFont val="Calibri"/>
        <family val="2"/>
        <scheme val="minor"/>
      </rPr>
      <t>Harpephyllum caffrum</t>
    </r>
    <r>
      <rPr>
        <sz val="11"/>
        <color theme="1"/>
        <rFont val="Calibri"/>
        <family val="2"/>
        <scheme val="minor"/>
      </rPr>
      <t xml:space="preserve">, </t>
    </r>
    <r>
      <rPr>
        <i/>
        <sz val="11"/>
        <color theme="1"/>
        <rFont val="Calibri"/>
        <family val="2"/>
        <scheme val="minor"/>
      </rPr>
      <t>Morus/Rubus spp</t>
    </r>
    <r>
      <rPr>
        <sz val="11"/>
        <color theme="1"/>
        <rFont val="Calibri"/>
        <family val="2"/>
        <scheme val="minor"/>
      </rPr>
      <t xml:space="preserve">., </t>
    </r>
    <r>
      <rPr>
        <i/>
        <sz val="11"/>
        <color theme="1"/>
        <rFont val="Calibri"/>
        <family val="2"/>
        <scheme val="minor"/>
      </rPr>
      <t>Passiflora edulis</t>
    </r>
    <r>
      <rPr>
        <sz val="11"/>
        <color theme="1"/>
        <rFont val="Calibri"/>
        <family val="2"/>
        <scheme val="minor"/>
      </rPr>
      <t xml:space="preserve">, </t>
    </r>
    <r>
      <rPr>
        <i/>
        <sz val="11"/>
        <color theme="1"/>
        <rFont val="Calibri"/>
        <family val="2"/>
        <scheme val="minor"/>
      </rPr>
      <t>Phoenix reclinata</t>
    </r>
    <r>
      <rPr>
        <sz val="11"/>
        <color theme="1"/>
        <rFont val="Calibri"/>
        <family val="2"/>
        <scheme val="minor"/>
      </rPr>
      <t xml:space="preserve">, </t>
    </r>
    <r>
      <rPr>
        <i/>
        <sz val="11"/>
        <color theme="1"/>
        <rFont val="Calibri"/>
        <family val="2"/>
        <scheme val="minor"/>
      </rPr>
      <t>Psidium guajava</t>
    </r>
    <r>
      <rPr>
        <sz val="11"/>
        <color theme="1"/>
        <rFont val="Calibri"/>
        <family val="2"/>
        <scheme val="minor"/>
      </rPr>
      <t xml:space="preserve">, </t>
    </r>
    <r>
      <rPr>
        <i/>
        <sz val="11"/>
        <color theme="1"/>
        <rFont val="Calibri"/>
        <family val="2"/>
        <scheme val="minor"/>
      </rPr>
      <t>Rhoicissus tridentata</t>
    </r>
    <r>
      <rPr>
        <sz val="11"/>
        <color theme="1"/>
        <rFont val="Calibri"/>
        <family val="2"/>
        <scheme val="minor"/>
      </rPr>
      <t xml:space="preserve">, and </t>
    </r>
    <r>
      <rPr>
        <i/>
        <sz val="11"/>
        <color theme="1"/>
        <rFont val="Calibri"/>
        <family val="2"/>
        <scheme val="minor"/>
      </rPr>
      <t>Syzygium cumini</t>
    </r>
  </si>
  <si>
    <t>She remembers painting her hands red with wild mulberries and making juice from them; swimming in a dam reservoir, which is a highlight of their experience; Foraging for her is freedom.</t>
  </si>
  <si>
    <t>wary of snakes, and the ghost in the forest that says “don’t eat here, eat at home”</t>
  </si>
  <si>
    <t>would love to sell wild fruits or their processed products; be happy to have people pay to visit the foraging grounds and pay to buy wild fruits</t>
  </si>
  <si>
    <t>Children</t>
  </si>
  <si>
    <t>2-3 hours</t>
  </si>
  <si>
    <t>No, but there are ‘short Khoi people who might beat up the children’ living there</t>
  </si>
  <si>
    <t>at the age of five or six years</t>
  </si>
  <si>
    <t>I'm too old now</t>
  </si>
  <si>
    <t>sometimes makes preserves and juice from the wild fruits her children collect</t>
  </si>
  <si>
    <t>Interested</t>
  </si>
  <si>
    <t>Bush in the valley</t>
  </si>
  <si>
    <t>Weekend, collect enough to fit in their shirts</t>
  </si>
  <si>
    <t>Streets, bush behind police station</t>
  </si>
  <si>
    <t>Two to ten minutes walk</t>
  </si>
  <si>
    <t>June</t>
  </si>
  <si>
    <t>Twelve or thirteen years old</t>
  </si>
  <si>
    <t>Going to school with friends</t>
  </si>
  <si>
    <t>Twenty minutes</t>
  </si>
  <si>
    <t>Once a month, brings back about five fruits</t>
  </si>
  <si>
    <t>Human and wild foragers. Fresh gumtree plantation, to do with some project</t>
  </si>
  <si>
    <t>I enjoy it</t>
  </si>
  <si>
    <t>It's fine</t>
  </si>
  <si>
    <t>Tourism might not be good because people from rural areas pick fruits there, so if outsiders start foraging there, there won't be any left for the locals. Would be interested in processing and selling products.</t>
  </si>
  <si>
    <t>Rubus cuneifolius and ellipticus, Opuntia ficus-indica, Passiflora edulis, Vanguaria infausta, Eriobotrya japonica, Strychnos madagacarensis, Ximenia caffra, Eugenia uniflora, Ficus sur, Harpephyllum caffrum, Phoenix reclinata, Psidium guajava, Syzygium cumini</t>
  </si>
  <si>
    <t>Granadilla transplanted to yard</t>
  </si>
  <si>
    <t>Bush along highway, airstrip on the mountain</t>
  </si>
  <si>
    <t>Six friends</t>
  </si>
  <si>
    <t>Sell macadamia nuts, make granadilla juice</t>
  </si>
  <si>
    <t>Guava daily, granadilla weekly</t>
  </si>
  <si>
    <t>Passiflora edulis, Psidium guajava, Rubus, macadamia nuts, Carissa bispinosa, Avocado, Grapes, Oranges, Peach, Mango, Eriobotrya japonica</t>
  </si>
  <si>
    <t>Forage when hunting, three bags of guava, five bags of granadilla, 50kg bag of avocado; hunt monkeys, rabbits</t>
  </si>
  <si>
    <t>enroute, and up to an hour away</t>
  </si>
  <si>
    <t>Animals hunted; not much has changed, fewer people visit now; no trash problem</t>
  </si>
  <si>
    <t>Since 2017 they have been told not to hunt by the airstrip; however, certain people hunt there, as it's in their blood, thye want their dogs to be active</t>
  </si>
  <si>
    <t>That's alright, but worried there's lots of snakes, someone may be bitten</t>
  </si>
  <si>
    <t>Would be happy to sell tourists the fruits</t>
  </si>
  <si>
    <t>Sick and not doing anything</t>
  </si>
  <si>
    <t>When she was young, can't tell. Grandmother showed her</t>
  </si>
  <si>
    <t>Half day. Firewood and imifino collected, five litre bags</t>
  </si>
  <si>
    <t>Bush close to house</t>
  </si>
  <si>
    <t>It's fine, you wouldn't get anyhting, because there's lots of foragers there already</t>
  </si>
  <si>
    <t>Would be interested in selling products</t>
  </si>
  <si>
    <t>Once a week in season</t>
  </si>
  <si>
    <t>Fifteen minutes</t>
  </si>
  <si>
    <t>Church, Private yards in the neighbourhood</t>
  </si>
  <si>
    <t>Ten minute walk</t>
  </si>
  <si>
    <t>Church, private</t>
  </si>
  <si>
    <t>No, they are invited by their neighbours</t>
  </si>
  <si>
    <t xml:space="preserve">Yeah, with our friends. That’s how we actually discovered. Because you know you’re with your friends. That’s how you can know this is – my mother said you can’t eat this or my mother said you can’t. </t>
  </si>
  <si>
    <t>No, they’ve all grown now and now we don’t have time for each other so. Person sees themselves.</t>
  </si>
  <si>
    <t>They should. I mean they’re free! So why would you go buy them when you can actually just pick a mango from the tree instead of going to buy mangos for twenty rand? I think there are too little people picking them. (Laughs). There are too little people picking them.</t>
  </si>
  <si>
    <t>What I used to enjoy when I picked them with my friends was that you’d collect as many as you could – you know childish games. Depending on who collected the most. So that was fun. When you had to show who has the most and which weird ones you had or misshaped ones you had. That was fun.</t>
  </si>
  <si>
    <t>No. The mess with some fruits. But no.</t>
  </si>
  <si>
    <t>I have a brother who did – who’s very interested in these nature things.So he would be very interested in it. Picking in a foraging park: I would. It’s therapeutic as well. I would.</t>
  </si>
  <si>
    <t>Vanguaria infausta</t>
  </si>
  <si>
    <t>Rubus cuneifolius, Opuntia ficus-indica, Vanguaria infausta, Passiflora edulis, Ficus sur, Harpephyllum caffrum, Psidium guajava, Syzygium cumini</t>
  </si>
  <si>
    <t>Oh I can’t even tell you because I go out in the rural area. So it was our hobby. Picking up fruits.</t>
  </si>
  <si>
    <t>So the guavas just – they were trees just along the sugarcane plantation. They were not planted. You know when… So I grew up in the rural areas when we ate the fruit. SO during those times there were no toilets. So we used to release ourselves in the sugarcane plantation and then guava trees grew there. And the granadillas also there where we were releasing ourselves. (laughs).</t>
  </si>
  <si>
    <t>Oh once a year.</t>
  </si>
  <si>
    <t>Friends and family. The whole neighbourhood. That is what we used to do. (laughs) During the holidays or weekends. Now alone, About an hour. I took my cousin’s younger ones. So to go and pick the fruit. Five years and four years.</t>
  </si>
  <si>
    <t xml:space="preserve">So we took about an hour because I was with the young ones. I pick a bag. And then come back and then eat. </t>
  </si>
  <si>
    <t>Less than a kilometre. It’s very near. It’s just across the road. Maybe about 500 metres from the house.</t>
  </si>
  <si>
    <t>Birds. Yes there are people who pick those guavas. Especially those – the boys that are herding the cattle. So they eat the guavas during the day. So it is only guavas that are there next to my home. So the others where we used to pick the fruits now it has been developed into the – so it’s the houses. People are living there. So there are no longer bushes there where used to be the fruits. And then the rivers. The river where we used to fetch water. So now it’s dry. There are a lot of changes.</t>
  </si>
  <si>
    <t>It’s our family land</t>
  </si>
  <si>
    <t>(laughs) Climbing trees. Eating fruits. We’re never hungry. We never bother during the day that we’re hungry. We’re always full of fruits. And would swim along there when we were picking fruits. There’s a lake there so we would swim. So it was fantastic! I really miss it. (laughs)</t>
  </si>
  <si>
    <t>Bees but not the bees. Wasp. Yes they used to bite us. Going to school with a swollen eye, swollen lip. (laughs)</t>
  </si>
  <si>
    <t>No one for products, not much to see. Would pick in designated park.</t>
  </si>
  <si>
    <t>Last week</t>
  </si>
  <si>
    <t>incidental</t>
  </si>
  <si>
    <t xml:space="preserve">7 years old. You start by seeing someone eating it. </t>
  </si>
  <si>
    <t>University of Zululand</t>
  </si>
  <si>
    <t>twenty five to thirty minutes</t>
  </si>
  <si>
    <t>mainly the monkeys. they eat more fruit than us. People also forage.</t>
  </si>
  <si>
    <t>25 litre buckets</t>
  </si>
  <si>
    <t>Sometimes sell fruits in town. No processing</t>
  </si>
  <si>
    <t>There would be a problem. (Why would there be a problem?) Those are our fruits. (But with tourists would it be fine?) Yes. (What would be the difference?)  They will come there with the aim of seeing something new. Like looking at animals around and seeing fruits and how they do these foods thing. Not the aim of coming and eating our fruits, is it?</t>
  </si>
  <si>
    <t>Tourists fine.  Would be happy to show tourists. And products.</t>
  </si>
  <si>
    <t>Police station</t>
  </si>
  <si>
    <t>Five days a week</t>
  </si>
  <si>
    <t>Three hours, bring back about ten fruits</t>
  </si>
  <si>
    <t>Yes, they do sell. They come back with a little bit of money. No processing.</t>
  </si>
  <si>
    <t>It’s inside the police station. But they have to ask first before they can go.</t>
  </si>
  <si>
    <t>Sometimes they say that they saw a snake.</t>
  </si>
  <si>
    <t>They like the guavas. The inside of the guavas.</t>
  </si>
  <si>
    <t>they are afraid of the snakes they see.</t>
  </si>
  <si>
    <t>If someone can teach them then they will be interested.</t>
  </si>
  <si>
    <t>Total</t>
  </si>
  <si>
    <t>Open space</t>
  </si>
  <si>
    <t>Streetside</t>
  </si>
  <si>
    <t>Abandoned farmland</t>
  </si>
  <si>
    <t>Yard</t>
  </si>
  <si>
    <t>River</t>
  </si>
  <si>
    <t>Garden patch</t>
  </si>
  <si>
    <t>Multiple: bush, streetside</t>
  </si>
  <si>
    <t>Multiple: bush, school, streetside</t>
  </si>
  <si>
    <t>Multiple: bush, neighbours, streetside</t>
  </si>
  <si>
    <t>Multiple: bush, open space, streetside</t>
  </si>
  <si>
    <t>Multiple: bush, river, school, streetside</t>
  </si>
  <si>
    <t>Multiple: open space, streetside</t>
  </si>
  <si>
    <t>Multiple: river, streetside</t>
  </si>
  <si>
    <t>Neighbourhood</t>
  </si>
  <si>
    <t>Multiple: industrial area, neighbourhood</t>
  </si>
  <si>
    <t>Grounds category</t>
  </si>
  <si>
    <t>Landmarks</t>
  </si>
  <si>
    <t>School</t>
  </si>
  <si>
    <t>Residential areas</t>
  </si>
  <si>
    <t>Hills</t>
  </si>
  <si>
    <t>Graveyard</t>
  </si>
  <si>
    <t>Mall</t>
  </si>
  <si>
    <t>School, river</t>
  </si>
  <si>
    <t>Valley</t>
  </si>
  <si>
    <t>Industrial area</t>
  </si>
  <si>
    <t>School, Residential areas</t>
  </si>
  <si>
    <t>Multiple: bush, open space, school, streetside</t>
  </si>
  <si>
    <t>Multiple: bsuh, school</t>
  </si>
  <si>
    <t>Highway</t>
  </si>
  <si>
    <t>Airstrip, highway</t>
  </si>
  <si>
    <t>Church</t>
  </si>
  <si>
    <t>University</t>
  </si>
  <si>
    <t>Distance (radius range km)</t>
  </si>
  <si>
    <t>Getting there</t>
  </si>
  <si>
    <t>Multiple: taxi or walk</t>
  </si>
  <si>
    <t>Past</t>
  </si>
  <si>
    <t>Enroute?</t>
  </si>
  <si>
    <t>Work</t>
  </si>
  <si>
    <t>Incidental</t>
  </si>
  <si>
    <t>Visiting home</t>
  </si>
  <si>
    <t>Multiple: home, work</t>
  </si>
  <si>
    <t>First drive then walk</t>
  </si>
  <si>
    <t>Multiple: drive or walk</t>
  </si>
  <si>
    <t>Garden</t>
  </si>
  <si>
    <t>Plantations</t>
  </si>
  <si>
    <t>Grandmother</t>
  </si>
  <si>
    <t>Mother</t>
  </si>
  <si>
    <t>Brother</t>
  </si>
  <si>
    <t>Sister</t>
  </si>
  <si>
    <t>Father</t>
  </si>
  <si>
    <t>Grandfather</t>
  </si>
  <si>
    <t>Uncle</t>
  </si>
  <si>
    <t>Aunt</t>
  </si>
  <si>
    <t>Respondent Child(ren) Mother Brother Sister Father (All family)</t>
  </si>
  <si>
    <t>Ownership</t>
  </si>
  <si>
    <t>Public</t>
  </si>
  <si>
    <t>Dual private and public</t>
  </si>
  <si>
    <t>Private</t>
  </si>
  <si>
    <t>Communal</t>
  </si>
  <si>
    <t>Personal</t>
  </si>
  <si>
    <t>Transformed to residential</t>
  </si>
  <si>
    <t>Frequency</t>
  </si>
  <si>
    <t>Psidium guajava, Passiflora edulis</t>
  </si>
  <si>
    <t>RubusCarissa bispinosa
Diospyros whyteana
Passiflora edulis
Vangueria infausta
Cordia caffra
Osyris compressa
Eriobotrya japonica
Mukuhlu
Hyphaene coriacea
Annona senegalensis
Ximenia caffra
Eugenia uniflora
Phoenix reclinata (alcohol)
Harpephyllum caffrum
Psidium guajava
Syzygium cordatum (sea)
Syzygium cumini (inland)</t>
  </si>
  <si>
    <t>Carissa bispinosa
Diospyros whyteana
Passiflora edulis
Vangueria infausta
Cordia caffra
Osyris compressa
Eriobotrya japonica
Mukuhlu
Hyphaene coriacea
Annona senegalensis
Ximenia caffra
Eugenia uniflora
Phoenix reclinata (alcohol)
Harpephyllum caffrum
Psidium guajava
Syzygium cordatum (sea)
Syzygium cumini (inland), RUbus</t>
  </si>
  <si>
    <t>Diospyros lycoides
Rubus niveus
Rubus cuneifolius
Passiflora edulis
Vangueria infausta (when we went to pick up wood)
Mango
Syzygium cumini, Psidium guajava</t>
  </si>
  <si>
    <t>5 hours</t>
  </si>
  <si>
    <t>1 hour</t>
  </si>
  <si>
    <t>1 day</t>
  </si>
  <si>
    <t>3 hours</t>
  </si>
  <si>
    <t>2 hours</t>
  </si>
  <si>
    <t>4 hours</t>
  </si>
  <si>
    <t>6 hours</t>
  </si>
  <si>
    <t>7 hours</t>
  </si>
  <si>
    <t>Duration category</t>
  </si>
  <si>
    <t>Time (min)</t>
  </si>
  <si>
    <t>NTFPs</t>
  </si>
  <si>
    <t>Activities</t>
  </si>
  <si>
    <t>Bushmeat</t>
  </si>
  <si>
    <t>Hunting</t>
  </si>
  <si>
    <t>Bushmeat, Fish</t>
  </si>
  <si>
    <t>Hunting, Fishing</t>
  </si>
  <si>
    <t>Bushmeat, Fish, Fuelwood</t>
  </si>
  <si>
    <t>Fuelwood</t>
  </si>
  <si>
    <t>Fish, Fuelwood</t>
  </si>
  <si>
    <t>Hunting, Fishing, Fuel gathering</t>
  </si>
  <si>
    <t>Fuel gathering</t>
  </si>
  <si>
    <t>Fishing, Fuel gathering</t>
  </si>
  <si>
    <t>Leaves</t>
  </si>
  <si>
    <t>Fish, Fuelwood, Leaves</t>
  </si>
  <si>
    <t>Fuelwood, Leaves</t>
  </si>
  <si>
    <t>Bushmeat, Fish, Leaves</t>
  </si>
  <si>
    <t>Fish, Leaves</t>
  </si>
  <si>
    <t>Bushmeat, Fish, Honey</t>
  </si>
  <si>
    <t>Fuelwood, Honey</t>
  </si>
  <si>
    <t>Honey</t>
  </si>
  <si>
    <t>Leaves, Honey</t>
  </si>
  <si>
    <t>Hunting, Swimming</t>
  </si>
  <si>
    <t>Fuel gathering, Swimming</t>
  </si>
  <si>
    <t>Hunting, Fishing, Swimming</t>
  </si>
  <si>
    <t>Hunting, Fishing, Fuel gathering, Swimming</t>
  </si>
  <si>
    <t>Fishing, Fuel gathering, Swimming</t>
  </si>
  <si>
    <t>Swimming</t>
  </si>
  <si>
    <t>Grazing</t>
  </si>
  <si>
    <t>Fishing, Fuel gathering, Grazing</t>
  </si>
  <si>
    <t>Quantity</t>
  </si>
  <si>
    <t>Half bag</t>
  </si>
  <si>
    <t>Fruits</t>
  </si>
  <si>
    <t>Processing?</t>
  </si>
  <si>
    <t>First</t>
  </si>
  <si>
    <t>Last</t>
  </si>
  <si>
    <t>7 ya</t>
  </si>
  <si>
    <t>Days ago</t>
  </si>
  <si>
    <t>Guava jam</t>
  </si>
  <si>
    <t>1 bag</t>
  </si>
  <si>
    <t>8 yo</t>
  </si>
  <si>
    <t>1 ya</t>
  </si>
  <si>
    <t>Daily</t>
  </si>
  <si>
    <t>10 to 20</t>
  </si>
  <si>
    <t>Child</t>
  </si>
  <si>
    <t>1 kg</t>
  </si>
  <si>
    <t>10 yo</t>
  </si>
  <si>
    <t>Fortnightly</t>
  </si>
  <si>
    <t>7 yo</t>
  </si>
  <si>
    <t>16 yo</t>
  </si>
  <si>
    <t>30 ya</t>
  </si>
  <si>
    <t>14 ya</t>
  </si>
  <si>
    <t>27 yo</t>
  </si>
  <si>
    <t>Seasonal</t>
  </si>
  <si>
    <t>Annual</t>
  </si>
  <si>
    <t>Monthly</t>
  </si>
  <si>
    <t>6 yo</t>
  </si>
  <si>
    <t>19 yo</t>
  </si>
  <si>
    <t>9 yo</t>
  </si>
  <si>
    <t>12 yo</t>
  </si>
  <si>
    <t>18 yo</t>
  </si>
  <si>
    <t>4 yo</t>
  </si>
  <si>
    <t>2 yo</t>
  </si>
  <si>
    <t>5 y0</t>
  </si>
  <si>
    <t>5 yo</t>
  </si>
  <si>
    <t>22 yo</t>
  </si>
  <si>
    <t>5 ma</t>
  </si>
  <si>
    <t>8 ya</t>
  </si>
  <si>
    <t>Months ago</t>
  </si>
  <si>
    <t>2 wa</t>
  </si>
  <si>
    <t>1 ma</t>
  </si>
  <si>
    <t>17 ma</t>
  </si>
  <si>
    <t>16 ma</t>
  </si>
  <si>
    <t>20 ma</t>
  </si>
  <si>
    <t>3 ya</t>
  </si>
  <si>
    <t>11 ya</t>
  </si>
  <si>
    <t>28 ya</t>
  </si>
  <si>
    <t>35 ya</t>
  </si>
  <si>
    <t>5 ya</t>
  </si>
  <si>
    <t>15 ya</t>
  </si>
  <si>
    <t>40 ya</t>
  </si>
  <si>
    <t>10 ma</t>
  </si>
  <si>
    <t>10 ya</t>
  </si>
  <si>
    <t>Mango juice</t>
  </si>
  <si>
    <t>Guava juice</t>
  </si>
  <si>
    <t>Mango pickle</t>
  </si>
  <si>
    <t>Opuntia juice</t>
  </si>
  <si>
    <t>Jam, juice</t>
  </si>
  <si>
    <t>Moved</t>
  </si>
  <si>
    <t>It's not far so it doesn't take long. Maybe 10 minutes</t>
  </si>
  <si>
    <t>A couple days a week with children</t>
  </si>
  <si>
    <t>Lots of fruits that we don't know
These children they don't go to bushes now, they only watch TV
They don't even pick the p e a c h e s
They can pick only mangoes these ones
We don't have lots of trees here because it's the location they don't keep guavas because Guavas always have snakes maybe that's why they don't keep it in the township but in the rural areas they don't mind</t>
  </si>
  <si>
    <t>Over a year ago</t>
  </si>
  <si>
    <t>The land belongs to the municipality</t>
  </si>
  <si>
    <t>Reason for stopping</t>
  </si>
  <si>
    <t>Moved, don't know where to forage here</t>
  </si>
  <si>
    <t>Can no longer find fruits</t>
  </si>
  <si>
    <t>Outgrown</t>
  </si>
  <si>
    <t>Employment related time constraints</t>
  </si>
  <si>
    <t>Foraging ground transformation</t>
  </si>
  <si>
    <t>No company</t>
  </si>
  <si>
    <t>Loss of neighbourhood trees (Can no longer find fruits), Employment related time constraints, Foraging ground transformation</t>
  </si>
  <si>
    <t>Health</t>
  </si>
  <si>
    <t>3 bags</t>
  </si>
  <si>
    <t>Moved, don't know where to forage here, can not find fruits here</t>
  </si>
  <si>
    <t>Changes</t>
  </si>
  <si>
    <t>Syzygium tree in yard cut down</t>
  </si>
  <si>
    <t>When the indoni are ready, there's always bees on the indoni. She tells the children not to do anything to the bees or the birds on the guava trees. They have to leave them to eat. Because they're not working. They must just leave the birds. They say 'Koko, Koko, tjo see that guava! So nice guava.' so I told 'okay, but leave the guavas for the birds. Because they're not working. We must share with the birds.' if they hit the birds, Jesus won't love that thing. The God don't like it when the animals are hurt. Yeah it's very important [to protect the bush] because there are many animals they are walking under the bush. You see the bush is a house for them. Because they're sleeping under the grass. Nobody can build a house for the animals. The bush is a house for them. Why they build a house here? I'm always sleeping in the grass. They run away. It will be better if they can make a park for the animals so they can stay there. Even the rabbit is so clever.</t>
  </si>
  <si>
    <t>Sales</t>
  </si>
  <si>
    <t>Other foragers?</t>
  </si>
  <si>
    <t>More foragers?</t>
  </si>
  <si>
    <t>Business approval, self</t>
  </si>
  <si>
    <t>Ecotourism approval, self</t>
  </si>
  <si>
    <t>Company</t>
  </si>
  <si>
    <t>Uncertain about public space rules</t>
  </si>
  <si>
    <t>Dedicated park</t>
  </si>
  <si>
    <t>Biodiversity</t>
  </si>
  <si>
    <t>Biodiversity constant, Litter decrease</t>
  </si>
  <si>
    <t>Bees, birds</t>
  </si>
  <si>
    <t>Yes, no</t>
  </si>
  <si>
    <t>Yes, yes</t>
  </si>
  <si>
    <t>Multiple: Streetside, Open space</t>
  </si>
  <si>
    <t>Constant</t>
  </si>
  <si>
    <t>Fruit</t>
  </si>
  <si>
    <t>Freshness</t>
  </si>
  <si>
    <t>Many</t>
  </si>
  <si>
    <t>Parents</t>
  </si>
  <si>
    <t>Kith and kin</t>
  </si>
  <si>
    <t>Buy food from Durban mall, visit thrice or four times a week ; foraging is a lifestyle</t>
  </si>
  <si>
    <t>Mammals, Snakes</t>
  </si>
  <si>
    <t>Fuel gathering, Water</t>
  </si>
  <si>
    <t>Water</t>
  </si>
  <si>
    <t>Mlt: Act, fresh, fruit</t>
  </si>
  <si>
    <t>Free</t>
  </si>
  <si>
    <t>Yeah it's a good idea. There is no risk</t>
  </si>
  <si>
    <t>They make juice in the 2 litre bottles and they steal sugar to make the juice and they eat mango with aromat. Mango which is not ready is eaten with aromat. Sometimes they sell if someone asks them.</t>
  </si>
  <si>
    <t>Highway, River</t>
  </si>
  <si>
    <t>Fights</t>
  </si>
  <si>
    <t>Birds</t>
  </si>
  <si>
    <t>Tree felling for residential development by municipality</t>
  </si>
  <si>
    <t>Mlt: Fruit, health</t>
  </si>
  <si>
    <t>If you eat nkwakwa it's healthy even though it smells. Toilet, yogurt 1kg. 1 kg of nkwakwa yoghurt is thirty rand</t>
  </si>
  <si>
    <t>Monkeys, snakes</t>
  </si>
  <si>
    <t>Outsiders foraging</t>
  </si>
  <si>
    <t>Adults</t>
  </si>
  <si>
    <t>Bees, snakes</t>
  </si>
  <si>
    <t>Transformed communal to residential</t>
  </si>
  <si>
    <t>Bees</t>
  </si>
  <si>
    <t>Road building, Tree felling for residential development by municipality, Rubus unavailable anymore</t>
  </si>
  <si>
    <t>Beach, Road, River, Residential areas</t>
  </si>
  <si>
    <t>Birds, mammals</t>
  </si>
  <si>
    <t>Leaves some for other people</t>
  </si>
  <si>
    <t>Wildlife</t>
  </si>
  <si>
    <t>Birds, snakes, mammals</t>
  </si>
  <si>
    <t>Sugar mill land opened up to public. People weed and plant garden patches as air pollution has reduced.</t>
  </si>
  <si>
    <t>Granadilla juice my son likes and makes it sometimes we make atchar from mangoes
No sales</t>
  </si>
  <si>
    <t>I enjoy picking fruits. When it's ripe we take a stick and hit it when it's ripe when it's green we make a pickle green ones we put salt and we eat</t>
  </si>
  <si>
    <t>Rot</t>
  </si>
  <si>
    <t>Livestock, birds</t>
  </si>
  <si>
    <t>Visiting home, shop</t>
  </si>
  <si>
    <t>Quicksand</t>
  </si>
  <si>
    <t>I am sure it's a good idea for them because they've got these own gardens and they buy their own seeds and plant and they are not going to anyone else's garden
it's not a good idea in the bush because this snakes around and these people are old toobut sometimes my brother all their grandchildren go with them
it's very unhealthy because you can see the bin is just near there and they throw all this trash and all this dirt around
And for children to pick all these fruits it's very unhealthy
If it was clean
Who is they? people around and even me if there is extra dirt
Dustbins were meant for people to throw things inside the bin but then you find some guys sucking and looking inside the trash and they find junk and they make the place untidy
the people from the municipality come and clean but still people around this area come and throw that it and it is unhealthy for the municipality people to clean because they've all got their lives and blood like us but we can't over do it
You find the people come and clean but within two days the people in the area come and get it so you can't blame the municipality you blame the local people
They always have these meetings Here they tell them they want to do things but they are not even doing anything they just call upon a meeting and say they doing this thing that thing a couple months go the people forgot about what they are doing</t>
  </si>
  <si>
    <t>Dam dried up, people started planting garden patches. Untidy waste disposal raises health concerns for foraging in the area and municipal workers' safety; locals and scavengers to blame.</t>
  </si>
  <si>
    <t>Pigs, snakes</t>
  </si>
  <si>
    <t>Business and toruism will help keep knowledge alive</t>
  </si>
  <si>
    <t>Eichhornia/Pistia appearance in river</t>
  </si>
  <si>
    <t>Birds, snakes</t>
  </si>
  <si>
    <t>Mlt: friends, act</t>
  </si>
  <si>
    <t>Carissa edulis
Rubus cuneifolius
Rubus niveus
Mango
Ficus craterostoma
Psidium guajava
Syzigium cumini</t>
  </si>
  <si>
    <t>Self</t>
  </si>
  <si>
    <t>Mlt: fresh, wildlife</t>
  </si>
  <si>
    <t>Birds, worms, mammals</t>
  </si>
  <si>
    <t>5 to 20l</t>
  </si>
  <si>
    <t>Fishing, Fuel gathering, Water fetching</t>
  </si>
  <si>
    <t>Fish, Fuelwood, Water</t>
  </si>
  <si>
    <t>Fewer animals</t>
  </si>
  <si>
    <t>A bag to 20l bucket</t>
  </si>
  <si>
    <t>No, not safe</t>
  </si>
  <si>
    <t>Birds crocodiles hippos snakes</t>
  </si>
  <si>
    <t>New houses</t>
  </si>
  <si>
    <t>Crocodiles, snakes</t>
  </si>
  <si>
    <t>Memories</t>
  </si>
  <si>
    <t>No, not enough</t>
  </si>
  <si>
    <t>2l</t>
  </si>
  <si>
    <t>2 to 5l</t>
  </si>
  <si>
    <t>Grandparents</t>
  </si>
  <si>
    <t>Granadilla juice</t>
  </si>
  <si>
    <t xml:space="preserve">Birds, mongoose, snakes, monkeys, buck. </t>
  </si>
  <si>
    <t>Littering increased, seasonal and yield uncertainty</t>
  </si>
  <si>
    <t>Sellers forage excess from them</t>
  </si>
  <si>
    <t>Cannot climb</t>
  </si>
  <si>
    <t>Mlt: Free, health</t>
  </si>
  <si>
    <t>Custom</t>
  </si>
  <si>
    <t>25l</t>
  </si>
  <si>
    <t>Birds, crocodiles</t>
  </si>
  <si>
    <t>Littering reduced</t>
  </si>
  <si>
    <t>3 to 10</t>
  </si>
  <si>
    <t>Firewood logging, littering problem</t>
  </si>
  <si>
    <t>View</t>
  </si>
  <si>
    <t>Some trees felled, seasonal and yield uncertainty</t>
  </si>
  <si>
    <t>Mlt: wildlife, fruit</t>
  </si>
  <si>
    <t>Valley, school</t>
  </si>
  <si>
    <t>No, I'm old and lazy</t>
  </si>
  <si>
    <t>Mlt: unique, friends, free</t>
  </si>
  <si>
    <t>Yes, but may be problematic</t>
  </si>
  <si>
    <t>Should protect existing open spaces</t>
  </si>
  <si>
    <t>A few cut trees</t>
  </si>
  <si>
    <t>No, people will increase logging</t>
  </si>
  <si>
    <t>Residential areas, plantations</t>
  </si>
  <si>
    <t>Mlt: Act, memories</t>
  </si>
  <si>
    <t>Injuries</t>
  </si>
  <si>
    <t>Transformed to residential/roads</t>
  </si>
  <si>
    <t>Littering has increased, safety issues</t>
  </si>
  <si>
    <t>It was a forest, some trees were cut</t>
  </si>
  <si>
    <t>Moved, Can no longer find fruits</t>
  </si>
  <si>
    <t>Fuelwood, Water</t>
  </si>
  <si>
    <t>Irregular yield</t>
  </si>
  <si>
    <t>Working for water cut guava trees, else constant</t>
  </si>
  <si>
    <t>Highway, dam</t>
  </si>
  <si>
    <t>Snakes, ghost</t>
  </si>
  <si>
    <t>not too keen on having outsiders (non-residents of Port St Johns) foraging at their foraging grounds. “What would we eat if others came and picked our fruits? The level of poverty is high here, and fruits are very important [in mitigating food shortage]”'</t>
  </si>
  <si>
    <t>3 to 5 bags</t>
  </si>
  <si>
    <t>Fewer people</t>
  </si>
  <si>
    <t>Fresh gumtree plantation, to do with some project</t>
  </si>
  <si>
    <t>No, there isn't enough</t>
  </si>
  <si>
    <t>5l</t>
  </si>
  <si>
    <t>Houses built, rivers dry</t>
  </si>
  <si>
    <t>Swimming, Water</t>
  </si>
  <si>
    <t>Resume?</t>
  </si>
  <si>
    <t>Birds, butterflies, flowers, mammals, snakes</t>
  </si>
  <si>
    <t>Phoenix, Psidium, Syzygium Juice</t>
  </si>
  <si>
    <t>Strychnos Sweets, Strychnos curd, Phoenix and Sclerocarya wine</t>
  </si>
  <si>
    <t>Occasionally, spinach, fruits, last year</t>
  </si>
  <si>
    <t xml:space="preserve">Small guava for 10c, big guava 20c, large guava 50c, mncaka plastic bag R5. About R100 of sales a week. Sell thrice a month around her home as others don't pick, she goes door to door. </t>
  </si>
  <si>
    <t xml:space="preserve">The would sell 1 bag for 5 rand because they wanted to buy vetkoeks. </t>
  </si>
  <si>
    <t xml:space="preserve">20 bags once a week. </t>
  </si>
  <si>
    <t>Occasionally Syzygium</t>
  </si>
  <si>
    <t>Yes, Phoenix (bucketloads), Psidium, Syzygium as a child, three to four times a year</t>
  </si>
  <si>
    <t>50c/guava weekly, 3ya</t>
  </si>
  <si>
    <t>Occasionally children sell</t>
  </si>
  <si>
    <t>Occasionally at market</t>
  </si>
  <si>
    <t>A bagful of guavas for twenty to fifty rand. Sold granadillas and guavas for lunch money for school, on the weekends. As a child, market</t>
  </si>
  <si>
    <t>Granadilla, guava juice, popsicle, sold for 50c/p</t>
  </si>
  <si>
    <t>They were selling granadilla because it's an unusual fruit. 1 bag for 5 rand because they wanted to buy vetkoeks. 20 bags once a week. Makes granadilla and guava juice, and sells a popsicle packet for 50c.Last year, market</t>
  </si>
  <si>
    <t>Resp Code</t>
  </si>
  <si>
    <t>KDSK1</t>
  </si>
  <si>
    <t>KDSK2</t>
  </si>
  <si>
    <t>KDSK3</t>
  </si>
  <si>
    <t>KDSK4</t>
  </si>
  <si>
    <t>KDSK5</t>
  </si>
  <si>
    <t>DBCD1</t>
  </si>
  <si>
    <t>DBCD2</t>
  </si>
  <si>
    <t>DBCD3</t>
  </si>
  <si>
    <t>DBCD4</t>
  </si>
  <si>
    <t>DBIN1</t>
  </si>
  <si>
    <t>DBIN2</t>
  </si>
  <si>
    <t>DBIN3</t>
  </si>
  <si>
    <t>KDMM1</t>
  </si>
  <si>
    <t>KDMM2</t>
  </si>
  <si>
    <t>KDSK6</t>
  </si>
  <si>
    <t>UHEM1</t>
  </si>
  <si>
    <t>DBKD1</t>
  </si>
  <si>
    <t>KDMM3</t>
  </si>
  <si>
    <t>KDMM4</t>
  </si>
  <si>
    <t>KDSK7</t>
  </si>
  <si>
    <t>KDSK8</t>
  </si>
  <si>
    <t>KDSK9</t>
  </si>
  <si>
    <t>KDGH1</t>
  </si>
  <si>
    <t>KDGH2</t>
  </si>
  <si>
    <t>KDGH3</t>
  </si>
  <si>
    <t>MTMS1</t>
  </si>
  <si>
    <t>MTMS2</t>
  </si>
  <si>
    <t>MTMS3</t>
  </si>
  <si>
    <t>MTMS4</t>
  </si>
  <si>
    <t>MTMS5</t>
  </si>
  <si>
    <t>MTMS6</t>
  </si>
  <si>
    <t>MTKM1</t>
  </si>
  <si>
    <t>MTKM2</t>
  </si>
  <si>
    <t>MTKM3</t>
  </si>
  <si>
    <t>MTKM4</t>
  </si>
  <si>
    <t>MTKM5</t>
  </si>
  <si>
    <t>MTKM6</t>
  </si>
  <si>
    <t>MTKM7</t>
  </si>
  <si>
    <t>MTKM8</t>
  </si>
  <si>
    <t>MTRV1</t>
  </si>
  <si>
    <t>MTRV2</t>
  </si>
  <si>
    <t>MTCV1</t>
  </si>
  <si>
    <t>MTCV2</t>
  </si>
  <si>
    <t>MTCV3</t>
  </si>
  <si>
    <t>MTMS7</t>
  </si>
  <si>
    <t>UHBH1</t>
  </si>
  <si>
    <t>UHEM2</t>
  </si>
  <si>
    <t>UHEM3</t>
  </si>
  <si>
    <t>UHEM4</t>
  </si>
  <si>
    <t>UHEM5</t>
  </si>
  <si>
    <t>UHEM6</t>
  </si>
  <si>
    <t>UHEM7</t>
  </si>
  <si>
    <t>UHEM8</t>
  </si>
  <si>
    <t>UHEM9</t>
  </si>
  <si>
    <t>UHEM10</t>
  </si>
  <si>
    <t>KDBL1</t>
  </si>
  <si>
    <t>DBUL1</t>
  </si>
  <si>
    <t>DBUL2</t>
  </si>
  <si>
    <t>DBUL3</t>
  </si>
  <si>
    <t>DBUL4</t>
  </si>
  <si>
    <t>DBKM1</t>
  </si>
  <si>
    <t>DBKM2</t>
  </si>
  <si>
    <t>DBKM3</t>
  </si>
  <si>
    <t>DBKD2</t>
  </si>
  <si>
    <t>DBKD3</t>
  </si>
  <si>
    <t>DBKD4</t>
  </si>
  <si>
    <t>UHEM11</t>
  </si>
  <si>
    <t>UHEM12</t>
  </si>
  <si>
    <t>DBCD5</t>
  </si>
  <si>
    <t>UHEM13</t>
  </si>
  <si>
    <t>UHEM14</t>
  </si>
  <si>
    <t>UHEM15</t>
  </si>
  <si>
    <t>UHEM16</t>
  </si>
  <si>
    <t>UHEM17</t>
  </si>
  <si>
    <t>KDSK10</t>
  </si>
  <si>
    <t>KDMM5</t>
  </si>
  <si>
    <t>Coccinia sessilifolia
Psidium guajava
Mangifera indica
Rubus
Morus
Phoenix reclinata
Eugenia uniflora
Harpephyllum caffrum, Ficus, Hyphaene coriacea, Vangueria infausta, Ximenia caffra, Syzygium</t>
  </si>
  <si>
    <t>For people doing business
It's a good thing it's better than going stealing but better if you plant your own trees and if you pick the fruits from there
From the bush no because sometimes they are making a living but they mustn't abuse the trees now they mustn't just pick all the fruits and nothing is left on the trees
For tourism
I think it's a good idea for the locals because there is a Shaka monument. The tourists used to come to see the monument
I'll be interested because it's earning a living or something and doing something that you like it's not like you doing it for money or something</t>
  </si>
  <si>
    <t>Englerophytum natalense, Harpephyllum caffrum, Morus/Rubus spp., Passiflora edulis, Phoenix reclinata, Psidium guajava, Rhoicissus tridentata, and Syzygium cumini</t>
  </si>
  <si>
    <t>KDMM6</t>
  </si>
  <si>
    <t>DBUL5</t>
  </si>
  <si>
    <t>DBUL6</t>
  </si>
  <si>
    <t>DBUL7</t>
  </si>
  <si>
    <t>Mallika Sardeshpande</t>
  </si>
  <si>
    <t>PhD Candidate, Department of Environmental Science</t>
  </si>
  <si>
    <t>Rhodes University, Makhanda</t>
  </si>
  <si>
    <t>g17s8926@campus.ru.ac.za</t>
  </si>
  <si>
    <t>Data collected between 02 October 2018 and 25 November 2018</t>
  </si>
  <si>
    <t>Collection and transcription:</t>
  </si>
  <si>
    <t>Age Class</t>
  </si>
  <si>
    <t>21-30</t>
  </si>
  <si>
    <t>71-80</t>
  </si>
  <si>
    <t>61-70</t>
  </si>
  <si>
    <t>41-50</t>
  </si>
  <si>
    <t>31-40</t>
  </si>
  <si>
    <t>11-20</t>
  </si>
  <si>
    <t>51-60</t>
  </si>
  <si>
    <t>0-10</t>
  </si>
  <si>
    <t>unanswered</t>
  </si>
  <si>
    <t>Knowledge transfer</t>
  </si>
  <si>
    <t>Children, friends, siblings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</si>
</sst>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i/>
      <sz val="11"/>
      <color theme="1"/>
      <name val="Calibri"/>
      <family val="2"/>
      <scheme val="minor"/>
    </font>
    <font>
      <i/>
      <u/>
      <sz val="11"/>
      <color theme="1"/>
      <name val="Calibri"/>
      <family val="2"/>
      <scheme val="minor"/>
    </font>
    <font>
      <b/>
      <sz val="11"/>
      <color theme="1"/>
      <name val="Calibri"/>
      <family val="2"/>
      <scheme val="minor"/>
    </font>
    <font>
      <sz val="11"/>
      <name val="Calibri"/>
      <family val="2"/>
      <scheme val="minor"/>
    </font>
    <font>
      <sz val="9"/>
      <color indexed="81"/>
      <name val="Tahoma"/>
      <family val="2"/>
    </font>
    <font>
      <b/>
      <sz val="9"/>
      <color indexed="81"/>
      <name val="Tahoma"/>
      <family val="2"/>
    </font>
    <font>
      <b/>
      <sz val="9"/>
      <color rgb="FF000000"/>
      <name val="Tahoma"/>
      <family val="2"/>
    </font>
    <font>
      <sz val="9"/>
      <color rgb="FF000000"/>
      <name val="Tahoma"/>
      <family val="2"/>
    </font>
    <font>
      <u/>
      <sz val="11"/>
      <color rgb="FF0000FF"/>
      <name val="Calibri"/>
      <family val="2"/>
      <scheme val="minor"/>
    </font>
    <font>
      <sz val="8"/>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9" fillId="0" borderId="0" xfId="0" applyFont="1"/>
    <xf numFmtId="0" fontId="0" fillId="0" borderId="0" xfId="0" applyFill="1"/>
    <xf numFmtId="0" fontId="3" fillId="0" borderId="0" xfId="0" applyFont="1" applyFill="1"/>
    <xf numFmtId="0" fontId="11" fillId="0" borderId="0" xfId="0" applyFont="1" applyFill="1"/>
    <xf numFmtId="0" fontId="4" fillId="0" borderId="0" xfId="0" applyFont="1" applyFill="1"/>
    <xf numFmtId="49" fontId="0" fillId="0" borderId="0" xfId="0" applyNumberFormat="1" applyFill="1"/>
    <xf numFmtId="17" fontId="4" fillId="0" borderId="0" xfId="0" applyNumberFormat="1" applyFont="1" applyFill="1"/>
    <xf numFmtId="16" fontId="0" fillId="0" borderId="0" xfId="0" applyNumberFormat="1" applyFill="1"/>
    <xf numFmtId="49" fontId="11" fillId="0" borderId="0" xfId="0" applyNumberFormat="1" applyFont="1" applyFill="1"/>
    <xf numFmtId="17" fontId="0" fillId="0" borderId="0" xfId="0" applyNumberFormat="1" applyFill="1"/>
    <xf numFmtId="0" fontId="1" fillId="0" borderId="0" xfId="0" applyFont="1" applyFill="1"/>
    <xf numFmtId="0" fontId="0" fillId="0" borderId="0" xfId="0" applyFill="1" applyAlignment="1">
      <alignment vertical="center"/>
    </xf>
    <xf numFmtId="0" fontId="1" fillId="0" borderId="0" xfId="0" applyFont="1" applyFill="1" applyAlignment="1">
      <alignment vertical="center"/>
    </xf>
    <xf numFmtId="0" fontId="2" fillId="0" borderId="0" xfId="0" applyFont="1" applyFill="1" applyAlignment="1">
      <alignment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5C0D0-1DCB-1040-A810-EE53AAD8EAE7}">
  <dimension ref="A1:A7"/>
  <sheetViews>
    <sheetView workbookViewId="0">
      <selection activeCell="C11" sqref="C11"/>
    </sheetView>
  </sheetViews>
  <sheetFormatPr baseColWidth="10" defaultRowHeight="15" x14ac:dyDescent="0.2"/>
  <cols>
    <col min="1" max="1" width="12.1640625" bestFit="1" customWidth="1"/>
  </cols>
  <sheetData>
    <row r="1" spans="1:1" x14ac:dyDescent="0.2">
      <c r="A1" t="s">
        <v>1392</v>
      </c>
    </row>
    <row r="2" spans="1:1" x14ac:dyDescent="0.2">
      <c r="A2" t="s">
        <v>1393</v>
      </c>
    </row>
    <row r="3" spans="1:1" x14ac:dyDescent="0.2">
      <c r="A3" t="s">
        <v>1388</v>
      </c>
    </row>
    <row r="4" spans="1:1" x14ac:dyDescent="0.2">
      <c r="A4" t="s">
        <v>1389</v>
      </c>
    </row>
    <row r="5" spans="1:1" x14ac:dyDescent="0.2">
      <c r="A5" t="s">
        <v>1390</v>
      </c>
    </row>
    <row r="6" spans="1:1" x14ac:dyDescent="0.2">
      <c r="A6" s="1" t="s">
        <v>1391</v>
      </c>
    </row>
    <row r="7" spans="1:1" x14ac:dyDescent="0.2">
      <c r="A7">
        <v>27769177243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R89"/>
  <sheetViews>
    <sheetView tabSelected="1" topLeftCell="AK1" workbookViewId="0">
      <pane ySplit="1" topLeftCell="A2" activePane="bottomLeft" state="frozen"/>
      <selection activeCell="AE1" sqref="AE1"/>
      <selection pane="bottomLeft" activeCell="X20" sqref="X20"/>
    </sheetView>
  </sheetViews>
  <sheetFormatPr baseColWidth="10" defaultColWidth="9.1640625" defaultRowHeight="15" x14ac:dyDescent="0.2"/>
  <cols>
    <col min="1" max="1" width="7.33203125" style="2" customWidth="1"/>
    <col min="2" max="2" width="8.33203125" style="2" customWidth="1"/>
    <col min="3" max="3" width="4.5" style="2" customWidth="1"/>
    <col min="4" max="4" width="5.5" style="2" customWidth="1"/>
    <col min="5" max="5" width="5.6640625" style="2" customWidth="1"/>
    <col min="6" max="6" width="4.5" style="2" customWidth="1"/>
    <col min="7" max="7" width="6.1640625" style="2" customWidth="1"/>
    <col min="8" max="8" width="3.83203125" style="2" customWidth="1"/>
    <col min="9" max="9" width="4.5" style="2" customWidth="1"/>
    <col min="10" max="10" width="3.1640625" style="2" customWidth="1"/>
    <col min="11" max="11" width="4" style="2" customWidth="1"/>
    <col min="12" max="12" width="3.6640625" style="2" customWidth="1"/>
    <col min="13" max="13" width="3" style="2" customWidth="1"/>
    <col min="14" max="14" width="4" style="2" customWidth="1"/>
    <col min="15" max="15" width="3.33203125" style="2" customWidth="1"/>
    <col min="16" max="16" width="3.6640625" style="2" customWidth="1"/>
    <col min="17" max="17" width="4.1640625" style="2" customWidth="1"/>
    <col min="18" max="18" width="3.33203125" style="2" customWidth="1"/>
    <col min="19" max="19" width="7" style="2" customWidth="1"/>
    <col min="20" max="20" width="7.33203125" style="2" customWidth="1"/>
    <col min="21" max="21" width="6.6640625" style="2" customWidth="1"/>
    <col min="22" max="22" width="8.5" style="2" customWidth="1"/>
    <col min="23" max="23" width="4.1640625" style="2" customWidth="1"/>
    <col min="24" max="24" width="5.5" style="2" customWidth="1"/>
    <col min="25" max="25" width="6.5" style="2" customWidth="1"/>
    <col min="26" max="26" width="7.5" style="2" customWidth="1"/>
    <col min="27" max="27" width="9" style="2" customWidth="1"/>
    <col min="28" max="28" width="7.33203125" style="2" customWidth="1"/>
    <col min="29" max="29" width="6" style="2" customWidth="1"/>
    <col min="30" max="30" width="5.5" style="2" customWidth="1"/>
    <col min="31" max="31" width="5.33203125" style="2" customWidth="1"/>
    <col min="32" max="33" width="6.33203125" style="2" customWidth="1"/>
    <col min="34" max="34" width="5.33203125" style="2" customWidth="1"/>
    <col min="35" max="36" width="8.83203125" style="2" customWidth="1"/>
    <col min="37" max="37" width="5" style="2" customWidth="1"/>
    <col min="38" max="38" width="5.1640625" style="2" customWidth="1"/>
    <col min="39" max="39" width="6.5" style="2" customWidth="1"/>
    <col min="40" max="40" width="7.1640625" style="2" customWidth="1"/>
    <col min="41" max="41" width="8.5" style="2" customWidth="1"/>
    <col min="42" max="42" width="5.5" style="2" customWidth="1"/>
    <col min="43" max="43" width="7.5" style="2" customWidth="1"/>
    <col min="44" max="45" width="6.5" style="2" customWidth="1"/>
    <col min="46" max="46" width="5.83203125" style="2" customWidth="1"/>
    <col min="47" max="47" width="9.1640625" style="2"/>
    <col min="48" max="49" width="6.5" style="2" customWidth="1"/>
    <col min="50" max="50" width="5.83203125" style="2" customWidth="1"/>
    <col min="51" max="51" width="8.5" style="2" customWidth="1"/>
    <col min="52" max="52" width="9.1640625" style="2"/>
    <col min="53" max="53" width="8" style="2" customWidth="1"/>
    <col min="54" max="54" width="6.1640625" style="2" customWidth="1"/>
    <col min="55" max="58" width="6.6640625" style="2" customWidth="1"/>
    <col min="59" max="59" width="12.33203125" style="2" customWidth="1"/>
    <col min="60" max="60" width="5.5" style="2" customWidth="1"/>
    <col min="61" max="61" width="14" style="2" customWidth="1"/>
    <col min="62" max="62" width="4.6640625" style="2" customWidth="1"/>
    <col min="63" max="63" width="5.83203125" style="2" customWidth="1"/>
    <col min="64" max="64" width="5.1640625" style="2" customWidth="1"/>
    <col min="65" max="65" width="12.5" style="2" customWidth="1"/>
    <col min="66" max="66" width="9.1640625" style="2" customWidth="1"/>
    <col min="67" max="16384" width="9.1640625" style="2"/>
  </cols>
  <sheetData>
    <row r="1" spans="1:70" x14ac:dyDescent="0.2">
      <c r="A1" s="2" t="s">
        <v>0</v>
      </c>
      <c r="B1" s="2" t="s">
        <v>1304</v>
      </c>
      <c r="C1" s="2" t="s">
        <v>1394</v>
      </c>
      <c r="D1" s="2" t="s">
        <v>1</v>
      </c>
      <c r="E1" s="2" t="s">
        <v>2</v>
      </c>
      <c r="F1" s="2" t="s">
        <v>3</v>
      </c>
      <c r="G1" s="2" t="s">
        <v>4</v>
      </c>
      <c r="H1" s="2" t="s">
        <v>48</v>
      </c>
      <c r="I1" s="2" t="s">
        <v>192</v>
      </c>
      <c r="J1" s="2" t="s">
        <v>1030</v>
      </c>
      <c r="K1" s="2" t="s">
        <v>1031</v>
      </c>
      <c r="L1" s="2" t="s">
        <v>1032</v>
      </c>
      <c r="M1" s="2" t="s">
        <v>1033</v>
      </c>
      <c r="N1" s="2" t="s">
        <v>1034</v>
      </c>
      <c r="O1" s="2" t="s">
        <v>1035</v>
      </c>
      <c r="P1" s="2" t="s">
        <v>1036</v>
      </c>
      <c r="Q1" s="2" t="s">
        <v>1037</v>
      </c>
      <c r="R1" s="3" t="s">
        <v>984</v>
      </c>
      <c r="S1" s="2" t="s">
        <v>5</v>
      </c>
      <c r="T1" s="3" t="s">
        <v>1000</v>
      </c>
      <c r="U1" s="3" t="s">
        <v>1001</v>
      </c>
      <c r="V1" s="2" t="s">
        <v>6</v>
      </c>
      <c r="W1" s="3" t="s">
        <v>1017</v>
      </c>
      <c r="X1" s="2" t="s">
        <v>7</v>
      </c>
      <c r="Y1" s="3" t="s">
        <v>1018</v>
      </c>
      <c r="Z1" s="3" t="s">
        <v>1021</v>
      </c>
      <c r="AA1" s="2" t="s">
        <v>8</v>
      </c>
      <c r="AB1" s="3" t="s">
        <v>1039</v>
      </c>
      <c r="AC1" s="3" t="s">
        <v>9</v>
      </c>
      <c r="AD1" s="2" t="s">
        <v>10</v>
      </c>
      <c r="AE1" s="3" t="s">
        <v>1046</v>
      </c>
      <c r="AF1" s="2" t="s">
        <v>11</v>
      </c>
      <c r="AG1" s="3" t="s">
        <v>1059</v>
      </c>
      <c r="AH1" s="3" t="s">
        <v>1060</v>
      </c>
      <c r="AI1" s="3" t="s">
        <v>1090</v>
      </c>
      <c r="AJ1" s="3" t="s">
        <v>1092</v>
      </c>
      <c r="AK1" s="2" t="s">
        <v>12</v>
      </c>
      <c r="AL1" s="3" t="s">
        <v>1094</v>
      </c>
      <c r="AM1" s="2" t="s">
        <v>13</v>
      </c>
      <c r="AN1" s="3" t="s">
        <v>1404</v>
      </c>
      <c r="AO1" s="3" t="s">
        <v>1173</v>
      </c>
      <c r="AP1" s="2" t="s">
        <v>14</v>
      </c>
      <c r="AQ1" s="3" t="s">
        <v>1095</v>
      </c>
      <c r="AR1" s="2" t="s">
        <v>15</v>
      </c>
      <c r="AS1" s="3" t="s">
        <v>1154</v>
      </c>
      <c r="AT1" s="2" t="s">
        <v>16</v>
      </c>
      <c r="AU1" s="3" t="s">
        <v>1288</v>
      </c>
      <c r="AV1" s="2" t="s">
        <v>17</v>
      </c>
      <c r="AW1" s="3" t="s">
        <v>1168</v>
      </c>
      <c r="AX1" s="3" t="s">
        <v>1093</v>
      </c>
      <c r="AY1" s="2" t="s">
        <v>18</v>
      </c>
      <c r="AZ1" s="3" t="s">
        <v>1176</v>
      </c>
      <c r="BA1" s="3" t="s">
        <v>1165</v>
      </c>
      <c r="BB1" s="3" t="s">
        <v>1169</v>
      </c>
      <c r="BC1" s="2" t="s">
        <v>19</v>
      </c>
      <c r="BD1" s="3" t="s">
        <v>19</v>
      </c>
      <c r="BE1" s="2" t="s">
        <v>20</v>
      </c>
      <c r="BF1" s="3" t="s">
        <v>20</v>
      </c>
      <c r="BG1" s="2" t="s">
        <v>21</v>
      </c>
      <c r="BH1" s="3" t="s">
        <v>1170</v>
      </c>
      <c r="BI1" s="2" t="s">
        <v>22</v>
      </c>
      <c r="BJ1" s="3" t="s">
        <v>1171</v>
      </c>
      <c r="BK1" s="3" t="s">
        <v>1172</v>
      </c>
      <c r="BL1" s="3" t="s">
        <v>1175</v>
      </c>
      <c r="BM1" s="2" t="s">
        <v>23</v>
      </c>
      <c r="BN1" s="2" t="s">
        <v>24</v>
      </c>
      <c r="BO1" s="3" t="s">
        <v>1061</v>
      </c>
      <c r="BP1" s="3" t="s">
        <v>1062</v>
      </c>
      <c r="BQ1" s="2" t="s">
        <v>23</v>
      </c>
      <c r="BR1" s="2" t="s">
        <v>984</v>
      </c>
    </row>
    <row r="2" spans="1:70" x14ac:dyDescent="0.2">
      <c r="A2" s="2" t="s">
        <v>25</v>
      </c>
      <c r="B2" s="2" t="s">
        <v>1305</v>
      </c>
      <c r="C2" s="2" t="s">
        <v>1395</v>
      </c>
      <c r="D2" s="2">
        <v>10</v>
      </c>
      <c r="E2" s="2">
        <v>4</v>
      </c>
      <c r="F2" s="2">
        <v>4</v>
      </c>
      <c r="G2" s="2" t="s">
        <v>26</v>
      </c>
      <c r="H2" s="2">
        <v>1</v>
      </c>
      <c r="I2" s="2">
        <v>0</v>
      </c>
      <c r="J2" s="2">
        <v>0</v>
      </c>
      <c r="K2" s="2">
        <v>1</v>
      </c>
      <c r="L2" s="2">
        <v>0</v>
      </c>
      <c r="M2" s="2">
        <v>1</v>
      </c>
      <c r="N2" s="2">
        <v>0</v>
      </c>
      <c r="O2" s="2">
        <v>0</v>
      </c>
      <c r="P2" s="2">
        <v>0</v>
      </c>
      <c r="Q2" s="2">
        <v>0</v>
      </c>
      <c r="R2" s="2">
        <f t="shared" ref="R2:R33" si="0">SUM(H2:Q2)</f>
        <v>3</v>
      </c>
      <c r="S2" s="2" t="s">
        <v>27</v>
      </c>
      <c r="T2" s="2" t="s">
        <v>985</v>
      </c>
      <c r="U2" s="2" t="s">
        <v>1403</v>
      </c>
      <c r="V2" s="2" t="s">
        <v>943</v>
      </c>
      <c r="W2" s="2">
        <v>1</v>
      </c>
      <c r="X2" s="4" t="s">
        <v>1403</v>
      </c>
      <c r="Y2" s="2" t="s">
        <v>42</v>
      </c>
      <c r="Z2" s="4" t="s">
        <v>1403</v>
      </c>
      <c r="AA2" s="2" t="s">
        <v>28</v>
      </c>
      <c r="AB2" s="2" t="s">
        <v>1040</v>
      </c>
      <c r="AC2" s="2" t="s">
        <v>28</v>
      </c>
      <c r="AD2" s="4" t="s">
        <v>1403</v>
      </c>
      <c r="AE2" s="2" t="s">
        <v>1114</v>
      </c>
      <c r="AF2" s="2" t="s">
        <v>29</v>
      </c>
      <c r="AG2" s="2" t="s">
        <v>588</v>
      </c>
      <c r="AH2" s="2">
        <v>5</v>
      </c>
      <c r="AI2" s="2" t="s">
        <v>1091</v>
      </c>
      <c r="AJ2" s="2">
        <v>10</v>
      </c>
      <c r="AK2" s="2" t="s">
        <v>30</v>
      </c>
      <c r="AL2" s="2" t="s">
        <v>1104</v>
      </c>
      <c r="AM2" s="2" t="s">
        <v>31</v>
      </c>
      <c r="AN2" s="2" t="s">
        <v>31</v>
      </c>
      <c r="AO2" s="2" t="s">
        <v>31</v>
      </c>
      <c r="AP2" s="2" t="s">
        <v>32</v>
      </c>
      <c r="AQ2" s="2" t="s">
        <v>1096</v>
      </c>
      <c r="AR2" s="2" t="s">
        <v>1403</v>
      </c>
      <c r="AS2" s="2" t="s">
        <v>1403</v>
      </c>
      <c r="AT2" s="2" t="s">
        <v>1403</v>
      </c>
      <c r="AU2" s="2" t="s">
        <v>709</v>
      </c>
      <c r="AV2" s="2" t="s">
        <v>28</v>
      </c>
      <c r="AW2" s="2" t="s">
        <v>28</v>
      </c>
      <c r="AX2" s="2" t="s">
        <v>28</v>
      </c>
      <c r="AY2" s="2" t="s">
        <v>33</v>
      </c>
      <c r="AZ2" s="2" t="s">
        <v>1403</v>
      </c>
      <c r="BA2" s="2" t="s">
        <v>1177</v>
      </c>
      <c r="BB2" s="2" t="s">
        <v>709</v>
      </c>
      <c r="BC2" s="2" t="s">
        <v>34</v>
      </c>
      <c r="BD2" s="2" t="s">
        <v>1183</v>
      </c>
      <c r="BE2" s="2" t="s">
        <v>28</v>
      </c>
      <c r="BF2" s="2" t="s">
        <v>1403</v>
      </c>
      <c r="BG2" s="2" t="s">
        <v>35</v>
      </c>
      <c r="BH2" s="2" t="s">
        <v>709</v>
      </c>
      <c r="BI2" s="2" t="s">
        <v>36</v>
      </c>
      <c r="BJ2" s="2" t="s">
        <v>28</v>
      </c>
      <c r="BK2" s="2" t="s">
        <v>709</v>
      </c>
      <c r="BL2" s="2" t="s">
        <v>709</v>
      </c>
      <c r="BM2" s="2" t="s">
        <v>37</v>
      </c>
      <c r="BN2" s="2" t="s">
        <v>38</v>
      </c>
      <c r="BO2" s="2" t="s">
        <v>1403</v>
      </c>
      <c r="BP2" s="2" t="s">
        <v>1403</v>
      </c>
      <c r="BQ2" s="2" t="s">
        <v>37</v>
      </c>
      <c r="BR2" s="2">
        <v>8</v>
      </c>
    </row>
    <row r="3" spans="1:70" x14ac:dyDescent="0.2">
      <c r="A3" s="2" t="s">
        <v>25</v>
      </c>
      <c r="B3" s="2" t="s">
        <v>1306</v>
      </c>
      <c r="C3" s="2" t="s">
        <v>1396</v>
      </c>
      <c r="D3" s="2">
        <v>6</v>
      </c>
      <c r="E3" s="2">
        <v>5</v>
      </c>
      <c r="F3" s="2">
        <v>0</v>
      </c>
      <c r="G3" s="2" t="s">
        <v>39</v>
      </c>
      <c r="H3" s="2">
        <v>1</v>
      </c>
      <c r="I3" s="2">
        <v>5</v>
      </c>
      <c r="J3" s="2">
        <v>0</v>
      </c>
      <c r="K3" s="2">
        <v>0</v>
      </c>
      <c r="L3" s="2">
        <v>0</v>
      </c>
      <c r="M3" s="2">
        <v>0</v>
      </c>
      <c r="N3" s="2">
        <v>0</v>
      </c>
      <c r="O3" s="2">
        <v>0</v>
      </c>
      <c r="P3" s="2">
        <v>0</v>
      </c>
      <c r="Q3" s="2">
        <v>0</v>
      </c>
      <c r="R3" s="2">
        <f t="shared" si="0"/>
        <v>6</v>
      </c>
      <c r="S3" s="2" t="s">
        <v>40</v>
      </c>
      <c r="T3" s="2" t="s">
        <v>992</v>
      </c>
      <c r="U3" s="2" t="s">
        <v>1002</v>
      </c>
      <c r="V3" s="2" t="s">
        <v>41</v>
      </c>
      <c r="W3" s="2">
        <v>1</v>
      </c>
      <c r="X3" s="2" t="s">
        <v>42</v>
      </c>
      <c r="Y3" s="2" t="s">
        <v>42</v>
      </c>
      <c r="Z3" s="4" t="s">
        <v>1403</v>
      </c>
      <c r="AA3" s="4" t="s">
        <v>1403</v>
      </c>
      <c r="AB3" s="2" t="s">
        <v>1040</v>
      </c>
      <c r="AC3" s="4" t="s">
        <v>1403</v>
      </c>
      <c r="AD3" s="5" t="s">
        <v>43</v>
      </c>
      <c r="AE3" s="2" t="s">
        <v>1113</v>
      </c>
      <c r="AF3" s="2" t="s">
        <v>1403</v>
      </c>
      <c r="AG3" s="2" t="s">
        <v>588</v>
      </c>
      <c r="AH3" s="2">
        <v>5</v>
      </c>
      <c r="AI3" s="2" t="s">
        <v>1023</v>
      </c>
      <c r="AJ3" s="4" t="s">
        <v>1403</v>
      </c>
      <c r="AK3" s="5" t="s">
        <v>44</v>
      </c>
      <c r="AL3" s="5" t="s">
        <v>1104</v>
      </c>
      <c r="AM3" s="4" t="s">
        <v>1403</v>
      </c>
      <c r="AN3" s="4" t="s">
        <v>1403</v>
      </c>
      <c r="AO3" s="2" t="s">
        <v>865</v>
      </c>
      <c r="AP3" s="2" t="s">
        <v>45</v>
      </c>
      <c r="AQ3" s="2" t="s">
        <v>1097</v>
      </c>
      <c r="AR3" s="2" t="s">
        <v>1403</v>
      </c>
      <c r="AS3" s="2" t="s">
        <v>1403</v>
      </c>
      <c r="AT3" s="2" t="s">
        <v>1403</v>
      </c>
      <c r="AU3" s="2" t="s">
        <v>1403</v>
      </c>
      <c r="AV3" s="2" t="s">
        <v>46</v>
      </c>
      <c r="AW3" s="2" t="s">
        <v>28</v>
      </c>
      <c r="AX3" s="2" t="s">
        <v>1098</v>
      </c>
      <c r="AY3" s="2" t="s">
        <v>1403</v>
      </c>
      <c r="AZ3" s="2" t="s">
        <v>1178</v>
      </c>
      <c r="BA3" s="2" t="s">
        <v>1166</v>
      </c>
      <c r="BB3" s="2" t="s">
        <v>1403</v>
      </c>
      <c r="BC3" s="2" t="s">
        <v>1403</v>
      </c>
      <c r="BD3" s="2" t="s">
        <v>1403</v>
      </c>
      <c r="BE3" s="2" t="s">
        <v>1403</v>
      </c>
      <c r="BF3" s="2" t="s">
        <v>1403</v>
      </c>
      <c r="BG3" s="2" t="s">
        <v>47</v>
      </c>
      <c r="BH3" s="2" t="s">
        <v>709</v>
      </c>
      <c r="BI3" s="5" t="s">
        <v>1167</v>
      </c>
      <c r="BJ3" s="5" t="s">
        <v>1403</v>
      </c>
      <c r="BK3" s="5" t="s">
        <v>1403</v>
      </c>
      <c r="BL3" s="5" t="s">
        <v>709</v>
      </c>
      <c r="BM3" s="2" t="s">
        <v>1381</v>
      </c>
      <c r="BN3" s="5" t="s">
        <v>1174</v>
      </c>
      <c r="BO3" s="5" t="s">
        <v>1403</v>
      </c>
      <c r="BP3" s="5" t="s">
        <v>1403</v>
      </c>
      <c r="BQ3" s="2" t="s">
        <v>1381</v>
      </c>
      <c r="BR3" s="2">
        <v>11</v>
      </c>
    </row>
    <row r="4" spans="1:70" x14ac:dyDescent="0.2">
      <c r="A4" s="2" t="s">
        <v>25</v>
      </c>
      <c r="B4" s="2" t="s">
        <v>1307</v>
      </c>
      <c r="C4" s="6" t="s">
        <v>1400</v>
      </c>
      <c r="D4" s="2">
        <v>6</v>
      </c>
      <c r="E4" s="2">
        <v>1</v>
      </c>
      <c r="F4" s="2">
        <v>3</v>
      </c>
      <c r="G4" s="2" t="s">
        <v>48</v>
      </c>
      <c r="H4" s="2">
        <v>1</v>
      </c>
      <c r="I4" s="2">
        <v>0</v>
      </c>
      <c r="J4" s="2">
        <v>0</v>
      </c>
      <c r="K4" s="2">
        <v>0</v>
      </c>
      <c r="L4" s="2">
        <v>0</v>
      </c>
      <c r="M4" s="2">
        <v>0</v>
      </c>
      <c r="N4" s="2">
        <v>0</v>
      </c>
      <c r="O4" s="2">
        <v>0</v>
      </c>
      <c r="P4" s="2">
        <v>0</v>
      </c>
      <c r="Q4" s="2">
        <v>0</v>
      </c>
      <c r="R4" s="2">
        <f t="shared" si="0"/>
        <v>1</v>
      </c>
      <c r="S4" s="2" t="s">
        <v>49</v>
      </c>
      <c r="T4" s="2" t="s">
        <v>1181</v>
      </c>
      <c r="U4" s="2" t="s">
        <v>1013</v>
      </c>
      <c r="V4" s="2" t="s">
        <v>50</v>
      </c>
      <c r="W4" s="2">
        <v>5</v>
      </c>
      <c r="X4" s="2" t="s">
        <v>51</v>
      </c>
      <c r="Y4" s="2" t="s">
        <v>42</v>
      </c>
      <c r="Z4" s="2" t="s">
        <v>1002</v>
      </c>
      <c r="AA4" s="2" t="s">
        <v>52</v>
      </c>
      <c r="AB4" s="2" t="s">
        <v>1040</v>
      </c>
      <c r="AC4" s="2" t="s">
        <v>28</v>
      </c>
      <c r="AD4" s="2" t="s">
        <v>53</v>
      </c>
      <c r="AE4" s="2" t="s">
        <v>637</v>
      </c>
      <c r="AF4" s="2" t="s">
        <v>54</v>
      </c>
      <c r="AG4" s="2" t="s">
        <v>1051</v>
      </c>
      <c r="AH4" s="2">
        <v>300</v>
      </c>
      <c r="AI4" s="2" t="s">
        <v>1099</v>
      </c>
      <c r="AJ4" s="4" t="s">
        <v>1403</v>
      </c>
      <c r="AK4" s="2" t="s">
        <v>55</v>
      </c>
      <c r="AL4" s="2" t="s">
        <v>1100</v>
      </c>
      <c r="AM4" s="2" t="s">
        <v>31</v>
      </c>
      <c r="AN4" s="4" t="s">
        <v>1403</v>
      </c>
      <c r="AO4" s="2" t="s">
        <v>31</v>
      </c>
      <c r="AP4" s="2" t="s">
        <v>56</v>
      </c>
      <c r="AQ4" s="2" t="s">
        <v>1097</v>
      </c>
      <c r="AR4" s="2" t="s">
        <v>1403</v>
      </c>
      <c r="AS4" s="2" t="s">
        <v>1403</v>
      </c>
      <c r="AT4" s="2" t="s">
        <v>1403</v>
      </c>
      <c r="AU4" s="2" t="s">
        <v>1403</v>
      </c>
      <c r="AV4" s="2" t="s">
        <v>57</v>
      </c>
      <c r="AW4" s="2" t="s">
        <v>28</v>
      </c>
      <c r="AX4" s="2" t="s">
        <v>28</v>
      </c>
      <c r="AY4" s="2" t="s">
        <v>58</v>
      </c>
      <c r="AZ4" s="2" t="s">
        <v>101</v>
      </c>
      <c r="BA4" s="2" t="s">
        <v>1182</v>
      </c>
      <c r="BB4" s="2" t="s">
        <v>709</v>
      </c>
      <c r="BC4" s="2" t="s">
        <v>1403</v>
      </c>
      <c r="BD4" s="2" t="s">
        <v>1403</v>
      </c>
      <c r="BE4" s="2" t="s">
        <v>1403</v>
      </c>
      <c r="BF4" s="2" t="s">
        <v>1403</v>
      </c>
      <c r="BG4" s="2" t="s">
        <v>59</v>
      </c>
      <c r="BH4" s="2" t="s">
        <v>709</v>
      </c>
      <c r="BI4" s="2" t="s">
        <v>60</v>
      </c>
      <c r="BJ4" s="2" t="s">
        <v>1180</v>
      </c>
      <c r="BK4" s="2" t="s">
        <v>1179</v>
      </c>
      <c r="BL4" s="2" t="s">
        <v>1403</v>
      </c>
      <c r="BM4" s="2" t="s">
        <v>61</v>
      </c>
      <c r="BN4" s="2" t="s">
        <v>1403</v>
      </c>
      <c r="BO4" s="2" t="s">
        <v>1403</v>
      </c>
      <c r="BP4" s="2" t="s">
        <v>1403</v>
      </c>
      <c r="BQ4" s="2" t="s">
        <v>61</v>
      </c>
      <c r="BR4" s="2">
        <v>6</v>
      </c>
    </row>
    <row r="5" spans="1:70" x14ac:dyDescent="0.2">
      <c r="A5" s="2" t="s">
        <v>25</v>
      </c>
      <c r="B5" s="2" t="s">
        <v>1308</v>
      </c>
      <c r="C5" s="2" t="s">
        <v>1397</v>
      </c>
      <c r="D5" s="2">
        <v>9</v>
      </c>
      <c r="E5" s="2">
        <v>5</v>
      </c>
      <c r="F5" s="2">
        <v>0</v>
      </c>
      <c r="G5" s="2" t="s">
        <v>63</v>
      </c>
      <c r="H5" s="2">
        <v>1</v>
      </c>
      <c r="I5" s="2">
        <v>5</v>
      </c>
      <c r="J5" s="2">
        <v>0</v>
      </c>
      <c r="K5" s="2">
        <v>0</v>
      </c>
      <c r="L5" s="2">
        <v>0</v>
      </c>
      <c r="M5" s="2">
        <v>1</v>
      </c>
      <c r="N5" s="2">
        <v>0</v>
      </c>
      <c r="O5" s="2">
        <v>0</v>
      </c>
      <c r="P5" s="2">
        <v>0</v>
      </c>
      <c r="Q5" s="2">
        <v>0</v>
      </c>
      <c r="R5" s="2">
        <f t="shared" si="0"/>
        <v>7</v>
      </c>
      <c r="S5" s="5" t="s">
        <v>64</v>
      </c>
      <c r="T5" s="2" t="s">
        <v>991</v>
      </c>
      <c r="U5" s="2" t="s">
        <v>1003</v>
      </c>
      <c r="V5" s="2" t="s">
        <v>65</v>
      </c>
      <c r="W5" s="2">
        <v>20</v>
      </c>
      <c r="X5" s="2" t="s">
        <v>66</v>
      </c>
      <c r="Y5" s="2" t="s">
        <v>1019</v>
      </c>
      <c r="Z5" s="2" t="s">
        <v>1022</v>
      </c>
      <c r="AA5" s="2" t="s">
        <v>67</v>
      </c>
      <c r="AB5" s="2" t="s">
        <v>1041</v>
      </c>
      <c r="AC5" s="2" t="s">
        <v>68</v>
      </c>
      <c r="AD5" s="2" t="s">
        <v>69</v>
      </c>
      <c r="AE5" s="2" t="s">
        <v>1102</v>
      </c>
      <c r="AF5" s="5" t="s">
        <v>70</v>
      </c>
      <c r="AG5" s="5" t="s">
        <v>1052</v>
      </c>
      <c r="AH5" s="5">
        <v>60</v>
      </c>
      <c r="AI5" s="5" t="s">
        <v>1099</v>
      </c>
      <c r="AJ5" s="7" t="s">
        <v>1103</v>
      </c>
      <c r="AK5" s="4" t="s">
        <v>1403</v>
      </c>
      <c r="AL5" s="5" t="s">
        <v>1104</v>
      </c>
      <c r="AM5" s="2" t="s">
        <v>71</v>
      </c>
      <c r="AN5" s="4" t="s">
        <v>1403</v>
      </c>
      <c r="AO5" s="2" t="s">
        <v>857</v>
      </c>
      <c r="AP5" s="2" t="s">
        <v>72</v>
      </c>
      <c r="AQ5" s="2" t="s">
        <v>1097</v>
      </c>
      <c r="AR5" s="2" t="s">
        <v>1403</v>
      </c>
      <c r="AS5" s="2" t="s">
        <v>1403</v>
      </c>
      <c r="AT5" s="2" t="s">
        <v>1403</v>
      </c>
      <c r="AU5" s="2" t="s">
        <v>1403</v>
      </c>
      <c r="AV5" s="2" t="s">
        <v>73</v>
      </c>
      <c r="AW5" s="2" t="s">
        <v>28</v>
      </c>
      <c r="AX5" s="2" t="s">
        <v>28</v>
      </c>
      <c r="AY5" s="2" t="s">
        <v>1403</v>
      </c>
      <c r="AZ5" s="2" t="s">
        <v>1403</v>
      </c>
      <c r="BA5" s="2" t="s">
        <v>1403</v>
      </c>
      <c r="BB5" s="2" t="s">
        <v>1403</v>
      </c>
      <c r="BC5" s="2" t="s">
        <v>1403</v>
      </c>
      <c r="BD5" s="2" t="s">
        <v>1403</v>
      </c>
      <c r="BE5" s="2" t="s">
        <v>1403</v>
      </c>
      <c r="BF5" s="2" t="s">
        <v>1403</v>
      </c>
      <c r="BG5" s="2" t="s">
        <v>74</v>
      </c>
      <c r="BH5" s="2" t="s">
        <v>709</v>
      </c>
      <c r="BI5" s="2" t="s">
        <v>75</v>
      </c>
      <c r="BJ5" s="2" t="s">
        <v>1180</v>
      </c>
      <c r="BK5" s="2" t="s">
        <v>1180</v>
      </c>
      <c r="BL5" s="2" t="s">
        <v>1403</v>
      </c>
      <c r="BM5" s="2" t="s">
        <v>1048</v>
      </c>
      <c r="BN5" s="2" t="s">
        <v>1403</v>
      </c>
      <c r="BO5" s="2" t="s">
        <v>1073</v>
      </c>
      <c r="BP5" s="2" t="s">
        <v>1403</v>
      </c>
      <c r="BQ5" s="2" t="s">
        <v>1049</v>
      </c>
      <c r="BR5" s="2">
        <v>17</v>
      </c>
    </row>
    <row r="6" spans="1:70" x14ac:dyDescent="0.2">
      <c r="A6" s="2" t="s">
        <v>25</v>
      </c>
      <c r="B6" s="2" t="s">
        <v>1309</v>
      </c>
      <c r="C6" s="2" t="s">
        <v>1395</v>
      </c>
      <c r="D6" s="2">
        <v>2</v>
      </c>
      <c r="E6" s="2">
        <v>0</v>
      </c>
      <c r="F6" s="2">
        <v>2</v>
      </c>
      <c r="G6" s="2" t="s">
        <v>76</v>
      </c>
      <c r="H6" s="2">
        <v>1</v>
      </c>
      <c r="I6" s="2">
        <v>0</v>
      </c>
      <c r="J6" s="2">
        <v>0</v>
      </c>
      <c r="K6" s="2">
        <v>0</v>
      </c>
      <c r="L6" s="2">
        <v>1</v>
      </c>
      <c r="M6" s="2">
        <v>0</v>
      </c>
      <c r="N6" s="2">
        <v>0</v>
      </c>
      <c r="O6" s="2">
        <v>0</v>
      </c>
      <c r="P6" s="2">
        <v>0</v>
      </c>
      <c r="Q6" s="2">
        <v>0</v>
      </c>
      <c r="R6" s="2">
        <f t="shared" si="0"/>
        <v>2</v>
      </c>
      <c r="S6" s="5" t="s">
        <v>77</v>
      </c>
      <c r="T6" s="2" t="s">
        <v>986</v>
      </c>
      <c r="U6" s="2" t="s">
        <v>1403</v>
      </c>
      <c r="V6" s="2" t="s">
        <v>78</v>
      </c>
      <c r="W6" s="2">
        <v>5</v>
      </c>
      <c r="X6" s="2" t="s">
        <v>79</v>
      </c>
      <c r="Y6" s="2" t="s">
        <v>42</v>
      </c>
      <c r="Z6" s="2" t="s">
        <v>1022</v>
      </c>
      <c r="AA6" s="4" t="s">
        <v>1403</v>
      </c>
      <c r="AB6" s="2" t="s">
        <v>1040</v>
      </c>
      <c r="AC6" s="2" t="s">
        <v>28</v>
      </c>
      <c r="AD6" s="2" t="s">
        <v>80</v>
      </c>
      <c r="AE6" s="2" t="s">
        <v>637</v>
      </c>
      <c r="AF6" s="2" t="s">
        <v>81</v>
      </c>
      <c r="AG6" s="2" t="s">
        <v>588</v>
      </c>
      <c r="AH6" s="2">
        <v>5</v>
      </c>
      <c r="AI6" s="2" t="s">
        <v>1099</v>
      </c>
      <c r="AJ6" s="4" t="s">
        <v>1403</v>
      </c>
      <c r="AK6" s="2" t="s">
        <v>82</v>
      </c>
      <c r="AL6" s="2" t="s">
        <v>1104</v>
      </c>
      <c r="AM6" s="2" t="s">
        <v>83</v>
      </c>
      <c r="AN6" s="4" t="s">
        <v>1403</v>
      </c>
      <c r="AO6" s="2" t="s">
        <v>31</v>
      </c>
      <c r="AP6" s="2" t="s">
        <v>84</v>
      </c>
      <c r="AQ6" s="2" t="s">
        <v>1101</v>
      </c>
      <c r="AR6" s="2" t="s">
        <v>1403</v>
      </c>
      <c r="AS6" s="2" t="s">
        <v>1403</v>
      </c>
      <c r="AT6" s="2" t="s">
        <v>1403</v>
      </c>
      <c r="AU6" s="2" t="s">
        <v>709</v>
      </c>
      <c r="AV6" s="2" t="s">
        <v>85</v>
      </c>
      <c r="AW6" s="2" t="s">
        <v>28</v>
      </c>
      <c r="AX6" s="2" t="s">
        <v>28</v>
      </c>
      <c r="AY6" s="2" t="s">
        <v>86</v>
      </c>
      <c r="AZ6" s="2" t="s">
        <v>86</v>
      </c>
      <c r="BA6" s="2" t="s">
        <v>1403</v>
      </c>
      <c r="BB6" s="2" t="s">
        <v>1403</v>
      </c>
      <c r="BC6" s="2" t="s">
        <v>87</v>
      </c>
      <c r="BD6" s="2" t="s">
        <v>31</v>
      </c>
      <c r="BE6" s="2" t="s">
        <v>88</v>
      </c>
      <c r="BF6" s="2" t="s">
        <v>404</v>
      </c>
      <c r="BG6" s="2" t="s">
        <v>89</v>
      </c>
      <c r="BH6" s="2" t="s">
        <v>709</v>
      </c>
      <c r="BI6" s="2" t="s">
        <v>90</v>
      </c>
      <c r="BJ6" s="2" t="s">
        <v>1403</v>
      </c>
      <c r="BK6" s="2" t="s">
        <v>709</v>
      </c>
      <c r="BL6" s="2" t="s">
        <v>709</v>
      </c>
      <c r="BM6" s="2" t="s">
        <v>91</v>
      </c>
      <c r="BN6" s="2" t="s">
        <v>1403</v>
      </c>
      <c r="BO6" s="2" t="s">
        <v>1073</v>
      </c>
      <c r="BP6" s="2" t="s">
        <v>1403</v>
      </c>
      <c r="BQ6" s="2" t="s">
        <v>91</v>
      </c>
      <c r="BR6" s="2">
        <v>10</v>
      </c>
    </row>
    <row r="7" spans="1:70" x14ac:dyDescent="0.2">
      <c r="A7" s="2" t="s">
        <v>92</v>
      </c>
      <c r="B7" s="2" t="s">
        <v>1310</v>
      </c>
      <c r="C7" s="2" t="s">
        <v>1395</v>
      </c>
      <c r="D7" s="2">
        <v>9</v>
      </c>
      <c r="E7" s="2">
        <v>5</v>
      </c>
      <c r="F7" s="2">
        <v>1</v>
      </c>
      <c r="G7" s="2" t="s">
        <v>93</v>
      </c>
      <c r="H7" s="2">
        <v>0</v>
      </c>
      <c r="I7" s="2">
        <v>5</v>
      </c>
      <c r="J7" s="2">
        <v>0</v>
      </c>
      <c r="K7" s="2">
        <v>1</v>
      </c>
      <c r="L7" s="2">
        <v>0</v>
      </c>
      <c r="M7" s="2">
        <v>0</v>
      </c>
      <c r="N7" s="2">
        <v>0</v>
      </c>
      <c r="O7" s="2">
        <v>0</v>
      </c>
      <c r="P7" s="2">
        <v>0</v>
      </c>
      <c r="Q7" s="2">
        <v>0</v>
      </c>
      <c r="R7" s="2">
        <f t="shared" si="0"/>
        <v>6</v>
      </c>
      <c r="S7" s="2" t="s">
        <v>94</v>
      </c>
      <c r="T7" s="2" t="s">
        <v>826</v>
      </c>
      <c r="U7" s="2" t="s">
        <v>1403</v>
      </c>
      <c r="V7" s="2" t="s">
        <v>1403</v>
      </c>
      <c r="W7" s="2">
        <v>10</v>
      </c>
      <c r="X7" s="4" t="s">
        <v>1403</v>
      </c>
      <c r="Y7" s="2" t="s">
        <v>42</v>
      </c>
      <c r="Z7" s="4" t="s">
        <v>1403</v>
      </c>
      <c r="AA7" s="2" t="s">
        <v>95</v>
      </c>
      <c r="AB7" s="2" t="s">
        <v>1040</v>
      </c>
      <c r="AC7" s="2" t="s">
        <v>95</v>
      </c>
      <c r="AD7" s="2" t="s">
        <v>96</v>
      </c>
      <c r="AE7" s="2" t="s">
        <v>1107</v>
      </c>
      <c r="AF7" s="2" t="s">
        <v>97</v>
      </c>
      <c r="AG7" s="2" t="s">
        <v>1053</v>
      </c>
      <c r="AH7" s="2">
        <v>720</v>
      </c>
      <c r="AI7" s="2" t="s">
        <v>1105</v>
      </c>
      <c r="AJ7" s="4" t="s">
        <v>1403</v>
      </c>
      <c r="AK7" s="2" t="s">
        <v>98</v>
      </c>
      <c r="AL7" s="2" t="s">
        <v>1106</v>
      </c>
      <c r="AM7" s="4" t="s">
        <v>1403</v>
      </c>
      <c r="AN7" s="2" t="s">
        <v>1186</v>
      </c>
      <c r="AO7" s="2" t="s">
        <v>1187</v>
      </c>
      <c r="AP7" s="2" t="s">
        <v>1403</v>
      </c>
      <c r="AQ7" s="2" t="s">
        <v>1128</v>
      </c>
      <c r="AR7" s="2" t="s">
        <v>1403</v>
      </c>
      <c r="AS7" s="2" t="s">
        <v>1403</v>
      </c>
      <c r="AT7" s="2" t="s">
        <v>1403</v>
      </c>
      <c r="AU7" s="2" t="s">
        <v>1403</v>
      </c>
      <c r="AV7" s="2" t="s">
        <v>95</v>
      </c>
      <c r="AW7" s="2" t="s">
        <v>28</v>
      </c>
      <c r="AX7" s="2" t="s">
        <v>28</v>
      </c>
      <c r="AY7" s="2" t="s">
        <v>99</v>
      </c>
      <c r="AZ7" s="2" t="s">
        <v>101</v>
      </c>
      <c r="BA7" s="2" t="s">
        <v>1182</v>
      </c>
      <c r="BB7" s="2" t="s">
        <v>1185</v>
      </c>
      <c r="BC7" s="5" t="s">
        <v>100</v>
      </c>
      <c r="BD7" s="5" t="s">
        <v>100</v>
      </c>
      <c r="BE7" s="2" t="s">
        <v>101</v>
      </c>
      <c r="BF7" s="2" t="s">
        <v>101</v>
      </c>
      <c r="BG7" s="2" t="s">
        <v>102</v>
      </c>
      <c r="BH7" s="2" t="s">
        <v>709</v>
      </c>
      <c r="BI7" s="2" t="s">
        <v>103</v>
      </c>
      <c r="BJ7" s="2" t="s">
        <v>709</v>
      </c>
      <c r="BK7" s="2" t="s">
        <v>1403</v>
      </c>
      <c r="BL7" s="2" t="s">
        <v>1403</v>
      </c>
      <c r="BM7" s="2" t="s">
        <v>104</v>
      </c>
      <c r="BN7" s="2" t="s">
        <v>105</v>
      </c>
      <c r="BO7" s="2" t="s">
        <v>1067</v>
      </c>
      <c r="BP7" s="2" t="s">
        <v>1070</v>
      </c>
      <c r="BQ7" s="2" t="s">
        <v>104</v>
      </c>
      <c r="BR7" s="2">
        <v>18</v>
      </c>
    </row>
    <row r="8" spans="1:70" x14ac:dyDescent="0.2">
      <c r="A8" s="2" t="s">
        <v>92</v>
      </c>
      <c r="B8" s="2" t="s">
        <v>1311</v>
      </c>
      <c r="C8" s="2" t="s">
        <v>1395</v>
      </c>
      <c r="D8" s="2">
        <v>7</v>
      </c>
      <c r="E8" s="2">
        <v>1</v>
      </c>
      <c r="F8" s="2">
        <v>3</v>
      </c>
      <c r="G8" s="2" t="s">
        <v>106</v>
      </c>
      <c r="H8" s="2">
        <v>1</v>
      </c>
      <c r="I8" s="2">
        <v>0</v>
      </c>
      <c r="J8" s="2">
        <v>0</v>
      </c>
      <c r="K8" s="2">
        <v>0</v>
      </c>
      <c r="L8" s="2">
        <v>0</v>
      </c>
      <c r="M8" s="2">
        <v>0</v>
      </c>
      <c r="N8" s="2">
        <v>0</v>
      </c>
      <c r="O8" s="2">
        <v>0</v>
      </c>
      <c r="P8" s="2">
        <v>0</v>
      </c>
      <c r="Q8" s="2">
        <v>1</v>
      </c>
      <c r="R8" s="2">
        <f t="shared" si="0"/>
        <v>2</v>
      </c>
      <c r="S8" s="2" t="s">
        <v>107</v>
      </c>
      <c r="T8" s="2" t="s">
        <v>826</v>
      </c>
      <c r="U8" s="2" t="s">
        <v>1403</v>
      </c>
      <c r="V8" s="2" t="s">
        <v>108</v>
      </c>
      <c r="W8" s="2">
        <v>5</v>
      </c>
      <c r="X8" s="2" t="s">
        <v>42</v>
      </c>
      <c r="Y8" s="2" t="s">
        <v>42</v>
      </c>
      <c r="Z8" s="4" t="s">
        <v>1403</v>
      </c>
      <c r="AA8" s="2" t="s">
        <v>109</v>
      </c>
      <c r="AB8" s="2" t="s">
        <v>1042</v>
      </c>
      <c r="AC8" s="2" t="s">
        <v>110</v>
      </c>
      <c r="AD8" s="2" t="s">
        <v>111</v>
      </c>
      <c r="AE8" s="2" t="s">
        <v>637</v>
      </c>
      <c r="AF8" s="2" t="s">
        <v>112</v>
      </c>
      <c r="AG8" s="5" t="s">
        <v>1054</v>
      </c>
      <c r="AH8" s="5">
        <v>180</v>
      </c>
      <c r="AI8" s="5" t="s">
        <v>1099</v>
      </c>
      <c r="AJ8" s="4" t="s">
        <v>1403</v>
      </c>
      <c r="AK8" s="2" t="s">
        <v>113</v>
      </c>
      <c r="AL8" s="5" t="s">
        <v>1108</v>
      </c>
      <c r="AM8" s="2" t="s">
        <v>114</v>
      </c>
      <c r="AN8" s="5" t="s">
        <v>31</v>
      </c>
      <c r="AO8" s="2" t="s">
        <v>1187</v>
      </c>
      <c r="AP8" s="2" t="s">
        <v>115</v>
      </c>
      <c r="AQ8" s="2" t="s">
        <v>115</v>
      </c>
      <c r="AR8" s="2" t="s">
        <v>1403</v>
      </c>
      <c r="AS8" s="2" t="s">
        <v>1403</v>
      </c>
      <c r="AT8" s="2" t="s">
        <v>1403</v>
      </c>
      <c r="AU8" s="2" t="s">
        <v>1403</v>
      </c>
      <c r="AV8" s="2" t="s">
        <v>116</v>
      </c>
      <c r="AW8" s="2" t="s">
        <v>28</v>
      </c>
      <c r="AX8" s="2" t="s">
        <v>28</v>
      </c>
      <c r="AY8" s="2" t="s">
        <v>1403</v>
      </c>
      <c r="AZ8" s="2" t="s">
        <v>101</v>
      </c>
      <c r="BA8" s="2" t="s">
        <v>1182</v>
      </c>
      <c r="BB8" s="2" t="s">
        <v>1403</v>
      </c>
      <c r="BC8" s="2" t="s">
        <v>117</v>
      </c>
      <c r="BD8" s="2" t="s">
        <v>1184</v>
      </c>
      <c r="BE8" s="2" t="s">
        <v>118</v>
      </c>
      <c r="BF8" s="2" t="s">
        <v>101</v>
      </c>
      <c r="BG8" s="2" t="s">
        <v>119</v>
      </c>
      <c r="BH8" s="2" t="s">
        <v>709</v>
      </c>
      <c r="BI8" s="2" t="s">
        <v>120</v>
      </c>
      <c r="BJ8" s="2" t="s">
        <v>1180</v>
      </c>
      <c r="BK8" s="2" t="s">
        <v>1180</v>
      </c>
      <c r="BL8" s="2" t="s">
        <v>1403</v>
      </c>
      <c r="BM8" s="2" t="s">
        <v>121</v>
      </c>
      <c r="BN8" s="2" t="s">
        <v>1188</v>
      </c>
      <c r="BO8" s="2" t="s">
        <v>1068</v>
      </c>
      <c r="BP8" s="2" t="s">
        <v>1071</v>
      </c>
      <c r="BQ8" s="2" t="s">
        <v>121</v>
      </c>
      <c r="BR8" s="2">
        <v>4</v>
      </c>
    </row>
    <row r="9" spans="1:70" s="5" customFormat="1" x14ac:dyDescent="0.2">
      <c r="A9" s="5" t="s">
        <v>92</v>
      </c>
      <c r="B9" s="2" t="s">
        <v>1312</v>
      </c>
      <c r="C9" s="2" t="s">
        <v>1395</v>
      </c>
      <c r="D9" s="2">
        <v>7</v>
      </c>
      <c r="E9" s="2">
        <v>4</v>
      </c>
      <c r="F9" s="2">
        <v>1</v>
      </c>
      <c r="G9" s="5" t="s">
        <v>122</v>
      </c>
      <c r="H9" s="5">
        <v>1</v>
      </c>
      <c r="I9" s="5">
        <v>4</v>
      </c>
      <c r="J9" s="5">
        <v>1</v>
      </c>
      <c r="K9" s="5">
        <v>0</v>
      </c>
      <c r="L9" s="5">
        <v>0</v>
      </c>
      <c r="M9" s="5">
        <v>0</v>
      </c>
      <c r="N9" s="5">
        <v>0</v>
      </c>
      <c r="O9" s="5">
        <v>0</v>
      </c>
      <c r="P9" s="5">
        <v>0</v>
      </c>
      <c r="Q9" s="5">
        <v>0</v>
      </c>
      <c r="R9" s="5">
        <f t="shared" si="0"/>
        <v>6</v>
      </c>
      <c r="S9" s="5" t="s">
        <v>123</v>
      </c>
      <c r="T9" s="5" t="s">
        <v>826</v>
      </c>
      <c r="U9" s="5" t="s">
        <v>1004</v>
      </c>
      <c r="V9" s="5" t="s">
        <v>124</v>
      </c>
      <c r="W9" s="5">
        <v>1</v>
      </c>
      <c r="X9" s="5" t="s">
        <v>42</v>
      </c>
      <c r="Y9" s="5" t="s">
        <v>42</v>
      </c>
      <c r="Z9" s="4" t="s">
        <v>1403</v>
      </c>
      <c r="AA9" s="5" t="s">
        <v>125</v>
      </c>
      <c r="AB9" s="5" t="s">
        <v>1040</v>
      </c>
      <c r="AC9" s="5" t="s">
        <v>28</v>
      </c>
      <c r="AD9" s="5" t="s">
        <v>126</v>
      </c>
      <c r="AE9" s="5" t="s">
        <v>637</v>
      </c>
      <c r="AF9" s="5" t="s">
        <v>127</v>
      </c>
      <c r="AG9" s="5" t="s">
        <v>1051</v>
      </c>
      <c r="AH9" s="5">
        <v>300</v>
      </c>
      <c r="AI9" s="5" t="s">
        <v>1163</v>
      </c>
      <c r="AJ9" s="4" t="s">
        <v>1403</v>
      </c>
      <c r="AK9" s="5" t="s">
        <v>128</v>
      </c>
      <c r="AL9" s="5" t="s">
        <v>1112</v>
      </c>
      <c r="AM9" s="5" t="s">
        <v>129</v>
      </c>
      <c r="AN9" s="4" t="s">
        <v>1403</v>
      </c>
      <c r="AO9" s="5" t="s">
        <v>857</v>
      </c>
      <c r="AP9" s="4" t="s">
        <v>1403</v>
      </c>
      <c r="AQ9" s="5" t="s">
        <v>1101</v>
      </c>
      <c r="AR9" s="5" t="s">
        <v>1403</v>
      </c>
      <c r="AS9" s="5" t="s">
        <v>1403</v>
      </c>
      <c r="AT9" s="5" t="s">
        <v>1403</v>
      </c>
      <c r="AU9" s="2" t="s">
        <v>709</v>
      </c>
      <c r="AV9" s="5" t="s">
        <v>130</v>
      </c>
      <c r="AW9" s="5" t="s">
        <v>1292</v>
      </c>
      <c r="AX9" s="2" t="s">
        <v>28</v>
      </c>
      <c r="AY9" s="5" t="s">
        <v>1403</v>
      </c>
      <c r="AZ9" s="5" t="s">
        <v>1403</v>
      </c>
      <c r="BA9" s="5" t="s">
        <v>1182</v>
      </c>
      <c r="BB9" s="5" t="s">
        <v>1403</v>
      </c>
      <c r="BC9" s="5" t="s">
        <v>131</v>
      </c>
      <c r="BD9" s="5" t="s">
        <v>1183</v>
      </c>
      <c r="BE9" s="5" t="s">
        <v>132</v>
      </c>
      <c r="BF9" s="5" t="s">
        <v>1403</v>
      </c>
      <c r="BG9" s="5" t="s">
        <v>133</v>
      </c>
      <c r="BH9" s="5" t="s">
        <v>709</v>
      </c>
      <c r="BI9" s="5" t="s">
        <v>134</v>
      </c>
      <c r="BJ9" s="5" t="s">
        <v>1180</v>
      </c>
      <c r="BK9" s="5" t="s">
        <v>1180</v>
      </c>
      <c r="BL9" s="5" t="s">
        <v>1403</v>
      </c>
      <c r="BM9" s="5" t="s">
        <v>135</v>
      </c>
      <c r="BN9" s="5" t="s">
        <v>136</v>
      </c>
      <c r="BO9" s="5" t="s">
        <v>1074</v>
      </c>
      <c r="BP9" s="5" t="s">
        <v>1072</v>
      </c>
      <c r="BQ9" s="5" t="s">
        <v>135</v>
      </c>
      <c r="BR9" s="5">
        <v>9</v>
      </c>
    </row>
    <row r="10" spans="1:70" x14ac:dyDescent="0.2">
      <c r="A10" s="2" t="s">
        <v>92</v>
      </c>
      <c r="B10" s="2" t="s">
        <v>1313</v>
      </c>
      <c r="C10" s="2" t="s">
        <v>1398</v>
      </c>
      <c r="D10" s="2">
        <v>3</v>
      </c>
      <c r="E10" s="2">
        <v>0</v>
      </c>
      <c r="F10" s="2">
        <v>0</v>
      </c>
      <c r="G10" s="2" t="s">
        <v>48</v>
      </c>
      <c r="H10" s="2">
        <v>1</v>
      </c>
      <c r="I10" s="2">
        <v>0</v>
      </c>
      <c r="J10" s="2">
        <v>0</v>
      </c>
      <c r="K10" s="2">
        <v>0</v>
      </c>
      <c r="L10" s="2">
        <v>0</v>
      </c>
      <c r="M10" s="2">
        <v>0</v>
      </c>
      <c r="N10" s="2">
        <v>0</v>
      </c>
      <c r="O10" s="2">
        <v>0</v>
      </c>
      <c r="P10" s="2">
        <v>0</v>
      </c>
      <c r="Q10" s="2">
        <v>0</v>
      </c>
      <c r="R10" s="2">
        <f t="shared" si="0"/>
        <v>1</v>
      </c>
      <c r="S10" s="2" t="s">
        <v>137</v>
      </c>
      <c r="T10" s="2" t="s">
        <v>826</v>
      </c>
      <c r="U10" s="2" t="s">
        <v>1403</v>
      </c>
      <c r="V10" s="2" t="s">
        <v>1403</v>
      </c>
      <c r="W10" s="2">
        <v>5</v>
      </c>
      <c r="X10" s="4" t="s">
        <v>1403</v>
      </c>
      <c r="Y10" s="2" t="s">
        <v>1020</v>
      </c>
      <c r="Z10" s="4" t="s">
        <v>1403</v>
      </c>
      <c r="AA10" s="2" t="s">
        <v>138</v>
      </c>
      <c r="AB10" s="2" t="s">
        <v>1040</v>
      </c>
      <c r="AC10" s="2" t="s">
        <v>28</v>
      </c>
      <c r="AD10" s="2" t="s">
        <v>139</v>
      </c>
      <c r="AE10" s="2" t="s">
        <v>637</v>
      </c>
      <c r="AF10" s="2" t="s">
        <v>140</v>
      </c>
      <c r="AG10" s="2" t="s">
        <v>1053</v>
      </c>
      <c r="AH10" s="2">
        <v>720</v>
      </c>
      <c r="AI10" s="5" t="s">
        <v>1091</v>
      </c>
      <c r="AJ10" s="4" t="s">
        <v>1403</v>
      </c>
      <c r="AK10" s="2" t="s">
        <v>141</v>
      </c>
      <c r="AL10" s="5" t="s">
        <v>1109</v>
      </c>
      <c r="AM10" s="2" t="s">
        <v>142</v>
      </c>
      <c r="AN10" s="2" t="s">
        <v>31</v>
      </c>
      <c r="AO10" s="2" t="s">
        <v>31</v>
      </c>
      <c r="AP10" s="2" t="s">
        <v>143</v>
      </c>
      <c r="AQ10" s="2" t="s">
        <v>1110</v>
      </c>
      <c r="AR10" s="2" t="s">
        <v>1148</v>
      </c>
      <c r="AS10" s="2" t="s">
        <v>1155</v>
      </c>
      <c r="AT10" s="2" t="s">
        <v>144</v>
      </c>
      <c r="AU10" s="2" t="s">
        <v>709</v>
      </c>
      <c r="AV10" s="2" t="s">
        <v>145</v>
      </c>
      <c r="AW10" s="2" t="s">
        <v>28</v>
      </c>
      <c r="AX10" s="2" t="s">
        <v>28</v>
      </c>
      <c r="AY10" s="2" t="s">
        <v>146</v>
      </c>
      <c r="AZ10" s="2" t="s">
        <v>1189</v>
      </c>
      <c r="BA10" s="2" t="s">
        <v>1403</v>
      </c>
      <c r="BB10" s="2" t="s">
        <v>1403</v>
      </c>
      <c r="BC10" s="2" t="s">
        <v>147</v>
      </c>
      <c r="BD10" s="2" t="s">
        <v>1062</v>
      </c>
      <c r="BE10" s="2" t="s">
        <v>148</v>
      </c>
      <c r="BF10" s="2" t="s">
        <v>101</v>
      </c>
      <c r="BG10" s="2" t="s">
        <v>1403</v>
      </c>
      <c r="BH10" s="2" t="s">
        <v>709</v>
      </c>
      <c r="BI10" s="2" t="s">
        <v>149</v>
      </c>
      <c r="BJ10" s="2" t="s">
        <v>1180</v>
      </c>
      <c r="BK10" s="2" t="s">
        <v>1180</v>
      </c>
      <c r="BL10" s="2" t="s">
        <v>1403</v>
      </c>
      <c r="BM10" s="2" t="s">
        <v>150</v>
      </c>
      <c r="BN10" s="2" t="s">
        <v>1403</v>
      </c>
      <c r="BO10" s="2" t="s">
        <v>1063</v>
      </c>
      <c r="BP10" s="2" t="s">
        <v>1082</v>
      </c>
      <c r="BQ10" s="2" t="s">
        <v>150</v>
      </c>
      <c r="BR10" s="2">
        <v>5</v>
      </c>
    </row>
    <row r="11" spans="1:70" x14ac:dyDescent="0.2">
      <c r="A11" s="2" t="s">
        <v>92</v>
      </c>
      <c r="B11" s="2" t="s">
        <v>1314</v>
      </c>
      <c r="C11" s="2" t="s">
        <v>1398</v>
      </c>
      <c r="D11" s="2">
        <v>14</v>
      </c>
      <c r="E11" s="2">
        <v>7</v>
      </c>
      <c r="F11" s="2">
        <v>2</v>
      </c>
      <c r="G11" s="2" t="s">
        <v>39</v>
      </c>
      <c r="H11" s="2">
        <v>1</v>
      </c>
      <c r="I11" s="2">
        <v>7</v>
      </c>
      <c r="J11" s="2">
        <v>0</v>
      </c>
      <c r="K11" s="2">
        <v>0</v>
      </c>
      <c r="L11" s="2">
        <v>0</v>
      </c>
      <c r="M11" s="2">
        <v>0</v>
      </c>
      <c r="N11" s="2">
        <v>0</v>
      </c>
      <c r="O11" s="2">
        <v>0</v>
      </c>
      <c r="P11" s="2">
        <v>0</v>
      </c>
      <c r="Q11" s="2">
        <v>0</v>
      </c>
      <c r="R11" s="2">
        <f t="shared" si="0"/>
        <v>8</v>
      </c>
      <c r="S11" s="2" t="s">
        <v>151</v>
      </c>
      <c r="T11" s="2" t="s">
        <v>987</v>
      </c>
      <c r="U11" s="2" t="s">
        <v>1403</v>
      </c>
      <c r="V11" s="2" t="s">
        <v>1403</v>
      </c>
      <c r="W11" s="2">
        <v>1</v>
      </c>
      <c r="X11" s="4" t="s">
        <v>1403</v>
      </c>
      <c r="Y11" s="2" t="s">
        <v>42</v>
      </c>
      <c r="Z11" s="4" t="s">
        <v>1403</v>
      </c>
      <c r="AA11" s="2" t="s">
        <v>152</v>
      </c>
      <c r="AB11" s="2" t="s">
        <v>1040</v>
      </c>
      <c r="AC11" s="4" t="s">
        <v>1403</v>
      </c>
      <c r="AD11" s="2" t="s">
        <v>153</v>
      </c>
      <c r="AE11" s="2" t="s">
        <v>1102</v>
      </c>
      <c r="AF11" s="2" t="s">
        <v>154</v>
      </c>
      <c r="AG11" s="5" t="s">
        <v>1055</v>
      </c>
      <c r="AH11" s="5">
        <v>240</v>
      </c>
      <c r="AI11" s="5" t="s">
        <v>1099</v>
      </c>
      <c r="AJ11" s="4" t="s">
        <v>1403</v>
      </c>
      <c r="AK11" s="2" t="s">
        <v>155</v>
      </c>
      <c r="AL11" s="5" t="s">
        <v>1108</v>
      </c>
      <c r="AM11" s="2" t="s">
        <v>156</v>
      </c>
      <c r="AN11" s="4" t="s">
        <v>1403</v>
      </c>
      <c r="AO11" s="2" t="s">
        <v>1187</v>
      </c>
      <c r="AP11" s="2" t="s">
        <v>157</v>
      </c>
      <c r="AQ11" s="2" t="s">
        <v>1111</v>
      </c>
      <c r="AR11" s="2" t="s">
        <v>158</v>
      </c>
      <c r="AS11" s="2" t="s">
        <v>1156</v>
      </c>
      <c r="AT11" s="2" t="s">
        <v>159</v>
      </c>
      <c r="AU11" s="2" t="s">
        <v>709</v>
      </c>
      <c r="AV11" s="2" t="s">
        <v>1403</v>
      </c>
      <c r="AW11" s="2" t="s">
        <v>1403</v>
      </c>
      <c r="AX11" s="2" t="s">
        <v>28</v>
      </c>
      <c r="AY11" s="2" t="s">
        <v>1403</v>
      </c>
      <c r="AZ11" s="2" t="s">
        <v>1403</v>
      </c>
      <c r="BA11" s="2" t="s">
        <v>1199</v>
      </c>
      <c r="BB11" s="2" t="s">
        <v>1403</v>
      </c>
      <c r="BC11" s="2" t="s">
        <v>160</v>
      </c>
      <c r="BD11" s="5" t="s">
        <v>1192</v>
      </c>
      <c r="BE11" s="2" t="s">
        <v>161</v>
      </c>
      <c r="BF11" s="2" t="s">
        <v>101</v>
      </c>
      <c r="BG11" s="2" t="s">
        <v>162</v>
      </c>
      <c r="BH11" s="2" t="s">
        <v>709</v>
      </c>
      <c r="BI11" s="2" t="s">
        <v>163</v>
      </c>
      <c r="BJ11" s="2" t="s">
        <v>709</v>
      </c>
      <c r="BK11" s="2" t="s">
        <v>709</v>
      </c>
      <c r="BL11" s="2" t="s">
        <v>709</v>
      </c>
      <c r="BM11" s="2" t="s">
        <v>164</v>
      </c>
      <c r="BN11" s="2" t="s">
        <v>1403</v>
      </c>
      <c r="BO11" s="2" t="s">
        <v>1068</v>
      </c>
      <c r="BP11" s="2" t="s">
        <v>1190</v>
      </c>
      <c r="BQ11" s="2" t="s">
        <v>164</v>
      </c>
      <c r="BR11" s="2">
        <v>12</v>
      </c>
    </row>
    <row r="12" spans="1:70" x14ac:dyDescent="0.2">
      <c r="A12" s="2" t="s">
        <v>92</v>
      </c>
      <c r="B12" s="2" t="s">
        <v>1315</v>
      </c>
      <c r="C12" s="2" t="s">
        <v>1399</v>
      </c>
      <c r="D12" s="2">
        <v>13</v>
      </c>
      <c r="E12" s="2">
        <v>6</v>
      </c>
      <c r="F12" s="2">
        <v>2</v>
      </c>
      <c r="G12" s="2" t="s">
        <v>48</v>
      </c>
      <c r="H12" s="2">
        <v>1</v>
      </c>
      <c r="I12" s="2">
        <v>0</v>
      </c>
      <c r="J12" s="2">
        <v>0</v>
      </c>
      <c r="K12" s="2">
        <v>0</v>
      </c>
      <c r="L12" s="2">
        <v>0</v>
      </c>
      <c r="M12" s="2">
        <v>0</v>
      </c>
      <c r="N12" s="2">
        <v>0</v>
      </c>
      <c r="O12" s="2">
        <v>0</v>
      </c>
      <c r="P12" s="2">
        <v>0</v>
      </c>
      <c r="Q12" s="2">
        <v>0</v>
      </c>
      <c r="R12" s="2">
        <f t="shared" si="0"/>
        <v>1</v>
      </c>
      <c r="S12" s="2" t="s">
        <v>165</v>
      </c>
      <c r="T12" s="2" t="s">
        <v>985</v>
      </c>
      <c r="U12" s="2" t="s">
        <v>1403</v>
      </c>
      <c r="V12" s="2" t="s">
        <v>166</v>
      </c>
      <c r="W12" s="2">
        <v>1</v>
      </c>
      <c r="X12" s="2" t="s">
        <v>167</v>
      </c>
      <c r="Y12" s="2" t="s">
        <v>42</v>
      </c>
      <c r="Z12" s="4" t="s">
        <v>1403</v>
      </c>
      <c r="AA12" s="2" t="s">
        <v>168</v>
      </c>
      <c r="AB12" s="2" t="s">
        <v>1040</v>
      </c>
      <c r="AC12" s="2" t="s">
        <v>169</v>
      </c>
      <c r="AD12" s="2" t="s">
        <v>170</v>
      </c>
      <c r="AE12" s="2" t="s">
        <v>637</v>
      </c>
      <c r="AF12" s="2" t="s">
        <v>171</v>
      </c>
      <c r="AG12" s="2" t="s">
        <v>1055</v>
      </c>
      <c r="AH12" s="2">
        <v>240</v>
      </c>
      <c r="AI12" s="5" t="s">
        <v>1091</v>
      </c>
      <c r="AJ12" s="4" t="s">
        <v>1403</v>
      </c>
      <c r="AK12" s="2" t="s">
        <v>172</v>
      </c>
      <c r="AL12" s="5" t="s">
        <v>1108</v>
      </c>
      <c r="AM12" s="4" t="s">
        <v>1403</v>
      </c>
      <c r="AN12" s="2" t="s">
        <v>1034</v>
      </c>
      <c r="AO12" s="2" t="s">
        <v>1187</v>
      </c>
      <c r="AP12" s="2" t="s">
        <v>173</v>
      </c>
      <c r="AQ12" s="2" t="s">
        <v>115</v>
      </c>
      <c r="AR12" s="2" t="s">
        <v>1403</v>
      </c>
      <c r="AS12" s="2" t="s">
        <v>1164</v>
      </c>
      <c r="AT12" s="2" t="s">
        <v>174</v>
      </c>
      <c r="AU12" s="2" t="s">
        <v>709</v>
      </c>
      <c r="AV12" s="2" t="s">
        <v>175</v>
      </c>
      <c r="AW12" s="2" t="s">
        <v>28</v>
      </c>
      <c r="AX12" s="2" t="s">
        <v>28</v>
      </c>
      <c r="AY12" s="2" t="s">
        <v>1403</v>
      </c>
      <c r="AZ12" s="2" t="s">
        <v>1403</v>
      </c>
      <c r="BA12" s="2" t="s">
        <v>1403</v>
      </c>
      <c r="BB12" s="2" t="s">
        <v>1403</v>
      </c>
      <c r="BC12" s="2" t="s">
        <v>176</v>
      </c>
      <c r="BD12" s="2" t="s">
        <v>1193</v>
      </c>
      <c r="BE12" s="2" t="s">
        <v>177</v>
      </c>
      <c r="BF12" s="2" t="s">
        <v>1403</v>
      </c>
      <c r="BG12" s="2" t="s">
        <v>1194</v>
      </c>
      <c r="BH12" s="2" t="s">
        <v>709</v>
      </c>
      <c r="BI12" s="2" t="s">
        <v>178</v>
      </c>
      <c r="BJ12" s="2" t="s">
        <v>1180</v>
      </c>
      <c r="BK12" s="2" t="s">
        <v>1180</v>
      </c>
      <c r="BL12" s="2" t="s">
        <v>1403</v>
      </c>
      <c r="BM12" s="2" t="s">
        <v>179</v>
      </c>
      <c r="BN12" s="2" t="s">
        <v>1403</v>
      </c>
      <c r="BO12" s="2" t="s">
        <v>1403</v>
      </c>
      <c r="BP12" s="2" t="s">
        <v>1403</v>
      </c>
      <c r="BQ12" s="2" t="s">
        <v>179</v>
      </c>
      <c r="BR12" s="2">
        <v>3</v>
      </c>
    </row>
    <row r="13" spans="1:70" x14ac:dyDescent="0.2">
      <c r="A13" s="2" t="s">
        <v>92</v>
      </c>
      <c r="B13" s="2" t="s">
        <v>1316</v>
      </c>
      <c r="C13" s="2" t="s">
        <v>1399</v>
      </c>
      <c r="D13" s="2">
        <v>6</v>
      </c>
      <c r="E13" s="2">
        <v>2</v>
      </c>
      <c r="F13" s="2">
        <v>0</v>
      </c>
      <c r="G13" s="2" t="s">
        <v>39</v>
      </c>
      <c r="H13" s="2">
        <v>1</v>
      </c>
      <c r="I13" s="2">
        <v>2</v>
      </c>
      <c r="J13" s="2">
        <v>0</v>
      </c>
      <c r="K13" s="2">
        <v>0</v>
      </c>
      <c r="L13" s="2">
        <v>0</v>
      </c>
      <c r="M13" s="2">
        <v>0</v>
      </c>
      <c r="N13" s="2">
        <v>0</v>
      </c>
      <c r="O13" s="2">
        <v>0</v>
      </c>
      <c r="P13" s="2">
        <v>0</v>
      </c>
      <c r="Q13" s="2">
        <v>0</v>
      </c>
      <c r="R13" s="2">
        <f t="shared" si="0"/>
        <v>3</v>
      </c>
      <c r="S13" s="2" t="s">
        <v>180</v>
      </c>
      <c r="T13" s="2" t="s">
        <v>986</v>
      </c>
      <c r="U13" s="2" t="s">
        <v>1196</v>
      </c>
      <c r="V13" s="2" t="s">
        <v>181</v>
      </c>
      <c r="W13" s="2">
        <v>1</v>
      </c>
      <c r="X13" s="2" t="s">
        <v>182</v>
      </c>
      <c r="Y13" s="2" t="s">
        <v>42</v>
      </c>
      <c r="Z13" s="2" t="s">
        <v>1002</v>
      </c>
      <c r="AA13" s="2" t="s">
        <v>183</v>
      </c>
      <c r="AB13" s="2" t="s">
        <v>1042</v>
      </c>
      <c r="AC13" s="2" t="s">
        <v>184</v>
      </c>
      <c r="AD13" s="2" t="s">
        <v>185</v>
      </c>
      <c r="AE13" s="2" t="s">
        <v>1102</v>
      </c>
      <c r="AF13" s="4" t="s">
        <v>1403</v>
      </c>
      <c r="AG13" s="5" t="s">
        <v>588</v>
      </c>
      <c r="AH13" s="5">
        <v>5</v>
      </c>
      <c r="AI13" s="5" t="s">
        <v>1091</v>
      </c>
      <c r="AJ13" s="4" t="s">
        <v>1403</v>
      </c>
      <c r="AK13" s="2" t="s">
        <v>186</v>
      </c>
      <c r="AL13" s="5" t="s">
        <v>1104</v>
      </c>
      <c r="AM13" s="4" t="s">
        <v>1403</v>
      </c>
      <c r="AN13" s="4" t="s">
        <v>1403</v>
      </c>
      <c r="AO13" s="5" t="s">
        <v>1405</v>
      </c>
      <c r="AP13" s="4" t="s">
        <v>1403</v>
      </c>
      <c r="AQ13" s="2" t="s">
        <v>1097</v>
      </c>
      <c r="AR13" s="2" t="s">
        <v>187</v>
      </c>
      <c r="AS13" s="2" t="s">
        <v>1403</v>
      </c>
      <c r="AT13" s="2" t="s">
        <v>1403</v>
      </c>
      <c r="AU13" s="2" t="s">
        <v>1403</v>
      </c>
      <c r="AV13" s="2" t="s">
        <v>1195</v>
      </c>
      <c r="AW13" s="2" t="s">
        <v>1143</v>
      </c>
      <c r="AX13" s="2" t="s">
        <v>1143</v>
      </c>
      <c r="AY13" s="2" t="s">
        <v>1403</v>
      </c>
      <c r="AZ13" s="2" t="s">
        <v>1403</v>
      </c>
      <c r="BA13" s="2" t="s">
        <v>1403</v>
      </c>
      <c r="BB13" s="2" t="s">
        <v>1403</v>
      </c>
      <c r="BC13" s="2" t="s">
        <v>188</v>
      </c>
      <c r="BD13" s="5" t="s">
        <v>1062</v>
      </c>
      <c r="BE13" s="2" t="s">
        <v>189</v>
      </c>
      <c r="BF13" s="2" t="s">
        <v>1197</v>
      </c>
      <c r="BG13" s="2" t="s">
        <v>1403</v>
      </c>
      <c r="BH13" s="2" t="s">
        <v>709</v>
      </c>
      <c r="BI13" s="2" t="s">
        <v>190</v>
      </c>
      <c r="BJ13" s="2" t="s">
        <v>1180</v>
      </c>
      <c r="BK13" s="2" t="s">
        <v>1180</v>
      </c>
      <c r="BL13" s="2" t="s">
        <v>1403</v>
      </c>
      <c r="BM13" s="2" t="s">
        <v>191</v>
      </c>
      <c r="BN13" s="2" t="s">
        <v>1403</v>
      </c>
      <c r="BO13" s="2" t="s">
        <v>1403</v>
      </c>
      <c r="BP13" s="2" t="s">
        <v>1403</v>
      </c>
      <c r="BQ13" s="2" t="s">
        <v>191</v>
      </c>
      <c r="BR13" s="2">
        <v>6</v>
      </c>
    </row>
    <row r="14" spans="1:70" x14ac:dyDescent="0.2">
      <c r="A14" s="2" t="s">
        <v>25</v>
      </c>
      <c r="B14" s="2" t="s">
        <v>1317</v>
      </c>
      <c r="C14" s="2" t="s">
        <v>1395</v>
      </c>
      <c r="D14" s="2">
        <v>11</v>
      </c>
      <c r="E14" s="2">
        <v>5</v>
      </c>
      <c r="F14" s="2">
        <v>0</v>
      </c>
      <c r="G14" s="2" t="s">
        <v>192</v>
      </c>
      <c r="H14" s="2">
        <v>0</v>
      </c>
      <c r="I14" s="2">
        <v>5</v>
      </c>
      <c r="J14" s="2">
        <v>0</v>
      </c>
      <c r="K14" s="2">
        <v>0</v>
      </c>
      <c r="L14" s="2">
        <v>0</v>
      </c>
      <c r="M14" s="2">
        <v>0</v>
      </c>
      <c r="N14" s="2">
        <v>0</v>
      </c>
      <c r="O14" s="2">
        <v>0</v>
      </c>
      <c r="P14" s="2">
        <v>0</v>
      </c>
      <c r="Q14" s="2">
        <v>0</v>
      </c>
      <c r="R14" s="2">
        <f t="shared" si="0"/>
        <v>5</v>
      </c>
      <c r="S14" s="2" t="s">
        <v>193</v>
      </c>
      <c r="T14" s="2" t="s">
        <v>986</v>
      </c>
      <c r="U14" s="2" t="s">
        <v>1403</v>
      </c>
      <c r="V14" s="2" t="s">
        <v>194</v>
      </c>
      <c r="W14" s="2">
        <v>5</v>
      </c>
      <c r="X14" s="2" t="s">
        <v>195</v>
      </c>
      <c r="Y14" s="2" t="s">
        <v>42</v>
      </c>
      <c r="Z14" s="4" t="s">
        <v>1403</v>
      </c>
      <c r="AA14" s="2" t="s">
        <v>196</v>
      </c>
      <c r="AB14" s="2" t="s">
        <v>1042</v>
      </c>
      <c r="AC14" s="2" t="s">
        <v>197</v>
      </c>
      <c r="AD14" s="2" t="s">
        <v>198</v>
      </c>
      <c r="AE14" s="2" t="s">
        <v>637</v>
      </c>
      <c r="AF14" s="4" t="s">
        <v>1403</v>
      </c>
      <c r="AG14" s="2" t="s">
        <v>1052</v>
      </c>
      <c r="AH14" s="2">
        <v>60</v>
      </c>
      <c r="AI14" s="5" t="s">
        <v>1023</v>
      </c>
      <c r="AJ14" s="4" t="s">
        <v>1403</v>
      </c>
      <c r="AK14" s="2" t="s">
        <v>199</v>
      </c>
      <c r="AL14" s="5" t="s">
        <v>1104</v>
      </c>
      <c r="AM14" s="4" t="s">
        <v>1403</v>
      </c>
      <c r="AN14" s="4" t="s">
        <v>1403</v>
      </c>
      <c r="AO14" s="4" t="s">
        <v>1403</v>
      </c>
      <c r="AP14" s="4" t="s">
        <v>1403</v>
      </c>
      <c r="AQ14" s="2" t="s">
        <v>1097</v>
      </c>
      <c r="AR14" s="4" t="s">
        <v>1403</v>
      </c>
      <c r="AS14" s="4" t="s">
        <v>1403</v>
      </c>
      <c r="AT14" s="4" t="s">
        <v>1403</v>
      </c>
      <c r="AU14" s="4" t="s">
        <v>1403</v>
      </c>
      <c r="AV14" s="2" t="s">
        <v>200</v>
      </c>
      <c r="AW14" s="2" t="s">
        <v>28</v>
      </c>
      <c r="AX14" s="2" t="s">
        <v>1246</v>
      </c>
      <c r="AY14" s="2" t="s">
        <v>1403</v>
      </c>
      <c r="AZ14" s="2" t="s">
        <v>1403</v>
      </c>
      <c r="BA14" s="2" t="s">
        <v>1403</v>
      </c>
      <c r="BB14" s="2" t="s">
        <v>709</v>
      </c>
      <c r="BC14" s="2" t="s">
        <v>201</v>
      </c>
      <c r="BD14" s="2" t="s">
        <v>1183</v>
      </c>
      <c r="BE14" s="2" t="s">
        <v>202</v>
      </c>
      <c r="BF14" s="2" t="s">
        <v>1403</v>
      </c>
      <c r="BG14" s="2" t="s">
        <v>203</v>
      </c>
      <c r="BH14" s="2" t="s">
        <v>1043</v>
      </c>
      <c r="BI14" s="2" t="s">
        <v>204</v>
      </c>
      <c r="BJ14" s="2" t="s">
        <v>1180</v>
      </c>
      <c r="BK14" s="2" t="s">
        <v>1180</v>
      </c>
      <c r="BL14" s="2" t="s">
        <v>1403</v>
      </c>
      <c r="BM14" s="2" t="s">
        <v>205</v>
      </c>
      <c r="BN14" s="2" t="s">
        <v>1403</v>
      </c>
      <c r="BO14" s="2" t="s">
        <v>1075</v>
      </c>
      <c r="BP14" s="2" t="s">
        <v>1071</v>
      </c>
      <c r="BQ14" s="2" t="s">
        <v>205</v>
      </c>
      <c r="BR14" s="2">
        <v>14</v>
      </c>
    </row>
    <row r="15" spans="1:70" x14ac:dyDescent="0.2">
      <c r="A15" s="2" t="s">
        <v>25</v>
      </c>
      <c r="B15" s="2" t="s">
        <v>1318</v>
      </c>
      <c r="C15" s="2" t="s">
        <v>1399</v>
      </c>
      <c r="D15" s="2">
        <v>1</v>
      </c>
      <c r="E15" s="2">
        <v>0</v>
      </c>
      <c r="F15" s="2">
        <v>0</v>
      </c>
      <c r="G15" s="2" t="s">
        <v>48</v>
      </c>
      <c r="H15" s="2">
        <v>1</v>
      </c>
      <c r="I15" s="2">
        <v>0</v>
      </c>
      <c r="J15" s="2">
        <v>0</v>
      </c>
      <c r="K15" s="2">
        <v>0</v>
      </c>
      <c r="L15" s="2">
        <v>0</v>
      </c>
      <c r="M15" s="2">
        <v>0</v>
      </c>
      <c r="N15" s="2">
        <v>0</v>
      </c>
      <c r="O15" s="2">
        <v>0</v>
      </c>
      <c r="P15" s="2">
        <v>0</v>
      </c>
      <c r="Q15" s="2">
        <v>0</v>
      </c>
      <c r="R15" s="2">
        <f t="shared" si="0"/>
        <v>1</v>
      </c>
      <c r="S15" s="5" t="s">
        <v>206</v>
      </c>
      <c r="T15" s="2" t="s">
        <v>986</v>
      </c>
      <c r="U15" s="2" t="s">
        <v>989</v>
      </c>
      <c r="V15" s="2" t="s">
        <v>1403</v>
      </c>
      <c r="W15" s="2">
        <v>5</v>
      </c>
      <c r="X15" s="4" t="s">
        <v>1403</v>
      </c>
      <c r="Y15" s="2" t="s">
        <v>42</v>
      </c>
      <c r="Z15" s="2" t="s">
        <v>1023</v>
      </c>
      <c r="AA15" s="2" t="s">
        <v>207</v>
      </c>
      <c r="AB15" s="2" t="s">
        <v>1043</v>
      </c>
      <c r="AC15" s="2" t="s">
        <v>28</v>
      </c>
      <c r="AD15" s="2" t="s">
        <v>208</v>
      </c>
      <c r="AE15" s="2" t="s">
        <v>1113</v>
      </c>
      <c r="AF15" s="2" t="s">
        <v>209</v>
      </c>
      <c r="AG15" s="2" t="s">
        <v>1052</v>
      </c>
      <c r="AH15" s="2">
        <v>60</v>
      </c>
      <c r="AI15" s="5" t="s">
        <v>1099</v>
      </c>
      <c r="AJ15" s="4" t="s">
        <v>1403</v>
      </c>
      <c r="AK15" s="2" t="s">
        <v>210</v>
      </c>
      <c r="AL15" s="5" t="s">
        <v>1104</v>
      </c>
      <c r="AM15" s="4" t="s">
        <v>1403</v>
      </c>
      <c r="AN15" s="4" t="s">
        <v>1403</v>
      </c>
      <c r="AO15" s="4" t="s">
        <v>1403</v>
      </c>
      <c r="AP15" s="2" t="s">
        <v>211</v>
      </c>
      <c r="AQ15" s="2" t="s">
        <v>1097</v>
      </c>
      <c r="AR15" s="4" t="s">
        <v>1403</v>
      </c>
      <c r="AS15" s="4" t="s">
        <v>1403</v>
      </c>
      <c r="AT15" s="4" t="s">
        <v>1403</v>
      </c>
      <c r="AU15" s="4" t="s">
        <v>1403</v>
      </c>
      <c r="AV15" s="2" t="s">
        <v>212</v>
      </c>
      <c r="AW15" s="4" t="s">
        <v>1403</v>
      </c>
      <c r="AX15" s="2" t="s">
        <v>1144</v>
      </c>
      <c r="AY15" s="4" t="s">
        <v>1403</v>
      </c>
      <c r="AZ15" s="2" t="s">
        <v>1205</v>
      </c>
      <c r="BA15" s="4" t="s">
        <v>1403</v>
      </c>
      <c r="BB15" s="2" t="s">
        <v>1403</v>
      </c>
      <c r="BC15" s="2" t="s">
        <v>213</v>
      </c>
      <c r="BD15" s="5" t="s">
        <v>1403</v>
      </c>
      <c r="BE15" s="2" t="s">
        <v>214</v>
      </c>
      <c r="BF15" s="2" t="s">
        <v>1205</v>
      </c>
      <c r="BG15" s="2" t="s">
        <v>215</v>
      </c>
      <c r="BH15" s="2" t="s">
        <v>1403</v>
      </c>
      <c r="BI15" s="2" t="s">
        <v>216</v>
      </c>
      <c r="BJ15" s="2" t="s">
        <v>1403</v>
      </c>
      <c r="BK15" s="2" t="s">
        <v>1403</v>
      </c>
      <c r="BL15" s="2" t="s">
        <v>1403</v>
      </c>
      <c r="BM15" s="2" t="s">
        <v>217</v>
      </c>
      <c r="BN15" s="2" t="s">
        <v>1403</v>
      </c>
      <c r="BO15" s="2" t="s">
        <v>1403</v>
      </c>
      <c r="BP15" s="2" t="s">
        <v>1403</v>
      </c>
      <c r="BQ15" s="2" t="s">
        <v>217</v>
      </c>
      <c r="BR15" s="2">
        <v>11</v>
      </c>
    </row>
    <row r="16" spans="1:70" x14ac:dyDescent="0.2">
      <c r="A16" s="2" t="s">
        <v>25</v>
      </c>
      <c r="B16" s="2" t="s">
        <v>1319</v>
      </c>
      <c r="C16" s="2" t="s">
        <v>1399</v>
      </c>
      <c r="D16" s="2">
        <v>9</v>
      </c>
      <c r="E16" s="2">
        <v>3</v>
      </c>
      <c r="F16" s="2">
        <v>2</v>
      </c>
      <c r="G16" s="2" t="s">
        <v>39</v>
      </c>
      <c r="H16" s="2">
        <v>1</v>
      </c>
      <c r="I16" s="2">
        <v>3</v>
      </c>
      <c r="J16" s="2">
        <v>0</v>
      </c>
      <c r="K16" s="2">
        <v>0</v>
      </c>
      <c r="L16" s="2">
        <v>0</v>
      </c>
      <c r="M16" s="2">
        <v>0</v>
      </c>
      <c r="N16" s="2">
        <v>0</v>
      </c>
      <c r="O16" s="2">
        <v>0</v>
      </c>
      <c r="P16" s="2">
        <v>0</v>
      </c>
      <c r="Q16" s="2">
        <v>0</v>
      </c>
      <c r="R16" s="2">
        <f t="shared" si="0"/>
        <v>4</v>
      </c>
      <c r="S16" s="2" t="s">
        <v>1403</v>
      </c>
      <c r="T16" s="2" t="s">
        <v>985</v>
      </c>
      <c r="U16" s="2" t="s">
        <v>1403</v>
      </c>
      <c r="V16" s="2" t="s">
        <v>1403</v>
      </c>
      <c r="W16" s="2">
        <v>5</v>
      </c>
      <c r="X16" s="4" t="s">
        <v>1403</v>
      </c>
      <c r="Y16" s="2" t="s">
        <v>42</v>
      </c>
      <c r="Z16" s="4" t="s">
        <v>1403</v>
      </c>
      <c r="AA16" s="2" t="s">
        <v>218</v>
      </c>
      <c r="AB16" s="2" t="s">
        <v>1040</v>
      </c>
      <c r="AC16" s="2" t="s">
        <v>219</v>
      </c>
      <c r="AD16" s="2" t="s">
        <v>220</v>
      </c>
      <c r="AE16" s="2" t="s">
        <v>1113</v>
      </c>
      <c r="AF16" s="2" t="s">
        <v>221</v>
      </c>
      <c r="AG16" s="2" t="s">
        <v>1052</v>
      </c>
      <c r="AH16" s="2">
        <v>60</v>
      </c>
      <c r="AI16" s="4" t="s">
        <v>1403</v>
      </c>
      <c r="AJ16" s="4" t="s">
        <v>1403</v>
      </c>
      <c r="AK16" s="2" t="s">
        <v>222</v>
      </c>
      <c r="AL16" s="5" t="s">
        <v>1104</v>
      </c>
      <c r="AM16" s="2" t="s">
        <v>223</v>
      </c>
      <c r="AN16" s="4" t="s">
        <v>1403</v>
      </c>
      <c r="AO16" s="2" t="s">
        <v>1405</v>
      </c>
      <c r="AP16" s="2" t="s">
        <v>224</v>
      </c>
      <c r="AQ16" s="2" t="s">
        <v>1101</v>
      </c>
      <c r="AR16" s="2" t="s">
        <v>225</v>
      </c>
      <c r="AS16" s="2" t="s">
        <v>1158</v>
      </c>
      <c r="AT16" s="2" t="s">
        <v>1403</v>
      </c>
      <c r="AU16" s="2" t="s">
        <v>709</v>
      </c>
      <c r="AV16" s="2" t="s">
        <v>226</v>
      </c>
      <c r="AW16" s="2" t="s">
        <v>28</v>
      </c>
      <c r="AX16" s="2" t="s">
        <v>28</v>
      </c>
      <c r="AY16" s="2" t="s">
        <v>227</v>
      </c>
      <c r="AZ16" s="2" t="s">
        <v>1198</v>
      </c>
      <c r="BA16" s="2" t="s">
        <v>1182</v>
      </c>
      <c r="BB16" s="2" t="s">
        <v>28</v>
      </c>
      <c r="BC16" s="2" t="s">
        <v>228</v>
      </c>
      <c r="BD16" s="2" t="s">
        <v>1403</v>
      </c>
      <c r="BE16" s="2" t="s">
        <v>28</v>
      </c>
      <c r="BF16" s="2" t="s">
        <v>1403</v>
      </c>
      <c r="BG16" s="5" t="s">
        <v>229</v>
      </c>
      <c r="BH16" s="5" t="s">
        <v>1043</v>
      </c>
      <c r="BI16" s="2" t="s">
        <v>230</v>
      </c>
      <c r="BJ16" s="2" t="s">
        <v>28</v>
      </c>
      <c r="BK16" s="2" t="s">
        <v>28</v>
      </c>
      <c r="BL16" s="2" t="s">
        <v>709</v>
      </c>
      <c r="BM16" s="2" t="s">
        <v>231</v>
      </c>
      <c r="BN16" s="2" t="s">
        <v>1403</v>
      </c>
      <c r="BO16" s="2" t="s">
        <v>1073</v>
      </c>
      <c r="BP16" s="2" t="s">
        <v>1403</v>
      </c>
      <c r="BQ16" s="2" t="s">
        <v>231</v>
      </c>
      <c r="BR16" s="2">
        <v>11</v>
      </c>
    </row>
    <row r="17" spans="1:70" s="5" customFormat="1" x14ac:dyDescent="0.2">
      <c r="A17" s="5" t="s">
        <v>62</v>
      </c>
      <c r="B17" s="5" t="s">
        <v>1320</v>
      </c>
      <c r="C17" s="2" t="s">
        <v>1398</v>
      </c>
      <c r="D17" s="2">
        <v>5</v>
      </c>
      <c r="E17" s="2">
        <v>2</v>
      </c>
      <c r="F17" s="2">
        <v>1</v>
      </c>
      <c r="G17" s="5" t="s">
        <v>39</v>
      </c>
      <c r="H17" s="5">
        <v>1</v>
      </c>
      <c r="I17" s="5">
        <v>2</v>
      </c>
      <c r="J17" s="5">
        <v>0</v>
      </c>
      <c r="K17" s="5">
        <v>0</v>
      </c>
      <c r="L17" s="5">
        <v>0</v>
      </c>
      <c r="M17" s="5">
        <v>0</v>
      </c>
      <c r="N17" s="5">
        <v>0</v>
      </c>
      <c r="O17" s="5">
        <v>0</v>
      </c>
      <c r="P17" s="5">
        <v>0</v>
      </c>
      <c r="Q17" s="5">
        <v>0</v>
      </c>
      <c r="R17" s="5">
        <f t="shared" si="0"/>
        <v>3</v>
      </c>
      <c r="S17" s="5" t="s">
        <v>232</v>
      </c>
      <c r="T17" s="5" t="s">
        <v>993</v>
      </c>
      <c r="U17" s="5" t="s">
        <v>989</v>
      </c>
      <c r="V17" s="5" t="s">
        <v>233</v>
      </c>
      <c r="W17" s="5">
        <v>5</v>
      </c>
      <c r="X17" s="4" t="s">
        <v>1403</v>
      </c>
      <c r="Y17" s="5" t="s">
        <v>42</v>
      </c>
      <c r="Z17" s="5" t="s">
        <v>1002</v>
      </c>
      <c r="AA17" s="5" t="s">
        <v>28</v>
      </c>
      <c r="AB17" s="5" t="s">
        <v>1040</v>
      </c>
      <c r="AC17" s="5" t="s">
        <v>234</v>
      </c>
      <c r="AD17" s="5" t="s">
        <v>1150</v>
      </c>
      <c r="AE17" s="5" t="s">
        <v>637</v>
      </c>
      <c r="AF17" s="5" t="s">
        <v>235</v>
      </c>
      <c r="AG17" s="5" t="s">
        <v>1052</v>
      </c>
      <c r="AH17" s="5">
        <v>30</v>
      </c>
      <c r="AI17" s="5" t="s">
        <v>1099</v>
      </c>
      <c r="AJ17" s="4" t="s">
        <v>1403</v>
      </c>
      <c r="AK17" s="5" t="s">
        <v>236</v>
      </c>
      <c r="AL17" s="5" t="s">
        <v>1104</v>
      </c>
      <c r="AM17" s="5" t="s">
        <v>237</v>
      </c>
      <c r="AN17" s="5" t="s">
        <v>1030</v>
      </c>
      <c r="AO17" s="5" t="s">
        <v>901</v>
      </c>
      <c r="AP17" s="5" t="s">
        <v>238</v>
      </c>
      <c r="AQ17" s="5" t="s">
        <v>1097</v>
      </c>
      <c r="AR17" s="5" t="s">
        <v>1403</v>
      </c>
      <c r="AS17" s="5" t="s">
        <v>1403</v>
      </c>
      <c r="AT17" s="5" t="s">
        <v>1403</v>
      </c>
      <c r="AU17" s="5" t="s">
        <v>1403</v>
      </c>
      <c r="AV17" s="5" t="s">
        <v>239</v>
      </c>
      <c r="AW17" s="5" t="s">
        <v>1403</v>
      </c>
      <c r="AX17" s="2" t="s">
        <v>28</v>
      </c>
      <c r="AY17" s="5" t="s">
        <v>240</v>
      </c>
      <c r="AZ17" s="5" t="s">
        <v>1403</v>
      </c>
      <c r="BA17" s="5" t="s">
        <v>1199</v>
      </c>
      <c r="BB17" s="5" t="s">
        <v>1403</v>
      </c>
      <c r="BC17" s="5" t="s">
        <v>241</v>
      </c>
      <c r="BD17" s="5" t="s">
        <v>1200</v>
      </c>
      <c r="BE17" s="5" t="s">
        <v>28</v>
      </c>
      <c r="BF17" s="5" t="s">
        <v>1403</v>
      </c>
      <c r="BG17" s="5" t="s">
        <v>242</v>
      </c>
      <c r="BH17" s="5" t="s">
        <v>709</v>
      </c>
      <c r="BI17" s="5" t="s">
        <v>243</v>
      </c>
      <c r="BJ17" s="5" t="s">
        <v>1180</v>
      </c>
      <c r="BK17" s="5" t="s">
        <v>1180</v>
      </c>
      <c r="BL17" s="5" t="s">
        <v>1403</v>
      </c>
      <c r="BM17" s="5" t="s">
        <v>244</v>
      </c>
      <c r="BN17" s="5" t="s">
        <v>1201</v>
      </c>
      <c r="BO17" s="2" t="s">
        <v>1068</v>
      </c>
      <c r="BP17" s="5" t="s">
        <v>1071</v>
      </c>
      <c r="BQ17" s="5" t="s">
        <v>244</v>
      </c>
      <c r="BR17" s="5">
        <v>10</v>
      </c>
    </row>
    <row r="18" spans="1:70" x14ac:dyDescent="0.2">
      <c r="A18" s="2" t="s">
        <v>92</v>
      </c>
      <c r="B18" s="2" t="s">
        <v>1321</v>
      </c>
      <c r="C18" s="6" t="s">
        <v>1400</v>
      </c>
      <c r="D18" s="2">
        <v>8</v>
      </c>
      <c r="E18" s="2">
        <v>2</v>
      </c>
      <c r="F18" s="2">
        <v>1</v>
      </c>
      <c r="G18" s="2" t="s">
        <v>39</v>
      </c>
      <c r="H18" s="2">
        <v>1</v>
      </c>
      <c r="I18" s="2">
        <v>2</v>
      </c>
      <c r="J18" s="2">
        <v>0</v>
      </c>
      <c r="K18" s="2">
        <v>0</v>
      </c>
      <c r="L18" s="2">
        <v>0</v>
      </c>
      <c r="M18" s="2">
        <v>0</v>
      </c>
      <c r="N18" s="2">
        <v>0</v>
      </c>
      <c r="O18" s="2">
        <v>0</v>
      </c>
      <c r="P18" s="2">
        <v>0</v>
      </c>
      <c r="Q18" s="2">
        <v>0</v>
      </c>
      <c r="R18" s="2">
        <f t="shared" si="0"/>
        <v>3</v>
      </c>
      <c r="S18" s="2" t="s">
        <v>245</v>
      </c>
      <c r="T18" s="2" t="s">
        <v>826</v>
      </c>
      <c r="U18" s="2" t="s">
        <v>1403</v>
      </c>
      <c r="V18" s="2" t="s">
        <v>1149</v>
      </c>
      <c r="W18" s="2">
        <v>1</v>
      </c>
      <c r="X18" s="2" t="s">
        <v>246</v>
      </c>
      <c r="Y18" s="2" t="s">
        <v>42</v>
      </c>
      <c r="Z18" s="4" t="s">
        <v>1403</v>
      </c>
      <c r="AA18" s="2" t="s">
        <v>28</v>
      </c>
      <c r="AB18" s="2" t="s">
        <v>1040</v>
      </c>
      <c r="AC18" s="2" t="s">
        <v>28</v>
      </c>
      <c r="AD18" s="4" t="s">
        <v>1403</v>
      </c>
      <c r="AE18" s="2" t="s">
        <v>1113</v>
      </c>
      <c r="AF18" s="2" t="s">
        <v>247</v>
      </c>
      <c r="AG18" s="2" t="s">
        <v>588</v>
      </c>
      <c r="AH18" s="2">
        <v>5</v>
      </c>
      <c r="AI18" s="5" t="s">
        <v>1163</v>
      </c>
      <c r="AJ18" s="2">
        <v>30</v>
      </c>
      <c r="AK18" s="2" t="s">
        <v>248</v>
      </c>
      <c r="AL18" s="5" t="s">
        <v>1106</v>
      </c>
      <c r="AM18" s="2" t="s">
        <v>249</v>
      </c>
      <c r="AN18" s="4" t="s">
        <v>1403</v>
      </c>
      <c r="AO18" s="2" t="s">
        <v>1187</v>
      </c>
      <c r="AP18" s="4" t="s">
        <v>1403</v>
      </c>
      <c r="AQ18" s="2" t="s">
        <v>1128</v>
      </c>
      <c r="AR18" s="4" t="s">
        <v>1403</v>
      </c>
      <c r="AS18" s="2" t="s">
        <v>1403</v>
      </c>
      <c r="AT18" s="4" t="s">
        <v>1403</v>
      </c>
      <c r="AU18" s="2" t="s">
        <v>1403</v>
      </c>
      <c r="AV18" s="2" t="s">
        <v>250</v>
      </c>
      <c r="AW18" s="2" t="s">
        <v>28</v>
      </c>
      <c r="AX18" s="2" t="s">
        <v>28</v>
      </c>
      <c r="AY18" s="2" t="s">
        <v>251</v>
      </c>
      <c r="AZ18" s="2" t="s">
        <v>1202</v>
      </c>
      <c r="BA18" s="2" t="s">
        <v>1403</v>
      </c>
      <c r="BB18" s="2" t="s">
        <v>901</v>
      </c>
      <c r="BC18" s="2" t="s">
        <v>252</v>
      </c>
      <c r="BD18" s="2" t="s">
        <v>1183</v>
      </c>
      <c r="BE18" s="2" t="s">
        <v>28</v>
      </c>
      <c r="BF18" s="2" t="s">
        <v>1203</v>
      </c>
      <c r="BG18" s="2" t="s">
        <v>253</v>
      </c>
      <c r="BH18" s="2" t="s">
        <v>1043</v>
      </c>
      <c r="BI18" s="2" t="s">
        <v>254</v>
      </c>
      <c r="BJ18" s="2" t="s">
        <v>1179</v>
      </c>
      <c r="BK18" s="2" t="s">
        <v>1179</v>
      </c>
      <c r="BL18" s="2" t="s">
        <v>709</v>
      </c>
      <c r="BM18" s="2" t="s">
        <v>255</v>
      </c>
      <c r="BN18" s="2" t="s">
        <v>1403</v>
      </c>
      <c r="BO18" s="2" t="s">
        <v>1068</v>
      </c>
      <c r="BP18" s="2" t="s">
        <v>1083</v>
      </c>
      <c r="BQ18" s="2" t="s">
        <v>255</v>
      </c>
      <c r="BR18" s="2">
        <v>2</v>
      </c>
    </row>
    <row r="19" spans="1:70" x14ac:dyDescent="0.2">
      <c r="A19" s="2" t="s">
        <v>25</v>
      </c>
      <c r="B19" s="2" t="s">
        <v>1322</v>
      </c>
      <c r="C19" s="6" t="s">
        <v>1400</v>
      </c>
      <c r="D19" s="2">
        <v>7</v>
      </c>
      <c r="E19" s="2">
        <v>4</v>
      </c>
      <c r="F19" s="2">
        <v>0</v>
      </c>
      <c r="G19" s="2" t="s">
        <v>192</v>
      </c>
      <c r="H19" s="2">
        <v>0</v>
      </c>
      <c r="I19" s="2">
        <v>4</v>
      </c>
      <c r="J19" s="2">
        <v>0</v>
      </c>
      <c r="K19" s="2">
        <v>0</v>
      </c>
      <c r="L19" s="2">
        <v>0</v>
      </c>
      <c r="M19" s="2">
        <v>0</v>
      </c>
      <c r="N19" s="2">
        <v>0</v>
      </c>
      <c r="O19" s="2">
        <v>0</v>
      </c>
      <c r="P19" s="2">
        <v>0</v>
      </c>
      <c r="Q19" s="2">
        <v>0</v>
      </c>
      <c r="R19" s="2">
        <f t="shared" si="0"/>
        <v>4</v>
      </c>
      <c r="S19" s="2" t="s">
        <v>256</v>
      </c>
      <c r="T19" s="2" t="s">
        <v>991</v>
      </c>
      <c r="U19" s="2" t="s">
        <v>1403</v>
      </c>
      <c r="V19" s="2" t="s">
        <v>1403</v>
      </c>
      <c r="W19" s="2">
        <v>1</v>
      </c>
      <c r="X19" s="4" t="s">
        <v>1403</v>
      </c>
      <c r="Y19" s="2" t="s">
        <v>42</v>
      </c>
      <c r="Z19" s="4" t="s">
        <v>1403</v>
      </c>
      <c r="AA19" s="2" t="s">
        <v>257</v>
      </c>
      <c r="AB19" s="2" t="s">
        <v>1040</v>
      </c>
      <c r="AC19" s="2" t="s">
        <v>28</v>
      </c>
      <c r="AD19" s="5" t="s">
        <v>258</v>
      </c>
      <c r="AE19" s="2" t="s">
        <v>1113</v>
      </c>
      <c r="AF19" s="2" t="s">
        <v>259</v>
      </c>
      <c r="AG19" s="2" t="s">
        <v>1052</v>
      </c>
      <c r="AH19" s="2">
        <v>30</v>
      </c>
      <c r="AI19" s="5" t="s">
        <v>1023</v>
      </c>
      <c r="AJ19" s="4" t="s">
        <v>1403</v>
      </c>
      <c r="AK19" s="4" t="s">
        <v>1403</v>
      </c>
      <c r="AL19" s="5" t="s">
        <v>1104</v>
      </c>
      <c r="AM19" s="4" t="s">
        <v>1403</v>
      </c>
      <c r="AN19" s="4" t="s">
        <v>1403</v>
      </c>
      <c r="AO19" s="2" t="s">
        <v>1405</v>
      </c>
      <c r="AP19" s="4" t="s">
        <v>1403</v>
      </c>
      <c r="AQ19" s="2" t="s">
        <v>1128</v>
      </c>
      <c r="AR19" s="4" t="s">
        <v>1403</v>
      </c>
      <c r="AS19" s="2" t="s">
        <v>1403</v>
      </c>
      <c r="AT19" s="4" t="s">
        <v>1403</v>
      </c>
      <c r="AU19" s="2" t="s">
        <v>1403</v>
      </c>
      <c r="AV19" s="4" t="s">
        <v>1403</v>
      </c>
      <c r="AW19" s="2" t="s">
        <v>28</v>
      </c>
      <c r="AX19" s="2" t="s">
        <v>28</v>
      </c>
      <c r="AY19" s="2" t="s">
        <v>1403</v>
      </c>
      <c r="AZ19" s="2" t="s">
        <v>86</v>
      </c>
      <c r="BA19" s="2" t="s">
        <v>1403</v>
      </c>
      <c r="BB19" s="2" t="s">
        <v>901</v>
      </c>
      <c r="BC19" s="2" t="s">
        <v>260</v>
      </c>
      <c r="BD19" s="2" t="s">
        <v>31</v>
      </c>
      <c r="BE19" s="2" t="s">
        <v>261</v>
      </c>
      <c r="BF19" s="2" t="s">
        <v>1403</v>
      </c>
      <c r="BG19" s="2" t="s">
        <v>262</v>
      </c>
      <c r="BH19" s="2" t="s">
        <v>709</v>
      </c>
      <c r="BI19" s="2" t="s">
        <v>263</v>
      </c>
      <c r="BJ19" s="2" t="s">
        <v>1179</v>
      </c>
      <c r="BK19" s="2" t="s">
        <v>1179</v>
      </c>
      <c r="BL19" s="2" t="s">
        <v>1403</v>
      </c>
      <c r="BM19" s="2" t="s">
        <v>264</v>
      </c>
      <c r="BN19" s="2" t="s">
        <v>1403</v>
      </c>
      <c r="BO19" s="2" t="s">
        <v>1068</v>
      </c>
      <c r="BP19" s="2" t="s">
        <v>1071</v>
      </c>
      <c r="BQ19" s="2" t="s">
        <v>264</v>
      </c>
      <c r="BR19" s="2">
        <v>3</v>
      </c>
    </row>
    <row r="20" spans="1:70" x14ac:dyDescent="0.2">
      <c r="A20" s="2" t="s">
        <v>25</v>
      </c>
      <c r="B20" s="2" t="s">
        <v>1323</v>
      </c>
      <c r="C20" s="2" t="s">
        <v>1401</v>
      </c>
      <c r="D20" s="2">
        <v>2</v>
      </c>
      <c r="E20" s="2">
        <v>0</v>
      </c>
      <c r="F20" s="2">
        <v>0</v>
      </c>
      <c r="G20" s="2" t="s">
        <v>48</v>
      </c>
      <c r="H20" s="2">
        <v>1</v>
      </c>
      <c r="I20" s="2">
        <v>0</v>
      </c>
      <c r="J20" s="2">
        <v>0</v>
      </c>
      <c r="K20" s="2">
        <v>0</v>
      </c>
      <c r="L20" s="2">
        <v>0</v>
      </c>
      <c r="M20" s="2">
        <v>0</v>
      </c>
      <c r="N20" s="2">
        <v>0</v>
      </c>
      <c r="O20" s="2">
        <v>0</v>
      </c>
      <c r="P20" s="2">
        <v>0</v>
      </c>
      <c r="Q20" s="2">
        <v>0</v>
      </c>
      <c r="R20" s="2">
        <f t="shared" si="0"/>
        <v>1</v>
      </c>
      <c r="S20" s="2" t="s">
        <v>265</v>
      </c>
      <c r="T20" s="2" t="s">
        <v>988</v>
      </c>
      <c r="U20" s="2" t="s">
        <v>1403</v>
      </c>
      <c r="V20" s="2" t="s">
        <v>266</v>
      </c>
      <c r="W20" s="2">
        <v>1</v>
      </c>
      <c r="X20" s="2" t="s">
        <v>267</v>
      </c>
      <c r="Y20" s="2" t="s">
        <v>42</v>
      </c>
      <c r="Z20" s="4" t="s">
        <v>1403</v>
      </c>
      <c r="AA20" s="2" t="s">
        <v>268</v>
      </c>
      <c r="AB20" s="2" t="s">
        <v>1044</v>
      </c>
      <c r="AC20" s="4" t="s">
        <v>1403</v>
      </c>
      <c r="AD20" s="5" t="s">
        <v>269</v>
      </c>
      <c r="AE20" s="2" t="s">
        <v>1113</v>
      </c>
      <c r="AF20" s="2" t="s">
        <v>270</v>
      </c>
      <c r="AG20" s="2" t="s">
        <v>588</v>
      </c>
      <c r="AH20" s="2">
        <v>10</v>
      </c>
      <c r="AI20" s="5" t="s">
        <v>1091</v>
      </c>
      <c r="AJ20" s="2">
        <v>4</v>
      </c>
      <c r="AK20" s="2" t="s">
        <v>271</v>
      </c>
      <c r="AL20" s="5" t="s">
        <v>1104</v>
      </c>
      <c r="AM20" s="4" t="s">
        <v>1403</v>
      </c>
      <c r="AN20" s="2" t="s">
        <v>1186</v>
      </c>
      <c r="AO20" s="2" t="s">
        <v>857</v>
      </c>
      <c r="AP20" s="4" t="s">
        <v>1403</v>
      </c>
      <c r="AQ20" s="2" t="s">
        <v>1128</v>
      </c>
      <c r="AR20" s="4" t="s">
        <v>1403</v>
      </c>
      <c r="AS20" s="2" t="s">
        <v>1403</v>
      </c>
      <c r="AT20" s="4" t="s">
        <v>1403</v>
      </c>
      <c r="AU20" s="2" t="s">
        <v>1403</v>
      </c>
      <c r="AV20" s="2" t="s">
        <v>272</v>
      </c>
      <c r="AW20" s="2" t="s">
        <v>28</v>
      </c>
      <c r="AX20" s="2" t="s">
        <v>28</v>
      </c>
      <c r="AY20" s="2" t="s">
        <v>1403</v>
      </c>
      <c r="AZ20" s="2" t="s">
        <v>1403</v>
      </c>
      <c r="BA20" s="2" t="s">
        <v>1403</v>
      </c>
      <c r="BB20" s="2" t="s">
        <v>1403</v>
      </c>
      <c r="BC20" s="2" t="s">
        <v>273</v>
      </c>
      <c r="BD20" s="2" t="s">
        <v>1162</v>
      </c>
      <c r="BE20" s="2" t="s">
        <v>101</v>
      </c>
      <c r="BF20" s="2" t="s">
        <v>101</v>
      </c>
      <c r="BG20" s="2" t="s">
        <v>274</v>
      </c>
      <c r="BH20" s="2" t="s">
        <v>1043</v>
      </c>
      <c r="BI20" s="2" t="s">
        <v>275</v>
      </c>
      <c r="BJ20" s="2" t="s">
        <v>28</v>
      </c>
      <c r="BK20" s="2" t="s">
        <v>1179</v>
      </c>
      <c r="BL20" s="2" t="s">
        <v>1403</v>
      </c>
      <c r="BM20" s="2" t="s">
        <v>276</v>
      </c>
      <c r="BN20" s="2" t="s">
        <v>1403</v>
      </c>
      <c r="BO20" s="2" t="s">
        <v>1073</v>
      </c>
      <c r="BP20" s="2" t="s">
        <v>1403</v>
      </c>
      <c r="BQ20" s="2" t="s">
        <v>276</v>
      </c>
      <c r="BR20" s="2">
        <v>2</v>
      </c>
    </row>
    <row r="21" spans="1:70" x14ac:dyDescent="0.2">
      <c r="A21" s="2" t="s">
        <v>25</v>
      </c>
      <c r="B21" s="2" t="s">
        <v>1324</v>
      </c>
      <c r="C21" s="2" t="s">
        <v>1401</v>
      </c>
      <c r="D21" s="2">
        <v>9</v>
      </c>
      <c r="E21" s="2">
        <v>5</v>
      </c>
      <c r="F21" s="2" t="s">
        <v>1403</v>
      </c>
      <c r="G21" s="2" t="s">
        <v>39</v>
      </c>
      <c r="H21" s="2">
        <v>1</v>
      </c>
      <c r="I21" s="2">
        <v>5</v>
      </c>
      <c r="J21" s="2">
        <v>0</v>
      </c>
      <c r="K21" s="2">
        <v>0</v>
      </c>
      <c r="L21" s="2">
        <v>0</v>
      </c>
      <c r="M21" s="2">
        <v>0</v>
      </c>
      <c r="N21" s="2">
        <v>0</v>
      </c>
      <c r="O21" s="2">
        <v>0</v>
      </c>
      <c r="P21" s="2">
        <v>0</v>
      </c>
      <c r="Q21" s="2">
        <v>0</v>
      </c>
      <c r="R21" s="2">
        <f t="shared" si="0"/>
        <v>6</v>
      </c>
      <c r="S21" s="5" t="s">
        <v>277</v>
      </c>
      <c r="T21" s="2" t="s">
        <v>985</v>
      </c>
      <c r="U21" s="2" t="s">
        <v>1403</v>
      </c>
      <c r="V21" s="2" t="s">
        <v>278</v>
      </c>
      <c r="W21" s="2">
        <v>1</v>
      </c>
      <c r="X21" s="2" t="s">
        <v>278</v>
      </c>
      <c r="Y21" s="2" t="s">
        <v>42</v>
      </c>
      <c r="Z21" s="2" t="s">
        <v>1024</v>
      </c>
      <c r="AA21" s="2" t="s">
        <v>279</v>
      </c>
      <c r="AB21" s="2" t="s">
        <v>1040</v>
      </c>
      <c r="AC21" s="2" t="s">
        <v>28</v>
      </c>
      <c r="AD21" s="4" t="s">
        <v>1403</v>
      </c>
      <c r="AE21" s="2" t="s">
        <v>1114</v>
      </c>
      <c r="AF21" s="4" t="s">
        <v>1403</v>
      </c>
      <c r="AG21" s="2" t="s">
        <v>1052</v>
      </c>
      <c r="AH21" s="2">
        <v>60</v>
      </c>
      <c r="AI21" s="4" t="s">
        <v>1403</v>
      </c>
      <c r="AJ21" s="4" t="s">
        <v>1403</v>
      </c>
      <c r="AK21" s="2" t="s">
        <v>280</v>
      </c>
      <c r="AL21" s="5" t="s">
        <v>1104</v>
      </c>
      <c r="AM21" s="2" t="s">
        <v>281</v>
      </c>
      <c r="AN21" s="2" t="s">
        <v>1204</v>
      </c>
      <c r="AO21" s="2" t="s">
        <v>857</v>
      </c>
      <c r="AP21" s="2" t="s">
        <v>282</v>
      </c>
      <c r="AQ21" s="2" t="s">
        <v>1126</v>
      </c>
      <c r="AR21" s="4" t="s">
        <v>1403</v>
      </c>
      <c r="AS21" s="2" t="s">
        <v>1403</v>
      </c>
      <c r="AT21" s="4" t="s">
        <v>1403</v>
      </c>
      <c r="AU21" s="2" t="s">
        <v>1403</v>
      </c>
      <c r="AV21" s="5" t="s">
        <v>283</v>
      </c>
      <c r="AW21" s="5" t="s">
        <v>28</v>
      </c>
      <c r="AX21" s="2" t="s">
        <v>1145</v>
      </c>
      <c r="AY21" s="2" t="s">
        <v>284</v>
      </c>
      <c r="AZ21" s="2" t="s">
        <v>1205</v>
      </c>
      <c r="BA21" s="2" t="s">
        <v>1277</v>
      </c>
      <c r="BB21" s="2" t="s">
        <v>709</v>
      </c>
      <c r="BC21" s="2" t="s">
        <v>285</v>
      </c>
      <c r="BD21" s="2" t="s">
        <v>1200</v>
      </c>
      <c r="BE21" s="2" t="s">
        <v>286</v>
      </c>
      <c r="BF21" s="2" t="s">
        <v>1205</v>
      </c>
      <c r="BG21" s="2" t="s">
        <v>287</v>
      </c>
      <c r="BH21" s="2" t="s">
        <v>709</v>
      </c>
      <c r="BI21" s="2" t="s">
        <v>288</v>
      </c>
      <c r="BJ21" s="2" t="s">
        <v>1180</v>
      </c>
      <c r="BK21" s="2" t="s">
        <v>1180</v>
      </c>
      <c r="BL21" s="2" t="s">
        <v>709</v>
      </c>
      <c r="BM21" s="2" t="s">
        <v>289</v>
      </c>
      <c r="BN21" s="2" t="s">
        <v>1151</v>
      </c>
      <c r="BO21" s="2" t="s">
        <v>1075</v>
      </c>
      <c r="BP21" s="2" t="s">
        <v>1071</v>
      </c>
      <c r="BQ21" s="2" t="s">
        <v>289</v>
      </c>
      <c r="BR21" s="2">
        <v>5</v>
      </c>
    </row>
    <row r="22" spans="1:70" x14ac:dyDescent="0.2">
      <c r="A22" s="2" t="s">
        <v>25</v>
      </c>
      <c r="B22" s="2" t="s">
        <v>1325</v>
      </c>
      <c r="C22" s="2" t="s">
        <v>1399</v>
      </c>
      <c r="D22" s="2">
        <v>3</v>
      </c>
      <c r="E22" s="2">
        <v>0</v>
      </c>
      <c r="F22" s="2">
        <v>0</v>
      </c>
      <c r="G22" s="2" t="s">
        <v>290</v>
      </c>
      <c r="H22" s="2">
        <v>1</v>
      </c>
      <c r="I22" s="2">
        <v>0</v>
      </c>
      <c r="J22" s="2">
        <v>0</v>
      </c>
      <c r="K22" s="2">
        <v>0</v>
      </c>
      <c r="L22" s="2">
        <v>0</v>
      </c>
      <c r="M22" s="2">
        <v>0</v>
      </c>
      <c r="N22" s="2">
        <v>1</v>
      </c>
      <c r="O22" s="2">
        <v>0</v>
      </c>
      <c r="P22" s="2">
        <v>0</v>
      </c>
      <c r="Q22" s="2">
        <v>0</v>
      </c>
      <c r="R22" s="2">
        <f t="shared" si="0"/>
        <v>2</v>
      </c>
      <c r="S22" s="5" t="s">
        <v>291</v>
      </c>
      <c r="T22" s="2" t="s">
        <v>987</v>
      </c>
      <c r="U22" s="2" t="s">
        <v>1209</v>
      </c>
      <c r="V22" s="5" t="s">
        <v>292</v>
      </c>
      <c r="W22" s="2">
        <v>10</v>
      </c>
      <c r="X22" s="2" t="s">
        <v>293</v>
      </c>
      <c r="Y22" s="2" t="s">
        <v>293</v>
      </c>
      <c r="Z22" s="4" t="s">
        <v>1403</v>
      </c>
      <c r="AA22" s="2" t="s">
        <v>294</v>
      </c>
      <c r="AB22" s="2" t="s">
        <v>1206</v>
      </c>
      <c r="AC22" s="2" t="s">
        <v>295</v>
      </c>
      <c r="AD22" s="5" t="s">
        <v>296</v>
      </c>
      <c r="AE22" s="2" t="s">
        <v>1114</v>
      </c>
      <c r="AF22" s="2" t="s">
        <v>458</v>
      </c>
      <c r="AG22" s="2" t="s">
        <v>1057</v>
      </c>
      <c r="AH22" s="2">
        <v>360</v>
      </c>
      <c r="AI22" s="4" t="s">
        <v>1403</v>
      </c>
      <c r="AJ22" s="4" t="s">
        <v>1403</v>
      </c>
      <c r="AK22" s="2" t="s">
        <v>297</v>
      </c>
      <c r="AL22" s="5" t="s">
        <v>1100</v>
      </c>
      <c r="AM22" s="2" t="s">
        <v>298</v>
      </c>
      <c r="AN22" s="2" t="s">
        <v>1034</v>
      </c>
      <c r="AO22" s="2" t="s">
        <v>1187</v>
      </c>
      <c r="AP22" s="2" t="s">
        <v>299</v>
      </c>
      <c r="AQ22" s="2" t="s">
        <v>1127</v>
      </c>
      <c r="AR22" s="2" t="s">
        <v>1045</v>
      </c>
      <c r="AS22" s="2" t="s">
        <v>1159</v>
      </c>
      <c r="AT22" s="4" t="s">
        <v>1403</v>
      </c>
      <c r="AU22" s="2" t="s">
        <v>709</v>
      </c>
      <c r="AV22" s="2" t="s">
        <v>300</v>
      </c>
      <c r="AW22" s="2" t="s">
        <v>28</v>
      </c>
      <c r="AX22" s="2" t="s">
        <v>1145</v>
      </c>
      <c r="AY22" s="2" t="s">
        <v>1403</v>
      </c>
      <c r="AZ22" s="2" t="s">
        <v>1207</v>
      </c>
      <c r="BA22" s="2" t="s">
        <v>1208</v>
      </c>
      <c r="BB22" s="2" t="s">
        <v>709</v>
      </c>
      <c r="BC22" s="2" t="s">
        <v>301</v>
      </c>
      <c r="BD22" s="2" t="s">
        <v>1062</v>
      </c>
      <c r="BE22" s="2" t="s">
        <v>302</v>
      </c>
      <c r="BF22" s="2" t="s">
        <v>1207</v>
      </c>
      <c r="BG22" s="2" t="s">
        <v>303</v>
      </c>
      <c r="BH22" s="2" t="s">
        <v>709</v>
      </c>
      <c r="BI22" s="2" t="s">
        <v>1382</v>
      </c>
      <c r="BJ22" s="2" t="s">
        <v>1180</v>
      </c>
      <c r="BK22" s="2" t="s">
        <v>1180</v>
      </c>
      <c r="BL22" s="2" t="s">
        <v>1403</v>
      </c>
      <c r="BM22" s="2" t="s">
        <v>304</v>
      </c>
      <c r="BN22" s="2" t="s">
        <v>1403</v>
      </c>
      <c r="BO22" s="2" t="s">
        <v>1076</v>
      </c>
      <c r="BP22" s="2" t="s">
        <v>1084</v>
      </c>
      <c r="BQ22" s="2" t="s">
        <v>304</v>
      </c>
      <c r="BR22" s="2">
        <v>9</v>
      </c>
    </row>
    <row r="23" spans="1:70" x14ac:dyDescent="0.2">
      <c r="A23" s="2" t="s">
        <v>25</v>
      </c>
      <c r="B23" s="2" t="s">
        <v>1326</v>
      </c>
      <c r="C23" s="2" t="s">
        <v>1402</v>
      </c>
      <c r="D23" s="2" t="s">
        <v>1403</v>
      </c>
      <c r="E23" s="2" t="s">
        <v>1403</v>
      </c>
      <c r="F23" s="2" t="s">
        <v>1403</v>
      </c>
      <c r="G23" s="2" t="s">
        <v>48</v>
      </c>
      <c r="H23" s="2">
        <v>1</v>
      </c>
      <c r="I23" s="2">
        <v>0</v>
      </c>
      <c r="J23" s="2">
        <v>0</v>
      </c>
      <c r="K23" s="2">
        <v>0</v>
      </c>
      <c r="L23" s="2">
        <v>0</v>
      </c>
      <c r="M23" s="2">
        <v>0</v>
      </c>
      <c r="N23" s="2">
        <v>0</v>
      </c>
      <c r="O23" s="2">
        <v>0</v>
      </c>
      <c r="P23" s="2">
        <v>0</v>
      </c>
      <c r="Q23" s="2">
        <v>0</v>
      </c>
      <c r="R23" s="2">
        <f t="shared" si="0"/>
        <v>1</v>
      </c>
      <c r="S23" s="2" t="s">
        <v>305</v>
      </c>
      <c r="T23" s="2" t="s">
        <v>989</v>
      </c>
      <c r="U23" s="2" t="s">
        <v>989</v>
      </c>
      <c r="V23" s="2" t="s">
        <v>1403</v>
      </c>
      <c r="W23" s="2">
        <v>5</v>
      </c>
      <c r="X23" s="2" t="s">
        <v>42</v>
      </c>
      <c r="Y23" s="2" t="s">
        <v>42</v>
      </c>
      <c r="Z23" s="2" t="s">
        <v>1002</v>
      </c>
      <c r="AA23" s="4" t="s">
        <v>1403</v>
      </c>
      <c r="AB23" s="2" t="s">
        <v>1040</v>
      </c>
      <c r="AC23" s="2" t="s">
        <v>28</v>
      </c>
      <c r="AD23" s="2" t="s">
        <v>306</v>
      </c>
      <c r="AE23" s="2" t="s">
        <v>637</v>
      </c>
      <c r="AF23" s="2" t="s">
        <v>307</v>
      </c>
      <c r="AG23" s="2" t="s">
        <v>1055</v>
      </c>
      <c r="AH23" s="2">
        <v>120</v>
      </c>
      <c r="AI23" s="5" t="s">
        <v>1091</v>
      </c>
      <c r="AJ23" s="2">
        <v>5</v>
      </c>
      <c r="AK23" s="2" t="s">
        <v>308</v>
      </c>
      <c r="AL23" s="5" t="s">
        <v>1104</v>
      </c>
      <c r="AM23" s="2" t="s">
        <v>309</v>
      </c>
      <c r="AN23" s="2" t="s">
        <v>31</v>
      </c>
      <c r="AO23" s="2" t="s">
        <v>31</v>
      </c>
      <c r="AP23" s="4" t="s">
        <v>1403</v>
      </c>
      <c r="AQ23" s="2" t="s">
        <v>1097</v>
      </c>
      <c r="AR23" s="4" t="s">
        <v>1403</v>
      </c>
      <c r="AS23" s="2" t="s">
        <v>1403</v>
      </c>
      <c r="AT23" s="4" t="s">
        <v>1403</v>
      </c>
      <c r="AU23" s="2" t="s">
        <v>1403</v>
      </c>
      <c r="AV23" s="2" t="s">
        <v>28</v>
      </c>
      <c r="AW23" s="2" t="s">
        <v>28</v>
      </c>
      <c r="AX23" s="2" t="s">
        <v>28</v>
      </c>
      <c r="AY23" s="2" t="s">
        <v>310</v>
      </c>
      <c r="AZ23" s="2" t="s">
        <v>1210</v>
      </c>
      <c r="BA23" s="2" t="s">
        <v>1403</v>
      </c>
      <c r="BB23" s="2" t="s">
        <v>709</v>
      </c>
      <c r="BC23" s="2" t="s">
        <v>311</v>
      </c>
      <c r="BD23" s="2" t="s">
        <v>1183</v>
      </c>
      <c r="BE23" s="2" t="s">
        <v>101</v>
      </c>
      <c r="BF23" s="2" t="s">
        <v>101</v>
      </c>
      <c r="BG23" s="2" t="s">
        <v>1403</v>
      </c>
      <c r="BH23" s="2" t="s">
        <v>1403</v>
      </c>
      <c r="BI23" s="2" t="s">
        <v>1403</v>
      </c>
      <c r="BJ23" s="2" t="s">
        <v>1403</v>
      </c>
      <c r="BK23" s="2" t="s">
        <v>1403</v>
      </c>
      <c r="BL23" s="2" t="s">
        <v>1403</v>
      </c>
      <c r="BM23" s="2" t="s">
        <v>312</v>
      </c>
      <c r="BN23" s="2" t="s">
        <v>1403</v>
      </c>
      <c r="BO23" s="2" t="s">
        <v>1403</v>
      </c>
      <c r="BP23" s="2" t="s">
        <v>1403</v>
      </c>
      <c r="BQ23" s="2" t="s">
        <v>312</v>
      </c>
      <c r="BR23" s="2">
        <v>7</v>
      </c>
    </row>
    <row r="24" spans="1:70" x14ac:dyDescent="0.2">
      <c r="A24" s="2" t="s">
        <v>25</v>
      </c>
      <c r="B24" s="2" t="s">
        <v>1379</v>
      </c>
      <c r="C24" s="2" t="s">
        <v>1398</v>
      </c>
      <c r="D24" s="2">
        <v>4</v>
      </c>
      <c r="E24" s="2">
        <v>2</v>
      </c>
      <c r="F24" s="2">
        <v>0</v>
      </c>
      <c r="G24" s="2" t="s">
        <v>39</v>
      </c>
      <c r="H24" s="2">
        <v>1</v>
      </c>
      <c r="I24" s="2">
        <v>2</v>
      </c>
      <c r="J24" s="2">
        <v>0</v>
      </c>
      <c r="K24" s="2">
        <v>0</v>
      </c>
      <c r="L24" s="2">
        <v>0</v>
      </c>
      <c r="M24" s="2">
        <v>0</v>
      </c>
      <c r="N24" s="2">
        <v>0</v>
      </c>
      <c r="O24" s="2">
        <v>0</v>
      </c>
      <c r="P24" s="2">
        <v>0</v>
      </c>
      <c r="Q24" s="2">
        <v>0</v>
      </c>
      <c r="R24" s="2">
        <f t="shared" si="0"/>
        <v>3</v>
      </c>
      <c r="S24" s="2" t="s">
        <v>313</v>
      </c>
      <c r="T24" s="2" t="s">
        <v>987</v>
      </c>
      <c r="U24" s="2" t="s">
        <v>1005</v>
      </c>
      <c r="V24" s="2" t="s">
        <v>314</v>
      </c>
      <c r="W24" s="2">
        <v>5</v>
      </c>
      <c r="X24" s="2" t="s">
        <v>42</v>
      </c>
      <c r="Y24" s="2" t="s">
        <v>42</v>
      </c>
      <c r="Z24" s="2" t="s">
        <v>1022</v>
      </c>
      <c r="AA24" s="2" t="s">
        <v>315</v>
      </c>
      <c r="AB24" s="2" t="s">
        <v>1040</v>
      </c>
      <c r="AC24" s="2" t="s">
        <v>28</v>
      </c>
      <c r="AD24" s="5" t="s">
        <v>316</v>
      </c>
      <c r="AE24" s="2" t="s">
        <v>637</v>
      </c>
      <c r="AF24" s="2" t="s">
        <v>317</v>
      </c>
      <c r="AG24" s="2" t="s">
        <v>1055</v>
      </c>
      <c r="AH24" s="2">
        <v>120</v>
      </c>
      <c r="AI24" s="5" t="s">
        <v>1099</v>
      </c>
      <c r="AJ24" s="4" t="s">
        <v>1403</v>
      </c>
      <c r="AK24" s="2" t="s">
        <v>318</v>
      </c>
      <c r="AL24" s="5" t="s">
        <v>1100</v>
      </c>
      <c r="AM24" s="2" t="s">
        <v>319</v>
      </c>
      <c r="AN24" s="2" t="s">
        <v>1186</v>
      </c>
      <c r="AO24" s="2" t="s">
        <v>901</v>
      </c>
      <c r="AP24" s="2" t="s">
        <v>320</v>
      </c>
      <c r="AQ24" s="2" t="s">
        <v>1097</v>
      </c>
      <c r="AR24" s="4" t="s">
        <v>1403</v>
      </c>
      <c r="AS24" s="2" t="s">
        <v>1403</v>
      </c>
      <c r="AT24" s="4" t="s">
        <v>1403</v>
      </c>
      <c r="AU24" s="2" t="s">
        <v>1403</v>
      </c>
      <c r="AV24" s="4" t="s">
        <v>1403</v>
      </c>
      <c r="AW24" s="2" t="s">
        <v>28</v>
      </c>
      <c r="AX24" s="2" t="s">
        <v>28</v>
      </c>
      <c r="AY24" s="2" t="s">
        <v>321</v>
      </c>
      <c r="AZ24" s="2" t="s">
        <v>1213</v>
      </c>
      <c r="BA24" s="2" t="s">
        <v>1182</v>
      </c>
      <c r="BB24" s="2" t="s">
        <v>1403</v>
      </c>
      <c r="BC24" s="2" t="s">
        <v>322</v>
      </c>
      <c r="BD24" s="2" t="s">
        <v>1212</v>
      </c>
      <c r="BE24" s="2" t="s">
        <v>323</v>
      </c>
      <c r="BF24" s="2" t="s">
        <v>101</v>
      </c>
      <c r="BG24" s="2" t="s">
        <v>324</v>
      </c>
      <c r="BH24" s="2" t="s">
        <v>709</v>
      </c>
      <c r="BI24" s="2" t="s">
        <v>325</v>
      </c>
      <c r="BJ24" s="2" t="s">
        <v>1180</v>
      </c>
      <c r="BK24" s="2" t="s">
        <v>1180</v>
      </c>
      <c r="BL24" s="2" t="s">
        <v>1403</v>
      </c>
      <c r="BM24" s="2" t="s">
        <v>326</v>
      </c>
      <c r="BN24" s="2" t="s">
        <v>1211</v>
      </c>
      <c r="BO24" s="2" t="s">
        <v>1073</v>
      </c>
      <c r="BP24" s="2" t="s">
        <v>1088</v>
      </c>
      <c r="BQ24" s="2" t="s">
        <v>326</v>
      </c>
      <c r="BR24" s="2">
        <v>2</v>
      </c>
    </row>
    <row r="25" spans="1:70" x14ac:dyDescent="0.2">
      <c r="A25" s="2" t="s">
        <v>25</v>
      </c>
      <c r="B25" s="2" t="s">
        <v>1327</v>
      </c>
      <c r="C25" s="2" t="s">
        <v>1398</v>
      </c>
      <c r="D25" s="2">
        <v>6</v>
      </c>
      <c r="E25" s="2">
        <v>0</v>
      </c>
      <c r="F25" s="2" t="s">
        <v>1403</v>
      </c>
      <c r="G25" s="2" t="s">
        <v>39</v>
      </c>
      <c r="H25" s="2">
        <v>1</v>
      </c>
      <c r="I25" s="2">
        <v>1</v>
      </c>
      <c r="J25" s="2">
        <v>0</v>
      </c>
      <c r="K25" s="2">
        <v>0</v>
      </c>
      <c r="L25" s="2">
        <v>0</v>
      </c>
      <c r="M25" s="2">
        <v>0</v>
      </c>
      <c r="N25" s="2">
        <v>0</v>
      </c>
      <c r="O25" s="2">
        <v>0</v>
      </c>
      <c r="P25" s="2">
        <v>0</v>
      </c>
      <c r="Q25" s="2">
        <v>0</v>
      </c>
      <c r="R25" s="2">
        <f t="shared" si="0"/>
        <v>2</v>
      </c>
      <c r="S25" s="2" t="s">
        <v>327</v>
      </c>
      <c r="T25" s="2" t="s">
        <v>990</v>
      </c>
      <c r="U25" s="2" t="s">
        <v>1013</v>
      </c>
      <c r="V25" s="2" t="s">
        <v>328</v>
      </c>
      <c r="W25" s="2">
        <v>1</v>
      </c>
      <c r="X25" s="2" t="s">
        <v>42</v>
      </c>
      <c r="Y25" s="2" t="s">
        <v>42</v>
      </c>
      <c r="Z25" s="2" t="s">
        <v>1219</v>
      </c>
      <c r="AA25" s="2" t="s">
        <v>329</v>
      </c>
      <c r="AB25" s="2" t="s">
        <v>1042</v>
      </c>
      <c r="AC25" s="2" t="s">
        <v>330</v>
      </c>
      <c r="AD25" s="4" t="s">
        <v>1403</v>
      </c>
      <c r="AE25" s="2" t="s">
        <v>1113</v>
      </c>
      <c r="AF25" s="2" t="s">
        <v>331</v>
      </c>
      <c r="AG25" s="2" t="s">
        <v>1052</v>
      </c>
      <c r="AH25" s="2">
        <v>60</v>
      </c>
      <c r="AI25" s="5" t="s">
        <v>1091</v>
      </c>
      <c r="AJ25" s="4" t="s">
        <v>1403</v>
      </c>
      <c r="AK25" s="5" t="s">
        <v>332</v>
      </c>
      <c r="AL25" s="5" t="s">
        <v>1104</v>
      </c>
      <c r="AM25" s="2" t="s">
        <v>333</v>
      </c>
      <c r="AN25" s="5" t="s">
        <v>1186</v>
      </c>
      <c r="AO25" s="5" t="s">
        <v>901</v>
      </c>
      <c r="AP25" s="5" t="s">
        <v>334</v>
      </c>
      <c r="AQ25" s="5" t="s">
        <v>1128</v>
      </c>
      <c r="AR25" s="4" t="s">
        <v>1403</v>
      </c>
      <c r="AS25" s="5" t="s">
        <v>1403</v>
      </c>
      <c r="AT25" s="4" t="s">
        <v>1403</v>
      </c>
      <c r="AU25" s="5" t="s">
        <v>1403</v>
      </c>
      <c r="AV25" s="2" t="s">
        <v>1215</v>
      </c>
      <c r="AW25" s="2" t="s">
        <v>28</v>
      </c>
      <c r="AX25" s="2" t="s">
        <v>1246</v>
      </c>
      <c r="AY25" s="2" t="s">
        <v>335</v>
      </c>
      <c r="AZ25" s="2" t="s">
        <v>1218</v>
      </c>
      <c r="BA25" s="2" t="s">
        <v>1214</v>
      </c>
      <c r="BB25" s="2" t="s">
        <v>1185</v>
      </c>
      <c r="BC25" s="2" t="s">
        <v>1216</v>
      </c>
      <c r="BD25" s="2" t="s">
        <v>1183</v>
      </c>
      <c r="BE25" s="2" t="s">
        <v>336</v>
      </c>
      <c r="BF25" s="2" t="s">
        <v>1217</v>
      </c>
      <c r="BG25" s="2" t="s">
        <v>337</v>
      </c>
      <c r="BH25" s="2" t="s">
        <v>709</v>
      </c>
      <c r="BI25" s="2" t="s">
        <v>338</v>
      </c>
      <c r="BJ25" s="2" t="s">
        <v>1180</v>
      </c>
      <c r="BK25" s="2" t="s">
        <v>1180</v>
      </c>
      <c r="BL25" s="2" t="s">
        <v>1403</v>
      </c>
      <c r="BM25" s="2" t="s">
        <v>339</v>
      </c>
      <c r="BN25" s="2" t="s">
        <v>1403</v>
      </c>
      <c r="BO25" s="2" t="s">
        <v>1075</v>
      </c>
      <c r="BP25" s="2" t="s">
        <v>1071</v>
      </c>
      <c r="BQ25" s="2" t="s">
        <v>339</v>
      </c>
      <c r="BR25" s="2">
        <v>11</v>
      </c>
    </row>
    <row r="26" spans="1:70" x14ac:dyDescent="0.2">
      <c r="A26" s="2" t="s">
        <v>25</v>
      </c>
      <c r="B26" s="2" t="s">
        <v>1328</v>
      </c>
      <c r="C26" s="2" t="s">
        <v>1398</v>
      </c>
      <c r="D26" s="2">
        <v>4</v>
      </c>
      <c r="E26" s="2">
        <v>0</v>
      </c>
      <c r="F26" s="2">
        <v>3</v>
      </c>
      <c r="G26" s="2" t="s">
        <v>48</v>
      </c>
      <c r="H26" s="2">
        <v>1</v>
      </c>
      <c r="I26" s="2">
        <v>0</v>
      </c>
      <c r="J26" s="2">
        <v>0</v>
      </c>
      <c r="K26" s="2">
        <v>0</v>
      </c>
      <c r="L26" s="2">
        <v>0</v>
      </c>
      <c r="M26" s="2">
        <v>0</v>
      </c>
      <c r="N26" s="2">
        <v>0</v>
      </c>
      <c r="O26" s="2">
        <v>0</v>
      </c>
      <c r="P26" s="2">
        <v>0</v>
      </c>
      <c r="Q26" s="2">
        <v>0</v>
      </c>
      <c r="R26" s="2">
        <f t="shared" si="0"/>
        <v>1</v>
      </c>
      <c r="S26" s="2" t="s">
        <v>1403</v>
      </c>
      <c r="T26" s="2" t="s">
        <v>990</v>
      </c>
      <c r="U26" s="2" t="s">
        <v>1403</v>
      </c>
      <c r="V26" s="4" t="s">
        <v>1403</v>
      </c>
      <c r="W26" s="2">
        <v>1</v>
      </c>
      <c r="X26" s="4" t="s">
        <v>1403</v>
      </c>
      <c r="Y26" s="2" t="s">
        <v>42</v>
      </c>
      <c r="Z26" s="2" t="s">
        <v>1028</v>
      </c>
      <c r="AA26" s="2" t="s">
        <v>340</v>
      </c>
      <c r="AB26" s="2" t="s">
        <v>1040</v>
      </c>
      <c r="AC26" s="2" t="s">
        <v>341</v>
      </c>
      <c r="AD26" s="2" t="s">
        <v>342</v>
      </c>
      <c r="AE26" s="2" t="s">
        <v>1113</v>
      </c>
      <c r="AF26" s="2" t="s">
        <v>343</v>
      </c>
      <c r="AG26" s="2" t="s">
        <v>1052</v>
      </c>
      <c r="AH26" s="2">
        <v>60</v>
      </c>
      <c r="AI26" s="5" t="s">
        <v>1091</v>
      </c>
      <c r="AJ26" s="4" t="s">
        <v>1403</v>
      </c>
      <c r="AK26" s="2" t="s">
        <v>344</v>
      </c>
      <c r="AL26" s="5" t="s">
        <v>1104</v>
      </c>
      <c r="AM26" s="4" t="s">
        <v>1403</v>
      </c>
      <c r="AN26" s="2" t="s">
        <v>1031</v>
      </c>
      <c r="AO26" s="2" t="s">
        <v>857</v>
      </c>
      <c r="AP26" s="2" t="s">
        <v>345</v>
      </c>
      <c r="AQ26" s="2" t="s">
        <v>1130</v>
      </c>
      <c r="AR26" s="4" t="s">
        <v>1403</v>
      </c>
      <c r="AS26" s="2" t="s">
        <v>1403</v>
      </c>
      <c r="AT26" s="4" t="s">
        <v>1403</v>
      </c>
      <c r="AU26" s="2" t="s">
        <v>1403</v>
      </c>
      <c r="AV26" s="2" t="s">
        <v>346</v>
      </c>
      <c r="AW26" s="2" t="s">
        <v>28</v>
      </c>
      <c r="AX26" s="2" t="s">
        <v>28</v>
      </c>
      <c r="AY26" s="2" t="s">
        <v>347</v>
      </c>
      <c r="AZ26" s="2" t="s">
        <v>1218</v>
      </c>
      <c r="BA26" s="2" t="s">
        <v>1222</v>
      </c>
      <c r="BB26" s="2" t="s">
        <v>1185</v>
      </c>
      <c r="BC26" s="2" t="s">
        <v>348</v>
      </c>
      <c r="BD26" s="2" t="s">
        <v>1183</v>
      </c>
      <c r="BE26" s="2" t="s">
        <v>349</v>
      </c>
      <c r="BF26" s="2" t="s">
        <v>1220</v>
      </c>
      <c r="BG26" s="2" t="s">
        <v>1221</v>
      </c>
      <c r="BH26" s="2" t="s">
        <v>709</v>
      </c>
      <c r="BI26" s="2" t="s">
        <v>1403</v>
      </c>
      <c r="BJ26" s="2" t="s">
        <v>1179</v>
      </c>
      <c r="BK26" s="2" t="s">
        <v>1179</v>
      </c>
      <c r="BL26" s="2" t="s">
        <v>1403</v>
      </c>
      <c r="BM26" s="2" t="s">
        <v>350</v>
      </c>
      <c r="BN26" s="2" t="s">
        <v>1403</v>
      </c>
      <c r="BO26" s="2" t="s">
        <v>1073</v>
      </c>
      <c r="BP26" s="2" t="s">
        <v>1403</v>
      </c>
      <c r="BQ26" s="2" t="s">
        <v>350</v>
      </c>
      <c r="BR26" s="2">
        <v>6</v>
      </c>
    </row>
    <row r="27" spans="1:70" x14ac:dyDescent="0.2">
      <c r="A27" s="2" t="s">
        <v>25</v>
      </c>
      <c r="B27" s="2" t="s">
        <v>1329</v>
      </c>
      <c r="C27" s="2" t="s">
        <v>1399</v>
      </c>
      <c r="D27" s="2">
        <v>6</v>
      </c>
      <c r="E27" s="2">
        <v>2</v>
      </c>
      <c r="F27" s="2">
        <v>2</v>
      </c>
      <c r="G27" s="2" t="s">
        <v>48</v>
      </c>
      <c r="H27" s="2">
        <v>1</v>
      </c>
      <c r="I27" s="2">
        <v>0</v>
      </c>
      <c r="J27" s="2">
        <v>0</v>
      </c>
      <c r="K27" s="2">
        <v>0</v>
      </c>
      <c r="L27" s="2">
        <v>0</v>
      </c>
      <c r="M27" s="2">
        <v>0</v>
      </c>
      <c r="N27" s="2">
        <v>0</v>
      </c>
      <c r="O27" s="2">
        <v>0</v>
      </c>
      <c r="P27" s="2">
        <v>0</v>
      </c>
      <c r="Q27" s="2">
        <v>0</v>
      </c>
      <c r="R27" s="2">
        <f t="shared" si="0"/>
        <v>1</v>
      </c>
      <c r="S27" s="2" t="s">
        <v>351</v>
      </c>
      <c r="T27" s="2" t="s">
        <v>989</v>
      </c>
      <c r="U27" s="2" t="s">
        <v>1403</v>
      </c>
      <c r="V27" s="2" t="s">
        <v>352</v>
      </c>
      <c r="W27" s="2">
        <v>10</v>
      </c>
      <c r="X27" s="2" t="s">
        <v>635</v>
      </c>
      <c r="Y27" s="2" t="s">
        <v>635</v>
      </c>
      <c r="Z27" s="2" t="s">
        <v>1022</v>
      </c>
      <c r="AA27" s="2" t="s">
        <v>353</v>
      </c>
      <c r="AB27" s="2" t="s">
        <v>1040</v>
      </c>
      <c r="AC27" s="2" t="s">
        <v>169</v>
      </c>
      <c r="AD27" s="2" t="s">
        <v>354</v>
      </c>
      <c r="AE27" s="2" t="s">
        <v>637</v>
      </c>
      <c r="AF27" s="2" t="s">
        <v>355</v>
      </c>
      <c r="AG27" s="2" t="s">
        <v>1056</v>
      </c>
      <c r="AH27" s="2">
        <v>240</v>
      </c>
      <c r="AI27" s="5" t="s">
        <v>1099</v>
      </c>
      <c r="AJ27" s="2">
        <v>20</v>
      </c>
      <c r="AK27" s="2" t="s">
        <v>356</v>
      </c>
      <c r="AL27" s="5" t="s">
        <v>1116</v>
      </c>
      <c r="AM27" s="2" t="s">
        <v>83</v>
      </c>
      <c r="AN27" s="2" t="s">
        <v>1030</v>
      </c>
      <c r="AO27" s="2" t="s">
        <v>31</v>
      </c>
      <c r="AP27" s="5" t="s">
        <v>357</v>
      </c>
      <c r="AQ27" s="5" t="s">
        <v>1132</v>
      </c>
      <c r="AR27" s="4" t="s">
        <v>1403</v>
      </c>
      <c r="AS27" s="2" t="s">
        <v>1403</v>
      </c>
      <c r="AT27" s="4" t="s">
        <v>1403</v>
      </c>
      <c r="AU27" s="2" t="s">
        <v>709</v>
      </c>
      <c r="AV27" s="2" t="s">
        <v>358</v>
      </c>
      <c r="AW27" s="2" t="s">
        <v>28</v>
      </c>
      <c r="AX27" s="2" t="s">
        <v>1145</v>
      </c>
      <c r="AY27" s="2" t="s">
        <v>359</v>
      </c>
      <c r="AZ27" s="2" t="s">
        <v>1223</v>
      </c>
      <c r="BA27" s="2" t="s">
        <v>1403</v>
      </c>
      <c r="BB27" s="2" t="s">
        <v>1403</v>
      </c>
      <c r="BC27" s="2" t="s">
        <v>360</v>
      </c>
      <c r="BD27" s="2" t="s">
        <v>1162</v>
      </c>
      <c r="BE27" s="2" t="s">
        <v>361</v>
      </c>
      <c r="BF27" s="2" t="s">
        <v>1403</v>
      </c>
      <c r="BG27" s="2" t="s">
        <v>362</v>
      </c>
      <c r="BH27" s="2" t="s">
        <v>709</v>
      </c>
      <c r="BI27" s="2" t="s">
        <v>363</v>
      </c>
      <c r="BJ27" s="2" t="s">
        <v>1180</v>
      </c>
      <c r="BK27" s="2" t="s">
        <v>1180</v>
      </c>
      <c r="BL27" s="2" t="s">
        <v>1403</v>
      </c>
      <c r="BM27" s="2" t="s">
        <v>1050</v>
      </c>
      <c r="BN27" s="2" t="s">
        <v>1224</v>
      </c>
      <c r="BO27" s="2" t="s">
        <v>1075</v>
      </c>
      <c r="BP27" s="2" t="s">
        <v>1071</v>
      </c>
      <c r="BQ27" s="2" t="s">
        <v>364</v>
      </c>
      <c r="BR27" s="2">
        <v>7</v>
      </c>
    </row>
    <row r="28" spans="1:70" x14ac:dyDescent="0.2">
      <c r="A28" s="2" t="s">
        <v>365</v>
      </c>
      <c r="B28" s="2" t="s">
        <v>1330</v>
      </c>
      <c r="C28" s="2" t="s">
        <v>1395</v>
      </c>
      <c r="D28" s="2">
        <v>1</v>
      </c>
      <c r="E28" s="2">
        <v>0</v>
      </c>
      <c r="F28" s="2">
        <v>0</v>
      </c>
      <c r="G28" s="2" t="s">
        <v>48</v>
      </c>
      <c r="H28" s="2">
        <v>1</v>
      </c>
      <c r="I28" s="2">
        <v>0</v>
      </c>
      <c r="J28" s="2">
        <v>0</v>
      </c>
      <c r="K28" s="2">
        <v>0</v>
      </c>
      <c r="L28" s="2">
        <v>0</v>
      </c>
      <c r="M28" s="2">
        <v>0</v>
      </c>
      <c r="N28" s="2">
        <v>0</v>
      </c>
      <c r="O28" s="2">
        <v>0</v>
      </c>
      <c r="P28" s="2">
        <v>0</v>
      </c>
      <c r="Q28" s="2">
        <v>0</v>
      </c>
      <c r="R28" s="2">
        <f t="shared" si="0"/>
        <v>1</v>
      </c>
      <c r="S28" s="5" t="s">
        <v>366</v>
      </c>
      <c r="T28" s="2" t="s">
        <v>989</v>
      </c>
      <c r="U28" s="2" t="s">
        <v>989</v>
      </c>
      <c r="V28" s="5" t="s">
        <v>367</v>
      </c>
      <c r="W28" s="2">
        <v>5</v>
      </c>
      <c r="X28" s="2" t="s">
        <v>368</v>
      </c>
      <c r="Y28" s="2" t="s">
        <v>42</v>
      </c>
      <c r="Z28" s="4" t="s">
        <v>1403</v>
      </c>
      <c r="AA28" s="2" t="s">
        <v>369</v>
      </c>
      <c r="AB28" s="2" t="s">
        <v>1040</v>
      </c>
      <c r="AC28" s="2" t="s">
        <v>28</v>
      </c>
      <c r="AD28" s="2" t="s">
        <v>370</v>
      </c>
      <c r="AE28" s="2" t="s">
        <v>637</v>
      </c>
      <c r="AF28" s="2" t="s">
        <v>371</v>
      </c>
      <c r="AG28" s="2" t="s">
        <v>1055</v>
      </c>
      <c r="AH28" s="2">
        <v>120</v>
      </c>
      <c r="AI28" s="5" t="s">
        <v>1099</v>
      </c>
      <c r="AJ28" s="2">
        <v>10</v>
      </c>
      <c r="AK28" s="5" t="s">
        <v>372</v>
      </c>
      <c r="AL28" s="5" t="s">
        <v>1104</v>
      </c>
      <c r="AM28" s="2" t="s">
        <v>373</v>
      </c>
      <c r="AN28" s="5" t="s">
        <v>31</v>
      </c>
      <c r="AO28" s="5" t="s">
        <v>31</v>
      </c>
      <c r="AP28" s="5" t="s">
        <v>374</v>
      </c>
      <c r="AQ28" s="5" t="s">
        <v>1130</v>
      </c>
      <c r="AR28" s="4" t="s">
        <v>1403</v>
      </c>
      <c r="AS28" s="5" t="s">
        <v>1403</v>
      </c>
      <c r="AT28" s="4" t="s">
        <v>1403</v>
      </c>
      <c r="AU28" s="5" t="s">
        <v>1403</v>
      </c>
      <c r="AV28" s="2" t="s">
        <v>375</v>
      </c>
      <c r="AW28" s="2" t="s">
        <v>28</v>
      </c>
      <c r="AX28" s="2" t="s">
        <v>28</v>
      </c>
      <c r="AY28" s="2" t="s">
        <v>376</v>
      </c>
      <c r="AZ28" s="2" t="s">
        <v>1289</v>
      </c>
      <c r="BA28" s="2" t="s">
        <v>1225</v>
      </c>
      <c r="BB28" s="2" t="s">
        <v>709</v>
      </c>
      <c r="BC28" s="2" t="s">
        <v>377</v>
      </c>
      <c r="BD28" s="2" t="s">
        <v>1212</v>
      </c>
      <c r="BE28" s="2" t="s">
        <v>378</v>
      </c>
      <c r="BF28" s="2" t="s">
        <v>101</v>
      </c>
      <c r="BG28" s="2" t="s">
        <v>379</v>
      </c>
      <c r="BH28" s="2" t="s">
        <v>709</v>
      </c>
      <c r="BI28" s="2" t="s">
        <v>380</v>
      </c>
      <c r="BJ28" s="2" t="s">
        <v>709</v>
      </c>
      <c r="BK28" s="2" t="s">
        <v>1180</v>
      </c>
      <c r="BL28" s="2" t="s">
        <v>1403</v>
      </c>
      <c r="BM28" s="2" t="s">
        <v>381</v>
      </c>
      <c r="BN28" s="2" t="s">
        <v>1403</v>
      </c>
      <c r="BO28" s="2" t="s">
        <v>1065</v>
      </c>
      <c r="BP28" s="2" t="s">
        <v>1084</v>
      </c>
      <c r="BQ28" s="2" t="s">
        <v>381</v>
      </c>
      <c r="BR28" s="2">
        <v>5</v>
      </c>
    </row>
    <row r="29" spans="1:70" x14ac:dyDescent="0.2">
      <c r="A29" s="2" t="s">
        <v>365</v>
      </c>
      <c r="B29" s="2" t="s">
        <v>1331</v>
      </c>
      <c r="C29" s="2" t="s">
        <v>1395</v>
      </c>
      <c r="D29" s="2">
        <v>10</v>
      </c>
      <c r="E29" s="2">
        <v>5</v>
      </c>
      <c r="F29" s="2">
        <v>2</v>
      </c>
      <c r="G29" s="2" t="s">
        <v>48</v>
      </c>
      <c r="H29" s="2">
        <v>1</v>
      </c>
      <c r="I29" s="2">
        <v>0</v>
      </c>
      <c r="J29" s="2">
        <v>0</v>
      </c>
      <c r="K29" s="2">
        <v>0</v>
      </c>
      <c r="L29" s="2">
        <v>0</v>
      </c>
      <c r="M29" s="2">
        <v>0</v>
      </c>
      <c r="N29" s="2">
        <v>0</v>
      </c>
      <c r="O29" s="2">
        <v>0</v>
      </c>
      <c r="P29" s="2">
        <v>0</v>
      </c>
      <c r="Q29" s="2">
        <v>0</v>
      </c>
      <c r="R29" s="2">
        <f t="shared" si="0"/>
        <v>1</v>
      </c>
      <c r="S29" s="2" t="s">
        <v>382</v>
      </c>
      <c r="T29" s="2" t="s">
        <v>985</v>
      </c>
      <c r="U29" s="2" t="s">
        <v>1403</v>
      </c>
      <c r="V29" s="2" t="s">
        <v>383</v>
      </c>
      <c r="W29" s="2">
        <v>5</v>
      </c>
      <c r="X29" s="2" t="s">
        <v>384</v>
      </c>
      <c r="Y29" s="2" t="s">
        <v>1019</v>
      </c>
      <c r="Z29" s="2" t="s">
        <v>1024</v>
      </c>
      <c r="AA29" s="2" t="s">
        <v>385</v>
      </c>
      <c r="AB29" s="2" t="s">
        <v>1040</v>
      </c>
      <c r="AC29" s="2" t="s">
        <v>28</v>
      </c>
      <c r="AD29" s="2" t="s">
        <v>386</v>
      </c>
      <c r="AE29" s="2" t="s">
        <v>1114</v>
      </c>
      <c r="AF29" s="2" t="s">
        <v>387</v>
      </c>
      <c r="AG29" s="2" t="s">
        <v>1052</v>
      </c>
      <c r="AH29" s="2">
        <v>60</v>
      </c>
      <c r="AI29" s="5" t="s">
        <v>1099</v>
      </c>
      <c r="AJ29" s="4" t="s">
        <v>1403</v>
      </c>
      <c r="AK29" s="2" t="s">
        <v>388</v>
      </c>
      <c r="AL29" s="5" t="s">
        <v>1104</v>
      </c>
      <c r="AM29" s="2" t="s">
        <v>389</v>
      </c>
      <c r="AN29" s="2" t="s">
        <v>31</v>
      </c>
      <c r="AO29" s="2" t="s">
        <v>31</v>
      </c>
      <c r="AP29" s="5" t="s">
        <v>390</v>
      </c>
      <c r="AQ29" s="5" t="s">
        <v>1129</v>
      </c>
      <c r="AR29" s="4" t="s">
        <v>1403</v>
      </c>
      <c r="AS29" s="2" t="s">
        <v>1403</v>
      </c>
      <c r="AT29" s="4" t="s">
        <v>1403</v>
      </c>
      <c r="AU29" s="2" t="s">
        <v>1403</v>
      </c>
      <c r="AV29" s="5" t="s">
        <v>391</v>
      </c>
      <c r="AW29" s="5" t="s">
        <v>28</v>
      </c>
      <c r="AX29" s="2" t="s">
        <v>28</v>
      </c>
      <c r="AY29" s="2" t="s">
        <v>392</v>
      </c>
      <c r="AZ29" s="2" t="s">
        <v>1226</v>
      </c>
      <c r="BA29" s="2" t="s">
        <v>1403</v>
      </c>
      <c r="BB29" s="5" t="s">
        <v>901</v>
      </c>
      <c r="BC29" s="2" t="s">
        <v>393</v>
      </c>
      <c r="BD29" s="5" t="s">
        <v>1227</v>
      </c>
      <c r="BE29" s="2" t="s">
        <v>394</v>
      </c>
      <c r="BF29" s="5" t="s">
        <v>101</v>
      </c>
      <c r="BG29" s="2" t="s">
        <v>395</v>
      </c>
      <c r="BH29" s="5" t="s">
        <v>709</v>
      </c>
      <c r="BI29" s="2" t="s">
        <v>396</v>
      </c>
      <c r="BJ29" s="5" t="s">
        <v>1403</v>
      </c>
      <c r="BK29" s="2" t="s">
        <v>1180</v>
      </c>
      <c r="BL29" s="5" t="s">
        <v>1403</v>
      </c>
      <c r="BM29" s="5" t="s">
        <v>1228</v>
      </c>
      <c r="BN29" s="5" t="s">
        <v>1403</v>
      </c>
      <c r="BO29" s="2" t="s">
        <v>1077</v>
      </c>
      <c r="BP29" s="2" t="s">
        <v>100</v>
      </c>
      <c r="BQ29" s="2" t="s">
        <v>397</v>
      </c>
      <c r="BR29" s="2">
        <v>6</v>
      </c>
    </row>
    <row r="30" spans="1:70" x14ac:dyDescent="0.2">
      <c r="A30" s="2" t="s">
        <v>365</v>
      </c>
      <c r="B30" s="2" t="s">
        <v>1332</v>
      </c>
      <c r="C30" s="2" t="s">
        <v>1399</v>
      </c>
      <c r="D30" s="2">
        <v>20</v>
      </c>
      <c r="E30" s="2">
        <v>6</v>
      </c>
      <c r="F30" s="2">
        <v>1</v>
      </c>
      <c r="G30" s="2" t="s">
        <v>39</v>
      </c>
      <c r="H30" s="2">
        <v>1</v>
      </c>
      <c r="I30" s="2">
        <v>6</v>
      </c>
      <c r="J30" s="2">
        <v>0</v>
      </c>
      <c r="K30" s="2">
        <v>0</v>
      </c>
      <c r="L30" s="2">
        <v>0</v>
      </c>
      <c r="M30" s="2">
        <v>0</v>
      </c>
      <c r="N30" s="2">
        <v>0</v>
      </c>
      <c r="O30" s="2">
        <v>0</v>
      </c>
      <c r="P30" s="2">
        <v>0</v>
      </c>
      <c r="Q30" s="2">
        <v>0</v>
      </c>
      <c r="R30" s="2">
        <f t="shared" si="0"/>
        <v>7</v>
      </c>
      <c r="S30" s="2" t="s">
        <v>398</v>
      </c>
      <c r="T30" s="2" t="s">
        <v>826</v>
      </c>
      <c r="U30" s="2" t="s">
        <v>1403</v>
      </c>
      <c r="V30" s="2" t="s">
        <v>399</v>
      </c>
      <c r="W30" s="2">
        <v>20</v>
      </c>
      <c r="X30" s="2" t="s">
        <v>42</v>
      </c>
      <c r="Y30" s="2" t="s">
        <v>635</v>
      </c>
      <c r="Z30" s="2" t="s">
        <v>1024</v>
      </c>
      <c r="AA30" s="2" t="s">
        <v>400</v>
      </c>
      <c r="AB30" s="2" t="s">
        <v>1040</v>
      </c>
      <c r="AC30" s="2" t="s">
        <v>28</v>
      </c>
      <c r="AD30" s="2" t="s">
        <v>401</v>
      </c>
      <c r="AE30" s="2" t="s">
        <v>1115</v>
      </c>
      <c r="AF30" s="2" t="s">
        <v>402</v>
      </c>
      <c r="AG30" s="2" t="s">
        <v>1052</v>
      </c>
      <c r="AH30" s="2">
        <v>60</v>
      </c>
      <c r="AI30" s="5" t="s">
        <v>1091</v>
      </c>
      <c r="AJ30" s="2">
        <v>5</v>
      </c>
      <c r="AK30" s="2" t="s">
        <v>403</v>
      </c>
      <c r="AL30" s="5" t="s">
        <v>1117</v>
      </c>
      <c r="AM30" s="2" t="s">
        <v>404</v>
      </c>
      <c r="AN30" s="2" t="s">
        <v>1229</v>
      </c>
      <c r="AO30" s="2" t="s">
        <v>404</v>
      </c>
      <c r="AP30" s="2" t="s">
        <v>405</v>
      </c>
      <c r="AQ30" s="5" t="s">
        <v>1133</v>
      </c>
      <c r="AR30" s="4" t="s">
        <v>1403</v>
      </c>
      <c r="AS30" s="2" t="s">
        <v>1403</v>
      </c>
      <c r="AT30" s="4" t="s">
        <v>1403</v>
      </c>
      <c r="AU30" s="2" t="s">
        <v>709</v>
      </c>
      <c r="AV30" s="2" t="s">
        <v>406</v>
      </c>
      <c r="AW30" s="2" t="s">
        <v>28</v>
      </c>
      <c r="AX30" s="2" t="s">
        <v>28</v>
      </c>
      <c r="AY30" s="2" t="s">
        <v>407</v>
      </c>
      <c r="AZ30" s="2" t="s">
        <v>1218</v>
      </c>
      <c r="BA30" s="2" t="s">
        <v>1403</v>
      </c>
      <c r="BB30" s="2" t="s">
        <v>1403</v>
      </c>
      <c r="BC30" s="2" t="s">
        <v>408</v>
      </c>
      <c r="BD30" s="2" t="s">
        <v>1162</v>
      </c>
      <c r="BE30" s="2" t="s">
        <v>132</v>
      </c>
      <c r="BF30" s="2" t="s">
        <v>1403</v>
      </c>
      <c r="BG30" s="2" t="s">
        <v>409</v>
      </c>
      <c r="BH30" s="2" t="s">
        <v>709</v>
      </c>
      <c r="BI30" s="2" t="s">
        <v>410</v>
      </c>
      <c r="BJ30" s="2" t="s">
        <v>1179</v>
      </c>
      <c r="BK30" s="2" t="s">
        <v>1179</v>
      </c>
      <c r="BL30" s="2" t="s">
        <v>1403</v>
      </c>
      <c r="BM30" s="2" t="s">
        <v>411</v>
      </c>
      <c r="BN30" s="2" t="s">
        <v>1403</v>
      </c>
      <c r="BO30" s="2" t="s">
        <v>1403</v>
      </c>
      <c r="BP30" s="2" t="s">
        <v>1403</v>
      </c>
      <c r="BQ30" s="2" t="s">
        <v>411</v>
      </c>
      <c r="BR30" s="2">
        <v>7</v>
      </c>
    </row>
    <row r="31" spans="1:70" x14ac:dyDescent="0.2">
      <c r="A31" s="2" t="s">
        <v>365</v>
      </c>
      <c r="B31" s="2" t="s">
        <v>1333</v>
      </c>
      <c r="C31" s="2" t="s">
        <v>1398</v>
      </c>
      <c r="D31" s="2">
        <v>11</v>
      </c>
      <c r="E31" s="2">
        <v>6</v>
      </c>
      <c r="F31" s="2">
        <v>1</v>
      </c>
      <c r="G31" s="2" t="s">
        <v>76</v>
      </c>
      <c r="H31" s="2">
        <v>1</v>
      </c>
      <c r="I31" s="2">
        <v>0</v>
      </c>
      <c r="J31" s="2">
        <v>0</v>
      </c>
      <c r="K31" s="2">
        <v>0</v>
      </c>
      <c r="L31" s="2">
        <v>1</v>
      </c>
      <c r="M31" s="2">
        <v>0</v>
      </c>
      <c r="N31" s="2">
        <v>0</v>
      </c>
      <c r="O31" s="2">
        <v>0</v>
      </c>
      <c r="P31" s="2">
        <v>0</v>
      </c>
      <c r="Q31" s="2">
        <v>0</v>
      </c>
      <c r="R31" s="2">
        <f t="shared" si="0"/>
        <v>2</v>
      </c>
      <c r="S31" s="2" t="s">
        <v>412</v>
      </c>
      <c r="T31" s="2" t="s">
        <v>996</v>
      </c>
      <c r="U31" s="2" t="s">
        <v>1006</v>
      </c>
      <c r="V31" s="2" t="s">
        <v>413</v>
      </c>
      <c r="W31" s="2">
        <v>5</v>
      </c>
      <c r="X31" s="2" t="s">
        <v>42</v>
      </c>
      <c r="Y31" s="2" t="s">
        <v>42</v>
      </c>
      <c r="Z31" s="2" t="s">
        <v>1025</v>
      </c>
      <c r="AA31" s="2" t="s">
        <v>414</v>
      </c>
      <c r="AB31" s="2" t="s">
        <v>1041</v>
      </c>
      <c r="AC31" s="2" t="s">
        <v>28</v>
      </c>
      <c r="AD31" s="2" t="s">
        <v>415</v>
      </c>
      <c r="AE31" s="2" t="s">
        <v>1102</v>
      </c>
      <c r="AF31" s="2" t="s">
        <v>416</v>
      </c>
      <c r="AG31" s="2" t="s">
        <v>588</v>
      </c>
      <c r="AH31" s="2">
        <v>5</v>
      </c>
      <c r="AI31" s="5" t="s">
        <v>1023</v>
      </c>
      <c r="AJ31" s="4" t="s">
        <v>1403</v>
      </c>
      <c r="AK31" s="5" t="s">
        <v>417</v>
      </c>
      <c r="AL31" s="5" t="s">
        <v>1118</v>
      </c>
      <c r="AM31" s="4" t="s">
        <v>1403</v>
      </c>
      <c r="AN31" s="2" t="s">
        <v>31</v>
      </c>
      <c r="AO31" s="2" t="s">
        <v>404</v>
      </c>
      <c r="AP31" s="5" t="s">
        <v>418</v>
      </c>
      <c r="AQ31" s="5" t="s">
        <v>72</v>
      </c>
      <c r="AR31" s="4" t="s">
        <v>1403</v>
      </c>
      <c r="AS31" s="2" t="s">
        <v>1403</v>
      </c>
      <c r="AT31" s="4" t="s">
        <v>1403</v>
      </c>
      <c r="AU31" s="2" t="s">
        <v>1403</v>
      </c>
      <c r="AV31" s="2" t="s">
        <v>419</v>
      </c>
      <c r="AW31" s="2" t="s">
        <v>28</v>
      </c>
      <c r="AX31" s="2" t="s">
        <v>1291</v>
      </c>
      <c r="AY31" s="2" t="s">
        <v>420</v>
      </c>
      <c r="AZ31" s="2" t="s">
        <v>1231</v>
      </c>
      <c r="BA31" s="2" t="s">
        <v>1403</v>
      </c>
      <c r="BB31" s="2" t="s">
        <v>1403</v>
      </c>
      <c r="BC31" s="2" t="s">
        <v>421</v>
      </c>
      <c r="BD31" s="2" t="s">
        <v>1230</v>
      </c>
      <c r="BE31" s="2" t="s">
        <v>422</v>
      </c>
      <c r="BF31" s="2" t="s">
        <v>1403</v>
      </c>
      <c r="BG31" s="2" t="s">
        <v>1403</v>
      </c>
      <c r="BH31" s="2" t="s">
        <v>709</v>
      </c>
      <c r="BI31" s="2" t="s">
        <v>423</v>
      </c>
      <c r="BJ31" s="2" t="s">
        <v>1179</v>
      </c>
      <c r="BK31" s="2" t="s">
        <v>1180</v>
      </c>
      <c r="BL31" s="2" t="s">
        <v>1403</v>
      </c>
      <c r="BM31" s="5" t="s">
        <v>424</v>
      </c>
      <c r="BN31" s="2" t="s">
        <v>425</v>
      </c>
      <c r="BO31" s="2" t="s">
        <v>1073</v>
      </c>
      <c r="BP31" s="2" t="s">
        <v>1088</v>
      </c>
      <c r="BQ31" s="2" t="s">
        <v>424</v>
      </c>
      <c r="BR31" s="2">
        <v>9</v>
      </c>
    </row>
    <row r="32" spans="1:70" x14ac:dyDescent="0.2">
      <c r="A32" s="2" t="s">
        <v>365</v>
      </c>
      <c r="B32" s="2" t="s">
        <v>1334</v>
      </c>
      <c r="C32" s="6" t="s">
        <v>1400</v>
      </c>
      <c r="D32" s="2">
        <v>8</v>
      </c>
      <c r="E32" s="2">
        <v>4</v>
      </c>
      <c r="F32" s="2">
        <v>0</v>
      </c>
      <c r="G32" s="2" t="s">
        <v>48</v>
      </c>
      <c r="H32" s="2">
        <v>1</v>
      </c>
      <c r="I32" s="2">
        <v>0</v>
      </c>
      <c r="J32" s="2">
        <v>0</v>
      </c>
      <c r="K32" s="2">
        <v>0</v>
      </c>
      <c r="L32" s="2">
        <v>0</v>
      </c>
      <c r="M32" s="2">
        <v>0</v>
      </c>
      <c r="N32" s="2">
        <v>0</v>
      </c>
      <c r="O32" s="2">
        <v>0</v>
      </c>
      <c r="P32" s="2">
        <v>0</v>
      </c>
      <c r="Q32" s="2">
        <v>0</v>
      </c>
      <c r="R32" s="2">
        <f t="shared" si="0"/>
        <v>1</v>
      </c>
      <c r="S32" s="2" t="s">
        <v>426</v>
      </c>
      <c r="T32" s="2" t="s">
        <v>994</v>
      </c>
      <c r="U32" s="2" t="s">
        <v>989</v>
      </c>
      <c r="V32" s="2" t="s">
        <v>427</v>
      </c>
      <c r="W32" s="2">
        <v>1</v>
      </c>
      <c r="X32" s="2" t="s">
        <v>428</v>
      </c>
      <c r="Y32" s="2" t="s">
        <v>42</v>
      </c>
      <c r="Z32" s="2" t="s">
        <v>1024</v>
      </c>
      <c r="AA32" s="2" t="s">
        <v>28</v>
      </c>
      <c r="AB32" s="2" t="s">
        <v>1040</v>
      </c>
      <c r="AC32" s="2" t="s">
        <v>28</v>
      </c>
      <c r="AD32" s="5" t="s">
        <v>429</v>
      </c>
      <c r="AE32" s="2" t="s">
        <v>637</v>
      </c>
      <c r="AF32" s="2" t="s">
        <v>430</v>
      </c>
      <c r="AG32" s="2" t="s">
        <v>1053</v>
      </c>
      <c r="AH32" s="2">
        <v>720</v>
      </c>
      <c r="AI32" s="5" t="s">
        <v>1236</v>
      </c>
      <c r="AJ32" s="2" t="s">
        <v>1232</v>
      </c>
      <c r="AK32" s="2" t="s">
        <v>431</v>
      </c>
      <c r="AL32" s="5" t="s">
        <v>1104</v>
      </c>
      <c r="AM32" s="2" t="s">
        <v>432</v>
      </c>
      <c r="AN32" s="2" t="s">
        <v>1031</v>
      </c>
      <c r="AO32" s="2" t="s">
        <v>404</v>
      </c>
      <c r="AP32" s="2" t="s">
        <v>433</v>
      </c>
      <c r="AQ32" s="5" t="s">
        <v>1097</v>
      </c>
      <c r="AR32" s="4" t="s">
        <v>1403</v>
      </c>
      <c r="AS32" s="2" t="s">
        <v>1403</v>
      </c>
      <c r="AT32" s="4" t="s">
        <v>1403</v>
      </c>
      <c r="AU32" s="2" t="s">
        <v>1403</v>
      </c>
      <c r="AV32" s="2" t="s">
        <v>434</v>
      </c>
      <c r="AW32" s="2" t="s">
        <v>1293</v>
      </c>
      <c r="AX32" s="2" t="s">
        <v>28</v>
      </c>
      <c r="AY32" s="2" t="s">
        <v>435</v>
      </c>
      <c r="AZ32" s="2" t="s">
        <v>86</v>
      </c>
      <c r="BA32" s="2" t="s">
        <v>1235</v>
      </c>
      <c r="BB32" s="2" t="s">
        <v>1185</v>
      </c>
      <c r="BC32" s="2" t="s">
        <v>436</v>
      </c>
      <c r="BD32" s="2" t="s">
        <v>1403</v>
      </c>
      <c r="BE32" s="2" t="s">
        <v>437</v>
      </c>
      <c r="BF32" s="2" t="s">
        <v>1403</v>
      </c>
      <c r="BG32" s="2" t="s">
        <v>438</v>
      </c>
      <c r="BH32" s="2" t="s">
        <v>1242</v>
      </c>
      <c r="BI32" s="2" t="s">
        <v>439</v>
      </c>
      <c r="BJ32" s="2" t="s">
        <v>1403</v>
      </c>
      <c r="BK32" s="2" t="s">
        <v>1403</v>
      </c>
      <c r="BL32" s="2" t="s">
        <v>1403</v>
      </c>
      <c r="BM32" s="2" t="s">
        <v>440</v>
      </c>
      <c r="BN32" s="2" t="s">
        <v>1403</v>
      </c>
      <c r="BO32" s="2" t="s">
        <v>1234</v>
      </c>
      <c r="BP32" s="2" t="s">
        <v>1233</v>
      </c>
      <c r="BQ32" s="2" t="s">
        <v>440</v>
      </c>
      <c r="BR32" s="2">
        <v>14</v>
      </c>
    </row>
    <row r="33" spans="1:70" x14ac:dyDescent="0.2">
      <c r="A33" s="2" t="s">
        <v>365</v>
      </c>
      <c r="B33" s="2" t="s">
        <v>1335</v>
      </c>
      <c r="C33" s="6" t="s">
        <v>1400</v>
      </c>
      <c r="D33" s="2">
        <v>4</v>
      </c>
      <c r="E33" s="2">
        <v>0</v>
      </c>
      <c r="F33" s="2">
        <v>3</v>
      </c>
      <c r="G33" s="2" t="s">
        <v>48</v>
      </c>
      <c r="H33" s="2">
        <v>1</v>
      </c>
      <c r="I33" s="2">
        <v>0</v>
      </c>
      <c r="J33" s="2">
        <v>0</v>
      </c>
      <c r="K33" s="2">
        <v>0</v>
      </c>
      <c r="L33" s="2">
        <v>0</v>
      </c>
      <c r="M33" s="2">
        <v>0</v>
      </c>
      <c r="N33" s="2">
        <v>0</v>
      </c>
      <c r="O33" s="2">
        <v>0</v>
      </c>
      <c r="P33" s="2">
        <v>0</v>
      </c>
      <c r="Q33" s="2">
        <v>0</v>
      </c>
      <c r="R33" s="2">
        <f t="shared" si="0"/>
        <v>1</v>
      </c>
      <c r="S33" s="2" t="s">
        <v>441</v>
      </c>
      <c r="T33" s="2" t="s">
        <v>826</v>
      </c>
      <c r="U33" s="2" t="s">
        <v>1403</v>
      </c>
      <c r="V33" s="2" t="s">
        <v>442</v>
      </c>
      <c r="W33" s="2">
        <v>1</v>
      </c>
      <c r="X33" s="2" t="s">
        <v>42</v>
      </c>
      <c r="Y33" s="2" t="s">
        <v>42</v>
      </c>
      <c r="Z33" s="2" t="s">
        <v>1024</v>
      </c>
      <c r="AA33" s="2" t="s">
        <v>443</v>
      </c>
      <c r="AB33" s="2" t="s">
        <v>484</v>
      </c>
      <c r="AC33" s="2" t="s">
        <v>28</v>
      </c>
      <c r="AD33" s="2" t="s">
        <v>444</v>
      </c>
      <c r="AE33" s="2" t="s">
        <v>1114</v>
      </c>
      <c r="AF33" s="2" t="s">
        <v>445</v>
      </c>
      <c r="AG33" s="2" t="s">
        <v>1052</v>
      </c>
      <c r="AH33" s="2">
        <v>60</v>
      </c>
      <c r="AI33" s="5" t="s">
        <v>1099</v>
      </c>
      <c r="AJ33" s="4" t="s">
        <v>1403</v>
      </c>
      <c r="AK33" s="2" t="s">
        <v>446</v>
      </c>
      <c r="AL33" s="5" t="s">
        <v>1104</v>
      </c>
      <c r="AM33" s="2" t="s">
        <v>31</v>
      </c>
      <c r="AN33" s="4" t="s">
        <v>1403</v>
      </c>
      <c r="AO33" s="2" t="s">
        <v>31</v>
      </c>
      <c r="AP33" s="2" t="s">
        <v>447</v>
      </c>
      <c r="AQ33" s="5" t="s">
        <v>1152</v>
      </c>
      <c r="AR33" s="4" t="s">
        <v>1403</v>
      </c>
      <c r="AS33" s="2" t="s">
        <v>1403</v>
      </c>
      <c r="AT33" s="4" t="s">
        <v>1403</v>
      </c>
      <c r="AU33" s="2" t="s">
        <v>28</v>
      </c>
      <c r="AV33" s="2" t="s">
        <v>448</v>
      </c>
      <c r="AW33" s="2" t="s">
        <v>28</v>
      </c>
      <c r="AX33" s="2" t="s">
        <v>28</v>
      </c>
      <c r="AY33" s="2" t="s">
        <v>449</v>
      </c>
      <c r="AZ33" s="2" t="s">
        <v>1218</v>
      </c>
      <c r="BA33" s="2" t="s">
        <v>1403</v>
      </c>
      <c r="BB33" s="2" t="s">
        <v>709</v>
      </c>
      <c r="BC33" s="2" t="s">
        <v>1403</v>
      </c>
      <c r="BD33" s="2" t="s">
        <v>1403</v>
      </c>
      <c r="BE33" s="2" t="s">
        <v>1403</v>
      </c>
      <c r="BF33" s="2" t="s">
        <v>1403</v>
      </c>
      <c r="BG33" s="2" t="s">
        <v>450</v>
      </c>
      <c r="BH33" s="2" t="s">
        <v>709</v>
      </c>
      <c r="BI33" s="2" t="s">
        <v>451</v>
      </c>
      <c r="BJ33" s="2" t="s">
        <v>28</v>
      </c>
      <c r="BK33" s="2" t="s">
        <v>28</v>
      </c>
      <c r="BL33" s="2" t="s">
        <v>1403</v>
      </c>
      <c r="BM33" s="2" t="s">
        <v>452</v>
      </c>
      <c r="BN33" s="2" t="s">
        <v>1403</v>
      </c>
      <c r="BO33" s="2" t="s">
        <v>1403</v>
      </c>
      <c r="BP33" s="2" t="s">
        <v>1403</v>
      </c>
      <c r="BQ33" s="2" t="s">
        <v>452</v>
      </c>
      <c r="BR33" s="2">
        <v>7</v>
      </c>
    </row>
    <row r="34" spans="1:70" x14ac:dyDescent="0.2">
      <c r="A34" s="2" t="s">
        <v>365</v>
      </c>
      <c r="B34" s="2" t="s">
        <v>1336</v>
      </c>
      <c r="C34" s="6" t="s">
        <v>1400</v>
      </c>
      <c r="D34" s="2">
        <v>11</v>
      </c>
      <c r="E34" s="2">
        <v>4</v>
      </c>
      <c r="F34" s="2">
        <v>0</v>
      </c>
      <c r="G34" s="2" t="s">
        <v>48</v>
      </c>
      <c r="H34" s="2">
        <v>1</v>
      </c>
      <c r="I34" s="2">
        <v>0</v>
      </c>
      <c r="J34" s="2">
        <v>0</v>
      </c>
      <c r="K34" s="2">
        <v>0</v>
      </c>
      <c r="L34" s="2">
        <v>0</v>
      </c>
      <c r="M34" s="2">
        <v>0</v>
      </c>
      <c r="N34" s="2">
        <v>0</v>
      </c>
      <c r="O34" s="2">
        <v>0</v>
      </c>
      <c r="P34" s="2">
        <v>0</v>
      </c>
      <c r="Q34" s="2">
        <v>0</v>
      </c>
      <c r="R34" s="2">
        <f t="shared" ref="R34:R56" si="1">SUM(H34:Q34)</f>
        <v>1</v>
      </c>
      <c r="S34" s="2" t="s">
        <v>453</v>
      </c>
      <c r="T34" s="2" t="s">
        <v>995</v>
      </c>
      <c r="U34" s="2" t="s">
        <v>1007</v>
      </c>
      <c r="V34" s="2" t="s">
        <v>454</v>
      </c>
      <c r="W34" s="2">
        <v>5</v>
      </c>
      <c r="X34" s="2" t="s">
        <v>42</v>
      </c>
      <c r="Y34" s="2" t="s">
        <v>42</v>
      </c>
      <c r="Z34" s="2" t="s">
        <v>1002</v>
      </c>
      <c r="AA34" s="2" t="s">
        <v>455</v>
      </c>
      <c r="AB34" s="2" t="s">
        <v>1041</v>
      </c>
      <c r="AC34" s="2" t="s">
        <v>456</v>
      </c>
      <c r="AD34" s="2" t="s">
        <v>457</v>
      </c>
      <c r="AE34" s="2" t="s">
        <v>1102</v>
      </c>
      <c r="AF34" s="2" t="s">
        <v>458</v>
      </c>
      <c r="AG34" s="2" t="s">
        <v>1057</v>
      </c>
      <c r="AH34" s="2">
        <v>360</v>
      </c>
      <c r="AI34" s="4" t="s">
        <v>1403</v>
      </c>
      <c r="AJ34" s="4" t="s">
        <v>1403</v>
      </c>
      <c r="AK34" s="2" t="s">
        <v>459</v>
      </c>
      <c r="AL34" s="5" t="s">
        <v>1118</v>
      </c>
      <c r="AM34" s="2" t="s">
        <v>31</v>
      </c>
      <c r="AN34" s="4" t="s">
        <v>1403</v>
      </c>
      <c r="AO34" s="2" t="s">
        <v>31</v>
      </c>
      <c r="AP34" s="2" t="s">
        <v>460</v>
      </c>
      <c r="AQ34" s="5" t="s">
        <v>1134</v>
      </c>
      <c r="AR34" s="2" t="s">
        <v>461</v>
      </c>
      <c r="AS34" s="2" t="s">
        <v>1157</v>
      </c>
      <c r="AT34" s="4" t="s">
        <v>1403</v>
      </c>
      <c r="AU34" s="2" t="s">
        <v>28</v>
      </c>
      <c r="AV34" s="2" t="s">
        <v>462</v>
      </c>
      <c r="AW34" s="2" t="s">
        <v>1298</v>
      </c>
      <c r="AX34" s="2" t="s">
        <v>28</v>
      </c>
      <c r="AY34" s="2" t="s">
        <v>463</v>
      </c>
      <c r="AZ34" s="2" t="s">
        <v>1210</v>
      </c>
      <c r="BA34" s="2" t="s">
        <v>1403</v>
      </c>
      <c r="BB34" s="2" t="s">
        <v>709</v>
      </c>
      <c r="BC34" s="2" t="s">
        <v>464</v>
      </c>
      <c r="BD34" s="2" t="s">
        <v>1062</v>
      </c>
      <c r="BE34" s="2" t="s">
        <v>465</v>
      </c>
      <c r="BF34" s="2" t="s">
        <v>101</v>
      </c>
      <c r="BG34" s="2" t="s">
        <v>466</v>
      </c>
      <c r="BH34" s="2" t="s">
        <v>1237</v>
      </c>
      <c r="BI34" s="2" t="s">
        <v>1403</v>
      </c>
      <c r="BJ34" s="2" t="s">
        <v>28</v>
      </c>
      <c r="BK34" s="2" t="s">
        <v>28</v>
      </c>
      <c r="BL34" s="2" t="s">
        <v>1403</v>
      </c>
      <c r="BM34" s="2" t="s">
        <v>467</v>
      </c>
      <c r="BN34" s="2" t="s">
        <v>1403</v>
      </c>
      <c r="BO34" s="2" t="s">
        <v>1403</v>
      </c>
      <c r="BP34" s="2" t="s">
        <v>1403</v>
      </c>
      <c r="BQ34" s="2" t="s">
        <v>467</v>
      </c>
      <c r="BR34" s="2">
        <v>10</v>
      </c>
    </row>
    <row r="35" spans="1:70" x14ac:dyDescent="0.2">
      <c r="A35" s="2" t="s">
        <v>365</v>
      </c>
      <c r="B35" s="2" t="s">
        <v>1337</v>
      </c>
      <c r="C35" s="2" t="s">
        <v>1395</v>
      </c>
      <c r="D35" s="2">
        <v>1</v>
      </c>
      <c r="E35" s="2">
        <v>0</v>
      </c>
      <c r="F35" s="2">
        <v>1</v>
      </c>
      <c r="G35" s="2" t="s">
        <v>48</v>
      </c>
      <c r="H35" s="2">
        <v>1</v>
      </c>
      <c r="I35" s="2">
        <v>0</v>
      </c>
      <c r="J35" s="2">
        <v>0</v>
      </c>
      <c r="K35" s="2">
        <v>0</v>
      </c>
      <c r="L35" s="2">
        <v>0</v>
      </c>
      <c r="M35" s="2">
        <v>0</v>
      </c>
      <c r="N35" s="2">
        <v>0</v>
      </c>
      <c r="O35" s="2">
        <v>0</v>
      </c>
      <c r="P35" s="2">
        <v>0</v>
      </c>
      <c r="Q35" s="2">
        <v>0</v>
      </c>
      <c r="R35" s="2">
        <f t="shared" si="1"/>
        <v>1</v>
      </c>
      <c r="S35" s="5" t="s">
        <v>468</v>
      </c>
      <c r="T35" s="2" t="s">
        <v>989</v>
      </c>
      <c r="U35" s="2" t="s">
        <v>989</v>
      </c>
      <c r="V35" s="2" t="s">
        <v>469</v>
      </c>
      <c r="W35" s="2">
        <v>50</v>
      </c>
      <c r="X35" s="2" t="s">
        <v>470</v>
      </c>
      <c r="Y35" s="2" t="s">
        <v>1026</v>
      </c>
      <c r="Z35" s="2" t="s">
        <v>1024</v>
      </c>
      <c r="AA35" s="2" t="s">
        <v>28</v>
      </c>
      <c r="AB35" s="2" t="s">
        <v>1040</v>
      </c>
      <c r="AC35" s="2" t="s">
        <v>471</v>
      </c>
      <c r="AD35" s="2" t="s">
        <v>472</v>
      </c>
      <c r="AE35" s="2" t="s">
        <v>1102</v>
      </c>
      <c r="AF35" s="2" t="s">
        <v>473</v>
      </c>
      <c r="AG35" s="2" t="s">
        <v>1053</v>
      </c>
      <c r="AH35" s="2">
        <v>720</v>
      </c>
      <c r="AI35" s="2" t="s">
        <v>1163</v>
      </c>
      <c r="AJ35" s="4" t="s">
        <v>1403</v>
      </c>
      <c r="AK35" s="2" t="s">
        <v>474</v>
      </c>
      <c r="AL35" s="5" t="s">
        <v>1119</v>
      </c>
      <c r="AM35" s="2" t="s">
        <v>31</v>
      </c>
      <c r="AN35" s="4" t="s">
        <v>1403</v>
      </c>
      <c r="AO35" s="2" t="s">
        <v>31</v>
      </c>
      <c r="AP35" s="2" t="s">
        <v>224</v>
      </c>
      <c r="AQ35" s="5" t="s">
        <v>1101</v>
      </c>
      <c r="AR35" s="4" t="s">
        <v>1403</v>
      </c>
      <c r="AS35" s="2" t="s">
        <v>1403</v>
      </c>
      <c r="AT35" s="4" t="s">
        <v>1403</v>
      </c>
      <c r="AU35" s="2" t="s">
        <v>709</v>
      </c>
      <c r="AV35" s="2" t="s">
        <v>475</v>
      </c>
      <c r="AW35" s="2" t="s">
        <v>1303</v>
      </c>
      <c r="AX35" s="2" t="s">
        <v>1302</v>
      </c>
      <c r="AY35" s="2" t="s">
        <v>476</v>
      </c>
      <c r="AZ35" s="2" t="s">
        <v>1238</v>
      </c>
      <c r="BA35" s="2" t="s">
        <v>1239</v>
      </c>
      <c r="BB35" s="2" t="s">
        <v>1185</v>
      </c>
      <c r="BC35" s="2" t="s">
        <v>477</v>
      </c>
      <c r="BD35" s="2" t="s">
        <v>1200</v>
      </c>
      <c r="BE35" s="2" t="s">
        <v>478</v>
      </c>
      <c r="BF35" s="2" t="s">
        <v>1240</v>
      </c>
      <c r="BG35" s="2" t="s">
        <v>1403</v>
      </c>
      <c r="BH35" s="2" t="s">
        <v>709</v>
      </c>
      <c r="BI35" s="2" t="s">
        <v>479</v>
      </c>
      <c r="BJ35" s="2" t="s">
        <v>1403</v>
      </c>
      <c r="BK35" s="2" t="s">
        <v>1180</v>
      </c>
      <c r="BL35" s="2" t="s">
        <v>1403</v>
      </c>
      <c r="BM35" s="2" t="s">
        <v>480</v>
      </c>
      <c r="BN35" s="2" t="s">
        <v>481</v>
      </c>
      <c r="BO35" s="2" t="s">
        <v>1067</v>
      </c>
      <c r="BP35" s="2" t="s">
        <v>1085</v>
      </c>
      <c r="BQ35" s="2" t="s">
        <v>480</v>
      </c>
      <c r="BR35" s="2">
        <v>20</v>
      </c>
    </row>
    <row r="36" spans="1:70" x14ac:dyDescent="0.2">
      <c r="A36" s="2" t="s">
        <v>365</v>
      </c>
      <c r="B36" s="2" t="s">
        <v>1338</v>
      </c>
      <c r="C36" s="2" t="s">
        <v>1395</v>
      </c>
      <c r="D36" s="2">
        <v>2</v>
      </c>
      <c r="E36" s="2">
        <v>0</v>
      </c>
      <c r="F36" s="2">
        <v>1</v>
      </c>
      <c r="G36" s="2" t="s">
        <v>76</v>
      </c>
      <c r="H36" s="2">
        <v>1</v>
      </c>
      <c r="I36" s="2">
        <v>0</v>
      </c>
      <c r="J36" s="2">
        <v>0</v>
      </c>
      <c r="K36" s="2">
        <v>0</v>
      </c>
      <c r="L36" s="2">
        <v>1</v>
      </c>
      <c r="M36" s="2">
        <v>0</v>
      </c>
      <c r="N36" s="2">
        <v>0</v>
      </c>
      <c r="O36" s="2">
        <v>0</v>
      </c>
      <c r="P36" s="2">
        <v>0</v>
      </c>
      <c r="Q36" s="2">
        <v>0</v>
      </c>
      <c r="R36" s="2">
        <f t="shared" si="1"/>
        <v>2</v>
      </c>
      <c r="S36" s="2" t="s">
        <v>482</v>
      </c>
      <c r="T36" s="2" t="s">
        <v>996</v>
      </c>
      <c r="U36" s="2" t="s">
        <v>1403</v>
      </c>
      <c r="V36" s="2" t="s">
        <v>483</v>
      </c>
      <c r="W36" s="2">
        <v>5</v>
      </c>
      <c r="X36" s="2" t="s">
        <v>42</v>
      </c>
      <c r="Y36" s="2" t="s">
        <v>42</v>
      </c>
      <c r="Z36" s="4" t="s">
        <v>1403</v>
      </c>
      <c r="AA36" s="2" t="s">
        <v>484</v>
      </c>
      <c r="AB36" s="2" t="s">
        <v>484</v>
      </c>
      <c r="AC36" s="2" t="s">
        <v>28</v>
      </c>
      <c r="AD36" s="2" t="s">
        <v>485</v>
      </c>
      <c r="AE36" s="2" t="s">
        <v>637</v>
      </c>
      <c r="AF36" s="4" t="s">
        <v>1403</v>
      </c>
      <c r="AG36" s="2" t="s">
        <v>588</v>
      </c>
      <c r="AH36" s="2">
        <v>5</v>
      </c>
      <c r="AI36" s="2" t="s">
        <v>1091</v>
      </c>
      <c r="AJ36" s="4" t="s">
        <v>1403</v>
      </c>
      <c r="AK36" s="2" t="s">
        <v>486</v>
      </c>
      <c r="AL36" s="5" t="s">
        <v>1120</v>
      </c>
      <c r="AM36" s="2" t="s">
        <v>31</v>
      </c>
      <c r="AN36" s="4" t="s">
        <v>1403</v>
      </c>
      <c r="AO36" s="2" t="s">
        <v>31</v>
      </c>
      <c r="AP36" s="4" t="s">
        <v>1403</v>
      </c>
      <c r="AQ36" s="5" t="s">
        <v>1152</v>
      </c>
      <c r="AR36" s="2" t="s">
        <v>487</v>
      </c>
      <c r="AS36" s="2" t="s">
        <v>1157</v>
      </c>
      <c r="AT36" s="4" t="s">
        <v>1403</v>
      </c>
      <c r="AU36" s="2" t="s">
        <v>28</v>
      </c>
      <c r="AV36" s="2" t="s">
        <v>488</v>
      </c>
      <c r="AW36" s="2" t="s">
        <v>1294</v>
      </c>
      <c r="AX36" s="2" t="s">
        <v>28</v>
      </c>
      <c r="AY36" s="2" t="s">
        <v>489</v>
      </c>
      <c r="AZ36" s="2" t="s">
        <v>1210</v>
      </c>
      <c r="BA36" s="2" t="s">
        <v>1403</v>
      </c>
      <c r="BB36" s="2" t="s">
        <v>709</v>
      </c>
      <c r="BC36" s="2" t="s">
        <v>490</v>
      </c>
      <c r="BD36" s="2" t="s">
        <v>1241</v>
      </c>
      <c r="BE36" s="2" t="s">
        <v>491</v>
      </c>
      <c r="BF36" s="2" t="s">
        <v>1403</v>
      </c>
      <c r="BG36" s="2" t="s">
        <v>492</v>
      </c>
      <c r="BH36" s="2" t="s">
        <v>1242</v>
      </c>
      <c r="BI36" s="2" t="s">
        <v>493</v>
      </c>
      <c r="BJ36" s="2" t="s">
        <v>28</v>
      </c>
      <c r="BK36" s="2" t="s">
        <v>1179</v>
      </c>
      <c r="BL36" s="2" t="s">
        <v>1403</v>
      </c>
      <c r="BM36" s="2" t="s">
        <v>494</v>
      </c>
      <c r="BN36" s="2" t="s">
        <v>1403</v>
      </c>
      <c r="BO36" s="2" t="s">
        <v>1403</v>
      </c>
      <c r="BP36" s="2" t="s">
        <v>1403</v>
      </c>
      <c r="BQ36" s="2" t="s">
        <v>494</v>
      </c>
      <c r="BR36" s="2">
        <v>3</v>
      </c>
    </row>
    <row r="37" spans="1:70" x14ac:dyDescent="0.2">
      <c r="A37" s="2" t="s">
        <v>365</v>
      </c>
      <c r="B37" s="2" t="s">
        <v>1339</v>
      </c>
      <c r="C37" s="2" t="s">
        <v>1399</v>
      </c>
      <c r="D37" s="2">
        <v>6</v>
      </c>
      <c r="E37" s="2">
        <v>3</v>
      </c>
      <c r="F37" s="2">
        <v>1</v>
      </c>
      <c r="G37" s="2" t="s">
        <v>39</v>
      </c>
      <c r="H37" s="2">
        <v>1</v>
      </c>
      <c r="I37" s="2">
        <v>3</v>
      </c>
      <c r="J37" s="2">
        <v>0</v>
      </c>
      <c r="K37" s="2">
        <v>0</v>
      </c>
      <c r="L37" s="2">
        <v>0</v>
      </c>
      <c r="M37" s="2">
        <v>0</v>
      </c>
      <c r="N37" s="2">
        <v>0</v>
      </c>
      <c r="O37" s="2">
        <v>0</v>
      </c>
      <c r="P37" s="2">
        <v>0</v>
      </c>
      <c r="Q37" s="2">
        <v>0</v>
      </c>
      <c r="R37" s="2">
        <f t="shared" si="1"/>
        <v>4</v>
      </c>
      <c r="S37" s="5" t="s">
        <v>495</v>
      </c>
      <c r="T37" s="2" t="s">
        <v>985</v>
      </c>
      <c r="U37" s="2" t="s">
        <v>1008</v>
      </c>
      <c r="V37" s="2" t="s">
        <v>496</v>
      </c>
      <c r="W37" s="2">
        <v>5</v>
      </c>
      <c r="X37" s="2" t="s">
        <v>42</v>
      </c>
      <c r="Y37" s="2" t="s">
        <v>42</v>
      </c>
      <c r="Z37" s="4" t="s">
        <v>1403</v>
      </c>
      <c r="AA37" s="2" t="s">
        <v>497</v>
      </c>
      <c r="AB37" s="2" t="s">
        <v>1041</v>
      </c>
      <c r="AC37" s="2" t="s">
        <v>498</v>
      </c>
      <c r="AD37" s="2" t="s">
        <v>499</v>
      </c>
      <c r="AE37" s="2" t="s">
        <v>637</v>
      </c>
      <c r="AF37" s="2" t="s">
        <v>500</v>
      </c>
      <c r="AG37" s="2" t="s">
        <v>1058</v>
      </c>
      <c r="AH37" s="2">
        <v>420</v>
      </c>
      <c r="AI37" s="2" t="s">
        <v>1099</v>
      </c>
      <c r="AJ37" s="4" t="s">
        <v>1403</v>
      </c>
      <c r="AK37" s="2" t="s">
        <v>501</v>
      </c>
      <c r="AL37" s="5" t="s">
        <v>1100</v>
      </c>
      <c r="AM37" s="2" t="s">
        <v>502</v>
      </c>
      <c r="AN37" s="4" t="s">
        <v>1403</v>
      </c>
      <c r="AO37" s="2" t="s">
        <v>1187</v>
      </c>
      <c r="AP37" s="2" t="s">
        <v>224</v>
      </c>
      <c r="AQ37" s="5" t="s">
        <v>1101</v>
      </c>
      <c r="AR37" s="4" t="s">
        <v>1403</v>
      </c>
      <c r="AS37" s="2" t="s">
        <v>1403</v>
      </c>
      <c r="AT37" s="2" t="s">
        <v>503</v>
      </c>
      <c r="AU37" s="2" t="s">
        <v>709</v>
      </c>
      <c r="AV37" s="2" t="s">
        <v>504</v>
      </c>
      <c r="AW37" s="2" t="s">
        <v>1295</v>
      </c>
      <c r="AX37" s="2" t="s">
        <v>1290</v>
      </c>
      <c r="AY37" s="2" t="s">
        <v>505</v>
      </c>
      <c r="AZ37" s="2" t="s">
        <v>1198</v>
      </c>
      <c r="BA37" s="2" t="s">
        <v>1403</v>
      </c>
      <c r="BB37" s="2" t="s">
        <v>709</v>
      </c>
      <c r="BC37" s="2" t="s">
        <v>506</v>
      </c>
      <c r="BD37" s="2" t="s">
        <v>1183</v>
      </c>
      <c r="BE37" s="2" t="s">
        <v>491</v>
      </c>
      <c r="BF37" s="2" t="s">
        <v>1403</v>
      </c>
      <c r="BG37" s="2" t="s">
        <v>507</v>
      </c>
      <c r="BH37" s="2" t="s">
        <v>1043</v>
      </c>
      <c r="BI37" s="2" t="s">
        <v>508</v>
      </c>
      <c r="BJ37" s="2" t="s">
        <v>28</v>
      </c>
      <c r="BK37" s="2" t="s">
        <v>28</v>
      </c>
      <c r="BL37" s="2" t="s">
        <v>1403</v>
      </c>
      <c r="BM37" s="2" t="s">
        <v>509</v>
      </c>
      <c r="BN37" s="2" t="s">
        <v>1403</v>
      </c>
      <c r="BO37" s="2" t="s">
        <v>1075</v>
      </c>
      <c r="BP37" s="2" t="s">
        <v>1071</v>
      </c>
      <c r="BQ37" s="2" t="s">
        <v>509</v>
      </c>
      <c r="BR37" s="2">
        <v>3</v>
      </c>
    </row>
    <row r="38" spans="1:70" x14ac:dyDescent="0.2">
      <c r="A38" s="2" t="s">
        <v>365</v>
      </c>
      <c r="B38" s="2" t="s">
        <v>1340</v>
      </c>
      <c r="C38" s="2" t="s">
        <v>1399</v>
      </c>
      <c r="D38" s="2">
        <v>3</v>
      </c>
      <c r="E38" s="2">
        <v>0</v>
      </c>
      <c r="F38" s="2">
        <v>1</v>
      </c>
      <c r="G38" s="2" t="s">
        <v>76</v>
      </c>
      <c r="H38" s="2">
        <v>1</v>
      </c>
      <c r="I38" s="2">
        <v>0</v>
      </c>
      <c r="J38" s="2">
        <v>0</v>
      </c>
      <c r="K38" s="2">
        <v>0</v>
      </c>
      <c r="L38" s="2">
        <v>1</v>
      </c>
      <c r="M38" s="2">
        <v>0</v>
      </c>
      <c r="N38" s="2">
        <v>0</v>
      </c>
      <c r="O38" s="2">
        <v>0</v>
      </c>
      <c r="P38" s="2">
        <v>0</v>
      </c>
      <c r="Q38" s="2">
        <v>0</v>
      </c>
      <c r="R38" s="2">
        <f t="shared" si="1"/>
        <v>2</v>
      </c>
      <c r="S38" s="5" t="s">
        <v>510</v>
      </c>
      <c r="T38" s="2" t="s">
        <v>997</v>
      </c>
      <c r="U38" s="2" t="s">
        <v>989</v>
      </c>
      <c r="V38" s="2" t="s">
        <v>511</v>
      </c>
      <c r="W38" s="2">
        <v>5</v>
      </c>
      <c r="X38" s="2" t="s">
        <v>512</v>
      </c>
      <c r="Y38" s="2" t="s">
        <v>1027</v>
      </c>
      <c r="Z38" s="4" t="s">
        <v>1403</v>
      </c>
      <c r="AA38" s="2" t="s">
        <v>28</v>
      </c>
      <c r="AB38" s="2" t="s">
        <v>1040</v>
      </c>
      <c r="AC38" s="2" t="s">
        <v>28</v>
      </c>
      <c r="AD38" s="5" t="s">
        <v>513</v>
      </c>
      <c r="AE38" s="2" t="s">
        <v>1113</v>
      </c>
      <c r="AF38" s="2" t="s">
        <v>514</v>
      </c>
      <c r="AG38" s="2" t="s">
        <v>1053</v>
      </c>
      <c r="AH38" s="2">
        <v>720</v>
      </c>
      <c r="AI38" s="2" t="s">
        <v>1244</v>
      </c>
      <c r="AJ38" s="4" t="s">
        <v>1403</v>
      </c>
      <c r="AK38" s="2" t="s">
        <v>515</v>
      </c>
      <c r="AL38" s="5" t="s">
        <v>1104</v>
      </c>
      <c r="AM38" s="2" t="s">
        <v>516</v>
      </c>
      <c r="AN38" s="4" t="s">
        <v>1403</v>
      </c>
      <c r="AO38" s="2" t="s">
        <v>1187</v>
      </c>
      <c r="AP38" s="2" t="s">
        <v>517</v>
      </c>
      <c r="AQ38" s="5" t="s">
        <v>1128</v>
      </c>
      <c r="AR38" s="2" t="s">
        <v>518</v>
      </c>
      <c r="AS38" s="2" t="s">
        <v>1403</v>
      </c>
      <c r="AT38" s="4" t="s">
        <v>1403</v>
      </c>
      <c r="AU38" s="2" t="s">
        <v>1403</v>
      </c>
      <c r="AV38" s="2" t="s">
        <v>488</v>
      </c>
      <c r="AW38" s="2" t="s">
        <v>28</v>
      </c>
      <c r="AX38" s="2" t="s">
        <v>28</v>
      </c>
      <c r="AY38" s="2" t="s">
        <v>519</v>
      </c>
      <c r="AZ38" s="2" t="s">
        <v>1213</v>
      </c>
      <c r="BA38" s="2" t="s">
        <v>1403</v>
      </c>
      <c r="BB38" s="2" t="s">
        <v>1185</v>
      </c>
      <c r="BC38" s="2" t="s">
        <v>520</v>
      </c>
      <c r="BD38" s="2" t="s">
        <v>1200</v>
      </c>
      <c r="BE38" s="2" t="s">
        <v>28</v>
      </c>
      <c r="BF38" s="2" t="s">
        <v>1403</v>
      </c>
      <c r="BG38" s="2" t="s">
        <v>1403</v>
      </c>
      <c r="BH38" s="2" t="s">
        <v>709</v>
      </c>
      <c r="BI38" s="2" t="s">
        <v>521</v>
      </c>
      <c r="BJ38" s="2" t="s">
        <v>1180</v>
      </c>
      <c r="BK38" s="2" t="s">
        <v>1180</v>
      </c>
      <c r="BL38" s="2" t="s">
        <v>1403</v>
      </c>
      <c r="BM38" s="2" t="s">
        <v>522</v>
      </c>
      <c r="BN38" s="2" t="s">
        <v>1403</v>
      </c>
      <c r="BO38" s="2" t="s">
        <v>1069</v>
      </c>
      <c r="BP38" s="2" t="s">
        <v>1089</v>
      </c>
      <c r="BQ38" s="2" t="s">
        <v>522</v>
      </c>
      <c r="BR38" s="2">
        <v>17</v>
      </c>
    </row>
    <row r="39" spans="1:70" x14ac:dyDescent="0.2">
      <c r="A39" s="2" t="s">
        <v>365</v>
      </c>
      <c r="B39" s="2" t="s">
        <v>1341</v>
      </c>
      <c r="C39" s="2" t="s">
        <v>1395</v>
      </c>
      <c r="D39" s="2">
        <v>6</v>
      </c>
      <c r="E39" s="2">
        <v>4</v>
      </c>
      <c r="F39" s="2">
        <v>0</v>
      </c>
      <c r="G39" s="2" t="s">
        <v>48</v>
      </c>
      <c r="H39" s="2">
        <v>1</v>
      </c>
      <c r="I39" s="2">
        <v>0</v>
      </c>
      <c r="J39" s="2">
        <v>0</v>
      </c>
      <c r="K39" s="2">
        <v>0</v>
      </c>
      <c r="L39" s="2">
        <v>0</v>
      </c>
      <c r="M39" s="2">
        <v>0</v>
      </c>
      <c r="N39" s="2">
        <v>0</v>
      </c>
      <c r="O39" s="2">
        <v>0</v>
      </c>
      <c r="P39" s="2">
        <v>0</v>
      </c>
      <c r="Q39" s="2">
        <v>0</v>
      </c>
      <c r="R39" s="2">
        <f t="shared" si="1"/>
        <v>1</v>
      </c>
      <c r="S39" s="2" t="s">
        <v>523</v>
      </c>
      <c r="T39" s="2" t="s">
        <v>989</v>
      </c>
      <c r="U39" s="2" t="s">
        <v>989</v>
      </c>
      <c r="V39" s="2" t="s">
        <v>524</v>
      </c>
      <c r="W39" s="2">
        <v>5</v>
      </c>
      <c r="X39" s="2" t="s">
        <v>42</v>
      </c>
      <c r="Y39" s="2" t="s">
        <v>42</v>
      </c>
      <c r="Z39" s="4" t="s">
        <v>1403</v>
      </c>
      <c r="AA39" s="2" t="s">
        <v>525</v>
      </c>
      <c r="AB39" s="2" t="s">
        <v>1042</v>
      </c>
      <c r="AC39" s="2" t="s">
        <v>28</v>
      </c>
      <c r="AD39" s="2" t="s">
        <v>526</v>
      </c>
      <c r="AE39" s="2" t="s">
        <v>1107</v>
      </c>
      <c r="AF39" s="2" t="s">
        <v>527</v>
      </c>
      <c r="AG39" s="2" t="s">
        <v>1052</v>
      </c>
      <c r="AH39" s="2">
        <v>60</v>
      </c>
      <c r="AI39" s="2" t="s">
        <v>1091</v>
      </c>
      <c r="AJ39" s="4" t="s">
        <v>1403</v>
      </c>
      <c r="AK39" s="2" t="s">
        <v>528</v>
      </c>
      <c r="AL39" s="5" t="s">
        <v>1104</v>
      </c>
      <c r="AM39" s="2" t="s">
        <v>31</v>
      </c>
      <c r="AN39" s="4" t="s">
        <v>1403</v>
      </c>
      <c r="AO39" s="2" t="s">
        <v>31</v>
      </c>
      <c r="AP39" s="2" t="s">
        <v>345</v>
      </c>
      <c r="AQ39" s="5" t="s">
        <v>1130</v>
      </c>
      <c r="AR39" s="4" t="s">
        <v>1403</v>
      </c>
      <c r="AS39" s="2" t="s">
        <v>1403</v>
      </c>
      <c r="AT39" s="4" t="s">
        <v>1403</v>
      </c>
      <c r="AU39" s="2" t="s">
        <v>1403</v>
      </c>
      <c r="AV39" s="2" t="s">
        <v>1403</v>
      </c>
      <c r="AW39" s="2" t="s">
        <v>1403</v>
      </c>
      <c r="AX39" s="2" t="s">
        <v>1403</v>
      </c>
      <c r="AY39" s="2" t="s">
        <v>529</v>
      </c>
      <c r="AZ39" s="2" t="s">
        <v>1210</v>
      </c>
      <c r="BA39" s="2" t="s">
        <v>1403</v>
      </c>
      <c r="BB39" s="2" t="s">
        <v>709</v>
      </c>
      <c r="BC39" s="2" t="s">
        <v>530</v>
      </c>
      <c r="BD39" s="2" t="s">
        <v>1183</v>
      </c>
      <c r="BE39" s="2" t="s">
        <v>28</v>
      </c>
      <c r="BF39" s="2" t="s">
        <v>1403</v>
      </c>
      <c r="BG39" s="2" t="s">
        <v>531</v>
      </c>
      <c r="BH39" s="2" t="s">
        <v>1237</v>
      </c>
      <c r="BI39" s="2" t="s">
        <v>532</v>
      </c>
      <c r="BJ39" s="2" t="s">
        <v>1180</v>
      </c>
      <c r="BK39" s="2" t="s">
        <v>1180</v>
      </c>
      <c r="BL39" s="2" t="s">
        <v>1403</v>
      </c>
      <c r="BM39" s="2" t="s">
        <v>533</v>
      </c>
      <c r="BN39" s="2" t="s">
        <v>1403</v>
      </c>
      <c r="BO39" s="2" t="s">
        <v>1403</v>
      </c>
      <c r="BP39" s="2" t="s">
        <v>1403</v>
      </c>
      <c r="BQ39" s="2" t="s">
        <v>533</v>
      </c>
      <c r="BR39" s="2">
        <v>10</v>
      </c>
    </row>
    <row r="40" spans="1:70" x14ac:dyDescent="0.2">
      <c r="A40" s="2" t="s">
        <v>365</v>
      </c>
      <c r="B40" s="2" t="s">
        <v>1342</v>
      </c>
      <c r="C40" s="2" t="s">
        <v>1401</v>
      </c>
      <c r="D40" s="2">
        <v>7</v>
      </c>
      <c r="E40" s="2">
        <v>2</v>
      </c>
      <c r="F40" s="2">
        <v>2</v>
      </c>
      <c r="G40" s="2" t="s">
        <v>192</v>
      </c>
      <c r="H40" s="2">
        <v>0</v>
      </c>
      <c r="I40" s="2">
        <v>2</v>
      </c>
      <c r="J40" s="2">
        <v>0</v>
      </c>
      <c r="K40" s="2">
        <v>0</v>
      </c>
      <c r="L40" s="2">
        <v>0</v>
      </c>
      <c r="M40" s="2">
        <v>0</v>
      </c>
      <c r="N40" s="2">
        <v>0</v>
      </c>
      <c r="O40" s="2">
        <v>0</v>
      </c>
      <c r="P40" s="2">
        <v>0</v>
      </c>
      <c r="Q40" s="2">
        <v>0</v>
      </c>
      <c r="R40" s="2">
        <f t="shared" si="1"/>
        <v>2</v>
      </c>
      <c r="S40" s="2" t="s">
        <v>534</v>
      </c>
      <c r="T40" s="2" t="s">
        <v>997</v>
      </c>
      <c r="U40" s="2" t="s">
        <v>989</v>
      </c>
      <c r="V40" s="2" t="s">
        <v>535</v>
      </c>
      <c r="W40" s="2">
        <v>5</v>
      </c>
      <c r="X40" s="2" t="s">
        <v>42</v>
      </c>
      <c r="Y40" s="2" t="s">
        <v>42</v>
      </c>
      <c r="Z40" s="4" t="s">
        <v>1403</v>
      </c>
      <c r="AA40" s="2" t="s">
        <v>536</v>
      </c>
      <c r="AB40" s="2" t="s">
        <v>1042</v>
      </c>
      <c r="AC40" s="2" t="s">
        <v>537</v>
      </c>
      <c r="AD40" s="5" t="s">
        <v>538</v>
      </c>
      <c r="AE40" s="2" t="s">
        <v>637</v>
      </c>
      <c r="AF40" s="2" t="s">
        <v>661</v>
      </c>
      <c r="AG40" s="2" t="s">
        <v>1053</v>
      </c>
      <c r="AH40" s="2">
        <v>720</v>
      </c>
      <c r="AI40" s="4" t="s">
        <v>1403</v>
      </c>
      <c r="AJ40" s="4" t="s">
        <v>1403</v>
      </c>
      <c r="AK40" s="2" t="s">
        <v>539</v>
      </c>
      <c r="AL40" s="5" t="s">
        <v>1104</v>
      </c>
      <c r="AM40" s="2" t="s">
        <v>31</v>
      </c>
      <c r="AN40" s="4" t="s">
        <v>1403</v>
      </c>
      <c r="AO40" s="2" t="s">
        <v>31</v>
      </c>
      <c r="AP40" s="4" t="s">
        <v>1403</v>
      </c>
      <c r="AQ40" s="5" t="s">
        <v>1097</v>
      </c>
      <c r="AR40" s="2" t="s">
        <v>1403</v>
      </c>
      <c r="AS40" s="2" t="s">
        <v>1403</v>
      </c>
      <c r="AT40" s="4" t="s">
        <v>1403</v>
      </c>
      <c r="AU40" s="2" t="s">
        <v>1403</v>
      </c>
      <c r="AV40" s="2" t="s">
        <v>540</v>
      </c>
      <c r="AW40" s="2" t="s">
        <v>862</v>
      </c>
      <c r="AX40" s="2" t="s">
        <v>28</v>
      </c>
      <c r="AY40" s="2" t="s">
        <v>1403</v>
      </c>
      <c r="AZ40" s="2" t="s">
        <v>1189</v>
      </c>
      <c r="BA40" s="2" t="s">
        <v>1403</v>
      </c>
      <c r="BB40" s="2" t="s">
        <v>901</v>
      </c>
      <c r="BC40" s="2" t="s">
        <v>541</v>
      </c>
      <c r="BD40" s="2" t="s">
        <v>1192</v>
      </c>
      <c r="BE40" s="2" t="s">
        <v>542</v>
      </c>
      <c r="BF40" s="2" t="s">
        <v>1403</v>
      </c>
      <c r="BG40" s="2" t="s">
        <v>543</v>
      </c>
      <c r="BH40" s="2" t="s">
        <v>1237</v>
      </c>
      <c r="BI40" s="2" t="s">
        <v>544</v>
      </c>
      <c r="BJ40" s="2" t="s">
        <v>1403</v>
      </c>
      <c r="BK40" s="2" t="s">
        <v>1403</v>
      </c>
      <c r="BL40" s="2" t="s">
        <v>1403</v>
      </c>
      <c r="BM40" s="2" t="s">
        <v>545</v>
      </c>
      <c r="BN40" s="2" t="s">
        <v>1403</v>
      </c>
      <c r="BO40" s="2" t="s">
        <v>1078</v>
      </c>
      <c r="BP40" s="2" t="s">
        <v>1066</v>
      </c>
      <c r="BQ40" s="2" t="s">
        <v>545</v>
      </c>
      <c r="BR40" s="2">
        <v>11</v>
      </c>
    </row>
    <row r="41" spans="1:70" x14ac:dyDescent="0.2">
      <c r="A41" s="2" t="s">
        <v>365</v>
      </c>
      <c r="B41" s="2" t="s">
        <v>1343</v>
      </c>
      <c r="C41" s="2" t="s">
        <v>1395</v>
      </c>
      <c r="D41" s="2">
        <v>6</v>
      </c>
      <c r="E41" s="2">
        <v>4</v>
      </c>
      <c r="F41" s="2">
        <v>1</v>
      </c>
      <c r="G41" s="2" t="s">
        <v>39</v>
      </c>
      <c r="H41" s="2">
        <v>1</v>
      </c>
      <c r="I41" s="2">
        <v>4</v>
      </c>
      <c r="J41" s="2">
        <v>0</v>
      </c>
      <c r="K41" s="2">
        <v>0</v>
      </c>
      <c r="L41" s="2">
        <v>0</v>
      </c>
      <c r="M41" s="2">
        <v>0</v>
      </c>
      <c r="N41" s="2">
        <v>0</v>
      </c>
      <c r="O41" s="2">
        <v>0</v>
      </c>
      <c r="P41" s="2">
        <v>0</v>
      </c>
      <c r="Q41" s="2">
        <v>0</v>
      </c>
      <c r="R41" s="2">
        <f t="shared" si="1"/>
        <v>5</v>
      </c>
      <c r="S41" s="2" t="s">
        <v>546</v>
      </c>
      <c r="T41" s="2" t="s">
        <v>990</v>
      </c>
      <c r="U41" s="2" t="s">
        <v>989</v>
      </c>
      <c r="V41" s="4" t="s">
        <v>1403</v>
      </c>
      <c r="W41" s="2">
        <v>5</v>
      </c>
      <c r="X41" s="4" t="s">
        <v>1403</v>
      </c>
      <c r="Y41" s="2" t="s">
        <v>42</v>
      </c>
      <c r="Z41" s="2" t="s">
        <v>1028</v>
      </c>
      <c r="AA41" s="2" t="s">
        <v>547</v>
      </c>
      <c r="AB41" s="2" t="s">
        <v>1043</v>
      </c>
      <c r="AC41" s="4" t="s">
        <v>1403</v>
      </c>
      <c r="AD41" s="2" t="s">
        <v>548</v>
      </c>
      <c r="AE41" s="2" t="s">
        <v>1107</v>
      </c>
      <c r="AF41" s="2" t="s">
        <v>549</v>
      </c>
      <c r="AG41" s="2" t="s">
        <v>1052</v>
      </c>
      <c r="AH41" s="2">
        <v>60</v>
      </c>
      <c r="AI41" s="2" t="s">
        <v>1243</v>
      </c>
      <c r="AJ41" s="4" t="s">
        <v>1403</v>
      </c>
      <c r="AK41" s="4" t="s">
        <v>1403</v>
      </c>
      <c r="AL41" s="5" t="s">
        <v>1104</v>
      </c>
      <c r="AM41" s="4" t="s">
        <v>1403</v>
      </c>
      <c r="AN41" s="4" t="s">
        <v>1403</v>
      </c>
      <c r="AO41" s="4" t="s">
        <v>1403</v>
      </c>
      <c r="AP41" s="2" t="s">
        <v>550</v>
      </c>
      <c r="AQ41" s="5" t="s">
        <v>1135</v>
      </c>
      <c r="AR41" s="2" t="s">
        <v>551</v>
      </c>
      <c r="AS41" s="2" t="s">
        <v>1157</v>
      </c>
      <c r="AT41" s="4" t="s">
        <v>1403</v>
      </c>
      <c r="AU41" s="2" t="s">
        <v>709</v>
      </c>
      <c r="AV41" s="2" t="s">
        <v>552</v>
      </c>
      <c r="AW41" s="2" t="s">
        <v>28</v>
      </c>
      <c r="AX41" s="2" t="s">
        <v>28</v>
      </c>
      <c r="AY41" s="2" t="s">
        <v>553</v>
      </c>
      <c r="AZ41" s="2" t="s">
        <v>1198</v>
      </c>
      <c r="BA41" s="2" t="s">
        <v>1403</v>
      </c>
      <c r="BB41" s="2" t="s">
        <v>709</v>
      </c>
      <c r="BC41" s="2" t="s">
        <v>1403</v>
      </c>
      <c r="BD41" s="2" t="s">
        <v>1403</v>
      </c>
      <c r="BE41" s="2" t="s">
        <v>1403</v>
      </c>
      <c r="BF41" s="2" t="s">
        <v>101</v>
      </c>
      <c r="BG41" s="2" t="s">
        <v>1403</v>
      </c>
      <c r="BH41" s="2" t="s">
        <v>709</v>
      </c>
      <c r="BI41" s="2" t="s">
        <v>554</v>
      </c>
      <c r="BJ41" s="2" t="s">
        <v>1180</v>
      </c>
      <c r="BK41" s="2" t="s">
        <v>1180</v>
      </c>
      <c r="BL41" s="2" t="s">
        <v>1403</v>
      </c>
      <c r="BM41" s="2" t="s">
        <v>555</v>
      </c>
      <c r="BN41" s="2" t="s">
        <v>1403</v>
      </c>
      <c r="BO41" s="2" t="s">
        <v>1403</v>
      </c>
      <c r="BP41" s="2" t="s">
        <v>1403</v>
      </c>
      <c r="BQ41" s="2" t="s">
        <v>555</v>
      </c>
      <c r="BR41" s="2">
        <v>8</v>
      </c>
    </row>
    <row r="42" spans="1:70" x14ac:dyDescent="0.2">
      <c r="A42" s="2" t="s">
        <v>365</v>
      </c>
      <c r="B42" s="2" t="s">
        <v>1344</v>
      </c>
      <c r="C42" s="2" t="s">
        <v>1398</v>
      </c>
      <c r="D42" s="2">
        <v>1</v>
      </c>
      <c r="E42" s="2">
        <v>0</v>
      </c>
      <c r="F42" s="2">
        <v>1</v>
      </c>
      <c r="G42" s="2" t="s">
        <v>48</v>
      </c>
      <c r="H42" s="2">
        <v>1</v>
      </c>
      <c r="I42" s="2">
        <v>0</v>
      </c>
      <c r="J42" s="2">
        <v>0</v>
      </c>
      <c r="K42" s="2">
        <v>0</v>
      </c>
      <c r="L42" s="2">
        <v>0</v>
      </c>
      <c r="M42" s="2">
        <v>0</v>
      </c>
      <c r="N42" s="2">
        <v>0</v>
      </c>
      <c r="O42" s="2">
        <v>0</v>
      </c>
      <c r="P42" s="2">
        <v>0</v>
      </c>
      <c r="Q42" s="2">
        <v>0</v>
      </c>
      <c r="R42" s="2">
        <f t="shared" si="1"/>
        <v>1</v>
      </c>
      <c r="S42" s="5" t="s">
        <v>556</v>
      </c>
      <c r="T42" s="2" t="s">
        <v>996</v>
      </c>
      <c r="U42" s="2" t="s">
        <v>1403</v>
      </c>
      <c r="V42" s="2" t="s">
        <v>557</v>
      </c>
      <c r="W42" s="2">
        <v>1</v>
      </c>
      <c r="X42" s="2" t="s">
        <v>42</v>
      </c>
      <c r="Y42" s="2" t="s">
        <v>42</v>
      </c>
      <c r="Z42" s="4" t="s">
        <v>1403</v>
      </c>
      <c r="AA42" s="2" t="s">
        <v>28</v>
      </c>
      <c r="AB42" s="2" t="s">
        <v>1040</v>
      </c>
      <c r="AC42" s="2" t="s">
        <v>28</v>
      </c>
      <c r="AD42" s="2" t="s">
        <v>558</v>
      </c>
      <c r="AE42" s="2" t="s">
        <v>1102</v>
      </c>
      <c r="AF42" s="2" t="s">
        <v>559</v>
      </c>
      <c r="AG42" s="2" t="s">
        <v>1052</v>
      </c>
      <c r="AH42" s="2">
        <v>60</v>
      </c>
      <c r="AI42" s="4" t="s">
        <v>1403</v>
      </c>
      <c r="AJ42" s="4" t="s">
        <v>1403</v>
      </c>
      <c r="AK42" s="2" t="s">
        <v>560</v>
      </c>
      <c r="AL42" s="5" t="s">
        <v>1106</v>
      </c>
      <c r="AM42" s="2" t="s">
        <v>404</v>
      </c>
      <c r="AN42" s="2" t="s">
        <v>1186</v>
      </c>
      <c r="AO42" s="2" t="s">
        <v>404</v>
      </c>
      <c r="AP42" s="2" t="s">
        <v>72</v>
      </c>
      <c r="AQ42" s="5" t="s">
        <v>72</v>
      </c>
      <c r="AR42" s="2" t="s">
        <v>561</v>
      </c>
      <c r="AS42" s="2" t="s">
        <v>1403</v>
      </c>
      <c r="AT42" s="2" t="s">
        <v>562</v>
      </c>
      <c r="AU42" s="2" t="s">
        <v>1403</v>
      </c>
      <c r="AV42" s="2" t="s">
        <v>563</v>
      </c>
      <c r="AW42" s="2" t="s">
        <v>28</v>
      </c>
      <c r="AX42" s="2" t="s">
        <v>28</v>
      </c>
      <c r="AY42" s="2" t="s">
        <v>564</v>
      </c>
      <c r="AZ42" s="2" t="s">
        <v>1198</v>
      </c>
      <c r="BA42" s="2" t="s">
        <v>1182</v>
      </c>
      <c r="BB42" s="2" t="s">
        <v>1403</v>
      </c>
      <c r="BC42" s="2" t="s">
        <v>565</v>
      </c>
      <c r="BD42" s="2" t="s">
        <v>1200</v>
      </c>
      <c r="BE42" s="2" t="s">
        <v>28</v>
      </c>
      <c r="BF42" s="2" t="s">
        <v>1403</v>
      </c>
      <c r="BG42" s="2" t="s">
        <v>566</v>
      </c>
      <c r="BH42" s="2" t="s">
        <v>709</v>
      </c>
      <c r="BI42" s="2" t="s">
        <v>567</v>
      </c>
      <c r="BJ42" s="2" t="s">
        <v>1180</v>
      </c>
      <c r="BK42" s="2" t="s">
        <v>1180</v>
      </c>
      <c r="BL42" s="2" t="s">
        <v>709</v>
      </c>
      <c r="BM42" s="2" t="s">
        <v>568</v>
      </c>
      <c r="BN42" s="2" t="s">
        <v>569</v>
      </c>
      <c r="BO42" s="2" t="s">
        <v>1076</v>
      </c>
      <c r="BP42" s="2" t="s">
        <v>1066</v>
      </c>
      <c r="BQ42" s="2" t="s">
        <v>568</v>
      </c>
      <c r="BR42" s="2">
        <v>17</v>
      </c>
    </row>
    <row r="43" spans="1:70" x14ac:dyDescent="0.2">
      <c r="A43" s="2" t="s">
        <v>365</v>
      </c>
      <c r="B43" s="2" t="s">
        <v>1345</v>
      </c>
      <c r="C43" s="2" t="s">
        <v>1399</v>
      </c>
      <c r="D43" s="2">
        <v>3</v>
      </c>
      <c r="E43" s="2">
        <v>0</v>
      </c>
      <c r="F43" s="2">
        <v>1</v>
      </c>
      <c r="G43" s="2" t="s">
        <v>48</v>
      </c>
      <c r="H43" s="2">
        <v>1</v>
      </c>
      <c r="I43" s="2">
        <v>0</v>
      </c>
      <c r="J43" s="2">
        <v>0</v>
      </c>
      <c r="K43" s="2">
        <v>0</v>
      </c>
      <c r="L43" s="2">
        <v>0</v>
      </c>
      <c r="M43" s="2">
        <v>0</v>
      </c>
      <c r="N43" s="2">
        <v>0</v>
      </c>
      <c r="O43" s="2">
        <v>0</v>
      </c>
      <c r="P43" s="2">
        <v>0</v>
      </c>
      <c r="Q43" s="2">
        <v>0</v>
      </c>
      <c r="R43" s="2">
        <f t="shared" si="1"/>
        <v>1</v>
      </c>
      <c r="S43" s="2" t="s">
        <v>570</v>
      </c>
      <c r="T43" s="2" t="s">
        <v>985</v>
      </c>
      <c r="U43" s="2" t="s">
        <v>1006</v>
      </c>
      <c r="V43" s="2" t="s">
        <v>571</v>
      </c>
      <c r="W43" s="2">
        <v>5</v>
      </c>
      <c r="X43" s="2" t="s">
        <v>42</v>
      </c>
      <c r="Y43" s="2" t="s">
        <v>42</v>
      </c>
      <c r="Z43" s="4" t="s">
        <v>1403</v>
      </c>
      <c r="AA43" s="2" t="s">
        <v>572</v>
      </c>
      <c r="AB43" s="2" t="s">
        <v>1040</v>
      </c>
      <c r="AC43" s="2" t="s">
        <v>28</v>
      </c>
      <c r="AD43" s="5" t="s">
        <v>573</v>
      </c>
      <c r="AE43" s="2" t="s">
        <v>1107</v>
      </c>
      <c r="AF43" s="2" t="s">
        <v>574</v>
      </c>
      <c r="AG43" s="2" t="s">
        <v>588</v>
      </c>
      <c r="AH43" s="2">
        <v>20</v>
      </c>
      <c r="AI43" s="2" t="s">
        <v>1099</v>
      </c>
      <c r="AJ43" s="2">
        <v>20</v>
      </c>
      <c r="AK43" s="2" t="s">
        <v>575</v>
      </c>
      <c r="AL43" s="5" t="s">
        <v>1104</v>
      </c>
      <c r="AM43" s="2" t="s">
        <v>576</v>
      </c>
      <c r="AN43" s="2" t="s">
        <v>31</v>
      </c>
      <c r="AO43" s="2" t="s">
        <v>404</v>
      </c>
      <c r="AP43" s="2" t="s">
        <v>577</v>
      </c>
      <c r="AQ43" s="5" t="s">
        <v>1131</v>
      </c>
      <c r="AR43" s="2" t="s">
        <v>578</v>
      </c>
      <c r="AS43" s="2" t="s">
        <v>1403</v>
      </c>
      <c r="AT43" s="2" t="s">
        <v>579</v>
      </c>
      <c r="AU43" s="2" t="s">
        <v>709</v>
      </c>
      <c r="AV43" s="2" t="s">
        <v>580</v>
      </c>
      <c r="AW43" s="2" t="s">
        <v>28</v>
      </c>
      <c r="AX43" s="2" t="s">
        <v>1144</v>
      </c>
      <c r="AY43" s="2" t="s">
        <v>581</v>
      </c>
      <c r="AZ43" s="2" t="s">
        <v>1213</v>
      </c>
      <c r="BA43" s="2" t="s">
        <v>1266</v>
      </c>
      <c r="BB43" s="2" t="s">
        <v>901</v>
      </c>
      <c r="BC43" s="2" t="s">
        <v>582</v>
      </c>
      <c r="BD43" s="2" t="s">
        <v>1241</v>
      </c>
      <c r="BE43" s="2" t="s">
        <v>28</v>
      </c>
      <c r="BF43" s="2" t="s">
        <v>1403</v>
      </c>
      <c r="BG43" s="2" t="s">
        <v>583</v>
      </c>
      <c r="BH43" s="2" t="s">
        <v>709</v>
      </c>
      <c r="BI43" s="2" t="s">
        <v>584</v>
      </c>
      <c r="BJ43" s="2" t="s">
        <v>1403</v>
      </c>
      <c r="BK43" s="2" t="s">
        <v>28</v>
      </c>
      <c r="BL43" s="2" t="s">
        <v>709</v>
      </c>
      <c r="BM43" s="2" t="s">
        <v>585</v>
      </c>
      <c r="BN43" s="2" t="s">
        <v>1403</v>
      </c>
      <c r="BO43" s="2" t="s">
        <v>1077</v>
      </c>
      <c r="BP43" s="2" t="s">
        <v>100</v>
      </c>
      <c r="BQ43" s="2" t="s">
        <v>585</v>
      </c>
      <c r="BR43" s="2">
        <v>12</v>
      </c>
    </row>
    <row r="44" spans="1:70" x14ac:dyDescent="0.2">
      <c r="A44" s="2" t="s">
        <v>365</v>
      </c>
      <c r="B44" s="2" t="s">
        <v>1346</v>
      </c>
      <c r="C44" s="2" t="s">
        <v>1399</v>
      </c>
      <c r="D44" s="2">
        <v>5</v>
      </c>
      <c r="E44" s="2">
        <v>3</v>
      </c>
      <c r="F44" s="2">
        <v>2</v>
      </c>
      <c r="G44" s="2" t="s">
        <v>39</v>
      </c>
      <c r="H44" s="2">
        <v>1</v>
      </c>
      <c r="I44" s="2">
        <v>3</v>
      </c>
      <c r="J44" s="2">
        <v>0</v>
      </c>
      <c r="K44" s="2">
        <v>0</v>
      </c>
      <c r="L44" s="2">
        <v>0</v>
      </c>
      <c r="M44" s="2">
        <v>0</v>
      </c>
      <c r="N44" s="2">
        <v>0</v>
      </c>
      <c r="O44" s="2">
        <v>0</v>
      </c>
      <c r="P44" s="2">
        <v>0</v>
      </c>
      <c r="Q44" s="2">
        <v>0</v>
      </c>
      <c r="R44" s="2">
        <f t="shared" si="1"/>
        <v>4</v>
      </c>
      <c r="S44" s="5" t="s">
        <v>586</v>
      </c>
      <c r="T44" s="2" t="s">
        <v>998</v>
      </c>
      <c r="U44" s="2" t="s">
        <v>1403</v>
      </c>
      <c r="V44" s="2" t="s">
        <v>587</v>
      </c>
      <c r="W44" s="2">
        <v>1</v>
      </c>
      <c r="X44" s="2" t="s">
        <v>42</v>
      </c>
      <c r="Y44" s="2" t="s">
        <v>42</v>
      </c>
      <c r="Z44" s="4" t="s">
        <v>1403</v>
      </c>
      <c r="AA44" s="2" t="s">
        <v>28</v>
      </c>
      <c r="AB44" s="2" t="s">
        <v>1040</v>
      </c>
      <c r="AC44" s="2" t="s">
        <v>28</v>
      </c>
      <c r="AD44" s="4" t="s">
        <v>1403</v>
      </c>
      <c r="AE44" s="2" t="s">
        <v>1113</v>
      </c>
      <c r="AF44" s="2" t="s">
        <v>588</v>
      </c>
      <c r="AG44" s="2" t="s">
        <v>588</v>
      </c>
      <c r="AH44" s="2">
        <v>5</v>
      </c>
      <c r="AI44" s="2" t="s">
        <v>1023</v>
      </c>
      <c r="AJ44" s="4" t="s">
        <v>1403</v>
      </c>
      <c r="AK44" s="5" t="s">
        <v>589</v>
      </c>
      <c r="AL44" s="5" t="s">
        <v>1121</v>
      </c>
      <c r="AM44" s="4" t="s">
        <v>1403</v>
      </c>
      <c r="AN44" s="2" t="s">
        <v>1245</v>
      </c>
      <c r="AO44" s="2" t="s">
        <v>857</v>
      </c>
      <c r="AP44" s="2" t="s">
        <v>590</v>
      </c>
      <c r="AQ44" s="5" t="s">
        <v>1101</v>
      </c>
      <c r="AR44" s="2" t="s">
        <v>591</v>
      </c>
      <c r="AS44" s="2" t="s">
        <v>1403</v>
      </c>
      <c r="AT44" s="4" t="s">
        <v>1403</v>
      </c>
      <c r="AU44" s="2" t="s">
        <v>709</v>
      </c>
      <c r="AV44" s="2" t="s">
        <v>592</v>
      </c>
      <c r="AW44" s="2" t="s">
        <v>28</v>
      </c>
      <c r="AX44" s="2" t="s">
        <v>28</v>
      </c>
      <c r="AY44" s="2" t="s">
        <v>593</v>
      </c>
      <c r="AZ44" s="2" t="s">
        <v>1210</v>
      </c>
      <c r="BA44" s="2" t="s">
        <v>1403</v>
      </c>
      <c r="BB44" s="2" t="s">
        <v>709</v>
      </c>
      <c r="BC44" s="2" t="s">
        <v>594</v>
      </c>
      <c r="BD44" s="2" t="s">
        <v>1192</v>
      </c>
      <c r="BE44" s="2" t="s">
        <v>595</v>
      </c>
      <c r="BF44" s="2" t="s">
        <v>595</v>
      </c>
      <c r="BG44" s="2" t="s">
        <v>596</v>
      </c>
      <c r="BH44" s="2" t="s">
        <v>1043</v>
      </c>
      <c r="BI44" s="2" t="s">
        <v>597</v>
      </c>
      <c r="BJ44" s="2" t="s">
        <v>1179</v>
      </c>
      <c r="BK44" s="2" t="s">
        <v>28</v>
      </c>
      <c r="BL44" s="2" t="s">
        <v>1403</v>
      </c>
      <c r="BM44" s="2" t="s">
        <v>598</v>
      </c>
      <c r="BN44" s="2" t="s">
        <v>1249</v>
      </c>
      <c r="BO44" s="2" t="s">
        <v>1076</v>
      </c>
      <c r="BP44" s="2" t="s">
        <v>1064</v>
      </c>
      <c r="BQ44" s="2" t="s">
        <v>598</v>
      </c>
      <c r="BR44" s="2">
        <v>2</v>
      </c>
    </row>
    <row r="45" spans="1:70" x14ac:dyDescent="0.2">
      <c r="A45" s="2" t="s">
        <v>365</v>
      </c>
      <c r="B45" s="2" t="s">
        <v>1347</v>
      </c>
      <c r="C45" s="2" t="s">
        <v>1401</v>
      </c>
      <c r="D45" s="2">
        <v>6</v>
      </c>
      <c r="E45" s="2">
        <v>0</v>
      </c>
      <c r="F45" s="2">
        <v>3</v>
      </c>
      <c r="G45" s="2" t="s">
        <v>39</v>
      </c>
      <c r="H45" s="2">
        <v>1</v>
      </c>
      <c r="I45" s="2">
        <v>2</v>
      </c>
      <c r="J45" s="2">
        <v>0</v>
      </c>
      <c r="K45" s="2">
        <v>0</v>
      </c>
      <c r="L45" s="2">
        <v>0</v>
      </c>
      <c r="M45" s="2">
        <v>0</v>
      </c>
      <c r="N45" s="2">
        <v>0</v>
      </c>
      <c r="O45" s="2">
        <v>0</v>
      </c>
      <c r="P45" s="2">
        <v>0</v>
      </c>
      <c r="Q45" s="2">
        <v>0</v>
      </c>
      <c r="R45" s="2">
        <f t="shared" si="1"/>
        <v>3</v>
      </c>
      <c r="S45" s="2" t="s">
        <v>599</v>
      </c>
      <c r="T45" s="2" t="s">
        <v>998</v>
      </c>
      <c r="U45" s="2" t="s">
        <v>1403</v>
      </c>
      <c r="V45" s="2" t="s">
        <v>588</v>
      </c>
      <c r="W45" s="2">
        <v>1</v>
      </c>
      <c r="X45" s="2" t="s">
        <v>42</v>
      </c>
      <c r="Y45" s="2" t="s">
        <v>42</v>
      </c>
      <c r="Z45" s="4" t="s">
        <v>1403</v>
      </c>
      <c r="AA45" s="2" t="s">
        <v>28</v>
      </c>
      <c r="AB45" s="2" t="s">
        <v>1040</v>
      </c>
      <c r="AC45" s="2" t="s">
        <v>28</v>
      </c>
      <c r="AD45" s="2" t="s">
        <v>600</v>
      </c>
      <c r="AE45" s="2" t="s">
        <v>1113</v>
      </c>
      <c r="AF45" s="2" t="s">
        <v>601</v>
      </c>
      <c r="AG45" s="2" t="s">
        <v>588</v>
      </c>
      <c r="AH45" s="2">
        <v>60</v>
      </c>
      <c r="AI45" s="2" t="s">
        <v>1023</v>
      </c>
      <c r="AJ45" s="4" t="s">
        <v>1403</v>
      </c>
      <c r="AK45" s="2" t="s">
        <v>602</v>
      </c>
      <c r="AL45" s="5" t="s">
        <v>1104</v>
      </c>
      <c r="AM45" s="2" t="s">
        <v>603</v>
      </c>
      <c r="AN45" s="4" t="s">
        <v>1403</v>
      </c>
      <c r="AO45" s="2" t="s">
        <v>404</v>
      </c>
      <c r="AP45" s="4" t="s">
        <v>1403</v>
      </c>
      <c r="AQ45" s="5" t="s">
        <v>1128</v>
      </c>
      <c r="AR45" s="2" t="s">
        <v>1403</v>
      </c>
      <c r="AS45" s="2" t="s">
        <v>1403</v>
      </c>
      <c r="AT45" s="4" t="s">
        <v>1403</v>
      </c>
      <c r="AU45" s="2" t="s">
        <v>1403</v>
      </c>
      <c r="AV45" s="2" t="s">
        <v>604</v>
      </c>
      <c r="AW45" s="2" t="s">
        <v>28</v>
      </c>
      <c r="AX45" s="2" t="s">
        <v>1246</v>
      </c>
      <c r="AY45" s="5" t="s">
        <v>605</v>
      </c>
      <c r="AZ45" s="2" t="s">
        <v>1247</v>
      </c>
      <c r="BA45" s="5" t="s">
        <v>1248</v>
      </c>
      <c r="BB45" s="5" t="s">
        <v>709</v>
      </c>
      <c r="BC45" s="2" t="s">
        <v>606</v>
      </c>
      <c r="BD45" s="5" t="s">
        <v>1184</v>
      </c>
      <c r="BE45" s="2" t="s">
        <v>607</v>
      </c>
      <c r="BF45" s="5" t="s">
        <v>1250</v>
      </c>
      <c r="BG45" s="2" t="s">
        <v>608</v>
      </c>
      <c r="BH45" s="5" t="s">
        <v>1043</v>
      </c>
      <c r="BI45" s="2" t="s">
        <v>609</v>
      </c>
      <c r="BJ45" s="5" t="s">
        <v>28</v>
      </c>
      <c r="BK45" s="2" t="s">
        <v>1179</v>
      </c>
      <c r="BL45" s="5" t="s">
        <v>1403</v>
      </c>
      <c r="BM45" s="2" t="s">
        <v>610</v>
      </c>
      <c r="BN45" s="2" t="s">
        <v>1249</v>
      </c>
      <c r="BO45" s="2" t="s">
        <v>1079</v>
      </c>
      <c r="BP45" s="2" t="s">
        <v>1071</v>
      </c>
      <c r="BQ45" s="2" t="s">
        <v>610</v>
      </c>
      <c r="BR45" s="2">
        <v>2</v>
      </c>
    </row>
    <row r="46" spans="1:70" x14ac:dyDescent="0.2">
      <c r="A46" s="2" t="s">
        <v>365</v>
      </c>
      <c r="B46" s="2" t="s">
        <v>1348</v>
      </c>
      <c r="C46" s="2" t="s">
        <v>1395</v>
      </c>
      <c r="D46" s="2">
        <v>1</v>
      </c>
      <c r="E46" s="2">
        <v>0</v>
      </c>
      <c r="F46" s="2">
        <v>0</v>
      </c>
      <c r="G46" s="2" t="s">
        <v>48</v>
      </c>
      <c r="H46" s="2">
        <v>1</v>
      </c>
      <c r="I46" s="2">
        <v>0</v>
      </c>
      <c r="J46" s="2">
        <v>0</v>
      </c>
      <c r="K46" s="2">
        <v>0</v>
      </c>
      <c r="L46" s="2">
        <v>0</v>
      </c>
      <c r="M46" s="2">
        <v>0</v>
      </c>
      <c r="N46" s="2">
        <v>0</v>
      </c>
      <c r="O46" s="2">
        <v>0</v>
      </c>
      <c r="P46" s="2">
        <v>0</v>
      </c>
      <c r="Q46" s="2">
        <v>0</v>
      </c>
      <c r="R46" s="2">
        <f t="shared" si="1"/>
        <v>1</v>
      </c>
      <c r="S46" s="2" t="s">
        <v>611</v>
      </c>
      <c r="T46" s="2" t="s">
        <v>999</v>
      </c>
      <c r="U46" s="2" t="s">
        <v>1009</v>
      </c>
      <c r="V46" s="2" t="s">
        <v>612</v>
      </c>
      <c r="W46" s="2">
        <v>1</v>
      </c>
      <c r="X46" s="2" t="s">
        <v>42</v>
      </c>
      <c r="Y46" s="2" t="s">
        <v>42</v>
      </c>
      <c r="Z46" s="4" t="s">
        <v>1403</v>
      </c>
      <c r="AA46" s="2" t="s">
        <v>613</v>
      </c>
      <c r="AB46" s="2" t="s">
        <v>1041</v>
      </c>
      <c r="AC46" s="2" t="s">
        <v>28</v>
      </c>
      <c r="AD46" s="2" t="s">
        <v>614</v>
      </c>
      <c r="AE46" s="2" t="s">
        <v>1114</v>
      </c>
      <c r="AF46" s="2" t="s">
        <v>615</v>
      </c>
      <c r="AG46" s="2" t="s">
        <v>588</v>
      </c>
      <c r="AH46" s="2">
        <v>5</v>
      </c>
      <c r="AI46" s="2" t="s">
        <v>1091</v>
      </c>
      <c r="AJ46" s="2">
        <v>5</v>
      </c>
      <c r="AK46" s="2" t="s">
        <v>616</v>
      </c>
      <c r="AL46" s="5" t="s">
        <v>1104</v>
      </c>
      <c r="AM46" s="2" t="s">
        <v>404</v>
      </c>
      <c r="AN46" s="4" t="s">
        <v>1403</v>
      </c>
      <c r="AO46" s="2" t="s">
        <v>404</v>
      </c>
      <c r="AP46" s="2" t="s">
        <v>617</v>
      </c>
      <c r="AQ46" s="5" t="s">
        <v>1130</v>
      </c>
      <c r="AR46" s="2" t="s">
        <v>1403</v>
      </c>
      <c r="AS46" s="2" t="s">
        <v>1403</v>
      </c>
      <c r="AT46" s="4" t="s">
        <v>1403</v>
      </c>
      <c r="AU46" s="2" t="s">
        <v>1403</v>
      </c>
      <c r="AV46" s="2" t="s">
        <v>28</v>
      </c>
      <c r="AW46" s="2" t="s">
        <v>28</v>
      </c>
      <c r="AX46" s="2" t="s">
        <v>28</v>
      </c>
      <c r="AY46" s="2" t="s">
        <v>1403</v>
      </c>
      <c r="AZ46" s="2" t="s">
        <v>1247</v>
      </c>
      <c r="BA46" s="2" t="s">
        <v>1403</v>
      </c>
      <c r="BB46" s="2" t="s">
        <v>709</v>
      </c>
      <c r="BC46" s="2" t="s">
        <v>618</v>
      </c>
      <c r="BD46" s="2" t="s">
        <v>1251</v>
      </c>
      <c r="BE46" s="2" t="s">
        <v>28</v>
      </c>
      <c r="BF46" s="2" t="s">
        <v>1403</v>
      </c>
      <c r="BG46" s="2" t="s">
        <v>619</v>
      </c>
      <c r="BH46" s="2" t="s">
        <v>1043</v>
      </c>
      <c r="BI46" s="2" t="s">
        <v>620</v>
      </c>
      <c r="BJ46" s="2" t="s">
        <v>1180</v>
      </c>
      <c r="BK46" s="2" t="s">
        <v>1180</v>
      </c>
      <c r="BL46" s="2" t="s">
        <v>1403</v>
      </c>
      <c r="BM46" s="2" t="s">
        <v>621</v>
      </c>
      <c r="BN46" s="2" t="s">
        <v>1403</v>
      </c>
      <c r="BO46" s="2" t="s">
        <v>1403</v>
      </c>
      <c r="BP46" s="2" t="s">
        <v>1403</v>
      </c>
      <c r="BQ46" s="2" t="s">
        <v>621</v>
      </c>
      <c r="BR46" s="2">
        <v>2</v>
      </c>
    </row>
    <row r="47" spans="1:70" x14ac:dyDescent="0.2">
      <c r="A47" s="2" t="s">
        <v>365</v>
      </c>
      <c r="B47" s="2" t="s">
        <v>1349</v>
      </c>
      <c r="C47" s="2" t="s">
        <v>1398</v>
      </c>
      <c r="D47" s="2">
        <v>11</v>
      </c>
      <c r="E47" s="2">
        <v>6</v>
      </c>
      <c r="F47" s="2">
        <v>1</v>
      </c>
      <c r="G47" s="2" t="s">
        <v>39</v>
      </c>
      <c r="H47" s="2">
        <v>1</v>
      </c>
      <c r="I47" s="2">
        <v>6</v>
      </c>
      <c r="J47" s="2">
        <v>0</v>
      </c>
      <c r="K47" s="2">
        <v>0</v>
      </c>
      <c r="L47" s="2">
        <v>0</v>
      </c>
      <c r="M47" s="2">
        <v>0</v>
      </c>
      <c r="N47" s="2">
        <v>0</v>
      </c>
      <c r="O47" s="2">
        <v>0</v>
      </c>
      <c r="P47" s="2">
        <v>0</v>
      </c>
      <c r="Q47" s="2">
        <v>0</v>
      </c>
      <c r="R47" s="2">
        <f t="shared" si="1"/>
        <v>7</v>
      </c>
      <c r="S47" s="2" t="s">
        <v>40</v>
      </c>
      <c r="T47" s="2" t="s">
        <v>998</v>
      </c>
      <c r="U47" s="2" t="s">
        <v>1403</v>
      </c>
      <c r="V47" s="4" t="s">
        <v>1403</v>
      </c>
      <c r="W47" s="2">
        <v>1</v>
      </c>
      <c r="X47" s="2" t="s">
        <v>42</v>
      </c>
      <c r="Y47" s="2" t="s">
        <v>42</v>
      </c>
      <c r="Z47" s="4" t="s">
        <v>1403</v>
      </c>
      <c r="AA47" s="2" t="s">
        <v>622</v>
      </c>
      <c r="AB47" s="2" t="s">
        <v>1042</v>
      </c>
      <c r="AC47" s="4" t="s">
        <v>1403</v>
      </c>
      <c r="AD47" s="2" t="s">
        <v>623</v>
      </c>
      <c r="AE47" s="2" t="s">
        <v>637</v>
      </c>
      <c r="AF47" s="2" t="s">
        <v>624</v>
      </c>
      <c r="AG47" s="2" t="s">
        <v>1052</v>
      </c>
      <c r="AH47" s="2">
        <v>60</v>
      </c>
      <c r="AI47" s="2" t="s">
        <v>1099</v>
      </c>
      <c r="AJ47" s="4" t="s">
        <v>1403</v>
      </c>
      <c r="AK47" s="2" t="s">
        <v>625</v>
      </c>
      <c r="AL47" s="5" t="s">
        <v>1116</v>
      </c>
      <c r="AM47" s="2" t="s">
        <v>31</v>
      </c>
      <c r="AN47" s="2" t="s">
        <v>31</v>
      </c>
      <c r="AO47" s="2" t="s">
        <v>31</v>
      </c>
      <c r="AP47" s="2" t="s">
        <v>626</v>
      </c>
      <c r="AQ47" s="5" t="s">
        <v>1097</v>
      </c>
      <c r="AR47" s="2" t="s">
        <v>627</v>
      </c>
      <c r="AS47" s="2" t="s">
        <v>1403</v>
      </c>
      <c r="AT47" s="4" t="s">
        <v>1403</v>
      </c>
      <c r="AU47" s="2" t="s">
        <v>1403</v>
      </c>
      <c r="AV47" s="2" t="s">
        <v>628</v>
      </c>
      <c r="AW47" s="2" t="s">
        <v>1296</v>
      </c>
      <c r="AX47" s="2" t="s">
        <v>28</v>
      </c>
      <c r="AY47" s="2" t="s">
        <v>629</v>
      </c>
      <c r="AZ47" s="2" t="s">
        <v>1218</v>
      </c>
      <c r="BA47" s="2" t="s">
        <v>1182</v>
      </c>
      <c r="BB47" s="2" t="s">
        <v>901</v>
      </c>
      <c r="BC47" s="2" t="s">
        <v>630</v>
      </c>
      <c r="BD47" s="2" t="s">
        <v>1192</v>
      </c>
      <c r="BE47" s="2" t="s">
        <v>101</v>
      </c>
      <c r="BF47" s="2" t="s">
        <v>101</v>
      </c>
      <c r="BG47" s="2" t="s">
        <v>631</v>
      </c>
      <c r="BH47" s="2" t="s">
        <v>709</v>
      </c>
      <c r="BI47" s="2" t="s">
        <v>632</v>
      </c>
      <c r="BJ47" s="2" t="s">
        <v>1180</v>
      </c>
      <c r="BK47" s="2" t="s">
        <v>1180</v>
      </c>
      <c r="BL47" s="2" t="s">
        <v>1403</v>
      </c>
      <c r="BM47" s="2" t="s">
        <v>633</v>
      </c>
      <c r="BN47" s="2" t="s">
        <v>1403</v>
      </c>
      <c r="BO47" s="2" t="s">
        <v>1403</v>
      </c>
      <c r="BP47" s="2" t="s">
        <v>1403</v>
      </c>
      <c r="BQ47" s="2" t="s">
        <v>633</v>
      </c>
      <c r="BR47" s="2">
        <v>11</v>
      </c>
    </row>
    <row r="48" spans="1:70" x14ac:dyDescent="0.2">
      <c r="A48" s="2" t="s">
        <v>62</v>
      </c>
      <c r="B48" s="2" t="s">
        <v>1350</v>
      </c>
      <c r="C48" s="2" t="s">
        <v>1395</v>
      </c>
      <c r="D48" s="2">
        <v>8</v>
      </c>
      <c r="E48" s="2">
        <v>2</v>
      </c>
      <c r="F48" s="2">
        <v>3</v>
      </c>
      <c r="G48" s="2" t="s">
        <v>48</v>
      </c>
      <c r="H48" s="2">
        <v>1</v>
      </c>
      <c r="I48" s="2">
        <v>0</v>
      </c>
      <c r="J48" s="2">
        <v>0</v>
      </c>
      <c r="K48" s="2">
        <v>0</v>
      </c>
      <c r="L48" s="2">
        <v>0</v>
      </c>
      <c r="M48" s="2">
        <v>0</v>
      </c>
      <c r="N48" s="2">
        <v>0</v>
      </c>
      <c r="O48" s="2">
        <v>0</v>
      </c>
      <c r="P48" s="2">
        <v>0</v>
      </c>
      <c r="Q48" s="2">
        <v>0</v>
      </c>
      <c r="R48" s="2">
        <f t="shared" si="1"/>
        <v>1</v>
      </c>
      <c r="S48" s="2" t="s">
        <v>1403</v>
      </c>
      <c r="T48" s="2" t="s">
        <v>990</v>
      </c>
      <c r="U48" s="2" t="s">
        <v>989</v>
      </c>
      <c r="V48" s="2" t="s">
        <v>634</v>
      </c>
      <c r="W48" s="2">
        <v>50</v>
      </c>
      <c r="X48" s="2" t="s">
        <v>635</v>
      </c>
      <c r="Y48" s="2" t="s">
        <v>635</v>
      </c>
      <c r="Z48" s="4" t="s">
        <v>1403</v>
      </c>
      <c r="AA48" s="2" t="s">
        <v>636</v>
      </c>
      <c r="AB48" s="2" t="s">
        <v>1043</v>
      </c>
      <c r="AC48" s="2" t="s">
        <v>28</v>
      </c>
      <c r="AD48" s="2" t="s">
        <v>637</v>
      </c>
      <c r="AE48" s="2" t="s">
        <v>637</v>
      </c>
      <c r="AF48" s="2" t="s">
        <v>458</v>
      </c>
      <c r="AG48" s="2" t="s">
        <v>1057</v>
      </c>
      <c r="AH48" s="2">
        <v>360</v>
      </c>
      <c r="AI48" s="4" t="s">
        <v>1403</v>
      </c>
      <c r="AJ48" s="4" t="s">
        <v>1403</v>
      </c>
      <c r="AK48" s="2" t="s">
        <v>638</v>
      </c>
      <c r="AL48" s="5" t="s">
        <v>1104</v>
      </c>
      <c r="AM48" s="4" t="s">
        <v>1403</v>
      </c>
      <c r="AN48" s="4" t="s">
        <v>1403</v>
      </c>
      <c r="AO48" s="2" t="s">
        <v>1187</v>
      </c>
      <c r="AP48" s="4" t="s">
        <v>1403</v>
      </c>
      <c r="AQ48" s="5" t="s">
        <v>1128</v>
      </c>
      <c r="AR48" s="4" t="s">
        <v>1403</v>
      </c>
      <c r="AS48" s="4" t="s">
        <v>1403</v>
      </c>
      <c r="AT48" s="4" t="s">
        <v>1403</v>
      </c>
      <c r="AU48" s="4" t="s">
        <v>1403</v>
      </c>
      <c r="AV48" s="2" t="s">
        <v>639</v>
      </c>
      <c r="AW48" s="2" t="s">
        <v>28</v>
      </c>
      <c r="AX48" s="2" t="s">
        <v>28</v>
      </c>
      <c r="AY48" s="2" t="s">
        <v>640</v>
      </c>
      <c r="AZ48" s="2" t="s">
        <v>1210</v>
      </c>
      <c r="BA48" s="2" t="s">
        <v>1403</v>
      </c>
      <c r="BB48" s="2" t="s">
        <v>709</v>
      </c>
      <c r="BC48" s="2" t="s">
        <v>1403</v>
      </c>
      <c r="BD48" s="2" t="s">
        <v>1403</v>
      </c>
      <c r="BE48" s="2" t="s">
        <v>1403</v>
      </c>
      <c r="BF48" s="2" t="s">
        <v>1403</v>
      </c>
      <c r="BG48" s="2" t="s">
        <v>641</v>
      </c>
      <c r="BH48" s="2" t="s">
        <v>1043</v>
      </c>
      <c r="BI48" s="2" t="s">
        <v>642</v>
      </c>
      <c r="BJ48" s="2" t="s">
        <v>1403</v>
      </c>
      <c r="BK48" s="2" t="s">
        <v>1180</v>
      </c>
      <c r="BL48" s="2" t="s">
        <v>1403</v>
      </c>
      <c r="BM48" s="2" t="s">
        <v>643</v>
      </c>
      <c r="BN48" s="2" t="s">
        <v>1252</v>
      </c>
      <c r="BO48" s="2" t="s">
        <v>1403</v>
      </c>
      <c r="BP48" s="2" t="s">
        <v>1403</v>
      </c>
      <c r="BQ48" s="2" t="s">
        <v>643</v>
      </c>
      <c r="BR48" s="2">
        <v>16</v>
      </c>
    </row>
    <row r="49" spans="1:70" x14ac:dyDescent="0.2">
      <c r="A49" s="2" t="s">
        <v>62</v>
      </c>
      <c r="B49" s="2" t="s">
        <v>1351</v>
      </c>
      <c r="C49" s="2" t="s">
        <v>1399</v>
      </c>
      <c r="D49" s="2">
        <v>5</v>
      </c>
      <c r="E49" s="2">
        <v>1</v>
      </c>
      <c r="F49" s="2">
        <v>2</v>
      </c>
      <c r="G49" s="2" t="s">
        <v>39</v>
      </c>
      <c r="H49" s="2">
        <v>1</v>
      </c>
      <c r="I49" s="2">
        <v>1</v>
      </c>
      <c r="J49" s="2">
        <v>0</v>
      </c>
      <c r="K49" s="2">
        <v>0</v>
      </c>
      <c r="L49" s="2">
        <v>0</v>
      </c>
      <c r="M49" s="2">
        <v>0</v>
      </c>
      <c r="N49" s="2">
        <v>0</v>
      </c>
      <c r="O49" s="2">
        <v>0</v>
      </c>
      <c r="P49" s="2">
        <v>0</v>
      </c>
      <c r="Q49" s="2">
        <v>0</v>
      </c>
      <c r="R49" s="2">
        <f t="shared" si="1"/>
        <v>2</v>
      </c>
      <c r="S49" s="2" t="s">
        <v>644</v>
      </c>
      <c r="T49" s="2" t="s">
        <v>826</v>
      </c>
      <c r="U49" s="2" t="s">
        <v>1403</v>
      </c>
      <c r="V49" s="4" t="s">
        <v>1403</v>
      </c>
      <c r="W49" s="2">
        <v>5</v>
      </c>
      <c r="X49" s="4" t="s">
        <v>1403</v>
      </c>
      <c r="Y49" s="2" t="s">
        <v>42</v>
      </c>
      <c r="Z49" s="2" t="s">
        <v>1023</v>
      </c>
      <c r="AA49" s="2" t="s">
        <v>645</v>
      </c>
      <c r="AB49" s="2" t="s">
        <v>1040</v>
      </c>
      <c r="AC49" s="2" t="s">
        <v>28</v>
      </c>
      <c r="AD49" s="2" t="s">
        <v>646</v>
      </c>
      <c r="AE49" s="2" t="s">
        <v>637</v>
      </c>
      <c r="AF49" s="2" t="s">
        <v>647</v>
      </c>
      <c r="AG49" s="2" t="s">
        <v>1057</v>
      </c>
      <c r="AH49" s="2">
        <v>360</v>
      </c>
      <c r="AI49" s="2" t="s">
        <v>1091</v>
      </c>
      <c r="AJ49" s="4" t="s">
        <v>1403</v>
      </c>
      <c r="AK49" s="2" t="s">
        <v>648</v>
      </c>
      <c r="AL49" s="5" t="s">
        <v>1104</v>
      </c>
      <c r="AM49" s="2" t="s">
        <v>31</v>
      </c>
      <c r="AN49" s="2" t="s">
        <v>31</v>
      </c>
      <c r="AO49" s="2" t="s">
        <v>31</v>
      </c>
      <c r="AP49" s="4" t="s">
        <v>1403</v>
      </c>
      <c r="AQ49" s="5" t="s">
        <v>1097</v>
      </c>
      <c r="AR49" s="2" t="s">
        <v>649</v>
      </c>
      <c r="AS49" s="2" t="s">
        <v>1160</v>
      </c>
      <c r="AT49" s="4" t="s">
        <v>1403</v>
      </c>
      <c r="AU49" s="2" t="s">
        <v>1403</v>
      </c>
      <c r="AV49" s="2" t="s">
        <v>650</v>
      </c>
      <c r="AW49" s="2" t="s">
        <v>28</v>
      </c>
      <c r="AX49" s="2" t="s">
        <v>28</v>
      </c>
      <c r="AY49" s="2" t="s">
        <v>651</v>
      </c>
      <c r="AZ49" s="2" t="s">
        <v>1210</v>
      </c>
      <c r="BA49" s="2" t="s">
        <v>1199</v>
      </c>
      <c r="BB49" s="2" t="s">
        <v>1403</v>
      </c>
      <c r="BC49" s="2" t="s">
        <v>652</v>
      </c>
      <c r="BD49" s="2" t="s">
        <v>1062</v>
      </c>
      <c r="BE49" s="2" t="s">
        <v>1403</v>
      </c>
      <c r="BF49" s="2" t="s">
        <v>1403</v>
      </c>
      <c r="BG49" s="2" t="s">
        <v>653</v>
      </c>
      <c r="BH49" s="2" t="s">
        <v>709</v>
      </c>
      <c r="BI49" s="2" t="s">
        <v>654</v>
      </c>
      <c r="BJ49" s="2" t="s">
        <v>1180</v>
      </c>
      <c r="BK49" s="2" t="s">
        <v>1179</v>
      </c>
      <c r="BL49" s="2" t="s">
        <v>1403</v>
      </c>
      <c r="BM49" s="2" t="s">
        <v>655</v>
      </c>
      <c r="BN49" s="2" t="s">
        <v>1403</v>
      </c>
      <c r="BO49" s="2" t="s">
        <v>1069</v>
      </c>
      <c r="BP49" s="2" t="s">
        <v>1072</v>
      </c>
      <c r="BQ49" s="2" t="s">
        <v>655</v>
      </c>
      <c r="BR49" s="2">
        <v>9</v>
      </c>
    </row>
    <row r="50" spans="1:70" x14ac:dyDescent="0.2">
      <c r="A50" s="2" t="s">
        <v>62</v>
      </c>
      <c r="B50" s="2" t="s">
        <v>1352</v>
      </c>
      <c r="C50" s="2" t="s">
        <v>1397</v>
      </c>
      <c r="D50" s="2">
        <v>4</v>
      </c>
      <c r="E50" s="2">
        <v>1</v>
      </c>
      <c r="F50" s="2">
        <v>0</v>
      </c>
      <c r="G50" s="2" t="s">
        <v>39</v>
      </c>
      <c r="H50" s="2">
        <v>1</v>
      </c>
      <c r="I50" s="2">
        <v>1</v>
      </c>
      <c r="J50" s="2">
        <v>0</v>
      </c>
      <c r="K50" s="2">
        <v>0</v>
      </c>
      <c r="L50" s="2">
        <v>0</v>
      </c>
      <c r="M50" s="2">
        <v>0</v>
      </c>
      <c r="N50" s="2">
        <v>0</v>
      </c>
      <c r="O50" s="2">
        <v>0</v>
      </c>
      <c r="P50" s="2">
        <v>0</v>
      </c>
      <c r="Q50" s="2">
        <v>0</v>
      </c>
      <c r="R50" s="2">
        <f t="shared" si="1"/>
        <v>2</v>
      </c>
      <c r="S50" s="2" t="s">
        <v>656</v>
      </c>
      <c r="T50" s="2" t="s">
        <v>826</v>
      </c>
      <c r="U50" s="2" t="s">
        <v>1403</v>
      </c>
      <c r="V50" s="4" t="s">
        <v>1403</v>
      </c>
      <c r="W50" s="2">
        <v>100</v>
      </c>
      <c r="X50" s="2" t="s">
        <v>657</v>
      </c>
      <c r="Y50" s="2" t="s">
        <v>635</v>
      </c>
      <c r="Z50" s="4" t="s">
        <v>1403</v>
      </c>
      <c r="AA50" s="2" t="s">
        <v>658</v>
      </c>
      <c r="AB50" s="2" t="s">
        <v>1040</v>
      </c>
      <c r="AC50" s="2" t="s">
        <v>659</v>
      </c>
      <c r="AD50" s="2" t="s">
        <v>660</v>
      </c>
      <c r="AE50" s="2" t="s">
        <v>1113</v>
      </c>
      <c r="AF50" s="2" t="s">
        <v>661</v>
      </c>
      <c r="AG50" s="2" t="s">
        <v>1053</v>
      </c>
      <c r="AH50" s="2">
        <v>720</v>
      </c>
      <c r="AI50" s="2" t="s">
        <v>1253</v>
      </c>
      <c r="AJ50" s="4" t="s">
        <v>1403</v>
      </c>
      <c r="AK50" s="2" t="s">
        <v>662</v>
      </c>
      <c r="AL50" s="5" t="s">
        <v>1122</v>
      </c>
      <c r="AM50" s="2" t="s">
        <v>31</v>
      </c>
      <c r="AN50" s="4" t="s">
        <v>1403</v>
      </c>
      <c r="AO50" s="4" t="s">
        <v>1403</v>
      </c>
      <c r="AP50" s="4" t="s">
        <v>1403</v>
      </c>
      <c r="AQ50" s="5" t="s">
        <v>1128</v>
      </c>
      <c r="AR50" s="4" t="s">
        <v>1403</v>
      </c>
      <c r="AS50" s="4" t="s">
        <v>1403</v>
      </c>
      <c r="AT50" s="4" t="s">
        <v>1403</v>
      </c>
      <c r="AU50" s="4" t="s">
        <v>1403</v>
      </c>
      <c r="AV50" s="2" t="s">
        <v>663</v>
      </c>
      <c r="AW50" s="2" t="s">
        <v>28</v>
      </c>
      <c r="AX50" s="2" t="s">
        <v>1144</v>
      </c>
      <c r="AY50" s="2" t="s">
        <v>664</v>
      </c>
      <c r="AZ50" s="2" t="s">
        <v>1254</v>
      </c>
      <c r="BA50" s="2" t="s">
        <v>1255</v>
      </c>
      <c r="BB50" s="2" t="s">
        <v>709</v>
      </c>
      <c r="BC50" s="5" t="s">
        <v>665</v>
      </c>
      <c r="BD50" s="5" t="s">
        <v>1192</v>
      </c>
      <c r="BE50" s="2" t="s">
        <v>1403</v>
      </c>
      <c r="BF50" s="2" t="s">
        <v>1403</v>
      </c>
      <c r="BG50" s="2" t="s">
        <v>666</v>
      </c>
      <c r="BH50" s="2" t="s">
        <v>709</v>
      </c>
      <c r="BI50" s="2" t="s">
        <v>667</v>
      </c>
      <c r="BJ50" s="2" t="s">
        <v>1403</v>
      </c>
      <c r="BK50" s="2" t="s">
        <v>1180</v>
      </c>
      <c r="BL50" s="2" t="s">
        <v>1403</v>
      </c>
      <c r="BM50" s="2" t="s">
        <v>668</v>
      </c>
      <c r="BN50" s="2" t="s">
        <v>1403</v>
      </c>
      <c r="BO50" s="2" t="s">
        <v>1069</v>
      </c>
      <c r="BP50" s="2" t="s">
        <v>1086</v>
      </c>
      <c r="BQ50" s="2" t="s">
        <v>668</v>
      </c>
      <c r="BR50" s="2">
        <v>10</v>
      </c>
    </row>
    <row r="51" spans="1:70" x14ac:dyDescent="0.2">
      <c r="A51" s="2" t="s">
        <v>62</v>
      </c>
      <c r="B51" s="2" t="s">
        <v>1353</v>
      </c>
      <c r="C51" s="2" t="s">
        <v>1399</v>
      </c>
      <c r="D51" s="2">
        <v>4</v>
      </c>
      <c r="E51" s="2">
        <v>1</v>
      </c>
      <c r="F51" s="2">
        <v>2</v>
      </c>
      <c r="G51" s="2" t="s">
        <v>39</v>
      </c>
      <c r="H51" s="2">
        <v>1</v>
      </c>
      <c r="I51" s="2">
        <v>1</v>
      </c>
      <c r="J51" s="2">
        <v>0</v>
      </c>
      <c r="K51" s="2">
        <v>0</v>
      </c>
      <c r="L51" s="2">
        <v>0</v>
      </c>
      <c r="M51" s="2">
        <v>0</v>
      </c>
      <c r="N51" s="2">
        <v>0</v>
      </c>
      <c r="O51" s="2">
        <v>0</v>
      </c>
      <c r="P51" s="2">
        <v>0</v>
      </c>
      <c r="Q51" s="2">
        <v>0</v>
      </c>
      <c r="R51" s="2">
        <f t="shared" si="1"/>
        <v>2</v>
      </c>
      <c r="S51" s="2" t="s">
        <v>669</v>
      </c>
      <c r="T51" s="2" t="s">
        <v>991</v>
      </c>
      <c r="U51" s="2" t="s">
        <v>1403</v>
      </c>
      <c r="V51" s="2" t="s">
        <v>670</v>
      </c>
      <c r="W51" s="2">
        <v>1</v>
      </c>
      <c r="X51" s="2" t="s">
        <v>42</v>
      </c>
      <c r="Y51" s="2" t="s">
        <v>42</v>
      </c>
      <c r="Z51" s="2" t="s">
        <v>1023</v>
      </c>
      <c r="AA51" s="2" t="s">
        <v>28</v>
      </c>
      <c r="AB51" s="2" t="s">
        <v>1040</v>
      </c>
      <c r="AC51" s="2" t="s">
        <v>28</v>
      </c>
      <c r="AD51" s="5" t="s">
        <v>671</v>
      </c>
      <c r="AE51" s="2" t="s">
        <v>637</v>
      </c>
      <c r="AF51" s="2" t="s">
        <v>527</v>
      </c>
      <c r="AG51" s="2" t="s">
        <v>1053</v>
      </c>
      <c r="AH51" s="2">
        <v>720</v>
      </c>
      <c r="AI51" s="2" t="s">
        <v>1099</v>
      </c>
      <c r="AJ51" s="8" t="s">
        <v>1256</v>
      </c>
      <c r="AK51" s="2" t="s">
        <v>672</v>
      </c>
      <c r="AL51" s="5" t="s">
        <v>1100</v>
      </c>
      <c r="AM51" s="4" t="s">
        <v>1403</v>
      </c>
      <c r="AN51" s="2" t="s">
        <v>1204</v>
      </c>
      <c r="AO51" s="2" t="s">
        <v>31</v>
      </c>
      <c r="AP51" s="2" t="s">
        <v>673</v>
      </c>
      <c r="AQ51" s="2" t="s">
        <v>115</v>
      </c>
      <c r="AR51" s="2" t="s">
        <v>1403</v>
      </c>
      <c r="AS51" s="2" t="s">
        <v>1403</v>
      </c>
      <c r="AT51" s="4" t="s">
        <v>1403</v>
      </c>
      <c r="AU51" s="2" t="s">
        <v>709</v>
      </c>
      <c r="AV51" s="2" t="s">
        <v>28</v>
      </c>
      <c r="AW51" s="2" t="s">
        <v>1403</v>
      </c>
      <c r="AX51" s="2" t="s">
        <v>28</v>
      </c>
      <c r="AY51" s="2" t="s">
        <v>674</v>
      </c>
      <c r="AZ51" s="2" t="s">
        <v>1210</v>
      </c>
      <c r="BA51" s="2" t="s">
        <v>1257</v>
      </c>
      <c r="BB51" s="2" t="s">
        <v>1403</v>
      </c>
      <c r="BC51" s="2" t="s">
        <v>675</v>
      </c>
      <c r="BD51" s="2" t="s">
        <v>1258</v>
      </c>
      <c r="BE51" s="2" t="s">
        <v>28</v>
      </c>
      <c r="BF51" s="2" t="s">
        <v>1403</v>
      </c>
      <c r="BG51" s="2" t="s">
        <v>676</v>
      </c>
      <c r="BH51" s="2" t="s">
        <v>709</v>
      </c>
      <c r="BI51" s="2" t="s">
        <v>677</v>
      </c>
      <c r="BJ51" s="2" t="s">
        <v>1180</v>
      </c>
      <c r="BK51" s="2" t="s">
        <v>1180</v>
      </c>
      <c r="BL51" s="2" t="s">
        <v>1403</v>
      </c>
      <c r="BM51" s="2" t="s">
        <v>678</v>
      </c>
      <c r="BN51" s="2" t="s">
        <v>1403</v>
      </c>
      <c r="BO51" s="2" t="s">
        <v>1075</v>
      </c>
      <c r="BP51" s="2" t="s">
        <v>1071</v>
      </c>
      <c r="BQ51" s="2" t="s">
        <v>678</v>
      </c>
      <c r="BR51" s="2">
        <v>7</v>
      </c>
    </row>
    <row r="52" spans="1:70" x14ac:dyDescent="0.2">
      <c r="A52" s="2" t="s">
        <v>62</v>
      </c>
      <c r="B52" s="2" t="s">
        <v>1354</v>
      </c>
      <c r="C52" s="2" t="s">
        <v>1398</v>
      </c>
      <c r="D52" s="2">
        <v>1</v>
      </c>
      <c r="E52" s="2">
        <v>0</v>
      </c>
      <c r="F52" s="2">
        <v>0</v>
      </c>
      <c r="G52" s="2" t="s">
        <v>48</v>
      </c>
      <c r="H52" s="2">
        <v>1</v>
      </c>
      <c r="I52" s="2">
        <v>0</v>
      </c>
      <c r="J52" s="2">
        <v>0</v>
      </c>
      <c r="K52" s="2">
        <v>0</v>
      </c>
      <c r="L52" s="2">
        <v>0</v>
      </c>
      <c r="M52" s="2">
        <v>0</v>
      </c>
      <c r="N52" s="2">
        <v>0</v>
      </c>
      <c r="O52" s="2">
        <v>0</v>
      </c>
      <c r="P52" s="2">
        <v>0</v>
      </c>
      <c r="Q52" s="2">
        <v>0</v>
      </c>
      <c r="R52" s="2">
        <f t="shared" si="1"/>
        <v>1</v>
      </c>
      <c r="S52" s="2" t="s">
        <v>679</v>
      </c>
      <c r="T52" s="2" t="s">
        <v>826</v>
      </c>
      <c r="U52" s="2" t="s">
        <v>1403</v>
      </c>
      <c r="V52" s="2" t="s">
        <v>680</v>
      </c>
      <c r="W52" s="2">
        <v>100</v>
      </c>
      <c r="X52" s="2" t="s">
        <v>681</v>
      </c>
      <c r="Y52" s="2" t="s">
        <v>1026</v>
      </c>
      <c r="Z52" s="2" t="s">
        <v>1024</v>
      </c>
      <c r="AA52" s="2" t="s">
        <v>28</v>
      </c>
      <c r="AB52" s="2" t="s">
        <v>1040</v>
      </c>
      <c r="AC52" s="2" t="s">
        <v>28</v>
      </c>
      <c r="AD52" s="5" t="s">
        <v>682</v>
      </c>
      <c r="AE52" s="2" t="s">
        <v>1107</v>
      </c>
      <c r="AF52" s="2" t="s">
        <v>683</v>
      </c>
      <c r="AG52" s="2" t="s">
        <v>1053</v>
      </c>
      <c r="AH52" s="2">
        <v>720</v>
      </c>
      <c r="AI52" s="2" t="s">
        <v>1099</v>
      </c>
      <c r="AJ52" s="4" t="s">
        <v>1403</v>
      </c>
      <c r="AK52" s="2" t="s">
        <v>684</v>
      </c>
      <c r="AL52" s="5" t="s">
        <v>1106</v>
      </c>
      <c r="AM52" s="2" t="s">
        <v>685</v>
      </c>
      <c r="AN52" s="4" t="s">
        <v>1403</v>
      </c>
      <c r="AO52" s="2" t="s">
        <v>901</v>
      </c>
      <c r="AP52" s="2" t="s">
        <v>224</v>
      </c>
      <c r="AQ52" s="2" t="s">
        <v>1101</v>
      </c>
      <c r="AR52" s="5" t="s">
        <v>686</v>
      </c>
      <c r="AS52" s="5" t="s">
        <v>1156</v>
      </c>
      <c r="AT52" s="4" t="s">
        <v>1403</v>
      </c>
      <c r="AU52" s="2" t="s">
        <v>709</v>
      </c>
      <c r="AV52" s="2" t="s">
        <v>687</v>
      </c>
      <c r="AW52" s="2" t="s">
        <v>28</v>
      </c>
      <c r="AX52" s="2" t="s">
        <v>28</v>
      </c>
      <c r="AY52" s="2" t="s">
        <v>688</v>
      </c>
      <c r="AZ52" s="2" t="s">
        <v>1226</v>
      </c>
      <c r="BA52" s="2" t="s">
        <v>1259</v>
      </c>
      <c r="BB52" s="2" t="s">
        <v>1403</v>
      </c>
      <c r="BC52" s="2" t="s">
        <v>689</v>
      </c>
      <c r="BD52" s="2" t="s">
        <v>1260</v>
      </c>
      <c r="BE52" s="2" t="s">
        <v>690</v>
      </c>
      <c r="BF52" s="2" t="s">
        <v>101</v>
      </c>
      <c r="BG52" s="2" t="s">
        <v>691</v>
      </c>
      <c r="BH52" s="2" t="s">
        <v>709</v>
      </c>
      <c r="BI52" s="2" t="s">
        <v>692</v>
      </c>
      <c r="BJ52" s="2" t="s">
        <v>1180</v>
      </c>
      <c r="BK52" s="2" t="s">
        <v>1180</v>
      </c>
      <c r="BL52" s="2" t="s">
        <v>1403</v>
      </c>
      <c r="BM52" s="2" t="s">
        <v>693</v>
      </c>
      <c r="BN52" s="2" t="s">
        <v>1403</v>
      </c>
      <c r="BO52" s="2" t="s">
        <v>1080</v>
      </c>
      <c r="BP52" s="2" t="s">
        <v>1403</v>
      </c>
      <c r="BQ52" s="2" t="s">
        <v>693</v>
      </c>
      <c r="BR52" s="2">
        <v>23</v>
      </c>
    </row>
    <row r="53" spans="1:70" x14ac:dyDescent="0.2">
      <c r="A53" s="2" t="s">
        <v>62</v>
      </c>
      <c r="B53" s="2" t="s">
        <v>1355</v>
      </c>
      <c r="C53" s="6" t="s">
        <v>1400</v>
      </c>
      <c r="D53" s="2">
        <v>6</v>
      </c>
      <c r="E53" s="2">
        <v>1</v>
      </c>
      <c r="F53" s="2">
        <v>1</v>
      </c>
      <c r="G53" s="2" t="s">
        <v>48</v>
      </c>
      <c r="H53" s="2">
        <v>1</v>
      </c>
      <c r="I53" s="2">
        <v>0</v>
      </c>
      <c r="J53" s="2">
        <v>0</v>
      </c>
      <c r="K53" s="2">
        <v>0</v>
      </c>
      <c r="L53" s="2">
        <v>0</v>
      </c>
      <c r="M53" s="2">
        <v>0</v>
      </c>
      <c r="N53" s="2">
        <v>0</v>
      </c>
      <c r="O53" s="2">
        <v>0</v>
      </c>
      <c r="P53" s="2">
        <v>0</v>
      </c>
      <c r="Q53" s="2">
        <v>0</v>
      </c>
      <c r="R53" s="2">
        <f t="shared" si="1"/>
        <v>1</v>
      </c>
      <c r="S53" s="2" t="s">
        <v>694</v>
      </c>
      <c r="T53" s="2" t="s">
        <v>985</v>
      </c>
      <c r="U53" s="2" t="s">
        <v>1261</v>
      </c>
      <c r="V53" s="2" t="s">
        <v>695</v>
      </c>
      <c r="W53" s="2">
        <v>1</v>
      </c>
      <c r="X53" s="2" t="s">
        <v>42</v>
      </c>
      <c r="Y53" s="2" t="s">
        <v>42</v>
      </c>
      <c r="Z53" s="2" t="s">
        <v>1002</v>
      </c>
      <c r="AA53" s="2" t="s">
        <v>696</v>
      </c>
      <c r="AB53" s="2" t="s">
        <v>1041</v>
      </c>
      <c r="AC53" s="2" t="s">
        <v>28</v>
      </c>
      <c r="AD53" s="2" t="s">
        <v>697</v>
      </c>
      <c r="AE53" s="2" t="s">
        <v>637</v>
      </c>
      <c r="AF53" s="2" t="s">
        <v>698</v>
      </c>
      <c r="AG53" s="2" t="s">
        <v>588</v>
      </c>
      <c r="AH53" s="2">
        <v>30</v>
      </c>
      <c r="AI53" s="2" t="s">
        <v>1091</v>
      </c>
      <c r="AJ53" s="4" t="s">
        <v>1403</v>
      </c>
      <c r="AK53" s="2" t="s">
        <v>699</v>
      </c>
      <c r="AL53" s="5" t="s">
        <v>1123</v>
      </c>
      <c r="AM53" s="2" t="s">
        <v>31</v>
      </c>
      <c r="AN53" s="4" t="s">
        <v>1403</v>
      </c>
      <c r="AO53" s="2" t="s">
        <v>31</v>
      </c>
      <c r="AP53" s="4" t="s">
        <v>1403</v>
      </c>
      <c r="AQ53" s="5" t="s">
        <v>1097</v>
      </c>
      <c r="AR53" s="2" t="s">
        <v>1403</v>
      </c>
      <c r="AS53" s="2" t="s">
        <v>1403</v>
      </c>
      <c r="AT53" s="4" t="s">
        <v>1403</v>
      </c>
      <c r="AU53" s="2" t="s">
        <v>1403</v>
      </c>
      <c r="AV53" s="2" t="s">
        <v>488</v>
      </c>
      <c r="AW53" s="2" t="s">
        <v>28</v>
      </c>
      <c r="AX53" s="2" t="s">
        <v>28</v>
      </c>
      <c r="AY53" s="2" t="s">
        <v>700</v>
      </c>
      <c r="AZ53" s="2" t="s">
        <v>1198</v>
      </c>
      <c r="BA53" s="2" t="s">
        <v>1403</v>
      </c>
      <c r="BB53" s="2" t="s">
        <v>709</v>
      </c>
      <c r="BC53" s="2" t="s">
        <v>701</v>
      </c>
      <c r="BD53" s="2" t="s">
        <v>31</v>
      </c>
      <c r="BE53" s="2" t="s">
        <v>28</v>
      </c>
      <c r="BF53" s="2" t="s">
        <v>1403</v>
      </c>
      <c r="BG53" s="2" t="s">
        <v>702</v>
      </c>
      <c r="BH53" s="2" t="s">
        <v>709</v>
      </c>
      <c r="BI53" s="2" t="s">
        <v>703</v>
      </c>
      <c r="BJ53" s="2" t="s">
        <v>1403</v>
      </c>
      <c r="BK53" s="2" t="s">
        <v>1180</v>
      </c>
      <c r="BL53" s="2" t="s">
        <v>1403</v>
      </c>
      <c r="BM53" s="2" t="s">
        <v>704</v>
      </c>
      <c r="BN53" s="2" t="s">
        <v>1403</v>
      </c>
      <c r="BO53" s="2" t="s">
        <v>1403</v>
      </c>
      <c r="BP53" s="2" t="s">
        <v>1403</v>
      </c>
      <c r="BQ53" s="2" t="s">
        <v>704</v>
      </c>
      <c r="BR53" s="2">
        <v>6</v>
      </c>
    </row>
    <row r="54" spans="1:70" x14ac:dyDescent="0.2">
      <c r="A54" s="2" t="s">
        <v>62</v>
      </c>
      <c r="B54" s="2" t="s">
        <v>1356</v>
      </c>
      <c r="C54" s="6" t="s">
        <v>1400</v>
      </c>
      <c r="D54" s="2">
        <v>2</v>
      </c>
      <c r="E54" s="2">
        <v>0</v>
      </c>
      <c r="F54" s="2">
        <v>1</v>
      </c>
      <c r="G54" s="2" t="s">
        <v>48</v>
      </c>
      <c r="H54" s="2">
        <v>1</v>
      </c>
      <c r="I54" s="2">
        <v>0</v>
      </c>
      <c r="J54" s="2">
        <v>0</v>
      </c>
      <c r="K54" s="2">
        <v>0</v>
      </c>
      <c r="L54" s="2">
        <v>0</v>
      </c>
      <c r="M54" s="2">
        <v>0</v>
      </c>
      <c r="N54" s="2">
        <v>0</v>
      </c>
      <c r="O54" s="2">
        <v>0</v>
      </c>
      <c r="P54" s="2">
        <v>0</v>
      </c>
      <c r="Q54" s="2">
        <v>0</v>
      </c>
      <c r="R54" s="2">
        <f t="shared" si="1"/>
        <v>1</v>
      </c>
      <c r="S54" s="2" t="s">
        <v>705</v>
      </c>
      <c r="T54" s="2" t="s">
        <v>985</v>
      </c>
      <c r="U54" s="2" t="s">
        <v>1008</v>
      </c>
      <c r="V54" s="2" t="s">
        <v>706</v>
      </c>
      <c r="W54" s="2">
        <v>1</v>
      </c>
      <c r="X54" s="2" t="s">
        <v>42</v>
      </c>
      <c r="Y54" s="2" t="s">
        <v>42</v>
      </c>
      <c r="Z54" s="4" t="s">
        <v>1403</v>
      </c>
      <c r="AA54" s="2" t="s">
        <v>168</v>
      </c>
      <c r="AB54" s="2" t="s">
        <v>1040</v>
      </c>
      <c r="AC54" s="2" t="s">
        <v>28</v>
      </c>
      <c r="AD54" s="2" t="s">
        <v>401</v>
      </c>
      <c r="AE54" s="2" t="s">
        <v>1115</v>
      </c>
      <c r="AF54" s="4" t="s">
        <v>1403</v>
      </c>
      <c r="AG54" s="4" t="s">
        <v>1403</v>
      </c>
      <c r="AH54" s="4" t="s">
        <v>1403</v>
      </c>
      <c r="AI54" s="4" t="s">
        <v>1403</v>
      </c>
      <c r="AJ54" s="4" t="s">
        <v>1403</v>
      </c>
      <c r="AK54" s="2" t="s">
        <v>707</v>
      </c>
      <c r="AL54" s="5" t="s">
        <v>1108</v>
      </c>
      <c r="AM54" s="2" t="s">
        <v>31</v>
      </c>
      <c r="AN54" s="4" t="s">
        <v>1403</v>
      </c>
      <c r="AO54" s="2" t="s">
        <v>31</v>
      </c>
      <c r="AP54" s="2" t="s">
        <v>224</v>
      </c>
      <c r="AQ54" s="2" t="s">
        <v>1101</v>
      </c>
      <c r="AR54" s="2" t="s">
        <v>708</v>
      </c>
      <c r="AS54" s="2" t="s">
        <v>1157</v>
      </c>
      <c r="AT54" s="2" t="s">
        <v>709</v>
      </c>
      <c r="AU54" s="2" t="s">
        <v>709</v>
      </c>
      <c r="AV54" s="2" t="s">
        <v>710</v>
      </c>
      <c r="AW54" s="2" t="s">
        <v>28</v>
      </c>
      <c r="AX54" s="2" t="s">
        <v>28</v>
      </c>
      <c r="AY54" s="2" t="s">
        <v>711</v>
      </c>
      <c r="AZ54" s="2" t="s">
        <v>1198</v>
      </c>
      <c r="BA54" s="2" t="s">
        <v>1182</v>
      </c>
      <c r="BB54" s="2" t="s">
        <v>709</v>
      </c>
      <c r="BC54" s="2" t="s">
        <v>712</v>
      </c>
      <c r="BD54" s="2" t="s">
        <v>1183</v>
      </c>
      <c r="BE54" s="2" t="s">
        <v>28</v>
      </c>
      <c r="BF54" s="2" t="s">
        <v>1403</v>
      </c>
      <c r="BG54" s="2" t="s">
        <v>713</v>
      </c>
      <c r="BH54" s="2" t="s">
        <v>709</v>
      </c>
      <c r="BI54" s="2" t="s">
        <v>714</v>
      </c>
      <c r="BJ54" s="2" t="s">
        <v>1403</v>
      </c>
      <c r="BK54" s="2" t="s">
        <v>28</v>
      </c>
      <c r="BL54" s="2" t="s">
        <v>1403</v>
      </c>
      <c r="BM54" s="2" t="s">
        <v>715</v>
      </c>
      <c r="BN54" s="2" t="s">
        <v>1403</v>
      </c>
      <c r="BO54" s="2" t="s">
        <v>1403</v>
      </c>
      <c r="BP54" s="2" t="s">
        <v>1403</v>
      </c>
      <c r="BQ54" s="2" t="s">
        <v>715</v>
      </c>
      <c r="BR54" s="2">
        <v>10</v>
      </c>
    </row>
    <row r="55" spans="1:70" x14ac:dyDescent="0.2">
      <c r="A55" s="2" t="s">
        <v>62</v>
      </c>
      <c r="B55" s="2" t="s">
        <v>1357</v>
      </c>
      <c r="C55" s="2" t="s">
        <v>1397</v>
      </c>
      <c r="D55" s="2">
        <v>6</v>
      </c>
      <c r="E55" s="2">
        <v>4</v>
      </c>
      <c r="F55" s="2">
        <v>0</v>
      </c>
      <c r="G55" s="2" t="s">
        <v>39</v>
      </c>
      <c r="H55" s="2">
        <v>1</v>
      </c>
      <c r="I55" s="2">
        <v>4</v>
      </c>
      <c r="J55" s="2">
        <v>0</v>
      </c>
      <c r="K55" s="2">
        <v>0</v>
      </c>
      <c r="L55" s="2">
        <v>0</v>
      </c>
      <c r="M55" s="2">
        <v>0</v>
      </c>
      <c r="N55" s="2">
        <v>0</v>
      </c>
      <c r="O55" s="2">
        <v>0</v>
      </c>
      <c r="P55" s="2">
        <v>0</v>
      </c>
      <c r="Q55" s="2">
        <v>0</v>
      </c>
      <c r="R55" s="2">
        <f t="shared" si="1"/>
        <v>5</v>
      </c>
      <c r="S55" s="2" t="s">
        <v>716</v>
      </c>
      <c r="T55" s="2" t="s">
        <v>985</v>
      </c>
      <c r="U55" s="2" t="s">
        <v>975</v>
      </c>
      <c r="V55" s="5" t="s">
        <v>717</v>
      </c>
      <c r="W55" s="2">
        <v>5</v>
      </c>
      <c r="X55" s="2" t="s">
        <v>42</v>
      </c>
      <c r="Y55" s="2" t="s">
        <v>42</v>
      </c>
      <c r="Z55" s="4" t="s">
        <v>1403</v>
      </c>
      <c r="AA55" s="2" t="s">
        <v>718</v>
      </c>
      <c r="AB55" s="2" t="s">
        <v>1043</v>
      </c>
      <c r="AC55" s="2" t="s">
        <v>28</v>
      </c>
      <c r="AD55" s="2" t="s">
        <v>719</v>
      </c>
      <c r="AE55" s="2" t="s">
        <v>637</v>
      </c>
      <c r="AF55" s="2" t="s">
        <v>720</v>
      </c>
      <c r="AG55" s="2" t="s">
        <v>1055</v>
      </c>
      <c r="AH55" s="2">
        <v>120</v>
      </c>
      <c r="AI55" s="2" t="s">
        <v>1099</v>
      </c>
      <c r="AJ55" s="4" t="s">
        <v>1403</v>
      </c>
      <c r="AK55" s="4" t="s">
        <v>1403</v>
      </c>
      <c r="AL55" s="5" t="s">
        <v>1104</v>
      </c>
      <c r="AM55" s="4" t="s">
        <v>1403</v>
      </c>
      <c r="AN55" s="4" t="s">
        <v>1403</v>
      </c>
      <c r="AO55" s="4" t="s">
        <v>1403</v>
      </c>
      <c r="AP55" s="4" t="s">
        <v>1403</v>
      </c>
      <c r="AQ55" s="2" t="s">
        <v>1097</v>
      </c>
      <c r="AR55" s="2" t="s">
        <v>721</v>
      </c>
      <c r="AS55" s="4" t="s">
        <v>1403</v>
      </c>
      <c r="AT55" s="4" t="s">
        <v>1403</v>
      </c>
      <c r="AU55" s="4" t="s">
        <v>1403</v>
      </c>
      <c r="AV55" s="2" t="s">
        <v>722</v>
      </c>
      <c r="AW55" s="2" t="s">
        <v>28</v>
      </c>
      <c r="AX55" s="2" t="s">
        <v>1098</v>
      </c>
      <c r="AY55" s="2" t="s">
        <v>723</v>
      </c>
      <c r="AZ55" s="2" t="s">
        <v>1198</v>
      </c>
      <c r="BA55" s="2" t="s">
        <v>1182</v>
      </c>
      <c r="BB55" s="2" t="s">
        <v>901</v>
      </c>
      <c r="BC55" s="2" t="s">
        <v>724</v>
      </c>
      <c r="BD55" s="2" t="s">
        <v>1183</v>
      </c>
      <c r="BE55" s="2" t="s">
        <v>101</v>
      </c>
      <c r="BF55" s="2" t="s">
        <v>101</v>
      </c>
      <c r="BG55" s="2" t="s">
        <v>725</v>
      </c>
      <c r="BH55" s="2" t="s">
        <v>709</v>
      </c>
      <c r="BI55" s="2" t="s">
        <v>726</v>
      </c>
      <c r="BJ55" s="2" t="s">
        <v>1180</v>
      </c>
      <c r="BK55" s="2" t="s">
        <v>1179</v>
      </c>
      <c r="BL55" s="2" t="s">
        <v>709</v>
      </c>
      <c r="BM55" s="2" t="s">
        <v>727</v>
      </c>
      <c r="BN55" s="2" t="s">
        <v>1403</v>
      </c>
      <c r="BO55" s="2" t="s">
        <v>1403</v>
      </c>
      <c r="BP55" s="2" t="s">
        <v>1403</v>
      </c>
      <c r="BQ55" s="2" t="s">
        <v>727</v>
      </c>
      <c r="BR55" s="2">
        <v>12</v>
      </c>
    </row>
    <row r="56" spans="1:70" x14ac:dyDescent="0.2">
      <c r="A56" s="2" t="s">
        <v>62</v>
      </c>
      <c r="B56" s="2" t="s">
        <v>1358</v>
      </c>
      <c r="C56" s="2" t="s">
        <v>1398</v>
      </c>
      <c r="D56" s="2">
        <v>3</v>
      </c>
      <c r="E56" s="2">
        <v>1</v>
      </c>
      <c r="F56" s="2">
        <v>2</v>
      </c>
      <c r="G56" s="2" t="s">
        <v>39</v>
      </c>
      <c r="H56" s="2">
        <v>1</v>
      </c>
      <c r="I56" s="2">
        <v>1</v>
      </c>
      <c r="J56" s="2">
        <v>0</v>
      </c>
      <c r="K56" s="2">
        <v>0</v>
      </c>
      <c r="L56" s="2">
        <v>0</v>
      </c>
      <c r="M56" s="2">
        <v>0</v>
      </c>
      <c r="N56" s="2">
        <v>0</v>
      </c>
      <c r="O56" s="2">
        <v>0</v>
      </c>
      <c r="P56" s="2">
        <v>0</v>
      </c>
      <c r="Q56" s="2">
        <v>0</v>
      </c>
      <c r="R56" s="2">
        <f t="shared" si="1"/>
        <v>2</v>
      </c>
      <c r="S56" s="2" t="s">
        <v>728</v>
      </c>
      <c r="T56" s="2" t="s">
        <v>991</v>
      </c>
      <c r="U56" s="2" t="s">
        <v>1403</v>
      </c>
      <c r="V56" s="4" t="s">
        <v>1403</v>
      </c>
      <c r="W56" s="2">
        <v>1</v>
      </c>
      <c r="X56" s="2" t="s">
        <v>42</v>
      </c>
      <c r="Y56" s="2" t="s">
        <v>42</v>
      </c>
      <c r="Z56" s="4" t="s">
        <v>1403</v>
      </c>
      <c r="AA56" s="4" t="s">
        <v>1403</v>
      </c>
      <c r="AB56" s="2" t="s">
        <v>1040</v>
      </c>
      <c r="AC56" s="4" t="s">
        <v>1403</v>
      </c>
      <c r="AD56" s="5" t="s">
        <v>729</v>
      </c>
      <c r="AE56" s="2" t="s">
        <v>1102</v>
      </c>
      <c r="AF56" s="2" t="s">
        <v>730</v>
      </c>
      <c r="AG56" s="2" t="s">
        <v>588</v>
      </c>
      <c r="AH56" s="2">
        <v>5</v>
      </c>
      <c r="AI56" s="2" t="s">
        <v>1091</v>
      </c>
      <c r="AJ56" s="4" t="s">
        <v>1403</v>
      </c>
      <c r="AK56" s="2" t="s">
        <v>731</v>
      </c>
      <c r="AL56" s="5" t="s">
        <v>1124</v>
      </c>
      <c r="AM56" s="2" t="s">
        <v>31</v>
      </c>
      <c r="AN56" s="2" t="s">
        <v>31</v>
      </c>
      <c r="AO56" s="2" t="s">
        <v>31</v>
      </c>
      <c r="AP56" s="2" t="s">
        <v>732</v>
      </c>
      <c r="AQ56" s="2" t="s">
        <v>1136</v>
      </c>
      <c r="AR56" s="2" t="s">
        <v>733</v>
      </c>
      <c r="AS56" s="2" t="s">
        <v>1157</v>
      </c>
      <c r="AT56" s="2" t="s">
        <v>734</v>
      </c>
      <c r="AU56" s="2" t="s">
        <v>28</v>
      </c>
      <c r="AV56" s="2" t="s">
        <v>488</v>
      </c>
      <c r="AW56" s="2" t="s">
        <v>28</v>
      </c>
      <c r="AX56" s="2" t="s">
        <v>28</v>
      </c>
      <c r="AY56" s="2" t="s">
        <v>1403</v>
      </c>
      <c r="AZ56" s="2" t="s">
        <v>1403</v>
      </c>
      <c r="BA56" s="2" t="s">
        <v>1403</v>
      </c>
      <c r="BB56" s="2" t="s">
        <v>1403</v>
      </c>
      <c r="BC56" s="2" t="s">
        <v>735</v>
      </c>
      <c r="BD56" s="2" t="s">
        <v>1403</v>
      </c>
      <c r="BE56" s="2" t="s">
        <v>132</v>
      </c>
      <c r="BF56" s="2" t="s">
        <v>1403</v>
      </c>
      <c r="BG56" s="2" t="s">
        <v>1403</v>
      </c>
      <c r="BH56" s="2" t="s">
        <v>1403</v>
      </c>
      <c r="BI56" s="2" t="s">
        <v>1403</v>
      </c>
      <c r="BJ56" s="2" t="s">
        <v>1403</v>
      </c>
      <c r="BK56" s="2" t="s">
        <v>1403</v>
      </c>
      <c r="BL56" s="2" t="s">
        <v>1262</v>
      </c>
      <c r="BM56" s="2" t="s">
        <v>736</v>
      </c>
      <c r="BN56" s="2" t="s">
        <v>1403</v>
      </c>
      <c r="BO56" s="2" t="s">
        <v>1063</v>
      </c>
      <c r="BP56" s="2" t="s">
        <v>1064</v>
      </c>
      <c r="BQ56" s="2" t="s">
        <v>736</v>
      </c>
      <c r="BR56" s="2">
        <v>1</v>
      </c>
    </row>
    <row r="57" spans="1:70" x14ac:dyDescent="0.2">
      <c r="A57" s="2" t="s">
        <v>62</v>
      </c>
      <c r="B57" s="2" t="s">
        <v>1359</v>
      </c>
      <c r="C57" s="9" t="s">
        <v>1400</v>
      </c>
      <c r="D57" s="2">
        <v>12</v>
      </c>
      <c r="E57" s="2">
        <v>1</v>
      </c>
      <c r="F57" s="2">
        <v>1</v>
      </c>
      <c r="G57" s="2" t="s">
        <v>1038</v>
      </c>
      <c r="H57" s="2">
        <v>1</v>
      </c>
      <c r="I57" s="2">
        <v>1</v>
      </c>
      <c r="J57" s="2">
        <v>0</v>
      </c>
      <c r="K57" s="2">
        <v>1</v>
      </c>
      <c r="L57" s="2">
        <v>1</v>
      </c>
      <c r="M57" s="2">
        <v>1</v>
      </c>
      <c r="N57" s="2">
        <v>1</v>
      </c>
      <c r="O57" s="2">
        <v>0</v>
      </c>
      <c r="P57" s="2">
        <v>0</v>
      </c>
      <c r="Q57" s="2">
        <v>0</v>
      </c>
      <c r="R57" s="2">
        <v>12</v>
      </c>
      <c r="S57" s="2" t="s">
        <v>737</v>
      </c>
      <c r="T57" s="2" t="s">
        <v>998</v>
      </c>
      <c r="U57" s="2" t="s">
        <v>975</v>
      </c>
      <c r="V57" s="2" t="s">
        <v>738</v>
      </c>
      <c r="W57" s="2">
        <v>5</v>
      </c>
      <c r="X57" s="2" t="s">
        <v>42</v>
      </c>
      <c r="Y57" s="2" t="s">
        <v>42</v>
      </c>
      <c r="Z57" s="4" t="s">
        <v>1403</v>
      </c>
      <c r="AA57" s="2" t="s">
        <v>28</v>
      </c>
      <c r="AB57" s="2" t="s">
        <v>1040</v>
      </c>
      <c r="AC57" s="2" t="s">
        <v>28</v>
      </c>
      <c r="AD57" s="2" t="s">
        <v>739</v>
      </c>
      <c r="AE57" s="2" t="s">
        <v>637</v>
      </c>
      <c r="AF57" s="5" t="s">
        <v>740</v>
      </c>
      <c r="AG57" s="5" t="s">
        <v>1052</v>
      </c>
      <c r="AH57" s="5">
        <v>60</v>
      </c>
      <c r="AI57" s="5" t="s">
        <v>1091</v>
      </c>
      <c r="AJ57" s="4" t="s">
        <v>1403</v>
      </c>
      <c r="AK57" s="4" t="s">
        <v>1403</v>
      </c>
      <c r="AL57" s="5" t="s">
        <v>1104</v>
      </c>
      <c r="AM57" s="4" t="s">
        <v>1403</v>
      </c>
      <c r="AN57" s="4" t="s">
        <v>1403</v>
      </c>
      <c r="AO57" s="4" t="s">
        <v>1403</v>
      </c>
      <c r="AP57" s="2" t="s">
        <v>72</v>
      </c>
      <c r="AQ57" s="2" t="s">
        <v>72</v>
      </c>
      <c r="AR57" s="4" t="s">
        <v>1403</v>
      </c>
      <c r="AS57" s="4" t="s">
        <v>1403</v>
      </c>
      <c r="AT57" s="4" t="s">
        <v>1403</v>
      </c>
      <c r="AU57" s="4" t="s">
        <v>1403</v>
      </c>
      <c r="AV57" s="2" t="s">
        <v>488</v>
      </c>
      <c r="AW57" s="2" t="s">
        <v>28</v>
      </c>
      <c r="AX57" s="2" t="s">
        <v>28</v>
      </c>
      <c r="AY57" s="2" t="s">
        <v>741</v>
      </c>
      <c r="AZ57" s="2" t="s">
        <v>1198</v>
      </c>
      <c r="BA57" s="2" t="s">
        <v>1403</v>
      </c>
      <c r="BB57" s="2" t="s">
        <v>709</v>
      </c>
      <c r="BC57" s="2" t="s">
        <v>1403</v>
      </c>
      <c r="BD57" s="2" t="s">
        <v>1403</v>
      </c>
      <c r="BE57" s="2" t="s">
        <v>1403</v>
      </c>
      <c r="BF57" s="2" t="s">
        <v>1403</v>
      </c>
      <c r="BG57" s="2" t="s">
        <v>1403</v>
      </c>
      <c r="BH57" s="2" t="s">
        <v>1403</v>
      </c>
      <c r="BI57" s="2" t="s">
        <v>709</v>
      </c>
      <c r="BJ57" s="2" t="s">
        <v>1403</v>
      </c>
      <c r="BK57" s="2" t="s">
        <v>1403</v>
      </c>
      <c r="BL57" s="2" t="s">
        <v>1403</v>
      </c>
      <c r="BM57" s="2" t="s">
        <v>742</v>
      </c>
      <c r="BN57" s="2" t="s">
        <v>1403</v>
      </c>
      <c r="BO57" s="2" t="s">
        <v>1080</v>
      </c>
      <c r="BP57" s="2" t="s">
        <v>1403</v>
      </c>
      <c r="BQ57" s="2" t="s">
        <v>742</v>
      </c>
      <c r="BR57" s="2">
        <v>3</v>
      </c>
    </row>
    <row r="58" spans="1:70" x14ac:dyDescent="0.2">
      <c r="A58" s="2" t="s">
        <v>25</v>
      </c>
      <c r="B58" s="2" t="s">
        <v>1360</v>
      </c>
      <c r="C58" s="2" t="s">
        <v>1395</v>
      </c>
      <c r="D58" s="2">
        <v>5</v>
      </c>
      <c r="E58" s="2">
        <v>2</v>
      </c>
      <c r="F58" s="2">
        <v>1</v>
      </c>
      <c r="G58" s="2" t="s">
        <v>192</v>
      </c>
      <c r="H58" s="2">
        <v>0</v>
      </c>
      <c r="I58" s="2">
        <v>2</v>
      </c>
      <c r="J58" s="2">
        <v>0</v>
      </c>
      <c r="K58" s="2">
        <v>0</v>
      </c>
      <c r="L58" s="2">
        <v>0</v>
      </c>
      <c r="M58" s="2">
        <v>0</v>
      </c>
      <c r="N58" s="2">
        <v>0</v>
      </c>
      <c r="O58" s="2">
        <v>0</v>
      </c>
      <c r="P58" s="2">
        <v>0</v>
      </c>
      <c r="Q58" s="2">
        <v>0</v>
      </c>
      <c r="R58" s="2">
        <f t="shared" ref="R58:R68" si="2">SUM(H58:Q58)</f>
        <v>2</v>
      </c>
      <c r="S58" s="2" t="s">
        <v>1403</v>
      </c>
      <c r="T58" s="2" t="s">
        <v>985</v>
      </c>
      <c r="U58" s="2" t="s">
        <v>1403</v>
      </c>
      <c r="V58" s="2" t="s">
        <v>743</v>
      </c>
      <c r="W58" s="2">
        <v>1</v>
      </c>
      <c r="X58" s="2" t="s">
        <v>42</v>
      </c>
      <c r="Y58" s="2" t="s">
        <v>42</v>
      </c>
      <c r="Z58" s="4" t="s">
        <v>1403</v>
      </c>
      <c r="AA58" s="2" t="s">
        <v>744</v>
      </c>
      <c r="AB58" s="2" t="s">
        <v>1040</v>
      </c>
      <c r="AC58" s="2" t="s">
        <v>28</v>
      </c>
      <c r="AD58" s="2" t="s">
        <v>745</v>
      </c>
      <c r="AE58" s="2" t="s">
        <v>637</v>
      </c>
      <c r="AF58" s="2" t="s">
        <v>746</v>
      </c>
      <c r="AG58" s="2" t="s">
        <v>1052</v>
      </c>
      <c r="AH58" s="2">
        <v>60</v>
      </c>
      <c r="AI58" s="2" t="s">
        <v>1091</v>
      </c>
      <c r="AJ58" s="4" t="s">
        <v>1403</v>
      </c>
      <c r="AK58" s="4" t="s">
        <v>1403</v>
      </c>
      <c r="AL58" s="5" t="s">
        <v>1104</v>
      </c>
      <c r="AM58" s="2" t="s">
        <v>31</v>
      </c>
      <c r="AN58" s="4" t="s">
        <v>1403</v>
      </c>
      <c r="AO58" s="2" t="s">
        <v>31</v>
      </c>
      <c r="AP58" s="2" t="s">
        <v>747</v>
      </c>
      <c r="AQ58" s="2" t="s">
        <v>1101</v>
      </c>
      <c r="AR58" s="2" t="s">
        <v>748</v>
      </c>
      <c r="AS58" s="2" t="s">
        <v>1158</v>
      </c>
      <c r="AT58" s="2" t="s">
        <v>749</v>
      </c>
      <c r="AU58" s="2" t="s">
        <v>709</v>
      </c>
      <c r="AV58" s="2" t="s">
        <v>750</v>
      </c>
      <c r="AW58" s="2" t="s">
        <v>28</v>
      </c>
      <c r="AX58" s="2" t="s">
        <v>1144</v>
      </c>
      <c r="AY58" s="2" t="s">
        <v>86</v>
      </c>
      <c r="AZ58" s="2" t="s">
        <v>86</v>
      </c>
      <c r="BA58" s="2" t="s">
        <v>1403</v>
      </c>
      <c r="BB58" s="2" t="s">
        <v>1403</v>
      </c>
      <c r="BC58" s="2" t="s">
        <v>751</v>
      </c>
      <c r="BD58" s="2" t="s">
        <v>1263</v>
      </c>
      <c r="BE58" s="2" t="s">
        <v>752</v>
      </c>
      <c r="BF58" s="2" t="s">
        <v>404</v>
      </c>
      <c r="BG58" s="2" t="s">
        <v>753</v>
      </c>
      <c r="BH58" s="2" t="s">
        <v>709</v>
      </c>
      <c r="BI58" s="2" t="s">
        <v>754</v>
      </c>
      <c r="BJ58" s="2" t="s">
        <v>1180</v>
      </c>
      <c r="BK58" s="2" t="s">
        <v>1180</v>
      </c>
      <c r="BL58" s="2" t="s">
        <v>1264</v>
      </c>
      <c r="BM58" s="2" t="s">
        <v>755</v>
      </c>
      <c r="BN58" s="2" t="s">
        <v>756</v>
      </c>
      <c r="BO58" s="2" t="s">
        <v>1403</v>
      </c>
      <c r="BP58" s="2" t="s">
        <v>1403</v>
      </c>
      <c r="BQ58" s="2" t="s">
        <v>755</v>
      </c>
      <c r="BR58" s="2">
        <v>2</v>
      </c>
    </row>
    <row r="59" spans="1:70" x14ac:dyDescent="0.2">
      <c r="A59" s="2" t="s">
        <v>92</v>
      </c>
      <c r="B59" s="2" t="s">
        <v>1361</v>
      </c>
      <c r="C59" s="2" t="s">
        <v>1395</v>
      </c>
      <c r="D59" s="2">
        <v>5</v>
      </c>
      <c r="E59" s="2">
        <v>0</v>
      </c>
      <c r="F59" s="2">
        <v>1</v>
      </c>
      <c r="G59" s="2" t="s">
        <v>48</v>
      </c>
      <c r="H59" s="2">
        <v>1</v>
      </c>
      <c r="I59" s="2">
        <v>0</v>
      </c>
      <c r="J59" s="2">
        <v>0</v>
      </c>
      <c r="K59" s="2">
        <v>0</v>
      </c>
      <c r="L59" s="2">
        <v>0</v>
      </c>
      <c r="M59" s="2">
        <v>0</v>
      </c>
      <c r="N59" s="2">
        <v>0</v>
      </c>
      <c r="O59" s="2">
        <v>0</v>
      </c>
      <c r="P59" s="2">
        <v>0</v>
      </c>
      <c r="Q59" s="2">
        <v>0</v>
      </c>
      <c r="R59" s="2">
        <f t="shared" si="2"/>
        <v>1</v>
      </c>
      <c r="S59" s="2" t="s">
        <v>757</v>
      </c>
      <c r="T59" s="2" t="s">
        <v>986</v>
      </c>
      <c r="U59" s="2" t="s">
        <v>1403</v>
      </c>
      <c r="V59" s="2" t="s">
        <v>758</v>
      </c>
      <c r="W59" s="2">
        <v>1</v>
      </c>
      <c r="X59" s="2" t="s">
        <v>42</v>
      </c>
      <c r="Y59" s="2" t="s">
        <v>42</v>
      </c>
      <c r="Z59" s="2" t="s">
        <v>1022</v>
      </c>
      <c r="AA59" s="2" t="s">
        <v>28</v>
      </c>
      <c r="AB59" s="2" t="s">
        <v>1040</v>
      </c>
      <c r="AC59" s="4" t="s">
        <v>1403</v>
      </c>
      <c r="AD59" s="2" t="s">
        <v>759</v>
      </c>
      <c r="AE59" s="2" t="s">
        <v>637</v>
      </c>
      <c r="AF59" s="2" t="s">
        <v>760</v>
      </c>
      <c r="AG59" s="2" t="s">
        <v>588</v>
      </c>
      <c r="AH59" s="2">
        <v>10</v>
      </c>
      <c r="AI59" s="2" t="s">
        <v>1091</v>
      </c>
      <c r="AJ59" s="4" t="s">
        <v>1403</v>
      </c>
      <c r="AK59" s="2" t="s">
        <v>761</v>
      </c>
      <c r="AL59" s="2" t="s">
        <v>1104</v>
      </c>
      <c r="AM59" s="2" t="s">
        <v>762</v>
      </c>
      <c r="AN59" s="2" t="s">
        <v>865</v>
      </c>
      <c r="AO59" s="2" t="s">
        <v>404</v>
      </c>
      <c r="AP59" s="2" t="s">
        <v>224</v>
      </c>
      <c r="AQ59" s="2" t="s">
        <v>1101</v>
      </c>
      <c r="AR59" s="2" t="s">
        <v>1403</v>
      </c>
      <c r="AS59" s="4" t="s">
        <v>1403</v>
      </c>
      <c r="AT59" s="4" t="s">
        <v>1403</v>
      </c>
      <c r="AU59" s="2" t="s">
        <v>709</v>
      </c>
      <c r="AV59" s="2" t="s">
        <v>488</v>
      </c>
      <c r="AW59" s="2" t="s">
        <v>28</v>
      </c>
      <c r="AX59" s="2" t="s">
        <v>28</v>
      </c>
      <c r="AY59" s="2" t="s">
        <v>763</v>
      </c>
      <c r="AZ59" s="2" t="s">
        <v>1198</v>
      </c>
      <c r="BA59" s="2" t="s">
        <v>1182</v>
      </c>
      <c r="BB59" s="2" t="s">
        <v>709</v>
      </c>
      <c r="BC59" s="2" t="s">
        <v>764</v>
      </c>
      <c r="BD59" s="2" t="s">
        <v>1192</v>
      </c>
      <c r="BE59" s="2" t="s">
        <v>28</v>
      </c>
      <c r="BF59" s="2" t="s">
        <v>1403</v>
      </c>
      <c r="BG59" s="2" t="s">
        <v>765</v>
      </c>
      <c r="BH59" s="2" t="s">
        <v>709</v>
      </c>
      <c r="BI59" s="2" t="s">
        <v>766</v>
      </c>
      <c r="BJ59" s="2" t="s">
        <v>1179</v>
      </c>
      <c r="BK59" s="2" t="s">
        <v>1180</v>
      </c>
      <c r="BL59" s="2" t="s">
        <v>1264</v>
      </c>
      <c r="BM59" s="2" t="s">
        <v>767</v>
      </c>
      <c r="BN59" s="2" t="s">
        <v>1265</v>
      </c>
      <c r="BO59" s="2" t="s">
        <v>1403</v>
      </c>
      <c r="BP59" s="2" t="s">
        <v>1403</v>
      </c>
      <c r="BQ59" s="2" t="s">
        <v>767</v>
      </c>
      <c r="BR59" s="2">
        <v>4</v>
      </c>
    </row>
    <row r="60" spans="1:70" x14ac:dyDescent="0.2">
      <c r="A60" s="2" t="s">
        <v>92</v>
      </c>
      <c r="B60" s="2" t="s">
        <v>1362</v>
      </c>
      <c r="C60" s="2" t="s">
        <v>1395</v>
      </c>
      <c r="D60" s="2">
        <v>4</v>
      </c>
      <c r="E60" s="2">
        <v>0</v>
      </c>
      <c r="F60" s="2">
        <v>2</v>
      </c>
      <c r="G60" s="2" t="s">
        <v>48</v>
      </c>
      <c r="H60" s="2">
        <v>1</v>
      </c>
      <c r="I60" s="2">
        <v>0</v>
      </c>
      <c r="J60" s="2">
        <v>0</v>
      </c>
      <c r="K60" s="2">
        <v>0</v>
      </c>
      <c r="L60" s="2">
        <v>0</v>
      </c>
      <c r="M60" s="2">
        <v>0</v>
      </c>
      <c r="N60" s="2">
        <v>0</v>
      </c>
      <c r="O60" s="2">
        <v>0</v>
      </c>
      <c r="P60" s="2">
        <v>0</v>
      </c>
      <c r="Q60" s="2">
        <v>0</v>
      </c>
      <c r="R60" s="2">
        <f t="shared" si="2"/>
        <v>1</v>
      </c>
      <c r="S60" s="2" t="s">
        <v>768</v>
      </c>
      <c r="T60" s="2" t="s">
        <v>985</v>
      </c>
      <c r="U60" s="2" t="s">
        <v>1002</v>
      </c>
      <c r="V60" s="2" t="s">
        <v>769</v>
      </c>
      <c r="W60" s="2">
        <v>1</v>
      </c>
      <c r="X60" s="2" t="s">
        <v>470</v>
      </c>
      <c r="Y60" s="2" t="s">
        <v>42</v>
      </c>
      <c r="Z60" s="4" t="s">
        <v>1403</v>
      </c>
      <c r="AA60" s="2" t="s">
        <v>1153</v>
      </c>
      <c r="AB60" s="2" t="s">
        <v>1040</v>
      </c>
      <c r="AC60" s="2" t="s">
        <v>28</v>
      </c>
      <c r="AD60" s="2" t="s">
        <v>401</v>
      </c>
      <c r="AE60" s="2" t="s">
        <v>1115</v>
      </c>
      <c r="AF60" s="2" t="s">
        <v>770</v>
      </c>
      <c r="AG60" s="2" t="s">
        <v>1052</v>
      </c>
      <c r="AH60" s="2">
        <v>60</v>
      </c>
      <c r="AI60" s="2" t="s">
        <v>1099</v>
      </c>
      <c r="AJ60" s="10" t="s">
        <v>1103</v>
      </c>
      <c r="AK60" s="2" t="s">
        <v>771</v>
      </c>
      <c r="AL60" s="2" t="s">
        <v>1125</v>
      </c>
      <c r="AM60" s="2" t="s">
        <v>772</v>
      </c>
      <c r="AN60" s="4" t="s">
        <v>1403</v>
      </c>
      <c r="AO60" s="4" t="s">
        <v>1403</v>
      </c>
      <c r="AP60" s="4" t="s">
        <v>1403</v>
      </c>
      <c r="AQ60" s="2" t="s">
        <v>1128</v>
      </c>
      <c r="AR60" s="4" t="s">
        <v>1403</v>
      </c>
      <c r="AS60" s="4" t="s">
        <v>1403</v>
      </c>
      <c r="AT60" s="4" t="s">
        <v>1403</v>
      </c>
      <c r="AU60" s="4" t="s">
        <v>1403</v>
      </c>
      <c r="AV60" s="2" t="s">
        <v>773</v>
      </c>
      <c r="AW60" s="2" t="s">
        <v>28</v>
      </c>
      <c r="AX60" s="2" t="s">
        <v>1146</v>
      </c>
      <c r="AY60" s="2" t="s">
        <v>774</v>
      </c>
      <c r="AZ60" s="2" t="s">
        <v>1198</v>
      </c>
      <c r="BA60" s="2" t="s">
        <v>1257</v>
      </c>
      <c r="BB60" s="2" t="s">
        <v>1403</v>
      </c>
      <c r="BC60" s="2" t="s">
        <v>775</v>
      </c>
      <c r="BD60" s="2" t="s">
        <v>1183</v>
      </c>
      <c r="BE60" s="2" t="s">
        <v>491</v>
      </c>
      <c r="BF60" s="2" t="s">
        <v>1403</v>
      </c>
      <c r="BG60" s="2" t="s">
        <v>776</v>
      </c>
      <c r="BH60" s="2" t="s">
        <v>1267</v>
      </c>
      <c r="BI60" s="2" t="s">
        <v>1403</v>
      </c>
      <c r="BJ60" s="2" t="s">
        <v>1403</v>
      </c>
      <c r="BK60" s="2" t="s">
        <v>1403</v>
      </c>
      <c r="BL60" s="2" t="s">
        <v>1403</v>
      </c>
      <c r="BM60" s="2" t="s">
        <v>777</v>
      </c>
      <c r="BN60" s="2" t="s">
        <v>1403</v>
      </c>
      <c r="BO60" s="2" t="s">
        <v>1403</v>
      </c>
      <c r="BP60" s="2" t="s">
        <v>1403</v>
      </c>
      <c r="BQ60" s="2" t="s">
        <v>777</v>
      </c>
      <c r="BR60" s="2">
        <v>1</v>
      </c>
    </row>
    <row r="61" spans="1:70" x14ac:dyDescent="0.2">
      <c r="A61" s="2" t="s">
        <v>92</v>
      </c>
      <c r="B61" s="2" t="s">
        <v>1363</v>
      </c>
      <c r="C61" s="2" t="s">
        <v>1397</v>
      </c>
      <c r="D61" s="2">
        <v>7</v>
      </c>
      <c r="E61" s="2">
        <v>0</v>
      </c>
      <c r="F61" s="2">
        <v>2</v>
      </c>
      <c r="G61" s="2" t="s">
        <v>48</v>
      </c>
      <c r="H61" s="2">
        <v>1</v>
      </c>
      <c r="I61" s="2">
        <v>0</v>
      </c>
      <c r="J61" s="2">
        <v>0</v>
      </c>
      <c r="K61" s="2">
        <v>0</v>
      </c>
      <c r="L61" s="2">
        <v>0</v>
      </c>
      <c r="M61" s="2">
        <v>0</v>
      </c>
      <c r="N61" s="2">
        <v>0</v>
      </c>
      <c r="O61" s="2">
        <v>0</v>
      </c>
      <c r="P61" s="2">
        <v>0</v>
      </c>
      <c r="Q61" s="2">
        <v>0</v>
      </c>
      <c r="R61" s="2">
        <f t="shared" si="2"/>
        <v>1</v>
      </c>
      <c r="S61" s="2" t="s">
        <v>778</v>
      </c>
      <c r="T61" s="2" t="s">
        <v>986</v>
      </c>
      <c r="U61" s="2" t="s">
        <v>1403</v>
      </c>
      <c r="V61" s="2" t="s">
        <v>328</v>
      </c>
      <c r="W61" s="2">
        <v>100</v>
      </c>
      <c r="X61" s="2" t="s">
        <v>42</v>
      </c>
      <c r="Y61" s="2" t="s">
        <v>1026</v>
      </c>
      <c r="Z61" s="2" t="s">
        <v>1024</v>
      </c>
      <c r="AA61" s="2" t="s">
        <v>28</v>
      </c>
      <c r="AB61" s="2" t="s">
        <v>1040</v>
      </c>
      <c r="AC61" s="2" t="s">
        <v>28</v>
      </c>
      <c r="AD61" s="4" t="s">
        <v>1403</v>
      </c>
      <c r="AE61" s="2" t="s">
        <v>1114</v>
      </c>
      <c r="AF61" s="4" t="s">
        <v>1403</v>
      </c>
      <c r="AG61" s="2" t="s">
        <v>588</v>
      </c>
      <c r="AH61" s="2">
        <v>5</v>
      </c>
      <c r="AI61" s="4" t="s">
        <v>1403</v>
      </c>
      <c r="AJ61" s="4" t="s">
        <v>1403</v>
      </c>
      <c r="AK61" s="4" t="s">
        <v>1403</v>
      </c>
      <c r="AL61" s="4" t="s">
        <v>1403</v>
      </c>
      <c r="AM61" s="4" t="s">
        <v>1403</v>
      </c>
      <c r="AN61" s="4" t="s">
        <v>1403</v>
      </c>
      <c r="AO61" s="4" t="s">
        <v>1403</v>
      </c>
      <c r="AP61" s="2" t="s">
        <v>224</v>
      </c>
      <c r="AQ61" s="2" t="s">
        <v>1101</v>
      </c>
      <c r="AR61" s="4" t="s">
        <v>1403</v>
      </c>
      <c r="AS61" s="4" t="s">
        <v>1403</v>
      </c>
      <c r="AT61" s="4" t="s">
        <v>1403</v>
      </c>
      <c r="AU61" s="2" t="s">
        <v>709</v>
      </c>
      <c r="AV61" s="2" t="s">
        <v>28</v>
      </c>
      <c r="AW61" s="4" t="s">
        <v>1403</v>
      </c>
      <c r="AX61" s="2" t="s">
        <v>28</v>
      </c>
      <c r="AY61" s="2" t="s">
        <v>650</v>
      </c>
      <c r="AZ61" s="2" t="s">
        <v>1403</v>
      </c>
      <c r="BA61" s="2" t="s">
        <v>1403</v>
      </c>
      <c r="BB61" s="2" t="s">
        <v>1403</v>
      </c>
      <c r="BC61" s="2" t="s">
        <v>1403</v>
      </c>
      <c r="BD61" s="2" t="s">
        <v>1403</v>
      </c>
      <c r="BE61" s="2" t="s">
        <v>1403</v>
      </c>
      <c r="BF61" s="2" t="s">
        <v>1403</v>
      </c>
      <c r="BG61" s="2" t="s">
        <v>1403</v>
      </c>
      <c r="BH61" s="2" t="s">
        <v>1403</v>
      </c>
      <c r="BI61" s="2" t="s">
        <v>1403</v>
      </c>
      <c r="BJ61" s="2" t="s">
        <v>1403</v>
      </c>
      <c r="BK61" s="2" t="s">
        <v>1403</v>
      </c>
      <c r="BL61" s="2" t="s">
        <v>709</v>
      </c>
      <c r="BM61" s="2" t="s">
        <v>779</v>
      </c>
      <c r="BN61" s="2" t="s">
        <v>780</v>
      </c>
      <c r="BO61" s="2" t="s">
        <v>1403</v>
      </c>
      <c r="BP61" s="2" t="s">
        <v>1403</v>
      </c>
      <c r="BQ61" s="2" t="s">
        <v>779</v>
      </c>
      <c r="BR61" s="2">
        <v>2</v>
      </c>
    </row>
    <row r="62" spans="1:70" x14ac:dyDescent="0.2">
      <c r="A62" s="2" t="s">
        <v>92</v>
      </c>
      <c r="B62" s="2" t="s">
        <v>1364</v>
      </c>
      <c r="C62" s="2" t="s">
        <v>1398</v>
      </c>
      <c r="D62" s="2">
        <v>7</v>
      </c>
      <c r="E62" s="2">
        <v>0</v>
      </c>
      <c r="F62" s="2">
        <v>7</v>
      </c>
      <c r="G62" s="2" t="s">
        <v>48</v>
      </c>
      <c r="H62" s="2">
        <v>1</v>
      </c>
      <c r="I62" s="2">
        <v>0</v>
      </c>
      <c r="J62" s="2">
        <v>0</v>
      </c>
      <c r="K62" s="2">
        <v>0</v>
      </c>
      <c r="L62" s="2">
        <v>0</v>
      </c>
      <c r="M62" s="2">
        <v>0</v>
      </c>
      <c r="N62" s="2">
        <v>0</v>
      </c>
      <c r="O62" s="2">
        <v>0</v>
      </c>
      <c r="P62" s="2">
        <v>0</v>
      </c>
      <c r="Q62" s="2">
        <v>0</v>
      </c>
      <c r="R62" s="2">
        <f t="shared" si="2"/>
        <v>1</v>
      </c>
      <c r="S62" s="2" t="s">
        <v>1403</v>
      </c>
      <c r="T62" s="2" t="s">
        <v>985</v>
      </c>
      <c r="U62" s="2" t="s">
        <v>1403</v>
      </c>
      <c r="V62" s="4" t="s">
        <v>1403</v>
      </c>
      <c r="W62" s="2">
        <v>5</v>
      </c>
      <c r="X62" s="4" t="s">
        <v>1403</v>
      </c>
      <c r="Y62" s="2" t="s">
        <v>1020</v>
      </c>
      <c r="Z62" s="4" t="s">
        <v>1403</v>
      </c>
      <c r="AA62" s="4" t="s">
        <v>1403</v>
      </c>
      <c r="AB62" s="2" t="s">
        <v>1040</v>
      </c>
      <c r="AC62" s="4" t="s">
        <v>1403</v>
      </c>
      <c r="AD62" s="4" t="s">
        <v>1403</v>
      </c>
      <c r="AE62" s="4" t="s">
        <v>1403</v>
      </c>
      <c r="AF62" s="4" t="s">
        <v>1403</v>
      </c>
      <c r="AG62" s="4" t="s">
        <v>1403</v>
      </c>
      <c r="AH62" s="4" t="s">
        <v>1403</v>
      </c>
      <c r="AI62" s="2" t="s">
        <v>1099</v>
      </c>
      <c r="AJ62" s="4" t="s">
        <v>1403</v>
      </c>
      <c r="AK62" s="4" t="s">
        <v>1403</v>
      </c>
      <c r="AL62" s="2" t="s">
        <v>1104</v>
      </c>
      <c r="AM62" s="4" t="s">
        <v>1403</v>
      </c>
      <c r="AN62" s="4" t="s">
        <v>1403</v>
      </c>
      <c r="AO62" s="4" t="s">
        <v>1403</v>
      </c>
      <c r="AP62" s="2" t="s">
        <v>781</v>
      </c>
      <c r="AQ62" s="2" t="s">
        <v>1137</v>
      </c>
      <c r="AR62" s="2" t="s">
        <v>782</v>
      </c>
      <c r="AS62" s="2" t="s">
        <v>1155</v>
      </c>
      <c r="AT62" s="2" t="s">
        <v>783</v>
      </c>
      <c r="AU62" s="2" t="s">
        <v>709</v>
      </c>
      <c r="AV62" s="2" t="s">
        <v>1403</v>
      </c>
      <c r="AW62" s="2" t="s">
        <v>1403</v>
      </c>
      <c r="AX62" s="2" t="s">
        <v>1403</v>
      </c>
      <c r="AY62" s="2" t="s">
        <v>1403</v>
      </c>
      <c r="AZ62" s="2" t="s">
        <v>1403</v>
      </c>
      <c r="BA62" s="2" t="s">
        <v>1403</v>
      </c>
      <c r="BB62" s="2" t="s">
        <v>1403</v>
      </c>
      <c r="BC62" s="2" t="s">
        <v>784</v>
      </c>
      <c r="BD62" s="2" t="s">
        <v>1162</v>
      </c>
      <c r="BE62" s="2" t="s">
        <v>1403</v>
      </c>
      <c r="BF62" s="2" t="s">
        <v>1403</v>
      </c>
      <c r="BG62" s="2" t="s">
        <v>1403</v>
      </c>
      <c r="BH62" s="2" t="s">
        <v>1403</v>
      </c>
      <c r="BI62" s="2" t="s">
        <v>785</v>
      </c>
      <c r="BJ62" s="2" t="s">
        <v>1180</v>
      </c>
      <c r="BK62" s="2" t="s">
        <v>1403</v>
      </c>
      <c r="BL62" s="2" t="s">
        <v>709</v>
      </c>
      <c r="BM62" s="2" t="s">
        <v>786</v>
      </c>
      <c r="BN62" s="2" t="s">
        <v>787</v>
      </c>
      <c r="BO62" s="2" t="s">
        <v>1403</v>
      </c>
      <c r="BP62" s="2" t="s">
        <v>1403</v>
      </c>
      <c r="BQ62" s="2" t="s">
        <v>786</v>
      </c>
      <c r="BR62" s="2">
        <v>1</v>
      </c>
    </row>
    <row r="63" spans="1:70" x14ac:dyDescent="0.2">
      <c r="A63" s="2" t="s">
        <v>92</v>
      </c>
      <c r="B63" s="2" t="s">
        <v>1365</v>
      </c>
      <c r="C63" s="2" t="s">
        <v>1395</v>
      </c>
      <c r="D63" s="2">
        <v>5</v>
      </c>
      <c r="E63" s="2">
        <v>0</v>
      </c>
      <c r="F63" s="2">
        <v>4</v>
      </c>
      <c r="G63" s="2" t="s">
        <v>48</v>
      </c>
      <c r="H63" s="2">
        <v>1</v>
      </c>
      <c r="I63" s="2">
        <v>0</v>
      </c>
      <c r="J63" s="2">
        <v>0</v>
      </c>
      <c r="K63" s="2">
        <v>0</v>
      </c>
      <c r="L63" s="2">
        <v>0</v>
      </c>
      <c r="M63" s="2">
        <v>0</v>
      </c>
      <c r="N63" s="2">
        <v>0</v>
      </c>
      <c r="O63" s="2">
        <v>0</v>
      </c>
      <c r="P63" s="2">
        <v>0</v>
      </c>
      <c r="Q63" s="2">
        <v>0</v>
      </c>
      <c r="R63" s="2">
        <f t="shared" si="2"/>
        <v>1</v>
      </c>
      <c r="S63" s="2" t="s">
        <v>788</v>
      </c>
      <c r="T63" s="2" t="s">
        <v>826</v>
      </c>
      <c r="U63" s="2" t="s">
        <v>1268</v>
      </c>
      <c r="V63" s="4" t="s">
        <v>1403</v>
      </c>
      <c r="W63" s="2">
        <v>5</v>
      </c>
      <c r="X63" s="2" t="s">
        <v>789</v>
      </c>
      <c r="Y63" s="2" t="s">
        <v>1020</v>
      </c>
      <c r="Z63" s="4" t="s">
        <v>1403</v>
      </c>
      <c r="AA63" s="4" t="s">
        <v>1403</v>
      </c>
      <c r="AB63" s="2" t="s">
        <v>1271</v>
      </c>
      <c r="AC63" s="4" t="s">
        <v>1403</v>
      </c>
      <c r="AD63" s="5" t="s">
        <v>790</v>
      </c>
      <c r="AE63" s="2" t="s">
        <v>1113</v>
      </c>
      <c r="AF63" s="2" t="s">
        <v>791</v>
      </c>
      <c r="AG63" s="2" t="s">
        <v>458</v>
      </c>
      <c r="AH63" s="2">
        <v>360</v>
      </c>
      <c r="AI63" s="2" t="s">
        <v>1099</v>
      </c>
      <c r="AJ63" s="4" t="s">
        <v>1403</v>
      </c>
      <c r="AK63" s="2" t="s">
        <v>792</v>
      </c>
      <c r="AL63" s="2" t="s">
        <v>1116</v>
      </c>
      <c r="AM63" s="2" t="s">
        <v>793</v>
      </c>
      <c r="AN63" s="2" t="s">
        <v>31</v>
      </c>
      <c r="AO63" s="2" t="s">
        <v>31</v>
      </c>
      <c r="AP63" s="2" t="s">
        <v>794</v>
      </c>
      <c r="AQ63" s="2" t="s">
        <v>1138</v>
      </c>
      <c r="AR63" s="2" t="s">
        <v>795</v>
      </c>
      <c r="AS63" s="2" t="s">
        <v>1161</v>
      </c>
      <c r="AT63" s="2" t="s">
        <v>796</v>
      </c>
      <c r="AU63" s="2" t="s">
        <v>709</v>
      </c>
      <c r="AV63" s="2" t="s">
        <v>797</v>
      </c>
      <c r="AW63" s="2" t="s">
        <v>1297</v>
      </c>
      <c r="AX63" s="2" t="s">
        <v>28</v>
      </c>
      <c r="AY63" s="2" t="s">
        <v>1403</v>
      </c>
      <c r="AZ63" s="2" t="s">
        <v>1403</v>
      </c>
      <c r="BA63" s="2" t="s">
        <v>1403</v>
      </c>
      <c r="BB63" s="2" t="s">
        <v>1403</v>
      </c>
      <c r="BC63" s="2" t="s">
        <v>798</v>
      </c>
      <c r="BD63" s="2" t="s">
        <v>1269</v>
      </c>
      <c r="BE63" s="2" t="s">
        <v>799</v>
      </c>
      <c r="BF63" s="2" t="s">
        <v>1270</v>
      </c>
      <c r="BG63" s="2" t="s">
        <v>709</v>
      </c>
      <c r="BH63" s="2" t="s">
        <v>709</v>
      </c>
      <c r="BI63" s="2" t="s">
        <v>800</v>
      </c>
      <c r="BJ63" s="2" t="s">
        <v>1180</v>
      </c>
      <c r="BK63" s="2" t="s">
        <v>1180</v>
      </c>
      <c r="BL63" s="2" t="s">
        <v>709</v>
      </c>
      <c r="BM63" s="2" t="s">
        <v>801</v>
      </c>
      <c r="BN63" s="2" t="s">
        <v>802</v>
      </c>
      <c r="BO63" s="2" t="s">
        <v>1081</v>
      </c>
      <c r="BP63" s="2" t="s">
        <v>1087</v>
      </c>
      <c r="BQ63" s="2" t="s">
        <v>801</v>
      </c>
      <c r="BR63" s="2">
        <v>10</v>
      </c>
    </row>
    <row r="64" spans="1:70" x14ac:dyDescent="0.2">
      <c r="A64" s="2" t="s">
        <v>92</v>
      </c>
      <c r="B64" s="2" t="s">
        <v>1366</v>
      </c>
      <c r="C64" s="2" t="s">
        <v>1399</v>
      </c>
      <c r="D64" s="2">
        <v>6</v>
      </c>
      <c r="E64" s="2">
        <v>3</v>
      </c>
      <c r="F64" s="2">
        <v>2</v>
      </c>
      <c r="G64" s="2" t="s">
        <v>39</v>
      </c>
      <c r="H64" s="2">
        <v>1</v>
      </c>
      <c r="I64" s="2">
        <v>3</v>
      </c>
      <c r="J64" s="2">
        <v>0</v>
      </c>
      <c r="K64" s="2">
        <v>0</v>
      </c>
      <c r="L64" s="2">
        <v>0</v>
      </c>
      <c r="M64" s="2">
        <v>0</v>
      </c>
      <c r="N64" s="2">
        <v>0</v>
      </c>
      <c r="O64" s="2">
        <v>0</v>
      </c>
      <c r="P64" s="2">
        <v>0</v>
      </c>
      <c r="Q64" s="2">
        <v>0</v>
      </c>
      <c r="R64" s="2">
        <f t="shared" si="2"/>
        <v>4</v>
      </c>
      <c r="S64" s="2" t="s">
        <v>803</v>
      </c>
      <c r="T64" s="2" t="s">
        <v>1011</v>
      </c>
      <c r="U64" s="2" t="s">
        <v>1010</v>
      </c>
      <c r="V64" s="2" t="s">
        <v>804</v>
      </c>
      <c r="W64" s="2">
        <v>5</v>
      </c>
      <c r="X64" s="2" t="s">
        <v>42</v>
      </c>
      <c r="Y64" s="2" t="s">
        <v>1020</v>
      </c>
      <c r="Z64" s="4" t="s">
        <v>1403</v>
      </c>
      <c r="AA64" s="2" t="s">
        <v>28</v>
      </c>
      <c r="AB64" s="2" t="s">
        <v>1271</v>
      </c>
      <c r="AC64" s="2" t="s">
        <v>28</v>
      </c>
      <c r="AD64" s="2" t="s">
        <v>805</v>
      </c>
      <c r="AE64" s="2" t="s">
        <v>1102</v>
      </c>
      <c r="AF64" s="4" t="s">
        <v>1403</v>
      </c>
      <c r="AG64" s="2" t="s">
        <v>588</v>
      </c>
      <c r="AH64" s="2">
        <v>5</v>
      </c>
      <c r="AI64" s="2" t="s">
        <v>1023</v>
      </c>
      <c r="AJ64" s="4" t="s">
        <v>1403</v>
      </c>
      <c r="AK64" s="2" t="s">
        <v>806</v>
      </c>
      <c r="AL64" s="2" t="s">
        <v>1124</v>
      </c>
      <c r="AM64" s="2" t="s">
        <v>807</v>
      </c>
      <c r="AN64" s="2" t="s">
        <v>31</v>
      </c>
      <c r="AO64" s="2" t="s">
        <v>31</v>
      </c>
      <c r="AP64" s="2" t="s">
        <v>808</v>
      </c>
      <c r="AQ64" s="2" t="s">
        <v>1139</v>
      </c>
      <c r="AR64" s="2" t="s">
        <v>809</v>
      </c>
      <c r="AS64" s="2" t="s">
        <v>1157</v>
      </c>
      <c r="AT64" s="2" t="s">
        <v>810</v>
      </c>
      <c r="AU64" s="2" t="s">
        <v>709</v>
      </c>
      <c r="AV64" s="2" t="s">
        <v>406</v>
      </c>
      <c r="AW64" s="2" t="s">
        <v>28</v>
      </c>
      <c r="AX64" s="2" t="s">
        <v>28</v>
      </c>
      <c r="AY64" s="2" t="s">
        <v>811</v>
      </c>
      <c r="AZ64" s="2" t="s">
        <v>1198</v>
      </c>
      <c r="BA64" s="2" t="s">
        <v>1272</v>
      </c>
      <c r="BB64" s="2" t="s">
        <v>1403</v>
      </c>
      <c r="BC64" s="2" t="s">
        <v>812</v>
      </c>
      <c r="BD64" s="2" t="s">
        <v>31</v>
      </c>
      <c r="BE64" s="2" t="s">
        <v>1403</v>
      </c>
      <c r="BF64" s="2" t="s">
        <v>1403</v>
      </c>
      <c r="BG64" s="2" t="s">
        <v>1403</v>
      </c>
      <c r="BH64" s="2" t="s">
        <v>1403</v>
      </c>
      <c r="BI64" s="2" t="s">
        <v>813</v>
      </c>
      <c r="BJ64" s="2" t="s">
        <v>1180</v>
      </c>
      <c r="BK64" s="2" t="s">
        <v>1180</v>
      </c>
      <c r="BL64" s="2" t="s">
        <v>709</v>
      </c>
      <c r="BM64" s="2" t="s">
        <v>814</v>
      </c>
      <c r="BN64" s="2" t="s">
        <v>1403</v>
      </c>
      <c r="BO64" s="2" t="s">
        <v>1403</v>
      </c>
      <c r="BP64" s="2" t="s">
        <v>1403</v>
      </c>
      <c r="BQ64" s="2" t="s">
        <v>814</v>
      </c>
      <c r="BR64" s="2">
        <v>4</v>
      </c>
    </row>
    <row r="65" spans="1:70" x14ac:dyDescent="0.2">
      <c r="A65" s="2" t="s">
        <v>92</v>
      </c>
      <c r="B65" s="2" t="s">
        <v>1367</v>
      </c>
      <c r="C65" s="2" t="s">
        <v>1399</v>
      </c>
      <c r="D65" s="2" t="s">
        <v>1403</v>
      </c>
      <c r="E65" s="2">
        <v>3</v>
      </c>
      <c r="F65" s="2">
        <v>1</v>
      </c>
      <c r="G65" s="2" t="s">
        <v>48</v>
      </c>
      <c r="H65" s="2">
        <v>1</v>
      </c>
      <c r="I65" s="2">
        <v>0</v>
      </c>
      <c r="J65" s="2">
        <v>0</v>
      </c>
      <c r="K65" s="2">
        <v>0</v>
      </c>
      <c r="L65" s="2">
        <v>0</v>
      </c>
      <c r="M65" s="2">
        <v>0</v>
      </c>
      <c r="N65" s="2">
        <v>0</v>
      </c>
      <c r="O65" s="2">
        <v>0</v>
      </c>
      <c r="P65" s="2">
        <v>0</v>
      </c>
      <c r="Q65" s="2">
        <v>0</v>
      </c>
      <c r="R65" s="2">
        <f t="shared" si="2"/>
        <v>1</v>
      </c>
      <c r="S65" s="5" t="s">
        <v>815</v>
      </c>
      <c r="T65" s="2" t="s">
        <v>1012</v>
      </c>
      <c r="U65" s="2" t="s">
        <v>1002</v>
      </c>
      <c r="V65" s="2" t="s">
        <v>816</v>
      </c>
      <c r="W65" s="2">
        <v>1</v>
      </c>
      <c r="X65" s="2" t="s">
        <v>42</v>
      </c>
      <c r="Y65" s="2" t="s">
        <v>42</v>
      </c>
      <c r="Z65" s="2" t="s">
        <v>1002</v>
      </c>
      <c r="AA65" s="2" t="s">
        <v>817</v>
      </c>
      <c r="AB65" s="2" t="s">
        <v>1043</v>
      </c>
      <c r="AC65" s="2" t="s">
        <v>28</v>
      </c>
      <c r="AD65" s="2" t="s">
        <v>818</v>
      </c>
      <c r="AE65" s="2" t="s">
        <v>637</v>
      </c>
      <c r="AF65" s="2" t="s">
        <v>819</v>
      </c>
      <c r="AG65" s="2" t="s">
        <v>588</v>
      </c>
      <c r="AH65" s="2">
        <v>5</v>
      </c>
      <c r="AI65" s="2" t="s">
        <v>1023</v>
      </c>
      <c r="AJ65" s="4" t="s">
        <v>1403</v>
      </c>
      <c r="AK65" s="4" t="s">
        <v>1403</v>
      </c>
      <c r="AL65" s="2" t="s">
        <v>1104</v>
      </c>
      <c r="AM65" s="2" t="s">
        <v>404</v>
      </c>
      <c r="AN65" s="4" t="s">
        <v>1403</v>
      </c>
      <c r="AO65" s="4" t="s">
        <v>1403</v>
      </c>
      <c r="AP65" s="4" t="s">
        <v>1403</v>
      </c>
      <c r="AQ65" s="2" t="s">
        <v>1097</v>
      </c>
      <c r="AR65" s="4" t="s">
        <v>1403</v>
      </c>
      <c r="AS65" s="4" t="s">
        <v>1403</v>
      </c>
      <c r="AT65" s="4" t="s">
        <v>1403</v>
      </c>
      <c r="AU65" s="4" t="s">
        <v>1403</v>
      </c>
      <c r="AV65" s="2" t="s">
        <v>488</v>
      </c>
      <c r="AW65" s="2" t="s">
        <v>28</v>
      </c>
      <c r="AX65" s="2" t="s">
        <v>28</v>
      </c>
      <c r="AY65" s="2" t="s">
        <v>820</v>
      </c>
      <c r="AZ65" s="2" t="s">
        <v>1218</v>
      </c>
      <c r="BA65" s="2" t="s">
        <v>1182</v>
      </c>
      <c r="BB65" s="2" t="s">
        <v>709</v>
      </c>
      <c r="BC65" s="2" t="s">
        <v>821</v>
      </c>
      <c r="BD65" s="2" t="s">
        <v>1183</v>
      </c>
      <c r="BE65" s="2" t="s">
        <v>28</v>
      </c>
      <c r="BF65" s="2" t="s">
        <v>1403</v>
      </c>
      <c r="BG65" s="2" t="s">
        <v>822</v>
      </c>
      <c r="BH65" s="2" t="s">
        <v>1237</v>
      </c>
      <c r="BI65" s="2" t="s">
        <v>823</v>
      </c>
      <c r="BJ65" s="2" t="s">
        <v>28</v>
      </c>
      <c r="BK65" s="2" t="s">
        <v>1179</v>
      </c>
      <c r="BL65" s="2" t="s">
        <v>709</v>
      </c>
      <c r="BM65" s="2" t="s">
        <v>824</v>
      </c>
      <c r="BN65" s="2" t="s">
        <v>825</v>
      </c>
      <c r="BO65" s="2" t="s">
        <v>1403</v>
      </c>
      <c r="BP65" s="2" t="s">
        <v>1403</v>
      </c>
      <c r="BQ65" s="2" t="s">
        <v>824</v>
      </c>
      <c r="BR65" s="2">
        <v>2</v>
      </c>
    </row>
    <row r="66" spans="1:70" x14ac:dyDescent="0.2">
      <c r="A66" s="2" t="s">
        <v>92</v>
      </c>
      <c r="B66" s="2" t="s">
        <v>1368</v>
      </c>
      <c r="C66" s="2" t="s">
        <v>1399</v>
      </c>
      <c r="D66" s="2">
        <v>4</v>
      </c>
      <c r="E66" s="2">
        <v>1</v>
      </c>
      <c r="F66" s="2">
        <v>2</v>
      </c>
      <c r="G66" s="2" t="s">
        <v>48</v>
      </c>
      <c r="H66" s="2">
        <v>1</v>
      </c>
      <c r="I66" s="2">
        <v>0</v>
      </c>
      <c r="J66" s="2">
        <v>0</v>
      </c>
      <c r="K66" s="2">
        <v>0</v>
      </c>
      <c r="L66" s="2">
        <v>0</v>
      </c>
      <c r="M66" s="2">
        <v>0</v>
      </c>
      <c r="N66" s="2">
        <v>0</v>
      </c>
      <c r="O66" s="2">
        <v>0</v>
      </c>
      <c r="P66" s="2">
        <v>0</v>
      </c>
      <c r="Q66" s="2">
        <v>0</v>
      </c>
      <c r="R66" s="2">
        <f t="shared" si="2"/>
        <v>1</v>
      </c>
      <c r="S66" s="2" t="s">
        <v>826</v>
      </c>
      <c r="T66" s="2" t="s">
        <v>826</v>
      </c>
      <c r="U66" s="2" t="s">
        <v>1403</v>
      </c>
      <c r="V66" s="2" t="s">
        <v>827</v>
      </c>
      <c r="W66" s="2">
        <v>1</v>
      </c>
      <c r="X66" s="2" t="s">
        <v>42</v>
      </c>
      <c r="Y66" s="2" t="s">
        <v>42</v>
      </c>
      <c r="Z66" s="4" t="s">
        <v>1403</v>
      </c>
      <c r="AA66" s="2" t="s">
        <v>28</v>
      </c>
      <c r="AB66" s="2" t="s">
        <v>1040</v>
      </c>
      <c r="AC66" s="2" t="s">
        <v>28</v>
      </c>
      <c r="AD66" s="2" t="s">
        <v>828</v>
      </c>
      <c r="AE66" s="2" t="s">
        <v>637</v>
      </c>
      <c r="AF66" s="4" t="s">
        <v>1403</v>
      </c>
      <c r="AG66" s="2" t="s">
        <v>588</v>
      </c>
      <c r="AH66" s="2">
        <v>5</v>
      </c>
      <c r="AI66" s="2" t="s">
        <v>1099</v>
      </c>
      <c r="AJ66" s="2">
        <v>20</v>
      </c>
      <c r="AK66" s="2" t="s">
        <v>829</v>
      </c>
      <c r="AL66" s="2" t="s">
        <v>1106</v>
      </c>
      <c r="AM66" s="4" t="s">
        <v>1403</v>
      </c>
      <c r="AN66" s="4" t="s">
        <v>1403</v>
      </c>
      <c r="AO66" s="4" t="s">
        <v>1403</v>
      </c>
      <c r="AP66" s="2" t="s">
        <v>830</v>
      </c>
      <c r="AQ66" s="2" t="s">
        <v>1097</v>
      </c>
      <c r="AR66" s="4" t="s">
        <v>1403</v>
      </c>
      <c r="AS66" s="4" t="s">
        <v>1403</v>
      </c>
      <c r="AT66" s="4" t="s">
        <v>1403</v>
      </c>
      <c r="AU66" s="4" t="s">
        <v>1403</v>
      </c>
      <c r="AV66" s="2" t="s">
        <v>831</v>
      </c>
      <c r="AW66" s="2" t="s">
        <v>28</v>
      </c>
      <c r="AX66" s="2" t="s">
        <v>1144</v>
      </c>
      <c r="AY66" s="2" t="s">
        <v>832</v>
      </c>
      <c r="AZ66" s="2" t="s">
        <v>1210</v>
      </c>
      <c r="BA66" s="2" t="s">
        <v>1182</v>
      </c>
      <c r="BB66" s="2" t="s">
        <v>709</v>
      </c>
      <c r="BC66" s="2" t="s">
        <v>833</v>
      </c>
      <c r="BD66" s="2" t="s">
        <v>1183</v>
      </c>
      <c r="BE66" s="2" t="s">
        <v>101</v>
      </c>
      <c r="BF66" s="2" t="s">
        <v>101</v>
      </c>
      <c r="BG66" s="2" t="s">
        <v>834</v>
      </c>
      <c r="BH66" s="2" t="s">
        <v>709</v>
      </c>
      <c r="BI66" s="2" t="s">
        <v>835</v>
      </c>
      <c r="BJ66" s="2" t="s">
        <v>1180</v>
      </c>
      <c r="BK66" s="2" t="s">
        <v>1179</v>
      </c>
      <c r="BL66" s="2" t="s">
        <v>1403</v>
      </c>
      <c r="BM66" s="2" t="s">
        <v>836</v>
      </c>
      <c r="BN66" s="2" t="s">
        <v>1403</v>
      </c>
      <c r="BO66" s="2" t="s">
        <v>1403</v>
      </c>
      <c r="BP66" s="2" t="s">
        <v>1403</v>
      </c>
      <c r="BQ66" s="2" t="s">
        <v>836</v>
      </c>
      <c r="BR66" s="2">
        <v>2</v>
      </c>
    </row>
    <row r="67" spans="1:70" x14ac:dyDescent="0.2">
      <c r="A67" s="2" t="s">
        <v>92</v>
      </c>
      <c r="B67" s="2" t="s">
        <v>1369</v>
      </c>
      <c r="C67" s="6" t="s">
        <v>1400</v>
      </c>
      <c r="D67" s="2">
        <v>4</v>
      </c>
      <c r="E67" s="2">
        <v>0</v>
      </c>
      <c r="F67" s="2">
        <v>2</v>
      </c>
      <c r="G67" s="2" t="s">
        <v>48</v>
      </c>
      <c r="H67" s="2">
        <v>1</v>
      </c>
      <c r="I67" s="2">
        <v>0</v>
      </c>
      <c r="J67" s="2">
        <v>0</v>
      </c>
      <c r="K67" s="2">
        <v>0</v>
      </c>
      <c r="L67" s="2">
        <v>0</v>
      </c>
      <c r="M67" s="2">
        <v>0</v>
      </c>
      <c r="N67" s="2">
        <v>0</v>
      </c>
      <c r="O67" s="2">
        <v>0</v>
      </c>
      <c r="P67" s="2">
        <v>0</v>
      </c>
      <c r="Q67" s="2">
        <v>0</v>
      </c>
      <c r="R67" s="2">
        <f t="shared" si="2"/>
        <v>1</v>
      </c>
      <c r="S67" s="2" t="s">
        <v>837</v>
      </c>
      <c r="T67" s="2" t="s">
        <v>826</v>
      </c>
      <c r="U67" s="2" t="s">
        <v>1008</v>
      </c>
      <c r="V67" s="2" t="s">
        <v>838</v>
      </c>
      <c r="W67" s="2">
        <v>5</v>
      </c>
      <c r="X67" s="2" t="s">
        <v>42</v>
      </c>
      <c r="Y67" s="2" t="s">
        <v>42</v>
      </c>
      <c r="Z67" s="4" t="s">
        <v>1403</v>
      </c>
      <c r="AA67" s="2" t="s">
        <v>28</v>
      </c>
      <c r="AB67" s="2" t="s">
        <v>1040</v>
      </c>
      <c r="AC67" s="2" t="s">
        <v>28</v>
      </c>
      <c r="AD67" s="2" t="s">
        <v>839</v>
      </c>
      <c r="AE67" s="2" t="s">
        <v>637</v>
      </c>
      <c r="AF67" s="4" t="s">
        <v>1403</v>
      </c>
      <c r="AG67" s="2" t="s">
        <v>1052</v>
      </c>
      <c r="AH67" s="2">
        <v>60</v>
      </c>
      <c r="AI67" s="4" t="s">
        <v>1403</v>
      </c>
      <c r="AJ67" s="4" t="s">
        <v>1403</v>
      </c>
      <c r="AK67" s="4" t="s">
        <v>1403</v>
      </c>
      <c r="AL67" s="2" t="s">
        <v>1104</v>
      </c>
      <c r="AM67" s="2" t="s">
        <v>840</v>
      </c>
      <c r="AN67" s="4" t="s">
        <v>1403</v>
      </c>
      <c r="AO67" s="2" t="s">
        <v>31</v>
      </c>
      <c r="AP67" s="4" t="s">
        <v>1403</v>
      </c>
      <c r="AQ67" s="2" t="s">
        <v>1097</v>
      </c>
      <c r="AR67" s="4" t="s">
        <v>1403</v>
      </c>
      <c r="AS67" s="2" t="s">
        <v>1403</v>
      </c>
      <c r="AT67" s="4" t="s">
        <v>1403</v>
      </c>
      <c r="AU67" s="2" t="s">
        <v>1403</v>
      </c>
      <c r="AV67" s="2" t="s">
        <v>488</v>
      </c>
      <c r="AW67" s="2" t="s">
        <v>28</v>
      </c>
      <c r="AX67" s="2" t="s">
        <v>28</v>
      </c>
      <c r="AY67" s="2" t="s">
        <v>841</v>
      </c>
      <c r="AZ67" s="2" t="s">
        <v>1403</v>
      </c>
      <c r="BA67" s="2" t="s">
        <v>1273</v>
      </c>
      <c r="BB67" s="2" t="s">
        <v>901</v>
      </c>
      <c r="BC67" s="2" t="s">
        <v>842</v>
      </c>
      <c r="BD67" s="2" t="s">
        <v>1183</v>
      </c>
      <c r="BE67" s="2" t="s">
        <v>1403</v>
      </c>
      <c r="BF67" s="2" t="s">
        <v>101</v>
      </c>
      <c r="BG67" s="2" t="s">
        <v>631</v>
      </c>
      <c r="BH67" s="2" t="s">
        <v>709</v>
      </c>
      <c r="BI67" s="2" t="s">
        <v>843</v>
      </c>
      <c r="BJ67" s="2" t="s">
        <v>1180</v>
      </c>
      <c r="BK67" s="2" t="s">
        <v>28</v>
      </c>
      <c r="BL67" s="2" t="s">
        <v>709</v>
      </c>
      <c r="BM67" s="2" t="s">
        <v>844</v>
      </c>
      <c r="BN67" s="2" t="s">
        <v>845</v>
      </c>
      <c r="BO67" s="2" t="s">
        <v>1403</v>
      </c>
      <c r="BP67" s="2" t="s">
        <v>1403</v>
      </c>
      <c r="BQ67" s="2" t="s">
        <v>844</v>
      </c>
      <c r="BR67" s="2">
        <v>1</v>
      </c>
    </row>
    <row r="68" spans="1:70" x14ac:dyDescent="0.2">
      <c r="A68" s="2" t="s">
        <v>92</v>
      </c>
      <c r="B68" s="2" t="s">
        <v>1370</v>
      </c>
      <c r="C68" s="2" t="s">
        <v>1398</v>
      </c>
      <c r="D68" s="2">
        <v>2</v>
      </c>
      <c r="E68" s="2">
        <v>0</v>
      </c>
      <c r="F68" s="2">
        <v>0</v>
      </c>
      <c r="G68" s="2" t="s">
        <v>48</v>
      </c>
      <c r="H68" s="2">
        <v>1</v>
      </c>
      <c r="I68" s="2">
        <v>0</v>
      </c>
      <c r="J68" s="2">
        <v>0</v>
      </c>
      <c r="K68" s="2">
        <v>0</v>
      </c>
      <c r="L68" s="2">
        <v>0</v>
      </c>
      <c r="M68" s="2">
        <v>0</v>
      </c>
      <c r="N68" s="2">
        <v>0</v>
      </c>
      <c r="O68" s="2">
        <v>0</v>
      </c>
      <c r="P68" s="2">
        <v>0</v>
      </c>
      <c r="Q68" s="2">
        <v>0</v>
      </c>
      <c r="R68" s="2">
        <f t="shared" si="2"/>
        <v>1</v>
      </c>
      <c r="S68" s="2" t="s">
        <v>846</v>
      </c>
      <c r="T68" s="2" t="s">
        <v>998</v>
      </c>
      <c r="U68" s="2" t="s">
        <v>1403</v>
      </c>
      <c r="V68" s="4" t="s">
        <v>1403</v>
      </c>
      <c r="W68" s="2">
        <v>5</v>
      </c>
      <c r="X68" s="2" t="s">
        <v>42</v>
      </c>
      <c r="Y68" s="2" t="s">
        <v>1020</v>
      </c>
      <c r="Z68" s="4" t="s">
        <v>1403</v>
      </c>
      <c r="AA68" s="4" t="s">
        <v>1403</v>
      </c>
      <c r="AB68" s="2" t="s">
        <v>1040</v>
      </c>
      <c r="AC68" s="4" t="s">
        <v>1403</v>
      </c>
      <c r="AD68" s="4" t="s">
        <v>1403</v>
      </c>
      <c r="AE68" s="4" t="s">
        <v>1403</v>
      </c>
      <c r="AF68" s="4" t="s">
        <v>1403</v>
      </c>
      <c r="AG68" s="4" t="s">
        <v>1403</v>
      </c>
      <c r="AH68" s="4" t="s">
        <v>1403</v>
      </c>
      <c r="AI68" s="4" t="s">
        <v>1403</v>
      </c>
      <c r="AJ68" s="4" t="s">
        <v>1403</v>
      </c>
      <c r="AK68" s="4" t="s">
        <v>1403</v>
      </c>
      <c r="AL68" s="2" t="s">
        <v>1104</v>
      </c>
      <c r="AM68" s="2" t="s">
        <v>31</v>
      </c>
      <c r="AN68" s="4" t="s">
        <v>1403</v>
      </c>
      <c r="AO68" s="2" t="s">
        <v>31</v>
      </c>
      <c r="AP68" s="2" t="s">
        <v>847</v>
      </c>
      <c r="AQ68" s="2" t="s">
        <v>1140</v>
      </c>
      <c r="AR68" s="2" t="s">
        <v>848</v>
      </c>
      <c r="AS68" s="2" t="s">
        <v>1274</v>
      </c>
      <c r="AT68" s="4" t="s">
        <v>1403</v>
      </c>
      <c r="AU68" s="2" t="s">
        <v>709</v>
      </c>
      <c r="AV68" s="2" t="s">
        <v>1403</v>
      </c>
      <c r="AW68" s="2" t="s">
        <v>1403</v>
      </c>
      <c r="AX68" s="2" t="s">
        <v>1403</v>
      </c>
      <c r="AY68" s="2" t="s">
        <v>1403</v>
      </c>
      <c r="AZ68" s="2" t="s">
        <v>1403</v>
      </c>
      <c r="BA68" s="2" t="s">
        <v>1403</v>
      </c>
      <c r="BB68" s="2" t="s">
        <v>1403</v>
      </c>
      <c r="BC68" s="5" t="s">
        <v>849</v>
      </c>
      <c r="BD68" s="5" t="s">
        <v>1062</v>
      </c>
      <c r="BE68" s="2" t="s">
        <v>1403</v>
      </c>
      <c r="BF68" s="2" t="s">
        <v>1403</v>
      </c>
      <c r="BG68" s="2" t="s">
        <v>1403</v>
      </c>
      <c r="BH68" s="2" t="s">
        <v>1403</v>
      </c>
      <c r="BI68" s="2" t="s">
        <v>1403</v>
      </c>
      <c r="BJ68" s="2" t="s">
        <v>1403</v>
      </c>
      <c r="BK68" s="2" t="s">
        <v>1403</v>
      </c>
      <c r="BL68" s="2" t="s">
        <v>709</v>
      </c>
      <c r="BM68" s="2" t="s">
        <v>850</v>
      </c>
      <c r="BN68" s="2" t="s">
        <v>851</v>
      </c>
      <c r="BO68" s="2" t="s">
        <v>1275</v>
      </c>
      <c r="BP68" s="2" t="s">
        <v>1190</v>
      </c>
      <c r="BQ68" s="2" t="s">
        <v>850</v>
      </c>
      <c r="BR68" s="2">
        <v>7</v>
      </c>
    </row>
    <row r="69" spans="1:70" x14ac:dyDescent="0.2">
      <c r="A69" s="2" t="s">
        <v>25</v>
      </c>
      <c r="B69" s="2" t="s">
        <v>1380</v>
      </c>
      <c r="C69" s="2" t="s">
        <v>1395</v>
      </c>
      <c r="D69" s="2">
        <v>14</v>
      </c>
      <c r="E69" s="2">
        <v>6</v>
      </c>
      <c r="F69" s="2">
        <v>1</v>
      </c>
      <c r="G69" s="2" t="s">
        <v>852</v>
      </c>
      <c r="H69" s="2">
        <v>1</v>
      </c>
      <c r="I69" s="2">
        <v>6</v>
      </c>
      <c r="J69" s="2">
        <v>0</v>
      </c>
      <c r="K69" s="2">
        <v>0</v>
      </c>
      <c r="L69" s="2">
        <v>0</v>
      </c>
      <c r="M69" s="2">
        <v>0</v>
      </c>
      <c r="N69" s="2">
        <v>0</v>
      </c>
      <c r="O69" s="2">
        <v>0</v>
      </c>
      <c r="P69" s="2">
        <v>0</v>
      </c>
      <c r="Q69" s="2">
        <v>0</v>
      </c>
      <c r="R69" s="2">
        <v>14</v>
      </c>
      <c r="S69" s="2" t="s">
        <v>853</v>
      </c>
      <c r="T69" s="2" t="s">
        <v>826</v>
      </c>
      <c r="U69" s="2" t="s">
        <v>1008</v>
      </c>
      <c r="V69" s="2" t="s">
        <v>854</v>
      </c>
      <c r="W69" s="2">
        <v>1</v>
      </c>
      <c r="X69" s="2" t="s">
        <v>42</v>
      </c>
      <c r="Y69" s="2" t="s">
        <v>42</v>
      </c>
      <c r="Z69" s="4" t="s">
        <v>1403</v>
      </c>
      <c r="AA69" s="2" t="s">
        <v>817</v>
      </c>
      <c r="AB69" s="2" t="s">
        <v>1043</v>
      </c>
      <c r="AC69" s="2" t="s">
        <v>28</v>
      </c>
      <c r="AD69" s="2" t="s">
        <v>855</v>
      </c>
      <c r="AE69" s="2" t="s">
        <v>1113</v>
      </c>
      <c r="AF69" s="2" t="s">
        <v>856</v>
      </c>
      <c r="AG69" s="2" t="s">
        <v>1052</v>
      </c>
      <c r="AH69" s="2">
        <v>60</v>
      </c>
      <c r="AI69" s="4" t="s">
        <v>1403</v>
      </c>
      <c r="AJ69" s="4" t="s">
        <v>1403</v>
      </c>
      <c r="AK69" s="4" t="s">
        <v>1403</v>
      </c>
      <c r="AL69" s="2" t="s">
        <v>1104</v>
      </c>
      <c r="AM69" s="2" t="s">
        <v>857</v>
      </c>
      <c r="AN69" s="4" t="s">
        <v>1403</v>
      </c>
      <c r="AO69" s="2" t="s">
        <v>857</v>
      </c>
      <c r="AP69" s="2" t="s">
        <v>830</v>
      </c>
      <c r="AQ69" s="2" t="s">
        <v>1128</v>
      </c>
      <c r="AR69" s="4" t="s">
        <v>1403</v>
      </c>
      <c r="AS69" s="2" t="s">
        <v>1403</v>
      </c>
      <c r="AT69" s="4" t="s">
        <v>1403</v>
      </c>
      <c r="AU69" s="2" t="s">
        <v>1403</v>
      </c>
      <c r="AV69" s="2" t="s">
        <v>488</v>
      </c>
      <c r="AW69" s="2" t="s">
        <v>28</v>
      </c>
      <c r="AX69" s="2" t="s">
        <v>28</v>
      </c>
      <c r="AY69" s="2" t="s">
        <v>858</v>
      </c>
      <c r="AZ69" s="2" t="s">
        <v>86</v>
      </c>
      <c r="BA69" s="2" t="s">
        <v>1403</v>
      </c>
      <c r="BB69" s="2" t="s">
        <v>1403</v>
      </c>
      <c r="BC69" s="2" t="s">
        <v>132</v>
      </c>
      <c r="BD69" s="2" t="s">
        <v>1403</v>
      </c>
      <c r="BE69" s="2" t="s">
        <v>859</v>
      </c>
      <c r="BF69" s="2" t="s">
        <v>1203</v>
      </c>
      <c r="BG69" s="2" t="s">
        <v>860</v>
      </c>
      <c r="BH69" s="2" t="s">
        <v>1043</v>
      </c>
      <c r="BI69" s="2" t="s">
        <v>861</v>
      </c>
      <c r="BJ69" s="2" t="s">
        <v>1403</v>
      </c>
      <c r="BK69" s="2" t="s">
        <v>1403</v>
      </c>
      <c r="BL69" s="2" t="s">
        <v>1403</v>
      </c>
      <c r="BM69" s="2" t="s">
        <v>862</v>
      </c>
      <c r="BN69" s="2" t="s">
        <v>863</v>
      </c>
      <c r="BO69" s="2" t="s">
        <v>1403</v>
      </c>
      <c r="BP69" s="2" t="s">
        <v>1403</v>
      </c>
      <c r="BQ69" s="2" t="s">
        <v>862</v>
      </c>
      <c r="BR69" s="2">
        <v>0</v>
      </c>
    </row>
    <row r="70" spans="1:70" x14ac:dyDescent="0.2">
      <c r="A70" s="2" t="s">
        <v>62</v>
      </c>
      <c r="B70" s="2" t="s">
        <v>1371</v>
      </c>
      <c r="C70" s="2" t="s">
        <v>1398</v>
      </c>
      <c r="D70" s="2">
        <v>4</v>
      </c>
      <c r="E70" s="2">
        <v>0</v>
      </c>
      <c r="F70" s="2">
        <v>1</v>
      </c>
      <c r="G70" s="2" t="s">
        <v>48</v>
      </c>
      <c r="H70" s="2">
        <v>1</v>
      </c>
      <c r="I70" s="2">
        <v>0</v>
      </c>
      <c r="J70" s="2">
        <v>0</v>
      </c>
      <c r="K70" s="2">
        <v>0</v>
      </c>
      <c r="L70" s="2">
        <v>0</v>
      </c>
      <c r="M70" s="2">
        <v>0</v>
      </c>
      <c r="N70" s="2">
        <v>0</v>
      </c>
      <c r="O70" s="2">
        <v>0</v>
      </c>
      <c r="P70" s="2">
        <v>0</v>
      </c>
      <c r="Q70" s="2">
        <v>0</v>
      </c>
      <c r="R70" s="2">
        <f t="shared" ref="R70:R77" si="3">SUM(H70:Q70)</f>
        <v>1</v>
      </c>
      <c r="S70" s="2" t="s">
        <v>871</v>
      </c>
      <c r="T70" s="2" t="s">
        <v>826</v>
      </c>
      <c r="U70" s="2" t="s">
        <v>1403</v>
      </c>
      <c r="V70" s="2" t="s">
        <v>872</v>
      </c>
      <c r="W70" s="2">
        <v>1</v>
      </c>
      <c r="X70" s="2" t="s">
        <v>42</v>
      </c>
      <c r="Y70" s="2" t="s">
        <v>42</v>
      </c>
      <c r="Z70" s="4" t="s">
        <v>1403</v>
      </c>
      <c r="AA70" s="2" t="s">
        <v>645</v>
      </c>
      <c r="AB70" s="2" t="s">
        <v>1040</v>
      </c>
      <c r="AC70" s="2" t="s">
        <v>28</v>
      </c>
      <c r="AD70" s="2" t="s">
        <v>867</v>
      </c>
      <c r="AE70" s="2" t="s">
        <v>1113</v>
      </c>
      <c r="AF70" s="2" t="s">
        <v>868</v>
      </c>
      <c r="AG70" s="2" t="s">
        <v>588</v>
      </c>
      <c r="AH70" s="2">
        <v>10</v>
      </c>
      <c r="AI70" s="2" t="s">
        <v>1023</v>
      </c>
      <c r="AJ70" s="2">
        <v>3</v>
      </c>
      <c r="AK70" s="2" t="s">
        <v>864</v>
      </c>
      <c r="AL70" s="2" t="s">
        <v>1104</v>
      </c>
      <c r="AM70" s="2" t="s">
        <v>865</v>
      </c>
      <c r="AN70" s="4" t="s">
        <v>1403</v>
      </c>
      <c r="AO70" s="2" t="s">
        <v>865</v>
      </c>
      <c r="AP70" s="2" t="s">
        <v>866</v>
      </c>
      <c r="AQ70" s="2" t="s">
        <v>1141</v>
      </c>
      <c r="AR70" s="4" t="s">
        <v>1403</v>
      </c>
      <c r="AS70" s="2" t="s">
        <v>1403</v>
      </c>
      <c r="AT70" s="4" t="s">
        <v>1403</v>
      </c>
      <c r="AU70" s="2" t="s">
        <v>1403</v>
      </c>
      <c r="AV70" s="2" t="s">
        <v>869</v>
      </c>
      <c r="AW70" s="2" t="s">
        <v>28</v>
      </c>
      <c r="AX70" s="2" t="s">
        <v>28</v>
      </c>
      <c r="AY70" s="2" t="s">
        <v>870</v>
      </c>
      <c r="AZ70" s="2" t="s">
        <v>1198</v>
      </c>
      <c r="BA70" s="2" t="s">
        <v>1276</v>
      </c>
      <c r="BB70" s="2" t="s">
        <v>901</v>
      </c>
      <c r="BC70" s="2" t="s">
        <v>1403</v>
      </c>
      <c r="BD70" s="2" t="s">
        <v>1403</v>
      </c>
      <c r="BE70" s="2" t="s">
        <v>873</v>
      </c>
      <c r="BF70" s="2" t="s">
        <v>1207</v>
      </c>
      <c r="BG70" s="2" t="s">
        <v>874</v>
      </c>
      <c r="BH70" s="2" t="s">
        <v>709</v>
      </c>
      <c r="BI70" s="2" t="s">
        <v>875</v>
      </c>
      <c r="BJ70" s="2" t="s">
        <v>28</v>
      </c>
      <c r="BK70" s="2" t="s">
        <v>28</v>
      </c>
      <c r="BL70" s="2" t="s">
        <v>1403</v>
      </c>
      <c r="BM70" s="2" t="s">
        <v>876</v>
      </c>
      <c r="BN70" s="2" t="s">
        <v>1403</v>
      </c>
      <c r="BO70" s="2" t="s">
        <v>1403</v>
      </c>
      <c r="BP70" s="2" t="s">
        <v>1403</v>
      </c>
      <c r="BQ70" s="2" t="s">
        <v>876</v>
      </c>
      <c r="BR70" s="2">
        <v>1</v>
      </c>
    </row>
    <row r="71" spans="1:70" x14ac:dyDescent="0.2">
      <c r="A71" s="2" t="s">
        <v>62</v>
      </c>
      <c r="B71" s="2" t="s">
        <v>1372</v>
      </c>
      <c r="C71" s="9" t="s">
        <v>1400</v>
      </c>
      <c r="D71" s="2">
        <v>8</v>
      </c>
      <c r="E71" s="2">
        <v>1</v>
      </c>
      <c r="F71" s="2">
        <v>1</v>
      </c>
      <c r="G71" s="2" t="s">
        <v>48</v>
      </c>
      <c r="H71" s="2">
        <v>1</v>
      </c>
      <c r="I71" s="2">
        <v>0</v>
      </c>
      <c r="J71" s="2">
        <v>0</v>
      </c>
      <c r="K71" s="2">
        <v>0</v>
      </c>
      <c r="L71" s="2">
        <v>0</v>
      </c>
      <c r="M71" s="2">
        <v>0</v>
      </c>
      <c r="N71" s="2">
        <v>0</v>
      </c>
      <c r="O71" s="2">
        <v>0</v>
      </c>
      <c r="P71" s="2">
        <v>0</v>
      </c>
      <c r="Q71" s="2">
        <v>0</v>
      </c>
      <c r="R71" s="2">
        <f t="shared" si="3"/>
        <v>1</v>
      </c>
      <c r="S71" s="2" t="s">
        <v>877</v>
      </c>
      <c r="T71" s="2" t="s">
        <v>998</v>
      </c>
      <c r="U71" s="2" t="s">
        <v>1403</v>
      </c>
      <c r="V71" s="2" t="s">
        <v>878</v>
      </c>
      <c r="W71" s="2">
        <v>1</v>
      </c>
      <c r="X71" s="2" t="s">
        <v>42</v>
      </c>
      <c r="Y71" s="2" t="s">
        <v>42</v>
      </c>
      <c r="Z71" s="4" t="s">
        <v>1403</v>
      </c>
      <c r="AA71" s="2" t="s">
        <v>879</v>
      </c>
      <c r="AB71" s="2" t="s">
        <v>1042</v>
      </c>
      <c r="AC71" s="2" t="s">
        <v>880</v>
      </c>
      <c r="AD71" s="2" t="s">
        <v>881</v>
      </c>
      <c r="AE71" s="2" t="s">
        <v>637</v>
      </c>
      <c r="AF71" s="2" t="s">
        <v>882</v>
      </c>
      <c r="AG71" s="2" t="s">
        <v>588</v>
      </c>
      <c r="AH71" s="2">
        <v>5</v>
      </c>
      <c r="AI71" s="2" t="s">
        <v>1023</v>
      </c>
      <c r="AJ71" s="2">
        <v>1</v>
      </c>
      <c r="AK71" s="2" t="s">
        <v>883</v>
      </c>
      <c r="AL71" s="2" t="s">
        <v>1104</v>
      </c>
      <c r="AM71" s="2" t="s">
        <v>31</v>
      </c>
      <c r="AN71" s="4" t="s">
        <v>1403</v>
      </c>
      <c r="AO71" s="2" t="s">
        <v>31</v>
      </c>
      <c r="AP71" s="2" t="s">
        <v>517</v>
      </c>
      <c r="AQ71" s="2" t="s">
        <v>1128</v>
      </c>
      <c r="AR71" s="4" t="s">
        <v>1403</v>
      </c>
      <c r="AS71" s="2" t="s">
        <v>1403</v>
      </c>
      <c r="AT71" s="4" t="s">
        <v>1403</v>
      </c>
      <c r="AU71" s="2" t="s">
        <v>1403</v>
      </c>
      <c r="AV71" s="2" t="s">
        <v>488</v>
      </c>
      <c r="AW71" s="2" t="s">
        <v>28</v>
      </c>
      <c r="AX71" s="2" t="s">
        <v>28</v>
      </c>
      <c r="AY71" s="2" t="s">
        <v>99</v>
      </c>
      <c r="AZ71" s="2" t="s">
        <v>1403</v>
      </c>
      <c r="BA71" s="2" t="s">
        <v>1403</v>
      </c>
      <c r="BB71" s="2" t="s">
        <v>1185</v>
      </c>
      <c r="BC71" s="2" t="s">
        <v>1403</v>
      </c>
      <c r="BD71" s="2" t="s">
        <v>1403</v>
      </c>
      <c r="BE71" s="2" t="s">
        <v>1403</v>
      </c>
      <c r="BF71" s="2" t="s">
        <v>1403</v>
      </c>
      <c r="BG71" s="2" t="s">
        <v>262</v>
      </c>
      <c r="BH71" s="2" t="s">
        <v>709</v>
      </c>
      <c r="BI71" s="2" t="s">
        <v>884</v>
      </c>
      <c r="BJ71" s="2" t="s">
        <v>1180</v>
      </c>
      <c r="BK71" s="2" t="s">
        <v>1180</v>
      </c>
      <c r="BL71" s="2" t="s">
        <v>1403</v>
      </c>
      <c r="BM71" s="2" t="s">
        <v>876</v>
      </c>
      <c r="BN71" s="2" t="s">
        <v>1403</v>
      </c>
      <c r="BO71" s="2" t="s">
        <v>1403</v>
      </c>
      <c r="BP71" s="2" t="s">
        <v>1403</v>
      </c>
      <c r="BQ71" s="2" t="s">
        <v>876</v>
      </c>
      <c r="BR71" s="2">
        <v>1</v>
      </c>
    </row>
    <row r="72" spans="1:70" x14ac:dyDescent="0.2">
      <c r="A72" s="2" t="s">
        <v>92</v>
      </c>
      <c r="B72" s="2" t="s">
        <v>1385</v>
      </c>
      <c r="C72" s="2" t="s">
        <v>1399</v>
      </c>
      <c r="D72" s="2" t="s">
        <v>1403</v>
      </c>
      <c r="E72" s="2" t="s">
        <v>1403</v>
      </c>
      <c r="F72" s="2" t="s">
        <v>1403</v>
      </c>
      <c r="G72" s="2" t="s">
        <v>48</v>
      </c>
      <c r="H72" s="2">
        <v>1</v>
      </c>
      <c r="I72" s="2">
        <v>0</v>
      </c>
      <c r="J72" s="2">
        <v>0</v>
      </c>
      <c r="K72" s="2">
        <v>0</v>
      </c>
      <c r="L72" s="2">
        <v>0</v>
      </c>
      <c r="M72" s="2">
        <v>0</v>
      </c>
      <c r="N72" s="2">
        <v>0</v>
      </c>
      <c r="O72" s="2">
        <v>0</v>
      </c>
      <c r="P72" s="2">
        <v>0</v>
      </c>
      <c r="Q72" s="2">
        <v>0</v>
      </c>
      <c r="R72" s="2">
        <f t="shared" si="3"/>
        <v>1</v>
      </c>
      <c r="S72" s="2" t="s">
        <v>885</v>
      </c>
      <c r="T72" s="2" t="s">
        <v>826</v>
      </c>
      <c r="U72" s="2" t="s">
        <v>1013</v>
      </c>
      <c r="V72" s="2" t="s">
        <v>878</v>
      </c>
      <c r="W72" s="2">
        <v>1</v>
      </c>
      <c r="X72" s="2" t="s">
        <v>42</v>
      </c>
      <c r="Y72" s="2" t="s">
        <v>42</v>
      </c>
      <c r="Z72" s="4" t="s">
        <v>1403</v>
      </c>
      <c r="AA72" s="2" t="s">
        <v>645</v>
      </c>
      <c r="AB72" s="2" t="s">
        <v>1040</v>
      </c>
      <c r="AC72" s="2" t="s">
        <v>890</v>
      </c>
      <c r="AD72" s="4" t="s">
        <v>1403</v>
      </c>
      <c r="AE72" s="2" t="s">
        <v>637</v>
      </c>
      <c r="AF72" s="4" t="s">
        <v>1403</v>
      </c>
      <c r="AG72" s="2" t="s">
        <v>588</v>
      </c>
      <c r="AH72" s="2">
        <v>5</v>
      </c>
      <c r="AI72" s="4" t="s">
        <v>1403</v>
      </c>
      <c r="AJ72" s="4" t="s">
        <v>1403</v>
      </c>
      <c r="AK72" s="2" t="s">
        <v>886</v>
      </c>
      <c r="AL72" s="2" t="s">
        <v>1106</v>
      </c>
      <c r="AM72" s="2" t="s">
        <v>31</v>
      </c>
      <c r="AN72" s="2" t="s">
        <v>1030</v>
      </c>
      <c r="AO72" s="2" t="s">
        <v>31</v>
      </c>
      <c r="AP72" s="2" t="s">
        <v>887</v>
      </c>
      <c r="AQ72" s="2" t="s">
        <v>1142</v>
      </c>
      <c r="AR72" s="2" t="s">
        <v>888</v>
      </c>
      <c r="AS72" s="2" t="s">
        <v>1156</v>
      </c>
      <c r="AT72" s="2" t="s">
        <v>891</v>
      </c>
      <c r="AU72" s="2" t="s">
        <v>709</v>
      </c>
      <c r="AV72" s="2" t="s">
        <v>889</v>
      </c>
      <c r="AW72" s="2" t="s">
        <v>1301</v>
      </c>
      <c r="AX72" s="2" t="s">
        <v>28</v>
      </c>
      <c r="AY72" s="2" t="s">
        <v>892</v>
      </c>
      <c r="AZ72" s="2" t="s">
        <v>1403</v>
      </c>
      <c r="BA72" s="2" t="s">
        <v>1277</v>
      </c>
      <c r="BB72" s="2" t="s">
        <v>1403</v>
      </c>
      <c r="BC72" s="2" t="s">
        <v>1403</v>
      </c>
      <c r="BD72" s="2" t="s">
        <v>1403</v>
      </c>
      <c r="BE72" s="2" t="s">
        <v>1403</v>
      </c>
      <c r="BF72" s="2" t="s">
        <v>1403</v>
      </c>
      <c r="BG72" s="2" t="s">
        <v>1403</v>
      </c>
      <c r="BH72" s="2" t="s">
        <v>1403</v>
      </c>
      <c r="BI72" s="2" t="s">
        <v>1403</v>
      </c>
      <c r="BJ72" s="2" t="s">
        <v>1180</v>
      </c>
      <c r="BK72" s="2" t="s">
        <v>1180</v>
      </c>
      <c r="BL72" s="2" t="s">
        <v>1403</v>
      </c>
      <c r="BM72" s="2" t="s">
        <v>893</v>
      </c>
      <c r="BN72" s="2" t="s">
        <v>886</v>
      </c>
      <c r="BO72" s="2" t="s">
        <v>1403</v>
      </c>
      <c r="BP72" s="2" t="s">
        <v>1403</v>
      </c>
      <c r="BQ72" s="2" t="s">
        <v>893</v>
      </c>
      <c r="BR72" s="2">
        <v>2</v>
      </c>
    </row>
    <row r="73" spans="1:70" x14ac:dyDescent="0.2">
      <c r="A73" s="2" t="s">
        <v>92</v>
      </c>
      <c r="B73" s="2" t="s">
        <v>1386</v>
      </c>
      <c r="C73" s="2" t="s">
        <v>1395</v>
      </c>
      <c r="D73" s="2">
        <v>6</v>
      </c>
      <c r="E73" s="2">
        <v>0</v>
      </c>
      <c r="F73" s="2">
        <v>0</v>
      </c>
      <c r="G73" s="2" t="s">
        <v>48</v>
      </c>
      <c r="H73" s="2">
        <v>1</v>
      </c>
      <c r="I73" s="2">
        <v>0</v>
      </c>
      <c r="J73" s="2">
        <v>0</v>
      </c>
      <c r="K73" s="2">
        <v>0</v>
      </c>
      <c r="L73" s="2">
        <v>0</v>
      </c>
      <c r="M73" s="2">
        <v>0</v>
      </c>
      <c r="N73" s="2">
        <v>0</v>
      </c>
      <c r="O73" s="2">
        <v>0</v>
      </c>
      <c r="P73" s="2">
        <v>0</v>
      </c>
      <c r="Q73" s="2">
        <v>0</v>
      </c>
      <c r="R73" s="2">
        <f t="shared" si="3"/>
        <v>1</v>
      </c>
      <c r="S73" s="2" t="s">
        <v>885</v>
      </c>
      <c r="T73" s="2" t="s">
        <v>826</v>
      </c>
      <c r="U73" s="2" t="s">
        <v>1278</v>
      </c>
      <c r="V73" s="2" t="s">
        <v>483</v>
      </c>
      <c r="W73" s="2">
        <v>5</v>
      </c>
      <c r="X73" s="2" t="s">
        <v>42</v>
      </c>
      <c r="Y73" s="2" t="s">
        <v>42</v>
      </c>
      <c r="Z73" s="4" t="s">
        <v>1403</v>
      </c>
      <c r="AA73" s="2" t="s">
        <v>28</v>
      </c>
      <c r="AB73" s="2" t="s">
        <v>1040</v>
      </c>
      <c r="AC73" s="2" t="s">
        <v>28</v>
      </c>
      <c r="AD73" s="2" t="s">
        <v>637</v>
      </c>
      <c r="AE73" s="2" t="s">
        <v>637</v>
      </c>
      <c r="AF73" s="2" t="s">
        <v>895</v>
      </c>
      <c r="AG73" s="2" t="s">
        <v>1053</v>
      </c>
      <c r="AH73" s="2">
        <v>720</v>
      </c>
      <c r="AI73" s="4" t="s">
        <v>1403</v>
      </c>
      <c r="AJ73" s="4" t="s">
        <v>1403</v>
      </c>
      <c r="AK73" s="2" t="s">
        <v>894</v>
      </c>
      <c r="AL73" s="2" t="s">
        <v>1121</v>
      </c>
      <c r="AM73" s="2" t="s">
        <v>31</v>
      </c>
      <c r="AN73" s="2" t="s">
        <v>1229</v>
      </c>
      <c r="AO73" s="2" t="s">
        <v>31</v>
      </c>
      <c r="AP73" s="2" t="s">
        <v>830</v>
      </c>
      <c r="AQ73" s="2" t="s">
        <v>1097</v>
      </c>
      <c r="AR73" s="4" t="s">
        <v>1403</v>
      </c>
      <c r="AS73" s="2" t="s">
        <v>1403</v>
      </c>
      <c r="AT73" s="4" t="s">
        <v>1403</v>
      </c>
      <c r="AU73" s="2" t="s">
        <v>1403</v>
      </c>
      <c r="AV73" s="2" t="s">
        <v>896</v>
      </c>
      <c r="AW73" s="2" t="s">
        <v>1403</v>
      </c>
      <c r="AX73" s="2" t="s">
        <v>28</v>
      </c>
      <c r="AY73" s="2" t="s">
        <v>1403</v>
      </c>
      <c r="AZ73" s="2" t="s">
        <v>1403</v>
      </c>
      <c r="BA73" s="2" t="s">
        <v>1403</v>
      </c>
      <c r="BB73" s="2" t="s">
        <v>1403</v>
      </c>
      <c r="BC73" s="2" t="s">
        <v>898</v>
      </c>
      <c r="BD73" s="2" t="s">
        <v>1062</v>
      </c>
      <c r="BE73" s="2" t="s">
        <v>899</v>
      </c>
      <c r="BF73" s="2" t="s">
        <v>1279</v>
      </c>
      <c r="BG73" s="2" t="s">
        <v>1280</v>
      </c>
      <c r="BH73" s="2" t="s">
        <v>1043</v>
      </c>
      <c r="BI73" s="2" t="s">
        <v>900</v>
      </c>
      <c r="BJ73" s="2" t="s">
        <v>1180</v>
      </c>
      <c r="BK73" s="2" t="s">
        <v>1179</v>
      </c>
      <c r="BL73" s="2" t="s">
        <v>1403</v>
      </c>
      <c r="BM73" s="11" t="s">
        <v>897</v>
      </c>
      <c r="BN73" s="2" t="s">
        <v>1403</v>
      </c>
      <c r="BO73" s="2" t="s">
        <v>1403</v>
      </c>
      <c r="BP73" s="2" t="s">
        <v>1087</v>
      </c>
      <c r="BQ73" s="2" t="s">
        <v>1383</v>
      </c>
      <c r="BR73" s="2">
        <v>8</v>
      </c>
    </row>
    <row r="74" spans="1:70" x14ac:dyDescent="0.2">
      <c r="A74" s="2" t="s">
        <v>92</v>
      </c>
      <c r="B74" s="2" t="s">
        <v>1387</v>
      </c>
      <c r="C74" s="2" t="s">
        <v>1395</v>
      </c>
      <c r="D74" s="2" t="s">
        <v>1403</v>
      </c>
      <c r="E74" s="2" t="s">
        <v>1403</v>
      </c>
      <c r="F74" s="2">
        <v>1</v>
      </c>
      <c r="G74" s="2" t="s">
        <v>48</v>
      </c>
      <c r="H74" s="2">
        <v>1</v>
      </c>
      <c r="I74" s="2">
        <v>0</v>
      </c>
      <c r="J74" s="2">
        <v>0</v>
      </c>
      <c r="K74" s="2">
        <v>0</v>
      </c>
      <c r="L74" s="2">
        <v>0</v>
      </c>
      <c r="M74" s="2">
        <v>0</v>
      </c>
      <c r="N74" s="2">
        <v>0</v>
      </c>
      <c r="O74" s="2">
        <v>0</v>
      </c>
      <c r="P74" s="2">
        <v>0</v>
      </c>
      <c r="Q74" s="2">
        <v>0</v>
      </c>
      <c r="R74" s="2">
        <f t="shared" si="3"/>
        <v>1</v>
      </c>
      <c r="S74" s="2" t="s">
        <v>923</v>
      </c>
      <c r="T74" s="2" t="s">
        <v>826</v>
      </c>
      <c r="U74" s="2" t="s">
        <v>1014</v>
      </c>
      <c r="V74" s="2" t="s">
        <v>929</v>
      </c>
      <c r="W74" s="2">
        <v>5</v>
      </c>
      <c r="X74" s="2" t="s">
        <v>42</v>
      </c>
      <c r="Y74" s="2" t="s">
        <v>42</v>
      </c>
      <c r="Z74" s="2" t="s">
        <v>1022</v>
      </c>
      <c r="AA74" s="2" t="s">
        <v>28</v>
      </c>
      <c r="AB74" s="2" t="s">
        <v>1040</v>
      </c>
      <c r="AC74" s="2" t="s">
        <v>931</v>
      </c>
      <c r="AD74" s="2" t="s">
        <v>926</v>
      </c>
      <c r="AE74" s="2" t="s">
        <v>1102</v>
      </c>
      <c r="AF74" s="5" t="s">
        <v>928</v>
      </c>
      <c r="AG74" s="5" t="s">
        <v>1053</v>
      </c>
      <c r="AH74" s="5">
        <v>720</v>
      </c>
      <c r="AI74" s="5" t="s">
        <v>1281</v>
      </c>
      <c r="AJ74" s="4" t="s">
        <v>1403</v>
      </c>
      <c r="AK74" s="2">
        <v>2015</v>
      </c>
      <c r="AL74" s="2" t="s">
        <v>1117</v>
      </c>
      <c r="AM74" s="2" t="s">
        <v>924</v>
      </c>
      <c r="AN74" s="4" t="s">
        <v>1403</v>
      </c>
      <c r="AO74" s="2" t="s">
        <v>31</v>
      </c>
      <c r="AP74" s="2" t="s">
        <v>830</v>
      </c>
      <c r="AQ74" s="2" t="s">
        <v>1097</v>
      </c>
      <c r="AR74" s="4" t="s">
        <v>1403</v>
      </c>
      <c r="AS74" s="2" t="s">
        <v>1403</v>
      </c>
      <c r="AT74" s="4" t="s">
        <v>1403</v>
      </c>
      <c r="AU74" s="2" t="s">
        <v>1403</v>
      </c>
      <c r="AV74" s="2" t="s">
        <v>925</v>
      </c>
      <c r="AW74" s="2" t="s">
        <v>28</v>
      </c>
      <c r="AX74" s="2" t="s">
        <v>1246</v>
      </c>
      <c r="AY74" s="2" t="s">
        <v>930</v>
      </c>
      <c r="AZ74" s="2" t="s">
        <v>1189</v>
      </c>
      <c r="BA74" s="2" t="s">
        <v>1282</v>
      </c>
      <c r="BB74" s="2" t="s">
        <v>709</v>
      </c>
      <c r="BC74" s="2" t="s">
        <v>147</v>
      </c>
      <c r="BD74" s="2" t="s">
        <v>1062</v>
      </c>
      <c r="BE74" s="2" t="s">
        <v>101</v>
      </c>
      <c r="BF74" s="2" t="s">
        <v>101</v>
      </c>
      <c r="BG74" s="2" t="s">
        <v>932</v>
      </c>
      <c r="BH74" s="2" t="s">
        <v>709</v>
      </c>
      <c r="BI74" s="2" t="s">
        <v>933</v>
      </c>
      <c r="BJ74" s="2" t="s">
        <v>1180</v>
      </c>
      <c r="BK74" s="2" t="s">
        <v>1180</v>
      </c>
      <c r="BL74" s="2" t="s">
        <v>1403</v>
      </c>
      <c r="BM74" s="2" t="s">
        <v>927</v>
      </c>
      <c r="BN74" s="2" t="s">
        <v>922</v>
      </c>
      <c r="BO74" s="2" t="s">
        <v>1063</v>
      </c>
      <c r="BP74" s="2" t="s">
        <v>1082</v>
      </c>
      <c r="BQ74" s="2" t="s">
        <v>927</v>
      </c>
      <c r="BR74" s="2">
        <v>5</v>
      </c>
    </row>
    <row r="75" spans="1:70" x14ac:dyDescent="0.2">
      <c r="A75" s="2" t="s">
        <v>92</v>
      </c>
      <c r="B75" s="2" t="s">
        <v>1373</v>
      </c>
      <c r="C75" s="2" t="s">
        <v>1395</v>
      </c>
      <c r="D75" s="2">
        <v>8</v>
      </c>
      <c r="E75" s="2">
        <v>4</v>
      </c>
      <c r="F75" s="2" t="s">
        <v>1403</v>
      </c>
      <c r="G75" s="2" t="s">
        <v>901</v>
      </c>
      <c r="H75" s="2" t="s">
        <v>1403</v>
      </c>
      <c r="I75" s="2">
        <v>4</v>
      </c>
      <c r="J75" s="2">
        <v>0</v>
      </c>
      <c r="K75" s="2">
        <v>0</v>
      </c>
      <c r="L75" s="2">
        <v>0</v>
      </c>
      <c r="M75" s="2">
        <v>0</v>
      </c>
      <c r="N75" s="2">
        <v>0</v>
      </c>
      <c r="O75" s="2">
        <v>0</v>
      </c>
      <c r="P75" s="2">
        <v>0</v>
      </c>
      <c r="Q75" s="2">
        <v>0</v>
      </c>
      <c r="R75" s="2">
        <f t="shared" si="3"/>
        <v>4</v>
      </c>
      <c r="S75" s="2" t="s">
        <v>908</v>
      </c>
      <c r="T75" s="2" t="s">
        <v>826</v>
      </c>
      <c r="U75" s="2" t="s">
        <v>1008</v>
      </c>
      <c r="V75" s="4" t="s">
        <v>1403</v>
      </c>
      <c r="W75" s="2">
        <v>5</v>
      </c>
      <c r="X75" s="2" t="s">
        <v>42</v>
      </c>
      <c r="Y75" s="2" t="s">
        <v>42</v>
      </c>
      <c r="Z75" s="4" t="s">
        <v>1403</v>
      </c>
      <c r="AA75" s="2" t="s">
        <v>28</v>
      </c>
      <c r="AB75" s="2" t="s">
        <v>1043</v>
      </c>
      <c r="AC75" s="2" t="s">
        <v>903</v>
      </c>
      <c r="AD75" s="2" t="s">
        <v>909</v>
      </c>
      <c r="AE75" s="2" t="s">
        <v>637</v>
      </c>
      <c r="AF75" s="2" t="s">
        <v>902</v>
      </c>
      <c r="AG75" s="2" t="s">
        <v>1054</v>
      </c>
      <c r="AH75" s="2">
        <v>180</v>
      </c>
      <c r="AI75" s="4" t="s">
        <v>1403</v>
      </c>
      <c r="AJ75" s="4" t="s">
        <v>1403</v>
      </c>
      <c r="AK75" s="2" t="s">
        <v>904</v>
      </c>
      <c r="AL75" s="2" t="s">
        <v>1124</v>
      </c>
      <c r="AM75" s="2" t="s">
        <v>31</v>
      </c>
      <c r="AN75" s="4" t="s">
        <v>1403</v>
      </c>
      <c r="AO75" s="2" t="s">
        <v>31</v>
      </c>
      <c r="AP75" s="2">
        <v>2015</v>
      </c>
      <c r="AQ75" s="2" t="s">
        <v>1134</v>
      </c>
      <c r="AR75" s="2" t="s">
        <v>905</v>
      </c>
      <c r="AS75" s="2" t="s">
        <v>1157</v>
      </c>
      <c r="AT75" s="2" t="s">
        <v>28</v>
      </c>
      <c r="AU75" s="2" t="s">
        <v>28</v>
      </c>
      <c r="AV75" s="2" t="s">
        <v>906</v>
      </c>
      <c r="AW75" s="2" t="s">
        <v>28</v>
      </c>
      <c r="AX75" s="2" t="s">
        <v>1147</v>
      </c>
      <c r="AY75" s="2" t="s">
        <v>1403</v>
      </c>
      <c r="AZ75" s="2" t="s">
        <v>1403</v>
      </c>
      <c r="BA75" s="2" t="s">
        <v>1403</v>
      </c>
      <c r="BB75" s="2" t="s">
        <v>1403</v>
      </c>
      <c r="BC75" s="2" t="s">
        <v>1403</v>
      </c>
      <c r="BD75" s="2" t="s">
        <v>1403</v>
      </c>
      <c r="BE75" s="2" t="s">
        <v>1403</v>
      </c>
      <c r="BF75" s="2" t="s">
        <v>1403</v>
      </c>
      <c r="BG75" s="2" t="s">
        <v>1403</v>
      </c>
      <c r="BH75" s="2" t="s">
        <v>1403</v>
      </c>
      <c r="BI75" s="2" t="s">
        <v>907</v>
      </c>
      <c r="BJ75" s="2" t="s">
        <v>1180</v>
      </c>
      <c r="BK75" s="2" t="s">
        <v>1180</v>
      </c>
      <c r="BL75" s="2" t="s">
        <v>1403</v>
      </c>
      <c r="BM75" s="2" t="s">
        <v>1403</v>
      </c>
      <c r="BN75" s="2" t="s">
        <v>1403</v>
      </c>
      <c r="BO75" s="2" t="s">
        <v>1403</v>
      </c>
      <c r="BP75" s="2" t="s">
        <v>1403</v>
      </c>
      <c r="BQ75" s="2" t="s">
        <v>1403</v>
      </c>
      <c r="BR75" s="2">
        <v>0</v>
      </c>
    </row>
    <row r="76" spans="1:70" x14ac:dyDescent="0.2">
      <c r="A76" s="2" t="s">
        <v>62</v>
      </c>
      <c r="B76" s="2" t="s">
        <v>1374</v>
      </c>
      <c r="C76" s="2" t="s">
        <v>1398</v>
      </c>
      <c r="D76" s="2">
        <v>15</v>
      </c>
      <c r="E76" s="2">
        <v>5</v>
      </c>
      <c r="F76" s="2">
        <v>2</v>
      </c>
      <c r="G76" s="2" t="s">
        <v>48</v>
      </c>
      <c r="H76" s="2">
        <v>1</v>
      </c>
      <c r="I76" s="2">
        <v>0</v>
      </c>
      <c r="J76" s="2">
        <v>0</v>
      </c>
      <c r="K76" s="2">
        <v>0</v>
      </c>
      <c r="L76" s="2">
        <v>0</v>
      </c>
      <c r="M76" s="2">
        <v>0</v>
      </c>
      <c r="N76" s="2">
        <v>0</v>
      </c>
      <c r="O76" s="2">
        <v>0</v>
      </c>
      <c r="P76" s="2">
        <v>0</v>
      </c>
      <c r="Q76" s="2">
        <v>0</v>
      </c>
      <c r="R76" s="2">
        <f t="shared" si="3"/>
        <v>1</v>
      </c>
      <c r="S76" s="2" t="s">
        <v>910</v>
      </c>
      <c r="T76" s="2" t="s">
        <v>991</v>
      </c>
      <c r="U76" s="2" t="s">
        <v>975</v>
      </c>
      <c r="V76" s="2" t="s">
        <v>911</v>
      </c>
      <c r="W76" s="2">
        <v>1</v>
      </c>
      <c r="X76" s="2" t="s">
        <v>42</v>
      </c>
      <c r="Y76" s="2" t="s">
        <v>42</v>
      </c>
      <c r="Z76" s="4" t="s">
        <v>1403</v>
      </c>
      <c r="AA76" s="2" t="s">
        <v>28</v>
      </c>
      <c r="AB76" s="2" t="s">
        <v>1040</v>
      </c>
      <c r="AC76" s="2" t="s">
        <v>28</v>
      </c>
      <c r="AD76" s="2" t="s">
        <v>916</v>
      </c>
      <c r="AE76" s="2" t="s">
        <v>1115</v>
      </c>
      <c r="AF76" s="2" t="s">
        <v>915</v>
      </c>
      <c r="AG76" s="2" t="s">
        <v>588</v>
      </c>
      <c r="AH76" s="2">
        <v>20</v>
      </c>
      <c r="AI76" s="2" t="s">
        <v>1091</v>
      </c>
      <c r="AJ76" s="2">
        <v>5</v>
      </c>
      <c r="AK76" s="2" t="s">
        <v>913</v>
      </c>
      <c r="AL76" s="2" t="s">
        <v>1119</v>
      </c>
      <c r="AM76" s="2" t="s">
        <v>914</v>
      </c>
      <c r="AN76" s="4" t="s">
        <v>1403</v>
      </c>
      <c r="AO76" s="2" t="s">
        <v>31</v>
      </c>
      <c r="AP76" s="2" t="s">
        <v>912</v>
      </c>
      <c r="AQ76" s="2" t="s">
        <v>1126</v>
      </c>
      <c r="AR76" s="4" t="s">
        <v>1403</v>
      </c>
      <c r="AS76" s="2" t="s">
        <v>1403</v>
      </c>
      <c r="AT76" s="4" t="s">
        <v>1403</v>
      </c>
      <c r="AU76" s="2" t="s">
        <v>1403</v>
      </c>
      <c r="AV76" s="2" t="s">
        <v>488</v>
      </c>
      <c r="AW76" s="2" t="s">
        <v>28</v>
      </c>
      <c r="AX76" s="2" t="s">
        <v>28</v>
      </c>
      <c r="AY76" s="2" t="s">
        <v>917</v>
      </c>
      <c r="AZ76" s="2" t="s">
        <v>1210</v>
      </c>
      <c r="BA76" s="2" t="s">
        <v>1283</v>
      </c>
      <c r="BB76" s="2" t="s">
        <v>709</v>
      </c>
      <c r="BC76" s="2" t="s">
        <v>918</v>
      </c>
      <c r="BD76" s="2" t="s">
        <v>1183</v>
      </c>
      <c r="BE76" s="2" t="s">
        <v>132</v>
      </c>
      <c r="BF76" s="2" t="s">
        <v>1403</v>
      </c>
      <c r="BG76" s="2" t="s">
        <v>919</v>
      </c>
      <c r="BH76" s="2" t="s">
        <v>709</v>
      </c>
      <c r="BI76" s="2" t="s">
        <v>920</v>
      </c>
      <c r="BJ76" s="2" t="s">
        <v>1180</v>
      </c>
      <c r="BK76" s="2" t="s">
        <v>1284</v>
      </c>
      <c r="BL76" s="2" t="s">
        <v>1403</v>
      </c>
      <c r="BM76" s="12" t="s">
        <v>921</v>
      </c>
      <c r="BN76" s="2" t="s">
        <v>1403</v>
      </c>
      <c r="BO76" s="2" t="s">
        <v>1403</v>
      </c>
      <c r="BP76" s="2" t="s">
        <v>1403</v>
      </c>
      <c r="BQ76" s="2" t="s">
        <v>921</v>
      </c>
      <c r="BR76" s="2">
        <v>14</v>
      </c>
    </row>
    <row r="77" spans="1:70" x14ac:dyDescent="0.2">
      <c r="A77" s="2" t="s">
        <v>25</v>
      </c>
      <c r="B77" s="2" t="s">
        <v>1384</v>
      </c>
      <c r="C77" s="2" t="s">
        <v>1398</v>
      </c>
      <c r="D77" s="2">
        <v>6</v>
      </c>
      <c r="E77" s="2">
        <v>0</v>
      </c>
      <c r="F77" s="2">
        <v>0</v>
      </c>
      <c r="G77" s="2" t="s">
        <v>48</v>
      </c>
      <c r="H77" s="2">
        <v>1</v>
      </c>
      <c r="I77" s="2">
        <v>0</v>
      </c>
      <c r="J77" s="2">
        <v>0</v>
      </c>
      <c r="K77" s="2">
        <v>0</v>
      </c>
      <c r="L77" s="2">
        <v>0</v>
      </c>
      <c r="M77" s="2">
        <v>0</v>
      </c>
      <c r="N77" s="2">
        <v>0</v>
      </c>
      <c r="O77" s="2">
        <v>0</v>
      </c>
      <c r="P77" s="2">
        <v>0</v>
      </c>
      <c r="Q77" s="2">
        <v>0</v>
      </c>
      <c r="R77" s="2">
        <f t="shared" si="3"/>
        <v>1</v>
      </c>
      <c r="S77" s="2" t="s">
        <v>937</v>
      </c>
      <c r="T77" s="2" t="s">
        <v>826</v>
      </c>
      <c r="U77" s="2" t="s">
        <v>1403</v>
      </c>
      <c r="V77" s="4" t="s">
        <v>1403</v>
      </c>
      <c r="W77" s="2">
        <v>1</v>
      </c>
      <c r="X77" s="2" t="s">
        <v>42</v>
      </c>
      <c r="Y77" s="2" t="s">
        <v>42</v>
      </c>
      <c r="Z77" s="4" t="s">
        <v>1403</v>
      </c>
      <c r="AA77" s="2" t="s">
        <v>28</v>
      </c>
      <c r="AB77" s="2" t="s">
        <v>1040</v>
      </c>
      <c r="AC77" s="2" t="s">
        <v>28</v>
      </c>
      <c r="AD77" s="2" t="s">
        <v>637</v>
      </c>
      <c r="AE77" s="2" t="s">
        <v>637</v>
      </c>
      <c r="AF77" s="5" t="s">
        <v>936</v>
      </c>
      <c r="AG77" s="5" t="s">
        <v>1057</v>
      </c>
      <c r="AH77" s="5">
        <v>360</v>
      </c>
      <c r="AI77" s="5" t="s">
        <v>1285</v>
      </c>
      <c r="AJ77" s="4" t="s">
        <v>1403</v>
      </c>
      <c r="AK77" s="2" t="s">
        <v>935</v>
      </c>
      <c r="AL77" s="2" t="s">
        <v>1104</v>
      </c>
      <c r="AM77" s="2" t="s">
        <v>404</v>
      </c>
      <c r="AN77" s="2" t="s">
        <v>1030</v>
      </c>
      <c r="AO77" s="2" t="s">
        <v>404</v>
      </c>
      <c r="AP77" s="2">
        <v>2013</v>
      </c>
      <c r="AQ77" s="2" t="s">
        <v>1138</v>
      </c>
      <c r="AR77" s="2" t="s">
        <v>934</v>
      </c>
      <c r="AS77" s="2" t="s">
        <v>1162</v>
      </c>
      <c r="AT77" s="4" t="s">
        <v>1403</v>
      </c>
      <c r="AU77" s="2" t="s">
        <v>709</v>
      </c>
      <c r="AV77" s="2" t="s">
        <v>488</v>
      </c>
      <c r="AW77" s="2" t="s">
        <v>28</v>
      </c>
      <c r="AX77" s="2" t="s">
        <v>28</v>
      </c>
      <c r="AY77" s="2" t="s">
        <v>1403</v>
      </c>
      <c r="AZ77" s="2" t="s">
        <v>101</v>
      </c>
      <c r="BA77" s="2" t="s">
        <v>1403</v>
      </c>
      <c r="BB77" s="2" t="s">
        <v>1185</v>
      </c>
      <c r="BC77" s="2" t="s">
        <v>918</v>
      </c>
      <c r="BD77" s="2" t="s">
        <v>1183</v>
      </c>
      <c r="BE77" s="2" t="s">
        <v>101</v>
      </c>
      <c r="BF77" s="2" t="s">
        <v>101</v>
      </c>
      <c r="BG77" s="2" t="s">
        <v>938</v>
      </c>
      <c r="BH77" s="2" t="s">
        <v>709</v>
      </c>
      <c r="BI77" s="2" t="s">
        <v>939</v>
      </c>
      <c r="BJ77" s="2" t="s">
        <v>1180</v>
      </c>
      <c r="BK77" s="2" t="s">
        <v>1179</v>
      </c>
      <c r="BL77" s="2" t="s">
        <v>1403</v>
      </c>
      <c r="BM77" s="12" t="s">
        <v>876</v>
      </c>
      <c r="BN77" s="12" t="s">
        <v>1403</v>
      </c>
      <c r="BO77" s="2" t="s">
        <v>1075</v>
      </c>
      <c r="BP77" s="2" t="s">
        <v>1071</v>
      </c>
      <c r="BQ77" s="2" t="s">
        <v>876</v>
      </c>
      <c r="BR77" s="2">
        <v>1</v>
      </c>
    </row>
    <row r="78" spans="1:70" x14ac:dyDescent="0.2">
      <c r="A78" s="2" t="s">
        <v>62</v>
      </c>
      <c r="B78" s="2" t="s">
        <v>1375</v>
      </c>
      <c r="C78" s="2" t="s">
        <v>1395</v>
      </c>
      <c r="D78" s="2">
        <v>3</v>
      </c>
      <c r="E78" s="2">
        <v>0</v>
      </c>
      <c r="F78" s="2">
        <v>2</v>
      </c>
      <c r="G78" s="2" t="s">
        <v>852</v>
      </c>
      <c r="H78" s="2">
        <v>1</v>
      </c>
      <c r="I78" s="2">
        <v>0</v>
      </c>
      <c r="J78" s="2">
        <v>0</v>
      </c>
      <c r="K78" s="2">
        <v>0</v>
      </c>
      <c r="L78" s="2">
        <v>0</v>
      </c>
      <c r="M78" s="2">
        <v>0</v>
      </c>
      <c r="N78" s="2">
        <v>0</v>
      </c>
      <c r="O78" s="2">
        <v>0</v>
      </c>
      <c r="P78" s="2">
        <v>0</v>
      </c>
      <c r="Q78" s="2">
        <v>0</v>
      </c>
      <c r="R78" s="2">
        <v>3</v>
      </c>
      <c r="S78" s="2" t="s">
        <v>942</v>
      </c>
      <c r="T78" s="2" t="s">
        <v>998</v>
      </c>
      <c r="U78" s="2" t="s">
        <v>1015</v>
      </c>
      <c r="V78" s="2" t="s">
        <v>943</v>
      </c>
      <c r="W78" s="2">
        <v>1</v>
      </c>
      <c r="X78" s="2" t="s">
        <v>42</v>
      </c>
      <c r="Y78" s="2" t="s">
        <v>42</v>
      </c>
      <c r="Z78" s="4" t="s">
        <v>1403</v>
      </c>
      <c r="AA78" s="2" t="s">
        <v>944</v>
      </c>
      <c r="AB78" s="2" t="s">
        <v>1041</v>
      </c>
      <c r="AC78" s="2" t="s">
        <v>945</v>
      </c>
      <c r="AD78" s="2" t="s">
        <v>940</v>
      </c>
      <c r="AE78" s="2" t="s">
        <v>637</v>
      </c>
      <c r="AF78" s="2" t="s">
        <v>941</v>
      </c>
      <c r="AG78" s="2" t="s">
        <v>588</v>
      </c>
      <c r="AH78" s="2">
        <v>15</v>
      </c>
      <c r="AI78" s="4" t="s">
        <v>1403</v>
      </c>
      <c r="AJ78" s="4" t="s">
        <v>1403</v>
      </c>
      <c r="AK78" s="2" t="s">
        <v>946</v>
      </c>
      <c r="AL78" s="2" t="s">
        <v>1104</v>
      </c>
      <c r="AM78" s="2" t="s">
        <v>947</v>
      </c>
      <c r="AN78" s="2" t="s">
        <v>31</v>
      </c>
      <c r="AO78" s="2" t="s">
        <v>404</v>
      </c>
      <c r="AP78" s="2" t="s">
        <v>830</v>
      </c>
      <c r="AQ78" s="2" t="s">
        <v>1097</v>
      </c>
      <c r="AR78" s="4" t="s">
        <v>1403</v>
      </c>
      <c r="AS78" s="2" t="s">
        <v>1403</v>
      </c>
      <c r="AT78" s="4" t="s">
        <v>1403</v>
      </c>
      <c r="AU78" s="2" t="s">
        <v>1403</v>
      </c>
      <c r="AV78" s="2" t="s">
        <v>552</v>
      </c>
      <c r="AW78" s="2" t="s">
        <v>28</v>
      </c>
      <c r="AX78" s="2" t="s">
        <v>28</v>
      </c>
      <c r="AY78" s="2" t="s">
        <v>1403</v>
      </c>
      <c r="AZ78" s="2" t="s">
        <v>1403</v>
      </c>
      <c r="BA78" s="2" t="s">
        <v>1403</v>
      </c>
      <c r="BB78" s="2" t="s">
        <v>1403</v>
      </c>
      <c r="BC78" s="12" t="s">
        <v>949</v>
      </c>
      <c r="BD78" s="12" t="s">
        <v>1227</v>
      </c>
      <c r="BE78" s="2" t="s">
        <v>950</v>
      </c>
      <c r="BF78" s="2" t="s">
        <v>1403</v>
      </c>
      <c r="BG78" s="12" t="s">
        <v>948</v>
      </c>
      <c r="BH78" s="12" t="s">
        <v>1403</v>
      </c>
      <c r="BI78" s="12" t="s">
        <v>951</v>
      </c>
      <c r="BJ78" s="12" t="s">
        <v>1180</v>
      </c>
      <c r="BK78" s="12" t="s">
        <v>1180</v>
      </c>
      <c r="BL78" s="12" t="s">
        <v>709</v>
      </c>
      <c r="BM78" s="12" t="s">
        <v>953</v>
      </c>
      <c r="BN78" s="12" t="s">
        <v>1403</v>
      </c>
      <c r="BO78" s="12" t="s">
        <v>1403</v>
      </c>
      <c r="BP78" s="12" t="s">
        <v>1403</v>
      </c>
      <c r="BQ78" s="2" t="s">
        <v>953</v>
      </c>
      <c r="BR78" s="2">
        <v>8</v>
      </c>
    </row>
    <row r="79" spans="1:70" x14ac:dyDescent="0.2">
      <c r="A79" s="2" t="s">
        <v>62</v>
      </c>
      <c r="B79" s="2" t="s">
        <v>1376</v>
      </c>
      <c r="C79" s="2" t="s">
        <v>1401</v>
      </c>
      <c r="D79" s="2">
        <v>3</v>
      </c>
      <c r="E79" s="2">
        <v>0</v>
      </c>
      <c r="F79" s="2">
        <v>1</v>
      </c>
      <c r="G79" s="2" t="s">
        <v>48</v>
      </c>
      <c r="H79" s="2">
        <v>1</v>
      </c>
      <c r="I79" s="2">
        <v>0</v>
      </c>
      <c r="J79" s="2">
        <v>0</v>
      </c>
      <c r="K79" s="2">
        <v>0</v>
      </c>
      <c r="L79" s="2">
        <v>0</v>
      </c>
      <c r="M79" s="2">
        <v>0</v>
      </c>
      <c r="N79" s="2">
        <v>0</v>
      </c>
      <c r="O79" s="2">
        <v>0</v>
      </c>
      <c r="P79" s="2">
        <v>0</v>
      </c>
      <c r="Q79" s="2">
        <v>0</v>
      </c>
      <c r="R79" s="2">
        <f>SUM(H79:Q79)</f>
        <v>1</v>
      </c>
      <c r="S79" s="12" t="s">
        <v>955</v>
      </c>
      <c r="T79" s="12" t="s">
        <v>990</v>
      </c>
      <c r="U79" s="12" t="s">
        <v>1029</v>
      </c>
      <c r="V79" s="2" t="s">
        <v>959</v>
      </c>
      <c r="W79" s="2">
        <v>1</v>
      </c>
      <c r="X79" s="2" t="s">
        <v>42</v>
      </c>
      <c r="Y79" s="2" t="s">
        <v>42</v>
      </c>
      <c r="Z79" s="4" t="s">
        <v>1403</v>
      </c>
      <c r="AA79" s="2" t="s">
        <v>961</v>
      </c>
      <c r="AB79" s="2" t="s">
        <v>1043</v>
      </c>
      <c r="AC79" s="2" t="s">
        <v>28</v>
      </c>
      <c r="AD79" s="2" t="s">
        <v>956</v>
      </c>
      <c r="AE79" s="2" t="s">
        <v>1114</v>
      </c>
      <c r="AF79" s="2" t="s">
        <v>958</v>
      </c>
      <c r="AG79" s="2" t="s">
        <v>1052</v>
      </c>
      <c r="AH79" s="2">
        <v>60</v>
      </c>
      <c r="AI79" s="2" t="s">
        <v>1099</v>
      </c>
      <c r="AJ79" s="4" t="s">
        <v>1403</v>
      </c>
      <c r="AK79" s="12" t="s">
        <v>954</v>
      </c>
      <c r="AL79" s="12" t="s">
        <v>1104</v>
      </c>
      <c r="AM79" s="2" t="s">
        <v>957</v>
      </c>
      <c r="AN79" s="4" t="s">
        <v>1403</v>
      </c>
      <c r="AO79" s="2" t="s">
        <v>1187</v>
      </c>
      <c r="AP79" s="2" t="s">
        <v>224</v>
      </c>
      <c r="AQ79" s="2" t="s">
        <v>1101</v>
      </c>
      <c r="AR79" s="2" t="s">
        <v>1403</v>
      </c>
      <c r="AS79" s="2" t="s">
        <v>1403</v>
      </c>
      <c r="AT79" s="4" t="s">
        <v>1403</v>
      </c>
      <c r="AU79" s="2" t="s">
        <v>709</v>
      </c>
      <c r="AV79" s="2" t="s">
        <v>552</v>
      </c>
      <c r="AW79" s="2" t="s">
        <v>28</v>
      </c>
      <c r="AX79" s="2" t="s">
        <v>28</v>
      </c>
      <c r="AY79" s="12" t="s">
        <v>960</v>
      </c>
      <c r="AZ79" s="2" t="s">
        <v>1218</v>
      </c>
      <c r="BA79" s="12" t="s">
        <v>1286</v>
      </c>
      <c r="BB79" s="12" t="s">
        <v>901</v>
      </c>
      <c r="BC79" s="12" t="s">
        <v>962</v>
      </c>
      <c r="BD79" s="12" t="s">
        <v>1192</v>
      </c>
      <c r="BE79" s="12" t="s">
        <v>963</v>
      </c>
      <c r="BF79" s="12" t="s">
        <v>1207</v>
      </c>
      <c r="BG79" s="2" t="s">
        <v>709</v>
      </c>
      <c r="BH79" s="12" t="s">
        <v>709</v>
      </c>
      <c r="BI79" s="2" t="s">
        <v>964</v>
      </c>
      <c r="BJ79" s="12" t="s">
        <v>28</v>
      </c>
      <c r="BK79" s="2" t="s">
        <v>28</v>
      </c>
      <c r="BL79" s="12" t="s">
        <v>709</v>
      </c>
      <c r="BM79" s="12" t="s">
        <v>1047</v>
      </c>
      <c r="BN79" s="2" t="s">
        <v>957</v>
      </c>
      <c r="BO79" s="12" t="s">
        <v>1191</v>
      </c>
      <c r="BP79" s="2" t="s">
        <v>1287</v>
      </c>
      <c r="BQ79" s="2" t="s">
        <v>1047</v>
      </c>
      <c r="BR79" s="2">
        <v>2</v>
      </c>
    </row>
    <row r="80" spans="1:70" x14ac:dyDescent="0.2">
      <c r="A80" s="2" t="s">
        <v>62</v>
      </c>
      <c r="B80" s="2" t="s">
        <v>1377</v>
      </c>
      <c r="C80" s="2" t="s">
        <v>1395</v>
      </c>
      <c r="D80" s="2">
        <v>5</v>
      </c>
      <c r="E80" s="2">
        <v>3</v>
      </c>
      <c r="F80" s="2">
        <v>1</v>
      </c>
      <c r="G80" s="2" t="s">
        <v>852</v>
      </c>
      <c r="H80" s="2">
        <v>1</v>
      </c>
      <c r="I80" s="2">
        <v>0</v>
      </c>
      <c r="J80" s="2">
        <v>0</v>
      </c>
      <c r="K80" s="2">
        <v>0</v>
      </c>
      <c r="L80" s="2">
        <v>0</v>
      </c>
      <c r="M80" s="2">
        <v>0</v>
      </c>
      <c r="N80" s="2">
        <v>0</v>
      </c>
      <c r="O80" s="2">
        <v>0</v>
      </c>
      <c r="P80" s="2">
        <v>0</v>
      </c>
      <c r="Q80" s="2">
        <v>0</v>
      </c>
      <c r="R80" s="2">
        <v>5</v>
      </c>
      <c r="S80" s="2" t="s">
        <v>968</v>
      </c>
      <c r="T80" s="2" t="s">
        <v>985</v>
      </c>
      <c r="U80" s="2" t="s">
        <v>1016</v>
      </c>
      <c r="V80" s="2" t="s">
        <v>969</v>
      </c>
      <c r="W80" s="2">
        <v>5</v>
      </c>
      <c r="X80" s="2" t="s">
        <v>293</v>
      </c>
      <c r="Y80" s="2" t="s">
        <v>293</v>
      </c>
      <c r="Z80" s="4" t="s">
        <v>1403</v>
      </c>
      <c r="AA80" s="2" t="s">
        <v>28</v>
      </c>
      <c r="AB80" s="2" t="s">
        <v>1040</v>
      </c>
      <c r="AC80" s="2" t="s">
        <v>28</v>
      </c>
      <c r="AD80" s="2" t="s">
        <v>966</v>
      </c>
      <c r="AE80" s="2" t="s">
        <v>1113</v>
      </c>
      <c r="AF80" s="2" t="s">
        <v>971</v>
      </c>
      <c r="AG80" s="2" t="s">
        <v>458</v>
      </c>
      <c r="AH80" s="2">
        <v>360</v>
      </c>
      <c r="AI80" s="2" t="s">
        <v>1253</v>
      </c>
      <c r="AJ80" s="4" t="s">
        <v>1403</v>
      </c>
      <c r="AK80" s="2" t="s">
        <v>967</v>
      </c>
      <c r="AL80" s="2" t="s">
        <v>1108</v>
      </c>
      <c r="AM80" s="2" t="s">
        <v>857</v>
      </c>
      <c r="AN80" s="2" t="s">
        <v>1204</v>
      </c>
      <c r="AO80" s="2" t="s">
        <v>857</v>
      </c>
      <c r="AP80" s="2" t="s">
        <v>965</v>
      </c>
      <c r="AQ80" s="2" t="s">
        <v>1097</v>
      </c>
      <c r="AR80" s="4" t="s">
        <v>1403</v>
      </c>
      <c r="AS80" s="2" t="s">
        <v>1403</v>
      </c>
      <c r="AT80" s="4" t="s">
        <v>1403</v>
      </c>
      <c r="AU80" s="2" t="s">
        <v>1403</v>
      </c>
      <c r="AV80" s="2" t="s">
        <v>972</v>
      </c>
      <c r="AW80" s="2" t="s">
        <v>1300</v>
      </c>
      <c r="AX80" s="2" t="s">
        <v>28</v>
      </c>
      <c r="AY80" s="2" t="s">
        <v>970</v>
      </c>
      <c r="AZ80" s="2" t="s">
        <v>1202</v>
      </c>
      <c r="BA80" s="2" t="s">
        <v>1403</v>
      </c>
      <c r="BB80" s="2" t="s">
        <v>709</v>
      </c>
      <c r="BC80" s="2" t="s">
        <v>1403</v>
      </c>
      <c r="BD80" s="2" t="s">
        <v>1403</v>
      </c>
      <c r="BE80" s="2" t="s">
        <v>1403</v>
      </c>
      <c r="BF80" s="2" t="s">
        <v>1403</v>
      </c>
      <c r="BG80" s="12" t="s">
        <v>973</v>
      </c>
      <c r="BH80" s="12" t="s">
        <v>1043</v>
      </c>
      <c r="BI80" s="2" t="s">
        <v>974</v>
      </c>
      <c r="BJ80" s="2" t="s">
        <v>1180</v>
      </c>
      <c r="BK80" s="2" t="s">
        <v>1180</v>
      </c>
      <c r="BL80" s="2" t="s">
        <v>1403</v>
      </c>
      <c r="BM80" s="13" t="s">
        <v>786</v>
      </c>
      <c r="BN80" s="12" t="s">
        <v>1403</v>
      </c>
      <c r="BO80" s="2" t="s">
        <v>1403</v>
      </c>
      <c r="BP80" s="2" t="s">
        <v>1403</v>
      </c>
      <c r="BQ80" s="2" t="s">
        <v>786</v>
      </c>
      <c r="BR80" s="2">
        <v>1</v>
      </c>
    </row>
    <row r="81" spans="1:70" x14ac:dyDescent="0.2">
      <c r="A81" s="2" t="s">
        <v>62</v>
      </c>
      <c r="B81" s="2" t="s">
        <v>1378</v>
      </c>
      <c r="C81" s="2" t="s">
        <v>1398</v>
      </c>
      <c r="D81" s="2">
        <v>6</v>
      </c>
      <c r="E81" s="2">
        <v>2</v>
      </c>
      <c r="F81" s="2">
        <v>1</v>
      </c>
      <c r="G81" s="2" t="s">
        <v>901</v>
      </c>
      <c r="H81" s="2" t="s">
        <v>1403</v>
      </c>
      <c r="I81" s="2">
        <v>2</v>
      </c>
      <c r="J81" s="2">
        <v>0</v>
      </c>
      <c r="K81" s="2">
        <v>0</v>
      </c>
      <c r="L81" s="2">
        <v>0</v>
      </c>
      <c r="M81" s="2">
        <v>0</v>
      </c>
      <c r="N81" s="2">
        <v>0</v>
      </c>
      <c r="O81" s="2">
        <v>0</v>
      </c>
      <c r="P81" s="2">
        <v>0</v>
      </c>
      <c r="Q81" s="2">
        <v>0</v>
      </c>
      <c r="R81" s="2">
        <f>SUM(H81:Q81)</f>
        <v>2</v>
      </c>
      <c r="S81" s="2" t="s">
        <v>975</v>
      </c>
      <c r="T81" s="2" t="s">
        <v>985</v>
      </c>
      <c r="U81" s="2" t="s">
        <v>975</v>
      </c>
      <c r="V81" s="2" t="s">
        <v>878</v>
      </c>
      <c r="W81" s="2">
        <v>1</v>
      </c>
      <c r="X81" s="2" t="s">
        <v>42</v>
      </c>
      <c r="Y81" s="2" t="s">
        <v>42</v>
      </c>
      <c r="Z81" s="4" t="s">
        <v>1403</v>
      </c>
      <c r="AA81" s="2" t="s">
        <v>979</v>
      </c>
      <c r="AB81" s="2" t="s">
        <v>1043</v>
      </c>
      <c r="AC81" s="2" t="s">
        <v>28</v>
      </c>
      <c r="AD81" s="2" t="s">
        <v>976</v>
      </c>
      <c r="AE81" s="2" t="s">
        <v>637</v>
      </c>
      <c r="AF81" s="2" t="s">
        <v>977</v>
      </c>
      <c r="AG81" s="2" t="s">
        <v>1054</v>
      </c>
      <c r="AH81" s="2">
        <v>180</v>
      </c>
      <c r="AI81" s="2" t="s">
        <v>1099</v>
      </c>
      <c r="AJ81" s="2">
        <v>10</v>
      </c>
      <c r="AK81" s="4" t="s">
        <v>1403</v>
      </c>
      <c r="AL81" s="2" t="s">
        <v>1104</v>
      </c>
      <c r="AM81" s="4" t="s">
        <v>1403</v>
      </c>
      <c r="AN81" s="4" t="s">
        <v>1403</v>
      </c>
      <c r="AO81" s="4" t="s">
        <v>1403</v>
      </c>
      <c r="AP81" s="4" t="s">
        <v>1403</v>
      </c>
      <c r="AQ81" s="2" t="s">
        <v>1097</v>
      </c>
      <c r="AR81" s="4" t="s">
        <v>1403</v>
      </c>
      <c r="AS81" s="4" t="s">
        <v>1403</v>
      </c>
      <c r="AT81" s="4" t="s">
        <v>1403</v>
      </c>
      <c r="AU81" s="4" t="s">
        <v>1403</v>
      </c>
      <c r="AV81" s="12" t="s">
        <v>978</v>
      </c>
      <c r="AW81" s="12" t="s">
        <v>1299</v>
      </c>
      <c r="AX81" s="2" t="s">
        <v>28</v>
      </c>
      <c r="AY81" s="12" t="s">
        <v>980</v>
      </c>
      <c r="AZ81" s="2" t="s">
        <v>101</v>
      </c>
      <c r="BA81" s="12" t="s">
        <v>1403</v>
      </c>
      <c r="BB81" s="12" t="s">
        <v>1403</v>
      </c>
      <c r="BC81" s="2" t="s">
        <v>981</v>
      </c>
      <c r="BD81" s="12" t="s">
        <v>1183</v>
      </c>
      <c r="BE81" s="12" t="s">
        <v>982</v>
      </c>
      <c r="BF81" s="12" t="s">
        <v>101</v>
      </c>
      <c r="BG81" s="12" t="s">
        <v>1403</v>
      </c>
      <c r="BH81" s="12" t="s">
        <v>1403</v>
      </c>
      <c r="BI81" s="12" t="s">
        <v>983</v>
      </c>
      <c r="BJ81" s="12" t="s">
        <v>1180</v>
      </c>
      <c r="BK81" s="12" t="s">
        <v>1180</v>
      </c>
      <c r="BL81" s="12" t="s">
        <v>1403</v>
      </c>
      <c r="BM81" s="13" t="s">
        <v>952</v>
      </c>
      <c r="BN81" s="12" t="s">
        <v>1403</v>
      </c>
      <c r="BO81" s="12" t="s">
        <v>1403</v>
      </c>
      <c r="BP81" s="12" t="s">
        <v>1403</v>
      </c>
      <c r="BQ81" s="2" t="s">
        <v>952</v>
      </c>
      <c r="BR81" s="2">
        <v>9</v>
      </c>
    </row>
    <row r="82" spans="1:70" x14ac:dyDescent="0.2">
      <c r="D82" s="2">
        <f>AVERAGE(D2:D81)</f>
        <v>6.1578947368421053</v>
      </c>
      <c r="E82" s="2">
        <f t="shared" ref="E82:F82" si="4">AVERAGE(E2:E81)</f>
        <v>2</v>
      </c>
      <c r="F82" s="2">
        <f t="shared" si="4"/>
        <v>1.28</v>
      </c>
      <c r="R82" s="2">
        <f>AVERAGE(R2:R81)</f>
        <v>2.6375000000000002</v>
      </c>
      <c r="W82" s="2">
        <f>AVERAGE(W2:W81)</f>
        <v>8.4</v>
      </c>
      <c r="Z82" s="4"/>
      <c r="AH82" s="2">
        <f>SUM(AVERAGE(AH2:AH81))</f>
        <v>191.10389610389609</v>
      </c>
      <c r="AJ82" s="4"/>
      <c r="AR82" s="4"/>
      <c r="AT82" s="4"/>
      <c r="AU82" s="2">
        <f>COUNTIF(AU1:AU81,"yes")</f>
        <v>28</v>
      </c>
      <c r="AV82" s="4"/>
      <c r="AX82" s="4"/>
      <c r="AZ82" s="4"/>
      <c r="BA82" s="2">
        <f>COUNTIF(BA1:BA81,"constant")</f>
        <v>13</v>
      </c>
      <c r="BB82" s="4"/>
      <c r="BD82" s="12"/>
      <c r="BG82" s="12"/>
      <c r="BH82" s="12"/>
      <c r="BI82" s="12"/>
      <c r="BJ82" s="12"/>
      <c r="BK82" s="12"/>
      <c r="BL82" s="12"/>
      <c r="BM82" s="14"/>
      <c r="BN82" s="12"/>
      <c r="BO82" s="12"/>
      <c r="BP82" s="12"/>
      <c r="BQ82" s="12"/>
      <c r="BR82" s="2">
        <f>AVERAGE(BR2:BR81)</f>
        <v>7.125</v>
      </c>
    </row>
    <row r="83" spans="1:70" x14ac:dyDescent="0.2">
      <c r="D83" s="2">
        <f>STDEV(D2:D81)</f>
        <v>3.6843909730246138</v>
      </c>
      <c r="E83" s="2">
        <f t="shared" ref="E83:F83" si="5">STDEV(E2:E81)</f>
        <v>2.115108557622118</v>
      </c>
      <c r="F83" s="2">
        <f t="shared" si="5"/>
        <v>1.2254067168175722</v>
      </c>
      <c r="R83" s="2">
        <f>STDEV(R2:R81)</f>
        <v>2.4968017517099295</v>
      </c>
      <c r="W83" s="2">
        <f>STDEV(W2:W81)</f>
        <v>19.910305200186084</v>
      </c>
      <c r="Z83" s="4"/>
      <c r="AH83" s="2">
        <f>STDEV(AH2:AH81)</f>
        <v>244.99009563307831</v>
      </c>
      <c r="AJ83" s="4"/>
      <c r="AN83" s="4"/>
      <c r="AR83" s="4"/>
      <c r="AT83" s="4"/>
      <c r="AV83" s="4"/>
      <c r="AX83" s="4"/>
      <c r="AY83" s="12"/>
      <c r="BA83" s="12"/>
      <c r="BD83" s="12"/>
      <c r="BE83" s="12"/>
      <c r="BF83" s="12"/>
      <c r="BG83" s="12"/>
      <c r="BH83" s="12"/>
      <c r="BI83" s="12"/>
      <c r="BJ83" s="12"/>
      <c r="BK83" s="12"/>
      <c r="BL83" s="12"/>
      <c r="BM83" s="13"/>
      <c r="BN83" s="12"/>
      <c r="BO83" s="12"/>
      <c r="BP83" s="12"/>
      <c r="BQ83" s="12"/>
      <c r="BR83" s="2">
        <f>STDEV(BR2:BR81)</f>
        <v>5.2104447197158894</v>
      </c>
    </row>
    <row r="84" spans="1:70" x14ac:dyDescent="0.2">
      <c r="Z84" s="4"/>
      <c r="AJ84" s="4"/>
      <c r="AR84" s="4"/>
      <c r="AT84" s="4"/>
      <c r="AV84" s="4"/>
      <c r="AX84" s="4"/>
      <c r="AZ84" s="4"/>
      <c r="BB84" s="4"/>
      <c r="BD84" s="12"/>
      <c r="BG84" s="12"/>
      <c r="BH84" s="12"/>
      <c r="BI84" s="12"/>
      <c r="BJ84" s="12"/>
      <c r="BK84" s="12"/>
      <c r="BL84" s="12"/>
      <c r="BM84" s="13"/>
      <c r="BN84" s="12"/>
      <c r="BO84" s="12"/>
      <c r="BP84" s="12"/>
      <c r="BQ84" s="12"/>
      <c r="BR84" s="12"/>
    </row>
    <row r="85" spans="1:70" x14ac:dyDescent="0.2">
      <c r="Z85" s="4"/>
      <c r="AJ85" s="4"/>
      <c r="AN85" s="4"/>
      <c r="AR85" s="4"/>
      <c r="AT85" s="4"/>
      <c r="AV85" s="4"/>
      <c r="AX85" s="4"/>
      <c r="AY85" s="12"/>
      <c r="BA85" s="12"/>
      <c r="BD85" s="12"/>
      <c r="BE85" s="12"/>
      <c r="BF85" s="12"/>
      <c r="BG85" s="12"/>
      <c r="BH85" s="12"/>
      <c r="BI85" s="12"/>
      <c r="BJ85" s="12"/>
      <c r="BK85" s="12"/>
      <c r="BL85" s="12"/>
      <c r="BM85" s="13"/>
      <c r="BN85" s="12"/>
      <c r="BO85" s="12"/>
      <c r="BP85" s="12"/>
      <c r="BQ85" s="12"/>
      <c r="BR85" s="12"/>
    </row>
    <row r="86" spans="1:70" x14ac:dyDescent="0.2">
      <c r="Z86" s="4"/>
      <c r="AJ86" s="4"/>
      <c r="AR86" s="4"/>
      <c r="AT86" s="4"/>
      <c r="AV86" s="4"/>
      <c r="AX86" s="4"/>
      <c r="AZ86" s="4"/>
      <c r="BB86" s="4"/>
      <c r="BD86" s="12"/>
      <c r="BG86" s="12"/>
      <c r="BH86" s="12"/>
      <c r="BI86" s="12"/>
      <c r="BJ86" s="12"/>
      <c r="BK86" s="12"/>
      <c r="BL86" s="12"/>
      <c r="BM86" s="13"/>
      <c r="BN86" s="12"/>
      <c r="BO86" s="12"/>
      <c r="BP86" s="12"/>
      <c r="BQ86" s="12"/>
      <c r="BR86" s="12"/>
    </row>
    <row r="87" spans="1:70" x14ac:dyDescent="0.2">
      <c r="Z87" s="4"/>
      <c r="AJ87" s="4"/>
      <c r="AN87" s="4"/>
      <c r="AR87" s="4"/>
      <c r="AT87" s="4"/>
      <c r="AV87" s="4"/>
      <c r="AX87" s="4"/>
      <c r="AY87" s="12"/>
      <c r="BA87" s="12"/>
      <c r="BD87" s="12"/>
      <c r="BE87" s="12"/>
      <c r="BF87" s="12"/>
      <c r="BG87" s="12"/>
      <c r="BH87" s="12"/>
      <c r="BI87" s="12"/>
      <c r="BJ87" s="12"/>
      <c r="BK87" s="12"/>
      <c r="BL87" s="12"/>
      <c r="BM87" s="13"/>
      <c r="BN87" s="12"/>
      <c r="BO87" s="12"/>
      <c r="BP87" s="12"/>
      <c r="BQ87" s="12"/>
      <c r="BR87" s="12"/>
    </row>
    <row r="88" spans="1:70" x14ac:dyDescent="0.2">
      <c r="Z88" s="4"/>
      <c r="AJ88" s="4"/>
      <c r="AR88" s="4"/>
      <c r="AT88" s="4"/>
      <c r="AV88" s="4"/>
      <c r="AX88" s="4"/>
      <c r="AZ88" s="4"/>
      <c r="BB88" s="4"/>
      <c r="BD88" s="12"/>
      <c r="BG88" s="12"/>
      <c r="BH88" s="12"/>
      <c r="BI88" s="12"/>
      <c r="BJ88" s="12"/>
      <c r="BK88" s="12"/>
      <c r="BL88" s="12"/>
      <c r="BM88" s="13"/>
      <c r="BN88" s="12"/>
      <c r="BO88" s="12"/>
      <c r="BP88" s="12"/>
      <c r="BQ88" s="12"/>
      <c r="BR88" s="12"/>
    </row>
    <row r="89" spans="1:70" x14ac:dyDescent="0.2">
      <c r="Z89" s="4"/>
      <c r="AJ89" s="4"/>
      <c r="AN89" s="4"/>
      <c r="AR89" s="4"/>
      <c r="AT89" s="4"/>
      <c r="AV89" s="4"/>
      <c r="AX89" s="4"/>
      <c r="AY89" s="12"/>
      <c r="BA89" s="12"/>
      <c r="BD89" s="12"/>
      <c r="BE89" s="12"/>
      <c r="BF89" s="12"/>
      <c r="BG89" s="12"/>
      <c r="BH89" s="12"/>
      <c r="BI89" s="12"/>
      <c r="BJ89" s="12"/>
      <c r="BK89" s="12"/>
      <c r="BL89" s="12"/>
      <c r="BM89" s="14"/>
      <c r="BN89" s="12"/>
      <c r="BO89" s="12"/>
      <c r="BP89" s="12"/>
      <c r="BQ89" s="12"/>
      <c r="BR89" s="12"/>
    </row>
  </sheetData>
  <autoFilter ref="BL1:BL89" xr:uid="{00000000-0009-0000-0000-000004000000}"/>
  <phoneticPr fontId="10" type="noConversion"/>
  <conditionalFormatting sqref="B1:B1048576">
    <cfRule type="duplicateValues" dxfId="0" priority="1"/>
  </conditionalFormatting>
  <pageMargins left="0.7" right="0.7" top="0.75" bottom="0.75" header="0.3" footer="0.3"/>
  <pageSetup paperSize="9" orientation="portrait" r:id="rId1"/>
  <ignoredErrors>
    <ignoredError sqref="C18:C19 C32:C34 C53:C54 C57 C67 C71 C4" twoDigitTextYear="1"/>
  </ignoredError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Mallika</dc:creator>
  <cp:lastModifiedBy>Microsoft Office User</cp:lastModifiedBy>
  <dcterms:created xsi:type="dcterms:W3CDTF">2019-05-07T13:43:00Z</dcterms:created>
  <dcterms:modified xsi:type="dcterms:W3CDTF">2023-01-20T04:53:11Z</dcterms:modified>
</cp:coreProperties>
</file>